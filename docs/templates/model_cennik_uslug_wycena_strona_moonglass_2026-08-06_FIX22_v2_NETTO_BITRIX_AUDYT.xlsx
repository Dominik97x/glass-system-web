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comments4.xml" ContentType="application/vnd.openxmlformats-officedocument.spreadsheetml.comments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14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ables/table15.xml" ContentType="application/vnd.openxmlformats-officedocument.spreadsheetml.table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ables/table16.xml" ContentType="application/vnd.openxmlformats-officedocument.spreadsheetml.table+xml"/>
  <Override PartName="/xl/worksheets/sheet40.xml" ContentType="application/vnd.openxmlformats-officedocument.spreadsheetml.worksheet+xml"/>
  <Override PartName="/xl/tables/table17.xml" ContentType="application/vnd.openxmlformats-officedocument.spreadsheetml.table+xml"/>
  <Override PartName="/xl/worksheets/sheet4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924b99ed6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1_FIX21_DROPDOWN_CRM" sheetId="1" r:id="R7209df55e6a444df"/>
    <x:sheet xmlns:r="http://schemas.openxmlformats.org/officeDocument/2006/relationships" name="19_PODSUMOWANIE_MASTER" sheetId="2" r:id="R1c8b060e286e4fa3"/>
    <x:sheet xmlns:r="http://schemas.openxmlformats.org/officeDocument/2006/relationships" name="00_README" sheetId="3" r:id="Rb81ff117eee64908"/>
    <x:sheet xmlns:r="http://schemas.openxmlformats.org/officeDocument/2006/relationships" name="01_Ustawienia" sheetId="4" r:id="Rc54babc2b9df410e"/>
    <x:sheet xmlns:r="http://schemas.openxmlformats.org/officeDocument/2006/relationships" name="02_RAW_INDEX" sheetId="5" r:id="R2c21a2a864434ea1"/>
    <x:sheet xmlns:r="http://schemas.openxmlformats.org/officeDocument/2006/relationships" name="03_Cennik_uslug_nowy" sheetId="6" r:id="R3e8b3ebe55d54215"/>
    <x:sheet xmlns:r="http://schemas.openxmlformats.org/officeDocument/2006/relationships" name="04_Wycena_strona_nowa" sheetId="7" r:id="Re513629ab8424b93"/>
    <x:sheet xmlns:r="http://schemas.openxmlformats.org/officeDocument/2006/relationships" name="10_EXPORT_STRONA" sheetId="8" r:id="R6c689414f06a4c01"/>
    <x:sheet xmlns:r="http://schemas.openxmlformats.org/officeDocument/2006/relationships" name="15_AUDYT_CENNIKA" sheetId="9" r:id="Rf972838441724250"/>
    <x:sheet xmlns:r="http://schemas.openxmlformats.org/officeDocument/2006/relationships" name="16_CHECKLISTA_WALIDACYJNA" sheetId="10" r:id="R1aefb0745dd942f6"/>
    <x:sheet xmlns:r="http://schemas.openxmlformats.org/officeDocument/2006/relationships" name="17_DECYZJE_PRZED_STRONA" sheetId="11" r:id="Rca3b9cced37949cd"/>
    <x:sheet xmlns:r="http://schemas.openxmlformats.org/officeDocument/2006/relationships" name="18_TESTY_KONFIGURACJI" sheetId="12" r:id="R55ac37f275064f8b"/>
    <x:sheet xmlns:r="http://schemas.openxmlformats.org/officeDocument/2006/relationships" name="05_Porownanie_EG" sheetId="13" r:id="R1d9fb1e54d9c46bd"/>
    <x:sheet xmlns:r="http://schemas.openxmlformats.org/officeDocument/2006/relationships" name="06_Test_konfiguracji" sheetId="14" r:id="R231674e6a90045e6"/>
    <x:sheet xmlns:r="http://schemas.openxmlformats.org/officeDocument/2006/relationships" name="08_Kalkulator_CRM" sheetId="15" r:id="Raaca10d4665a413e"/>
    <x:sheet xmlns:r="http://schemas.openxmlformats.org/officeDocument/2006/relationships" name="07_Mapa_Bitrix" sheetId="16" r:id="R0c77386705f14433"/>
    <x:sheet xmlns:r="http://schemas.openxmlformats.org/officeDocument/2006/relationships" name="ustalanie ceny LED CCT I CCTRGB" sheetId="17" r:id="Rdf28eda0860c495f"/>
    <x:sheet xmlns:r="http://schemas.openxmlformats.org/officeDocument/2006/relationships" name="17_FIX17_LED_PDS_AUDYT" sheetId="18" r:id="R8052c80baff54b30"/>
    <x:sheet xmlns:r="http://schemas.openxmlformats.org/officeDocument/2006/relationships" name="18_FIX18_LED_DECYZJE" sheetId="19" r:id="R38e78c25001645fc"/>
    <x:sheet xmlns:r="http://schemas.openxmlformats.org/officeDocument/2006/relationships" name="13_FIX13_PODSUMOWANIE" sheetId="20" r:id="Re97a98092dd345a5"/>
    <x:sheet xmlns:r="http://schemas.openxmlformats.org/officeDocument/2006/relationships" name="14_FIX14_PODSUMOWANIE" sheetId="21" r:id="R0087e80c81874375"/>
    <x:sheet xmlns:r="http://schemas.openxmlformats.org/officeDocument/2006/relationships" name="15_FIX15_LED_CCT_RGB" sheetId="22" r:id="R6fcdf44814b14243"/>
    <x:sheet xmlns:r="http://schemas.openxmlformats.org/officeDocument/2006/relationships" name="05_Porownanie_EG_STARE" sheetId="23" r:id="R6d5c6e5fcaa34a79"/>
    <x:sheet xmlns:r="http://schemas.openxmlformats.org/officeDocument/2006/relationships" name="09_FIX11_MONT_550_600" sheetId="24" r:id="R841f87c49804436b"/>
    <x:sheet xmlns:r="http://schemas.openxmlformats.org/officeDocument/2006/relationships" name="10_FIX11_PODSUMOWANIE" sheetId="25" r:id="R630fa2d675f9407d"/>
    <x:sheet xmlns:r="http://schemas.openxmlformats.org/officeDocument/2006/relationships" name="RAW_ZP" sheetId="26" r:id="R67cfcf2969084a0c"/>
    <x:sheet xmlns:r="http://schemas.openxmlformats.org/officeDocument/2006/relationships" name="RAW_ZS" sheetId="27" r:id="R74d071155b134987"/>
    <x:sheet xmlns:r="http://schemas.openxmlformats.org/officeDocument/2006/relationships" name="RAW_OP" sheetId="28" r:id="R66fb31d709494f71"/>
    <x:sheet xmlns:r="http://schemas.openxmlformats.org/officeDocument/2006/relationships" name="RAW_OS" sheetId="29" r:id="Rc076bfd9036848cf"/>
    <x:sheet xmlns:r="http://schemas.openxmlformats.org/officeDocument/2006/relationships" name="RAW_Sciany" sheetId="30" r:id="Re55944e9c3ff4a3c"/>
    <x:sheet xmlns:r="http://schemas.openxmlformats.org/officeDocument/2006/relationships" name="RAW_Elementy" sheetId="31" r:id="Rb4fe5c3f32ee4a77"/>
    <x:sheet xmlns:r="http://schemas.openxmlformats.org/officeDocument/2006/relationships" name="RAW_Materialy" sheetId="32" r:id="Rb40cffcb3b3c4897"/>
    <x:sheet xmlns:r="http://schemas.openxmlformats.org/officeDocument/2006/relationships" name="RAW_Wysokosc" sheetId="33" r:id="R716ebe6a679f40d9"/>
    <x:sheet xmlns:r="http://schemas.openxmlformats.org/officeDocument/2006/relationships" name="EG_Cennik_uslug" sheetId="34" r:id="R9ce22c508b2a4b1e"/>
    <x:sheet xmlns:r="http://schemas.openxmlformats.org/officeDocument/2006/relationships" name="EG_Wycena_strona" sheetId="35" r:id="R122cb42afbf142be"/>
    <x:sheet xmlns:r="http://schemas.openxmlformats.org/officeDocument/2006/relationships" name="11_FIX12_PODSUMOWANIE" sheetId="36" r:id="R5a0907ae837842a8"/>
    <x:sheet xmlns:r="http://schemas.openxmlformats.org/officeDocument/2006/relationships" name="12_FIX12_KONTROLA" sheetId="37" r:id="Rf75d9d1023ea4528"/>
    <x:sheet xmlns:r="http://schemas.openxmlformats.org/officeDocument/2006/relationships" name="LISTY_DROPDOWN" sheetId="38" r:id="R753e3a8a4c654441"/>
    <x:sheet xmlns:r="http://schemas.openxmlformats.org/officeDocument/2006/relationships" name="11_EXPORT_NETTO_BITRIX" sheetId="39" r:id="R9456294c9f4a49c4"/>
    <x:sheet xmlns:r="http://schemas.openxmlformats.org/officeDocument/2006/relationships" name="22_AUDYT_NETTO_BITRIX" sheetId="40" r:id="R4dcd62864eaa4ac5"/>
    <x:sheet xmlns:r="http://schemas.openxmlformats.org/officeDocument/2006/relationships" name="23_FIX22_PODSUMOWANIE" sheetId="41" r:id="R40704192c8e94146"/>
  </x:sheets>
  <x:definedNames>
    <x:definedName name="DV_Wymiary">'LISTY_DROPDOWN'!$A$2:$A$71</x:definedName>
    <x:definedName name="DV_Sciany">'LISTY_DROPDOWN'!$B$2:$B$4</x:definedName>
    <x:definedName name="DV_Dach">'LISTY_DROPDOWN'!$C$2:$C$5</x:definedName>
    <x:definedName name="DV_TakNie">'LISTY_DROPDOWN'!$D$2:$D$3</x:definedName>
    <x:definedName name="DV_LED">'LISTY_DROPDOWN'!$E$2:$E$4</x:definedName>
    <x:definedName name="DV_LED_CRM">'LISTY_DROPDOWN'!$F$2:$F$5</x:definedName>
  </x:definedNames>
</x:workbook>
</file>

<file path=xl/comments1.xml><?xml version="1.0" encoding="utf-8"?>
<x:comments xmlns:x="http://schemas.openxmlformats.org/spreadsheetml/2006/main">
  <x:authors>
    <x:author>ChatGPT</x:author>
  </x:authors>
  <x:commentList>
    <x:comment ref="Q32" authorId="0">
      <x:text>
        <x:r>
          <x:t>FIX15: cena modelowa z arkusza 'ustalanie ceny LED CCT I CCTRGB' (trend 300–400 + 300 zł brutto).</x:t>
        </x:r>
      </x:text>
    </x:comment>
    <x:comment ref="R32" authorId="0">
      <x:text>
        <x:r>
          <x:t>FIX15: cena modelowa z arkusza 'ustalanie ceny LED CCT I CCTRGB' (trend 300–400 + 300 zł brutto).</x:t>
        </x:r>
      </x:text>
    </x:comment>
    <x:comment ref="S32" authorId="0">
      <x:text>
        <x:r>
          <x:t>FIX15: cena modelowa z arkusza 'ustalanie ceny LED CCT I CCTRGB' (trend 300–400 + 300 zł brutto).</x:t>
        </x:r>
      </x:text>
    </x:comment>
    <x:comment ref="T32" authorId="0">
      <x:text>
        <x:r>
          <x:t>FIX15: cena modelowa z arkusza 'ustalanie ceny LED CCT I CCTRGB' (trend 300–400 + 300 zł brutto).</x:t>
        </x:r>
      </x:text>
    </x:comment>
    <x:comment ref="Q33" authorId="0">
      <x:text>
        <x:r>
          <x:t>FIX15: cena modelowa z arkusza 'ustalanie ceny LED CCT I CCTRGB' (trend 300–400 + 300 zł brutto).</x:t>
        </x:r>
      </x:text>
    </x:comment>
    <x:comment ref="R33" authorId="0">
      <x:text>
        <x:r>
          <x:t>FIX15: cena modelowa z arkusza 'ustalanie ceny LED CCT I CCTRGB' (trend 300–400 + 300 zł brutto).</x:t>
        </x:r>
      </x:text>
    </x:comment>
    <x:comment ref="S33" authorId="0">
      <x:text>
        <x:r>
          <x:t>FIX15: cena modelowa z arkusza 'ustalanie ceny LED CCT I CCTRGB' (trend 300–400 + 300 zł brutto).</x:t>
        </x:r>
      </x:text>
    </x:comment>
    <x:comment ref="T33" authorId="0">
      <x:text>
        <x:r>
          <x:t>FIX15: cena modelowa z arkusza 'ustalanie ceny LED CCT I CCTRGB' (trend 300–400 + 300 zł brutto).</x:t>
        </x:r>
      </x:text>
    </x:comment>
    <x:comment ref="Q34" authorId="0">
      <x:text>
        <x:r>
          <x:t>FIX15: cena modelowa z arkusza 'ustalanie ceny LED CCT I CCTRGB' (trend 300–400 + 300 zł brutto).</x:t>
        </x:r>
      </x:text>
    </x:comment>
    <x:comment ref="R34" authorId="0">
      <x:text>
        <x:r>
          <x:t>FIX15: cena modelowa z arkusza 'ustalanie ceny LED CCT I CCTRGB' (trend 300–400 + 300 zł brutto).</x:t>
        </x:r>
      </x:text>
    </x:comment>
    <x:comment ref="S34" authorId="0">
      <x:text>
        <x:r>
          <x:t>FIX15: cena modelowa z arkusza 'ustalanie ceny LED CCT I CCTRGB' (trend 300–400 + 300 zł brutto).</x:t>
        </x:r>
      </x:text>
    </x:comment>
    <x:comment ref="T34" authorId="0">
      <x:text>
        <x:r>
          <x:t>FIX15: cena modelowa z arkusza 'ustalanie ceny LED CCT I CCTRGB' (trend 300–400 + 300 zł brutto).</x:t>
        </x:r>
      </x:text>
    </x:comment>
    <x:comment ref="Q35" authorId="0">
      <x:text>
        <x:r>
          <x:t>FIX15: cena modelowa z arkusza 'ustalanie ceny LED CCT I CCTRGB' (trend 300–400 + 300 zł brutto).</x:t>
        </x:r>
      </x:text>
    </x:comment>
    <x:comment ref="R35" authorId="0">
      <x:text>
        <x:r>
          <x:t>FIX15: cena modelowa z arkusza 'ustalanie ceny LED CCT I CCTRGB' (trend 300–400 + 300 zł brutto).</x:t>
        </x:r>
      </x:text>
    </x:comment>
    <x:comment ref="S35" authorId="0">
      <x:text>
        <x:r>
          <x:t>FIX15: cena modelowa z arkusza 'ustalanie ceny LED CCT I CCTRGB' (trend 300–400 + 300 zł brutto).</x:t>
        </x:r>
      </x:text>
    </x:comment>
    <x:comment ref="T35" authorId="0">
      <x:text>
        <x:r>
          <x:t>FIX15: cena modelowa z arkusza 'ustalanie ceny LED CCT I CCTRGB' (trend 300–400 + 300 zł brutto).</x:t>
        </x:r>
      </x:text>
    </x:comment>
    <x:comment ref="Q36" authorId="0">
      <x:text>
        <x:r>
          <x:t>FIX15: cena modelowa z arkusza 'ustalanie ceny LED CCT I CCTRGB' (trend 300–400 + 300 zł brutto).</x:t>
        </x:r>
      </x:text>
    </x:comment>
    <x:comment ref="R36" authorId="0">
      <x:text>
        <x:r>
          <x:t>FIX15: cena modelowa z arkusza 'ustalanie ceny LED CCT I CCTRGB' (trend 300–400 + 300 zł brutto).</x:t>
        </x:r>
      </x:text>
    </x:comment>
    <x:comment ref="S36" authorId="0">
      <x:text>
        <x:r>
          <x:t>FIX15: cena modelowa z arkusza 'ustalanie ceny LED CCT I CCTRGB' (trend 300–400 + 300 zł brutto).</x:t>
        </x:r>
      </x:text>
    </x:comment>
    <x:comment ref="T36" authorId="0">
      <x:text>
        <x:r>
          <x:t>FIX15: cena modelowa z arkusza 'ustalanie ceny LED CCT I CCTRGB' (trend 300–400 + 300 zł brutto).</x:t>
        </x:r>
      </x:text>
    </x:comment>
    <x:comment ref="Q37" authorId="0">
      <x:text>
        <x:r>
          <x:t>FIX15: cena modelowa z arkusza 'ustalanie ceny LED CCT I CCTRGB' (trend 300–400 + 300 zł brutto).</x:t>
        </x:r>
      </x:text>
    </x:comment>
    <x:comment ref="R37" authorId="0">
      <x:text>
        <x:r>
          <x:t>FIX15: cena modelowa z arkusza 'ustalanie ceny LED CCT I CCTRGB' (trend 300–400 + 300 zł brutto).</x:t>
        </x:r>
      </x:text>
    </x:comment>
    <x:comment ref="S37" authorId="0">
      <x:text>
        <x:r>
          <x:t>FIX15: cena modelowa z arkusza 'ustalanie ceny LED CCT I CCTRGB' (trend 300–400 + 300 zł brutto).</x:t>
        </x:r>
      </x:text>
    </x:comment>
    <x:comment ref="T37" authorId="0">
      <x:text>
        <x:r>
          <x:t>FIX15: cena modelowa z arkusza 'ustalanie ceny LED CCT I CCTRGB' (trend 300–400 + 300 zł brutto).</x:t>
        </x:r>
      </x:text>
    </x:comment>
    <x:comment ref="Q38" authorId="0">
      <x:text>
        <x:r>
          <x:t>FIX15: cena modelowa z arkusza 'ustalanie ceny LED CCT I CCTRGB' (trend 300–400 + 300 zł brutto).</x:t>
        </x:r>
      </x:text>
    </x:comment>
    <x:comment ref="R38" authorId="0">
      <x:text>
        <x:r>
          <x:t>FIX15: cena modelowa z arkusza 'ustalanie ceny LED CCT I CCTRGB' (trend 300–400 + 300 zł brutto).</x:t>
        </x:r>
      </x:text>
    </x:comment>
    <x:comment ref="S38" authorId="0">
      <x:text>
        <x:r>
          <x:t>FIX15: cena modelowa z arkusza 'ustalanie ceny LED CCT I CCTRGB' (trend 300–400 + 300 zł brutto).</x:t>
        </x:r>
      </x:text>
    </x:comment>
    <x:comment ref="T38" authorId="0">
      <x:text>
        <x:r>
          <x:t>FIX15: cena modelowa z arkusza 'ustalanie ceny LED CCT I CCTRGB' (trend 300–400 + 300 zł brutto).</x:t>
        </x:r>
      </x:text>
    </x:comment>
    <x:comment ref="Q39" authorId="0">
      <x:text>
        <x:r>
          <x:t>FIX15: cena modelowa z arkusza 'ustalanie ceny LED CCT I CCTRGB' (trend 300–400 + 300 zł brutto).</x:t>
        </x:r>
      </x:text>
    </x:comment>
    <x:comment ref="R39" authorId="0">
      <x:text>
        <x:r>
          <x:t>FIX15: cena modelowa z arkusza 'ustalanie ceny LED CCT I CCTRGB' (trend 300–400 + 300 zł brutto).</x:t>
        </x:r>
      </x:text>
    </x:comment>
    <x:comment ref="S39" authorId="0">
      <x:text>
        <x:r>
          <x:t>FIX15: cena modelowa z arkusza 'ustalanie ceny LED CCT I CCTRGB' (trend 300–400 + 300 zł brutto).</x:t>
        </x:r>
      </x:text>
    </x:comment>
    <x:comment ref="T39" authorId="0">
      <x:text>
        <x:r>
          <x:t>FIX15: cena modelowa z arkusza 'ustalanie ceny LED CCT I CCTRGB' (trend 300–400 + 300 zł brutto).</x:t>
        </x:r>
      </x:text>
    </x:comment>
    <x:comment ref="Q40" authorId="0">
      <x:text>
        <x:r>
          <x:t>FIX15: cena modelowa z arkusza 'ustalanie ceny LED CCT I CCTRGB' (trend 300–400 + 300 zł brutto).</x:t>
        </x:r>
      </x:text>
    </x:comment>
    <x:comment ref="R40" authorId="0">
      <x:text>
        <x:r>
          <x:t>FIX15: cena modelowa z arkusza 'ustalanie ceny LED CCT I CCTRGB' (trend 300–400 + 300 zł brutto).</x:t>
        </x:r>
      </x:text>
    </x:comment>
    <x:comment ref="S40" authorId="0">
      <x:text>
        <x:r>
          <x:t>FIX15: cena modelowa z arkusza 'ustalanie ceny LED CCT I CCTRGB' (trend 300–400 + 300 zł brutto).</x:t>
        </x:r>
      </x:text>
    </x:comment>
    <x:comment ref="T40" authorId="0">
      <x:text>
        <x:r>
          <x:t>FIX15: cena modelowa z arkusza 'ustalanie ceny LED CCT I CCTRGB' (trend 300–400 + 300 zł brutto).</x:t>
        </x:r>
      </x:text>
    </x:comment>
    <x:comment ref="Q41" authorId="0">
      <x:text>
        <x:r>
          <x:t>FIX15: cena modelowa z arkusza 'ustalanie ceny LED CCT I CCTRGB' (trend 300–400 + 300 zł brutto).</x:t>
        </x:r>
      </x:text>
    </x:comment>
    <x:comment ref="R41" authorId="0">
      <x:text>
        <x:r>
          <x:t>FIX15: cena modelowa z arkusza 'ustalanie ceny LED CCT I CCTRGB' (trend 300–400 + 300 zł brutto).</x:t>
        </x:r>
      </x:text>
    </x:comment>
    <x:comment ref="S41" authorId="0">
      <x:text>
        <x:r>
          <x:t>FIX15: cena modelowa z arkusza 'ustalanie ceny LED CCT I CCTRGB' (trend 300–400 + 300 zł brutto).</x:t>
        </x:r>
      </x:text>
    </x:comment>
    <x:comment ref="T41" authorId="0">
      <x:text>
        <x:r>
          <x:t>FIX15: cena modelowa z arkusza 'ustalanie ceny LED CCT I CCTRGB' (trend 300–400 + 300 zł brutto).</x:t>
        </x:r>
      </x:text>
    </x:comment>
    <x:comment ref="Q42" authorId="0">
      <x:text>
        <x:r>
          <x:t>FIX15: cena modelowa z arkusza 'ustalanie ceny LED CCT I CCTRGB' (trend 300–400 + 300 zł brutto).</x:t>
        </x:r>
      </x:text>
    </x:comment>
    <x:comment ref="R42" authorId="0">
      <x:text>
        <x:r>
          <x:t>FIX15: cena modelowa z arkusza 'ustalanie ceny LED CCT I CCTRGB' (trend 300–400 + 300 zł brutto).</x:t>
        </x:r>
      </x:text>
    </x:comment>
    <x:comment ref="S42" authorId="0">
      <x:text>
        <x:r>
          <x:t>FIX15: cena modelowa z arkusza 'ustalanie ceny LED CCT I CCTRGB' (trend 300–400 + 300 zł brutto).</x:t>
        </x:r>
      </x:text>
    </x:comment>
    <x:comment ref="T42" authorId="0">
      <x:text>
        <x:r>
          <x:t>FIX15: cena modelowa z arkusza 'ustalanie ceny LED CCT I CCTRGB' (trend 300–400 + 300 zł brutto).</x:t>
        </x:r>
      </x:text>
    </x:comment>
    <x:comment ref="Q43" authorId="0">
      <x:text>
        <x:r>
          <x:t>FIX15: cena modelowa z arkusza 'ustalanie ceny LED CCT I CCTRGB' (trend 300–400 + 300 zł brutto).</x:t>
        </x:r>
      </x:text>
    </x:comment>
    <x:comment ref="R43" authorId="0">
      <x:text>
        <x:r>
          <x:t>FIX15: cena modelowa z arkusza 'ustalanie ceny LED CCT I CCTRGB' (trend 300–400 + 300 zł brutto).</x:t>
        </x:r>
      </x:text>
    </x:comment>
    <x:comment ref="S43" authorId="0">
      <x:text>
        <x:r>
          <x:t>FIX15: cena modelowa z arkusza 'ustalanie ceny LED CCT I CCTRGB' (trend 300–400 + 300 zł brutto).</x:t>
        </x:r>
      </x:text>
    </x:comment>
    <x:comment ref="T43" authorId="0">
      <x:text>
        <x:r>
          <x:t>FIX15: cena modelowa z arkusza 'ustalanie ceny LED CCT I CCTRGB' (trend 300–400 + 300 zł brutto).</x:t>
        </x:r>
      </x:text>
    </x:comment>
    <x:comment ref="Q44" authorId="0">
      <x:text>
        <x:r>
          <x:t>FIX15: cena modelowa z arkusza 'ustalanie ceny LED CCT I CCTRGB' (trend 300–400 + 300 zł brutto).</x:t>
        </x:r>
      </x:text>
    </x:comment>
    <x:comment ref="R44" authorId="0">
      <x:text>
        <x:r>
          <x:t>FIX15: cena modelowa z arkusza 'ustalanie ceny LED CCT I CCTRGB' (trend 300–400 + 300 zł brutto).</x:t>
        </x:r>
      </x:text>
    </x:comment>
    <x:comment ref="S44" authorId="0">
      <x:text>
        <x:r>
          <x:t>FIX15: cena modelowa z arkusza 'ustalanie ceny LED CCT I CCTRGB' (trend 300–400 + 300 zł brutto).</x:t>
        </x:r>
      </x:text>
    </x:comment>
    <x:comment ref="T44" authorId="0">
      <x:text>
        <x:r>
          <x:t>FIX15: cena modelowa z arkusza 'ustalanie ceny LED CCT I CCTRGB' (trend 300–400 + 300 zł brutto).</x:t>
        </x:r>
      </x:text>
    </x:comment>
    <x:comment ref="Q45" authorId="0">
      <x:text>
        <x:r>
          <x:t>FIX15: cena modelowa z arkusza 'ustalanie ceny LED CCT I CCTRGB' (trend 300–400 + 300 zł brutto).</x:t>
        </x:r>
      </x:text>
    </x:comment>
    <x:comment ref="R45" authorId="0">
      <x:text>
        <x:r>
          <x:t>FIX15: cena modelowa z arkusza 'ustalanie ceny LED CCT I CCTRGB' (trend 300–400 + 300 zł brutto).</x:t>
        </x:r>
      </x:text>
    </x:comment>
    <x:comment ref="S45" authorId="0">
      <x:text>
        <x:r>
          <x:t>FIX15: cena modelowa z arkusza 'ustalanie ceny LED CCT I CCTRGB' (trend 300–400 + 300 zł brutto).</x:t>
        </x:r>
      </x:text>
    </x:comment>
    <x:comment ref="T45" authorId="0">
      <x:text>
        <x:r>
          <x:t>FIX15: cena modelowa z arkusza 'ustalanie ceny LED CCT I CCTRGB' (trend 300–400 + 300 zł brutto).</x:t>
        </x:r>
      </x:text>
    </x:comment>
    <x:comment ref="Q46" authorId="0">
      <x:text>
        <x:r>
          <x:t>FIX15: cena modelowa z arkusza 'ustalanie ceny LED CCT I CCTRGB' (trend 300–400 + 300 zł brutto).</x:t>
        </x:r>
      </x:text>
    </x:comment>
    <x:comment ref="R46" authorId="0">
      <x:text>
        <x:r>
          <x:t>FIX15: cena modelowa z arkusza 'ustalanie ceny LED CCT I CCTRGB' (trend 300–400 + 300 zł brutto).</x:t>
        </x:r>
      </x:text>
    </x:comment>
    <x:comment ref="S46" authorId="0">
      <x:text>
        <x:r>
          <x:t>FIX15: cena modelowa z arkusza 'ustalanie ceny LED CCT I CCTRGB' (trend 300–400 + 300 zł brutto).</x:t>
        </x:r>
      </x:text>
    </x:comment>
    <x:comment ref="T46" authorId="0">
      <x:text>
        <x:r>
          <x:t>FIX15: cena modelowa z arkusza 'ustalanie ceny LED CCT I CCTRGB' (trend 300–400 + 300 zł brutto).</x:t>
        </x:r>
      </x:text>
    </x:comment>
    <x:comment ref="Q47" authorId="0">
      <x:text>
        <x:r>
          <x:t>FIX15: cena modelowa z arkusza 'ustalanie ceny LED CCT I CCTRGB' (trend 300–400 + 300 zł brutto).</x:t>
        </x:r>
      </x:text>
    </x:comment>
    <x:comment ref="R47" authorId="0">
      <x:text>
        <x:r>
          <x:t>FIX15: cena modelowa z arkusza 'ustalanie ceny LED CCT I CCTRGB' (trend 300–400 + 300 zł brutto).</x:t>
        </x:r>
      </x:text>
    </x:comment>
    <x:comment ref="S47" authorId="0">
      <x:text>
        <x:r>
          <x:t>FIX15: cena modelowa z arkusza 'ustalanie ceny LED CCT I CCTRGB' (trend 300–400 + 300 zł brutto).</x:t>
        </x:r>
      </x:text>
    </x:comment>
    <x:comment ref="T47" authorId="0">
      <x:text>
        <x:r>
          <x:t>FIX15: cena modelowa z arkusza 'ustalanie ceny LED CCT I CCTRGB' (trend 300–400 + 300 zł brutto).</x:t>
        </x:r>
      </x:text>
    </x:comment>
    <x:comment ref="Q48" authorId="0">
      <x:text>
        <x:r>
          <x:t>FIX15: cena modelowa z arkusza 'ustalanie ceny LED CCT I CCTRGB' (trend 300–400 + 300 zł brutto).</x:t>
        </x:r>
      </x:text>
    </x:comment>
    <x:comment ref="R48" authorId="0">
      <x:text>
        <x:r>
          <x:t>FIX15: cena modelowa z arkusza 'ustalanie ceny LED CCT I CCTRGB' (trend 300–400 + 300 zł brutto).</x:t>
        </x:r>
      </x:text>
    </x:comment>
    <x:comment ref="S48" authorId="0">
      <x:text>
        <x:r>
          <x:t>FIX15: cena modelowa z arkusza 'ustalanie ceny LED CCT I CCTRGB' (trend 300–400 + 300 zł brutto).</x:t>
        </x:r>
      </x:text>
    </x:comment>
    <x:comment ref="T48" authorId="0">
      <x:text>
        <x:r>
          <x:t>FIX15: cena modelowa z arkusza 'ustalanie ceny LED CCT I CCTRGB' (trend 300–400 + 300 zł brutto).</x:t>
        </x:r>
      </x:text>
    </x:comment>
    <x:comment ref="Q49" authorId="0">
      <x:text>
        <x:r>
          <x:t>FIX15: cena modelowa z arkusza 'ustalanie ceny LED CCT I CCTRGB' (trend 300–400 + 300 zł brutto).</x:t>
        </x:r>
      </x:text>
    </x:comment>
    <x:comment ref="R49" authorId="0">
      <x:text>
        <x:r>
          <x:t>FIX15: cena modelowa z arkusza 'ustalanie ceny LED CCT I CCTRGB' (trend 300–400 + 300 zł brutto).</x:t>
        </x:r>
      </x:text>
    </x:comment>
    <x:comment ref="S49" authorId="0">
      <x:text>
        <x:r>
          <x:t>FIX15: cena modelowa z arkusza 'ustalanie ceny LED CCT I CCTRGB' (trend 300–400 + 300 zł brutto).</x:t>
        </x:r>
      </x:text>
    </x:comment>
    <x:comment ref="T49" authorId="0">
      <x:text>
        <x:r>
          <x:t>FIX15: cena modelowa z arkusza 'ustalanie ceny LED CCT I CCTRGB' (trend 300–400 + 300 zł brutto).</x:t>
        </x:r>
      </x:text>
    </x:comment>
    <x:comment ref="Q50" authorId="0">
      <x:text>
        <x:r>
          <x:t>FIX15: cena modelowa z arkusza 'ustalanie ceny LED CCT I CCTRGB' (trend 300–400 + 300 zł brutto).</x:t>
        </x:r>
      </x:text>
    </x:comment>
    <x:comment ref="R50" authorId="0">
      <x:text>
        <x:r>
          <x:t>FIX15: cena modelowa z arkusza 'ustalanie ceny LED CCT I CCTRGB' (trend 300–400 + 300 zł brutto).</x:t>
        </x:r>
      </x:text>
    </x:comment>
    <x:comment ref="S50" authorId="0">
      <x:text>
        <x:r>
          <x:t>FIX15: cena modelowa z arkusza 'ustalanie ceny LED CCT I CCTRGB' (trend 300–400 + 300 zł brutto).</x:t>
        </x:r>
      </x:text>
    </x:comment>
    <x:comment ref="T50" authorId="0">
      <x:text>
        <x:r>
          <x:t>FIX15: cena modelowa z arkusza 'ustalanie ceny LED CCT I CCTRGB' (trend 300–400 + 300 zł brutto).</x:t>
        </x:r>
      </x:text>
    </x:comment>
    <x:comment ref="Q51" authorId="0">
      <x:text>
        <x:r>
          <x:t>FIX15: cena modelowa z arkusza 'ustalanie ceny LED CCT I CCTRGB' (trend 300–400 + 300 zł brutto).</x:t>
        </x:r>
      </x:text>
    </x:comment>
    <x:comment ref="R51" authorId="0">
      <x:text>
        <x:r>
          <x:t>FIX15: cena modelowa z arkusza 'ustalanie ceny LED CCT I CCTRGB' (trend 300–400 + 300 zł brutto).</x:t>
        </x:r>
      </x:text>
    </x:comment>
    <x:comment ref="S51" authorId="0">
      <x:text>
        <x:r>
          <x:t>FIX15: cena modelowa z arkusza 'ustalanie ceny LED CCT I CCTRGB' (trend 300–400 + 300 zł brutto).</x:t>
        </x:r>
      </x:text>
    </x:comment>
    <x:comment ref="T51" authorId="0">
      <x:text>
        <x:r>
          <x:t>FIX15: cena modelowa z arkusza 'ustalanie ceny LED CCT I CCTRGB' (trend 300–400 + 300 zł brutto).</x:t>
        </x:r>
      </x:text>
    </x:comment>
    <x:comment ref="Q52" authorId="0">
      <x:text>
        <x:r>
          <x:t>FIX15: cena modelowa z arkusza 'ustalanie ceny LED CCT I CCTRGB' (trend 300–400 + 300 zł brutto).</x:t>
        </x:r>
      </x:text>
    </x:comment>
    <x:comment ref="R52" authorId="0">
      <x:text>
        <x:r>
          <x:t>FIX15: cena modelowa z arkusza 'ustalanie ceny LED CCT I CCTRGB' (trend 300–400 + 300 zł brutto).</x:t>
        </x:r>
      </x:text>
    </x:comment>
    <x:comment ref="S52" authorId="0">
      <x:text>
        <x:r>
          <x:t>FIX15: cena modelowa z arkusza 'ustalanie ceny LED CCT I CCTRGB' (trend 300–400 + 300 zł brutto).</x:t>
        </x:r>
      </x:text>
    </x:comment>
    <x:comment ref="T52" authorId="0">
      <x:text>
        <x:r>
          <x:t>FIX15: cena modelowa z arkusza 'ustalanie ceny LED CCT I CCTRGB' (trend 300–400 + 300 zł brutto).</x:t>
        </x:r>
      </x:text>
    </x:comment>
    <x:comment ref="Q53" authorId="0">
      <x:text>
        <x:r>
          <x:t>FIX15: cena modelowa z arkusza 'ustalanie ceny LED CCT I CCTRGB' (trend 300–400 + 300 zł brutto).</x:t>
        </x:r>
      </x:text>
    </x:comment>
    <x:comment ref="R53" authorId="0">
      <x:text>
        <x:r>
          <x:t>FIX15: cena modelowa z arkusza 'ustalanie ceny LED CCT I CCTRGB' (trend 300–400 + 300 zł brutto).</x:t>
        </x:r>
      </x:text>
    </x:comment>
    <x:comment ref="S53" authorId="0">
      <x:text>
        <x:r>
          <x:t>FIX15: cena modelowa z arkusza 'ustalanie ceny LED CCT I CCTRGB' (trend 300–400 + 300 zł brutto).</x:t>
        </x:r>
      </x:text>
    </x:comment>
    <x:comment ref="T53" authorId="0">
      <x:text>
        <x:r>
          <x:t>FIX15: cena modelowa z arkusza 'ustalanie ceny LED CCT I CCTRGB' (trend 300–400 + 300 zł brutto).</x:t>
        </x:r>
      </x:text>
    </x:comment>
    <x:comment ref="Q54" authorId="0">
      <x:text>
        <x:r>
          <x:t>FIX15: cena modelowa z arkusza 'ustalanie ceny LED CCT I CCTRGB' (trend 300–400 + 300 zł brutto).</x:t>
        </x:r>
      </x:text>
    </x:comment>
    <x:comment ref="R54" authorId="0">
      <x:text>
        <x:r>
          <x:t>FIX15: cena modelowa z arkusza 'ustalanie ceny LED CCT I CCTRGB' (trend 300–400 + 300 zł brutto).</x:t>
        </x:r>
      </x:text>
    </x:comment>
    <x:comment ref="S54" authorId="0">
      <x:text>
        <x:r>
          <x:t>FIX15: cena modelowa z arkusza 'ustalanie ceny LED CCT I CCTRGB' (trend 300–400 + 300 zł brutto).</x:t>
        </x:r>
      </x:text>
    </x:comment>
    <x:comment ref="T54" authorId="0">
      <x:text>
        <x:r>
          <x:t>FIX15: cena modelowa z arkusza 'ustalanie ceny LED CCT I CCTRGB' (trend 300–400 + 300 zł brutto).</x:t>
        </x:r>
      </x:text>
    </x:comment>
    <x:comment ref="Q55" authorId="0">
      <x:text>
        <x:r>
          <x:t>FIX15: cena modelowa z arkusza 'ustalanie ceny LED CCT I CCTRGB' (trend 300–400 + 300 zł brutto).</x:t>
        </x:r>
      </x:text>
    </x:comment>
    <x:comment ref="R55" authorId="0">
      <x:text>
        <x:r>
          <x:t>FIX15: cena modelowa z arkusza 'ustalanie ceny LED CCT I CCTRGB' (trend 300–400 + 300 zł brutto).</x:t>
        </x:r>
      </x:text>
    </x:comment>
    <x:comment ref="S55" authorId="0">
      <x:text>
        <x:r>
          <x:t>FIX15: cena modelowa z arkusza 'ustalanie ceny LED CCT I CCTRGB' (trend 300–400 + 300 zł brutto).</x:t>
        </x:r>
      </x:text>
    </x:comment>
    <x:comment ref="T55" authorId="0">
      <x:text>
        <x:r>
          <x:t>FIX15: cena modelowa z arkusza 'ustalanie ceny LED CCT I CCTRGB' (trend 300–400 + 300 zł brutto).</x:t>
        </x:r>
      </x:text>
    </x:comment>
    <x:comment ref="Q56" authorId="0">
      <x:text>
        <x:r>
          <x:t>FIX15: cena modelowa z arkusza 'ustalanie ceny LED CCT I CCTRGB' (trend 300–400 + 300 zł brutto).</x:t>
        </x:r>
      </x:text>
    </x:comment>
    <x:comment ref="R56" authorId="0">
      <x:text>
        <x:r>
          <x:t>FIX15: cena modelowa z arkusza 'ustalanie ceny LED CCT I CCTRGB' (trend 300–400 + 300 zł brutto).</x:t>
        </x:r>
      </x:text>
    </x:comment>
    <x:comment ref="S56" authorId="0">
      <x:text>
        <x:r>
          <x:t>FIX15: cena modelowa z arkusza 'ustalanie ceny LED CCT I CCTRGB' (trend 300–400 + 300 zł brutto).</x:t>
        </x:r>
      </x:text>
    </x:comment>
    <x:comment ref="T56" authorId="0">
      <x:text>
        <x:r>
          <x:t>FIX15: cena modelowa z arkusza 'ustalanie ceny LED CCT I CCTRGB' (trend 300–400 + 300 zł brutto).</x:t>
        </x:r>
      </x:text>
    </x:comment>
    <x:comment ref="Q57" authorId="0">
      <x:text>
        <x:r>
          <x:t>FIX15: cena modelowa z arkusza 'ustalanie ceny LED CCT I CCTRGB' (trend 300–400 + 300 zł brutto).</x:t>
        </x:r>
      </x:text>
    </x:comment>
    <x:comment ref="R57" authorId="0">
      <x:text>
        <x:r>
          <x:t>FIX15: cena modelowa z arkusza 'ustalanie ceny LED CCT I CCTRGB' (trend 300–400 + 300 zł brutto).</x:t>
        </x:r>
      </x:text>
    </x:comment>
    <x:comment ref="S57" authorId="0">
      <x:text>
        <x:r>
          <x:t>FIX15: cena modelowa z arkusza 'ustalanie ceny LED CCT I CCTRGB' (trend 300–400 + 300 zł brutto).</x:t>
        </x:r>
      </x:text>
    </x:comment>
    <x:comment ref="T57" authorId="0">
      <x:text>
        <x:r>
          <x:t>FIX15: cena modelowa z arkusza 'ustalanie ceny LED CCT I CCTRGB' (trend 300–400 + 300 zł brutto).</x:t>
        </x:r>
      </x:text>
    </x:comment>
    <x:comment ref="Q58" authorId="0">
      <x:text>
        <x:r>
          <x:t>FIX15: cena modelowa z arkusza 'ustalanie ceny LED CCT I CCTRGB' (trend 300–400 + 300 zł brutto).</x:t>
        </x:r>
      </x:text>
    </x:comment>
    <x:comment ref="R58" authorId="0">
      <x:text>
        <x:r>
          <x:t>FIX15: cena modelowa z arkusza 'ustalanie ceny LED CCT I CCTRGB' (trend 300–400 + 300 zł brutto).</x:t>
        </x:r>
      </x:text>
    </x:comment>
    <x:comment ref="S58" authorId="0">
      <x:text>
        <x:r>
          <x:t>FIX15: cena modelowa z arkusza 'ustalanie ceny LED CCT I CCTRGB' (trend 300–400 + 300 zł brutto).</x:t>
        </x:r>
      </x:text>
    </x:comment>
    <x:comment ref="T58" authorId="0">
      <x:text>
        <x:r>
          <x:t>FIX15: cena modelowa z arkusza 'ustalanie ceny LED CCT I CCTRGB' (trend 300–400 + 300 zł brutto).</x:t>
        </x:r>
      </x:text>
    </x:comment>
    <x:comment ref="Q59" authorId="0">
      <x:text>
        <x:r>
          <x:t>FIX15: cena modelowa z arkusza 'ustalanie ceny LED CCT I CCTRGB' (trend 300–400 + 300 zł brutto).</x:t>
        </x:r>
      </x:text>
    </x:comment>
    <x:comment ref="R59" authorId="0">
      <x:text>
        <x:r>
          <x:t>FIX15: cena modelowa z arkusza 'ustalanie ceny LED CCT I CCTRGB' (trend 300–400 + 300 zł brutto).</x:t>
        </x:r>
      </x:text>
    </x:comment>
    <x:comment ref="S59" authorId="0">
      <x:text>
        <x:r>
          <x:t>FIX15: cena modelowa z arkusza 'ustalanie ceny LED CCT I CCTRGB' (trend 300–400 + 300 zł brutto).</x:t>
        </x:r>
      </x:text>
    </x:comment>
    <x:comment ref="T59" authorId="0">
      <x:text>
        <x:r>
          <x:t>FIX15: cena modelowa z arkusza 'ustalanie ceny LED CCT I CCTRGB' (trend 300–400 + 300 zł brutto).</x:t>
        </x:r>
      </x:text>
    </x:comment>
    <x:comment ref="Q60" authorId="0">
      <x:text>
        <x:r>
          <x:t>FIX15: cena modelowa z arkusza 'ustalanie ceny LED CCT I CCTRGB' (trend 300–400 + 300 zł brutto).</x:t>
        </x:r>
      </x:text>
    </x:comment>
    <x:comment ref="R60" authorId="0">
      <x:text>
        <x:r>
          <x:t>FIX15: cena modelowa z arkusza 'ustalanie ceny LED CCT I CCTRGB' (trend 300–400 + 300 zł brutto).</x:t>
        </x:r>
      </x:text>
    </x:comment>
    <x:comment ref="S60" authorId="0">
      <x:text>
        <x:r>
          <x:t>FIX15: cena modelowa z arkusza 'ustalanie ceny LED CCT I CCTRGB' (trend 300–400 + 300 zł brutto).</x:t>
        </x:r>
      </x:text>
    </x:comment>
    <x:comment ref="T60" authorId="0">
      <x:text>
        <x:r>
          <x:t>FIX15: cena modelowa z arkusza 'ustalanie ceny LED CCT I CCTRGB' (trend 300–400 + 300 zł brutto).</x:t>
        </x:r>
      </x:text>
    </x:comment>
    <x:comment ref="Q61" authorId="0">
      <x:text>
        <x:r>
          <x:t>FIX15: cena modelowa z arkusza 'ustalanie ceny LED CCT I CCTRGB' (trend 300–400 + 300 zł brutto).</x:t>
        </x:r>
      </x:text>
    </x:comment>
    <x:comment ref="R61" authorId="0">
      <x:text>
        <x:r>
          <x:t>FIX15: cena modelowa z arkusza 'ustalanie ceny LED CCT I CCTRGB' (trend 300–400 + 300 zł brutto).</x:t>
        </x:r>
      </x:text>
    </x:comment>
    <x:comment ref="S61" authorId="0">
      <x:text>
        <x:r>
          <x:t>FIX15: cena modelowa z arkusza 'ustalanie ceny LED CCT I CCTRGB' (trend 300–400 + 300 zł brutto).</x:t>
        </x:r>
      </x:text>
    </x:comment>
    <x:comment ref="T61" authorId="0">
      <x:text>
        <x:r>
          <x:t>FIX15: cena modelowa z arkusza 'ustalanie ceny LED CCT I CCTRGB' (trend 300–400 + 300 zł brutto).</x:t>
        </x:r>
      </x:text>
    </x:comment>
    <x:comment ref="Q62" authorId="0">
      <x:text>
        <x:r>
          <x:t>FIX15: cena modelowa z arkusza 'ustalanie ceny LED CCT I CCTRGB' (trend 300–400 + 300 zł brutto).</x:t>
        </x:r>
      </x:text>
    </x:comment>
    <x:comment ref="R62" authorId="0">
      <x:text>
        <x:r>
          <x:t>FIX15: cena modelowa z arkusza 'ustalanie ceny LED CCT I CCTRGB' (trend 300–400 + 300 zł brutto).</x:t>
        </x:r>
      </x:text>
    </x:comment>
    <x:comment ref="S62" authorId="0">
      <x:text>
        <x:r>
          <x:t>FIX15: cena modelowa z arkusza 'ustalanie ceny LED CCT I CCTRGB' (trend 300–400 + 300 zł brutto).</x:t>
        </x:r>
      </x:text>
    </x:comment>
    <x:comment ref="T62" authorId="0">
      <x:text>
        <x:r>
          <x:t>FIX15: cena modelowa z arkusza 'ustalanie ceny LED CCT I CCTRGB' (trend 300–400 + 300 zł brutto).</x:t>
        </x:r>
      </x:text>
    </x:comment>
    <x:comment ref="Q63" authorId="0">
      <x:text>
        <x:r>
          <x:t>FIX15: cena modelowa z arkusza 'ustalanie ceny LED CCT I CCTRGB' (trend 300–400 + 300 zł brutto).</x:t>
        </x:r>
      </x:text>
    </x:comment>
    <x:comment ref="R63" authorId="0">
      <x:text>
        <x:r>
          <x:t>FIX15: cena modelowa z arkusza 'ustalanie ceny LED CCT I CCTRGB' (trend 300–400 + 300 zł brutto).</x:t>
        </x:r>
      </x:text>
    </x:comment>
    <x:comment ref="S63" authorId="0">
      <x:text>
        <x:r>
          <x:t>FIX15: cena modelowa z arkusza 'ustalanie ceny LED CCT I CCTRGB' (trend 300–400 + 300 zł brutto).</x:t>
        </x:r>
      </x:text>
    </x:comment>
    <x:comment ref="T63" authorId="0">
      <x:text>
        <x:r>
          <x:t>FIX15: cena modelowa z arkusza 'ustalanie ceny LED CCT I CCTRGB' (trend 300–400 + 300 zł brutto).</x:t>
        </x:r>
      </x:text>
    </x:comment>
    <x:comment ref="Q64" authorId="0">
      <x:text>
        <x:r>
          <x:t>FIX15: cena modelowa z arkusza 'ustalanie ceny LED CCT I CCTRGB' (trend 300–400 + 300 zł brutto).</x:t>
        </x:r>
      </x:text>
    </x:comment>
    <x:comment ref="R64" authorId="0">
      <x:text>
        <x:r>
          <x:t>FIX15: cena modelowa z arkusza 'ustalanie ceny LED CCT I CCTRGB' (trend 300–400 + 300 zł brutto).</x:t>
        </x:r>
      </x:text>
    </x:comment>
    <x:comment ref="S64" authorId="0">
      <x:text>
        <x:r>
          <x:t>FIX15: cena modelowa z arkusza 'ustalanie ceny LED CCT I CCTRGB' (trend 300–400 + 300 zł brutto).</x:t>
        </x:r>
      </x:text>
    </x:comment>
    <x:comment ref="T64" authorId="0">
      <x:text>
        <x:r>
          <x:t>FIX15: cena modelowa z arkusza 'ustalanie ceny LED CCT I CCTRGB' (trend 300–400 + 300 zł brutto).</x:t>
        </x:r>
      </x:text>
    </x:comment>
    <x:comment ref="Q65" authorId="0">
      <x:text>
        <x:r>
          <x:t>FIX15: cena modelowa z arkusza 'ustalanie ceny LED CCT I CCTRGB' (trend 300–400 + 300 zł brutto).</x:t>
        </x:r>
      </x:text>
    </x:comment>
    <x:comment ref="R65" authorId="0">
      <x:text>
        <x:r>
          <x:t>FIX15: cena modelowa z arkusza 'ustalanie ceny LED CCT I CCTRGB' (trend 300–400 + 300 zł brutto).</x:t>
        </x:r>
      </x:text>
    </x:comment>
    <x:comment ref="S65" authorId="0">
      <x:text>
        <x:r>
          <x:t>FIX15: cena modelowa z arkusza 'ustalanie ceny LED CCT I CCTRGB' (trend 300–400 + 300 zł brutto).</x:t>
        </x:r>
      </x:text>
    </x:comment>
    <x:comment ref="T65" authorId="0">
      <x:text>
        <x:r>
          <x:t>FIX15: cena modelowa z arkusza 'ustalanie ceny LED CCT I CCTRGB' (trend 300–400 + 300 zł brutto).</x:t>
        </x:r>
      </x:text>
    </x:comment>
    <x:comment ref="Q66" authorId="0">
      <x:text>
        <x:r>
          <x:t>FIX15: cena modelowa z arkusza 'ustalanie ceny LED CCT I CCTRGB' (trend 300–400 + 300 zł brutto).</x:t>
        </x:r>
      </x:text>
    </x:comment>
    <x:comment ref="R66" authorId="0">
      <x:text>
        <x:r>
          <x:t>FIX15: cena modelowa z arkusza 'ustalanie ceny LED CCT I CCTRGB' (trend 300–400 + 300 zł brutto).</x:t>
        </x:r>
      </x:text>
    </x:comment>
    <x:comment ref="S66" authorId="0">
      <x:text>
        <x:r>
          <x:t>FIX15: cena modelowa z arkusza 'ustalanie ceny LED CCT I CCTRGB' (trend 300–400 + 300 zł brutto).</x:t>
        </x:r>
      </x:text>
    </x:comment>
    <x:comment ref="T66" authorId="0">
      <x:text>
        <x:r>
          <x:t>FIX15: cena modelowa z arkusza 'ustalanie ceny LED CCT I CCTRGB' (trend 300–400 + 300 zł brutto).</x:t>
        </x:r>
      </x:text>
    </x:comment>
    <x:comment ref="Q67" authorId="0">
      <x:text>
        <x:r>
          <x:t>FIX15: cena modelowa z arkusza 'ustalanie ceny LED CCT I CCTRGB' (trend 300–400 + 300 zł brutto).</x:t>
        </x:r>
      </x:text>
    </x:comment>
    <x:comment ref="R67" authorId="0">
      <x:text>
        <x:r>
          <x:t>FIX15: cena modelowa z arkusza 'ustalanie ceny LED CCT I CCTRGB' (trend 300–400 + 300 zł brutto).</x:t>
        </x:r>
      </x:text>
    </x:comment>
    <x:comment ref="S67" authorId="0">
      <x:text>
        <x:r>
          <x:t>FIX15: cena modelowa z arkusza 'ustalanie ceny LED CCT I CCTRGB' (trend 300–400 + 300 zł brutto).</x:t>
        </x:r>
      </x:text>
    </x:comment>
    <x:comment ref="T67" authorId="0">
      <x:text>
        <x:r>
          <x:t>FIX15: cena modelowa z arkusza 'ustalanie ceny LED CCT I CCTRGB' (trend 300–400 + 300 zł brutto).</x:t>
        </x:r>
      </x:text>
    </x:comment>
    <x:comment ref="Q68" authorId="0">
      <x:text>
        <x:r>
          <x:t>FIX15: cena modelowa z arkusza 'ustalanie ceny LED CCT I CCTRGB' (trend 300–400 + 300 zł brutto).</x:t>
        </x:r>
      </x:text>
    </x:comment>
    <x:comment ref="R68" authorId="0">
      <x:text>
        <x:r>
          <x:t>FIX15: cena modelowa z arkusza 'ustalanie ceny LED CCT I CCTRGB' (trend 300–400 + 300 zł brutto).</x:t>
        </x:r>
      </x:text>
    </x:comment>
    <x:comment ref="S68" authorId="0">
      <x:text>
        <x:r>
          <x:t>FIX15: cena modelowa z arkusza 'ustalanie ceny LED CCT I CCTRGB' (trend 300–400 + 300 zł brutto).</x:t>
        </x:r>
      </x:text>
    </x:comment>
    <x:comment ref="T68" authorId="0">
      <x:text>
        <x:r>
          <x:t>FIX15: cena modelowa z arkusza 'ustalanie ceny LED CCT I CCTRGB' (trend 300–400 + 300 zł brutto).</x:t>
        </x:r>
      </x:text>
    </x:comment>
    <x:comment ref="Q69" authorId="0">
      <x:text>
        <x:r>
          <x:t>FIX15: cena modelowa z arkusza 'ustalanie ceny LED CCT I CCTRGB' (trend 300–400 + 300 zł brutto).</x:t>
        </x:r>
      </x:text>
    </x:comment>
    <x:comment ref="R69" authorId="0">
      <x:text>
        <x:r>
          <x:t>FIX15: cena modelowa z arkusza 'ustalanie ceny LED CCT I CCTRGB' (trend 300–400 + 300 zł brutto).</x:t>
        </x:r>
      </x:text>
    </x:comment>
    <x:comment ref="S69" authorId="0">
      <x:text>
        <x:r>
          <x:t>FIX15: cena modelowa z arkusza 'ustalanie ceny LED CCT I CCTRGB' (trend 300–400 + 300 zł brutto).</x:t>
        </x:r>
      </x:text>
    </x:comment>
    <x:comment ref="T69" authorId="0">
      <x:text>
        <x:r>
          <x:t>FIX15: cena modelowa z arkusza 'ustalanie ceny LED CCT I CCTRGB' (trend 300–400 + 300 zł brutto).</x:t>
        </x:r>
      </x:text>
    </x:comment>
    <x:comment ref="Q70" authorId="0">
      <x:text>
        <x:r>
          <x:t>FIX15: cena modelowa z arkusza 'ustalanie ceny LED CCT I CCTRGB' (trend 300–400 + 300 zł brutto).</x:t>
        </x:r>
      </x:text>
    </x:comment>
    <x:comment ref="R70" authorId="0">
      <x:text>
        <x:r>
          <x:t>FIX15: cena modelowa z arkusza 'ustalanie ceny LED CCT I CCTRGB' (trend 300–400 + 300 zł brutto).</x:t>
        </x:r>
      </x:text>
    </x:comment>
    <x:comment ref="S70" authorId="0">
      <x:text>
        <x:r>
          <x:t>FIX15: cena modelowa z arkusza 'ustalanie ceny LED CCT I CCTRGB' (trend 300–400 + 300 zł brutto).</x:t>
        </x:r>
      </x:text>
    </x:comment>
    <x:comment ref="T70" authorId="0">
      <x:text>
        <x:r>
          <x:t>FIX15: cena modelowa z arkusza 'ustalanie ceny LED CCT I CCTRGB' (trend 300–400 + 300 zł brutto).</x:t>
        </x:r>
      </x:text>
    </x:comment>
    <x:comment ref="Q71" authorId="0">
      <x:text>
        <x:r>
          <x:t>FIX15: cena modelowa z arkusza 'ustalanie ceny LED CCT I CCTRGB' (trend 300–400 + 300 zł brutto).</x:t>
        </x:r>
      </x:text>
    </x:comment>
    <x:comment ref="R71" authorId="0">
      <x:text>
        <x:r>
          <x:t>FIX15: cena modelowa z arkusza 'ustalanie ceny LED CCT I CCTRGB' (trend 300–400 + 300 zł brutto).</x:t>
        </x:r>
      </x:text>
    </x:comment>
    <x:comment ref="S71" authorId="0">
      <x:text>
        <x:r>
          <x:t>FIX15: cena modelowa z arkusza 'ustalanie ceny LED CCT I CCTRGB' (trend 300–400 + 300 zł brutto).</x:t>
        </x:r>
      </x:text>
    </x:comment>
    <x:comment ref="T71" authorId="0">
      <x:text>
        <x:r>
          <x:t>FIX15: cena modelowa z arkusza 'ustalanie ceny LED CCT I CCTRGB' (trend 300–400 + 300 zł brutto).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</x:author>
  </x:authors>
  <x:commentList>
    <x:comment ref="M1" authorId="0">
      <x:text>
        <x:r>
          <x:t>Cena dla wyboru 'LED punktowe' w konfiguratorze. Automatycznie: szerokości 300/350/400 → LED 2 pkt; szerokości 450/500 → LED 3 pkt.</x:t>
        </x:r>
      </x:text>
    </x:comment>
    <x:comment ref="N1" authorId="0">
      <x:text>
        <x:r>
          <x:t>Kolumna źródłowa/kontrolna dla LED 3 pkt. Klient nie wybiera jej osobno w konfiguratorze przy opcji LED punktowe.</x:t>
        </x:r>
      </x:text>
    </x:comment>
  </x:commentList>
</x:comments>
</file>

<file path=xl/comments3.xml><?xml version="1.0" encoding="utf-8"?>
<x:comments xmlns:x="http://schemas.openxmlformats.org/spreadsheetml/2006/main">
  <x:authors>
    <x:author>ChatGPT</x:author>
  </x:authors>
  <x:commentList>
    <x:comment ref="B3" authorId="0">
      <x:text>
        <x:r>
          <x:t>Wybieraj wymiar z listy. Musi być dokładnie taki jak w 10_EXPORT_STRONA / 04_Wycena_strona_nowa, np. '450 x 506 cm'. Wpis typu '450 x 550' nie istnieje w cenniku i da 0 zł.</x:t>
        </x:r>
      </x:text>
    </x:comment>
    <x:comment ref="A11" authorId="0">
      <x:text>
        <x:r>
          <x:t>Wybór 'LED punktowe' pobiera cenę automatycznie: 300/350/400 = LED 2 pkt; 450/500 = LED 3 pkt.</x:t>
        </x:r>
      </x:text>
    </x:comment>
    <x:comment ref="B11" authorId="0">
      <x:text>
        <x:r>
          <x:t>Opcja LED punktowe nie wymaga wyboru 2/3 pkt — Excel wybiera cenę według pierwszego wymiaru.</x:t>
        </x:r>
      </x:text>
    </x:comment>
  </x:commentList>
</x:comments>
</file>

<file path=xl/comments4.xml><?xml version="1.0" encoding="utf-8"?>
<x:comments xmlns:x="http://schemas.openxmlformats.org/spreadsheetml/2006/main">
  <x:authors>
    <x:author>ChatGPT</x:author>
  </x:authors>
  <x:commentList>
    <x:comment ref="B4" authorId="0">
      <x:text>
        <x:r>
          <x:t>FIX21: dodano listę rozwijaną wymiarów. Wybieraj dokładny wymiar z listy, np. 550 x 606 cm.</x:t>
        </x:r>
      </x:text>
    </x:comment>
    <x:comment ref="B13" authorId="0">
      <x:text>
        <x:r>
          <x:t>FIX21: lista LED CRM zawiera też LED RGB CCT. Na stronie LED RGB CCT pozostaje wyłączony.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164" formatCode="#,##0\ &quot;zł&quot;"/>
    <x:numFmt numFmtId="165" formatCode="_-* #,##0\ &quot;zł&quot;_-;\-* #,##0\ &quot;zł&quot;_-;_-* &quot;-&quot;\ &quot;zł&quot;_-;_-@"/>
    <x:numFmt numFmtId="166" formatCode="#\ ##0.00"/>
    <x:numFmt numFmtId="167" formatCode="#,##0\ &quot;zł&quot;;\-#,##0\ &quot;zł&quot;;0\ &quot;zł&quot;"/>
    <x:numFmt numFmtId="168" formatCode="#\ ##0\ \z\ł;[Red]\-#\ ##0\ \z\ł"/>
    <x:numFmt numFmtId="169" formatCode="#,##0\ \z\ł"/>
    <x:numFmt numFmtId="170" formatCode="#,##0\ \z\ł;[Red]\-#,##0\ \z\ł;0\ \z\ł"/>
    <x:numFmt numFmtId="171" formatCode="#,##0.00\ &quot;zł&quot;"/>
    <x:numFmt numFmtId="172" formatCode="# ##0.00"/>
    <x:numFmt numFmtId="173" formatCode="# ##0 &quot;zł&quot;"/>
    <x:numFmt numFmtId="174" formatCode="# ##0.00 &quot;zł&quot;"/>
    <x:numFmt numFmtId="175" formatCode="#,##0 &quot;zł&quot;"/>
    <x:numFmt numFmtId="200" formatCode="#,##0.00 &quot;zł&quot;"/>
    <x:numFmt numFmtId="201" formatCode="0%"/>
    <x:numFmt numFmtId="202" formatCode="0"/>
    <x:numFmt numFmtId="203" formatCode="0.00 &quot;zł&quot;"/>
  </x:numFmts>
  <x:fonts count="80">
    <x:font>
      <x:sz val="11"/>
      <x:color theme="1"/>
      <x:name val="Calibri"/>
    </x:font>
    <x:font>
      <x:b/>
      <x:sz val="9"/>
      <x:color theme="1"/>
      <x:name val="Calibri"/>
    </x:font>
    <x:font>
      <x:b/>
      <x:sz val="9"/>
      <x:color rgb="FF0070C0"/>
      <x:name val="Calibri"/>
    </x:font>
    <x:font>
      <x:b/>
      <x:sz val="9"/>
      <x:color rgb="FF000000"/>
      <x:name val="Calibri"/>
    </x:font>
    <x:font>
      <x:b/>
      <x:sz val="12"/>
      <x:color theme="1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2"/>
      <x:color theme="1"/>
      <x:name val="Calibri"/>
    </x:font>
    <x:font>
      <x:sz val="12"/>
      <x:color theme="0"/>
      <x:name val="Calibri"/>
    </x:font>
    <x:font>
      <x:b/>
      <x:sz val="11"/>
      <x:color theme="0"/>
      <x:name val="Calibri"/>
    </x:font>
    <x:font>
      <x:sz val="11"/>
      <x:color theme="0"/>
      <x:name val="Calibri"/>
    </x:font>
    <x:font>
      <x:b/>
      <x:sz val="11"/>
      <x:color rgb="FFFFFFFF"/>
      <x:name val="Calibri"/>
    </x:font>
    <x:font>
      <x:b/>
      <x:sz val="10"/>
      <x:color rgb="FFFF0000"/>
      <x:name val="Calibri"/>
    </x:font>
    <x:font>
      <x:b/>
      <x:sz val="11"/>
      <x:color rgb="FF000000"/>
      <x:name val="Calibri"/>
    </x:font>
    <x:font>
      <x:b/>
      <x:sz val="12"/>
      <x:color theme="0"/>
      <x:name val="Calibri"/>
    </x:font>
    <x:font>
      <x:sz val="11"/>
      <x:color rgb="FFFFFFFF"/>
      <x:name val="Calibri"/>
    </x:font>
    <x:font>
      <x:b/>
      <x:sz val="10"/>
      <x:color rgb="FF1F1F1F"/>
      <x:name val="Calibri"/>
    </x:font>
    <x:font>
      <x:b/>
      <x:sz val="10"/>
      <x:color rgb="FFFFFFFF"/>
      <x:name val="Calibri"/>
    </x:font>
    <x:font>
      <x:b/>
      <x:sz val="10"/>
      <x:color rgb="FF000000"/>
      <x:name val="Calibri"/>
    </x:font>
    <x:font>
      <x:sz val="11"/>
      <x:color rgb="FF000000"/>
      <x:name val="Calibri"/>
    </x:font>
    <x:font>
      <x:b/>
      <x:sz val="11"/>
      <x:color rgb="FF1F1F1F"/>
      <x:name val="Calibri"/>
    </x:font>
    <x:font>
      <x:b/>
      <x:sz val="11"/>
      <x:color theme="1"/>
      <x:name val="Calibri"/>
    </x:font>
    <x:font>
      <x:sz val="9"/>
      <x:color theme="1"/>
      <x:name val="Calibri"/>
    </x:font>
    <x:font>
      <x:sz val="10"/>
      <x:color rgb="FF000000"/>
      <x:name val="Calibri"/>
    </x:font>
    <x:font>
      <x:sz val="10"/>
      <x:color rgb="FFFFFFFF"/>
      <x:name val="Calibri"/>
    </x:font>
    <x:font>
      <x:b/>
      <x:sz val="11"/>
      <x:color theme="1"/>
      <x:name val="Carlito"/>
    </x:font>
    <x:font>
      <x:b/>
      <x:sz val="14"/>
      <x:color theme="1"/>
      <x:name val="Carlito"/>
    </x:font>
    <x:font>
      <x:b/>
      <x:sz val="14"/>
      <x:name val="Carlito"/>
    </x:font>
    <x:font>
      <x:sz val="11"/>
      <x:color theme="1"/>
      <x:name val="Carlito"/>
    </x:font>
    <x:font>
      <x:b/>
      <x:sz val="11"/>
      <x:color theme="1"/>
      <x:name val="Carlito"/>
    </x:font>
    <x:font>
      <x:sz val="11"/>
      <x:name val="Carlito"/>
    </x:font>
    <x:font>
      <x:b/>
      <x:sz val="11"/>
      <x:name val="Arial"/>
    </x:font>
    <x:font>
      <x:sz val="11"/>
      <x:name val="Arial"/>
    </x:font>
    <x:font>
      <x:b/>
      <x:sz val="11"/>
      <x:name val="Arial"/>
    </x:font>
    <x:font>
      <x:sz val="11"/>
      <x:color rgb="FF000000"/>
      <x:name val="Arial"/>
    </x:font>
    <x:font>
      <x:b/>
      <x:sz val="16"/>
      <x:color rgb="FF1F4E78"/>
      <x:name val="Calibri"/>
    </x:font>
    <x:font>
      <x:b/>
      <x:sz val="12"/>
      <x:color rgb="FF1F4E78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b/>
      <x:sz val="14"/>
      <x:name val="Calibri"/>
    </x:font>
    <x:font>
      <x:b/>
      <x:sz val="11"/>
      <x:color rgb="FFFFFFFF"/>
      <x:name val="Calibri"/>
    </x:font>
    <x:font>
      <x:b/>
      <x:sz val="11"/>
      <x:color rgb="FF990000"/>
      <x:name val="Calibri"/>
    </x:font>
    <x:font>
      <x:b/>
      <x:sz val="11"/>
      <x:color rgb="FFC65911"/>
      <x:name val="Calibri"/>
    </x:font>
    <x:font>
      <x:b/>
      <x:sz val="11"/>
      <x:color rgb="FF9C6500"/>
      <x:name val="Calibri"/>
    </x:font>
    <x:font>
      <x:b/>
      <x:sz val="11"/>
      <x:color rgb="FF274E13"/>
      <x:name val="Calibri"/>
    </x:font>
    <x:font>
      <x:b/>
      <x:sz val="11"/>
      <x:color rgb="FF1F4E79"/>
      <x:name val="Calibri"/>
    </x:font>
    <x:font>
      <x:sz val="11"/>
      <x:color rgb="FF000000"/>
      <x:name val="Calibri"/>
    </x:font>
    <x:font>
      <x:sz val="11"/>
      <x:name val="Calibri"/>
    </x:font>
    <x:font>
      <x:b/>
      <x:sz val="11"/>
      <x:color rgb="FF990000"/>
      <x:name val="Calibri"/>
    </x:font>
    <x:font>
      <x:b/>
      <x:sz val="11"/>
      <x:color rgb="FFC65911"/>
      <x:name val="Calibri"/>
    </x:font>
    <x:font>
      <x:b/>
      <x:sz val="11"/>
      <x:color rgb="FF9C6500"/>
      <x:name val="Calibri"/>
    </x:font>
    <x:font>
      <x:b/>
      <x:sz val="11"/>
      <x:color rgb="FF006100"/>
      <x:name val="Calibri"/>
    </x:font>
    <x:font>
      <x:b/>
      <x:sz val="11"/>
      <x:color rgb="FF1C4587"/>
      <x:name val="Calibri"/>
    </x:font>
    <x:font>
      <x:sz val="11"/>
      <x:name val="Calibri"/>
    </x:font>
    <x:font>
      <x:b/>
      <x:sz val="11"/>
      <x:color rgb="FF1F4E78"/>
      <x:name val="Calibri"/>
    </x:font>
    <x:font>
      <x:b/>
      <x:sz val="16"/>
      <x:color rgb="FF1F4E79"/>
      <x:name val="Calibri"/>
    </x:font>
    <x:font>
      <x:i/>
      <x:sz val="11"/>
      <x:color rgb="FF666666"/>
      <x:name val="Calibri"/>
    </x:font>
    <x:font>
      <x:b/>
      <x:sz val="11"/>
      <x:color rgb="FFFFFFFF"/>
      <x:name val="Calibri"/>
    </x:font>
    <x:font>
      <x:b/>
      <x:sz val="14"/>
      <x:color rgb="FF1F4E78"/>
      <x:name val="Calibri"/>
    </x:font>
    <x:font>
      <x:b/>
      <x:sz val="11"/>
      <x:color rgb="FF1F4E78"/>
      <x:name val="Calibri"/>
    </x:font>
    <x:font>
      <x:b/>
      <x:sz val="14"/>
      <x:color rgb="FFFFFFFF"/>
      <x:name val="Calibri"/>
    </x:font>
    <x:font>
      <x:b/>
      <x:sz val="14"/>
      <x:color rgb="FFFFFFFF"/>
      <x:name val="Calibri"/>
    </x:font>
    <x:font>
      <x:b/>
      <x:sz val="11"/>
      <x:name val="Calibri"/>
    </x:font>
    <x:font>
      <x:sz val="10"/>
      <x:name val="Calibri"/>
    </x:font>
    <x:font>
      <x:b/>
      <x:sz val="10"/>
      <x:color rgb="FFFFFFFF"/>
      <x:name val="Calibri"/>
    </x:font>
    <x:font>
      <x:b/>
      <x:sz val="11"/>
      <x:color rgb="FFFFFFFF"/>
      <x:name val="Calibri"/>
    </x:font>
    <x:font>
      <x:b/>
      <x:color rgb="FFFFFFFF"/>
    </x:font>
    <x:font>
      <x:b/>
      <x:sz val="14"/>
      <x:color rgb="FFFFFFFF"/>
    </x:font>
    <x:font>
      <x:b/>
    </x:font>
    <x:font>
      <x:b/>
      <x:sz val="14"/>
      <x:color rgb="FF1F4E78"/>
    </x:font>
    <x:font>
      <x:b/>
      <x:sz val="12"/>
      <x:color rgb="FF1F4E78"/>
    </x:font>
    <x:font>
      <x:b/>
      <x:sz val="12"/>
      <x:color rgb="FF9C6500"/>
    </x:font>
    <x:font>
      <x:b/>
      <x:color rgb="FF9C0006"/>
    </x:font>
    <x:font>
      <x:b/>
      <x:sz val="16"/>
      <x:color rgb="FF1F4E78"/>
    </x:font>
    <x:font>
      <x:i/>
      <x:color rgb="FF666666"/>
    </x:font>
    <x:font>
      <x:b/>
      <x:sz val="16"/>
      <x:color rgb="FFFFFFFF"/>
      <x:name val="Calibri"/>
    </x:font>
    <x:font>
      <x:b/>
      <x:sz val="11"/>
      <x:color rgb="FF17233C"/>
      <x:name val="Calibri"/>
    </x:font>
    <x:font>
      <x:b/>
      <x:sz val="11"/>
      <x:color rgb="FF0C4A6E"/>
      <x:name val="Calibri"/>
    </x:font>
  </x:fonts>
  <x:fills count="95">
    <x:fill>
      <x:patternFill patternType="none"/>
    </x:fill>
    <x:fill>
      <x:patternFill patternType="gray125"/>
    </x:fill>
    <x:fill>
      <x:patternFill patternType="solid">
        <x:fgColor rgb="FFD8D8D8"/>
      </x:patternFill>
    </x:fill>
    <x:fill>
      <x:patternFill patternType="solid">
        <x:fgColor theme="0"/>
      </x:patternFill>
    </x:fill>
    <x:fill>
      <x:patternFill patternType="solid">
        <x:fgColor rgb="FFDEEAF6"/>
      </x:patternFill>
    </x:fill>
    <x:fill>
      <x:patternFill patternType="solid">
        <x:fgColor rgb="FFC5E0B3"/>
      </x:patternFill>
    </x:fill>
    <x:fill>
      <x:patternFill patternType="solid">
        <x:fgColor rgb="FFFEF2CB"/>
      </x:patternFill>
    </x:fill>
    <x:fill>
      <x:patternFill patternType="solid">
        <x:fgColor rgb="FFBFBFBF"/>
      </x:patternFill>
    </x:fill>
    <x:fill>
      <x:patternFill patternType="solid">
        <x:fgColor rgb="FFA5A5A5"/>
      </x:patternFill>
    </x:fill>
    <x:fill>
      <x:patternFill patternType="solid">
        <x:fgColor rgb="FF595959"/>
      </x:patternFill>
    </x:fill>
    <x:fill>
      <x:patternFill patternType="solid">
        <x:fgColor rgb="FF7F7F7F"/>
      </x:patternFill>
    </x:fill>
    <x:fill>
      <x:patternFill patternType="solid">
        <x:fgColor rgb="FFFFFFFF"/>
      </x:patternFill>
    </x:fill>
    <x:fill>
      <x:patternFill patternType="solid">
        <x:fgColor rgb="FFB6D7A8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D9D9D9"/>
      </x:patternFill>
    </x:fill>
    <x:fill>
      <x:patternFill patternType="solid">
        <x:fgColor rgb="FFB7B7B7"/>
      </x:patternFill>
    </x:fill>
    <x:fill>
      <x:patternFill patternType="solid">
        <x:fgColor rgb="FFD9E2F3"/>
      </x:patternFill>
    </x:fill>
    <x:fill>
      <x:patternFill patternType="solid">
        <x:fgColor rgb="FFE7E6E6"/>
      </x:patternFill>
    </x:fill>
    <x:fill>
      <x:patternFill patternType="solid">
        <x:fgColor rgb="FFD5A6BD"/>
      </x:patternFill>
    </x:fill>
    <x:fill>
      <x:patternFill patternType="solid">
        <x:fgColor rgb="FF2E75B5"/>
      </x:patternFill>
    </x:fill>
    <x:fill>
      <x:patternFill patternType="solid">
        <x:fgColor rgb="FFD9D2E9"/>
      </x:patternFill>
    </x:fill>
    <x:fill>
      <x:patternFill patternType="solid">
        <x:fgColor rgb="FFD0E0E3"/>
      </x:patternFill>
    </x:fill>
    <x:fill>
      <x:patternFill patternType="solid">
        <x:fgColor rgb="FFF2F2F2"/>
      </x:patternFill>
    </x:fill>
    <x:fill>
      <x:patternFill patternType="solid">
        <x:fgColor rgb="FF8EAADB"/>
      </x:patternFill>
    </x:fill>
    <x:fill>
      <x:patternFill patternType="solid">
        <x:fgColor rgb="FF76A5AF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BE4D5"/>
      </x:patternFill>
    </x:fill>
    <x:fill>
      <x:patternFill patternType="solid">
        <x:fgColor rgb="FFBDD6EE"/>
      </x:patternFill>
    </x:fill>
    <x:fill>
      <x:patternFill patternType="solid">
        <x:fgColor rgb="FF9CC2E5"/>
      </x:patternFill>
    </x:fill>
    <x:fill>
      <x:patternFill patternType="solid">
        <x:fgColor rgb="FFA8D08D"/>
      </x:patternFill>
    </x:fill>
    <x:fill>
      <x:patternFill patternType="solid">
        <x:fgColor rgb="FF999999"/>
      </x:patternFill>
    </x:fill>
    <x:fill>
      <x:patternFill patternType="solid">
        <x:fgColor rgb="FF666666"/>
      </x:patternFill>
    </x:fill>
    <x:fill>
      <x:patternFill patternType="solid">
        <x:fgColor theme="5" tint="0.59993"/>
      </x:patternFill>
    </x:fill>
    <x:fill>
      <x:patternFill patternType="solid">
        <x:fgColor theme="9" tint="0.59993"/>
      </x:patternFill>
    </x:fill>
    <x:fill>
      <x:patternFill patternType="solid">
        <x:fgColor theme="4" tint="0.79992"/>
      </x:patternFill>
    </x:fill>
    <x:fill>
      <x:patternFill patternType="solid">
        <x:fgColor rgb="FFFFFFCC"/>
      </x:patternFill>
    </x:fill>
    <x:fill>
      <x:patternFill patternType="solid">
        <x:fgColor theme="9" tint="0.79992"/>
      </x:patternFill>
    </x:fill>
    <x:fill>
      <x:patternFill patternType="solid">
        <x:fgColor theme="8" tint="0.79992"/>
      </x:patternFill>
    </x:fill>
    <x:fill>
      <x:patternFill patternType="solid">
        <x:fgColor theme="3" tint="0.89993"/>
      </x:patternFill>
    </x:fill>
    <x:fill>
      <x:patternFill patternType="solid">
        <x:fgColor theme="5" tint="0.79992"/>
      </x:patternFill>
    </x:fill>
    <x:fill>
      <x:patternFill patternType="solid">
        <x:fgColor theme="0" tint="-0.04999"/>
      </x:patternFill>
    </x:fill>
    <x:fill>
      <x:patternFill patternType="solid">
        <x:fgColor rgb="FFE6B8AE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7030A0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8CBA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111827"/>
      </x:patternFill>
    </x:fill>
    <x:fill>
      <x:patternFill patternType="solid">
        <x:fgColor rgb="FFD9EAD3"/>
      </x:patternFill>
    </x:fill>
    <x:fill>
      <x:patternFill patternType="solid">
        <x:fgColor rgb="FF1F4E79"/>
      </x:patternFill>
    </x:fill>
    <x:fill>
      <x:patternFill patternType="solid">
        <x:fgColor rgb="FF17233C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183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medium">
        <x:color rgb="FF000000"/>
      </x:left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</x:border>
    <x:border>
      <x:right style="medium">
        <x:color rgb="FF000000"/>
      </x:right>
    </x:border>
    <x:border>
      <x:left style="thin">
        <x:color rgb="FF000000"/>
      </x:left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</x:border>
    <x:border>
      <x:left style="thin">
        <x:color rgb="FF000000"/>
      </x:left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</x:border>
    <x:border>
      <x:left style="thin">
        <x:color rgb="FF000000"/>
      </x:left>
      <x:right style="medium">
        <x:color rgb="FF000000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medium">
        <x:color rgb="FF000000"/>
      </x:right>
    </x:border>
    <x:border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medium">
        <x:color rgb="FF000000"/>
      </x:left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</x:border>
    <x:border>
      <x:right style="medium">
        <x:color rgb="FF000000"/>
      </x:right>
    </x:border>
    <x:border>
      <x:left style="thin">
        <x:color rgb="FF000000"/>
      </x:left>
    </x:border>
    <x:border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</x:border>
    <x:border>
      <x:left style="thin">
        <x:color rgb="FF000000"/>
      </x:left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</x:border>
    <x:border>
      <x:left style="thin">
        <x:color rgb="FF000000"/>
      </x:left>
      <x:right style="medium">
        <x:color rgb="FF000000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8" fillId="0" borderId="64"/>
    <x:xf numFmtId="0" fontId="8" fillId="0" borderId="64"/>
  </x:cellStyleXfs>
  <x:cellXfs count="1580">
    <x:xf numFmtId="0" fontId="0" fillId="0" borderId="0" xfId="0"/>
    <x:xf numFmtId="0" fontId="37" fillId="0" borderId="0" xfId="1"/>
    <x:xf numFmtId="0" fontId="38" fillId="0" borderId="0" xfId="1"/>
    <x:xf numFmtId="0" fontId="0" fillId="0" borderId="0" xfId="1" applyAlignment="1">
      <x:alignment wrapText="1"/>
    </x:xf>
    <x:xf numFmtId="0" fontId="39" fillId="45" borderId="59" xfId="1" applyAlignment="1">
      <x:alignment horizontal="center" vertical="center" wrapText="1"/>
    </x:xf>
    <x:xf numFmtId="0" fontId="40" fillId="46" borderId="59" xfId="1" applyAlignment="1">
      <x:alignment vertical="center" wrapText="1"/>
    </x:xf>
    <x:xf numFmtId="0" fontId="0" fillId="0" borderId="59" xfId="1" applyAlignment="1">
      <x:alignment vertical="center" wrapText="1"/>
    </x:xf>
    <x:xf numFmtId="10" fontId="0" fillId="0" borderId="59" xfId="1" applyAlignment="1">
      <x:alignment vertical="center" wrapText="1"/>
    </x:xf>
    <x:xf numFmtId="164" fontId="0" fillId="0" borderId="59" xfId="1" applyAlignment="1">
      <x:alignment vertical="center" wrapText="1"/>
    </x:xf>
    <x:xf numFmtId="0" fontId="0" fillId="0" borderId="59" xfId="1"/>
    <x:xf numFmtId="10" fontId="0" fillId="0" borderId="59" xfId="1"/>
    <x:xf numFmtId="3" fontId="0" fillId="0" borderId="59" xfId="1"/>
    <x:xf numFmtId="0" fontId="39" fillId="45" borderId="59" xfId="1" applyAlignment="1">
      <x:alignment vertical="center" wrapText="1"/>
    </x:xf>
    <x:xf numFmtId="0" fontId="40" fillId="46" borderId="59" xfId="1"/>
    <x:xf numFmtId="0" fontId="0" fillId="47" borderId="59" xfId="1"/>
    <x:xf numFmtId="0" fontId="1" fillId="0" borderId="1" xfId="1" applyAlignment="1">
      <x:alignment horizontal="right" vertical="center" wrapText="1"/>
    </x:xf>
    <x:xf numFmtId="0" fontId="4" fillId="3" borderId="3" xfId="1" applyAlignment="1">
      <x:alignment horizontal="right" vertical="center" wrapText="1"/>
    </x:xf>
    <x:xf numFmtId="1" fontId="5" fillId="0" borderId="4" xfId="1" applyAlignment="1">
      <x:alignment horizontal="right" vertical="center"/>
    </x:xf>
    <x:xf numFmtId="1" fontId="6" fillId="0" borderId="5" xfId="1" applyAlignment="1">
      <x:alignment horizontal="right" vertical="center"/>
    </x:xf>
    <x:xf numFmtId="1" fontId="5" fillId="0" borderId="6" xfId="1" applyAlignment="1">
      <x:alignment horizontal="right" vertical="center"/>
    </x:xf>
    <x:xf numFmtId="1" fontId="6" fillId="0" borderId="7" xfId="1" applyAlignment="1">
      <x:alignment horizontal="right" vertical="center"/>
    </x:xf>
    <x:xf numFmtId="0" fontId="7" fillId="3" borderId="3" xfId="1" applyAlignment="1">
      <x:alignment horizontal="right" vertical="center"/>
    </x:xf>
    <x:xf numFmtId="1" fontId="7" fillId="3" borderId="9" xfId="1"/>
    <x:xf numFmtId="0" fontId="8" fillId="3" borderId="9" xfId="1"/>
    <x:xf numFmtId="0" fontId="8" fillId="3" borderId="4" xfId="1"/>
    <x:xf numFmtId="0" fontId="4" fillId="4" borderId="3" xfId="1" applyAlignment="1">
      <x:alignment horizontal="right"/>
    </x:xf>
    <x:xf numFmtId="165" fontId="7" fillId="4" borderId="4" xfId="1"/>
    <x:xf numFmtId="164" fontId="8" fillId="4" borderId="5" xfId="1"/>
    <x:xf numFmtId="164" fontId="7" fillId="4" borderId="6" xfId="1"/>
    <x:xf numFmtId="0" fontId="4" fillId="5" borderId="3" xfId="1" applyAlignment="1">
      <x:alignment horizontal="right"/>
    </x:xf>
    <x:xf numFmtId="165" fontId="7" fillId="5" borderId="4" xfId="1"/>
    <x:xf numFmtId="164" fontId="8" fillId="5" borderId="5" xfId="1"/>
    <x:xf numFmtId="164" fontId="7" fillId="5" borderId="6" xfId="1"/>
    <x:xf numFmtId="0" fontId="4" fillId="6" borderId="3" xfId="1" applyAlignment="1">
      <x:alignment horizontal="right"/>
    </x:xf>
    <x:xf numFmtId="165" fontId="7" fillId="6" borderId="4" xfId="1"/>
    <x:xf numFmtId="164" fontId="8" fillId="6" borderId="5" xfId="1"/>
    <x:xf numFmtId="164" fontId="7" fillId="6" borderId="6" xfId="1"/>
    <x:xf numFmtId="0" fontId="7" fillId="0" borderId="3" xfId="1" applyAlignment="1">
      <x:alignment horizontal="right" vertical="center"/>
    </x:xf>
    <x:xf numFmtId="0" fontId="9" fillId="0" borderId="11" xfId="1"/>
    <x:xf numFmtId="0" fontId="9" fillId="0" borderId="12" xfId="1"/>
    <x:xf numFmtId="0" fontId="4" fillId="2" borderId="3" xfId="1" applyAlignment="1">
      <x:alignment horizontal="right" vertical="top" wrapText="1"/>
    </x:xf>
    <x:xf numFmtId="164" fontId="7" fillId="2" borderId="4" xfId="1"/>
    <x:xf numFmtId="164" fontId="8" fillId="2" borderId="5" xfId="1"/>
    <x:xf numFmtId="164" fontId="7" fillId="2" borderId="6" xfId="1"/>
    <x:xf numFmtId="164" fontId="8" fillId="2" borderId="7" xfId="1"/>
    <x:xf numFmtId="164" fontId="7" fillId="3" borderId="9" xfId="1"/>
    <x:xf numFmtId="164" fontId="8" fillId="3" borderId="9" xfId="1"/>
    <x:xf numFmtId="0" fontId="4" fillId="7" borderId="3" xfId="1" applyAlignment="1">
      <x:alignment horizontal="right" vertical="top" wrapText="1"/>
    </x:xf>
    <x:xf numFmtId="164" fontId="7" fillId="7" borderId="4" xfId="1"/>
    <x:xf numFmtId="164" fontId="8" fillId="7" borderId="5" xfId="1"/>
    <x:xf numFmtId="164" fontId="7" fillId="7" borderId="6" xfId="1"/>
    <x:xf numFmtId="164" fontId="8" fillId="7" borderId="7" xfId="1"/>
    <x:xf numFmtId="164" fontId="7" fillId="7" borderId="6" xfId="1" applyAlignment="1">
      <x:alignment horizontal="right"/>
    </x:xf>
    <x:xf numFmtId="0" fontId="4" fillId="8" borderId="3" xfId="1" applyAlignment="1">
      <x:alignment horizontal="right" vertical="top" wrapText="1"/>
    </x:xf>
    <x:xf numFmtId="164" fontId="7" fillId="8" borderId="4" xfId="1"/>
    <x:xf numFmtId="164" fontId="8" fillId="8" borderId="5" xfId="1"/>
    <x:xf numFmtId="164" fontId="7" fillId="8" borderId="6" xfId="1"/>
    <x:xf numFmtId="164" fontId="8" fillId="8" borderId="7" xfId="1"/>
    <x:xf numFmtId="0" fontId="10" fillId="9" borderId="3" xfId="1" applyAlignment="1">
      <x:alignment horizontal="right" vertical="top" wrapText="1"/>
    </x:xf>
    <x:xf numFmtId="164" fontId="11" fillId="9" borderId="4" xfId="1"/>
    <x:xf numFmtId="164" fontId="12" fillId="9" borderId="5" xfId="1"/>
    <x:xf numFmtId="164" fontId="11" fillId="10" borderId="6" xfId="1"/>
    <x:xf numFmtId="164" fontId="12" fillId="10" borderId="5" xfId="1"/>
    <x:xf numFmtId="164" fontId="11" fillId="10" borderId="13" xfId="1"/>
    <x:xf numFmtId="164" fontId="12" fillId="10" borderId="14" xfId="1"/>
    <x:xf numFmtId="164" fontId="11" fillId="10" borderId="4" xfId="1"/>
    <x:xf numFmtId="164" fontId="11" fillId="9" borderId="15" xfId="1"/>
    <x:xf numFmtId="164" fontId="11" fillId="10" borderId="16" xfId="1"/>
    <x:xf numFmtId="164" fontId="12" fillId="10" borderId="17" xfId="1"/>
    <x:xf numFmtId="164" fontId="13" fillId="10" borderId="6" xfId="1"/>
    <x:xf numFmtId="164" fontId="11" fillId="10" borderId="6" xfId="1" applyAlignment="1">
      <x:alignment horizontal="right"/>
    </x:xf>
    <x:xf numFmtId="164" fontId="13" fillId="10" borderId="6" xfId="1" applyAlignment="1">
      <x:alignment horizontal="right"/>
    </x:xf>
    <x:xf numFmtId="164" fontId="11" fillId="10" borderId="18" xfId="1"/>
    <x:xf numFmtId="164" fontId="12" fillId="10" borderId="19" xfId="1"/>
    <x:xf numFmtId="0" fontId="8" fillId="0" borderId="20" xfId="1" applyAlignment="1">
      <x:alignment horizontal="right"/>
    </x:xf>
    <x:xf numFmtId="1" fontId="7" fillId="0" borderId="15" xfId="1"/>
    <x:xf numFmtId="1" fontId="8" fillId="0" borderId="21" xfId="1"/>
    <x:xf numFmtId="1" fontId="7" fillId="0" borderId="6" xfId="1"/>
    <x:xf numFmtId="1" fontId="8" fillId="0" borderId="5" xfId="1"/>
    <x:xf numFmtId="1" fontId="8" fillId="0" borderId="7" xfId="1"/>
    <x:xf numFmtId="1" fontId="7" fillId="0" borderId="4" xfId="1"/>
    <x:xf numFmtId="1" fontId="7" fillId="0" borderId="22" xfId="1"/>
    <x:xf numFmtId="1" fontId="8" fillId="0" borderId="23" xfId="1"/>
    <x:xf numFmtId="1" fontId="8" fillId="3" borderId="9" xfId="1"/>
    <x:xf numFmtId="0" fontId="14" fillId="0" borderId="24" xfId="1" applyAlignment="1">
      <x:alignment horizontal="right" vertical="center" wrapText="1"/>
    </x:xf>
    <x:xf numFmtId="1" fontId="5" fillId="0" borderId="25" xfId="1" applyAlignment="1">
      <x:alignment horizontal="right" vertical="center"/>
    </x:xf>
    <x:xf numFmtId="1" fontId="6" fillId="0" borderId="26" xfId="1" applyAlignment="1">
      <x:alignment horizontal="right" vertical="center"/>
    </x:xf>
    <x:xf numFmtId="1" fontId="5" fillId="0" borderId="6" xfId="1" applyAlignment="1">
      <x:alignment vertical="center"/>
    </x:xf>
    <x:xf numFmtId="1" fontId="6" fillId="0" borderId="5" xfId="1" applyAlignment="1">
      <x:alignment vertical="center"/>
    </x:xf>
    <x:xf numFmtId="1" fontId="6" fillId="0" borderId="7" xfId="1" applyAlignment="1">
      <x:alignment vertical="center"/>
    </x:xf>
    <x:xf numFmtId="1" fontId="5" fillId="0" borderId="4" xfId="1" applyAlignment="1">
      <x:alignment vertical="center"/>
    </x:xf>
    <x:xf numFmtId="1" fontId="5" fillId="0" borderId="22" xfId="1" applyAlignment="1">
      <x:alignment vertical="center"/>
    </x:xf>
    <x:xf numFmtId="1" fontId="6" fillId="0" borderId="23" xfId="1" applyAlignment="1">
      <x:alignment vertical="center"/>
    </x:xf>
    <x:xf numFmtId="0" fontId="8" fillId="0" borderId="27" xfId="1" applyAlignment="1">
      <x:alignment horizontal="center" vertical="center"/>
    </x:xf>
    <x:xf numFmtId="164" fontId="7" fillId="0" borderId="28" xfId="1" applyAlignment="1">
      <x:alignment horizontal="right" vertical="center"/>
    </x:xf>
    <x:xf numFmtId="164" fontId="8" fillId="0" borderId="23" xfId="1" applyAlignment="1">
      <x:alignment horizontal="right" vertical="center"/>
    </x:xf>
    <x:xf numFmtId="1" fontId="4" fillId="0" borderId="6" xfId="1" applyAlignment="1">
      <x:alignment horizontal="center" vertical="center"/>
    </x:xf>
    <x:xf numFmtId="0" fontId="9" fillId="0" borderId="5" xfId="1" applyAlignment="1">
      <x:alignment horizontal="center" vertical="center"/>
    </x:xf>
    <x:xf numFmtId="1" fontId="9" fillId="0" borderId="7" xfId="1" applyAlignment="1">
      <x:alignment horizontal="center" vertical="center"/>
    </x:xf>
    <x:xf numFmtId="1" fontId="4" fillId="0" borderId="4" xfId="1" applyAlignment="1">
      <x:alignment horizontal="center" vertical="center"/>
    </x:xf>
    <x:xf numFmtId="1" fontId="9" fillId="0" borderId="5" xfId="1" applyAlignment="1">
      <x:alignment horizontal="center" vertical="center"/>
    </x:xf>
    <x:xf numFmtId="0" fontId="8" fillId="0" borderId="3" xfId="1" applyAlignment="1">
      <x:alignment horizontal="center" vertical="center"/>
    </x:xf>
    <x:xf numFmtId="164" fontId="7" fillId="0" borderId="4" xfId="1" applyAlignment="1">
      <x:alignment horizontal="right" vertical="center"/>
    </x:xf>
    <x:xf numFmtId="0" fontId="8" fillId="0" borderId="3" xfId="1" applyAlignment="1">
      <x:alignment horizontal="right"/>
    </x:xf>
    <x:xf numFmtId="0" fontId="8" fillId="0" borderId="2" xfId="1"/>
    <x:xf numFmtId="0" fontId="8" fillId="0" borderId="9" xfId="1" applyAlignment="1">
      <x:alignment horizontal="right" vertical="center"/>
    </x:xf>
    <x:xf numFmtId="164" fontId="15" fillId="7" borderId="6" xfId="1" applyAlignment="1">
      <x:alignment horizontal="right"/>
    </x:xf>
    <x:xf numFmtId="1" fontId="8" fillId="0" borderId="20" xfId="1" applyAlignment="1">
      <x:alignment horizontal="right" wrapText="1"/>
    </x:xf>
    <x:xf numFmtId="1" fontId="7" fillId="0" borderId="30" xfId="1"/>
    <x:xf numFmtId="1" fontId="7" fillId="0" borderId="9" xfId="1"/>
    <x:xf numFmtId="1" fontId="8" fillId="0" borderId="9" xfId="1"/>
    <x:xf numFmtId="1" fontId="14" fillId="0" borderId="24" xfId="1" applyAlignment="1">
      <x:alignment horizontal="right" vertical="center" wrapText="1"/>
    </x:xf>
    <x:xf numFmtId="1" fontId="5" fillId="0" borderId="31" xfId="1" applyAlignment="1">
      <x:alignment horizontal="right" vertical="center"/>
    </x:xf>
    <x:xf numFmtId="1" fontId="6" fillId="0" borderId="32" xfId="1" applyAlignment="1">
      <x:alignment horizontal="right" vertical="center"/>
    </x:xf>
    <x:xf numFmtId="1" fontId="5" fillId="0" borderId="9" xfId="1" applyAlignment="1">
      <x:alignment vertical="center"/>
    </x:xf>
    <x:xf numFmtId="1" fontId="6" fillId="0" borderId="9" xfId="1" applyAlignment="1">
      <x:alignment vertical="center"/>
    </x:xf>
    <x:xf numFmtId="0" fontId="6" fillId="0" borderId="27" xfId="1" applyAlignment="1">
      <x:alignment horizontal="right"/>
    </x:xf>
    <x:xf numFmtId="164" fontId="7" fillId="0" borderId="22" xfId="1"/>
    <x:xf numFmtId="164" fontId="8" fillId="0" borderId="23" xfId="1"/>
    <x:xf numFmtId="0" fontId="6" fillId="0" borderId="3" xfId="1" applyAlignment="1">
      <x:alignment horizontal="right"/>
    </x:xf>
    <x:xf numFmtId="164" fontId="7" fillId="0" borderId="6" xfId="1"/>
    <x:xf numFmtId="1" fontId="5" fillId="0" borderId="6" xfId="1"/>
    <x:xf numFmtId="0" fontId="6" fillId="0" borderId="3" xfId="1" applyAlignment="1">
      <x:alignment horizontal="right" wrapText="1"/>
    </x:xf>
    <x:xf numFmtId="0" fontId="1" fillId="0" borderId="3" xfId="1" applyAlignment="1">
      <x:alignment horizontal="right" vertical="center" wrapText="1"/>
    </x:xf>
    <x:xf numFmtId="1" fontId="7" fillId="0" borderId="6" xfId="1" applyAlignment="1">
      <x:alignment horizontal="right"/>
    </x:xf>
    <x:xf numFmtId="1" fontId="8" fillId="0" borderId="5" xfId="1" applyAlignment="1">
      <x:alignment horizontal="right"/>
    </x:xf>
    <x:xf numFmtId="1" fontId="7" fillId="3" borderId="33" xfId="1" applyAlignment="1">
      <x:alignment vertical="center"/>
    </x:xf>
    <x:xf numFmtId="1" fontId="7" fillId="3" borderId="0" xfId="1" applyAlignment="1">
      <x:alignment vertical="center"/>
    </x:xf>
    <x:xf numFmtId="1" fontId="7" fillId="3" borderId="34" xfId="1" applyAlignment="1">
      <x:alignment vertical="center"/>
    </x:xf>
    <x:xf numFmtId="1" fontId="8" fillId="11" borderId="33" xfId="1"/>
    <x:xf numFmtId="1" fontId="8" fillId="11" borderId="0" xfId="1"/>
    <x:xf numFmtId="164" fontId="8" fillId="4" borderId="7" xfId="1"/>
    <x:xf numFmtId="164" fontId="7" fillId="4" borderId="6" xfId="1" applyAlignment="1">
      <x:alignment horizontal="right"/>
    </x:xf>
    <x:xf numFmtId="164" fontId="8" fillId="4" borderId="5" xfId="1" applyAlignment="1">
      <x:alignment horizontal="right"/>
    </x:xf>
    <x:xf numFmtId="164" fontId="8" fillId="12" borderId="5" xfId="1"/>
    <x:xf numFmtId="164" fontId="8" fillId="5" borderId="7" xfId="1"/>
    <x:xf numFmtId="164" fontId="7" fillId="5" borderId="6" xfId="1" applyAlignment="1">
      <x:alignment horizontal="right"/>
    </x:xf>
    <x:xf numFmtId="164" fontId="8" fillId="5" borderId="5" xfId="1" applyAlignment="1">
      <x:alignment horizontal="right"/>
    </x:xf>
    <x:xf numFmtId="164" fontId="8" fillId="13" borderId="5" xfId="1"/>
    <x:xf numFmtId="164" fontId="8" fillId="6" borderId="7" xfId="1"/>
    <x:xf numFmtId="164" fontId="7" fillId="6" borderId="6" xfId="1" applyAlignment="1">
      <x:alignment horizontal="right"/>
    </x:xf>
    <x:xf numFmtId="164" fontId="8" fillId="6" borderId="5" xfId="1" applyAlignment="1">
      <x:alignment horizontal="right"/>
    </x:xf>
    <x:xf numFmtId="164" fontId="7" fillId="6" borderId="30" xfId="1"/>
    <x:xf numFmtId="164" fontId="8" fillId="6" borderId="21" xfId="1"/>
    <x:xf numFmtId="0" fontId="7" fillId="0" borderId="16" xfId="1" applyAlignment="1">
      <x:alignment horizontal="right" vertical="center"/>
    </x:xf>
    <x:xf numFmtId="1" fontId="7" fillId="0" borderId="35" xfId="1" applyAlignment="1">
      <x:alignment vertical="center"/>
    </x:xf>
    <x:xf numFmtId="1" fontId="7" fillId="0" borderId="0" xfId="1" applyAlignment="1">
      <x:alignment vertical="center"/>
    </x:xf>
    <x:xf numFmtId="164" fontId="8" fillId="14" borderId="5" xfId="1"/>
    <x:xf numFmtId="1" fontId="7" fillId="0" borderId="11" xfId="1" applyAlignment="1">
      <x:alignment vertical="center"/>
    </x:xf>
    <x:xf numFmtId="1" fontId="8" fillId="0" borderId="0" xfId="1"/>
    <x:xf numFmtId="0" fontId="9" fillId="0" borderId="0" xfId="1"/>
    <x:xf numFmtId="164" fontId="7" fillId="2" borderId="6" xfId="1" applyAlignment="1">
      <x:alignment horizontal="right"/>
    </x:xf>
    <x:xf numFmtId="164" fontId="8" fillId="2" borderId="5" xfId="1" applyAlignment="1">
      <x:alignment horizontal="right"/>
    </x:xf>
    <x:xf numFmtId="164" fontId="7" fillId="3" borderId="0" xfId="1"/>
    <x:xf numFmtId="164" fontId="8" fillId="3" borderId="0" xfId="1"/>
    <x:xf numFmtId="164" fontId="7" fillId="15" borderId="6" xfId="1" applyAlignment="1">
      <x:alignment horizontal="right"/>
    </x:xf>
    <x:xf numFmtId="164" fontId="8" fillId="15" borderId="5" xfId="1" applyAlignment="1">
      <x:alignment horizontal="right"/>
    </x:xf>
    <x:xf numFmtId="164" fontId="7" fillId="16" borderId="6" xfId="1" applyAlignment="1">
      <x:alignment horizontal="right"/>
    </x:xf>
    <x:xf numFmtId="164" fontId="8" fillId="16" borderId="5" xfId="1" applyAlignment="1">
      <x:alignment horizontal="right"/>
    </x:xf>
    <x:xf numFmtId="164" fontId="7" fillId="8" borderId="6" xfId="1" applyAlignment="1">
      <x:alignment horizontal="right"/>
    </x:xf>
    <x:xf numFmtId="164" fontId="8" fillId="8" borderId="5" xfId="1" applyAlignment="1">
      <x:alignment horizontal="right"/>
    </x:xf>
    <x:xf numFmtId="0" fontId="16" fillId="10" borderId="3" xfId="1" applyAlignment="1">
      <x:alignment horizontal="right" vertical="top" wrapText="1"/>
    </x:xf>
    <x:xf numFmtId="164" fontId="12" fillId="10" borderId="7" xfId="1"/>
    <x:xf numFmtId="164" fontId="17" fillId="10" borderId="5" xfId="1" applyAlignment="1">
      <x:alignment horizontal="right"/>
    </x:xf>
    <x:xf numFmtId="1" fontId="8" fillId="0" borderId="30" xfId="1"/>
    <x:xf numFmtId="1" fontId="8" fillId="0" borderId="29" xfId="1"/>
    <x:xf numFmtId="1" fontId="8" fillId="0" borderId="36" xfId="1"/>
    <x:xf numFmtId="0" fontId="8" fillId="0" borderId="15" xfId="1"/>
    <x:xf numFmtId="0" fontId="8" fillId="0" borderId="36" xfId="1"/>
    <x:xf numFmtId="1" fontId="7" fillId="3" borderId="0" xfId="1"/>
    <x:xf numFmtId="1" fontId="8" fillId="3" borderId="0" xfId="1"/>
    <x:xf numFmtId="1" fontId="5" fillId="0" borderId="16" xfId="1" applyAlignment="1">
      <x:alignment vertical="center"/>
    </x:xf>
    <x:xf numFmtId="1" fontId="6" fillId="0" borderId="0" xfId="1" applyAlignment="1">
      <x:alignment vertical="center"/>
    </x:xf>
    <x:xf numFmtId="1" fontId="5" fillId="0" borderId="0" xfId="1" applyAlignment="1">
      <x:alignment vertical="center"/>
    </x:xf>
    <x:xf numFmtId="0" fontId="6" fillId="0" borderId="0" xfId="1" applyAlignment="1">
      <x:alignment vertical="center"/>
    </x:xf>
    <x:xf numFmtId="164" fontId="7" fillId="0" borderId="22" xfId="1" applyAlignment="1">
      <x:alignment horizontal="right" vertical="center"/>
    </x:xf>
    <x:xf numFmtId="1" fontId="4" fillId="0" borderId="16" xfId="1" applyAlignment="1">
      <x:alignment horizontal="center" vertical="center"/>
    </x:xf>
    <x:xf numFmtId="0" fontId="9" fillId="0" borderId="0" xfId="1" applyAlignment="1">
      <x:alignment horizontal="center" vertical="center"/>
    </x:xf>
    <x:xf numFmtId="1" fontId="4" fillId="0" borderId="0" xfId="1" applyAlignment="1">
      <x:alignment horizontal="center" vertical="center"/>
    </x:xf>
    <x:xf numFmtId="1" fontId="9" fillId="0" borderId="0" xfId="1" applyAlignment="1">
      <x:alignment horizontal="center" vertical="center"/>
    </x:xf>
    <x:xf numFmtId="164" fontId="7" fillId="0" borderId="6" xfId="1" applyAlignment="1">
      <x:alignment horizontal="right" vertical="center"/>
    </x:xf>
    <x:xf numFmtId="0" fontId="8" fillId="0" borderId="13" xfId="1"/>
    <x:xf numFmtId="0" fontId="8" fillId="0" borderId="0" xfId="1"/>
    <x:xf numFmtId="1" fontId="7" fillId="0" borderId="0" xfId="1"/>
    <x:xf numFmtId="164" fontId="7" fillId="0" borderId="15" xfId="1" applyAlignment="1">
      <x:alignment horizontal="right" vertical="center"/>
    </x:xf>
    <x:xf numFmtId="164" fontId="8" fillId="0" borderId="35" xfId="1" applyAlignment="1">
      <x:alignment horizontal="right" vertical="center"/>
    </x:xf>
    <x:xf numFmtId="0" fontId="8" fillId="0" borderId="18" xfId="1"/>
    <x:xf numFmtId="0" fontId="15" fillId="11" borderId="3" xfId="1" applyAlignment="1">
      <x:alignment horizontal="right" vertical="center"/>
    </x:xf>
    <x:xf numFmtId="1" fontId="7" fillId="3" borderId="33" xfId="1"/>
    <x:xf numFmtId="1" fontId="7" fillId="3" borderId="34" xfId="1"/>
    <x:xf numFmtId="0" fontId="8" fillId="3" borderId="8" xfId="1"/>
    <x:xf numFmtId="0" fontId="7" fillId="11" borderId="3" xfId="1" applyAlignment="1">
      <x:alignment horizontal="right" vertical="center"/>
    </x:xf>
    <x:xf numFmtId="0" fontId="9" fillId="0" borderId="21" xfId="1"/>
    <x:xf numFmtId="164" fontId="7" fillId="16" borderId="30" xfId="1" applyAlignment="1">
      <x:alignment horizontal="right"/>
    </x:xf>
    <x:xf numFmtId="164" fontId="8" fillId="16" borderId="21" xfId="1" applyAlignment="1">
      <x:alignment horizontal="right"/>
    </x:xf>
    <x:xf numFmtId="164" fontId="7" fillId="11" borderId="0" xfId="1" applyAlignment="1">
      <x:alignment horizontal="right"/>
    </x:xf>
    <x:xf numFmtId="164" fontId="8" fillId="11" borderId="0" xfId="1" applyAlignment="1">
      <x:alignment horizontal="right"/>
    </x:xf>
    <x:xf numFmtId="164" fontId="7" fillId="11" borderId="0" xfId="1"/>
    <x:xf numFmtId="164" fontId="8" fillId="11" borderId="0" xfId="1"/>
    <x:xf numFmtId="1" fontId="14" fillId="0" borderId="3" xfId="1" applyAlignment="1">
      <x:alignment horizontal="right" vertical="center" wrapText="1"/>
    </x:xf>
    <x:xf numFmtId="1" fontId="5" fillId="0" borderId="16" xfId="1" applyAlignment="1">
      <x:alignment horizontal="right" vertical="center"/>
    </x:xf>
    <x:xf numFmtId="1" fontId="6" fillId="0" borderId="9" xfId="1" applyAlignment="1">
      <x:alignment horizontal="right" vertical="center"/>
    </x:xf>
    <x:xf numFmtId="164" fontId="7" fillId="0" borderId="16" xfId="1"/>
    <x:xf numFmtId="164" fontId="8" fillId="0" borderId="9" xfId="1"/>
    <x:xf numFmtId="0" fontId="8" fillId="0" borderId="0" xfId="1" applyAlignment="1">
      <x:alignment horizontal="right" vertical="center"/>
    </x:xf>
    <x:xf numFmtId="0" fontId="7" fillId="0" borderId="0" xfId="1" applyAlignment="1">
      <x:alignment horizontal="right" vertical="center"/>
    </x:xf>
    <x:xf numFmtId="0" fontId="7" fillId="0" borderId="29" xfId="1" applyAlignment="1">
      <x:alignment horizontal="right" vertical="center"/>
    </x:xf>
    <x:xf numFmtId="0" fontId="8" fillId="0" borderId="15" xfId="1" applyAlignment="1">
      <x:alignment horizontal="right" vertical="center"/>
    </x:xf>
    <x:xf numFmtId="1" fontId="5" fillId="0" borderId="35" xfId="1" applyAlignment="1">
      <x:alignment horizontal="left" vertical="center"/>
    </x:xf>
    <x:xf numFmtId="1" fontId="6" fillId="0" borderId="11" xfId="1" applyAlignment="1">
      <x:alignment horizontal="left" vertical="center"/>
    </x:xf>
    <x:xf numFmtId="1" fontId="5" fillId="0" borderId="35" xfId="1" applyAlignment="1">
      <x:alignment horizontal="left" vertical="center" wrapText="1"/>
    </x:xf>
    <x:xf numFmtId="1" fontId="6" fillId="0" borderId="11" xfId="1" applyAlignment="1">
      <x:alignment vertical="center"/>
    </x:xf>
    <x:xf numFmtId="1" fontId="5" fillId="0" borderId="0" xfId="1" applyAlignment="1">
      <x:alignment vertical="center" wrapText="1"/>
    </x:xf>
    <x:xf numFmtId="1" fontId="5" fillId="0" borderId="33" xfId="1" applyAlignment="1">
      <x:alignment vertical="center"/>
    </x:xf>
    <x:xf numFmtId="1" fontId="6" fillId="0" borderId="34" xfId="1" applyAlignment="1">
      <x:alignment vertical="center"/>
    </x:xf>
    <x:xf numFmtId="1" fontId="5" fillId="0" borderId="33" xfId="1" applyAlignment="1">
      <x:alignment horizontal="left" vertical="center" wrapText="1"/>
    </x:xf>
    <x:xf numFmtId="0" fontId="8" fillId="0" borderId="10" xfId="1" applyAlignment="1">
      <x:alignment horizontal="right" vertical="center"/>
    </x:xf>
    <x:xf numFmtId="1" fontId="8" fillId="0" borderId="11" xfId="1" applyAlignment="1">
      <x:alignment vertical="center"/>
    </x:xf>
    <x:xf numFmtId="1" fontId="8" fillId="0" borderId="35" xfId="1" applyAlignment="1">
      <x:alignment vertical="center"/>
    </x:xf>
    <x:xf numFmtId="1" fontId="8" fillId="0" borderId="0" xfId="1" applyAlignment="1">
      <x:alignment vertical="center"/>
    </x:xf>
    <x:xf numFmtId="1" fontId="7" fillId="0" borderId="33" xfId="1" applyAlignment="1">
      <x:alignment vertical="center"/>
    </x:xf>
    <x:xf numFmtId="1" fontId="8" fillId="0" borderId="34" xfId="1" applyAlignment="1">
      <x:alignment vertical="center"/>
    </x:xf>
    <x:xf numFmtId="1" fontId="8" fillId="0" borderId="33" xfId="1" applyAlignment="1">
      <x:alignment vertical="center"/>
    </x:xf>
    <x:xf numFmtId="0" fontId="7" fillId="0" borderId="10" xfId="1" applyAlignment="1">
      <x:alignment horizontal="right" wrapText="1"/>
    </x:xf>
    <x:xf numFmtId="164" fontId="7" fillId="0" borderId="35" xfId="1"/>
    <x:xf numFmtId="164" fontId="8" fillId="0" borderId="11" xfId="1"/>
    <x:xf numFmtId="164" fontId="7" fillId="0" borderId="0" xfId="1"/>
    <x:xf numFmtId="164" fontId="8" fillId="0" borderId="0" xfId="1"/>
    <x:xf numFmtId="164" fontId="7" fillId="0" borderId="33" xfId="1"/>
    <x:xf numFmtId="164" fontId="8" fillId="0" borderId="34" xfId="1"/>
    <x:xf numFmtId="164" fontId="15" fillId="0" borderId="33" xfId="1" applyAlignment="1">
      <x:alignment horizontal="right"/>
    </x:xf>
    <x:xf numFmtId="164" fontId="21" fillId="0" borderId="34" xfId="1" applyAlignment="1">
      <x:alignment horizontal="right"/>
    </x:xf>
    <x:xf numFmtId="0" fontId="6" fillId="0" borderId="10" xfId="1" applyAlignment="1">
      <x:alignment horizontal="right" wrapText="1"/>
    </x:xf>
    <x:xf numFmtId="164" fontId="7" fillId="0" borderId="33" xfId="1" applyAlignment="1">
      <x:alignment horizontal="right"/>
    </x:xf>
    <x:xf numFmtId="164" fontId="22" fillId="11" borderId="33" xfId="1"/>
    <x:xf numFmtId="0" fontId="8" fillId="0" borderId="10" xfId="1" applyAlignment="1">
      <x:alignment horizontal="right" wrapText="1"/>
    </x:xf>
    <x:xf numFmtId="164" fontId="7" fillId="0" borderId="38" xfId="1"/>
    <x:xf numFmtId="164" fontId="8" fillId="0" borderId="39" xfId="1"/>
    <x:xf numFmtId="1" fontId="7" fillId="0" borderId="38" xfId="1"/>
    <x:xf numFmtId="1" fontId="8" fillId="0" borderId="39" xfId="1"/>
    <x:xf numFmtId="0" fontId="8" fillId="0" borderId="21" xfId="1" applyAlignment="1">
      <x:alignment horizontal="right" wrapText="1"/>
    </x:xf>
    <x:xf numFmtId="0" fontId="8" fillId="0" borderId="35" xfId="1" applyAlignment="1">
      <x:alignment horizontal="right"/>
    </x:xf>
    <x:xf numFmtId="0" fontId="8" fillId="0" borderId="37" xfId="1" applyAlignment="1">
      <x:alignment horizontal="right"/>
    </x:xf>
    <x:xf numFmtId="0" fontId="6" fillId="0" borderId="41" xfId="1" applyAlignment="1">
      <x:alignment horizontal="right" vertical="center" wrapText="1"/>
    </x:xf>
    <x:xf numFmtId="1" fontId="5" fillId="0" borderId="0" xfId="1" applyAlignment="1">
      <x:alignment horizontal="right" vertical="center"/>
    </x:xf>
    <x:xf numFmtId="1" fontId="6" fillId="0" borderId="34" xfId="1" applyAlignment="1">
      <x:alignment horizontal="right" vertical="center"/>
    </x:xf>
    <x:xf numFmtId="1" fontId="5" fillId="0" borderId="33" xfId="1" applyAlignment="1">
      <x:alignment horizontal="right" vertical="center"/>
    </x:xf>
    <x:xf numFmtId="0" fontId="8" fillId="0" borderId="41" xfId="1" applyAlignment="1">
      <x:alignment horizontal="right"/>
    </x:xf>
    <x:xf numFmtId="0" fontId="8" fillId="0" borderId="42" xfId="1" applyAlignment="1">
      <x:alignment horizontal="right"/>
    </x:xf>
    <x:xf numFmtId="164" fontId="7" fillId="0" borderId="40" xfId="1" applyAlignment="1">
      <x:alignment horizontal="right"/>
    </x:xf>
    <x:xf numFmtId="164" fontId="7" fillId="0" borderId="38" xfId="1" applyAlignment="1">
      <x:alignment horizontal="right"/>
    </x:xf>
    <x:xf numFmtId="0" fontId="7" fillId="0" borderId="0" xfId="1" applyAlignment="1">
      <x:alignment horizontal="right" vertical="center" wrapText="1"/>
    </x:xf>
    <x:xf numFmtId="0" fontId="1" fillId="0" borderId="1" xfId="1" applyAlignment="1">
      <x:alignment horizontal="right" wrapText="1"/>
    </x:xf>
    <x:xf numFmtId="0" fontId="8" fillId="0" borderId="3" xfId="1" applyAlignment="1">
      <x:alignment horizontal="right" vertical="center" wrapText="1"/>
    </x:xf>
    <x:xf numFmtId="1" fontId="5" fillId="0" borderId="6" xfId="1" applyAlignment="1">
      <x:alignment horizontal="right" vertical="center" wrapText="1"/>
    </x:xf>
    <x:xf numFmtId="1" fontId="6" fillId="0" borderId="7" xfId="1" applyAlignment="1">
      <x:alignment horizontal="right" vertical="center" wrapText="1"/>
    </x:xf>
    <x:xf numFmtId="0" fontId="8" fillId="0" borderId="3" xfId="1" applyAlignment="1">
      <x:alignment horizontal="right" wrapText="1"/>
    </x:xf>
    <x:xf numFmtId="1" fontId="7" fillId="0" borderId="6" xfId="1" applyAlignment="1">
      <x:alignment horizontal="right" wrapText="1"/>
    </x:xf>
    <x:xf numFmtId="1" fontId="8" fillId="0" borderId="7" xfId="1" applyAlignment="1">
      <x:alignment horizontal="right" wrapText="1"/>
    </x:xf>
    <x:xf numFmtId="0" fontId="7" fillId="17" borderId="3" xfId="1" applyAlignment="1">
      <x:alignment horizontal="right" vertical="center" wrapText="1"/>
    </x:xf>
    <x:xf numFmtId="164" fontId="7" fillId="17" borderId="6" xfId="1" applyAlignment="1">
      <x:alignment horizontal="right" vertical="center" wrapText="1"/>
    </x:xf>
    <x:xf numFmtId="164" fontId="8" fillId="17" borderId="7" xfId="1" applyAlignment="1">
      <x:alignment horizontal="right" vertical="center" wrapText="1"/>
    </x:xf>
    <x:xf numFmtId="0" fontId="7" fillId="24" borderId="3" xfId="1" applyAlignment="1">
      <x:alignment horizontal="right" wrapText="1"/>
    </x:xf>
    <x:xf numFmtId="164" fontId="7" fillId="24" borderId="6" xfId="1" applyAlignment="1">
      <x:alignment horizontal="right" wrapText="1"/>
    </x:xf>
    <x:xf numFmtId="164" fontId="8" fillId="24" borderId="7" xfId="1" applyAlignment="1">
      <x:alignment horizontal="right" wrapText="1"/>
    </x:xf>
    <x:xf numFmtId="0" fontId="7" fillId="25" borderId="3" xfId="1" applyAlignment="1">
      <x:alignment horizontal="right" wrapText="1"/>
    </x:xf>
    <x:xf numFmtId="164" fontId="7" fillId="25" borderId="6" xfId="1" applyAlignment="1">
      <x:alignment horizontal="right" wrapText="1"/>
    </x:xf>
    <x:xf numFmtId="164" fontId="8" fillId="25" borderId="7" xfId="1" applyAlignment="1">
      <x:alignment horizontal="right" wrapText="1"/>
    </x:xf>
    <x:xf numFmtId="0" fontId="7" fillId="17" borderId="43" xfId="1" applyAlignment="1">
      <x:alignment horizontal="right" vertical="center" wrapText="1"/>
    </x:xf>
    <x:xf numFmtId="164" fontId="7" fillId="17" borderId="44" xfId="1" applyAlignment="1">
      <x:alignment horizontal="right" vertical="center" wrapText="1"/>
    </x:xf>
    <x:xf numFmtId="164" fontId="8" fillId="17" borderId="45" xfId="1" applyAlignment="1">
      <x:alignment horizontal="right" vertical="center" wrapText="1"/>
    </x:xf>
    <x:xf numFmtId="0" fontId="7" fillId="11" borderId="0" xfId="1" applyAlignment="1">
      <x:alignment horizontal="right" wrapText="1"/>
    </x:xf>
    <x:xf numFmtId="164" fontId="7" fillId="11" borderId="0" xfId="1" applyAlignment="1">
      <x:alignment horizontal="right" wrapText="1"/>
    </x:xf>
    <x:xf numFmtId="164" fontId="8" fillId="11" borderId="0" xfId="1" applyAlignment="1">
      <x:alignment horizontal="right" wrapText="1"/>
    </x:xf>
    <x:xf numFmtId="0" fontId="1" fillId="0" borderId="0" xfId="1" applyAlignment="1">
      <x:alignment horizontal="right" vertical="center" wrapText="1"/>
    </x:xf>
    <x:xf numFmtId="0" fontId="7" fillId="24" borderId="43" xfId="1" applyAlignment="1">
      <x:alignment horizontal="right" wrapText="1"/>
    </x:xf>
    <x:xf numFmtId="164" fontId="7" fillId="24" borderId="44" xfId="1" applyAlignment="1">
      <x:alignment horizontal="right" wrapText="1"/>
    </x:xf>
    <x:xf numFmtId="164" fontId="8" fillId="24" borderId="45" xfId="1" applyAlignment="1">
      <x:alignment horizontal="right" wrapText="1"/>
    </x:xf>
    <x:xf numFmtId="0" fontId="8" fillId="0" borderId="0" xfId="1" applyAlignment="1">
      <x:alignment horizontal="right" vertical="center" wrapText="1"/>
    </x:xf>
    <x:xf numFmtId="0" fontId="8" fillId="17" borderId="7" xfId="1" applyAlignment="1">
      <x:alignment horizontal="right" vertical="center" wrapText="1"/>
    </x:xf>
    <x:xf numFmtId="0" fontId="6" fillId="17" borderId="7" xfId="1" applyAlignment="1">
      <x:alignment horizontal="right" vertical="center" wrapText="1"/>
    </x:xf>
    <x:xf numFmtId="164" fontId="6" fillId="17" borderId="7" xfId="1" applyAlignment="1">
      <x:alignment horizontal="right" vertical="center" wrapText="1"/>
    </x:xf>
    <x:xf numFmtId="164" fontId="6" fillId="17" borderId="45" xfId="1" applyAlignment="1">
      <x:alignment horizontal="right" vertical="center" wrapText="1"/>
    </x:xf>
    <x:xf numFmtId="0" fontId="7" fillId="24" borderId="3" xfId="1" applyAlignment="1">
      <x:alignment horizontal="right" vertical="center" wrapText="1"/>
    </x:xf>
    <x:xf numFmtId="164" fontId="7" fillId="24" borderId="6" xfId="1" applyAlignment="1">
      <x:alignment horizontal="right" vertical="center" wrapText="1"/>
    </x:xf>
    <x:xf numFmtId="164" fontId="8" fillId="24" borderId="7" xfId="1" applyAlignment="1">
      <x:alignment horizontal="right" vertical="center" wrapText="1"/>
    </x:xf>
    <x:xf numFmtId="164" fontId="6" fillId="24" borderId="7" xfId="1" applyAlignment="1">
      <x:alignment horizontal="right" vertical="center" wrapText="1"/>
    </x:xf>
    <x:xf numFmtId="0" fontId="7" fillId="24" borderId="43" xfId="1" applyAlignment="1">
      <x:alignment horizontal="right" vertical="center" wrapText="1"/>
    </x:xf>
    <x:xf numFmtId="164" fontId="7" fillId="24" borderId="44" xfId="1" applyAlignment="1">
      <x:alignment horizontal="right" vertical="center" wrapText="1"/>
    </x:xf>
    <x:xf numFmtId="164" fontId="8" fillId="24" borderId="45" xfId="1" applyAlignment="1">
      <x:alignment horizontal="right" vertical="center" wrapText="1"/>
    </x:xf>
    <x:xf numFmtId="164" fontId="6" fillId="24" borderId="45" xfId="1" applyAlignment="1">
      <x:alignment horizontal="right" vertical="center" wrapText="1"/>
    </x:xf>
    <x:xf numFmtId="0" fontId="8" fillId="0" borderId="41" xfId="1" applyAlignment="1">
      <x:alignment horizontal="right" vertical="center" wrapText="1"/>
    </x:xf>
    <x:xf numFmtId="0" fontId="7" fillId="6" borderId="3" xfId="1" applyAlignment="1">
      <x:alignment horizontal="right" vertical="center" wrapText="1"/>
    </x:xf>
    <x:xf numFmtId="164" fontId="7" fillId="6" borderId="22" xfId="1" applyAlignment="1">
      <x:alignment horizontal="right" vertical="center" wrapText="1"/>
    </x:xf>
    <x:xf numFmtId="164" fontId="8" fillId="6" borderId="46" xfId="1" applyAlignment="1">
      <x:alignment horizontal="right" vertical="center" wrapText="1"/>
    </x:xf>
    <x:xf numFmtId="164" fontId="7" fillId="6" borderId="6" xfId="1" applyAlignment="1">
      <x:alignment horizontal="right" vertical="center" wrapText="1"/>
    </x:xf>
    <x:xf numFmtId="164" fontId="8" fillId="6" borderId="7" xfId="1" applyAlignment="1">
      <x:alignment horizontal="right" vertical="center" wrapText="1"/>
    </x:xf>
    <x:xf numFmtId="164" fontId="7" fillId="26" borderId="22" xfId="1" applyAlignment="1">
      <x:alignment horizontal="right" vertical="center" wrapText="1"/>
    </x:xf>
    <x:xf numFmtId="164" fontId="8" fillId="26" borderId="46" xfId="1" applyAlignment="1">
      <x:alignment horizontal="right" vertical="center" wrapText="1"/>
    </x:xf>
    <x:xf numFmtId="164" fontId="7" fillId="26" borderId="6" xfId="1" applyAlignment="1">
      <x:alignment horizontal="right" vertical="center" wrapText="1"/>
    </x:xf>
    <x:xf numFmtId="164" fontId="8" fillId="26" borderId="7" xfId="1" applyAlignment="1">
      <x:alignment horizontal="right" vertical="center" wrapText="1"/>
    </x:xf>
    <x:xf numFmtId="0" fontId="7" fillId="6" borderId="43" xfId="1" applyAlignment="1">
      <x:alignment horizontal="right" vertical="center" wrapText="1"/>
    </x:xf>
    <x:xf numFmtId="164" fontId="7" fillId="6" borderId="44" xfId="1" applyAlignment="1">
      <x:alignment horizontal="right" vertical="center" wrapText="1"/>
    </x:xf>
    <x:xf numFmtId="164" fontId="8" fillId="6" borderId="47" xfId="1" applyAlignment="1">
      <x:alignment horizontal="right" vertical="center" wrapText="1"/>
    </x:xf>
    <x:xf numFmtId="164" fontId="8" fillId="6" borderId="45" xfId="1" applyAlignment="1">
      <x:alignment horizontal="right" vertical="center" wrapText="1"/>
    </x:xf>
    <x:xf numFmtId="164" fontId="7" fillId="26" borderId="44" xfId="1" applyAlignment="1">
      <x:alignment horizontal="right" vertical="center" wrapText="1"/>
    </x:xf>
    <x:xf numFmtId="164" fontId="8" fillId="26" borderId="47" xfId="1" applyAlignment="1">
      <x:alignment horizontal="right" vertical="center" wrapText="1"/>
    </x:xf>
    <x:xf numFmtId="164" fontId="8" fillId="26" borderId="45" xfId="1" applyAlignment="1">
      <x:alignment horizontal="right" vertical="center" wrapText="1"/>
    </x:xf>
    <x:xf numFmtId="0" fontId="8" fillId="11" borderId="0" xfId="1" applyAlignment="1">
      <x:alignment horizontal="right" vertical="center" wrapText="1"/>
    </x:xf>
    <x:xf numFmtId="0" fontId="1" fillId="11" borderId="0" xfId="1" applyAlignment="1">
      <x:alignment horizontal="right" vertical="center" wrapText="1"/>
    </x:xf>
    <x:xf numFmtId="0" fontId="7" fillId="11" borderId="0" xfId="1" applyAlignment="1">
      <x:alignment horizontal="right" vertical="center" wrapText="1"/>
    </x:xf>
    <x:xf numFmtId="1" fontId="5" fillId="11" borderId="0" xfId="1" applyAlignment="1">
      <x:alignment horizontal="right" vertical="center" wrapText="1"/>
    </x:xf>
    <x:xf numFmtId="1" fontId="6" fillId="11" borderId="0" xfId="1" applyAlignment="1">
      <x:alignment horizontal="right" vertical="center" wrapText="1"/>
    </x:xf>
    <x:xf numFmtId="0" fontId="7" fillId="7" borderId="3" xfId="1" applyAlignment="1">
      <x:alignment horizontal="right" vertical="center" wrapText="1"/>
    </x:xf>
    <x:xf numFmtId="164" fontId="7" fillId="7" borderId="6" xfId="1" applyAlignment="1">
      <x:alignment horizontal="right" vertical="center" wrapText="1"/>
    </x:xf>
    <x:xf numFmtId="164" fontId="8" fillId="7" borderId="7" xfId="1" applyAlignment="1">
      <x:alignment horizontal="right" vertical="center" wrapText="1"/>
    </x:xf>
    <x:xf numFmtId="164" fontId="7" fillId="11" borderId="0" xfId="1" applyAlignment="1">
      <x:alignment horizontal="right" vertical="center" wrapText="1"/>
    </x:xf>
    <x:xf numFmtId="164" fontId="8" fillId="11" borderId="0" xfId="1" applyAlignment="1">
      <x:alignment horizontal="right" vertical="center" wrapText="1"/>
    </x:xf>
    <x:xf numFmtId="0" fontId="7" fillId="7" borderId="43" xfId="1" applyAlignment="1">
      <x:alignment horizontal="right" vertical="center" wrapText="1"/>
    </x:xf>
    <x:xf numFmtId="164" fontId="7" fillId="7" borderId="44" xfId="1" applyAlignment="1">
      <x:alignment horizontal="right" vertical="center" wrapText="1"/>
    </x:xf>
    <x:xf numFmtId="164" fontId="8" fillId="7" borderId="45" xfId="1" applyAlignment="1">
      <x:alignment horizontal="right" vertical="center" wrapText="1"/>
    </x:xf>
    <x:xf numFmtId="0" fontId="7" fillId="5" borderId="3" xfId="1" applyAlignment="1">
      <x:alignment horizontal="right" vertical="center" wrapText="1"/>
    </x:xf>
    <x:xf numFmtId="164" fontId="7" fillId="5" borderId="6" xfId="1" applyAlignment="1">
      <x:alignment horizontal="right" vertical="center" wrapText="1"/>
    </x:xf>
    <x:xf numFmtId="164" fontId="8" fillId="5" borderId="7" xfId="1" applyAlignment="1">
      <x:alignment horizontal="right" vertical="center" wrapText="1"/>
    </x:xf>
    <x:xf numFmtId="0" fontId="7" fillId="27" borderId="43" xfId="1" applyAlignment="1">
      <x:alignment horizontal="right" vertical="center" wrapText="1"/>
    </x:xf>
    <x:xf numFmtId="164" fontId="7" fillId="27" borderId="44" xfId="1" applyAlignment="1">
      <x:alignment horizontal="right" vertical="center" wrapText="1"/>
    </x:xf>
    <x:xf numFmtId="164" fontId="8" fillId="27" borderId="45" xfId="1" applyAlignment="1">
      <x:alignment horizontal="right" vertical="center" wrapText="1"/>
    </x:xf>
    <x:xf numFmtId="0" fontId="7" fillId="5" borderId="43" xfId="1" applyAlignment="1">
      <x:alignment horizontal="right" vertical="center" wrapText="1"/>
    </x:xf>
    <x:xf numFmtId="164" fontId="7" fillId="5" borderId="44" xfId="1" applyAlignment="1">
      <x:alignment horizontal="right" vertical="center" wrapText="1"/>
    </x:xf>
    <x:xf numFmtId="164" fontId="8" fillId="5" borderId="45" xfId="1" applyAlignment="1">
      <x:alignment horizontal="right" vertical="center" wrapText="1"/>
    </x:xf>
    <x:xf numFmtId="1" fontId="5" fillId="0" borderId="48" xfId="1" applyAlignment="1">
      <x:alignment horizontal="right" vertical="center" wrapText="1"/>
    </x:xf>
    <x:xf numFmtId="1" fontId="6" fillId="0" borderId="49" xfId="1" applyAlignment="1">
      <x:alignment horizontal="right" vertical="center" wrapText="1"/>
    </x:xf>
    <x:xf numFmtId="164" fontId="7" fillId="23" borderId="6" xfId="1" applyAlignment="1">
      <x:alignment horizontal="right" vertical="center" wrapText="1"/>
    </x:xf>
    <x:xf numFmtId="164" fontId="8" fillId="23" borderId="7" xfId="1" applyAlignment="1">
      <x:alignment horizontal="right" vertical="center" wrapText="1"/>
    </x:xf>
    <x:xf numFmtId="0" fontId="7" fillId="28" borderId="3" xfId="1" applyAlignment="1">
      <x:alignment horizontal="right" vertical="center" wrapText="1"/>
    </x:xf>
    <x:xf numFmtId="164" fontId="7" fillId="28" borderId="6" xfId="1" applyAlignment="1">
      <x:alignment horizontal="right" vertical="center" wrapText="1"/>
    </x:xf>
    <x:xf numFmtId="164" fontId="8" fillId="28" borderId="7" xfId="1" applyAlignment="1">
      <x:alignment horizontal="right" vertical="center" wrapText="1"/>
    </x:xf>
    <x:xf numFmtId="0" fontId="7" fillId="28" borderId="43" xfId="1" applyAlignment="1">
      <x:alignment horizontal="right" vertical="center" wrapText="1"/>
    </x:xf>
    <x:xf numFmtId="164" fontId="7" fillId="28" borderId="44" xfId="1" applyAlignment="1">
      <x:alignment horizontal="right" vertical="center" wrapText="1"/>
    </x:xf>
    <x:xf numFmtId="164" fontId="8" fillId="28" borderId="45" xfId="1" applyAlignment="1">
      <x:alignment horizontal="right" vertical="center" wrapText="1"/>
    </x:xf>
    <x:xf numFmtId="1" fontId="5" fillId="0" borderId="0" xfId="1" applyAlignment="1">
      <x:alignment horizontal="right" vertical="center" wrapText="1"/>
    </x:xf>
    <x:xf numFmtId="164" fontId="8" fillId="0" borderId="0" xfId="1" applyAlignment="1">
      <x:alignment horizontal="right" vertical="center" wrapText="1"/>
    </x:xf>
    <x:xf numFmtId="164" fontId="7" fillId="0" borderId="0" xfId="1" applyAlignment="1">
      <x:alignment horizontal="right" vertical="center" wrapText="1"/>
    </x:xf>
    <x:xf numFmtId="164" fontId="7" fillId="23" borderId="44" xfId="1" applyAlignment="1">
      <x:alignment horizontal="right" vertical="center" wrapText="1"/>
    </x:xf>
    <x:xf numFmtId="164" fontId="8" fillId="23" borderId="45" xfId="1" applyAlignment="1">
      <x:alignment horizontal="right" vertical="center" wrapText="1"/>
    </x:xf>
    <x:xf numFmtId="1" fontId="5" fillId="0" borderId="50" xfId="1" applyAlignment="1">
      <x:alignment horizontal="left" vertical="center"/>
    </x:xf>
    <x:xf numFmtId="1" fontId="6" fillId="0" borderId="39" xfId="1" applyAlignment="1">
      <x:alignment horizontal="left" vertical="center"/>
    </x:xf>
    <x:xf numFmtId="0" fontId="23" fillId="29" borderId="51" xfId="1" applyAlignment="1">
      <x:alignment horizontal="right" vertical="center"/>
    </x:xf>
    <x:xf numFmtId="1" fontId="7" fillId="29" borderId="52" xfId="1" applyAlignment="1">
      <x:alignment vertical="center"/>
    </x:xf>
    <x:xf numFmtId="1" fontId="8" fillId="29" borderId="53" xfId="1" applyAlignment="1">
      <x:alignment vertical="center"/>
    </x:xf>
    <x:xf numFmtId="0" fontId="7" fillId="29" borderId="6" xfId="1" applyAlignment="1">
      <x:alignment horizontal="right" wrapText="1"/>
    </x:xf>
    <x:xf numFmtId="164" fontId="7" fillId="29" borderId="9" xfId="1" applyAlignment="1">
      <x:alignment wrapText="1"/>
    </x:xf>
    <x:xf numFmtId="164" fontId="8" fillId="29" borderId="7" xfId="1" applyAlignment="1">
      <x:alignment wrapText="1"/>
    </x:xf>
    <x:xf numFmtId="0" fontId="5" fillId="29" borderId="6" xfId="1" applyAlignment="1">
      <x:alignment horizontal="right" wrapText="1"/>
    </x:xf>
    <x:xf numFmtId="0" fontId="7" fillId="29" borderId="44" xfId="1" applyAlignment="1">
      <x:alignment horizontal="right" wrapText="1"/>
    </x:xf>
    <x:xf numFmtId="164" fontId="7" fillId="29" borderId="54" xfId="1" applyAlignment="1">
      <x:alignment wrapText="1"/>
    </x:xf>
    <x:xf numFmtId="164" fontId="8" fillId="29" borderId="45" xfId="1" applyAlignment="1">
      <x:alignment wrapText="1"/>
    </x:xf>
    <x:xf numFmtId="0" fontId="5" fillId="0" borderId="10" xfId="1" applyAlignment="1">
      <x:alignment horizontal="right" wrapText="1"/>
    </x:xf>
    <x:xf numFmtId="164" fontId="7" fillId="0" borderId="10" xfId="1" applyAlignment="1">
      <x:alignment wrapText="1"/>
    </x:xf>
    <x:xf numFmtId="164" fontId="8" fillId="0" borderId="10" xfId="1" applyAlignment="1">
      <x:alignment wrapText="1"/>
    </x:xf>
    <x:xf numFmtId="0" fontId="23" fillId="5" borderId="51" xfId="1" applyAlignment="1">
      <x:alignment horizontal="right" wrapText="1"/>
    </x:xf>
    <x:xf numFmtId="164" fontId="7" fillId="5" borderId="52" xfId="1" applyAlignment="1">
      <x:alignment wrapText="1"/>
    </x:xf>
    <x:xf numFmtId="164" fontId="8" fillId="5" borderId="53" xfId="1" applyAlignment="1">
      <x:alignment wrapText="1"/>
    </x:xf>
    <x:xf numFmtId="0" fontId="7" fillId="5" borderId="6" xfId="1" applyAlignment="1">
      <x:alignment horizontal="right" wrapText="1"/>
    </x:xf>
    <x:xf numFmtId="164" fontId="7" fillId="5" borderId="9" xfId="1"/>
    <x:xf numFmtId="164" fontId="8" fillId="5" borderId="7" xfId="1" applyAlignment="1">
      <x:alignment wrapText="1"/>
    </x:xf>
    <x:xf numFmtId="0" fontId="5" fillId="5" borderId="6" xfId="1" applyAlignment="1">
      <x:alignment horizontal="right" wrapText="1"/>
    </x:xf>
    <x:xf numFmtId="0" fontId="7" fillId="5" borderId="44" xfId="1" applyAlignment="1">
      <x:alignment horizontal="right" wrapText="1"/>
    </x:xf>
    <x:xf numFmtId="164" fontId="7" fillId="5" borderId="54" xfId="1"/>
    <x:xf numFmtId="164" fontId="8" fillId="5" borderId="45" xfId="1" applyAlignment="1">
      <x:alignment wrapText="1"/>
    </x:xf>
    <x:xf numFmtId="0" fontId="7" fillId="0" borderId="10" xfId="1" applyAlignment="1">
      <x:alignment horizontal="right"/>
    </x:xf>
    <x:xf numFmtId="164" fontId="7" fillId="0" borderId="10" xfId="1"/>
    <x:xf numFmtId="0" fontId="23" fillId="6" borderId="51" xfId="1" applyAlignment="1">
      <x:alignment horizontal="right"/>
    </x:xf>
    <x:xf numFmtId="164" fontId="7" fillId="6" borderId="52" xfId="1"/>
    <x:xf numFmtId="164" fontId="8" fillId="6" borderId="53" xfId="1" applyAlignment="1">
      <x:alignment wrapText="1"/>
    </x:xf>
    <x:xf numFmtId="0" fontId="7" fillId="6" borderId="6" xfId="1" applyAlignment="1">
      <x:alignment horizontal="right" wrapText="1"/>
    </x:xf>
    <x:xf numFmtId="164" fontId="7" fillId="6" borderId="9" xfId="1"/>
    <x:xf numFmtId="164" fontId="8" fillId="6" borderId="7" xfId="1" applyAlignment="1">
      <x:alignment wrapText="1"/>
    </x:xf>
    <x:xf numFmtId="0" fontId="5" fillId="6" borderId="6" xfId="1" applyAlignment="1">
      <x:alignment horizontal="right" wrapText="1"/>
    </x:xf>
    <x:xf numFmtId="0" fontId="7" fillId="6" borderId="44" xfId="1" applyAlignment="1">
      <x:alignment horizontal="right" wrapText="1"/>
    </x:xf>
    <x:xf numFmtId="164" fontId="7" fillId="6" borderId="54" xfId="1"/>
    <x:xf numFmtId="164" fontId="8" fillId="6" borderId="45" xfId="1" applyAlignment="1">
      <x:alignment wrapText="1"/>
    </x:xf>
    <x:xf numFmtId="0" fontId="23" fillId="30" borderId="51" xfId="1" applyAlignment="1">
      <x:alignment horizontal="right"/>
    </x:xf>
    <x:xf numFmtId="164" fontId="7" fillId="30" borderId="52" xfId="1"/>
    <x:xf numFmtId="164" fontId="8" fillId="30" borderId="53" xfId="1" applyAlignment="1">
      <x:alignment wrapText="1"/>
    </x:xf>
    <x:xf numFmtId="0" fontId="7" fillId="30" borderId="6" xfId="1" applyAlignment="1">
      <x:alignment horizontal="right" wrapText="1"/>
    </x:xf>
    <x:xf numFmtId="164" fontId="7" fillId="30" borderId="9" xfId="1"/>
    <x:xf numFmtId="164" fontId="8" fillId="30" borderId="7" xfId="1" applyAlignment="1">
      <x:alignment wrapText="1"/>
    </x:xf>
    <x:xf numFmtId="0" fontId="5" fillId="30" borderId="6" xfId="1" applyAlignment="1">
      <x:alignment horizontal="right" wrapText="1"/>
    </x:xf>
    <x:xf numFmtId="0" fontId="7" fillId="30" borderId="6" xfId="1" applyAlignment="1">
      <x:alignment horizontal="right"/>
    </x:xf>
    <x:xf numFmtId="0" fontId="7" fillId="30" borderId="44" xfId="1" applyAlignment="1">
      <x:alignment horizontal="right"/>
    </x:xf>
    <x:xf numFmtId="164" fontId="7" fillId="30" borderId="54" xfId="1"/>
    <x:xf numFmtId="164" fontId="8" fillId="30" borderId="45" xfId="1" applyAlignment="1">
      <x:alignment wrapText="1"/>
    </x:xf>
    <x:xf numFmtId="0" fontId="23" fillId="31" borderId="51" xfId="1" applyAlignment="1">
      <x:alignment horizontal="right"/>
    </x:xf>
    <x:xf numFmtId="164" fontId="7" fillId="31" borderId="52" xfId="1"/>
    <x:xf numFmtId="164" fontId="8" fillId="31" borderId="53" xfId="1" applyAlignment="1">
      <x:alignment wrapText="1"/>
    </x:xf>
    <x:xf numFmtId="0" fontId="7" fillId="31" borderId="6" xfId="1" applyAlignment="1">
      <x:alignment horizontal="right" wrapText="1"/>
    </x:xf>
    <x:xf numFmtId="164" fontId="7" fillId="31" borderId="9" xfId="1"/>
    <x:xf numFmtId="164" fontId="8" fillId="31" borderId="7" xfId="1" applyAlignment="1">
      <x:alignment wrapText="1"/>
    </x:xf>
    <x:xf numFmtId="0" fontId="5" fillId="31" borderId="6" xfId="1" applyAlignment="1">
      <x:alignment horizontal="right" wrapText="1"/>
    </x:xf>
    <x:xf numFmtId="0" fontId="7" fillId="31" borderId="6" xfId="1" applyAlignment="1">
      <x:alignment horizontal="right"/>
    </x:xf>
    <x:xf numFmtId="0" fontId="7" fillId="31" borderId="44" xfId="1" applyAlignment="1">
      <x:alignment horizontal="right"/>
    </x:xf>
    <x:xf numFmtId="164" fontId="7" fillId="31" borderId="54" xfId="1"/>
    <x:xf numFmtId="164" fontId="8" fillId="31" borderId="45" xfId="1" applyAlignment="1">
      <x:alignment wrapText="1"/>
    </x:xf>
    <x:xf numFmtId="0" fontId="23" fillId="26" borderId="51" xfId="1" applyAlignment="1">
      <x:alignment horizontal="right"/>
    </x:xf>
    <x:xf numFmtId="164" fontId="7" fillId="26" borderId="52" xfId="1"/>
    <x:xf numFmtId="164" fontId="8" fillId="26" borderId="53" xfId="1" applyAlignment="1">
      <x:alignment wrapText="1"/>
    </x:xf>
    <x:xf numFmtId="0" fontId="7" fillId="26" borderId="6" xfId="1" applyAlignment="1">
      <x:alignment horizontal="right"/>
    </x:xf>
    <x:xf numFmtId="164" fontId="7" fillId="26" borderId="9" xfId="1"/>
    <x:xf numFmtId="164" fontId="8" fillId="26" borderId="7" xfId="1" applyAlignment="1">
      <x:alignment wrapText="1"/>
    </x:xf>
    <x:xf numFmtId="0" fontId="7" fillId="26" borderId="44" xfId="1" applyAlignment="1">
      <x:alignment horizontal="right"/>
    </x:xf>
    <x:xf numFmtId="164" fontId="7" fillId="26" borderId="54" xfId="1"/>
    <x:xf numFmtId="164" fontId="8" fillId="26" borderId="45" xfId="1" applyAlignment="1">
      <x:alignment wrapText="1"/>
    </x:xf>
    <x:xf numFmtId="0" fontId="23" fillId="23" borderId="51" xfId="1" applyAlignment="1">
      <x:alignment horizontal="right"/>
    </x:xf>
    <x:xf numFmtId="164" fontId="7" fillId="23" borderId="52" xfId="1"/>
    <x:xf numFmtId="164" fontId="8" fillId="23" borderId="53" xfId="1" applyAlignment="1">
      <x:alignment wrapText="1"/>
    </x:xf>
    <x:xf numFmtId="0" fontId="7" fillId="23" borderId="6" xfId="1" applyAlignment="1">
      <x:alignment horizontal="right"/>
    </x:xf>
    <x:xf numFmtId="164" fontId="7" fillId="23" borderId="9" xfId="1"/>
    <x:xf numFmtId="164" fontId="8" fillId="23" borderId="7" xfId="1" applyAlignment="1">
      <x:alignment wrapText="1"/>
    </x:xf>
    <x:xf numFmtId="0" fontId="7" fillId="23" borderId="44" xfId="1" applyAlignment="1">
      <x:alignment horizontal="right"/>
    </x:xf>
    <x:xf numFmtId="164" fontId="7" fillId="23" borderId="54" xfId="1"/>
    <x:xf numFmtId="164" fontId="8" fillId="23" borderId="45" xfId="1" applyAlignment="1">
      <x:alignment wrapText="1"/>
    </x:xf>
    <x:xf numFmtId="0" fontId="23" fillId="2" borderId="51" xfId="1" applyAlignment="1">
      <x:alignment horizontal="right"/>
    </x:xf>
    <x:xf numFmtId="164" fontId="7" fillId="2" borderId="52" xfId="1"/>
    <x:xf numFmtId="164" fontId="8" fillId="2" borderId="53" xfId="1" applyAlignment="1">
      <x:alignment wrapText="1"/>
    </x:xf>
    <x:xf numFmtId="0" fontId="7" fillId="2" borderId="6" xfId="1" applyAlignment="1">
      <x:alignment horizontal="right"/>
    </x:xf>
    <x:xf numFmtId="164" fontId="7" fillId="2" borderId="9" xfId="1"/>
    <x:xf numFmtId="164" fontId="8" fillId="2" borderId="7" xfId="1" applyAlignment="1">
      <x:alignment wrapText="1"/>
    </x:xf>
    <x:xf numFmtId="0" fontId="7" fillId="2" borderId="44" xfId="1" applyAlignment="1">
      <x:alignment horizontal="right"/>
    </x:xf>
    <x:xf numFmtId="164" fontId="7" fillId="2" borderId="54" xfId="1"/>
    <x:xf numFmtId="164" fontId="8" fillId="2" borderId="45" xfId="1" applyAlignment="1">
      <x:alignment wrapText="1"/>
    </x:xf>
    <x:xf numFmtId="0" fontId="23" fillId="7" borderId="51" xfId="1" applyAlignment="1">
      <x:alignment horizontal="right"/>
    </x:xf>
    <x:xf numFmtId="164" fontId="7" fillId="7" borderId="52" xfId="1"/>
    <x:xf numFmtId="164" fontId="8" fillId="7" borderId="53" xfId="1" applyAlignment="1">
      <x:alignment wrapText="1"/>
    </x:xf>
    <x:xf numFmtId="0" fontId="7" fillId="7" borderId="6" xfId="1" applyAlignment="1">
      <x:alignment horizontal="right"/>
    </x:xf>
    <x:xf numFmtId="164" fontId="7" fillId="7" borderId="9" xfId="1"/>
    <x:xf numFmtId="164" fontId="8" fillId="7" borderId="7" xfId="1" applyAlignment="1">
      <x:alignment wrapText="1"/>
    </x:xf>
    <x:xf numFmtId="0" fontId="7" fillId="7" borderId="44" xfId="1" applyAlignment="1">
      <x:alignment horizontal="right"/>
    </x:xf>
    <x:xf numFmtId="164" fontId="7" fillId="7" borderId="54" xfId="1"/>
    <x:xf numFmtId="164" fontId="8" fillId="7" borderId="45" xfId="1" applyAlignment="1">
      <x:alignment wrapText="1"/>
    </x:xf>
    <x:xf numFmtId="0" fontId="24" fillId="0" borderId="42" xfId="1" applyAlignment="1">
      <x:alignment horizontal="center" vertical="center" wrapText="1"/>
    </x:xf>
    <x:xf numFmtId="0" fontId="24" fillId="0" borderId="39" xfId="1" applyAlignment="1">
      <x:alignment horizontal="center" vertical="center" wrapText="1"/>
    </x:xf>
    <x:xf numFmtId="0" fontId="25" fillId="4" borderId="51" xfId="1" applyAlignment="1">
      <x:alignment horizontal="center" vertical="center" wrapText="1"/>
    </x:xf>
    <x:xf numFmtId="0" fontId="25" fillId="4" borderId="52" xfId="1" applyAlignment="1">
      <x:alignment horizontal="center" vertical="center" wrapText="1"/>
    </x:xf>
    <x:xf numFmtId="0" fontId="25" fillId="4" borderId="53" xfId="1" applyAlignment="1">
      <x:alignment horizontal="center" vertical="center" wrapText="1"/>
    </x:xf>
    <x:xf numFmtId="0" fontId="25" fillId="4" borderId="6" xfId="1" applyAlignment="1">
      <x:alignment horizontal="center" vertical="center" wrapText="1"/>
    </x:xf>
    <x:xf numFmtId="0" fontId="25" fillId="4" borderId="9" xfId="1" applyAlignment="1">
      <x:alignment horizontal="center" vertical="center" wrapText="1"/>
    </x:xf>
    <x:xf numFmtId="0" fontId="25" fillId="4" borderId="7" xfId="1" applyAlignment="1">
      <x:alignment horizontal="center" vertical="center" wrapText="1"/>
    </x:xf>
    <x:xf numFmtId="0" fontId="25" fillId="5" borderId="6" xfId="1" applyAlignment="1">
      <x:alignment horizontal="center" vertical="center" wrapText="1"/>
    </x:xf>
    <x:xf numFmtId="0" fontId="25" fillId="5" borderId="9" xfId="1" applyAlignment="1">
      <x:alignment horizontal="center" vertical="center" wrapText="1"/>
    </x:xf>
    <x:xf numFmtId="0" fontId="25" fillId="5" borderId="7" xfId="1" applyAlignment="1">
      <x:alignment horizontal="center" vertical="center" wrapText="1"/>
    </x:xf>
    <x:xf numFmtId="0" fontId="25" fillId="6" borderId="6" xfId="1" applyAlignment="1">
      <x:alignment horizontal="center" vertical="center" wrapText="1"/>
    </x:xf>
    <x:xf numFmtId="0" fontId="25" fillId="6" borderId="9" xfId="1" applyAlignment="1">
      <x:alignment horizontal="center" vertical="center" wrapText="1"/>
    </x:xf>
    <x:xf numFmtId="0" fontId="25" fillId="6" borderId="7" xfId="1" applyAlignment="1">
      <x:alignment horizontal="center" vertical="center" wrapText="1"/>
    </x:xf>
    <x:xf numFmtId="0" fontId="25" fillId="6" borderId="44" xfId="1" applyAlignment="1">
      <x:alignment horizontal="center" vertical="center" wrapText="1"/>
    </x:xf>
    <x:xf numFmtId="0" fontId="25" fillId="6" borderId="54" xfId="1" applyAlignment="1">
      <x:alignment horizontal="center" vertical="center" wrapText="1"/>
    </x:xf>
    <x:xf numFmtId="0" fontId="25" fillId="6" borderId="45" xfId="1" applyAlignment="1">
      <x:alignment horizontal="center" vertical="center" wrapText="1"/>
    </x:xf>
    <x:xf numFmtId="0" fontId="25" fillId="2" borderId="51" xfId="1" applyAlignment="1">
      <x:alignment horizontal="center" vertical="center" wrapText="1"/>
    </x:xf>
    <x:xf numFmtId="0" fontId="25" fillId="2" borderId="52" xfId="1" applyAlignment="1">
      <x:alignment horizontal="center" vertical="center" wrapText="1"/>
    </x:xf>
    <x:xf numFmtId="0" fontId="25" fillId="2" borderId="53" xfId="1" applyAlignment="1">
      <x:alignment horizontal="center" vertical="center" wrapText="1"/>
    </x:xf>
    <x:xf numFmtId="0" fontId="25" fillId="2" borderId="6" xfId="1" applyAlignment="1">
      <x:alignment horizontal="center" vertical="center" wrapText="1"/>
    </x:xf>
    <x:xf numFmtId="0" fontId="25" fillId="2" borderId="9" xfId="1" applyAlignment="1">
      <x:alignment horizontal="center" vertical="center" wrapText="1"/>
    </x:xf>
    <x:xf numFmtId="0" fontId="25" fillId="2" borderId="7" xfId="1" applyAlignment="1">
      <x:alignment horizontal="center" vertical="center" wrapText="1"/>
    </x:xf>
    <x:xf numFmtId="0" fontId="25" fillId="7" borderId="6" xfId="1" applyAlignment="1">
      <x:alignment horizontal="center" vertical="center" wrapText="1"/>
    </x:xf>
    <x:xf numFmtId="0" fontId="25" fillId="7" borderId="9" xfId="1" applyAlignment="1">
      <x:alignment horizontal="center" vertical="center" wrapText="1"/>
    </x:xf>
    <x:xf numFmtId="0" fontId="25" fillId="7" borderId="7" xfId="1" applyAlignment="1">
      <x:alignment horizontal="center" vertical="center" wrapText="1"/>
    </x:xf>
    <x:xf numFmtId="0" fontId="25" fillId="32" borderId="55" xfId="1" applyAlignment="1">
      <x:alignment horizontal="center" vertical="center" wrapText="1"/>
    </x:xf>
    <x:xf numFmtId="0" fontId="25" fillId="32" borderId="10" xfId="1" applyAlignment="1">
      <x:alignment horizontal="center" vertical="center" wrapText="1"/>
    </x:xf>
    <x:xf numFmtId="0" fontId="25" fillId="32" borderId="9" xfId="1" applyAlignment="1">
      <x:alignment horizontal="center" vertical="center" wrapText="1"/>
    </x:xf>
    <x:xf numFmtId="0" fontId="25" fillId="32" borderId="56" xfId="1" applyAlignment="1">
      <x:alignment horizontal="center" vertical="center" wrapText="1"/>
    </x:xf>
    <x:xf numFmtId="0" fontId="25" fillId="32" borderId="30" xfId="1" applyAlignment="1">
      <x:alignment horizontal="center" vertical="center" wrapText="1"/>
    </x:xf>
    <x:xf numFmtId="0" fontId="25" fillId="32" borderId="12" xfId="1" applyAlignment="1">
      <x:alignment horizontal="center" vertical="center" wrapText="1"/>
    </x:xf>
    <x:xf numFmtId="0" fontId="25" fillId="32" borderId="36" xfId="1" applyAlignment="1">
      <x:alignment horizontal="center" vertical="center" wrapText="1"/>
    </x:xf>
    <x:xf numFmtId="0" fontId="26" fillId="33" borderId="30" xfId="1" applyAlignment="1">
      <x:alignment horizontal="center" vertical="center" wrapText="1"/>
    </x:xf>
    <x:xf numFmtId="0" fontId="26" fillId="33" borderId="12" xfId="1" applyAlignment="1">
      <x:alignment horizontal="center" vertical="center" wrapText="1"/>
    </x:xf>
    <x:xf numFmtId="0" fontId="26" fillId="33" borderId="9" xfId="1" applyAlignment="1">
      <x:alignment horizontal="center" vertical="center" wrapText="1"/>
    </x:xf>
    <x:xf numFmtId="0" fontId="26" fillId="33" borderId="36" xfId="1" applyAlignment="1">
      <x:alignment horizontal="center" vertical="center" wrapText="1"/>
    </x:xf>
    <x:xf numFmtId="0" fontId="26" fillId="33" borderId="44" xfId="1" applyAlignment="1">
      <x:alignment horizontal="center" vertical="center" wrapText="1"/>
    </x:xf>
    <x:xf numFmtId="0" fontId="26" fillId="33" borderId="54" xfId="1" applyAlignment="1">
      <x:alignment horizontal="center" vertical="center" wrapText="1"/>
    </x:xf>
    <x:xf numFmtId="0" fontId="26" fillId="33" borderId="45" xfId="1" applyAlignment="1">
      <x:alignment horizontal="center" vertical="center" wrapText="1"/>
    </x:xf>
    <x:xf numFmtId="0" fontId="7" fillId="0" borderId="0" xfId="1"/>
    <x:xf numFmtId="0" fontId="27" fillId="34" borderId="57" xfId="1" applyAlignment="1">
      <x:alignment horizontal="left" vertical="center"/>
    </x:xf>
    <x:xf numFmtId="0" fontId="30" fillId="34" borderId="57" xfId="1" applyAlignment="1">
      <x:alignment horizontal="left" vertical="center"/>
    </x:xf>
    <x:xf numFmtId="0" fontId="27" fillId="35" borderId="57" xfId="1" applyAlignment="1">
      <x:alignment horizontal="center" vertical="center" wrapText="1"/>
    </x:xf>
    <x:xf numFmtId="0" fontId="30" fillId="36" borderId="57" xfId="1" applyAlignment="1">
      <x:alignment horizontal="center" vertical="center" wrapText="1"/>
    </x:xf>
    <x:xf numFmtId="0" fontId="31" fillId="37" borderId="57" xfId="1" applyAlignment="1">
      <x:alignment horizontal="center" vertical="center" wrapText="1"/>
    </x:xf>
    <x:xf numFmtId="0" fontId="31" fillId="38" borderId="57" xfId="1" applyAlignment="1">
      <x:alignment horizontal="center" vertical="center" wrapText="1"/>
    </x:xf>
    <x:xf numFmtId="0" fontId="31" fillId="39" borderId="57" xfId="1" applyAlignment="1">
      <x:alignment horizontal="center" vertical="center" wrapText="1"/>
    </x:xf>
    <x:xf numFmtId="0" fontId="31" fillId="40" borderId="57" xfId="1" applyAlignment="1">
      <x:alignment horizontal="center" vertical="center" wrapText="1"/>
    </x:xf>
    <x:xf numFmtId="0" fontId="31" fillId="41" borderId="57" xfId="1" applyAlignment="1">
      <x:alignment horizontal="center" vertical="center" wrapText="1"/>
    </x:xf>
    <x:xf numFmtId="0" fontId="31" fillId="42" borderId="57" xfId="1" applyAlignment="1">
      <x:alignment horizontal="center" vertical="center" wrapText="1"/>
    </x:xf>
    <x:xf numFmtId="0" fontId="30" fillId="35" borderId="57" xfId="1" applyAlignment="1">
      <x:alignment horizontal="center" vertical="center" wrapText="1"/>
    </x:xf>
    <x:xf numFmtId="0" fontId="27" fillId="38" borderId="57" xfId="1" applyAlignment="1">
      <x:alignment horizontal="center" vertical="center" wrapText="1"/>
    </x:xf>
    <x:xf numFmtId="0" fontId="27" fillId="41" borderId="57" xfId="1" applyAlignment="1">
      <x:alignment horizontal="center" vertical="center" wrapText="1"/>
    </x:xf>
    <x:xf numFmtId="0" fontId="32" fillId="34" borderId="57" xfId="1" applyAlignment="1">
      <x:alignment horizontal="left" vertical="center"/>
    </x:xf>
    <x:xf numFmtId="166" fontId="30" fillId="35" borderId="57" xfId="1"/>
    <x:xf numFmtId="166" fontId="32" fillId="36" borderId="57" xfId="1"/>
    <x:xf numFmtId="166" fontId="32" fillId="37" borderId="57" xfId="1"/>
    <x:xf numFmtId="166" fontId="32" fillId="38" borderId="57" xfId="1"/>
    <x:xf numFmtId="166" fontId="32" fillId="39" borderId="57" xfId="1"/>
    <x:xf numFmtId="166" fontId="32" fillId="40" borderId="57" xfId="1"/>
    <x:xf numFmtId="166" fontId="32" fillId="41" borderId="57" xfId="1"/>
    <x:xf numFmtId="166" fontId="32" fillId="42" borderId="57" xfId="1"/>
    <x:xf numFmtId="166" fontId="32" fillId="35" borderId="57" xfId="1"/>
    <x:xf numFmtId="166" fontId="30" fillId="38" borderId="57" xfId="1"/>
    <x:xf numFmtId="166" fontId="30" fillId="41" borderId="57" xfId="1"/>
    <x:xf numFmtId="0" fontId="33" fillId="43" borderId="12" xfId="1" applyAlignment="1">
      <x:alignment horizontal="center" vertical="center" wrapText="1"/>
    </x:xf>
    <x:xf numFmtId="0" fontId="34" fillId="44" borderId="21" xfId="1" applyAlignment="1">
      <x:alignment horizontal="center" vertical="center" wrapText="1"/>
    </x:xf>
    <x:xf numFmtId="0" fontId="35" fillId="43" borderId="58" xfId="1" applyAlignment="1">
      <x:alignment horizontal="center" vertical="center" wrapText="1"/>
    </x:xf>
    <x:xf numFmtId="0" fontId="34" fillId="44" borderId="23" xfId="1" applyAlignment="1">
      <x:alignment horizontal="center" vertical="center" wrapText="1"/>
    </x:xf>
    <x:xf numFmtId="0" fontId="34" fillId="44" borderId="5" xfId="1" applyAlignment="1">
      <x:alignment horizontal="center" vertical="center" wrapText="1"/>
    </x:xf>
    <x:xf numFmtId="0" fontId="35" fillId="43" borderId="9" xfId="1" applyAlignment="1">
      <x:alignment horizontal="left" vertical="center" wrapText="1"/>
    </x:xf>
    <x:xf numFmtId="1" fontId="36" fillId="0" borderId="5" xfId="1" applyAlignment="1">
      <x:alignment horizontal="right" vertical="center"/>
    </x:xf>
    <x:xf numFmtId="0" fontId="39" fillId="48" borderId="59" xfId="1" applyAlignment="1">
      <x:alignment vertical="center" wrapText="1"/>
    </x:xf>
    <x:xf numFmtId="0" fontId="39" fillId="49" borderId="59" xfId="1" applyAlignment="1">
      <x:alignment vertical="center" wrapText="1"/>
    </x:xf>
    <x:xf numFmtId="0" fontId="42" fillId="50" borderId="61" xfId="1" applyAlignment="1">
      <x:alignment vertical="top" wrapText="1"/>
    </x:xf>
    <x:xf numFmtId="0" fontId="40" fillId="51" borderId="61" xfId="1" applyAlignment="1">
      <x:alignment vertical="top" wrapText="1"/>
    </x:xf>
    <x:xf numFmtId="0" fontId="40" fillId="52" borderId="61" xfId="1" applyAlignment="1">
      <x:alignment vertical="top" wrapText="1"/>
    </x:xf>
    <x:xf numFmtId="0" fontId="0" fillId="0" borderId="61" xfId="1" applyAlignment="1">
      <x:alignment vertical="top" wrapText="1"/>
    </x:xf>
    <x:xf numFmtId="0" fontId="40" fillId="53" borderId="61" xfId="1" applyAlignment="1">
      <x:alignment vertical="top" wrapText="1"/>
    </x:xf>
    <x:xf numFmtId="0" fontId="40" fillId="54" borderId="61" xfId="1" applyAlignment="1">
      <x:alignment vertical="top" wrapText="1"/>
    </x:xf>
    <x:xf numFmtId="0" fontId="40" fillId="55" borderId="61" xfId="1" applyAlignment="1">
      <x:alignment vertical="top" wrapText="1"/>
    </x:xf>
    <x:xf numFmtId="0" fontId="42" fillId="56" borderId="0" xfId="1" applyAlignment="1">
      <x:alignment horizontal="center" vertical="center" wrapText="1"/>
    </x:xf>
    <x:xf numFmtId="0" fontId="43" fillId="52" borderId="62" xfId="1" applyAlignment="1">
      <x:alignment vertical="center" wrapText="1"/>
    </x:xf>
    <x:xf numFmtId="0" fontId="0" fillId="52" borderId="62" xfId="1" applyAlignment="1">
      <x:alignment vertical="center" wrapText="1"/>
    </x:xf>
    <x:xf numFmtId="0" fontId="44" fillId="53" borderId="62" xfId="1" applyAlignment="1">
      <x:alignment vertical="center" wrapText="1"/>
    </x:xf>
    <x:xf numFmtId="0" fontId="0" fillId="53" borderId="62" xfId="1" applyAlignment="1">
      <x:alignment vertical="center" wrapText="1"/>
    </x:xf>
    <x:xf numFmtId="0" fontId="45" fillId="54" borderId="62" xfId="1" applyAlignment="1">
      <x:alignment vertical="center" wrapText="1"/>
    </x:xf>
    <x:xf numFmtId="0" fontId="0" fillId="54" borderId="62" xfId="1" applyAlignment="1">
      <x:alignment vertical="center" wrapText="1"/>
    </x:xf>
    <x:xf numFmtId="0" fontId="46" fillId="55" borderId="62" xfId="1" applyAlignment="1">
      <x:alignment vertical="center" wrapText="1"/>
    </x:xf>
    <x:xf numFmtId="0" fontId="0" fillId="55" borderId="62" xfId="1" applyAlignment="1">
      <x:alignment vertical="center" wrapText="1"/>
    </x:xf>
    <x:xf numFmtId="0" fontId="47" fillId="51" borderId="62" xfId="1" applyAlignment="1">
      <x:alignment vertical="center" wrapText="1"/>
    </x:xf>
    <x:xf numFmtId="0" fontId="0" fillId="51" borderId="62" xfId="1" applyAlignment="1">
      <x:alignment vertical="center" wrapText="1"/>
    </x:xf>
    <x:xf numFmtId="0" fontId="48" fillId="0" borderId="60" xfId="1"/>
    <x:xf numFmtId="167" fontId="48" fillId="0" borderId="60" xfId="1"/>
    <x:xf numFmtId="168" fontId="0" fillId="0" borderId="59" xfId="1" applyAlignment="1">
      <x:alignment vertical="center" wrapText="1"/>
    </x:xf>
    <x:xf numFmtId="0" fontId="49" fillId="0" borderId="60" xfId="1"/>
    <x:xf numFmtId="0" fontId="39" fillId="57" borderId="60" xfId="1" applyAlignment="1">
      <x:alignment horizontal="center"/>
    </x:xf>
    <x:xf numFmtId="0" fontId="50" fillId="58" borderId="59" xfId="1" applyAlignment="1">
      <x:alignment vertical="center" wrapText="1"/>
    </x:xf>
    <x:xf numFmtId="0" fontId="49" fillId="0" borderId="59" xfId="1" applyAlignment="1">
      <x:alignment vertical="center" wrapText="1"/>
    </x:xf>
    <x:xf numFmtId="0" fontId="51" fillId="59" borderId="59" xfId="1" applyAlignment="1">
      <x:alignment vertical="center" wrapText="1"/>
    </x:xf>
    <x:xf numFmtId="0" fontId="52" fillId="60" borderId="59" xfId="1" applyAlignment="1">
      <x:alignment vertical="center" wrapText="1"/>
    </x:xf>
    <x:xf numFmtId="0" fontId="53" fillId="61" borderId="59" xfId="1" applyAlignment="1">
      <x:alignment vertical="center" wrapText="1"/>
    </x:xf>
    <x:xf numFmtId="0" fontId="54" fillId="62" borderId="59" xfId="1" applyAlignment="1">
      <x:alignment vertical="center" wrapText="1"/>
    </x:xf>
    <x:xf numFmtId="168" fontId="48" fillId="0" borderId="60" xfId="1"/>
    <x:xf numFmtId="168" fontId="48" fillId="0" borderId="59" xfId="1" applyAlignment="1">
      <x:alignment horizontal="right" vertical="center"/>
    </x:xf>
    <x:xf numFmtId="0" fontId="40" fillId="0" borderId="0" xfId="1"/>
    <x:xf numFmtId="0" fontId="0" fillId="54" borderId="0" xfId="1" applyAlignment="1">
      <x:alignment vertical="center" wrapText="1"/>
    </x:xf>
    <x:xf numFmtId="0" fontId="42" fillId="56" borderId="59" xfId="1" applyAlignment="1">
      <x:alignment vertical="center" wrapText="1"/>
    </x:xf>
    <x:xf numFmtId="0" fontId="39" fillId="63" borderId="59" xfId="1" applyAlignment="1">
      <x:alignment vertical="center" wrapText="1"/>
    </x:xf>
    <x:xf numFmtId="164" fontId="0" fillId="63" borderId="59" xfId="1" applyAlignment="1">
      <x:alignment vertical="center" wrapText="1"/>
    </x:xf>
    <x:xf numFmtId="0" fontId="56" fillId="0" borderId="0" xfId="1"/>
    <x:xf numFmtId="0" fontId="42" fillId="56" borderId="62" xfId="1" applyAlignment="1">
      <x:alignment horizontal="center" vertical="center"/>
    </x:xf>
    <x:xf numFmtId="0" fontId="55" fillId="0" borderId="60" xfId="1"/>
    <x:xf numFmtId="0" fontId="55" fillId="0" borderId="62" xfId="1" applyAlignment="1">
      <x:alignment vertical="center"/>
    </x:xf>
    <x:xf numFmtId="169" fontId="55" fillId="0" borderId="62" xfId="1" applyAlignment="1">
      <x:alignment horizontal="right" vertical="center"/>
    </x:xf>
    <x:xf numFmtId="0" fontId="40" fillId="64" borderId="62" xfId="1"/>
    <x:xf numFmtId="10" fontId="55" fillId="54" borderId="62" xfId="1" applyAlignment="1">
      <x:alignment horizontal="center"/>
    </x:xf>
    <x:xf numFmtId="0" fontId="42" fillId="56" borderId="62" xfId="1" applyAlignment="1">
      <x:alignment vertical="center"/>
    </x:xf>
    <x:xf numFmtId="169" fontId="40" fillId="65" borderId="62" xfId="1" applyAlignment="1">
      <x:alignment horizontal="right" vertical="center"/>
    </x:xf>
    <x:xf numFmtId="10" fontId="40" fillId="65" borderId="62" xfId="1" applyAlignment="1">
      <x:alignment horizontal="right" vertical="center"/>
    </x:xf>
    <x:xf numFmtId="169" fontId="41" fillId="66" borderId="62" xfId="1" applyAlignment="1">
      <x:alignment horizontal="right" vertical="center"/>
    </x:xf>
    <x:xf numFmtId="0" fontId="42" fillId="50" borderId="62" xfId="1" applyAlignment="1">
      <x:alignment horizontal="center" vertical="center" wrapText="1"/>
    </x:xf>
    <x:xf numFmtId="0" fontId="56" fillId="0" borderId="60" xfId="1" applyAlignment="1">
      <x:alignment wrapText="1"/>
    </x:xf>
    <x:xf numFmtId="0" fontId="55" fillId="0" borderId="60" xfId="1" applyAlignment="1">
      <x:alignment wrapText="1"/>
    </x:xf>
    <x:xf numFmtId="0" fontId="57" fillId="0" borderId="0" xfId="1"/>
    <x:xf numFmtId="0" fontId="40" fillId="64" borderId="62" xfId="1" applyAlignment="1">
      <x:alignment wrapText="1"/>
    </x:xf>
    <x:xf numFmtId="0" fontId="0" fillId="54" borderId="62" xfId="1" applyAlignment="1">
      <x:alignment wrapText="1"/>
    </x:xf>
    <x:xf numFmtId="0" fontId="0" fillId="0" borderId="62" xfId="1" applyAlignment="1">
      <x:alignment wrapText="1"/>
    </x:xf>
    <x:xf numFmtId="164" fontId="0" fillId="0" borderId="62" xfId="1" applyAlignment="1">
      <x:alignment horizontal="right"/>
    </x:xf>
    <x:xf numFmtId="10" fontId="0" fillId="54" borderId="62" xfId="1" applyAlignment="1">
      <x:alignment wrapText="1"/>
    </x:xf>
    <x:xf numFmtId="0" fontId="42" fillId="50" borderId="62" xfId="1"/>
    <x:xf numFmtId="164" fontId="40" fillId="65" borderId="62" xfId="1"/>
    <x:xf numFmtId="0" fontId="42" fillId="67" borderId="62" xfId="1" applyAlignment="1">
      <x:alignment wrapText="1"/>
    </x:xf>
    <x:xf numFmtId="0" fontId="40" fillId="65" borderId="62" xfId="1" applyAlignment="1">
      <x:alignment wrapText="1"/>
    </x:xf>
    <x:xf numFmtId="0" fontId="0" fillId="68" borderId="62" xfId="1" applyAlignment="1">
      <x:alignment wrapText="1"/>
    </x:xf>
    <x:xf numFmtId="164" fontId="0" fillId="68" borderId="62" xfId="1" applyAlignment="1">
      <x:alignment wrapText="1"/>
    </x:xf>
    <x:xf numFmtId="10" fontId="40" fillId="65" borderId="62" xfId="1"/>
    <x:xf numFmtId="0" fontId="61" fillId="0" borderId="0" xfId="0"/>
    <x:xf numFmtId="0" fontId="0" fillId="0" borderId="0" xfId="0" applyAlignment="1">
      <x:alignment vertical="top" wrapText="1"/>
    </x:xf>
    <x:xf numFmtId="164" fontId="0" fillId="70" borderId="59" xfId="1" applyAlignment="1">
      <x:alignment vertical="center" wrapText="1"/>
    </x:xf>
    <x:xf numFmtId="0" fontId="0" fillId="0" borderId="59" xfId="1" applyAlignment="1">
      <x:alignment vertical="top" wrapText="1"/>
    </x:xf>
    <x:xf numFmtId="164" fontId="0" fillId="72" borderId="59" xfId="1" applyAlignment="1">
      <x:alignment vertical="center" wrapText="1"/>
    </x:xf>
    <x:xf numFmtId="0" fontId="59" fillId="69" borderId="63" xfId="0" applyAlignment="1">
      <x:alignment horizontal="center" vertical="center" wrapText="1"/>
    </x:xf>
    <x:xf numFmtId="1" fontId="0" fillId="70" borderId="63" xfId="0" applyAlignment="1">
      <x:alignment vertical="top" wrapText="1"/>
    </x:xf>
    <x:xf numFmtId="0" fontId="0" fillId="70" borderId="63" xfId="0" applyAlignment="1">
      <x:alignment vertical="top" wrapText="1"/>
    </x:xf>
    <x:xf numFmtId="164" fontId="0" fillId="70" borderId="63" xfId="0" applyAlignment="1">
      <x:alignment vertical="top" wrapText="1"/>
    </x:xf>
    <x:xf numFmtId="10" fontId="0" fillId="70" borderId="63" xfId="0" applyAlignment="1">
      <x:alignment vertical="top" wrapText="1"/>
    </x:xf>
    <x:xf numFmtId="1" fontId="0" fillId="71" borderId="63" xfId="0" applyAlignment="1">
      <x:alignment vertical="top" wrapText="1"/>
    </x:xf>
    <x:xf numFmtId="0" fontId="0" fillId="71" borderId="63" xfId="0" applyAlignment="1">
      <x:alignment vertical="top" wrapText="1"/>
    </x:xf>
    <x:xf numFmtId="164" fontId="0" fillId="71" borderId="63" xfId="0" applyAlignment="1">
      <x:alignment vertical="top" wrapText="1"/>
    </x:xf>
    <x:xf numFmtId="10" fontId="0" fillId="71" borderId="63" xfId="0" applyAlignment="1">
      <x:alignment vertical="top" wrapText="1"/>
    </x:xf>
    <x:xf numFmtId="1" fontId="0" fillId="72" borderId="63" xfId="0" applyAlignment="1">
      <x:alignment vertical="top" wrapText="1"/>
    </x:xf>
    <x:xf numFmtId="0" fontId="0" fillId="72" borderId="63" xfId="0" applyAlignment="1">
      <x:alignment vertical="top" wrapText="1"/>
    </x:xf>
    <x:xf numFmtId="164" fontId="0" fillId="72" borderId="63" xfId="0" applyAlignment="1">
      <x:alignment vertical="top" wrapText="1"/>
    </x:xf>
    <x:xf numFmtId="10" fontId="0" fillId="72" borderId="63" xfId="0" applyAlignment="1">
      <x:alignment vertical="top" wrapText="1"/>
    </x:xf>
    <x:xf numFmtId="0" fontId="60" fillId="0" borderId="0" xfId="0"/>
    <x:xf numFmtId="0" fontId="0" fillId="0" borderId="63" xfId="0" applyAlignment="1">
      <x:alignment vertical="top" wrapText="1"/>
    </x:xf>
    <x:xf numFmtId="0" fontId="0" fillId="0" borderId="63" xfId="0" applyAlignment="1">
      <x:alignment vertical="top"/>
    </x:xf>
    <x:xf numFmtId="164" fontId="0" fillId="0" borderId="63" xfId="0" applyAlignment="1">
      <x:alignment vertical="top"/>
    </x:xf>
    <x:xf numFmtId="0" fontId="0" fillId="0" borderId="0" xfId="0" applyAlignment="1">
      <x:alignment wrapText="1"/>
    </x:xf>
    <x:xf numFmtId="0" fontId="62" fillId="73" borderId="0" xfId="0" applyAlignment="1">
      <x:alignment horizontal="left" wrapText="1"/>
    </x:xf>
    <x:xf numFmtId="0" fontId="7" fillId="74" borderId="0" xfId="0" applyAlignment="1">
      <x:alignment wrapText="1"/>
    </x:xf>
    <x:xf numFmtId="0" fontId="62" fillId="75" borderId="0" xfId="0" applyAlignment="1">
      <x:alignment wrapText="1"/>
    </x:xf>
    <x:xf numFmtId="0" fontId="7" fillId="76" borderId="0" xfId="0" applyAlignment="1">
      <x:alignment wrapText="1"/>
    </x:xf>
    <x:xf numFmtId="0" fontId="64" fillId="0" borderId="0" xfId="0"/>
    <x:xf numFmtId="0" fontId="63" fillId="77" borderId="0" xfId="0" applyAlignment="1">
      <x:alignment vertical="top" wrapText="1"/>
    </x:xf>
    <x:xf numFmtId="0" fontId="66" fillId="77" borderId="101" xfId="0" applyAlignment="1">
      <x:alignment vertical="center" wrapText="1"/>
    </x:xf>
    <x:xf numFmtId="49" fontId="65" fillId="0" borderId="101" xfId="0" applyAlignment="1">
      <x:alignment vertical="center"/>
    </x:xf>
    <x:xf numFmtId="170" fontId="65" fillId="0" borderId="101" xfId="0" applyAlignment="1">
      <x:alignment vertical="center"/>
    </x:xf>
    <x:xf numFmtId="0" fontId="65" fillId="0" borderId="64" xfId="0" applyAlignment="1">
      <x:alignment vertical="center"/>
    </x:xf>
    <x:xf numFmtId="0" fontId="67" fillId="77" borderId="0" xfId="0" applyAlignment="1">
      <x:alignment vertical="top" wrapText="1"/>
    </x:xf>
    <x:xf numFmtId="0" fontId="0" fillId="0" borderId="101" xfId="0" applyAlignment="1">
      <x:alignment vertical="center" wrapText="1"/>
    </x:xf>
    <x:xf numFmtId="0" fontId="39" fillId="57" borderId="64" xfId="1"/>
    <x:xf numFmtId="0" fontId="0" fillId="0" borderId="64" xfId="0"/>
    <x:xf numFmtId="0" fontId="58" fillId="0" borderId="64" xfId="1" applyAlignment="1">
      <x:alignment wrapText="1"/>
    </x:xf>
    <x:xf numFmtId="1" fontId="2" fillId="2" borderId="65" xfId="1" applyAlignment="1">
      <x:alignment horizontal="left" vertical="center" wrapText="1"/>
    </x:xf>
    <x:xf numFmtId="0" fontId="0" fillId="0" borderId="89" xfId="0"/>
    <x:xf numFmtId="1" fontId="7" fillId="3" borderId="68" xfId="1" applyAlignment="1">
      <x:alignment horizontal="left" vertical="center"/>
    </x:xf>
    <x:xf numFmtId="0" fontId="0" fillId="0" borderId="80" xfId="0"/>
    <x:xf numFmtId="1" fontId="3" fillId="0" borderId="90" xfId="1" applyAlignment="1">
      <x:alignment vertical="center" wrapText="1"/>
    </x:xf>
    <x:xf numFmtId="0" fontId="0" fillId="0" borderId="76" xfId="0"/>
    <x:xf numFmtId="1" fontId="3" fillId="2" borderId="65" xfId="1" applyAlignment="1">
      <x:alignment vertical="center" wrapText="1"/>
    </x:xf>
    <x:xf numFmtId="1" fontId="3" fillId="2" borderId="89" xfId="1" applyAlignment="1">
      <x:alignment vertical="center" wrapText="1"/>
    </x:xf>
    <x:xf numFmtId="1" fontId="3" fillId="0" borderId="65" xfId="1" applyAlignment="1">
      <x:alignment vertical="center" wrapText="1"/>
    </x:xf>
    <x:xf numFmtId="1" fontId="2" fillId="0" borderId="65" xfId="1" applyAlignment="1">
      <x:alignment vertical="center" wrapText="1"/>
    </x:xf>
    <x:xf numFmtId="171" fontId="7" fillId="0" borderId="81" xfId="1" applyAlignment="1">
      <x:alignment horizontal="left" vertical="center"/>
    </x:xf>
    <x:xf numFmtId="0" fontId="0" fillId="0" borderId="70" xfId="0"/>
    <x:xf numFmtId="1" fontId="1" fillId="0" borderId="65" xfId="1" applyAlignment="1">
      <x:alignment vertical="center" wrapText="1"/>
    </x:xf>
    <x:xf numFmtId="1" fontId="1" fillId="3" borderId="65" xfId="1" applyAlignment="1">
      <x:alignment horizontal="left" vertical="center" wrapText="1"/>
    </x:xf>
    <x:xf numFmtId="1" fontId="1" fillId="2" borderId="65" xfId="1" applyAlignment="1">
      <x:alignment horizontal="left" vertical="center" wrapText="1"/>
    </x:xf>
    <x:xf numFmtId="1" fontId="7" fillId="3" borderId="69" xfId="1" applyAlignment="1">
      <x:alignment horizontal="left" vertical="center"/>
    </x:xf>
    <x:xf numFmtId="0" fontId="0" fillId="0" borderId="67" xfId="0"/>
    <x:xf numFmtId="0" fontId="1" fillId="2" borderId="66" xfId="1" applyAlignment="1">
      <x:alignment horizontal="left" vertical="center" wrapText="1"/>
    </x:xf>
    <x:xf numFmtId="0" fontId="0" fillId="0" borderId="74" xfId="0"/>
    <x:xf numFmtId="0" fontId="1" fillId="3" borderId="65" xfId="1" applyAlignment="1">
      <x:alignment horizontal="left" vertical="center" wrapText="1"/>
    </x:xf>
    <x:xf numFmtId="1" fontId="1" fillId="0" borderId="66" xfId="1" applyAlignment="1">
      <x:alignment wrapText="1"/>
    </x:xf>
    <x:xf numFmtId="1" fontId="2" fillId="2" borderId="66" xfId="1" applyAlignment="1">
      <x:alignment horizontal="left" vertical="center" wrapText="1"/>
    </x:xf>
    <x:xf numFmtId="1" fontId="3" fillId="3" borderId="66" xfId="1" applyAlignment="1">
      <x:alignment vertical="center" wrapText="1"/>
    </x:xf>
    <x:xf numFmtId="1" fontId="3" fillId="2" borderId="66" xfId="1" applyAlignment="1">
      <x:alignment vertical="center" wrapText="1"/>
    </x:xf>
    <x:xf numFmtId="0" fontId="1" fillId="0" borderId="66" xfId="1" applyAlignment="1">
      <x:alignment horizontal="left" vertical="center" wrapText="1"/>
    </x:xf>
    <x:xf numFmtId="0" fontId="2" fillId="2" borderId="66" xfId="1" applyAlignment="1">
      <x:alignment horizontal="left" vertical="center" wrapText="1"/>
    </x:xf>
    <x:xf numFmtId="1" fontId="1" fillId="3" borderId="66" xfId="1" applyAlignment="1">
      <x:alignment horizontal="left" vertical="center" wrapText="1"/>
    </x:xf>
    <x:xf numFmtId="1" fontId="2" fillId="0" borderId="66" xfId="1" applyAlignment="1">
      <x:alignment vertical="center" wrapText="1"/>
    </x:xf>
    <x:xf numFmtId="1" fontId="3" fillId="0" borderId="66" xfId="1" applyAlignment="1">
      <x:alignment vertical="center" wrapText="1"/>
    </x:xf>
    <x:xf numFmtId="0" fontId="1" fillId="2" borderId="65" xfId="1" applyAlignment="1">
      <x:alignment horizontal="left" vertical="center" wrapText="1"/>
    </x:xf>
    <x:xf numFmtId="0" fontId="2" fillId="0" borderId="66" xfId="1" applyAlignment="1">
      <x:alignment horizontal="left" vertical="center" wrapText="1"/>
    </x:xf>
    <x:xf numFmtId="1" fontId="1" fillId="0" borderId="66" xfId="1" applyAlignment="1">
      <x:alignment vertical="center" wrapText="1"/>
    </x:xf>
    <x:xf numFmtId="1" fontId="7" fillId="0" borderId="81" xfId="1" applyAlignment="1">
      <x:alignment horizontal="left" vertical="center"/>
    </x:xf>
    <x:xf numFmtId="1" fontId="18" fillId="6" borderId="84" xfId="1" applyAlignment="1">
      <x:alignment horizontal="left" vertical="center" wrapText="1"/>
    </x:xf>
    <x:xf numFmtId="0" fontId="0" fillId="0" borderId="91" xfId="0"/>
    <x:xf numFmtId="1" fontId="5" fillId="5" borderId="70" xfId="1" applyAlignment="1">
      <x:alignment horizontal="left" vertical="center" wrapText="1"/>
    </x:xf>
    <x:xf numFmtId="164" fontId="7" fillId="0" borderId="75" xfId="1" applyAlignment="1">
      <x:alignment horizontal="left" vertical="top" wrapText="1"/>
    </x:xf>
    <x:xf numFmtId="0" fontId="0" fillId="0" borderId="92" xfId="0"/>
    <x:xf numFmtId="0" fontId="0" fillId="0" borderId="78" xfId="0"/>
    <x:xf numFmtId="0" fontId="0" fillId="0" borderId="0" xfId="0"/>
    <x:xf numFmtId="0" fontId="0" fillId="0" borderId="79" xfId="0"/>
    <x:xf numFmtId="0" fontId="0" fillId="0" borderId="82" xfId="0"/>
    <x:xf numFmtId="0" fontId="0" fillId="0" borderId="86" xfId="0"/>
    <x:xf numFmtId="0" fontId="0" fillId="0" borderId="83" xfId="0"/>
    <x:xf numFmtId="1" fontId="5" fillId="17" borderId="71" xfId="1" applyAlignment="1">
      <x:alignment horizontal="left" vertical="center"/>
    </x:xf>
    <x:xf numFmtId="0" fontId="0" fillId="0" borderId="72" xfId="0"/>
    <x:xf numFmtId="1" fontId="20" fillId="22" borderId="71" xfId="1" applyAlignment="1">
      <x:alignment horizontal="left" vertical="center" wrapText="1"/>
    </x:xf>
    <x:xf numFmtId="1" fontId="5" fillId="18" borderId="71" xfId="1" applyAlignment="1">
      <x:alignment horizontal="left" vertical="center"/>
    </x:xf>
    <x:xf numFmtId="1" fontId="5" fillId="19" borderId="71" xfId="1" applyAlignment="1">
      <x:alignment horizontal="left" vertical="center" wrapText="1"/>
    </x:xf>
    <x:xf numFmtId="1" fontId="19" fillId="20" borderId="84" xfId="1" applyAlignment="1">
      <x:alignment horizontal="left" vertical="center" wrapText="1"/>
    </x:xf>
    <x:xf numFmtId="1" fontId="5" fillId="8" borderId="75" xfId="1" applyAlignment="1">
      <x:alignment horizontal="left" vertical="center" wrapText="1"/>
    </x:xf>
    <x:xf numFmtId="0" fontId="0" fillId="0" borderId="93" xfId="0"/>
    <x:xf numFmtId="1" fontId="5" fillId="18" borderId="84" xfId="1" applyAlignment="1">
      <x:alignment horizontal="left" vertical="center"/>
    </x:xf>
    <x:xf numFmtId="1" fontId="20" fillId="21" borderId="71" xfId="1" applyAlignment="1">
      <x:alignment horizontal="left" vertical="center" wrapText="1"/>
    </x:xf>
    <x:xf numFmtId="0" fontId="4" fillId="0" borderId="71" xfId="1" applyAlignment="1">
      <x:alignment horizontal="right" vertical="center"/>
    </x:xf>
    <x:xf numFmtId="0" fontId="0" fillId="0" borderId="81" xfId="0"/>
    <x:xf numFmtId="1" fontId="5" fillId="11" borderId="75" xfId="1" applyAlignment="1">
      <x:alignment horizontal="left" vertical="center" wrapText="1"/>
    </x:xf>
    <x:xf numFmtId="1" fontId="5" fillId="23" borderId="93" xfId="1" applyAlignment="1">
      <x:alignment horizontal="left" vertical="center" wrapText="1"/>
    </x:xf>
    <x:xf numFmtId="0" fontId="7" fillId="0" borderId="65" xfId="1" applyAlignment="1">
      <x:alignment horizontal="right" vertical="center" wrapText="1"/>
    </x:xf>
    <x:xf numFmtId="0" fontId="7" fillId="23" borderId="73" xfId="1" applyAlignment="1">
      <x:alignment horizontal="right" vertical="center" wrapText="1"/>
    </x:xf>
    <x:xf numFmtId="0" fontId="7" fillId="23" borderId="94" xfId="1" applyAlignment="1">
      <x:alignment horizontal="right" vertical="center" wrapText="1"/>
    </x:xf>
    <x:xf numFmtId="0" fontId="0" fillId="0" borderId="95" xfId="0"/>
    <x:xf numFmtId="0" fontId="7" fillId="0" borderId="65" xfId="1" applyAlignment="1">
      <x:alignment horizontal="right" wrapText="1"/>
    </x:xf>
    <x:xf numFmtId="0" fontId="7" fillId="11" borderId="64" xfId="1" applyAlignment="1">
      <x:alignment horizontal="right" vertical="center" wrapText="1"/>
    </x:xf>
    <x:xf numFmtId="0" fontId="7" fillId="0" borderId="96" xfId="1" applyAlignment="1">
      <x:alignment horizontal="center" vertical="center" wrapText="1"/>
    </x:xf>
    <x:xf numFmtId="0" fontId="0" fillId="0" borderId="97" xfId="0"/>
    <x:xf numFmtId="0" fontId="7" fillId="23" borderId="90" xfId="1" applyAlignment="1">
      <x:alignment horizontal="right" vertical="center" wrapText="1"/>
    </x:xf>
    <x:xf numFmtId="1" fontId="5" fillId="17" borderId="87" xfId="1" applyAlignment="1">
      <x:alignment horizontal="left" vertical="center"/>
    </x:xf>
    <x:xf numFmtId="0" fontId="4" fillId="0" borderId="77" xfId="1" applyAlignment="1">
      <x:alignment horizontal="right" vertical="center"/>
    </x:xf>
    <x:xf numFmtId="0" fontId="0" fillId="0" borderId="98" xfId="0"/>
    <x:xf numFmtId="0" fontId="7" fillId="0" borderId="75" xfId="1" applyAlignment="1">
      <x:alignment horizontal="center" vertical="center" wrapText="1"/>
    </x:xf>
    <x:xf numFmtId="0" fontId="5" fillId="0" borderId="84" xfId="1" applyAlignment="1">
      <x:alignment horizontal="center" vertical="center" wrapText="1"/>
    </x:xf>
    <x:xf numFmtId="0" fontId="0" fillId="0" borderId="85" xfId="0"/>
    <x:xf numFmtId="0" fontId="5" fillId="0" borderId="75" xfId="1" applyAlignment="1">
      <x:alignment horizontal="center" vertical="center" wrapText="1"/>
    </x:xf>
    <x:xf numFmtId="0" fontId="29" fillId="42" borderId="88" xfId="1" applyAlignment="1">
      <x:alignment horizontal="left"/>
    </x:xf>
    <x:xf numFmtId="0" fontId="0" fillId="0" borderId="99" xfId="0"/>
    <x:xf numFmtId="0" fontId="0" fillId="0" borderId="100" xfId="0"/>
    <x:xf numFmtId="0" fontId="29" fillId="38" borderId="88" xfId="1" applyAlignment="1">
      <x:alignment horizontal="left"/>
    </x:xf>
    <x:xf numFmtId="0" fontId="28" fillId="38" borderId="88" xfId="1" applyAlignment="1">
      <x:alignment horizontal="left"/>
    </x:xf>
    <x:xf numFmtId="0" fontId="29" fillId="39" borderId="88" xfId="1" applyAlignment="1">
      <x:alignment horizontal="left"/>
    </x:xf>
    <x:xf numFmtId="0" fontId="28" fillId="41" borderId="88" xfId="1" applyAlignment="1">
      <x:alignment horizontal="left"/>
    </x:xf>
    <x:xf numFmtId="0" fontId="29" fillId="35" borderId="88" xfId="1" applyAlignment="1">
      <x:alignment horizontal="left"/>
    </x:xf>
    <x:xf numFmtId="0" fontId="29" fillId="40" borderId="88" xfId="1" applyAlignment="1">
      <x:alignment horizontal="left"/>
    </x:xf>
    <x:xf numFmtId="0" fontId="29" fillId="37" borderId="88" xfId="1" applyAlignment="1">
      <x:alignment horizontal="left"/>
    </x:xf>
    <x:xf numFmtId="0" fontId="29" fillId="36" borderId="88" xfId="1" applyAlignment="1">
      <x:alignment horizontal="left"/>
    </x:xf>
    <x:xf numFmtId="0" fontId="28" fillId="35" borderId="88" xfId="1" applyAlignment="1">
      <x:alignment horizontal="left"/>
    </x:xf>
    <x:xf numFmtId="0" fontId="29" fillId="41" borderId="88" xfId="1" applyAlignment="1">
      <x:alignment horizontal="left"/>
    </x:xf>
    <x:xf numFmtId="0" fontId="34" fillId="44" borderId="69" xfId="1" applyAlignment="1">
      <x:alignment horizontal="center" vertical="center" wrapText="1"/>
    </x:xf>
    <x:xf numFmtId="0" fontId="70" fillId="0" borderId="0" xfId="0"/>
    <x:xf numFmtId="172" fontId="0" fillId="79" borderId="59" xfId="1"/>
    <x:xf numFmtId="0" fontId="68" fillId="78" borderId="59" xfId="1" applyAlignment="1">
      <x:alignment horizontal="center" vertical="center" wrapText="1"/>
    </x:xf>
    <x:xf numFmtId="173" fontId="0" fillId="0" borderId="59" xfId="1"/>
    <x:xf numFmtId="174" fontId="0" fillId="0" borderId="59" xfId="1"/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173" fontId="0" fillId="79" borderId="59" xfId="1"/>
    <x:xf numFmtId="174" fontId="0" fillId="79" borderId="59" xfId="1"/>
    <x:xf numFmtId="0" fontId="0" fillId="79" borderId="0" xfId="0" applyAlignment="1">
      <x:alignment horizontal="center" vertical="center" wrapText="1"/>
    </x:xf>
    <x:xf numFmtId="0" fontId="0" fillId="79" borderId="0" xfId="0" applyAlignment="1">
      <x:alignment vertical="center" wrapText="1"/>
    </x:xf>
    <x:xf numFmtId="0" fontId="0" fillId="79" borderId="59" xfId="1" applyAlignment="1">
      <x:alignment vertical="center" wrapText="1"/>
    </x:xf>
    <x:xf numFmtId="0" fontId="0" fillId="79" borderId="59" xfId="1" applyAlignment="1">
      <x:alignment vertical="top" wrapText="1"/>
    </x:xf>
    <x:xf numFmtId="170" fontId="65" fillId="0" borderId="101" xfId="0" applyAlignment="1">
      <x:alignment vertical="center"/>
    </x:xf>
    <x:xf numFmtId="0" fontId="69" fillId="78" borderId="104" xfId="0"/>
    <x:xf numFmtId="0" fontId="0" fillId="0" borderId="104" xfId="0"/>
    <x:xf numFmtId="0" fontId="70" fillId="80" borderId="104" xfId="0"/>
    <x:xf numFmtId="0" fontId="0" fillId="81" borderId="104" xfId="0" applyAlignment="1">
      <x:alignment vertical="top" wrapText="1"/>
    </x:xf>
    <x:xf numFmtId="0" fontId="68" fillId="78" borderId="104" xfId="0" applyAlignment="1">
      <x:alignment horizontal="center" vertical="center" wrapText="1"/>
    </x:xf>
    <x:xf numFmtId="0" fontId="68" fillId="82" borderId="104" xfId="0"/>
    <x:xf numFmtId="0" fontId="0" fillId="79" borderId="104" xfId="0" applyAlignment="1">
      <x:alignment vertical="center"/>
    </x:xf>
    <x:xf numFmtId="173" fontId="0" fillId="79" borderId="104" xfId="0" applyAlignment="1">
      <x:alignment vertical="center"/>
    </x:xf>
    <x:xf numFmtId="174" fontId="0" fillId="79" borderId="104" xfId="0" applyAlignment="1">
      <x:alignment vertical="center"/>
    </x:xf>
    <x:xf numFmtId="0" fontId="0" fillId="79" borderId="104" xfId="0" applyAlignment="1">
      <x:alignment vertical="center" wrapText="1"/>
    </x:xf>
    <x:xf numFmtId="0" fontId="70" fillId="83" borderId="104" xfId="0"/>
    <x:xf numFmtId="173" fontId="0" fillId="81" borderId="104" xfId="0"/>
    <x:xf numFmtId="0" fontId="0" fillId="81" borderId="104" xfId="0"/>
    <x:xf numFmtId="171" fontId="7" fillId="0" borderId="81" xfId="1" applyAlignment="1">
      <x:alignment horizontal="left" vertical="center"/>
    </x:xf>
    <x:xf numFmtId="3" fontId="0" fillId="79" borderId="59" xfId="1"/>
    <x:xf numFmtId="173" fontId="0" fillId="0" borderId="59" xfId="1"/>
    <x:xf numFmtId="174" fontId="0" fillId="0" borderId="59" xfId="1"/>
    <x:xf numFmtId="173" fontId="0" fillId="79" borderId="59" xfId="1"/>
    <x:xf numFmtId="174" fontId="0" fillId="79" borderId="59" xfId="1"/>
    <x:xf numFmtId="0" fontId="0" fillId="0" borderId="107" xfId="0"/>
    <x:xf numFmtId="0" fontId="0" fillId="0" borderId="108" xfId="0"/>
    <x:xf numFmtId="173" fontId="0" fillId="79" borderId="104" xfId="0" applyAlignment="1">
      <x:alignment vertical="center"/>
    </x:xf>
    <x:xf numFmtId="174" fontId="0" fillId="79" borderId="104" xfId="0" applyAlignment="1">
      <x:alignment vertical="center"/>
    </x:xf>
    <x:xf numFmtId="173" fontId="0" fillId="81" borderId="104" xfId="0"/>
    <x:xf numFmtId="0" fontId="71" fillId="0" borderId="0" xfId="0"/>
    <x:xf numFmtId="0" fontId="68" fillId="78" borderId="109" xfId="0" applyAlignment="1">
      <x:alignment vertical="top" wrapText="1"/>
    </x:xf>
    <x:xf numFmtId="0" fontId="0" fillId="84" borderId="109" xfId="0" applyAlignment="1">
      <x:alignment vertical="top" wrapText="1"/>
    </x:xf>
    <x:xf numFmtId="0" fontId="0" fillId="83" borderId="109" xfId="0" applyAlignment="1">
      <x:alignment vertical="top" wrapText="1"/>
    </x:xf>
    <x:xf numFmtId="0" fontId="72" fillId="0" borderId="0" xfId="0"/>
    <x:xf numFmtId="0" fontId="0" fillId="0" borderId="109" xfId="0" applyAlignment="1">
      <x:alignment vertical="top" wrapText="1"/>
    </x:xf>
    <x:xf numFmtId="0" fontId="73" fillId="0" borderId="0" xfId="0"/>
    <x:xf numFmtId="0" fontId="0" fillId="79" borderId="109" xfId="0" applyAlignment="1">
      <x:alignment vertical="top" wrapText="1"/>
    </x:xf>
    <x:xf numFmtId="0" fontId="68" fillId="78" borderId="109" xfId="0"/>
    <x:xf numFmtId="0" fontId="0" fillId="0" borderId="109" xfId="0"/>
    <x:xf numFmtId="0" fontId="0" fillId="83" borderId="109" xfId="0"/>
    <x:xf numFmtId="9" fontId="0" fillId="0" borderId="59" xfId="1"/>
    <x:xf numFmtId="0" fontId="0" fillId="79" borderId="0" xfId="0" applyAlignment="1">
      <x:alignment wrapText="1"/>
    </x:xf>
    <x:xf numFmtId="0" fontId="69" fillId="86" borderId="0" xfId="0" applyAlignment="1">
      <x:alignment horizontal="center"/>
    </x:xf>
    <x:xf numFmtId="0" fontId="68" fillId="78" borderId="104" xfId="0" applyAlignment="1">
      <x:alignment vertical="top" wrapText="1"/>
    </x:xf>
    <x:xf numFmtId="0" fontId="0" fillId="0" borderId="104" xfId="0" applyAlignment="1">
      <x:alignment vertical="top" wrapText="1"/>
    </x:xf>
    <x:xf numFmtId="0" fontId="68" fillId="78" borderId="101" xfId="0" applyAlignment="1">
      <x:alignment horizontal="center" vertical="center" wrapText="1"/>
    </x:xf>
    <x:xf numFmtId="0" fontId="74" fillId="85" borderId="101" xfId="0" applyAlignment="1">
      <x:alignment horizontal="center" wrapText="1"/>
    </x:xf>
    <x:xf numFmtId="0" fontId="68" fillId="78" borderId="0" xfId="1" applyAlignment="1">
      <x:alignment horizontal="center" vertical="center" wrapText="1"/>
    </x:xf>
    <x:xf numFmtId="0" fontId="68" fillId="78" borderId="0" xfId="0" applyAlignment="1">
      <x:alignment horizontal="center" vertical="center" wrapText="1"/>
    </x:xf>
    <x:xf numFmtId="0" fontId="75" fillId="0" borderId="0" xfId="0"/>
    <x:xf numFmtId="0" fontId="0" fillId="87" borderId="104" xfId="0" applyAlignment="1">
      <x:alignment vertical="top" wrapText="1"/>
    </x:xf>
    <x:xf numFmtId="0" fontId="0" fillId="79" borderId="104" xfId="0" applyAlignment="1">
      <x:alignment vertical="top" wrapText="1"/>
    </x:xf>
    <x:xf numFmtId="0" fontId="0" fillId="80" borderId="104" xfId="0"/>
    <x:xf numFmtId="175" fontId="0" fillId="0" borderId="104" xfId="0" applyAlignment="1">
      <x:alignment vertical="top" wrapText="1"/>
    </x:xf>
    <x:xf numFmtId="0" fontId="0" fillId="0" borderId="104" xfId="0" applyAlignment="1">
      <x:alignment horizontal="center"/>
    </x:xf>
    <x:xf numFmtId="175" fontId="0" fillId="79" borderId="104" xfId="0" applyAlignment="1">
      <x:alignment vertical="top" wrapText="1"/>
    </x:xf>
    <x:xf numFmtId="0" fontId="0" fillId="79" borderId="59" xfId="1" applyAlignment="1">
      <x:alignment horizontal="left" vertical="center"/>
    </x:xf>
    <x:xf numFmtId="0" fontId="76" fillId="0" borderId="64" xfId="0" applyAlignment="1">
      <x:alignment wrapText="1"/>
    </x:xf>
    <x:xf numFmtId="0" fontId="70" fillId="80" borderId="0" xfId="0"/>
    <x:xf numFmtId="0" fontId="69" fillId="88" borderId="64" xfId="0" applyAlignment="1">
      <x:alignment horizontal="center"/>
    </x:xf>
    <x:xf numFmtId="0" fontId="70" fillId="80" borderId="104" xfId="0" applyAlignment="1">
      <x:alignment vertical="top" wrapText="1"/>
    </x:xf>
    <x:xf numFmtId="0" fontId="0" fillId="83" borderId="0" xfId="0" applyAlignment="1">
      <x:alignment vertical="top" wrapText="1"/>
    </x:xf>
    <x:xf numFmtId="0" fontId="0" fillId="79" borderId="62" xfId="1" applyAlignment="1">
      <x:alignment wrapText="1"/>
    </x:xf>
    <x:xf numFmtId="10" fontId="0" fillId="79" borderId="62" xfId="1" applyAlignment="1">
      <x:alignment wrapText="1"/>
    </x:xf>
    <x:xf numFmtId="0" fontId="68" fillId="88" borderId="0" xfId="0"/>
    <x:xf numFmtId="0" fontId="0" fillId="0" borderId="110" xfId="0" applyNumberFormat="1" applyFont="1" applyFill="1" applyBorder="1"/>
    <x:xf numFmtId="0" fontId="37" fillId="0" borderId="110" xfId="0" applyNumberFormat="1" applyFont="1" applyFill="1" applyBorder="1"/>
    <x:xf numFmtId="0" fontId="38" fillId="0" borderId="110" xfId="0" applyNumberFormat="1" applyFont="1" applyFill="1" applyBorder="1"/>
    <x:xf numFmtId="0" fontId="0" fillId="0" borderId="110" xfId="0" applyNumberFormat="1" applyFont="1" applyFill="1" applyBorder="1" applyAlignment="1">
      <x:alignment wrapText="1"/>
    </x:xf>
    <x:xf numFmtId="0" fontId="13" fillId="45" borderId="104" xfId="0" applyNumberFormat="1" applyFont="1" applyFill="1" applyBorder="1" applyAlignment="1">
      <x:alignment horizontal="center" vertical="center" wrapText="1"/>
    </x:xf>
    <x:xf numFmtId="0" fontId="40" fillId="46" borderId="104" xfId="0" applyNumberFormat="1" applyFont="1" applyFill="1" applyBorder="1" applyAlignment="1">
      <x:alignment vertical="center" wrapText="1"/>
    </x:xf>
    <x:xf numFmtId="0" fontId="0" fillId="0" borderId="104" xfId="0" applyNumberFormat="1" applyFont="1" applyFill="1" applyBorder="1" applyAlignment="1">
      <x:alignment vertical="center" wrapText="1"/>
    </x:xf>
    <x:xf numFmtId="10" fontId="0" fillId="0" borderId="104" xfId="0" applyNumberFormat="1" applyFont="1" applyFill="1" applyBorder="1" applyAlignment="1">
      <x:alignment vertical="center" wrapText="1"/>
    </x:xf>
    <x:xf numFmtId="164" fontId="0" fillId="0" borderId="104" xfId="0" applyNumberFormat="1" applyFont="1" applyFill="1" applyBorder="1" applyAlignment="1">
      <x:alignment vertical="center" wrapText="1"/>
    </x:xf>
    <x:xf numFmtId="0" fontId="0" fillId="0" borderId="104" xfId="0" applyNumberFormat="1" applyFont="1" applyFill="1" applyBorder="1"/>
    <x:xf numFmtId="10" fontId="0" fillId="0" borderId="104" xfId="0" applyNumberFormat="1" applyFont="1" applyFill="1" applyBorder="1"/>
    <x:xf numFmtId="3" fontId="0" fillId="0" borderId="104" xfId="0" applyNumberFormat="1" applyFont="1" applyFill="1" applyBorder="1"/>
    <x:xf numFmtId="0" fontId="13" fillId="45" borderId="104" xfId="0" applyNumberFormat="1" applyFont="1" applyFill="1" applyBorder="1" applyAlignment="1">
      <x:alignment vertical="center" wrapText="1"/>
    </x:xf>
    <x:xf numFmtId="0" fontId="40" fillId="46" borderId="104" xfId="0" applyNumberFormat="1" applyFont="1" applyFill="1" applyBorder="1"/>
    <x:xf numFmtId="0" fontId="0" fillId="13" borderId="104" xfId="0" applyNumberFormat="1" applyFont="1" applyFill="1" applyBorder="1"/>
    <x:xf numFmtId="0" fontId="1" fillId="0" borderId="111" xfId="0" applyNumberFormat="1" applyFont="1" applyFill="1" applyBorder="1" applyAlignment="1">
      <x:alignment horizontal="right" vertical="center" wrapText="1"/>
    </x:xf>
    <x:xf numFmtId="0" fontId="4" fillId="3" borderId="112" xfId="0" applyNumberFormat="1" applyFont="1" applyFill="1" applyBorder="1" applyAlignment="1">
      <x:alignment horizontal="right" vertical="center" wrapText="1"/>
    </x:xf>
    <x:xf numFmtId="1" fontId="5" fillId="0" borderId="113" xfId="0" applyNumberFormat="1" applyFont="1" applyFill="1" applyBorder="1" applyAlignment="1">
      <x:alignment horizontal="right" vertical="center"/>
    </x:xf>
    <x:xf numFmtId="1" fontId="6" fillId="0" borderId="114" xfId="0" applyNumberFormat="1" applyFont="1" applyFill="1" applyBorder="1" applyAlignment="1">
      <x:alignment horizontal="right" vertical="center"/>
    </x:xf>
    <x:xf numFmtId="1" fontId="5" fillId="0" borderId="115" xfId="0" applyNumberFormat="1" applyFont="1" applyFill="1" applyBorder="1" applyAlignment="1">
      <x:alignment horizontal="right" vertical="center"/>
    </x:xf>
    <x:xf numFmtId="1" fontId="6" fillId="0" borderId="116" xfId="0" applyNumberFormat="1" applyFont="1" applyFill="1" applyBorder="1" applyAlignment="1">
      <x:alignment horizontal="right" vertical="center"/>
    </x:xf>
    <x:xf numFmtId="0" fontId="7" fillId="3" borderId="112" xfId="0" applyNumberFormat="1" applyFont="1" applyFill="1" applyBorder="1" applyAlignment="1">
      <x:alignment horizontal="right" vertical="center"/>
    </x:xf>
    <x:xf numFmtId="1" fontId="7" fillId="3" borderId="117" xfId="0" applyNumberFormat="1" applyFont="1" applyFill="1" applyBorder="1"/>
    <x:xf numFmtId="0" fontId="0" fillId="3" borderId="117" xfId="0" applyNumberFormat="1" applyFont="1" applyFill="1" applyBorder="1"/>
    <x:xf numFmtId="0" fontId="0" fillId="3" borderId="113" xfId="0" applyNumberFormat="1" applyFont="1" applyFill="1" applyBorder="1"/>
    <x:xf numFmtId="0" fontId="4" fillId="4" borderId="112" xfId="0" applyNumberFormat="1" applyFont="1" applyFill="1" applyBorder="1" applyAlignment="1">
      <x:alignment horizontal="right"/>
    </x:xf>
    <x:xf numFmtId="165" fontId="7" fillId="4" borderId="113" xfId="0" applyNumberFormat="1" applyFont="1" applyFill="1" applyBorder="1"/>
    <x:xf numFmtId="164" fontId="0" fillId="4" borderId="114" xfId="0" applyNumberFormat="1" applyFont="1" applyFill="1" applyBorder="1"/>
    <x:xf numFmtId="164" fontId="7" fillId="4" borderId="115" xfId="0" applyNumberFormat="1" applyFont="1" applyFill="1" applyBorder="1"/>
    <x:xf numFmtId="0" fontId="4" fillId="5" borderId="112" xfId="0" applyNumberFormat="1" applyFont="1" applyFill="1" applyBorder="1" applyAlignment="1">
      <x:alignment horizontal="right"/>
    </x:xf>
    <x:xf numFmtId="165" fontId="7" fillId="5" borderId="113" xfId="0" applyNumberFormat="1" applyFont="1" applyFill="1" applyBorder="1"/>
    <x:xf numFmtId="164" fontId="0" fillId="5" borderId="114" xfId="0" applyNumberFormat="1" applyFont="1" applyFill="1" applyBorder="1"/>
    <x:xf numFmtId="164" fontId="7" fillId="5" borderId="115" xfId="0" applyNumberFormat="1" applyFont="1" applyFill="1" applyBorder="1"/>
    <x:xf numFmtId="0" fontId="4" fillId="6" borderId="112" xfId="0" applyNumberFormat="1" applyFont="1" applyFill="1" applyBorder="1" applyAlignment="1">
      <x:alignment horizontal="right"/>
    </x:xf>
    <x:xf numFmtId="165" fontId="7" fillId="6" borderId="113" xfId="0" applyNumberFormat="1" applyFont="1" applyFill="1" applyBorder="1"/>
    <x:xf numFmtId="164" fontId="0" fillId="6" borderId="114" xfId="0" applyNumberFormat="1" applyFont="1" applyFill="1" applyBorder="1"/>
    <x:xf numFmtId="164" fontId="7" fillId="6" borderId="115" xfId="0" applyNumberFormat="1" applyFont="1" applyFill="1" applyBorder="1"/>
    <x:xf numFmtId="0" fontId="7" fillId="0" borderId="112" xfId="0" applyNumberFormat="1" applyFont="1" applyFill="1" applyBorder="1" applyAlignment="1">
      <x:alignment horizontal="right" vertical="center"/>
    </x:xf>
    <x:xf numFmtId="0" fontId="9" fillId="0" borderId="118" xfId="0" applyNumberFormat="1" applyFont="1" applyFill="1" applyBorder="1"/>
    <x:xf numFmtId="0" fontId="9" fillId="0" borderId="119" xfId="0" applyNumberFormat="1" applyFont="1" applyFill="1" applyBorder="1"/>
    <x:xf numFmtId="0" fontId="4" fillId="2" borderId="112" xfId="0" applyNumberFormat="1" applyFont="1" applyFill="1" applyBorder="1" applyAlignment="1">
      <x:alignment horizontal="right" vertical="top" wrapText="1"/>
    </x:xf>
    <x:xf numFmtId="164" fontId="7" fillId="2" borderId="113" xfId="0" applyNumberFormat="1" applyFont="1" applyFill="1" applyBorder="1"/>
    <x:xf numFmtId="164" fontId="0" fillId="2" borderId="114" xfId="0" applyNumberFormat="1" applyFont="1" applyFill="1" applyBorder="1"/>
    <x:xf numFmtId="164" fontId="7" fillId="2" borderId="115" xfId="0" applyNumberFormat="1" applyFont="1" applyFill="1" applyBorder="1"/>
    <x:xf numFmtId="164" fontId="0" fillId="2" borderId="116" xfId="0" applyNumberFormat="1" applyFont="1" applyFill="1" applyBorder="1"/>
    <x:xf numFmtId="164" fontId="7" fillId="3" borderId="117" xfId="0" applyNumberFormat="1" applyFont="1" applyFill="1" applyBorder="1"/>
    <x:xf numFmtId="164" fontId="0" fillId="3" borderId="117" xfId="0" applyNumberFormat="1" applyFont="1" applyFill="1" applyBorder="1"/>
    <x:xf numFmtId="0" fontId="4" fillId="7" borderId="112" xfId="0" applyNumberFormat="1" applyFont="1" applyFill="1" applyBorder="1" applyAlignment="1">
      <x:alignment horizontal="right" vertical="top" wrapText="1"/>
    </x:xf>
    <x:xf numFmtId="164" fontId="7" fillId="7" borderId="113" xfId="0" applyNumberFormat="1" applyFont="1" applyFill="1" applyBorder="1"/>
    <x:xf numFmtId="164" fontId="0" fillId="7" borderId="114" xfId="0" applyNumberFormat="1" applyFont="1" applyFill="1" applyBorder="1"/>
    <x:xf numFmtId="164" fontId="7" fillId="7" borderId="115" xfId="0" applyNumberFormat="1" applyFont="1" applyFill="1" applyBorder="1"/>
    <x:xf numFmtId="164" fontId="0" fillId="7" borderId="116" xfId="0" applyNumberFormat="1" applyFont="1" applyFill="1" applyBorder="1"/>
    <x:xf numFmtId="164" fontId="7" fillId="7" borderId="115" xfId="0" applyNumberFormat="1" applyFont="1" applyFill="1" applyBorder="1" applyAlignment="1">
      <x:alignment horizontal="right"/>
    </x:xf>
    <x:xf numFmtId="0" fontId="4" fillId="8" borderId="112" xfId="0" applyNumberFormat="1" applyFont="1" applyFill="1" applyBorder="1" applyAlignment="1">
      <x:alignment horizontal="right" vertical="top" wrapText="1"/>
    </x:xf>
    <x:xf numFmtId="164" fontId="7" fillId="8" borderId="113" xfId="0" applyNumberFormat="1" applyFont="1" applyFill="1" applyBorder="1"/>
    <x:xf numFmtId="164" fontId="0" fillId="8" borderId="114" xfId="0" applyNumberFormat="1" applyFont="1" applyFill="1" applyBorder="1"/>
    <x:xf numFmtId="164" fontId="7" fillId="8" borderId="115" xfId="0" applyNumberFormat="1" applyFont="1" applyFill="1" applyBorder="1"/>
    <x:xf numFmtId="164" fontId="0" fillId="8" borderId="116" xfId="0" applyNumberFormat="1" applyFont="1" applyFill="1" applyBorder="1"/>
    <x:xf numFmtId="0" fontId="10" fillId="9" borderId="112" xfId="0" applyNumberFormat="1" applyFont="1" applyFill="1" applyBorder="1" applyAlignment="1">
      <x:alignment horizontal="right" vertical="top" wrapText="1"/>
    </x:xf>
    <x:xf numFmtId="164" fontId="11" fillId="9" borderId="113" xfId="0" applyNumberFormat="1" applyFont="1" applyFill="1" applyBorder="1"/>
    <x:xf numFmtId="164" fontId="12" fillId="9" borderId="114" xfId="0" applyNumberFormat="1" applyFont="1" applyFill="1" applyBorder="1"/>
    <x:xf numFmtId="164" fontId="11" fillId="10" borderId="115" xfId="0" applyNumberFormat="1" applyFont="1" applyFill="1" applyBorder="1"/>
    <x:xf numFmtId="164" fontId="12" fillId="10" borderId="114" xfId="0" applyNumberFormat="1" applyFont="1" applyFill="1" applyBorder="1"/>
    <x:xf numFmtId="164" fontId="11" fillId="10" borderId="120" xfId="0" applyNumberFormat="1" applyFont="1" applyFill="1" applyBorder="1"/>
    <x:xf numFmtId="164" fontId="12" fillId="10" borderId="121" xfId="0" applyNumberFormat="1" applyFont="1" applyFill="1" applyBorder="1"/>
    <x:xf numFmtId="164" fontId="11" fillId="10" borderId="113" xfId="0" applyNumberFormat="1" applyFont="1" applyFill="1" applyBorder="1"/>
    <x:xf numFmtId="164" fontId="11" fillId="9" borderId="122" xfId="0" applyNumberFormat="1" applyFont="1" applyFill="1" applyBorder="1"/>
    <x:xf numFmtId="164" fontId="11" fillId="10" borderId="123" xfId="0" applyNumberFormat="1" applyFont="1" applyFill="1" applyBorder="1"/>
    <x:xf numFmtId="164" fontId="12" fillId="10" borderId="124" xfId="0" applyNumberFormat="1" applyFont="1" applyFill="1" applyBorder="1"/>
    <x:xf numFmtId="164" fontId="13" fillId="10" borderId="115" xfId="0" applyNumberFormat="1" applyFont="1" applyFill="1" applyBorder="1"/>
    <x:xf numFmtId="164" fontId="11" fillId="10" borderId="115" xfId="0" applyNumberFormat="1" applyFont="1" applyFill="1" applyBorder="1" applyAlignment="1">
      <x:alignment horizontal="right"/>
    </x:xf>
    <x:xf numFmtId="164" fontId="13" fillId="10" borderId="115" xfId="0" applyNumberFormat="1" applyFont="1" applyFill="1" applyBorder="1" applyAlignment="1">
      <x:alignment horizontal="right"/>
    </x:xf>
    <x:xf numFmtId="164" fontId="11" fillId="10" borderId="125" xfId="0" applyNumberFormat="1" applyFont="1" applyFill="1" applyBorder="1"/>
    <x:xf numFmtId="164" fontId="12" fillId="10" borderId="126" xfId="0" applyNumberFormat="1" applyFont="1" applyFill="1" applyBorder="1"/>
    <x:xf numFmtId="0" fontId="0" fillId="0" borderId="127" xfId="0" applyNumberFormat="1" applyFont="1" applyFill="1" applyBorder="1" applyAlignment="1">
      <x:alignment horizontal="right"/>
    </x:xf>
    <x:xf numFmtId="1" fontId="7" fillId="0" borderId="122" xfId="0" applyNumberFormat="1" applyFont="1" applyFill="1" applyBorder="1"/>
    <x:xf numFmtId="1" fontId="0" fillId="0" borderId="128" xfId="0" applyNumberFormat="1" applyFont="1" applyFill="1" applyBorder="1"/>
    <x:xf numFmtId="1" fontId="7" fillId="0" borderId="115" xfId="0" applyNumberFormat="1" applyFont="1" applyFill="1" applyBorder="1"/>
    <x:xf numFmtId="1" fontId="0" fillId="0" borderId="114" xfId="0" applyNumberFormat="1" applyFont="1" applyFill="1" applyBorder="1"/>
    <x:xf numFmtId="1" fontId="0" fillId="0" borderId="116" xfId="0" applyNumberFormat="1" applyFont="1" applyFill="1" applyBorder="1"/>
    <x:xf numFmtId="1" fontId="7" fillId="0" borderId="113" xfId="0" applyNumberFormat="1" applyFont="1" applyFill="1" applyBorder="1"/>
    <x:xf numFmtId="1" fontId="7" fillId="0" borderId="129" xfId="0" applyNumberFormat="1" applyFont="1" applyFill="1" applyBorder="1"/>
    <x:xf numFmtId="1" fontId="0" fillId="0" borderId="130" xfId="0" applyNumberFormat="1" applyFont="1" applyFill="1" applyBorder="1"/>
    <x:xf numFmtId="1" fontId="0" fillId="3" borderId="117" xfId="0" applyNumberFormat="1" applyFont="1" applyFill="1" applyBorder="1"/>
    <x:xf numFmtId="0" fontId="14" fillId="0" borderId="131" xfId="0" applyNumberFormat="1" applyFont="1" applyFill="1" applyBorder="1" applyAlignment="1">
      <x:alignment horizontal="right" vertical="center" wrapText="1"/>
    </x:xf>
    <x:xf numFmtId="1" fontId="5" fillId="0" borderId="132" xfId="0" applyNumberFormat="1" applyFont="1" applyFill="1" applyBorder="1" applyAlignment="1">
      <x:alignment horizontal="right" vertical="center"/>
    </x:xf>
    <x:xf numFmtId="1" fontId="6" fillId="0" borderId="133" xfId="0" applyNumberFormat="1" applyFont="1" applyFill="1" applyBorder="1" applyAlignment="1">
      <x:alignment horizontal="right" vertical="center"/>
    </x:xf>
    <x:xf numFmtId="1" fontId="5" fillId="0" borderId="115" xfId="0" applyNumberFormat="1" applyFont="1" applyFill="1" applyBorder="1" applyAlignment="1">
      <x:alignment vertical="center"/>
    </x:xf>
    <x:xf numFmtId="1" fontId="6" fillId="0" borderId="114" xfId="0" applyNumberFormat="1" applyFont="1" applyFill="1" applyBorder="1" applyAlignment="1">
      <x:alignment vertical="center"/>
    </x:xf>
    <x:xf numFmtId="1" fontId="6" fillId="0" borderId="116" xfId="0" applyNumberFormat="1" applyFont="1" applyFill="1" applyBorder="1" applyAlignment="1">
      <x:alignment vertical="center"/>
    </x:xf>
    <x:xf numFmtId="1" fontId="5" fillId="0" borderId="113" xfId="0" applyNumberFormat="1" applyFont="1" applyFill="1" applyBorder="1" applyAlignment="1">
      <x:alignment vertical="center"/>
    </x:xf>
    <x:xf numFmtId="1" fontId="5" fillId="0" borderId="129" xfId="0" applyNumberFormat="1" applyFont="1" applyFill="1" applyBorder="1" applyAlignment="1">
      <x:alignment vertical="center"/>
    </x:xf>
    <x:xf numFmtId="1" fontId="6" fillId="0" borderId="130" xfId="0" applyNumberFormat="1" applyFont="1" applyFill="1" applyBorder="1" applyAlignment="1">
      <x:alignment vertical="center"/>
    </x:xf>
    <x:xf numFmtId="0" fontId="0" fillId="0" borderId="134" xfId="0" applyNumberFormat="1" applyFont="1" applyFill="1" applyBorder="1" applyAlignment="1">
      <x:alignment horizontal="center" vertical="center"/>
    </x:xf>
    <x:xf numFmtId="164" fontId="7" fillId="0" borderId="135" xfId="0" applyNumberFormat="1" applyFont="1" applyFill="1" applyBorder="1" applyAlignment="1">
      <x:alignment horizontal="right" vertical="center"/>
    </x:xf>
    <x:xf numFmtId="164" fontId="0" fillId="0" borderId="130" xfId="0" applyNumberFormat="1" applyFont="1" applyFill="1" applyBorder="1" applyAlignment="1">
      <x:alignment horizontal="right" vertical="center"/>
    </x:xf>
    <x:xf numFmtId="1" fontId="4" fillId="0" borderId="115" xfId="0" applyNumberFormat="1" applyFont="1" applyFill="1" applyBorder="1" applyAlignment="1">
      <x:alignment horizontal="center" vertical="center"/>
    </x:xf>
    <x:xf numFmtId="0" fontId="9" fillId="0" borderId="114" xfId="0" applyNumberFormat="1" applyFont="1" applyFill="1" applyBorder="1" applyAlignment="1">
      <x:alignment horizontal="center" vertical="center"/>
    </x:xf>
    <x:xf numFmtId="1" fontId="9" fillId="0" borderId="116" xfId="0" applyNumberFormat="1" applyFont="1" applyFill="1" applyBorder="1" applyAlignment="1">
      <x:alignment horizontal="center" vertical="center"/>
    </x:xf>
    <x:xf numFmtId="1" fontId="4" fillId="0" borderId="113" xfId="0" applyNumberFormat="1" applyFont="1" applyFill="1" applyBorder="1" applyAlignment="1">
      <x:alignment horizontal="center" vertical="center"/>
    </x:xf>
    <x:xf numFmtId="1" fontId="9" fillId="0" borderId="114" xfId="0" applyNumberFormat="1" applyFont="1" applyFill="1" applyBorder="1" applyAlignment="1">
      <x:alignment horizontal="center" vertical="center"/>
    </x:xf>
    <x:xf numFmtId="0" fontId="0" fillId="0" borderId="112" xfId="0" applyNumberFormat="1" applyFont="1" applyFill="1" applyBorder="1" applyAlignment="1">
      <x:alignment horizontal="center" vertical="center"/>
    </x:xf>
    <x:xf numFmtId="164" fontId="7" fillId="0" borderId="113" xfId="0" applyNumberFormat="1" applyFont="1" applyFill="1" applyBorder="1" applyAlignment="1">
      <x:alignment horizontal="right" vertical="center"/>
    </x:xf>
    <x:xf numFmtId="0" fontId="0" fillId="0" borderId="112" xfId="0" applyNumberFormat="1" applyFont="1" applyFill="1" applyBorder="1" applyAlignment="1">
      <x:alignment horizontal="right"/>
    </x:xf>
    <x:xf numFmtId="0" fontId="0" fillId="0" borderId="136" xfId="0" applyNumberFormat="1" applyFont="1" applyFill="1" applyBorder="1"/>
    <x:xf numFmtId="0" fontId="0" fillId="0" borderId="117" xfId="0" applyNumberFormat="1" applyFont="1" applyFill="1" applyBorder="1" applyAlignment="1">
      <x:alignment horizontal="right" vertical="center"/>
    </x:xf>
    <x:xf numFmtId="164" fontId="15" fillId="7" borderId="115" xfId="0" applyNumberFormat="1" applyFont="1" applyFill="1" applyBorder="1" applyAlignment="1">
      <x:alignment horizontal="right"/>
    </x:xf>
    <x:xf numFmtId="1" fontId="0" fillId="0" borderId="127" xfId="0" applyNumberFormat="1" applyFont="1" applyFill="1" applyBorder="1" applyAlignment="1">
      <x:alignment horizontal="right" wrapText="1"/>
    </x:xf>
    <x:xf numFmtId="1" fontId="7" fillId="0" borderId="137" xfId="0" applyNumberFormat="1" applyFont="1" applyFill="1" applyBorder="1"/>
    <x:xf numFmtId="1" fontId="7" fillId="0" borderId="117" xfId="0" applyNumberFormat="1" applyFont="1" applyFill="1" applyBorder="1"/>
    <x:xf numFmtId="1" fontId="0" fillId="0" borderId="117" xfId="0" applyNumberFormat="1" applyFont="1" applyFill="1" applyBorder="1"/>
    <x:xf numFmtId="1" fontId="14" fillId="0" borderId="131" xfId="0" applyNumberFormat="1" applyFont="1" applyFill="1" applyBorder="1" applyAlignment="1">
      <x:alignment horizontal="right" vertical="center" wrapText="1"/>
    </x:xf>
    <x:xf numFmtId="1" fontId="5" fillId="0" borderId="138" xfId="0" applyNumberFormat="1" applyFont="1" applyFill="1" applyBorder="1" applyAlignment="1">
      <x:alignment horizontal="right" vertical="center"/>
    </x:xf>
    <x:xf numFmtId="1" fontId="6" fillId="0" borderId="139" xfId="0" applyNumberFormat="1" applyFont="1" applyFill="1" applyBorder="1" applyAlignment="1">
      <x:alignment horizontal="right" vertical="center"/>
    </x:xf>
    <x:xf numFmtId="1" fontId="5" fillId="0" borderId="117" xfId="0" applyNumberFormat="1" applyFont="1" applyFill="1" applyBorder="1" applyAlignment="1">
      <x:alignment vertical="center"/>
    </x:xf>
    <x:xf numFmtId="1" fontId="6" fillId="0" borderId="117" xfId="0" applyNumberFormat="1" applyFont="1" applyFill="1" applyBorder="1" applyAlignment="1">
      <x:alignment vertical="center"/>
    </x:xf>
    <x:xf numFmtId="0" fontId="6" fillId="0" borderId="134" xfId="0" applyNumberFormat="1" applyFont="1" applyFill="1" applyBorder="1" applyAlignment="1">
      <x:alignment horizontal="right"/>
    </x:xf>
    <x:xf numFmtId="164" fontId="7" fillId="0" borderId="129" xfId="0" applyNumberFormat="1" applyFont="1" applyFill="1" applyBorder="1"/>
    <x:xf numFmtId="164" fontId="0" fillId="0" borderId="130" xfId="0" applyNumberFormat="1" applyFont="1" applyFill="1" applyBorder="1"/>
    <x:xf numFmtId="0" fontId="6" fillId="0" borderId="112" xfId="0" applyNumberFormat="1" applyFont="1" applyFill="1" applyBorder="1" applyAlignment="1">
      <x:alignment horizontal="right"/>
    </x:xf>
    <x:xf numFmtId="164" fontId="7" fillId="0" borderId="115" xfId="0" applyNumberFormat="1" applyFont="1" applyFill="1" applyBorder="1"/>
    <x:xf numFmtId="1" fontId="5" fillId="0" borderId="115" xfId="0" applyNumberFormat="1" applyFont="1" applyFill="1" applyBorder="1"/>
    <x:xf numFmtId="0" fontId="6" fillId="0" borderId="112" xfId="0" applyNumberFormat="1" applyFont="1" applyFill="1" applyBorder="1" applyAlignment="1">
      <x:alignment horizontal="right" wrapText="1"/>
    </x:xf>
    <x:xf numFmtId="0" fontId="1" fillId="0" borderId="112" xfId="0" applyNumberFormat="1" applyFont="1" applyFill="1" applyBorder="1" applyAlignment="1">
      <x:alignment horizontal="right" vertical="center" wrapText="1"/>
    </x:xf>
    <x:xf numFmtId="1" fontId="7" fillId="0" borderId="115" xfId="0" applyNumberFormat="1" applyFont="1" applyFill="1" applyBorder="1" applyAlignment="1">
      <x:alignment horizontal="right"/>
    </x:xf>
    <x:xf numFmtId="1" fontId="0" fillId="0" borderId="114" xfId="0" applyNumberFormat="1" applyFont="1" applyFill="1" applyBorder="1" applyAlignment="1">
      <x:alignment horizontal="right"/>
    </x:xf>
    <x:xf numFmtId="1" fontId="7" fillId="3" borderId="140" xfId="0" applyNumberFormat="1" applyFont="1" applyFill="1" applyBorder="1" applyAlignment="1">
      <x:alignment vertical="center"/>
    </x:xf>
    <x:xf numFmtId="1" fontId="7" fillId="3" borderId="110" xfId="0" applyNumberFormat="1" applyFont="1" applyFill="1" applyBorder="1" applyAlignment="1">
      <x:alignment vertical="center"/>
    </x:xf>
    <x:xf numFmtId="1" fontId="7" fillId="3" borderId="141" xfId="0" applyNumberFormat="1" applyFont="1" applyFill="1" applyBorder="1" applyAlignment="1">
      <x:alignment vertical="center"/>
    </x:xf>
    <x:xf numFmtId="1" fontId="0" fillId="11" borderId="140" xfId="0" applyNumberFormat="1" applyFont="1" applyFill="1" applyBorder="1"/>
    <x:xf numFmtId="1" fontId="0" fillId="11" borderId="110" xfId="0" applyNumberFormat="1" applyFont="1" applyFill="1" applyBorder="1"/>
    <x:xf numFmtId="164" fontId="0" fillId="4" borderId="116" xfId="0" applyNumberFormat="1" applyFont="1" applyFill="1" applyBorder="1"/>
    <x:xf numFmtId="164" fontId="7" fillId="4" borderId="115" xfId="0" applyNumberFormat="1" applyFont="1" applyFill="1" applyBorder="1" applyAlignment="1">
      <x:alignment horizontal="right"/>
    </x:xf>
    <x:xf numFmtId="164" fontId="0" fillId="4" borderId="114" xfId="0" applyNumberFormat="1" applyFont="1" applyFill="1" applyBorder="1" applyAlignment="1">
      <x:alignment horizontal="right"/>
    </x:xf>
    <x:xf numFmtId="164" fontId="0" fillId="12" borderId="114" xfId="0" applyNumberFormat="1" applyFont="1" applyFill="1" applyBorder="1"/>
    <x:xf numFmtId="164" fontId="0" fillId="5" borderId="116" xfId="0" applyNumberFormat="1" applyFont="1" applyFill="1" applyBorder="1"/>
    <x:xf numFmtId="164" fontId="7" fillId="5" borderId="115" xfId="0" applyNumberFormat="1" applyFont="1" applyFill="1" applyBorder="1" applyAlignment="1">
      <x:alignment horizontal="right"/>
    </x:xf>
    <x:xf numFmtId="164" fontId="0" fillId="5" borderId="114" xfId="0" applyNumberFormat="1" applyFont="1" applyFill="1" applyBorder="1" applyAlignment="1">
      <x:alignment horizontal="right"/>
    </x:xf>
    <x:xf numFmtId="164" fontId="0" fillId="13" borderId="114" xfId="0" applyNumberFormat="1" applyFont="1" applyFill="1" applyBorder="1"/>
    <x:xf numFmtId="164" fontId="0" fillId="6" borderId="116" xfId="0" applyNumberFormat="1" applyFont="1" applyFill="1" applyBorder="1"/>
    <x:xf numFmtId="164" fontId="7" fillId="6" borderId="115" xfId="0" applyNumberFormat="1" applyFont="1" applyFill="1" applyBorder="1" applyAlignment="1">
      <x:alignment horizontal="right"/>
    </x:xf>
    <x:xf numFmtId="164" fontId="0" fillId="6" borderId="114" xfId="0" applyNumberFormat="1" applyFont="1" applyFill="1" applyBorder="1" applyAlignment="1">
      <x:alignment horizontal="right"/>
    </x:xf>
    <x:xf numFmtId="164" fontId="7" fillId="6" borderId="137" xfId="0" applyNumberFormat="1" applyFont="1" applyFill="1" applyBorder="1"/>
    <x:xf numFmtId="164" fontId="0" fillId="6" borderId="128" xfId="0" applyNumberFormat="1" applyFont="1" applyFill="1" applyBorder="1"/>
    <x:xf numFmtId="0" fontId="7" fillId="0" borderId="123" xfId="0" applyNumberFormat="1" applyFont="1" applyFill="1" applyBorder="1" applyAlignment="1">
      <x:alignment horizontal="right" vertical="center"/>
    </x:xf>
    <x:xf numFmtId="1" fontId="7" fillId="0" borderId="142" xfId="0" applyNumberFormat="1" applyFont="1" applyFill="1" applyBorder="1" applyAlignment="1">
      <x:alignment vertical="center"/>
    </x:xf>
    <x:xf numFmtId="1" fontId="7" fillId="0" borderId="110" xfId="0" applyNumberFormat="1" applyFont="1" applyFill="1" applyBorder="1" applyAlignment="1">
      <x:alignment vertical="center"/>
    </x:xf>
    <x:xf numFmtId="164" fontId="0" fillId="14" borderId="114" xfId="0" applyNumberFormat="1" applyFont="1" applyFill="1" applyBorder="1"/>
    <x:xf numFmtId="1" fontId="7" fillId="0" borderId="118" xfId="0" applyNumberFormat="1" applyFont="1" applyFill="1" applyBorder="1" applyAlignment="1">
      <x:alignment vertical="center"/>
    </x:xf>
    <x:xf numFmtId="1" fontId="0" fillId="0" borderId="110" xfId="0" applyNumberFormat="1" applyFont="1" applyFill="1" applyBorder="1"/>
    <x:xf numFmtId="0" fontId="9" fillId="0" borderId="110" xfId="0" applyNumberFormat="1" applyFont="1" applyFill="1" applyBorder="1"/>
    <x:xf numFmtId="164" fontId="7" fillId="2" borderId="115" xfId="0" applyNumberFormat="1" applyFont="1" applyFill="1" applyBorder="1" applyAlignment="1">
      <x:alignment horizontal="right"/>
    </x:xf>
    <x:xf numFmtId="164" fontId="0" fillId="2" borderId="114" xfId="0" applyNumberFormat="1" applyFont="1" applyFill="1" applyBorder="1" applyAlignment="1">
      <x:alignment horizontal="right"/>
    </x:xf>
    <x:xf numFmtId="164" fontId="7" fillId="3" borderId="110" xfId="0" applyNumberFormat="1" applyFont="1" applyFill="1" applyBorder="1"/>
    <x:xf numFmtId="164" fontId="0" fillId="3" borderId="110" xfId="0" applyNumberFormat="1" applyFont="1" applyFill="1" applyBorder="1"/>
    <x:xf numFmtId="164" fontId="7" fillId="15" borderId="115" xfId="0" applyNumberFormat="1" applyFont="1" applyFill="1" applyBorder="1" applyAlignment="1">
      <x:alignment horizontal="right"/>
    </x:xf>
    <x:xf numFmtId="164" fontId="0" fillId="15" borderId="114" xfId="0" applyNumberFormat="1" applyFont="1" applyFill="1" applyBorder="1" applyAlignment="1">
      <x:alignment horizontal="right"/>
    </x:xf>
    <x:xf numFmtId="164" fontId="7" fillId="16" borderId="115" xfId="0" applyNumberFormat="1" applyFont="1" applyFill="1" applyBorder="1" applyAlignment="1">
      <x:alignment horizontal="right"/>
    </x:xf>
    <x:xf numFmtId="164" fontId="0" fillId="16" borderId="114" xfId="0" applyNumberFormat="1" applyFont="1" applyFill="1" applyBorder="1" applyAlignment="1">
      <x:alignment horizontal="right"/>
    </x:xf>
    <x:xf numFmtId="164" fontId="7" fillId="8" borderId="115" xfId="0" applyNumberFormat="1" applyFont="1" applyFill="1" applyBorder="1" applyAlignment="1">
      <x:alignment horizontal="right"/>
    </x:xf>
    <x:xf numFmtId="164" fontId="0" fillId="8" borderId="114" xfId="0" applyNumberFormat="1" applyFont="1" applyFill="1" applyBorder="1" applyAlignment="1">
      <x:alignment horizontal="right"/>
    </x:xf>
    <x:xf numFmtId="0" fontId="16" fillId="10" borderId="112" xfId="0" applyNumberFormat="1" applyFont="1" applyFill="1" applyBorder="1" applyAlignment="1">
      <x:alignment horizontal="right" vertical="top" wrapText="1"/>
    </x:xf>
    <x:xf numFmtId="164" fontId="12" fillId="10" borderId="116" xfId="0" applyNumberFormat="1" applyFont="1" applyFill="1" applyBorder="1"/>
    <x:xf numFmtId="164" fontId="17" fillId="10" borderId="114" xfId="0" applyNumberFormat="1" applyFont="1" applyFill="1" applyBorder="1" applyAlignment="1">
      <x:alignment horizontal="right"/>
    </x:xf>
    <x:xf numFmtId="1" fontId="0" fillId="0" borderId="137" xfId="0" applyNumberFormat="1" applyFont="1" applyFill="1" applyBorder="1"/>
    <x:xf numFmtId="1" fontId="0" fillId="0" borderId="143" xfId="0" applyNumberFormat="1" applyFont="1" applyFill="1" applyBorder="1"/>
    <x:xf numFmtId="1" fontId="0" fillId="0" borderId="144" xfId="0" applyNumberFormat="1" applyFont="1" applyFill="1" applyBorder="1"/>
    <x:xf numFmtId="0" fontId="0" fillId="0" borderId="122" xfId="0" applyNumberFormat="1" applyFont="1" applyFill="1" applyBorder="1"/>
    <x:xf numFmtId="0" fontId="0" fillId="0" borderId="144" xfId="0" applyNumberFormat="1" applyFont="1" applyFill="1" applyBorder="1"/>
    <x:xf numFmtId="1" fontId="7" fillId="3" borderId="110" xfId="0" applyNumberFormat="1" applyFont="1" applyFill="1" applyBorder="1"/>
    <x:xf numFmtId="1" fontId="0" fillId="3" borderId="110" xfId="0" applyNumberFormat="1" applyFont="1" applyFill="1" applyBorder="1"/>
    <x:xf numFmtId="1" fontId="5" fillId="0" borderId="123" xfId="0" applyNumberFormat="1" applyFont="1" applyFill="1" applyBorder="1" applyAlignment="1">
      <x:alignment vertical="center"/>
    </x:xf>
    <x:xf numFmtId="1" fontId="6" fillId="0" borderId="110" xfId="0" applyNumberFormat="1" applyFont="1" applyFill="1" applyBorder="1" applyAlignment="1">
      <x:alignment vertical="center"/>
    </x:xf>
    <x:xf numFmtId="1" fontId="5" fillId="0" borderId="110" xfId="0" applyNumberFormat="1" applyFont="1" applyFill="1" applyBorder="1" applyAlignment="1">
      <x:alignment vertical="center"/>
    </x:xf>
    <x:xf numFmtId="0" fontId="6" fillId="0" borderId="110" xfId="0" applyNumberFormat="1" applyFont="1" applyFill="1" applyBorder="1" applyAlignment="1">
      <x:alignment vertical="center"/>
    </x:xf>
    <x:xf numFmtId="164" fontId="7" fillId="0" borderId="129" xfId="0" applyNumberFormat="1" applyFont="1" applyFill="1" applyBorder="1" applyAlignment="1">
      <x:alignment horizontal="right" vertical="center"/>
    </x:xf>
    <x:xf numFmtId="1" fontId="4" fillId="0" borderId="123" xfId="0" applyNumberFormat="1" applyFont="1" applyFill="1" applyBorder="1" applyAlignment="1">
      <x:alignment horizontal="center" vertical="center"/>
    </x:xf>
    <x:xf numFmtId="0" fontId="9" fillId="0" borderId="110" xfId="0" applyNumberFormat="1" applyFont="1" applyFill="1" applyBorder="1" applyAlignment="1">
      <x:alignment horizontal="center" vertical="center"/>
    </x:xf>
    <x:xf numFmtId="1" fontId="4" fillId="0" borderId="110" xfId="0" applyNumberFormat="1" applyFont="1" applyFill="1" applyBorder="1" applyAlignment="1">
      <x:alignment horizontal="center" vertical="center"/>
    </x:xf>
    <x:xf numFmtId="1" fontId="9" fillId="0" borderId="110" xfId="0" applyNumberFormat="1" applyFont="1" applyFill="1" applyBorder="1" applyAlignment="1">
      <x:alignment horizontal="center" vertical="center"/>
    </x:xf>
    <x:xf numFmtId="164" fontId="7" fillId="0" borderId="115" xfId="0" applyNumberFormat="1" applyFont="1" applyFill="1" applyBorder="1" applyAlignment="1">
      <x:alignment horizontal="right" vertical="center"/>
    </x:xf>
    <x:xf numFmtId="0" fontId="0" fillId="0" borderId="120" xfId="0" applyNumberFormat="1" applyFont="1" applyFill="1" applyBorder="1"/>
    <x:xf numFmtId="1" fontId="7" fillId="0" borderId="110" xfId="0" applyNumberFormat="1" applyFont="1" applyFill="1" applyBorder="1"/>
    <x:xf numFmtId="164" fontId="7" fillId="0" borderId="122" xfId="0" applyNumberFormat="1" applyFont="1" applyFill="1" applyBorder="1" applyAlignment="1">
      <x:alignment horizontal="right" vertical="center"/>
    </x:xf>
    <x:xf numFmtId="164" fontId="0" fillId="0" borderId="142" xfId="0" applyNumberFormat="1" applyFont="1" applyFill="1" applyBorder="1" applyAlignment="1">
      <x:alignment horizontal="right" vertical="center"/>
    </x:xf>
    <x:xf numFmtId="0" fontId="0" fillId="0" borderId="125" xfId="0" applyNumberFormat="1" applyFont="1" applyFill="1" applyBorder="1"/>
    <x:xf numFmtId="0" fontId="15" fillId="11" borderId="112" xfId="0" applyNumberFormat="1" applyFont="1" applyFill="1" applyBorder="1" applyAlignment="1">
      <x:alignment horizontal="right" vertical="center"/>
    </x:xf>
    <x:xf numFmtId="1" fontId="7" fillId="3" borderId="140" xfId="0" applyNumberFormat="1" applyFont="1" applyFill="1" applyBorder="1"/>
    <x:xf numFmtId="1" fontId="7" fillId="3" borderId="141" xfId="0" applyNumberFormat="1" applyFont="1" applyFill="1" applyBorder="1"/>
    <x:xf numFmtId="0" fontId="0" fillId="3" borderId="145" xfId="0" applyNumberFormat="1" applyFont="1" applyFill="1" applyBorder="1"/>
    <x:xf numFmtId="0" fontId="7" fillId="11" borderId="112" xfId="0" applyNumberFormat="1" applyFont="1" applyFill="1" applyBorder="1" applyAlignment="1">
      <x:alignment horizontal="right" vertical="center"/>
    </x:xf>
    <x:xf numFmtId="0" fontId="9" fillId="0" borderId="128" xfId="0" applyNumberFormat="1" applyFont="1" applyFill="1" applyBorder="1"/>
    <x:xf numFmtId="164" fontId="7" fillId="16" borderId="137" xfId="0" applyNumberFormat="1" applyFont="1" applyFill="1" applyBorder="1" applyAlignment="1">
      <x:alignment horizontal="right"/>
    </x:xf>
    <x:xf numFmtId="164" fontId="0" fillId="16" borderId="128" xfId="0" applyNumberFormat="1" applyFont="1" applyFill="1" applyBorder="1" applyAlignment="1">
      <x:alignment horizontal="right"/>
    </x:xf>
    <x:xf numFmtId="164" fontId="7" fillId="11" borderId="110" xfId="0" applyNumberFormat="1" applyFont="1" applyFill="1" applyBorder="1" applyAlignment="1">
      <x:alignment horizontal="right"/>
    </x:xf>
    <x:xf numFmtId="164" fontId="0" fillId="11" borderId="110" xfId="0" applyNumberFormat="1" applyFont="1" applyFill="1" applyBorder="1" applyAlignment="1">
      <x:alignment horizontal="right"/>
    </x:xf>
    <x:xf numFmtId="164" fontId="7" fillId="11" borderId="110" xfId="0" applyNumberFormat="1" applyFont="1" applyFill="1" applyBorder="1"/>
    <x:xf numFmtId="164" fontId="0" fillId="11" borderId="110" xfId="0" applyNumberFormat="1" applyFont="1" applyFill="1" applyBorder="1"/>
    <x:xf numFmtId="1" fontId="14" fillId="0" borderId="112" xfId="0" applyNumberFormat="1" applyFont="1" applyFill="1" applyBorder="1" applyAlignment="1">
      <x:alignment horizontal="right" vertical="center" wrapText="1"/>
    </x:xf>
    <x:xf numFmtId="1" fontId="5" fillId="0" borderId="123" xfId="0" applyNumberFormat="1" applyFont="1" applyFill="1" applyBorder="1" applyAlignment="1">
      <x:alignment horizontal="right" vertical="center"/>
    </x:xf>
    <x:xf numFmtId="1" fontId="6" fillId="0" borderId="117" xfId="0" applyNumberFormat="1" applyFont="1" applyFill="1" applyBorder="1" applyAlignment="1">
      <x:alignment horizontal="right" vertical="center"/>
    </x:xf>
    <x:xf numFmtId="164" fontId="7" fillId="0" borderId="123" xfId="0" applyNumberFormat="1" applyFont="1" applyFill="1" applyBorder="1"/>
    <x:xf numFmtId="164" fontId="0" fillId="0" borderId="117" xfId="0" applyNumberFormat="1" applyFont="1" applyFill="1" applyBorder="1"/>
    <x:xf numFmtId="0" fontId="0" fillId="0" borderId="110" xfId="0" applyNumberFormat="1" applyFont="1" applyFill="1" applyBorder="1" applyAlignment="1">
      <x:alignment horizontal="right" vertical="center"/>
    </x:xf>
    <x:xf numFmtId="0" fontId="7" fillId="0" borderId="110" xfId="0" applyNumberFormat="1" applyFont="1" applyFill="1" applyBorder="1" applyAlignment="1">
      <x:alignment horizontal="right" vertical="center"/>
    </x:xf>
    <x:xf numFmtId="0" fontId="7" fillId="0" borderId="143" xfId="0" applyNumberFormat="1" applyFont="1" applyFill="1" applyBorder="1" applyAlignment="1">
      <x:alignment horizontal="right" vertical="center"/>
    </x:xf>
    <x:xf numFmtId="0" fontId="0" fillId="0" borderId="122" xfId="0" applyNumberFormat="1" applyFont="1" applyFill="1" applyBorder="1" applyAlignment="1">
      <x:alignment horizontal="right" vertical="center"/>
    </x:xf>
    <x:xf numFmtId="1" fontId="5" fillId="0" borderId="142" xfId="0" applyNumberFormat="1" applyFont="1" applyFill="1" applyBorder="1" applyAlignment="1">
      <x:alignment horizontal="left" vertical="center"/>
    </x:xf>
    <x:xf numFmtId="1" fontId="6" fillId="0" borderId="118" xfId="0" applyNumberFormat="1" applyFont="1" applyFill="1" applyBorder="1" applyAlignment="1">
      <x:alignment horizontal="left" vertical="center"/>
    </x:xf>
    <x:xf numFmtId="1" fontId="5" fillId="0" borderId="142" xfId="0" applyNumberFormat="1" applyFont="1" applyFill="1" applyBorder="1" applyAlignment="1">
      <x:alignment horizontal="left" vertical="center" wrapText="1"/>
    </x:xf>
    <x:xf numFmtId="1" fontId="6" fillId="0" borderId="118" xfId="0" applyNumberFormat="1" applyFont="1" applyFill="1" applyBorder="1" applyAlignment="1">
      <x:alignment vertical="center"/>
    </x:xf>
    <x:xf numFmtId="1" fontId="5" fillId="0" borderId="110" xfId="0" applyNumberFormat="1" applyFont="1" applyFill="1" applyBorder="1" applyAlignment="1">
      <x:alignment vertical="center" wrapText="1"/>
    </x:xf>
    <x:xf numFmtId="1" fontId="5" fillId="0" borderId="140" xfId="0" applyNumberFormat="1" applyFont="1" applyFill="1" applyBorder="1" applyAlignment="1">
      <x:alignment vertical="center"/>
    </x:xf>
    <x:xf numFmtId="1" fontId="6" fillId="0" borderId="141" xfId="0" applyNumberFormat="1" applyFont="1" applyFill="1" applyBorder="1" applyAlignment="1">
      <x:alignment vertical="center"/>
    </x:xf>
    <x:xf numFmtId="1" fontId="5" fillId="0" borderId="140" xfId="0" applyNumberFormat="1" applyFont="1" applyFill="1" applyBorder="1" applyAlignment="1">
      <x:alignment horizontal="left" vertical="center" wrapText="1"/>
    </x:xf>
    <x:xf numFmtId="0" fontId="0" fillId="0" borderId="146" xfId="0" applyNumberFormat="1" applyFont="1" applyFill="1" applyBorder="1" applyAlignment="1">
      <x:alignment horizontal="right" vertical="center"/>
    </x:xf>
    <x:xf numFmtId="1" fontId="0" fillId="0" borderId="118" xfId="0" applyNumberFormat="1" applyFont="1" applyFill="1" applyBorder="1" applyAlignment="1">
      <x:alignment vertical="center"/>
    </x:xf>
    <x:xf numFmtId="1" fontId="0" fillId="0" borderId="142" xfId="0" applyNumberFormat="1" applyFont="1" applyFill="1" applyBorder="1" applyAlignment="1">
      <x:alignment vertical="center"/>
    </x:xf>
    <x:xf numFmtId="1" fontId="0" fillId="0" borderId="110" xfId="0" applyNumberFormat="1" applyFont="1" applyFill="1" applyBorder="1" applyAlignment="1">
      <x:alignment vertical="center"/>
    </x:xf>
    <x:xf numFmtId="1" fontId="7" fillId="0" borderId="140" xfId="0" applyNumberFormat="1" applyFont="1" applyFill="1" applyBorder="1" applyAlignment="1">
      <x:alignment vertical="center"/>
    </x:xf>
    <x:xf numFmtId="1" fontId="0" fillId="0" borderId="141" xfId="0" applyNumberFormat="1" applyFont="1" applyFill="1" applyBorder="1" applyAlignment="1">
      <x:alignment vertical="center"/>
    </x:xf>
    <x:xf numFmtId="1" fontId="0" fillId="0" borderId="140" xfId="0" applyNumberFormat="1" applyFont="1" applyFill="1" applyBorder="1" applyAlignment="1">
      <x:alignment vertical="center"/>
    </x:xf>
    <x:xf numFmtId="0" fontId="7" fillId="0" borderId="146" xfId="0" applyNumberFormat="1" applyFont="1" applyFill="1" applyBorder="1" applyAlignment="1">
      <x:alignment horizontal="right" wrapText="1"/>
    </x:xf>
    <x:xf numFmtId="164" fontId="7" fillId="0" borderId="142" xfId="0" applyNumberFormat="1" applyFont="1" applyFill="1" applyBorder="1"/>
    <x:xf numFmtId="164" fontId="0" fillId="0" borderId="118" xfId="0" applyNumberFormat="1" applyFont="1" applyFill="1" applyBorder="1"/>
    <x:xf numFmtId="164" fontId="7" fillId="0" borderId="110" xfId="0" applyNumberFormat="1" applyFont="1" applyFill="1" applyBorder="1"/>
    <x:xf numFmtId="164" fontId="0" fillId="0" borderId="110" xfId="0" applyNumberFormat="1" applyFont="1" applyFill="1" applyBorder="1"/>
    <x:xf numFmtId="164" fontId="7" fillId="0" borderId="140" xfId="0" applyNumberFormat="1" applyFont="1" applyFill="1" applyBorder="1"/>
    <x:xf numFmtId="164" fontId="0" fillId="0" borderId="141" xfId="0" applyNumberFormat="1" applyFont="1" applyFill="1" applyBorder="1"/>
    <x:xf numFmtId="164" fontId="15" fillId="0" borderId="140" xfId="0" applyNumberFormat="1" applyFont="1" applyFill="1" applyBorder="1" applyAlignment="1">
      <x:alignment horizontal="right"/>
    </x:xf>
    <x:xf numFmtId="164" fontId="21" fillId="0" borderId="141" xfId="0" applyNumberFormat="1" applyFont="1" applyFill="1" applyBorder="1" applyAlignment="1">
      <x:alignment horizontal="right"/>
    </x:xf>
    <x:xf numFmtId="0" fontId="6" fillId="0" borderId="146" xfId="0" applyNumberFormat="1" applyFont="1" applyFill="1" applyBorder="1" applyAlignment="1">
      <x:alignment horizontal="right" wrapText="1"/>
    </x:xf>
    <x:xf numFmtId="164" fontId="7" fillId="0" borderId="140" xfId="0" applyNumberFormat="1" applyFont="1" applyFill="1" applyBorder="1" applyAlignment="1">
      <x:alignment horizontal="right"/>
    </x:xf>
    <x:xf numFmtId="164" fontId="22" fillId="11" borderId="140" xfId="0" applyNumberFormat="1" applyFont="1" applyFill="1" applyBorder="1"/>
    <x:xf numFmtId="0" fontId="0" fillId="0" borderId="146" xfId="0" applyNumberFormat="1" applyFont="1" applyFill="1" applyBorder="1" applyAlignment="1">
      <x:alignment horizontal="right" wrapText="1"/>
    </x:xf>
    <x:xf numFmtId="164" fontId="7" fillId="0" borderId="147" xfId="0" applyNumberFormat="1" applyFont="1" applyFill="1" applyBorder="1"/>
    <x:xf numFmtId="164" fontId="0" fillId="0" borderId="148" xfId="0" applyNumberFormat="1" applyFont="1" applyFill="1" applyBorder="1"/>
    <x:xf numFmtId="1" fontId="7" fillId="0" borderId="147" xfId="0" applyNumberFormat="1" applyFont="1" applyFill="1" applyBorder="1"/>
    <x:xf numFmtId="1" fontId="0" fillId="0" borderId="148" xfId="0" applyNumberFormat="1" applyFont="1" applyFill="1" applyBorder="1"/>
    <x:xf numFmtId="0" fontId="0" fillId="0" borderId="128" xfId="0" applyNumberFormat="1" applyFont="1" applyFill="1" applyBorder="1" applyAlignment="1">
      <x:alignment horizontal="right" wrapText="1"/>
    </x:xf>
    <x:xf numFmtId="0" fontId="0" fillId="0" borderId="142" xfId="0" applyNumberFormat="1" applyFont="1" applyFill="1" applyBorder="1" applyAlignment="1">
      <x:alignment horizontal="right"/>
    </x:xf>
    <x:xf numFmtId="0" fontId="0" fillId="0" borderId="149" xfId="0" applyNumberFormat="1" applyFont="1" applyFill="1" applyBorder="1" applyAlignment="1">
      <x:alignment horizontal="right"/>
    </x:xf>
    <x:xf numFmtId="0" fontId="6" fillId="0" borderId="150" xfId="0" applyNumberFormat="1" applyFont="1" applyFill="1" applyBorder="1" applyAlignment="1">
      <x:alignment horizontal="right" vertical="center" wrapText="1"/>
    </x:xf>
    <x:xf numFmtId="1" fontId="5" fillId="0" borderId="110" xfId="0" applyNumberFormat="1" applyFont="1" applyFill="1" applyBorder="1" applyAlignment="1">
      <x:alignment horizontal="right" vertical="center"/>
    </x:xf>
    <x:xf numFmtId="1" fontId="6" fillId="0" borderId="141" xfId="0" applyNumberFormat="1" applyFont="1" applyFill="1" applyBorder="1" applyAlignment="1">
      <x:alignment horizontal="right" vertical="center"/>
    </x:xf>
    <x:xf numFmtId="1" fontId="5" fillId="0" borderId="140" xfId="0" applyNumberFormat="1" applyFont="1" applyFill="1" applyBorder="1" applyAlignment="1">
      <x:alignment horizontal="right" vertical="center"/>
    </x:xf>
    <x:xf numFmtId="0" fontId="0" fillId="0" borderId="150" xfId="0" applyNumberFormat="1" applyFont="1" applyFill="1" applyBorder="1" applyAlignment="1">
      <x:alignment horizontal="right"/>
    </x:xf>
    <x:xf numFmtId="0" fontId="0" fillId="0" borderId="151" xfId="0" applyNumberFormat="1" applyFont="1" applyFill="1" applyBorder="1" applyAlignment="1">
      <x:alignment horizontal="right"/>
    </x:xf>
    <x:xf numFmtId="164" fontId="7" fillId="0" borderId="152" xfId="0" applyNumberFormat="1" applyFont="1" applyFill="1" applyBorder="1" applyAlignment="1">
      <x:alignment horizontal="right"/>
    </x:xf>
    <x:xf numFmtId="164" fontId="7" fillId="0" borderId="147" xfId="0" applyNumberFormat="1" applyFont="1" applyFill="1" applyBorder="1" applyAlignment="1">
      <x:alignment horizontal="right"/>
    </x:xf>
    <x:xf numFmtId="0" fontId="7" fillId="0" borderId="110" xfId="0" applyNumberFormat="1" applyFont="1" applyFill="1" applyBorder="1" applyAlignment="1">
      <x:alignment horizontal="right" vertical="center" wrapText="1"/>
    </x:xf>
    <x:xf numFmtId="0" fontId="1" fillId="0" borderId="111" xfId="0" applyNumberFormat="1" applyFont="1" applyFill="1" applyBorder="1" applyAlignment="1">
      <x:alignment horizontal="right" wrapText="1"/>
    </x:xf>
    <x:xf numFmtId="0" fontId="0" fillId="0" borderId="112" xfId="0" applyNumberFormat="1" applyFont="1" applyFill="1" applyBorder="1" applyAlignment="1">
      <x:alignment horizontal="right" vertical="center" wrapText="1"/>
    </x:xf>
    <x:xf numFmtId="1" fontId="5" fillId="0" borderId="115" xfId="0" applyNumberFormat="1" applyFont="1" applyFill="1" applyBorder="1" applyAlignment="1">
      <x:alignment horizontal="right" vertical="center" wrapText="1"/>
    </x:xf>
    <x:xf numFmtId="1" fontId="6" fillId="0" borderId="116" xfId="0" applyNumberFormat="1" applyFont="1" applyFill="1" applyBorder="1" applyAlignment="1">
      <x:alignment horizontal="right" vertical="center" wrapText="1"/>
    </x:xf>
    <x:xf numFmtId="0" fontId="0" fillId="0" borderId="112" xfId="0" applyNumberFormat="1" applyFont="1" applyFill="1" applyBorder="1" applyAlignment="1">
      <x:alignment horizontal="right" wrapText="1"/>
    </x:xf>
    <x:xf numFmtId="1" fontId="7" fillId="0" borderId="115" xfId="0" applyNumberFormat="1" applyFont="1" applyFill="1" applyBorder="1" applyAlignment="1">
      <x:alignment horizontal="right" wrapText="1"/>
    </x:xf>
    <x:xf numFmtId="1" fontId="0" fillId="0" borderId="116" xfId="0" applyNumberFormat="1" applyFont="1" applyFill="1" applyBorder="1" applyAlignment="1">
      <x:alignment horizontal="right" wrapText="1"/>
    </x:xf>
    <x:xf numFmtId="0" fontId="7" fillId="17" borderId="112" xfId="0" applyNumberFormat="1" applyFont="1" applyFill="1" applyBorder="1" applyAlignment="1">
      <x:alignment horizontal="right" vertical="center" wrapText="1"/>
    </x:xf>
    <x:xf numFmtId="164" fontId="7" fillId="17" borderId="115" xfId="0" applyNumberFormat="1" applyFont="1" applyFill="1" applyBorder="1" applyAlignment="1">
      <x:alignment horizontal="right" vertical="center" wrapText="1"/>
    </x:xf>
    <x:xf numFmtId="164" fontId="0" fillId="17" borderId="116" xfId="0" applyNumberFormat="1" applyFont="1" applyFill="1" applyBorder="1" applyAlignment="1">
      <x:alignment horizontal="right" vertical="center" wrapText="1"/>
    </x:xf>
    <x:xf numFmtId="0" fontId="7" fillId="24" borderId="112" xfId="0" applyNumberFormat="1" applyFont="1" applyFill="1" applyBorder="1" applyAlignment="1">
      <x:alignment horizontal="right" wrapText="1"/>
    </x:xf>
    <x:xf numFmtId="164" fontId="7" fillId="24" borderId="115" xfId="0" applyNumberFormat="1" applyFont="1" applyFill="1" applyBorder="1" applyAlignment="1">
      <x:alignment horizontal="right" wrapText="1"/>
    </x:xf>
    <x:xf numFmtId="164" fontId="0" fillId="24" borderId="116" xfId="0" applyNumberFormat="1" applyFont="1" applyFill="1" applyBorder="1" applyAlignment="1">
      <x:alignment horizontal="right" wrapText="1"/>
    </x:xf>
    <x:xf numFmtId="0" fontId="7" fillId="25" borderId="112" xfId="0" applyNumberFormat="1" applyFont="1" applyFill="1" applyBorder="1" applyAlignment="1">
      <x:alignment horizontal="right" wrapText="1"/>
    </x:xf>
    <x:xf numFmtId="164" fontId="7" fillId="25" borderId="115" xfId="0" applyNumberFormat="1" applyFont="1" applyFill="1" applyBorder="1" applyAlignment="1">
      <x:alignment horizontal="right" wrapText="1"/>
    </x:xf>
    <x:xf numFmtId="164" fontId="0" fillId="25" borderId="116" xfId="0" applyNumberFormat="1" applyFont="1" applyFill="1" applyBorder="1" applyAlignment="1">
      <x:alignment horizontal="right" wrapText="1"/>
    </x:xf>
    <x:xf numFmtId="0" fontId="7" fillId="17" borderId="153" xfId="0" applyNumberFormat="1" applyFont="1" applyFill="1" applyBorder="1" applyAlignment="1">
      <x:alignment horizontal="right" vertical="center" wrapText="1"/>
    </x:xf>
    <x:xf numFmtId="164" fontId="7" fillId="17" borderId="154" xfId="0" applyNumberFormat="1" applyFont="1" applyFill="1" applyBorder="1" applyAlignment="1">
      <x:alignment horizontal="right" vertical="center" wrapText="1"/>
    </x:xf>
    <x:xf numFmtId="164" fontId="0" fillId="17" borderId="155" xfId="0" applyNumberFormat="1" applyFont="1" applyFill="1" applyBorder="1" applyAlignment="1">
      <x:alignment horizontal="right" vertical="center" wrapText="1"/>
    </x:xf>
    <x:xf numFmtId="0" fontId="7" fillId="11" borderId="110" xfId="0" applyNumberFormat="1" applyFont="1" applyFill="1" applyBorder="1" applyAlignment="1">
      <x:alignment horizontal="right" wrapText="1"/>
    </x:xf>
    <x:xf numFmtId="164" fontId="7" fillId="11" borderId="110" xfId="0" applyNumberFormat="1" applyFont="1" applyFill="1" applyBorder="1" applyAlignment="1">
      <x:alignment horizontal="right" wrapText="1"/>
    </x:xf>
    <x:xf numFmtId="164" fontId="0" fillId="11" borderId="110" xfId="0" applyNumberFormat="1" applyFont="1" applyFill="1" applyBorder="1" applyAlignment="1">
      <x:alignment horizontal="right" wrapText="1"/>
    </x:xf>
    <x:xf numFmtId="0" fontId="1" fillId="0" borderId="110" xfId="0" applyNumberFormat="1" applyFont="1" applyFill="1" applyBorder="1" applyAlignment="1">
      <x:alignment horizontal="right" vertical="center" wrapText="1"/>
    </x:xf>
    <x:xf numFmtId="0" fontId="7" fillId="24" borderId="153" xfId="0" applyNumberFormat="1" applyFont="1" applyFill="1" applyBorder="1" applyAlignment="1">
      <x:alignment horizontal="right" wrapText="1"/>
    </x:xf>
    <x:xf numFmtId="164" fontId="7" fillId="24" borderId="154" xfId="0" applyNumberFormat="1" applyFont="1" applyFill="1" applyBorder="1" applyAlignment="1">
      <x:alignment horizontal="right" wrapText="1"/>
    </x:xf>
    <x:xf numFmtId="164" fontId="0" fillId="24" borderId="155" xfId="0" applyNumberFormat="1" applyFont="1" applyFill="1" applyBorder="1" applyAlignment="1">
      <x:alignment horizontal="right" wrapText="1"/>
    </x:xf>
    <x:xf numFmtId="0" fontId="0" fillId="0" borderId="110" xfId="0" applyNumberFormat="1" applyFont="1" applyFill="1" applyBorder="1" applyAlignment="1">
      <x:alignment horizontal="right" vertical="center" wrapText="1"/>
    </x:xf>
    <x:xf numFmtId="0" fontId="0" fillId="17" borderId="116" xfId="0" applyNumberFormat="1" applyFont="1" applyFill="1" applyBorder="1" applyAlignment="1">
      <x:alignment horizontal="right" vertical="center" wrapText="1"/>
    </x:xf>
    <x:xf numFmtId="0" fontId="6" fillId="17" borderId="116" xfId="0" applyNumberFormat="1" applyFont="1" applyFill="1" applyBorder="1" applyAlignment="1">
      <x:alignment horizontal="right" vertical="center" wrapText="1"/>
    </x:xf>
    <x:xf numFmtId="164" fontId="6" fillId="17" borderId="116" xfId="0" applyNumberFormat="1" applyFont="1" applyFill="1" applyBorder="1" applyAlignment="1">
      <x:alignment horizontal="right" vertical="center" wrapText="1"/>
    </x:xf>
    <x:xf numFmtId="164" fontId="6" fillId="17" borderId="155" xfId="0" applyNumberFormat="1" applyFont="1" applyFill="1" applyBorder="1" applyAlignment="1">
      <x:alignment horizontal="right" vertical="center" wrapText="1"/>
    </x:xf>
    <x:xf numFmtId="0" fontId="7" fillId="24" borderId="112" xfId="0" applyNumberFormat="1" applyFont="1" applyFill="1" applyBorder="1" applyAlignment="1">
      <x:alignment horizontal="right" vertical="center" wrapText="1"/>
    </x:xf>
    <x:xf numFmtId="164" fontId="7" fillId="24" borderId="115" xfId="0" applyNumberFormat="1" applyFont="1" applyFill="1" applyBorder="1" applyAlignment="1">
      <x:alignment horizontal="right" vertical="center" wrapText="1"/>
    </x:xf>
    <x:xf numFmtId="164" fontId="0" fillId="24" borderId="116" xfId="0" applyNumberFormat="1" applyFont="1" applyFill="1" applyBorder="1" applyAlignment="1">
      <x:alignment horizontal="right" vertical="center" wrapText="1"/>
    </x:xf>
    <x:xf numFmtId="164" fontId="6" fillId="24" borderId="116" xfId="0" applyNumberFormat="1" applyFont="1" applyFill="1" applyBorder="1" applyAlignment="1">
      <x:alignment horizontal="right" vertical="center" wrapText="1"/>
    </x:xf>
    <x:xf numFmtId="0" fontId="7" fillId="24" borderId="153" xfId="0" applyNumberFormat="1" applyFont="1" applyFill="1" applyBorder="1" applyAlignment="1">
      <x:alignment horizontal="right" vertical="center" wrapText="1"/>
    </x:xf>
    <x:xf numFmtId="164" fontId="7" fillId="24" borderId="154" xfId="0" applyNumberFormat="1" applyFont="1" applyFill="1" applyBorder="1" applyAlignment="1">
      <x:alignment horizontal="right" vertical="center" wrapText="1"/>
    </x:xf>
    <x:xf numFmtId="164" fontId="0" fillId="24" borderId="155" xfId="0" applyNumberFormat="1" applyFont="1" applyFill="1" applyBorder="1" applyAlignment="1">
      <x:alignment horizontal="right" vertical="center" wrapText="1"/>
    </x:xf>
    <x:xf numFmtId="164" fontId="6" fillId="24" borderId="155" xfId="0" applyNumberFormat="1" applyFont="1" applyFill="1" applyBorder="1" applyAlignment="1">
      <x:alignment horizontal="right" vertical="center" wrapText="1"/>
    </x:xf>
    <x:xf numFmtId="0" fontId="0" fillId="0" borderId="150" xfId="0" applyNumberFormat="1" applyFont="1" applyFill="1" applyBorder="1" applyAlignment="1">
      <x:alignment horizontal="right" vertical="center" wrapText="1"/>
    </x:xf>
    <x:xf numFmtId="0" fontId="7" fillId="6" borderId="112" xfId="0" applyNumberFormat="1" applyFont="1" applyFill="1" applyBorder="1" applyAlignment="1">
      <x:alignment horizontal="right" vertical="center" wrapText="1"/>
    </x:xf>
    <x:xf numFmtId="164" fontId="7" fillId="6" borderId="129" xfId="0" applyNumberFormat="1" applyFont="1" applyFill="1" applyBorder="1" applyAlignment="1">
      <x:alignment horizontal="right" vertical="center" wrapText="1"/>
    </x:xf>
    <x:xf numFmtId="164" fontId="0" fillId="6" borderId="156" xfId="0" applyNumberFormat="1" applyFont="1" applyFill="1" applyBorder="1" applyAlignment="1">
      <x:alignment horizontal="right" vertical="center" wrapText="1"/>
    </x:xf>
    <x:xf numFmtId="164" fontId="7" fillId="6" borderId="115" xfId="0" applyNumberFormat="1" applyFont="1" applyFill="1" applyBorder="1" applyAlignment="1">
      <x:alignment horizontal="right" vertical="center" wrapText="1"/>
    </x:xf>
    <x:xf numFmtId="164" fontId="0" fillId="6" borderId="116" xfId="0" applyNumberFormat="1" applyFont="1" applyFill="1" applyBorder="1" applyAlignment="1">
      <x:alignment horizontal="right" vertical="center" wrapText="1"/>
    </x:xf>
    <x:xf numFmtId="164" fontId="7" fillId="26" borderId="129" xfId="0" applyNumberFormat="1" applyFont="1" applyFill="1" applyBorder="1" applyAlignment="1">
      <x:alignment horizontal="right" vertical="center" wrapText="1"/>
    </x:xf>
    <x:xf numFmtId="164" fontId="0" fillId="26" borderId="156" xfId="0" applyNumberFormat="1" applyFont="1" applyFill="1" applyBorder="1" applyAlignment="1">
      <x:alignment horizontal="right" vertical="center" wrapText="1"/>
    </x:xf>
    <x:xf numFmtId="164" fontId="7" fillId="26" borderId="115" xfId="0" applyNumberFormat="1" applyFont="1" applyFill="1" applyBorder="1" applyAlignment="1">
      <x:alignment horizontal="right" vertical="center" wrapText="1"/>
    </x:xf>
    <x:xf numFmtId="164" fontId="0" fillId="26" borderId="116" xfId="0" applyNumberFormat="1" applyFont="1" applyFill="1" applyBorder="1" applyAlignment="1">
      <x:alignment horizontal="right" vertical="center" wrapText="1"/>
    </x:xf>
    <x:xf numFmtId="0" fontId="7" fillId="6" borderId="153" xfId="0" applyNumberFormat="1" applyFont="1" applyFill="1" applyBorder="1" applyAlignment="1">
      <x:alignment horizontal="right" vertical="center" wrapText="1"/>
    </x:xf>
    <x:xf numFmtId="164" fontId="7" fillId="6" borderId="154" xfId="0" applyNumberFormat="1" applyFont="1" applyFill="1" applyBorder="1" applyAlignment="1">
      <x:alignment horizontal="right" vertical="center" wrapText="1"/>
    </x:xf>
    <x:xf numFmtId="164" fontId="0" fillId="6" borderId="157" xfId="0" applyNumberFormat="1" applyFont="1" applyFill="1" applyBorder="1" applyAlignment="1">
      <x:alignment horizontal="right" vertical="center" wrapText="1"/>
    </x:xf>
    <x:xf numFmtId="164" fontId="0" fillId="6" borderId="155" xfId="0" applyNumberFormat="1" applyFont="1" applyFill="1" applyBorder="1" applyAlignment="1">
      <x:alignment horizontal="right" vertical="center" wrapText="1"/>
    </x:xf>
    <x:xf numFmtId="164" fontId="7" fillId="26" borderId="154" xfId="0" applyNumberFormat="1" applyFont="1" applyFill="1" applyBorder="1" applyAlignment="1">
      <x:alignment horizontal="right" vertical="center" wrapText="1"/>
    </x:xf>
    <x:xf numFmtId="164" fontId="0" fillId="26" borderId="157" xfId="0" applyNumberFormat="1" applyFont="1" applyFill="1" applyBorder="1" applyAlignment="1">
      <x:alignment horizontal="right" vertical="center" wrapText="1"/>
    </x:xf>
    <x:xf numFmtId="164" fontId="0" fillId="26" borderId="155" xfId="0" applyNumberFormat="1" applyFont="1" applyFill="1" applyBorder="1" applyAlignment="1">
      <x:alignment horizontal="right" vertical="center" wrapText="1"/>
    </x:xf>
    <x:xf numFmtId="0" fontId="0" fillId="11" borderId="110" xfId="0" applyNumberFormat="1" applyFont="1" applyFill="1" applyBorder="1" applyAlignment="1">
      <x:alignment horizontal="right" vertical="center" wrapText="1"/>
    </x:xf>
    <x:xf numFmtId="0" fontId="1" fillId="11" borderId="110" xfId="0" applyNumberFormat="1" applyFont="1" applyFill="1" applyBorder="1" applyAlignment="1">
      <x:alignment horizontal="right" vertical="center" wrapText="1"/>
    </x:xf>
    <x:xf numFmtId="0" fontId="7" fillId="11" borderId="110" xfId="0" applyNumberFormat="1" applyFont="1" applyFill="1" applyBorder="1" applyAlignment="1">
      <x:alignment horizontal="right" vertical="center" wrapText="1"/>
    </x:xf>
    <x:xf numFmtId="1" fontId="5" fillId="11" borderId="110" xfId="0" applyNumberFormat="1" applyFont="1" applyFill="1" applyBorder="1" applyAlignment="1">
      <x:alignment horizontal="right" vertical="center" wrapText="1"/>
    </x:xf>
    <x:xf numFmtId="1" fontId="6" fillId="11" borderId="110" xfId="0" applyNumberFormat="1" applyFont="1" applyFill="1" applyBorder="1" applyAlignment="1">
      <x:alignment horizontal="right" vertical="center" wrapText="1"/>
    </x:xf>
    <x:xf numFmtId="0" fontId="7" fillId="7" borderId="112" xfId="0" applyNumberFormat="1" applyFont="1" applyFill="1" applyBorder="1" applyAlignment="1">
      <x:alignment horizontal="right" vertical="center" wrapText="1"/>
    </x:xf>
    <x:xf numFmtId="164" fontId="7" fillId="7" borderId="115" xfId="0" applyNumberFormat="1" applyFont="1" applyFill="1" applyBorder="1" applyAlignment="1">
      <x:alignment horizontal="right" vertical="center" wrapText="1"/>
    </x:xf>
    <x:xf numFmtId="164" fontId="0" fillId="7" borderId="116" xfId="0" applyNumberFormat="1" applyFont="1" applyFill="1" applyBorder="1" applyAlignment="1">
      <x:alignment horizontal="right" vertical="center" wrapText="1"/>
    </x:xf>
    <x:xf numFmtId="164" fontId="7" fillId="11" borderId="110" xfId="0" applyNumberFormat="1" applyFont="1" applyFill="1" applyBorder="1" applyAlignment="1">
      <x:alignment horizontal="right" vertical="center" wrapText="1"/>
    </x:xf>
    <x:xf numFmtId="164" fontId="0" fillId="11" borderId="110" xfId="0" applyNumberFormat="1" applyFont="1" applyFill="1" applyBorder="1" applyAlignment="1">
      <x:alignment horizontal="right" vertical="center" wrapText="1"/>
    </x:xf>
    <x:xf numFmtId="0" fontId="7" fillId="7" borderId="153" xfId="0" applyNumberFormat="1" applyFont="1" applyFill="1" applyBorder="1" applyAlignment="1">
      <x:alignment horizontal="right" vertical="center" wrapText="1"/>
    </x:xf>
    <x:xf numFmtId="164" fontId="7" fillId="7" borderId="154" xfId="0" applyNumberFormat="1" applyFont="1" applyFill="1" applyBorder="1" applyAlignment="1">
      <x:alignment horizontal="right" vertical="center" wrapText="1"/>
    </x:xf>
    <x:xf numFmtId="164" fontId="0" fillId="7" borderId="155" xfId="0" applyNumberFormat="1" applyFont="1" applyFill="1" applyBorder="1" applyAlignment="1">
      <x:alignment horizontal="right" vertical="center" wrapText="1"/>
    </x:xf>
    <x:xf numFmtId="0" fontId="7" fillId="5" borderId="112" xfId="0" applyNumberFormat="1" applyFont="1" applyFill="1" applyBorder="1" applyAlignment="1">
      <x:alignment horizontal="right" vertical="center" wrapText="1"/>
    </x:xf>
    <x:xf numFmtId="164" fontId="7" fillId="5" borderId="115" xfId="0" applyNumberFormat="1" applyFont="1" applyFill="1" applyBorder="1" applyAlignment="1">
      <x:alignment horizontal="right" vertical="center" wrapText="1"/>
    </x:xf>
    <x:xf numFmtId="164" fontId="0" fillId="5" borderId="116" xfId="0" applyNumberFormat="1" applyFont="1" applyFill="1" applyBorder="1" applyAlignment="1">
      <x:alignment horizontal="right" vertical="center" wrapText="1"/>
    </x:xf>
    <x:xf numFmtId="0" fontId="7" fillId="27" borderId="153" xfId="0" applyNumberFormat="1" applyFont="1" applyFill="1" applyBorder="1" applyAlignment="1">
      <x:alignment horizontal="right" vertical="center" wrapText="1"/>
    </x:xf>
    <x:xf numFmtId="164" fontId="7" fillId="27" borderId="154" xfId="0" applyNumberFormat="1" applyFont="1" applyFill="1" applyBorder="1" applyAlignment="1">
      <x:alignment horizontal="right" vertical="center" wrapText="1"/>
    </x:xf>
    <x:xf numFmtId="164" fontId="0" fillId="27" borderId="155" xfId="0" applyNumberFormat="1" applyFont="1" applyFill="1" applyBorder="1" applyAlignment="1">
      <x:alignment horizontal="right" vertical="center" wrapText="1"/>
    </x:xf>
    <x:xf numFmtId="0" fontId="7" fillId="5" borderId="153" xfId="0" applyNumberFormat="1" applyFont="1" applyFill="1" applyBorder="1" applyAlignment="1">
      <x:alignment horizontal="right" vertical="center" wrapText="1"/>
    </x:xf>
    <x:xf numFmtId="164" fontId="7" fillId="5" borderId="154" xfId="0" applyNumberFormat="1" applyFont="1" applyFill="1" applyBorder="1" applyAlignment="1">
      <x:alignment horizontal="right" vertical="center" wrapText="1"/>
    </x:xf>
    <x:xf numFmtId="164" fontId="0" fillId="5" borderId="155" xfId="0" applyNumberFormat="1" applyFont="1" applyFill="1" applyBorder="1" applyAlignment="1">
      <x:alignment horizontal="right" vertical="center" wrapText="1"/>
    </x:xf>
    <x:xf numFmtId="1" fontId="5" fillId="0" borderId="158" xfId="0" applyNumberFormat="1" applyFont="1" applyFill="1" applyBorder="1" applyAlignment="1">
      <x:alignment horizontal="right" vertical="center" wrapText="1"/>
    </x:xf>
    <x:xf numFmtId="1" fontId="6" fillId="0" borderId="159" xfId="0" applyNumberFormat="1" applyFont="1" applyFill="1" applyBorder="1" applyAlignment="1">
      <x:alignment horizontal="right" vertical="center" wrapText="1"/>
    </x:xf>
    <x:xf numFmtId="164" fontId="7" fillId="23" borderId="115" xfId="0" applyNumberFormat="1" applyFont="1" applyFill="1" applyBorder="1" applyAlignment="1">
      <x:alignment horizontal="right" vertical="center" wrapText="1"/>
    </x:xf>
    <x:xf numFmtId="164" fontId="0" fillId="23" borderId="116" xfId="0" applyNumberFormat="1" applyFont="1" applyFill="1" applyBorder="1" applyAlignment="1">
      <x:alignment horizontal="right" vertical="center" wrapText="1"/>
    </x:xf>
    <x:xf numFmtId="0" fontId="7" fillId="28" borderId="112" xfId="0" applyNumberFormat="1" applyFont="1" applyFill="1" applyBorder="1" applyAlignment="1">
      <x:alignment horizontal="right" vertical="center" wrapText="1"/>
    </x:xf>
    <x:xf numFmtId="164" fontId="7" fillId="28" borderId="115" xfId="0" applyNumberFormat="1" applyFont="1" applyFill="1" applyBorder="1" applyAlignment="1">
      <x:alignment horizontal="right" vertical="center" wrapText="1"/>
    </x:xf>
    <x:xf numFmtId="164" fontId="0" fillId="28" borderId="116" xfId="0" applyNumberFormat="1" applyFont="1" applyFill="1" applyBorder="1" applyAlignment="1">
      <x:alignment horizontal="right" vertical="center" wrapText="1"/>
    </x:xf>
    <x:xf numFmtId="0" fontId="7" fillId="28" borderId="153" xfId="0" applyNumberFormat="1" applyFont="1" applyFill="1" applyBorder="1" applyAlignment="1">
      <x:alignment horizontal="right" vertical="center" wrapText="1"/>
    </x:xf>
    <x:xf numFmtId="164" fontId="7" fillId="28" borderId="154" xfId="0" applyNumberFormat="1" applyFont="1" applyFill="1" applyBorder="1" applyAlignment="1">
      <x:alignment horizontal="right" vertical="center" wrapText="1"/>
    </x:xf>
    <x:xf numFmtId="164" fontId="0" fillId="28" borderId="155" xfId="0" applyNumberFormat="1" applyFont="1" applyFill="1" applyBorder="1" applyAlignment="1">
      <x:alignment horizontal="right" vertical="center" wrapText="1"/>
    </x:xf>
    <x:xf numFmtId="1" fontId="5" fillId="0" borderId="110" xfId="0" applyNumberFormat="1" applyFont="1" applyFill="1" applyBorder="1" applyAlignment="1">
      <x:alignment horizontal="right" vertical="center" wrapText="1"/>
    </x:xf>
    <x:xf numFmtId="164" fontId="0" fillId="0" borderId="110" xfId="0" applyNumberFormat="1" applyFont="1" applyFill="1" applyBorder="1" applyAlignment="1">
      <x:alignment horizontal="right" vertical="center" wrapText="1"/>
    </x:xf>
    <x:xf numFmtId="164" fontId="7" fillId="0" borderId="110" xfId="0" applyNumberFormat="1" applyFont="1" applyFill="1" applyBorder="1" applyAlignment="1">
      <x:alignment horizontal="right" vertical="center" wrapText="1"/>
    </x:xf>
    <x:xf numFmtId="164" fontId="7" fillId="23" borderId="154" xfId="0" applyNumberFormat="1" applyFont="1" applyFill="1" applyBorder="1" applyAlignment="1">
      <x:alignment horizontal="right" vertical="center" wrapText="1"/>
    </x:xf>
    <x:xf numFmtId="164" fontId="0" fillId="23" borderId="155" xfId="0" applyNumberFormat="1" applyFont="1" applyFill="1" applyBorder="1" applyAlignment="1">
      <x:alignment horizontal="right" vertical="center" wrapText="1"/>
    </x:xf>
    <x:xf numFmtId="1" fontId="5" fillId="0" borderId="160" xfId="0" applyNumberFormat="1" applyFont="1" applyFill="1" applyBorder="1" applyAlignment="1">
      <x:alignment horizontal="left" vertical="center"/>
    </x:xf>
    <x:xf numFmtId="1" fontId="6" fillId="0" borderId="148" xfId="0" applyNumberFormat="1" applyFont="1" applyFill="1" applyBorder="1" applyAlignment="1">
      <x:alignment horizontal="left" vertical="center"/>
    </x:xf>
    <x:xf numFmtId="0" fontId="7" fillId="29" borderId="161" xfId="0" applyNumberFormat="1" applyFont="1" applyFill="1" applyBorder="1" applyAlignment="1">
      <x:alignment horizontal="right" vertical="center"/>
    </x:xf>
    <x:xf numFmtId="1" fontId="7" fillId="29" borderId="162" xfId="0" applyNumberFormat="1" applyFont="1" applyFill="1" applyBorder="1" applyAlignment="1">
      <x:alignment vertical="center"/>
    </x:xf>
    <x:xf numFmtId="1" fontId="0" fillId="29" borderId="163" xfId="0" applyNumberFormat="1" applyFont="1" applyFill="1" applyBorder="1" applyAlignment="1">
      <x:alignment vertical="center"/>
    </x:xf>
    <x:xf numFmtId="0" fontId="7" fillId="29" borderId="115" xfId="0" applyNumberFormat="1" applyFont="1" applyFill="1" applyBorder="1" applyAlignment="1">
      <x:alignment horizontal="right" wrapText="1"/>
    </x:xf>
    <x:xf numFmtId="164" fontId="7" fillId="29" borderId="117" xfId="0" applyNumberFormat="1" applyFont="1" applyFill="1" applyBorder="1" applyAlignment="1">
      <x:alignment wrapText="1"/>
    </x:xf>
    <x:xf numFmtId="164" fontId="0" fillId="29" borderId="116" xfId="0" applyNumberFormat="1" applyFont="1" applyFill="1" applyBorder="1" applyAlignment="1">
      <x:alignment wrapText="1"/>
    </x:xf>
    <x:xf numFmtId="0" fontId="5" fillId="29" borderId="115" xfId="0" applyNumberFormat="1" applyFont="1" applyFill="1" applyBorder="1" applyAlignment="1">
      <x:alignment horizontal="right" wrapText="1"/>
    </x:xf>
    <x:xf numFmtId="0" fontId="7" fillId="29" borderId="154" xfId="0" applyNumberFormat="1" applyFont="1" applyFill="1" applyBorder="1" applyAlignment="1">
      <x:alignment horizontal="right" wrapText="1"/>
    </x:xf>
    <x:xf numFmtId="164" fontId="7" fillId="29" borderId="164" xfId="0" applyNumberFormat="1" applyFont="1" applyFill="1" applyBorder="1" applyAlignment="1">
      <x:alignment wrapText="1"/>
    </x:xf>
    <x:xf numFmtId="164" fontId="0" fillId="29" borderId="155" xfId="0" applyNumberFormat="1" applyFont="1" applyFill="1" applyBorder="1" applyAlignment="1">
      <x:alignment wrapText="1"/>
    </x:xf>
    <x:xf numFmtId="0" fontId="5" fillId="0" borderId="146" xfId="0" applyNumberFormat="1" applyFont="1" applyFill="1" applyBorder="1" applyAlignment="1">
      <x:alignment horizontal="right" wrapText="1"/>
    </x:xf>
    <x:xf numFmtId="164" fontId="7" fillId="0" borderId="146" xfId="0" applyNumberFormat="1" applyFont="1" applyFill="1" applyBorder="1" applyAlignment="1">
      <x:alignment wrapText="1"/>
    </x:xf>
    <x:xf numFmtId="164" fontId="0" fillId="0" borderId="146" xfId="0" applyNumberFormat="1" applyFont="1" applyFill="1" applyBorder="1" applyAlignment="1">
      <x:alignment wrapText="1"/>
    </x:xf>
    <x:xf numFmtId="0" fontId="7" fillId="5" borderId="161" xfId="0" applyNumberFormat="1" applyFont="1" applyFill="1" applyBorder="1" applyAlignment="1">
      <x:alignment horizontal="right" wrapText="1"/>
    </x:xf>
    <x:xf numFmtId="164" fontId="7" fillId="5" borderId="162" xfId="0" applyNumberFormat="1" applyFont="1" applyFill="1" applyBorder="1" applyAlignment="1">
      <x:alignment wrapText="1"/>
    </x:xf>
    <x:xf numFmtId="164" fontId="0" fillId="5" borderId="163" xfId="0" applyNumberFormat="1" applyFont="1" applyFill="1" applyBorder="1" applyAlignment="1">
      <x:alignment wrapText="1"/>
    </x:xf>
    <x:xf numFmtId="0" fontId="7" fillId="5" borderId="115" xfId="0" applyNumberFormat="1" applyFont="1" applyFill="1" applyBorder="1" applyAlignment="1">
      <x:alignment horizontal="right" wrapText="1"/>
    </x:xf>
    <x:xf numFmtId="164" fontId="7" fillId="5" borderId="117" xfId="0" applyNumberFormat="1" applyFont="1" applyFill="1" applyBorder="1"/>
    <x:xf numFmtId="164" fontId="0" fillId="5" borderId="116" xfId="0" applyNumberFormat="1" applyFont="1" applyFill="1" applyBorder="1" applyAlignment="1">
      <x:alignment wrapText="1"/>
    </x:xf>
    <x:xf numFmtId="0" fontId="5" fillId="5" borderId="115" xfId="0" applyNumberFormat="1" applyFont="1" applyFill="1" applyBorder="1" applyAlignment="1">
      <x:alignment horizontal="right" wrapText="1"/>
    </x:xf>
    <x:xf numFmtId="0" fontId="7" fillId="5" borderId="154" xfId="0" applyNumberFormat="1" applyFont="1" applyFill="1" applyBorder="1" applyAlignment="1">
      <x:alignment horizontal="right" wrapText="1"/>
    </x:xf>
    <x:xf numFmtId="164" fontId="7" fillId="5" borderId="164" xfId="0" applyNumberFormat="1" applyFont="1" applyFill="1" applyBorder="1"/>
    <x:xf numFmtId="164" fontId="0" fillId="5" borderId="155" xfId="0" applyNumberFormat="1" applyFont="1" applyFill="1" applyBorder="1" applyAlignment="1">
      <x:alignment wrapText="1"/>
    </x:xf>
    <x:xf numFmtId="0" fontId="7" fillId="0" borderId="146" xfId="0" applyNumberFormat="1" applyFont="1" applyFill="1" applyBorder="1" applyAlignment="1">
      <x:alignment horizontal="right"/>
    </x:xf>
    <x:xf numFmtId="164" fontId="7" fillId="0" borderId="146" xfId="0" applyNumberFormat="1" applyFont="1" applyFill="1" applyBorder="1"/>
    <x:xf numFmtId="0" fontId="7" fillId="6" borderId="161" xfId="0" applyNumberFormat="1" applyFont="1" applyFill="1" applyBorder="1" applyAlignment="1">
      <x:alignment horizontal="right"/>
    </x:xf>
    <x:xf numFmtId="164" fontId="7" fillId="6" borderId="162" xfId="0" applyNumberFormat="1" applyFont="1" applyFill="1" applyBorder="1"/>
    <x:xf numFmtId="164" fontId="0" fillId="6" borderId="163" xfId="0" applyNumberFormat="1" applyFont="1" applyFill="1" applyBorder="1" applyAlignment="1">
      <x:alignment wrapText="1"/>
    </x:xf>
    <x:xf numFmtId="0" fontId="7" fillId="6" borderId="115" xfId="0" applyNumberFormat="1" applyFont="1" applyFill="1" applyBorder="1" applyAlignment="1">
      <x:alignment horizontal="right" wrapText="1"/>
    </x:xf>
    <x:xf numFmtId="164" fontId="7" fillId="6" borderId="117" xfId="0" applyNumberFormat="1" applyFont="1" applyFill="1" applyBorder="1"/>
    <x:xf numFmtId="164" fontId="0" fillId="6" borderId="116" xfId="0" applyNumberFormat="1" applyFont="1" applyFill="1" applyBorder="1" applyAlignment="1">
      <x:alignment wrapText="1"/>
    </x:xf>
    <x:xf numFmtId="0" fontId="5" fillId="6" borderId="115" xfId="0" applyNumberFormat="1" applyFont="1" applyFill="1" applyBorder="1" applyAlignment="1">
      <x:alignment horizontal="right" wrapText="1"/>
    </x:xf>
    <x:xf numFmtId="0" fontId="7" fillId="6" borderId="154" xfId="0" applyNumberFormat="1" applyFont="1" applyFill="1" applyBorder="1" applyAlignment="1">
      <x:alignment horizontal="right" wrapText="1"/>
    </x:xf>
    <x:xf numFmtId="164" fontId="7" fillId="6" borderId="164" xfId="0" applyNumberFormat="1" applyFont="1" applyFill="1" applyBorder="1"/>
    <x:xf numFmtId="164" fontId="0" fillId="6" borderId="155" xfId="0" applyNumberFormat="1" applyFont="1" applyFill="1" applyBorder="1" applyAlignment="1">
      <x:alignment wrapText="1"/>
    </x:xf>
    <x:xf numFmtId="0" fontId="7" fillId="30" borderId="161" xfId="0" applyNumberFormat="1" applyFont="1" applyFill="1" applyBorder="1" applyAlignment="1">
      <x:alignment horizontal="right"/>
    </x:xf>
    <x:xf numFmtId="164" fontId="7" fillId="30" borderId="162" xfId="0" applyNumberFormat="1" applyFont="1" applyFill="1" applyBorder="1"/>
    <x:xf numFmtId="164" fontId="0" fillId="30" borderId="163" xfId="0" applyNumberFormat="1" applyFont="1" applyFill="1" applyBorder="1" applyAlignment="1">
      <x:alignment wrapText="1"/>
    </x:xf>
    <x:xf numFmtId="0" fontId="7" fillId="30" borderId="115" xfId="0" applyNumberFormat="1" applyFont="1" applyFill="1" applyBorder="1" applyAlignment="1">
      <x:alignment horizontal="right" wrapText="1"/>
    </x:xf>
    <x:xf numFmtId="164" fontId="7" fillId="30" borderId="117" xfId="0" applyNumberFormat="1" applyFont="1" applyFill="1" applyBorder="1"/>
    <x:xf numFmtId="164" fontId="0" fillId="30" borderId="116" xfId="0" applyNumberFormat="1" applyFont="1" applyFill="1" applyBorder="1" applyAlignment="1">
      <x:alignment wrapText="1"/>
    </x:xf>
    <x:xf numFmtId="0" fontId="5" fillId="30" borderId="115" xfId="0" applyNumberFormat="1" applyFont="1" applyFill="1" applyBorder="1" applyAlignment="1">
      <x:alignment horizontal="right" wrapText="1"/>
    </x:xf>
    <x:xf numFmtId="0" fontId="7" fillId="30" borderId="115" xfId="0" applyNumberFormat="1" applyFont="1" applyFill="1" applyBorder="1" applyAlignment="1">
      <x:alignment horizontal="right"/>
    </x:xf>
    <x:xf numFmtId="0" fontId="7" fillId="30" borderId="154" xfId="0" applyNumberFormat="1" applyFont="1" applyFill="1" applyBorder="1" applyAlignment="1">
      <x:alignment horizontal="right"/>
    </x:xf>
    <x:xf numFmtId="164" fontId="7" fillId="30" borderId="164" xfId="0" applyNumberFormat="1" applyFont="1" applyFill="1" applyBorder="1"/>
    <x:xf numFmtId="164" fontId="0" fillId="30" borderId="155" xfId="0" applyNumberFormat="1" applyFont="1" applyFill="1" applyBorder="1" applyAlignment="1">
      <x:alignment wrapText="1"/>
    </x:xf>
    <x:xf numFmtId="0" fontId="7" fillId="31" borderId="161" xfId="0" applyNumberFormat="1" applyFont="1" applyFill="1" applyBorder="1" applyAlignment="1">
      <x:alignment horizontal="right"/>
    </x:xf>
    <x:xf numFmtId="164" fontId="7" fillId="31" borderId="162" xfId="0" applyNumberFormat="1" applyFont="1" applyFill="1" applyBorder="1"/>
    <x:xf numFmtId="164" fontId="0" fillId="31" borderId="163" xfId="0" applyNumberFormat="1" applyFont="1" applyFill="1" applyBorder="1" applyAlignment="1">
      <x:alignment wrapText="1"/>
    </x:xf>
    <x:xf numFmtId="0" fontId="7" fillId="31" borderId="115" xfId="0" applyNumberFormat="1" applyFont="1" applyFill="1" applyBorder="1" applyAlignment="1">
      <x:alignment horizontal="right" wrapText="1"/>
    </x:xf>
    <x:xf numFmtId="164" fontId="7" fillId="31" borderId="117" xfId="0" applyNumberFormat="1" applyFont="1" applyFill="1" applyBorder="1"/>
    <x:xf numFmtId="164" fontId="0" fillId="31" borderId="116" xfId="0" applyNumberFormat="1" applyFont="1" applyFill="1" applyBorder="1" applyAlignment="1">
      <x:alignment wrapText="1"/>
    </x:xf>
    <x:xf numFmtId="0" fontId="5" fillId="31" borderId="115" xfId="0" applyNumberFormat="1" applyFont="1" applyFill="1" applyBorder="1" applyAlignment="1">
      <x:alignment horizontal="right" wrapText="1"/>
    </x:xf>
    <x:xf numFmtId="0" fontId="7" fillId="31" borderId="115" xfId="0" applyNumberFormat="1" applyFont="1" applyFill="1" applyBorder="1" applyAlignment="1">
      <x:alignment horizontal="right"/>
    </x:xf>
    <x:xf numFmtId="0" fontId="7" fillId="31" borderId="154" xfId="0" applyNumberFormat="1" applyFont="1" applyFill="1" applyBorder="1" applyAlignment="1">
      <x:alignment horizontal="right"/>
    </x:xf>
    <x:xf numFmtId="164" fontId="7" fillId="31" borderId="164" xfId="0" applyNumberFormat="1" applyFont="1" applyFill="1" applyBorder="1"/>
    <x:xf numFmtId="164" fontId="0" fillId="31" borderId="155" xfId="0" applyNumberFormat="1" applyFont="1" applyFill="1" applyBorder="1" applyAlignment="1">
      <x:alignment wrapText="1"/>
    </x:xf>
    <x:xf numFmtId="0" fontId="7" fillId="26" borderId="161" xfId="0" applyNumberFormat="1" applyFont="1" applyFill="1" applyBorder="1" applyAlignment="1">
      <x:alignment horizontal="right"/>
    </x:xf>
    <x:xf numFmtId="164" fontId="7" fillId="26" borderId="162" xfId="0" applyNumberFormat="1" applyFont="1" applyFill="1" applyBorder="1"/>
    <x:xf numFmtId="164" fontId="0" fillId="26" borderId="163" xfId="0" applyNumberFormat="1" applyFont="1" applyFill="1" applyBorder="1" applyAlignment="1">
      <x:alignment wrapText="1"/>
    </x:xf>
    <x:xf numFmtId="0" fontId="7" fillId="26" borderId="115" xfId="0" applyNumberFormat="1" applyFont="1" applyFill="1" applyBorder="1" applyAlignment="1">
      <x:alignment horizontal="right"/>
    </x:xf>
    <x:xf numFmtId="164" fontId="7" fillId="26" borderId="117" xfId="0" applyNumberFormat="1" applyFont="1" applyFill="1" applyBorder="1"/>
    <x:xf numFmtId="164" fontId="0" fillId="26" borderId="116" xfId="0" applyNumberFormat="1" applyFont="1" applyFill="1" applyBorder="1" applyAlignment="1">
      <x:alignment wrapText="1"/>
    </x:xf>
    <x:xf numFmtId="0" fontId="7" fillId="26" borderId="154" xfId="0" applyNumberFormat="1" applyFont="1" applyFill="1" applyBorder="1" applyAlignment="1">
      <x:alignment horizontal="right"/>
    </x:xf>
    <x:xf numFmtId="164" fontId="7" fillId="26" borderId="164" xfId="0" applyNumberFormat="1" applyFont="1" applyFill="1" applyBorder="1"/>
    <x:xf numFmtId="164" fontId="0" fillId="26" borderId="155" xfId="0" applyNumberFormat="1" applyFont="1" applyFill="1" applyBorder="1" applyAlignment="1">
      <x:alignment wrapText="1"/>
    </x:xf>
    <x:xf numFmtId="0" fontId="7" fillId="23" borderId="161" xfId="0" applyNumberFormat="1" applyFont="1" applyFill="1" applyBorder="1" applyAlignment="1">
      <x:alignment horizontal="right"/>
    </x:xf>
    <x:xf numFmtId="164" fontId="7" fillId="23" borderId="162" xfId="0" applyNumberFormat="1" applyFont="1" applyFill="1" applyBorder="1"/>
    <x:xf numFmtId="164" fontId="0" fillId="23" borderId="163" xfId="0" applyNumberFormat="1" applyFont="1" applyFill="1" applyBorder="1" applyAlignment="1">
      <x:alignment wrapText="1"/>
    </x:xf>
    <x:xf numFmtId="0" fontId="7" fillId="23" borderId="115" xfId="0" applyNumberFormat="1" applyFont="1" applyFill="1" applyBorder="1" applyAlignment="1">
      <x:alignment horizontal="right"/>
    </x:xf>
    <x:xf numFmtId="164" fontId="7" fillId="23" borderId="117" xfId="0" applyNumberFormat="1" applyFont="1" applyFill="1" applyBorder="1"/>
    <x:xf numFmtId="164" fontId="0" fillId="23" borderId="116" xfId="0" applyNumberFormat="1" applyFont="1" applyFill="1" applyBorder="1" applyAlignment="1">
      <x:alignment wrapText="1"/>
    </x:xf>
    <x:xf numFmtId="0" fontId="7" fillId="23" borderId="154" xfId="0" applyNumberFormat="1" applyFont="1" applyFill="1" applyBorder="1" applyAlignment="1">
      <x:alignment horizontal="right"/>
    </x:xf>
    <x:xf numFmtId="164" fontId="7" fillId="23" borderId="164" xfId="0" applyNumberFormat="1" applyFont="1" applyFill="1" applyBorder="1"/>
    <x:xf numFmtId="164" fontId="0" fillId="23" borderId="155" xfId="0" applyNumberFormat="1" applyFont="1" applyFill="1" applyBorder="1" applyAlignment="1">
      <x:alignment wrapText="1"/>
    </x:xf>
    <x:xf numFmtId="0" fontId="7" fillId="2" borderId="161" xfId="0" applyNumberFormat="1" applyFont="1" applyFill="1" applyBorder="1" applyAlignment="1">
      <x:alignment horizontal="right"/>
    </x:xf>
    <x:xf numFmtId="164" fontId="7" fillId="2" borderId="162" xfId="0" applyNumberFormat="1" applyFont="1" applyFill="1" applyBorder="1"/>
    <x:xf numFmtId="164" fontId="0" fillId="2" borderId="163" xfId="0" applyNumberFormat="1" applyFont="1" applyFill="1" applyBorder="1" applyAlignment="1">
      <x:alignment wrapText="1"/>
    </x:xf>
    <x:xf numFmtId="0" fontId="7" fillId="2" borderId="115" xfId="0" applyNumberFormat="1" applyFont="1" applyFill="1" applyBorder="1" applyAlignment="1">
      <x:alignment horizontal="right"/>
    </x:xf>
    <x:xf numFmtId="164" fontId="7" fillId="2" borderId="117" xfId="0" applyNumberFormat="1" applyFont="1" applyFill="1" applyBorder="1"/>
    <x:xf numFmtId="164" fontId="0" fillId="2" borderId="116" xfId="0" applyNumberFormat="1" applyFont="1" applyFill="1" applyBorder="1" applyAlignment="1">
      <x:alignment wrapText="1"/>
    </x:xf>
    <x:xf numFmtId="0" fontId="7" fillId="2" borderId="154" xfId="0" applyNumberFormat="1" applyFont="1" applyFill="1" applyBorder="1" applyAlignment="1">
      <x:alignment horizontal="right"/>
    </x:xf>
    <x:xf numFmtId="164" fontId="7" fillId="2" borderId="164" xfId="0" applyNumberFormat="1" applyFont="1" applyFill="1" applyBorder="1"/>
    <x:xf numFmtId="164" fontId="0" fillId="2" borderId="155" xfId="0" applyNumberFormat="1" applyFont="1" applyFill="1" applyBorder="1" applyAlignment="1">
      <x:alignment wrapText="1"/>
    </x:xf>
    <x:xf numFmtId="0" fontId="7" fillId="7" borderId="161" xfId="0" applyNumberFormat="1" applyFont="1" applyFill="1" applyBorder="1" applyAlignment="1">
      <x:alignment horizontal="right"/>
    </x:xf>
    <x:xf numFmtId="164" fontId="7" fillId="7" borderId="162" xfId="0" applyNumberFormat="1" applyFont="1" applyFill="1" applyBorder="1"/>
    <x:xf numFmtId="164" fontId="0" fillId="7" borderId="163" xfId="0" applyNumberFormat="1" applyFont="1" applyFill="1" applyBorder="1" applyAlignment="1">
      <x:alignment wrapText="1"/>
    </x:xf>
    <x:xf numFmtId="0" fontId="7" fillId="7" borderId="115" xfId="0" applyNumberFormat="1" applyFont="1" applyFill="1" applyBorder="1" applyAlignment="1">
      <x:alignment horizontal="right"/>
    </x:xf>
    <x:xf numFmtId="164" fontId="7" fillId="7" borderId="117" xfId="0" applyNumberFormat="1" applyFont="1" applyFill="1" applyBorder="1"/>
    <x:xf numFmtId="164" fontId="0" fillId="7" borderId="116" xfId="0" applyNumberFormat="1" applyFont="1" applyFill="1" applyBorder="1" applyAlignment="1">
      <x:alignment wrapText="1"/>
    </x:xf>
    <x:xf numFmtId="0" fontId="7" fillId="7" borderId="154" xfId="0" applyNumberFormat="1" applyFont="1" applyFill="1" applyBorder="1" applyAlignment="1">
      <x:alignment horizontal="right"/>
    </x:xf>
    <x:xf numFmtId="164" fontId="7" fillId="7" borderId="164" xfId="0" applyNumberFormat="1" applyFont="1" applyFill="1" applyBorder="1"/>
    <x:xf numFmtId="164" fontId="0" fillId="7" borderId="155" xfId="0" applyNumberFormat="1" applyFont="1" applyFill="1" applyBorder="1" applyAlignment="1">
      <x:alignment wrapText="1"/>
    </x:xf>
    <x:xf numFmtId="0" fontId="24" fillId="0" borderId="151" xfId="0" applyNumberFormat="1" applyFont="1" applyFill="1" applyBorder="1" applyAlignment="1">
      <x:alignment horizontal="center" vertical="center" wrapText="1"/>
    </x:xf>
    <x:xf numFmtId="0" fontId="24" fillId="0" borderId="148" xfId="0" applyNumberFormat="1" applyFont="1" applyFill="1" applyBorder="1" applyAlignment="1">
      <x:alignment horizontal="center" vertical="center" wrapText="1"/>
    </x:xf>
    <x:xf numFmtId="0" fontId="25" fillId="4" borderId="161" xfId="0" applyNumberFormat="1" applyFont="1" applyFill="1" applyBorder="1" applyAlignment="1">
      <x:alignment horizontal="center" vertical="center" wrapText="1"/>
    </x:xf>
    <x:xf numFmtId="0" fontId="25" fillId="4" borderId="162" xfId="0" applyNumberFormat="1" applyFont="1" applyFill="1" applyBorder="1" applyAlignment="1">
      <x:alignment horizontal="center" vertical="center" wrapText="1"/>
    </x:xf>
    <x:xf numFmtId="0" fontId="25" fillId="4" borderId="163" xfId="0" applyNumberFormat="1" applyFont="1" applyFill="1" applyBorder="1" applyAlignment="1">
      <x:alignment horizontal="center" vertical="center" wrapText="1"/>
    </x:xf>
    <x:xf numFmtId="0" fontId="25" fillId="4" borderId="115" xfId="0" applyNumberFormat="1" applyFont="1" applyFill="1" applyBorder="1" applyAlignment="1">
      <x:alignment horizontal="center" vertical="center" wrapText="1"/>
    </x:xf>
    <x:xf numFmtId="0" fontId="25" fillId="4" borderId="117" xfId="0" applyNumberFormat="1" applyFont="1" applyFill="1" applyBorder="1" applyAlignment="1">
      <x:alignment horizontal="center" vertical="center" wrapText="1"/>
    </x:xf>
    <x:xf numFmtId="0" fontId="25" fillId="4" borderId="116" xfId="0" applyNumberFormat="1" applyFont="1" applyFill="1" applyBorder="1" applyAlignment="1">
      <x:alignment horizontal="center" vertical="center" wrapText="1"/>
    </x:xf>
    <x:xf numFmtId="0" fontId="25" fillId="5" borderId="115" xfId="0" applyNumberFormat="1" applyFont="1" applyFill="1" applyBorder="1" applyAlignment="1">
      <x:alignment horizontal="center" vertical="center" wrapText="1"/>
    </x:xf>
    <x:xf numFmtId="0" fontId="25" fillId="5" borderId="117" xfId="0" applyNumberFormat="1" applyFont="1" applyFill="1" applyBorder="1" applyAlignment="1">
      <x:alignment horizontal="center" vertical="center" wrapText="1"/>
    </x:xf>
    <x:xf numFmtId="0" fontId="25" fillId="5" borderId="116" xfId="0" applyNumberFormat="1" applyFont="1" applyFill="1" applyBorder="1" applyAlignment="1">
      <x:alignment horizontal="center" vertical="center" wrapText="1"/>
    </x:xf>
    <x:xf numFmtId="0" fontId="25" fillId="6" borderId="115" xfId="0" applyNumberFormat="1" applyFont="1" applyFill="1" applyBorder="1" applyAlignment="1">
      <x:alignment horizontal="center" vertical="center" wrapText="1"/>
    </x:xf>
    <x:xf numFmtId="0" fontId="25" fillId="6" borderId="117" xfId="0" applyNumberFormat="1" applyFont="1" applyFill="1" applyBorder="1" applyAlignment="1">
      <x:alignment horizontal="center" vertical="center" wrapText="1"/>
    </x:xf>
    <x:xf numFmtId="0" fontId="25" fillId="6" borderId="116" xfId="0" applyNumberFormat="1" applyFont="1" applyFill="1" applyBorder="1" applyAlignment="1">
      <x:alignment horizontal="center" vertical="center" wrapText="1"/>
    </x:xf>
    <x:xf numFmtId="0" fontId="25" fillId="6" borderId="154" xfId="0" applyNumberFormat="1" applyFont="1" applyFill="1" applyBorder="1" applyAlignment="1">
      <x:alignment horizontal="center" vertical="center" wrapText="1"/>
    </x:xf>
    <x:xf numFmtId="0" fontId="25" fillId="6" borderId="164" xfId="0" applyNumberFormat="1" applyFont="1" applyFill="1" applyBorder="1" applyAlignment="1">
      <x:alignment horizontal="center" vertical="center" wrapText="1"/>
    </x:xf>
    <x:xf numFmtId="0" fontId="25" fillId="6" borderId="155" xfId="0" applyNumberFormat="1" applyFont="1" applyFill="1" applyBorder="1" applyAlignment="1">
      <x:alignment horizontal="center" vertical="center" wrapText="1"/>
    </x:xf>
    <x:xf numFmtId="0" fontId="25" fillId="2" borderId="161" xfId="0" applyNumberFormat="1" applyFont="1" applyFill="1" applyBorder="1" applyAlignment="1">
      <x:alignment horizontal="center" vertical="center" wrapText="1"/>
    </x:xf>
    <x:xf numFmtId="0" fontId="25" fillId="2" borderId="162" xfId="0" applyNumberFormat="1" applyFont="1" applyFill="1" applyBorder="1" applyAlignment="1">
      <x:alignment horizontal="center" vertical="center" wrapText="1"/>
    </x:xf>
    <x:xf numFmtId="0" fontId="25" fillId="2" borderId="163" xfId="0" applyNumberFormat="1" applyFont="1" applyFill="1" applyBorder="1" applyAlignment="1">
      <x:alignment horizontal="center" vertical="center" wrapText="1"/>
    </x:xf>
    <x:xf numFmtId="0" fontId="25" fillId="2" borderId="115" xfId="0" applyNumberFormat="1" applyFont="1" applyFill="1" applyBorder="1" applyAlignment="1">
      <x:alignment horizontal="center" vertical="center" wrapText="1"/>
    </x:xf>
    <x:xf numFmtId="0" fontId="25" fillId="2" borderId="117" xfId="0" applyNumberFormat="1" applyFont="1" applyFill="1" applyBorder="1" applyAlignment="1">
      <x:alignment horizontal="center" vertical="center" wrapText="1"/>
    </x:xf>
    <x:xf numFmtId="0" fontId="25" fillId="2" borderId="116" xfId="0" applyNumberFormat="1" applyFont="1" applyFill="1" applyBorder="1" applyAlignment="1">
      <x:alignment horizontal="center" vertical="center" wrapText="1"/>
    </x:xf>
    <x:xf numFmtId="0" fontId="25" fillId="7" borderId="115" xfId="0" applyNumberFormat="1" applyFont="1" applyFill="1" applyBorder="1" applyAlignment="1">
      <x:alignment horizontal="center" vertical="center" wrapText="1"/>
    </x:xf>
    <x:xf numFmtId="0" fontId="25" fillId="7" borderId="117" xfId="0" applyNumberFormat="1" applyFont="1" applyFill="1" applyBorder="1" applyAlignment="1">
      <x:alignment horizontal="center" vertical="center" wrapText="1"/>
    </x:xf>
    <x:xf numFmtId="0" fontId="25" fillId="7" borderId="116" xfId="0" applyNumberFormat="1" applyFont="1" applyFill="1" applyBorder="1" applyAlignment="1">
      <x:alignment horizontal="center" vertical="center" wrapText="1"/>
    </x:xf>
    <x:xf numFmtId="0" fontId="25" fillId="32" borderId="165" xfId="0" applyNumberFormat="1" applyFont="1" applyFill="1" applyBorder="1" applyAlignment="1">
      <x:alignment horizontal="center" vertical="center" wrapText="1"/>
    </x:xf>
    <x:xf numFmtId="0" fontId="25" fillId="32" borderId="146" xfId="0" applyNumberFormat="1" applyFont="1" applyFill="1" applyBorder="1" applyAlignment="1">
      <x:alignment horizontal="center" vertical="center" wrapText="1"/>
    </x:xf>
    <x:xf numFmtId="0" fontId="25" fillId="32" borderId="117" xfId="0" applyNumberFormat="1" applyFont="1" applyFill="1" applyBorder="1" applyAlignment="1">
      <x:alignment horizontal="center" vertical="center" wrapText="1"/>
    </x:xf>
    <x:xf numFmtId="0" fontId="25" fillId="32" borderId="166" xfId="0" applyNumberFormat="1" applyFont="1" applyFill="1" applyBorder="1" applyAlignment="1">
      <x:alignment horizontal="center" vertical="center" wrapText="1"/>
    </x:xf>
    <x:xf numFmtId="0" fontId="25" fillId="32" borderId="137" xfId="0" applyNumberFormat="1" applyFont="1" applyFill="1" applyBorder="1" applyAlignment="1">
      <x:alignment horizontal="center" vertical="center" wrapText="1"/>
    </x:xf>
    <x:xf numFmtId="0" fontId="25" fillId="32" borderId="119" xfId="0" applyNumberFormat="1" applyFont="1" applyFill="1" applyBorder="1" applyAlignment="1">
      <x:alignment horizontal="center" vertical="center" wrapText="1"/>
    </x:xf>
    <x:xf numFmtId="0" fontId="25" fillId="32" borderId="144" xfId="0" applyNumberFormat="1" applyFont="1" applyFill="1" applyBorder="1" applyAlignment="1">
      <x:alignment horizontal="center" vertical="center" wrapText="1"/>
    </x:xf>
    <x:xf numFmtId="0" fontId="26" fillId="33" borderId="137" xfId="0" applyNumberFormat="1" applyFont="1" applyFill="1" applyBorder="1" applyAlignment="1">
      <x:alignment horizontal="center" vertical="center" wrapText="1"/>
    </x:xf>
    <x:xf numFmtId="0" fontId="26" fillId="33" borderId="119" xfId="0" applyNumberFormat="1" applyFont="1" applyFill="1" applyBorder="1" applyAlignment="1">
      <x:alignment horizontal="center" vertical="center" wrapText="1"/>
    </x:xf>
    <x:xf numFmtId="0" fontId="26" fillId="33" borderId="117" xfId="0" applyNumberFormat="1" applyFont="1" applyFill="1" applyBorder="1" applyAlignment="1">
      <x:alignment horizontal="center" vertical="center" wrapText="1"/>
    </x:xf>
    <x:xf numFmtId="0" fontId="26" fillId="33" borderId="144" xfId="0" applyNumberFormat="1" applyFont="1" applyFill="1" applyBorder="1" applyAlignment="1">
      <x:alignment horizontal="center" vertical="center" wrapText="1"/>
    </x:xf>
    <x:xf numFmtId="0" fontId="26" fillId="33" borderId="154" xfId="0" applyNumberFormat="1" applyFont="1" applyFill="1" applyBorder="1" applyAlignment="1">
      <x:alignment horizontal="center" vertical="center" wrapText="1"/>
    </x:xf>
    <x:xf numFmtId="0" fontId="26" fillId="33" borderId="164" xfId="0" applyNumberFormat="1" applyFont="1" applyFill="1" applyBorder="1" applyAlignment="1">
      <x:alignment horizontal="center" vertical="center" wrapText="1"/>
    </x:xf>
    <x:xf numFmtId="0" fontId="26" fillId="33" borderId="155" xfId="0" applyNumberFormat="1" applyFont="1" applyFill="1" applyBorder="1" applyAlignment="1">
      <x:alignment horizontal="center" vertical="center" wrapText="1"/>
    </x:xf>
    <x:xf numFmtId="0" fontId="7" fillId="0" borderId="110" xfId="0" applyNumberFormat="1" applyFont="1" applyFill="1" applyBorder="1"/>
    <x:xf numFmtId="0" fontId="27" fillId="34" borderId="167" xfId="0" applyNumberFormat="1" applyFont="1" applyFill="1" applyBorder="1" applyAlignment="1">
      <x:alignment horizontal="left" vertical="center"/>
    </x:xf>
    <x:xf numFmtId="0" fontId="30" fillId="34" borderId="167" xfId="0" applyNumberFormat="1" applyFont="1" applyFill="1" applyBorder="1" applyAlignment="1">
      <x:alignment horizontal="left" vertical="center"/>
    </x:xf>
    <x:xf numFmtId="0" fontId="27" fillId="35" borderId="167" xfId="0" applyNumberFormat="1" applyFont="1" applyFill="1" applyBorder="1" applyAlignment="1">
      <x:alignment horizontal="center" vertical="center" wrapText="1"/>
    </x:xf>
    <x:xf numFmtId="0" fontId="30" fillId="36" borderId="167" xfId="0" applyNumberFormat="1" applyFont="1" applyFill="1" applyBorder="1" applyAlignment="1">
      <x:alignment horizontal="center" vertical="center" wrapText="1"/>
    </x:xf>
    <x:xf numFmtId="0" fontId="27" fillId="37" borderId="167" xfId="0" applyNumberFormat="1" applyFont="1" applyFill="1" applyBorder="1" applyAlignment="1">
      <x:alignment horizontal="center" vertical="center" wrapText="1"/>
    </x:xf>
    <x:xf numFmtId="0" fontId="27" fillId="38" borderId="167" xfId="0" applyNumberFormat="1" applyFont="1" applyFill="1" applyBorder="1" applyAlignment="1">
      <x:alignment horizontal="center" vertical="center" wrapText="1"/>
    </x:xf>
    <x:xf numFmtId="0" fontId="27" fillId="39" borderId="167" xfId="0" applyNumberFormat="1" applyFont="1" applyFill="1" applyBorder="1" applyAlignment="1">
      <x:alignment horizontal="center" vertical="center" wrapText="1"/>
    </x:xf>
    <x:xf numFmtId="0" fontId="27" fillId="40" borderId="167" xfId="0" applyNumberFormat="1" applyFont="1" applyFill="1" applyBorder="1" applyAlignment="1">
      <x:alignment horizontal="center" vertical="center" wrapText="1"/>
    </x:xf>
    <x:xf numFmtId="0" fontId="27" fillId="41" borderId="167" xfId="0" applyNumberFormat="1" applyFont="1" applyFill="1" applyBorder="1" applyAlignment="1">
      <x:alignment horizontal="center" vertical="center" wrapText="1"/>
    </x:xf>
    <x:xf numFmtId="0" fontId="27" fillId="42" borderId="167" xfId="0" applyNumberFormat="1" applyFont="1" applyFill="1" applyBorder="1" applyAlignment="1">
      <x:alignment horizontal="center" vertical="center" wrapText="1"/>
    </x:xf>
    <x:xf numFmtId="0" fontId="30" fillId="35" borderId="167" xfId="0" applyNumberFormat="1" applyFont="1" applyFill="1" applyBorder="1" applyAlignment="1">
      <x:alignment horizontal="center" vertical="center" wrapText="1"/>
    </x:xf>
    <x:xf numFmtId="0" fontId="32" fillId="34" borderId="167" xfId="0" applyNumberFormat="1" applyFont="1" applyFill="1" applyBorder="1" applyAlignment="1">
      <x:alignment horizontal="left" vertical="center"/>
    </x:xf>
    <x:xf numFmtId="166" fontId="30" fillId="35" borderId="167" xfId="0" applyNumberFormat="1" applyFont="1" applyFill="1" applyBorder="1"/>
    <x:xf numFmtId="166" fontId="32" fillId="36" borderId="167" xfId="0" applyNumberFormat="1" applyFont="1" applyFill="1" applyBorder="1"/>
    <x:xf numFmtId="166" fontId="32" fillId="37" borderId="167" xfId="0" applyNumberFormat="1" applyFont="1" applyFill="1" applyBorder="1"/>
    <x:xf numFmtId="166" fontId="32" fillId="38" borderId="167" xfId="0" applyNumberFormat="1" applyFont="1" applyFill="1" applyBorder="1"/>
    <x:xf numFmtId="166" fontId="32" fillId="39" borderId="167" xfId="0" applyNumberFormat="1" applyFont="1" applyFill="1" applyBorder="1"/>
    <x:xf numFmtId="166" fontId="32" fillId="40" borderId="167" xfId="0" applyNumberFormat="1" applyFont="1" applyFill="1" applyBorder="1"/>
    <x:xf numFmtId="166" fontId="32" fillId="41" borderId="167" xfId="0" applyNumberFormat="1" applyFont="1" applyFill="1" applyBorder="1"/>
    <x:xf numFmtId="166" fontId="32" fillId="42" borderId="167" xfId="0" applyNumberFormat="1" applyFont="1" applyFill="1" applyBorder="1"/>
    <x:xf numFmtId="166" fontId="32" fillId="35" borderId="167" xfId="0" applyNumberFormat="1" applyFont="1" applyFill="1" applyBorder="1"/>
    <x:xf numFmtId="166" fontId="30" fillId="38" borderId="167" xfId="0" applyNumberFormat="1" applyFont="1" applyFill="1" applyBorder="1"/>
    <x:xf numFmtId="166" fontId="30" fillId="41" borderId="167" xfId="0" applyNumberFormat="1" applyFont="1" applyFill="1" applyBorder="1"/>
    <x:xf numFmtId="0" fontId="33" fillId="43" borderId="119" xfId="0" applyNumberFormat="1" applyFont="1" applyFill="1" applyBorder="1" applyAlignment="1">
      <x:alignment horizontal="center" vertical="center" wrapText="1"/>
    </x:xf>
    <x:xf numFmtId="0" fontId="34" fillId="44" borderId="128" xfId="0" applyNumberFormat="1" applyFont="1" applyFill="1" applyBorder="1" applyAlignment="1">
      <x:alignment horizontal="center" vertical="center" wrapText="1"/>
    </x:xf>
    <x:xf numFmtId="0" fontId="33" fillId="43" borderId="168" xfId="0" applyNumberFormat="1" applyFont="1" applyFill="1" applyBorder="1" applyAlignment="1">
      <x:alignment horizontal="center" vertical="center" wrapText="1"/>
    </x:xf>
    <x:xf numFmtId="0" fontId="34" fillId="44" borderId="130" xfId="0" applyNumberFormat="1" applyFont="1" applyFill="1" applyBorder="1" applyAlignment="1">
      <x:alignment horizontal="center" vertical="center" wrapText="1"/>
    </x:xf>
    <x:xf numFmtId="0" fontId="34" fillId="44" borderId="114" xfId="0" applyNumberFormat="1" applyFont="1" applyFill="1" applyBorder="1" applyAlignment="1">
      <x:alignment horizontal="center" vertical="center" wrapText="1"/>
    </x:xf>
    <x:xf numFmtId="0" fontId="33" fillId="43" borderId="117" xfId="0" applyNumberFormat="1" applyFont="1" applyFill="1" applyBorder="1" applyAlignment="1">
      <x:alignment horizontal="left" vertical="center" wrapText="1"/>
    </x:xf>
    <x:xf numFmtId="1" fontId="36" fillId="0" borderId="114" xfId="0" applyNumberFormat="1" applyFont="1" applyFill="1" applyBorder="1" applyAlignment="1">
      <x:alignment horizontal="right" vertical="center"/>
    </x:xf>
    <x:xf numFmtId="0" fontId="13" fillId="49" borderId="104" xfId="0" applyNumberFormat="1" applyFont="1" applyFill="1" applyBorder="1" applyAlignment="1">
      <x:alignment vertical="center" wrapText="1"/>
    </x:xf>
    <x:xf numFmtId="0" fontId="13" fillId="50" borderId="109" xfId="0" applyNumberFormat="1" applyFont="1" applyFill="1" applyBorder="1" applyAlignment="1">
      <x:alignment vertical="top" wrapText="1"/>
    </x:xf>
    <x:xf numFmtId="0" fontId="40" fillId="46" borderId="109" xfId="0" applyNumberFormat="1" applyFont="1" applyFill="1" applyBorder="1" applyAlignment="1">
      <x:alignment vertical="top" wrapText="1"/>
    </x:xf>
    <x:xf numFmtId="0" fontId="40" fillId="44" borderId="109" xfId="0" applyNumberFormat="1" applyFont="1" applyFill="1" applyBorder="1" applyAlignment="1">
      <x:alignment vertical="top" wrapText="1"/>
    </x:xf>
    <x:xf numFmtId="0" fontId="0" fillId="0" borderId="109" xfId="0" applyNumberFormat="1" applyFont="1" applyFill="1" applyBorder="1" applyAlignment="1">
      <x:alignment vertical="top" wrapText="1"/>
    </x:xf>
    <x:xf numFmtId="0" fontId="40" fillId="53" borderId="109" xfId="0" applyNumberFormat="1" applyFont="1" applyFill="1" applyBorder="1" applyAlignment="1">
      <x:alignment vertical="top" wrapText="1"/>
    </x:xf>
    <x:xf numFmtId="0" fontId="40" fillId="13" borderId="109" xfId="0" applyNumberFormat="1" applyFont="1" applyFill="1" applyBorder="1" applyAlignment="1">
      <x:alignment vertical="top" wrapText="1"/>
    </x:xf>
    <x:xf numFmtId="0" fontId="40" fillId="55" borderId="109" xfId="0" applyNumberFormat="1" applyFont="1" applyFill="1" applyBorder="1" applyAlignment="1">
      <x:alignment vertical="top" wrapText="1"/>
    </x:xf>
    <x:xf numFmtId="0" fontId="13" fillId="45" borderId="110" xfId="0" applyNumberFormat="1" applyFont="1" applyFill="1" applyBorder="1" applyAlignment="1">
      <x:alignment horizontal="center" vertical="center" wrapText="1"/>
    </x:xf>
    <x:xf numFmtId="0" fontId="43" fillId="44" borderId="104" xfId="0" applyNumberFormat="1" applyFont="1" applyFill="1" applyBorder="1" applyAlignment="1">
      <x:alignment vertical="center" wrapText="1"/>
    </x:xf>
    <x:xf numFmtId="0" fontId="0" fillId="44" borderId="104" xfId="0" applyNumberFormat="1" applyFont="1" applyFill="1" applyBorder="1" applyAlignment="1">
      <x:alignment vertical="center" wrapText="1"/>
    </x:xf>
    <x:xf numFmtId="0" fontId="44" fillId="53" borderId="104" xfId="0" applyNumberFormat="1" applyFont="1" applyFill="1" applyBorder="1" applyAlignment="1">
      <x:alignment vertical="center" wrapText="1"/>
    </x:xf>
    <x:xf numFmtId="0" fontId="0" fillId="53" borderId="104" xfId="0" applyNumberFormat="1" applyFont="1" applyFill="1" applyBorder="1" applyAlignment="1">
      <x:alignment vertical="center" wrapText="1"/>
    </x:xf>
    <x:xf numFmtId="0" fontId="45" fillId="13" borderId="104" xfId="0" applyNumberFormat="1" applyFont="1" applyFill="1" applyBorder="1" applyAlignment="1">
      <x:alignment vertical="center" wrapText="1"/>
    </x:xf>
    <x:xf numFmtId="0" fontId="0" fillId="13" borderId="104" xfId="0" applyNumberFormat="1" applyFont="1" applyFill="1" applyBorder="1" applyAlignment="1">
      <x:alignment vertical="center" wrapText="1"/>
    </x:xf>
    <x:xf numFmtId="0" fontId="46" fillId="55" borderId="104" xfId="0" applyNumberFormat="1" applyFont="1" applyFill="1" applyBorder="1" applyAlignment="1">
      <x:alignment vertical="center" wrapText="1"/>
    </x:xf>
    <x:xf numFmtId="0" fontId="0" fillId="55" borderId="104" xfId="0" applyNumberFormat="1" applyFont="1" applyFill="1" applyBorder="1" applyAlignment="1">
      <x:alignment vertical="center" wrapText="1"/>
    </x:xf>
    <x:xf numFmtId="0" fontId="47" fillId="46" borderId="104" xfId="0" applyNumberFormat="1" applyFont="1" applyFill="1" applyBorder="1" applyAlignment="1">
      <x:alignment vertical="center" wrapText="1"/>
    </x:xf>
    <x:xf numFmtId="0" fontId="0" fillId="46" borderId="104" xfId="0" applyNumberFormat="1" applyFont="1" applyFill="1" applyBorder="1" applyAlignment="1">
      <x:alignment vertical="center" wrapText="1"/>
    </x:xf>
    <x:xf numFmtId="0" fontId="21" fillId="0" borderId="110" xfId="0" applyNumberFormat="1" applyFont="1" applyFill="1" applyBorder="1"/>
    <x:xf numFmtId="167" fontId="21" fillId="0" borderId="110" xfId="0" applyNumberFormat="1" applyFont="1" applyFill="1" applyBorder="1"/>
    <x:xf numFmtId="168" fontId="0" fillId="0" borderId="104" xfId="0" applyNumberFormat="1" applyFont="1" applyFill="1" applyBorder="1" applyAlignment="1">
      <x:alignment vertical="center" wrapText="1"/>
    </x:xf>
    <x:xf numFmtId="0" fontId="49" fillId="0" borderId="110" xfId="0" applyNumberFormat="1" applyFont="1" applyFill="1" applyBorder="1"/>
    <x:xf numFmtId="0" fontId="13" fillId="45" borderId="110" xfId="0" applyNumberFormat="1" applyFont="1" applyFill="1" applyBorder="1" applyAlignment="1">
      <x:alignment horizontal="center"/>
    </x:xf>
    <x:xf numFmtId="0" fontId="49" fillId="0" borderId="104" xfId="0" applyNumberFormat="1" applyFont="1" applyFill="1" applyBorder="1" applyAlignment="1">
      <x:alignment vertical="center" wrapText="1"/>
    </x:xf>
    <x:xf numFmtId="0" fontId="53" fillId="55" borderId="104" xfId="0" applyNumberFormat="1" applyFont="1" applyFill="1" applyBorder="1" applyAlignment="1">
      <x:alignment vertical="center" wrapText="1"/>
    </x:xf>
    <x:xf numFmtId="0" fontId="54" fillId="46" borderId="104" xfId="0" applyNumberFormat="1" applyFont="1" applyFill="1" applyBorder="1" applyAlignment="1">
      <x:alignment vertical="center" wrapText="1"/>
    </x:xf>
    <x:xf numFmtId="168" fontId="21" fillId="0" borderId="110" xfId="0" applyNumberFormat="1" applyFont="1" applyFill="1" applyBorder="1"/>
    <x:xf numFmtId="168" fontId="21" fillId="0" borderId="104" xfId="0" applyNumberFormat="1" applyFont="1" applyFill="1" applyBorder="1" applyAlignment="1">
      <x:alignment horizontal="right" vertical="center"/>
    </x:xf>
    <x:xf numFmtId="0" fontId="40" fillId="0" borderId="110" xfId="0" applyNumberFormat="1" applyFont="1" applyFill="1" applyBorder="1"/>
    <x:xf numFmtId="0" fontId="0" fillId="13" borderId="110" xfId="0" applyNumberFormat="1" applyFont="1" applyFill="1" applyBorder="1" applyAlignment="1">
      <x:alignment vertical="center" wrapText="1"/>
    </x:xf>
    <x:xf numFmtId="0" fontId="13" fillId="18" borderId="104" xfId="0" applyNumberFormat="1" applyFont="1" applyFill="1" applyBorder="1" applyAlignment="1">
      <x:alignment vertical="center" wrapText="1"/>
    </x:xf>
    <x:xf numFmtId="164" fontId="0" fillId="18" borderId="104" xfId="0" applyNumberFormat="1" applyFont="1" applyFill="1" applyBorder="1" applyAlignment="1">
      <x:alignment vertical="center" wrapText="1"/>
    </x:xf>
    <x:xf numFmtId="0" fontId="56" fillId="0" borderId="110" xfId="0" applyNumberFormat="1" applyFont="1" applyFill="1" applyBorder="1"/>
    <x:xf numFmtId="0" fontId="13" fillId="45" borderId="104" xfId="0" applyNumberFormat="1" applyFont="1" applyFill="1" applyBorder="1" applyAlignment="1">
      <x:alignment horizontal="center" vertical="center"/>
    </x:xf>
    <x:xf numFmtId="0" fontId="49" fillId="0" borderId="104" xfId="0" applyNumberFormat="1" applyFont="1" applyFill="1" applyBorder="1" applyAlignment="1">
      <x:alignment vertical="center"/>
    </x:xf>
    <x:xf numFmtId="169" fontId="49" fillId="0" borderId="104" xfId="0" applyNumberFormat="1" applyFont="1" applyFill="1" applyBorder="1" applyAlignment="1">
      <x:alignment horizontal="right" vertical="center"/>
    </x:xf>
    <x:xf numFmtId="0" fontId="40" fillId="64" borderId="104" xfId="0" applyNumberFormat="1" applyFont="1" applyFill="1" applyBorder="1"/>
    <x:xf numFmtId="10" fontId="49" fillId="13" borderId="104" xfId="0" applyNumberFormat="1" applyFont="1" applyFill="1" applyBorder="1" applyAlignment="1">
      <x:alignment horizontal="center"/>
    </x:xf>
    <x:xf numFmtId="0" fontId="13" fillId="45" borderId="104" xfId="0" applyNumberFormat="1" applyFont="1" applyFill="1" applyBorder="1" applyAlignment="1">
      <x:alignment vertical="center"/>
    </x:xf>
    <x:xf numFmtId="169" fontId="40" fillId="65" borderId="104" xfId="0" applyNumberFormat="1" applyFont="1" applyFill="1" applyBorder="1" applyAlignment="1">
      <x:alignment horizontal="right" vertical="center"/>
    </x:xf>
    <x:xf numFmtId="10" fontId="40" fillId="65" borderId="104" xfId="0" applyNumberFormat="1" applyFont="1" applyFill="1" applyBorder="1" applyAlignment="1">
      <x:alignment horizontal="right" vertical="center"/>
    </x:xf>
    <x:xf numFmtId="169" fontId="41" fillId="66" borderId="104" xfId="0" applyNumberFormat="1" applyFont="1" applyFill="1" applyBorder="1" applyAlignment="1">
      <x:alignment horizontal="right" vertical="center"/>
    </x:xf>
    <x:xf numFmtId="0" fontId="13" fillId="50" borderId="104" xfId="0" applyNumberFormat="1" applyFont="1" applyFill="1" applyBorder="1" applyAlignment="1">
      <x:alignment horizontal="center" vertical="center" wrapText="1"/>
    </x:xf>
    <x:xf numFmtId="0" fontId="56" fillId="0" borderId="110" xfId="0" applyNumberFormat="1" applyFont="1" applyFill="1" applyBorder="1" applyAlignment="1">
      <x:alignment wrapText="1"/>
    </x:xf>
    <x:xf numFmtId="0" fontId="49" fillId="0" borderId="110" xfId="0" applyNumberFormat="1" applyFont="1" applyFill="1" applyBorder="1" applyAlignment="1">
      <x:alignment wrapText="1"/>
    </x:xf>
    <x:xf numFmtId="0" fontId="57" fillId="0" borderId="110" xfId="0" applyNumberFormat="1" applyFont="1" applyFill="1" applyBorder="1"/>
    <x:xf numFmtId="0" fontId="40" fillId="64" borderId="104" xfId="0" applyNumberFormat="1" applyFont="1" applyFill="1" applyBorder="1" applyAlignment="1">
      <x:alignment wrapText="1"/>
    </x:xf>
    <x:xf numFmtId="0" fontId="0" fillId="13" borderId="104" xfId="0" applyNumberFormat="1" applyFont="1" applyFill="1" applyBorder="1" applyAlignment="1">
      <x:alignment wrapText="1"/>
    </x:xf>
    <x:xf numFmtId="0" fontId="0" fillId="0" borderId="104" xfId="0" applyNumberFormat="1" applyFont="1" applyFill="1" applyBorder="1" applyAlignment="1">
      <x:alignment wrapText="1"/>
    </x:xf>
    <x:xf numFmtId="164" fontId="0" fillId="0" borderId="104" xfId="0" applyNumberFormat="1" applyFont="1" applyFill="1" applyBorder="1" applyAlignment="1">
      <x:alignment horizontal="right"/>
    </x:xf>
    <x:xf numFmtId="10" fontId="0" fillId="13" borderId="104" xfId="0" applyNumberFormat="1" applyFont="1" applyFill="1" applyBorder="1" applyAlignment="1">
      <x:alignment wrapText="1"/>
    </x:xf>
    <x:xf numFmtId="0" fontId="13" fillId="50" borderId="104" xfId="0" applyNumberFormat="1" applyFont="1" applyFill="1" applyBorder="1"/>
    <x:xf numFmtId="164" fontId="40" fillId="65" borderId="104" xfId="0" applyNumberFormat="1" applyFont="1" applyFill="1" applyBorder="1"/>
    <x:xf numFmtId="0" fontId="13" fillId="49" borderId="104" xfId="0" applyNumberFormat="1" applyFont="1" applyFill="1" applyBorder="1" applyAlignment="1">
      <x:alignment wrapText="1"/>
    </x:xf>
    <x:xf numFmtId="0" fontId="40" fillId="65" borderId="104" xfId="0" applyNumberFormat="1" applyFont="1" applyFill="1" applyBorder="1" applyAlignment="1">
      <x:alignment wrapText="1"/>
    </x:xf>
    <x:xf numFmtId="0" fontId="0" fillId="23" borderId="104" xfId="0" applyNumberFormat="1" applyFont="1" applyFill="1" applyBorder="1" applyAlignment="1">
      <x:alignment wrapText="1"/>
    </x:xf>
    <x:xf numFmtId="164" fontId="0" fillId="23" borderId="104" xfId="0" applyNumberFormat="1" applyFont="1" applyFill="1" applyBorder="1" applyAlignment="1">
      <x:alignment wrapText="1"/>
    </x:xf>
    <x:xf numFmtId="10" fontId="40" fillId="65" borderId="104" xfId="0" applyNumberFormat="1" applyFont="1" applyFill="1" applyBorder="1"/>
    <x:xf numFmtId="0" fontId="0" fillId="0" borderId="110" xfId="0" applyNumberFormat="1" applyFont="1" applyFill="1" applyBorder="1" applyAlignment="1">
      <x:alignment vertical="top" wrapText="1"/>
    </x:xf>
    <x:xf numFmtId="164" fontId="0" fillId="13" borderId="104" xfId="0" applyNumberFormat="1" applyFont="1" applyFill="1" applyBorder="1" applyAlignment="1">
      <x:alignment vertical="center" wrapText="1"/>
    </x:xf>
    <x:xf numFmtId="0" fontId="0" fillId="0" borderId="104" xfId="0" applyNumberFormat="1" applyFont="1" applyFill="1" applyBorder="1" applyAlignment="1">
      <x:alignment vertical="top" wrapText="1"/>
    </x:xf>
    <x:xf numFmtId="164" fontId="0" fillId="72" borderId="104" xfId="0" applyNumberFormat="1" applyFont="1" applyFill="1" applyBorder="1" applyAlignment="1">
      <x:alignment vertical="center" wrapText="1"/>
    </x:xf>
    <x:xf numFmtId="1" fontId="0" fillId="13" borderId="104" xfId="0" applyNumberFormat="1" applyFont="1" applyFill="1" applyBorder="1" applyAlignment="1">
      <x:alignment vertical="top" wrapText="1"/>
    </x:xf>
    <x:xf numFmtId="0" fontId="0" fillId="13" borderId="104" xfId="0" applyNumberFormat="1" applyFont="1" applyFill="1" applyBorder="1" applyAlignment="1">
      <x:alignment vertical="top" wrapText="1"/>
    </x:xf>
    <x:xf numFmtId="164" fontId="0" fillId="13" borderId="104" xfId="0" applyNumberFormat="1" applyFont="1" applyFill="1" applyBorder="1" applyAlignment="1">
      <x:alignment vertical="top" wrapText="1"/>
    </x:xf>
    <x:xf numFmtId="10" fontId="0" fillId="13" borderId="104" xfId="0" applyNumberFormat="1" applyFont="1" applyFill="1" applyBorder="1" applyAlignment="1">
      <x:alignment vertical="top" wrapText="1"/>
    </x:xf>
    <x:xf numFmtId="1" fontId="0" fillId="71" borderId="104" xfId="0" applyNumberFormat="1" applyFont="1" applyFill="1" applyBorder="1" applyAlignment="1">
      <x:alignment vertical="top" wrapText="1"/>
    </x:xf>
    <x:xf numFmtId="0" fontId="0" fillId="71" borderId="104" xfId="0" applyNumberFormat="1" applyFont="1" applyFill="1" applyBorder="1" applyAlignment="1">
      <x:alignment vertical="top" wrapText="1"/>
    </x:xf>
    <x:xf numFmtId="164" fontId="0" fillId="71" borderId="104" xfId="0" applyNumberFormat="1" applyFont="1" applyFill="1" applyBorder="1" applyAlignment="1">
      <x:alignment vertical="top" wrapText="1"/>
    </x:xf>
    <x:xf numFmtId="10" fontId="0" fillId="71" borderId="104" xfId="0" applyNumberFormat="1" applyFont="1" applyFill="1" applyBorder="1" applyAlignment="1">
      <x:alignment vertical="top" wrapText="1"/>
    </x:xf>
    <x:xf numFmtId="1" fontId="0" fillId="72" borderId="104" xfId="0" applyNumberFormat="1" applyFont="1" applyFill="1" applyBorder="1" applyAlignment="1">
      <x:alignment vertical="top" wrapText="1"/>
    </x:xf>
    <x:xf numFmtId="0" fontId="0" fillId="72" borderId="104" xfId="0" applyNumberFormat="1" applyFont="1" applyFill="1" applyBorder="1" applyAlignment="1">
      <x:alignment vertical="top" wrapText="1"/>
    </x:xf>
    <x:xf numFmtId="164" fontId="0" fillId="72" borderId="104" xfId="0" applyNumberFormat="1" applyFont="1" applyFill="1" applyBorder="1" applyAlignment="1">
      <x:alignment vertical="top" wrapText="1"/>
    </x:xf>
    <x:xf numFmtId="10" fontId="0" fillId="72" borderId="104" xfId="0" applyNumberFormat="1" applyFont="1" applyFill="1" applyBorder="1" applyAlignment="1">
      <x:alignment vertical="top" wrapText="1"/>
    </x:xf>
    <x:xf numFmtId="0" fontId="60" fillId="0" borderId="110" xfId="0" applyNumberFormat="1" applyFont="1" applyFill="1" applyBorder="1"/>
    <x:xf numFmtId="0" fontId="0" fillId="0" borderId="104" xfId="0" applyNumberFormat="1" applyFont="1" applyFill="1" applyBorder="1" applyAlignment="1">
      <x:alignment vertical="top"/>
    </x:xf>
    <x:xf numFmtId="164" fontId="0" fillId="0" borderId="104" xfId="0" applyNumberFormat="1" applyFont="1" applyFill="1" applyBorder="1" applyAlignment="1">
      <x:alignment vertical="top"/>
    </x:xf>
    <x:xf numFmtId="0" fontId="62" fillId="45" borderId="110" xfId="0" applyNumberFormat="1" applyFont="1" applyFill="1" applyBorder="1" applyAlignment="1">
      <x:alignment horizontal="left" wrapText="1"/>
    </x:xf>
    <x:xf numFmtId="0" fontId="7" fillId="46" borderId="110" xfId="0" applyNumberFormat="1" applyFont="1" applyFill="1" applyBorder="1" applyAlignment="1">
      <x:alignment wrapText="1"/>
    </x:xf>
    <x:xf numFmtId="0" fontId="62" fillId="75" borderId="110" xfId="0" applyNumberFormat="1" applyFont="1" applyFill="1" applyBorder="1" applyAlignment="1">
      <x:alignment wrapText="1"/>
    </x:xf>
    <x:xf numFmtId="0" fontId="7" fillId="53" borderId="110" xfId="0" applyNumberFormat="1" applyFont="1" applyFill="1" applyBorder="1" applyAlignment="1">
      <x:alignment wrapText="1"/>
    </x:xf>
    <x:xf numFmtId="0" fontId="62" fillId="45" borderId="110" xfId="0" applyNumberFormat="1" applyFont="1" applyFill="1" applyBorder="1" applyAlignment="1">
      <x:alignment vertical="top" wrapText="1"/>
    </x:xf>
    <x:xf numFmtId="0" fontId="19" fillId="45" borderId="104" xfId="0" applyNumberFormat="1" applyFont="1" applyFill="1" applyBorder="1" applyAlignment="1">
      <x:alignment vertical="center" wrapText="1"/>
    </x:xf>
    <x:xf numFmtId="49" fontId="65" fillId="0" borderId="104" xfId="0" applyNumberFormat="1" applyFont="1" applyFill="1" applyBorder="1" applyAlignment="1">
      <x:alignment vertical="center"/>
    </x:xf>
    <x:xf numFmtId="170" fontId="65" fillId="0" borderId="104" xfId="0" applyNumberFormat="1" applyFont="1" applyFill="1" applyBorder="1" applyAlignment="1">
      <x:alignment vertical="center"/>
    </x:xf>
    <x:xf numFmtId="0" fontId="65" fillId="0" borderId="110" xfId="0" applyNumberFormat="1" applyFont="1" applyFill="1" applyBorder="1" applyAlignment="1">
      <x:alignment vertical="center"/>
    </x:xf>
    <x:xf numFmtId="0" fontId="13" fillId="45" borderId="110" xfId="0" applyNumberFormat="1" applyFont="1" applyFill="1" applyBorder="1" applyAlignment="1">
      <x:alignment vertical="top" wrapText="1"/>
    </x:xf>
    <x:xf numFmtId="0" fontId="13" fillId="45" borderId="110" xfId="0" applyNumberFormat="1" applyFont="1" applyFill="1" applyBorder="1"/>
    <x:xf numFmtId="0" fontId="58" fillId="0" borderId="110" xfId="0" applyNumberFormat="1" applyFont="1" applyFill="1" applyBorder="1" applyAlignment="1">
      <x:alignment wrapText="1"/>
    </x:xf>
    <x:xf numFmtId="1" fontId="2" fillId="2" borderId="111" xfId="0" applyNumberFormat="1" applyFont="1" applyFill="1" applyBorder="1" applyAlignment="1">
      <x:alignment horizontal="left" vertical="center" wrapText="1"/>
    </x:xf>
    <x:xf numFmtId="0" fontId="0" fillId="0" borderId="169" xfId="0" applyNumberFormat="1" applyFont="1" applyFill="1" applyBorder="1"/>
    <x:xf numFmtId="1" fontId="7" fillId="3" borderId="114" xfId="0" applyNumberFormat="1" applyFont="1" applyFill="1" applyBorder="1" applyAlignment="1">
      <x:alignment horizontal="left" vertical="center"/>
    </x:xf>
    <x:xf numFmtId="0" fontId="0" fillId="0" borderId="145" xfId="0" applyNumberFormat="1" applyFont="1" applyFill="1" applyBorder="1"/>
    <x:xf numFmtId="1" fontId="3" fillId="0" borderId="170" xfId="0" applyNumberFormat="1" applyFont="1" applyFill="1" applyBorder="1" applyAlignment="1">
      <x:alignment vertical="center" wrapText="1"/>
    </x:xf>
    <x:xf numFmtId="1" fontId="3" fillId="2" borderId="111" xfId="0" applyNumberFormat="1" applyFont="1" applyFill="1" applyBorder="1" applyAlignment="1">
      <x:alignment vertical="center" wrapText="1"/>
    </x:xf>
    <x:xf numFmtId="1" fontId="3" fillId="2" borderId="169" xfId="0" applyNumberFormat="1" applyFont="1" applyFill="1" applyBorder="1" applyAlignment="1">
      <x:alignment vertical="center" wrapText="1"/>
    </x:xf>
    <x:xf numFmtId="1" fontId="3" fillId="0" borderId="111" xfId="0" applyNumberFormat="1" applyFont="1" applyFill="1" applyBorder="1" applyAlignment="1">
      <x:alignment vertical="center" wrapText="1"/>
    </x:xf>
    <x:xf numFmtId="1" fontId="2" fillId="0" borderId="111" xfId="0" applyNumberFormat="1" applyFont="1" applyFill="1" applyBorder="1" applyAlignment="1">
      <x:alignment vertical="center" wrapText="1"/>
    </x:xf>
    <x:xf numFmtId="171" fontId="7" fillId="0" borderId="146" xfId="0" applyNumberFormat="1" applyFont="1" applyFill="1" applyBorder="1" applyAlignment="1">
      <x:alignment horizontal="left" vertical="center"/>
    </x:xf>
    <x:xf numFmtId="0" fontId="0" fillId="0" borderId="118" xfId="0" applyNumberFormat="1" applyFont="1" applyFill="1" applyBorder="1"/>
    <x:xf numFmtId="1" fontId="1" fillId="0" borderId="111" xfId="0" applyNumberFormat="1" applyFont="1" applyFill="1" applyBorder="1" applyAlignment="1">
      <x:alignment vertical="center" wrapText="1"/>
    </x:xf>
    <x:xf numFmtId="1" fontId="1" fillId="3" borderId="111" xfId="0" applyNumberFormat="1" applyFont="1" applyFill="1" applyBorder="1" applyAlignment="1">
      <x:alignment horizontal="left" vertical="center" wrapText="1"/>
    </x:xf>
    <x:xf numFmtId="1" fontId="1" fillId="2" borderId="111" xfId="0" applyNumberFormat="1" applyFont="1" applyFill="1" applyBorder="1" applyAlignment="1">
      <x:alignment horizontal="left" vertical="center" wrapText="1"/>
    </x:xf>
    <x:xf numFmtId="1" fontId="7" fillId="3" borderId="117" xfId="0" applyNumberFormat="1" applyFont="1" applyFill="1" applyBorder="1" applyAlignment="1">
      <x:alignment horizontal="left" vertical="center"/>
    </x:xf>
    <x:xf numFmtId="0" fontId="0" fillId="0" borderId="113" xfId="0" applyNumberFormat="1" applyFont="1" applyFill="1" applyBorder="1"/>
    <x:xf numFmtId="0" fontId="1" fillId="2" borderId="112" xfId="0" applyNumberFormat="1" applyFont="1" applyFill="1" applyBorder="1" applyAlignment="1">
      <x:alignment horizontal="left" vertical="center" wrapText="1"/>
    </x:xf>
    <x:xf numFmtId="0" fontId="0" fillId="0" borderId="124" xfId="0" applyNumberFormat="1" applyFont="1" applyFill="1" applyBorder="1"/>
    <x:xf numFmtId="0" fontId="1" fillId="3" borderId="111" xfId="0" applyNumberFormat="1" applyFont="1" applyFill="1" applyBorder="1" applyAlignment="1">
      <x:alignment horizontal="left" vertical="center" wrapText="1"/>
    </x:xf>
    <x:xf numFmtId="1" fontId="1" fillId="0" borderId="112" xfId="0" applyNumberFormat="1" applyFont="1" applyFill="1" applyBorder="1" applyAlignment="1">
      <x:alignment wrapText="1"/>
    </x:xf>
    <x:xf numFmtId="1" fontId="2" fillId="2" borderId="112" xfId="0" applyNumberFormat="1" applyFont="1" applyFill="1" applyBorder="1" applyAlignment="1">
      <x:alignment horizontal="left" vertical="center" wrapText="1"/>
    </x:xf>
    <x:xf numFmtId="1" fontId="3" fillId="3" borderId="112" xfId="0" applyNumberFormat="1" applyFont="1" applyFill="1" applyBorder="1" applyAlignment="1">
      <x:alignment vertical="center" wrapText="1"/>
    </x:xf>
    <x:xf numFmtId="1" fontId="3" fillId="2" borderId="112" xfId="0" applyNumberFormat="1" applyFont="1" applyFill="1" applyBorder="1" applyAlignment="1">
      <x:alignment vertical="center" wrapText="1"/>
    </x:xf>
    <x:xf numFmtId="0" fontId="1" fillId="0" borderId="112" xfId="0" applyNumberFormat="1" applyFont="1" applyFill="1" applyBorder="1" applyAlignment="1">
      <x:alignment horizontal="left" vertical="center" wrapText="1"/>
    </x:xf>
    <x:xf numFmtId="0" fontId="2" fillId="2" borderId="112" xfId="0" applyNumberFormat="1" applyFont="1" applyFill="1" applyBorder="1" applyAlignment="1">
      <x:alignment horizontal="left" vertical="center" wrapText="1"/>
    </x:xf>
    <x:xf numFmtId="1" fontId="1" fillId="3" borderId="112" xfId="0" applyNumberFormat="1" applyFont="1" applyFill="1" applyBorder="1" applyAlignment="1">
      <x:alignment horizontal="left" vertical="center" wrapText="1"/>
    </x:xf>
    <x:xf numFmtId="1" fontId="2" fillId="0" borderId="112" xfId="0" applyNumberFormat="1" applyFont="1" applyFill="1" applyBorder="1" applyAlignment="1">
      <x:alignment vertical="center" wrapText="1"/>
    </x:xf>
    <x:xf numFmtId="1" fontId="3" fillId="0" borderId="112" xfId="0" applyNumberFormat="1" applyFont="1" applyFill="1" applyBorder="1" applyAlignment="1">
      <x:alignment vertical="center" wrapText="1"/>
    </x:xf>
    <x:xf numFmtId="0" fontId="1" fillId="2" borderId="111" xfId="0" applyNumberFormat="1" applyFont="1" applyFill="1" applyBorder="1" applyAlignment="1">
      <x:alignment horizontal="left" vertical="center" wrapText="1"/>
    </x:xf>
    <x:xf numFmtId="0" fontId="2" fillId="0" borderId="112" xfId="0" applyNumberFormat="1" applyFont="1" applyFill="1" applyBorder="1" applyAlignment="1">
      <x:alignment horizontal="left" vertical="center" wrapText="1"/>
    </x:xf>
    <x:xf numFmtId="1" fontId="1" fillId="0" borderId="112" xfId="0" applyNumberFormat="1" applyFont="1" applyFill="1" applyBorder="1" applyAlignment="1">
      <x:alignment vertical="center" wrapText="1"/>
    </x:xf>
    <x:xf numFmtId="1" fontId="7" fillId="0" borderId="146" xfId="0" applyNumberFormat="1" applyFont="1" applyFill="1" applyBorder="1" applyAlignment="1">
      <x:alignment horizontal="left" vertical="center"/>
    </x:xf>
    <x:xf numFmtId="1" fontId="18" fillId="6" borderId="149" xfId="0" applyNumberFormat="1" applyFont="1" applyFill="1" applyBorder="1" applyAlignment="1">
      <x:alignment horizontal="left" vertical="center" wrapText="1"/>
    </x:xf>
    <x:xf numFmtId="0" fontId="0" fillId="0" borderId="171" xfId="0" applyNumberFormat="1" applyFont="1" applyFill="1" applyBorder="1"/>
    <x:xf numFmtId="1" fontId="5" fillId="5" borderId="118" xfId="0" applyNumberFormat="1" applyFont="1" applyFill="1" applyBorder="1" applyAlignment="1">
      <x:alignment horizontal="left" vertical="center" wrapText="1"/>
    </x:xf>
    <x:xf numFmtId="164" fontId="7" fillId="0" borderId="131" xfId="0" applyNumberFormat="1" applyFont="1" applyFill="1" applyBorder="1" applyAlignment="1">
      <x:alignment horizontal="left" vertical="top" wrapText="1"/>
    </x:xf>
    <x:xf numFmtId="0" fontId="0" fillId="0" borderId="172" xfId="0" applyNumberFormat="1" applyFont="1" applyFill="1" applyBorder="1"/>
    <x:xf numFmtId="0" fontId="0" fillId="0" borderId="140" xfId="0" applyNumberFormat="1" applyFont="1" applyFill="1" applyBorder="1"/>
    <x:xf numFmtId="0" fontId="0" fillId="0" borderId="141" xfId="0" applyNumberFormat="1" applyFont="1" applyFill="1" applyBorder="1"/>
    <x:xf numFmtId="0" fontId="0" fillId="0" borderId="147" xfId="0" applyNumberFormat="1" applyFont="1" applyFill="1" applyBorder="1"/>
    <x:xf numFmtId="0" fontId="0" fillId="0" borderId="152" xfId="0" applyNumberFormat="1" applyFont="1" applyFill="1" applyBorder="1"/>
    <x:xf numFmtId="0" fontId="0" fillId="0" borderId="148" xfId="0" applyNumberFormat="1" applyFont="1" applyFill="1" applyBorder="1"/>
    <x:xf numFmtId="1" fontId="5" fillId="17" borderId="119" xfId="0" applyNumberFormat="1" applyFont="1" applyFill="1" applyBorder="1" applyAlignment="1">
      <x:alignment horizontal="left" vertical="center"/>
    </x:xf>
    <x:xf numFmtId="1" fontId="20" fillId="22" borderId="119" xfId="0" applyNumberFormat="1" applyFont="1" applyFill="1" applyBorder="1" applyAlignment="1">
      <x:alignment horizontal="left" vertical="center" wrapText="1"/>
    </x:xf>
    <x:xf numFmtId="1" fontId="5" fillId="18" borderId="119" xfId="0" applyNumberFormat="1" applyFont="1" applyFill="1" applyBorder="1" applyAlignment="1">
      <x:alignment horizontal="left" vertical="center"/>
    </x:xf>
    <x:xf numFmtId="1" fontId="5" fillId="19" borderId="119" xfId="0" applyNumberFormat="1" applyFont="1" applyFill="1" applyBorder="1" applyAlignment="1">
      <x:alignment horizontal="left" vertical="center" wrapText="1"/>
    </x:xf>
    <x:xf numFmtId="1" fontId="19" fillId="20" borderId="149" xfId="0" applyNumberFormat="1" applyFont="1" applyFill="1" applyBorder="1" applyAlignment="1">
      <x:alignment horizontal="left" vertical="center" wrapText="1"/>
    </x:xf>
    <x:xf numFmtId="1" fontId="5" fillId="8" borderId="131" xfId="0" applyNumberFormat="1" applyFont="1" applyFill="1" applyBorder="1" applyAlignment="1">
      <x:alignment horizontal="left" vertical="center" wrapText="1"/>
    </x:xf>
    <x:xf numFmtId="0" fontId="0" fillId="0" borderId="173" xfId="0" applyNumberFormat="1" applyFont="1" applyFill="1" applyBorder="1"/>
    <x:xf numFmtId="1" fontId="5" fillId="18" borderId="149" xfId="0" applyNumberFormat="1" applyFont="1" applyFill="1" applyBorder="1" applyAlignment="1">
      <x:alignment horizontal="left" vertical="center"/>
    </x:xf>
    <x:xf numFmtId="1" fontId="20" fillId="21" borderId="119" xfId="0" applyNumberFormat="1" applyFont="1" applyFill="1" applyBorder="1" applyAlignment="1">
      <x:alignment horizontal="left" vertical="center" wrapText="1"/>
    </x:xf>
    <x:xf numFmtId="0" fontId="4" fillId="0" borderId="119" xfId="0" applyNumberFormat="1" applyFont="1" applyFill="1" applyBorder="1" applyAlignment="1">
      <x:alignment horizontal="right" vertical="center"/>
    </x:xf>
    <x:xf numFmtId="0" fontId="0" fillId="0" borderId="146" xfId="0" applyNumberFormat="1" applyFont="1" applyFill="1" applyBorder="1"/>
    <x:xf numFmtId="1" fontId="5" fillId="11" borderId="131" xfId="0" applyNumberFormat="1" applyFont="1" applyFill="1" applyBorder="1" applyAlignment="1">
      <x:alignment horizontal="left" vertical="center" wrapText="1"/>
    </x:xf>
    <x:xf numFmtId="1" fontId="5" fillId="23" borderId="173" xfId="0" applyNumberFormat="1" applyFont="1" applyFill="1" applyBorder="1" applyAlignment="1">
      <x:alignment horizontal="left" vertical="center" wrapText="1"/>
    </x:xf>
    <x:xf numFmtId="0" fontId="7" fillId="0" borderId="111" xfId="0" applyNumberFormat="1" applyFont="1" applyFill="1" applyBorder="1" applyAlignment="1">
      <x:alignment horizontal="right" vertical="center" wrapText="1"/>
    </x:xf>
    <x:xf numFmtId="0" fontId="7" fillId="23" borderId="123" xfId="0" applyNumberFormat="1" applyFont="1" applyFill="1" applyBorder="1" applyAlignment="1">
      <x:alignment horizontal="right" vertical="center" wrapText="1"/>
    </x:xf>
    <x:xf numFmtId="0" fontId="7" fillId="23" borderId="174" xfId="0" applyNumberFormat="1" applyFont="1" applyFill="1" applyBorder="1" applyAlignment="1">
      <x:alignment horizontal="right" vertical="center" wrapText="1"/>
    </x:xf>
    <x:xf numFmtId="0" fontId="0" fillId="0" borderId="175" xfId="0" applyNumberFormat="1" applyFont="1" applyFill="1" applyBorder="1"/>
    <x:xf numFmtId="0" fontId="7" fillId="0" borderId="111" xfId="0" applyNumberFormat="1" applyFont="1" applyFill="1" applyBorder="1" applyAlignment="1">
      <x:alignment horizontal="right" wrapText="1"/>
    </x:xf>
    <x:xf numFmtId="0" fontId="7" fillId="0" borderId="176" xfId="0" applyNumberFormat="1" applyFont="1" applyFill="1" applyBorder="1" applyAlignment="1">
      <x:alignment horizontal="center" vertical="center" wrapText="1"/>
    </x:xf>
    <x:xf numFmtId="0" fontId="0" fillId="0" borderId="177" xfId="0" applyNumberFormat="1" applyFont="1" applyFill="1" applyBorder="1"/>
    <x:xf numFmtId="0" fontId="7" fillId="23" borderId="170" xfId="0" applyNumberFormat="1" applyFont="1" applyFill="1" applyBorder="1" applyAlignment="1">
      <x:alignment horizontal="right" vertical="center" wrapText="1"/>
    </x:xf>
    <x:xf numFmtId="1" fontId="5" fillId="17" borderId="159" xfId="0" applyNumberFormat="1" applyFont="1" applyFill="1" applyBorder="1" applyAlignment="1">
      <x:alignment horizontal="left" vertical="center"/>
    </x:xf>
    <x:xf numFmtId="0" fontId="4" fillId="0" borderId="138" xfId="0" applyNumberFormat="1" applyFont="1" applyFill="1" applyBorder="1" applyAlignment="1">
      <x:alignment horizontal="right" vertical="center"/>
    </x:xf>
    <x:xf numFmtId="0" fontId="0" fillId="0" borderId="178" xfId="0" applyNumberFormat="1" applyFont="1" applyFill="1" applyBorder="1"/>
    <x:xf numFmtId="0" fontId="7" fillId="0" borderId="131" xfId="0" applyNumberFormat="1" applyFont="1" applyFill="1" applyBorder="1" applyAlignment="1">
      <x:alignment horizontal="center" vertical="center" wrapText="1"/>
    </x:xf>
    <x:xf numFmtId="0" fontId="5" fillId="0" borderId="149" xfId="0" applyNumberFormat="1" applyFont="1" applyFill="1" applyBorder="1" applyAlignment="1">
      <x:alignment horizontal="center" vertical="center" wrapText="1"/>
    </x:xf>
    <x:xf numFmtId="0" fontId="0" fillId="0" borderId="150" xfId="0" applyNumberFormat="1" applyFont="1" applyFill="1" applyBorder="1"/>
    <x:xf numFmtId="0" fontId="5" fillId="0" borderId="131" xfId="0" applyNumberFormat="1" applyFont="1" applyFill="1" applyBorder="1" applyAlignment="1">
      <x:alignment horizontal="center" vertical="center" wrapText="1"/>
    </x:xf>
    <x:xf numFmtId="0" fontId="29" fillId="42" borderId="167" xfId="0" applyNumberFormat="1" applyFont="1" applyFill="1" applyBorder="1" applyAlignment="1">
      <x:alignment horizontal="left"/>
    </x:xf>
    <x:xf numFmtId="0" fontId="0" fillId="0" borderId="179" xfId="0" applyNumberFormat="1" applyFont="1" applyFill="1" applyBorder="1"/>
    <x:xf numFmtId="0" fontId="0" fillId="0" borderId="180" xfId="0" applyNumberFormat="1" applyFont="1" applyFill="1" applyBorder="1"/>
    <x:xf numFmtId="0" fontId="29" fillId="38" borderId="167" xfId="0" applyNumberFormat="1" applyFont="1" applyFill="1" applyBorder="1" applyAlignment="1">
      <x:alignment horizontal="left"/>
    </x:xf>
    <x:xf numFmtId="0" fontId="28" fillId="38" borderId="167" xfId="0" applyNumberFormat="1" applyFont="1" applyFill="1" applyBorder="1" applyAlignment="1">
      <x:alignment horizontal="left"/>
    </x:xf>
    <x:xf numFmtId="0" fontId="29" fillId="39" borderId="167" xfId="0" applyNumberFormat="1" applyFont="1" applyFill="1" applyBorder="1" applyAlignment="1">
      <x:alignment horizontal="left"/>
    </x:xf>
    <x:xf numFmtId="0" fontId="28" fillId="41" borderId="167" xfId="0" applyNumberFormat="1" applyFont="1" applyFill="1" applyBorder="1" applyAlignment="1">
      <x:alignment horizontal="left"/>
    </x:xf>
    <x:xf numFmtId="0" fontId="29" fillId="35" borderId="167" xfId="0" applyNumberFormat="1" applyFont="1" applyFill="1" applyBorder="1" applyAlignment="1">
      <x:alignment horizontal="left"/>
    </x:xf>
    <x:xf numFmtId="0" fontId="29" fillId="40" borderId="167" xfId="0" applyNumberFormat="1" applyFont="1" applyFill="1" applyBorder="1" applyAlignment="1">
      <x:alignment horizontal="left"/>
    </x:xf>
    <x:xf numFmtId="0" fontId="29" fillId="37" borderId="167" xfId="0" applyNumberFormat="1" applyFont="1" applyFill="1" applyBorder="1" applyAlignment="1">
      <x:alignment horizontal="left"/>
    </x:xf>
    <x:xf numFmtId="0" fontId="29" fillId="36" borderId="167" xfId="0" applyNumberFormat="1" applyFont="1" applyFill="1" applyBorder="1" applyAlignment="1">
      <x:alignment horizontal="left"/>
    </x:xf>
    <x:xf numFmtId="0" fontId="28" fillId="35" borderId="167" xfId="0" applyNumberFormat="1" applyFont="1" applyFill="1" applyBorder="1" applyAlignment="1">
      <x:alignment horizontal="left"/>
    </x:xf>
    <x:xf numFmtId="0" fontId="29" fillId="41" borderId="167" xfId="0" applyNumberFormat="1" applyFont="1" applyFill="1" applyBorder="1" applyAlignment="1">
      <x:alignment horizontal="left"/>
    </x:xf>
    <x:xf numFmtId="0" fontId="34" fillId="44" borderId="117" xfId="0" applyNumberFormat="1" applyFont="1" applyFill="1" applyBorder="1" applyAlignment="1">
      <x:alignment horizontal="center" vertical="center" wrapText="1"/>
    </x:xf>
    <x:xf numFmtId="0" fontId="70" fillId="0" borderId="110" xfId="0" applyNumberFormat="1" applyFont="1" applyFill="1" applyBorder="1"/>
    <x:xf numFmtId="172" fontId="0" fillId="13" borderId="104" xfId="0" applyNumberFormat="1" applyFont="1" applyFill="1" applyBorder="1"/>
    <x:xf numFmtId="0" fontId="68" fillId="45" borderId="104" xfId="0" applyNumberFormat="1" applyFont="1" applyFill="1" applyBorder="1" applyAlignment="1">
      <x:alignment horizontal="center" vertical="center" wrapText="1"/>
    </x:xf>
    <x:xf numFmtId="173" fontId="0" fillId="0" borderId="104" xfId="0" applyNumberFormat="1" applyFont="1" applyFill="1" applyBorder="1"/>
    <x:xf numFmtId="174" fontId="0" fillId="0" borderId="104" xfId="0" applyNumberFormat="1" applyFont="1" applyFill="1" applyBorder="1"/>
    <x:xf numFmtId="0" fontId="0" fillId="0" borderId="110" xfId="0" applyNumberFormat="1" applyFont="1" applyFill="1" applyBorder="1" applyAlignment="1">
      <x:alignment horizontal="center" vertical="center" wrapText="1"/>
    </x:xf>
    <x:xf numFmtId="0" fontId="0" fillId="0" borderId="110" xfId="0" applyNumberFormat="1" applyFont="1" applyFill="1" applyBorder="1" applyAlignment="1">
      <x:alignment vertical="center" wrapText="1"/>
    </x:xf>
    <x:xf numFmtId="173" fontId="0" fillId="13" borderId="104" xfId="0" applyNumberFormat="1" applyFont="1" applyFill="1" applyBorder="1"/>
    <x:xf numFmtId="174" fontId="0" fillId="13" borderId="104" xfId="0" applyNumberFormat="1" applyFont="1" applyFill="1" applyBorder="1"/>
    <x:xf numFmtId="0" fontId="0" fillId="13" borderId="110" xfId="0" applyNumberFormat="1" applyFont="1" applyFill="1" applyBorder="1" applyAlignment="1">
      <x:alignment horizontal="center" vertical="center" wrapText="1"/>
    </x:xf>
    <x:xf numFmtId="0" fontId="69" fillId="45" borderId="104" xfId="0" applyNumberFormat="1" applyFont="1" applyFill="1" applyBorder="1"/>
    <x:xf numFmtId="0" fontId="70" fillId="46" borderId="104" xfId="0" applyNumberFormat="1" applyFont="1" applyFill="1" applyBorder="1"/>
    <x:xf numFmtId="0" fontId="0" fillId="23" borderId="104" xfId="0" applyNumberFormat="1" applyFont="1" applyFill="1" applyBorder="1" applyAlignment="1">
      <x:alignment vertical="top" wrapText="1"/>
    </x:xf>
    <x:xf numFmtId="0" fontId="68" fillId="82" borderId="104" xfId="0" applyNumberFormat="1" applyFont="1" applyFill="1" applyBorder="1"/>
    <x:xf numFmtId="0" fontId="0" fillId="13" borderId="104" xfId="0" applyNumberFormat="1" applyFont="1" applyFill="1" applyBorder="1" applyAlignment="1">
      <x:alignment vertical="center"/>
    </x:xf>
    <x:xf numFmtId="173" fontId="0" fillId="13" borderId="104" xfId="0" applyNumberFormat="1" applyFont="1" applyFill="1" applyBorder="1" applyAlignment="1">
      <x:alignment vertical="center"/>
    </x:xf>
    <x:xf numFmtId="174" fontId="0" fillId="13" borderId="104" xfId="0" applyNumberFormat="1" applyFont="1" applyFill="1" applyBorder="1" applyAlignment="1">
      <x:alignment vertical="center"/>
    </x:xf>
    <x:xf numFmtId="0" fontId="70" fillId="65" borderId="104" xfId="0" applyNumberFormat="1" applyFont="1" applyFill="1" applyBorder="1"/>
    <x:xf numFmtId="173" fontId="0" fillId="23" borderId="104" xfId="0" applyNumberFormat="1" applyFont="1" applyFill="1" applyBorder="1"/>
    <x:xf numFmtId="0" fontId="0" fillId="23" borderId="104" xfId="0" applyNumberFormat="1" applyFont="1" applyFill="1" applyBorder="1"/>
    <x:xf numFmtId="3" fontId="0" fillId="13" borderId="104" xfId="0" applyNumberFormat="1" applyFont="1" applyFill="1" applyBorder="1"/>
    <x:xf numFmtId="0" fontId="0" fillId="0" borderId="181" xfId="0" applyNumberFormat="1" applyFont="1" applyFill="1" applyBorder="1"/>
    <x:xf numFmtId="0" fontId="0" fillId="0" borderId="182" xfId="0" applyNumberFormat="1" applyFont="1" applyFill="1" applyBorder="1"/>
    <x:xf numFmtId="0" fontId="71" fillId="0" borderId="110" xfId="0" applyNumberFormat="1" applyFont="1" applyFill="1" applyBorder="1"/>
    <x:xf numFmtId="0" fontId="68" fillId="45" borderId="109" xfId="0" applyNumberFormat="1" applyFont="1" applyFill="1" applyBorder="1" applyAlignment="1">
      <x:alignment vertical="top" wrapText="1"/>
    </x:xf>
    <x:xf numFmtId="0" fontId="0" fillId="11" borderId="109" xfId="0" applyNumberFormat="1" applyFont="1" applyFill="1" applyBorder="1" applyAlignment="1">
      <x:alignment vertical="top" wrapText="1"/>
    </x:xf>
    <x:xf numFmtId="0" fontId="0" fillId="65" borderId="109" xfId="0" applyNumberFormat="1" applyFont="1" applyFill="1" applyBorder="1" applyAlignment="1">
      <x:alignment vertical="top" wrapText="1"/>
    </x:xf>
    <x:xf numFmtId="0" fontId="72" fillId="0" borderId="110" xfId="0" applyNumberFormat="1" applyFont="1" applyFill="1" applyBorder="1"/>
    <x:xf numFmtId="0" fontId="73" fillId="0" borderId="110" xfId="0" applyNumberFormat="1" applyFont="1" applyFill="1" applyBorder="1"/>
    <x:xf numFmtId="0" fontId="0" fillId="13" borderId="109" xfId="0" applyNumberFormat="1" applyFont="1" applyFill="1" applyBorder="1" applyAlignment="1">
      <x:alignment vertical="top" wrapText="1"/>
    </x:xf>
    <x:xf numFmtId="0" fontId="68" fillId="45" borderId="109" xfId="0" applyNumberFormat="1" applyFont="1" applyFill="1" applyBorder="1"/>
    <x:xf numFmtId="0" fontId="0" fillId="0" borderId="109" xfId="0" applyNumberFormat="1" applyFont="1" applyFill="1" applyBorder="1"/>
    <x:xf numFmtId="0" fontId="0" fillId="65" borderId="109" xfId="0" applyNumberFormat="1" applyFont="1" applyFill="1" applyBorder="1"/>
    <x:xf numFmtId="9" fontId="0" fillId="0" borderId="104" xfId="0" applyNumberFormat="1" applyFont="1" applyFill="1" applyBorder="1"/>
    <x:xf numFmtId="0" fontId="0" fillId="13" borderId="110" xfId="0" applyNumberFormat="1" applyFont="1" applyFill="1" applyBorder="1" applyAlignment="1">
      <x:alignment wrapText="1"/>
    </x:xf>
    <x:xf numFmtId="0" fontId="69" fillId="86" borderId="110" xfId="0" applyNumberFormat="1" applyFont="1" applyFill="1" applyBorder="1" applyAlignment="1">
      <x:alignment horizontal="center"/>
    </x:xf>
    <x:xf numFmtId="0" fontId="68" fillId="45" borderId="104" xfId="0" applyNumberFormat="1" applyFont="1" applyFill="1" applyBorder="1" applyAlignment="1">
      <x:alignment vertical="top" wrapText="1"/>
    </x:xf>
    <x:xf numFmtId="0" fontId="74" fillId="53" borderId="104" xfId="0" applyNumberFormat="1" applyFont="1" applyFill="1" applyBorder="1" applyAlignment="1">
      <x:alignment horizontal="center" wrapText="1"/>
    </x:xf>
    <x:xf numFmtId="0" fontId="68" fillId="45" borderId="110" xfId="0" applyNumberFormat="1" applyFont="1" applyFill="1" applyBorder="1" applyAlignment="1">
      <x:alignment horizontal="center" vertical="center" wrapText="1"/>
    </x:xf>
    <x:xf numFmtId="0" fontId="75" fillId="0" borderId="110" xfId="0" applyNumberFormat="1" applyFont="1" applyFill="1" applyBorder="1"/>
    <x:xf numFmtId="0" fontId="0" fillId="55" borderId="104" xfId="0" applyNumberFormat="1" applyFont="1" applyFill="1" applyBorder="1" applyAlignment="1">
      <x:alignment vertical="top" wrapText="1"/>
    </x:xf>
    <x:xf numFmtId="0" fontId="0" fillId="46" borderId="104" xfId="0" applyNumberFormat="1" applyFont="1" applyFill="1" applyBorder="1"/>
    <x:xf numFmtId="175" fontId="0" fillId="0" borderId="104" xfId="0" applyNumberFormat="1" applyFont="1" applyFill="1" applyBorder="1" applyAlignment="1">
      <x:alignment vertical="top" wrapText="1"/>
    </x:xf>
    <x:xf numFmtId="0" fontId="0" fillId="0" borderId="104" xfId="0" applyNumberFormat="1" applyFont="1" applyFill="1" applyBorder="1" applyAlignment="1">
      <x:alignment horizontal="center"/>
    </x:xf>
    <x:xf numFmtId="175" fontId="0" fillId="13" borderId="104" xfId="0" applyNumberFormat="1" applyFont="1" applyFill="1" applyBorder="1" applyAlignment="1">
      <x:alignment vertical="top" wrapText="1"/>
    </x:xf>
    <x:xf numFmtId="0" fontId="0" fillId="13" borderId="104" xfId="0" applyNumberFormat="1" applyFont="1" applyFill="1" applyBorder="1" applyAlignment="1">
      <x:alignment horizontal="left" vertical="center"/>
    </x:xf>
    <x:xf numFmtId="0" fontId="76" fillId="0" borderId="110" xfId="0" applyNumberFormat="1" applyFont="1" applyFill="1" applyBorder="1" applyAlignment="1">
      <x:alignment wrapText="1"/>
    </x:xf>
    <x:xf numFmtId="0" fontId="70" fillId="46" borderId="110" xfId="0" applyNumberFormat="1" applyFont="1" applyFill="1" applyBorder="1"/>
    <x:xf numFmtId="0" fontId="69" fillId="50" borderId="110" xfId="0" applyNumberFormat="1" applyFont="1" applyFill="1" applyBorder="1" applyAlignment="1">
      <x:alignment horizontal="center"/>
    </x:xf>
    <x:xf numFmtId="0" fontId="70" fillId="46" borderId="104" xfId="0" applyNumberFormat="1" applyFont="1" applyFill="1" applyBorder="1" applyAlignment="1">
      <x:alignment vertical="top" wrapText="1"/>
    </x:xf>
    <x:xf numFmtId="0" fontId="0" fillId="65" borderId="110" xfId="0" applyNumberFormat="1" applyFont="1" applyFill="1" applyBorder="1" applyAlignment="1">
      <x:alignment vertical="top" wrapText="1"/>
    </x:xf>
    <x:xf numFmtId="0" fontId="68" fillId="50" borderId="110" xfId="0" applyNumberFormat="1" applyFont="1" applyFill="1" applyBorder="1"/>
    <x:xf numFmtId="0" fontId="0" fillId="89" borderId="0" xfId="0" applyNumberFormat="1" applyFont="1" applyFill="1" applyBorder="1"/>
    <x:xf numFmtId="0" fontId="19" fillId="89" borderId="0" xfId="0" applyNumberFormat="1" applyFont="1" applyFill="1" applyBorder="1"/>
    <x:xf numFmtId="0" fontId="19" fillId="89" borderId="0" xfId="0" applyNumberFormat="1" applyFont="1" applyFill="1" applyBorder="1" applyAlignment="1">
      <x:alignment wrapText="1"/>
    </x:xf>
    <x:xf numFmtId="0" fontId="19" fillId="89" borderId="0" xfId="0" applyNumberFormat="1" applyFont="1" applyFill="1" applyBorder="1" applyAlignment="1">
      <x:alignment horizontal="center" wrapText="1"/>
    </x:xf>
    <x:xf numFmtId="0" fontId="19" fillId="89" borderId="0" xfId="0" applyNumberFormat="1" applyFont="1" applyFill="1" applyBorder="1" applyAlignment="1">
      <x:alignment horizontal="center" vertical="center" wrapText="1"/>
    </x:xf>
    <x:xf numFmtId="0" fontId="0" fillId="89" borderId="110" xfId="0" applyNumberFormat="1" applyFont="1" applyFill="1" applyBorder="1"/>
    <x:xf numFmtId="0" fontId="19" fillId="89" borderId="110" xfId="0" applyNumberFormat="1" applyFont="1" applyFill="1" applyBorder="1"/>
    <x:xf numFmtId="0" fontId="19" fillId="89" borderId="110" xfId="0" applyNumberFormat="1" applyFont="1" applyFill="1" applyBorder="1" applyAlignment="1">
      <x:alignment wrapText="1"/>
    </x:xf>
    <x:xf numFmtId="0" fontId="19" fillId="89" borderId="110" xfId="0" applyNumberFormat="1" applyFont="1" applyFill="1" applyBorder="1" applyAlignment="1">
      <x:alignment horizontal="center" wrapText="1"/>
    </x:xf>
    <x:xf numFmtId="0" fontId="19" fillId="89" borderId="1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1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1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10" xfId="0" applyNumberFormat="1" applyFont="1" applyFill="1" applyBorder="1"/>
    <x:xf numFmtId="203" fontId="0" fillId="0" borderId="0" xfId="0" applyNumberFormat="1" applyFont="1" applyFill="1" applyBorder="1"/>
    <x:xf numFmtId="203" fontId="0" fillId="0" borderId="1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7" fillId="89" borderId="0" xfId="0" applyNumberFormat="1" applyFont="1" applyFill="1" applyBorder="1"/>
    <x:xf numFmtId="0" fontId="77" fillId="89" borderId="0" xfId="0" applyNumberFormat="1" applyFont="1" applyFill="1" applyBorder="1" applyAlignment="1">
      <x:alignment horizontal="left"/>
    </x:xf>
    <x:xf numFmtId="0" fontId="77" fillId="89" borderId="0" xfId="0" applyNumberFormat="1" applyFont="1" applyFill="1" applyBorder="1" applyAlignment="1">
      <x:alignment horizontal="left" vertical="center"/>
    </x:xf>
    <x:xf numFmtId="0" fontId="77" fillId="89" borderId="110" xfId="0" applyNumberFormat="1" applyFont="1" applyFill="1" applyBorder="1"/>
    <x:xf numFmtId="0" fontId="77" fillId="89" borderId="110" xfId="0" applyNumberFormat="1" applyFont="1" applyFill="1" applyBorder="1" applyAlignment="1">
      <x:alignment horizontal="left"/>
    </x:xf>
    <x:xf numFmtId="0" fontId="77" fillId="89" borderId="110" xfId="0" applyNumberFormat="1" applyFont="1" applyFill="1" applyBorder="1" applyAlignment="1">
      <x:alignment horizontal="left" vertical="center"/>
    </x:xf>
    <x:xf numFmtId="0" fontId="0" fillId="90" borderId="0" xfId="0" applyNumberFormat="1" applyFont="1" applyFill="1" applyBorder="1"/>
    <x:xf numFmtId="0" fontId="78" fillId="90" borderId="0" xfId="0" applyNumberFormat="1" applyFont="1" applyFill="1" applyBorder="1"/>
    <x:xf numFmtId="0" fontId="78" fillId="90" borderId="0" xfId="0" applyNumberFormat="1" applyFont="1" applyFill="1" applyBorder="1" applyAlignment="1">
      <x:alignment vertical="top"/>
    </x:xf>
    <x:xf numFmtId="0" fontId="0" fillId="90" borderId="110" xfId="0" applyNumberFormat="1" applyFont="1" applyFill="1" applyBorder="1"/>
    <x:xf numFmtId="0" fontId="78" fillId="90" borderId="110" xfId="0" applyNumberFormat="1" applyFont="1" applyFill="1" applyBorder="1"/>
    <x:xf numFmtId="0" fontId="78" fillId="90" borderId="110" xfId="0" applyNumberFormat="1" applyFont="1" applyFill="1" applyBorder="1" applyAlignment="1">
      <x:alignment vertical="top"/>
    </x:xf>
    <x:xf numFmtId="0" fontId="78" fillId="91" borderId="0" xfId="0" applyNumberFormat="1" applyFont="1" applyFill="1" applyBorder="1" applyAlignment="1">
      <x:alignment vertical="top"/>
    </x:xf>
    <x:xf numFmtId="0" fontId="0" fillId="91" borderId="0" xfId="0" applyNumberFormat="1" applyFont="1" applyFill="1" applyBorder="1"/>
    <x:xf numFmtId="0" fontId="79" fillId="91" borderId="0" xfId="0" applyNumberFormat="1" applyFont="1" applyFill="1" applyBorder="1" applyAlignment="1">
      <x:alignment vertical="top"/>
    </x:xf>
    <x:xf numFmtId="0" fontId="79" fillId="91" borderId="0" xfId="0" applyNumberFormat="1" applyFont="1" applyFill="1" applyBorder="1"/>
    <x:xf numFmtId="0" fontId="78" fillId="91" borderId="110" xfId="0" applyNumberFormat="1" applyFont="1" applyFill="1" applyBorder="1" applyAlignment="1">
      <x:alignment vertical="top"/>
    </x:xf>
    <x:xf numFmtId="0" fontId="0" fillId="91" borderId="110" xfId="0" applyNumberFormat="1" applyFont="1" applyFill="1" applyBorder="1"/>
    <x:xf numFmtId="0" fontId="79" fillId="91" borderId="110" xfId="0" applyNumberFormat="1" applyFont="1" applyFill="1" applyBorder="1" applyAlignment="1">
      <x:alignment vertical="top"/>
    </x:xf>
    <x:xf numFmtId="0" fontId="79" fillId="91" borderId="110" xfId="0" applyNumberFormat="1" applyFont="1" applyFill="1" applyBorder="1"/>
    <x:xf numFmtId="0" fontId="77" fillId="89" borderId="0" xfId="0" applyNumberFormat="1" applyFont="1" applyFill="1" applyBorder="1" applyAlignment="1">
      <x:alignment horizontal="left" vertical="center" wrapText="1"/>
    </x:xf>
    <x:xf numFmtId="0" fontId="78" fillId="90" borderId="0" xfId="0" applyNumberFormat="1" applyFont="1" applyFill="1" applyBorder="1" applyAlignment="1">
      <x:alignment vertical="top" wrapText="1"/>
    </x:xf>
    <x:xf numFmtId="0" fontId="79" fillId="91" borderId="0" xfId="0" applyNumberFormat="1" applyFont="1" applyFill="1" applyBorder="1" applyAlignment="1">
      <x:alignment vertical="top" wrapText="1"/>
    </x:xf>
    <x:xf numFmtId="0" fontId="79" fillId="91" borderId="0" xfId="0" applyNumberFormat="1" applyFont="1" applyFill="1" applyBorder="1" applyAlignment="1">
      <x:alignment wrapText="1"/>
    </x:xf>
    <x:xf numFmtId="0" fontId="77" fillId="89" borderId="110" xfId="0" applyNumberFormat="1" applyFont="1" applyFill="1" applyBorder="1" applyAlignment="1">
      <x:alignment horizontal="left" vertical="center" wrapText="1"/>
    </x:xf>
    <x:xf numFmtId="0" fontId="78" fillId="90" borderId="110" xfId="0" applyNumberFormat="1" applyFont="1" applyFill="1" applyBorder="1" applyAlignment="1">
      <x:alignment vertical="top" wrapText="1"/>
    </x:xf>
    <x:xf numFmtId="0" fontId="79" fillId="91" borderId="110" xfId="0" applyNumberFormat="1" applyFont="1" applyFill="1" applyBorder="1" applyAlignment="1">
      <x:alignment vertical="top" wrapText="1"/>
    </x:xf>
    <x:xf numFmtId="0" fontId="79" fillId="91" borderId="11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1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10" xfId="0" applyNumberFormat="1" applyFont="1" applyFill="1" applyBorder="1" applyAlignment="1">
      <x:alignment wrapText="1"/>
    </x:xf>
    <x:xf numFmtId="0" fontId="78" fillId="92" borderId="0" xfId="0" applyNumberFormat="1" applyFont="1" applyFill="1" applyBorder="1" applyAlignment="1">
      <x:alignment vertical="top" wrapText="1"/>
    </x:xf>
    <x:xf numFmtId="202" fontId="0" fillId="92" borderId="0" xfId="0" applyNumberFormat="1" applyFont="1" applyFill="1" applyBorder="1" applyAlignment="1">
      <x:alignment wrapText="1"/>
    </x:xf>
    <x:xf numFmtId="0" fontId="78" fillId="92" borderId="110" xfId="0" applyNumberFormat="1" applyFont="1" applyFill="1" applyBorder="1" applyAlignment="1">
      <x:alignment vertical="top" wrapText="1"/>
    </x:xf>
    <x:xf numFmtId="202" fontId="0" fillId="92" borderId="110" xfId="0" applyNumberFormat="1" applyFont="1" applyFill="1" applyBorder="1" applyAlignment="1">
      <x:alignment wrapText="1"/>
    </x:xf>
    <x:xf numFmtId="0" fontId="78" fillId="93" borderId="0" xfId="0" applyNumberFormat="1" applyFont="1" applyFill="1" applyBorder="1" applyAlignment="1">
      <x:alignment vertical="top" wrapText="1"/>
    </x:xf>
    <x:xf numFmtId="202" fontId="0" fillId="93" borderId="0" xfId="0" applyNumberFormat="1" applyFont="1" applyFill="1" applyBorder="1" applyAlignment="1">
      <x:alignment wrapText="1"/>
    </x:xf>
    <x:xf numFmtId="0" fontId="78" fillId="93" borderId="110" xfId="0" applyNumberFormat="1" applyFont="1" applyFill="1" applyBorder="1" applyAlignment="1">
      <x:alignment vertical="top" wrapText="1"/>
    </x:xf>
    <x:xf numFmtId="202" fontId="0" fillId="93" borderId="110" xfId="0" applyNumberFormat="1" applyFont="1" applyFill="1" applyBorder="1" applyAlignment="1">
      <x:alignment wrapText="1"/>
    </x:xf>
    <x:xf numFmtId="0" fontId="78" fillId="94" borderId="0" xfId="0" applyNumberFormat="1" applyFont="1" applyFill="1" applyBorder="1" applyAlignment="1">
      <x:alignment vertical="top" wrapText="1"/>
    </x:xf>
    <x:xf numFmtId="202" fontId="0" fillId="94" borderId="0" xfId="0" applyNumberFormat="1" applyFont="1" applyFill="1" applyBorder="1" applyAlignment="1">
      <x:alignment wrapText="1"/>
    </x:xf>
  </x:cellXfs>
  <x:cellStyles count="2">
    <x:cellStyle name="Normalny" xfId="0"/>
    <x:cellStyle name="Normal" xfId="1"/>
  </x:cellStyles>
  <x:dxfs count="73">
    <x:dxf>
      <x:font>
        <x:color rgb="FF1C4587"/>
      </x:font>
      <x:fill>
        <x:patternFill>
          <x:bgColor rgb="FFD9EAF7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C4587"/>
      </x:font>
      <x:fill>
        <x:patternFill>
          <x:bgColor rgb="FFD9EAF7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C4587"/>
      </x:font>
      <x:fill>
        <x:patternFill>
          <x:bgColor rgb="FFD9EAF7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C4587"/>
      </x:font>
      <x:fill>
        <x:patternFill>
          <x:bgColor rgb="FFD9EAF7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C4587"/>
      </x:font>
      <x:fill>
        <x:patternFill>
          <x:bgColor rgb="FFD9EAF7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C4587"/>
      </x:font>
      <x:fill>
        <x:patternFill>
          <x:bgColor rgb="FFD9EAF7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ill>
        <x:patternFill>
          <x:bgColor rgb="FFF8CBAD"/>
        </x:patternFill>
      </x:fill>
    </x:dxf>
    <x:dxf>
      <x:fill>
        <x:patternFill>
          <x:bgColor rgb="FFF8CBAD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ill>
        <x:patternFill patternType="solid">
          <x:bgColor rgb="FFFFF1F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8aae6e71d4dca" /><Relationship Type="http://schemas.openxmlformats.org/officeDocument/2006/relationships/theme" Target="/xl/theme/theme1.xml" Id="Rdf5e955791314310" /><Relationship Type="http://schemas.openxmlformats.org/officeDocument/2006/relationships/sharedStrings" Target="/xl/sharedStrings.xml" Id="Rb8f96f6342a5448e" /><Relationship Type="http://schemas.openxmlformats.org/officeDocument/2006/relationships/worksheet" Target="/xl/worksheets/sheet1.xml" Id="R7209df55e6a444df" /><Relationship Type="http://schemas.openxmlformats.org/officeDocument/2006/relationships/worksheet" Target="/xl/worksheets/sheet2.xml" Id="R1c8b060e286e4fa3" /><Relationship Type="http://schemas.openxmlformats.org/officeDocument/2006/relationships/worksheet" Target="/xl/worksheets/sheet3.xml" Id="Rb81ff117eee64908" /><Relationship Type="http://schemas.openxmlformats.org/officeDocument/2006/relationships/worksheet" Target="/xl/worksheets/sheet4.xml" Id="Rc54babc2b9df410e" /><Relationship Type="http://schemas.openxmlformats.org/officeDocument/2006/relationships/worksheet" Target="/xl/worksheets/sheet5.xml" Id="R2c21a2a864434ea1" /><Relationship Type="http://schemas.openxmlformats.org/officeDocument/2006/relationships/worksheet" Target="/xl/worksheets/sheet6.xml" Id="R3e8b3ebe55d54215" /><Relationship Type="http://schemas.openxmlformats.org/officeDocument/2006/relationships/worksheet" Target="/xl/worksheets/sheet7.xml" Id="Re513629ab8424b93" /><Relationship Type="http://schemas.openxmlformats.org/officeDocument/2006/relationships/worksheet" Target="/xl/worksheets/sheet8.xml" Id="R6c689414f06a4c01" /><Relationship Type="http://schemas.openxmlformats.org/officeDocument/2006/relationships/worksheet" Target="/xl/worksheets/sheet9.xml" Id="Rf972838441724250" /><Relationship Type="http://schemas.openxmlformats.org/officeDocument/2006/relationships/worksheet" Target="/xl/worksheets/sheet10.xml" Id="R1aefb0745dd942f6" /><Relationship Type="http://schemas.openxmlformats.org/officeDocument/2006/relationships/worksheet" Target="/xl/worksheets/sheet11.xml" Id="Rca3b9cced37949cd" /><Relationship Type="http://schemas.openxmlformats.org/officeDocument/2006/relationships/worksheet" Target="/xl/worksheets/sheet12.xml" Id="R55ac37f275064f8b" /><Relationship Type="http://schemas.openxmlformats.org/officeDocument/2006/relationships/worksheet" Target="/xl/worksheets/sheet13.xml" Id="R1d9fb1e54d9c46bd" /><Relationship Type="http://schemas.openxmlformats.org/officeDocument/2006/relationships/worksheet" Target="/xl/worksheets/sheet14.xml" Id="R231674e6a90045e6" /><Relationship Type="http://schemas.openxmlformats.org/officeDocument/2006/relationships/worksheet" Target="/xl/worksheets/sheet15.xml" Id="Raaca10d4665a413e" /><Relationship Type="http://schemas.openxmlformats.org/officeDocument/2006/relationships/worksheet" Target="/xl/worksheets/sheet16.xml" Id="R0c77386705f14433" /><Relationship Type="http://schemas.openxmlformats.org/officeDocument/2006/relationships/worksheet" Target="/xl/worksheets/sheet17.xml" Id="Rdf28eda0860c495f" /><Relationship Type="http://schemas.openxmlformats.org/officeDocument/2006/relationships/worksheet" Target="/xl/worksheets/sheet18.xml" Id="R8052c80baff54b30" /><Relationship Type="http://schemas.openxmlformats.org/officeDocument/2006/relationships/worksheet" Target="/xl/worksheets/sheet19.xml" Id="R38e78c25001645fc" /><Relationship Type="http://schemas.openxmlformats.org/officeDocument/2006/relationships/worksheet" Target="/xl/worksheets/sheet20.xml" Id="Re97a98092dd345a5" /><Relationship Type="http://schemas.openxmlformats.org/officeDocument/2006/relationships/worksheet" Target="/xl/worksheets/sheet21.xml" Id="R0087e80c81874375" /><Relationship Type="http://schemas.openxmlformats.org/officeDocument/2006/relationships/worksheet" Target="/xl/worksheets/sheet22.xml" Id="R6fcdf44814b14243" /><Relationship Type="http://schemas.openxmlformats.org/officeDocument/2006/relationships/worksheet" Target="/xl/worksheets/sheet23.xml" Id="R6d5c6e5fcaa34a79" /><Relationship Type="http://schemas.openxmlformats.org/officeDocument/2006/relationships/worksheet" Target="/xl/worksheets/sheet24.xml" Id="R841f87c49804436b" /><Relationship Type="http://schemas.openxmlformats.org/officeDocument/2006/relationships/worksheet" Target="/xl/worksheets/sheet25.xml" Id="R630fa2d675f9407d" /><Relationship Type="http://schemas.openxmlformats.org/officeDocument/2006/relationships/worksheet" Target="/xl/worksheets/sheet26.xml" Id="R67cfcf2969084a0c" /><Relationship Type="http://schemas.openxmlformats.org/officeDocument/2006/relationships/worksheet" Target="/xl/worksheets/sheet27.xml" Id="R74d071155b134987" /><Relationship Type="http://schemas.openxmlformats.org/officeDocument/2006/relationships/worksheet" Target="/xl/worksheets/sheet28.xml" Id="R66fb31d709494f71" /><Relationship Type="http://schemas.openxmlformats.org/officeDocument/2006/relationships/worksheet" Target="/xl/worksheets/sheet29.xml" Id="Rc076bfd9036848cf" /><Relationship Type="http://schemas.openxmlformats.org/officeDocument/2006/relationships/worksheet" Target="/xl/worksheets/sheet30.xml" Id="Re55944e9c3ff4a3c" /><Relationship Type="http://schemas.openxmlformats.org/officeDocument/2006/relationships/worksheet" Target="/xl/worksheets/sheet31.xml" Id="Rb4fe5c3f32ee4a77" /><Relationship Type="http://schemas.openxmlformats.org/officeDocument/2006/relationships/worksheet" Target="/xl/worksheets/sheet32.xml" Id="Rb40cffcb3b3c4897" /><Relationship Type="http://schemas.openxmlformats.org/officeDocument/2006/relationships/worksheet" Target="/xl/worksheets/sheet33.xml" Id="R716ebe6a679f40d9" /><Relationship Type="http://schemas.openxmlformats.org/officeDocument/2006/relationships/worksheet" Target="/xl/worksheets/sheet34.xml" Id="R9ce22c508b2a4b1e" /><Relationship Type="http://schemas.openxmlformats.org/officeDocument/2006/relationships/worksheet" Target="/xl/worksheets/sheet35.xml" Id="R122cb42afbf142be" /><Relationship Type="http://schemas.openxmlformats.org/officeDocument/2006/relationships/worksheet" Target="/xl/worksheets/sheet36.xml" Id="R5a0907ae837842a8" /><Relationship Type="http://schemas.openxmlformats.org/officeDocument/2006/relationships/worksheet" Target="/xl/worksheets/sheet37.xml" Id="Rf75d9d1023ea4528" /><Relationship Type="http://schemas.openxmlformats.org/officeDocument/2006/relationships/worksheet" Target="/xl/worksheets/sheet38.xml" Id="R753e3a8a4c654441" /><Relationship Type="http://schemas.openxmlformats.org/officeDocument/2006/relationships/worksheet" Target="/xl/worksheets/sheet39.xml" Id="R9456294c9f4a49c4" /><Relationship Type="http://schemas.openxmlformats.org/officeDocument/2006/relationships/worksheet" Target="/xl/worksheets/sheet40.xml" Id="R4dcd62864eaa4ac5" /><Relationship Type="http://schemas.openxmlformats.org/officeDocument/2006/relationships/worksheet" Target="/xl/worksheets/sheet41.xml" Id="R40704192c8e94146" /><Relationship Type="http://schemas.microsoft.com/office/2017/10/relationships/person" Target="/xl/persons/person.xml" Id="Rff8a98443c2640a3" /></Relationships>
</file>

<file path=xl/persons/person.xml><?xml version="1.0" encoding="utf-8"?>
<xltc:personList xmlns:xltc="http://schemas.microsoft.com/office/spreadsheetml/2018/threadedcomments">
  <xltc:person displayName="ChatGPT" id="{72CD834F-612A-F951-4376-1BE92CB7B09A}"/>
  <xltc:person displayName="ChatGPT" id="{CBE32C0C-18C9-DDEE-7D02-36F65E69887E}"/>
  <xltc:person displayName="ChatGPT" id="{8CD27756-9FE2-7376-7724-866DFAF1E819}"/>
  <xltc:person displayName="ChatGPT" id="{C1475DB0-75FC-F679-5AFF-9162DC910425}"/>
</xltc:personList>
</file>

<file path=xl/tables/table1.xml><?xml version="1.0" encoding="utf-8"?>
<x:table xmlns:x="http://schemas.openxmlformats.org/spreadsheetml/2006/main" id="1" name="SummaryMaster" displayName="SummaryMaster" ref="A3:C8" headerRowCount="1">
  <x:autoFilter ref="A3:C8"/>
  <x:tableColumns count="3">
    <x:tableColumn id="1" name="Obszar"/>
    <x:tableColumn id="2" name="Status"/>
    <x:tableColumn id="3" name="Komentarz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Summary" displayName="ValidationSummary" ref="A11:E34" headerRowCount="1">
  <x:autoFilter ref="A11:E34"/>
  <x:tableColumns count="5">
    <x:tableColumn id="1" name="Priorytet"/>
    <x:tableColumn id="2" name="Obszar"/>
    <x:tableColumn id="3" name="Kontrola"/>
    <x:tableColumn id="4" name="Wynik"/>
    <x:tableColumn id="5" name="Zalecenie / akcja"/>
  </x:tableColumns>
  <x:tableStyleInfo name="TableStyleMedium2" showRowStripes="1"/>
</x:table>
</file>

<file path=xl/tables/table3.xml><?xml version="1.0" encoding="utf-8"?>
<x:table xmlns:x="http://schemas.openxmlformats.org/spreadsheetml/2006/main" id="3" name="Tbl_Narzuty" displayName="Tbl_Narzuty" ref="A14:C33" headerRowCount="1">
  <x:autoFilter ref="A14:C33"/>
  <x:tableColumns count="3">
    <x:tableColumn id="1" name="Kod"/>
    <x:tableColumn id="2" name="Narzut"/>
    <x:tableColumn id="3" name="Opis"/>
  </x:tableColumns>
  <x:tableStyleInfo name="TableStyleMedium4" showRowStripes="1"/>
</x:table>
</file>

<file path=xl/tables/table4.xml><?xml version="1.0" encoding="utf-8"?>
<x:table xmlns:x="http://schemas.openxmlformats.org/spreadsheetml/2006/main" id="4" name="Tbl_Scenariusze" displayName="Tbl_Scenariusze" ref="E14:F17" headerRowCount="1">
  <x:autoFilter ref="E14:F17"/>
  <x:tableColumns count="2">
    <x:tableColumn id="5" name="Scenariusz"/>
    <x:tableColumn id="6" name="Narzut"/>
  </x:tableColumns>
  <x:tableStyleInfo name="TableStyleMedium4" showRowStripes="1"/>
</x:table>
</file>

<file path=xl/tables/table5.xml><?xml version="1.0" encoding="utf-8"?>
<x:table xmlns:x="http://schemas.openxmlformats.org/spreadsheetml/2006/main" id="5" name="Tbl_RAW_INDEX" displayName="Tbl_RAW_INDEX" ref="A1:AP71" headerRowCount="1">
  <x:autoFilter ref="A1:AP71"/>
  <x:tableColumns count="42">
    <x:tableColumn id="1" name="Wymiar"/>
    <x:tableColumn id="2" name="Seria"/>
    <x:tableColumn id="3" name="ZP_brutto"/>
    <x:tableColumn id="4" name="ZP_netto"/>
    <x:tableColumn id="5" name="PDPB_brutto"/>
    <x:tableColumn id="6" name="PDPB_netto"/>
    <x:tableColumn id="7" name="M_brutto"/>
    <x:tableColumn id="8" name="M_netto"/>
    <x:tableColumn id="9" name="RB_brutto"/>
    <x:tableColumn id="10" name="RB_netto"/>
    <x:tableColumn id="11" name="RP_brutto"/>
    <x:tableColumn id="12" name="RP_netto"/>
    <x:tableColumn id="13" name="L12_brutto"/>
    <x:tableColumn id="14" name="L12_netto"/>
    <x:tableColumn id="15" name="LC_brutto"/>
    <x:tableColumn id="16" name="LC_netto"/>
    <x:tableColumn id="17" name="LEDCCT_brutto"/>
    <x:tableColumn id="18" name="LEDCCT_netto"/>
    <x:tableColumn id="19" name="LEDRGBCCT_brutto"/>
    <x:tableColumn id="20" name="LEDRGBCCT_netto"/>
    <x:tableColumn id="21" name="ZS_brutto"/>
    <x:tableColumn id="22" name="ZS_netto"/>
    <x:tableColumn id="23" name="PDSB_brutto"/>
    <x:tableColumn id="24" name="PDSB_netto"/>
    <x:tableColumn id="25" name="OP_brutto"/>
    <x:tableColumn id="26" name="OP_netto"/>
    <x:tableColumn id="27" name="SBB_brutto"/>
    <x:tableColumn id="28" name="SBB_netto"/>
    <x:tableColumn id="29" name="S_brutto"/>
    <x:tableColumn id="30" name="S_netto"/>
    <x:tableColumn id="31" name="U_brutto"/>
    <x:tableColumn id="32" name="U_netto"/>
    <x:tableColumn id="33" name="PDWP_brutto"/>
    <x:tableColumn id="34" name="PDWP_netto"/>
    <x:tableColumn id="35" name="ZAB_brutto"/>
    <x:tableColumn id="36" name="ZAB_netto"/>
    <x:tableColumn id="37" name="OS_brutto"/>
    <x:tableColumn id="38" name="OS_netto"/>
    <x:tableColumn id="39" name="OS_PDSB_brutto"/>
    <x:tableColumn id="40" name="OS_PDSB_netto"/>
    <x:tableColumn id="41" name="OS_SBB_brutto"/>
    <x:tableColumn id="42" name="OS_SBB_netto"/>
  </x:tableColumns>
  <x:tableStyleInfo name="TableStyleMedium9" showRowStripes="1"/>
</x:table>
</file>

<file path=xl/tables/table6.xml><?xml version="1.0" encoding="utf-8"?>
<x:table xmlns:x="http://schemas.openxmlformats.org/spreadsheetml/2006/main" id="6" name="Tbl_CennikUslugNowy" displayName="Tbl_CennikUslugNowy" ref="A1:T1331" headerRowCount="1">
  <x:autoFilter ref="A1:T1331"/>
  <x:tableColumns count="20">
    <x:tableColumn id="1" name="Wymiar"/>
    <x:tableColumn id="2" name="Kod"/>
    <x:tableColumn id="3" name="Nazwa komponentu"/>
    <x:tableColumn id="4" name="Grupa kalkulacyjna"/>
    <x:tableColumn id="5" name="Cena dostawcy netto"/>
    <x:tableColumn id="6" name="Cena dostawcy brutto"/>
    <x:tableColumn id="7" name="Rabat dostawcy %"/>
    <x:tableColumn id="8" name="Cena po rabacie / koszt bazowy"/>
    <x:tableColumn id="9" name="Narzut %"/>
    <x:tableColumn id="10" name="Cena sprzedaży netto/kalk."/>
    <x:tableColumn id="11" name="Cena montażu netto"/>
    <x:tableColumn id="12" name="Wynagrodzenie + koszty"/>
    <x:tableColumn id="13" name="VAT sprzedaży"/>
    <x:tableColumn id="14" name="Cena brutto dla strony"/>
    <x:tableColumn id="15" name="Czysty zysk netto"/>
    <x:tableColumn id="16" name="Rentowność %"/>
    <x:tableColumn id="17" name="Źródło"/>
    <x:tableColumn id="18" name="Kategoria Bitrix"/>
    <x:tableColumn id="19" name="Widoczność"/>
    <x:tableColumn id="20" name="Uwagi"/>
  </x:tableColumns>
  <x:tableStyleInfo name="TableStyleMedium2" showRowStripes="1"/>
</x:table>
</file>

<file path=xl/tables/table7.xml><?xml version="1.0" encoding="utf-8"?>
<x:table xmlns:x="http://schemas.openxmlformats.org/spreadsheetml/2006/main" id="7" name="Tbl_WycenaStronaNowa" displayName="Tbl_WycenaStronaNowa" ref="A1:S71" headerRowCount="1">
  <x:autoFilter ref="A1:S71"/>
  <x:tableColumns count="19">
    <x:tableColumn id="1" name="Wymiar"/>
    <x:tableColumn id="2" name="Zadaszenie tarasu"/>
    <x:tableColumn id="3" name="Ściany przezroczyste"/>
    <x:tableColumn id="4" name="Ściany barwione"/>
    <x:tableColumn id="5" name="Poliwęglan barwiony"/>
    <x:tableColumn id="6" name="Szkło przezroczyste"/>
    <x:tableColumn id="7" name="Szkło barwione"/>
    <x:tableColumn id="8" name="Roleta prawa"/>
    <x:tableColumn id="9" name="Roleta lewa"/>
    <x:tableColumn id="10" name="Roleta przednia"/>
    <x:tableColumn id="11" name="Markiza"/>
    <x:tableColumn id="12" name="Fundament/profile"/>
    <x:tableColumn id="13" name="LED punktowe"/>
    <x:tableColumn id="14" name="LED 3pkt/COB"/>
    <x:tableColumn id="15" name="Szczotki"/>
    <x:tableColumn id="16" name="Uchwyty"/>
    <x:tableColumn id="17" name="Zabieraki"/>
    <x:tableColumn id="18" name="LED CCT"/>
    <x:tableColumn id="19" name="LED RGB CCT"/>
  </x:tableColumns>
  <x:tableStyleInfo name="TableStyleMedium3" showRowStripes="1"/>
</x:table>
</file>

<file path=xl/tables/table8.xml><?xml version="1.0" encoding="utf-8"?>
<x:table xmlns:x="http://schemas.openxmlformats.org/spreadsheetml/2006/main" id="8" name="ExportStrona" displayName="ExportStrona" ref="A1:V71" headerRowCount="1">
  <x:autoFilter ref="A1:V71"/>
  <x:tableColumns count="22">
    <x:tableColumn id="1" name="dimension"/>
    <x:tableColumn id="2" name="width_cm"/>
    <x:tableColumn id="3" name="depth_cm"/>
    <x:tableColumn id="4" name="base_poly_gross"/>
    <x:tableColumn id="5" name="walls_clear_gross"/>
    <x:tableColumn id="6" name="walls_tinted_gross"/>
    <x:tableColumn id="7" name="roof_poly_colored_gross"/>
    <x:tableColumn id="8" name="roof_glass_clear_gross"/>
    <x:tableColumn id="9" name="roof_glass_tinted_gross"/>
    <x:tableColumn id="10" name="zip_side_gross"/>
    <x:tableColumn id="11" name="zip_front_gross"/>
    <x:tableColumn id="12" name="awning_gross"/>
    <x:tableColumn id="13" name="foundation_gross"/>
    <x:tableColumn id="14" name="led_point_gross"/>
    <x:tableColumn id="15" name="led_cct_gross"/>
    <x:tableColumn id="16" name="brushes_gross"/>
    <x:tableColumn id="17" name="handles_gross"/>
    <x:tableColumn id="18" name="carriers_gross"/>
    <x:tableColumn id="19" name="is_glass_available"/>
    <x:tableColumn id="20" name="is_led_rgb_available"/>
    <x:tableColumn id="21" name="status"/>
    <x:tableColumn id="22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AuditIssues" displayName="AuditIssues" ref="A3:G19" headerRowCount="1">
  <x:autoFilter ref="A3:G19"/>
  <x:tableColumns count="7">
    <x:tableColumn id="1" name="Typ"/>
    <x:tableColumn id="2" name="Wymiar"/>
    <x:tableColumn id="3" name="Kod"/>
    <x:tableColumn id="4" name="Nazwa"/>
    <x:tableColumn id="5" name="Cena brutto"/>
    <x:tableColumn id="6" name="Rentowność %"/>
    <x:tableColumn id="7" name="Uwagi"/>
  </x:tableColumns>
  <x:tableStyleInfo name="TableStyleMedium2" showRowStripes="1"/>
</x:table>
</file>

<file path=xl/tables/table10.xml><?xml version="1.0" encoding="utf-8"?>
<x:table xmlns:x="http://schemas.openxmlformats.org/spreadsheetml/2006/main" id="10" name="ValidationChecklist" displayName="ValidationChecklist" ref="A1:E30" headerRowCount="1">
  <x:autoFilter ref="A1:E30"/>
  <x:tableColumns count="5">
    <x:tableColumn id="1" name="Status"/>
    <x:tableColumn id="2" name="Obszar"/>
    <x:tableColumn id="3" name="Co sprawdzić"/>
    <x:tableColumn id="4" name="Wynik audytu"/>
    <x:tableColumn id="5" name="Co zrobić"/>
  </x:tableColumns>
  <x:tableStyleInfo name="TableStyleMedium2" showRowStripes="1"/>
</x:table>
</file>

<file path=xl/tables/table11.xml><?xml version="1.0" encoding="utf-8"?>
<x:table xmlns:x="http://schemas.openxmlformats.org/spreadsheetml/2006/main" id="11" name="DecisionsBeforeSite" displayName="DecisionsBeforeSite" ref="A1:D7" headerRowCount="1">
  <x:autoFilter ref="A1:D7"/>
  <x:tableColumns count="4">
    <x:tableColumn id="1" name="Decyzja"/>
    <x:tableColumn id="2" name="Rekomendacja"/>
    <x:tableColumn id="3" name="Status"/>
    <x:tableColumn id="4" name="Uzasadnienie"/>
  </x:tableColumns>
  <x:tableStyleInfo name="TableStyleMedium2" showRowStripes="1"/>
</x:table>
</file>

<file path=xl/tables/table12.xml><?xml version="1.0" encoding="utf-8"?>
<x:table xmlns:x="http://schemas.openxmlformats.org/spreadsheetml/2006/main" id="12" name="ConfigTests" displayName="ConfigTests" ref="A1:F11" headerRowCount="1">
  <x:autoFilter ref="A1:F11"/>
  <x:tableColumns count="6">
    <x:tableColumn id="1" name="Test"/>
    <x:tableColumn id="2" name="Wymiar"/>
    <x:tableColumn id="3" name="Konfiguracja"/>
    <x:tableColumn id="4" name="Cena wg export brutto"/>
    <x:tableColumn id="5" name="Status"/>
    <x:tableColumn id="6" name="Składniki"/>
  </x:tableColumns>
  <x:tableStyleInfo name="TableStyleMedium2" showRowStripes="1"/>
</x:table>
</file>

<file path=xl/tables/table13.xml><?xml version="1.0" encoding="utf-8"?>
<x:table xmlns:x="http://schemas.openxmlformats.org/spreadsheetml/2006/main" id="13" name="Tbl_MapaBitrix" displayName="Tbl_MapaBitrix" ref="A1:F20" headerRowCount="1">
  <x:autoFilter ref="A1:F20"/>
  <x:tableColumns count="6">
    <x:tableColumn id="1" name="Kod"/>
    <x:tableColumn id="2" name="Nazwa produktu/grupy"/>
    <x:tableColumn id="3" name="Kategoria Bitrix"/>
    <x:tableColumn id="4" name="Widoczność"/>
    <x:tableColumn id="5" name="Źródło"/>
    <x:tableColumn id="6" name="Uwagi"/>
  </x:tableColumns>
  <x:tableStyleInfo name="TableStyleMedium2" showRowStripes="1"/>
</x:table>
</file>

<file path=xl/tables/table14.xml><?xml version="1.0" encoding="utf-8"?>
<x:table xmlns:x="http://schemas.openxmlformats.org/spreadsheetml/2006/main" id="14" name="Tbl_PorownanieEG" displayName="Tbl_PorownanieEG" ref="A1:S51" headerRowCount="1">
  <x:autoFilter ref="A1:S51"/>
  <x:tableColumns count="19">
    <x:tableColumn id="1" name="Wymiar"/>
    <x:tableColumn id="2" name="EG Zadaszenie"/>
    <x:tableColumn id="3" name="Nowe Zadaszenie"/>
    <x:tableColumn id="4" name="Różnica"/>
    <x:tableColumn id="5" name="EG Ściany clear"/>
    <x:tableColumn id="6" name="Nowe Ściany clear"/>
    <x:tableColumn id="7" name="Różnica2"/>
    <x:tableColumn id="8" name="EG Ściany barw."/>
    <x:tableColumn id="9" name="Nowe Ściany barw."/>
    <x:tableColumn id="10" name="Różnica3"/>
    <x:tableColumn id="11" name="EG Szkło clear"/>
    <x:tableColumn id="12" name="Nowe Szkło clear"/>
    <x:tableColumn id="13" name="Różnica4"/>
    <x:tableColumn id="14" name="EG Szkło barw."/>
    <x:tableColumn id="15" name="Nowe Szkło barw."/>
    <x:tableColumn id="16" name="Różnica5"/>
    <x:tableColumn id="17" name="EG Markiza"/>
    <x:tableColumn id="18" name="Nowa Markiza"/>
    <x:tableColumn id="19" name="Różnica6"/>
  </x:tableColumns>
  <x:tableStyleInfo name="TableStyleMedium5" showRowStripes="1"/>
</x:table>
</file>

<file path=xl/tables/table15.xml><?xml version="1.0" encoding="utf-8"?>
<x:table xmlns:x="http://schemas.openxmlformats.org/spreadsheetml/2006/main" id="15" name="Fix12Summary" displayName="Fix12Summary" ref="A1:B9" headerRowCount="1">
  <x:tableColumns count="2">
    <x:tableColumn id="1" name="FIX12 — pełne porównanie EG vs MoonGlass"/>
    <x:tableColumn id="2" name="Kolumna1"/>
  </x:tableColumns>
  <x:tableStyleInfo name="TableStyleMedium2" showRowStripes="1"/>
</x:table>
</file>

<file path=xl/tables/table16.xml><?xml version="1.0" encoding="utf-8"?>
<x:table xmlns:x="http://schemas.openxmlformats.org/spreadsheetml/2006/main" id="16" name="NettoBitrixExportTable" displayName="NettoBitrixExportTable" ref="A1:AB71" headerRowCount="1">
  <x:tableColumns count="28">
    <x:tableColumn id="1" name="dimension"/>
    <x:tableColumn id="2" name="width_cm"/>
    <x:tableColumn id="3" name="depth_cm"/>
    <x:tableColumn id="4" name="base_poly_net"/>
    <x:tableColumn id="5" name="walls_clear_net"/>
    <x:tableColumn id="6" name="walls_tinted_net"/>
    <x:tableColumn id="7" name="roof_poly_colored_net"/>
    <x:tableColumn id="8" name="roof_glass_clear_net"/>
    <x:tableColumn id="9" name="roof_glass_tinted_net"/>
    <x:tableColumn id="10" name="zip_side_net"/>
    <x:tableColumn id="11" name="zip_front_net"/>
    <x:tableColumn id="12" name="awning_net"/>
    <x:tableColumn id="13" name="foundation_net"/>
    <x:tableColumn id="14" name="led_point_net"/>
    <x:tableColumn id="15" name="led_cct_net"/>
    <x:tableColumn id="16" name="brushes_net"/>
    <x:tableColumn id="17" name="handles_net"/>
    <x:tableColumn id="18" name="carriers_net"/>
    <x:tableColumn id="19" name="default_vat_rate"/>
    <x:tableColumn id="20" name="tax_included"/>
    <x:tableColumn id="21" name="price_mode"/>
    <x:tableColumn id="22" name="source_status"/>
    <x:tableColumn id="23" name="source_notes"/>
    <x:tableColumn id="24" name="audit_status"/>
    <x:tableColumn id="25" name="audit_exact_0zl"/>
    <x:tableColumn id="26" name="audit_rounding_1zl"/>
    <x:tableColumn id="27" name="audit_mismatch_gt1zl"/>
    <x:tableColumn id="28" name="audit_details"/>
  </x:tableColumns>
  <x:tableStyleInfo name="TableStyleMedium2" showRowStripes="1"/>
</x:table>
</file>

<file path=xl/tables/table17.xml><?xml version="1.0" encoding="utf-8"?>
<x:table xmlns:x="http://schemas.openxmlformats.org/spreadsheetml/2006/main" id="17" name="NettoBitrixAuditTable" displayName="NettoBitrixAuditTable" ref="A1:J1051" headerRowCount="1">
  <x:tableColumns count="10">
    <x:tableColumn id="1" name="dimension"/>
    <x:tableColumn id="2" name="field"/>
    <x:tableColumn id="3" name="net_price"/>
    <x:tableColumn id="4" name="old_gross_8"/>
    <x:tableColumn id="5" name="new_gross_8_exact"/>
    <x:tableColumn id="6" name="new_gross_8_rounded"/>
    <x:tableColumn id="7" name="difference_rounded_zl"/>
    <x:tableColumn id="8" name="abs_difference_zl"/>
    <x:tableColumn id="9" name="classification"/>
    <x:tableColumn id="10" name="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eab02c60214c7b" /><Relationship Type="http://schemas.openxmlformats.org/officeDocument/2006/relationships/table" Target="/xl/tables/table2.xml" Id="R7390626fd6e54b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1b99ce5616410e" /><Relationship Type="http://schemas.openxmlformats.org/officeDocument/2006/relationships/table" Target="/xl/tables/table4.xml" Id="R26449559851b45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7e83e5b9afc047b2" /><Relationship Type="http://schemas.openxmlformats.org/officeDocument/2006/relationships/vmlDrawing" Target="/xl/drawings/vmldrawing.vml" Id="R37e073412b9349ad" /><Relationship Type="http://schemas.openxmlformats.org/officeDocument/2006/relationships/table" Target="/xl/tables/table5.xml" Id="Rc66ac32f92e44c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8f2ee6aee5e41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8cb1253004df4d4d" /><Relationship Type="http://schemas.openxmlformats.org/officeDocument/2006/relationships/vmlDrawing" Target="/xl/drawings/vmldrawing2.vml" Id="Raecc681202594587" /><Relationship Type="http://schemas.openxmlformats.org/officeDocument/2006/relationships/table" Target="/xl/tables/table7.xml" Id="R62e32d4153bd40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a3d31515b6b48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f17464172a848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d21306d3a704f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25f689c825e45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0d67a14778f485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3.xml" Id="Rbaccea785c984c32" /><Relationship Type="http://schemas.openxmlformats.org/officeDocument/2006/relationships/vmlDrawing" Target="/xl/drawings/vmldrawing3.vml" Id="R5446ce7d7433404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4.xml" Id="Rac4ab123300e4c1f" /><Relationship Type="http://schemas.openxmlformats.org/officeDocument/2006/relationships/vmlDrawing" Target="/xl/drawings/vmldrawing4.vml" Id="R7dc7b27980124d3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79f5b09a5164e9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4.xml" Id="R63ef8a8effcc49da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15.xml" Id="R52d21da38a3a48bc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16.xml" Id="R9a640791b0304d0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17.xml" Id="Rdfb21380d9584b2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style="655" customWidth="1"/>
    <x:col min="2" max="2" width="48" style="655" customWidth="1"/>
    <x:col min="3" max="3" width="16" style="655" customWidth="1"/>
    <x:col min="4" max="4" width="60" style="655" customWidth="1"/>
  </x:cols>
  <x:sheetData>
    <x:row r="1">
      <x:c r="A1" s="772" t="inlineStr">
        <x:is>
          <x:t xml:space="preserve">FIX21 — naprawa dropdownów i formuł w 08_Kalkulator_CRM</x:t>
        </x:is>
      </x:c>
    </x:row>
    <x:row r="2">
      <x:c r="A2" s="773" t="inlineStr">
        <x:is>
          <x:t xml:space="preserve">Zakres</x:t>
        </x:is>
      </x:c>
      <x:c r="B2" s="773" t="inlineStr">
        <x:is>
          <x:t xml:space="preserve">Zmiana</x:t>
        </x:is>
      </x:c>
      <x:c r="C2" s="773" t="inlineStr">
        <x:is>
          <x:t xml:space="preserve">Status</x:t>
        </x:is>
      </x:c>
      <x:c r="D2" s="773" t="inlineStr">
        <x:is>
          <x:t xml:space="preserve">Uwagi</x:t>
        </x:is>
      </x:c>
    </x:row>
    <x:row r="3">
      <x:c r="A3" s="757" t="inlineStr">
        <x:is>
          <x:t xml:space="preserve">08_Kalkulator_CRM!B4</x:t>
        </x:is>
      </x:c>
      <x:c r="B3" s="757" t="inlineStr">
        <x:is>
          <x:t xml:space="preserve">Dodano listę rozwijaną wymiarów z DV_Wymiary</x:t>
        </x:is>
      </x:c>
      <x:c r="C3" s="757" t="inlineStr">
        <x:is>
          <x:t xml:space="preserve">OK</x:t>
        </x:is>
      </x:c>
      <x:c r="D3" s="757" t="inlineStr">
        <x:is>
          <x:t xml:space="preserve">Rozwiązuje problem braku wyboru wymiaru w CRM.</x:t>
        </x:is>
      </x:c>
    </x:row>
    <x:row r="4">
      <x:c r="A4" s="757" t="inlineStr">
        <x:is>
          <x:t xml:space="preserve">08_Kalkulator_CRM!B8:B12</x:t>
        </x:is>
      </x:c>
      <x:c r="B4" s="757" t="inlineStr">
        <x:is>
          <x:t xml:space="preserve">Ustawiono poprawną listę tak/nie</x:t>
        </x:is>
      </x:c>
      <x:c r="C4" s="757" t="inlineStr">
        <x:is>
          <x:t xml:space="preserve">OK</x:t>
        </x:is>
      </x:c>
      <x:c r="D4" s="757" t="inlineStr">
        <x:is>
          <x:t xml:space="preserve">Rolety, markiza, fundament/profile.</x:t>
        </x:is>
      </x:c>
    </x:row>
    <x:row r="5">
      <x:c r="A5" s="757" t="inlineStr">
        <x:is>
          <x:t xml:space="preserve">08_Kalkulator_CRM!B13</x:t>
        </x:is>
      </x:c>
      <x:c r="B5" s="757" t="inlineStr">
        <x:is>
          <x:t xml:space="preserve">Dodano listę LED CRM z RGB CCT</x:t>
        </x:is>
      </x:c>
      <x:c r="C5" s="757" t="inlineStr">
        <x:is>
          <x:t xml:space="preserve">OK</x:t>
        </x:is>
      </x:c>
      <x:c r="D5" s="757" t="inlineStr">
        <x:is>
          <x:t xml:space="preserve">CRM może używać RGB; strona nie eksportuje RGB.</x:t>
        </x:is>
      </x:c>
    </x:row>
    <x:row r="6">
      <x:c r="A6" s="757" t="inlineStr">
        <x:is>
          <x:t xml:space="preserve">08_Kalkulator_CRM!B14:B16</x:t>
        </x:is>
      </x:c>
      <x:c r="B6" s="757" t="inlineStr">
        <x:is>
          <x:t xml:space="preserve">Ustawiono poprawną listę tak/nie</x:t>
        </x:is>
      </x:c>
      <x:c r="C6" s="757" t="inlineStr">
        <x:is>
          <x:t xml:space="preserve">OK</x:t>
        </x:is>
      </x:c>
      <x:c r="D6" s="757" t="inlineStr">
        <x:is>
          <x:t xml:space="preserve">Szczotki, uchwyty, zabieraki.</x:t>
        </x:is>
      </x:c>
    </x:row>
    <x:row r="7">
      <x:c r="A7" s="757" t="inlineStr">
        <x:is>
          <x:t xml:space="preserve">08_Kalkulator_CRM!E13</x:t>
        </x:is>
      </x:c>
      <x:c r="B7" s="757" t="inlineStr">
        <x:is>
          <x:t xml:space="preserve">Poprawiono formułę LED z B12 na B13</x:t>
        </x:is>
      </x:c>
      <x:c r="C7" s="757" t="inlineStr">
        <x:is>
          <x:t xml:space="preserve">OK</x:t>
        </x:is>
      </x:c>
      <x:c r="D7" s="757" t="inlineStr">
        <x:is>
          <x:t xml:space="preserve">Wcześniej LED patrzył na fundament/profile.</x:t>
        </x:is>
      </x:c>
    </x:row>
    <x:row r="8">
      <x:c r="A8" s="757" t="inlineStr">
        <x:is>
          <x:t xml:space="preserve">08_Kalkulator_CRM!F14:G16</x:t>
        </x:is>
      </x:c>
      <x:c r="B8" s="757" t="inlineStr">
        <x:is>
          <x:t xml:space="preserve">Poprawiono odwołania z poprzednich wierszy na ten sam wiersz</x:t>
        </x:is>
      </x:c>
      <x:c r="C8" s="757" t="inlineStr">
        <x:is>
          <x:t xml:space="preserve">OK</x:t>
        </x:is>
      </x:c>
      <x:c r="D8" s="757" t="inlineStr">
        <x:is>
          <x:t xml:space="preserve">Szczotki/uchwyty/zabieraki liczą się z własnych wyborów.</x:t>
        </x:is>
      </x:c>
    </x:row>
    <x:row r="9">
      <x:c r="A9" s="757" t="inlineStr">
        <x:is>
          <x:t xml:space="preserve">LISTY_DROPDOWN</x:t>
        </x:is>
      </x:c>
      <x:c r="B9" s="757" t="inlineStr">
        <x:is>
          <x:t xml:space="preserve">Dodano nazwany zakres DV_LED_CRM</x:t>
        </x:is>
      </x:c>
      <x:c r="C9" s="757" t="inlineStr">
        <x:is>
          <x:t xml:space="preserve">OK</x:t>
        </x:is>
      </x:c>
      <x:c r="D9" s="757" t="inlineStr">
        <x:is>
          <x:t xml:space="preserve">brak, LED punktowe, LED CCT, LED RGB CCT.</x:t>
        </x:is>
      </x:c>
    </x:row>
    <x:row r="10">
      <x:c r="A10" s="757" t="inlineStr">
        <x:is>
          <x:t xml:space="preserve">Rekomendacja</x:t>
        </x:is>
      </x:c>
      <x:c r="B10" s="757" t="inlineStr">
        <x:is>
          <x:t xml:space="preserve">Po otwarciu w Excelu użyj Ctrl+Alt+F9</x:t>
        </x:is>
      </x:c>
      <x:c r="C10" s="757" t="inlineStr">
        <x:is>
          <x:t xml:space="preserve">DO WYKONANIA</x:t>
        </x:is>
      </x:c>
      <x:c r="D10" s="757" t="inlineStr">
        <x:is>
          <x:t xml:space="preserve">Wymusi przeliczenie formuł po poprawce.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style="655" customWidth="1"/>
    <x:col min="2" max="2" width="21" style="655" customWidth="1"/>
    <x:col min="3" max="3" width="42" style="655" customWidth="1"/>
    <x:col min="4" max="4" width="42" style="655" customWidth="1"/>
    <x:col min="5" max="5" width="42" style="655" customWidth="1"/>
  </x:cols>
  <x:sheetData>
    <x:row r="1">
      <x:c r="A1" s="762" t="inlineStr">
        <x:is>
          <x:t xml:space="preserve">MoonGlass — status cennika po walidacji FIX19</x:t>
        </x:is>
      </x:c>
    </x:row>
    <x:row r="3">
      <x:c r="A3" s="722" t="inlineStr">
        <x:is>
          <x:t xml:space="preserve">Obszar</x:t>
        </x:is>
      </x:c>
      <x:c r="B3" s="722" t="inlineStr">
        <x:is>
          <x:t xml:space="preserve">Status</x:t>
        </x:is>
      </x:c>
      <x:c r="C3" s="722" t="inlineStr">
        <x:is>
          <x:t xml:space="preserve">Komentarz</x:t>
        </x:is>
      </x:c>
    </x:row>
    <x:row r="4">
      <x:c r="A4" s="757" t="inlineStr">
        <x:is>
          <x:t xml:space="preserve">Aktualny plik bazowy</x:t>
        </x:is>
      </x:c>
      <x:c r="B4" s="757" t="inlineStr">
        <x:is>
          <x:t xml:space="preserve">FIX18_LED_CCT_PLUS700_RGB_CRM_ONLY</x:t>
        </x:is>
      </x:c>
      <x:c r="C4" s="757" t="inlineStr">
        <x:is>
          <x:t xml:space="preserve">Wersja z LED CCT +700 netto, RGB CCT tylko CRM, PDWP narzut 120%.</x:t>
        </x:is>
      </x:c>
    </x:row>
    <x:row r="5">
      <x:c r="A5" s="757" t="inlineStr">
        <x:is>
          <x:t xml:space="preserve">Wynik techniczny</x:t>
        </x:is>
      </x:c>
      <x:c r="B5" s="757" t="inlineStr">
        <x:is>
          <x:t xml:space="preserve">OK WARUNKOWO</x:t>
        </x:is>
      </x:c>
      <x:c r="C5" s="757" t="inlineStr">
        <x:is>
          <x:t xml:space="preserve">Struktura i główne dane są kompletne; przed stroną wymagane ręczne przeliczenie i testy T1–T10.</x:t>
        </x:is>
      </x:c>
    </x:row>
    <x:row r="6">
      <x:c r="A6" s="757" t="inlineStr">
        <x:is>
          <x:t xml:space="preserve">Największy warunek</x:t>
        </x:is>
      </x:c>
      <x:c r="B6" s="757" t="inlineStr">
        <x:is>
          <x:t xml:space="preserve">Szkło 550/600</x:t>
        </x:is>
      </x:c>
      <x:c r="C6" s="757" t="inlineStr">
        <x:is>
          <x:t xml:space="preserve">Nie publikować / wycena indywidualna bez pełnych cen RAW_ZS/RAW_OS.</x:t>
        </x:is>
      </x:c>
    </x:row>
    <x:row r="7">
      <x:c r="A7" s="757" t="inlineStr">
        <x:is>
          <x:t xml:space="preserve">Największy test biznesowy</x:t>
        </x:is>
      </x:c>
      <x:c r="B7" s="757" t="inlineStr">
        <x:is>
          <x:t xml:space="preserve">LED CCT 450–600</x:t>
        </x:is>
      </x:c>
      <x:c r="C7" s="757" t="inlineStr">
        <x:is>
          <x:t xml:space="preserve">Potwierdzić, czy +700 netto wystarcza względem oczekiwań znajomego i benchmarku EG.</x:t>
        </x:is>
      </x:c>
    </x:row>
    <x:row r="8">
      <x:c r="A8" s="757" t="inlineStr">
        <x:is>
          <x:t xml:space="preserve">Rekomendacja</x:t>
        </x:is>
      </x:c>
      <x:c r="B8" s="757" t="inlineStr">
        <x:is>
          <x:t xml:space="preserve">Można przejść do przygotowania JSON po ręcznych testach</x:t>
        </x:is>
      </x:c>
      <x:c r="C8" s="757" t="inlineStr">
        <x:is>
          <x:t xml:space="preserve">Po zaakceptowaniu checklisty i T1–T10 można generować export do strony.</x:t>
        </x:is>
      </x:c>
    </x:row>
    <x:row r="11">
      <x:c r="A11" s="722" t="inlineStr">
        <x:is>
          <x:t xml:space="preserve">Priorytet</x:t>
        </x:is>
      </x:c>
      <x:c r="B11" s="722" t="inlineStr">
        <x:is>
          <x:t xml:space="preserve">Obszar</x:t>
        </x:is>
      </x:c>
      <x:c r="C11" s="722" t="inlineStr">
        <x:is>
          <x:t xml:space="preserve">Kontrola</x:t>
        </x:is>
      </x:c>
      <x:c r="D11" s="722" t="inlineStr">
        <x:is>
          <x:t xml:space="preserve">Wynik</x:t>
        </x:is>
      </x:c>
      <x:c r="E11" s="722" t="inlineStr">
        <x:is>
          <x:t xml:space="preserve">Zalecenie / akcja</x:t>
        </x:is>
      </x:c>
    </x:row>
    <x:row r="12">
      <x:c r="A12" s="763" t="inlineStr">
        <x:is>
          <x:t xml:space="preserve">OK</x:t>
        </x:is>
      </x:c>
      <x:c r="B12" s="763" t="inlineStr">
        <x:is>
          <x:t xml:space="preserve">Struktura</x:t>
        </x:is>
      </x:c>
      <x:c r="C12" s="763" t="inlineStr">
        <x:is>
          <x:t xml:space="preserve">Liczba wymiarów w RAW_INDEX</x:t>
        </x:is>
      </x:c>
      <x:c r="D12" s="763" t="inlineStr">
        <x:is>
          <x:t xml:space="preserve">70 wymiarów</x:t>
        </x:is>
      </x:c>
      <x:c r="E12" s="763" t="inlineStr">
        <x:is>
          <x:t xml:space="preserve"/>
        </x:is>
      </x:c>
    </x:row>
    <x:row r="13">
      <x:c r="A13" s="763" t="inlineStr">
        <x:is>
          <x:t xml:space="preserve">OK</x:t>
        </x:is>
      </x:c>
      <x:c r="B13" s="763" t="inlineStr">
        <x:is>
          <x:t xml:space="preserve">Struktura</x:t>
        </x:is>
      </x:c>
      <x:c r="C13" s="763" t="inlineStr">
        <x:is>
          <x:t xml:space="preserve">Liczba pozycji w 03_Cennik_uslug_nowy</x:t>
        </x:is>
      </x:c>
      <x:c r="D13" s="763" t="inlineStr">
        <x:is>
          <x:t xml:space="preserve">1330 pozycji = 70 x 19</x:t>
        </x:is>
      </x:c>
      <x:c r="E13" s="763" t="inlineStr">
        <x:is>
          <x:t xml:space="preserve"/>
        </x:is>
      </x:c>
    </x:row>
    <x:row r="14">
      <x:c r="A14" s="763" t="inlineStr">
        <x:is>
          <x:t xml:space="preserve">OK</x:t>
        </x:is>
      </x:c>
      <x:c r="B14" s="763" t="inlineStr">
        <x:is>
          <x:t xml:space="preserve">Struktura</x:t>
        </x:is>
      </x:c>
      <x:c r="C14" s="763" t="inlineStr">
        <x:is>
          <x:t xml:space="preserve">Duplikaty Wymiar+Kod</x:t>
        </x:is>
      </x:c>
      <x:c r="D14" s="763" t="inlineStr">
        <x:is>
          <x:t xml:space="preserve">0 duplikatów</x:t>
        </x:is>
      </x:c>
      <x:c r="E14" s="763" t="inlineStr">
        <x:is>
          <x:t xml:space="preserve"/>
        </x:is>
      </x:c>
    </x:row>
    <x:row r="15">
      <x:c r="A15" s="763" t="inlineStr">
        <x:is>
          <x:t xml:space="preserve">OK</x:t>
        </x:is>
      </x:c>
      <x:c r="B15" s="763" t="inlineStr">
        <x:is>
          <x:t xml:space="preserve">Techniczna</x:t>
        </x:is>
      </x:c>
      <x:c r="C15" s="763" t="inlineStr">
        <x:is>
          <x:t xml:space="preserve">Błędy literalne w formułach</x:t>
        </x:is>
      </x:c>
      <x:c r="D15" s="763" t="inlineStr">
        <x:is>
          <x:t xml:space="preserve">0 formuł z błędami literalnymi</x:t>
        </x:is>
      </x:c>
      <x:c r="E15" s="763" t="inlineStr">
        <x:is>
          <x:t xml:space="preserve"/>
        </x:is>
      </x:c>
    </x:row>
    <x:row r="16">
      <x:c r="A16" s="764" t="inlineStr">
        <x:is>
          <x:t xml:space="preserve">UWAGA</x:t>
        </x:is>
      </x:c>
      <x:c r="B16" s="764" t="inlineStr">
        <x:is>
          <x:t xml:space="preserve">Techniczna</x:t>
        </x:is>
      </x:c>
      <x:c r="C16" s="764" t="inlineStr">
        <x:is>
          <x:t xml:space="preserve">Przeliczenie formuł po otwarciu</x:t>
        </x:is>
      </x:c>
      <x:c r="D16" s="764" t="inlineStr">
        <x:is>
          <x:t xml:space="preserve">Plik zawiera formuły; wartości w Excelu/WPS mogą wymagać odświeżenia</x:t>
        </x:is>
      </x:c>
      <x:c r="E16" s="764" t="inlineStr">
        <x:is>
          <x:t xml:space="preserve">Po otwarciu w Excelu użyć Ctrl+Alt+F9 przed finalnym zapisem MASTER</x:t>
        </x:is>
      </x:c>
    </x:row>
    <x:row r="17">
      <x:c r="A17" s="763" t="inlineStr">
        <x:is>
          <x:t xml:space="preserve">OK</x:t>
        </x:is>
      </x:c>
      <x:c r="B17" s="763" t="inlineStr">
        <x:is>
          <x:t xml:space="preserve">LED</x:t>
        </x:is>
      </x:c>
      <x:c r="C17" s="763" t="inlineStr">
        <x:is>
          <x:t xml:space="preserve">LED RGB CCT widoczność</x:t>
        </x:is>
      </x:c>
      <x:c r="D17" s="763" t="inlineStr">
        <x:is>
          <x:t xml:space="preserve">{'crm_only'}</x:t>
        </x:is>
      </x:c>
      <x:c r="E17" s="763" t="inlineStr">
        <x:is>
          <x:t xml:space="preserve">Ma być crm_only, nie eksportować na stronę</x:t>
        </x:is>
      </x:c>
    </x:row>
    <x:row r="18">
      <x:c r="A18" s="763" t="inlineStr">
        <x:is>
          <x:t xml:space="preserve">OK</x:t>
        </x:is>
      </x:c>
      <x:c r="B18" s="763" t="inlineStr">
        <x:is>
          <x:t xml:space="preserve">LED</x:t>
        </x:is>
      </x:c>
      <x:c r="C18" s="763" t="inlineStr">
        <x:is>
          <x:t xml:space="preserve">LED CCT widoczność</x:t>
        </x:is>
      </x:c>
      <x:c r="D18" s="763" t="inlineStr">
        <x:is>
          <x:t xml:space="preserve">{'website+crm'}</x:t>
        </x:is>
      </x:c>
      <x:c r="E18" s="763" t="inlineStr">
        <x:is>
          <x:t xml:space="preserve">Ma być website+crm</x:t>
        </x:is>
      </x:c>
    </x:row>
    <x:row r="19">
      <x:c r="A19" s="763" t="inlineStr">
        <x:is>
          <x:t xml:space="preserve">OK</x:t>
        </x:is>
      </x:c>
      <x:c r="B19" s="763" t="inlineStr">
        <x:is>
          <x:t xml:space="preserve">LED</x:t>
        </x:is>
      </x:c>
      <x:c r="C19" s="763" t="inlineStr">
        <x:is>
          <x:t xml:space="preserve">LED CCT ceny 300–600</x:t>
        </x:is>
      </x:c>
      <x:c r="D19" s="763" t="inlineStr">
        <x:is>
          <x:t xml:space="preserve">0 zer/braków</x:t>
        </x:is>
      </x:c>
      <x:c r="E19" s="763" t="inlineStr">
        <x:is>
          <x:t xml:space="preserve">OK</x:t>
        </x:is>
      </x:c>
    </x:row>
    <x:row r="20">
      <x:c r="A20" s="763" t="inlineStr">
        <x:is>
          <x:t xml:space="preserve">OK</x:t>
        </x:is>
      </x:c>
      <x:c r="B20" s="763" t="inlineStr">
        <x:is>
          <x:t xml:space="preserve">LED</x:t>
        </x:is>
      </x:c>
      <x:c r="C20" s="763" t="inlineStr">
        <x:is>
          <x:t xml:space="preserve">LED RGB CCT w eksporcie strony</x:t>
        </x:is>
      </x:c>
      <x:c r="D20" s="763" t="inlineStr">
        <x:is>
          <x:t xml:space="preserve">Nie eksportujemy</x:t>
        </x:is>
      </x:c>
      <x:c r="E20" s="763" t="inlineStr">
        <x:is>
          <x:t xml:space="preserve"/>
        </x:is>
      </x:c>
    </x:row>
    <x:row r="21">
      <x:c r="A21" s="763" t="inlineStr">
        <x:is>
          <x:t xml:space="preserve">OK</x:t>
        </x:is>
      </x:c>
      <x:c r="B21" s="763" t="inlineStr">
        <x:is>
          <x:t xml:space="preserve">Dopłaty materiałowe</x:t>
        </x:is>
      </x:c>
      <x:c r="C21" s="763" t="inlineStr">
        <x:is>
          <x:t xml:space="preserve">PDS montaż i wynagrodzenie = 0</x:t>
        </x:is>
      </x:c>
      <x:c r="D21" s="763" t="inlineStr">
        <x:is>
          <x:t xml:space="preserve">0 niezgodności</x:t>
        </x:is>
      </x:c>
      <x:c r="E21" s="763" t="inlineStr">
        <x:is>
          <x:t xml:space="preserve"/>
        </x:is>
      </x:c>
    </x:row>
    <x:row r="22">
      <x:c r="A22" s="763" t="inlineStr">
        <x:is>
          <x:t xml:space="preserve">OK</x:t>
        </x:is>
      </x:c>
      <x:c r="B22" s="763" t="inlineStr">
        <x:is>
          <x:t xml:space="preserve">Dopłaty materiałowe</x:t>
        </x:is>
      </x:c>
      <x:c r="C22" s="763" t="inlineStr">
        <x:is>
          <x:t xml:space="preserve">PDSB montaż i wynagrodzenie = 0</x:t>
        </x:is>
      </x:c>
      <x:c r="D22" s="763" t="inlineStr">
        <x:is>
          <x:t xml:space="preserve">0 niezgodności</x:t>
        </x:is>
      </x:c>
      <x:c r="E22" s="763" t="inlineStr">
        <x:is>
          <x:t xml:space="preserve"/>
        </x:is>
      </x:c>
    </x:row>
    <x:row r="23">
      <x:c r="A23" s="763" t="inlineStr">
        <x:is>
          <x:t xml:space="preserve">OK</x:t>
        </x:is>
      </x:c>
      <x:c r="B23" s="763" t="inlineStr">
        <x:is>
          <x:t xml:space="preserve">Dopłaty materiałowe</x:t>
        </x:is>
      </x:c>
      <x:c r="C23" s="763" t="inlineStr">
        <x:is>
          <x:t xml:space="preserve">PDPB montaż i wynagrodzenie = 0</x:t>
        </x:is>
      </x:c>
      <x:c r="D23" s="763" t="inlineStr">
        <x:is>
          <x:t xml:space="preserve">0 niezgodności</x:t>
        </x:is>
      </x:c>
      <x:c r="E23" s="763" t="inlineStr">
        <x:is>
          <x:t xml:space="preserve"/>
        </x:is>
      </x:c>
    </x:row>
    <x:row r="24">
      <x:c r="A24" s="763" t="inlineStr">
        <x:is>
          <x:t xml:space="preserve">OK</x:t>
        </x:is>
      </x:c>
      <x:c r="B24" s="763" t="inlineStr">
        <x:is>
          <x:t xml:space="preserve">Dopłaty materiałowe</x:t>
        </x:is>
      </x:c>
      <x:c r="C24" s="763" t="inlineStr">
        <x:is>
          <x:t xml:space="preserve">SBB montaż i wynagrodzenie = 0</x:t>
        </x:is>
      </x:c>
      <x:c r="D24" s="763" t="inlineStr">
        <x:is>
          <x:t xml:space="preserve">0 niezgodności</x:t>
        </x:is>
      </x:c>
      <x:c r="E24" s="763" t="inlineStr">
        <x:is>
          <x:t xml:space="preserve"/>
        </x:is>
      </x:c>
    </x:row>
    <x:row r="25">
      <x:c r="A25" s="763" t="inlineStr">
        <x:is>
          <x:t xml:space="preserve">OK</x:t>
        </x:is>
      </x:c>
      <x:c r="B25" s="763" t="inlineStr">
        <x:is>
          <x:t xml:space="preserve">Fundament/profile</x:t>
        </x:is>
      </x:c>
      <x:c r="C25" s="763" t="inlineStr">
        <x:is>
          <x:t xml:space="preserve">PDWP narzut</x:t>
        </x:is>
      </x:c>
      <x:c r="D25" s="763" t="inlineStr">
        <x:is>
          <x:t xml:space="preserve">{1.2}</x:t>
        </x:is>
      </x:c>
      <x:c r="E25" s="763" t="inlineStr">
        <x:is>
          <x:t xml:space="preserve">Powinno być 120%</x:t>
        </x:is>
      </x:c>
    </x:row>
    <x:row r="26">
      <x:c r="A26" s="763" t="inlineStr">
        <x:is>
          <x:t xml:space="preserve">OK</x:t>
        </x:is>
      </x:c>
      <x:c r="B26" s="763" t="inlineStr">
        <x:is>
          <x:t xml:space="preserve">Rentowność</x:t>
        </x:is>
      </x:c>
      <x:c r="C26" s="763" t="inlineStr">
        <x:is>
          <x:t xml:space="preserve">Pozycje website+crm z rentownością &lt; 0%</x:t>
        </x:is>
      </x:c>
      <x:c r="D26" s="763" t="inlineStr">
        <x:is>
          <x:t xml:space="preserve">0 pozycji</x:t>
        </x:is>
      </x:c>
      <x:c r="E26" s="763" t="inlineStr">
        <x:is>
          <x:t xml:space="preserve">Poprawić narzut/koszt lub ukryć</x:t>
        </x:is>
      </x:c>
    </x:row>
    <x:row r="27">
      <x:c r="A27" s="764" t="inlineStr">
        <x:is>
          <x:t xml:space="preserve">DO DECYZJI</x:t>
        </x:is>
      </x:c>
      <x:c r="B27" s="764" t="inlineStr">
        <x:is>
          <x:t xml:space="preserve">Rentowność</x:t>
        </x:is>
      </x:c>
      <x:c r="C27" s="764" t="inlineStr">
        <x:is>
          <x:t xml:space="preserve">Pozycje website+crm z rentownością 0–25%</x:t>
        </x:is>
      </x:c>
      <x:c r="D27" s="764" t="inlineStr">
        <x:is>
          <x:t xml:space="preserve">7 pozycji</x:t>
        </x:is>
      </x:c>
      <x:c r="E27" s="764" t="inlineStr">
        <x:is>
          <x:t xml:space="preserve">Sprawdzić listę w arkuszu 15_AUDYT_CENNIKA</x:t>
        </x:is>
      </x:c>
    </x:row>
    <x:row r="28">
      <x:c r="A28" s="763" t="inlineStr">
        <x:is>
          <x:t xml:space="preserve">OK</x:t>
        </x:is>
      </x:c>
      <x:c r="B28" s="763" t="inlineStr">
        <x:is>
          <x:t xml:space="preserve">Szkło 550/600</x:t>
        </x:is>
      </x:c>
      <x:c r="C28" s="763" t="inlineStr">
        <x:is>
          <x:t xml:space="preserve">Szkło dla szerokości 550</x:t>
        </x:is>
      </x:c>
      <x:c r="D28" s="763" t="inlineStr">
        <x:is>
          <x:t xml:space="preserve">ukryte w eksporcie</x:t>
        </x:is>
      </x:c>
      <x:c r="E28" s="763" t="inlineStr">
        <x:is>
          <x:t xml:space="preserve">Nie publikować szkła 550/600 bez RAW_ZS/RAW_OS</x:t>
        </x:is>
      </x:c>
    </x:row>
    <x:row r="29">
      <x:c r="A29" s="763" t="inlineStr">
        <x:is>
          <x:t xml:space="preserve">OK</x:t>
        </x:is>
      </x:c>
      <x:c r="B29" s="763" t="inlineStr">
        <x:is>
          <x:t xml:space="preserve">Szkło 550/600</x:t>
        </x:is>
      </x:c>
      <x:c r="C29" s="763" t="inlineStr">
        <x:is>
          <x:t xml:space="preserve">Szkło dla szerokości 600</x:t>
        </x:is>
      </x:c>
      <x:c r="D29" s="763" t="inlineStr">
        <x:is>
          <x:t xml:space="preserve">ukryte w eksporcie</x:t>
        </x:is>
      </x:c>
      <x:c r="E29" s="763" t="inlineStr">
        <x:is>
          <x:t xml:space="preserve">Nie publikować szkła 550/600 bez RAW_ZS/RAW_OS</x:t>
        </x:is>
      </x:c>
    </x:row>
    <x:row r="30">
      <x:c r="A30" s="763" t="inlineStr">
        <x:is>
          <x:t xml:space="preserve">OK</x:t>
        </x:is>
      </x:c>
      <x:c r="B30" s="763" t="inlineStr">
        <x:is>
          <x:t xml:space="preserve">550/600</x:t>
        </x:is>
      </x:c>
      <x:c r="C30" s="763" t="inlineStr">
        <x:is>
          <x:t xml:space="preserve">ZP montaż/wynagrodzenie uzupełnione</x:t>
        </x:is>
      </x:c>
      <x:c r="D30" s="763" t="inlineStr">
        <x:is>
          <x:t xml:space="preserve">0 braków</x:t>
        </x:is>
      </x:c>
      <x:c r="E30" s="763" t="inlineStr">
        <x:is>
          <x:t xml:space="preserve">Uzupełnić FIX11 wartości</x:t>
        </x:is>
      </x:c>
    </x:row>
    <x:row r="31">
      <x:c r="A31" s="763" t="inlineStr">
        <x:is>
          <x:t xml:space="preserve">OK</x:t>
        </x:is>
      </x:c>
      <x:c r="B31" s="763" t="inlineStr">
        <x:is>
          <x:t xml:space="preserve">550/600</x:t>
        </x:is>
      </x:c>
      <x:c r="C31" s="763" t="inlineStr">
        <x:is>
          <x:t xml:space="preserve">OP montaż/wynagrodzenie uzupełnione</x:t>
        </x:is>
      </x:c>
      <x:c r="D31" s="763" t="inlineStr">
        <x:is>
          <x:t xml:space="preserve">0 braków</x:t>
        </x:is>
      </x:c>
      <x:c r="E31" s="763" t="inlineStr">
        <x:is>
          <x:t xml:space="preserve">Uzupełnić FIX11 wartości</x:t>
        </x:is>
      </x:c>
    </x:row>
    <x:row r="32">
      <x:c r="A32" s="763" t="inlineStr">
        <x:is>
          <x:t xml:space="preserve">OK</x:t>
        </x:is>
      </x:c>
      <x:c r="B32" s="763" t="inlineStr">
        <x:is>
          <x:t xml:space="preserve">Export strony</x:t>
        </x:is>
      </x:c>
      <x:c r="C32" s="763" t="inlineStr">
        <x:is>
          <x:t xml:space="preserve">Zera/braki w kluczowych polach exportu</x:t>
        </x:is>
      </x:c>
      <x:c r="D32" s="763" t="inlineStr">
        <x:is>
          <x:t xml:space="preserve">0 braków</x:t>
        </x:is>
      </x:c>
      <x:c r="E32" s="763" t="inlineStr">
        <x:is>
          <x:t xml:space="preserve">Uzupełnić przed JSON</x:t>
        </x:is>
      </x:c>
    </x:row>
    <x:row r="33">
      <x:c r="A33" s="764" t="inlineStr">
        <x:is>
          <x:t xml:space="preserve">DO DECYZJI</x:t>
        </x:is>
      </x:c>
      <x:c r="B33" s="764" t="inlineStr">
        <x:is>
          <x:t xml:space="preserve">Logika cen</x:t>
        </x:is>
      </x:c>
      <x:c r="C33" s="764" t="inlineStr">
        <x:is>
          <x:t xml:space="preserve">Spadki ceny przy większej długości</x:t>
        </x:is>
      </x:c>
      <x:c r="D33" s="764" t="inlineStr">
        <x:is>
          <x:t xml:space="preserve">9 przypadków</x:t>
        </x:is>
      </x:c>
      <x:c r="E33" s="764" t="inlineStr">
        <x:is>
          <x:t xml:space="preserve">Sprawdzić arkusz 15_AUDYT_CENNIKA; część może wynikać z cennika dostawcy</x:t>
        </x:is>
      </x:c>
    </x:row>
    <x:row r="34">
      <x:c r="A34" s="763" t="inlineStr">
        <x:is>
          <x:t xml:space="preserve">OK</x:t>
        </x:is>
      </x:c>
      <x:c r="B34" s="763" t="inlineStr">
        <x:is>
          <x:t xml:space="preserve">Testy konfiguracji</x:t>
        </x:is>
      </x:c>
      <x:c r="C34" s="763" t="inlineStr">
        <x:is>
          <x:t xml:space="preserve">10 testów kontrolnych</x:t>
        </x:is>
      </x:c>
      <x:c r="D34" s="763" t="inlineStr">
        <x:is>
          <x:t xml:space="preserve">10/10 OK</x:t>
        </x:is>
      </x:c>
      <x:c r="E34" s="763" t="inlineStr">
        <x:is>
          <x:t xml:space="preserve">Porównać z 06_Test_konfiguracji po przeliczeniu w Excelu</x:t>
        </x:is>
      </x:c>
    </x:row>
  </x:sheetData>
  <x:mergeCells>
    <x:mergeCell ref="A1:E1"/>
  </x:mergeCells>
  <x:pageMargins left="0.7" right="0.7" top="0.75" bottom="0.75" header="0.3" footer="0.3"/>
  <x:tableParts count="2">
    <x:tablePart xmlns:r="http://schemas.openxmlformats.org/officeDocument/2006/relationships" r:id="Ra8eab02c60214c7b"/>
    <x:tablePart xmlns:r="http://schemas.openxmlformats.org/officeDocument/2006/relationships" r:id="R7390626fd6e54b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4.75"/>
  <x:cols>
    <x:col min="1" max="1" width="28" style="655" customWidth="1"/>
    <x:col min="2" max="2" width="100" style="655" customWidth="1"/>
  </x:cols>
  <x:sheetData>
    <x:row r="1" s="655" customFormat="1" ht="20.149999618530273" customHeight="1">
      <x:c r="A1" s="1" t="inlineStr">
        <x:is>
          <x:t xml:space="preserve">Model cennika usług i wyceny strony — Glass System</x:t>
        </x:is>
      </x:c>
    </x:row>
    <x:row r="2" s="655" customFormat="1" ht="20.149999618530273" customHeight="1"/>
    <x:row r="3" s="655" customFormat="1" ht="20.149999618530273" customHeight="1">
      <x:c r="A3" s="2" t="inlineStr">
        <x:is>
          <x:t xml:space="preserve">Cel pliku</x:t>
        </x:is>
      </x:c>
    </x:row>
    <x:row r="4" s="655" customFormat="1" ht="20.149999618530273" customHeight="1">
      <x:c r="A4" t="inlineStr">
        <x:is>
          <x:t xml:space="preserve">Plik roboczy do budowy nowego Cennika usług i Wyceny strony na podstawie cennika dostawcy, danych EG oraz ustaleń ze znajomym.</x:t>
        </x:is>
      </x:c>
    </x:row>
    <x:row r="5" s="655" customFormat="1" ht="20.149999618530273" customHeight="1"/>
    <x:row r="6" s="655" customFormat="1" ht="20.149999618530273" customHeight="1">
      <x:c r="A6" s="2" t="inlineStr">
        <x:is>
          <x:t xml:space="preserve">Jak korzystać</x:t>
        </x:is>
      </x:c>
    </x:row>
    <x:row r="7" s="655" customFormat="1" ht="20.149999618530273" customHeight="1">
      <x:c r="A7" s="3" t="inlineStr">
        <x:is>
          <x:t xml:space="preserve">1. Arkusze RAW_* są kopią cennika dostawcy. Nie zmieniaj struktury; przy aktualizacji wklej nowy cennik w te same miejsca.</x:t>
        </x:is>
      </x:c>
    </x:row>
    <x:row r="8" s="655" customFormat="1" ht="20.149999618530273" customHeight="1">
      <x:c r="A8" s="3" t="inlineStr">
        <x:is>
          <x:t xml:space="preserve">2. Arkusz 01_Ustawienia zawiera główne przełączniki: status VAT, baza kosztu NETTO/BRUTTO, rabat dostawcy i narzuty.</x:t>
        </x:is>
      </x:c>
    </x:row>
    <x:row r="9" s="655" customFormat="1" ht="20.149999618530273" customHeight="1">
      <x:c r="A9" s="3" t="inlineStr">
        <x:is>
          <x:t xml:space="preserve">3. Arkusz 02_RAW_INDEX normalizuje najważniejsze wartości z 4 pierwszych zakładek dostawcy.</x:t>
        </x:is>
      </x:c>
    </x:row>
    <x:row r="10" s="655" customFormat="1" ht="20.149999618530273" customHeight="1">
      <x:c r="A10" s="3" t="inlineStr">
        <x:is>
          <x:t xml:space="preserve">4. Arkusz 03_Cennik_uslug_nowy tworzy techniczny cennik usług z narzutami, montażem, kosztami i rentownością.</x:t>
        </x:is>
      </x:c>
    </x:row>
    <x:row r="11" s="655" customFormat="1" ht="20.149999618530273" customHeight="1">
      <x:c r="A11" s="3" t="inlineStr">
        <x:is>
          <x:t xml:space="preserve">5. Arkusz 04_Wycena_strona_nowa generuje uproszczoną tabelę cen brutto dla kalkulatora.</x:t>
        </x:is>
      </x:c>
    </x:row>
    <x:row r="12" s="655" customFormat="1" ht="20.149999618530273" customHeight="1">
      <x:c r="A12" s="3" t="inlineStr">
        <x:is>
          <x:t xml:space="preserve">6. Arkusz 05_Porownanie_EG porównuje nowe ceny z EG.</x:t>
        </x:is>
      </x:c>
    </x:row>
    <x:row r="13" s="655" customFormat="1" ht="20.149999618530273" customHeight="1">
      <x:c r="A13" s="3" t="inlineStr">
        <x:is>
          <x:t xml:space="preserve">7. Arkusz 06_Test_konfiguracji pozwala szybko sprawdzić przykładową konfigurację.</x:t>
        </x:is>
      </x:c>
    </x:row>
    <x:row r="14" s="655" customFormat="1" ht="20.149999618530273" customHeight="1">
      <x:c r="A14" s="3" t="inlineStr">
        <x:is>
          <x:t xml:space="preserve">8. Arkusz 07_Mapa_Bitrix pokazuje proponowane mapowanie katalogu produktów do Bitrixa.</x:t>
        </x:is>
      </x:c>
    </x:row>
    <x:row r="15" s="655" customFormat="1" ht="20.149999618530273" customHeight="1"/>
    <x:row r="16" s="655" customFormat="1" ht="20.149999618530273" customHeight="1"/>
    <x:row r="17" s="655" customFormat="1" ht="20.149999618530273" customHeight="1">
      <x:c r="A17" s="2" t="inlineStr">
        <x:is>
          <x:t xml:space="preserve">Ważne założenia</x:t>
        </x:is>
      </x:c>
    </x:row>
    <x:row r="18" s="655" customFormat="1" ht="20.149999618530273" customHeight="1">
      <x:c r="A18" s="3" t="inlineStr">
        <x:is>
          <x:t xml:space="preserve">• Na start rabat dostawcy ustawiony jest na 0%.</x:t>
        </x:is>
      </x:c>
    </x:row>
    <x:row r="19" s="655" customFormat="1" ht="20.149999618530273" customHeight="1">
      <x:c r="A19" s="3" t="inlineStr">
        <x:is>
          <x:t xml:space="preserve">• Montaż i koszty dodatkowe są pobierane roboczo z EG_Cennik_uslug.</x:t>
        </x:is>
      </x:c>
    </x:row>
    <x:row r="20" s="655" customFormat="1" ht="20.149999618530273" customHeight="1">
      <x:c r="A20" s="3" t="inlineStr">
        <x:is>
          <x:t xml:space="preserve">• Domyślny wariant to CZYNNY VAT + baza kosztu NETTO + VAT sprzedaży 8%. Można to zmienić w 01_Ustawienia.</x:t>
        </x:is>
      </x:c>
    </x:row>
    <x:row r="21" s="655" customFormat="1" ht="20.149999618530273" customHeight="1">
      <x:c r="A21" s="3" t="inlineStr">
        <x:is>
          <x:t xml:space="preserve">• Dla pewności księgowej finalny status VAT i stawka VAT sprzedaży muszą zostać potwierdzone z księgową/doradcą podatkowym.</x:t>
        </x:is>
      </x:c>
    </x:row>
    <x:row r="22" s="655" customFormat="1" ht="20.149999618530273" customHeight="1">
      <x:c r="A22" s="3" t="inlineStr">
        <x:is>
          <x:t xml:space="preserve">• Wycena strony naśladuje logikę EG: baza zadaszenia + dopłata ścian + dopłaty dachowe/ZIP/markiza/LED/dodatki.</x:t>
        </x:is>
      </x:c>
    </x:row>
    <x:row r="23" s="655" customFormat="1" ht="20.149999618530273" customHeight="1"/>
    <x:row r="24" s="655" customFormat="1" ht="20.149999618530273" customHeight="1"/>
    <x:row r="25" s="655" customFormat="1" ht="20.149999618530273" customHeight="1">
      <x:c r="A25" s="2" t="inlineStr">
        <x:is>
          <x:t xml:space="preserve">Źródła w pliku</x:t>
        </x:is>
      </x:c>
    </x:row>
    <x:row r="26" s="655" customFormat="1" ht="20.149999618530273" customHeight="1">
      <x:c r="A26" t="inlineStr">
        <x:is>
          <x:t xml:space="preserve">Cennik dostawcy: Cennik dystrybucyjny z ledami CCT i CCT RGB(2).xlsx</x:t>
        </x:is>
      </x:c>
    </x:row>
    <x:row r="27" s="655" customFormat="1" ht="20.149999618530273" customHeight="1">
      <x:c r="A27" t="inlineStr">
        <x:is>
          <x:t xml:space="preserve">Referencja EG: Kopia tabel z EG CENNIK PDF(2).xlsx</x:t>
        </x:is>
      </x:c>
    </x:row>
    <x:row r="28" s="655" customFormat="1" ht="20.149999618530273" customHeight="1"/>
    <x:row r="29" s="655" customFormat="1" ht="20.149999618530273" customHeight="1">
      <x:c r="A29" s="1" t="inlineStr">
        <x:is>
          <x:t xml:space="preserve">Aktualizacja LED 2026-07-28</x:t>
        </x:is>
      </x:c>
    </x:row>
    <x:row r="30">
      <x:c r="A30" t="inlineStr">
        <x:is>
          <x:t xml:space="preserve">W modelu nowej wyceny rozdzielono warianty LED zgodnie z aktualnym cennikiem dostawcy:</x:t>
        </x:is>
      </x:c>
    </x:row>
    <x:row r="31">
      <x:c r="A31" t="inlineStr">
        <x:is>
          <x:t xml:space="preserve">- LED punktowe → LED 2 pkt</x:t>
        </x:is>
      </x:c>
    </x:row>
    <x:row r="32">
      <x:c r="A32" t="inlineStr">
        <x:is>
          <x:t xml:space="preserve">- LED 3pkt/COB → LED 3 pkt</x:t>
        </x:is>
      </x:c>
    </x:row>
    <x:row r="33">
      <x:c r="A33" t="inlineStr">
        <x:is>
          <x:t xml:space="preserve">- LED COB nie jest używany w nowej wycenie do czasu potwierdzenia odpowiednika w cenniku dostawcy</x:t>
        </x:is>
      </x:c>
    </x:row>
    <x:row r="34">
      <x:c r="A34" t="inlineStr">
        <x:is>
          <x:t xml:space="preserve">- LED CCT i LED RGB CCT pozostają osobnymi kolumnami</x:t>
        </x:is>
      </x:c>
    </x:row>
    <x:row r="35">
      <x:c r="A35" t="inlineStr">
        <x:is>
          <x:t xml:space="preserve">Kody techniczne w nowym modelu: LED2, LED3, LEDCCT, LEDRGBCCT.</x:t>
        </x:is>
      </x:c>
    </x:row>
    <x:row r="37" s="655" customFormat="1" ht="30" customHeight="1">
      <x:c r="A37" s="3" t="inlineStr">
        <x:is>
          <x:t xml:space="preserve">Aktualizacja FIX5: dodano pomarańczowy kolor w 05_Porownanie_EG dla sytuacji, gdy nowa firma jest tańsza od EG, ale nie osiąga celu cenowego. Przykład: cel -1500 zł → pomarańczowy od -1 do -1499 zł.</x:t>
        </x:is>
      </x:c>
    </x:row>
    <x:row r="39">
      <x:c r="A39" s="546" t="inlineStr">
        <x:is>
          <x:t xml:space="preserve">Aktualizacja LED 2026-07-29 — automatyczny wybór LED 2/3 pkt</x:t>
        </x:is>
      </x:c>
    </x:row>
    <x:row r="40">
      <x:c r="A40" t="inlineStr">
        <x:is>
          <x:t xml:space="preserve">Zgodnie z mechaniką EG i ustaleniem ze znajomym: w konfiguratorze klient wybiera jedną opcję „LED punktowe”.</x:t>
        </x:is>
      </x:c>
    </x:row>
    <x:row r="41">
      <x:c r="A41" t="inlineStr">
        <x:is>
          <x:t xml:space="preserve">Dla wymiarów 300x, 350x i 400x Excel pobiera cenę LED 2 pkt.</x:t>
        </x:is>
      </x:c>
    </x:row>
    <x:row r="42">
      <x:c r="A42" t="inlineStr">
        <x:is>
          <x:t xml:space="preserve">Dla wymiarów 450x i 500x Excel pobiera cenę LED 3 pkt.</x:t>
        </x:is>
      </x:c>
    </x:row>
    <x:row r="43">
      <x:c r="A43" t="inlineStr">
        <x:is>
          <x:t xml:space="preserve">LED CCT i LED RGB CCT pozostają osobnymi opcjami. LED COB nadal nie jest używany do czasu potwierdzenia odpowiednika w aktualnym cenniku dostawcy.</x:t>
        </x:is>
      </x:c>
    </x:row>
    <x:row r="45">
      <x:c r="A45" s="551" t="inlineStr">
        <x:is>
          <x:t xml:space="preserve">FIX9_TEST_ROZBICIE_RABAT</x:t>
        </x:is>
      </x:c>
    </x:row>
    <x:row r="46" s="655" customFormat="1" ht="30" customHeight="1">
      <x:c r="A46" s="3" t="inlineStr">
        <x:is>
          <x:t xml:space="preserve">W arkuszu 06_Test_konfiguracji dodano rozbicie: konstrukcja/dodatki, montaż, razem oraz rabat indywidualny procentowy obniżający całe zamówienie.</x:t>
        </x:is>
      </x:c>
    </x:row>
    <x:row r="47">
      <x:c r="A47" s="3" t="inlineStr">
        <x:is>
          <x:t xml:space="preserve">Rabat indywidualny wpisuje się w komórce B16 jako procent, np. 5% albo 0,05.</x:t>
        </x:is>
      </x:c>
    </x:row>
    <x:row r="48">
      <x:c r="A48" s="3" t="inlineStr">
        <x:is>
          <x:t xml:space="preserve">Cena po rabacie jest pokazana w podsumowaniu testu konfiguracji.</x:t>
        </x:is>
      </x:c>
    </x:row>
    <x:row r="50" s="655" customFormat="1" ht="45" customHeight="1">
      <x:c r="A50" s="3" t="inlineStr">
        <x:is>
          <x:t xml:space="preserve">FIX10 — dodano 08_Kalkulator_CRM: zaawansowany kalkulator ofertowy/CRM. Wybiera produkt bazowy ZP/ZS/OP/OS, więc może liczyć jak Bitrix/dostawca: np. Ogród zimowy szkło jako osobna pozycja, a nie zadaszenie + ściany. 06_Test_konfiguracji pozostaje symulatorem strony.</x:t>
        </x:is>
      </x:c>
    </x:row>
    <x:row r="52">
      <x:c r="A52" s="578" t="inlineStr">
        <x:is>
          <x:t xml:space="preserve">FIX11 — montaż i wynagrodzenie 550/600</x:t>
        </x:is>
      </x:c>
    </x:row>
    <x:row r="53" s="655" customFormat="1" ht="29.5" customHeight="1">
      <x:c r="A53" s="579" t="inlineStr">
        <x:is>
          <x:t xml:space="preserve">Uzupełniono kolumny K/L w arkuszu 03_Cennik_uslug_nowy dla wymiarów 550 i 600 cm na podstawie modelu 450→500 oraz kontroli rentowności.</x:t>
        </x:is>
      </x:c>
    </x:row>
    <x:row r="54">
      <x:c r="A54" s="579" t="inlineStr">
        <x:is>
          <x:t xml:space="preserve">Dodano arkusze 09_FIX11_MONT_550_600 i 10_FIX11_PODSUMOWANIE z wartościami źródłowymi oraz statusem decyzji.</x:t>
        </x:is>
      </x:c>
    </x:row>
    <x:row r="55">
      <x:c r="A55" s="579" t="inlineStr">
        <x:is>
          <x:t xml:space="preserve">ZS/OS/PDS/PDSB dla 550/600 pozostają niegotowe do publikacji na stronie, dopóki nie będzie pełnych cen dostawcy dla szkła.</x:t>
        </x:is>
      </x:c>
    </x:row>
    <x:row r="57">
      <x:c r="A57" t="inlineStr">
        <x:is>
          <x:t xml:space="preserve">FIX12_POROWNANIE_EG_FULL</x:t>
        </x:is>
      </x:c>
    </x:row>
    <x:row r="58">
      <x:c r="A58" t="inlineStr">
        <x:is>
          <x:t xml:space="preserve">Dodano arkusz 05_Porownanie_EG_FULL z pełniejszym porównaniem EG vs MoonGlass.</x:t>
        </x:is>
      </x:c>
    </x:row>
    <x:row r="59">
      <x:c r="A59" t="inlineStr">
        <x:is>
          <x:t xml:space="preserve">Zakres: rolety, poliwęglan barwiony, fundament/profile, LED, szczotki, uchwyty, zabieraki.</x:t>
        </x:is>
      </x:c>
    </x:row>
    <x:row r="60">
      <x:c r="A60" t="inlineStr">
        <x:is>
          <x:t xml:space="preserve">Ceny w głównym cenniku nie zostały zmienione w FIX12.</x:t>
        </x:is>
      </x:c>
    </x:row>
    <x:row r="61">
      <x:c r="A61" t="inlineStr">
        <x:is>
          <x:t xml:space="preserve">LED CCT/RGB porównane orientacyjnie do EG LED COB; szkło 550/600 nadal wymaga potwierdzenia dostawcy.</x:t>
        </x:is>
      </x:c>
    </x:row>
    <x:row r="64">
      <x:c r="A64" s="605" t="inlineStr">
        <x:is>
          <x:t xml:space="preserve">FIX13</x:t>
        </x:is>
      </x:c>
      <x:c r="B64" t="inlineStr">
        <x:is>
          <x:t xml:space="preserve">Podmieniono pełne porównanie jako główny arkusz 05_Porownanie_EG; stary skrócony arkusz ukryty jako 05_Porownanie_EG_STARE.</x:t>
        </x:is>
      </x:c>
    </x:row>
    <x:row r="66">
      <x:c r="A66" s="704" t="inlineStr">
        <x:is>
          <x:t xml:space="preserve">FIX15_LED_CCT_RGB_450_600</x:t>
        </x:is>
      </x:c>
      <x:c r="B66" s="600" t="inlineStr">
        <x:is>
          <x:t xml:space="preserve">Uzupełniono modelowe ceny LED CCT i LED RGB CCT dla szerokości 450–600: trend 300–400 + bufor 300 zł brutto. Wpisano do arkusza ustalania LED oraz do 02_RAW_INDEX; 03/04 korzystają z istniejących formuł.</x:t>
        </x:is>
      </x:c>
    </x:row>
    <x:row r="68">
      <x:c r="A68" s="1" t="inlineStr">
        <x:is>
          <x:t xml:space="preserve">FIX16_RAW_INDEX_ZAOKRAGLENIA</x:t>
        </x:is>
      </x:c>
      <x:c r="B68" t="inlineStr">
        <x:is>
          <x:t xml:space="preserve">W arkuszu 02_RAW_INDEX wartości cenowe C:AP zaokrąglono do pełnych złotych. Formuły źródłowe opakowano ROUND(...,0); wartości modelowe zaokrąglono do liczb całkowitych.</x:t>
        </x:is>
      </x:c>
    </x:row>
    <x:row r="70">
      <x:c r="A70" t="inlineStr">
        <x:is>
          <x:t xml:space="preserve">FIX17_LED_WIDOCZNOSC_PDS_ZERO</x:t>
        </x:is>
      </x:c>
      <x:c r="B70" t="inlineStr">
        <x:is>
          <x:t xml:space="preserve">LEDCCT/LEDRGBCCT ustawione jako website+crm i grupa OŚWIETLENIE. Wyzerowano Wynagr.+koszty dla PDS/PDSB/PDPB/SBB. Dodano arkusz 17_FIX17_LED_PDS_AUDYT.</x:t>
        </x:is>
      </x:c>
    </x:row>
    <x:row r="72">
      <x:c r="A72" s="579" t="inlineStr">
        <x:is>
          <x:t xml:space="preserve">FIX18_LED_CCT_STRONA</x:t>
        </x:is>
      </x:c>
      <x:c r="B72" s="579" t="inlineStr">
        <x:is>
          <x:t xml:space="preserve">LEDCCT 450+ ma cenę sprzedaży netto +700 zł. LEDRGBCCT wyłączone ze strony i ustawione jako crm_only. 04_Wycena_strona_nowa czyści LED RGB CCT; 06_Test usuwa RGB z dropdown. PDWP narzut 120% utrzymany.</x:t>
        </x:is>
      </x:c>
    </x:row>
    <x:row r="73">
      <x:c r="A73" s="579" t="inlineStr">
        <x:is>
          <x:t xml:space="preserve">Rekomendacja</x:t>
        </x:is>
      </x:c>
      <x:c r="B73" s="579" t="inlineStr">
        <x:is>
          <x:t xml:space="preserve">Przed eksportem na stronę przeliczyć workbook i sprawdzić LED CCT w 04/06 oraz porównanie z EG COB.</x:t>
        </x:is>
      </x:c>
    </x:row>
    <x:row r="75">
      <x:c r="A75" s="765" t="inlineStr">
        <x:is>
          <x:t xml:space="preserve">FIX19_MASTER_WERYFIKACJA</x:t>
        </x:is>
      </x:c>
      <x:c r="B75" s="765" t="inlineStr">
        <x:is>
          <x:t xml:space="preserve">Dodano arkusze walidacyjne, czysty export strony i checklistę przed publikacją. Ceny bazowe nie były zmieniane względem FIX18.</x:t>
        </x:is>
      </x:c>
    </x:row>
    <x:row r="77">
      <x:c r="A77" s="704" t="inlineStr">
        <x:is>
          <x:t xml:space="preserve">FIX20</x:t>
        </x:is>
      </x:c>
      <x:c r="B77" t="inlineStr">
        <x:is>
          <x:t xml:space="preserve">Naprawiono listę rozwijaną wymiarów w 06_Test_konfiguracji!B3. Dodano ukryty arkusz LISTY_DROPDOWN oraz nazwane zakresy walidacji DV_Wymiary/DV_Sciany/DV_Dach/DV_TakNie/DV_LED.</x:t>
        </x:is>
      </x:c>
    </x:row>
    <x:row r="79">
      <x:c r="A79" s="774" t="inlineStr">
        <x:is>
          <x:t xml:space="preserve">FIX21</x:t>
        </x:is>
      </x:c>
      <x:c r="B79" s="774" t="inlineStr">
        <x:is>
          <x:t xml:space="preserve">Naprawiono listy rozwijane i formuły w 08_Kalkulator_CRM: dropdown wymiaru, poprawne tak/nie, LED CRM oraz odwołania formuł dla LED/szczotek/uchwytów/zabieraków.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baseColWidth="8" defaultRowHeight="14.75"/>
  <x:cols>
    <x:col min="1" max="2" width="32" style="655" customWidth="1"/>
    <x:col min="3" max="3" width="70" style="655" customWidth="1"/>
    <x:col min="4" max="4" width="8" style="655" customWidth="1"/>
    <x:col min="5" max="5" width="18" style="655" customWidth="1"/>
    <x:col min="6" max="6" width="34" style="655" customWidth="1"/>
    <x:col min="7" max="7" width="56" style="655" customWidth="1"/>
    <x:col min="8" max="8" width="32" style="655" customWidth="1"/>
  </x:cols>
  <x:sheetData>
    <x:row r="1" s="655" customFormat="1" ht="21" customHeight="1">
      <x:c r="A1" s="1" t="inlineStr">
        <x:is>
          <x:t xml:space="preserve">Ustawienia kalkulacji</x:t>
        </x:is>
      </x:c>
    </x:row>
    <x:row r="3" s="655" customFormat="1" ht="21.950000762939453" customHeight="1">
      <x:c r="A3" s="4" t="inlineStr">
        <x:is>
          <x:t xml:space="preserve">Parametr</x:t>
        </x:is>
      </x:c>
      <x:c r="B3" s="4" t="inlineStr">
        <x:is>
          <x:t xml:space="preserve">Wartość</x:t>
        </x:is>
      </x:c>
      <x:c r="C3" s="4" t="inlineStr">
        <x:is>
          <x:t xml:space="preserve">Opis</x:t>
        </x:is>
      </x:c>
      <x:c r="E3" s="522" t="inlineStr">
        <x:is>
          <x:t xml:space="preserve">Kolor</x:t>
        </x:is>
      </x:c>
      <x:c r="F3" s="522" t="inlineStr">
        <x:is>
          <x:t xml:space="preserve">Warunek przy celu z B8</x:t>
        </x:is>
      </x:c>
      <x:c r="G3" s="522" t="inlineStr">
        <x:is>
          <x:t xml:space="preserve">Znaczenie</x:t>
        </x:is>
      </x:c>
    </x:row>
    <x:row r="4" s="655" customFormat="1" ht="30" customHeight="1">
      <x:c r="A4" s="5" t="inlineStr">
        <x:is>
          <x:t xml:space="preserve">Status VAT</x:t>
        </x:is>
      </x:c>
      <x:c r="B4" s="6" t="inlineStr">
        <x:is>
          <x:t xml:space="preserve">CZYNNY VAT</x:t>
        </x:is>
      </x:c>
      <x:c r="C4" s="6" t="inlineStr">
        <x:is>
          <x:t xml:space="preserve">CZYNNY VAT = liczenie od netto możliwe przy odliczeniu VAT; ZWOLNIONY = bez VAT na sprzedaży</x:t>
        </x:is>
      </x:c>
      <x:c r="E4" s="523" t="inlineStr">
        <x:is>
          <x:t xml:space="preserve">Czerwony</x:t>
        </x:is>
      </x:c>
      <x:c r="F4" s="524" t="inlineStr">
        <x:is>
          <x:t xml:space="preserve">różnica &gt; 0</x:t>
        </x:is>
      </x:c>
      <x:c r="G4" s="524" t="inlineStr">
        <x:is>
          <x:t xml:space="preserve">Jesteśmy drożsi niż EG.</x:t>
        </x:is>
      </x:c>
    </x:row>
    <x:row r="5" s="655" customFormat="1" ht="30" customHeight="1">
      <x:c r="A5" s="5" t="inlineStr">
        <x:is>
          <x:t xml:space="preserve">Baza kosztu dostawcy</x:t>
        </x:is>
      </x:c>
      <x:c r="B5" s="6" t="inlineStr">
        <x:is>
          <x:t xml:space="preserve">NETTO</x:t>
        </x:is>
      </x:c>
      <x:c r="C5" s="6" t="inlineStr">
        <x:is>
          <x:t xml:space="preserve">NETTO albo BRUTTO. Dla czynnego VAT rekomendowany wariant roboczy: NETTO.</x:t>
        </x:is>
      </x:c>
      <x:c r="E5" s="525" t="inlineStr">
        <x:is>
          <x:t xml:space="preserve">Pomarańczowy</x:t>
        </x:is>
      </x:c>
      <x:c r="F5" s="526" t="inlineStr">
        <x:is>
          <x:t xml:space="preserve">0 &gt; różnica &gt; cel</x:t>
        </x:is>
      </x:c>
      <x:c r="G5" s="526" t="inlineStr">
        <x:is>
          <x:t xml:space="preserve">Jesteśmy tańsi, ale za mało względem celu.</x:t>
        </x:is>
      </x:c>
    </x:row>
    <x:row r="6" s="655" customFormat="1" ht="30" customHeight="1">
      <x:c r="A6" s="5" t="inlineStr">
        <x:is>
          <x:t xml:space="preserve">Rabat dostawcy</x:t>
        </x:is>
      </x:c>
      <x:c r="B6" s="7" t="n">
        <x:v>0</x:v>
      </x:c>
      <x:c r="C6" s="6" t="inlineStr">
        <x:is>
          <x:t xml:space="preserve">Na start brak rabatu. Zostawione jako parametr do późniejszej zmiany.</x:t>
        </x:is>
      </x:c>
      <x:c r="E6" s="527" t="inlineStr">
        <x:is>
          <x:t xml:space="preserve">Żółty</x:t>
        </x:is>
      </x:c>
      <x:c r="F6" s="528" t="inlineStr">
        <x:is>
          <x:t xml:space="preserve">cel &gt;= różnica &gt;= cel - 500 zł</x:t>
        </x:is>
      </x:c>
      <x:c r="G6" s="528" t="inlineStr">
        <x:is>
          <x:t xml:space="preserve">Cel osiągnięty lub okolice celu.</x:t>
        </x:is>
      </x:c>
    </x:row>
    <x:row r="7" s="655" customFormat="1" ht="30" customHeight="1">
      <x:c r="A7" s="5" t="inlineStr">
        <x:is>
          <x:t xml:space="preserve">VAT sprzedaży</x:t>
        </x:is>
      </x:c>
      <x:c r="B7" s="7" t="n">
        <x:v>0.08</x:v>
      </x:c>
      <x:c r="C7" s="6" t="inlineStr">
        <x:is>
          <x:t xml:space="preserve">Domyślnie 8% dla usługi z montażem — do potwierdzenia z księgową.</x:t>
        </x:is>
      </x:c>
      <x:c r="E7" s="529" t="inlineStr">
        <x:is>
          <x:t xml:space="preserve">Zielony</x:t>
        </x:is>
      </x:c>
      <x:c r="F7" s="530" t="inlineStr">
        <x:is>
          <x:t xml:space="preserve">cel - 500 zł &gt; różnica &gt;= cel - 1000 zł</x:t>
        </x:is>
      </x:c>
      <x:c r="G7" s="530" t="inlineStr">
        <x:is>
          <x:t xml:space="preserve">Wyraźnie taniej, zwykle nadal sensownie.</x:t>
        </x:is>
      </x:c>
    </x:row>
    <x:row r="8" s="655" customFormat="1" ht="30" customHeight="1">
      <x:c r="A8" s="5" t="inlineStr">
        <x:is>
          <x:t xml:space="preserve">Cel cenowy vs EG</x:t>
        </x:is>
      </x:c>
      <x:c r="B8" s="535" t="n">
        <x:v>-1500</x:v>
      </x:c>
      <x:c r="C8" s="6" t="inlineStr">
        <x:is>
          <x:t xml:space="preserve">Cel: o tyle zł chcemy być tańsi od EG. Kolory w Porównaniu EG liczą się dynamicznie od tej wartości.</x:t>
        </x:is>
      </x:c>
      <x:c r="E8" s="531" t="inlineStr">
        <x:is>
          <x:t xml:space="preserve">Niebieski</x:t>
        </x:is>
      </x:c>
      <x:c r="F8" s="532" t="inlineStr">
        <x:is>
          <x:t xml:space="preserve">różnica &lt; cel - 1000 zł</x:t>
        </x:is>
      </x:c>
      <x:c r="G8" s="532" t="inlineStr">
        <x:is>
          <x:t xml:space="preserve">Bardzo tanio względem celu — sprawdzić zysk/rentowność.</x:t>
        </x:is>
      </x:c>
    </x:row>
    <x:row r="9">
      <x:c r="A9" s="5" t="inlineStr">
        <x:is>
          <x:t xml:space="preserve">Tryb pokazywania ceny</x:t>
        </x:is>
      </x:c>
      <x:c r="B9" s="6" t="inlineStr">
        <x:is>
          <x:t xml:space="preserve">RAZEM+MONTAŻ</x:t>
        </x:is>
      </x:c>
      <x:c r="C9" s="6" t="inlineStr">
        <x:is>
          <x:t xml:space="preserve">Docelowo można pokazać cenę produktu i montaż osobno.</x:t>
        </x:is>
      </x:c>
    </x:row>
    <x:row r="12" s="655" customFormat="1" ht="15.75" customHeight="1">
      <x:c r="A12" s="2" t="inlineStr">
        <x:is>
          <x:t xml:space="preserve">Narzuty domyślne per komponent</x:t>
        </x:is>
      </x:c>
      <x:c r="E12" s="2" t="inlineStr">
        <x:is>
          <x:t xml:space="preserve">Scenariusze porównawcze</x:t>
        </x:is>
      </x:c>
    </x:row>
    <x:row r="14">
      <x:c r="A14" s="4" t="inlineStr">
        <x:is>
          <x:t xml:space="preserve">Kod</x:t>
        </x:is>
      </x:c>
      <x:c r="B14" s="4" t="inlineStr">
        <x:is>
          <x:t xml:space="preserve">Narzut</x:t>
        </x:is>
      </x:c>
      <x:c r="C14" s="4" t="inlineStr">
        <x:is>
          <x:t xml:space="preserve">Opis</x:t>
        </x:is>
      </x:c>
      <x:c r="E14" s="4" t="inlineStr">
        <x:is>
          <x:t xml:space="preserve">Scenariusz</x:t>
        </x:is>
      </x:c>
      <x:c r="F14" s="4" t="inlineStr">
        <x:is>
          <x:t xml:space="preserve">Narzut</x:t>
        </x:is>
      </x:c>
    </x:row>
    <x:row r="15">
      <x:c r="A15" s="9" t="inlineStr">
        <x:is>
          <x:t xml:space="preserve">ZP</x:t>
        </x:is>
      </x:c>
      <x:c r="B15" s="10" t="n">
        <x:v>0.45</x:v>
      </x:c>
      <x:c r="C15" s="9" t="inlineStr">
        <x:is>
          <x:t xml:space="preserve">Zadaszenie poliwęglan - baza</x:t>
        </x:is>
      </x:c>
      <x:c r="E15" s="9" t="inlineStr">
        <x:is>
          <x:t xml:space="preserve">35%</x:t>
        </x:is>
      </x:c>
      <x:c r="F15" s="10" t="n">
        <x:v>0.35</x:v>
      </x:c>
    </x:row>
    <x:row r="16">
      <x:c r="A16" s="9" t="inlineStr">
        <x:is>
          <x:t xml:space="preserve">ZS</x:t>
        </x:is>
      </x:c>
      <x:c r="B16" s="10" t="n">
        <x:v>0.45</x:v>
      </x:c>
      <x:c r="C16" s="9" t="inlineStr">
        <x:is>
          <x:t xml:space="preserve">Zadaszenie szkło - CRM/ref</x:t>
        </x:is>
      </x:c>
      <x:c r="E16" s="9" t="inlineStr">
        <x:is>
          <x:t xml:space="preserve">40%</x:t>
        </x:is>
      </x:c>
      <x:c r="F16" s="10" t="n">
        <x:v>0.4</x:v>
      </x:c>
    </x:row>
    <x:row r="17">
      <x:c r="A17" s="9" t="inlineStr">
        <x:is>
          <x:t xml:space="preserve">OP</x:t>
        </x:is>
      </x:c>
      <x:c r="B17" s="10" t="n">
        <x:v>0.45</x:v>
      </x:c>
      <x:c r="C17" s="9" t="inlineStr">
        <x:is>
          <x:t xml:space="preserve">Ogród zimowy poliwęglan - baza</x:t>
        </x:is>
      </x:c>
      <x:c r="E17" s="9" t="inlineStr">
        <x:is>
          <x:t xml:space="preserve">45%</x:t>
        </x:is>
      </x:c>
      <x:c r="F17" s="10" t="n">
        <x:v>0.45</x:v>
      </x:c>
    </x:row>
    <x:row r="18">
      <x:c r="A18" s="9" t="inlineStr">
        <x:is>
          <x:t xml:space="preserve">OS</x:t>
        </x:is>
      </x:c>
      <x:c r="B18" s="10" t="n">
        <x:v>0.45</x:v>
      </x:c>
      <x:c r="C18" s="9" t="inlineStr">
        <x:is>
          <x:t xml:space="preserve">Ogród zimowy szkło - CRM/ref</x:t>
        </x:is>
      </x:c>
    </x:row>
    <x:row r="19">
      <x:c r="A19" s="9" t="inlineStr">
        <x:is>
          <x:t xml:space="preserve">PDS</x:t>
        </x:is>
      </x:c>
      <x:c r="B19" s="10" t="n">
        <x:v>0.45</x:v>
      </x:c>
      <x:c r="C19" s="9" t="inlineStr">
        <x:is>
          <x:t xml:space="preserve">Dopłata dach szkło przezroczyste</x:t>
        </x:is>
      </x:c>
    </x:row>
    <x:row r="20" s="655" customFormat="1" ht="60" customHeight="1">
      <x:c r="A20" s="9" t="inlineStr">
        <x:is>
          <x:t xml:space="preserve">PDSB</x:t>
        </x:is>
      </x:c>
      <x:c r="B20" s="10" t="n">
        <x:v>0.45</x:v>
      </x:c>
      <x:c r="C20" s="9" t="inlineStr">
        <x:is>
          <x:t xml:space="preserve">Dopłata dach szkło barwione/mleczne</x:t>
        </x:is>
      </x:c>
      <x:c r="E20" s="515" t="inlineStr">
        <x:is>
          <x:t xml:space="preserve">Legenda kolorów w 05_Porownanie_EG</x:t>
        </x:is>
      </x:c>
      <x:c r="F20" s="515" t="n"/>
      <x:c r="G20" s="515" t="n"/>
      <x:c r="H20" s="515" t="n"/>
    </x:row>
    <x:row r="21" s="655" customFormat="1" ht="30" customHeight="1">
      <x:c r="A21" s="9" t="inlineStr">
        <x:is>
          <x:t xml:space="preserve">PDPB</x:t>
        </x:is>
      </x:c>
      <x:c r="B21" s="10" t="n">
        <x:v>0.45</x:v>
      </x:c>
      <x:c r="C21" s="9" t="inlineStr">
        <x:is>
          <x:t xml:space="preserve">Dopłata poliwęglan barwiony</x:t>
        </x:is>
      </x:c>
      <x:c r="E21" s="516" t="inlineStr">
        <x:is>
          <x:t xml:space="preserve">Kolor</x:t>
        </x:is>
      </x:c>
      <x:c r="F21" s="516" t="inlineStr">
        <x:is>
          <x:t xml:space="preserve">Warunek dla różnicy (Nowa cena - EG)</x:t>
        </x:is>
      </x:c>
      <x:c r="G21" s="516" t="inlineStr">
        <x:is>
          <x:t xml:space="preserve">Znaczenie</x:t>
        </x:is>
      </x:c>
      <x:c r="H21" s="516" t="inlineStr">
        <x:is>
          <x:t xml:space="preserve">Przykład przy celu -1500 zł</x:t>
        </x:is>
      </x:c>
    </x:row>
    <x:row r="22">
      <x:c r="A22" s="9" t="inlineStr">
        <x:is>
          <x:t xml:space="preserve">SBB</x:t>
        </x:is>
      </x:c>
      <x:c r="B22" s="10" t="n">
        <x:v>0.45</x:v>
      </x:c>
      <x:c r="C22" s="9" t="inlineStr">
        <x:is>
          <x:t xml:space="preserve">Dopłata szkło boczne barwione</x:t>
        </x:is>
      </x:c>
      <x:c r="E22" s="517" t="inlineStr">
        <x:is>
          <x:t xml:space="preserve">Czerwony</x:t>
        </x:is>
      </x:c>
      <x:c r="F22" s="518" t="inlineStr">
        <x:is>
          <x:t xml:space="preserve">różnica &gt; 0 zł</x:t>
        </x:is>
      </x:c>
      <x:c r="G22" s="518" t="inlineStr">
        <x:is>
          <x:t xml:space="preserve">U nas drożej niż EG</x:t>
        </x:is>
      </x:c>
      <x:c r="H22" s="518" t="inlineStr">
        <x:is>
          <x:t xml:space="preserve">+1 zł i więcej</x:t>
        </x:is>
      </x:c>
    </x:row>
    <x:row r="23">
      <x:c r="A23" s="9" t="inlineStr">
        <x:is>
          <x:t xml:space="preserve">RB</x:t>
        </x:is>
      </x:c>
      <x:c r="B23" s="10" t="n">
        <x:v>0.45</x:v>
      </x:c>
      <x:c r="C23" s="9" t="inlineStr">
        <x:is>
          <x:t xml:space="preserve">Roleta boczna ZIP</x:t>
        </x:is>
      </x:c>
      <x:c r="E23" s="519" t="inlineStr">
        <x:is>
          <x:t xml:space="preserve">Pomarańczowy</x:t>
        </x:is>
      </x:c>
      <x:c r="F23" s="518" t="inlineStr">
        <x:is>
          <x:t xml:space="preserve">różnica &lt; 0 zł oraz różnica &gt; cel</x:t>
        </x:is>
      </x:c>
      <x:c r="G23" s="518" t="inlineStr">
        <x:is>
          <x:t xml:space="preserve">Tańsi, ale niewystarczająco względem celu</x:t>
        </x:is>
      </x:c>
      <x:c r="H23" s="518" t="inlineStr">
        <x:is>
          <x:t xml:space="preserve">od -1 do -1499 zł</x:t>
        </x:is>
      </x:c>
    </x:row>
    <x:row r="24" s="655" customFormat="1" ht="30" customHeight="1">
      <x:c r="A24" s="9" t="inlineStr">
        <x:is>
          <x:t xml:space="preserve">RP</x:t>
        </x:is>
      </x:c>
      <x:c r="B24" s="10" t="n">
        <x:v>0.45</x:v>
      </x:c>
      <x:c r="C24" s="9" t="inlineStr">
        <x:is>
          <x:t xml:space="preserve">Roleta przednia ZIP</x:t>
        </x:is>
      </x:c>
      <x:c r="E24" s="520" t="inlineStr">
        <x:is>
          <x:t xml:space="preserve">Żółty</x:t>
        </x:is>
      </x:c>
      <x:c r="F24" s="518" t="inlineStr">
        <x:is>
          <x:t xml:space="preserve">różnica &lt;= cel oraz różnica &gt;= cel - 500 zł</x:t>
        </x:is>
      </x:c>
      <x:c r="G24" s="518" t="inlineStr">
        <x:is>
          <x:t xml:space="preserve">Cel osiągnięty / blisko celu po stronie bezpiecznej</x:t>
        </x:is>
      </x:c>
      <x:c r="H24" s="518" t="inlineStr">
        <x:is>
          <x:t xml:space="preserve">od -1500 do -2000 zł</x:t>
        </x:is>
      </x:c>
    </x:row>
    <x:row r="25" s="655" customFormat="1" ht="30" customHeight="1">
      <x:c r="A25" s="9" t="inlineStr">
        <x:is>
          <x:t xml:space="preserve">M</x:t>
        </x:is>
      </x:c>
      <x:c r="B25" s="10" t="n">
        <x:v>0.45</x:v>
      </x:c>
      <x:c r="C25" s="9" t="inlineStr">
        <x:is>
          <x:t xml:space="preserve">Markiza</x:t>
        </x:is>
      </x:c>
      <x:c r="E25" s="521" t="inlineStr">
        <x:is>
          <x:t xml:space="preserve">Zielony</x:t>
        </x:is>
      </x:c>
      <x:c r="F25" s="518" t="inlineStr">
        <x:is>
          <x:t xml:space="preserve">różnica &lt; cel - 500 zł oraz różnica &gt;= cel - 1000 zł</x:t>
        </x:is>
      </x:c>
      <x:c r="G25" s="518" t="inlineStr">
        <x:is>
          <x:t xml:space="preserve">Wyraźnie taniej niż cel, ale jeszcze nie przesadnie</x:t>
        </x:is>
      </x:c>
      <x:c r="H25" s="518" t="inlineStr">
        <x:is>
          <x:t xml:space="preserve">od -2001 do -2500 zł</x:t>
        </x:is>
      </x:c>
    </x:row>
    <x:row r="26">
      <x:c r="A26" s="9" t="inlineStr">
        <x:is>
          <x:t xml:space="preserve">PDWP</x:t>
        </x:is>
      </x:c>
      <x:c r="B26" s="753" t="n">
        <x:v>1.2</x:v>
      </x:c>
      <x:c r="C26" s="9" t="inlineStr">
        <x:is>
          <x:t xml:space="preserve">Fundament/profile</x:t>
        </x:is>
      </x:c>
      <x:c r="E26" s="516" t="inlineStr">
        <x:is>
          <x:t xml:space="preserve">Niebieski</x:t>
        </x:is>
      </x:c>
      <x:c r="F26" s="518" t="inlineStr">
        <x:is>
          <x:t xml:space="preserve">różnica &lt; cel - 1000 zł</x:t>
        </x:is>
      </x:c>
      <x:c r="G26" s="518" t="inlineStr">
        <x:is>
          <x:t xml:space="preserve">Dużo taniej niż plan — sprawdzić rentowność</x:t>
        </x:is>
      </x:c>
      <x:c r="H26" s="518" t="inlineStr">
        <x:is>
          <x:t xml:space="preserve">poniżej -2500 zł</x:t>
        </x:is>
      </x:c>
    </x:row>
    <x:row r="27">
      <x:c r="A27" s="9" t="inlineStr">
        <x:is>
          <x:t xml:space="preserve">ZAB</x:t>
        </x:is>
      </x:c>
      <x:c r="B27" s="10" t="n">
        <x:v>0.45</x:v>
      </x:c>
      <x:c r="C27" s="9" t="inlineStr">
        <x:is>
          <x:t xml:space="preserve">Zabieraki</x:t>
        </x:is>
      </x:c>
    </x:row>
    <x:row r="28">
      <x:c r="A28" s="9" t="inlineStr">
        <x:is>
          <x:t xml:space="preserve">S</x:t>
        </x:is>
      </x:c>
      <x:c r="B28" s="10" t="n">
        <x:v>0.45</x:v>
      </x:c>
      <x:c r="C28" s="9" t="inlineStr">
        <x:is>
          <x:t xml:space="preserve">Szczotki</x:t>
        </x:is>
      </x:c>
    </x:row>
    <x:row r="29">
      <x:c r="A29" s="9" t="inlineStr">
        <x:is>
          <x:t xml:space="preserve">U</x:t>
        </x:is>
      </x:c>
      <x:c r="B29" s="10" t="n">
        <x:v>0.45</x:v>
      </x:c>
      <x:c r="C29" s="9" t="inlineStr">
        <x:is>
          <x:t xml:space="preserve">Uchwyty</x:t>
        </x:is>
      </x:c>
    </x:row>
    <x:row r="30">
      <x:c r="A30" s="9" t="inlineStr">
        <x:is>
          <x:t xml:space="preserve">LED2</x:t>
        </x:is>
      </x:c>
      <x:c r="B30" s="10" t="n">
        <x:v>0.45</x:v>
      </x:c>
      <x:c r="C30" s="9" t="inlineStr">
        <x:is>
          <x:t xml:space="preserve">LED 2 pkt — źródło dla opcji LED punktowe przy wymiarach 300/350/400</x:t>
        </x:is>
      </x:c>
    </x:row>
    <x:row r="31">
      <x:c r="A31" s="9" t="inlineStr">
        <x:is>
          <x:t xml:space="preserve">LED3</x:t>
        </x:is>
      </x:c>
      <x:c r="B31" s="10" t="n">
        <x:v>0.45</x:v>
      </x:c>
      <x:c r="C31" s="9" t="inlineStr">
        <x:is>
          <x:t xml:space="preserve">LED 3 pkt — źródło dla opcji LED punktowe przy wymiarach 450/500</x:t>
        </x:is>
      </x:c>
    </x:row>
    <x:row r="32">
      <x:c r="A32" s="9" t="inlineStr">
        <x:is>
          <x:t xml:space="preserve">LEDCCT</x:t>
        </x:is>
      </x:c>
      <x:c r="B32" s="10" t="n">
        <x:v>0.45</x:v>
      </x:c>
      <x:c r="C32" s="9" t="inlineStr">
        <x:is>
          <x:t xml:space="preserve">LED CCT — osobna opcja w konfiguratorze</x:t>
        </x:is>
      </x:c>
    </x:row>
    <x:row r="33">
      <x:c r="A33" s="9" t="inlineStr">
        <x:is>
          <x:t xml:space="preserve">LEDRGBCCT</x:t>
        </x:is>
      </x:c>
      <x:c r="B33" s="10" t="n">
        <x:v>0.45</x:v>
      </x:c>
      <x:c r="C33" s="9" t="inlineStr">
        <x:is>
          <x:t xml:space="preserve">LED RGB CCT — osobna opcja w konfiguratorze</x:t>
        </x:is>
      </x:c>
    </x:row>
    <x:row r="35">
      <x:c r="A35" s="536" t="n"/>
      <x:c r="B35" s="536" t="n"/>
      <x:c r="C35" s="536" t="n"/>
      <x:c r="D35" s="536" t="n"/>
    </x:row>
    <x:row r="36" s="655" customFormat="1" ht="21.950000762939453" customHeight="1">
      <x:c r="A36" s="613" t="inlineStr">
        <x:is>
          <x:t xml:space="preserve">Legenda kolorów w 05_Porownanie_EG</x:t>
        </x:is>
      </x:c>
      <x:c r="D36" s="536" t="n"/>
    </x:row>
    <x:row r="37" s="655" customFormat="1" ht="21.950000762939453" customHeight="1">
      <x:c r="A37" s="537" t="inlineStr">
        <x:is>
          <x:t xml:space="preserve">Kolor</x:t>
        </x:is>
      </x:c>
      <x:c r="B37" s="537" t="inlineStr">
        <x:is>
          <x:t xml:space="preserve">Warunek</x:t>
        </x:is>
      </x:c>
      <x:c r="C37" s="537" t="inlineStr">
        <x:is>
          <x:t xml:space="preserve">Znaczenie</x:t>
        </x:is>
      </x:c>
      <x:c r="D37" s="536" t="n"/>
    </x:row>
    <x:row r="38" s="655" customFormat="1" ht="21.950000762939453" customHeight="1">
      <x:c r="A38" s="538" t="inlineStr">
        <x:is>
          <x:t xml:space="preserve">Czerwony</x:t>
        </x:is>
      </x:c>
      <x:c r="B38" s="539" t="inlineStr">
        <x:is>
          <x:t xml:space="preserve">różnica &gt; 0</x:t>
        </x:is>
      </x:c>
      <x:c r="C38" s="539" t="inlineStr">
        <x:is>
          <x:t xml:space="preserve">Jesteśmy drożsi niż EG</x:t>
        </x:is>
      </x:c>
      <x:c r="D38" s="536" t="n"/>
    </x:row>
    <x:row r="39" s="655" customFormat="1" ht="21.950000762939453" customHeight="1">
      <x:c r="A39" s="540" t="inlineStr">
        <x:is>
          <x:t xml:space="preserve">Pomarańczowy</x:t>
        </x:is>
      </x:c>
      <x:c r="B39" s="539" t="inlineStr">
        <x:is>
          <x:t xml:space="preserve">0 &gt; różnica &gt; cel</x:t>
        </x:is>
      </x:c>
      <x:c r="C39" s="539" t="inlineStr">
        <x:is>
          <x:t xml:space="preserve">Jesteśmy tańsi, ale niewystarczająco względem celu</x:t>
        </x:is>
      </x:c>
      <x:c r="D39" s="536" t="n"/>
    </x:row>
    <x:row r="40" s="655" customFormat="1" ht="21.950000762939453" customHeight="1">
      <x:c r="A40" s="541" t="inlineStr">
        <x:is>
          <x:t xml:space="preserve">Żółty</x:t>
        </x:is>
      </x:c>
      <x:c r="B40" s="539" t="inlineStr">
        <x:is>
          <x:t xml:space="preserve">cel ≥ różnica ≥ cel - 500 zł</x:t>
        </x:is>
      </x:c>
      <x:c r="C40" s="539" t="inlineStr">
        <x:is>
          <x:t xml:space="preserve">Trafiamy w cel / okolice celu</x:t>
        </x:is>
      </x:c>
      <x:c r="D40" s="536" t="n"/>
    </x:row>
    <x:row r="41" s="655" customFormat="1" ht="21.950000762939453" customHeight="1">
      <x:c r="A41" s="542" t="inlineStr">
        <x:is>
          <x:t xml:space="preserve">Zielony</x:t>
        </x:is>
      </x:c>
      <x:c r="B41" s="539" t="inlineStr">
        <x:is>
          <x:t xml:space="preserve">cel - 500 zł &gt; różnica ≥ cel - 1000 zł</x:t>
        </x:is>
      </x:c>
      <x:c r="C41" s="539" t="inlineStr">
        <x:is>
          <x:t xml:space="preserve">Jesteśmy wyraźnie tańsi, ale nadal blisko celu</x:t>
        </x:is>
      </x:c>
      <x:c r="D41" s="536" t="n"/>
    </x:row>
    <x:row r="42" s="655" customFormat="1" ht="21.950000762939453" customHeight="1">
      <x:c r="A42" s="543" t="inlineStr">
        <x:is>
          <x:t xml:space="preserve">Niebieski</x:t>
        </x:is>
      </x:c>
      <x:c r="B42" s="539" t="inlineStr">
        <x:is>
          <x:t xml:space="preserve">różnica &lt; cel - 1000 zł</x:t>
        </x:is>
      </x:c>
      <x:c r="C42" s="539" t="inlineStr">
        <x:is>
          <x:t xml:space="preserve">Jesteśmy dużo tańsi — trzeba sprawdzić rentowność</x:t>
        </x:is>
      </x:c>
      <x:c r="D42" s="536" t="n"/>
    </x:row>
    <x:row r="43">
      <x:c r="A43" s="536" t="n"/>
      <x:c r="B43" s="536" t="n"/>
      <x:c r="C43" s="536" t="n"/>
      <x:c r="D43" s="536" t="n"/>
    </x:row>
    <x:row r="44">
      <x:c r="A44" s="536" t="n"/>
      <x:c r="B44" s="536" t="n"/>
      <x:c r="C44" s="536" t="n"/>
      <x:c r="D44" s="536" t="n"/>
    </x:row>
    <x:row r="45">
      <x:c r="A45" s="536" t="n"/>
      <x:c r="B45" s="536" t="n"/>
      <x:c r="C45" s="536" t="n"/>
      <x:c r="D45" s="536" t="n"/>
    </x:row>
    <x:row r="46">
      <x:c r="A46" s="536" t="n"/>
      <x:c r="B46" s="536" t="n"/>
      <x:c r="C46" s="536" t="n"/>
      <x:c r="D46" s="536" t="n"/>
    </x:row>
    <x:row r="47">
      <x:c r="A47" s="536" t="n"/>
      <x:c r="B47" s="536" t="n"/>
      <x:c r="C47" s="536" t="n"/>
      <x:c r="D47" s="536" t="n"/>
    </x:row>
    <x:row r="49" s="655" customFormat="1" ht="35.099998474121094" customHeight="1">
      <x:c r="A49" s="547" t="inlineStr">
        <x:is>
          <x:t xml:space="preserve">Mechanika LED punktowe</x:t>
        </x:is>
      </x:c>
      <x:c r="B49" s="547" t="inlineStr">
        <x:is>
          <x:t xml:space="preserve">AUTO 2/3 pkt</x:t>
        </x:is>
      </x:c>
      <x:c r="C49" s="547" t="inlineStr">
        <x:is>
          <x:t xml:space="preserve">Jeśli klient wybiera LED punktowe: 300/350/400 → cena LED 2 pkt; 450/500 → cena LED 3 pkt. COB pozostaje wyłączony do potwierdzenia.</x:t>
        </x:is>
      </x:c>
    </x:row>
  </x:sheetData>
  <x:mergeCells>
    <x:mergeCell ref="A36:C36"/>
  </x:mergeCells>
  <x:dataValidations count="3">
    <x:dataValidation type="list" allowBlank="0" showDropDown="0" showInputMessage="0" showErrorMessage="0" sqref="B4">
      <x:formula1>"CZYNNY VAT,ZWOLNIONY"</x:formula1>
    </x:dataValidation>
    <x:dataValidation type="list" allowBlank="0" showDropDown="0" showInputMessage="0" showErrorMessage="0" sqref="B5">
      <x:formula1>"NETTO,BRUTTO"</x:formula1>
    </x:dataValidation>
    <x:dataValidation type="list" allowBlank="0" showDropDown="0" showInputMessage="0" showErrorMessage="0" sqref="B9">
      <x:formula1>"RAZEM,RAZEM+MONTAŻ"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01b99ce5616410e"/>
    <x:tablePart xmlns:r="http://schemas.openxmlformats.org/officeDocument/2006/relationships" r:id="R26449559851b45bd"/>
  </x:tableParts>
</x:worksheet>
</file>

<file path=xl/worksheets/sheet5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baseColWidth="8" defaultRowHeight="14.75"/>
  <x:cols>
    <x:col min="1" max="1" width="16" style="655" customWidth="1"/>
    <x:col min="2" max="2" width="10" style="655" customWidth="1"/>
    <x:col min="3" max="18" width="17" style="655" customWidth="1"/>
    <x:col min="4" max="4" width="13" style="655" customWidth="1"/>
    <x:col min="5" max="5" width="13" style="655" customWidth="1"/>
    <x:col min="6" max="6" width="13" style="655" customWidth="1"/>
    <x:col min="7" max="7" width="13" style="655" customWidth="1"/>
    <x:col min="8" max="8" width="13" style="655" customWidth="1"/>
    <x:col min="9" max="9" width="13" style="655" customWidth="1"/>
    <x:col min="10" max="10" width="13" style="655" customWidth="1"/>
    <x:col min="11" max="11" width="13" style="655" customWidth="1"/>
    <x:col min="12" max="12" width="13" style="655" customWidth="1"/>
    <x:col min="13" max="13" width="13" style="655" customWidth="1"/>
    <x:col min="14" max="14" width="13" style="655" customWidth="1"/>
    <x:col min="15" max="15" width="13" style="655" customWidth="1"/>
    <x:col min="16" max="16" width="13" style="655" customWidth="1"/>
    <x:col min="17" max="17" width="13" style="655" customWidth="1"/>
    <x:col min="18" max="18" width="13" style="655" customWidth="1"/>
    <x:col min="19" max="19" width="18" style="655" customWidth="1"/>
    <x:col min="20" max="32" width="17" style="655" customWidth="1"/>
    <x:col min="21" max="21" width="13" style="655" customWidth="1"/>
    <x:col min="22" max="22" width="13" style="655" customWidth="1"/>
    <x:col min="23" max="23" width="13" style="655" customWidth="1"/>
    <x:col min="24" max="24" width="13" style="655" customWidth="1"/>
    <x:col min="25" max="25" width="13" style="655" customWidth="1"/>
    <x:col min="26" max="26" width="13" style="655" customWidth="1"/>
    <x:col min="27" max="27" width="13" style="655" customWidth="1"/>
    <x:col min="28" max="28" width="13" style="655" customWidth="1"/>
    <x:col min="29" max="29" width="13" style="655" customWidth="1"/>
    <x:col min="30" max="30" width="13" style="655" customWidth="1"/>
    <x:col min="31" max="31" width="13" style="655" customWidth="1"/>
    <x:col min="32" max="32" width="13" style="655" customWidth="1"/>
    <x:col min="33" max="36" width="18" style="655" customWidth="1"/>
    <x:col min="34" max="34" width="13" style="655" customWidth="1"/>
    <x:col min="35" max="35" width="13" style="655" customWidth="1"/>
    <x:col min="36" max="36" width="13" style="655" customWidth="1"/>
    <x:col min="37" max="42" width="17" style="655" customWidth="1"/>
    <x:col min="38" max="38" width="13" style="655" customWidth="1"/>
    <x:col min="39" max="39" width="13" style="655" customWidth="1"/>
    <x:col min="40" max="40" width="13" style="655" customWidth="1"/>
    <x:col min="41" max="41" width="13" style="655" customWidth="1"/>
    <x:col min="42" max="42" width="13" style="655" customWidth="1"/>
  </x:cols>
  <x:sheetData>
    <x:row r="1" s="655" customFormat="1" ht="30" customHeight="1">
      <x:c r="A1" s="706" t="inlineStr">
        <x:is>
          <x:t xml:space="preserve">Wymiar</x:t>
        </x:is>
      </x:c>
      <x:c r="B1" s="706" t="inlineStr">
        <x:is>
          <x:t xml:space="preserve">Seria</x:t>
        </x:is>
      </x:c>
      <x:c r="C1" s="706" t="inlineStr">
        <x:is>
          <x:t xml:space="preserve">ZP_brutto</x:t>
        </x:is>
      </x:c>
      <x:c r="D1" s="706" t="inlineStr">
        <x:is>
          <x:t xml:space="preserve">ZP_netto</x:t>
        </x:is>
      </x:c>
      <x:c r="E1" s="706" t="inlineStr">
        <x:is>
          <x:t xml:space="preserve">PDPB_brutto</x:t>
        </x:is>
      </x:c>
      <x:c r="F1" s="706" t="inlineStr">
        <x:is>
          <x:t xml:space="preserve">PDPB_netto</x:t>
        </x:is>
      </x:c>
      <x:c r="G1" s="706" t="inlineStr">
        <x:is>
          <x:t xml:space="preserve">M_brutto</x:t>
        </x:is>
      </x:c>
      <x:c r="H1" s="706" t="inlineStr">
        <x:is>
          <x:t xml:space="preserve">M_netto</x:t>
        </x:is>
      </x:c>
      <x:c r="I1" s="706" t="inlineStr">
        <x:is>
          <x:t xml:space="preserve">RB_brutto</x:t>
        </x:is>
      </x:c>
      <x:c r="J1" s="706" t="inlineStr">
        <x:is>
          <x:t xml:space="preserve">RB_netto</x:t>
        </x:is>
      </x:c>
      <x:c r="K1" s="706" t="inlineStr">
        <x:is>
          <x:t xml:space="preserve">RP_brutto</x:t>
        </x:is>
      </x:c>
      <x:c r="L1" s="706" t="inlineStr">
        <x:is>
          <x:t xml:space="preserve">RP_netto</x:t>
        </x:is>
      </x:c>
      <x:c r="M1" s="706" t="inlineStr">
        <x:is>
          <x:t xml:space="preserve">LED2_brutto</x:t>
        </x:is>
      </x:c>
      <x:c r="N1" s="706" t="inlineStr">
        <x:is>
          <x:t xml:space="preserve">LED2_netto</x:t>
        </x:is>
      </x:c>
      <x:c r="O1" s="706" t="inlineStr">
        <x:is>
          <x:t xml:space="preserve">LED3_brutto</x:t>
        </x:is>
      </x:c>
      <x:c r="P1" s="706" t="inlineStr">
        <x:is>
          <x:t xml:space="preserve">LED3_netto</x:t>
        </x:is>
      </x:c>
      <x:c r="Q1" s="706" t="inlineStr">
        <x:is>
          <x:t xml:space="preserve">LEDCCT_brutto</x:t>
        </x:is>
      </x:c>
      <x:c r="R1" s="706" t="inlineStr">
        <x:is>
          <x:t xml:space="preserve">LEDCCT_netto</x:t>
        </x:is>
      </x:c>
      <x:c r="S1" s="706" t="inlineStr">
        <x:is>
          <x:t xml:space="preserve">LEDRGBCCT_brutto</x:t>
        </x:is>
      </x:c>
      <x:c r="T1" s="706" t="inlineStr">
        <x:is>
          <x:t xml:space="preserve">LEDRGBCCT_netto</x:t>
        </x:is>
      </x:c>
      <x:c r="U1" s="706" t="inlineStr">
        <x:is>
          <x:t xml:space="preserve">ZS_brutto</x:t>
        </x:is>
      </x:c>
      <x:c r="V1" s="706" t="inlineStr">
        <x:is>
          <x:t xml:space="preserve">ZS_netto</x:t>
        </x:is>
      </x:c>
      <x:c r="W1" s="706" t="inlineStr">
        <x:is>
          <x:t xml:space="preserve">PDSB_brutto</x:t>
        </x:is>
      </x:c>
      <x:c r="X1" s="706" t="inlineStr">
        <x:is>
          <x:t xml:space="preserve">PDSB_netto</x:t>
        </x:is>
      </x:c>
      <x:c r="Y1" s="706" t="inlineStr">
        <x:is>
          <x:t xml:space="preserve">OP_brutto</x:t>
        </x:is>
      </x:c>
      <x:c r="Z1" s="706" t="inlineStr">
        <x:is>
          <x:t xml:space="preserve">OP_netto</x:t>
        </x:is>
      </x:c>
      <x:c r="AA1" s="706" t="inlineStr">
        <x:is>
          <x:t xml:space="preserve">SBB_brutto</x:t>
        </x:is>
      </x:c>
      <x:c r="AB1" s="706" t="inlineStr">
        <x:is>
          <x:t xml:space="preserve">SBB_netto</x:t>
        </x:is>
      </x:c>
      <x:c r="AC1" s="706" t="inlineStr">
        <x:is>
          <x:t xml:space="preserve">S_brutto</x:t>
        </x:is>
      </x:c>
      <x:c r="AD1" s="706" t="inlineStr">
        <x:is>
          <x:t xml:space="preserve">S_netto</x:t>
        </x:is>
      </x:c>
      <x:c r="AE1" s="706" t="inlineStr">
        <x:is>
          <x:t xml:space="preserve">U_brutto</x:t>
        </x:is>
      </x:c>
      <x:c r="AF1" s="706" t="inlineStr">
        <x:is>
          <x:t xml:space="preserve">U_netto</x:t>
        </x:is>
      </x:c>
      <x:c r="AG1" s="706" t="inlineStr">
        <x:is>
          <x:t xml:space="preserve">PDWP_brutto</x:t>
        </x:is>
      </x:c>
      <x:c r="AH1" s="706" t="inlineStr">
        <x:is>
          <x:t xml:space="preserve">PDWP_netto</x:t>
        </x:is>
      </x:c>
      <x:c r="AI1" s="706" t="inlineStr">
        <x:is>
          <x:t xml:space="preserve">ZAB_brutto</x:t>
        </x:is>
      </x:c>
      <x:c r="AJ1" s="706" t="inlineStr">
        <x:is>
          <x:t xml:space="preserve">ZAB_netto</x:t>
        </x:is>
      </x:c>
      <x:c r="AK1" s="706" t="inlineStr">
        <x:is>
          <x:t xml:space="preserve">OS_brutto</x:t>
        </x:is>
      </x:c>
      <x:c r="AL1" s="706" t="inlineStr">
        <x:is>
          <x:t xml:space="preserve">OS_netto</x:t>
        </x:is>
      </x:c>
      <x:c r="AM1" s="706" t="inlineStr">
        <x:is>
          <x:t xml:space="preserve">OS_PDSB_brutto</x:t>
        </x:is>
      </x:c>
      <x:c r="AN1" s="706" t="inlineStr">
        <x:is>
          <x:t xml:space="preserve">OS_PDSB_netto</x:t>
        </x:is>
      </x:c>
      <x:c r="AO1" s="706" t="inlineStr">
        <x:is>
          <x:t xml:space="preserve">OS_SBB_brutto</x:t>
        </x:is>
      </x:c>
      <x:c r="AP1" s="706" t="inlineStr">
        <x:is>
          <x:t xml:space="preserve">OS_SBB_netto</x:t>
        </x:is>
      </x:c>
    </x:row>
    <x:row r="2">
      <x:c r="A2" s="9" t="inlineStr">
        <x:is>
          <x:t xml:space="preserve">300 x 306 cm</x:t>
        </x:is>
      </x:c>
      <x:c r="B2" s="9" t="inlineStr">
        <x:is>
          <x:t xml:space="preserve">PRO</x:t>
        </x:is>
      </x:c>
      <x:c r="C2" s="11" t="n">
        <x:f>ROUND(RAW_ZP!$B$4,0)</x:f>
        <x:v>4130</x:v>
      </x:c>
      <x:c r="D2" s="11" t="n">
        <x:f>ROUND(RAW_ZP!$C$4,0)</x:f>
        <x:v>3358</x:v>
      </x:c>
      <x:c r="E2" s="11" t="n">
        <x:f>ROUND(RAW_ZP!$D$4,0)</x:f>
        <x:v>120</x:v>
      </x:c>
      <x:c r="F2" s="11" t="n">
        <x:f>ROUND(RAW_ZP!$E$4,0)</x:f>
        <x:v>98</x:v>
      </x:c>
      <x:c r="G2" s="11" t="n">
        <x:f>ROUND(RAW_ZP!$H$4,0)</x:f>
        <x:v>3900</x:v>
      </x:c>
      <x:c r="H2" s="11" t="n">
        <x:f>ROUND(RAW_ZP!$I$4,0)</x:f>
        <x:v>3171</x:v>
      </x:c>
      <x:c r="I2" s="11" t="n">
        <x:f>ROUND(RAW_ZP!$J$4,0)</x:f>
        <x:v>2140</x:v>
      </x:c>
      <x:c r="J2" s="11" t="n">
        <x:f>ROUND(RAW_ZP!$K$4,0)</x:f>
        <x:v>1740</x:v>
      </x:c>
      <x:c r="K2" s="11" t="n">
        <x:f>ROUND(RAW_ZP!$N$4,0)</x:f>
        <x:v>2140</x:v>
      </x:c>
      <x:c r="L2" s="11" t="n">
        <x:f>ROUND(RAW_ZP!$O$4,0)</x:f>
        <x:v>1740</x:v>
      </x:c>
      <x:c r="M2" s="11" t="n">
        <x:f>ROUND(RAW_ZP!$P$4,0)</x:f>
        <x:v>420</x:v>
      </x:c>
      <x:c r="N2" s="11" t="n">
        <x:f>ROUND(RAW_ZP!$Q$4,0)</x:f>
        <x:v>341</x:v>
      </x:c>
      <x:c r="O2" s="11" t="n">
        <x:f>ROUND(RAW_ZP!$R$4,0)</x:f>
        <x:v>640</x:v>
      </x:c>
      <x:c r="P2" s="11" t="n">
        <x:f>ROUND(RAW_ZP!$S$4,0)</x:f>
        <x:v>520</x:v>
      </x:c>
      <x:c r="Q2" s="11" t="n">
        <x:f>ROUND(RAW_ZP!$T$4,0)</x:f>
        <x:v>972</x:v>
      </x:c>
      <x:c r="R2" s="11" t="n">
        <x:f>ROUND(RAW_ZP!$U$4,0)</x:f>
        <x:v>790</x:v>
      </x:c>
      <x:c r="S2" s="11" t="n">
        <x:f>ROUND(RAW_ZP!$V$4,0)</x:f>
        <x:v>1205</x:v>
      </x:c>
      <x:c r="T2" s="11" t="n">
        <x:f>ROUND(RAW_ZP!$W$4,0)</x:f>
        <x:v>980</x:v>
      </x:c>
      <x:c r="U2" s="11" t="n">
        <x:f>ROUND(RAW_ZS!$B$4,0)</x:f>
        <x:v>5780</x:v>
      </x:c>
      <x:c r="V2" s="11" t="n">
        <x:f>ROUND(RAW_ZS!$C$4,0)</x:f>
        <x:v>4699</x:v>
      </x:c>
      <x:c r="W2" s="11" t="n">
        <x:f>ROUND(RAW_ZS!$D$4,0)</x:f>
        <x:v>340</x:v>
      </x:c>
      <x:c r="X2" s="11" t="n">
        <x:f>ROUND(RAW_ZS!$E$4,0)</x:f>
        <x:v>276</x:v>
      </x:c>
      <x:c r="Y2" s="11" t="n">
        <x:f>ROUND(RAW_OP!$B$4,0)</x:f>
        <x:v>14000</x:v>
      </x:c>
      <x:c r="Z2" s="11" t="n">
        <x:f>ROUND(RAW_OP!$C$4,0)</x:f>
        <x:v>11382</x:v>
      </x:c>
      <x:c r="AA2" s="11" t="n">
        <x:f>ROUND(RAW_OP!$H$4,0)</x:f>
        <x:v>1080</x:v>
      </x:c>
      <x:c r="AB2" s="11" t="n">
        <x:f>ROUND(RAW_OP!$I$4,0)</x:f>
        <x:v>878</x:v>
      </x:c>
      <x:c r="AC2" s="11" t="n">
        <x:f>ROUND(RAW_OP!$L$4,0)</x:f>
        <x:v>340</x:v>
      </x:c>
      <x:c r="AD2" s="11" t="n">
        <x:f>ROUND(RAW_OP!$M$4,0)</x:f>
        <x:v>276</x:v>
      </x:c>
      <x:c r="AE2" s="11" t="n">
        <x:f>ROUND(RAW_OP!$N$4,0)</x:f>
        <x:v>310</x:v>
      </x:c>
      <x:c r="AF2" s="11" t="n">
        <x:f>ROUND(RAW_OP!$O$4,0)</x:f>
        <x:v>252</x:v>
      </x:c>
      <x:c r="AG2" s="11" t="n">
        <x:f>ROUND(RAW_OP!$AB$4,0)</x:f>
        <x:v>660</x:v>
      </x:c>
      <x:c r="AH2" s="11" t="n">
        <x:f>ROUND(RAW_OP!$AC$4,0)</x:f>
        <x:v>537</x:v>
      </x:c>
      <x:c r="AI2" s="11" t="n">
        <x:f>ROUND(RAW_OP!$AD$4,0)</x:f>
        <x:v>240</x:v>
      </x:c>
      <x:c r="AJ2" s="11" t="n">
        <x:f>ROUND(RAW_OP!$AE$4,0)</x:f>
        <x:v>195</x:v>
      </x:c>
      <x:c r="AK2" s="11" t="n">
        <x:f>ROUND(RAW_OS!$B$4,0)</x:f>
        <x:v>15980</x:v>
      </x:c>
      <x:c r="AL2" s="11" t="n">
        <x:f>ROUND(RAW_OS!$C$4,0)</x:f>
        <x:v>12992</x:v>
      </x:c>
      <x:c r="AM2" s="11" t="n">
        <x:f>ROUND(RAW_OS!$D$4,0)</x:f>
        <x:v>340</x:v>
      </x:c>
      <x:c r="AN2" s="11" t="n">
        <x:f>ROUND(RAW_OS!$E$4,0)</x:f>
        <x:v>276</x:v>
      </x:c>
      <x:c r="AO2" s="11" t="n">
        <x:f>ROUND(RAW_OS!$F$4,0)</x:f>
        <x:v>1080</x:v>
      </x:c>
      <x:c r="AP2" s="11" t="n">
        <x:f>ROUND(RAW_OS!$G$4,0)</x:f>
        <x:v>878</x:v>
      </x:c>
    </x:row>
    <x:row r="3">
      <x:c r="A3" s="9" t="inlineStr">
        <x:is>
          <x:t xml:space="preserve">300 x 406 cm</x:t>
        </x:is>
      </x:c>
      <x:c r="B3" s="9" t="inlineStr">
        <x:is>
          <x:t xml:space="preserve">PRO</x:t>
        </x:is>
      </x:c>
      <x:c r="C3" s="11" t="n">
        <x:f>ROUND(RAW_ZP!$B$5,0)</x:f>
        <x:v>5270</x:v>
      </x:c>
      <x:c r="D3" s="11" t="n">
        <x:f>ROUND(RAW_ZP!$C$5,0)</x:f>
        <x:v>4285</x:v>
      </x:c>
      <x:c r="E3" s="11" t="n">
        <x:f>ROUND(RAW_ZP!$D$5,0)</x:f>
        <x:v>185</x:v>
      </x:c>
      <x:c r="F3" s="11" t="n">
        <x:f>ROUND(RAW_ZP!$E$5,0)</x:f>
        <x:v>150</x:v>
      </x:c>
      <x:c r="G3" s="11" t="n">
        <x:f>ROUND(RAW_ZP!$H$5,0)</x:f>
        <x:v>4300</x:v>
      </x:c>
      <x:c r="H3" s="11" t="n">
        <x:f>ROUND(RAW_ZP!$I$5,0)</x:f>
        <x:v>3496</x:v>
      </x:c>
      <x:c r="I3" s="11" t="n">
        <x:f>ROUND(RAW_ZP!$J$5,0)</x:f>
        <x:v>2140</x:v>
      </x:c>
      <x:c r="J3" s="11" t="n">
        <x:f>ROUND(RAW_ZP!$K$5,0)</x:f>
        <x:v>1740</x:v>
      </x:c>
      <x:c r="K3" s="11" t="n">
        <x:f>ROUND(RAW_ZP!$N$5,0)</x:f>
        <x:v>2640</x:v>
      </x:c>
      <x:c r="L3" s="11" t="n">
        <x:f>ROUND(RAW_ZP!$O$5,0)</x:f>
        <x:v>2146</x:v>
      </x:c>
      <x:c r="M3" s="11" t="n">
        <x:f>ROUND(RAW_ZP!$P$5,0)</x:f>
        <x:v>510</x:v>
      </x:c>
      <x:c r="N3" s="11" t="n">
        <x:f>ROUND(RAW_ZP!$Q$5,0)</x:f>
        <x:v>415</x:v>
      </x:c>
      <x:c r="O3" s="11" t="n">
        <x:f>ROUND(RAW_ZP!$R$5,0)</x:f>
        <x:v>740</x:v>
      </x:c>
      <x:c r="P3" s="11" t="n">
        <x:f>ROUND(RAW_ZP!$S$5,0)</x:f>
        <x:v>602</x:v>
      </x:c>
      <x:c r="Q3" s="11" t="n">
        <x:f>ROUND(RAW_ZP!$T$5,0)</x:f>
        <x:v>1132</x:v>
      </x:c>
      <x:c r="R3" s="11" t="n">
        <x:f>ROUND(RAW_ZP!$U$5,0)</x:f>
        <x:v>920</x:v>
      </x:c>
      <x:c r="S3" s="11" t="n">
        <x:f>ROUND(RAW_ZP!$V$5,0)</x:f>
        <x:v>1476</x:v>
      </x:c>
      <x:c r="T3" s="11" t="n">
        <x:f>ROUND(RAW_ZP!$W$5,0)</x:f>
        <x:v>1200</x:v>
      </x:c>
      <x:c r="U3" s="11" t="n">
        <x:f>ROUND(RAW_ZS!$B$5,0)</x:f>
        <x:v>7520</x:v>
      </x:c>
      <x:c r="V3" s="11" t="n">
        <x:f>ROUND(RAW_ZS!$C$5,0)</x:f>
        <x:v>6114</x:v>
      </x:c>
      <x:c r="W3" s="11" t="n">
        <x:f>ROUND(RAW_ZS!$D$5,0)</x:f>
        <x:v>450</x:v>
      </x:c>
      <x:c r="X3" s="11" t="n">
        <x:f>ROUND(RAW_ZS!$E$5,0)</x:f>
        <x:v>366</x:v>
      </x:c>
      <x:c r="Y3" s="11" t="n">
        <x:f>ROUND(RAW_OP!$B$5,0)</x:f>
        <x:v>16050</x:v>
      </x:c>
      <x:c r="Z3" s="11" t="n">
        <x:f>ROUND(RAW_OP!$C$5,0)</x:f>
        <x:v>13049</x:v>
      </x:c>
      <x:c r="AA3" s="11" t="n">
        <x:f>ROUND(RAW_OP!$H$5,0)</x:f>
        <x:v>1200</x:v>
      </x:c>
      <x:c r="AB3" s="11" t="n">
        <x:f>ROUND(RAW_OP!$I$5,0)</x:f>
        <x:v>976</x:v>
      </x:c>
      <x:c r="AC3" s="11" t="n">
        <x:f>ROUND(RAW_OP!$L$5,0)</x:f>
        <x:v>380</x:v>
      </x:c>
      <x:c r="AD3" s="11" t="n">
        <x:f>ROUND(RAW_OP!$M$5,0)</x:f>
        <x:v>309</x:v>
      </x:c>
      <x:c r="AE3" s="11" t="n">
        <x:f>ROUND(RAW_OP!$N$5,0)</x:f>
        <x:v>340</x:v>
      </x:c>
      <x:c r="AF3" s="11" t="n">
        <x:f>ROUND(RAW_OP!$O$5,0)</x:f>
        <x:v>276</x:v>
      </x:c>
      <x:c r="AG3" s="11" t="n">
        <x:f>ROUND(RAW_OP!$AB$5,0)</x:f>
        <x:v>770</x:v>
      </x:c>
      <x:c r="AH3" s="11" t="n">
        <x:f>ROUND(RAW_OP!$AC$5,0)</x:f>
        <x:v>626</x:v>
      </x:c>
      <x:c r="AI3" s="11" t="n">
        <x:f>ROUND(RAW_OP!$AD$5,0)</x:f>
        <x:v>280</x:v>
      </x:c>
      <x:c r="AJ3" s="11" t="n">
        <x:f>ROUND(RAW_OP!$AE$5,0)</x:f>
        <x:v>228</x:v>
      </x:c>
      <x:c r="AK3" s="11" t="n">
        <x:f>ROUND(RAW_OS!$B$5,0)</x:f>
        <x:v>18300</x:v>
      </x:c>
      <x:c r="AL3" s="11" t="n">
        <x:f>ROUND(RAW_OS!$C$5,0)</x:f>
        <x:v>14878</x:v>
      </x:c>
      <x:c r="AM3" s="11" t="n">
        <x:f>ROUND(RAW_OS!$D$5,0)</x:f>
        <x:v>450</x:v>
      </x:c>
      <x:c r="AN3" s="11" t="n">
        <x:f>ROUND(RAW_OS!$E$5,0)</x:f>
        <x:v>366</x:v>
      </x:c>
      <x:c r="AO3" s="11" t="n">
        <x:f>ROUND(RAW_OS!$F$5,0)</x:f>
        <x:v>1200</x:v>
      </x:c>
      <x:c r="AP3" s="11" t="n">
        <x:f>ROUND(RAW_OS!$G$5,0)</x:f>
        <x:v>976</x:v>
      </x:c>
    </x:row>
    <x:row r="4">
      <x:c r="A4" s="9" t="inlineStr">
        <x:is>
          <x:t xml:space="preserve">300 x 506 cm</x:t>
        </x:is>
      </x:c>
      <x:c r="B4" s="9" t="inlineStr">
        <x:is>
          <x:t xml:space="preserve">PRO</x:t>
        </x:is>
      </x:c>
      <x:c r="C4" s="11" t="n">
        <x:f>ROUND(RAW_ZP!$B$6,0)</x:f>
        <x:v>6580</x:v>
      </x:c>
      <x:c r="D4" s="11" t="n">
        <x:f>ROUND(RAW_ZP!$C$6,0)</x:f>
        <x:v>5350</x:v>
      </x:c>
      <x:c r="E4" s="11" t="n">
        <x:f>ROUND(RAW_ZP!$D$6,0)</x:f>
        <x:v>250</x:v>
      </x:c>
      <x:c r="F4" s="11" t="n">
        <x:f>ROUND(RAW_ZP!$E$6,0)</x:f>
        <x:v>203</x:v>
      </x:c>
      <x:c r="G4" s="11" t="n">
        <x:f>ROUND(RAW_ZP!$H$6,0)</x:f>
        <x:v>4980</x:v>
      </x:c>
      <x:c r="H4" s="11" t="n">
        <x:f>ROUND(RAW_ZP!$I$6,0)</x:f>
        <x:v>4049</x:v>
      </x:c>
      <x:c r="I4" s="11" t="n">
        <x:f>ROUND(RAW_ZP!$J$6,0)</x:f>
        <x:v>2140</x:v>
      </x:c>
      <x:c r="J4" s="11" t="n">
        <x:f>ROUND(RAW_ZP!$K$6,0)</x:f>
        <x:v>1740</x:v>
      </x:c>
      <x:c r="K4" s="11" t="n">
        <x:f>ROUND(RAW_ZP!$N$6,0)</x:f>
        <x:v>3700</x:v>
      </x:c>
      <x:c r="L4" s="11" t="n">
        <x:f>ROUND(RAW_ZP!$O$6,0)</x:f>
        <x:v>3008</x:v>
      </x:c>
      <x:c r="M4" s="11" t="n">
        <x:f>ROUND(RAW_ZP!$P$6,0)</x:f>
        <x:v>600</x:v>
      </x:c>
      <x:c r="N4" s="11" t="n">
        <x:f>ROUND(RAW_ZP!$Q$6,0)</x:f>
        <x:v>488</x:v>
      </x:c>
      <x:c r="O4" s="11" t="n">
        <x:f>ROUND(RAW_ZP!$R$6,0)</x:f>
        <x:v>960</x:v>
      </x:c>
      <x:c r="P4" s="11" t="n">
        <x:f>ROUND(RAW_ZP!$S$6,0)</x:f>
        <x:v>780</x:v>
      </x:c>
      <x:c r="Q4" s="11" t="n">
        <x:f>ROUND(RAW_ZP!$T$6,0)</x:f>
        <x:v>1304</x:v>
      </x:c>
      <x:c r="R4" s="11" t="n">
        <x:f>ROUND(RAW_ZP!$U$6,0)</x:f>
        <x:v>1060</x:v>
      </x:c>
      <x:c r="S4" s="11" t="n">
        <x:f>ROUND(RAW_ZP!$V$6,0)</x:f>
        <x:v>1747</x:v>
      </x:c>
      <x:c r="T4" s="11" t="n">
        <x:f>ROUND(RAW_ZP!$W$6,0)</x:f>
        <x:v>1420</x:v>
      </x:c>
      <x:c r="U4" s="11" t="n">
        <x:f>ROUND(RAW_ZS!$B$6,0)</x:f>
        <x:v>9360</x:v>
      </x:c>
      <x:c r="V4" s="11" t="n">
        <x:f>ROUND(RAW_ZS!$C$6,0)</x:f>
        <x:v>7610</x:v>
      </x:c>
      <x:c r="W4" s="11" t="n">
        <x:f>ROUND(RAW_ZS!$D$6,0)</x:f>
        <x:v>560</x:v>
      </x:c>
      <x:c r="X4" s="11" t="n">
        <x:f>ROUND(RAW_ZS!$E$6,0)</x:f>
        <x:v>455</x:v>
      </x:c>
      <x:c r="Y4" s="11" t="n">
        <x:f>ROUND(RAW_OP!$B$6,0)</x:f>
        <x:v>18510</x:v>
      </x:c>
      <x:c r="Z4" s="11" t="n">
        <x:f>ROUND(RAW_OP!$C$6,0)</x:f>
        <x:v>15049</x:v>
      </x:c>
      <x:c r="AA4" s="11" t="n">
        <x:f>ROUND(RAW_OP!$H$6,0)</x:f>
        <x:v>1320</x:v>
      </x:c>
      <x:c r="AB4" s="11" t="n">
        <x:f>ROUND(RAW_OP!$I$6,0)</x:f>
        <x:v>1073</x:v>
      </x:c>
      <x:c r="AC4" s="11" t="n">
        <x:f>ROUND(RAW_OP!$L$6,0)</x:f>
        <x:v>420</x:v>
      </x:c>
      <x:c r="AD4" s="11" t="n">
        <x:f>ROUND(RAW_OP!$M$6,0)</x:f>
        <x:v>341</x:v>
      </x:c>
      <x:c r="AE4" s="11" t="n">
        <x:f>ROUND(RAW_OP!$N$6,0)</x:f>
        <x:v>380</x:v>
      </x:c>
      <x:c r="AF4" s="11" t="n">
        <x:f>ROUND(RAW_OP!$O$6,0)</x:f>
        <x:v>309</x:v>
      </x:c>
      <x:c r="AG4" s="11" t="n">
        <x:f>ROUND(RAW_OP!$AB$6,0)</x:f>
        <x:v>910</x:v>
      </x:c>
      <x:c r="AH4" s="11" t="n">
        <x:f>ROUND(RAW_OP!$AC$6,0)</x:f>
        <x:v>740</x:v>
      </x:c>
      <x:c r="AI4" s="11" t="n">
        <x:f>ROUND(RAW_OP!$AD$6,0)</x:f>
        <x:v>280</x:v>
      </x:c>
      <x:c r="AJ4" s="11" t="n">
        <x:f>ROUND(RAW_OP!$AE$6,0)</x:f>
        <x:v>228</x:v>
      </x:c>
      <x:c r="AK4" s="11" t="n">
        <x:f>ROUND(RAW_OS!$B$6,0)</x:f>
        <x:v>21300</x:v>
      </x:c>
      <x:c r="AL4" s="11" t="n">
        <x:f>ROUND(RAW_OS!$C$6,0)</x:f>
        <x:v>17317</x:v>
      </x:c>
      <x:c r="AM4" s="11" t="n">
        <x:f>ROUND(RAW_OS!$D$6,0)</x:f>
        <x:v>560</x:v>
      </x:c>
      <x:c r="AN4" s="11" t="n">
        <x:f>ROUND(RAW_OS!$E$6,0)</x:f>
        <x:v>455</x:v>
      </x:c>
      <x:c r="AO4" s="11" t="n">
        <x:f>ROUND(RAW_OS!$F$6,0)</x:f>
        <x:v>1320</x:v>
      </x:c>
      <x:c r="AP4" s="11" t="n">
        <x:f>ROUND(RAW_OS!$G$6,0)</x:f>
        <x:v>1073</x:v>
      </x:c>
    </x:row>
    <x:row r="5">
      <x:c r="A5" s="9" t="inlineStr">
        <x:is>
          <x:t xml:space="preserve">300 x 606 cm</x:t>
        </x:is>
      </x:c>
      <x:c r="B5" s="9" t="inlineStr">
        <x:is>
          <x:t xml:space="preserve">PRO</x:t>
        </x:is>
      </x:c>
      <x:c r="C5" s="11" t="n">
        <x:f>ROUND(RAW_ZP!$B$7,0)</x:f>
        <x:v>7520</x:v>
      </x:c>
      <x:c r="D5" s="11" t="n">
        <x:f>ROUND(RAW_ZP!$C$7,0)</x:f>
        <x:v>6114</x:v>
      </x:c>
      <x:c r="E5" s="11" t="n">
        <x:f>ROUND(RAW_ZP!$D$7,0)</x:f>
        <x:v>310</x:v>
      </x:c>
      <x:c r="F5" s="11" t="n">
        <x:f>ROUND(RAW_ZP!$E$7,0)</x:f>
        <x:v>252</x:v>
      </x:c>
      <x:c r="G5" s="11" t="n">
        <x:f>ROUND(RAW_ZP!$H$7,0)</x:f>
        <x:v>7800</x:v>
      </x:c>
      <x:c r="H5" s="11" t="n">
        <x:f>ROUND(RAW_ZP!$I$7,0)</x:f>
        <x:v>6341</x:v>
      </x:c>
      <x:c r="I5" s="11" t="n">
        <x:f>ROUND(RAW_ZP!$J$7,0)</x:f>
        <x:v>2140</x:v>
      </x:c>
      <x:c r="J5" s="11" t="n">
        <x:f>ROUND(RAW_ZP!$K$7,0)</x:f>
        <x:v>1740</x:v>
      </x:c>
      <x:c r="K5" s="11" t="n">
        <x:f>ROUND(RAW_ZP!$N$7,0)</x:f>
        <x:v>4270</x:v>
      </x:c>
      <x:c r="L5" s="11" t="n">
        <x:f>ROUND(RAW_ZP!$O$7,0)</x:f>
        <x:v>3472</x:v>
      </x:c>
      <x:c r="M5" s="11" t="n">
        <x:f>ROUND(RAW_ZP!$P$7,0)</x:f>
        <x:v>790</x:v>
      </x:c>
      <x:c r="N5" s="11" t="n">
        <x:f>ROUND(RAW_ZP!$Q$7,0)</x:f>
        <x:v>642</x:v>
      </x:c>
      <x:c r="O5" s="11" t="n">
        <x:f>ROUND(RAW_ZP!$R$7,0)</x:f>
        <x:v>1090</x:v>
      </x:c>
      <x:c r="P5" s="11" t="n">
        <x:f>ROUND(RAW_ZP!$S$7,0)</x:f>
        <x:v>886</x:v>
      </x:c>
      <x:c r="Q5" s="11" t="n">
        <x:f>ROUND(RAW_ZP!$T$7,0)</x:f>
        <x:v>1304</x:v>
      </x:c>
      <x:c r="R5" s="11" t="n">
        <x:f>ROUND(RAW_ZP!$U$7,0)</x:f>
        <x:v>1060</x:v>
      </x:c>
      <x:c r="S5" s="11" t="n">
        <x:f>ROUND(RAW_ZP!$V$7,0)</x:f>
        <x:v>2042</x:v>
      </x:c>
      <x:c r="T5" s="11" t="n">
        <x:f>ROUND(RAW_ZP!$W$7,0)</x:f>
        <x:v>1660</x:v>
      </x:c>
      <x:c r="U5" s="11" t="n">
        <x:f>ROUND(RAW_ZS!$B$7,0)</x:f>
        <x:v>10910</x:v>
      </x:c>
      <x:c r="V5" s="11" t="n">
        <x:f>ROUND(RAW_ZS!$C$7,0)</x:f>
        <x:v>8870</x:v>
      </x:c>
      <x:c r="W5" s="11" t="n">
        <x:f>ROUND(RAW_ZS!$D$7,0)</x:f>
        <x:v>670</x:v>
      </x:c>
      <x:c r="X5" s="11" t="n">
        <x:f>ROUND(RAW_ZS!$E$7,0)</x:f>
        <x:v>545</x:v>
      </x:c>
      <x:c r="Y5" s="11" t="n">
        <x:f>ROUND(RAW_OP!$B$7,0)</x:f>
        <x:v>20690</x:v>
      </x:c>
      <x:c r="Z5" s="11" t="n">
        <x:f>ROUND(RAW_OP!$C$7,0)</x:f>
        <x:v>16821</x:v>
      </x:c>
      <x:c r="AA5" s="11" t="n">
        <x:f>ROUND(RAW_OP!$H$7,0)</x:f>
        <x:v>1440</x:v>
      </x:c>
      <x:c r="AB5" s="11" t="n">
        <x:f>ROUND(RAW_OP!$I$7,0)</x:f>
        <x:v>1171</x:v>
      </x:c>
      <x:c r="AC5" s="11" t="n">
        <x:f>ROUND(RAW_OP!$L$7,0)</x:f>
        <x:v>460</x:v>
      </x:c>
      <x:c r="AD5" s="11" t="n">
        <x:f>ROUND(RAW_OP!$M$7,0)</x:f>
        <x:v>374</x:v>
      </x:c>
      <x:c r="AE5" s="11" t="n">
        <x:f>ROUND(RAW_OP!$N$7,0)</x:f>
        <x:v>410</x:v>
      </x:c>
      <x:c r="AF5" s="11" t="n">
        <x:f>ROUND(RAW_OP!$O$7,0)</x:f>
        <x:v>333</x:v>
      </x:c>
      <x:c r="AG5" s="11" t="n">
        <x:f>ROUND(RAW_OP!$AB$7,0)</x:f>
        <x:v>1200</x:v>
      </x:c>
      <x:c r="AH5" s="11" t="n">
        <x:f>ROUND(RAW_OP!$AC$7,0)</x:f>
        <x:v>976</x:v>
      </x:c>
      <x:c r="AI5" s="11" t="n">
        <x:f>ROUND(RAW_OP!$AD$7,0)</x:f>
        <x:v>320</x:v>
      </x:c>
      <x:c r="AJ5" s="11" t="n">
        <x:f>ROUND(RAW_OP!$AE$7,0)</x:f>
        <x:v>260</x:v>
      </x:c>
      <x:c r="AK5" s="11" t="n">
        <x:f>ROUND(RAW_OS!$B$7,0)</x:f>
        <x:v>24080</x:v>
      </x:c>
      <x:c r="AL5" s="11" t="n">
        <x:f>ROUND(RAW_OS!$C$7,0)</x:f>
        <x:v>19577</x:v>
      </x:c>
      <x:c r="AM5" s="11" t="n">
        <x:f>ROUND(RAW_OS!$D$7,0)</x:f>
        <x:v>670</x:v>
      </x:c>
      <x:c r="AN5" s="11" t="n">
        <x:f>ROUND(RAW_OS!$E$7,0)</x:f>
        <x:v>545</x:v>
      </x:c>
      <x:c r="AO5" s="11" t="n">
        <x:f>ROUND(RAW_OS!$F$7,0)</x:f>
        <x:v>1440</x:v>
      </x:c>
      <x:c r="AP5" s="11" t="n">
        <x:f>ROUND(RAW_OS!$G$7,0)</x:f>
        <x:v>1171</x:v>
      </x:c>
    </x:row>
    <x:row r="6">
      <x:c r="A6" s="9" t="inlineStr">
        <x:is>
          <x:t xml:space="preserve">300 x 706 cm</x:t>
        </x:is>
      </x:c>
      <x:c r="B6" s="9" t="inlineStr">
        <x:is>
          <x:t xml:space="preserve">PRO</x:t>
        </x:is>
      </x:c>
      <x:c r="C6" s="11" t="n">
        <x:f>ROUND(RAW_ZP!$B$8,0)</x:f>
        <x:v>8740</x:v>
      </x:c>
      <x:c r="D6" s="11" t="n">
        <x:f>ROUND(RAW_ZP!$C$8,0)</x:f>
        <x:v>7106</x:v>
      </x:c>
      <x:c r="E6" s="11" t="n">
        <x:f>ROUND(RAW_ZP!$D$8,0)</x:f>
        <x:v>370</x:v>
      </x:c>
      <x:c r="F6" s="11" t="n">
        <x:f>ROUND(RAW_ZP!$E$8,0)</x:f>
        <x:v>301</x:v>
      </x:c>
      <x:c r="G6" s="11" t="n">
        <x:f>ROUND(RAW_ZP!$H$8,0)</x:f>
        <x:v>8210</x:v>
      </x:c>
      <x:c r="H6" s="11" t="n">
        <x:f>ROUND(RAW_ZP!$I$8,0)</x:f>
        <x:v>6675</x:v>
      </x:c>
      <x:c r="I6" s="11" t="n">
        <x:f>ROUND(RAW_ZP!$J$8,0)</x:f>
        <x:v>2140</x:v>
      </x:c>
      <x:c r="J6" s="11" t="n">
        <x:f>ROUND(RAW_ZP!$K$8,0)</x:f>
        <x:v>1740</x:v>
      </x:c>
      <x:c r="K6" s="11" t="n">
        <x:f>ROUND(RAW_ZP!$N$8,0)</x:f>
        <x:v>4780</x:v>
      </x:c>
      <x:c r="L6" s="11" t="n">
        <x:f>ROUND(RAW_ZP!$O$8,0)</x:f>
        <x:v>3886</x:v>
      </x:c>
      <x:c r="M6" s="11" t="n">
        <x:f>ROUND(RAW_ZP!$P$8,0)</x:f>
        <x:v>870</x:v>
      </x:c>
      <x:c r="N6" s="11" t="n">
        <x:f>ROUND(RAW_ZP!$Q$8,0)</x:f>
        <x:v>707</x:v>
      </x:c>
      <x:c r="O6" s="11" t="n">
        <x:f>ROUND(RAW_ZP!$R$8,0)</x:f>
        <x:v>1210</x:v>
      </x:c>
      <x:c r="P6" s="11" t="n">
        <x:f>ROUND(RAW_ZP!$S$8,0)</x:f>
        <x:v>984</x:v>
      </x:c>
      <x:c r="Q6" s="11" t="n">
        <x:f>ROUND(RAW_ZP!$T$8,0)</x:f>
        <x:v>1464</x:v>
      </x:c>
      <x:c r="R6" s="11" t="n">
        <x:f>ROUND(RAW_ZP!$U$8,0)</x:f>
        <x:v>1190</x:v>
      </x:c>
      <x:c r="S6" s="11" t="n">
        <x:f>ROUND(RAW_ZP!$V$8,0)</x:f>
        <x:v>2325</x:v>
      </x:c>
      <x:c r="T6" s="11" t="n">
        <x:f>ROUND(RAW_ZP!$W$8,0)</x:f>
        <x:v>1890</x:v>
      </x:c>
      <x:c r="U6" s="11" t="n">
        <x:f>ROUND(RAW_ZS!$B$8,0)</x:f>
        <x:v>12670</x:v>
      </x:c>
      <x:c r="V6" s="11" t="n">
        <x:f>ROUND(RAW_ZS!$C$8,0)</x:f>
        <x:v>10301</x:v>
      </x:c>
      <x:c r="W6" s="11" t="n">
        <x:f>ROUND(RAW_ZS!$D$8,0)</x:f>
        <x:v>780</x:v>
      </x:c>
      <x:c r="X6" s="11" t="n">
        <x:f>ROUND(RAW_ZS!$E$8,0)</x:f>
        <x:v>634</x:v>
      </x:c>
      <x:c r="Y6" s="11" t="n">
        <x:f>ROUND(RAW_OP!$B$8,0)</x:f>
        <x:v>22000</x:v>
      </x:c>
      <x:c r="Z6" s="11" t="n">
        <x:f>ROUND(RAW_OP!$C$8,0)</x:f>
        <x:v>17886</x:v>
      </x:c>
      <x:c r="AA6" s="11" t="n">
        <x:f>ROUND(RAW_OP!$H$8,0)</x:f>
        <x:v>1560</x:v>
      </x:c>
      <x:c r="AB6" s="11" t="n">
        <x:f>ROUND(RAW_OP!$I$8,0)</x:f>
        <x:v>1268</x:v>
      </x:c>
      <x:c r="AC6" s="11" t="n">
        <x:f>ROUND(RAW_OP!$L$8,0)</x:f>
        <x:v>500</x:v>
      </x:c>
      <x:c r="AD6" s="11" t="n">
        <x:f>ROUND(RAW_OP!$M$8,0)</x:f>
        <x:v>407</x:v>
      </x:c>
      <x:c r="AE6" s="11" t="n">
        <x:f>ROUND(RAW_OP!$N$8,0)</x:f>
        <x:v>450</x:v>
      </x:c>
      <x:c r="AF6" s="11" t="n">
        <x:f>ROUND(RAW_OP!$O$8,0)</x:f>
        <x:v>366</x:v>
      </x:c>
      <x:c r="AG6" s="11" t="n">
        <x:f>ROUND(RAW_OP!$AB$8,0)</x:f>
        <x:v>990</x:v>
      </x:c>
      <x:c r="AH6" s="11" t="n">
        <x:f>ROUND(RAW_OP!$AC$8,0)</x:f>
        <x:v>805</x:v>
      </x:c>
      <x:c r="AI6" s="11" t="n">
        <x:f>ROUND(RAW_OP!$AD$8,0)</x:f>
        <x:v>360</x:v>
      </x:c>
      <x:c r="AJ6" s="11" t="n">
        <x:f>ROUND(RAW_OP!$AE$8,0)</x:f>
        <x:v>293</x:v>
      </x:c>
      <x:c r="AK6" s="11" t="n">
        <x:f>ROUND(RAW_OS!$B$8,0)</x:f>
        <x:v>25920</x:v>
      </x:c>
      <x:c r="AL6" s="11" t="n">
        <x:f>ROUND(RAW_OS!$C$8,0)</x:f>
        <x:v>21073</x:v>
      </x:c>
      <x:c r="AM6" s="11" t="n">
        <x:f>ROUND(RAW_OS!$D$8,0)</x:f>
        <x:v>780</x:v>
      </x:c>
      <x:c r="AN6" s="11" t="n">
        <x:f>ROUND(RAW_OS!$E$8,0)</x:f>
        <x:v>634</x:v>
      </x:c>
      <x:c r="AO6" s="11" t="n">
        <x:f>ROUND(RAW_OS!$F$8,0)</x:f>
        <x:v>1560</x:v>
      </x:c>
      <x:c r="AP6" s="11" t="n">
        <x:f>ROUND(RAW_OS!$G$8,0)</x:f>
        <x:v>1268</x:v>
      </x:c>
    </x:row>
    <x:row r="7">
      <x:c r="A7" s="9" t="inlineStr">
        <x:is>
          <x:t xml:space="preserve">300 x 806 cm</x:t>
        </x:is>
      </x:c>
      <x:c r="B7" s="9" t="inlineStr">
        <x:is>
          <x:t xml:space="preserve">PRO</x:t>
        </x:is>
      </x:c>
      <x:c r="C7" s="11" t="n">
        <x:f>ROUND(RAW_ZP!$B$9,0)</x:f>
        <x:v>10550</x:v>
      </x:c>
      <x:c r="D7" s="11" t="n">
        <x:f>ROUND(RAW_ZP!$C$9,0)</x:f>
        <x:v>8577</x:v>
      </x:c>
      <x:c r="E7" s="11" t="n">
        <x:f>ROUND(RAW_ZP!$D$9,0)</x:f>
        <x:v>430</x:v>
      </x:c>
      <x:c r="F7" s="11" t="n">
        <x:f>ROUND(RAW_ZP!$E$9,0)</x:f>
        <x:v>350</x:v>
      </x:c>
      <x:c r="G7" s="11" t="n">
        <x:f>ROUND(RAW_ZP!$H$9,0)</x:f>
        <x:v>8600</x:v>
      </x:c>
      <x:c r="H7" s="11" t="n">
        <x:f>ROUND(RAW_ZP!$I$9,0)</x:f>
        <x:v>6992</x:v>
      </x:c>
      <x:c r="I7" s="11" t="n">
        <x:f>ROUND(RAW_ZP!$J$9,0)</x:f>
        <x:v>2140</x:v>
      </x:c>
      <x:c r="J7" s="11" t="n">
        <x:f>ROUND(RAW_ZP!$K$9,0)</x:f>
        <x:v>1740</x:v>
      </x:c>
      <x:c r="K7" s="11" t="n">
        <x:f>ROUND(RAW_ZP!$N$9,0)</x:f>
        <x:v>5280</x:v>
      </x:c>
      <x:c r="L7" s="11" t="n">
        <x:f>ROUND(RAW_ZP!$O$9,0)</x:f>
        <x:v>4293</x:v>
      </x:c>
      <x:c r="M7" s="11" t="n">
        <x:f>ROUND(RAW_ZP!$P$9,0)</x:f>
        <x:v>960</x:v>
      </x:c>
      <x:c r="N7" s="11" t="n">
        <x:f>ROUND(RAW_ZP!$Q$9,0)</x:f>
        <x:v>780</x:v>
      </x:c>
      <x:c r="O7" s="11" t="n">
        <x:f>ROUND(RAW_ZP!$R$9,0)</x:f>
        <x:v>1440</x:v>
      </x:c>
      <x:c r="P7" s="11" t="n">
        <x:f>ROUND(RAW_ZP!$S$9,0)</x:f>
        <x:v>1171</x:v>
      </x:c>
      <x:c r="Q7" s="11" t="n">
        <x:f>ROUND(RAW_ZP!$T$9,0)</x:f>
        <x:v>1648</x:v>
      </x:c>
      <x:c r="R7" s="11" t="n">
        <x:f>ROUND(RAW_ZP!$U$9,0)</x:f>
        <x:v>1340</x:v>
      </x:c>
      <x:c r="S7" s="11" t="n">
        <x:f>ROUND(RAW_ZP!$V$9,0)</x:f>
        <x:v>2620</x:v>
      </x:c>
      <x:c r="T7" s="11" t="n">
        <x:f>ROUND(RAW_ZP!$W$9,0)</x:f>
        <x:v>2130</x:v>
      </x:c>
      <x:c r="U7" s="11" t="n">
        <x:f>ROUND(RAW_ZS!$B$9,0)</x:f>
        <x:v>15230</x:v>
      </x:c>
      <x:c r="V7" s="11" t="n">
        <x:f>ROUND(RAW_ZS!$C$9,0)</x:f>
        <x:v>12382</x:v>
      </x:c>
      <x:c r="W7" s="11" t="n">
        <x:f>ROUND(RAW_ZS!$D$9,0)</x:f>
        <x:v>900</x:v>
      </x:c>
      <x:c r="X7" s="11" t="n">
        <x:f>ROUND(RAW_ZS!$E$9,0)</x:f>
        <x:v>732</x:v>
      </x:c>
      <x:c r="Y7" s="11" t="n">
        <x:f>ROUND(RAW_OP!$B$9,0)</x:f>
        <x:v>24680</x:v>
      </x:c>
      <x:c r="Z7" s="11" t="n">
        <x:f>ROUND(RAW_OP!$C$9,0)</x:f>
        <x:v>20065</x:v>
      </x:c>
      <x:c r="AA7" s="11" t="n">
        <x:f>ROUND(RAW_OP!$H$9,0)</x:f>
        <x:v>1680</x:v>
      </x:c>
      <x:c r="AB7" s="11" t="n">
        <x:f>ROUND(RAW_OP!$I$9,0)</x:f>
        <x:v>1366</x:v>
      </x:c>
      <x:c r="AC7" s="11" t="n">
        <x:f>ROUND(RAW_OP!$L$9,0)</x:f>
        <x:v>530</x:v>
      </x:c>
      <x:c r="AD7" s="11" t="n">
        <x:f>ROUND(RAW_OP!$M$9,0)</x:f>
        <x:v>431</x:v>
      </x:c>
      <x:c r="AE7" s="11" t="n">
        <x:f>ROUND(RAW_OP!$N$9,0)</x:f>
        <x:v>480</x:v>
      </x:c>
      <x:c r="AF7" s="11" t="n">
        <x:f>ROUND(RAW_OP!$O$9,0)</x:f>
        <x:v>390</x:v>
      </x:c>
      <x:c r="AG7" s="11" t="n">
        <x:f>ROUND(RAW_OP!$AB$9,0)</x:f>
        <x:v>1110</x:v>
      </x:c>
      <x:c r="AH7" s="11" t="n">
        <x:f>ROUND(RAW_OP!$AC$9,0)</x:f>
        <x:v>902</x:v>
      </x:c>
      <x:c r="AI7" s="11" t="n">
        <x:f>ROUND(RAW_OP!$AD$9,0)</x:f>
        <x:v>400</x:v>
      </x:c>
      <x:c r="AJ7" s="11" t="n">
        <x:f>ROUND(RAW_OP!$AE$9,0)</x:f>
        <x:v>325</x:v>
      </x:c>
      <x:c r="AK7" s="11" t="n">
        <x:f>ROUND(RAW_OS!$B$9,0)</x:f>
        <x:v>29370</x:v>
      </x:c>
      <x:c r="AL7" s="11" t="n">
        <x:f>ROUND(RAW_OS!$C$9,0)</x:f>
        <x:v>23878</x:v>
      </x:c>
      <x:c r="AM7" s="11" t="n">
        <x:f>ROUND(RAW_OS!$D$9,0)</x:f>
        <x:v>900</x:v>
      </x:c>
      <x:c r="AN7" s="11" t="n">
        <x:f>ROUND(RAW_OS!$E$9,0)</x:f>
        <x:v>732</x:v>
      </x:c>
      <x:c r="AO7" s="11" t="n">
        <x:f>ROUND(RAW_OS!$F$9,0)</x:f>
        <x:v>1680</x:v>
      </x:c>
      <x:c r="AP7" s="11" t="n">
        <x:f>ROUND(RAW_OS!$G$9,0)</x:f>
        <x:v>1366</x:v>
      </x:c>
    </x:row>
    <x:row r="8">
      <x:c r="A8" s="9" t="inlineStr">
        <x:is>
          <x:t xml:space="preserve">300 x 906 cm</x:t>
        </x:is>
      </x:c>
      <x:c r="B8" s="9" t="inlineStr">
        <x:is>
          <x:t xml:space="preserve">PRO</x:t>
        </x:is>
      </x:c>
      <x:c r="C8" s="11" t="n">
        <x:f>ROUND(RAW_ZP!$B$10,0)</x:f>
        <x:v>11850</x:v>
      </x:c>
      <x:c r="D8" s="11" t="n">
        <x:f>ROUND(RAW_ZP!$C$10,0)</x:f>
        <x:v>9634</x:v>
      </x:c>
      <x:c r="E8" s="11" t="n">
        <x:f>ROUND(RAW_ZP!$D$10,0)</x:f>
        <x:v>490</x:v>
      </x:c>
      <x:c r="F8" s="11" t="n">
        <x:f>ROUND(RAW_ZP!$E$10,0)</x:f>
        <x:v>398</x:v>
      </x:c>
      <x:c r="G8" s="11" t="n">
        <x:f>ROUND(RAW_ZP!$H$10,0)</x:f>
        <x:v>9280</x:v>
      </x:c>
      <x:c r="H8" s="11" t="n">
        <x:f>ROUND(RAW_ZP!$I$10,0)</x:f>
        <x:v>7545</x:v>
      </x:c>
      <x:c r="I8" s="11" t="n">
        <x:f>ROUND(RAW_ZP!$J$10,0)</x:f>
        <x:v>2140</x:v>
      </x:c>
      <x:c r="J8" s="11" t="n">
        <x:f>ROUND(RAW_ZP!$K$10,0)</x:f>
        <x:v>1740</x:v>
      </x:c>
      <x:c r="K8" s="11" t="n">
        <x:f>ROUND(RAW_ZP!$N$10,0)</x:f>
        <x:v>6400</x:v>
      </x:c>
      <x:c r="L8" s="11" t="n">
        <x:f>ROUND(RAW_ZP!$O$10,0)</x:f>
        <x:v>5203</x:v>
      </x:c>
      <x:c r="M8" s="11" t="n">
        <x:f>ROUND(RAW_ZP!$P$10,0)</x:f>
        <x:v>1040</x:v>
      </x:c>
      <x:c r="N8" s="11" t="n">
        <x:f>ROUND(RAW_ZP!$Q$10,0)</x:f>
        <x:v>846</x:v>
      </x:c>
      <x:c r="O8" s="11" t="n">
        <x:f>ROUND(RAW_ZP!$R$10,0)</x:f>
        <x:v>1560</x:v>
      </x:c>
      <x:c r="P8" s="11" t="n">
        <x:f>ROUND(RAW_ZP!$S$10,0)</x:f>
        <x:v>1268</x:v>
      </x:c>
      <x:c r="Q8" s="11" t="n">
        <x:f>ROUND(RAW_ZP!$T$10,0)</x:f>
        <x:v>1833</x:v>
      </x:c>
      <x:c r="R8" s="11" t="n">
        <x:f>ROUND(RAW_ZP!$U$10,0)</x:f>
        <x:v>1490</x:v>
      </x:c>
      <x:c r="S8" s="11" t="n">
        <x:f>ROUND(RAW_ZP!$V$10,0)</x:f>
        <x:v>2915</x:v>
      </x:c>
      <x:c r="T8" s="11" t="n">
        <x:f>ROUND(RAW_ZP!$W$10,0)</x:f>
        <x:v>2370</x:v>
      </x:c>
      <x:c r="U8" s="11" t="n">
        <x:f>ROUND(RAW_ZS!$B$10,0)</x:f>
        <x:v>17080</x:v>
      </x:c>
      <x:c r="V8" s="11" t="n">
        <x:f>ROUND(RAW_ZS!$C$10,0)</x:f>
        <x:v>13886</x:v>
      </x:c>
      <x:c r="W8" s="11" t="n">
        <x:f>ROUND(RAW_ZS!$D$10,0)</x:f>
        <x:v>1000</x:v>
      </x:c>
      <x:c r="X8" s="11" t="n">
        <x:f>ROUND(RAW_ZS!$E$10,0)</x:f>
        <x:v>813</x:v>
      </x:c>
      <x:c r="Y8" s="11" t="n">
        <x:f>ROUND(RAW_OP!$B$10,0)</x:f>
        <x:v>27150</x:v>
      </x:c>
      <x:c r="Z8" s="11" t="n">
        <x:f>ROUND(RAW_OP!$C$10,0)</x:f>
        <x:v>22073</x:v>
      </x:c>
      <x:c r="AA8" s="11" t="n">
        <x:f>ROUND(RAW_OP!$H$10,0)</x:f>
        <x:v>1800</x:v>
      </x:c>
      <x:c r="AB8" s="11" t="n">
        <x:f>ROUND(RAW_OP!$I$10,0)</x:f>
        <x:v>1463</x:v>
      </x:c>
      <x:c r="AC8" s="11" t="n">
        <x:f>ROUND(RAW_OP!$L$10,0)</x:f>
        <x:v>570</x:v>
      </x:c>
      <x:c r="AD8" s="11" t="n">
        <x:f>ROUND(RAW_OP!$M$10,0)</x:f>
        <x:v>463</x:v>
      </x:c>
      <x:c r="AE8" s="11" t="n">
        <x:f>ROUND(RAW_OP!$N$10,0)</x:f>
        <x:v>520</x:v>
      </x:c>
      <x:c r="AF8" s="11" t="n">
        <x:f>ROUND(RAW_OP!$O$10,0)</x:f>
        <x:v>423</x:v>
      </x:c>
      <x:c r="AG8" s="11" t="n">
        <x:f>ROUND(RAW_OP!$AB$10,0)</x:f>
        <x:v>1250</x:v>
      </x:c>
      <x:c r="AH8" s="11" t="n">
        <x:f>ROUND(RAW_OP!$AC$10,0)</x:f>
        <x:v>1016</x:v>
      </x:c>
      <x:c r="AI8" s="11" t="n">
        <x:f>ROUND(RAW_OP!$AD$10,0)</x:f>
        <x:v>400</x:v>
      </x:c>
      <x:c r="AJ8" s="11" t="n">
        <x:f>ROUND(RAW_OP!$AE$10,0)</x:f>
        <x:v>325</x:v>
      </x:c>
      <x:c r="AK8" s="11" t="n">
        <x:f>ROUND(RAW_OS!$B$10,0)</x:f>
        <x:v>32370</x:v>
      </x:c>
      <x:c r="AL8" s="11" t="n">
        <x:f>ROUND(RAW_OS!$C$10,0)</x:f>
        <x:v>26317</x:v>
      </x:c>
      <x:c r="AM8" s="11" t="n">
        <x:f>ROUND(RAW_OS!$D$10,0)</x:f>
        <x:v>1000</x:v>
      </x:c>
      <x:c r="AN8" s="11" t="n">
        <x:f>ROUND(RAW_OS!$E$10,0)</x:f>
        <x:v>813</x:v>
      </x:c>
      <x:c r="AO8" s="11" t="n">
        <x:f>ROUND(RAW_OS!$F$10,0)</x:f>
        <x:v>1800</x:v>
      </x:c>
      <x:c r="AP8" s="11" t="n">
        <x:f>ROUND(RAW_OS!$G$10,0)</x:f>
        <x:v>1463</x:v>
      </x:c>
    </x:row>
    <x:row r="9">
      <x:c r="A9" s="9" t="inlineStr">
        <x:is>
          <x:t xml:space="preserve">300 x 1006 cm</x:t>
        </x:is>
      </x:c>
      <x:c r="B9" s="9" t="inlineStr">
        <x:is>
          <x:t xml:space="preserve">PRO</x:t>
        </x:is>
      </x:c>
      <x:c r="C9" s="11" t="n">
        <x:f>ROUND(RAW_ZP!$B$11,0)</x:f>
        <x:v>13150</x:v>
      </x:c>
      <x:c r="D9" s="11" t="n">
        <x:f>ROUND(RAW_ZP!$C$11,0)</x:f>
        <x:v>10691</x:v>
      </x:c>
      <x:c r="E9" s="11" t="n">
        <x:f>ROUND(RAW_ZP!$D$11,0)</x:f>
        <x:v>550</x:v>
      </x:c>
      <x:c r="F9" s="11" t="n">
        <x:f>ROUND(RAW_ZP!$E$11,0)</x:f>
        <x:v>447</x:v>
      </x:c>
      <x:c r="G9" s="11" t="n">
        <x:f>ROUND(RAW_ZP!$H$11,0)</x:f>
        <x:v>9950</x:v>
      </x:c>
      <x:c r="H9" s="11" t="n">
        <x:f>ROUND(RAW_ZP!$I$11,0)</x:f>
        <x:v>8089</x:v>
      </x:c>
      <x:c r="I9" s="11" t="n">
        <x:f>ROUND(RAW_ZP!$J$11,0)</x:f>
        <x:v>2140</x:v>
      </x:c>
      <x:c r="J9" s="11" t="n">
        <x:f>ROUND(RAW_ZP!$K$11,0)</x:f>
        <x:v>1740</x:v>
      </x:c>
      <x:c r="K9" s="11" t="n">
        <x:f>ROUND(RAW_ZP!$N$11,0)</x:f>
        <x:v>6910</x:v>
      </x:c>
      <x:c r="L9" s="11" t="n">
        <x:f>ROUND(RAW_ZP!$O$11,0)</x:f>
        <x:v>5618</x:v>
      </x:c>
      <x:c r="M9" s="11" t="n">
        <x:f>ROUND(RAW_ZP!$P$11,0)</x:f>
        <x:v>1230</x:v>
      </x:c>
      <x:c r="N9" s="11" t="n">
        <x:f>ROUND(RAW_ZP!$Q$11,0)</x:f>
        <x:v>1000</x:v>
      </x:c>
      <x:c r="O9" s="11" t="n">
        <x:f>ROUND(RAW_ZP!$R$11,0)</x:f>
        <x:v>1650</x:v>
      </x:c>
      <x:c r="P9" s="11" t="n">
        <x:f>ROUND(RAW_ZP!$S$11,0)</x:f>
        <x:v>1341</x:v>
      </x:c>
      <x:c r="Q9" s="11" t="n">
        <x:f>ROUND(RAW_ZP!$T$11,0)</x:f>
        <x:v>2189</x:v>
      </x:c>
      <x:c r="R9" s="11" t="n">
        <x:f>ROUND(RAW_ZP!$U$11,0)</x:f>
        <x:v>1780</x:v>
      </x:c>
      <x:c r="S9" s="11" t="n">
        <x:f>ROUND(RAW_ZP!$V$11,0)</x:f>
        <x:v>3198</x:v>
      </x:c>
      <x:c r="T9" s="11" t="n">
        <x:f>ROUND(RAW_ZP!$W$11,0)</x:f>
        <x:v>2600</x:v>
      </x:c>
      <x:c r="U9" s="11" t="n">
        <x:f>ROUND(RAW_ZS!$B$11,0)</x:f>
        <x:v>18930</x:v>
      </x:c>
      <x:c r="V9" s="11" t="n">
        <x:f>ROUND(RAW_ZS!$C$11,0)</x:f>
        <x:v>15390</x:v>
      </x:c>
      <x:c r="W9" s="11" t="n">
        <x:f>ROUND(RAW_ZS!$D$11,0)</x:f>
        <x:v>1110</x:v>
      </x:c>
      <x:c r="X9" s="11" t="n">
        <x:f>ROUND(RAW_ZS!$E$11,0)</x:f>
        <x:v>902</x:v>
      </x:c>
      <x:c r="Y9" s="11" t="n">
        <x:f>ROUND(RAW_OP!$B$11,0)</x:f>
        <x:v>29600</x:v>
      </x:c>
      <x:c r="Z9" s="11" t="n">
        <x:f>ROUND(RAW_OP!$C$11,0)</x:f>
        <x:v>24065</x:v>
      </x:c>
      <x:c r="AA9" s="11" t="n">
        <x:f>ROUND(RAW_OP!$H$11,0)</x:f>
        <x:v>1920</x:v>
      </x:c>
      <x:c r="AB9" s="11" t="n">
        <x:f>ROUND(RAW_OP!$I$11,0)</x:f>
        <x:v>1561</x:v>
      </x:c>
      <x:c r="AC9" s="11" t="n">
        <x:f>ROUND(RAW_OP!$L$11,0)</x:f>
        <x:v>610</x:v>
      </x:c>
      <x:c r="AD9" s="11" t="n">
        <x:f>ROUND(RAW_OP!$M$11,0)</x:f>
        <x:v>496</x:v>
      </x:c>
      <x:c r="AE9" s="11" t="n">
        <x:f>ROUND(RAW_OP!$N$11,0)</x:f>
        <x:v>550</x:v>
      </x:c>
      <x:c r="AF9" s="11" t="n">
        <x:f>ROUND(RAW_OP!$O$11,0)</x:f>
        <x:v>447</x:v>
      </x:c>
      <x:c r="AG9" s="11" t="n">
        <x:f>ROUND(RAW_OP!$AB$11,0)</x:f>
        <x:v>1380</x:v>
      </x:c>
      <x:c r="AH9" s="11" t="n">
        <x:f>ROUND(RAW_OP!$AC$11,0)</x:f>
        <x:v>1122</x:v>
      </x:c>
      <x:c r="AI9" s="11" t="n">
        <x:f>ROUND(RAW_OP!$AD$11,0)</x:f>
        <x:v>440</x:v>
      </x:c>
      <x:c r="AJ9" s="11" t="n">
        <x:f>ROUND(RAW_OP!$AE$11,0)</x:f>
        <x:v>358</x:v>
      </x:c>
      <x:c r="AK9" s="11" t="n">
        <x:f>ROUND(RAW_OS!$B$11,0)</x:f>
        <x:v>35380</x:v>
      </x:c>
      <x:c r="AL9" s="11" t="n">
        <x:f>ROUND(RAW_OS!$C$11,0)</x:f>
        <x:v>28764</x:v>
      </x:c>
      <x:c r="AM9" s="11" t="n">
        <x:f>ROUND(RAW_OS!$D$11,0)</x:f>
        <x:v>1110</x:v>
      </x:c>
      <x:c r="AN9" s="11" t="n">
        <x:f>ROUND(RAW_OS!$E$11,0)</x:f>
        <x:v>902</x:v>
      </x:c>
      <x:c r="AO9" s="11" t="n">
        <x:f>ROUND(RAW_OS!$F$11,0)</x:f>
        <x:v>1920</x:v>
      </x:c>
      <x:c r="AP9" s="11" t="n">
        <x:f>ROUND(RAW_OS!$G$11,0)</x:f>
        <x:v>1561</x:v>
      </x:c>
    </x:row>
    <x:row r="10">
      <x:c r="A10" s="9" t="inlineStr">
        <x:is>
          <x:t xml:space="preserve">300 x 1106 cm</x:t>
        </x:is>
      </x:c>
      <x:c r="B10" s="9" t="inlineStr">
        <x:is>
          <x:t xml:space="preserve">PRO</x:t>
        </x:is>
      </x:c>
      <x:c r="C10" s="11" t="n">
        <x:f>ROUND(RAW_ZP!$B$12,0)</x:f>
        <x:v>14100</x:v>
      </x:c>
      <x:c r="D10" s="11" t="n">
        <x:f>ROUND(RAW_ZP!$C$12,0)</x:f>
        <x:v>11463</x:v>
      </x:c>
      <x:c r="E10" s="11" t="n">
        <x:f>ROUND(RAW_ZP!$D$12,0)</x:f>
        <x:v>620</x:v>
      </x:c>
      <x:c r="F10" s="11" t="n">
        <x:f>ROUND(RAW_ZP!$E$12,0)</x:f>
        <x:v>504</x:v>
      </x:c>
      <x:c r="G10" s="11" t="n">
        <x:f>ROUND(RAW_ZP!$H$12,0)</x:f>
        <x:v>12500</x:v>
      </x:c>
      <x:c r="H10" s="11" t="n">
        <x:f>ROUND(RAW_ZP!$I$12,0)</x:f>
        <x:v>10163</x:v>
      </x:c>
      <x:c r="I10" s="11" t="n">
        <x:f>ROUND(RAW_ZP!$J$12,0)</x:f>
        <x:v>2140</x:v>
      </x:c>
      <x:c r="J10" s="11" t="n">
        <x:f>ROUND(RAW_ZP!$K$12,0)</x:f>
        <x:v>1740</x:v>
      </x:c>
      <x:c r="K10" s="11" t="n">
        <x:f>ROUND(RAW_ZP!$N$12,0)</x:f>
        <x:v>7420</x:v>
      </x:c>
      <x:c r="L10" s="11" t="n">
        <x:f>ROUND(RAW_ZP!$O$12,0)</x:f>
        <x:v>6033</x:v>
      </x:c>
      <x:c r="M10" s="11" t="n">
        <x:f>ROUND(RAW_ZP!$P$12,0)</x:f>
        <x:v>1430</x:v>
      </x:c>
      <x:c r="N10" s="11" t="n">
        <x:f>ROUND(RAW_ZP!$Q$12,0)</x:f>
        <x:v>1163</x:v>
      </x:c>
      <x:c r="O10" s="11" t="n">
        <x:f>ROUND(RAW_ZP!$R$12,0)</x:f>
        <x:v>1770</x:v>
      </x:c>
      <x:c r="P10" s="11" t="n">
        <x:f>ROUND(RAW_ZP!$S$12,0)</x:f>
        <x:v>1439</x:v>
      </x:c>
      <x:c r="Q10" s="11" t="n">
        <x:f>ROUND(RAW_ZP!$T$12,0)</x:f>
        <x:v>2374</x:v>
      </x:c>
      <x:c r="R10" s="11" t="n">
        <x:f>ROUND(RAW_ZP!$U$12,0)</x:f>
        <x:v>1930</x:v>
      </x:c>
      <x:c r="S10" s="11" t="n">
        <x:f>ROUND(RAW_ZP!$V$12,0)</x:f>
        <x:v>3493</x:v>
      </x:c>
      <x:c r="T10" s="11" t="n">
        <x:f>ROUND(RAW_ZP!$W$12,0)</x:f>
        <x:v>2840</x:v>
      </x:c>
      <x:c r="U10" s="11" t="n">
        <x:f>ROUND(RAW_ZS!$B$12,0)</x:f>
        <x:v>20460</x:v>
      </x:c>
      <x:c r="V10" s="11" t="n">
        <x:f>ROUND(RAW_ZS!$C$12,0)</x:f>
        <x:v>16634</x:v>
      </x:c>
      <x:c r="W10" s="11" t="n">
        <x:f>ROUND(RAW_ZS!$D$12,0)</x:f>
        <x:v>1220</x:v>
      </x:c>
      <x:c r="X10" s="11" t="n">
        <x:f>ROUND(RAW_ZS!$E$12,0)</x:f>
        <x:v>992</x:v>
      </x:c>
      <x:c r="Y10" s="11" t="n">
        <x:f>ROUND(RAW_OP!$B$12,0)</x:f>
        <x:v>31790</x:v>
      </x:c>
      <x:c r="Z10" s="11" t="n">
        <x:f>ROUND(RAW_OP!$C$12,0)</x:f>
        <x:v>25846</x:v>
      </x:c>
      <x:c r="AA10" s="11" t="n">
        <x:f>ROUND(RAW_OP!$H$12,0)</x:f>
        <x:v>2040</x:v>
      </x:c>
      <x:c r="AB10" s="11" t="n">
        <x:f>ROUND(RAW_OP!$I$12,0)</x:f>
        <x:v>1659</x:v>
      </x:c>
      <x:c r="AC10" s="11" t="n">
        <x:f>ROUND(RAW_OP!$L$12,0)</x:f>
        <x:v>650</x:v>
      </x:c>
      <x:c r="AD10" s="11" t="n">
        <x:f>ROUND(RAW_OP!$M$12,0)</x:f>
        <x:v>528</x:v>
      </x:c>
      <x:c r="AE10" s="11" t="n">
        <x:f>ROUND(RAW_OP!$N$12,0)</x:f>
        <x:v>590</x:v>
      </x:c>
      <x:c r="AF10" s="11" t="n">
        <x:f>ROUND(RAW_OP!$O$12,0)</x:f>
        <x:v>480</x:v>
      </x:c>
      <x:c r="AG10" s="11" t="n">
        <x:f>ROUND(RAW_OP!$AB$12,0)</x:f>
        <x:v>1960</x:v>
      </x:c>
      <x:c r="AH10" s="11" t="n">
        <x:f>ROUND(RAW_OP!$AC$12,0)</x:f>
        <x:v>1593</x:v>
      </x:c>
      <x:c r="AI10" s="11" t="n">
        <x:f>ROUND(RAW_OP!$AD$12,0)</x:f>
        <x:v>480</x:v>
      </x:c>
      <x:c r="AJ10" s="11" t="n">
        <x:f>ROUND(RAW_OP!$AE$12,0)</x:f>
        <x:v>390</x:v>
      </x:c>
      <x:c r="AK10" s="11" t="n">
        <x:f>ROUND(RAW_OS!$B$12,0)</x:f>
        <x:v>38150</x:v>
      </x:c>
      <x:c r="AL10" s="11" t="n">
        <x:f>ROUND(RAW_OS!$C$12,0)</x:f>
        <x:v>31016</x:v>
      </x:c>
      <x:c r="AM10" s="11" t="n">
        <x:f>ROUND(RAW_OS!$D$12,0)</x:f>
        <x:v>1220</x:v>
      </x:c>
      <x:c r="AN10" s="11" t="n">
        <x:f>ROUND(RAW_OS!$E$12,0)</x:f>
        <x:v>992</x:v>
      </x:c>
      <x:c r="AO10" s="11" t="n">
        <x:f>ROUND(RAW_OS!$F$12,0)</x:f>
        <x:v>2040</x:v>
      </x:c>
      <x:c r="AP10" s="11" t="n">
        <x:f>ROUND(RAW_OS!$G$12,0)</x:f>
        <x:v>1659</x:v>
      </x:c>
    </x:row>
    <x:row r="11">
      <x:c r="A11" s="9" t="inlineStr">
        <x:is>
          <x:t xml:space="preserve">300 x 1206 cm</x:t>
        </x:is>
      </x:c>
      <x:c r="B11" s="9" t="inlineStr">
        <x:is>
          <x:t xml:space="preserve">PRO</x:t>
        </x:is>
      </x:c>
      <x:c r="C11" s="11" t="n">
        <x:f>ROUND(RAW_ZP!$B$13,0)</x:f>
        <x:v>15050</x:v>
      </x:c>
      <x:c r="D11" s="11" t="n">
        <x:f>ROUND(RAW_ZP!$C$13,0)</x:f>
        <x:v>12236</x:v>
      </x:c>
      <x:c r="E11" s="11" t="n">
        <x:f>ROUND(RAW_ZP!$D$13,0)</x:f>
        <x:v>680</x:v>
      </x:c>
      <x:c r="F11" s="11" t="n">
        <x:f>ROUND(RAW_ZP!$E$13,0)</x:f>
        <x:v>553</x:v>
      </x:c>
      <x:c r="G11" s="11" t="n">
        <x:f>ROUND(RAW_ZP!$H$13,0)</x:f>
        <x:v>12900</x:v>
      </x:c>
      <x:c r="H11" s="11" t="n">
        <x:f>ROUND(RAW_ZP!$I$13,0)</x:f>
        <x:v>10488</x:v>
      </x:c>
      <x:c r="I11" s="11" t="n">
        <x:f>ROUND(RAW_ZP!$J$13,0)</x:f>
        <x:v>2140</x:v>
      </x:c>
      <x:c r="J11" s="11" t="n">
        <x:f>ROUND(RAW_ZP!$K$13,0)</x:f>
        <x:v>1740</x:v>
      </x:c>
      <x:c r="K11" s="11" t="n">
        <x:f>ROUND(RAW_ZP!$N$13,0)</x:f>
        <x:v>7920</x:v>
      </x:c>
      <x:c r="L11" s="11" t="n">
        <x:f>ROUND(RAW_ZP!$O$13,0)</x:f>
        <x:v>6439</x:v>
      </x:c>
      <x:c r="M11" s="11" t="n">
        <x:f>ROUND(RAW_ZP!$P$13,0)</x:f>
        <x:v>1510</x:v>
      </x:c>
      <x:c r="N11" s="11" t="n">
        <x:f>ROUND(RAW_ZP!$Q$13,0)</x:f>
        <x:v>1228</x:v>
      </x:c>
      <x:c r="O11" s="11" t="n">
        <x:f>ROUND(RAW_ZP!$R$13,0)</x:f>
        <x:v>1900</x:v>
      </x:c>
      <x:c r="P11" s="11" t="n">
        <x:f>ROUND(RAW_ZP!$S$13,0)</x:f>
        <x:v>1545</x:v>
      </x:c>
      <x:c r="Q11" s="11" t="n">
        <x:f>ROUND(RAW_ZP!$T$13,0)</x:f>
        <x:v>2546</x:v>
      </x:c>
      <x:c r="R11" s="11" t="n">
        <x:f>ROUND(RAW_ZP!$U$13,0)</x:f>
        <x:v>2070</x:v>
      </x:c>
      <x:c r="S11" s="11" t="n">
        <x:f>ROUND(RAW_ZP!$V$13,0)</x:f>
        <x:v>3788</x:v>
      </x:c>
      <x:c r="T11" s="11" t="n">
        <x:f>ROUND(RAW_ZP!$W$13,0)</x:f>
        <x:v>3080</x:v>
      </x:c>
      <x:c r="U11" s="11" t="n">
        <x:f>ROUND(RAW_ZS!$B$13,0)</x:f>
        <x:v>22010</x:v>
      </x:c>
      <x:c r="V11" s="11" t="n">
        <x:f>ROUND(RAW_ZS!$C$13,0)</x:f>
        <x:v>17894</x:v>
      </x:c>
      <x:c r="W11" s="11" t="n">
        <x:f>ROUND(RAW_ZS!$D$13,0)</x:f>
        <x:v>1340</x:v>
      </x:c>
      <x:c r="X11" s="11" t="n">
        <x:f>ROUND(RAW_ZS!$E$13,0)</x:f>
        <x:v>1089</x:v>
      </x:c>
      <x:c r="Y11" s="11" t="n">
        <x:f>ROUND(RAW_OP!$B$13,0)</x:f>
        <x:v>33960</x:v>
      </x:c>
      <x:c r="Z11" s="11" t="n">
        <x:f>ROUND(RAW_OP!$C$13,0)</x:f>
        <x:v>27610</x:v>
      </x:c>
      <x:c r="AA11" s="11" t="n">
        <x:f>ROUND(RAW_OP!$H$13,0)</x:f>
        <x:v>2160</x:v>
      </x:c>
      <x:c r="AB11" s="11" t="n">
        <x:f>ROUND(RAW_OP!$I$13,0)</x:f>
        <x:v>1756</x:v>
      </x:c>
      <x:c r="AC11" s="11" t="n">
        <x:f>ROUND(RAW_OP!$L$13,0)</x:f>
        <x:v>690</x:v>
      </x:c>
      <x:c r="AD11" s="11" t="n">
        <x:f>ROUND(RAW_OP!$M$13,0)</x:f>
        <x:v>561</x:v>
      </x:c>
      <x:c r="AE11" s="11" t="n">
        <x:f>ROUND(RAW_OP!$N$13,0)</x:f>
        <x:v>620</x:v>
      </x:c>
      <x:c r="AF11" s="11" t="n">
        <x:f>ROUND(RAW_OP!$O$13,0)</x:f>
        <x:v>504</x:v>
      </x:c>
      <x:c r="AG11" s="11" t="n">
        <x:f>ROUND(RAW_OP!$AB$13,0)</x:f>
        <x:v>1960</x:v>
      </x:c>
      <x:c r="AH11" s="11" t="n">
        <x:f>ROUND(RAW_OP!$AC$13,0)</x:f>
        <x:v>1593</x:v>
      </x:c>
      <x:c r="AI11" s="11" t="n">
        <x:f>ROUND(RAW_OP!$AD$13,0)</x:f>
        <x:v>520</x:v>
      </x:c>
      <x:c r="AJ11" s="11" t="n">
        <x:f>ROUND(RAW_OP!$AE$13,0)</x:f>
        <x:v>423</x:v>
      </x:c>
      <x:c r="AK11" s="11" t="n">
        <x:f>ROUND(RAW_OS!$B$13,0)</x:f>
        <x:v>40930</x:v>
      </x:c>
      <x:c r="AL11" s="11" t="n">
        <x:f>ROUND(RAW_OS!$C$13,0)</x:f>
        <x:v>33276</x:v>
      </x:c>
      <x:c r="AM11" s="11" t="n">
        <x:f>ROUND(RAW_OS!$D$13,0)</x:f>
        <x:v>1340</x:v>
      </x:c>
      <x:c r="AN11" s="11" t="n">
        <x:f>ROUND(RAW_OS!$E$13,0)</x:f>
        <x:v>1089</x:v>
      </x:c>
      <x:c r="AO11" s="11" t="n">
        <x:f>ROUND(RAW_OS!$F$13,0)</x:f>
        <x:v>2160</x:v>
      </x:c>
      <x:c r="AP11" s="11" t="n">
        <x:f>ROUND(RAW_OS!$G$13,0)</x:f>
        <x:v>1756</x:v>
      </x:c>
    </x:row>
    <x:row r="12">
      <x:c r="A12" s="9" t="inlineStr">
        <x:is>
          <x:t xml:space="preserve">350 x 306 cm</x:t>
        </x:is>
      </x:c>
      <x:c r="B12" s="9" t="inlineStr">
        <x:is>
          <x:t xml:space="preserve">PRO</x:t>
        </x:is>
      </x:c>
      <x:c r="C12" s="11" t="n">
        <x:f>ROUND(RAW_ZP!$B$14,0)</x:f>
        <x:v>4340</x:v>
      </x:c>
      <x:c r="D12" s="11" t="n">
        <x:f>ROUND(RAW_ZP!$C$14,0)</x:f>
        <x:v>3528</x:v>
      </x:c>
      <x:c r="E12" s="11" t="n">
        <x:f>ROUND(RAW_ZP!$D$14,0)</x:f>
        <x:v>150</x:v>
      </x:c>
      <x:c r="F12" s="11" t="n">
        <x:f>ROUND(RAW_ZP!$E$14,0)</x:f>
        <x:v>122</x:v>
      </x:c>
      <x:c r="G12" s="11" t="n">
        <x:f>ROUND(RAW_ZP!$H$14,0)</x:f>
        <x:v>3980</x:v>
      </x:c>
      <x:c r="H12" s="11" t="n">
        <x:f>ROUND(RAW_ZP!$I$14,0)</x:f>
        <x:v>3236</x:v>
      </x:c>
      <x:c r="I12" s="11" t="n">
        <x:f>ROUND(RAW_ZP!$J$14,0)</x:f>
        <x:v>2340</x:v>
      </x:c>
      <x:c r="J12" s="11" t="n">
        <x:f>ROUND(RAW_ZP!$K$14,0)</x:f>
        <x:v>1902</x:v>
      </x:c>
      <x:c r="K12" s="11" t="n">
        <x:f>ROUND(RAW_ZP!$N$14,0)</x:f>
        <x:v>2140</x:v>
      </x:c>
      <x:c r="L12" s="11" t="n">
        <x:f>ROUND(RAW_ZP!$O$14,0)</x:f>
        <x:v>1740</x:v>
      </x:c>
      <x:c r="M12" s="11" t="n">
        <x:f>ROUND(RAW_ZP!$P$14,0)</x:f>
        <x:v>420</x:v>
      </x:c>
      <x:c r="N12" s="11" t="n">
        <x:f>ROUND(RAW_ZP!$Q$14,0)</x:f>
        <x:v>341</x:v>
      </x:c>
      <x:c r="O12" s="11" t="n">
        <x:f>ROUND(RAW_ZP!$R$14,0)</x:f>
        <x:v>640</x:v>
      </x:c>
      <x:c r="P12" s="11" t="n">
        <x:f>ROUND(RAW_ZP!$S$14,0)</x:f>
        <x:v>520</x:v>
      </x:c>
      <x:c r="Q12" s="11" t="n">
        <x:f>ROUND(RAW_ZP!$T$14,0)</x:f>
        <x:v>1009</x:v>
      </x:c>
      <x:c r="R12" s="11" t="n">
        <x:f>ROUND(RAW_ZP!$U$14,0)</x:f>
        <x:v>820</x:v>
      </x:c>
      <x:c r="S12" s="11" t="n">
        <x:f>ROUND(RAW_ZP!$V$14,0)</x:f>
        <x:v>1279</x:v>
      </x:c>
      <x:c r="T12" s="11" t="n">
        <x:f>ROUND(RAW_ZP!$W$14,0)</x:f>
        <x:v>1040</x:v>
      </x:c>
      <x:c r="U12" s="11" t="n">
        <x:f>ROUND(RAW_ZS!$B$14,0)</x:f>
        <x:v>6620</x:v>
      </x:c>
      <x:c r="V12" s="11" t="n">
        <x:f>ROUND(RAW_ZS!$C$14,0)</x:f>
        <x:v>5382</x:v>
      </x:c>
      <x:c r="W12" s="11" t="n">
        <x:f>ROUND(RAW_ZS!$D$14,0)</x:f>
        <x:v>340</x:v>
      </x:c>
      <x:c r="X12" s="11" t="n">
        <x:f>ROUND(RAW_ZS!$E$14,0)</x:f>
        <x:v>276</x:v>
      </x:c>
      <x:c r="Y12" s="11" t="n">
        <x:f>ROUND(RAW_OP!$B$14,0)</x:f>
        <x:v>16530</x:v>
      </x:c>
      <x:c r="Z12" s="11" t="n">
        <x:f>ROUND(RAW_OP!$C$14,0)</x:f>
        <x:v>13439</x:v>
      </x:c>
      <x:c r="AA12" s="11" t="n">
        <x:f>ROUND(RAW_OP!$H$14,0)</x:f>
        <x:v>1320</x:v>
      </x:c>
      <x:c r="AB12" s="11" t="n">
        <x:f>ROUND(RAW_OP!$I$14,0)</x:f>
        <x:v>1073</x:v>
      </x:c>
      <x:c r="AC12" s="11" t="n">
        <x:f>ROUND(RAW_OP!$L$14,0)</x:f>
        <x:v>420</x:v>
      </x:c>
      <x:c r="AD12" s="11" t="n">
        <x:f>ROUND(RAW_OP!$M$14,0)</x:f>
        <x:v>341</x:v>
      </x:c>
      <x:c r="AE12" s="11" t="n">
        <x:f>ROUND(RAW_OP!$N$14,0)</x:f>
        <x:v>380</x:v>
      </x:c>
      <x:c r="AF12" s="11" t="n">
        <x:f>ROUND(RAW_OP!$O$14,0)</x:f>
        <x:v>309</x:v>
      </x:c>
      <x:c r="AG12" s="11" t="n">
        <x:f>ROUND(RAW_OP!$AB$14,0)</x:f>
        <x:v>890</x:v>
      </x:c>
      <x:c r="AH12" s="11" t="n">
        <x:f>ROUND(RAW_OP!$AC$14,0)</x:f>
        <x:v>724</x:v>
      </x:c>
      <x:c r="AI12" s="11" t="n">
        <x:f>ROUND(RAW_OP!$AD$14,0)</x:f>
        <x:v>320</x:v>
      </x:c>
      <x:c r="AJ12" s="11" t="n">
        <x:f>ROUND(RAW_OP!$AE$14,0)</x:f>
        <x:v>260</x:v>
      </x:c>
      <x:c r="AK12" s="11" t="n">
        <x:f>ROUND(RAW_OS!$B$14,0)</x:f>
        <x:v>18810</x:v>
      </x:c>
      <x:c r="AL12" s="11" t="n">
        <x:f>ROUND(RAW_OS!$C$14,0)</x:f>
        <x:v>15293</x:v>
      </x:c>
      <x:c r="AM12" s="11" t="n">
        <x:f>ROUND(RAW_OS!$D$14,0)</x:f>
        <x:v>340</x:v>
      </x:c>
      <x:c r="AN12" s="11" t="n">
        <x:f>ROUND(RAW_OS!$E$14,0)</x:f>
        <x:v>276</x:v>
      </x:c>
      <x:c r="AO12" s="11" t="n">
        <x:f>ROUND(RAW_OS!$F$14,0)</x:f>
        <x:v>1320</x:v>
      </x:c>
      <x:c r="AP12" s="11" t="n">
        <x:f>ROUND(RAW_OS!$G$14,0)</x:f>
        <x:v>1073</x:v>
      </x:c>
    </x:row>
    <x:row r="13">
      <x:c r="A13" s="9" t="inlineStr">
        <x:is>
          <x:t xml:space="preserve">350 x 406 cm</x:t>
        </x:is>
      </x:c>
      <x:c r="B13" s="9" t="inlineStr">
        <x:is>
          <x:t xml:space="preserve">PRO</x:t>
        </x:is>
      </x:c>
      <x:c r="C13" s="11" t="n">
        <x:f>ROUND(RAW_ZP!$B$15,0)</x:f>
        <x:v>5700</x:v>
      </x:c>
      <x:c r="D13" s="11" t="n">
        <x:f>ROUND(RAW_ZP!$C$15,0)</x:f>
        <x:v>4634</x:v>
      </x:c>
      <x:c r="E13" s="11" t="n">
        <x:f>ROUND(RAW_ZP!$D$15,0)</x:f>
        <x:v>200</x:v>
      </x:c>
      <x:c r="F13" s="11" t="n">
        <x:f>ROUND(RAW_ZP!$E$15,0)</x:f>
        <x:v>163</x:v>
      </x:c>
      <x:c r="G13" s="11" t="n">
        <x:f>ROUND(RAW_ZP!$H$15,0)</x:f>
        <x:v>4500</x:v>
      </x:c>
      <x:c r="H13" s="11" t="n">
        <x:f>ROUND(RAW_ZP!$I$15,0)</x:f>
        <x:v>3659</x:v>
      </x:c>
      <x:c r="I13" s="11" t="n">
        <x:f>ROUND(RAW_ZP!$J$15,0)</x:f>
        <x:v>2340</x:v>
      </x:c>
      <x:c r="J13" s="11" t="n">
        <x:f>ROUND(RAW_ZP!$K$15,0)</x:f>
        <x:v>1902</x:v>
      </x:c>
      <x:c r="K13" s="11" t="n">
        <x:f>ROUND(RAW_ZP!$N$15,0)</x:f>
        <x:v>2640</x:v>
      </x:c>
      <x:c r="L13" s="11" t="n">
        <x:f>ROUND(RAW_ZP!$O$15,0)</x:f>
        <x:v>2146</x:v>
      </x:c>
      <x:c r="M13" s="11" t="n">
        <x:f>ROUND(RAW_ZP!$P$15,0)</x:f>
        <x:v>510</x:v>
      </x:c>
      <x:c r="N13" s="11" t="n">
        <x:f>ROUND(RAW_ZP!$Q$15,0)</x:f>
        <x:v>415</x:v>
      </x:c>
      <x:c r="O13" s="11" t="n">
        <x:f>ROUND(RAW_ZP!$R$15,0)</x:f>
        <x:v>740</x:v>
      </x:c>
      <x:c r="P13" s="11" t="n">
        <x:f>ROUND(RAW_ZP!$S$15,0)</x:f>
        <x:v>602</x:v>
      </x:c>
      <x:c r="Q13" s="11" t="n">
        <x:f>ROUND(RAW_ZP!$T$15,0)</x:f>
        <x:v>1205</x:v>
      </x:c>
      <x:c r="R13" s="11" t="n">
        <x:f>ROUND(RAW_ZP!$U$15,0)</x:f>
        <x:v>980</x:v>
      </x:c>
      <x:c r="S13" s="11" t="n">
        <x:f>ROUND(RAW_ZP!$V$15,0)</x:f>
        <x:v>1599</x:v>
      </x:c>
      <x:c r="T13" s="11" t="n">
        <x:f>ROUND(RAW_ZP!$W$15,0)</x:f>
        <x:v>1300</x:v>
      </x:c>
      <x:c r="U13" s="11" t="n">
        <x:f>ROUND(RAW_ZS!$B$15,0)</x:f>
        <x:v>8750</x:v>
      </x:c>
      <x:c r="V13" s="11" t="n">
        <x:f>ROUND(RAW_ZS!$C$15,0)</x:f>
        <x:v>7114</x:v>
      </x:c>
      <x:c r="W13" s="11" t="n">
        <x:f>ROUND(RAW_ZS!$D$15,0)</x:f>
        <x:v>450</x:v>
      </x:c>
      <x:c r="X13" s="11" t="n">
        <x:f>ROUND(RAW_ZS!$E$15,0)</x:f>
        <x:v>366</x:v>
      </x:c>
      <x:c r="Y13" s="11" t="n">
        <x:f>ROUND(RAW_OP!$B$15,0)</x:f>
        <x:v>18790</x:v>
      </x:c>
      <x:c r="Z13" s="11" t="n">
        <x:f>ROUND(RAW_OP!$C$15,0)</x:f>
        <x:v>15276</x:v>
      </x:c>
      <x:c r="AA13" s="11" t="n">
        <x:f>ROUND(RAW_OP!$H$15,0)</x:f>
        <x:v>1440</x:v>
      </x:c>
      <x:c r="AB13" s="11" t="n">
        <x:f>ROUND(RAW_OP!$I$15,0)</x:f>
        <x:v>1171</x:v>
      </x:c>
      <x:c r="AC13" s="11" t="n">
        <x:f>ROUND(RAW_OP!$L$15,0)</x:f>
        <x:v>460</x:v>
      </x:c>
      <x:c r="AD13" s="11" t="n">
        <x:f>ROUND(RAW_OP!$M$15,0)</x:f>
        <x:v>374</x:v>
      </x:c>
      <x:c r="AE13" s="11" t="n">
        <x:f>ROUND(RAW_OP!$N$15,0)</x:f>
        <x:v>410</x:v>
      </x:c>
      <x:c r="AF13" s="11" t="n">
        <x:f>ROUND(RAW_OP!$O$15,0)</x:f>
        <x:v>333</x:v>
      </x:c>
      <x:c r="AG13" s="11" t="n">
        <x:f>ROUND(RAW_OP!$AB$15,0)</x:f>
        <x:v>1000</x:v>
      </x:c>
      <x:c r="AH13" s="11" t="n">
        <x:f>ROUND(RAW_OP!$AC$15,0)</x:f>
        <x:v>813</x:v>
      </x:c>
      <x:c r="AI13" s="11" t="n">
        <x:f>ROUND(RAW_OP!$AD$15,0)</x:f>
        <x:v>360</x:v>
      </x:c>
      <x:c r="AJ13" s="11" t="n">
        <x:f>ROUND(RAW_OP!$AE$15,0)</x:f>
        <x:v>293</x:v>
      </x:c>
      <x:c r="AK13" s="11" t="n">
        <x:f>ROUND(RAW_OS!$B$15,0)</x:f>
        <x:v>21840</x:v>
      </x:c>
      <x:c r="AL13" s="11" t="n">
        <x:f>ROUND(RAW_OS!$C$15,0)</x:f>
        <x:v>17756</x:v>
      </x:c>
      <x:c r="AM13" s="11" t="n">
        <x:f>ROUND(RAW_OS!$D$15,0)</x:f>
        <x:v>450</x:v>
      </x:c>
      <x:c r="AN13" s="11" t="n">
        <x:f>ROUND(RAW_OS!$E$15,0)</x:f>
        <x:v>366</x:v>
      </x:c>
      <x:c r="AO13" s="11" t="n">
        <x:f>ROUND(RAW_OS!$F$15,0)</x:f>
        <x:v>1440</x:v>
      </x:c>
      <x:c r="AP13" s="11" t="n">
        <x:f>ROUND(RAW_OS!$G$15,0)</x:f>
        <x:v>1171</x:v>
      </x:c>
    </x:row>
    <x:row r="14">
      <x:c r="A14" s="9" t="inlineStr">
        <x:is>
          <x:t xml:space="preserve">350 x 506 cm</x:t>
        </x:is>
      </x:c>
      <x:c r="B14" s="9" t="inlineStr">
        <x:is>
          <x:t xml:space="preserve">PRO</x:t>
        </x:is>
      </x:c>
      <x:c r="C14" s="11" t="n">
        <x:f>ROUND(RAW_ZP!$B$16,0)</x:f>
        <x:v>7100</x:v>
      </x:c>
      <x:c r="D14" s="11" t="n">
        <x:f>ROUND(RAW_ZP!$C$16,0)</x:f>
        <x:v>5772</x:v>
      </x:c>
      <x:c r="E14" s="11" t="n">
        <x:f>ROUND(RAW_ZP!$D$16,0)</x:f>
        <x:v>250</x:v>
      </x:c>
      <x:c r="F14" s="11" t="n">
        <x:f>ROUND(RAW_ZP!$E$16,0)</x:f>
        <x:v>203</x:v>
      </x:c>
      <x:c r="G14" s="11" t="n">
        <x:f>ROUND(RAW_ZP!$H$16,0)</x:f>
        <x:v>5200</x:v>
      </x:c>
      <x:c r="H14" s="11" t="n">
        <x:f>ROUND(RAW_ZP!$I$16,0)</x:f>
        <x:v>4228</x:v>
      </x:c>
      <x:c r="I14" s="11" t="n">
        <x:f>ROUND(RAW_ZP!$J$16,0)</x:f>
        <x:v>2340</x:v>
      </x:c>
      <x:c r="J14" s="11" t="n">
        <x:f>ROUND(RAW_ZP!$K$16,0)</x:f>
        <x:v>1902</x:v>
      </x:c>
      <x:c r="K14" s="11" t="n">
        <x:f>ROUND(RAW_ZP!$N$16,0)</x:f>
        <x:v>3700</x:v>
      </x:c>
      <x:c r="L14" s="11" t="n">
        <x:f>ROUND(RAW_ZP!$O$16,0)</x:f>
        <x:v>3008</x:v>
      </x:c>
      <x:c r="M14" s="11" t="n">
        <x:f>ROUND(RAW_ZP!$P$16,0)</x:f>
        <x:v>600</x:v>
      </x:c>
      <x:c r="N14" s="11" t="n">
        <x:f>ROUND(RAW_ZP!$Q$16,0)</x:f>
        <x:v>488</x:v>
      </x:c>
      <x:c r="O14" s="11" t="n">
        <x:f>ROUND(RAW_ZP!$R$16,0)</x:f>
        <x:v>960</x:v>
      </x:c>
      <x:c r="P14" s="11" t="n">
        <x:f>ROUND(RAW_ZP!$S$16,0)</x:f>
        <x:v>780</x:v>
      </x:c>
      <x:c r="Q14" s="11" t="n">
        <x:f>ROUND(RAW_ZP!$T$16,0)</x:f>
        <x:v>1390</x:v>
      </x:c>
      <x:c r="R14" s="11" t="n">
        <x:f>ROUND(RAW_ZP!$U$16,0)</x:f>
        <x:v>1130</x:v>
      </x:c>
      <x:c r="S14" s="11" t="n">
        <x:f>ROUND(RAW_ZP!$V$16,0)</x:f>
        <x:v>1907</x:v>
      </x:c>
      <x:c r="T14" s="11" t="n">
        <x:f>ROUND(RAW_ZP!$W$16,0)</x:f>
        <x:v>1550</x:v>
      </x:c>
      <x:c r="U14" s="11" t="n">
        <x:f>ROUND(RAW_ZS!$B$16,0)</x:f>
        <x:v>11010</x:v>
      </x:c>
      <x:c r="V14" s="11" t="n">
        <x:f>ROUND(RAW_ZS!$C$16,0)</x:f>
        <x:v>8951</x:v>
      </x:c>
      <x:c r="W14" s="11" t="n">
        <x:f>ROUND(RAW_ZS!$D$16,0)</x:f>
        <x:v>570</x:v>
      </x:c>
      <x:c r="X14" s="11" t="n">
        <x:f>ROUND(RAW_ZS!$E$16,0)</x:f>
        <x:v>463</x:v>
      </x:c>
      <x:c r="Y14" s="11" t="n">
        <x:f>ROUND(RAW_OP!$B$16,0)</x:f>
        <x:v>21340</x:v>
      </x:c>
      <x:c r="Z14" s="11" t="n">
        <x:f>ROUND(RAW_OP!$C$16,0)</x:f>
        <x:v>17350</x:v>
      </x:c>
      <x:c r="AA14" s="11" t="n">
        <x:f>ROUND(RAW_OP!$H$16,0)</x:f>
        <x:v>1560</x:v>
      </x:c>
      <x:c r="AB14" s="11" t="n">
        <x:f>ROUND(RAW_OP!$I$16,0)</x:f>
        <x:v>1268</x:v>
      </x:c>
      <x:c r="AC14" s="11" t="n">
        <x:f>ROUND(RAW_OP!$L$16,0)</x:f>
        <x:v>500</x:v>
      </x:c>
      <x:c r="AD14" s="11" t="n">
        <x:f>ROUND(RAW_OP!$M$16,0)</x:f>
        <x:v>407</x:v>
      </x:c>
      <x:c r="AE14" s="11" t="n">
        <x:f>ROUND(RAW_OP!$N$16,0)</x:f>
        <x:v>450</x:v>
      </x:c>
      <x:c r="AF14" s="11" t="n">
        <x:f>ROUND(RAW_OP!$O$16,0)</x:f>
        <x:v>366</x:v>
      </x:c>
      <x:c r="AG14" s="11" t="n">
        <x:f>ROUND(RAW_OP!$AB$16,0)</x:f>
        <x:v>1140</x:v>
      </x:c>
      <x:c r="AH14" s="11" t="n">
        <x:f>ROUND(RAW_OP!$AC$16,0)</x:f>
        <x:v>927</x:v>
      </x:c>
      <x:c r="AI14" s="11" t="n">
        <x:f>ROUND(RAW_OP!$AD$16,0)</x:f>
        <x:v>360</x:v>
      </x:c>
      <x:c r="AJ14" s="11" t="n">
        <x:f>ROUND(RAW_OP!$AE$16,0)</x:f>
        <x:v>293</x:v>
      </x:c>
      <x:c r="AK14" s="11" t="n">
        <x:f>ROUND(RAW_OS!$B$16,0)</x:f>
        <x:v>25250</x:v>
      </x:c>
      <x:c r="AL14" s="11" t="n">
        <x:f>ROUND(RAW_OS!$C$16,0)</x:f>
        <x:v>20528</x:v>
      </x:c>
      <x:c r="AM14" s="11" t="n">
        <x:f>ROUND(RAW_OS!$D$16,0)</x:f>
        <x:v>570</x:v>
      </x:c>
      <x:c r="AN14" s="11" t="n">
        <x:f>ROUND(RAW_OS!$E$16,0)</x:f>
        <x:v>463</x:v>
      </x:c>
      <x:c r="AO14" s="11" t="n">
        <x:f>ROUND(RAW_OS!$F$16,0)</x:f>
        <x:v>1560</x:v>
      </x:c>
      <x:c r="AP14" s="11" t="n">
        <x:f>ROUND(RAW_OS!$G$16,0)</x:f>
        <x:v>1268</x:v>
      </x:c>
    </x:row>
    <x:row r="15">
      <x:c r="A15" s="9" t="inlineStr">
        <x:is>
          <x:t xml:space="preserve">350 x 606 cm</x:t>
        </x:is>
      </x:c>
      <x:c r="B15" s="9" t="inlineStr">
        <x:is>
          <x:t xml:space="preserve">PRO</x:t>
        </x:is>
      </x:c>
      <x:c r="C15" s="11" t="n">
        <x:f>ROUND(RAW_ZP!$B$17,0)</x:f>
        <x:v>8130</x:v>
      </x:c>
      <x:c r="D15" s="11" t="n">
        <x:f>ROUND(RAW_ZP!$C$17,0)</x:f>
        <x:v>6610</x:v>
      </x:c>
      <x:c r="E15" s="11" t="n">
        <x:f>ROUND(RAW_ZP!$D$17,0)</x:f>
        <x:v>300</x:v>
      </x:c>
      <x:c r="F15" s="11" t="n">
        <x:f>ROUND(RAW_ZP!$E$17,0)</x:f>
        <x:v>244</x:v>
      </x:c>
      <x:c r="G15" s="11" t="n">
        <x:f>ROUND(RAW_ZP!$H$17,0)</x:f>
        <x:v>7960</x:v>
      </x:c>
      <x:c r="H15" s="11" t="n">
        <x:f>ROUND(RAW_ZP!$I$17,0)</x:f>
        <x:v>6472</x:v>
      </x:c>
      <x:c r="I15" s="11" t="n">
        <x:f>ROUND(RAW_ZP!$J$17,0)</x:f>
        <x:v>2340</x:v>
      </x:c>
      <x:c r="J15" s="11" t="n">
        <x:f>ROUND(RAW_ZP!$K$17,0)</x:f>
        <x:v>1902</x:v>
      </x:c>
      <x:c r="K15" s="11" t="n">
        <x:f>ROUND(RAW_ZP!$N$17,0)</x:f>
        <x:v>4270</x:v>
      </x:c>
      <x:c r="L15" s="11" t="n">
        <x:f>ROUND(RAW_ZP!$O$17,0)</x:f>
        <x:v>3472</x:v>
      </x:c>
      <x:c r="M15" s="11" t="n">
        <x:f>ROUND(RAW_ZP!$P$17,0)</x:f>
        <x:v>790</x:v>
      </x:c>
      <x:c r="N15" s="11" t="n">
        <x:f>ROUND(RAW_ZP!$Q$17,0)</x:f>
        <x:v>642</x:v>
      </x:c>
      <x:c r="O15" s="11" t="n">
        <x:f>ROUND(RAW_ZP!$R$17,0)</x:f>
        <x:v>1090</x:v>
      </x:c>
      <x:c r="P15" s="11" t="n">
        <x:f>ROUND(RAW_ZP!$S$17,0)</x:f>
        <x:v>886</x:v>
      </x:c>
      <x:c r="Q15" s="11" t="n">
        <x:f>ROUND(RAW_ZP!$T$17,0)</x:f>
        <x:v>1587</x:v>
      </x:c>
      <x:c r="R15" s="11" t="n">
        <x:f>ROUND(RAW_ZP!$U$17,0)</x:f>
        <x:v>1290</x:v>
      </x:c>
      <x:c r="S15" s="11" t="n">
        <x:f>ROUND(RAW_ZP!$V$17,0)</x:f>
        <x:v>2239</x:v>
      </x:c>
      <x:c r="T15" s="11" t="n">
        <x:f>ROUND(RAW_ZP!$W$17,0)</x:f>
        <x:v>1820</x:v>
      </x:c>
      <x:c r="U15" s="11" t="n">
        <x:f>ROUND(RAW_ZS!$B$17,0)</x:f>
        <x:v>12820</x:v>
      </x:c>
      <x:c r="V15" s="11" t="n">
        <x:f>ROUND(RAW_ZS!$C$17,0)</x:f>
        <x:v>10423</x:v>
      </x:c>
      <x:c r="W15" s="11" t="n">
        <x:f>ROUND(RAW_ZS!$D$17,0)</x:f>
        <x:v>690</x:v>
      </x:c>
      <x:c r="X15" s="11" t="n">
        <x:f>ROUND(RAW_ZS!$E$17,0)</x:f>
        <x:v>561</x:v>
      </x:c>
      <x:c r="Y15" s="11" t="n">
        <x:f>ROUND(RAW_OP!$B$17,0)</x:f>
        <x:v>23600</x:v>
      </x:c>
      <x:c r="Z15" s="11" t="n">
        <x:f>ROUND(RAW_OP!$C$17,0)</x:f>
        <x:v>19187</x:v>
      </x:c>
      <x:c r="AA15" s="11" t="n">
        <x:f>ROUND(RAW_OP!$H$17,0)</x:f>
        <x:v>1680</x:v>
      </x:c>
      <x:c r="AB15" s="11" t="n">
        <x:f>ROUND(RAW_OP!$I$17,0)</x:f>
        <x:v>1366</x:v>
      </x:c>
      <x:c r="AC15" s="11" t="n">
        <x:f>ROUND(RAW_OP!$L$17,0)</x:f>
        <x:v>530</x:v>
      </x:c>
      <x:c r="AD15" s="11" t="n">
        <x:f>ROUND(RAW_OP!$M$17,0)</x:f>
        <x:v>431</x:v>
      </x:c>
      <x:c r="AE15" s="11" t="n">
        <x:f>ROUND(RAW_OP!$N$17,0)</x:f>
        <x:v>480</x:v>
      </x:c>
      <x:c r="AF15" s="11" t="n">
        <x:f>ROUND(RAW_OP!$O$17,0)</x:f>
        <x:v>390</x:v>
      </x:c>
      <x:c r="AG15" s="11" t="n">
        <x:f>ROUND(RAW_OP!$AB$17,0)</x:f>
        <x:v>1420</x:v>
      </x:c>
      <x:c r="AH15" s="11" t="n">
        <x:f>ROUND(RAW_OP!$AC$17,0)</x:f>
        <x:v>1154</x:v>
      </x:c>
      <x:c r="AI15" s="11" t="n">
        <x:f>ROUND(RAW_OP!$AD$17,0)</x:f>
        <x:v>400</x:v>
      </x:c>
      <x:c r="AJ15" s="11" t="n">
        <x:f>ROUND(RAW_OP!$AE$17,0)</x:f>
        <x:v>325</x:v>
      </x:c>
      <x:c r="AK15" s="11" t="n">
        <x:f>ROUND(RAW_OS!$B$17,0)</x:f>
        <x:v>28290</x:v>
      </x:c>
      <x:c r="AL15" s="11" t="n">
        <x:f>ROUND(RAW_OS!$C$17,0)</x:f>
        <x:v>23000</x:v>
      </x:c>
      <x:c r="AM15" s="11" t="n">
        <x:f>ROUND(RAW_OS!$D$17,0)</x:f>
        <x:v>690</x:v>
      </x:c>
      <x:c r="AN15" s="11" t="n">
        <x:f>ROUND(RAW_OS!$E$17,0)</x:f>
        <x:v>561</x:v>
      </x:c>
      <x:c r="AO15" s="11" t="n">
        <x:f>ROUND(RAW_OS!$F$17,0)</x:f>
        <x:v>1680</x:v>
      </x:c>
      <x:c r="AP15" s="11" t="n">
        <x:f>ROUND(RAW_OS!$G$17,0)</x:f>
        <x:v>1366</x:v>
      </x:c>
    </x:row>
    <x:row r="16">
      <x:c r="A16" s="9" t="inlineStr">
        <x:is>
          <x:t xml:space="preserve">350 x 706 cm</x:t>
        </x:is>
      </x:c>
      <x:c r="B16" s="9" t="inlineStr">
        <x:is>
          <x:t xml:space="preserve">PRO</x:t>
        </x:is>
      </x:c>
      <x:c r="C16" s="11" t="n">
        <x:f>ROUND(RAW_ZP!$B$18,0)</x:f>
        <x:v>9440</x:v>
      </x:c>
      <x:c r="D16" s="11" t="n">
        <x:f>ROUND(RAW_ZP!$C$18,0)</x:f>
        <x:v>7675</x:v>
      </x:c>
      <x:c r="E16" s="11" t="n">
        <x:f>ROUND(RAW_ZP!$D$18,0)</x:f>
        <x:v>350</x:v>
      </x:c>
      <x:c r="F16" s="11" t="n">
        <x:f>ROUND(RAW_ZP!$E$18,0)</x:f>
        <x:v>285</x:v>
      </x:c>
      <x:c r="G16" s="11" t="n">
        <x:f>ROUND(RAW_ZP!$H$18,0)</x:f>
        <x:v>8480</x:v>
      </x:c>
      <x:c r="H16" s="11" t="n">
        <x:f>ROUND(RAW_ZP!$I$18,0)</x:f>
        <x:v>6894</x:v>
      </x:c>
      <x:c r="I16" s="11" t="n">
        <x:f>ROUND(RAW_ZP!$J$18,0)</x:f>
        <x:v>2340</x:v>
      </x:c>
      <x:c r="J16" s="11" t="n">
        <x:f>ROUND(RAW_ZP!$K$18,0)</x:f>
        <x:v>1902</x:v>
      </x:c>
      <x:c r="K16" s="11" t="n">
        <x:f>ROUND(RAW_ZP!$N$18,0)</x:f>
        <x:v>4780</x:v>
      </x:c>
      <x:c r="L16" s="11" t="n">
        <x:f>ROUND(RAW_ZP!$O$18,0)</x:f>
        <x:v>3886</x:v>
      </x:c>
      <x:c r="M16" s="11" t="n">
        <x:f>ROUND(RAW_ZP!$P$18,0)</x:f>
        <x:v>870</x:v>
      </x:c>
      <x:c r="N16" s="11" t="n">
        <x:f>ROUND(RAW_ZP!$Q$18,0)</x:f>
        <x:v>707</x:v>
      </x:c>
      <x:c r="O16" s="11" t="n">
        <x:f>ROUND(RAW_ZP!$R$18,0)</x:f>
        <x:v>1210</x:v>
      </x:c>
      <x:c r="P16" s="11" t="n">
        <x:f>ROUND(RAW_ZP!$S$18,0)</x:f>
        <x:v>984</x:v>
      </x:c>
      <x:c r="Q16" s="11" t="n">
        <x:f>ROUND(RAW_ZP!$T$18,0)</x:f>
        <x:v>1784</x:v>
      </x:c>
      <x:c r="R16" s="11" t="n">
        <x:f>ROUND(RAW_ZP!$U$18,0)</x:f>
        <x:v>1450</x:v>
      </x:c>
      <x:c r="S16" s="11" t="n">
        <x:f>ROUND(RAW_ZP!$V$18,0)</x:f>
        <x:v>2571</x:v>
      </x:c>
      <x:c r="T16" s="11" t="n">
        <x:f>ROUND(RAW_ZP!$W$18,0)</x:f>
        <x:v>2090</x:v>
      </x:c>
      <x:c r="U16" s="11" t="n">
        <x:f>ROUND(RAW_ZS!$B$18,0)</x:f>
        <x:v>14820</x:v>
      </x:c>
      <x:c r="V16" s="11" t="n">
        <x:f>ROUND(RAW_ZS!$C$18,0)</x:f>
        <x:v>12049</x:v>
      </x:c>
      <x:c r="W16" s="11" t="n">
        <x:f>ROUND(RAW_ZS!$D$18,0)</x:f>
        <x:v>800</x:v>
      </x:c>
      <x:c r="X16" s="11" t="n">
        <x:f>ROUND(RAW_ZS!$E$18,0)</x:f>
        <x:v>650</x:v>
      </x:c>
      <x:c r="Y16" s="11" t="n">
        <x:f>ROUND(RAW_OP!$B$18,0)</x:f>
        <x:v>25000</x:v>
      </x:c>
      <x:c r="Z16" s="11" t="n">
        <x:f>ROUND(RAW_OP!$C$18,0)</x:f>
        <x:v>20325</x:v>
      </x:c>
      <x:c r="AA16" s="11" t="n">
        <x:f>ROUND(RAW_OP!$H$18,0)</x:f>
        <x:v>1800</x:v>
      </x:c>
      <x:c r="AB16" s="11" t="n">
        <x:f>ROUND(RAW_OP!$I$18,0)</x:f>
        <x:v>1463</x:v>
      </x:c>
      <x:c r="AC16" s="11" t="n">
        <x:f>ROUND(RAW_OP!$L$18,0)</x:f>
        <x:v>570</x:v>
      </x:c>
      <x:c r="AD16" s="11" t="n">
        <x:f>ROUND(RAW_OP!$M$18,0)</x:f>
        <x:v>463</x:v>
      </x:c>
      <x:c r="AE16" s="11" t="n">
        <x:f>ROUND(RAW_OP!$N$18,0)</x:f>
        <x:v>520</x:v>
      </x:c>
      <x:c r="AF16" s="11" t="n">
        <x:f>ROUND(RAW_OP!$O$18,0)</x:f>
        <x:v>423</x:v>
      </x:c>
      <x:c r="AG16" s="11" t="n">
        <x:f>ROUND(RAW_OP!$AB$18,0)</x:f>
        <x:v>1220</x:v>
      </x:c>
      <x:c r="AH16" s="11" t="n">
        <x:f>ROUND(RAW_OP!$AC$18,0)</x:f>
        <x:v>992</x:v>
      </x:c>
      <x:c r="AI16" s="11" t="n">
        <x:f>ROUND(RAW_OP!$AD$18,0)</x:f>
        <x:v>440</x:v>
      </x:c>
      <x:c r="AJ16" s="11" t="n">
        <x:f>ROUND(RAW_OP!$AE$18,0)</x:f>
        <x:v>358</x:v>
      </x:c>
      <x:c r="AK16" s="11" t="n">
        <x:f>ROUND(RAW_OS!$B$18,0)</x:f>
        <x:v>30380</x:v>
      </x:c>
      <x:c r="AL16" s="11" t="n">
        <x:f>ROUND(RAW_OS!$C$18,0)</x:f>
        <x:v>24699</x:v>
      </x:c>
      <x:c r="AM16" s="11" t="n">
        <x:f>ROUND(RAW_OS!$D$18,0)</x:f>
        <x:v>800</x:v>
      </x:c>
      <x:c r="AN16" s="11" t="n">
        <x:f>ROUND(RAW_OS!$E$18,0)</x:f>
        <x:v>650</x:v>
      </x:c>
      <x:c r="AO16" s="11" t="n">
        <x:f>ROUND(RAW_OS!$F$18,0)</x:f>
        <x:v>1800</x:v>
      </x:c>
      <x:c r="AP16" s="11" t="n">
        <x:f>ROUND(RAW_OS!$G$18,0)</x:f>
        <x:v>1463</x:v>
      </x:c>
    </x:row>
    <x:row r="17">
      <x:c r="A17" s="9" t="inlineStr">
        <x:is>
          <x:t xml:space="preserve">350 x 806 cm</x:t>
        </x:is>
      </x:c>
      <x:c r="B17" s="9" t="inlineStr">
        <x:is>
          <x:t xml:space="preserve">PRO</x:t>
        </x:is>
      </x:c>
      <x:c r="C17" s="11" t="n">
        <x:f>ROUND(RAW_ZP!$B$19,0)</x:f>
        <x:v>11400</x:v>
      </x:c>
      <x:c r="D17" s="11" t="n">
        <x:f>ROUND(RAW_ZP!$C$19,0)</x:f>
        <x:v>9268</x:v>
      </x:c>
      <x:c r="E17" s="11" t="n">
        <x:f>ROUND(RAW_ZP!$D$19,0)</x:f>
        <x:v>400</x:v>
      </x:c>
      <x:c r="F17" s="11" t="n">
        <x:f>ROUND(RAW_ZP!$E$19,0)</x:f>
        <x:v>325</x:v>
      </x:c>
      <x:c r="G17" s="11" t="n">
        <x:f>ROUND(RAW_ZP!$H$19,0)</x:f>
        <x:v>8990</x:v>
      </x:c>
      <x:c r="H17" s="11" t="n">
        <x:f>ROUND(RAW_ZP!$I$19,0)</x:f>
        <x:v>7309</x:v>
      </x:c>
      <x:c r="I17" s="11" t="n">
        <x:f>ROUND(RAW_ZP!$J$19,0)</x:f>
        <x:v>2340</x:v>
      </x:c>
      <x:c r="J17" s="11" t="n">
        <x:f>ROUND(RAW_ZP!$K$19,0)</x:f>
        <x:v>1902</x:v>
      </x:c>
      <x:c r="K17" s="11" t="n">
        <x:f>ROUND(RAW_ZP!$N$19,0)</x:f>
        <x:v>5280</x:v>
      </x:c>
      <x:c r="L17" s="11" t="n">
        <x:f>ROUND(RAW_ZP!$O$19,0)</x:f>
        <x:v>4293</x:v>
      </x:c>
      <x:c r="M17" s="11" t="n">
        <x:f>ROUND(RAW_ZP!$P$19,0)</x:f>
        <x:v>960</x:v>
      </x:c>
      <x:c r="N17" s="11" t="n">
        <x:f>ROUND(RAW_ZP!$Q$19,0)</x:f>
        <x:v>780</x:v>
      </x:c>
      <x:c r="O17" s="11" t="n">
        <x:f>ROUND(RAW_ZP!$R$19,0)</x:f>
        <x:v>1440</x:v>
      </x:c>
      <x:c r="P17" s="11" t="n">
        <x:f>ROUND(RAW_ZP!$S$19,0)</x:f>
        <x:v>1171</x:v>
      </x:c>
      <x:c r="Q17" s="11" t="n">
        <x:f>ROUND(RAW_ZP!$T$19,0)</x:f>
        <x:v>1993</x:v>
      </x:c>
      <x:c r="R17" s="11" t="n">
        <x:f>ROUND(RAW_ZP!$U$19,0)</x:f>
        <x:v>1620</x:v>
      </x:c>
      <x:c r="S17" s="11" t="n">
        <x:f>ROUND(RAW_ZP!$V$19,0)</x:f>
        <x:v>2891</x:v>
      </x:c>
      <x:c r="T17" s="11" t="n">
        <x:f>ROUND(RAW_ZP!$W$19,0)</x:f>
        <x:v>2350</x:v>
      </x:c>
      <x:c r="U17" s="11" t="n">
        <x:f>ROUND(RAW_ZS!$B$19,0)</x:f>
        <x:v>17840</x:v>
      </x:c>
      <x:c r="V17" s="11" t="n">
        <x:f>ROUND(RAW_ZS!$C$19,0)</x:f>
        <x:v>14504</x:v>
      </x:c>
      <x:c r="W17" s="11" t="n">
        <x:f>ROUND(RAW_ZS!$D$19,0)</x:f>
        <x:v>910</x:v>
      </x:c>
      <x:c r="X17" s="11" t="n">
        <x:f>ROUND(RAW_ZS!$E$19,0)</x:f>
        <x:v>740</x:v>
      </x:c>
      <x:c r="Y17" s="11" t="n">
        <x:f>ROUND(RAW_OP!$B$19,0)</x:f>
        <x:v>27830</x:v>
      </x:c>
      <x:c r="Z17" s="11" t="n">
        <x:f>ROUND(RAW_OP!$C$19,0)</x:f>
        <x:v>22626</x:v>
      </x:c>
      <x:c r="AA17" s="11" t="n">
        <x:f>ROUND(RAW_OP!$H$19,0)</x:f>
        <x:v>1920</x:v>
      </x:c>
      <x:c r="AB17" s="11" t="n">
        <x:f>ROUND(RAW_OP!$I$19,0)</x:f>
        <x:v>1561</x:v>
      </x:c>
      <x:c r="AC17" s="11" t="n">
        <x:f>ROUND(RAW_OP!$L$19,0)</x:f>
        <x:v>610</x:v>
      </x:c>
      <x:c r="AD17" s="11" t="n">
        <x:f>ROUND(RAW_OP!$M$19,0)</x:f>
        <x:v>496</x:v>
      </x:c>
      <x:c r="AE17" s="11" t="n">
        <x:f>ROUND(RAW_OP!$N$19,0)</x:f>
        <x:v>550</x:v>
      </x:c>
      <x:c r="AF17" s="11" t="n">
        <x:f>ROUND(RAW_OP!$O$19,0)</x:f>
        <x:v>447</x:v>
      </x:c>
      <x:c r="AG17" s="11" t="n">
        <x:f>ROUND(RAW_OP!$AB$19,0)</x:f>
        <x:v>1330</x:v>
      </x:c>
      <x:c r="AH17" s="11" t="n">
        <x:f>ROUND(RAW_OP!$AC$19,0)</x:f>
        <x:v>1081</x:v>
      </x:c>
      <x:c r="AI17" s="11" t="n">
        <x:f>ROUND(RAW_OP!$AD$19,0)</x:f>
        <x:v>480</x:v>
      </x:c>
      <x:c r="AJ17" s="11" t="n">
        <x:f>ROUND(RAW_OP!$AE$19,0)</x:f>
        <x:v>390</x:v>
      </x:c>
      <x:c r="AK17" s="11" t="n">
        <x:f>ROUND(RAW_OS!$B$19,0)</x:f>
        <x:v>34270</x:v>
      </x:c>
      <x:c r="AL17" s="11" t="n">
        <x:f>ROUND(RAW_OS!$C$19,0)</x:f>
        <x:v>27862</x:v>
      </x:c>
      <x:c r="AM17" s="11" t="n">
        <x:f>ROUND(RAW_OS!$D$19,0)</x:f>
        <x:v>910</x:v>
      </x:c>
      <x:c r="AN17" s="11" t="n">
        <x:f>ROUND(RAW_OS!$E$19,0)</x:f>
        <x:v>740</x:v>
      </x:c>
      <x:c r="AO17" s="11" t="n">
        <x:f>ROUND(RAW_OS!$F$19,0)</x:f>
        <x:v>1920</x:v>
      </x:c>
      <x:c r="AP17" s="11" t="n">
        <x:f>ROUND(RAW_OS!$G$19,0)</x:f>
        <x:v>1561</x:v>
      </x:c>
    </x:row>
    <x:row r="18">
      <x:c r="A18" s="9" t="inlineStr">
        <x:is>
          <x:t xml:space="preserve">350 x 906 cm</x:t>
        </x:is>
      </x:c>
      <x:c r="B18" s="9" t="inlineStr">
        <x:is>
          <x:t xml:space="preserve">PRO</x:t>
        </x:is>
      </x:c>
      <x:c r="C18" s="11" t="n">
        <x:f>ROUND(RAW_ZP!$B$20,0)</x:f>
        <x:v>12800</x:v>
      </x:c>
      <x:c r="D18" s="11" t="n">
        <x:f>ROUND(RAW_ZP!$C$20,0)</x:f>
        <x:v>10407</x:v>
      </x:c>
      <x:c r="E18" s="11" t="n">
        <x:f>ROUND(RAW_ZP!$D$20,0)</x:f>
        <x:v>450</x:v>
      </x:c>
      <x:c r="F18" s="11" t="n">
        <x:f>ROUND(RAW_ZP!$E$20,0)</x:f>
        <x:v>366</x:v>
      </x:c>
      <x:c r="G18" s="11" t="n">
        <x:f>ROUND(RAW_ZP!$H$20,0)</x:f>
        <x:v>9700</x:v>
      </x:c>
      <x:c r="H18" s="11" t="n">
        <x:f>ROUND(RAW_ZP!$I$20,0)</x:f>
        <x:v>7886</x:v>
      </x:c>
      <x:c r="I18" s="11" t="n">
        <x:f>ROUND(RAW_ZP!$J$20,0)</x:f>
        <x:v>2340</x:v>
      </x:c>
      <x:c r="J18" s="11" t="n">
        <x:f>ROUND(RAW_ZP!$K$20,0)</x:f>
        <x:v>1902</x:v>
      </x:c>
      <x:c r="K18" s="11" t="n">
        <x:f>ROUND(RAW_ZP!$N$20,0)</x:f>
        <x:v>6400</x:v>
      </x:c>
      <x:c r="L18" s="11" t="n">
        <x:f>ROUND(RAW_ZP!$O$20,0)</x:f>
        <x:v>5203</x:v>
      </x:c>
      <x:c r="M18" s="11" t="n">
        <x:f>ROUND(RAW_ZP!$P$20,0)</x:f>
        <x:v>1040</x:v>
      </x:c>
      <x:c r="N18" s="11" t="n">
        <x:f>ROUND(RAW_ZP!$Q$20,0)</x:f>
        <x:v>846</x:v>
      </x:c>
      <x:c r="O18" s="11" t="n">
        <x:f>ROUND(RAW_ZP!$R$20,0)</x:f>
        <x:v>1560</x:v>
      </x:c>
      <x:c r="P18" s="11" t="n">
        <x:f>ROUND(RAW_ZP!$S$20,0)</x:f>
        <x:v>1268</x:v>
      </x:c>
      <x:c r="Q18" s="11" t="n">
        <x:f>ROUND(RAW_ZP!$T$20,0)</x:f>
        <x:v>2189</x:v>
      </x:c>
      <x:c r="R18" s="11" t="n">
        <x:f>ROUND(RAW_ZP!$U$20,0)</x:f>
        <x:v>1780</x:v>
      </x:c>
      <x:c r="S18" s="11" t="n">
        <x:f>ROUND(RAW_ZP!$V$20,0)</x:f>
        <x:v>3223</x:v>
      </x:c>
      <x:c r="T18" s="11" t="n">
        <x:f>ROUND(RAW_ZP!$W$20,0)</x:f>
        <x:v>2620</x:v>
      </x:c>
      <x:c r="U18" s="11" t="n">
        <x:f>ROUND(RAW_ZS!$B$20,0)</x:f>
        <x:v>20110</x:v>
      </x:c>
      <x:c r="V18" s="11" t="n">
        <x:f>ROUND(RAW_ZS!$C$20,0)</x:f>
        <x:v>16350</x:v>
      </x:c>
      <x:c r="W18" s="11" t="n">
        <x:f>ROUND(RAW_ZS!$D$20,0)</x:f>
        <x:v>1020</x:v>
      </x:c>
      <x:c r="X18" s="11" t="n">
        <x:f>ROUND(RAW_ZS!$E$20,0)</x:f>
        <x:v>829</x:v>
      </x:c>
      <x:c r="Y18" s="11" t="n">
        <x:f>ROUND(RAW_OP!$B$20,0)</x:f>
        <x:v>30380</x:v>
      </x:c>
      <x:c r="Z18" s="11" t="n">
        <x:f>ROUND(RAW_OP!$C$20,0)</x:f>
        <x:v>24699</x:v>
      </x:c>
      <x:c r="AA18" s="11" t="n">
        <x:f>ROUND(RAW_OP!$H$20,0)</x:f>
        <x:v>2040</x:v>
      </x:c>
      <x:c r="AB18" s="11" t="n">
        <x:f>ROUND(RAW_OP!$I$20,0)</x:f>
        <x:v>1659</x:v>
      </x:c>
      <x:c r="AC18" s="11" t="n">
        <x:f>ROUND(RAW_OP!$L$20,0)</x:f>
        <x:v>650</x:v>
      </x:c>
      <x:c r="AD18" s="11" t="n">
        <x:f>ROUND(RAW_OP!$M$20,0)</x:f>
        <x:v>528</x:v>
      </x:c>
      <x:c r="AE18" s="11" t="n">
        <x:f>ROUND(RAW_OP!$N$20,0)</x:f>
        <x:v>590</x:v>
      </x:c>
      <x:c r="AF18" s="11" t="n">
        <x:f>ROUND(RAW_OP!$O$20,0)</x:f>
        <x:v>480</x:v>
      </x:c>
      <x:c r="AG18" s="11" t="n">
        <x:f>ROUND(RAW_OP!$AB$20,0)</x:f>
        <x:v>1470</x:v>
      </x:c>
      <x:c r="AH18" s="11" t="n">
        <x:f>ROUND(RAW_OP!$AC$20,0)</x:f>
        <x:v>1195</x:v>
      </x:c>
      <x:c r="AI18" s="11" t="n">
        <x:f>ROUND(RAW_OP!$AD$20,0)</x:f>
        <x:v>480</x:v>
      </x:c>
      <x:c r="AJ18" s="11" t="n">
        <x:f>ROUND(RAW_OP!$AE$20,0)</x:f>
        <x:v>390</x:v>
      </x:c>
      <x:c r="AK18" s="11" t="n">
        <x:f>ROUND(RAW_OS!$B$20,0)</x:f>
        <x:v>37690</x:v>
      </x:c>
      <x:c r="AL18" s="11" t="n">
        <x:f>ROUND(RAW_OS!$C$20,0)</x:f>
        <x:v>30642</x:v>
      </x:c>
      <x:c r="AM18" s="11" t="n">
        <x:f>ROUND(RAW_OS!$D$20,0)</x:f>
        <x:v>1020</x:v>
      </x:c>
      <x:c r="AN18" s="11" t="n">
        <x:f>ROUND(RAW_OS!$E$20,0)</x:f>
        <x:v>829</x:v>
      </x:c>
      <x:c r="AO18" s="11" t="n">
        <x:f>ROUND(RAW_OS!$F$20,0)</x:f>
        <x:v>2040</x:v>
      </x:c>
      <x:c r="AP18" s="11" t="n">
        <x:f>ROUND(RAW_OS!$G$20,0)</x:f>
        <x:v>1659</x:v>
      </x:c>
    </x:row>
    <x:row r="19">
      <x:c r="A19" s="9" t="inlineStr">
        <x:is>
          <x:t xml:space="preserve">350 x 1006 cm</x:t>
        </x:is>
      </x:c>
      <x:c r="B19" s="9" t="inlineStr">
        <x:is>
          <x:t xml:space="preserve">PRO</x:t>
        </x:is>
      </x:c>
      <x:c r="C19" s="11" t="n">
        <x:f>ROUND(RAW_ZP!$B$21,0)</x:f>
        <x:v>14200</x:v>
      </x:c>
      <x:c r="D19" s="11" t="n">
        <x:f>ROUND(RAW_ZP!$C$21,0)</x:f>
        <x:v>11545</x:v>
      </x:c>
      <x:c r="E19" s="11" t="n">
        <x:f>ROUND(RAW_ZP!$D$21,0)</x:f>
        <x:v>500</x:v>
      </x:c>
      <x:c r="F19" s="11" t="n">
        <x:f>ROUND(RAW_ZP!$E$21,0)</x:f>
        <x:v>407</x:v>
      </x:c>
      <x:c r="G19" s="11" t="n">
        <x:f>ROUND(RAW_ZP!$H$21,0)</x:f>
        <x:v>10400</x:v>
      </x:c>
      <x:c r="H19" s="11" t="n">
        <x:f>ROUND(RAW_ZP!$I$21,0)</x:f>
        <x:v>8455</x:v>
      </x:c>
      <x:c r="I19" s="11" t="n">
        <x:f>ROUND(RAW_ZP!$J$21,0)</x:f>
        <x:v>2340</x:v>
      </x:c>
      <x:c r="J19" s="11" t="n">
        <x:f>ROUND(RAW_ZP!$K$21,0)</x:f>
        <x:v>1902</x:v>
      </x:c>
      <x:c r="K19" s="11" t="n">
        <x:f>ROUND(RAW_ZP!$N$21,0)</x:f>
        <x:v>6910</x:v>
      </x:c>
      <x:c r="L19" s="11" t="n">
        <x:f>ROUND(RAW_ZP!$O$21,0)</x:f>
        <x:v>5618</x:v>
      </x:c>
      <x:c r="M19" s="11" t="n">
        <x:f>ROUND(RAW_ZP!$P$21,0)</x:f>
        <x:v>1230</x:v>
      </x:c>
      <x:c r="N19" s="11" t="n">
        <x:f>ROUND(RAW_ZP!$Q$21,0)</x:f>
        <x:v>1000</x:v>
      </x:c>
      <x:c r="O19" s="11" t="n">
        <x:f>ROUND(RAW_ZP!$R$21,0)</x:f>
        <x:v>1650</x:v>
      </x:c>
      <x:c r="P19" s="11" t="n">
        <x:f>ROUND(RAW_ZP!$S$21,0)</x:f>
        <x:v>1341</x:v>
      </x:c>
      <x:c r="Q19" s="11" t="n">
        <x:f>ROUND(RAW_ZP!$T$21,0)</x:f>
        <x:v>2399</x:v>
      </x:c>
      <x:c r="R19" s="11" t="n">
        <x:f>ROUND(RAW_ZP!$U$21,0)</x:f>
        <x:v>1950</x:v>
      </x:c>
      <x:c r="S19" s="11" t="n">
        <x:f>ROUND(RAW_ZP!$V$21,0)</x:f>
        <x:v>3555</x:v>
      </x:c>
      <x:c r="T19" s="11" t="n">
        <x:f>ROUND(RAW_ZP!$W$21,0)</x:f>
        <x:v>2890</x:v>
      </x:c>
      <x:c r="U19" s="11" t="n">
        <x:f>ROUND(RAW_ZS!$B$21,0)</x:f>
        <x:v>22340</x:v>
      </x:c>
      <x:c r="V19" s="11" t="n">
        <x:f>ROUND(RAW_ZS!$C$21,0)</x:f>
        <x:v>18163</x:v>
      </x:c>
      <x:c r="W19" s="11" t="n">
        <x:f>ROUND(RAW_ZS!$D$21,0)</x:f>
        <x:v>1140</x:v>
      </x:c>
      <x:c r="X19" s="11" t="n">
        <x:f>ROUND(RAW_ZS!$E$21,0)</x:f>
        <x:v>927</x:v>
      </x:c>
      <x:c r="Y19" s="11" t="n">
        <x:f>ROUND(RAW_OP!$B$21,0)</x:f>
        <x:v>32940</x:v>
      </x:c>
      <x:c r="Z19" s="11" t="n">
        <x:f>ROUND(RAW_OP!$C$21,0)</x:f>
        <x:v>26780</x:v>
      </x:c>
      <x:c r="AA19" s="11" t="n">
        <x:f>ROUND(RAW_OP!$H$21,0)</x:f>
        <x:v>2160</x:v>
      </x:c>
      <x:c r="AB19" s="11" t="n">
        <x:f>ROUND(RAW_OP!$I$21,0)</x:f>
        <x:v>1756</x:v>
      </x:c>
      <x:c r="AC19" s="11" t="n">
        <x:f>ROUND(RAW_OP!$L$21,0)</x:f>
        <x:v>690</x:v>
      </x:c>
      <x:c r="AD19" s="11" t="n">
        <x:f>ROUND(RAW_OP!$M$21,0)</x:f>
        <x:v>561</x:v>
      </x:c>
      <x:c r="AE19" s="11" t="n">
        <x:f>ROUND(RAW_OP!$N$21,0)</x:f>
        <x:v>620</x:v>
      </x:c>
      <x:c r="AF19" s="11" t="n">
        <x:f>ROUND(RAW_OP!$O$21,0)</x:f>
        <x:v>504</x:v>
      </x:c>
      <x:c r="AG19" s="11" t="n">
        <x:f>ROUND(RAW_OP!$AB$21,0)</x:f>
        <x:v>1610</x:v>
      </x:c>
      <x:c r="AH19" s="11" t="n">
        <x:f>ROUND(RAW_OP!$AC$21,0)</x:f>
        <x:v>1309</x:v>
      </x:c>
      <x:c r="AI19" s="11" t="n">
        <x:f>ROUND(RAW_OP!$AD$21,0)</x:f>
        <x:v>520</x:v>
      </x:c>
      <x:c r="AJ19" s="11" t="n">
        <x:f>ROUND(RAW_OP!$AE$21,0)</x:f>
        <x:v>423</x:v>
      </x:c>
      <x:c r="AK19" s="11" t="n">
        <x:f>ROUND(RAW_OS!$B$21,0)</x:f>
        <x:v>41080</x:v>
      </x:c>
      <x:c r="AL19" s="11" t="n">
        <x:f>ROUND(RAW_OS!$C$21,0)</x:f>
        <x:v>33398</x:v>
      </x:c>
      <x:c r="AM19" s="11" t="n">
        <x:f>ROUND(RAW_OS!$D$21,0)</x:f>
        <x:v>1140</x:v>
      </x:c>
      <x:c r="AN19" s="11" t="n">
        <x:f>ROUND(RAW_OS!$E$21,0)</x:f>
        <x:v>927</x:v>
      </x:c>
      <x:c r="AO19" s="11" t="n">
        <x:f>ROUND(RAW_OS!$F$21,0)</x:f>
        <x:v>2160</x:v>
      </x:c>
      <x:c r="AP19" s="11" t="n">
        <x:f>ROUND(RAW_OS!$G$21,0)</x:f>
        <x:v>1756</x:v>
      </x:c>
    </x:row>
    <x:row r="20">
      <x:c r="A20" s="9" t="inlineStr">
        <x:is>
          <x:t xml:space="preserve">350 x 1106 cm</x:t>
        </x:is>
      </x:c>
      <x:c r="B20" s="9" t="inlineStr">
        <x:is>
          <x:t xml:space="preserve">PRO</x:t>
        </x:is>
      </x:c>
      <x:c r="C20" s="11" t="n">
        <x:f>ROUND(RAW_ZP!$B$22,0)</x:f>
        <x:v>15230</x:v>
      </x:c>
      <x:c r="D20" s="11" t="n">
        <x:f>ROUND(RAW_ZP!$C$22,0)</x:f>
        <x:v>12382</x:v>
      </x:c>
      <x:c r="E20" s="11" t="n">
        <x:f>ROUND(RAW_ZP!$D$22,0)</x:f>
        <x:v>550</x:v>
      </x:c>
      <x:c r="F20" s="11" t="n">
        <x:f>ROUND(RAW_ZP!$E$22,0)</x:f>
        <x:v>447</x:v>
      </x:c>
      <x:c r="G20" s="11" t="n">
        <x:f>ROUND(RAW_ZP!$H$22,0)</x:f>
        <x:v>12980</x:v>
      </x:c>
      <x:c r="H20" s="11" t="n">
        <x:f>ROUND(RAW_ZP!$I$22,0)</x:f>
        <x:v>10553</x:v>
      </x:c>
      <x:c r="I20" s="11" t="n">
        <x:f>ROUND(RAW_ZP!$J$22,0)</x:f>
        <x:v>2340</x:v>
      </x:c>
      <x:c r="J20" s="11" t="n">
        <x:f>ROUND(RAW_ZP!$K$22,0)</x:f>
        <x:v>1902</x:v>
      </x:c>
      <x:c r="K20" s="11" t="n">
        <x:f>ROUND(RAW_ZP!$N$22,0)</x:f>
        <x:v>7420</x:v>
      </x:c>
      <x:c r="L20" s="11" t="n">
        <x:f>ROUND(RAW_ZP!$O$22,0)</x:f>
        <x:v>6033</x:v>
      </x:c>
      <x:c r="M20" s="11" t="n">
        <x:f>ROUND(RAW_ZP!$P$22,0)</x:f>
        <x:v>1430</x:v>
      </x:c>
      <x:c r="N20" s="11" t="n">
        <x:f>ROUND(RAW_ZP!$Q$22,0)</x:f>
        <x:v>1163</x:v>
      </x:c>
      <x:c r="O20" s="11" t="n">
        <x:f>ROUND(RAW_ZP!$R$22,0)</x:f>
        <x:v>1770</x:v>
      </x:c>
      <x:c r="P20" s="11" t="n">
        <x:f>ROUND(RAW_ZP!$S$22,0)</x:f>
        <x:v>1439</x:v>
      </x:c>
      <x:c r="Q20" s="11" t="n">
        <x:f>ROUND(RAW_ZP!$T$22,0)</x:f>
        <x:v>2595</x:v>
      </x:c>
      <x:c r="R20" s="11" t="n">
        <x:f>ROUND(RAW_ZP!$U$22,0)</x:f>
        <x:v>2110</x:v>
      </x:c>
      <x:c r="S20" s="11" t="n">
        <x:f>ROUND(RAW_ZP!$V$22,0)</x:f>
        <x:v>3887</x:v>
      </x:c>
      <x:c r="T20" s="11" t="n">
        <x:f>ROUND(RAW_ZP!$W$22,0)</x:f>
        <x:v>3160</x:v>
      </x:c>
      <x:c r="U20" s="11" t="n">
        <x:f>ROUND(RAW_ZS!$B$22,0)</x:f>
        <x:v>24170</x:v>
      </x:c>
      <x:c r="V20" s="11" t="n">
        <x:f>ROUND(RAW_ZS!$C$22,0)</x:f>
        <x:v>19650</x:v>
      </x:c>
      <x:c r="W20" s="11" t="n">
        <x:f>ROUND(RAW_ZS!$D$22,0)</x:f>
        <x:v>1260</x:v>
      </x:c>
      <x:c r="X20" s="11" t="n">
        <x:f>ROUND(RAW_ZS!$E$22,0)</x:f>
        <x:v>1024</x:v>
      </x:c>
      <x:c r="Y20" s="11" t="n">
        <x:f>ROUND(RAW_OP!$B$22,0)</x:f>
        <x:v>35200</x:v>
      </x:c>
      <x:c r="Z20" s="11" t="n">
        <x:f>ROUND(RAW_OP!$C$22,0)</x:f>
        <x:v>28618</x:v>
      </x:c>
      <x:c r="AA20" s="11" t="n">
        <x:f>ROUND(RAW_OP!$H$22,0)</x:f>
        <x:v>2280</x:v>
      </x:c>
      <x:c r="AB20" s="11" t="n">
        <x:f>ROUND(RAW_OP!$I$22,0)</x:f>
        <x:v>1854</x:v>
      </x:c>
      <x:c r="AC20" s="11" t="n">
        <x:f>ROUND(RAW_OP!$L$22,0)</x:f>
        <x:v>720</x:v>
      </x:c>
      <x:c r="AD20" s="11" t="n">
        <x:f>ROUND(RAW_OP!$M$22,0)</x:f>
        <x:v>585</x:v>
      </x:c>
      <x:c r="AE20" s="11" t="n">
        <x:f>ROUND(RAW_OP!$N$22,0)</x:f>
        <x:v>650</x:v>
      </x:c>
      <x:c r="AF20" s="11" t="n">
        <x:f>ROUND(RAW_OP!$O$22,0)</x:f>
        <x:v>528</x:v>
      </x:c>
      <x:c r="AG20" s="11" t="n">
        <x:f>ROUND(RAW_OP!$AB$22,0)</x:f>
        <x:v>2180</x:v>
      </x:c>
      <x:c r="AH20" s="11" t="n">
        <x:f>ROUND(RAW_OP!$AC$22,0)</x:f>
        <x:v>1772</x:v>
      </x:c>
      <x:c r="AI20" s="11" t="n">
        <x:f>ROUND(RAW_OP!$AD$22,0)</x:f>
        <x:v>560</x:v>
      </x:c>
      <x:c r="AJ20" s="11" t="n">
        <x:f>ROUND(RAW_OP!$AE$22,0)</x:f>
        <x:v>455</x:v>
      </x:c>
      <x:c r="AK20" s="11" t="n">
        <x:f>ROUND(RAW_OS!$B$22,0)</x:f>
        <x:v>44140</x:v>
      </x:c>
      <x:c r="AL20" s="11" t="n">
        <x:f>ROUND(RAW_OS!$C$22,0)</x:f>
        <x:v>35886</x:v>
      </x:c>
      <x:c r="AM20" s="11" t="n">
        <x:f>ROUND(RAW_OS!$D$22,0)</x:f>
        <x:v>1260</x:v>
      </x:c>
      <x:c r="AN20" s="11" t="n">
        <x:f>ROUND(RAW_OS!$E$22,0)</x:f>
        <x:v>1024</x:v>
      </x:c>
      <x:c r="AO20" s="11" t="n">
        <x:f>ROUND(RAW_OS!$F$22,0)</x:f>
        <x:v>2280</x:v>
      </x:c>
      <x:c r="AP20" s="11" t="n">
        <x:f>ROUND(RAW_OS!$G$22,0)</x:f>
        <x:v>1854</x:v>
      </x:c>
    </x:row>
    <x:row r="21">
      <x:c r="A21" s="9" t="inlineStr">
        <x:is>
          <x:t xml:space="preserve">350 x 1206 cm</x:t>
        </x:is>
      </x:c>
      <x:c r="B21" s="9" t="inlineStr">
        <x:is>
          <x:t xml:space="preserve">PRO</x:t>
        </x:is>
      </x:c>
      <x:c r="C21" s="11" t="n">
        <x:f>ROUND(RAW_ZP!$B$23,0)</x:f>
        <x:v>16260</x:v>
      </x:c>
      <x:c r="D21" s="11" t="n">
        <x:f>ROUND(RAW_ZP!$C$23,0)</x:f>
        <x:v>13220</x:v>
      </x:c>
      <x:c r="E21" s="11" t="n">
        <x:f>ROUND(RAW_ZP!$D$23,0)</x:f>
        <x:v>600</x:v>
      </x:c>
      <x:c r="F21" s="11" t="n">
        <x:f>ROUND(RAW_ZP!$E$23,0)</x:f>
        <x:v>488</x:v>
      </x:c>
      <x:c r="G21" s="11" t="n">
        <x:f>ROUND(RAW_ZP!$H$23,0)</x:f>
        <x:v>13500</x:v>
      </x:c>
      <x:c r="H21" s="11" t="n">
        <x:f>ROUND(RAW_ZP!$I$23,0)</x:f>
        <x:v>10976</x:v>
      </x:c>
      <x:c r="I21" s="11" t="n">
        <x:f>ROUND(RAW_ZP!$J$23,0)</x:f>
        <x:v>2340</x:v>
      </x:c>
      <x:c r="J21" s="11" t="n">
        <x:f>ROUND(RAW_ZP!$K$23,0)</x:f>
        <x:v>1902</x:v>
      </x:c>
      <x:c r="K21" s="11" t="n">
        <x:f>ROUND(RAW_ZP!$N$23,0)</x:f>
        <x:v>7920</x:v>
      </x:c>
      <x:c r="L21" s="11" t="n">
        <x:f>ROUND(RAW_ZP!$O$23,0)</x:f>
        <x:v>6439</x:v>
      </x:c>
      <x:c r="M21" s="11" t="n">
        <x:f>ROUND(RAW_ZP!$P$23,0)</x:f>
        <x:v>1510</x:v>
      </x:c>
      <x:c r="N21" s="11" t="n">
        <x:f>ROUND(RAW_ZP!$Q$23,0)</x:f>
        <x:v>1228</x:v>
      </x:c>
      <x:c r="O21" s="11" t="n">
        <x:f>ROUND(RAW_ZP!$R$23,0)</x:f>
        <x:v>1900</x:v>
      </x:c>
      <x:c r="P21" s="11" t="n">
        <x:f>ROUND(RAW_ZP!$S$23,0)</x:f>
        <x:v>1545</x:v>
      </x:c>
      <x:c r="Q21" s="11" t="n">
        <x:f>ROUND(RAW_ZP!$T$23,0)</x:f>
        <x:v>2804</x:v>
      </x:c>
      <x:c r="R21" s="11" t="n">
        <x:f>ROUND(RAW_ZP!$U$23,0)</x:f>
        <x:v>2280</x:v>
      </x:c>
      <x:c r="S21" s="11" t="n">
        <x:f>ROUND(RAW_ZP!$V$23,0)</x:f>
        <x:v>4219</x:v>
      </x:c>
      <x:c r="T21" s="11" t="n">
        <x:f>ROUND(RAW_ZP!$W$23,0)</x:f>
        <x:v>3430</x:v>
      </x:c>
      <x:c r="U21" s="11" t="n">
        <x:f>ROUND(RAW_ZS!$B$23,0)</x:f>
        <x:v>25960</x:v>
      </x:c>
      <x:c r="V21" s="11" t="n">
        <x:f>ROUND(RAW_ZS!$C$23,0)</x:f>
        <x:v>21106</x:v>
      </x:c>
      <x:c r="W21" s="11" t="n">
        <x:f>ROUND(RAW_ZS!$D$23,0)</x:f>
        <x:v>1370</x:v>
      </x:c>
      <x:c r="X21" s="11" t="n">
        <x:f>ROUND(RAW_ZS!$E$23,0)</x:f>
        <x:v>1114</x:v>
      </x:c>
      <x:c r="Y21" s="11" t="n">
        <x:f>ROUND(RAW_OP!$B$23,0)</x:f>
        <x:v>37460</x:v>
      </x:c>
      <x:c r="Z21" s="11" t="n">
        <x:f>ROUND(RAW_OP!$C$23,0)</x:f>
        <x:v>30455</x:v>
      </x:c>
      <x:c r="AA21" s="11" t="n">
        <x:f>ROUND(RAW_OP!$H$23,0)</x:f>
        <x:v>2400</x:v>
      </x:c>
      <x:c r="AB21" s="11" t="n">
        <x:f>ROUND(RAW_OP!$I$23,0)</x:f>
        <x:v>1951</x:v>
      </x:c>
      <x:c r="AC21" s="11" t="n">
        <x:f>ROUND(RAW_OP!$L$23,0)</x:f>
        <x:v>760</x:v>
      </x:c>
      <x:c r="AD21" s="11" t="n">
        <x:f>ROUND(RAW_OP!$M$23,0)</x:f>
        <x:v>618</x:v>
      </x:c>
      <x:c r="AE21" s="11" t="n">
        <x:f>ROUND(RAW_OP!$N$23,0)</x:f>
        <x:v>690</x:v>
      </x:c>
      <x:c r="AF21" s="11" t="n">
        <x:f>ROUND(RAW_OP!$O$23,0)</x:f>
        <x:v>561</x:v>
      </x:c>
      <x:c r="AG21" s="11" t="n">
        <x:f>ROUND(RAW_OP!$AB$23,0)</x:f>
        <x:v>2180</x:v>
      </x:c>
      <x:c r="AH21" s="11" t="n">
        <x:f>ROUND(RAW_OP!$AC$23,0)</x:f>
        <x:v>1772</x:v>
      </x:c>
      <x:c r="AI21" s="11" t="n">
        <x:f>ROUND(RAW_OP!$AD$23,0)</x:f>
        <x:v>600</x:v>
      </x:c>
      <x:c r="AJ21" s="11" t="n">
        <x:f>ROUND(RAW_OP!$AE$23,0)</x:f>
        <x:v>488</x:v>
      </x:c>
      <x:c r="AK21" s="11" t="n">
        <x:f>ROUND(RAW_OS!$B$23,0)</x:f>
        <x:v>47160</x:v>
      </x:c>
      <x:c r="AL21" s="11" t="n">
        <x:f>ROUND(RAW_OS!$C$23,0)</x:f>
        <x:v>38341</x:v>
      </x:c>
      <x:c r="AM21" s="11" t="n">
        <x:f>ROUND(RAW_OS!$D$23,0)</x:f>
        <x:v>1370</x:v>
      </x:c>
      <x:c r="AN21" s="11" t="n">
        <x:f>ROUND(RAW_OS!$E$23,0)</x:f>
        <x:v>1114</x:v>
      </x:c>
      <x:c r="AO21" s="11" t="n">
        <x:f>ROUND(RAW_OS!$F$23,0)</x:f>
        <x:v>2400</x:v>
      </x:c>
      <x:c r="AP21" s="11" t="n">
        <x:f>ROUND(RAW_OS!$G$23,0)</x:f>
        <x:v>1951</x:v>
      </x:c>
    </x:row>
    <x:row r="22">
      <x:c r="A22" s="9" t="inlineStr">
        <x:is>
          <x:t xml:space="preserve">400 x 306 cm</x:t>
        </x:is>
      </x:c>
      <x:c r="B22" s="9" t="inlineStr">
        <x:is>
          <x:t xml:space="preserve">PRO</x:t>
        </x:is>
      </x:c>
      <x:c r="C22" s="11" t="n">
        <x:f>ROUND(RAW_ZP!$B$24,0)</x:f>
        <x:v>5010</x:v>
      </x:c>
      <x:c r="D22" s="11" t="n">
        <x:f>ROUND(RAW_ZP!$C$24,0)</x:f>
        <x:v>4073</x:v>
      </x:c>
      <x:c r="E22" s="11" t="n">
        <x:f>ROUND(RAW_ZP!$D$24,0)</x:f>
        <x:v>170</x:v>
      </x:c>
      <x:c r="F22" s="11" t="n">
        <x:f>ROUND(RAW_ZP!$E$24,0)</x:f>
        <x:v>138</x:v>
      </x:c>
      <x:c r="G22" s="11" t="n">
        <x:f>ROUND(RAW_ZP!$H$24,0)</x:f>
        <x:v>4030</x:v>
      </x:c>
      <x:c r="H22" s="11" t="n">
        <x:f>ROUND(RAW_ZP!$I$24,0)</x:f>
        <x:v>3276</x:v>
      </x:c>
      <x:c r="I22" s="11" t="n">
        <x:f>ROUND(RAW_ZP!$J$24,0)</x:f>
        <x:v>2640</x:v>
      </x:c>
      <x:c r="J22" s="11" t="n">
        <x:f>ROUND(RAW_ZP!$K$24,0)</x:f>
        <x:v>2146</x:v>
      </x:c>
      <x:c r="K22" s="11" t="n">
        <x:f>ROUND(RAW_ZP!$N$24,0)</x:f>
        <x:v>2140</x:v>
      </x:c>
      <x:c r="L22" s="11" t="n">
        <x:f>ROUND(RAW_ZP!$O$24,0)</x:f>
        <x:v>1740</x:v>
      </x:c>
      <x:c r="M22" s="11" t="n">
        <x:f>ROUND(RAW_ZP!$P$24,0)</x:f>
        <x:v>420</x:v>
      </x:c>
      <x:c r="N22" s="11" t="n">
        <x:f>ROUND(RAW_ZP!$Q$24,0)</x:f>
        <x:v>341</x:v>
      </x:c>
      <x:c r="O22" s="11" t="n">
        <x:f>ROUND(RAW_ZP!$R$24,0)</x:f>
        <x:v>640</x:v>
      </x:c>
      <x:c r="P22" s="11" t="n">
        <x:f>ROUND(RAW_ZP!$S$24,0)</x:f>
        <x:v>520</x:v>
      </x:c>
      <x:c r="Q22" s="11" t="n">
        <x:f>ROUND(RAW_ZP!$T$24,0)</x:f>
        <x:v>1058</x:v>
      </x:c>
      <x:c r="R22" s="11" t="n">
        <x:f>ROUND(RAW_ZP!$U$24,0)</x:f>
        <x:v>860</x:v>
      </x:c>
      <x:c r="S22" s="11" t="n">
        <x:f>ROUND(RAW_ZP!$V$24,0)</x:f>
        <x:v>1365</x:v>
      </x:c>
      <x:c r="T22" s="11" t="n">
        <x:f>ROUND(RAW_ZP!$W$24,0)</x:f>
        <x:v>1110</x:v>
      </x:c>
      <x:c r="U22" s="11" t="n">
        <x:f>ROUND(RAW_ZS!$B$24,0)</x:f>
        <x:v>8120</x:v>
      </x:c>
      <x:c r="V22" s="11" t="n">
        <x:f>ROUND(RAW_ZS!$C$24,0)</x:f>
        <x:v>6602</x:v>
      </x:c>
      <x:c r="W22" s="11" t="n">
        <x:f>ROUND(RAW_ZS!$D$24,0)</x:f>
        <x:v>350</x:v>
      </x:c>
      <x:c r="X22" s="11" t="n">
        <x:f>ROUND(RAW_ZS!$E$24,0)</x:f>
        <x:v>285</x:v>
      </x:c>
      <x:c r="Y22" s="11" t="n">
        <x:f>ROUND(RAW_OP!$B$24,0)</x:f>
        <x:v>17570</x:v>
      </x:c>
      <x:c r="Z22" s="11" t="n">
        <x:f>ROUND(RAW_OP!$C$24,0)</x:f>
        <x:v>14285</x:v>
      </x:c>
      <x:c r="AA22" s="11" t="n">
        <x:f>ROUND(RAW_OP!$H$24,0)</x:f>
        <x:v>1320</x:v>
      </x:c>
      <x:c r="AB22" s="11" t="n">
        <x:f>ROUND(RAW_OP!$I$24,0)</x:f>
        <x:v>1073</x:v>
      </x:c>
      <x:c r="AC22" s="11" t="n">
        <x:f>ROUND(RAW_OP!$L$24,0)</x:f>
        <x:v>420</x:v>
      </x:c>
      <x:c r="AD22" s="11" t="n">
        <x:f>ROUND(RAW_OP!$M$24,0)</x:f>
        <x:v>341</x:v>
      </x:c>
      <x:c r="AE22" s="11" t="n">
        <x:f>ROUND(RAW_OP!$N$24,0)</x:f>
        <x:v>380</x:v>
      </x:c>
      <x:c r="AF22" s="11" t="n">
        <x:f>ROUND(RAW_OP!$O$24,0)</x:f>
        <x:v>309</x:v>
      </x:c>
      <x:c r="AG22" s="11" t="n">
        <x:f>ROUND(RAW_OP!$AB$24,0)</x:f>
        <x:v>890</x:v>
      </x:c>
      <x:c r="AH22" s="11" t="n">
        <x:f>ROUND(RAW_OP!$AC$24,0)</x:f>
        <x:v>724</x:v>
      </x:c>
      <x:c r="AI22" s="11" t="n">
        <x:f>ROUND(RAW_OP!$AD$24,0)</x:f>
        <x:v>320</x:v>
      </x:c>
      <x:c r="AJ22" s="11" t="n">
        <x:f>ROUND(RAW_OP!$AE$24,0)</x:f>
        <x:v>260</x:v>
      </x:c>
      <x:c r="AK22" s="11" t="n">
        <x:f>ROUND(RAW_OS!$B$24,0)</x:f>
        <x:v>20670</x:v>
      </x:c>
      <x:c r="AL22" s="11" t="n">
        <x:f>ROUND(RAW_OS!$C$24,0)</x:f>
        <x:v>16805</x:v>
      </x:c>
      <x:c r="AM22" s="11" t="n">
        <x:f>ROUND(RAW_OS!$D$24,0)</x:f>
        <x:v>350</x:v>
      </x:c>
      <x:c r="AN22" s="11" t="n">
        <x:f>ROUND(RAW_OS!$E$24,0)</x:f>
        <x:v>285</x:v>
      </x:c>
      <x:c r="AO22" s="11" t="n">
        <x:f>ROUND(RAW_OS!$F$24,0)</x:f>
        <x:v>1320</x:v>
      </x:c>
      <x:c r="AP22" s="11" t="n">
        <x:f>ROUND(RAW_OS!$G$24,0)</x:f>
        <x:v>1073</x:v>
      </x:c>
    </x:row>
    <x:row r="23">
      <x:c r="A23" s="9" t="inlineStr">
        <x:is>
          <x:t xml:space="preserve">400 x 406 cm</x:t>
        </x:is>
      </x:c>
      <x:c r="B23" s="9" t="inlineStr">
        <x:is>
          <x:t xml:space="preserve">PRO</x:t>
        </x:is>
      </x:c>
      <x:c r="C23" s="11" t="n">
        <x:f>ROUND(RAW_ZP!$B$25,0)</x:f>
        <x:v>6130</x:v>
      </x:c>
      <x:c r="D23" s="11" t="n">
        <x:f>ROUND(RAW_ZP!$C$25,0)</x:f>
        <x:v>4984</x:v>
      </x:c>
      <x:c r="E23" s="11" t="n">
        <x:f>ROUND(RAW_ZP!$D$25,0)</x:f>
        <x:v>220</x:v>
      </x:c>
      <x:c r="F23" s="11" t="n">
        <x:f>ROUND(RAW_ZP!$E$25,0)</x:f>
        <x:v>179</x:v>
      </x:c>
      <x:c r="G23" s="11" t="n">
        <x:f>ROUND(RAW_ZP!$H$25,0)</x:f>
        <x:v>4660</x:v>
      </x:c>
      <x:c r="H23" s="11" t="n">
        <x:f>ROUND(RAW_ZP!$I$25,0)</x:f>
        <x:v>3789</x:v>
      </x:c>
      <x:c r="I23" s="11" t="n">
        <x:f>ROUND(RAW_ZP!$J$25,0)</x:f>
        <x:v>2640</x:v>
      </x:c>
      <x:c r="J23" s="11" t="n">
        <x:f>ROUND(RAW_ZP!$K$25,0)</x:f>
        <x:v>2146</x:v>
      </x:c>
      <x:c r="K23" s="11" t="n">
        <x:f>ROUND(RAW_ZP!$N$25,0)</x:f>
        <x:v>2640</x:v>
      </x:c>
      <x:c r="L23" s="11" t="n">
        <x:f>ROUND(RAW_ZP!$O$25,0)</x:f>
        <x:v>2146</x:v>
      </x:c>
      <x:c r="M23" s="11" t="n">
        <x:f>ROUND(RAW_ZP!$P$25,0)</x:f>
        <x:v>510</x:v>
      </x:c>
      <x:c r="N23" s="11" t="n">
        <x:f>ROUND(RAW_ZP!$Q$25,0)</x:f>
        <x:v>415</x:v>
      </x:c>
      <x:c r="O23" s="11" t="n">
        <x:f>ROUND(RAW_ZP!$R$25,0)</x:f>
        <x:v>740</x:v>
      </x:c>
      <x:c r="P23" s="11" t="n">
        <x:f>ROUND(RAW_ZP!$S$25,0)</x:f>
        <x:v>602</x:v>
      </x:c>
      <x:c r="Q23" s="11" t="n">
        <x:f>ROUND(RAW_ZP!$T$25,0)</x:f>
        <x:v>1279</x:v>
      </x:c>
      <x:c r="R23" s="11" t="n">
        <x:f>ROUND(RAW_ZP!$U$25,0)</x:f>
        <x:v>1040</x:v>
      </x:c>
      <x:c r="S23" s="11" t="n">
        <x:f>ROUND(RAW_ZP!$V$25,0)</x:f>
        <x:v>1710</x:v>
      </x:c>
      <x:c r="T23" s="11" t="n">
        <x:f>ROUND(RAW_ZP!$W$25,0)</x:f>
        <x:v>1390</x:v>
      </x:c>
      <x:c r="U23" s="11" t="n">
        <x:f>ROUND(RAW_ZS!$B$25,0)</x:f>
        <x:v>10240</x:v>
      </x:c>
      <x:c r="V23" s="11" t="n">
        <x:f>ROUND(RAW_ZS!$C$25,0)</x:f>
        <x:v>8325</x:v>
      </x:c>
      <x:c r="W23" s="11" t="n">
        <x:f>ROUND(RAW_ZS!$D$25,0)</x:f>
        <x:v>460</x:v>
      </x:c>
      <x:c r="X23" s="11" t="n">
        <x:f>ROUND(RAW_ZS!$E$25,0)</x:f>
        <x:v>374</x:v>
      </x:c>
      <x:c r="Y23" s="11" t="n">
        <x:f>ROUND(RAW_OP!$B$25,0)</x:f>
        <x:v>19600</x:v>
      </x:c>
      <x:c r="Z23" s="11" t="n">
        <x:f>ROUND(RAW_OP!$C$25,0)</x:f>
        <x:v>15935</x:v>
      </x:c>
      <x:c r="AA23" s="11" t="n">
        <x:f>ROUND(RAW_OP!$H$25,0)</x:f>
        <x:v>1440</x:v>
      </x:c>
      <x:c r="AB23" s="11" t="n">
        <x:f>ROUND(RAW_OP!$I$25,0)</x:f>
        <x:v>1171</x:v>
      </x:c>
      <x:c r="AC23" s="11" t="n">
        <x:f>ROUND(RAW_OP!$L$25,0)</x:f>
        <x:v>460</x:v>
      </x:c>
      <x:c r="AD23" s="11" t="n">
        <x:f>ROUND(RAW_OP!$M$25,0)</x:f>
        <x:v>374</x:v>
      </x:c>
      <x:c r="AE23" s="11" t="n">
        <x:f>ROUND(RAW_OP!$N$25,0)</x:f>
        <x:v>410</x:v>
      </x:c>
      <x:c r="AF23" s="11" t="n">
        <x:f>ROUND(RAW_OP!$O$25,0)</x:f>
        <x:v>333</x:v>
      </x:c>
      <x:c r="AG23" s="11" t="n">
        <x:f>ROUND(RAW_OP!$AB$25,0)</x:f>
        <x:v>1000</x:v>
      </x:c>
      <x:c r="AH23" s="11" t="n">
        <x:f>ROUND(RAW_OP!$AC$25,0)</x:f>
        <x:v>813</x:v>
      </x:c>
      <x:c r="AI23" s="11" t="n">
        <x:f>ROUND(RAW_OP!$AD$25,0)</x:f>
        <x:v>360</x:v>
      </x:c>
      <x:c r="AJ23" s="11" t="n">
        <x:f>ROUND(RAW_OP!$AE$25,0)</x:f>
        <x:v>293</x:v>
      </x:c>
      <x:c r="AK23" s="11" t="n">
        <x:f>ROUND(RAW_OS!$B$25,0)</x:f>
        <x:v>23700</x:v>
      </x:c>
      <x:c r="AL23" s="11" t="n">
        <x:f>ROUND(RAW_OS!$C$25,0)</x:f>
        <x:v>19268</x:v>
      </x:c>
      <x:c r="AM23" s="11" t="n">
        <x:f>ROUND(RAW_OS!$D$25,0)</x:f>
        <x:v>460</x:v>
      </x:c>
      <x:c r="AN23" s="11" t="n">
        <x:f>ROUND(RAW_OS!$E$25,0)</x:f>
        <x:v>374</x:v>
      </x:c>
      <x:c r="AO23" s="11" t="n">
        <x:f>ROUND(RAW_OS!$F$25,0)</x:f>
        <x:v>1440</x:v>
      </x:c>
      <x:c r="AP23" s="11" t="n">
        <x:f>ROUND(RAW_OS!$G$25,0)</x:f>
        <x:v>1171</x:v>
      </x:c>
    </x:row>
    <x:row r="24">
      <x:c r="A24" s="9" t="inlineStr">
        <x:is>
          <x:t xml:space="preserve">400 x 506 cm</x:t>
        </x:is>
      </x:c>
      <x:c r="B24" s="9" t="inlineStr">
        <x:is>
          <x:t xml:space="preserve">PRO</x:t>
        </x:is>
      </x:c>
      <x:c r="C24" s="11" t="n">
        <x:f>ROUND(RAW_ZP!$B$26,0)</x:f>
        <x:v>7620</x:v>
      </x:c>
      <x:c r="D24" s="11" t="n">
        <x:f>ROUND(RAW_ZP!$C$26,0)</x:f>
        <x:v>6195</x:v>
      </x:c>
      <x:c r="E24" s="11" t="n">
        <x:f>ROUND(RAW_ZP!$D$26,0)</x:f>
        <x:v>280</x:v>
      </x:c>
      <x:c r="F24" s="11" t="n">
        <x:f>ROUND(RAW_ZP!$E$26,0)</x:f>
        <x:v>228</x:v>
      </x:c>
      <x:c r="G24" s="11" t="n">
        <x:f>ROUND(RAW_ZP!$H$26,0)</x:f>
        <x:v>5310</x:v>
      </x:c>
      <x:c r="H24" s="11" t="n">
        <x:f>ROUND(RAW_ZP!$I$26,0)</x:f>
        <x:v>4317</x:v>
      </x:c>
      <x:c r="I24" s="11" t="n">
        <x:f>ROUND(RAW_ZP!$J$26,0)</x:f>
        <x:v>2640</x:v>
      </x:c>
      <x:c r="J24" s="11" t="n">
        <x:f>ROUND(RAW_ZP!$K$26,0)</x:f>
        <x:v>2146</x:v>
      </x:c>
      <x:c r="K24" s="11" t="n">
        <x:f>ROUND(RAW_ZP!$N$26,0)</x:f>
        <x:v>3700</x:v>
      </x:c>
      <x:c r="L24" s="11" t="n">
        <x:f>ROUND(RAW_ZP!$O$26,0)</x:f>
        <x:v>3008</x:v>
      </x:c>
      <x:c r="M24" s="11" t="n">
        <x:f>ROUND(RAW_ZP!$P$26,0)</x:f>
        <x:v>600</x:v>
      </x:c>
      <x:c r="N24" s="11" t="n">
        <x:f>ROUND(RAW_ZP!$Q$26,0)</x:f>
        <x:v>488</x:v>
      </x:c>
      <x:c r="O24" s="11" t="n">
        <x:f>ROUND(RAW_ZP!$R$26,0)</x:f>
        <x:v>960</x:v>
      </x:c>
      <x:c r="P24" s="11" t="n">
        <x:f>ROUND(RAW_ZP!$S$26,0)</x:f>
        <x:v>780</x:v>
      </x:c>
      <x:c r="Q24" s="11" t="n">
        <x:f>ROUND(RAW_ZP!$T$26,0)</x:f>
        <x:v>1488</x:v>
      </x:c>
      <x:c r="R24" s="11" t="n">
        <x:f>ROUND(RAW_ZP!$U$26,0)</x:f>
        <x:v>1210</x:v>
      </x:c>
      <x:c r="S24" s="11" t="n">
        <x:f>ROUND(RAW_ZP!$V$26,0)</x:f>
        <x:v>2054</x:v>
      </x:c>
      <x:c r="T24" s="11" t="n">
        <x:f>ROUND(RAW_ZP!$W$26,0)</x:f>
        <x:v>1670</x:v>
      </x:c>
      <x:c r="U24" s="11" t="n">
        <x:f>ROUND(RAW_ZS!$B$26,0)</x:f>
        <x:v>12670</x:v>
      </x:c>
      <x:c r="V24" s="11" t="n">
        <x:f>ROUND(RAW_ZS!$C$26,0)</x:f>
        <x:v>10301</x:v>
      </x:c>
      <x:c r="W24" s="11" t="n">
        <x:f>ROUND(RAW_ZS!$D$26,0)</x:f>
        <x:v>580</x:v>
      </x:c>
      <x:c r="X24" s="11" t="n">
        <x:f>ROUND(RAW_ZS!$E$26,0)</x:f>
        <x:v>472</x:v>
      </x:c>
      <x:c r="Y24" s="11" t="n">
        <x:f>ROUND(RAW_OP!$B$26,0)</x:f>
        <x:v>22240</x:v>
      </x:c>
      <x:c r="Z24" s="11" t="n">
        <x:f>ROUND(RAW_OP!$C$26,0)</x:f>
        <x:v>18081</x:v>
      </x:c>
      <x:c r="AA24" s="11" t="n">
        <x:f>ROUND(RAW_OP!$H$26,0)</x:f>
        <x:v>1560</x:v>
      </x:c>
      <x:c r="AB24" s="11" t="n">
        <x:f>ROUND(RAW_OP!$I$26,0)</x:f>
        <x:v>1268</x:v>
      </x:c>
      <x:c r="AC24" s="11" t="n">
        <x:f>ROUND(RAW_OP!$L$26,0)</x:f>
        <x:v>500</x:v>
      </x:c>
      <x:c r="AD24" s="11" t="n">
        <x:f>ROUND(RAW_OP!$M$26,0)</x:f>
        <x:v>407</x:v>
      </x:c>
      <x:c r="AE24" s="11" t="n">
        <x:f>ROUND(RAW_OP!$N$26,0)</x:f>
        <x:v>450</x:v>
      </x:c>
      <x:c r="AF24" s="11" t="n">
        <x:f>ROUND(RAW_OP!$O$26,0)</x:f>
        <x:v>366</x:v>
      </x:c>
      <x:c r="AG24" s="11" t="n">
        <x:f>ROUND(RAW_OP!$AB$26,0)</x:f>
        <x:v>1140</x:v>
      </x:c>
      <x:c r="AH24" s="11" t="n">
        <x:f>ROUND(RAW_OP!$AC$26,0)</x:f>
        <x:v>927</x:v>
      </x:c>
      <x:c r="AI24" s="11" t="n">
        <x:f>ROUND(RAW_OP!$AD$26,0)</x:f>
        <x:v>360</x:v>
      </x:c>
      <x:c r="AJ24" s="11" t="n">
        <x:f>ROUND(RAW_OP!$AE$26,0)</x:f>
        <x:v>293</x:v>
      </x:c>
      <x:c r="AK24" s="11" t="n">
        <x:f>ROUND(RAW_OS!$B$26,0)</x:f>
        <x:v>27300</x:v>
      </x:c>
      <x:c r="AL24" s="11" t="n">
        <x:f>ROUND(RAW_OS!$C$26,0)</x:f>
        <x:v>22195</x:v>
      </x:c>
      <x:c r="AM24" s="11" t="n">
        <x:f>ROUND(RAW_OS!$D$26,0)</x:f>
        <x:v>580</x:v>
      </x:c>
      <x:c r="AN24" s="11" t="n">
        <x:f>ROUND(RAW_OS!$E$26,0)</x:f>
        <x:v>472</x:v>
      </x:c>
      <x:c r="AO24" s="11" t="n">
        <x:f>ROUND(RAW_OS!$F$26,0)</x:f>
        <x:v>1560</x:v>
      </x:c>
      <x:c r="AP24" s="11" t="n">
        <x:f>ROUND(RAW_OS!$G$26,0)</x:f>
        <x:v>1268</x:v>
      </x:c>
    </x:row>
    <x:row r="25">
      <x:c r="A25" s="9" t="inlineStr">
        <x:is>
          <x:t xml:space="preserve">400 x 606 cm</x:t>
        </x:is>
      </x:c>
      <x:c r="B25" s="9" t="inlineStr">
        <x:is>
          <x:t xml:space="preserve">PRO</x:t>
        </x:is>
      </x:c>
      <x:c r="C25" s="11" t="n">
        <x:f>ROUND(RAW_ZP!$B$27,0)</x:f>
        <x:v>8350</x:v>
      </x:c>
      <x:c r="D25" s="11" t="n">
        <x:f>ROUND(RAW_ZP!$C$27,0)</x:f>
        <x:v>6789</x:v>
      </x:c>
      <x:c r="E25" s="11" t="n">
        <x:f>ROUND(RAW_ZP!$D$27,0)</x:f>
        <x:v>340</x:v>
      </x:c>
      <x:c r="F25" s="11" t="n">
        <x:f>ROUND(RAW_ZP!$E$27,0)</x:f>
        <x:v>276</x:v>
      </x:c>
      <x:c r="G25" s="11" t="n">
        <x:f>ROUND(RAW_ZP!$H$27,0)</x:f>
        <x:v>8060</x:v>
      </x:c>
      <x:c r="H25" s="11" t="n">
        <x:f>ROUND(RAW_ZP!$I$27,0)</x:f>
        <x:v>6553</x:v>
      </x:c>
      <x:c r="I25" s="11" t="n">
        <x:f>ROUND(RAW_ZP!$J$27,0)</x:f>
        <x:v>2640</x:v>
      </x:c>
      <x:c r="J25" s="11" t="n">
        <x:f>ROUND(RAW_ZP!$K$27,0)</x:f>
        <x:v>2146</x:v>
      </x:c>
      <x:c r="K25" s="11" t="n">
        <x:f>ROUND(RAW_ZP!$N$27,0)</x:f>
        <x:v>4270</x:v>
      </x:c>
      <x:c r="L25" s="11" t="n">
        <x:f>ROUND(RAW_ZP!$O$27,0)</x:f>
        <x:v>3472</x:v>
      </x:c>
      <x:c r="M25" s="11" t="n">
        <x:f>ROUND(RAW_ZP!$P$27,0)</x:f>
        <x:v>790</x:v>
      </x:c>
      <x:c r="N25" s="11" t="n">
        <x:f>ROUND(RAW_ZP!$Q$27,0)</x:f>
        <x:v>642</x:v>
      </x:c>
      <x:c r="O25" s="11" t="n">
        <x:f>ROUND(RAW_ZP!$R$27,0)</x:f>
        <x:v>1090</x:v>
      </x:c>
      <x:c r="P25" s="11" t="n">
        <x:f>ROUND(RAW_ZP!$S$27,0)</x:f>
        <x:v>886</x:v>
      </x:c>
      <x:c r="Q25" s="11" t="n">
        <x:f>ROUND(RAW_ZP!$T$27,0)</x:f>
        <x:v>1697</x:v>
      </x:c>
      <x:c r="R25" s="11" t="n">
        <x:f>ROUND(RAW_ZP!$U$27,0)</x:f>
        <x:v>1380</x:v>
      </x:c>
      <x:c r="S25" s="11" t="n">
        <x:f>ROUND(RAW_ZP!$V$27,0)</x:f>
        <x:v>2423</x:v>
      </x:c>
      <x:c r="T25" s="11" t="n">
        <x:f>ROUND(RAW_ZP!$W$27,0)</x:f>
        <x:v>1970</x:v>
      </x:c>
      <x:c r="U25" s="11" t="n">
        <x:f>ROUND(RAW_ZS!$B$27,0)</x:f>
        <x:v>14340</x:v>
      </x:c>
      <x:c r="V25" s="11" t="n">
        <x:f>ROUND(RAW_ZS!$C$27,0)</x:f>
        <x:v>11659</x:v>
      </x:c>
      <x:c r="W25" s="11" t="n">
        <x:f>ROUND(RAW_ZS!$D$27,0)</x:f>
        <x:v>700</x:v>
      </x:c>
      <x:c r="X25" s="11" t="n">
        <x:f>ROUND(RAW_ZS!$E$27,0)</x:f>
        <x:v>569</x:v>
      </x:c>
      <x:c r="Y25" s="11" t="n">
        <x:f>ROUND(RAW_OP!$B$27,0)</x:f>
        <x:v>24210</x:v>
      </x:c>
      <x:c r="Z25" s="11" t="n">
        <x:f>ROUND(RAW_OP!$C$27,0)</x:f>
        <x:v>19683</x:v>
      </x:c>
      <x:c r="AA25" s="11" t="n">
        <x:f>ROUND(RAW_OP!$H$27,0)</x:f>
        <x:v>1680</x:v>
      </x:c>
      <x:c r="AB25" s="11" t="n">
        <x:f>ROUND(RAW_OP!$I$27,0)</x:f>
        <x:v>1366</x:v>
      </x:c>
      <x:c r="AC25" s="11" t="n">
        <x:f>ROUND(RAW_OP!$L$27,0)</x:f>
        <x:v>530</x:v>
      </x:c>
      <x:c r="AD25" s="11" t="n">
        <x:f>ROUND(RAW_OP!$M$27,0)</x:f>
        <x:v>431</x:v>
      </x:c>
      <x:c r="AE25" s="11" t="n">
        <x:f>ROUND(RAW_OP!$N$27,0)</x:f>
        <x:v>480</x:v>
      </x:c>
      <x:c r="AF25" s="11" t="n">
        <x:f>ROUND(RAW_OP!$O$27,0)</x:f>
        <x:v>390</x:v>
      </x:c>
      <x:c r="AG25" s="11" t="n">
        <x:f>ROUND(RAW_OP!$AB$27,0)</x:f>
        <x:v>1420</x:v>
      </x:c>
      <x:c r="AH25" s="11" t="n">
        <x:f>ROUND(RAW_OP!$AC$27,0)</x:f>
        <x:v>1154</x:v>
      </x:c>
      <x:c r="AI25" s="11" t="n">
        <x:f>ROUND(RAW_OP!$AD$27,0)</x:f>
        <x:v>400</x:v>
      </x:c>
      <x:c r="AJ25" s="11" t="n">
        <x:f>ROUND(RAW_OP!$AE$27,0)</x:f>
        <x:v>325</x:v>
      </x:c>
      <x:c r="AK25" s="11" t="n">
        <x:f>ROUND(RAW_OS!$B$27,0)</x:f>
        <x:v>30200</x:v>
      </x:c>
      <x:c r="AL25" s="11" t="n">
        <x:f>ROUND(RAW_OS!$C$27,0)</x:f>
        <x:v>24553</x:v>
      </x:c>
      <x:c r="AM25" s="11" t="n">
        <x:f>ROUND(RAW_OS!$D$27,0)</x:f>
        <x:v>700</x:v>
      </x:c>
      <x:c r="AN25" s="11" t="n">
        <x:f>ROUND(RAW_OS!$E$27,0)</x:f>
        <x:v>569</x:v>
      </x:c>
      <x:c r="AO25" s="11" t="n">
        <x:f>ROUND(RAW_OS!$F$27,0)</x:f>
        <x:v>1680</x:v>
      </x:c>
      <x:c r="AP25" s="11" t="n">
        <x:f>ROUND(RAW_OS!$G$27,0)</x:f>
        <x:v>1366</x:v>
      </x:c>
    </x:row>
    <x:row r="26">
      <x:c r="A26" s="9" t="inlineStr">
        <x:is>
          <x:t xml:space="preserve">400 x 706 cm</x:t>
        </x:is>
      </x:c>
      <x:c r="B26" s="9" t="inlineStr">
        <x:is>
          <x:t xml:space="preserve">PRO</x:t>
        </x:is>
      </x:c>
      <x:c r="C26" s="11" t="n">
        <x:f>ROUND(RAW_ZP!$B$28,0)</x:f>
        <x:v>10160</x:v>
      </x:c>
      <x:c r="D26" s="11" t="n">
        <x:f>ROUND(RAW_ZP!$C$28,0)</x:f>
        <x:v>8260</x:v>
      </x:c>
      <x:c r="E26" s="11" t="n">
        <x:f>ROUND(RAW_ZP!$D$28,0)</x:f>
        <x:v>390</x:v>
      </x:c>
      <x:c r="F26" s="11" t="n">
        <x:f>ROUND(RAW_ZP!$E$28,0)</x:f>
        <x:v>317</x:v>
      </x:c>
      <x:c r="G26" s="11" t="n">
        <x:f>ROUND(RAW_ZP!$H$28,0)</x:f>
        <x:v>8700</x:v>
      </x:c>
      <x:c r="H26" s="11" t="n">
        <x:f>ROUND(RAW_ZP!$I$28,0)</x:f>
        <x:v>7073</x:v>
      </x:c>
      <x:c r="I26" s="11" t="n">
        <x:f>ROUND(RAW_ZP!$J$28,0)</x:f>
        <x:v>2640</x:v>
      </x:c>
      <x:c r="J26" s="11" t="n">
        <x:f>ROUND(RAW_ZP!$K$28,0)</x:f>
        <x:v>2146</x:v>
      </x:c>
      <x:c r="K26" s="11" t="n">
        <x:f>ROUND(RAW_ZP!$N$28,0)</x:f>
        <x:v>4780</x:v>
      </x:c>
      <x:c r="L26" s="11" t="n">
        <x:f>ROUND(RAW_ZP!$O$28,0)</x:f>
        <x:v>3886</x:v>
      </x:c>
      <x:c r="M26" s="11" t="n">
        <x:f>ROUND(RAW_ZP!$P$28,0)</x:f>
        <x:v>870</x:v>
      </x:c>
      <x:c r="N26" s="11" t="n">
        <x:f>ROUND(RAW_ZP!$Q$28,0)</x:f>
        <x:v>707</x:v>
      </x:c>
      <x:c r="O26" s="11" t="n">
        <x:f>ROUND(RAW_ZP!$R$28,0)</x:f>
        <x:v>1210</x:v>
      </x:c>
      <x:c r="P26" s="11" t="n">
        <x:f>ROUND(RAW_ZP!$S$28,0)</x:f>
        <x:v>984</x:v>
      </x:c>
      <x:c r="Q26" s="11" t="n">
        <x:f>ROUND(RAW_ZP!$T$28,0)</x:f>
        <x:v>1919</x:v>
      </x:c>
      <x:c r="R26" s="11" t="n">
        <x:f>ROUND(RAW_ZP!$U$28,0)</x:f>
        <x:v>1560</x:v>
      </x:c>
      <x:c r="S26" s="11" t="n">
        <x:f>ROUND(RAW_ZP!$V$28,0)</x:f>
        <x:v>2792</x:v>
      </x:c>
      <x:c r="T26" s="11" t="n">
        <x:f>ROUND(RAW_ZP!$W$28,0)</x:f>
        <x:v>2270</x:v>
      </x:c>
      <x:c r="U26" s="11" t="n">
        <x:f>ROUND(RAW_ZS!$B$28,0)</x:f>
        <x:v>16990</x:v>
      </x:c>
      <x:c r="V26" s="11" t="n">
        <x:f>ROUND(RAW_ZS!$C$28,0)</x:f>
        <x:v>13813</x:v>
      </x:c>
      <x:c r="W26" s="11" t="n">
        <x:f>ROUND(RAW_ZS!$D$28,0)</x:f>
        <x:v>820</x:v>
      </x:c>
      <x:c r="X26" s="11" t="n">
        <x:f>ROUND(RAW_ZS!$E$28,0)</x:f>
        <x:v>667</x:v>
      </x:c>
      <x:c r="Y26" s="11" t="n">
        <x:f>ROUND(RAW_OP!$B$28,0)</x:f>
        <x:v>26080</x:v>
      </x:c>
      <x:c r="Z26" s="11" t="n">
        <x:f>ROUND(RAW_OP!$C$28,0)</x:f>
        <x:v>21203</x:v>
      </x:c>
      <x:c r="AA26" s="11" t="n">
        <x:f>ROUND(RAW_OP!$H$28,0)</x:f>
        <x:v>1800</x:v>
      </x:c>
      <x:c r="AB26" s="11" t="n">
        <x:f>ROUND(RAW_OP!$I$28,0)</x:f>
        <x:v>1463</x:v>
      </x:c>
      <x:c r="AC26" s="11" t="n">
        <x:f>ROUND(RAW_OP!$L$28,0)</x:f>
        <x:v>570</x:v>
      </x:c>
      <x:c r="AD26" s="11" t="n">
        <x:f>ROUND(RAW_OP!$M$28,0)</x:f>
        <x:v>463</x:v>
      </x:c>
      <x:c r="AE26" s="11" t="n">
        <x:f>ROUND(RAW_OP!$N$28,0)</x:f>
        <x:v>520</x:v>
      </x:c>
      <x:c r="AF26" s="11" t="n">
        <x:f>ROUND(RAW_OP!$O$28,0)</x:f>
        <x:v>423</x:v>
      </x:c>
      <x:c r="AG26" s="11" t="n">
        <x:f>ROUND(RAW_OP!$AB$28,0)</x:f>
        <x:v>1220</x:v>
      </x:c>
      <x:c r="AH26" s="11" t="n">
        <x:f>ROUND(RAW_OP!$AC$28,0)</x:f>
        <x:v>992</x:v>
      </x:c>
      <x:c r="AI26" s="11" t="n">
        <x:f>ROUND(RAW_OP!$AD$28,0)</x:f>
        <x:v>440</x:v>
      </x:c>
      <x:c r="AJ26" s="11" t="n">
        <x:f>ROUND(RAW_OP!$AE$28,0)</x:f>
        <x:v>358</x:v>
      </x:c>
      <x:c r="AK26" s="11" t="n">
        <x:f>ROUND(RAW_OS!$B$28,0)</x:f>
        <x:v>32910</x:v>
      </x:c>
      <x:c r="AL26" s="11" t="n">
        <x:f>ROUND(RAW_OS!$C$28,0)</x:f>
        <x:v>26756</x:v>
      </x:c>
      <x:c r="AM26" s="11" t="n">
        <x:f>ROUND(RAW_OS!$D$28,0)</x:f>
        <x:v>820</x:v>
      </x:c>
      <x:c r="AN26" s="11" t="n">
        <x:f>ROUND(RAW_OS!$E$28,0)</x:f>
        <x:v>667</x:v>
      </x:c>
      <x:c r="AO26" s="11" t="n">
        <x:f>ROUND(RAW_OS!$F$28,0)</x:f>
        <x:v>1800</x:v>
      </x:c>
      <x:c r="AP26" s="11" t="n">
        <x:f>ROUND(RAW_OS!$G$28,0)</x:f>
        <x:v>1463</x:v>
      </x:c>
    </x:row>
    <x:row r="27">
      <x:c r="A27" s="9" t="inlineStr">
        <x:is>
          <x:t xml:space="preserve">400 x 806 cm</x:t>
        </x:is>
      </x:c>
      <x:c r="B27" s="9" t="inlineStr">
        <x:is>
          <x:t xml:space="preserve">PRO</x:t>
        </x:is>
      </x:c>
      <x:c r="C27" s="11" t="n">
        <x:f>ROUND(RAW_ZP!$B$29,0)</x:f>
        <x:v>12250</x:v>
      </x:c>
      <x:c r="D27" s="11" t="n">
        <x:f>ROUND(RAW_ZP!$C$29,0)</x:f>
        <x:v>9959</x:v>
      </x:c>
      <x:c r="E27" s="11" t="n">
        <x:f>ROUND(RAW_ZP!$D$29,0)</x:f>
        <x:v>640</x:v>
      </x:c>
      <x:c r="F27" s="11" t="n">
        <x:f>ROUND(RAW_ZP!$E$29,0)</x:f>
        <x:v>520</x:v>
      </x:c>
      <x:c r="G27" s="11" t="n">
        <x:f>ROUND(RAW_ZP!$H$29,0)</x:f>
        <x:v>9328</x:v>
      </x:c>
      <x:c r="H27" s="11" t="n">
        <x:f>ROUND(RAW_ZP!$I$29,0)</x:f>
        <x:v>7584</x:v>
      </x:c>
      <x:c r="I27" s="11" t="n">
        <x:f>ROUND(RAW_ZP!$J$29,0)</x:f>
        <x:v>2640</x:v>
      </x:c>
      <x:c r="J27" s="11" t="n">
        <x:f>ROUND(RAW_ZP!$K$29,0)</x:f>
        <x:v>2146</x:v>
      </x:c>
      <x:c r="K27" s="11" t="n">
        <x:f>ROUND(RAW_ZP!$N$29,0)</x:f>
        <x:v>5280</x:v>
      </x:c>
      <x:c r="L27" s="11" t="n">
        <x:f>ROUND(RAW_ZP!$O$29,0)</x:f>
        <x:v>4293</x:v>
      </x:c>
      <x:c r="M27" s="11" t="n">
        <x:f>ROUND(RAW_ZP!$P$29,0)</x:f>
        <x:v>960</x:v>
      </x:c>
      <x:c r="N27" s="11" t="n">
        <x:f>ROUND(RAW_ZP!$Q$29,0)</x:f>
        <x:v>780</x:v>
      </x:c>
      <x:c r="O27" s="11" t="n">
        <x:f>ROUND(RAW_ZP!$R$29,0)</x:f>
        <x:v>1440</x:v>
      </x:c>
      <x:c r="P27" s="11" t="n">
        <x:f>ROUND(RAW_ZP!$S$29,0)</x:f>
        <x:v>1171</x:v>
      </x:c>
      <x:c r="Q27" s="11" t="n">
        <x:f>ROUND(RAW_ZP!$T$29,0)</x:f>
        <x:v>2153</x:v>
      </x:c>
      <x:c r="R27" s="11" t="n">
        <x:f>ROUND(RAW_ZP!$U$29,0)</x:f>
        <x:v>1750</x:v>
      </x:c>
      <x:c r="S27" s="11" t="n">
        <x:f>ROUND(RAW_ZP!$V$29,0)</x:f>
        <x:v>3161</x:v>
      </x:c>
      <x:c r="T27" s="11" t="n">
        <x:f>ROUND(RAW_ZP!$W$29,0)</x:f>
        <x:v>2570</x:v>
      </x:c>
      <x:c r="U27" s="11" t="n">
        <x:f>ROUND(RAW_ZS!$B$29,0)</x:f>
        <x:v>20470</x:v>
      </x:c>
      <x:c r="V27" s="11" t="n">
        <x:f>ROUND(RAW_ZS!$C$29,0)</x:f>
        <x:v>16642</x:v>
      </x:c>
      <x:c r="W27" s="11" t="n">
        <x:f>ROUND(RAW_ZS!$D$29,0)</x:f>
        <x:v>930</x:v>
      </x:c>
      <x:c r="X27" s="11" t="n">
        <x:f>ROUND(RAW_ZS!$E$29,0)</x:f>
        <x:v>756</x:v>
      </x:c>
      <x:c r="Y27" s="11" t="n">
        <x:f>ROUND(RAW_OP!$B$29,0)</x:f>
        <x:v>29040</x:v>
      </x:c>
      <x:c r="Z27" s="11" t="n">
        <x:f>ROUND(RAW_OP!$C$29,0)</x:f>
        <x:v>23610</x:v>
      </x:c>
      <x:c r="AA27" s="11" t="n">
        <x:f>ROUND(RAW_OP!$H$29,0)</x:f>
        <x:v>2064</x:v>
      </x:c>
      <x:c r="AB27" s="11" t="n">
        <x:f>ROUND(RAW_OP!$I$29,0)</x:f>
        <x:v>1678</x:v>
      </x:c>
      <x:c r="AC27" s="11" t="n">
        <x:f>ROUND(RAW_OP!$L$29,0)</x:f>
        <x:v>610</x:v>
      </x:c>
      <x:c r="AD27" s="11" t="n">
        <x:f>ROUND(RAW_OP!$M$29,0)</x:f>
        <x:v>496</x:v>
      </x:c>
      <x:c r="AE27" s="11" t="n">
        <x:f>ROUND(RAW_OP!$N$29,0)</x:f>
        <x:v>551</x:v>
      </x:c>
      <x:c r="AF27" s="11" t="n">
        <x:f>ROUND(RAW_OP!$O$29,0)</x:f>
        <x:v>448</x:v>
      </x:c>
      <x:c r="AG27" s="11" t="n">
        <x:f>ROUND(RAW_OP!$AB$29,0)</x:f>
        <x:v>1330</x:v>
      </x:c>
      <x:c r="AH27" s="11" t="n">
        <x:f>ROUND(RAW_OP!$AC$29,0)</x:f>
        <x:v>1081</x:v>
      </x:c>
      <x:c r="AI27" s="11" t="n">
        <x:f>ROUND(RAW_OP!$AD$29,0)</x:f>
        <x:v>480</x:v>
      </x:c>
      <x:c r="AJ27" s="11" t="n">
        <x:f>ROUND(RAW_OP!$AE$29,0)</x:f>
        <x:v>390</x:v>
      </x:c>
      <x:c r="AK27" s="11" t="n">
        <x:f>ROUND(RAW_OS!$B$29,0)</x:f>
        <x:v>37260</x:v>
      </x:c>
      <x:c r="AL27" s="11" t="n">
        <x:f>ROUND(RAW_OS!$C$29,0)</x:f>
        <x:v>30293</x:v>
      </x:c>
      <x:c r="AM27" s="11" t="n">
        <x:f>ROUND(RAW_OS!$D$29,0)</x:f>
        <x:v>930</x:v>
      </x:c>
      <x:c r="AN27" s="11" t="n">
        <x:f>ROUND(RAW_OS!$E$29,0)</x:f>
        <x:v>756</x:v>
      </x:c>
      <x:c r="AO27" s="11" t="n">
        <x:f>ROUND(RAW_OS!$F$29,0)</x:f>
        <x:v>2064</x:v>
      </x:c>
      <x:c r="AP27" s="11" t="n">
        <x:f>ROUND(RAW_OS!$G$29,0)</x:f>
        <x:v>1678</x:v>
      </x:c>
    </x:row>
    <x:row r="28">
      <x:c r="A28" s="9" t="inlineStr">
        <x:is>
          <x:t xml:space="preserve">400 x 906 cm</x:t>
        </x:is>
      </x:c>
      <x:c r="B28" s="9" t="inlineStr">
        <x:is>
          <x:t xml:space="preserve">PRO</x:t>
        </x:is>
      </x:c>
      <x:c r="C28" s="11" t="n">
        <x:f>ROUND(RAW_ZP!$B$30,0)</x:f>
        <x:v>13750</x:v>
      </x:c>
      <x:c r="D28" s="11" t="n">
        <x:f>ROUND(RAW_ZP!$C$30,0)</x:f>
        <x:v>11179</x:v>
      </x:c>
      <x:c r="E28" s="11" t="n">
        <x:f>ROUND(RAW_ZP!$D$30,0)</x:f>
        <x:v>500</x:v>
      </x:c>
      <x:c r="F28" s="11" t="n">
        <x:f>ROUND(RAW_ZP!$E$30,0)</x:f>
        <x:v>407</x:v>
      </x:c>
      <x:c r="G28" s="11" t="n">
        <x:f>ROUND(RAW_ZP!$H$30,0)</x:f>
        <x:v>9980</x:v>
      </x:c>
      <x:c r="H28" s="11" t="n">
        <x:f>ROUND(RAW_ZP!$I$30,0)</x:f>
        <x:v>8114</x:v>
      </x:c>
      <x:c r="I28" s="11" t="n">
        <x:f>ROUND(RAW_ZP!$J$30,0)</x:f>
        <x:v>2640</x:v>
      </x:c>
      <x:c r="J28" s="11" t="n">
        <x:f>ROUND(RAW_ZP!$K$30,0)</x:f>
        <x:v>2146</x:v>
      </x:c>
      <x:c r="K28" s="11" t="n">
        <x:f>ROUND(RAW_ZP!$N$30,0)</x:f>
        <x:v>6400</x:v>
      </x:c>
      <x:c r="L28" s="11" t="n">
        <x:f>ROUND(RAW_ZP!$O$30,0)</x:f>
        <x:v>5203</x:v>
      </x:c>
      <x:c r="M28" s="11" t="n">
        <x:f>ROUND(RAW_ZP!$P$30,0)</x:f>
        <x:v>1040</x:v>
      </x:c>
      <x:c r="N28" s="11" t="n">
        <x:f>ROUND(RAW_ZP!$Q$30,0)</x:f>
        <x:v>846</x:v>
      </x:c>
      <x:c r="O28" s="11" t="n">
        <x:f>ROUND(RAW_ZP!$R$30,0)</x:f>
        <x:v>1560</x:v>
      </x:c>
      <x:c r="P28" s="11" t="n">
        <x:f>ROUND(RAW_ZP!$S$30,0)</x:f>
        <x:v>1268</x:v>
      </x:c>
      <x:c r="Q28" s="11" t="n">
        <x:f>ROUND(RAW_ZP!$T$30,0)</x:f>
        <x:v>2374</x:v>
      </x:c>
      <x:c r="R28" s="11" t="n">
        <x:f>ROUND(RAW_ZP!$U$30,0)</x:f>
        <x:v>1930</x:v>
      </x:c>
      <x:c r="S28" s="11" t="n">
        <x:f>ROUND(RAW_ZP!$V$30,0)</x:f>
        <x:v>3530</x:v>
      </x:c>
      <x:c r="T28" s="11" t="n">
        <x:f>ROUND(RAW_ZP!$W$30,0)</x:f>
        <x:v>2870</x:v>
      </x:c>
      <x:c r="U28" s="11" t="n">
        <x:f>ROUND(RAW_ZS!$B$30,0)</x:f>
        <x:v>22910</x:v>
      </x:c>
      <x:c r="V28" s="11" t="n">
        <x:f>ROUND(RAW_ZS!$C$30,0)</x:f>
        <x:v>18626</x:v>
      </x:c>
      <x:c r="W28" s="11" t="n">
        <x:f>ROUND(RAW_ZS!$D$30,0)</x:f>
        <x:v>1050</x:v>
      </x:c>
      <x:c r="X28" s="11" t="n">
        <x:f>ROUND(RAW_ZS!$E$30,0)</x:f>
        <x:v>854</x:v>
      </x:c>
      <x:c r="Y28" s="11" t="n">
        <x:f>ROUND(RAW_OP!$B$30,0)</x:f>
        <x:v>31690</x:v>
      </x:c>
      <x:c r="Z28" s="11" t="n">
        <x:f>ROUND(RAW_OP!$C$30,0)</x:f>
        <x:v>25764</x:v>
      </x:c>
      <x:c r="AA28" s="11" t="n">
        <x:f>ROUND(RAW_OP!$H$30,0)</x:f>
        <x:v>2040</x:v>
      </x:c>
      <x:c r="AB28" s="11" t="n">
        <x:f>ROUND(RAW_OP!$I$30,0)</x:f>
        <x:v>1659</x:v>
      </x:c>
      <x:c r="AC28" s="11" t="n">
        <x:f>ROUND(RAW_OP!$L$30,0)</x:f>
        <x:v>650</x:v>
      </x:c>
      <x:c r="AD28" s="11" t="n">
        <x:f>ROUND(RAW_OP!$M$30,0)</x:f>
        <x:v>528</x:v>
      </x:c>
      <x:c r="AE28" s="11" t="n">
        <x:f>ROUND(RAW_OP!$N$30,0)</x:f>
        <x:v>590</x:v>
      </x:c>
      <x:c r="AF28" s="11" t="n">
        <x:f>ROUND(RAW_OP!$O$30,0)</x:f>
        <x:v>480</x:v>
      </x:c>
      <x:c r="AG28" s="11" t="n">
        <x:f>ROUND(RAW_OP!$AB$30,0)</x:f>
        <x:v>1470</x:v>
      </x:c>
      <x:c r="AH28" s="11" t="n">
        <x:f>ROUND(RAW_OP!$AC$30,0)</x:f>
        <x:v>1195</x:v>
      </x:c>
      <x:c r="AI28" s="11" t="n">
        <x:f>ROUND(RAW_OP!$AD$30,0)</x:f>
        <x:v>480</x:v>
      </x:c>
      <x:c r="AJ28" s="11" t="n">
        <x:f>ROUND(RAW_OP!$AE$30,0)</x:f>
        <x:v>390</x:v>
      </x:c>
      <x:c r="AK28" s="11" t="n">
        <x:f>ROUND(RAW_OS!$B$30,0)</x:f>
        <x:v>40850</x:v>
      </x:c>
      <x:c r="AL28" s="11" t="n">
        <x:f>ROUND(RAW_OS!$C$30,0)</x:f>
        <x:v>33211</x:v>
      </x:c>
      <x:c r="AM28" s="11" t="n">
        <x:f>ROUND(RAW_OS!$D$30,0)</x:f>
        <x:v>1050</x:v>
      </x:c>
      <x:c r="AN28" s="11" t="n">
        <x:f>ROUND(RAW_OS!$E$30,0)</x:f>
        <x:v>854</x:v>
      </x:c>
      <x:c r="AO28" s="11" t="n">
        <x:f>ROUND(RAW_OS!$F$30,0)</x:f>
        <x:v>2040</x:v>
      </x:c>
      <x:c r="AP28" s="11" t="n">
        <x:f>ROUND(RAW_OS!$G$30,0)</x:f>
        <x:v>1659</x:v>
      </x:c>
    </x:row>
    <x:row r="29">
      <x:c r="A29" s="9" t="inlineStr">
        <x:is>
          <x:t xml:space="preserve">400 x 1006 cm</x:t>
        </x:is>
      </x:c>
      <x:c r="B29" s="9" t="inlineStr">
        <x:is>
          <x:t xml:space="preserve">PRO</x:t>
        </x:is>
      </x:c>
      <x:c r="C29" s="11" t="n">
        <x:f>ROUND(RAW_ZP!$B$31,0)</x:f>
        <x:v>15250</x:v>
      </x:c>
      <x:c r="D29" s="11" t="n">
        <x:f>ROUND(RAW_ZP!$C$31,0)</x:f>
        <x:v>12398</x:v>
      </x:c>
      <x:c r="E29" s="11" t="n">
        <x:f>ROUND(RAW_ZP!$D$31,0)</x:f>
        <x:v>560</x:v>
      </x:c>
      <x:c r="F29" s="11" t="n">
        <x:f>ROUND(RAW_ZP!$E$31,0)</x:f>
        <x:v>455</x:v>
      </x:c>
      <x:c r="G29" s="11" t="n">
        <x:f>ROUND(RAW_ZP!$H$31,0)</x:f>
        <x:v>10620</x:v>
      </x:c>
      <x:c r="H29" s="11" t="n">
        <x:f>ROUND(RAW_ZP!$I$31,0)</x:f>
        <x:v>8634</x:v>
      </x:c>
      <x:c r="I29" s="11" t="n">
        <x:f>ROUND(RAW_ZP!$J$31,0)</x:f>
        <x:v>2640</x:v>
      </x:c>
      <x:c r="J29" s="11" t="n">
        <x:f>ROUND(RAW_ZP!$K$31,0)</x:f>
        <x:v>2146</x:v>
      </x:c>
      <x:c r="K29" s="11" t="n">
        <x:f>ROUND(RAW_ZP!$N$31,0)</x:f>
        <x:v>6910</x:v>
      </x:c>
      <x:c r="L29" s="11" t="n">
        <x:f>ROUND(RAW_ZP!$O$31,0)</x:f>
        <x:v>5618</x:v>
      </x:c>
      <x:c r="M29" s="11" t="n">
        <x:f>ROUND(RAW_ZP!$P$31,0)</x:f>
        <x:v>1230</x:v>
      </x:c>
      <x:c r="N29" s="11" t="n">
        <x:f>ROUND(RAW_ZP!$Q$31,0)</x:f>
        <x:v>1000</x:v>
      </x:c>
      <x:c r="O29" s="11" t="n">
        <x:f>ROUND(RAW_ZP!$R$31,0)</x:f>
        <x:v>1650</x:v>
      </x:c>
      <x:c r="P29" s="11" t="n">
        <x:f>ROUND(RAW_ZP!$S$31,0)</x:f>
        <x:v>1341</x:v>
      </x:c>
      <x:c r="Q29" s="11" t="n">
        <x:f>ROUND(RAW_ZP!$T$31,0)</x:f>
        <x:v>2595</x:v>
      </x:c>
      <x:c r="R29" s="11" t="n">
        <x:f>ROUND(RAW_ZP!$U$31,0)</x:f>
        <x:v>2110</x:v>
      </x:c>
      <x:c r="S29" s="11" t="n">
        <x:f>ROUND(RAW_ZP!$V$31,0)</x:f>
        <x:v>3899</x:v>
      </x:c>
      <x:c r="T29" s="11" t="n">
        <x:f>ROUND(RAW_ZP!$W$31,0)</x:f>
        <x:v>3170</x:v>
      </x:c>
      <x:c r="U29" s="11" t="n">
        <x:f>ROUND(RAW_ZS!$B$31,0)</x:f>
        <x:v>25350</x:v>
      </x:c>
      <x:c r="V29" s="11" t="n">
        <x:f>ROUND(RAW_ZS!$C$31,0)</x:f>
        <x:v>20610</x:v>
      </x:c>
      <x:c r="W29" s="11" t="n">
        <x:f>ROUND(RAW_ZS!$D$31,0)</x:f>
        <x:v>1160</x:v>
      </x:c>
      <x:c r="X29" s="11" t="n">
        <x:f>ROUND(RAW_ZS!$E$31,0)</x:f>
        <x:v>943</x:v>
      </x:c>
      <x:c r="Y29" s="11" t="n">
        <x:f>ROUND(RAW_OP!$B$31,0)</x:f>
        <x:v>34330</x:v>
      </x:c>
      <x:c r="Z29" s="11" t="n">
        <x:f>ROUND(RAW_OP!$C$31,0)</x:f>
        <x:v>27911</x:v>
      </x:c>
      <x:c r="AA29" s="11" t="n">
        <x:f>ROUND(RAW_OP!$H$31,0)</x:f>
        <x:v>2160</x:v>
      </x:c>
      <x:c r="AB29" s="11" t="n">
        <x:f>ROUND(RAW_OP!$I$31,0)</x:f>
        <x:v>1756</x:v>
      </x:c>
      <x:c r="AC29" s="11" t="n">
        <x:f>ROUND(RAW_OP!$L$31,0)</x:f>
        <x:v>690</x:v>
      </x:c>
      <x:c r="AD29" s="11" t="n">
        <x:f>ROUND(RAW_OP!$M$31,0)</x:f>
        <x:v>561</x:v>
      </x:c>
      <x:c r="AE29" s="11" t="n">
        <x:f>ROUND(RAW_OP!$N$31,0)</x:f>
        <x:v>620</x:v>
      </x:c>
      <x:c r="AF29" s="11" t="n">
        <x:f>ROUND(RAW_OP!$O$31,0)</x:f>
        <x:v>504</x:v>
      </x:c>
      <x:c r="AG29" s="11" t="n">
        <x:f>ROUND(RAW_OP!$AB$31,0)</x:f>
        <x:v>1610</x:v>
      </x:c>
      <x:c r="AH29" s="11" t="n">
        <x:f>ROUND(RAW_OP!$AC$31,0)</x:f>
        <x:v>1309</x:v>
      </x:c>
      <x:c r="AI29" s="11" t="n">
        <x:f>ROUND(RAW_OP!$AD$31,0)</x:f>
        <x:v>520</x:v>
      </x:c>
      <x:c r="AJ29" s="11" t="n">
        <x:f>ROUND(RAW_OP!$AE$31,0)</x:f>
        <x:v>423</x:v>
      </x:c>
      <x:c r="AK29" s="11" t="n">
        <x:f>ROUND(RAW_OS!$B$31,0)</x:f>
        <x:v>44430</x:v>
      </x:c>
      <x:c r="AL29" s="11" t="n">
        <x:f>ROUND(RAW_OS!$C$31,0)</x:f>
        <x:v>36122</x:v>
      </x:c>
      <x:c r="AM29" s="11" t="n">
        <x:f>ROUND(RAW_OS!$D$31,0)</x:f>
        <x:v>1160</x:v>
      </x:c>
      <x:c r="AN29" s="11" t="n">
        <x:f>ROUND(RAW_OS!$E$31,0)</x:f>
        <x:v>943</x:v>
      </x:c>
      <x:c r="AO29" s="11" t="n">
        <x:f>ROUND(RAW_OS!$F$31,0)</x:f>
        <x:v>2160</x:v>
      </x:c>
      <x:c r="AP29" s="11" t="n">
        <x:f>ROUND(RAW_OS!$G$31,0)</x:f>
        <x:v>1756</x:v>
      </x:c>
    </x:row>
    <x:row r="30">
      <x:c r="A30" s="9" t="inlineStr">
        <x:is>
          <x:t xml:space="preserve">400 x 1106 cm</x:t>
        </x:is>
      </x:c>
      <x:c r="B30" s="9" t="inlineStr">
        <x:is>
          <x:t xml:space="preserve">PRO</x:t>
        </x:is>
      </x:c>
      <x:c r="C30" s="11" t="n">
        <x:f>ROUND(RAW_ZP!$B$32,0)</x:f>
        <x:v>15970</x:v>
      </x:c>
      <x:c r="D30" s="11" t="n">
        <x:f>ROUND(RAW_ZP!$C$32,0)</x:f>
        <x:v>12984</x:v>
      </x:c>
      <x:c r="E30" s="11" t="n">
        <x:f>ROUND(RAW_ZP!$D$32,0)</x:f>
        <x:v>620</x:v>
      </x:c>
      <x:c r="F30" s="11" t="n">
        <x:f>ROUND(RAW_ZP!$E$32,0)</x:f>
        <x:v>504</x:v>
      </x:c>
      <x:c r="G30" s="11" t="n">
        <x:f>ROUND(RAW_ZP!$H$32,0)</x:f>
        <x:v>13350</x:v>
      </x:c>
      <x:c r="H30" s="11" t="n">
        <x:f>ROUND(RAW_ZP!$I$32,0)</x:f>
        <x:v>10854</x:v>
      </x:c>
      <x:c r="I30" s="11" t="n">
        <x:f>ROUND(RAW_ZP!$J$32,0)</x:f>
        <x:v>2640</x:v>
      </x:c>
      <x:c r="J30" s="11" t="n">
        <x:f>ROUND(RAW_ZP!$K$32,0)</x:f>
        <x:v>2146</x:v>
      </x:c>
      <x:c r="K30" s="11" t="n">
        <x:f>ROUND(RAW_ZP!$N$32,0)</x:f>
        <x:v>7420</x:v>
      </x:c>
      <x:c r="L30" s="11" t="n">
        <x:f>ROUND(RAW_ZP!$O$32,0)</x:f>
        <x:v>6033</x:v>
      </x:c>
      <x:c r="M30" s="11" t="n">
        <x:f>ROUND(RAW_ZP!$P$32,0)</x:f>
        <x:v>1430</x:v>
      </x:c>
      <x:c r="N30" s="11" t="n">
        <x:f>ROUND(RAW_ZP!$Q$32,0)</x:f>
        <x:v>1163</x:v>
      </x:c>
      <x:c r="O30" s="11" t="n">
        <x:f>ROUND(RAW_ZP!$R$32,0)</x:f>
        <x:v>1770</x:v>
      </x:c>
      <x:c r="P30" s="11" t="n">
        <x:f>ROUND(RAW_ZP!$S$32,0)</x:f>
        <x:v>1439</x:v>
      </x:c>
      <x:c r="Q30" s="11" t="n">
        <x:f>ROUND(RAW_ZP!$T$32,0)</x:f>
        <x:v>2829</x:v>
      </x:c>
      <x:c r="R30" s="11" t="n">
        <x:f>ROUND(RAW_ZP!$U$32,0)</x:f>
        <x:v>2300</x:v>
      </x:c>
      <x:c r="S30" s="11" t="n">
        <x:f>ROUND(RAW_ZP!$V$32,0)</x:f>
        <x:v>4268</x:v>
      </x:c>
      <x:c r="T30" s="11" t="n">
        <x:f>ROUND(RAW_ZP!$W$32,0)</x:f>
        <x:v>3470</x:v>
      </x:c>
      <x:c r="U30" s="11" t="n">
        <x:f>ROUND(RAW_ZS!$B$32,0)</x:f>
        <x:v>27000</x:v>
      </x:c>
      <x:c r="V30" s="11" t="n">
        <x:f>ROUND(RAW_ZS!$C$32,0)</x:f>
        <x:v>21951</x:v>
      </x:c>
      <x:c r="W30" s="11" t="n">
        <x:f>ROUND(RAW_ZS!$D$32,0)</x:f>
        <x:v>1280</x:v>
      </x:c>
      <x:c r="X30" s="11" t="n">
        <x:f>ROUND(RAW_ZS!$E$32,0)</x:f>
        <x:v>1041</x:v>
      </x:c>
      <x:c r="Y30" s="11" t="n">
        <x:f>ROUND(RAW_OP!$B$32,0)</x:f>
        <x:v>36300</x:v>
      </x:c>
      <x:c r="Z30" s="11" t="n">
        <x:f>ROUND(RAW_OP!$C$32,0)</x:f>
        <x:v>29512</x:v>
      </x:c>
      <x:c r="AA30" s="11" t="n">
        <x:f>ROUND(RAW_OP!$H$32,0)</x:f>
        <x:v>2280</x:v>
      </x:c>
      <x:c r="AB30" s="11" t="n">
        <x:f>ROUND(RAW_OP!$I$32,0)</x:f>
        <x:v>1854</x:v>
      </x:c>
      <x:c r="AC30" s="11" t="n">
        <x:f>ROUND(RAW_OP!$L$32,0)</x:f>
        <x:v>720</x:v>
      </x:c>
      <x:c r="AD30" s="11" t="n">
        <x:f>ROUND(RAW_OP!$M$32,0)</x:f>
        <x:v>585</x:v>
      </x:c>
      <x:c r="AE30" s="11" t="n">
        <x:f>ROUND(RAW_OP!$N$32,0)</x:f>
        <x:v>650</x:v>
      </x:c>
      <x:c r="AF30" s="11" t="n">
        <x:f>ROUND(RAW_OP!$O$32,0)</x:f>
        <x:v>528</x:v>
      </x:c>
      <x:c r="AG30" s="11" t="n">
        <x:f>ROUND(RAW_OP!$AB$32,0)</x:f>
        <x:v>2180</x:v>
      </x:c>
      <x:c r="AH30" s="11" t="n">
        <x:f>ROUND(RAW_OP!$AC$32,0)</x:f>
        <x:v>1772</x:v>
      </x:c>
      <x:c r="AI30" s="11" t="n">
        <x:f>ROUND(RAW_OP!$AD$32,0)</x:f>
        <x:v>560</x:v>
      </x:c>
      <x:c r="AJ30" s="11" t="n">
        <x:f>ROUND(RAW_OP!$AE$32,0)</x:f>
        <x:v>455</x:v>
      </x:c>
      <x:c r="AK30" s="11" t="n">
        <x:f>ROUND(RAW_OS!$B$32,0)</x:f>
        <x:v>47330</x:v>
      </x:c>
      <x:c r="AL30" s="11" t="n">
        <x:f>ROUND(RAW_OS!$C$32,0)</x:f>
        <x:v>38480</x:v>
      </x:c>
      <x:c r="AM30" s="11" t="n">
        <x:f>ROUND(RAW_OS!$D$32,0)</x:f>
        <x:v>1280</x:v>
      </x:c>
      <x:c r="AN30" s="11" t="n">
        <x:f>ROUND(RAW_OS!$E$32,0)</x:f>
        <x:v>1041</x:v>
      </x:c>
      <x:c r="AO30" s="11" t="n">
        <x:f>ROUND(RAW_OS!$F$32,0)</x:f>
        <x:v>2280</x:v>
      </x:c>
      <x:c r="AP30" s="11" t="n">
        <x:f>ROUND(RAW_OS!$G$32,0)</x:f>
        <x:v>1854</x:v>
      </x:c>
    </x:row>
    <x:row r="31">
      <x:c r="A31" s="9" t="inlineStr">
        <x:is>
          <x:t xml:space="preserve">400 x 1206 cm</x:t>
        </x:is>
      </x:c>
      <x:c r="B31" s="9" t="inlineStr">
        <x:is>
          <x:t xml:space="preserve">PRO</x:t>
        </x:is>
      </x:c>
      <x:c r="C31" s="11" t="n">
        <x:f>ROUND(RAW_ZP!$B$33,0)</x:f>
        <x:v>16700</x:v>
      </x:c>
      <x:c r="D31" s="11" t="n">
        <x:f>ROUND(RAW_ZP!$C$33,0)</x:f>
        <x:v>13577</x:v>
      </x:c>
      <x:c r="E31" s="11" t="n">
        <x:f>ROUND(RAW_ZP!$D$33,0)</x:f>
        <x:v>670</x:v>
      </x:c>
      <x:c r="F31" s="11" t="n">
        <x:f>ROUND(RAW_ZP!$E$33,0)</x:f>
        <x:v>545</x:v>
      </x:c>
      <x:c r="G31" s="11" t="n">
        <x:f>ROUND(RAW_ZP!$H$33,0)</x:f>
        <x:v>13980</x:v>
      </x:c>
      <x:c r="H31" s="11" t="n">
        <x:f>ROUND(RAW_ZP!$I$33,0)</x:f>
        <x:v>11366</x:v>
      </x:c>
      <x:c r="I31" s="11" t="n">
        <x:f>ROUND(RAW_ZP!$J$33,0)</x:f>
        <x:v>2640</x:v>
      </x:c>
      <x:c r="J31" s="11" t="n">
        <x:f>ROUND(RAW_ZP!$K$33,0)</x:f>
        <x:v>2146</x:v>
      </x:c>
      <x:c r="K31" s="11" t="n">
        <x:f>ROUND(RAW_ZP!$N$33,0)</x:f>
        <x:v>7920</x:v>
      </x:c>
      <x:c r="L31" s="11" t="n">
        <x:f>ROUND(RAW_ZP!$O$33,0)</x:f>
        <x:v>6439</x:v>
      </x:c>
      <x:c r="M31" s="11" t="n">
        <x:f>ROUND(RAW_ZP!$P$33,0)</x:f>
        <x:v>1510</x:v>
      </x:c>
      <x:c r="N31" s="11" t="n">
        <x:f>ROUND(RAW_ZP!$Q$33,0)</x:f>
        <x:v>1228</x:v>
      </x:c>
      <x:c r="O31" s="11" t="n">
        <x:f>ROUND(RAW_ZP!$R$33,0)</x:f>
        <x:v>1900</x:v>
      </x:c>
      <x:c r="P31" s="11" t="n">
        <x:f>ROUND(RAW_ZP!$S$33,0)</x:f>
        <x:v>1545</x:v>
      </x:c>
      <x:c r="Q31" s="11" t="n">
        <x:f>ROUND(RAW_ZP!$T$33,0)</x:f>
        <x:v>3050</x:v>
      </x:c>
      <x:c r="R31" s="11" t="n">
        <x:f>ROUND(RAW_ZP!$U$33,0)</x:f>
        <x:v>2480</x:v>
      </x:c>
      <x:c r="S31" s="11" t="n">
        <x:f>ROUND(RAW_ZP!$V$33,0)</x:f>
        <x:v>4637</x:v>
      </x:c>
      <x:c r="T31" s="11" t="n">
        <x:f>ROUND(RAW_ZP!$W$33,0)</x:f>
        <x:v>3770</x:v>
      </x:c>
      <x:c r="U31" s="11" t="n">
        <x:f>ROUND(RAW_ZS!$B$33,0)</x:f>
        <x:v>28660</x:v>
      </x:c>
      <x:c r="V31" s="11" t="n">
        <x:f>ROUND(RAW_ZS!$C$33,0)</x:f>
        <x:v>23301</x:v>
      </x:c>
      <x:c r="W31" s="11" t="n">
        <x:f>ROUND(RAW_ZS!$D$33,0)</x:f>
        <x:v>1390</x:v>
      </x:c>
      <x:c r="X31" s="11" t="n">
        <x:f>ROUND(RAW_ZS!$E$33,0)</x:f>
        <x:v>1130</x:v>
      </x:c>
      <x:c r="Y31" s="11" t="n">
        <x:f>ROUND(RAW_OP!$B$33,0)</x:f>
        <x:v>38280</x:v>
      </x:c>
      <x:c r="Z31" s="11" t="n">
        <x:f>ROUND(RAW_OP!$C$33,0)</x:f>
        <x:v>31122</x:v>
      </x:c>
      <x:c r="AA31" s="11" t="n">
        <x:f>ROUND(RAW_OP!$H$33,0)</x:f>
        <x:v>2400</x:v>
      </x:c>
      <x:c r="AB31" s="11" t="n">
        <x:f>ROUND(RAW_OP!$I$33,0)</x:f>
        <x:v>1951</x:v>
      </x:c>
      <x:c r="AC31" s="11" t="n">
        <x:f>ROUND(RAW_OP!$L$33,0)</x:f>
        <x:v>760</x:v>
      </x:c>
      <x:c r="AD31" s="11" t="n">
        <x:f>ROUND(RAW_OP!$M$33,0)</x:f>
        <x:v>618</x:v>
      </x:c>
      <x:c r="AE31" s="11" t="n">
        <x:f>ROUND(RAW_OP!$N$33,0)</x:f>
        <x:v>690</x:v>
      </x:c>
      <x:c r="AF31" s="11" t="n">
        <x:f>ROUND(RAW_OP!$O$33,0)</x:f>
        <x:v>561</x:v>
      </x:c>
      <x:c r="AG31" s="11" t="n">
        <x:f>ROUND(RAW_OP!$AB$33,0)</x:f>
        <x:v>2180</x:v>
      </x:c>
      <x:c r="AH31" s="11" t="n">
        <x:f>ROUND(RAW_OP!$AC$33,0)</x:f>
        <x:v>1772</x:v>
      </x:c>
      <x:c r="AI31" s="11" t="n">
        <x:f>ROUND(RAW_OP!$AD$33,0)</x:f>
        <x:v>600</x:v>
      </x:c>
      <x:c r="AJ31" s="11" t="n">
        <x:f>ROUND(RAW_OP!$AE$33,0)</x:f>
        <x:v>488</x:v>
      </x:c>
      <x:c r="AK31" s="11" t="n">
        <x:f>ROUND(RAW_OS!$B$33,0)</x:f>
        <x:v>50240</x:v>
      </x:c>
      <x:c r="AL31" s="11" t="n">
        <x:f>ROUND(RAW_OS!$C$33,0)</x:f>
        <x:v>40846</x:v>
      </x:c>
      <x:c r="AM31" s="11" t="n">
        <x:f>ROUND(RAW_OS!$D$33,0)</x:f>
        <x:v>1390</x:v>
      </x:c>
      <x:c r="AN31" s="11" t="n">
        <x:f>ROUND(RAW_OS!$E$33,0)</x:f>
        <x:v>1130</x:v>
      </x:c>
      <x:c r="AO31" s="11" t="n">
        <x:f>ROUND(RAW_OS!$F$33,0)</x:f>
        <x:v>2400</x:v>
      </x:c>
      <x:c r="AP31" s="11" t="n">
        <x:f>ROUND(RAW_OS!$G$33,0)</x:f>
        <x:v>1951</x:v>
      </x:c>
    </x:row>
    <x:row r="32">
      <x:c r="A32" s="9" t="inlineStr">
        <x:is>
          <x:t xml:space="preserve">450 x 306 cm</x:t>
        </x:is>
      </x:c>
      <x:c r="B32" s="9" t="inlineStr">
        <x:is>
          <x:t xml:space="preserve">PRO+</x:t>
        </x:is>
      </x:c>
      <x:c r="C32" s="11" t="n">
        <x:f>ROUND(RAW_ZP!$B$35,0)</x:f>
        <x:v>7220</x:v>
      </x:c>
      <x:c r="D32" s="11" t="n">
        <x:f>ROUND(RAW_ZP!$C$35,0)</x:f>
        <x:v>5870</x:v>
      </x:c>
      <x:c r="E32" s="11" t="n">
        <x:f>ROUND(RAW_ZP!$D$35,0)</x:f>
        <x:v>290</x:v>
      </x:c>
      <x:c r="F32" s="11" t="n">
        <x:f>ROUND(RAW_ZP!$E$35,0)</x:f>
        <x:v>236</x:v>
      </x:c>
      <x:c r="G32" s="11" t="n">
        <x:f>ROUND(RAW_ZP!$H$35,0)</x:f>
        <x:v>4080</x:v>
      </x:c>
      <x:c r="H32" s="11" t="n">
        <x:f>ROUND(RAW_ZP!$I$35,0)</x:f>
        <x:v>3317</x:v>
      </x:c>
      <x:c r="I32" s="11" t="n">
        <x:f>ROUND(RAW_ZP!$J$35,0)</x:f>
        <x:v>3160</x:v>
      </x:c>
      <x:c r="J32" s="11" t="n">
        <x:f>ROUND(RAW_ZP!$K$35,0)</x:f>
        <x:v>2569</x:v>
      </x:c>
      <x:c r="K32" s="11" t="n">
        <x:f>ROUND(RAW_ZP!$N$35,0)</x:f>
        <x:v>2140</x:v>
      </x:c>
      <x:c r="L32" s="11" t="n">
        <x:f>ROUND(RAW_ZP!$O$35,0)</x:f>
        <x:v>1740</x:v>
      </x:c>
      <x:c r="M32" s="11" t="n">
        <x:f>ROUND(RAW_ZP!$P$35,0)</x:f>
        <x:v>420</x:v>
      </x:c>
      <x:c r="N32" s="11" t="n">
        <x:f>ROUND(RAW_ZP!$Q$35,0)</x:f>
        <x:v>341</x:v>
      </x:c>
      <x:c r="O32" s="11" t="n">
        <x:f>ROUND(RAW_ZP!$R$35,0)</x:f>
        <x:v>640</x:v>
      </x:c>
      <x:c r="P32" s="11" t="n">
        <x:f>ROUND(RAW_ZP!$S$35,0)</x:f>
        <x:v>520</x:v>
      </x:c>
      <x:c r="Q32" s="732" t="n">
        <x:v>1401</x:v>
      </x:c>
      <x:c r="R32" s="732" t="n">
        <x:v>1139</x:v>
      </x:c>
      <x:c r="S32" s="732" t="n">
        <x:v>1745</x:v>
      </x:c>
      <x:c r="T32" s="732" t="n">
        <x:v>1419</x:v>
      </x:c>
      <x:c r="U32" s="11" t="n">
        <x:f>ROUND(RAW_ZS!$B$35,0)</x:f>
        <x:v>10590</x:v>
      </x:c>
      <x:c r="V32" s="11" t="n">
        <x:f>ROUND(RAW_ZS!$C$35,0)</x:f>
        <x:v>8610</x:v>
      </x:c>
      <x:c r="W32" s="11" t="n">
        <x:f>ROUND(RAW_ZS!$D$35,0)</x:f>
        <x:v>380</x:v>
      </x:c>
      <x:c r="X32" s="11" t="n">
        <x:f>ROUND(RAW_ZS!$E$35,0)</x:f>
        <x:v>309</x:v>
      </x:c>
      <x:c r="Y32" s="11" t="n">
        <x:f>ROUND(RAW_OP!$B$35,0)</x:f>
        <x:v>22300</x:v>
      </x:c>
      <x:c r="Z32" s="11" t="n">
        <x:f>ROUND(RAW_OP!$C$35,0)</x:f>
        <x:v>18130</x:v>
      </x:c>
      <x:c r="AA32" s="11" t="n">
        <x:f>ROUND(RAW_OP!$H$35,0)</x:f>
        <x:v>1560</x:v>
      </x:c>
      <x:c r="AB32" s="11" t="n">
        <x:f>ROUND(RAW_OP!$I$35,0)</x:f>
        <x:v>1268</x:v>
      </x:c>
      <x:c r="AC32" s="11" t="n">
        <x:f>ROUND(RAW_OP!$L$35,0)</x:f>
        <x:v>500</x:v>
      </x:c>
      <x:c r="AD32" s="11" t="n">
        <x:f>ROUND(RAW_OP!$M$35,0)</x:f>
        <x:v>407</x:v>
      </x:c>
      <x:c r="AE32" s="11" t="n">
        <x:f>ROUND(RAW_OP!$N$35,0)</x:f>
        <x:v>450</x:v>
      </x:c>
      <x:c r="AF32" s="11" t="n">
        <x:f>ROUND(RAW_OP!$O$35,0)</x:f>
        <x:v>366</x:v>
      </x:c>
      <x:c r="AG32" s="11" t="n">
        <x:f>ROUND(RAW_OP!$AB$35,0)</x:f>
        <x:v>1160</x:v>
      </x:c>
      <x:c r="AH32" s="11" t="n">
        <x:f>ROUND(RAW_OP!$AC$35,0)</x:f>
        <x:v>943</x:v>
      </x:c>
      <x:c r="AI32" s="11" t="n">
        <x:f>ROUND(RAW_OP!$AD$35,0)</x:f>
        <x:v>400</x:v>
      </x:c>
      <x:c r="AJ32" s="11" t="n">
        <x:f>ROUND(RAW_OP!$AE$35,0)</x:f>
        <x:v>325</x:v>
      </x:c>
      <x:c r="AK32" s="11" t="n">
        <x:f>ROUND(RAW_OS!$B$35,0)</x:f>
        <x:v>25690</x:v>
      </x:c>
      <x:c r="AL32" s="11" t="n">
        <x:f>ROUND(RAW_OS!$C$35,0)</x:f>
        <x:v>20886</x:v>
      </x:c>
      <x:c r="AM32" s="11" t="n">
        <x:f>ROUND(RAW_OS!$D$35,0)</x:f>
        <x:v>380</x:v>
      </x:c>
      <x:c r="AN32" s="11" t="n">
        <x:f>ROUND(RAW_OS!$E$35,0)</x:f>
        <x:v>309</x:v>
      </x:c>
      <x:c r="AO32" s="11" t="n">
        <x:f>ROUND(RAW_OS!$F$35,0)</x:f>
        <x:v>1560</x:v>
      </x:c>
      <x:c r="AP32" s="11" t="n">
        <x:f>ROUND(RAW_OS!$G$35,0)</x:f>
        <x:v>1268</x:v>
      </x:c>
    </x:row>
    <x:row r="33">
      <x:c r="A33" s="9" t="inlineStr">
        <x:is>
          <x:t xml:space="preserve">450 x 406 cm</x:t>
        </x:is>
      </x:c>
      <x:c r="B33" s="9" t="inlineStr">
        <x:is>
          <x:t xml:space="preserve">PRO+</x:t>
        </x:is>
      </x:c>
      <x:c r="C33" s="11" t="n">
        <x:f>ROUND(RAW_ZP!$B$36,0)</x:f>
        <x:v>9080</x:v>
      </x:c>
      <x:c r="D33" s="11" t="n">
        <x:f>ROUND(RAW_ZP!$C$36,0)</x:f>
        <x:v>7382</x:v>
      </x:c>
      <x:c r="E33" s="11" t="n">
        <x:f>ROUND(RAW_ZP!$D$36,0)</x:f>
        <x:v>380</x:v>
      </x:c>
      <x:c r="F33" s="11" t="n">
        <x:f>ROUND(RAW_ZP!$E$36,0)</x:f>
        <x:v>309</x:v>
      </x:c>
      <x:c r="G33" s="11" t="n">
        <x:f>ROUND(RAW_ZP!$H$36,0)</x:f>
        <x:v>4670</x:v>
      </x:c>
      <x:c r="H33" s="11" t="n">
        <x:f>ROUND(RAW_ZP!$I$36,0)</x:f>
        <x:v>3797</x:v>
      </x:c>
      <x:c r="I33" s="11" t="n">
        <x:f>ROUND(RAW_ZP!$J$36,0)</x:f>
        <x:v>3160</x:v>
      </x:c>
      <x:c r="J33" s="11" t="n">
        <x:f>ROUND(RAW_ZP!$K$36,0)</x:f>
        <x:v>2569</x:v>
      </x:c>
      <x:c r="K33" s="11" t="n">
        <x:f>ROUND(RAW_ZP!$N$36,0)</x:f>
        <x:v>2640</x:v>
      </x:c>
      <x:c r="L33" s="11" t="n">
        <x:f>ROUND(RAW_ZP!$O$36,0)</x:f>
        <x:v>2146</x:v>
      </x:c>
      <x:c r="M33" s="11" t="n">
        <x:f>ROUND(RAW_ZP!$P$36,0)</x:f>
        <x:v>510</x:v>
      </x:c>
      <x:c r="N33" s="11" t="n">
        <x:f>ROUND(RAW_ZP!$Q$36,0)</x:f>
        <x:v>415</x:v>
      </x:c>
      <x:c r="O33" s="11" t="n">
        <x:f>ROUND(RAW_ZP!$R$36,0)</x:f>
        <x:v>740</x:v>
      </x:c>
      <x:c r="P33" s="11" t="n">
        <x:f>ROUND(RAW_ZP!$S$36,0)</x:f>
        <x:v>602</x:v>
      </x:c>
      <x:c r="Q33" s="732" t="n">
        <x:v>1652</x:v>
      </x:c>
      <x:c r="R33" s="732" t="n">
        <x:v>1343</x:v>
      </x:c>
      <x:c r="S33" s="732" t="n">
        <x:v>2127</x:v>
      </x:c>
      <x:c r="T33" s="732" t="n">
        <x:v>1729</x:v>
      </x:c>
      <x:c r="U33" s="11" t="n">
        <x:f>ROUND(RAW_ZS!$B$36,0)</x:f>
        <x:v>13840</x:v>
      </x:c>
      <x:c r="V33" s="11" t="n">
        <x:f>ROUND(RAW_ZS!$C$36,0)</x:f>
        <x:v>11252</x:v>
      </x:c>
      <x:c r="W33" s="11" t="n">
        <x:f>ROUND(RAW_ZS!$D$36,0)</x:f>
        <x:v>500</x:v>
      </x:c>
      <x:c r="X33" s="11" t="n">
        <x:f>ROUND(RAW_ZS!$E$36,0)</x:f>
        <x:v>407</x:v>
      </x:c>
      <x:c r="Y33" s="11" t="n">
        <x:f>ROUND(RAW_OP!$B$36,0)</x:f>
        <x:v>25050</x:v>
      </x:c>
      <x:c r="Z33" s="11" t="n">
        <x:f>ROUND(RAW_OP!$C$36,0)</x:f>
        <x:v>20366</x:v>
      </x:c>
      <x:c r="AA33" s="11" t="n">
        <x:f>ROUND(RAW_OP!$H$36,0)</x:f>
        <x:v>1680</x:v>
      </x:c>
      <x:c r="AB33" s="11" t="n">
        <x:f>ROUND(RAW_OP!$I$36,0)</x:f>
        <x:v>1366</x:v>
      </x:c>
      <x:c r="AC33" s="11" t="n">
        <x:f>ROUND(RAW_OP!$L$36,0)</x:f>
        <x:v>530</x:v>
      </x:c>
      <x:c r="AD33" s="11" t="n">
        <x:f>ROUND(RAW_OP!$M$36,0)</x:f>
        <x:v>431</x:v>
      </x:c>
      <x:c r="AE33" s="11" t="n">
        <x:f>ROUND(RAW_OP!$N$36,0)</x:f>
        <x:v>480</x:v>
      </x:c>
      <x:c r="AF33" s="11" t="n">
        <x:f>ROUND(RAW_OP!$O$36,0)</x:f>
        <x:v>390</x:v>
      </x:c>
      <x:c r="AG33" s="11" t="n">
        <x:f>ROUND(RAW_OP!$AB$36,0)</x:f>
        <x:v>1280</x:v>
      </x:c>
      <x:c r="AH33" s="11" t="n">
        <x:f>ROUND(RAW_OP!$AC$36,0)</x:f>
        <x:v>1041</x:v>
      </x:c>
      <x:c r="AI33" s="11" t="n">
        <x:f>ROUND(RAW_OP!$AD$36,0)</x:f>
        <x:v>440</x:v>
      </x:c>
      <x:c r="AJ33" s="11" t="n">
        <x:f>ROUND(RAW_OP!$AE$36,0)</x:f>
        <x:v>358</x:v>
      </x:c>
      <x:c r="AK33" s="11" t="n">
        <x:f>ROUND(RAW_OS!$B$36,0)</x:f>
        <x:v>29810</x:v>
      </x:c>
      <x:c r="AL33" s="11" t="n">
        <x:f>ROUND(RAW_OS!$C$36,0)</x:f>
        <x:v>24236</x:v>
      </x:c>
      <x:c r="AM33" s="11" t="n">
        <x:f>ROUND(RAW_OS!$D$36,0)</x:f>
        <x:v>500</x:v>
      </x:c>
      <x:c r="AN33" s="11" t="n">
        <x:f>ROUND(RAW_OS!$E$36,0)</x:f>
        <x:v>407</x:v>
      </x:c>
      <x:c r="AO33" s="11" t="n">
        <x:f>ROUND(RAW_OS!$F$36,0)</x:f>
        <x:v>1680</x:v>
      </x:c>
      <x:c r="AP33" s="11" t="n">
        <x:f>ROUND(RAW_OS!$G$36,0)</x:f>
        <x:v>1366</x:v>
      </x:c>
    </x:row>
    <x:row r="34">
      <x:c r="A34" s="9" t="inlineStr">
        <x:is>
          <x:t xml:space="preserve">450 x 506 cm</x:t>
        </x:is>
      </x:c>
      <x:c r="B34" s="9" t="inlineStr">
        <x:is>
          <x:t xml:space="preserve">PRO+</x:t>
        </x:is>
      </x:c>
      <x:c r="C34" s="11" t="n">
        <x:f>ROUND(RAW_ZP!$B$37,0)</x:f>
        <x:v>11270</x:v>
      </x:c>
      <x:c r="D34" s="11" t="n">
        <x:f>ROUND(RAW_ZP!$C$37,0)</x:f>
        <x:v>9163</x:v>
      </x:c>
      <x:c r="E34" s="11" t="n">
        <x:f>ROUND(RAW_ZP!$D$37,0)</x:f>
        <x:v>480</x:v>
      </x:c>
      <x:c r="F34" s="11" t="n">
        <x:f>ROUND(RAW_ZP!$E$37,0)</x:f>
        <x:v>390</x:v>
      </x:c>
      <x:c r="G34" s="11" t="n">
        <x:f>ROUND(RAW_ZP!$H$37,0)</x:f>
        <x:v>5420</x:v>
      </x:c>
      <x:c r="H34" s="11" t="n">
        <x:f>ROUND(RAW_ZP!$I$37,0)</x:f>
        <x:v>4407</x:v>
      </x:c>
      <x:c r="I34" s="11" t="n">
        <x:f>ROUND(RAW_ZP!$J$37,0)</x:f>
        <x:v>3160</x:v>
      </x:c>
      <x:c r="J34" s="11" t="n">
        <x:f>ROUND(RAW_ZP!$K$37,0)</x:f>
        <x:v>2569</x:v>
      </x:c>
      <x:c r="K34" s="11" t="n">
        <x:f>ROUND(RAW_ZP!$N$37,0)</x:f>
        <x:v>3700</x:v>
      </x:c>
      <x:c r="L34" s="11" t="n">
        <x:f>ROUND(RAW_ZP!$O$37,0)</x:f>
        <x:v>3008</x:v>
      </x:c>
      <x:c r="M34" s="11" t="n">
        <x:f>ROUND(RAW_ZP!$P$37,0)</x:f>
        <x:v>600</x:v>
      </x:c>
      <x:c r="N34" s="11" t="n">
        <x:f>ROUND(RAW_ZP!$Q$37,0)</x:f>
        <x:v>488</x:v>
      </x:c>
      <x:c r="O34" s="11" t="n">
        <x:f>ROUND(RAW_ZP!$R$37,0)</x:f>
        <x:v>960</x:v>
      </x:c>
      <x:c r="P34" s="11" t="n">
        <x:f>ROUND(RAW_ZP!$S$37,0)</x:f>
        <x:v>780</x:v>
      </x:c>
      <x:c r="Q34" s="732" t="n">
        <x:v>1880</x:v>
      </x:c>
      <x:c r="R34" s="732" t="n">
        <x:v>1528</x:v>
      </x:c>
      <x:c r="S34" s="732" t="n">
        <x:v>2508</x:v>
      </x:c>
      <x:c r="T34" s="732" t="n">
        <x:v>2039</x:v>
      </x:c>
      <x:c r="U34" s="11" t="n">
        <x:f>ROUND(RAW_ZS!$B$37,0)</x:f>
        <x:v>17430</x:v>
      </x:c>
      <x:c r="V34" s="11" t="n">
        <x:f>ROUND(RAW_ZS!$C$37,0)</x:f>
        <x:v>14171</x:v>
      </x:c>
      <x:c r="W34" s="11" t="n">
        <x:f>ROUND(RAW_ZS!$D$37,0)</x:f>
        <x:v>630</x:v>
      </x:c>
      <x:c r="X34" s="11" t="n">
        <x:f>ROUND(RAW_ZS!$E$37,0)</x:f>
        <x:v>512</x:v>
      </x:c>
      <x:c r="Y34" s="11" t="n">
        <x:f>ROUND(RAW_OP!$B$37,0)</x:f>
        <x:v>28360</x:v>
      </x:c>
      <x:c r="Z34" s="11" t="n">
        <x:f>ROUND(RAW_OP!$C$37,0)</x:f>
        <x:v>23057</x:v>
      </x:c>
      <x:c r="AA34" s="11" t="n">
        <x:f>ROUND(RAW_OP!$H$37,0)</x:f>
        <x:v>1800</x:v>
      </x:c>
      <x:c r="AB34" s="11" t="n">
        <x:f>ROUND(RAW_OP!$I$37,0)</x:f>
        <x:v>1463</x:v>
      </x:c>
      <x:c r="AC34" s="11" t="n">
        <x:f>ROUND(RAW_OP!$L$37,0)</x:f>
        <x:v>570</x:v>
      </x:c>
      <x:c r="AD34" s="11" t="n">
        <x:f>ROUND(RAW_OP!$M$37,0)</x:f>
        <x:v>463</x:v>
      </x:c>
      <x:c r="AE34" s="11" t="n">
        <x:f>ROUND(RAW_OP!$N$37,0)</x:f>
        <x:v>520</x:v>
      </x:c>
      <x:c r="AF34" s="11" t="n">
        <x:f>ROUND(RAW_OP!$O$37,0)</x:f>
        <x:v>423</x:v>
      </x:c>
      <x:c r="AG34" s="11" t="n">
        <x:f>ROUND(RAW_OP!$AB$37,0)</x:f>
        <x:v>1410</x:v>
      </x:c>
      <x:c r="AH34" s="11" t="n">
        <x:f>ROUND(RAW_OP!$AC$37,0)</x:f>
        <x:v>1146</x:v>
      </x:c>
      <x:c r="AI34" s="11" t="n">
        <x:f>ROUND(RAW_OP!$AD$37,0)</x:f>
        <x:v>440</x:v>
      </x:c>
      <x:c r="AJ34" s="11" t="n">
        <x:f>ROUND(RAW_OP!$AE$37,0)</x:f>
        <x:v>358</x:v>
      </x:c>
      <x:c r="AK34" s="11" t="n">
        <x:f>ROUND(RAW_OS!$B$37,0)</x:f>
        <x:v>34500</x:v>
      </x:c>
      <x:c r="AL34" s="11" t="n">
        <x:f>ROUND(RAW_OS!$C$37,0)</x:f>
        <x:v>28049</x:v>
      </x:c>
      <x:c r="AM34" s="11" t="n">
        <x:f>ROUND(RAW_OS!$D$37,0)</x:f>
        <x:v>630</x:v>
      </x:c>
      <x:c r="AN34" s="11" t="n">
        <x:f>ROUND(RAW_OS!$E$37,0)</x:f>
        <x:v>512</x:v>
      </x:c>
      <x:c r="AO34" s="11" t="n">
        <x:f>ROUND(RAW_OS!$F$37,0)</x:f>
        <x:v>1800</x:v>
      </x:c>
      <x:c r="AP34" s="11" t="n">
        <x:f>ROUND(RAW_OS!$G$37,0)</x:f>
        <x:v>1463</x:v>
      </x:c>
    </x:row>
    <x:row r="35">
      <x:c r="A35" s="9" t="inlineStr">
        <x:is>
          <x:t xml:space="preserve">450 x 606 cm</x:t>
        </x:is>
      </x:c>
      <x:c r="B35" s="9" t="inlineStr">
        <x:is>
          <x:t xml:space="preserve">PRO+</x:t>
        </x:is>
      </x:c>
      <x:c r="C35" s="11" t="n">
        <x:f>ROUND(RAW_ZP!$B$38,0)</x:f>
        <x:v>13140</x:v>
      </x:c>
      <x:c r="D35" s="11" t="n">
        <x:f>ROUND(RAW_ZP!$C$38,0)</x:f>
        <x:v>10683</x:v>
      </x:c>
      <x:c r="E35" s="11" t="n">
        <x:f>ROUND(RAW_ZP!$D$38,0)</x:f>
        <x:v>580</x:v>
      </x:c>
      <x:c r="F35" s="11" t="n">
        <x:f>ROUND(RAW_ZP!$E$38,0)</x:f>
        <x:v>472</x:v>
      </x:c>
      <x:c r="G35" s="11" t="n">
        <x:f>ROUND(RAW_ZP!$H$38,0)</x:f>
        <x:v>8160</x:v>
      </x:c>
      <x:c r="H35" s="11" t="n">
        <x:f>ROUND(RAW_ZP!$I$38,0)</x:f>
        <x:v>6634</x:v>
      </x:c>
      <x:c r="I35" s="11" t="n">
        <x:f>ROUND(RAW_ZP!$J$38,0)</x:f>
        <x:v>3160</x:v>
      </x:c>
      <x:c r="J35" s="11" t="n">
        <x:f>ROUND(RAW_ZP!$K$38,0)</x:f>
        <x:v>2569</x:v>
      </x:c>
      <x:c r="K35" s="11" t="n">
        <x:f>ROUND(RAW_ZP!$N$38,0)</x:f>
        <x:v>4270</x:v>
      </x:c>
      <x:c r="L35" s="11" t="n">
        <x:f>ROUND(RAW_ZP!$O$38,0)</x:f>
        <x:v>3472</x:v>
      </x:c>
      <x:c r="M35" s="11" t="n">
        <x:f>ROUND(RAW_ZP!$P$38,0)</x:f>
        <x:v>790</x:v>
      </x:c>
      <x:c r="N35" s="11" t="n">
        <x:f>ROUND(RAW_ZP!$Q$38,0)</x:f>
        <x:v>642</x:v>
      </x:c>
      <x:c r="O35" s="11" t="n">
        <x:f>ROUND(RAW_ZP!$R$38,0)</x:f>
        <x:v>1090</x:v>
      </x:c>
      <x:c r="P35" s="11" t="n">
        <x:f>ROUND(RAW_ZP!$S$38,0)</x:f>
        <x:v>886</x:v>
      </x:c>
      <x:c r="Q35" s="732" t="n">
        <x:v>2194</x:v>
      </x:c>
      <x:c r="R35" s="732" t="n">
        <x:v>1784</x:v>
      </x:c>
      <x:c r="S35" s="732" t="n">
        <x:v>2914</x:v>
      </x:c>
      <x:c r="T35" s="732" t="n">
        <x:v>2369</x:v>
      </x:c>
      <x:c r="U35" s="11" t="n">
        <x:f>ROUND(RAW_ZS!$B$38,0)</x:f>
        <x:v>20680</x:v>
      </x:c>
      <x:c r="V35" s="11" t="n">
        <x:f>ROUND(RAW_ZS!$C$38,0)</x:f>
        <x:v>16813</x:v>
      </x:c>
      <x:c r="W35" s="11" t="n">
        <x:f>ROUND(RAW_ZS!$D$38,0)</x:f>
        <x:v>760</x:v>
      </x:c>
      <x:c r="X35" s="11" t="n">
        <x:f>ROUND(RAW_ZS!$E$38,0)</x:f>
        <x:v>618</x:v>
      </x:c>
      <x:c r="Y35" s="11" t="n">
        <x:f>ROUND(RAW_OP!$B$38,0)</x:f>
        <x:v>31400</x:v>
      </x:c>
      <x:c r="Z35" s="11" t="n">
        <x:f>ROUND(RAW_OP!$C$38,0)</x:f>
        <x:v>25528</x:v>
      </x:c>
      <x:c r="AA35" s="11" t="n">
        <x:f>ROUND(RAW_OP!$H$38,0)</x:f>
        <x:v>1920</x:v>
      </x:c>
      <x:c r="AB35" s="11" t="n">
        <x:f>ROUND(RAW_OP!$I$38,0)</x:f>
        <x:v>1561</x:v>
      </x:c>
      <x:c r="AC35" s="11" t="n">
        <x:f>ROUND(RAW_OP!$L$38,0)</x:f>
        <x:v>610</x:v>
      </x:c>
      <x:c r="AD35" s="11" t="n">
        <x:f>ROUND(RAW_OP!$M$38,0)</x:f>
        <x:v>496</x:v>
      </x:c>
      <x:c r="AE35" s="11" t="n">
        <x:f>ROUND(RAW_OP!$N$38,0)</x:f>
        <x:v>550</x:v>
      </x:c>
      <x:c r="AF35" s="11" t="n">
        <x:f>ROUND(RAW_OP!$O$38,0)</x:f>
        <x:v>447</x:v>
      </x:c>
      <x:c r="AG35" s="11" t="n">
        <x:f>ROUND(RAW_OP!$AB$38,0)</x:f>
        <x:v>1700</x:v>
      </x:c>
      <x:c r="AH35" s="11" t="n">
        <x:f>ROUND(RAW_OP!$AC$38,0)</x:f>
        <x:v>1382</x:v>
      </x:c>
      <x:c r="AI35" s="11" t="n">
        <x:f>ROUND(RAW_OP!$AD$38,0)</x:f>
        <x:v>480</x:v>
      </x:c>
      <x:c r="AJ35" s="11" t="n">
        <x:f>ROUND(RAW_OP!$AE$38,0)</x:f>
        <x:v>390</x:v>
      </x:c>
      <x:c r="AK35" s="11" t="n">
        <x:f>ROUND(RAW_OS!$B$38,0)</x:f>
        <x:v>38940</x:v>
      </x:c>
      <x:c r="AL35" s="11" t="n">
        <x:f>ROUND(RAW_OS!$C$38,0)</x:f>
        <x:v>31659</x:v>
      </x:c>
      <x:c r="AM35" s="11" t="n">
        <x:f>ROUND(RAW_OS!$D$38,0)</x:f>
        <x:v>760</x:v>
      </x:c>
      <x:c r="AN35" s="11" t="n">
        <x:f>ROUND(RAW_OS!$E$38,0)</x:f>
        <x:v>618</x:v>
      </x:c>
      <x:c r="AO35" s="11" t="n">
        <x:f>ROUND(RAW_OS!$F$38,0)</x:f>
        <x:v>1920</x:v>
      </x:c>
      <x:c r="AP35" s="11" t="n">
        <x:f>ROUND(RAW_OS!$G$38,0)</x:f>
        <x:v>1561</x:v>
      </x:c>
    </x:row>
    <x:row r="36">
      <x:c r="A36" s="9" t="inlineStr">
        <x:is>
          <x:t xml:space="preserve">450 x 706 cm</x:t>
        </x:is>
      </x:c>
      <x:c r="B36" s="9" t="inlineStr">
        <x:is>
          <x:t xml:space="preserve">PRO+</x:t>
        </x:is>
      </x:c>
      <x:c r="C36" s="11" t="n">
        <x:f>ROUND(RAW_ZP!$B$39,0)</x:f>
        <x:v>16160</x:v>
      </x:c>
      <x:c r="D36" s="11" t="n">
        <x:f>ROUND(RAW_ZP!$C$39,0)</x:f>
        <x:v>13138</x:v>
      </x:c>
      <x:c r="E36" s="11" t="n">
        <x:f>ROUND(RAW_ZP!$D$39,0)</x:f>
        <x:v>670</x:v>
      </x:c>
      <x:c r="F36" s="11" t="n">
        <x:f>ROUND(RAW_ZP!$E$39,0)</x:f>
        <x:v>545</x:v>
      </x:c>
      <x:c r="G36" s="11" t="n">
        <x:f>ROUND(RAW_ZP!$H$39,0)</x:f>
        <x:v>8750</x:v>
      </x:c>
      <x:c r="H36" s="11" t="n">
        <x:f>ROUND(RAW_ZP!$I$39,0)</x:f>
        <x:v>7114</x:v>
      </x:c>
      <x:c r="I36" s="11" t="n">
        <x:f>ROUND(RAW_ZP!$J$39,0)</x:f>
        <x:v>3160</x:v>
      </x:c>
      <x:c r="J36" s="11" t="n">
        <x:f>ROUND(RAW_ZP!$K$39,0)</x:f>
        <x:v>2569</x:v>
      </x:c>
      <x:c r="K36" s="11" t="n">
        <x:f>ROUND(RAW_ZP!$N$39,0)</x:f>
        <x:v>4780</x:v>
      </x:c>
      <x:c r="L36" s="11" t="n">
        <x:f>ROUND(RAW_ZP!$O$39,0)</x:f>
        <x:v>3886</x:v>
      </x:c>
      <x:c r="M36" s="11" t="n">
        <x:f>ROUND(RAW_ZP!$P$39,0)</x:f>
        <x:v>870</x:v>
      </x:c>
      <x:c r="N36" s="11" t="n">
        <x:f>ROUND(RAW_ZP!$Q$39,0)</x:f>
        <x:v>707</x:v>
      </x:c>
      <x:c r="O36" s="11" t="n">
        <x:f>ROUND(RAW_ZP!$R$39,0)</x:f>
        <x:v>1210</x:v>
      </x:c>
      <x:c r="P36" s="11" t="n">
        <x:f>ROUND(RAW_ZP!$S$39,0)</x:f>
        <x:v>984</x:v>
      </x:c>
      <x:c r="Q36" s="732" t="n">
        <x:v>2446</x:v>
      </x:c>
      <x:c r="R36" s="732" t="n">
        <x:v>1989</x:v>
      </x:c>
      <x:c r="S36" s="732" t="n">
        <x:v>3326</x:v>
      </x:c>
      <x:c r="T36" s="732" t="n">
        <x:v>2704</x:v>
      </x:c>
      <x:c r="U36" s="11" t="n">
        <x:f>ROUND(RAW_ZS!$B$39,0)</x:f>
        <x:v>25090</x:v>
      </x:c>
      <x:c r="V36" s="11" t="n">
        <x:f>ROUND(RAW_ZS!$C$39,0)</x:f>
        <x:v>20398</x:v>
      </x:c>
      <x:c r="W36" s="11" t="n">
        <x:f>ROUND(RAW_ZS!$D$39,0)</x:f>
        <x:v>880</x:v>
      </x:c>
      <x:c r="X36" s="11" t="n">
        <x:f>ROUND(RAW_ZS!$E$39,0)</x:f>
        <x:v>715</x:v>
      </x:c>
      <x:c r="Y36" s="11" t="n">
        <x:f>ROUND(RAW_OP!$B$39,0)</x:f>
        <x:v>34430</x:v>
      </x:c>
      <x:c r="Z36" s="11" t="n">
        <x:f>ROUND(RAW_OP!$C$39,0)</x:f>
        <x:v>27992</x:v>
      </x:c>
      <x:c r="AA36" s="11" t="n">
        <x:f>ROUND(RAW_OP!$H$39,0)</x:f>
        <x:v>2040</x:v>
      </x:c>
      <x:c r="AB36" s="11" t="n">
        <x:f>ROUND(RAW_OP!$I$39,0)</x:f>
        <x:v>1659</x:v>
      </x:c>
      <x:c r="AC36" s="11" t="n">
        <x:f>ROUND(RAW_OP!$L$39,0)</x:f>
        <x:v>650</x:v>
      </x:c>
      <x:c r="AD36" s="11" t="n">
        <x:f>ROUND(RAW_OP!$M$39,0)</x:f>
        <x:v>528</x:v>
      </x:c>
      <x:c r="AE36" s="11" t="n">
        <x:f>ROUND(RAW_OP!$N$39,0)</x:f>
        <x:v>590</x:v>
      </x:c>
      <x:c r="AF36" s="11" t="n">
        <x:f>ROUND(RAW_OP!$O$39,0)</x:f>
        <x:v>480</x:v>
      </x:c>
      <x:c r="AG36" s="11" t="n">
        <x:f>ROUND(RAW_OP!$AB$39,0)</x:f>
        <x:v>1500</x:v>
      </x:c>
      <x:c r="AH36" s="11" t="n">
        <x:f>ROUND(RAW_OP!$AC$39,0)</x:f>
        <x:v>1220</x:v>
      </x:c>
      <x:c r="AI36" s="11" t="n">
        <x:f>ROUND(RAW_OP!$AD$39,0)</x:f>
        <x:v>520</x:v>
      </x:c>
      <x:c r="AJ36" s="11" t="n">
        <x:f>ROUND(RAW_OP!$AE$39,0)</x:f>
        <x:v>423</x:v>
      </x:c>
      <x:c r="AK36" s="11" t="n">
        <x:f>ROUND(RAW_OS!$B$39,0)</x:f>
        <x:v>43360</x:v>
      </x:c>
      <x:c r="AL36" s="11" t="n">
        <x:f>ROUND(RAW_OS!$C$39,0)</x:f>
        <x:v>35252</x:v>
      </x:c>
      <x:c r="AM36" s="11" t="n">
        <x:f>ROUND(RAW_OS!$D$39,0)</x:f>
        <x:v>880</x:v>
      </x:c>
      <x:c r="AN36" s="11" t="n">
        <x:f>ROUND(RAW_OS!$E$39,0)</x:f>
        <x:v>715</x:v>
      </x:c>
      <x:c r="AO36" s="11" t="n">
        <x:f>ROUND(RAW_OS!$F$39,0)</x:f>
        <x:v>2040</x:v>
      </x:c>
      <x:c r="AP36" s="11" t="n">
        <x:f>ROUND(RAW_OS!$G$39,0)</x:f>
        <x:v>1659</x:v>
      </x:c>
    </x:row>
    <x:row r="37">
      <x:c r="A37" s="9" t="inlineStr">
        <x:is>
          <x:t xml:space="preserve">450 x 806 cm</x:t>
        </x:is>
      </x:c>
      <x:c r="B37" s="9" t="inlineStr">
        <x:is>
          <x:t xml:space="preserve">PRO+</x:t>
        </x:is>
      </x:c>
      <x:c r="C37" s="11" t="n">
        <x:f>ROUND(RAW_ZP!$B$40,0)</x:f>
        <x:v>18030</x:v>
      </x:c>
      <x:c r="D37" s="11" t="n">
        <x:f>ROUND(RAW_ZP!$C$40,0)</x:f>
        <x:v>14659</x:v>
      </x:c>
      <x:c r="E37" s="11" t="n">
        <x:f>ROUND(RAW_ZP!$D$40,0)</x:f>
        <x:v>770</x:v>
      </x:c>
      <x:c r="F37" s="11" t="n">
        <x:f>ROUND(RAW_ZP!$E$40,0)</x:f>
        <x:v>626</x:v>
      </x:c>
      <x:c r="G37" s="11" t="n">
        <x:f>ROUND(RAW_ZP!$H$40,0)</x:f>
        <x:v>9340</x:v>
      </x:c>
      <x:c r="H37" s="11" t="n">
        <x:f>ROUND(RAW_ZP!$I$40,0)</x:f>
        <x:v>7593</x:v>
      </x:c>
      <x:c r="I37" s="11" t="n">
        <x:f>ROUND(RAW_ZP!$J$40,0)</x:f>
        <x:v>3160</x:v>
      </x:c>
      <x:c r="J37" s="11" t="n">
        <x:f>ROUND(RAW_ZP!$K$40,0)</x:f>
        <x:v>2569</x:v>
      </x:c>
      <x:c r="K37" s="11" t="n">
        <x:f>ROUND(RAW_ZP!$N$40,0)</x:f>
        <x:v>5280</x:v>
      </x:c>
      <x:c r="L37" s="11" t="n">
        <x:f>ROUND(RAW_ZP!$O$40,0)</x:f>
        <x:v>4293</x:v>
      </x:c>
      <x:c r="M37" s="11" t="n">
        <x:f>ROUND(RAW_ZP!$P$40,0)</x:f>
        <x:v>960</x:v>
      </x:c>
      <x:c r="N37" s="11" t="n">
        <x:f>ROUND(RAW_ZP!$Q$40,0)</x:f>
        <x:v>780</x:v>
      </x:c>
      <x:c r="O37" s="11" t="n">
        <x:f>ROUND(RAW_ZP!$R$40,0)</x:f>
        <x:v>1440</x:v>
      </x:c>
      <x:c r="P37" s="11" t="n">
        <x:f>ROUND(RAW_ZP!$S$40,0)</x:f>
        <x:v>1171</x:v>
      </x:c>
      <x:c r="Q37" s="732" t="n">
        <x:v>2706</x:v>
      </x:c>
      <x:c r="R37" s="732" t="n">
        <x:v>2200</x:v>
      </x:c>
      <x:c r="S37" s="732" t="n">
        <x:v>3732</x:v>
      </x:c>
      <x:c r="T37" s="732" t="n">
        <x:v>3034</x:v>
      </x:c>
      <x:c r="U37" s="11" t="n">
        <x:f>ROUND(RAW_ZS!$B$40,0)</x:f>
        <x:v>28340</x:v>
      </x:c>
      <x:c r="V37" s="11" t="n">
        <x:f>ROUND(RAW_ZS!$C$40,0)</x:f>
        <x:v>23041</x:v>
      </x:c>
      <x:c r="W37" s="11" t="n">
        <x:f>ROUND(RAW_ZS!$D$40,0)</x:f>
        <x:v>1010</x:v>
      </x:c>
      <x:c r="X37" s="11" t="n">
        <x:f>ROUND(RAW_ZS!$E$40,0)</x:f>
        <x:v>821</x:v>
      </x:c>
      <x:c r="Y37" s="11" t="n">
        <x:f>ROUND(RAW_OP!$B$40,0)</x:f>
        <x:v>37170</x:v>
      </x:c>
      <x:c r="Z37" s="11" t="n">
        <x:f>ROUND(RAW_OP!$C$40,0)</x:f>
        <x:v>30220</x:v>
      </x:c>
      <x:c r="AA37" s="11" t="n">
        <x:f>ROUND(RAW_OP!$H$40,0)</x:f>
        <x:v>2160</x:v>
      </x:c>
      <x:c r="AB37" s="11" t="n">
        <x:f>ROUND(RAW_OP!$I$40,0)</x:f>
        <x:v>1756</x:v>
      </x:c>
      <x:c r="AC37" s="11" t="n">
        <x:f>ROUND(RAW_OP!$L$40,0)</x:f>
        <x:v>690</x:v>
      </x:c>
      <x:c r="AD37" s="11" t="n">
        <x:f>ROUND(RAW_OP!$M$40,0)</x:f>
        <x:v>561</x:v>
      </x:c>
      <x:c r="AE37" s="11" t="n">
        <x:f>ROUND(RAW_OP!$N$40,0)</x:f>
        <x:v>620</x:v>
      </x:c>
      <x:c r="AF37" s="11" t="n">
        <x:f>ROUND(RAW_OP!$O$40,0)</x:f>
        <x:v>504</x:v>
      </x:c>
      <x:c r="AG37" s="11" t="n">
        <x:f>ROUND(RAW_OP!$AB$40,0)</x:f>
        <x:v>1610</x:v>
      </x:c>
      <x:c r="AH37" s="11" t="n">
        <x:f>ROUND(RAW_OP!$AC$40,0)</x:f>
        <x:v>1309</x:v>
      </x:c>
      <x:c r="AI37" s="11" t="n">
        <x:f>ROUND(RAW_OP!$AD$40,0)</x:f>
        <x:v>560</x:v>
      </x:c>
      <x:c r="AJ37" s="11" t="n">
        <x:f>ROUND(RAW_OP!$AE$40,0)</x:f>
        <x:v>455</x:v>
      </x:c>
      <x:c r="AK37" s="11" t="n">
        <x:f>ROUND(RAW_OS!$B$40,0)</x:f>
        <x:v>47490</x:v>
      </x:c>
      <x:c r="AL37" s="11" t="n">
        <x:f>ROUND(RAW_OS!$C$40,0)</x:f>
        <x:v>38610</x:v>
      </x:c>
      <x:c r="AM37" s="11" t="n">
        <x:f>ROUND(RAW_OS!$D$40,0)</x:f>
        <x:v>1010</x:v>
      </x:c>
      <x:c r="AN37" s="11" t="n">
        <x:f>ROUND(RAW_OS!$E$40,0)</x:f>
        <x:v>821</x:v>
      </x:c>
      <x:c r="AO37" s="11" t="n">
        <x:f>ROUND(RAW_OS!$F$40,0)</x:f>
        <x:v>2160</x:v>
      </x:c>
      <x:c r="AP37" s="11" t="n">
        <x:f>ROUND(RAW_OS!$G$40,0)</x:f>
        <x:v>1756</x:v>
      </x:c>
    </x:row>
    <x:row r="38">
      <x:c r="A38" s="9" t="inlineStr">
        <x:is>
          <x:t xml:space="preserve">450 x 906 cm</x:t>
        </x:is>
      </x:c>
      <x:c r="B38" s="9" t="inlineStr">
        <x:is>
          <x:t xml:space="preserve">PRO+</x:t>
        </x:is>
      </x:c>
      <x:c r="C38" s="11" t="n">
        <x:f>ROUND(RAW_ZP!$B$41,0)</x:f>
        <x:v>20390</x:v>
      </x:c>
      <x:c r="D38" s="11" t="n">
        <x:f>ROUND(RAW_ZP!$C$41,0)</x:f>
        <x:v>16577</x:v>
      </x:c>
      <x:c r="E38" s="11" t="n">
        <x:f>ROUND(RAW_ZP!$D$41,0)</x:f>
        <x:v>860</x:v>
      </x:c>
      <x:c r="F38" s="11" t="n">
        <x:f>ROUND(RAW_ZP!$E$41,0)</x:f>
        <x:v>699</x:v>
      </x:c>
      <x:c r="G38" s="11" t="n">
        <x:f>ROUND(RAW_ZP!$H$41,0)</x:f>
        <x:v>10090</x:v>
      </x:c>
      <x:c r="H38" s="11" t="n">
        <x:f>ROUND(RAW_ZP!$I$41,0)</x:f>
        <x:v>8203</x:v>
      </x:c>
      <x:c r="I38" s="11" t="n">
        <x:f>ROUND(RAW_ZP!$J$41,0)</x:f>
        <x:v>3160</x:v>
      </x:c>
      <x:c r="J38" s="11" t="n">
        <x:f>ROUND(RAW_ZP!$K$41,0)</x:f>
        <x:v>2569</x:v>
      </x:c>
      <x:c r="K38" s="11" t="n">
        <x:f>ROUND(RAW_ZP!$N$41,0)</x:f>
        <x:v>6400</x:v>
      </x:c>
      <x:c r="L38" s="11" t="n">
        <x:f>ROUND(RAW_ZP!$O$41,0)</x:f>
        <x:v>5203</x:v>
      </x:c>
      <x:c r="M38" s="11" t="n">
        <x:f>ROUND(RAW_ZP!$P$41,0)</x:f>
        <x:v>1040</x:v>
      </x:c>
      <x:c r="N38" s="11" t="n">
        <x:f>ROUND(RAW_ZP!$Q$41,0)</x:f>
        <x:v>846</x:v>
      </x:c>
      <x:c r="O38" s="11" t="n">
        <x:f>ROUND(RAW_ZP!$R$41,0)</x:f>
        <x:v>1560</x:v>
      </x:c>
      <x:c r="P38" s="11" t="n">
        <x:f>ROUND(RAW_ZP!$S$41,0)</x:f>
        <x:v>1268</x:v>
      </x:c>
      <x:c r="Q38" s="732" t="n">
        <x:v>2944</x:v>
      </x:c>
      <x:c r="R38" s="732" t="n">
        <x:v>2393</x:v>
      </x:c>
      <x:c r="S38" s="732" t="n">
        <x:v>4138</x:v>
      </x:c>
      <x:c r="T38" s="732" t="n">
        <x:v>3364</x:v>
      </x:c>
      <x:c r="U38" s="11" t="n">
        <x:f>ROUND(RAW_ZS!$B$41,0)</x:f>
        <x:v>32090</x:v>
      </x:c>
      <x:c r="V38" s="11" t="n">
        <x:f>ROUND(RAW_ZS!$C$41,0)</x:f>
        <x:v>26089</x:v>
      </x:c>
      <x:c r="W38" s="11" t="n">
        <x:f>ROUND(RAW_ZS!$D$41,0)</x:f>
        <x:v>1140</x:v>
      </x:c>
      <x:c r="X38" s="11" t="n">
        <x:f>ROUND(RAW_ZS!$E$41,0)</x:f>
        <x:v>927</x:v>
      </x:c>
      <x:c r="Y38" s="11" t="n">
        <x:f>ROUND(RAW_OP!$B$41,0)</x:f>
        <x:v>40640</x:v>
      </x:c>
      <x:c r="Z38" s="11" t="n">
        <x:f>ROUND(RAW_OP!$C$41,0)</x:f>
        <x:v>33041</x:v>
      </x:c>
      <x:c r="AA38" s="11" t="n">
        <x:f>ROUND(RAW_OP!$H$41,0)</x:f>
        <x:v>2280</x:v>
      </x:c>
      <x:c r="AB38" s="11" t="n">
        <x:f>ROUND(RAW_OP!$I$41,0)</x:f>
        <x:v>1854</x:v>
      </x:c>
      <x:c r="AC38" s="11" t="n">
        <x:f>ROUND(RAW_OP!$L$41,0)</x:f>
        <x:v>720</x:v>
      </x:c>
      <x:c r="AD38" s="11" t="n">
        <x:f>ROUND(RAW_OP!$M$41,0)</x:f>
        <x:v>585</x:v>
      </x:c>
      <x:c r="AE38" s="11" t="n">
        <x:f>ROUND(RAW_OP!$N$41,0)</x:f>
        <x:v>650</x:v>
      </x:c>
      <x:c r="AF38" s="11" t="n">
        <x:f>ROUND(RAW_OP!$O$41,0)</x:f>
        <x:v>528</x:v>
      </x:c>
      <x:c r="AG38" s="11" t="n">
        <x:f>ROUND(RAW_OP!$AB$41,0)</x:f>
        <x:v>1750</x:v>
      </x:c>
      <x:c r="AH38" s="11" t="n">
        <x:f>ROUND(RAW_OP!$AC$41,0)</x:f>
        <x:v>1423</x:v>
      </x:c>
      <x:c r="AI38" s="11" t="n">
        <x:f>ROUND(RAW_OP!$AD$41,0)</x:f>
        <x:v>560</x:v>
      </x:c>
      <x:c r="AJ38" s="11" t="n">
        <x:f>ROUND(RAW_OP!$AE$41,0)</x:f>
        <x:v>455</x:v>
      </x:c>
      <x:c r="AK38" s="11" t="n">
        <x:f>ROUND(RAW_OS!$B$41,0)</x:f>
        <x:v>52340</x:v>
      </x:c>
      <x:c r="AL38" s="11" t="n">
        <x:f>ROUND(RAW_OS!$C$41,0)</x:f>
        <x:v>42553</x:v>
      </x:c>
      <x:c r="AM38" s="11" t="n">
        <x:f>ROUND(RAW_OS!$D$41,0)</x:f>
        <x:v>1140</x:v>
      </x:c>
      <x:c r="AN38" s="11" t="n">
        <x:f>ROUND(RAW_OS!$E$41,0)</x:f>
        <x:v>927</x:v>
      </x:c>
      <x:c r="AO38" s="11" t="n">
        <x:f>ROUND(RAW_OS!$F$41,0)</x:f>
        <x:v>2280</x:v>
      </x:c>
      <x:c r="AP38" s="11" t="n">
        <x:f>ROUND(RAW_OS!$G$41,0)</x:f>
        <x:v>1854</x:v>
      </x:c>
    </x:row>
    <x:row r="39">
      <x:c r="A39" s="9" t="inlineStr">
        <x:is>
          <x:t xml:space="preserve">450 x 1006 cm</x:t>
        </x:is>
      </x:c>
      <x:c r="B39" s="9" t="inlineStr">
        <x:is>
          <x:t xml:space="preserve">PRO+</x:t>
        </x:is>
      </x:c>
      <x:c r="C39" s="11" t="n">
        <x:f>ROUND(RAW_ZP!$B$42,0)</x:f>
        <x:v>22260</x:v>
      </x:c>
      <x:c r="D39" s="11" t="n">
        <x:f>ROUND(RAW_ZP!$C$42,0)</x:f>
        <x:v>18098</x:v>
      </x:c>
      <x:c r="E39" s="11" t="n">
        <x:f>ROUND(RAW_ZP!$D$42,0)</x:f>
        <x:v>960</x:v>
      </x:c>
      <x:c r="F39" s="11" t="n">
        <x:f>ROUND(RAW_ZP!$E$42,0)</x:f>
        <x:v>780</x:v>
      </x:c>
      <x:c r="G39" s="11" t="n">
        <x:f>ROUND(RAW_ZP!$H$42,0)</x:f>
        <x:v>10830</x:v>
      </x:c>
      <x:c r="H39" s="11" t="n">
        <x:f>ROUND(RAW_ZP!$I$42,0)</x:f>
        <x:v>8805</x:v>
      </x:c>
      <x:c r="I39" s="11" t="n">
        <x:f>ROUND(RAW_ZP!$J$42,0)</x:f>
        <x:v>3160</x:v>
      </x:c>
      <x:c r="J39" s="11" t="n">
        <x:f>ROUND(RAW_ZP!$K$42,0)</x:f>
        <x:v>2569</x:v>
      </x:c>
      <x:c r="K39" s="11" t="n">
        <x:f>ROUND(RAW_ZP!$N$42,0)</x:f>
        <x:v>6910</x:v>
      </x:c>
      <x:c r="L39" s="11" t="n">
        <x:f>ROUND(RAW_ZP!$O$42,0)</x:f>
        <x:v>5618</x:v>
      </x:c>
      <x:c r="M39" s="11" t="n">
        <x:f>ROUND(RAW_ZP!$P$42,0)</x:f>
        <x:v>1230</x:v>
      </x:c>
      <x:c r="N39" s="11" t="n">
        <x:f>ROUND(RAW_ZP!$Q$42,0)</x:f>
        <x:v>1000</x:v>
      </x:c>
      <x:c r="O39" s="11" t="n">
        <x:f>ROUND(RAW_ZP!$R$42,0)</x:f>
        <x:v>1650</x:v>
      </x:c>
      <x:c r="P39" s="11" t="n">
        <x:f>ROUND(RAW_ZP!$S$42,0)</x:f>
        <x:v>1341</x:v>
      </x:c>
      <x:c r="Q39" s="732" t="n">
        <x:v>3098</x:v>
      </x:c>
      <x:c r="R39" s="732" t="n">
        <x:v>2519</x:v>
      </x:c>
      <x:c r="S39" s="732" t="n">
        <x:v>4550</x:v>
      </x:c>
      <x:c r="T39" s="732" t="n">
        <x:v>3699</x:v>
      </x:c>
      <x:c r="U39" s="11" t="n">
        <x:f>ROUND(RAW_ZS!$B$42,0)</x:f>
        <x:v>35350</x:v>
      </x:c>
      <x:c r="V39" s="11" t="n">
        <x:f>ROUND(RAW_ZS!$C$42,0)</x:f>
        <x:v>28740</x:v>
      </x:c>
      <x:c r="W39" s="11" t="n">
        <x:f>ROUND(RAW_ZS!$D$42,0)</x:f>
        <x:v>1260</x:v>
      </x:c>
      <x:c r="X39" s="11" t="n">
        <x:f>ROUND(RAW_ZS!$E$42,0)</x:f>
        <x:v>1024</x:v>
      </x:c>
      <x:c r="Y39" s="11" t="n">
        <x:f>ROUND(RAW_OP!$B$42,0)</x:f>
        <x:v>43640</x:v>
      </x:c>
      <x:c r="Z39" s="11" t="n">
        <x:f>ROUND(RAW_OP!$C$42,0)</x:f>
        <x:v>35480</x:v>
      </x:c>
      <x:c r="AA39" s="11" t="n">
        <x:f>ROUND(RAW_OP!$H$42,0)</x:f>
        <x:v>2400</x:v>
      </x:c>
      <x:c r="AB39" s="11" t="n">
        <x:f>ROUND(RAW_OP!$I$42,0)</x:f>
        <x:v>1951</x:v>
      </x:c>
      <x:c r="AC39" s="11" t="n">
        <x:f>ROUND(RAW_OP!$L$42,0)</x:f>
        <x:v>760</x:v>
      </x:c>
      <x:c r="AD39" s="11" t="n">
        <x:f>ROUND(RAW_OP!$M$42,0)</x:f>
        <x:v>618</x:v>
      </x:c>
      <x:c r="AE39" s="11" t="n">
        <x:f>ROUND(RAW_OP!$N$42,0)</x:f>
        <x:v>690</x:v>
      </x:c>
      <x:c r="AF39" s="11" t="n">
        <x:f>ROUND(RAW_OP!$O$42,0)</x:f>
        <x:v>561</x:v>
      </x:c>
      <x:c r="AG39" s="11" t="n">
        <x:f>ROUND(RAW_OP!$AB$42,0)</x:f>
        <x:v>1880</x:v>
      </x:c>
      <x:c r="AH39" s="11" t="n">
        <x:f>ROUND(RAW_OP!$AC$42,0)</x:f>
        <x:v>1528</x:v>
      </x:c>
      <x:c r="AI39" s="11" t="n">
        <x:f>ROUND(RAW_OP!$AD$42,0)</x:f>
        <x:v>600</x:v>
      </x:c>
      <x:c r="AJ39" s="11" t="n">
        <x:f>ROUND(RAW_OP!$AE$42,0)</x:f>
        <x:v>488</x:v>
      </x:c>
      <x:c r="AK39" s="11" t="n">
        <x:f>ROUND(RAW_OS!$B$42,0)</x:f>
        <x:v>56730</x:v>
      </x:c>
      <x:c r="AL39" s="11" t="n">
        <x:f>ROUND(RAW_OS!$C$42,0)</x:f>
        <x:v>46122</x:v>
      </x:c>
      <x:c r="AM39" s="11" t="n">
        <x:f>ROUND(RAW_OS!$D$42,0)</x:f>
        <x:v>1260</x:v>
      </x:c>
      <x:c r="AN39" s="11" t="n">
        <x:f>ROUND(RAW_OS!$E$42,0)</x:f>
        <x:v>1024</x:v>
      </x:c>
      <x:c r="AO39" s="11" t="n">
        <x:f>ROUND(RAW_OS!$F$42,0)</x:f>
        <x:v>2400</x:v>
      </x:c>
      <x:c r="AP39" s="11" t="n">
        <x:f>ROUND(RAW_OS!$G$42,0)</x:f>
        <x:v>1951</x:v>
      </x:c>
    </x:row>
    <x:row r="40">
      <x:c r="A40" s="9" t="inlineStr">
        <x:is>
          <x:t xml:space="preserve">450 x 1106 cm</x:t>
        </x:is>
      </x:c>
      <x:c r="B40" s="9" t="inlineStr">
        <x:is>
          <x:t xml:space="preserve">PRO+</x:t>
        </x:is>
      </x:c>
      <x:c r="C40" s="11" t="n">
        <x:f>ROUND(RAW_ZP!$B$43,0)</x:f>
        <x:v>25000</x:v>
      </x:c>
      <x:c r="D40" s="11" t="n">
        <x:f>ROUND(RAW_ZP!$C$43,0)</x:f>
        <x:v>20325</x:v>
      </x:c>
      <x:c r="E40" s="11" t="n">
        <x:f>ROUND(RAW_ZP!$D$43,0)</x:f>
        <x:v>1060</x:v>
      </x:c>
      <x:c r="F40" s="11" t="n">
        <x:f>ROUND(RAW_ZP!$E$43,0)</x:f>
        <x:v>862</x:v>
      </x:c>
      <x:c r="G40" s="11" t="n">
        <x:f>ROUND(RAW_ZP!$H$43,0)</x:f>
        <x:v>13420</x:v>
      </x:c>
      <x:c r="H40" s="11" t="n">
        <x:f>ROUND(RAW_ZP!$I$43,0)</x:f>
        <x:v>10911</x:v>
      </x:c>
      <x:c r="I40" s="11" t="n">
        <x:f>ROUND(RAW_ZP!$J$43,0)</x:f>
        <x:v>3160</x:v>
      </x:c>
      <x:c r="J40" s="11" t="n">
        <x:f>ROUND(RAW_ZP!$K$43,0)</x:f>
        <x:v>2569</x:v>
      </x:c>
      <x:c r="K40" s="11" t="n">
        <x:f>ROUND(RAW_ZP!$N$43,0)</x:f>
        <x:v>7420</x:v>
      </x:c>
      <x:c r="L40" s="11" t="n">
        <x:f>ROUND(RAW_ZP!$O$43,0)</x:f>
        <x:v>6033</x:v>
      </x:c>
      <x:c r="M40" s="11" t="n">
        <x:f>ROUND(RAW_ZP!$P$43,0)</x:f>
        <x:v>1430</x:v>
      </x:c>
      <x:c r="N40" s="11" t="n">
        <x:f>ROUND(RAW_ZP!$Q$43,0)</x:f>
        <x:v>1163</x:v>
      </x:c>
      <x:c r="O40" s="11" t="n">
        <x:f>ROUND(RAW_ZP!$R$43,0)</x:f>
        <x:v>1770</x:v>
      </x:c>
      <x:c r="P40" s="11" t="n">
        <x:f>ROUND(RAW_ZP!$S$43,0)</x:f>
        <x:v>1439</x:v>
      </x:c>
      <x:c r="Q40" s="732" t="n">
        <x:v>3356</x:v>
      </x:c>
      <x:c r="R40" s="732" t="n">
        <x:v>2728</x:v>
      </x:c>
      <x:c r="S40" s="732" t="n">
        <x:v>4956</x:v>
      </x:c>
      <x:c r="T40" s="732" t="n">
        <x:v>4029</x:v>
      </x:c>
      <x:c r="U40" s="11" t="n">
        <x:f>ROUND(RAW_ZS!$B$43,0)</x:f>
        <x:v>39490</x:v>
      </x:c>
      <x:c r="V40" s="11" t="n">
        <x:f>ROUND(RAW_ZS!$C$43,0)</x:f>
        <x:v>32106</x:v>
      </x:c>
      <x:c r="W40" s="11" t="n">
        <x:f>ROUND(RAW_ZS!$D$43,0)</x:f>
        <x:v>1380</x:v>
      </x:c>
      <x:c r="X40" s="11" t="n">
        <x:f>ROUND(RAW_ZS!$E$43,0)</x:f>
        <x:v>1122</x:v>
      </x:c>
      <x:c r="Y40" s="11" t="n">
        <x:f>ROUND(RAW_OP!$B$43,0)</x:f>
        <x:v>47530</x:v>
      </x:c>
      <x:c r="Z40" s="11" t="n">
        <x:f>ROUND(RAW_OP!$C$43,0)</x:f>
        <x:v>38642</x:v>
      </x:c>
      <x:c r="AA40" s="11" t="n">
        <x:f>ROUND(RAW_OP!$H$43,0)</x:f>
        <x:v>2520</x:v>
      </x:c>
      <x:c r="AB40" s="11" t="n">
        <x:f>ROUND(RAW_OP!$I$43,0)</x:f>
        <x:v>2049</x:v>
      </x:c>
      <x:c r="AC40" s="11" t="n">
        <x:f>ROUND(RAW_OP!$L$43,0)</x:f>
        <x:v>800</x:v>
      </x:c>
      <x:c r="AD40" s="11" t="n">
        <x:f>ROUND(RAW_OP!$M$43,0)</x:f>
        <x:v>650</x:v>
      </x:c>
      <x:c r="AE40" s="11" t="n">
        <x:f>ROUND(RAW_OP!$N$43,0)</x:f>
        <x:v>720</x:v>
      </x:c>
      <x:c r="AF40" s="11" t="n">
        <x:f>ROUND(RAW_OP!$O$43,0)</x:f>
        <x:v>585</x:v>
      </x:c>
      <x:c r="AG40" s="11" t="n">
        <x:f>ROUND(RAW_OP!$AB$43,0)</x:f>
        <x:v>2170</x:v>
      </x:c>
      <x:c r="AH40" s="11" t="n">
        <x:f>ROUND(RAW_OP!$AC$43,0)</x:f>
        <x:v>1764</x:v>
      </x:c>
      <x:c r="AI40" s="11" t="n">
        <x:f>ROUND(RAW_OP!$AD$43,0)</x:f>
        <x:v>640</x:v>
      </x:c>
      <x:c r="AJ40" s="11" t="n">
        <x:f>ROUND(RAW_OP!$AE$43,0)</x:f>
        <x:v>520</x:v>
      </x:c>
      <x:c r="AK40" s="11" t="n">
        <x:f>ROUND(RAW_OS!$B$43,0)</x:f>
        <x:v>62010</x:v>
      </x:c>
      <x:c r="AL40" s="11" t="n">
        <x:f>ROUND(RAW_OS!$C$43,0)</x:f>
        <x:v>50415</x:v>
      </x:c>
      <x:c r="AM40" s="11" t="n">
        <x:f>ROUND(RAW_OS!$D$43,0)</x:f>
        <x:v>1380</x:v>
      </x:c>
      <x:c r="AN40" s="11" t="n">
        <x:f>ROUND(RAW_OS!$E$43,0)</x:f>
        <x:v>1122</x:v>
      </x:c>
      <x:c r="AO40" s="11" t="n">
        <x:f>ROUND(RAW_OS!$F$43,0)</x:f>
        <x:v>2520</x:v>
      </x:c>
      <x:c r="AP40" s="11" t="n">
        <x:f>ROUND(RAW_OS!$G$43,0)</x:f>
        <x:v>2049</x:v>
      </x:c>
    </x:row>
    <x:row r="41">
      <x:c r="A41" s="9" t="inlineStr">
        <x:is>
          <x:t xml:space="preserve">450 x 1206 cm</x:t>
        </x:is>
      </x:c>
      <x:c r="B41" s="9" t="inlineStr">
        <x:is>
          <x:t xml:space="preserve">PRO+</x:t>
        </x:is>
      </x:c>
      <x:c r="C41" s="11" t="n">
        <x:f>ROUND(RAW_ZP!$B$44,0)</x:f>
        <x:v>26870</x:v>
      </x:c>
      <x:c r="D41" s="11" t="n">
        <x:f>ROUND(RAW_ZP!$C$44,0)</x:f>
        <x:v>21846</x:v>
      </x:c>
      <x:c r="E41" s="11" t="n">
        <x:f>ROUND(RAW_ZP!$D$44,0)</x:f>
        <x:v>1150</x:v>
      </x:c>
      <x:c r="F41" s="11" t="n">
        <x:f>ROUND(RAW_ZP!$E$44,0)</x:f>
        <x:v>935</x:v>
      </x:c>
      <x:c r="G41" s="11" t="n">
        <x:f>ROUND(RAW_ZP!$H$44,0)</x:f>
        <x:v>14010</x:v>
      </x:c>
      <x:c r="H41" s="11" t="n">
        <x:f>ROUND(RAW_ZP!$I$44,0)</x:f>
        <x:v>11390</x:v>
      </x:c>
      <x:c r="I41" s="11" t="n">
        <x:f>ROUND(RAW_ZP!$J$44,0)</x:f>
        <x:v>3160</x:v>
      </x:c>
      <x:c r="J41" s="11" t="n">
        <x:f>ROUND(RAW_ZP!$K$44,0)</x:f>
        <x:v>2569</x:v>
      </x:c>
      <x:c r="K41" s="11" t="n">
        <x:f>ROUND(RAW_ZP!$N$44,0)</x:f>
        <x:v>7920</x:v>
      </x:c>
      <x:c r="L41" s="11" t="n">
        <x:f>ROUND(RAW_ZP!$O$44,0)</x:f>
        <x:v>6439</x:v>
      </x:c>
      <x:c r="M41" s="11" t="n">
        <x:f>ROUND(RAW_ZP!$P$44,0)</x:f>
        <x:v>1510</x:v>
      </x:c>
      <x:c r="N41" s="11" t="n">
        <x:f>ROUND(RAW_ZP!$Q$44,0)</x:f>
        <x:v>1228</x:v>
      </x:c>
      <x:c r="O41" s="11" t="n">
        <x:f>ROUND(RAW_ZP!$R$44,0)</x:f>
        <x:v>1900</x:v>
      </x:c>
      <x:c r="P41" s="11" t="n">
        <x:f>ROUND(RAW_ZP!$S$44,0)</x:f>
        <x:v>1545</x:v>
      </x:c>
      <x:c r="Q41" s="732" t="n">
        <x:v>3602</x:v>
      </x:c>
      <x:c r="R41" s="732" t="n">
        <x:v>2928</x:v>
      </x:c>
      <x:c r="S41" s="732" t="n">
        <x:v>5362</x:v>
      </x:c>
      <x:c r="T41" s="732" t="n">
        <x:v>4359</x:v>
      </x:c>
      <x:c r="U41" s="11" t="n">
        <x:f>ROUND(RAW_ZS!$B$44,0)</x:f>
        <x:v>42740</x:v>
      </x:c>
      <x:c r="V41" s="11" t="n">
        <x:f>ROUND(RAW_ZS!$C$44,0)</x:f>
        <x:v>34748</x:v>
      </x:c>
      <x:c r="W41" s="11" t="n">
        <x:f>ROUND(RAW_ZS!$D$44,0)</x:f>
        <x:v>1510</x:v>
      </x:c>
      <x:c r="X41" s="11" t="n">
        <x:f>ROUND(RAW_ZS!$E$44,0)</x:f>
        <x:v>1228</x:v>
      </x:c>
      <x:c r="Y41" s="11" t="n">
        <x:f>ROUND(RAW_OP!$B$44,0)</x:f>
        <x:v>50580</x:v>
      </x:c>
      <x:c r="Z41" s="11" t="n">
        <x:f>ROUND(RAW_OP!$C$44,0)</x:f>
        <x:v>41122</x:v>
      </x:c>
      <x:c r="AA41" s="11" t="n">
        <x:f>ROUND(RAW_OP!$H$44,0)</x:f>
        <x:v>2640</x:v>
      </x:c>
      <x:c r="AB41" s="11" t="n">
        <x:f>ROUND(RAW_OP!$I$44,0)</x:f>
        <x:v>2146</x:v>
      </x:c>
      <x:c r="AC41" s="11" t="n">
        <x:f>ROUND(RAW_OP!$L$44,0)</x:f>
        <x:v>840</x:v>
      </x:c>
      <x:c r="AD41" s="11" t="n">
        <x:f>ROUND(RAW_OP!$M$44,0)</x:f>
        <x:v>683</x:v>
      </x:c>
      <x:c r="AE41" s="11" t="n">
        <x:f>ROUND(RAW_OP!$N$44,0)</x:f>
        <x:v>760</x:v>
      </x:c>
      <x:c r="AF41" s="11" t="n">
        <x:f>ROUND(RAW_OP!$O$44,0)</x:f>
        <x:v>618</x:v>
      </x:c>
      <x:c r="AG41" s="11" t="n">
        <x:f>ROUND(RAW_OP!$AB$44,0)</x:f>
        <x:v>2460</x:v>
      </x:c>
      <x:c r="AH41" s="11" t="n">
        <x:f>ROUND(RAW_OP!$AC$44,0)</x:f>
        <x:v>2000</x:v>
      </x:c>
      <x:c r="AI41" s="11" t="n">
        <x:f>ROUND(RAW_OP!$AD$44,0)</x:f>
        <x:v>680</x:v>
      </x:c>
      <x:c r="AJ41" s="11" t="n">
        <x:f>ROUND(RAW_OP!$AE$44,0)</x:f>
        <x:v>553</x:v>
      </x:c>
      <x:c r="AK41" s="11" t="n">
        <x:f>ROUND(RAW_OS!$B$44,0)</x:f>
        <x:v>64450</x:v>
      </x:c>
      <x:c r="AL41" s="11" t="n">
        <x:f>ROUND(RAW_OS!$C$44,0)</x:f>
        <x:v>52398</x:v>
      </x:c>
      <x:c r="AM41" s="11" t="n">
        <x:f>ROUND(RAW_OS!$D$44,0)</x:f>
        <x:v>1510</x:v>
      </x:c>
      <x:c r="AN41" s="11" t="n">
        <x:f>ROUND(RAW_OS!$E$44,0)</x:f>
        <x:v>1228</x:v>
      </x:c>
      <x:c r="AO41" s="11" t="n">
        <x:f>ROUND(RAW_OS!$F$44,0)</x:f>
        <x:v>2640</x:v>
      </x:c>
      <x:c r="AP41" s="11" t="n">
        <x:f>ROUND(RAW_OS!$G$44,0)</x:f>
        <x:v>2146</x:v>
      </x:c>
    </x:row>
    <x:row r="42">
      <x:c r="A42" s="9" t="inlineStr">
        <x:is>
          <x:t xml:space="preserve">500 x 306 cm</x:t>
        </x:is>
      </x:c>
      <x:c r="B42" s="9" t="inlineStr">
        <x:is>
          <x:t xml:space="preserve">PRO+</x:t>
        </x:is>
      </x:c>
      <x:c r="C42" s="11" t="n">
        <x:f>ROUND(RAW_ZP!$B$45,0)</x:f>
        <x:v>7680</x:v>
      </x:c>
      <x:c r="D42" s="11" t="n">
        <x:f>ROUND(RAW_ZP!$C$45,0)</x:f>
        <x:v>6244</x:v>
      </x:c>
      <x:c r="E42" s="11" t="n">
        <x:f>ROUND(RAW_ZP!$D$45,0)</x:f>
        <x:v>310</x:v>
      </x:c>
      <x:c r="F42" s="11" t="n">
        <x:f>ROUND(RAW_ZP!$E$45,0)</x:f>
        <x:v>252</x:v>
      </x:c>
      <x:c r="G42" s="11" t="n">
        <x:f>ROUND(RAW_ZP!$H$45,0)</x:f>
        <x:v>4080</x:v>
      </x:c>
      <x:c r="H42" s="11" t="n">
        <x:f>ROUND(RAW_ZP!$I$45,0)</x:f>
        <x:v>3317</x:v>
      </x:c>
      <x:c r="I42" s="11" t="n">
        <x:f>ROUND(RAW_ZP!$J$45,0)</x:f>
        <x:v>3700</x:v>
      </x:c>
      <x:c r="J42" s="11" t="n">
        <x:f>ROUND(RAW_ZP!$K$45,0)</x:f>
        <x:v>3008</x:v>
      </x:c>
      <x:c r="K42" s="11" t="n">
        <x:f>ROUND(RAW_ZP!$N$45,0)</x:f>
        <x:v>2140</x:v>
      </x:c>
      <x:c r="L42" s="11" t="n">
        <x:f>ROUND(RAW_ZP!$O$45,0)</x:f>
        <x:v>1740</x:v>
      </x:c>
      <x:c r="M42" s="11" t="n">
        <x:f>ROUND(RAW_ZP!$P$45,0)</x:f>
        <x:v>420</x:v>
      </x:c>
      <x:c r="N42" s="11" t="n">
        <x:f>ROUND(RAW_ZP!$Q$45,0)</x:f>
        <x:v>341</x:v>
      </x:c>
      <x:c r="O42" s="11" t="n">
        <x:f>ROUND(RAW_ZP!$R$45,0)</x:f>
        <x:v>640</x:v>
      </x:c>
      <x:c r="P42" s="11" t="n">
        <x:f>ROUND(RAW_ZP!$S$45,0)</x:f>
        <x:v>520</x:v>
      </x:c>
      <x:c r="Q42" s="732" t="n">
        <x:v>1444</x:v>
      </x:c>
      <x:c r="R42" s="732" t="n">
        <x:v>1174</x:v>
      </x:c>
      <x:c r="S42" s="732" t="n">
        <x:v>1825</x:v>
      </x:c>
      <x:c r="T42" s="732" t="n">
        <x:v>1484</x:v>
      </x:c>
      <x:c r="U42" s="11" t="n">
        <x:f>ROUND(RAW_ZS!$B$45,0)</x:f>
        <x:v>11430</x:v>
      </x:c>
      <x:c r="V42" s="11" t="n">
        <x:f>ROUND(RAW_ZS!$C$45,0)</x:f>
        <x:v>9293</x:v>
      </x:c>
      <x:c r="W42" s="11" t="n">
        <x:f>ROUND(RAW_ZS!$D$45,0)</x:f>
        <x:v>420</x:v>
      </x:c>
      <x:c r="X42" s="11" t="n">
        <x:f>ROUND(RAW_ZS!$E$45,0)</x:f>
        <x:v>341</x:v>
      </x:c>
      <x:c r="Y42" s="11" t="n">
        <x:f>ROUND(RAW_OP!$B$45,0)</x:f>
        <x:v>22950</x:v>
      </x:c>
      <x:c r="Z42" s="11" t="n">
        <x:f>ROUND(RAW_OP!$C$45,0)</x:f>
        <x:v>18659</x:v>
      </x:c>
      <x:c r="AA42" s="11" t="n">
        <x:f>ROUND(RAW_OP!$H$45,0)</x:f>
        <x:v>1560</x:v>
      </x:c>
      <x:c r="AB42" s="11" t="n">
        <x:f>ROUND(RAW_OP!$I$45,0)</x:f>
        <x:v>1268</x:v>
      </x:c>
      <x:c r="AC42" s="11" t="n">
        <x:f>ROUND(RAW_OP!$L$45,0)</x:f>
        <x:v>500</x:v>
      </x:c>
      <x:c r="AD42" s="11" t="n">
        <x:f>ROUND(RAW_OP!$M$45,0)</x:f>
        <x:v>407</x:v>
      </x:c>
      <x:c r="AE42" s="11" t="n">
        <x:f>ROUND(RAW_OP!$N$45,0)</x:f>
        <x:v>450</x:v>
      </x:c>
      <x:c r="AF42" s="11" t="n">
        <x:f>ROUND(RAW_OP!$O$45,0)</x:f>
        <x:v>366</x:v>
      </x:c>
      <x:c r="AG42" s="11" t="n">
        <x:f>ROUND(RAW_OP!$AB$45,0)</x:f>
        <x:v>1160</x:v>
      </x:c>
      <x:c r="AH42" s="11" t="n">
        <x:f>ROUND(RAW_OP!$AC$45,0)</x:f>
        <x:v>943</x:v>
      </x:c>
      <x:c r="AI42" s="11" t="n">
        <x:f>ROUND(RAW_OP!$AD$45,0)</x:f>
        <x:v>400</x:v>
      </x:c>
      <x:c r="AJ42" s="11" t="n">
        <x:f>ROUND(RAW_OP!$AE$45,0)</x:f>
        <x:v>325</x:v>
      </x:c>
      <x:c r="AK42" s="11" t="n">
        <x:f>ROUND(RAW_OS!$B$45,0)</x:f>
        <x:v>26700</x:v>
      </x:c>
      <x:c r="AL42" s="11" t="n">
        <x:f>ROUND(RAW_OS!$C$45,0)</x:f>
        <x:v>21707</x:v>
      </x:c>
      <x:c r="AM42" s="11" t="n">
        <x:f>ROUND(RAW_OS!$D$45,0)</x:f>
        <x:v>420</x:v>
      </x:c>
      <x:c r="AN42" s="11" t="n">
        <x:f>ROUND(RAW_OS!$E$45,0)</x:f>
        <x:v>341</x:v>
      </x:c>
      <x:c r="AO42" s="11" t="n">
        <x:f>ROUND(RAW_OS!$F$45,0)</x:f>
        <x:v>1560</x:v>
      </x:c>
      <x:c r="AP42" s="11" t="n">
        <x:f>ROUND(RAW_OS!$G$45,0)</x:f>
        <x:v>1268</x:v>
      </x:c>
    </x:row>
    <x:row r="43">
      <x:c r="A43" s="9" t="inlineStr">
        <x:is>
          <x:t xml:space="preserve">500 x 406 cm</x:t>
        </x:is>
      </x:c>
      <x:c r="B43" s="9" t="inlineStr">
        <x:is>
          <x:t xml:space="preserve">PRO+</x:t>
        </x:is>
      </x:c>
      <x:c r="C43" s="11" t="n">
        <x:f>ROUND(RAW_ZP!$B$46,0)</x:f>
        <x:v>9690</x:v>
      </x:c>
      <x:c r="D43" s="11" t="n">
        <x:f>ROUND(RAW_ZP!$C$46,0)</x:f>
        <x:v>7878</x:v>
      </x:c>
      <x:c r="E43" s="11" t="n">
        <x:f>ROUND(RAW_ZP!$D$46,0)</x:f>
        <x:v>420</x:v>
      </x:c>
      <x:c r="F43" s="11" t="n">
        <x:f>ROUND(RAW_ZP!$E$46,0)</x:f>
        <x:v>341</x:v>
      </x:c>
      <x:c r="G43" s="11" t="n">
        <x:f>ROUND(RAW_ZP!$H$46,0)</x:f>
        <x:v>4670</x:v>
      </x:c>
      <x:c r="H43" s="11" t="n">
        <x:f>ROUND(RAW_ZP!$I$46,0)</x:f>
        <x:v>3797</x:v>
      </x:c>
      <x:c r="I43" s="11" t="n">
        <x:f>ROUND(RAW_ZP!$J$46,0)</x:f>
        <x:v>3700</x:v>
      </x:c>
      <x:c r="J43" s="11" t="n">
        <x:f>ROUND(RAW_ZP!$K$46,0)</x:f>
        <x:v>3008</x:v>
      </x:c>
      <x:c r="K43" s="11" t="n">
        <x:f>ROUND(RAW_ZP!$N$46,0)</x:f>
        <x:v>2640</x:v>
      </x:c>
      <x:c r="L43" s="11" t="n">
        <x:f>ROUND(RAW_ZP!$O$46,0)</x:f>
        <x:v>2146</x:v>
      </x:c>
      <x:c r="M43" s="11" t="n">
        <x:f>ROUND(RAW_ZP!$P$46,0)</x:f>
        <x:v>510</x:v>
      </x:c>
      <x:c r="N43" s="11" t="n">
        <x:f>ROUND(RAW_ZP!$Q$46,0)</x:f>
        <x:v>415</x:v>
      </x:c>
      <x:c r="O43" s="11" t="n">
        <x:f>ROUND(RAW_ZP!$R$46,0)</x:f>
        <x:v>740</x:v>
      </x:c>
      <x:c r="P43" s="11" t="n">
        <x:f>ROUND(RAW_ZP!$S$46,0)</x:f>
        <x:v>602</x:v>
      </x:c>
      <x:c r="Q43" s="732" t="n">
        <x:v>1726</x:v>
      </x:c>
      <x:c r="R43" s="732" t="n">
        <x:v>1403</x:v>
      </x:c>
      <x:c r="S43" s="732" t="n">
        <x:v>2244</x:v>
      </x:c>
      <x:c r="T43" s="732" t="n">
        <x:v>1824</x:v>
      </x:c>
      <x:c r="U43" s="11" t="n">
        <x:f>ROUND(RAW_ZS!$B$46,0)</x:f>
        <x:v>14980</x:v>
      </x:c>
      <x:c r="V43" s="11" t="n">
        <x:f>ROUND(RAW_ZS!$C$46,0)</x:f>
        <x:v>12179</x:v>
      </x:c>
      <x:c r="W43" s="11" t="n">
        <x:f>ROUND(RAW_ZS!$D$46,0)</x:f>
        <x:v>560</x:v>
      </x:c>
      <x:c r="X43" s="11" t="n">
        <x:f>ROUND(RAW_ZS!$E$46,0)</x:f>
        <x:v>455</x:v>
      </x:c>
      <x:c r="Y43" s="11" t="n">
        <x:f>ROUND(RAW_OP!$B$46,0)</x:f>
        <x:v>25830</x:v>
      </x:c>
      <x:c r="Z43" s="11" t="n">
        <x:f>ROUND(RAW_OP!$C$46,0)</x:f>
        <x:v>21000</x:v>
      </x:c>
      <x:c r="AA43" s="11" t="n">
        <x:f>ROUND(RAW_OP!$H$46,0)</x:f>
        <x:v>1680</x:v>
      </x:c>
      <x:c r="AB43" s="11" t="n">
        <x:f>ROUND(RAW_OP!$I$46,0)</x:f>
        <x:v>1366</x:v>
      </x:c>
      <x:c r="AC43" s="11" t="n">
        <x:f>ROUND(RAW_OP!$L$46,0)</x:f>
        <x:v>530</x:v>
      </x:c>
      <x:c r="AD43" s="11" t="n">
        <x:f>ROUND(RAW_OP!$M$46,0)</x:f>
        <x:v>431</x:v>
      </x:c>
      <x:c r="AE43" s="11" t="n">
        <x:f>ROUND(RAW_OP!$N$46,0)</x:f>
        <x:v>480</x:v>
      </x:c>
      <x:c r="AF43" s="11" t="n">
        <x:f>ROUND(RAW_OP!$O$46,0)</x:f>
        <x:v>390</x:v>
      </x:c>
      <x:c r="AG43" s="11" t="n">
        <x:f>ROUND(RAW_OP!$AB$46,0)</x:f>
        <x:v>1280</x:v>
      </x:c>
      <x:c r="AH43" s="11" t="n">
        <x:f>ROUND(RAW_OP!$AC$46,0)</x:f>
        <x:v>1041</x:v>
      </x:c>
      <x:c r="AI43" s="11" t="n">
        <x:f>ROUND(RAW_OP!$AD$46,0)</x:f>
        <x:v>440</x:v>
      </x:c>
      <x:c r="AJ43" s="11" t="n">
        <x:f>ROUND(RAW_OP!$AE$46,0)</x:f>
        <x:v>358</x:v>
      </x:c>
      <x:c r="AK43" s="11" t="n">
        <x:f>ROUND(RAW_OS!$B$46,0)</x:f>
        <x:v>31120</x:v>
      </x:c>
      <x:c r="AL43" s="11" t="n">
        <x:f>ROUND(RAW_OS!$C$46,0)</x:f>
        <x:v>25301</x:v>
      </x:c>
      <x:c r="AM43" s="11" t="n">
        <x:f>ROUND(RAW_OS!$D$46,0)</x:f>
        <x:v>560</x:v>
      </x:c>
      <x:c r="AN43" s="11" t="n">
        <x:f>ROUND(RAW_OS!$E$46,0)</x:f>
        <x:v>455</x:v>
      </x:c>
      <x:c r="AO43" s="11" t="n">
        <x:f>ROUND(RAW_OS!$F$46,0)</x:f>
        <x:v>1680</x:v>
      </x:c>
      <x:c r="AP43" s="11" t="n">
        <x:f>ROUND(RAW_OS!$G$46,0)</x:f>
        <x:v>1366</x:v>
      </x:c>
    </x:row>
    <x:row r="44">
      <x:c r="A44" s="9" t="inlineStr">
        <x:is>
          <x:t xml:space="preserve">500 x 506 cm</x:t>
        </x:is>
      </x:c>
      <x:c r="B44" s="9" t="inlineStr">
        <x:is>
          <x:t xml:space="preserve">PRO+</x:t>
        </x:is>
      </x:c>
      <x:c r="C44" s="11" t="n">
        <x:f>ROUND(RAW_ZP!$B$47,0)</x:f>
        <x:v>12020</x:v>
      </x:c>
      <x:c r="D44" s="11" t="n">
        <x:f>ROUND(RAW_ZP!$C$47,0)</x:f>
        <x:v>9772</x:v>
      </x:c>
      <x:c r="E44" s="11" t="n">
        <x:f>ROUND(RAW_ZP!$D$47,0)</x:f>
        <x:v>520</x:v>
      </x:c>
      <x:c r="F44" s="11" t="n">
        <x:f>ROUND(RAW_ZP!$E$47,0)</x:f>
        <x:v>423</x:v>
      </x:c>
      <x:c r="G44" s="11" t="n">
        <x:f>ROUND(RAW_ZP!$H$47,0)</x:f>
        <x:v>5420</x:v>
      </x:c>
      <x:c r="H44" s="11" t="n">
        <x:f>ROUND(RAW_ZP!$I$47,0)</x:f>
        <x:v>4407</x:v>
      </x:c>
      <x:c r="I44" s="11" t="n">
        <x:f>ROUND(RAW_ZP!$J$47,0)</x:f>
        <x:v>3700</x:v>
      </x:c>
      <x:c r="J44" s="11" t="n">
        <x:f>ROUND(RAW_ZP!$K$47,0)</x:f>
        <x:v>3008</x:v>
      </x:c>
      <x:c r="K44" s="11" t="n">
        <x:f>ROUND(RAW_ZP!$N$47,0)</x:f>
        <x:v>3700</x:v>
      </x:c>
      <x:c r="L44" s="11" t="n">
        <x:f>ROUND(RAW_ZP!$O$47,0)</x:f>
        <x:v>3008</x:v>
      </x:c>
      <x:c r="M44" s="11" t="n">
        <x:f>ROUND(RAW_ZP!$P$47,0)</x:f>
        <x:v>600</x:v>
      </x:c>
      <x:c r="N44" s="11" t="n">
        <x:f>ROUND(RAW_ZP!$Q$47,0)</x:f>
        <x:v>488</x:v>
      </x:c>
      <x:c r="O44" s="11" t="n">
        <x:f>ROUND(RAW_ZP!$R$47,0)</x:f>
        <x:v>960</x:v>
      </x:c>
      <x:c r="P44" s="11" t="n">
        <x:f>ROUND(RAW_ZP!$S$47,0)</x:f>
        <x:v>780</x:v>
      </x:c>
      <x:c r="Q44" s="732" t="n">
        <x:v>1972</x:v>
      </x:c>
      <x:c r="R44" s="732" t="n">
        <x:v>1603</x:v>
      </x:c>
      <x:c r="S44" s="732" t="n">
        <x:v>2661</x:v>
      </x:c>
      <x:c r="T44" s="732" t="n">
        <x:v>2163</x:v>
      </x:c>
      <x:c r="U44" s="11" t="n">
        <x:f>ROUND(RAW_ZS!$B$47,0)</x:f>
        <x:v>18850</x:v>
      </x:c>
      <x:c r="V44" s="11" t="n">
        <x:f>ROUND(RAW_ZS!$C$47,0)</x:f>
        <x:v>15325</x:v>
      </x:c>
      <x:c r="W44" s="11" t="n">
        <x:f>ROUND(RAW_ZS!$D$47,0)</x:f>
        <x:v>700</x:v>
      </x:c>
      <x:c r="X44" s="11" t="n">
        <x:f>ROUND(RAW_ZS!$E$47,0)</x:f>
        <x:v>569</x:v>
      </x:c>
      <x:c r="Y44" s="11" t="n">
        <x:f>ROUND(RAW_OP!$B$47,0)</x:f>
        <x:v>29260</x:v>
      </x:c>
      <x:c r="Z44" s="11" t="n">
        <x:f>ROUND(RAW_OP!$C$47,0)</x:f>
        <x:v>23789</x:v>
      </x:c>
      <x:c r="AA44" s="11" t="n">
        <x:f>ROUND(RAW_OP!$H$47,0)</x:f>
        <x:v>1800</x:v>
      </x:c>
      <x:c r="AB44" s="11" t="n">
        <x:f>ROUND(RAW_OP!$I$47,0)</x:f>
        <x:v>1463</x:v>
      </x:c>
      <x:c r="AC44" s="11" t="n">
        <x:f>ROUND(RAW_OP!$L$47,0)</x:f>
        <x:v>570</x:v>
      </x:c>
      <x:c r="AD44" s="11" t="n">
        <x:f>ROUND(RAW_OP!$M$47,0)</x:f>
        <x:v>463</x:v>
      </x:c>
      <x:c r="AE44" s="11" t="n">
        <x:f>ROUND(RAW_OP!$N$47,0)</x:f>
        <x:v>520</x:v>
      </x:c>
      <x:c r="AF44" s="11" t="n">
        <x:f>ROUND(RAW_OP!$O$47,0)</x:f>
        <x:v>423</x:v>
      </x:c>
      <x:c r="AG44" s="11" t="n">
        <x:f>ROUND(RAW_OP!$AB$47,0)</x:f>
        <x:v>1410</x:v>
      </x:c>
      <x:c r="AH44" s="11" t="n">
        <x:f>ROUND(RAW_OP!$AC$47,0)</x:f>
        <x:v>1146</x:v>
      </x:c>
      <x:c r="AI44" s="11" t="n">
        <x:f>ROUND(RAW_OP!$AD$47,0)</x:f>
        <x:v>440</x:v>
      </x:c>
      <x:c r="AJ44" s="11" t="n">
        <x:f>ROUND(RAW_OP!$AE$47,0)</x:f>
        <x:v>358</x:v>
      </x:c>
      <x:c r="AK44" s="11" t="n">
        <x:f>ROUND(RAW_OS!$B$47,0)</x:f>
        <x:v>36100</x:v>
      </x:c>
      <x:c r="AL44" s="11" t="n">
        <x:f>ROUND(RAW_OS!$C$47,0)</x:f>
        <x:v>29350</x:v>
      </x:c>
      <x:c r="AM44" s="11" t="n">
        <x:f>ROUND(RAW_OS!$D$47,0)</x:f>
        <x:v>700</x:v>
      </x:c>
      <x:c r="AN44" s="11" t="n">
        <x:f>ROUND(RAW_OS!$E$47,0)</x:f>
        <x:v>569</x:v>
      </x:c>
      <x:c r="AO44" s="11" t="n">
        <x:f>ROUND(RAW_OS!$F$47,0)</x:f>
        <x:v>1800</x:v>
      </x:c>
      <x:c r="AP44" s="11" t="n">
        <x:f>ROUND(RAW_OS!$G$47,0)</x:f>
        <x:v>1463</x:v>
      </x:c>
    </x:row>
    <x:row r="45">
      <x:c r="A45" s="9" t="inlineStr">
        <x:is>
          <x:t xml:space="preserve">500 x 606 cm</x:t>
        </x:is>
      </x:c>
      <x:c r="B45" s="9" t="inlineStr">
        <x:is>
          <x:t xml:space="preserve">PRO+</x:t>
        </x:is>
      </x:c>
      <x:c r="C45" s="11" t="n">
        <x:f>ROUND(RAW_ZP!$B$48,0)</x:f>
        <x:v>14020</x:v>
      </x:c>
      <x:c r="D45" s="11" t="n">
        <x:f>ROUND(RAW_ZP!$C$48,0)</x:f>
        <x:v>11398</x:v>
      </x:c>
      <x:c r="E45" s="11" t="n">
        <x:f>ROUND(RAW_ZP!$D$48,0)</x:f>
        <x:v>620</x:v>
      </x:c>
      <x:c r="F45" s="11" t="n">
        <x:f>ROUND(RAW_ZP!$E$48,0)</x:f>
        <x:v>504</x:v>
      </x:c>
      <x:c r="G45" s="11" t="n">
        <x:f>ROUND(RAW_ZP!$H$48,0)</x:f>
        <x:v>8160</x:v>
      </x:c>
      <x:c r="H45" s="11" t="n">
        <x:f>ROUND(RAW_ZP!$I$48,0)</x:f>
        <x:v>6634</x:v>
      </x:c>
      <x:c r="I45" s="11" t="n">
        <x:f>ROUND(RAW_ZP!$J$48,0)</x:f>
        <x:v>3700</x:v>
      </x:c>
      <x:c r="J45" s="11" t="n">
        <x:f>ROUND(RAW_ZP!$K$48,0)</x:f>
        <x:v>3008</x:v>
      </x:c>
      <x:c r="K45" s="11" t="n">
        <x:f>ROUND(RAW_ZP!$N$48,0)</x:f>
        <x:v>4270</x:v>
      </x:c>
      <x:c r="L45" s="11" t="n">
        <x:f>ROUND(RAW_ZP!$O$48,0)</x:f>
        <x:v>3472</x:v>
      </x:c>
      <x:c r="M45" s="11" t="n">
        <x:f>ROUND(RAW_ZP!$P$48,0)</x:f>
        <x:v>790</x:v>
      </x:c>
      <x:c r="N45" s="11" t="n">
        <x:f>ROUND(RAW_ZP!$Q$48,0)</x:f>
        <x:v>642</x:v>
      </x:c>
      <x:c r="O45" s="11" t="n">
        <x:f>ROUND(RAW_ZP!$R$48,0)</x:f>
        <x:v>1090</x:v>
      </x:c>
      <x:c r="P45" s="11" t="n">
        <x:f>ROUND(RAW_ZP!$S$48,0)</x:f>
        <x:v>886</x:v>
      </x:c>
      <x:c r="Q45" s="732" t="n">
        <x:v>2390</x:v>
      </x:c>
      <x:c r="R45" s="732" t="n">
        <x:v>1943</x:v>
      </x:c>
      <x:c r="S45" s="732" t="n">
        <x:v>3104</x:v>
      </x:c>
      <x:c r="T45" s="732" t="n">
        <x:v>2524</x:v>
      </x:c>
      <x:c r="U45" s="11" t="n">
        <x:f>ROUND(RAW_ZS!$B$48,0)</x:f>
        <x:v>22400</x:v>
      </x:c>
      <x:c r="V45" s="11" t="n">
        <x:f>ROUND(RAW_ZS!$C$48,0)</x:f>
        <x:v>18211</x:v>
      </x:c>
      <x:c r="W45" s="11" t="n">
        <x:f>ROUND(RAW_ZS!$D$48,0)</x:f>
        <x:v>840</x:v>
      </x:c>
      <x:c r="X45" s="11" t="n">
        <x:f>ROUND(RAW_ZS!$E$48,0)</x:f>
        <x:v>683</x:v>
      </x:c>
      <x:c r="Y45" s="11" t="n">
        <x:f>ROUND(RAW_OP!$B$48,0)</x:f>
        <x:v>32450</x:v>
      </x:c>
      <x:c r="Z45" s="11" t="n">
        <x:f>ROUND(RAW_OP!$C$48,0)</x:f>
        <x:v>26382</x:v>
      </x:c>
      <x:c r="AA45" s="11" t="n">
        <x:f>ROUND(RAW_OP!$H$48,0)</x:f>
        <x:v>1920</x:v>
      </x:c>
      <x:c r="AB45" s="11" t="n">
        <x:f>ROUND(RAW_OP!$I$48,0)</x:f>
        <x:v>1561</x:v>
      </x:c>
      <x:c r="AC45" s="11" t="n">
        <x:f>ROUND(RAW_OP!$L$48,0)</x:f>
        <x:v>610</x:v>
      </x:c>
      <x:c r="AD45" s="11" t="n">
        <x:f>ROUND(RAW_OP!$M$48,0)</x:f>
        <x:v>496</x:v>
      </x:c>
      <x:c r="AE45" s="11" t="n">
        <x:f>ROUND(RAW_OP!$N$48,0)</x:f>
        <x:v>550</x:v>
      </x:c>
      <x:c r="AF45" s="11" t="n">
        <x:f>ROUND(RAW_OP!$O$48,0)</x:f>
        <x:v>447</x:v>
      </x:c>
      <x:c r="AG45" s="11" t="n">
        <x:f>ROUND(RAW_OP!$AB$48,0)</x:f>
        <x:v>1700</x:v>
      </x:c>
      <x:c r="AH45" s="11" t="n">
        <x:f>ROUND(RAW_OP!$AC$48,0)</x:f>
        <x:v>1382</x:v>
      </x:c>
      <x:c r="AI45" s="11" t="n">
        <x:f>ROUND(RAW_OP!$AD$48,0)</x:f>
        <x:v>480</x:v>
      </x:c>
      <x:c r="AJ45" s="11" t="n">
        <x:f>ROUND(RAW_OP!$AE$48,0)</x:f>
        <x:v>390</x:v>
      </x:c>
      <x:c r="AK45" s="11" t="n">
        <x:f>ROUND(RAW_OS!$B$48,0)</x:f>
        <x:v>40820</x:v>
      </x:c>
      <x:c r="AL45" s="11" t="n">
        <x:f>ROUND(RAW_OS!$C$48,0)</x:f>
        <x:v>33187</x:v>
      </x:c>
      <x:c r="AM45" s="11" t="n">
        <x:f>ROUND(RAW_OS!$D$48,0)</x:f>
        <x:v>840</x:v>
      </x:c>
      <x:c r="AN45" s="11" t="n">
        <x:f>ROUND(RAW_OS!$E$48,0)</x:f>
        <x:v>683</x:v>
      </x:c>
      <x:c r="AO45" s="11" t="n">
        <x:f>ROUND(RAW_OS!$F$48,0)</x:f>
        <x:v>1920</x:v>
      </x:c>
      <x:c r="AP45" s="11" t="n">
        <x:f>ROUND(RAW_OS!$G$48,0)</x:f>
        <x:v>1561</x:v>
      </x:c>
    </x:row>
    <x:row r="46">
      <x:c r="A46" s="9" t="inlineStr">
        <x:is>
          <x:t xml:space="preserve">500 x 706 cm</x:t>
        </x:is>
      </x:c>
      <x:c r="B46" s="9" t="inlineStr">
        <x:is>
          <x:t xml:space="preserve">PRO+</x:t>
        </x:is>
      </x:c>
      <x:c r="C46" s="11" t="n">
        <x:f>ROUND(RAW_ZP!$B$49,0)</x:f>
        <x:v>17240</x:v>
      </x:c>
      <x:c r="D46" s="11" t="n">
        <x:f>ROUND(RAW_ZP!$C$49,0)</x:f>
        <x:v>14016</x:v>
      </x:c>
      <x:c r="E46" s="11" t="n">
        <x:f>ROUND(RAW_ZP!$D$49,0)</x:f>
        <x:v>730</x:v>
      </x:c>
      <x:c r="F46" s="11" t="n">
        <x:f>ROUND(RAW_ZP!$E$49,0)</x:f>
        <x:v>593</x:v>
      </x:c>
      <x:c r="G46" s="11" t="n">
        <x:f>ROUND(RAW_ZP!$H$49,0)</x:f>
        <x:v>8750</x:v>
      </x:c>
      <x:c r="H46" s="11" t="n">
        <x:f>ROUND(RAW_ZP!$I$49,0)</x:f>
        <x:v>7114</x:v>
      </x:c>
      <x:c r="I46" s="11" t="n">
        <x:f>ROUND(RAW_ZP!$J$49,0)</x:f>
        <x:v>3700</x:v>
      </x:c>
      <x:c r="J46" s="11" t="n">
        <x:f>ROUND(RAW_ZP!$K$49,0)</x:f>
        <x:v>3008</x:v>
      </x:c>
      <x:c r="K46" s="11" t="n">
        <x:f>ROUND(RAW_ZP!$N$49,0)</x:f>
        <x:v>4780</x:v>
      </x:c>
      <x:c r="L46" s="11" t="n">
        <x:f>ROUND(RAW_ZP!$O$49,0)</x:f>
        <x:v>3886</x:v>
      </x:c>
      <x:c r="M46" s="11" t="n">
        <x:f>ROUND(RAW_ZP!$P$49,0)</x:f>
        <x:v>870</x:v>
      </x:c>
      <x:c r="N46" s="11" t="n">
        <x:f>ROUND(RAW_ZP!$Q$49,0)</x:f>
        <x:v>707</x:v>
      </x:c>
      <x:c r="O46" s="11" t="n">
        <x:f>ROUND(RAW_ZP!$R$49,0)</x:f>
        <x:v>1210</x:v>
      </x:c>
      <x:c r="P46" s="11" t="n">
        <x:f>ROUND(RAW_ZP!$S$49,0)</x:f>
        <x:v>984</x:v>
      </x:c>
      <x:c r="Q46" s="732" t="n">
        <x:v>2674</x:v>
      </x:c>
      <x:c r="R46" s="732" t="n">
        <x:v>2174</x:v>
      </x:c>
      <x:c r="S46" s="732" t="n">
        <x:v>3559</x:v>
      </x:c>
      <x:c r="T46" s="732" t="n">
        <x:v>2893</x:v>
      </x:c>
      <x:c r="U46" s="11" t="n">
        <x:f>ROUND(RAW_ZS!$B$49,0)</x:f>
        <x:v>27150</x:v>
      </x:c>
      <x:c r="V46" s="11" t="n">
        <x:f>ROUND(RAW_ZS!$C$49,0)</x:f>
        <x:v>22073</x:v>
      </x:c>
      <x:c r="W46" s="11" t="n">
        <x:f>ROUND(RAW_ZS!$D$49,0)</x:f>
        <x:v>980</x:v>
      </x:c>
      <x:c r="X46" s="11" t="n">
        <x:f>ROUND(RAW_ZS!$E$49,0)</x:f>
        <x:v>797</x:v>
      </x:c>
      <x:c r="Y46" s="11" t="n">
        <x:f>ROUND(RAW_OP!$B$49,0)</x:f>
        <x:v>35650</x:v>
      </x:c>
      <x:c r="Z46" s="11" t="n">
        <x:f>ROUND(RAW_OP!$C$49,0)</x:f>
        <x:v>28984</x:v>
      </x:c>
      <x:c r="AA46" s="11" t="n">
        <x:f>ROUND(RAW_OP!$H$49,0)</x:f>
        <x:v>2040</x:v>
      </x:c>
      <x:c r="AB46" s="11" t="n">
        <x:f>ROUND(RAW_OP!$I$49,0)</x:f>
        <x:v>1659</x:v>
      </x:c>
      <x:c r="AC46" s="11" t="n">
        <x:f>ROUND(RAW_OP!$L$49,0)</x:f>
        <x:v>650</x:v>
      </x:c>
      <x:c r="AD46" s="11" t="n">
        <x:f>ROUND(RAW_OP!$M$49,0)</x:f>
        <x:v>528</x:v>
      </x:c>
      <x:c r="AE46" s="11" t="n">
        <x:f>ROUND(RAW_OP!$N$49,0)</x:f>
        <x:v>580</x:v>
      </x:c>
      <x:c r="AF46" s="11" t="n">
        <x:f>ROUND(RAW_OP!$O$49,0)</x:f>
        <x:v>472</x:v>
      </x:c>
      <x:c r="AG46" s="11" t="n">
        <x:f>ROUND(RAW_OP!$AB$49,0)</x:f>
        <x:v>1500</x:v>
      </x:c>
      <x:c r="AH46" s="11" t="n">
        <x:f>ROUND(RAW_OP!$AC$49,0)</x:f>
        <x:v>1220</x:v>
      </x:c>
      <x:c r="AI46" s="11" t="n">
        <x:f>ROUND(RAW_OP!$AD$49,0)</x:f>
        <x:v>520</x:v>
      </x:c>
      <x:c r="AJ46" s="11" t="n">
        <x:f>ROUND(RAW_OP!$AE$49,0)</x:f>
        <x:v>423</x:v>
      </x:c>
      <x:c r="AK46" s="11" t="n">
        <x:f>ROUND(RAW_OS!$B$49,0)</x:f>
        <x:v>45560</x:v>
      </x:c>
      <x:c r="AL46" s="11" t="n">
        <x:f>ROUND(RAW_OS!$C$49,0)</x:f>
        <x:v>37041</x:v>
      </x:c>
      <x:c r="AM46" s="11" t="n">
        <x:f>ROUND(RAW_OS!$D$49,0)</x:f>
        <x:v>980</x:v>
      </x:c>
      <x:c r="AN46" s="11" t="n">
        <x:f>ROUND(RAW_OS!$E$49,0)</x:f>
        <x:v>797</x:v>
      </x:c>
      <x:c r="AO46" s="11" t="n">
        <x:f>ROUND(RAW_OS!$F$49,0)</x:f>
        <x:v>2040</x:v>
      </x:c>
      <x:c r="AP46" s="11" t="n">
        <x:f>ROUND(RAW_OS!$G$49,0)</x:f>
        <x:v>1659</x:v>
      </x:c>
    </x:row>
    <x:row r="47">
      <x:c r="A47" s="9" t="inlineStr">
        <x:is>
          <x:t xml:space="preserve">500 x 806 cm</x:t>
        </x:is>
      </x:c>
      <x:c r="B47" s="9" t="inlineStr">
        <x:is>
          <x:t xml:space="preserve">PRO+</x:t>
        </x:is>
      </x:c>
      <x:c r="C47" s="11" t="n">
        <x:f>ROUND(RAW_ZP!$B$50,0)</x:f>
        <x:v>19240</x:v>
      </x:c>
      <x:c r="D47" s="11" t="n">
        <x:f>ROUND(RAW_ZP!$C$50,0)</x:f>
        <x:v>15642</x:v>
      </x:c>
      <x:c r="E47" s="11" t="n">
        <x:f>ROUND(RAW_ZP!$D$50,0)</x:f>
        <x:v>830</x:v>
      </x:c>
      <x:c r="F47" s="11" t="n">
        <x:f>ROUND(RAW_ZP!$E$50,0)</x:f>
        <x:v>675</x:v>
      </x:c>
      <x:c r="G47" s="11" t="n">
        <x:f>ROUND(RAW_ZP!$H$50,0)</x:f>
        <x:v>9340</x:v>
      </x:c>
      <x:c r="H47" s="11" t="n">
        <x:f>ROUND(RAW_ZP!$I$50,0)</x:f>
        <x:v>7593</x:v>
      </x:c>
      <x:c r="I47" s="11" t="n">
        <x:f>ROUND(RAW_ZP!$J$50,0)</x:f>
        <x:v>3700</x:v>
      </x:c>
      <x:c r="J47" s="11" t="n">
        <x:f>ROUND(RAW_ZP!$K$50,0)</x:f>
        <x:v>3008</x:v>
      </x:c>
      <x:c r="K47" s="11" t="n">
        <x:f>ROUND(RAW_ZP!$N$50,0)</x:f>
        <x:v>5280</x:v>
      </x:c>
      <x:c r="L47" s="11" t="n">
        <x:f>ROUND(RAW_ZP!$O$50,0)</x:f>
        <x:v>4293</x:v>
      </x:c>
      <x:c r="M47" s="11" t="n">
        <x:f>ROUND(RAW_ZP!$P$50,0)</x:f>
        <x:v>960</x:v>
      </x:c>
      <x:c r="N47" s="11" t="n">
        <x:f>ROUND(RAW_ZP!$Q$50,0)</x:f>
        <x:v>780</x:v>
      </x:c>
      <x:c r="O47" s="11" t="n">
        <x:f>ROUND(RAW_ZP!$R$50,0)</x:f>
        <x:v>1440</x:v>
      </x:c>
      <x:c r="P47" s="11" t="n">
        <x:f>ROUND(RAW_ZP!$S$50,0)</x:f>
        <x:v>1171</x:v>
      </x:c>
      <x:c r="Q47" s="732" t="n">
        <x:v>2958</x:v>
      </x:c>
      <x:c r="R47" s="732" t="n">
        <x:v>2405</x:v>
      </x:c>
      <x:c r="S47" s="732" t="n">
        <x:v>4002</x:v>
      </x:c>
      <x:c r="T47" s="732" t="n">
        <x:v>3254</x:v>
      </x:c>
      <x:c r="U47" s="11" t="n">
        <x:f>ROUND(RAW_ZS!$B$50,0)</x:f>
        <x:v>30700</x:v>
      </x:c>
      <x:c r="V47" s="11" t="n">
        <x:f>ROUND(RAW_ZS!$C$50,0)</x:f>
        <x:v>24959</x:v>
      </x:c>
      <x:c r="W47" s="11" t="n">
        <x:f>ROUND(RAW_ZS!$D$50,0)</x:f>
        <x:v>1120</x:v>
      </x:c>
      <x:c r="X47" s="11" t="n">
        <x:f>ROUND(RAW_ZS!$E$50,0)</x:f>
        <x:v>911</x:v>
      </x:c>
      <x:c r="Y47" s="11" t="n">
        <x:f>ROUND(RAW_OP!$B$50,0)</x:f>
        <x:v>38530</x:v>
      </x:c>
      <x:c r="Z47" s="11" t="n">
        <x:f>ROUND(RAW_OP!$C$50,0)</x:f>
        <x:v>31325</x:v>
      </x:c>
      <x:c r="AA47" s="11" t="n">
        <x:f>ROUND(RAW_OP!$H$50,0)</x:f>
        <x:v>2160</x:v>
      </x:c>
      <x:c r="AB47" s="11" t="n">
        <x:f>ROUND(RAW_OP!$I$50,0)</x:f>
        <x:v>1756</x:v>
      </x:c>
      <x:c r="AC47" s="11" t="n">
        <x:f>ROUND(RAW_OP!$L$50,0)</x:f>
        <x:v>690</x:v>
      </x:c>
      <x:c r="AD47" s="11" t="n">
        <x:f>ROUND(RAW_OP!$M$50,0)</x:f>
        <x:v>561</x:v>
      </x:c>
      <x:c r="AE47" s="11" t="n">
        <x:f>ROUND(RAW_OP!$N$50,0)</x:f>
        <x:v>620</x:v>
      </x:c>
      <x:c r="AF47" s="11" t="n">
        <x:f>ROUND(RAW_OP!$O$50,0)</x:f>
        <x:v>504</x:v>
      </x:c>
      <x:c r="AG47" s="11" t="n">
        <x:f>ROUND(RAW_OP!$AB$50,0)</x:f>
        <x:v>1610</x:v>
      </x:c>
      <x:c r="AH47" s="11" t="n">
        <x:f>ROUND(RAW_OP!$AC$50,0)</x:f>
        <x:v>1309</x:v>
      </x:c>
      <x:c r="AI47" s="11" t="n">
        <x:f>ROUND(RAW_OP!$AD$50,0)</x:f>
        <x:v>560</x:v>
      </x:c>
      <x:c r="AJ47" s="11" t="n">
        <x:f>ROUND(RAW_OP!$AE$50,0)</x:f>
        <x:v>455</x:v>
      </x:c>
      <x:c r="AK47" s="11" t="n">
        <x:f>ROUND(RAW_OS!$B$50,0)</x:f>
        <x:v>49990</x:v>
      </x:c>
      <x:c r="AL47" s="11" t="n">
        <x:f>ROUND(RAW_OS!$C$50,0)</x:f>
        <x:v>40642</x:v>
      </x:c>
      <x:c r="AM47" s="11" t="n">
        <x:f>ROUND(RAW_OS!$D$50,0)</x:f>
        <x:v>1120</x:v>
      </x:c>
      <x:c r="AN47" s="11" t="n">
        <x:f>ROUND(RAW_OS!$E$50,0)</x:f>
        <x:v>911</x:v>
      </x:c>
      <x:c r="AO47" s="11" t="n">
        <x:f>ROUND(RAW_OS!$F$50,0)</x:f>
        <x:v>2160</x:v>
      </x:c>
      <x:c r="AP47" s="11" t="n">
        <x:f>ROUND(RAW_OS!$G$50,0)</x:f>
        <x:v>1756</x:v>
      </x:c>
    </x:row>
    <x:row r="48">
      <x:c r="A48" s="9" t="inlineStr">
        <x:is>
          <x:t xml:space="preserve">500 x 906 cm</x:t>
        </x:is>
      </x:c>
      <x:c r="B48" s="9" t="inlineStr">
        <x:is>
          <x:t xml:space="preserve">PRO+</x:t>
        </x:is>
      </x:c>
      <x:c r="C48" s="11" t="n">
        <x:f>ROUND(RAW_ZP!$B$51,0)</x:f>
        <x:v>21740</x:v>
      </x:c>
      <x:c r="D48" s="11" t="n">
        <x:f>ROUND(RAW_ZP!$C$51,0)</x:f>
        <x:v>17675</x:v>
      </x:c>
      <x:c r="E48" s="11" t="n">
        <x:f>ROUND(RAW_ZP!$D$51,0)</x:f>
        <x:v>940</x:v>
      </x:c>
      <x:c r="F48" s="11" t="n">
        <x:f>ROUND(RAW_ZP!$E$51,0)</x:f>
        <x:v>764</x:v>
      </x:c>
      <x:c r="G48" s="11" t="n">
        <x:f>ROUND(RAW_ZP!$H$51,0)</x:f>
        <x:v>10090</x:v>
      </x:c>
      <x:c r="H48" s="11" t="n">
        <x:f>ROUND(RAW_ZP!$I$51,0)</x:f>
        <x:v>8203</x:v>
      </x:c>
      <x:c r="I48" s="11" t="n">
        <x:f>ROUND(RAW_ZP!$J$51,0)</x:f>
        <x:v>3700</x:v>
      </x:c>
      <x:c r="J48" s="11" t="n">
        <x:f>ROUND(RAW_ZP!$K$51,0)</x:f>
        <x:v>3008</x:v>
      </x:c>
      <x:c r="K48" s="11" t="n">
        <x:f>ROUND(RAW_ZP!$N$51,0)</x:f>
        <x:v>6400</x:v>
      </x:c>
      <x:c r="L48" s="11" t="n">
        <x:f>ROUND(RAW_ZP!$O$51,0)</x:f>
        <x:v>5203</x:v>
      </x:c>
      <x:c r="M48" s="11" t="n">
        <x:f>ROUND(RAW_ZP!$P$51,0)</x:f>
        <x:v>1040</x:v>
      </x:c>
      <x:c r="N48" s="11" t="n">
        <x:f>ROUND(RAW_ZP!$Q$51,0)</x:f>
        <x:v>846</x:v>
      </x:c>
      <x:c r="O48" s="11" t="n">
        <x:f>ROUND(RAW_ZP!$R$51,0)</x:f>
        <x:v>1560</x:v>
      </x:c>
      <x:c r="P48" s="11" t="n">
        <x:f>ROUND(RAW_ZP!$S$51,0)</x:f>
        <x:v>1268</x:v>
      </x:c>
      <x:c r="Q48" s="732" t="n">
        <x:v>3215</x:v>
      </x:c>
      <x:c r="R48" s="732" t="n">
        <x:v>2614</x:v>
      </x:c>
      <x:c r="S48" s="732" t="n">
        <x:v>4445</x:v>
      </x:c>
      <x:c r="T48" s="732" t="n">
        <x:v>3614</x:v>
      </x:c>
      <x:c r="U48" s="11" t="n">
        <x:f>ROUND(RAW_ZS!$B$51,0)</x:f>
        <x:v>34750</x:v>
      </x:c>
      <x:c r="V48" s="11" t="n">
        <x:f>ROUND(RAW_ZS!$C$51,0)</x:f>
        <x:v>28252</x:v>
      </x:c>
      <x:c r="W48" s="11" t="n">
        <x:f>ROUND(RAW_ZS!$D$51,0)</x:f>
        <x:v>1260</x:v>
      </x:c>
      <x:c r="X48" s="11" t="n">
        <x:f>ROUND(RAW_ZS!$E$51,0)</x:f>
        <x:v>1024</x:v>
      </x:c>
      <x:c r="Y48" s="11" t="n">
        <x:f>ROUND(RAW_OP!$B$51,0)</x:f>
        <x:v>42120</x:v>
      </x:c>
      <x:c r="Z48" s="11" t="n">
        <x:f>ROUND(RAW_OP!$C$51,0)</x:f>
        <x:v>34244</x:v>
      </x:c>
      <x:c r="AA48" s="11" t="n">
        <x:f>ROUND(RAW_OP!$H$51,0)</x:f>
        <x:v>2280</x:v>
      </x:c>
      <x:c r="AB48" s="11" t="n">
        <x:f>ROUND(RAW_OP!$I$51,0)</x:f>
        <x:v>1854</x:v>
      </x:c>
      <x:c r="AC48" s="11" t="n">
        <x:f>ROUND(RAW_OP!$L$51,0)</x:f>
        <x:v>720</x:v>
      </x:c>
      <x:c r="AD48" s="11" t="n">
        <x:f>ROUND(RAW_OP!$M$51,0)</x:f>
        <x:v>585</x:v>
      </x:c>
      <x:c r="AE48" s="11" t="n">
        <x:f>ROUND(RAW_OP!$N$51,0)</x:f>
        <x:v>650</x:v>
      </x:c>
      <x:c r="AF48" s="11" t="n">
        <x:f>ROUND(RAW_OP!$O$51,0)</x:f>
        <x:v>528</x:v>
      </x:c>
      <x:c r="AG48" s="11" t="n">
        <x:f>ROUND(RAW_OP!$AB$51,0)</x:f>
        <x:v>1750</x:v>
      </x:c>
      <x:c r="AH48" s="11" t="n">
        <x:f>ROUND(RAW_OP!$AC$51,0)</x:f>
        <x:v>1423</x:v>
      </x:c>
      <x:c r="AI48" s="11" t="n">
        <x:f>ROUND(RAW_OP!$AD$51,0)</x:f>
        <x:v>560</x:v>
      </x:c>
      <x:c r="AJ48" s="11" t="n">
        <x:f>ROUND(RAW_OP!$AE$51,0)</x:f>
        <x:v>455</x:v>
      </x:c>
      <x:c r="AK48" s="11" t="n">
        <x:f>ROUND(RAW_OS!$B$51,0)</x:f>
        <x:v>55130</x:v>
      </x:c>
      <x:c r="AL48" s="11" t="n">
        <x:f>ROUND(RAW_OS!$C$51,0)</x:f>
        <x:v>44821</x:v>
      </x:c>
      <x:c r="AM48" s="11" t="n">
        <x:f>ROUND(RAW_OS!$D$51,0)</x:f>
        <x:v>1260</x:v>
      </x:c>
      <x:c r="AN48" s="11" t="n">
        <x:f>ROUND(RAW_OS!$E$51,0)</x:f>
        <x:v>1024</x:v>
      </x:c>
      <x:c r="AO48" s="11" t="n">
        <x:f>ROUND(RAW_OS!$F$51,0)</x:f>
        <x:v>2280</x:v>
      </x:c>
      <x:c r="AP48" s="11" t="n">
        <x:f>ROUND(RAW_OS!$G$51,0)</x:f>
        <x:v>1854</x:v>
      </x:c>
    </x:row>
    <x:row r="49">
      <x:c r="A49" s="9" t="inlineStr">
        <x:is>
          <x:t xml:space="preserve">500 x 1006 cm</x:t>
        </x:is>
      </x:c>
      <x:c r="B49" s="9" t="inlineStr">
        <x:is>
          <x:t xml:space="preserve">PRO+</x:t>
        </x:is>
      </x:c>
      <x:c r="C49" s="11" t="n">
        <x:f>ROUND(RAW_ZP!$B$52,0)</x:f>
        <x:v>23750</x:v>
      </x:c>
      <x:c r="D49" s="11" t="n">
        <x:f>ROUND(RAW_ZP!$C$52,0)</x:f>
        <x:v>19309</x:v>
      </x:c>
      <x:c r="E49" s="11" t="n">
        <x:f>ROUND(RAW_ZP!$D$52,0)</x:f>
        <x:v>1040</x:v>
      </x:c>
      <x:c r="F49" s="11" t="n">
        <x:f>ROUND(RAW_ZP!$E$52,0)</x:f>
        <x:v>846</x:v>
      </x:c>
      <x:c r="G49" s="11" t="n">
        <x:f>ROUND(RAW_ZP!$H$52,0)</x:f>
        <x:v>10830</x:v>
      </x:c>
      <x:c r="H49" s="11" t="n">
        <x:f>ROUND(RAW_ZP!$I$52,0)</x:f>
        <x:v>8805</x:v>
      </x:c>
      <x:c r="I49" s="11" t="n">
        <x:f>ROUND(RAW_ZP!$J$52,0)</x:f>
        <x:v>3700</x:v>
      </x:c>
      <x:c r="J49" s="11" t="n">
        <x:f>ROUND(RAW_ZP!$K$52,0)</x:f>
        <x:v>3008</x:v>
      </x:c>
      <x:c r="K49" s="11" t="n">
        <x:f>ROUND(RAW_ZP!$N$52,0)</x:f>
        <x:v>6910</x:v>
      </x:c>
      <x:c r="L49" s="11" t="n">
        <x:f>ROUND(RAW_ZP!$O$52,0)</x:f>
        <x:v>5618</x:v>
      </x:c>
      <x:c r="M49" s="11" t="n">
        <x:f>ROUND(RAW_ZP!$P$52,0)</x:f>
        <x:v>1230</x:v>
      </x:c>
      <x:c r="N49" s="11" t="n">
        <x:f>ROUND(RAW_ZP!$Q$52,0)</x:f>
        <x:v>1000</x:v>
      </x:c>
      <x:c r="O49" s="11" t="n">
        <x:f>ROUND(RAW_ZP!$R$52,0)</x:f>
        <x:v>1650</x:v>
      </x:c>
      <x:c r="P49" s="11" t="n">
        <x:f>ROUND(RAW_ZP!$S$52,0)</x:f>
        <x:v>1341</x:v>
      </x:c>
      <x:c r="Q49" s="732" t="n">
        <x:v>3301</x:v>
      </x:c>
      <x:c r="R49" s="732" t="n">
        <x:v>2684</x:v>
      </x:c>
      <x:c r="S49" s="732" t="n">
        <x:v>4900</x:v>
      </x:c>
      <x:c r="T49" s="732" t="n">
        <x:v>3984</x:v>
      </x:c>
      <x:c r="U49" s="11" t="n">
        <x:f>ROUND(RAW_ZS!$B$52,0)</x:f>
        <x:v>38290</x:v>
      </x:c>
      <x:c r="V49" s="11" t="n">
        <x:f>ROUND(RAW_ZS!$C$52,0)</x:f>
        <x:v>31130</x:v>
      </x:c>
      <x:c r="W49" s="11" t="n">
        <x:f>ROUND(RAW_ZS!$D$52,0)</x:f>
        <x:v>1400</x:v>
      </x:c>
      <x:c r="X49" s="11" t="n">
        <x:f>ROUND(RAW_ZS!$E$52,0)</x:f>
        <x:v>1138</x:v>
      </x:c>
      <x:c r="Y49" s="11" t="n">
        <x:f>ROUND(RAW_OP!$B$52,0)</x:f>
        <x:v>45250</x:v>
      </x:c>
      <x:c r="Z49" s="11" t="n">
        <x:f>ROUND(RAW_OP!$C$52,0)</x:f>
        <x:v>36789</x:v>
      </x:c>
      <x:c r="AA49" s="11" t="n">
        <x:f>ROUND(RAW_OP!$H$52,0)</x:f>
        <x:v>2400</x:v>
      </x:c>
      <x:c r="AB49" s="11" t="n">
        <x:f>ROUND(RAW_OP!$I$52,0)</x:f>
        <x:v>1951</x:v>
      </x:c>
      <x:c r="AC49" s="11" t="n">
        <x:f>ROUND(RAW_OP!$L$52,0)</x:f>
        <x:v>760</x:v>
      </x:c>
      <x:c r="AD49" s="11" t="n">
        <x:f>ROUND(RAW_OP!$M$52,0)</x:f>
        <x:v>618</x:v>
      </x:c>
      <x:c r="AE49" s="11" t="n">
        <x:f>ROUND(RAW_OP!$N$52,0)</x:f>
        <x:v>690</x:v>
      </x:c>
      <x:c r="AF49" s="11" t="n">
        <x:f>ROUND(RAW_OP!$O$52,0)</x:f>
        <x:v>561</x:v>
      </x:c>
      <x:c r="AG49" s="11" t="n">
        <x:f>ROUND(RAW_OP!$AB$52,0)</x:f>
        <x:v>1880</x:v>
      </x:c>
      <x:c r="AH49" s="11" t="n">
        <x:f>ROUND(RAW_OP!$AC$52,0)</x:f>
        <x:v>1528</x:v>
      </x:c>
      <x:c r="AI49" s="11" t="n">
        <x:f>ROUND(RAW_OP!$AD$52,0)</x:f>
        <x:v>600</x:v>
      </x:c>
      <x:c r="AJ49" s="11" t="n">
        <x:f>ROUND(RAW_OP!$AE$52,0)</x:f>
        <x:v>488</x:v>
      </x:c>
      <x:c r="AK49" s="11" t="n">
        <x:f>ROUND(RAW_OS!$B$52,0)</x:f>
        <x:v>59790</x:v>
      </x:c>
      <x:c r="AL49" s="11" t="n">
        <x:f>ROUND(RAW_OS!$C$52,0)</x:f>
        <x:v>48610</x:v>
      </x:c>
      <x:c r="AM49" s="11" t="n">
        <x:f>ROUND(RAW_OS!$D$52,0)</x:f>
        <x:v>1400</x:v>
      </x:c>
      <x:c r="AN49" s="11" t="n">
        <x:f>ROUND(RAW_OS!$E$52,0)</x:f>
        <x:v>1138</x:v>
      </x:c>
      <x:c r="AO49" s="11" t="n">
        <x:f>ROUND(RAW_OS!$F$52,0)</x:f>
        <x:v>2400</x:v>
      </x:c>
      <x:c r="AP49" s="11" t="n">
        <x:f>ROUND(RAW_OS!$G$52,0)</x:f>
        <x:v>1951</x:v>
      </x:c>
    </x:row>
    <x:row r="50">
      <x:c r="A50" s="9" t="inlineStr">
        <x:is>
          <x:t xml:space="preserve">500 x 1106 cm</x:t>
        </x:is>
      </x:c>
      <x:c r="B50" s="9" t="inlineStr">
        <x:is>
          <x:t xml:space="preserve">PRO+</x:t>
        </x:is>
      </x:c>
      <x:c r="C50" s="11" t="n">
        <x:f>ROUND(RAW_ZP!$B$53,0)</x:f>
        <x:v>26690</x:v>
      </x:c>
      <x:c r="D50" s="11" t="n">
        <x:f>ROUND(RAW_ZP!$C$53,0)</x:f>
        <x:v>21699</x:v>
      </x:c>
      <x:c r="E50" s="11" t="n">
        <x:f>ROUND(RAW_ZP!$D$53,0)</x:f>
        <x:v>1140</x:v>
      </x:c>
      <x:c r="F50" s="11" t="n">
        <x:f>ROUND(RAW_ZP!$E$53,0)</x:f>
        <x:v>927</x:v>
      </x:c>
      <x:c r="G50" s="11" t="n">
        <x:f>ROUND(RAW_ZP!$H$53,0)</x:f>
        <x:v>13420</x:v>
      </x:c>
      <x:c r="H50" s="11" t="n">
        <x:f>ROUND(RAW_ZP!$I$53,0)</x:f>
        <x:v>10911</x:v>
      </x:c>
      <x:c r="I50" s="11" t="n">
        <x:f>ROUND(RAW_ZP!$J$53,0)</x:f>
        <x:v>3700</x:v>
      </x:c>
      <x:c r="J50" s="11" t="n">
        <x:f>ROUND(RAW_ZP!$K$53,0)</x:f>
        <x:v>3008</x:v>
      </x:c>
      <x:c r="K50" s="11" t="n">
        <x:f>ROUND(RAW_ZP!$N$53,0)</x:f>
        <x:v>7420</x:v>
      </x:c>
      <x:c r="L50" s="11" t="n">
        <x:f>ROUND(RAW_ZP!$O$53,0)</x:f>
        <x:v>6033</x:v>
      </x:c>
      <x:c r="M50" s="11" t="n">
        <x:f>ROUND(RAW_ZP!$P$53,0)</x:f>
        <x:v>1430</x:v>
      </x:c>
      <x:c r="N50" s="11" t="n">
        <x:f>ROUND(RAW_ZP!$Q$53,0)</x:f>
        <x:v>1163</x:v>
      </x:c>
      <x:c r="O50" s="11" t="n">
        <x:f>ROUND(RAW_ZP!$R$53,0)</x:f>
        <x:v>1770</x:v>
      </x:c>
      <x:c r="P50" s="11" t="n">
        <x:f>ROUND(RAW_ZP!$S$53,0)</x:f>
        <x:v>1439</x:v>
      </x:c>
      <x:c r="Q50" s="732" t="n">
        <x:v>3584</x:v>
      </x:c>
      <x:c r="R50" s="732" t="n">
        <x:v>2914</x:v>
      </x:c>
      <x:c r="S50" s="732" t="n">
        <x:v>5343</x:v>
      </x:c>
      <x:c r="T50" s="732" t="n">
        <x:v>4344</x:v>
      </x:c>
      <x:c r="U50" s="11" t="n">
        <x:f>ROUND(RAW_ZS!$B$53,0)</x:f>
        <x:v>42770</x:v>
      </x:c>
      <x:c r="V50" s="11" t="n">
        <x:f>ROUND(RAW_ZS!$C$53,0)</x:f>
        <x:v>34772</x:v>
      </x:c>
      <x:c r="W50" s="11" t="n">
        <x:f>ROUND(RAW_ZS!$D$53,0)</x:f>
        <x:v>1540</x:v>
      </x:c>
      <x:c r="X50" s="11" t="n">
        <x:f>ROUND(RAW_ZS!$E$53,0)</x:f>
        <x:v>1252</x:v>
      </x:c>
      <x:c r="Y50" s="11" t="n">
        <x:f>ROUND(RAW_OP!$B$53,0)</x:f>
        <x:v>49320</x:v>
      </x:c>
      <x:c r="Z50" s="11" t="n">
        <x:f>ROUND(RAW_OP!$C$53,0)</x:f>
        <x:v>40098</x:v>
      </x:c>
      <x:c r="AA50" s="11" t="n">
        <x:f>ROUND(RAW_OP!$H$53,0)</x:f>
        <x:v>2520</x:v>
      </x:c>
      <x:c r="AB50" s="11" t="n">
        <x:f>ROUND(RAW_OP!$I$53,0)</x:f>
        <x:v>2049</x:v>
      </x:c>
      <x:c r="AC50" s="11" t="n">
        <x:f>ROUND(RAW_OP!$L$53,0)</x:f>
        <x:v>800</x:v>
      </x:c>
      <x:c r="AD50" s="11" t="n">
        <x:f>ROUND(RAW_OP!$M$53,0)</x:f>
        <x:v>650</x:v>
      </x:c>
      <x:c r="AE50" s="11" t="n">
        <x:f>ROUND(RAW_OP!$N$53,0)</x:f>
        <x:v>720</x:v>
      </x:c>
      <x:c r="AF50" s="11" t="n">
        <x:f>ROUND(RAW_OP!$O$53,0)</x:f>
        <x:v>585</x:v>
      </x:c>
      <x:c r="AG50" s="11" t="n">
        <x:f>ROUND(RAW_OP!$AB$53,0)</x:f>
        <x:v>2170</x:v>
      </x:c>
      <x:c r="AH50" s="11" t="n">
        <x:f>ROUND(RAW_OP!$AC$53,0)</x:f>
        <x:v>1764</x:v>
      </x:c>
      <x:c r="AI50" s="11" t="n">
        <x:f>ROUND(RAW_OP!$AD$53,0)</x:f>
        <x:v>640</x:v>
      </x:c>
      <x:c r="AJ50" s="11" t="n">
        <x:f>ROUND(RAW_OP!$AE$53,0)</x:f>
        <x:v>520</x:v>
      </x:c>
      <x:c r="AK50" s="11" t="n">
        <x:f>ROUND(RAW_OS!$B$53,0)</x:f>
        <x:v>66950</x:v>
      </x:c>
      <x:c r="AL50" s="11" t="n">
        <x:f>ROUND(RAW_OS!$C$53,0)</x:f>
        <x:v>54431</x:v>
      </x:c>
      <x:c r="AM50" s="11" t="n">
        <x:f>ROUND(RAW_OS!$D$53,0)</x:f>
        <x:v>1540</x:v>
      </x:c>
      <x:c r="AN50" s="11" t="n">
        <x:f>ROUND(RAW_OS!$E$53,0)</x:f>
        <x:v>1252</x:v>
      </x:c>
      <x:c r="AO50" s="11" t="n">
        <x:f>ROUND(RAW_OS!$F$53,0)</x:f>
        <x:v>2520</x:v>
      </x:c>
      <x:c r="AP50" s="11" t="n">
        <x:f>ROUND(RAW_OS!$G$53,0)</x:f>
        <x:v>2049</x:v>
      </x:c>
    </x:row>
    <x:row r="51">
      <x:c r="A51" s="9" t="inlineStr">
        <x:is>
          <x:t xml:space="preserve">500 x 1206 cm</x:t>
        </x:is>
      </x:c>
      <x:c r="B51" s="9" t="inlineStr">
        <x:is>
          <x:t xml:space="preserve">PRO+</x:t>
        </x:is>
      </x:c>
      <x:c r="C51" s="11" t="n">
        <x:f>ROUND(RAW_ZP!$B$54,0)</x:f>
        <x:v>28690</x:v>
      </x:c>
      <x:c r="D51" s="11" t="n">
        <x:f>ROUND(RAW_ZP!$C$54,0)</x:f>
        <x:v>23325</x:v>
      </x:c>
      <x:c r="E51" s="11" t="n">
        <x:f>ROUND(RAW_ZP!$D$54,0)</x:f>
        <x:v>1250</x:v>
      </x:c>
      <x:c r="F51" s="11" t="n">
        <x:f>ROUND(RAW_ZP!$E$54,0)</x:f>
        <x:v>1016</x:v>
      </x:c>
      <x:c r="G51" s="11" t="n">
        <x:f>ROUND(RAW_ZP!$H$54,0)</x:f>
        <x:v>14010</x:v>
      </x:c>
      <x:c r="H51" s="11" t="n">
        <x:f>ROUND(RAW_ZP!$I$54,0)</x:f>
        <x:v>11390</x:v>
      </x:c>
      <x:c r="I51" s="11" t="n">
        <x:f>ROUND(RAW_ZP!$J$54,0)</x:f>
        <x:v>3700</x:v>
      </x:c>
      <x:c r="J51" s="11" t="n">
        <x:f>ROUND(RAW_ZP!$K$54,0)</x:f>
        <x:v>3008</x:v>
      </x:c>
      <x:c r="K51" s="11" t="n">
        <x:f>ROUND(RAW_ZP!$N$54,0)</x:f>
        <x:v>7920</x:v>
      </x:c>
      <x:c r="L51" s="11" t="n">
        <x:f>ROUND(RAW_ZP!$O$54,0)</x:f>
        <x:v>6439</x:v>
      </x:c>
      <x:c r="M51" s="11" t="n">
        <x:f>ROUND(RAW_ZP!$P$54,0)</x:f>
        <x:v>1510</x:v>
      </x:c>
      <x:c r="N51" s="11" t="n">
        <x:f>ROUND(RAW_ZP!$Q$54,0)</x:f>
        <x:v>1228</x:v>
      </x:c>
      <x:c r="O51" s="11" t="n">
        <x:f>ROUND(RAW_ZP!$R$54,0)</x:f>
        <x:v>1900</x:v>
      </x:c>
      <x:c r="P51" s="11" t="n">
        <x:f>ROUND(RAW_ZP!$S$54,0)</x:f>
        <x:v>1545</x:v>
      </x:c>
      <x:c r="Q51" s="732" t="n">
        <x:v>3854</x:v>
      </x:c>
      <x:c r="R51" s="732" t="n">
        <x:v>3133</x:v>
      </x:c>
      <x:c r="S51" s="732" t="n">
        <x:v>5786</x:v>
      </x:c>
      <x:c r="T51" s="732" t="n">
        <x:v>4704</x:v>
      </x:c>
      <x:c r="U51" s="11" t="n">
        <x:f>ROUND(RAW_ZS!$B$54,0)</x:f>
        <x:v>46310</x:v>
      </x:c>
      <x:c r="V51" s="11" t="n">
        <x:f>ROUND(RAW_ZS!$C$54,0)</x:f>
        <x:v>37650</x:v>
      </x:c>
      <x:c r="W51" s="11" t="n">
        <x:f>ROUND(RAW_ZS!$D$54,0)</x:f>
        <x:v>1680</x:v>
      </x:c>
      <x:c r="X51" s="11" t="n">
        <x:f>ROUND(RAW_ZS!$E$54,0)</x:f>
        <x:v>1366</x:v>
      </x:c>
      <x:c r="Y51" s="11" t="n">
        <x:f>ROUND(RAW_OP!$B$54,0)</x:f>
        <x:v>52510</x:v>
      </x:c>
      <x:c r="Z51" s="11" t="n">
        <x:f>ROUND(RAW_OP!$C$54,0)</x:f>
        <x:v>42691</x:v>
      </x:c>
      <x:c r="AA51" s="11" t="n">
        <x:f>ROUND(RAW_OP!$H$54,0)</x:f>
        <x:v>2640</x:v>
      </x:c>
      <x:c r="AB51" s="11" t="n">
        <x:f>ROUND(RAW_OP!$I$54,0)</x:f>
        <x:v>2146</x:v>
      </x:c>
      <x:c r="AC51" s="11" t="n">
        <x:f>ROUND(RAW_OP!$L$54,0)</x:f>
        <x:v>840</x:v>
      </x:c>
      <x:c r="AD51" s="11" t="n">
        <x:f>ROUND(RAW_OP!$M$54,0)</x:f>
        <x:v>683</x:v>
      </x:c>
      <x:c r="AE51" s="11" t="n">
        <x:f>ROUND(RAW_OP!$N$54,0)</x:f>
        <x:v>760</x:v>
      </x:c>
      <x:c r="AF51" s="11" t="n">
        <x:f>ROUND(RAW_OP!$O$54,0)</x:f>
        <x:v>618</x:v>
      </x:c>
      <x:c r="AG51" s="11" t="n">
        <x:f>ROUND(RAW_OP!$AB$54,0)</x:f>
        <x:v>2460</x:v>
      </x:c>
      <x:c r="AH51" s="11" t="n">
        <x:f>ROUND(RAW_OP!$AC$54,0)</x:f>
        <x:v>2000</x:v>
      </x:c>
      <x:c r="AI51" s="11" t="n">
        <x:f>ROUND(RAW_OP!$AD$54,0)</x:f>
        <x:v>680</x:v>
      </x:c>
      <x:c r="AJ51" s="11" t="n">
        <x:f>ROUND(RAW_OP!$AE$54,0)</x:f>
        <x:v>553</x:v>
      </x:c>
      <x:c r="AK51" s="11" t="n">
        <x:f>ROUND(RAW_OS!$B$54,0)</x:f>
        <x:v>70130</x:v>
      </x:c>
      <x:c r="AL51" s="11" t="n">
        <x:f>ROUND(RAW_OS!$C$54,0)</x:f>
        <x:v>57016</x:v>
      </x:c>
      <x:c r="AM51" s="11" t="n">
        <x:f>ROUND(RAW_OS!$D$54,0)</x:f>
        <x:v>1680</x:v>
      </x:c>
      <x:c r="AN51" s="11" t="n">
        <x:f>ROUND(RAW_OS!$E$54,0)</x:f>
        <x:v>1366</x:v>
      </x:c>
      <x:c r="AO51" s="11" t="n">
        <x:f>ROUND(RAW_OS!$F$54,0)</x:f>
        <x:v>2640</x:v>
      </x:c>
      <x:c r="AP51" s="11" t="n">
        <x:f>ROUND(RAW_OS!$G$54,0)</x:f>
        <x:v>2146</x:v>
      </x:c>
    </x:row>
    <x:row r="52">
      <x:c r="A52" s="9" t="inlineStr">
        <x:is>
          <x:t xml:space="preserve">550 x 306 cm</x:t>
        </x:is>
      </x:c>
      <x:c r="B52" s="9" t="inlineStr">
        <x:is>
          <x:t xml:space="preserve">PRO+</x:t>
        </x:is>
      </x:c>
      <x:c r="C52" s="11" t="n">
        <x:f>ROUND(RAW_ZP!$B$55,0)</x:f>
        <x:v>9960</x:v>
      </x:c>
      <x:c r="D52" s="11" t="n">
        <x:f>ROUND(RAW_ZP!$C$55,0)</x:f>
        <x:v>8098</x:v>
      </x:c>
      <x:c r="E52" s="11" t="n">
        <x:f>ROUND(RAW_ZP!$D$55,0)</x:f>
        <x:v>290</x:v>
      </x:c>
      <x:c r="F52" s="11" t="n">
        <x:f>ROUND(RAW_ZP!$E$55,0)</x:f>
        <x:v>236</x:v>
      </x:c>
      <x:c r="G52" s="11" t="n">
        <x:f>ROUND(RAW_ZP!$H$55,0)</x:f>
        <x:v>4180</x:v>
      </x:c>
      <x:c r="H52" s="11" t="n">
        <x:f>ROUND(RAW_ZP!$I$55,0)</x:f>
        <x:v>3398</x:v>
      </x:c>
      <x:c r="I52" s="11" t="n">
        <x:f>ROUND(RAW_ZP!$J$55,0)</x:f>
        <x:v>3980</x:v>
      </x:c>
      <x:c r="J52" s="11" t="n">
        <x:f>ROUND(RAW_ZP!$K$55,0)</x:f>
        <x:v>3236</x:v>
      </x:c>
      <x:c r="K52" s="11" t="n">
        <x:f>ROUND(RAW_ZP!$N$55,0)</x:f>
        <x:v>2140</x:v>
      </x:c>
      <x:c r="L52" s="11" t="n">
        <x:f>ROUND(RAW_ZP!$O$55,0)</x:f>
        <x:v>1740</x:v>
      </x:c>
      <x:c r="M52" s="11" t="n">
        <x:f>ROUND(RAW_ZP!$P$55,0)</x:f>
        <x:v>420</x:v>
      </x:c>
      <x:c r="N52" s="11" t="n">
        <x:f>ROUND(RAW_ZP!$Q$55,0)</x:f>
        <x:v>341</x:v>
      </x:c>
      <x:c r="O52" s="11" t="n">
        <x:f>ROUND(RAW_ZP!$R$55,0)</x:f>
        <x:v>640</x:v>
      </x:c>
      <x:c r="P52" s="11" t="n">
        <x:f>ROUND(RAW_ZP!$S$55,0)</x:f>
        <x:v>520</x:v>
      </x:c>
      <x:c r="Q52" s="732" t="n">
        <x:v>1487</x:v>
      </x:c>
      <x:c r="R52" s="732" t="n">
        <x:v>1209</x:v>
      </x:c>
      <x:c r="S52" s="732" t="n">
        <x:v>1905</x:v>
      </x:c>
      <x:c r="T52" s="732" t="n">
        <x:v>1549</x:v>
      </x:c>
      <x:c r="U52" s="11" t="str">
        <x:f>""</x:f>
      </x:c>
      <x:c r="V52" s="11" t="str">
        <x:f>""</x:f>
      </x:c>
      <x:c r="W52" s="11" t="str">
        <x:f>""</x:f>
      </x:c>
      <x:c r="X52" s="11" t="str">
        <x:f>""</x:f>
      </x:c>
      <x:c r="Y52" s="11" t="n">
        <x:f>ROUND(RAW_OP!$B$55,0)</x:f>
        <x:v>27470</x:v>
      </x:c>
      <x:c r="Z52" s="11" t="n">
        <x:f>ROUND(RAW_OP!$C$55,0)</x:f>
        <x:v>22333</x:v>
      </x:c>
      <x:c r="AA52" s="11" t="n">
        <x:f>ROUND(RAW_OP!$H$55,0)</x:f>
        <x:v>1800</x:v>
      </x:c>
      <x:c r="AB52" s="11" t="n">
        <x:f>ROUND(RAW_OP!$I$55,0)</x:f>
        <x:v>1463</x:v>
      </x:c>
      <x:c r="AC52" s="11" t="n">
        <x:f>ROUND(RAW_OP!$L$55,0)</x:f>
        <x:v>500</x:v>
      </x:c>
      <x:c r="AD52" s="11" t="n">
        <x:f>ROUND(RAW_OP!$M$55,0)</x:f>
        <x:v>407</x:v>
      </x:c>
      <x:c r="AE52" s="11" t="n">
        <x:f>ROUND(RAW_OP!$N$55,0)</x:f>
        <x:v>450</x:v>
      </x:c>
      <x:c r="AF52" s="11" t="n">
        <x:f>ROUND(RAW_OP!$O$55,0)</x:f>
        <x:v>366</x:v>
      </x:c>
      <x:c r="AG52" s="11" t="n">
        <x:f>ROUND(RAW_OP!$AB$55,0)</x:f>
        <x:v>1160</x:v>
      </x:c>
      <x:c r="AH52" s="11" t="n">
        <x:f>ROUND(RAW_OP!$AC$55,0)</x:f>
        <x:v>943</x:v>
      </x:c>
      <x:c r="AI52" s="11" t="n">
        <x:f>ROUND(RAW_OP!$AD$55,0)</x:f>
        <x:v>480</x:v>
      </x:c>
      <x:c r="AJ52" s="11" t="n">
        <x:f>ROUND(RAW_OP!$AE$55,0)</x:f>
        <x:v>390</x:v>
      </x:c>
      <x:c r="AK52" s="11" t="str">
        <x:f>""</x:f>
      </x:c>
      <x:c r="AL52" s="11" t="str">
        <x:f>""</x:f>
      </x:c>
      <x:c r="AM52" s="11" t="str">
        <x:f>""</x:f>
      </x:c>
      <x:c r="AN52" s="11" t="str">
        <x:f>""</x:f>
      </x:c>
      <x:c r="AO52" s="11" t="str">
        <x:f>""</x:f>
      </x:c>
      <x:c r="AP52" s="11" t="str">
        <x:f>""</x:f>
      </x:c>
    </x:row>
    <x:row r="53">
      <x:c r="A53" s="9" t="inlineStr">
        <x:is>
          <x:t xml:space="preserve">550 x 406 cm</x:t>
        </x:is>
      </x:c>
      <x:c r="B53" s="9" t="inlineStr">
        <x:is>
          <x:t xml:space="preserve">PRO+</x:t>
        </x:is>
      </x:c>
      <x:c r="C53" s="11" t="n">
        <x:f>ROUND(RAW_ZP!$B$56,0)</x:f>
        <x:v>13050</x:v>
      </x:c>
      <x:c r="D53" s="11" t="n">
        <x:f>ROUND(RAW_ZP!$C$56,0)</x:f>
        <x:v>10610</x:v>
      </x:c>
      <x:c r="E53" s="11" t="n">
        <x:f>ROUND(RAW_ZP!$D$56,0)</x:f>
        <x:v>380</x:v>
      </x:c>
      <x:c r="F53" s="11" t="n">
        <x:f>ROUND(RAW_ZP!$E$56,0)</x:f>
        <x:v>309</x:v>
      </x:c>
      <x:c r="G53" s="11" t="n">
        <x:f>ROUND(RAW_ZP!$H$56,0)</x:f>
        <x:v>4780</x:v>
      </x:c>
      <x:c r="H53" s="11" t="n">
        <x:f>ROUND(RAW_ZP!$I$56,0)</x:f>
        <x:v>3886</x:v>
      </x:c>
      <x:c r="I53" s="11" t="n">
        <x:f>ROUND(RAW_ZP!$J$56,0)</x:f>
        <x:v>3980</x:v>
      </x:c>
      <x:c r="J53" s="11" t="n">
        <x:f>ROUND(RAW_ZP!$K$56,0)</x:f>
        <x:v>3236</x:v>
      </x:c>
      <x:c r="K53" s="11" t="n">
        <x:f>ROUND(RAW_ZP!$N$56,0)</x:f>
        <x:v>2640</x:v>
      </x:c>
      <x:c r="L53" s="11" t="n">
        <x:f>ROUND(RAW_ZP!$O$56,0)</x:f>
        <x:v>2146</x:v>
      </x:c>
      <x:c r="M53" s="11" t="n">
        <x:f>ROUND(RAW_ZP!$P$56,0)</x:f>
        <x:v>510</x:v>
      </x:c>
      <x:c r="N53" s="11" t="n">
        <x:f>ROUND(RAW_ZP!$Q$56,0)</x:f>
        <x:v>415</x:v>
      </x:c>
      <x:c r="O53" s="11" t="n">
        <x:f>ROUND(RAW_ZP!$R$56,0)</x:f>
        <x:v>740</x:v>
      </x:c>
      <x:c r="P53" s="11" t="n">
        <x:f>ROUND(RAW_ZP!$S$56,0)</x:f>
        <x:v>602</x:v>
      </x:c>
      <x:c r="Q53" s="732" t="n">
        <x:v>1800</x:v>
      </x:c>
      <x:c r="R53" s="732" t="n">
        <x:v>1463</x:v>
      </x:c>
      <x:c r="S53" s="732" t="n">
        <x:v>2361</x:v>
      </x:c>
      <x:c r="T53" s="732" t="n">
        <x:v>1920</x:v>
      </x:c>
      <x:c r="U53" s="11" t="str">
        <x:f>""</x:f>
      </x:c>
      <x:c r="V53" s="11" t="str">
        <x:f>""</x:f>
      </x:c>
      <x:c r="W53" s="11" t="str">
        <x:f>""</x:f>
      </x:c>
      <x:c r="X53" s="11" t="str">
        <x:f>""</x:f>
      </x:c>
      <x:c r="Y53" s="11" t="n">
        <x:f>ROUND(RAW_OP!$B$56,0)</x:f>
        <x:v>31380</x:v>
      </x:c>
      <x:c r="Z53" s="11" t="n">
        <x:f>ROUND(RAW_OP!$C$56,0)</x:f>
        <x:v>25512</x:v>
      </x:c>
      <x:c r="AA53" s="11" t="n">
        <x:f>ROUND(RAW_OP!$H$56,0)</x:f>
        <x:v>1920</x:v>
      </x:c>
      <x:c r="AB53" s="11" t="n">
        <x:f>ROUND(RAW_OP!$I$56,0)</x:f>
        <x:v>1561</x:v>
      </x:c>
      <x:c r="AC53" s="11" t="n">
        <x:f>ROUND(RAW_OP!$L$56,0)</x:f>
        <x:v>530</x:v>
      </x:c>
      <x:c r="AD53" s="11" t="n">
        <x:f>ROUND(RAW_OP!$M$56,0)</x:f>
        <x:v>431</x:v>
      </x:c>
      <x:c r="AE53" s="11" t="n">
        <x:f>ROUND(RAW_OP!$N$56,0)</x:f>
        <x:v>480</x:v>
      </x:c>
      <x:c r="AF53" s="11" t="n">
        <x:f>ROUND(RAW_OP!$O$56,0)</x:f>
        <x:v>390</x:v>
      </x:c>
      <x:c r="AG53" s="11" t="n">
        <x:f>ROUND(RAW_OP!$AB$56,0)</x:f>
        <x:v>1280</x:v>
      </x:c>
      <x:c r="AH53" s="11" t="n">
        <x:f>ROUND(RAW_OP!$AC$56,0)</x:f>
        <x:v>1041</x:v>
      </x:c>
      <x:c r="AI53" s="11" t="n">
        <x:f>ROUND(RAW_OP!$AD$56,0)</x:f>
        <x:v>520</x:v>
      </x:c>
      <x:c r="AJ53" s="11" t="n">
        <x:f>ROUND(RAW_OP!$AE$56,0)</x:f>
        <x:v>423</x:v>
      </x:c>
      <x:c r="AK53" s="11" t="str">
        <x:f>""</x:f>
      </x:c>
      <x:c r="AL53" s="11" t="str">
        <x:f>""</x:f>
      </x:c>
      <x:c r="AM53" s="11" t="str">
        <x:f>""</x:f>
      </x:c>
      <x:c r="AN53" s="11" t="str">
        <x:f>""</x:f>
      </x:c>
      <x:c r="AO53" s="11" t="str">
        <x:f>""</x:f>
      </x:c>
      <x:c r="AP53" s="11" t="str">
        <x:f>""</x:f>
      </x:c>
    </x:row>
    <x:row r="54">
      <x:c r="A54" s="9" t="inlineStr">
        <x:is>
          <x:t xml:space="preserve">550 x 506 cm</x:t>
        </x:is>
      </x:c>
      <x:c r="B54" s="9" t="inlineStr">
        <x:is>
          <x:t xml:space="preserve">PRO+</x:t>
        </x:is>
      </x:c>
      <x:c r="C54" s="11" t="n">
        <x:f>ROUND(RAW_ZP!$B$57,0)</x:f>
        <x:v>16640</x:v>
      </x:c>
      <x:c r="D54" s="11" t="n">
        <x:f>ROUND(RAW_ZP!$C$57,0)</x:f>
        <x:v>13528</x:v>
      </x:c>
      <x:c r="E54" s="11" t="n">
        <x:f>ROUND(RAW_ZP!$D$57,0)</x:f>
        <x:v>480</x:v>
      </x:c>
      <x:c r="F54" s="11" t="n">
        <x:f>ROUND(RAW_ZP!$E$57,0)</x:f>
        <x:v>390</x:v>
      </x:c>
      <x:c r="G54" s="11" t="n">
        <x:f>ROUND(RAW_ZP!$H$57,0)</x:f>
        <x:v>5560</x:v>
      </x:c>
      <x:c r="H54" s="11" t="n">
        <x:f>ROUND(RAW_ZP!$I$57,0)</x:f>
        <x:v>4520</x:v>
      </x:c>
      <x:c r="I54" s="11" t="n">
        <x:f>ROUND(RAW_ZP!$J$57,0)</x:f>
        <x:v>3980</x:v>
      </x:c>
      <x:c r="J54" s="11" t="n">
        <x:f>ROUND(RAW_ZP!$K$57,0)</x:f>
        <x:v>3236</x:v>
      </x:c>
      <x:c r="K54" s="11" t="n">
        <x:f>ROUND(RAW_ZP!$N$57,0)</x:f>
        <x:v>3700</x:v>
      </x:c>
      <x:c r="L54" s="11" t="n">
        <x:f>ROUND(RAW_ZP!$O$57,0)</x:f>
        <x:v>3008</x:v>
      </x:c>
      <x:c r="M54" s="11" t="n">
        <x:f>ROUND(RAW_ZP!$P$57,0)</x:f>
        <x:v>600</x:v>
      </x:c>
      <x:c r="N54" s="11" t="n">
        <x:f>ROUND(RAW_ZP!$Q$57,0)</x:f>
        <x:v>488</x:v>
      </x:c>
      <x:c r="O54" s="11" t="n">
        <x:f>ROUND(RAW_ZP!$R$57,0)</x:f>
        <x:v>960</x:v>
      </x:c>
      <x:c r="P54" s="11" t="n">
        <x:f>ROUND(RAW_ZP!$S$57,0)</x:f>
        <x:v>780</x:v>
      </x:c>
      <x:c r="Q54" s="732" t="n">
        <x:v>2064</x:v>
      </x:c>
      <x:c r="R54" s="732" t="n">
        <x:v>1678</x:v>
      </x:c>
      <x:c r="S54" s="732" t="n">
        <x:v>2814</x:v>
      </x:c>
      <x:c r="T54" s="732" t="n">
        <x:v>2288</x:v>
      </x:c>
      <x:c r="U54" s="11" t="str">
        <x:f>""</x:f>
      </x:c>
      <x:c r="V54" s="11" t="str">
        <x:f>""</x:f>
      </x:c>
      <x:c r="W54" s="11" t="str">
        <x:f>""</x:f>
      </x:c>
      <x:c r="X54" s="11" t="str">
        <x:f>""</x:f>
      </x:c>
      <x:c r="Y54" s="11" t="n">
        <x:f>ROUND(RAW_OP!$B$57,0)</x:f>
        <x:v>35920</x:v>
      </x:c>
      <x:c r="Z54" s="11" t="n">
        <x:f>ROUND(RAW_OP!$C$57,0)</x:f>
        <x:v>29203</x:v>
      </x:c>
      <x:c r="AA54" s="11" t="n">
        <x:f>ROUND(RAW_OP!$H$57,0)</x:f>
        <x:v>2040</x:v>
      </x:c>
      <x:c r="AB54" s="11" t="n">
        <x:f>ROUND(RAW_OP!$I$57,0)</x:f>
        <x:v>1659</x:v>
      </x:c>
      <x:c r="AC54" s="11" t="n">
        <x:f>ROUND(RAW_OP!$L$57,0)</x:f>
        <x:v>570</x:v>
      </x:c>
      <x:c r="AD54" s="11" t="n">
        <x:f>ROUND(RAW_OP!$M$57,0)</x:f>
        <x:v>463</x:v>
      </x:c>
      <x:c r="AE54" s="11" t="n">
        <x:f>ROUND(RAW_OP!$N$57,0)</x:f>
        <x:v>520</x:v>
      </x:c>
      <x:c r="AF54" s="11" t="n">
        <x:f>ROUND(RAW_OP!$O$57,0)</x:f>
        <x:v>423</x:v>
      </x:c>
      <x:c r="AG54" s="11" t="n">
        <x:f>ROUND(RAW_OP!$AB$57,0)</x:f>
        <x:v>1410</x:v>
      </x:c>
      <x:c r="AH54" s="11" t="n">
        <x:f>ROUND(RAW_OP!$AC$57,0)</x:f>
        <x:v>1146</x:v>
      </x:c>
      <x:c r="AI54" s="11" t="n">
        <x:f>ROUND(RAW_OP!$AD$57,0)</x:f>
        <x:v>520</x:v>
      </x:c>
      <x:c r="AJ54" s="11" t="n">
        <x:f>ROUND(RAW_OP!$AE$57,0)</x:f>
        <x:v>423</x:v>
      </x:c>
      <x:c r="AK54" s="11" t="str">
        <x:f>""</x:f>
      </x:c>
      <x:c r="AL54" s="11" t="str">
        <x:f>""</x:f>
      </x:c>
      <x:c r="AM54" s="11" t="str">
        <x:f>""</x:f>
      </x:c>
      <x:c r="AN54" s="11" t="str">
        <x:f>""</x:f>
      </x:c>
      <x:c r="AO54" s="11" t="str">
        <x:f>""</x:f>
      </x:c>
      <x:c r="AP54" s="11" t="str">
        <x:f>""</x:f>
      </x:c>
    </x:row>
    <x:row r="55">
      <x:c r="A55" s="9" t="inlineStr">
        <x:is>
          <x:t xml:space="preserve">550 x 606 cm</x:t>
        </x:is>
      </x:c>
      <x:c r="B55" s="9" t="inlineStr">
        <x:is>
          <x:t xml:space="preserve">PRO+</x:t>
        </x:is>
      </x:c>
      <x:c r="C55" s="11" t="n">
        <x:f>ROUND(RAW_ZP!$B$58,0)</x:f>
        <x:v>19560</x:v>
      </x:c>
      <x:c r="D55" s="11" t="n">
        <x:f>ROUND(RAW_ZP!$C$58,0)</x:f>
        <x:v>15902</x:v>
      </x:c>
      <x:c r="E55" s="11" t="n">
        <x:f>ROUND(RAW_ZP!$D$58,0)</x:f>
        <x:v>580</x:v>
      </x:c>
      <x:c r="F55" s="11" t="n">
        <x:f>ROUND(RAW_ZP!$E$58,0)</x:f>
        <x:v>472</x:v>
      </x:c>
      <x:c r="G55" s="11" t="n">
        <x:f>ROUND(RAW_ZP!$H$58,0)</x:f>
        <x:v>8360</x:v>
      </x:c>
      <x:c r="H55" s="11" t="n">
        <x:f>ROUND(RAW_ZP!$I$58,0)</x:f>
        <x:v>6797</x:v>
      </x:c>
      <x:c r="I55" s="11" t="n">
        <x:f>ROUND(RAW_ZP!$J$58,0)</x:f>
        <x:v>3980</x:v>
      </x:c>
      <x:c r="J55" s="11" t="n">
        <x:f>ROUND(RAW_ZP!$K$58,0)</x:f>
        <x:v>3236</x:v>
      </x:c>
      <x:c r="K55" s="11" t="n">
        <x:f>ROUND(RAW_ZP!$N$58,0)</x:f>
        <x:v>4270</x:v>
      </x:c>
      <x:c r="L55" s="11" t="n">
        <x:f>ROUND(RAW_ZP!$O$58,0)</x:f>
        <x:v>3472</x:v>
      </x:c>
      <x:c r="M55" s="11" t="n">
        <x:f>ROUND(RAW_ZP!$P$58,0)</x:f>
        <x:v>790</x:v>
      </x:c>
      <x:c r="N55" s="11" t="n">
        <x:f>ROUND(RAW_ZP!$Q$58,0)</x:f>
        <x:v>642</x:v>
      </x:c>
      <x:c r="O55" s="11" t="n">
        <x:f>ROUND(RAW_ZP!$R$58,0)</x:f>
        <x:v>1090</x:v>
      </x:c>
      <x:c r="P55" s="11" t="n">
        <x:f>ROUND(RAW_ZP!$S$58,0)</x:f>
        <x:v>886</x:v>
      </x:c>
      <x:c r="Q55" s="732" t="n">
        <x:v>2586</x:v>
      </x:c>
      <x:c r="R55" s="732" t="n">
        <x:v>2102</x:v>
      </x:c>
      <x:c r="S55" s="732" t="n">
        <x:v>3294</x:v>
      </x:c>
      <x:c r="T55" s="732" t="n">
        <x:v>2678</x:v>
      </x:c>
      <x:c r="U55" s="11" t="str">
        <x:f>""</x:f>
      </x:c>
      <x:c r="V55" s="11" t="str">
        <x:f>""</x:f>
      </x:c>
      <x:c r="W55" s="11" t="str">
        <x:f>""</x:f>
      </x:c>
      <x:c r="X55" s="11" t="str">
        <x:f>""</x:f>
      </x:c>
      <x:c r="Y55" s="11" t="n">
        <x:f>ROUND(RAW_OP!$B$58,0)</x:f>
        <x:v>39250</x:v>
      </x:c>
      <x:c r="Z55" s="11" t="n">
        <x:f>ROUND(RAW_OP!$C$58,0)</x:f>
        <x:v>31911</x:v>
      </x:c>
      <x:c r="AA55" s="11" t="n">
        <x:f>ROUND(RAW_OP!$H$58,0)</x:f>
        <x:v>2160</x:v>
      </x:c>
      <x:c r="AB55" s="11" t="n">
        <x:f>ROUND(RAW_OP!$I$58,0)</x:f>
        <x:v>1756</x:v>
      </x:c>
      <x:c r="AC55" s="11" t="n">
        <x:f>ROUND(RAW_OP!$L$58,0)</x:f>
        <x:v>610</x:v>
      </x:c>
      <x:c r="AD55" s="11" t="n">
        <x:f>ROUND(RAW_OP!$M$58,0)</x:f>
        <x:v>496</x:v>
      </x:c>
      <x:c r="AE55" s="11" t="n">
        <x:f>ROUND(RAW_OP!$N$58,0)</x:f>
        <x:v>550</x:v>
      </x:c>
      <x:c r="AF55" s="11" t="n">
        <x:f>ROUND(RAW_OP!$O$58,0)</x:f>
        <x:v>447</x:v>
      </x:c>
      <x:c r="AG55" s="11" t="n">
        <x:f>ROUND(RAW_OP!$AB$58,0)</x:f>
        <x:v>1700</x:v>
      </x:c>
      <x:c r="AH55" s="11" t="n">
        <x:f>ROUND(RAW_OP!$AC$58,0)</x:f>
        <x:v>1382</x:v>
      </x:c>
      <x:c r="AI55" s="11" t="n">
        <x:f>ROUND(RAW_OP!$AD$58,0)</x:f>
        <x:v>560</x:v>
      </x:c>
      <x:c r="AJ55" s="11" t="n">
        <x:f>ROUND(RAW_OP!$AE$58,0)</x:f>
        <x:v>455</x:v>
      </x:c>
      <x:c r="AK55" s="11" t="str">
        <x:f>""</x:f>
      </x:c>
      <x:c r="AL55" s="11" t="str">
        <x:f>""</x:f>
      </x:c>
      <x:c r="AM55" s="11" t="str">
        <x:f>""</x:f>
      </x:c>
      <x:c r="AN55" s="11" t="str">
        <x:f>""</x:f>
      </x:c>
      <x:c r="AO55" s="11" t="str">
        <x:f>""</x:f>
      </x:c>
      <x:c r="AP55" s="11" t="str">
        <x:f>""</x:f>
      </x:c>
    </x:row>
    <x:row r="56">
      <x:c r="A56" s="9" t="inlineStr">
        <x:is>
          <x:t xml:space="preserve">550 x 706 cm</x:t>
        </x:is>
      </x:c>
      <x:c r="B56" s="9" t="inlineStr">
        <x:is>
          <x:t xml:space="preserve">PRO+</x:t>
        </x:is>
      </x:c>
      <x:c r="C56" s="11" t="n">
        <x:f>ROUND(RAW_ZP!$B$59,0)</x:f>
        <x:v>22780</x:v>
      </x:c>
      <x:c r="D56" s="11" t="n">
        <x:f>ROUND(RAW_ZP!$C$59,0)</x:f>
        <x:v>18520</x:v>
      </x:c>
      <x:c r="E56" s="11" t="n">
        <x:f>ROUND(RAW_ZP!$D$59,0)</x:f>
        <x:v>670</x:v>
      </x:c>
      <x:c r="F56" s="11" t="n">
        <x:f>ROUND(RAW_ZP!$E$59,0)</x:f>
        <x:v>545</x:v>
      </x:c>
      <x:c r="G56" s="11" t="n">
        <x:f>ROUND(RAW_ZP!$H$59,0)</x:f>
        <x:v>8960</x:v>
      </x:c>
      <x:c r="H56" s="11" t="n">
        <x:f>ROUND(RAW_ZP!$I$59,0)</x:f>
        <x:v>7285</x:v>
      </x:c>
      <x:c r="I56" s="11" t="n">
        <x:f>ROUND(RAW_ZP!$J$59,0)</x:f>
        <x:v>3980</x:v>
      </x:c>
      <x:c r="J56" s="11" t="n">
        <x:f>ROUND(RAW_ZP!$K$59,0)</x:f>
        <x:v>3236</x:v>
      </x:c>
      <x:c r="K56" s="11" t="n">
        <x:f>ROUND(RAW_ZP!$N$59,0)</x:f>
        <x:v>4780</x:v>
      </x:c>
      <x:c r="L56" s="11" t="n">
        <x:f>ROUND(RAW_ZP!$O$59,0)</x:f>
        <x:v>3886</x:v>
      </x:c>
      <x:c r="M56" s="11" t="n">
        <x:f>ROUND(RAW_ZP!$P$59,0)</x:f>
        <x:v>870</x:v>
      </x:c>
      <x:c r="N56" s="11" t="n">
        <x:f>ROUND(RAW_ZP!$Q$59,0)</x:f>
        <x:v>707</x:v>
      </x:c>
      <x:c r="O56" s="11" t="n">
        <x:f>ROUND(RAW_ZP!$R$59,0)</x:f>
        <x:v>1210</x:v>
      </x:c>
      <x:c r="P56" s="11" t="n">
        <x:f>ROUND(RAW_ZP!$S$59,0)</x:f>
        <x:v>984</x:v>
      </x:c>
      <x:c r="Q56" s="732" t="n">
        <x:v>2902</x:v>
      </x:c>
      <x:c r="R56" s="732" t="n">
        <x:v>2359</x:v>
      </x:c>
      <x:c r="S56" s="732" t="n">
        <x:v>3792</x:v>
      </x:c>
      <x:c r="T56" s="732" t="n">
        <x:v>3083</x:v>
      </x:c>
      <x:c r="U56" s="11" t="str">
        <x:f>""</x:f>
      </x:c>
      <x:c r="V56" s="11" t="str">
        <x:f>""</x:f>
      </x:c>
      <x:c r="W56" s="11" t="str">
        <x:f>""</x:f>
      </x:c>
      <x:c r="X56" s="11" t="str">
        <x:f>""</x:f>
      </x:c>
      <x:c r="Y56" s="11" t="n">
        <x:f>ROUND(RAW_OP!$B$59,0)</x:f>
        <x:v>43280</x:v>
      </x:c>
      <x:c r="Z56" s="11" t="n">
        <x:f>ROUND(RAW_OP!$C$59,0)</x:f>
        <x:v>35187</x:v>
      </x:c>
      <x:c r="AA56" s="11" t="n">
        <x:f>ROUND(RAW_OP!$H$59,0)</x:f>
        <x:v>2280</x:v>
      </x:c>
      <x:c r="AB56" s="11" t="n">
        <x:f>ROUND(RAW_OP!$I$59,0)</x:f>
        <x:v>1854</x:v>
      </x:c>
      <x:c r="AC56" s="11" t="n">
        <x:f>ROUND(RAW_OP!$L$59,0)</x:f>
        <x:v>650</x:v>
      </x:c>
      <x:c r="AD56" s="11" t="n">
        <x:f>ROUND(RAW_OP!$M$59,0)</x:f>
        <x:v>528</x:v>
      </x:c>
      <x:c r="AE56" s="11" t="n">
        <x:f>ROUND(RAW_OP!$N$59,0)</x:f>
        <x:v>590</x:v>
      </x:c>
      <x:c r="AF56" s="11" t="n">
        <x:f>ROUND(RAW_OP!$O$59,0)</x:f>
        <x:v>480</x:v>
      </x:c>
      <x:c r="AG56" s="11" t="n">
        <x:f>ROUND(RAW_OP!$AB$59,0)</x:f>
        <x:v>1500</x:v>
      </x:c>
      <x:c r="AH56" s="11" t="n">
        <x:f>ROUND(RAW_OP!$AC$59,0)</x:f>
        <x:v>1220</x:v>
      </x:c>
      <x:c r="AI56" s="11" t="n">
        <x:f>ROUND(RAW_OP!$AD$59,0)</x:f>
        <x:v>600</x:v>
      </x:c>
      <x:c r="AJ56" s="11" t="n">
        <x:f>ROUND(RAW_OP!$AE$59,0)</x:f>
        <x:v>488</x:v>
      </x:c>
      <x:c r="AK56" s="11" t="str">
        <x:f>""</x:f>
      </x:c>
      <x:c r="AL56" s="11" t="str">
        <x:f>""</x:f>
      </x:c>
      <x:c r="AM56" s="11" t="str">
        <x:f>""</x:f>
      </x:c>
      <x:c r="AN56" s="11" t="str">
        <x:f>""</x:f>
      </x:c>
      <x:c r="AO56" s="11" t="str">
        <x:f>""</x:f>
      </x:c>
      <x:c r="AP56" s="11" t="str">
        <x:f>""</x:f>
      </x:c>
    </x:row>
    <x:row r="57">
      <x:c r="A57" s="9" t="inlineStr">
        <x:is>
          <x:t xml:space="preserve">550 x 806 cm</x:t>
        </x:is>
      </x:c>
      <x:c r="B57" s="9" t="inlineStr">
        <x:is>
          <x:t xml:space="preserve">PRO+</x:t>
        </x:is>
      </x:c>
      <x:c r="C57" s="11" t="n">
        <x:f>ROUND(RAW_ZP!$B$60,0)</x:f>
        <x:v>25900</x:v>
      </x:c>
      <x:c r="D57" s="11" t="n">
        <x:f>ROUND(RAW_ZP!$C$60,0)</x:f>
        <x:v>21057</x:v>
      </x:c>
      <x:c r="E57" s="11" t="n">
        <x:f>ROUND(RAW_ZP!$D$60,0)</x:f>
        <x:v>770</x:v>
      </x:c>
      <x:c r="F57" s="11" t="n">
        <x:f>ROUND(RAW_ZP!$E$60,0)</x:f>
        <x:v>626</x:v>
      </x:c>
      <x:c r="G57" s="11" t="n">
        <x:f>ROUND(RAW_ZP!$H$60,0)</x:f>
        <x:v>9570</x:v>
      </x:c>
      <x:c r="H57" s="11" t="n">
        <x:f>ROUND(RAW_ZP!$I$60,0)</x:f>
        <x:v>7780</x:v>
      </x:c>
      <x:c r="I57" s="11" t="n">
        <x:f>ROUND(RAW_ZP!$J$60,0)</x:f>
        <x:v>3980</x:v>
      </x:c>
      <x:c r="J57" s="11" t="n">
        <x:f>ROUND(RAW_ZP!$K$60,0)</x:f>
        <x:v>3236</x:v>
      </x:c>
      <x:c r="K57" s="11" t="n">
        <x:f>ROUND(RAW_ZP!$N$60,0)</x:f>
        <x:v>5280</x:v>
      </x:c>
      <x:c r="L57" s="11" t="n">
        <x:f>ROUND(RAW_ZP!$O$60,0)</x:f>
        <x:v>4293</x:v>
      </x:c>
      <x:c r="M57" s="11" t="n">
        <x:f>ROUND(RAW_ZP!$P$60,0)</x:f>
        <x:v>960</x:v>
      </x:c>
      <x:c r="N57" s="11" t="n">
        <x:f>ROUND(RAW_ZP!$Q$60,0)</x:f>
        <x:v>780</x:v>
      </x:c>
      <x:c r="O57" s="11" t="n">
        <x:f>ROUND(RAW_ZP!$R$60,0)</x:f>
        <x:v>1440</x:v>
      </x:c>
      <x:c r="P57" s="11" t="n">
        <x:f>ROUND(RAW_ZP!$S$60,0)</x:f>
        <x:v>1171</x:v>
      </x:c>
      <x:c r="Q57" s="732" t="n">
        <x:v>3210</x:v>
      </x:c>
      <x:c r="R57" s="732" t="n">
        <x:v>2610</x:v>
      </x:c>
      <x:c r="S57" s="732" t="n">
        <x:v>4272</x:v>
      </x:c>
      <x:c r="T57" s="732" t="n">
        <x:v>3473</x:v>
      </x:c>
      <x:c r="U57" s="11" t="str">
        <x:f>""</x:f>
      </x:c>
      <x:c r="V57" s="11" t="str">
        <x:f>""</x:f>
      </x:c>
      <x:c r="W57" s="11" t="str">
        <x:f>""</x:f>
      </x:c>
      <x:c r="X57" s="11" t="str">
        <x:f>""</x:f>
      </x:c>
      <x:c r="Y57" s="11" t="n">
        <x:f>ROUND(RAW_OP!$B$60,0)</x:f>
        <x:v>47220</x:v>
      </x:c>
      <x:c r="Z57" s="11" t="n">
        <x:f>ROUND(RAW_OP!$C$60,0)</x:f>
        <x:v>38390</x:v>
      </x:c>
      <x:c r="AA57" s="11" t="n">
        <x:f>ROUND(RAW_OP!$H$60,0)</x:f>
        <x:v>2400</x:v>
      </x:c>
      <x:c r="AB57" s="11" t="n">
        <x:f>ROUND(RAW_OP!$I$60,0)</x:f>
        <x:v>1951</x:v>
      </x:c>
      <x:c r="AC57" s="11" t="n">
        <x:f>ROUND(RAW_OP!$L$60,0)</x:f>
        <x:v>690</x:v>
      </x:c>
      <x:c r="AD57" s="11" t="n">
        <x:f>ROUND(RAW_OP!$M$60,0)</x:f>
        <x:v>561</x:v>
      </x:c>
      <x:c r="AE57" s="11" t="n">
        <x:f>ROUND(RAW_OP!$N$60,0)</x:f>
        <x:v>620</x:v>
      </x:c>
      <x:c r="AF57" s="11" t="n">
        <x:f>ROUND(RAW_OP!$O$60,0)</x:f>
        <x:v>504</x:v>
      </x:c>
      <x:c r="AG57" s="11" t="n">
        <x:f>ROUND(RAW_OP!$AB$60,0)</x:f>
        <x:v>1610</x:v>
      </x:c>
      <x:c r="AH57" s="11" t="n">
        <x:f>ROUND(RAW_OP!$AC$60,0)</x:f>
        <x:v>1309</x:v>
      </x:c>
      <x:c r="AI57" s="11" t="n">
        <x:f>ROUND(RAW_OP!$AD$60,0)</x:f>
        <x:v>640</x:v>
      </x:c>
      <x:c r="AJ57" s="11" t="n">
        <x:f>ROUND(RAW_OP!$AE$60,0)</x:f>
        <x:v>520</x:v>
      </x:c>
      <x:c r="AK57" s="11" t="str">
        <x:f>""</x:f>
      </x:c>
      <x:c r="AL57" s="11" t="str">
        <x:f>""</x:f>
      </x:c>
      <x:c r="AM57" s="11" t="str">
        <x:f>""</x:f>
      </x:c>
      <x:c r="AN57" s="11" t="str">
        <x:f>""</x:f>
      </x:c>
      <x:c r="AO57" s="11" t="str">
        <x:f>""</x:f>
      </x:c>
      <x:c r="AP57" s="11" t="str">
        <x:f>""</x:f>
      </x:c>
    </x:row>
    <x:row r="58">
      <x:c r="A58" s="9" t="inlineStr">
        <x:is>
          <x:t xml:space="preserve">550 x 906 cm</x:t>
        </x:is>
      </x:c>
      <x:c r="B58" s="9" t="inlineStr">
        <x:is>
          <x:t xml:space="preserve">PRO+</x:t>
        </x:is>
      </x:c>
      <x:c r="C58" s="11" t="n">
        <x:f>ROUND(RAW_ZP!$B$61,0)</x:f>
        <x:v>29450</x:v>
      </x:c>
      <x:c r="D58" s="11" t="n">
        <x:f>ROUND(RAW_ZP!$C$61,0)</x:f>
        <x:v>23943</x:v>
      </x:c>
      <x:c r="E58" s="11" t="n">
        <x:f>ROUND(RAW_ZP!$D$61,0)</x:f>
        <x:v>860</x:v>
      </x:c>
      <x:c r="F58" s="11" t="n">
        <x:f>ROUND(RAW_ZP!$E$61,0)</x:f>
        <x:v>699</x:v>
      </x:c>
      <x:c r="G58" s="11" t="n">
        <x:f>ROUND(RAW_ZP!$H$61,0)</x:f>
        <x:v>10340</x:v>
      </x:c>
      <x:c r="H58" s="11" t="n">
        <x:f>ROUND(RAW_ZP!$I$61,0)</x:f>
        <x:v>8407</x:v>
      </x:c>
      <x:c r="I58" s="11" t="n">
        <x:f>ROUND(RAW_ZP!$J$61,0)</x:f>
        <x:v>3980</x:v>
      </x:c>
      <x:c r="J58" s="11" t="n">
        <x:f>ROUND(RAW_ZP!$K$61,0)</x:f>
        <x:v>3236</x:v>
      </x:c>
      <x:c r="K58" s="11" t="n">
        <x:f>ROUND(RAW_ZP!$N$61,0)</x:f>
        <x:v>6400</x:v>
      </x:c>
      <x:c r="L58" s="11" t="n">
        <x:f>ROUND(RAW_ZP!$O$61,0)</x:f>
        <x:v>5203</x:v>
      </x:c>
      <x:c r="M58" s="11" t="n">
        <x:f>ROUND(RAW_ZP!$P$61,0)</x:f>
        <x:v>1040</x:v>
      </x:c>
      <x:c r="N58" s="11" t="n">
        <x:f>ROUND(RAW_ZP!$Q$61,0)</x:f>
        <x:v>846</x:v>
      </x:c>
      <x:c r="O58" s="11" t="n">
        <x:f>ROUND(RAW_ZP!$R$61,0)</x:f>
        <x:v>1560</x:v>
      </x:c>
      <x:c r="P58" s="11" t="n">
        <x:f>ROUND(RAW_ZP!$S$61,0)</x:f>
        <x:v>1268</x:v>
      </x:c>
      <x:c r="Q58" s="732" t="n">
        <x:v>3486</x:v>
      </x:c>
      <x:c r="R58" s="732" t="n">
        <x:v>2834</x:v>
      </x:c>
      <x:c r="S58" s="732" t="n">
        <x:v>4752</x:v>
      </x:c>
      <x:c r="T58" s="732" t="n">
        <x:v>3863</x:v>
      </x:c>
      <x:c r="U58" s="11" t="str">
        <x:f>""</x:f>
      </x:c>
      <x:c r="V58" s="11" t="str">
        <x:f>""</x:f>
      </x:c>
      <x:c r="W58" s="11" t="str">
        <x:f>""</x:f>
      </x:c>
      <x:c r="X58" s="11" t="str">
        <x:f>""</x:f>
      </x:c>
      <x:c r="Y58" s="11" t="n">
        <x:f>ROUND(RAW_OP!$B$61,0)</x:f>
        <x:v>51810</x:v>
      </x:c>
      <x:c r="Z58" s="11" t="n">
        <x:f>ROUND(RAW_OP!$C$61,0)</x:f>
        <x:v>42122</x:v>
      </x:c>
      <x:c r="AA58" s="11" t="n">
        <x:f>ROUND(RAW_OP!$H$61,0)</x:f>
        <x:v>2520</x:v>
      </x:c>
      <x:c r="AB58" s="11" t="n">
        <x:f>ROUND(RAW_OP!$I$61,0)</x:f>
        <x:v>2049</x:v>
      </x:c>
      <x:c r="AC58" s="11" t="n">
        <x:f>ROUND(RAW_OP!$L$61,0)</x:f>
        <x:v>720</x:v>
      </x:c>
      <x:c r="AD58" s="11" t="n">
        <x:f>ROUND(RAW_OP!$M$61,0)</x:f>
        <x:v>585</x:v>
      </x:c>
      <x:c r="AE58" s="11" t="n">
        <x:f>ROUND(RAW_OP!$N$61,0)</x:f>
        <x:v>650</x:v>
      </x:c>
      <x:c r="AF58" s="11" t="n">
        <x:f>ROUND(RAW_OP!$O$61,0)</x:f>
        <x:v>528</x:v>
      </x:c>
      <x:c r="AG58" s="11" t="n">
        <x:f>ROUND(RAW_OP!$AB$61,0)</x:f>
        <x:v>1750</x:v>
      </x:c>
      <x:c r="AH58" s="11" t="n">
        <x:f>ROUND(RAW_OP!$AC$61,0)</x:f>
        <x:v>1423</x:v>
      </x:c>
      <x:c r="AI58" s="11" t="n">
        <x:f>ROUND(RAW_OP!$AD$61,0)</x:f>
        <x:v>640</x:v>
      </x:c>
      <x:c r="AJ58" s="11" t="n">
        <x:f>ROUND(RAW_OP!$AE$61,0)</x:f>
        <x:v>520</x:v>
      </x:c>
      <x:c r="AK58" s="11" t="str">
        <x:f>""</x:f>
      </x:c>
      <x:c r="AL58" s="11" t="str">
        <x:f>""</x:f>
      </x:c>
      <x:c r="AM58" s="11" t="str">
        <x:f>""</x:f>
      </x:c>
      <x:c r="AN58" s="11" t="str">
        <x:f>""</x:f>
      </x:c>
      <x:c r="AO58" s="11" t="str">
        <x:f>""</x:f>
      </x:c>
      <x:c r="AP58" s="11" t="str">
        <x:f>""</x:f>
      </x:c>
    </x:row>
    <x:row r="59">
      <x:c r="A59" s="9" t="inlineStr">
        <x:is>
          <x:t xml:space="preserve">550 x 1006 cm</x:t>
        </x:is>
      </x:c>
      <x:c r="B59" s="9" t="inlineStr">
        <x:is>
          <x:t xml:space="preserve">PRO+</x:t>
        </x:is>
      </x:c>
      <x:c r="C59" s="11" t="n">
        <x:f>ROUND(RAW_ZP!$B$62,0)</x:f>
        <x:v>32470</x:v>
      </x:c>
      <x:c r="D59" s="11" t="n">
        <x:f>ROUND(RAW_ZP!$C$62,0)</x:f>
        <x:v>26398</x:v>
      </x:c>
      <x:c r="E59" s="11" t="n">
        <x:f>ROUND(RAW_ZP!$D$62,0)</x:f>
        <x:v>960</x:v>
      </x:c>
      <x:c r="F59" s="11" t="n">
        <x:f>ROUND(RAW_ZP!$E$62,0)</x:f>
        <x:v>780</x:v>
      </x:c>
      <x:c r="G59" s="11" t="n">
        <x:f>ROUND(RAW_ZP!$H$62,0)</x:f>
        <x:v>11120</x:v>
      </x:c>
      <x:c r="H59" s="11" t="n">
        <x:f>ROUND(RAW_ZP!$I$62,0)</x:f>
        <x:v>9041</x:v>
      </x:c>
      <x:c r="I59" s="11" t="n">
        <x:f>ROUND(RAW_ZP!$J$62,0)</x:f>
        <x:v>3980</x:v>
      </x:c>
      <x:c r="J59" s="11" t="n">
        <x:f>ROUND(RAW_ZP!$K$62,0)</x:f>
        <x:v>3236</x:v>
      </x:c>
      <x:c r="K59" s="11" t="n">
        <x:f>ROUND(RAW_ZP!$N$62,0)</x:f>
        <x:v>6910</x:v>
      </x:c>
      <x:c r="L59" s="11" t="n">
        <x:f>ROUND(RAW_ZP!$O$62,0)</x:f>
        <x:v>5618</x:v>
      </x:c>
      <x:c r="M59" s="11" t="n">
        <x:f>ROUND(RAW_ZP!$P$62,0)</x:f>
        <x:v>1230</x:v>
      </x:c>
      <x:c r="N59" s="11" t="n">
        <x:f>ROUND(RAW_ZP!$Q$62,0)</x:f>
        <x:v>1000</x:v>
      </x:c>
      <x:c r="O59" s="11" t="n">
        <x:f>ROUND(RAW_ZP!$R$62,0)</x:f>
        <x:v>1650</x:v>
      </x:c>
      <x:c r="P59" s="11" t="n">
        <x:f>ROUND(RAW_ZP!$S$62,0)</x:f>
        <x:v>1341</x:v>
      </x:c>
      <x:c r="Q59" s="732" t="n">
        <x:v>3504</x:v>
      </x:c>
      <x:c r="R59" s="732" t="n">
        <x:v>2849</x:v>
      </x:c>
      <x:c r="S59" s="732" t="n">
        <x:v>5250</x:v>
      </x:c>
      <x:c r="T59" s="732" t="n">
        <x:v>4268</x:v>
      </x:c>
      <x:c r="U59" s="11" t="str">
        <x:f>""</x:f>
      </x:c>
      <x:c r="V59" s="11" t="str">
        <x:f>""</x:f>
      </x:c>
      <x:c r="W59" s="11" t="str">
        <x:f>""</x:f>
      </x:c>
      <x:c r="X59" s="11" t="str">
        <x:f>""</x:f>
      </x:c>
      <x:c r="Y59" s="11" t="n">
        <x:f>ROUND(RAW_OP!$B$62,0)</x:f>
        <x:v>55900</x:v>
      </x:c>
      <x:c r="Z59" s="11" t="n">
        <x:f>ROUND(RAW_OP!$C$62,0)</x:f>
        <x:v>45447</x:v>
      </x:c>
      <x:c r="AA59" s="11" t="n">
        <x:f>ROUND(RAW_OP!$H$62,0)</x:f>
        <x:v>2640</x:v>
      </x:c>
      <x:c r="AB59" s="11" t="n">
        <x:f>ROUND(RAW_OP!$I$62,0)</x:f>
        <x:v>2146</x:v>
      </x:c>
      <x:c r="AC59" s="11" t="n">
        <x:f>ROUND(RAW_OP!$L$62,0)</x:f>
        <x:v>760</x:v>
      </x:c>
      <x:c r="AD59" s="11" t="n">
        <x:f>ROUND(RAW_OP!$M$62,0)</x:f>
        <x:v>618</x:v>
      </x:c>
      <x:c r="AE59" s="11" t="n">
        <x:f>ROUND(RAW_OP!$N$62,0)</x:f>
        <x:v>690</x:v>
      </x:c>
      <x:c r="AF59" s="11" t="n">
        <x:f>ROUND(RAW_OP!$O$62,0)</x:f>
        <x:v>561</x:v>
      </x:c>
      <x:c r="AG59" s="11" t="n">
        <x:f>ROUND(RAW_OP!$AB$62,0)</x:f>
        <x:v>1880</x:v>
      </x:c>
      <x:c r="AH59" s="11" t="n">
        <x:f>ROUND(RAW_OP!$AC$62,0)</x:f>
        <x:v>1528</x:v>
      </x:c>
      <x:c r="AI59" s="11" t="n">
        <x:f>ROUND(RAW_OP!$AD$62,0)</x:f>
        <x:v>680</x:v>
      </x:c>
      <x:c r="AJ59" s="11" t="n">
        <x:f>ROUND(RAW_OP!$AE$62,0)</x:f>
        <x:v>553</x:v>
      </x:c>
      <x:c r="AK59" s="11" t="str">
        <x:f>""</x:f>
      </x:c>
      <x:c r="AL59" s="11" t="str">
        <x:f>""</x:f>
      </x:c>
      <x:c r="AM59" s="11" t="str">
        <x:f>""</x:f>
      </x:c>
      <x:c r="AN59" s="11" t="str">
        <x:f>""</x:f>
      </x:c>
      <x:c r="AO59" s="11" t="str">
        <x:f>""</x:f>
      </x:c>
      <x:c r="AP59" s="11" t="str">
        <x:f>""</x:f>
      </x:c>
    </x:row>
    <x:row r="60">
      <x:c r="A60" s="9" t="inlineStr">
        <x:is>
          <x:t xml:space="preserve">550 x 1106 cm</x:t>
        </x:is>
      </x:c>
      <x:c r="B60" s="9" t="inlineStr">
        <x:is>
          <x:t xml:space="preserve">PRO+</x:t>
        </x:is>
      </x:c>
      <x:c r="C60" s="11" t="n">
        <x:f>ROUND(RAW_ZP!$B$63,0)</x:f>
        <x:v>35580</x:v>
      </x:c>
      <x:c r="D60" s="11" t="n">
        <x:f>ROUND(RAW_ZP!$C$63,0)</x:f>
        <x:v>28927</x:v>
      </x:c>
      <x:c r="E60" s="11" t="n">
        <x:f>ROUND(RAW_ZP!$D$63,0)</x:f>
        <x:v>1060</x:v>
      </x:c>
      <x:c r="F60" s="11" t="n">
        <x:f>ROUND(RAW_ZP!$E$63,0)</x:f>
        <x:v>862</x:v>
      </x:c>
      <x:c r="G60" s="11" t="n">
        <x:f>ROUND(RAW_ZP!$H$63,0)</x:f>
        <x:v>13740</x:v>
      </x:c>
      <x:c r="H60" s="11" t="n">
        <x:f>ROUND(RAW_ZP!$I$63,0)</x:f>
        <x:v>11171</x:v>
      </x:c>
      <x:c r="I60" s="11" t="n">
        <x:f>ROUND(RAW_ZP!$J$63,0)</x:f>
        <x:v>3980</x:v>
      </x:c>
      <x:c r="J60" s="11" t="n">
        <x:f>ROUND(RAW_ZP!$K$63,0)</x:f>
        <x:v>3236</x:v>
      </x:c>
      <x:c r="K60" s="11" t="n">
        <x:f>ROUND(RAW_ZP!$N$63,0)</x:f>
        <x:v>7420</x:v>
      </x:c>
      <x:c r="L60" s="11" t="n">
        <x:f>ROUND(RAW_ZP!$O$63,0)</x:f>
        <x:v>6033</x:v>
      </x:c>
      <x:c r="M60" s="11" t="n">
        <x:f>ROUND(RAW_ZP!$P$63,0)</x:f>
        <x:v>1430</x:v>
      </x:c>
      <x:c r="N60" s="11" t="n">
        <x:f>ROUND(RAW_ZP!$Q$63,0)</x:f>
        <x:v>1163</x:v>
      </x:c>
      <x:c r="O60" s="11" t="n">
        <x:f>ROUND(RAW_ZP!$R$63,0)</x:f>
        <x:v>1770</x:v>
      </x:c>
      <x:c r="P60" s="11" t="n">
        <x:f>ROUND(RAW_ZP!$S$63,0)</x:f>
        <x:v>1439</x:v>
      </x:c>
      <x:c r="Q60" s="732" t="n">
        <x:v>3812</x:v>
      </x:c>
      <x:c r="R60" s="732" t="n">
        <x:v>3099</x:v>
      </x:c>
      <x:c r="S60" s="732" t="n">
        <x:v>5730</x:v>
      </x:c>
      <x:c r="T60" s="732" t="n">
        <x:v>4659</x:v>
      </x:c>
      <x:c r="U60" s="11" t="str">
        <x:f>""</x:f>
      </x:c>
      <x:c r="V60" s="11" t="str">
        <x:f>""</x:f>
      </x:c>
      <x:c r="W60" s="11" t="str">
        <x:f>""</x:f>
      </x:c>
      <x:c r="X60" s="11" t="str">
        <x:f>""</x:f>
      </x:c>
      <x:c r="Y60" s="11" t="n">
        <x:f>ROUND(RAW_OP!$B$63,0)</x:f>
        <x:v>59070</x:v>
      </x:c>
      <x:c r="Z60" s="11" t="n">
        <x:f>ROUND(RAW_OP!$C$63,0)</x:f>
        <x:v>48024</x:v>
      </x:c>
      <x:c r="AA60" s="11" t="n">
        <x:f>ROUND(RAW_OP!$H$63,0)</x:f>
        <x:v>2760</x:v>
      </x:c>
      <x:c r="AB60" s="11" t="n">
        <x:f>ROUND(RAW_OP!$I$63,0)</x:f>
        <x:v>2244</x:v>
      </x:c>
      <x:c r="AC60" s="11" t="n">
        <x:f>ROUND(RAW_OP!$L$63,0)</x:f>
        <x:v>800</x:v>
      </x:c>
      <x:c r="AD60" s="11" t="n">
        <x:f>ROUND(RAW_OP!$M$63,0)</x:f>
        <x:v>650</x:v>
      </x:c>
      <x:c r="AE60" s="11" t="n">
        <x:f>ROUND(RAW_OP!$N$63,0)</x:f>
        <x:v>720</x:v>
      </x:c>
      <x:c r="AF60" s="11" t="n">
        <x:f>ROUND(RAW_OP!$O$63,0)</x:f>
        <x:v>585</x:v>
      </x:c>
      <x:c r="AG60" s="11" t="n">
        <x:f>ROUND(RAW_OP!$AB$63,0)</x:f>
        <x:v>2170</x:v>
      </x:c>
      <x:c r="AH60" s="11" t="n">
        <x:f>ROUND(RAW_OP!$AC$63,0)</x:f>
        <x:v>1764</x:v>
      </x:c>
      <x:c r="AI60" s="11" t="n">
        <x:f>ROUND(RAW_OP!$AD$63,0)</x:f>
        <x:v>720</x:v>
      </x:c>
      <x:c r="AJ60" s="11" t="n">
        <x:f>ROUND(RAW_OP!$AE$63,0)</x:f>
        <x:v>585</x:v>
      </x:c>
      <x:c r="AK60" s="11" t="str">
        <x:f>""</x:f>
      </x:c>
      <x:c r="AL60" s="11" t="str">
        <x:f>""</x:f>
      </x:c>
      <x:c r="AM60" s="11" t="str">
        <x:f>""</x:f>
      </x:c>
      <x:c r="AN60" s="11" t="str">
        <x:f>""</x:f>
      </x:c>
      <x:c r="AO60" s="11" t="str">
        <x:f>""</x:f>
      </x:c>
      <x:c r="AP60" s="11" t="str">
        <x:f>""</x:f>
      </x:c>
    </x:row>
    <x:row r="61">
      <x:c r="A61" s="9" t="inlineStr">
        <x:is>
          <x:t xml:space="preserve">550 x 1206 cm</x:t>
        </x:is>
      </x:c>
      <x:c r="B61" s="9" t="inlineStr">
        <x:is>
          <x:t xml:space="preserve">PRO+</x:t>
        </x:is>
      </x:c>
      <x:c r="C61" s="11" t="n">
        <x:f>ROUND(RAW_ZP!$B$64,0)</x:f>
        <x:v>38570</x:v>
      </x:c>
      <x:c r="D61" s="11" t="n">
        <x:f>ROUND(RAW_ZP!$C$64,0)</x:f>
        <x:v>31358</x:v>
      </x:c>
      <x:c r="E61" s="11" t="n">
        <x:f>ROUND(RAW_ZP!$D$64,0)</x:f>
        <x:v>1150</x:v>
      </x:c>
      <x:c r="F61" s="11" t="n">
        <x:f>ROUND(RAW_ZP!$E$64,0)</x:f>
        <x:v>935</x:v>
      </x:c>
      <x:c r="G61" s="11" t="n">
        <x:f>ROUND(RAW_ZP!$H$64,0)</x:f>
        <x:v>14010</x:v>
      </x:c>
      <x:c r="H61" s="11" t="n">
        <x:f>ROUND(RAW_ZP!$I$64,0)</x:f>
        <x:v>11390</x:v>
      </x:c>
      <x:c r="I61" s="11" t="n">
        <x:f>ROUND(RAW_ZP!$J$64,0)</x:f>
        <x:v>3980</x:v>
      </x:c>
      <x:c r="J61" s="11" t="n">
        <x:f>ROUND(RAW_ZP!$K$64,0)</x:f>
        <x:v>3236</x:v>
      </x:c>
      <x:c r="K61" s="11" t="n">
        <x:f>ROUND(RAW_ZP!$N$64,0)</x:f>
        <x:v>7920</x:v>
      </x:c>
      <x:c r="L61" s="11" t="n">
        <x:f>ROUND(RAW_ZP!$O$64,0)</x:f>
        <x:v>6439</x:v>
      </x:c>
      <x:c r="M61" s="11" t="n">
        <x:f>ROUND(RAW_ZP!$P$64,0)</x:f>
        <x:v>1510</x:v>
      </x:c>
      <x:c r="N61" s="11" t="n">
        <x:f>ROUND(RAW_ZP!$Q$64,0)</x:f>
        <x:v>1228</x:v>
      </x:c>
      <x:c r="O61" s="11" t="n">
        <x:f>ROUND(RAW_ZP!$R$64,0)</x:f>
        <x:v>1900</x:v>
      </x:c>
      <x:c r="P61" s="11" t="n">
        <x:f>ROUND(RAW_ZP!$S$64,0)</x:f>
        <x:v>1545</x:v>
      </x:c>
      <x:c r="Q61" s="732" t="n">
        <x:v>4106</x:v>
      </x:c>
      <x:c r="R61" s="732" t="n">
        <x:v>3338</x:v>
      </x:c>
      <x:c r="S61" s="732" t="n">
        <x:v>6210</x:v>
      </x:c>
      <x:c r="T61" s="732" t="n">
        <x:v>5049</x:v>
      </x:c>
      <x:c r="U61" s="11" t="str">
        <x:f>""</x:f>
      </x:c>
      <x:c r="V61" s="11" t="str">
        <x:f>""</x:f>
      </x:c>
      <x:c r="W61" s="11" t="str">
        <x:f>""</x:f>
      </x:c>
      <x:c r="X61" s="11" t="str">
        <x:f>""</x:f>
      </x:c>
      <x:c r="Y61" s="11" t="n">
        <x:f>ROUND(RAW_OP!$B$64,0)</x:f>
        <x:v>62880</x:v>
      </x:c>
      <x:c r="Z61" s="11" t="n">
        <x:f>ROUND(RAW_OP!$C$64,0)</x:f>
        <x:v>51122</x:v>
      </x:c>
      <x:c r="AA61" s="11" t="n">
        <x:f>ROUND(RAW_OP!$H$64,0)</x:f>
        <x:v>2760</x:v>
      </x:c>
      <x:c r="AB61" s="11" t="n">
        <x:f>ROUND(RAW_OP!$I$64,0)</x:f>
        <x:v>2244</x:v>
      </x:c>
      <x:c r="AC61" s="11" t="n">
        <x:f>ROUND(RAW_OP!$L$64,0)</x:f>
        <x:v>840</x:v>
      </x:c>
      <x:c r="AD61" s="11" t="n">
        <x:f>ROUND(RAW_OP!$M$64,0)</x:f>
        <x:v>683</x:v>
      </x:c>
      <x:c r="AE61" s="11" t="n">
        <x:f>ROUND(RAW_OP!$N$64,0)</x:f>
        <x:v>760</x:v>
      </x:c>
      <x:c r="AF61" s="11" t="n">
        <x:f>ROUND(RAW_OP!$O$64,0)</x:f>
        <x:v>618</x:v>
      </x:c>
      <x:c r="AG61" s="11" t="n">
        <x:f>ROUND(RAW_OP!$AB$64,0)</x:f>
        <x:v>2460</x:v>
      </x:c>
      <x:c r="AH61" s="11" t="n">
        <x:f>ROUND(RAW_OP!$AC$64,0)</x:f>
        <x:v>2000</x:v>
      </x:c>
      <x:c r="AI61" s="11" t="n">
        <x:f>ROUND(RAW_OP!$AD$64,0)</x:f>
        <x:v>760</x:v>
      </x:c>
      <x:c r="AJ61" s="11" t="n">
        <x:f>ROUND(RAW_OP!$AE$64,0)</x:f>
        <x:v>618</x:v>
      </x:c>
      <x:c r="AK61" s="11" t="str">
        <x:f>""</x:f>
      </x:c>
      <x:c r="AL61" s="11" t="str">
        <x:f>""</x:f>
      </x:c>
      <x:c r="AM61" s="11" t="str">
        <x:f>""</x:f>
      </x:c>
      <x:c r="AN61" s="11" t="str">
        <x:f>""</x:f>
      </x:c>
      <x:c r="AO61" s="11" t="str">
        <x:f>""</x:f>
      </x:c>
      <x:c r="AP61" s="11" t="str">
        <x:f>""</x:f>
      </x:c>
    </x:row>
    <x:row r="62">
      <x:c r="A62" s="9" t="inlineStr">
        <x:is>
          <x:t xml:space="preserve">600 x 306 cm</x:t>
        </x:is>
      </x:c>
      <x:c r="B62" s="9" t="inlineStr">
        <x:is>
          <x:t xml:space="preserve">PRO+</x:t>
        </x:is>
      </x:c>
      <x:c r="C62" s="11" t="n">
        <x:f>ROUND(RAW_ZP!$B$65,0)</x:f>
        <x:v>10690</x:v>
      </x:c>
      <x:c r="D62" s="11" t="n">
        <x:f>ROUND(RAW_ZP!$C$65,0)</x:f>
        <x:v>8691</x:v>
      </x:c>
      <x:c r="E62" s="11" t="n">
        <x:f>ROUND(RAW_ZP!$D$65,0)</x:f>
        <x:v>310</x:v>
      </x:c>
      <x:c r="F62" s="11" t="n">
        <x:f>ROUND(RAW_ZP!$E$65,0)</x:f>
        <x:v>252</x:v>
      </x:c>
      <x:c r="G62" s="11" t="n">
        <x:f>ROUND(RAW_ZP!$H$65,0)</x:f>
        <x:v>4180</x:v>
      </x:c>
      <x:c r="H62" s="11" t="n">
        <x:f>ROUND(RAW_ZP!$I$65,0)</x:f>
        <x:v>3398</x:v>
      </x:c>
      <x:c r="I62" s="11" t="n">
        <x:f>ROUND(RAW_ZP!$J$65,0)</x:f>
        <x:v>4270</x:v>
      </x:c>
      <x:c r="J62" s="11" t="n">
        <x:f>ROUND(RAW_ZP!$K$65,0)</x:f>
        <x:v>3472</x:v>
      </x:c>
      <x:c r="K62" s="11" t="n">
        <x:f>ROUND(RAW_ZP!$N$65,0)</x:f>
        <x:v>2140</x:v>
      </x:c>
      <x:c r="L62" s="11" t="n">
        <x:f>ROUND(RAW_ZP!$O$65,0)</x:f>
        <x:v>1740</x:v>
      </x:c>
      <x:c r="M62" s="11" t="n">
        <x:f>ROUND(RAW_ZP!$P$65,0)</x:f>
        <x:v>420</x:v>
      </x:c>
      <x:c r="N62" s="11" t="n">
        <x:f>ROUND(RAW_ZP!$Q$65,0)</x:f>
        <x:v>341</x:v>
      </x:c>
      <x:c r="O62" s="11" t="n">
        <x:f>ROUND(RAW_ZP!$R$65,0)</x:f>
        <x:v>640</x:v>
      </x:c>
      <x:c r="P62" s="11" t="n">
        <x:f>ROUND(RAW_ZP!$S$65,0)</x:f>
        <x:v>520</x:v>
      </x:c>
      <x:c r="Q62" s="732" t="n">
        <x:v>1530</x:v>
      </x:c>
      <x:c r="R62" s="732" t="n">
        <x:v>1244</x:v>
      </x:c>
      <x:c r="S62" s="732" t="n">
        <x:v>1985</x:v>
      </x:c>
      <x:c r="T62" s="732" t="n">
        <x:v>1614</x:v>
      </x:c>
      <x:c r="U62" s="11" t="str">
        <x:f>""</x:f>
      </x:c>
      <x:c r="V62" s="11" t="str">
        <x:f>""</x:f>
      </x:c>
      <x:c r="W62" s="11" t="str">
        <x:f>""</x:f>
      </x:c>
      <x:c r="X62" s="11" t="str">
        <x:f>""</x:f>
      </x:c>
      <x:c r="Y62" s="11" t="n">
        <x:f>ROUND(RAW_OP!$B$65,0)</x:f>
        <x:v>28370</x:v>
      </x:c>
      <x:c r="Z62" s="11" t="n">
        <x:f>ROUND(RAW_OP!$C$65,0)</x:f>
        <x:v>23065</x:v>
      </x:c>
      <x:c r="AA62" s="11" t="n">
        <x:f>ROUND(RAW_OP!$H$65,0)</x:f>
        <x:v>1800</x:v>
      </x:c>
      <x:c r="AB62" s="11" t="n">
        <x:f>ROUND(RAW_OP!$I$65,0)</x:f>
        <x:v>1463</x:v>
      </x:c>
      <x:c r="AC62" s="11" t="n">
        <x:f>ROUND(RAW_OP!$L$65,0)</x:f>
        <x:v>500</x:v>
      </x:c>
      <x:c r="AD62" s="11" t="n">
        <x:f>ROUND(RAW_OP!$M$65,0)</x:f>
        <x:v>407</x:v>
      </x:c>
      <x:c r="AE62" s="11" t="n">
        <x:f>ROUND(RAW_OP!$N$65,0)</x:f>
        <x:v>450</x:v>
      </x:c>
      <x:c r="AF62" s="11" t="n">
        <x:f>ROUND(RAW_OP!$O$65,0)</x:f>
        <x:v>366</x:v>
      </x:c>
      <x:c r="AG62" s="11" t="n">
        <x:f>ROUND(RAW_OP!$AB$65,0)</x:f>
        <x:v>1160</x:v>
      </x:c>
      <x:c r="AH62" s="11" t="n">
        <x:f>ROUND(RAW_OP!$AC$65,0)</x:f>
        <x:v>943</x:v>
      </x:c>
      <x:c r="AI62" s="11" t="n">
        <x:f>ROUND(RAW_OP!$AD$65,0)</x:f>
        <x:v>480</x:v>
      </x:c>
      <x:c r="AJ62" s="11" t="n">
        <x:f>ROUND(RAW_OP!$AE$65,0)</x:f>
        <x:v>390</x:v>
      </x:c>
      <x:c r="AK62" s="11" t="str">
        <x:f>""</x:f>
      </x:c>
      <x:c r="AL62" s="11" t="str">
        <x:f>""</x:f>
      </x:c>
      <x:c r="AM62" s="11" t="str">
        <x:f>""</x:f>
      </x:c>
      <x:c r="AN62" s="11" t="str">
        <x:f>""</x:f>
      </x:c>
      <x:c r="AO62" s="11" t="str">
        <x:f>""</x:f>
      </x:c>
      <x:c r="AP62" s="11" t="str">
        <x:f>""</x:f>
      </x:c>
    </x:row>
    <x:row r="63">
      <x:c r="A63" s="9" t="inlineStr">
        <x:is>
          <x:t xml:space="preserve">600 x 406 cm</x:t>
        </x:is>
      </x:c>
      <x:c r="B63" s="9" t="inlineStr">
        <x:is>
          <x:t xml:space="preserve">PRO+</x:t>
        </x:is>
      </x:c>
      <x:c r="C63" s="11" t="n">
        <x:f>ROUND(RAW_ZP!$B$66,0)</x:f>
        <x:v>14030</x:v>
      </x:c>
      <x:c r="D63" s="11" t="n">
        <x:f>ROUND(RAW_ZP!$C$66,0)</x:f>
        <x:v>11407</x:v>
      </x:c>
      <x:c r="E63" s="11" t="n">
        <x:f>ROUND(RAW_ZP!$D$66,0)</x:f>
        <x:v>420</x:v>
      </x:c>
      <x:c r="F63" s="11" t="n">
        <x:f>ROUND(RAW_ZP!$E$66,0)</x:f>
        <x:v>341</x:v>
      </x:c>
      <x:c r="G63" s="11" t="n">
        <x:f>ROUND(RAW_ZP!$H$66,0)</x:f>
        <x:v>4780</x:v>
      </x:c>
      <x:c r="H63" s="11" t="n">
        <x:f>ROUND(RAW_ZP!$I$66,0)</x:f>
        <x:v>3886</x:v>
      </x:c>
      <x:c r="I63" s="11" t="n">
        <x:f>ROUND(RAW_ZP!$J$66,0)</x:f>
        <x:v>4270</x:v>
      </x:c>
      <x:c r="J63" s="11" t="n">
        <x:f>ROUND(RAW_ZP!$K$66,0)</x:f>
        <x:v>3472</x:v>
      </x:c>
      <x:c r="K63" s="11" t="n">
        <x:f>ROUND(RAW_ZP!$N$66,0)</x:f>
        <x:v>2640</x:v>
      </x:c>
      <x:c r="L63" s="11" t="n">
        <x:f>ROUND(RAW_ZP!$O$66,0)</x:f>
        <x:v>2146</x:v>
      </x:c>
      <x:c r="M63" s="11" t="n">
        <x:f>ROUND(RAW_ZP!$P$66,0)</x:f>
        <x:v>510</x:v>
      </x:c>
      <x:c r="N63" s="11" t="n">
        <x:f>ROUND(RAW_ZP!$Q$66,0)</x:f>
        <x:v>415</x:v>
      </x:c>
      <x:c r="O63" s="11" t="n">
        <x:f>ROUND(RAW_ZP!$R$66,0)</x:f>
        <x:v>740</x:v>
      </x:c>
      <x:c r="P63" s="11" t="n">
        <x:f>ROUND(RAW_ZP!$S$66,0)</x:f>
        <x:v>602</x:v>
      </x:c>
      <x:c r="Q63" s="732" t="n">
        <x:v>1873</x:v>
      </x:c>
      <x:c r="R63" s="732" t="n">
        <x:v>1523</x:v>
      </x:c>
      <x:c r="S63" s="732" t="n">
        <x:v>2478</x:v>
      </x:c>
      <x:c r="T63" s="732" t="n">
        <x:v>2015</x:v>
      </x:c>
      <x:c r="U63" s="11" t="str">
        <x:f>""</x:f>
      </x:c>
      <x:c r="V63" s="11" t="str">
        <x:f>""</x:f>
      </x:c>
      <x:c r="W63" s="11" t="str">
        <x:f>""</x:f>
      </x:c>
      <x:c r="X63" s="11" t="str">
        <x:f>""</x:f>
      </x:c>
      <x:c r="Y63" s="11" t="n">
        <x:f>ROUND(RAW_OP!$B$66,0)</x:f>
        <x:v>32510</x:v>
      </x:c>
      <x:c r="Z63" s="11" t="n">
        <x:f>ROUND(RAW_OP!$C$66,0)</x:f>
        <x:v>26431</x:v>
      </x:c>
      <x:c r="AA63" s="11" t="n">
        <x:f>ROUND(RAW_OP!$H$66,0)</x:f>
        <x:v>1920</x:v>
      </x:c>
      <x:c r="AB63" s="11" t="n">
        <x:f>ROUND(RAW_OP!$I$66,0)</x:f>
        <x:v>1561</x:v>
      </x:c>
      <x:c r="AC63" s="11" t="n">
        <x:f>ROUND(RAW_OP!$L$66,0)</x:f>
        <x:v>530</x:v>
      </x:c>
      <x:c r="AD63" s="11" t="n">
        <x:f>ROUND(RAW_OP!$M$66,0)</x:f>
        <x:v>431</x:v>
      </x:c>
      <x:c r="AE63" s="11" t="n">
        <x:f>ROUND(RAW_OP!$N$66,0)</x:f>
        <x:v>480</x:v>
      </x:c>
      <x:c r="AF63" s="11" t="n">
        <x:f>ROUND(RAW_OP!$O$66,0)</x:f>
        <x:v>390</x:v>
      </x:c>
      <x:c r="AG63" s="11" t="n">
        <x:f>ROUND(RAW_OP!$AB$66,0)</x:f>
        <x:v>1280</x:v>
      </x:c>
      <x:c r="AH63" s="11" t="n">
        <x:f>ROUND(RAW_OP!$AC$66,0)</x:f>
        <x:v>1041</x:v>
      </x:c>
      <x:c r="AI63" s="11" t="n">
        <x:f>ROUND(RAW_OP!$AD$66,0)</x:f>
        <x:v>520</x:v>
      </x:c>
      <x:c r="AJ63" s="11" t="n">
        <x:f>ROUND(RAW_OP!$AE$66,0)</x:f>
        <x:v>423</x:v>
      </x:c>
      <x:c r="AK63" s="11" t="str">
        <x:f>""</x:f>
      </x:c>
      <x:c r="AL63" s="11" t="str">
        <x:f>""</x:f>
      </x:c>
      <x:c r="AM63" s="11" t="str">
        <x:f>""</x:f>
      </x:c>
      <x:c r="AN63" s="11" t="str">
        <x:f>""</x:f>
      </x:c>
      <x:c r="AO63" s="11" t="str">
        <x:f>""</x:f>
      </x:c>
      <x:c r="AP63" s="11" t="str">
        <x:f>""</x:f>
      </x:c>
    </x:row>
    <x:row r="64">
      <x:c r="A64" s="9" t="inlineStr">
        <x:is>
          <x:t xml:space="preserve">600 x 506 cm</x:t>
        </x:is>
      </x:c>
      <x:c r="B64" s="9" t="inlineStr">
        <x:is>
          <x:t xml:space="preserve">PRO+</x:t>
        </x:is>
      </x:c>
      <x:c r="C64" s="11" t="n">
        <x:f>ROUND(RAW_ZP!$B$67,0)</x:f>
        <x:v>17630</x:v>
      </x:c>
      <x:c r="D64" s="11" t="n">
        <x:f>ROUND(RAW_ZP!$C$67,0)</x:f>
        <x:v>14333</x:v>
      </x:c>
      <x:c r="E64" s="11" t="n">
        <x:f>ROUND(RAW_ZP!$D$67,0)</x:f>
        <x:v>520</x:v>
      </x:c>
      <x:c r="F64" s="11" t="n">
        <x:f>ROUND(RAW_ZP!$E$67,0)</x:f>
        <x:v>423</x:v>
      </x:c>
      <x:c r="G64" s="11" t="n">
        <x:f>ROUND(RAW_ZP!$H$67,0)</x:f>
        <x:v>5560</x:v>
      </x:c>
      <x:c r="H64" s="11" t="n">
        <x:f>ROUND(RAW_ZP!$I$67,0)</x:f>
        <x:v>4520</x:v>
      </x:c>
      <x:c r="I64" s="11" t="n">
        <x:f>ROUND(RAW_ZP!$J$67,0)</x:f>
        <x:v>4270</x:v>
      </x:c>
      <x:c r="J64" s="11" t="n">
        <x:f>ROUND(RAW_ZP!$K$67,0)</x:f>
        <x:v>3472</x:v>
      </x:c>
      <x:c r="K64" s="11" t="n">
        <x:f>ROUND(RAW_ZP!$N$67,0)</x:f>
        <x:v>3700</x:v>
      </x:c>
      <x:c r="L64" s="11" t="n">
        <x:f>ROUND(RAW_ZP!$O$67,0)</x:f>
        <x:v>3008</x:v>
      </x:c>
      <x:c r="M64" s="11" t="n">
        <x:f>ROUND(RAW_ZP!$P$67,0)</x:f>
        <x:v>600</x:v>
      </x:c>
      <x:c r="N64" s="11" t="n">
        <x:f>ROUND(RAW_ZP!$Q$67,0)</x:f>
        <x:v>488</x:v>
      </x:c>
      <x:c r="O64" s="11" t="n">
        <x:f>ROUND(RAW_ZP!$R$67,0)</x:f>
        <x:v>960</x:v>
      </x:c>
      <x:c r="P64" s="11" t="n">
        <x:f>ROUND(RAW_ZP!$S$67,0)</x:f>
        <x:v>780</x:v>
      </x:c>
      <x:c r="Q64" s="732" t="n">
        <x:v>2156</x:v>
      </x:c>
      <x:c r="R64" s="732" t="n">
        <x:v>1753</x:v>
      </x:c>
      <x:c r="S64" s="732" t="n">
        <x:v>2968</x:v>
      </x:c>
      <x:c r="T64" s="732" t="n">
        <x:v>2413</x:v>
      </x:c>
      <x:c r="U64" s="11" t="str">
        <x:f>""</x:f>
      </x:c>
      <x:c r="V64" s="11" t="str">
        <x:f>""</x:f>
      </x:c>
      <x:c r="W64" s="11" t="str">
        <x:f>""</x:f>
      </x:c>
      <x:c r="X64" s="11" t="str">
        <x:f>""</x:f>
      </x:c>
      <x:c r="Y64" s="11" t="n">
        <x:f>ROUND(RAW_OP!$B$67,0)</x:f>
        <x:v>37160</x:v>
      </x:c>
      <x:c r="Z64" s="11" t="n">
        <x:f>ROUND(RAW_OP!$C$67,0)</x:f>
        <x:v>30211</x:v>
      </x:c>
      <x:c r="AA64" s="11" t="n">
        <x:f>ROUND(RAW_OP!$H$67,0)</x:f>
        <x:v>2040</x:v>
      </x:c>
      <x:c r="AB64" s="11" t="n">
        <x:f>ROUND(RAW_OP!$I$67,0)</x:f>
        <x:v>1659</x:v>
      </x:c>
      <x:c r="AC64" s="11" t="n">
        <x:f>ROUND(RAW_OP!$L$67,0)</x:f>
        <x:v>570</x:v>
      </x:c>
      <x:c r="AD64" s="11" t="n">
        <x:f>ROUND(RAW_OP!$M$67,0)</x:f>
        <x:v>463</x:v>
      </x:c>
      <x:c r="AE64" s="11" t="n">
        <x:f>ROUND(RAW_OP!$N$67,0)</x:f>
        <x:v>520</x:v>
      </x:c>
      <x:c r="AF64" s="11" t="n">
        <x:f>ROUND(RAW_OP!$O$67,0)</x:f>
        <x:v>423</x:v>
      </x:c>
      <x:c r="AG64" s="11" t="n">
        <x:f>ROUND(RAW_OP!$AB$67,0)</x:f>
        <x:v>1410</x:v>
      </x:c>
      <x:c r="AH64" s="11" t="n">
        <x:f>ROUND(RAW_OP!$AC$67,0)</x:f>
        <x:v>1146</x:v>
      </x:c>
      <x:c r="AI64" s="11" t="n">
        <x:f>ROUND(RAW_OP!$AD$67,0)</x:f>
        <x:v>520</x:v>
      </x:c>
      <x:c r="AJ64" s="11" t="n">
        <x:f>ROUND(RAW_OP!$AE$67,0)</x:f>
        <x:v>423</x:v>
      </x:c>
      <x:c r="AK64" s="11" t="str">
        <x:f>""</x:f>
      </x:c>
      <x:c r="AL64" s="11" t="str">
        <x:f>""</x:f>
      </x:c>
      <x:c r="AM64" s="11" t="str">
        <x:f>""</x:f>
      </x:c>
      <x:c r="AN64" s="11" t="str">
        <x:f>""</x:f>
      </x:c>
      <x:c r="AO64" s="11" t="str">
        <x:f>""</x:f>
      </x:c>
      <x:c r="AP64" s="11" t="str">
        <x:f>""</x:f>
      </x:c>
    </x:row>
    <x:row r="65">
      <x:c r="A65" s="9" t="inlineStr">
        <x:is>
          <x:t xml:space="preserve">600 x 606 cm</x:t>
        </x:is>
      </x:c>
      <x:c r="B65" s="9" t="inlineStr">
        <x:is>
          <x:t xml:space="preserve">PRO+</x:t>
        </x:is>
      </x:c>
      <x:c r="C65" s="11" t="n">
        <x:f>ROUND(RAW_ZP!$B$68,0)</x:f>
        <x:v>20880</x:v>
      </x:c>
      <x:c r="D65" s="11" t="n">
        <x:f>ROUND(RAW_ZP!$C$68,0)</x:f>
        <x:v>16976</x:v>
      </x:c>
      <x:c r="E65" s="11" t="n">
        <x:f>ROUND(RAW_ZP!$D$68,0)</x:f>
        <x:v>620</x:v>
      </x:c>
      <x:c r="F65" s="11" t="n">
        <x:f>ROUND(RAW_ZP!$E$68,0)</x:f>
        <x:v>504</x:v>
      </x:c>
      <x:c r="G65" s="11" t="n">
        <x:f>ROUND(RAW_ZP!$H$68,0)</x:f>
        <x:v>8360</x:v>
      </x:c>
      <x:c r="H65" s="11" t="n">
        <x:f>ROUND(RAW_ZP!$I$68,0)</x:f>
        <x:v>6797</x:v>
      </x:c>
      <x:c r="I65" s="11" t="n">
        <x:f>ROUND(RAW_ZP!$J$68,0)</x:f>
        <x:v>4270</x:v>
      </x:c>
      <x:c r="J65" s="11" t="n">
        <x:f>ROUND(RAW_ZP!$K$68,0)</x:f>
        <x:v>3472</x:v>
      </x:c>
      <x:c r="K65" s="11" t="n">
        <x:f>ROUND(RAW_ZP!$N$68,0)</x:f>
        <x:v>4270</x:v>
      </x:c>
      <x:c r="L65" s="11" t="n">
        <x:f>ROUND(RAW_ZP!$O$68,0)</x:f>
        <x:v>3472</x:v>
      </x:c>
      <x:c r="M65" s="11" t="n">
        <x:f>ROUND(RAW_ZP!$P$68,0)</x:f>
        <x:v>790</x:v>
      </x:c>
      <x:c r="N65" s="11" t="n">
        <x:f>ROUND(RAW_ZP!$Q$68,0)</x:f>
        <x:v>642</x:v>
      </x:c>
      <x:c r="O65" s="11" t="n">
        <x:f>ROUND(RAW_ZP!$R$68,0)</x:f>
        <x:v>1090</x:v>
      </x:c>
      <x:c r="P65" s="11" t="n">
        <x:f>ROUND(RAW_ZP!$S$68,0)</x:f>
        <x:v>886</x:v>
      </x:c>
      <x:c r="Q65" s="732" t="n">
        <x:v>2783</x:v>
      </x:c>
      <x:c r="R65" s="732" t="n">
        <x:v>2263</x:v>
      </x:c>
      <x:c r="S65" s="732" t="n">
        <x:v>3485</x:v>
      </x:c>
      <x:c r="T65" s="732" t="n">
        <x:v>2833</x:v>
      </x:c>
      <x:c r="U65" s="11" t="str">
        <x:f>""</x:f>
      </x:c>
      <x:c r="V65" s="11" t="str">
        <x:f>""</x:f>
      </x:c>
      <x:c r="W65" s="11" t="str">
        <x:f>""</x:f>
      </x:c>
      <x:c r="X65" s="11" t="str">
        <x:f>""</x:f>
      </x:c>
      <x:c r="Y65" s="11" t="n">
        <x:f>ROUND(RAW_OP!$B$68,0)</x:f>
        <x:v>40710</x:v>
      </x:c>
      <x:c r="Z65" s="11" t="n">
        <x:f>ROUND(RAW_OP!$C$68,0)</x:f>
        <x:v>33098</x:v>
      </x:c>
      <x:c r="AA65" s="11" t="n">
        <x:f>ROUND(RAW_OP!$H$68,0)</x:f>
        <x:v>2160</x:v>
      </x:c>
      <x:c r="AB65" s="11" t="n">
        <x:f>ROUND(RAW_OP!$I$68,0)</x:f>
        <x:v>1756</x:v>
      </x:c>
      <x:c r="AC65" s="11" t="n">
        <x:f>ROUND(RAW_OP!$L$68,0)</x:f>
        <x:v>610</x:v>
      </x:c>
      <x:c r="AD65" s="11" t="n">
        <x:f>ROUND(RAW_OP!$M$68,0)</x:f>
        <x:v>496</x:v>
      </x:c>
      <x:c r="AE65" s="11" t="n">
        <x:f>ROUND(RAW_OP!$N$68,0)</x:f>
        <x:v>550</x:v>
      </x:c>
      <x:c r="AF65" s="11" t="n">
        <x:f>ROUND(RAW_OP!$O$68,0)</x:f>
        <x:v>447</x:v>
      </x:c>
      <x:c r="AG65" s="11" t="n">
        <x:f>ROUND(RAW_OP!$AB$68,0)</x:f>
        <x:v>1700</x:v>
      </x:c>
      <x:c r="AH65" s="11" t="n">
        <x:f>ROUND(RAW_OP!$AC$68,0)</x:f>
        <x:v>1382</x:v>
      </x:c>
      <x:c r="AI65" s="11" t="n">
        <x:f>ROUND(RAW_OP!$AD$68,0)</x:f>
        <x:v>560</x:v>
      </x:c>
      <x:c r="AJ65" s="11" t="n">
        <x:f>ROUND(RAW_OP!$AE$68,0)</x:f>
        <x:v>455</x:v>
      </x:c>
      <x:c r="AK65" s="11" t="str">
        <x:f>""</x:f>
      </x:c>
      <x:c r="AL65" s="11" t="str">
        <x:f>""</x:f>
      </x:c>
      <x:c r="AM65" s="11" t="str">
        <x:f>""</x:f>
      </x:c>
      <x:c r="AN65" s="11" t="str">
        <x:f>""</x:f>
      </x:c>
      <x:c r="AO65" s="11" t="str">
        <x:f>""</x:f>
      </x:c>
      <x:c r="AP65" s="11" t="str">
        <x:f>""</x:f>
      </x:c>
    </x:row>
    <x:row r="66">
      <x:c r="A66" s="9" t="inlineStr">
        <x:is>
          <x:t xml:space="preserve">600 x 706 cm</x:t>
        </x:is>
      </x:c>
      <x:c r="B66" s="9" t="inlineStr">
        <x:is>
          <x:t xml:space="preserve">PRO+</x:t>
        </x:is>
      </x:c>
      <x:c r="C66" s="11" t="n">
        <x:f>ROUND(RAW_ZP!$B$69,0)</x:f>
        <x:v>24320</x:v>
      </x:c>
      <x:c r="D66" s="11" t="n">
        <x:f>ROUND(RAW_ZP!$C$69,0)</x:f>
        <x:v>19772</x:v>
      </x:c>
      <x:c r="E66" s="11" t="n">
        <x:f>ROUND(RAW_ZP!$D$69,0)</x:f>
        <x:v>730</x:v>
      </x:c>
      <x:c r="F66" s="11" t="n">
        <x:f>ROUND(RAW_ZP!$E$69,0)</x:f>
        <x:v>593</x:v>
      </x:c>
      <x:c r="G66" s="11" t="n">
        <x:f>ROUND(RAW_ZP!$H$69,0)</x:f>
        <x:v>8960</x:v>
      </x:c>
      <x:c r="H66" s="11" t="n">
        <x:f>ROUND(RAW_ZP!$I$69,0)</x:f>
        <x:v>7285</x:v>
      </x:c>
      <x:c r="I66" s="11" t="n">
        <x:f>ROUND(RAW_ZP!$J$69,0)</x:f>
        <x:v>4270</x:v>
      </x:c>
      <x:c r="J66" s="11" t="n">
        <x:f>ROUND(RAW_ZP!$K$69,0)</x:f>
        <x:v>3472</x:v>
      </x:c>
      <x:c r="K66" s="11" t="n">
        <x:f>ROUND(RAW_ZP!$N$69,0)</x:f>
        <x:v>4780</x:v>
      </x:c>
      <x:c r="L66" s="11" t="n">
        <x:f>ROUND(RAW_ZP!$O$69,0)</x:f>
        <x:v>3886</x:v>
      </x:c>
      <x:c r="M66" s="11" t="n">
        <x:f>ROUND(RAW_ZP!$P$69,0)</x:f>
        <x:v>870</x:v>
      </x:c>
      <x:c r="N66" s="11" t="n">
        <x:f>ROUND(RAW_ZP!$Q$69,0)</x:f>
        <x:v>707</x:v>
      </x:c>
      <x:c r="O66" s="11" t="n">
        <x:f>ROUND(RAW_ZP!$R$69,0)</x:f>
        <x:v>1210</x:v>
      </x:c>
      <x:c r="P66" s="11" t="n">
        <x:f>ROUND(RAW_ZP!$S$69,0)</x:f>
        <x:v>984</x:v>
      </x:c>
      <x:c r="Q66" s="732" t="n">
        <x:v>3129</x:v>
      </x:c>
      <x:c r="R66" s="732" t="n">
        <x:v>2544</x:v>
      </x:c>
      <x:c r="S66" s="732" t="n">
        <x:v>4026</x:v>
      </x:c>
      <x:c r="T66" s="732" t="n">
        <x:v>3273</x:v>
      </x:c>
      <x:c r="U66" s="11" t="str">
        <x:f>""</x:f>
      </x:c>
      <x:c r="V66" s="11" t="str">
        <x:f>""</x:f>
      </x:c>
      <x:c r="W66" s="11" t="str">
        <x:f>""</x:f>
      </x:c>
      <x:c r="X66" s="11" t="str">
        <x:f>""</x:f>
      </x:c>
      <x:c r="Y66" s="11" t="n">
        <x:f>ROUND(RAW_OP!$B$69,0)</x:f>
        <x:v>44940</x:v>
      </x:c>
      <x:c r="Z66" s="11" t="n">
        <x:f>ROUND(RAW_OP!$C$69,0)</x:f>
        <x:v>36537</x:v>
      </x:c>
      <x:c r="AA66" s="11" t="n">
        <x:f>ROUND(RAW_OP!$H$69,0)</x:f>
        <x:v>2280</x:v>
      </x:c>
      <x:c r="AB66" s="11" t="n">
        <x:f>ROUND(RAW_OP!$I$69,0)</x:f>
        <x:v>1854</x:v>
      </x:c>
      <x:c r="AC66" s="11" t="n">
        <x:f>ROUND(RAW_OP!$L$69,0)</x:f>
        <x:v>650</x:v>
      </x:c>
      <x:c r="AD66" s="11" t="n">
        <x:f>ROUND(RAW_OP!$M$69,0)</x:f>
        <x:v>528</x:v>
      </x:c>
      <x:c r="AE66" s="11" t="n">
        <x:f>ROUND(RAW_OP!$N$69,0)</x:f>
        <x:v>590</x:v>
      </x:c>
      <x:c r="AF66" s="11" t="n">
        <x:f>ROUND(RAW_OP!$O$69,0)</x:f>
        <x:v>480</x:v>
      </x:c>
      <x:c r="AG66" s="11" t="n">
        <x:f>ROUND(RAW_OP!$AB$69,0)</x:f>
        <x:v>1500</x:v>
      </x:c>
      <x:c r="AH66" s="11" t="n">
        <x:f>ROUND(RAW_OP!$AC$69,0)</x:f>
        <x:v>1220</x:v>
      </x:c>
      <x:c r="AI66" s="11" t="n">
        <x:f>ROUND(RAW_OP!$AD$69,0)</x:f>
        <x:v>600</x:v>
      </x:c>
      <x:c r="AJ66" s="11" t="n">
        <x:f>ROUND(RAW_OP!$AE$69,0)</x:f>
        <x:v>488</x:v>
      </x:c>
      <x:c r="AK66" s="11" t="str">
        <x:f>""</x:f>
      </x:c>
      <x:c r="AL66" s="11" t="str">
        <x:f>""</x:f>
      </x:c>
      <x:c r="AM66" s="11" t="str">
        <x:f>""</x:f>
      </x:c>
      <x:c r="AN66" s="11" t="str">
        <x:f>""</x:f>
      </x:c>
      <x:c r="AO66" s="11" t="str">
        <x:f>""</x:f>
      </x:c>
      <x:c r="AP66" s="11" t="str">
        <x:f>""</x:f>
      </x:c>
    </x:row>
    <x:row r="67">
      <x:c r="A67" s="9" t="inlineStr">
        <x:is>
          <x:t xml:space="preserve">600 x 806 cm</x:t>
        </x:is>
      </x:c>
      <x:c r="B67" s="9" t="inlineStr">
        <x:is>
          <x:t xml:space="preserve">PRO+</x:t>
        </x:is>
      </x:c>
      <x:c r="C67" s="11" t="n">
        <x:f>ROUND(RAW_ZP!$B$70,0)</x:f>
        <x:v>27680</x:v>
      </x:c>
      <x:c r="D67" s="11" t="n">
        <x:f>ROUND(RAW_ZP!$C$70,0)</x:f>
        <x:v>22504</x:v>
      </x:c>
      <x:c r="E67" s="11" t="n">
        <x:f>ROUND(RAW_ZP!$D$70,0)</x:f>
        <x:v>830</x:v>
      </x:c>
      <x:c r="F67" s="11" t="n">
        <x:f>ROUND(RAW_ZP!$E$70,0)</x:f>
        <x:v>675</x:v>
      </x:c>
      <x:c r="G67" s="11" t="n">
        <x:f>ROUND(RAW_ZP!$H$70,0)</x:f>
        <x:v>9570</x:v>
      </x:c>
      <x:c r="H67" s="11" t="n">
        <x:f>ROUND(RAW_ZP!$I$70,0)</x:f>
        <x:v>7780</x:v>
      </x:c>
      <x:c r="I67" s="11" t="n">
        <x:f>ROUND(RAW_ZP!$J$70,0)</x:f>
        <x:v>4270</x:v>
      </x:c>
      <x:c r="J67" s="11" t="n">
        <x:f>ROUND(RAW_ZP!$K$70,0)</x:f>
        <x:v>3472</x:v>
      </x:c>
      <x:c r="K67" s="11" t="n">
        <x:f>ROUND(RAW_ZP!$N$70,0)</x:f>
        <x:v>5280</x:v>
      </x:c>
      <x:c r="L67" s="11" t="n">
        <x:f>ROUND(RAW_ZP!$O$70,0)</x:f>
        <x:v>4293</x:v>
      </x:c>
      <x:c r="M67" s="11" t="n">
        <x:f>ROUND(RAW_ZP!$P$70,0)</x:f>
        <x:v>960</x:v>
      </x:c>
      <x:c r="N67" s="11" t="n">
        <x:f>ROUND(RAW_ZP!$Q$70,0)</x:f>
        <x:v>780</x:v>
      </x:c>
      <x:c r="O67" s="11" t="n">
        <x:f>ROUND(RAW_ZP!$R$70,0)</x:f>
        <x:v>1440</x:v>
      </x:c>
      <x:c r="P67" s="11" t="n">
        <x:f>ROUND(RAW_ZP!$S$70,0)</x:f>
        <x:v>1171</x:v>
      </x:c>
      <x:c r="Q67" s="732" t="n">
        <x:v>3463</x:v>
      </x:c>
      <x:c r="R67" s="732" t="n">
        <x:v>2815</x:v>
      </x:c>
      <x:c r="S67" s="732" t="n">
        <x:v>4543</x:v>
      </x:c>
      <x:c r="T67" s="732" t="n">
        <x:v>3693</x:v>
      </x:c>
      <x:c r="U67" s="11" t="str">
        <x:f>""</x:f>
      </x:c>
      <x:c r="V67" s="11" t="str">
        <x:f>""</x:f>
      </x:c>
      <x:c r="W67" s="11" t="str">
        <x:f>""</x:f>
      </x:c>
      <x:c r="X67" s="11" t="str">
        <x:f>""</x:f>
      </x:c>
      <x:c r="Y67" s="11" t="n">
        <x:f>ROUND(RAW_OP!$B$70,0)</x:f>
        <x:v>49100</x:v>
      </x:c>
      <x:c r="Z67" s="11" t="n">
        <x:f>ROUND(RAW_OP!$C$70,0)</x:f>
        <x:v>39919</x:v>
      </x:c>
      <x:c r="AA67" s="11" t="n">
        <x:f>ROUND(RAW_OP!$H$70,0)</x:f>
        <x:v>2400</x:v>
      </x:c>
      <x:c r="AB67" s="11" t="n">
        <x:f>ROUND(RAW_OP!$I$70,0)</x:f>
        <x:v>1951</x:v>
      </x:c>
      <x:c r="AC67" s="11" t="n">
        <x:f>ROUND(RAW_OP!$L$70,0)</x:f>
        <x:v>690</x:v>
      </x:c>
      <x:c r="AD67" s="11" t="n">
        <x:f>ROUND(RAW_OP!$M$70,0)</x:f>
        <x:v>561</x:v>
      </x:c>
      <x:c r="AE67" s="11" t="n">
        <x:f>ROUND(RAW_OP!$N$70,0)</x:f>
        <x:v>620</x:v>
      </x:c>
      <x:c r="AF67" s="11" t="n">
        <x:f>ROUND(RAW_OP!$O$70,0)</x:f>
        <x:v>504</x:v>
      </x:c>
      <x:c r="AG67" s="11" t="n">
        <x:f>ROUND(RAW_OP!$AB$70,0)</x:f>
        <x:v>1610</x:v>
      </x:c>
      <x:c r="AH67" s="11" t="n">
        <x:f>ROUND(RAW_OP!$AC$70,0)</x:f>
        <x:v>1309</x:v>
      </x:c>
      <x:c r="AI67" s="11" t="n">
        <x:f>ROUND(RAW_OP!$AD$70,0)</x:f>
        <x:v>640</x:v>
      </x:c>
      <x:c r="AJ67" s="11" t="n">
        <x:f>ROUND(RAW_OP!$AE$70,0)</x:f>
        <x:v>520</x:v>
      </x:c>
      <x:c r="AK67" s="11" t="str">
        <x:f>""</x:f>
      </x:c>
      <x:c r="AL67" s="11" t="str">
        <x:f>""</x:f>
      </x:c>
      <x:c r="AM67" s="11" t="str">
        <x:f>""</x:f>
      </x:c>
      <x:c r="AN67" s="11" t="str">
        <x:f>""</x:f>
      </x:c>
      <x:c r="AO67" s="11" t="str">
        <x:f>""</x:f>
      </x:c>
      <x:c r="AP67" s="11" t="str">
        <x:f>""</x:f>
      </x:c>
    </x:row>
    <x:row r="68">
      <x:c r="A68" s="9" t="inlineStr">
        <x:is>
          <x:t xml:space="preserve">600 x 906 cm</x:t>
        </x:is>
      </x:c>
      <x:c r="B68" s="9" t="inlineStr">
        <x:is>
          <x:t xml:space="preserve">PRO+</x:t>
        </x:is>
      </x:c>
      <x:c r="C68" s="11" t="n">
        <x:f>ROUND(RAW_ZP!$B$71,0)</x:f>
        <x:v>31440</x:v>
      </x:c>
      <x:c r="D68" s="11" t="n">
        <x:f>ROUND(RAW_ZP!$C$71,0)</x:f>
        <x:v>25561</x:v>
      </x:c>
      <x:c r="E68" s="11" t="n">
        <x:f>ROUND(RAW_ZP!$D$71,0)</x:f>
        <x:v>940</x:v>
      </x:c>
      <x:c r="F68" s="11" t="n">
        <x:f>ROUND(RAW_ZP!$E$71,0)</x:f>
        <x:v>764</x:v>
      </x:c>
      <x:c r="G68" s="11" t="n">
        <x:f>ROUND(RAW_ZP!$H$71,0)</x:f>
        <x:v>10340</x:v>
      </x:c>
      <x:c r="H68" s="11" t="n">
        <x:f>ROUND(RAW_ZP!$I$71,0)</x:f>
        <x:v>8407</x:v>
      </x:c>
      <x:c r="I68" s="11" t="n">
        <x:f>ROUND(RAW_ZP!$J$71,0)</x:f>
        <x:v>4270</x:v>
      </x:c>
      <x:c r="J68" s="11" t="n">
        <x:f>ROUND(RAW_ZP!$K$71,0)</x:f>
        <x:v>3472</x:v>
      </x:c>
      <x:c r="K68" s="11" t="n">
        <x:f>ROUND(RAW_ZP!$N$71,0)</x:f>
        <x:v>6400</x:v>
      </x:c>
      <x:c r="L68" s="11" t="n">
        <x:f>ROUND(RAW_ZP!$O$71,0)</x:f>
        <x:v>5203</x:v>
      </x:c>
      <x:c r="M68" s="11" t="n">
        <x:f>ROUND(RAW_ZP!$P$71,0)</x:f>
        <x:v>1040</x:v>
      </x:c>
      <x:c r="N68" s="11" t="n">
        <x:f>ROUND(RAW_ZP!$Q$71,0)</x:f>
        <x:v>846</x:v>
      </x:c>
      <x:c r="O68" s="11" t="n">
        <x:f>ROUND(RAW_ZP!$R$71,0)</x:f>
        <x:v>1560</x:v>
      </x:c>
      <x:c r="P68" s="11" t="n">
        <x:f>ROUND(RAW_ZP!$S$71,0)</x:f>
        <x:v>1268</x:v>
      </x:c>
      <x:c r="Q68" s="732" t="n">
        <x:v>3756</x:v>
      </x:c>
      <x:c r="R68" s="732" t="n">
        <x:v>3054</x:v>
      </x:c>
      <x:c r="S68" s="732" t="n">
        <x:v>5060</x:v>
      </x:c>
      <x:c r="T68" s="732" t="n">
        <x:v>4114</x:v>
      </x:c>
      <x:c r="U68" s="11" t="str">
        <x:f>""</x:f>
      </x:c>
      <x:c r="V68" s="11" t="str">
        <x:f>""</x:f>
      </x:c>
      <x:c r="W68" s="11" t="str">
        <x:f>""</x:f>
      </x:c>
      <x:c r="X68" s="11" t="str">
        <x:f>""</x:f>
      </x:c>
      <x:c r="Y68" s="11" t="n">
        <x:f>ROUND(RAW_OP!$B$71,0)</x:f>
        <x:v>53900</x:v>
      </x:c>
      <x:c r="Z68" s="11" t="n">
        <x:f>ROUND(RAW_OP!$C$71,0)</x:f>
        <x:v>43821</x:v>
      </x:c>
      <x:c r="AA68" s="11" t="n">
        <x:f>ROUND(RAW_OP!$H$71,0)</x:f>
        <x:v>2520</x:v>
      </x:c>
      <x:c r="AB68" s="11" t="n">
        <x:f>ROUND(RAW_OP!$I$71,0)</x:f>
        <x:v>2049</x:v>
      </x:c>
      <x:c r="AC68" s="11" t="n">
        <x:f>ROUND(RAW_OP!$L$71,0)</x:f>
        <x:v>720</x:v>
      </x:c>
      <x:c r="AD68" s="11" t="n">
        <x:f>ROUND(RAW_OP!$M$71,0)</x:f>
        <x:v>585</x:v>
      </x:c>
      <x:c r="AE68" s="11" t="n">
        <x:f>ROUND(RAW_OP!$N$71,0)</x:f>
        <x:v>660</x:v>
      </x:c>
      <x:c r="AF68" s="11" t="n">
        <x:f>ROUND(RAW_OP!$O$71,0)</x:f>
        <x:v>537</x:v>
      </x:c>
      <x:c r="AG68" s="11" t="n">
        <x:f>ROUND(RAW_OP!$AB$71,0)</x:f>
        <x:v>1750</x:v>
      </x:c>
      <x:c r="AH68" s="11" t="n">
        <x:f>ROUND(RAW_OP!$AC$71,0)</x:f>
        <x:v>1423</x:v>
      </x:c>
      <x:c r="AI68" s="11" t="n">
        <x:f>ROUND(RAW_OP!$AD$71,0)</x:f>
        <x:v>640</x:v>
      </x:c>
      <x:c r="AJ68" s="11" t="n">
        <x:f>ROUND(RAW_OP!$AE$71,0)</x:f>
        <x:v>520</x:v>
      </x:c>
      <x:c r="AK68" s="11" t="str">
        <x:f>""</x:f>
      </x:c>
      <x:c r="AL68" s="11" t="str">
        <x:f>""</x:f>
      </x:c>
      <x:c r="AM68" s="11" t="str">
        <x:f>""</x:f>
      </x:c>
      <x:c r="AN68" s="11" t="str">
        <x:f>""</x:f>
      </x:c>
      <x:c r="AO68" s="11" t="str">
        <x:f>""</x:f>
      </x:c>
      <x:c r="AP68" s="11" t="str">
        <x:f>""</x:f>
      </x:c>
    </x:row>
    <x:row r="69">
      <x:c r="A69" s="9" t="inlineStr">
        <x:is>
          <x:t xml:space="preserve">600 x 1006 cm</x:t>
        </x:is>
      </x:c>
      <x:c r="B69" s="9" t="inlineStr">
        <x:is>
          <x:t xml:space="preserve">PRO+</x:t>
        </x:is>
      </x:c>
      <x:c r="C69" s="11" t="n">
        <x:f>ROUND(RAW_ZP!$B$72,0)</x:f>
        <x:v>34700</x:v>
      </x:c>
      <x:c r="D69" s="11" t="n">
        <x:f>ROUND(RAW_ZP!$C$72,0)</x:f>
        <x:v>28211</x:v>
      </x:c>
      <x:c r="E69" s="11" t="n">
        <x:f>ROUND(RAW_ZP!$D$72,0)</x:f>
        <x:v>1040</x:v>
      </x:c>
      <x:c r="F69" s="11" t="n">
        <x:f>ROUND(RAW_ZP!$E$72,0)</x:f>
        <x:v>846</x:v>
      </x:c>
      <x:c r="G69" s="11" t="n">
        <x:f>ROUND(RAW_ZP!$H$72,0)</x:f>
        <x:v>11120</x:v>
      </x:c>
      <x:c r="H69" s="11" t="n">
        <x:f>ROUND(RAW_ZP!$I$72,0)</x:f>
        <x:v>9041</x:v>
      </x:c>
      <x:c r="I69" s="11" t="n">
        <x:f>ROUND(RAW_ZP!$J$72,0)</x:f>
        <x:v>4270</x:v>
      </x:c>
      <x:c r="J69" s="11" t="n">
        <x:f>ROUND(RAW_ZP!$K$72,0)</x:f>
        <x:v>3472</x:v>
      </x:c>
      <x:c r="K69" s="11" t="n">
        <x:f>ROUND(RAW_ZP!$N$72,0)</x:f>
        <x:v>6910</x:v>
      </x:c>
      <x:c r="L69" s="11" t="n">
        <x:f>ROUND(RAW_ZP!$O$72,0)</x:f>
        <x:v>5618</x:v>
      </x:c>
      <x:c r="M69" s="11" t="n">
        <x:f>ROUND(RAW_ZP!$P$72,0)</x:f>
        <x:v>1230</x:v>
      </x:c>
      <x:c r="N69" s="11" t="n">
        <x:f>ROUND(RAW_ZP!$Q$72,0)</x:f>
        <x:v>1000</x:v>
      </x:c>
      <x:c r="O69" s="11" t="n">
        <x:f>ROUND(RAW_ZP!$R$72,0)</x:f>
        <x:v>1650</x:v>
      </x:c>
      <x:c r="P69" s="11" t="n">
        <x:f>ROUND(RAW_ZP!$S$72,0)</x:f>
        <x:v>1341</x:v>
      </x:c>
      <x:c r="Q69" s="732" t="n">
        <x:v>3707</x:v>
      </x:c>
      <x:c r="R69" s="732" t="n">
        <x:v>3014</x:v>
      </x:c>
      <x:c r="S69" s="732" t="n">
        <x:v>5601</x:v>
      </x:c>
      <x:c r="T69" s="732" t="n">
        <x:v>4554</x:v>
      </x:c>
      <x:c r="U69" s="11" t="str">
        <x:f>""</x:f>
      </x:c>
      <x:c r="V69" s="11" t="str">
        <x:f>""</x:f>
      </x:c>
      <x:c r="W69" s="11" t="str">
        <x:f>""</x:f>
      </x:c>
      <x:c r="X69" s="11" t="str">
        <x:f>""</x:f>
      </x:c>
      <x:c r="Y69" s="11" t="n">
        <x:f>ROUND(RAW_OP!$B$72,0)</x:f>
        <x:v>58220</x:v>
      </x:c>
      <x:c r="Z69" s="11" t="n">
        <x:f>ROUND(RAW_OP!$C$72,0)</x:f>
        <x:v>47333</x:v>
      </x:c>
      <x:c r="AA69" s="11" t="n">
        <x:f>ROUND(RAW_OP!$H$72,0)</x:f>
        <x:v>2640</x:v>
      </x:c>
      <x:c r="AB69" s="11" t="n">
        <x:f>ROUND(RAW_OP!$I$72,0)</x:f>
        <x:v>2146</x:v>
      </x:c>
      <x:c r="AC69" s="11" t="n">
        <x:f>ROUND(RAW_OP!$L$72,0)</x:f>
        <x:v>760</x:v>
      </x:c>
      <x:c r="AD69" s="11" t="n">
        <x:f>ROUND(RAW_OP!$M$72,0)</x:f>
        <x:v>618</x:v>
      </x:c>
      <x:c r="AE69" s="11" t="n">
        <x:f>ROUND(RAW_OP!$N$72,0)</x:f>
        <x:v>690</x:v>
      </x:c>
      <x:c r="AF69" s="11" t="n">
        <x:f>ROUND(RAW_OP!$O$72,0)</x:f>
        <x:v>561</x:v>
      </x:c>
      <x:c r="AG69" s="11" t="n">
        <x:f>ROUND(RAW_OP!$AB$72,0)</x:f>
        <x:v>1880</x:v>
      </x:c>
      <x:c r="AH69" s="11" t="n">
        <x:f>ROUND(RAW_OP!$AC$72,0)</x:f>
        <x:v>1528</x:v>
      </x:c>
      <x:c r="AI69" s="11" t="n">
        <x:f>ROUND(RAW_OP!$AD$72,0)</x:f>
        <x:v>680</x:v>
      </x:c>
      <x:c r="AJ69" s="11" t="n">
        <x:f>ROUND(RAW_OP!$AE$72,0)</x:f>
        <x:v>553</x:v>
      </x:c>
      <x:c r="AK69" s="11" t="str">
        <x:f>""</x:f>
      </x:c>
      <x:c r="AL69" s="11" t="str">
        <x:f>""</x:f>
      </x:c>
      <x:c r="AM69" s="11" t="str">
        <x:f>""</x:f>
      </x:c>
      <x:c r="AN69" s="11" t="str">
        <x:f>""</x:f>
      </x:c>
      <x:c r="AO69" s="11" t="str">
        <x:f>""</x:f>
      </x:c>
      <x:c r="AP69" s="11" t="str">
        <x:f>""</x:f>
      </x:c>
    </x:row>
    <x:row r="70">
      <x:c r="A70" s="9" t="inlineStr">
        <x:is>
          <x:t xml:space="preserve">600 x 1106 cm</x:t>
        </x:is>
      </x:c>
      <x:c r="B70" s="9" t="inlineStr">
        <x:is>
          <x:t xml:space="preserve">PRO+</x:t>
        </x:is>
      </x:c>
      <x:c r="C70" s="11" t="n">
        <x:f>ROUND(RAW_ZP!$B$73,0)</x:f>
        <x:v>38020</x:v>
      </x:c>
      <x:c r="D70" s="11" t="n">
        <x:f>ROUND(RAW_ZP!$C$73,0)</x:f>
        <x:v>30911</x:v>
      </x:c>
      <x:c r="E70" s="11" t="n">
        <x:f>ROUND(RAW_ZP!$D$73,0)</x:f>
        <x:v>1150</x:v>
      </x:c>
      <x:c r="F70" s="11" t="n">
        <x:f>ROUND(RAW_ZP!$E$73,0)</x:f>
        <x:v>935</x:v>
      </x:c>
      <x:c r="G70" s="11" t="n">
        <x:f>ROUND(RAW_ZP!$H$73,0)</x:f>
        <x:v>13740</x:v>
      </x:c>
      <x:c r="H70" s="11" t="n">
        <x:f>ROUND(RAW_ZP!$I$73,0)</x:f>
        <x:v>11171</x:v>
      </x:c>
      <x:c r="I70" s="11" t="n">
        <x:f>ROUND(RAW_ZP!$J$73,0)</x:f>
        <x:v>4270</x:v>
      </x:c>
      <x:c r="J70" s="11" t="n">
        <x:f>ROUND(RAW_ZP!$K$73,0)</x:f>
        <x:v>3472</x:v>
      </x:c>
      <x:c r="K70" s="11" t="n">
        <x:f>ROUND(RAW_ZP!$N$73,0)</x:f>
        <x:v>7420</x:v>
      </x:c>
      <x:c r="L70" s="11" t="n">
        <x:f>ROUND(RAW_ZP!$O$73,0)</x:f>
        <x:v>6033</x:v>
      </x:c>
      <x:c r="M70" s="11" t="n">
        <x:f>ROUND(RAW_ZP!$P$73,0)</x:f>
        <x:v>1430</x:v>
      </x:c>
      <x:c r="N70" s="11" t="n">
        <x:f>ROUND(RAW_ZP!$Q$73,0)</x:f>
        <x:v>1163</x:v>
      </x:c>
      <x:c r="O70" s="11" t="n">
        <x:f>ROUND(RAW_ZP!$R$73,0)</x:f>
        <x:v>1770</x:v>
      </x:c>
      <x:c r="P70" s="11" t="n">
        <x:f>ROUND(RAW_ZP!$S$73,0)</x:f>
        <x:v>1439</x:v>
      </x:c>
      <x:c r="Q70" s="732" t="n">
        <x:v>4039</x:v>
      </x:c>
      <x:c r="R70" s="732" t="n">
        <x:v>3284</x:v>
      </x:c>
      <x:c r="S70" s="732" t="n">
        <x:v>6118</x:v>
      </x:c>
      <x:c r="T70" s="732" t="n">
        <x:v>4974</x:v>
      </x:c>
      <x:c r="U70" s="11" t="str">
        <x:f>""</x:f>
      </x:c>
      <x:c r="V70" s="11" t="str">
        <x:f>""</x:f>
      </x:c>
      <x:c r="W70" s="11" t="str">
        <x:f>""</x:f>
      </x:c>
      <x:c r="X70" s="11" t="str">
        <x:f>""</x:f>
      </x:c>
      <x:c r="Y70" s="11" t="n">
        <x:f>ROUND(RAW_OP!$B$73,0)</x:f>
        <x:v>61590</x:v>
      </x:c>
      <x:c r="Z70" s="11" t="n">
        <x:f>ROUND(RAW_OP!$C$73,0)</x:f>
        <x:v>50073</x:v>
      </x:c>
      <x:c r="AA70" s="11" t="n">
        <x:f>ROUND(RAW_OP!$H$73,0)</x:f>
        <x:v>2760</x:v>
      </x:c>
      <x:c r="AB70" s="11" t="n">
        <x:f>ROUND(RAW_OP!$I$73,0)</x:f>
        <x:v>2244</x:v>
      </x:c>
      <x:c r="AC70" s="11" t="n">
        <x:f>ROUND(RAW_OP!$L$73,0)</x:f>
        <x:v>800</x:v>
      </x:c>
      <x:c r="AD70" s="11" t="n">
        <x:f>ROUND(RAW_OP!$M$73,0)</x:f>
        <x:v>650</x:v>
      </x:c>
      <x:c r="AE70" s="11" t="n">
        <x:f>ROUND(RAW_OP!$N$73,0)</x:f>
        <x:v>720</x:v>
      </x:c>
      <x:c r="AF70" s="11" t="n">
        <x:f>ROUND(RAW_OP!$O$73,0)</x:f>
        <x:v>585</x:v>
      </x:c>
      <x:c r="AG70" s="11" t="n">
        <x:f>ROUND(RAW_OP!$AB$73,0)</x:f>
        <x:v>2170</x:v>
      </x:c>
      <x:c r="AH70" s="11" t="n">
        <x:f>ROUND(RAW_OP!$AC$73,0)</x:f>
        <x:v>1764</x:v>
      </x:c>
      <x:c r="AI70" s="11" t="n">
        <x:f>ROUND(RAW_OP!$AD$73,0)</x:f>
        <x:v>720</x:v>
      </x:c>
      <x:c r="AJ70" s="11" t="n">
        <x:f>ROUND(RAW_OP!$AE$73,0)</x:f>
        <x:v>585</x:v>
      </x:c>
      <x:c r="AK70" s="11" t="str">
        <x:f>""</x:f>
      </x:c>
      <x:c r="AL70" s="11" t="str">
        <x:f>""</x:f>
      </x:c>
      <x:c r="AM70" s="11" t="str">
        <x:f>""</x:f>
      </x:c>
      <x:c r="AN70" s="11" t="str">
        <x:f>""</x:f>
      </x:c>
      <x:c r="AO70" s="11" t="str">
        <x:f>""</x:f>
      </x:c>
      <x:c r="AP70" s="11" t="str">
        <x:f>""</x:f>
      </x:c>
    </x:row>
    <x:row r="71">
      <x:c r="A71" s="9" t="inlineStr">
        <x:is>
          <x:t xml:space="preserve">600 x 1206 cm</x:t>
        </x:is>
      </x:c>
      <x:c r="B71" s="9" t="inlineStr">
        <x:is>
          <x:t xml:space="preserve">PRO+</x:t>
        </x:is>
      </x:c>
      <x:c r="C71" s="11" t="n">
        <x:f>ROUND(RAW_ZP!$B$74,0)</x:f>
        <x:v>41260</x:v>
      </x:c>
      <x:c r="D71" s="11" t="n">
        <x:f>ROUND(RAW_ZP!$C$74,0)</x:f>
        <x:v>33545</x:v>
      </x:c>
      <x:c r="E71" s="11" t="n">
        <x:f>ROUND(RAW_ZP!$D$74,0)</x:f>
        <x:v>1250</x:v>
      </x:c>
      <x:c r="F71" s="11" t="n">
        <x:f>ROUND(RAW_ZP!$E$74,0)</x:f>
        <x:v>1016</x:v>
      </x:c>
      <x:c r="G71" s="11" t="n">
        <x:f>ROUND(RAW_ZP!$H$74,0)</x:f>
        <x:v>14010</x:v>
      </x:c>
      <x:c r="H71" s="11" t="n">
        <x:f>ROUND(RAW_ZP!$I$74,0)</x:f>
        <x:v>11390</x:v>
      </x:c>
      <x:c r="I71" s="11" t="n">
        <x:f>ROUND(RAW_ZP!$J$74,0)</x:f>
        <x:v>4270</x:v>
      </x:c>
      <x:c r="J71" s="11" t="n">
        <x:f>ROUND(RAW_ZP!$K$74,0)</x:f>
        <x:v>3472</x:v>
      </x:c>
      <x:c r="K71" s="11" t="n">
        <x:f>ROUND(RAW_ZP!$N$74,0)</x:f>
        <x:v>7920</x:v>
      </x:c>
      <x:c r="L71" s="11" t="n">
        <x:f>ROUND(RAW_ZP!$O$74,0)</x:f>
        <x:v>6439</x:v>
      </x:c>
      <x:c r="M71" s="11" t="n">
        <x:f>ROUND(RAW_ZP!$P$74,0)</x:f>
        <x:v>1510</x:v>
      </x:c>
      <x:c r="N71" s="11" t="n">
        <x:f>ROUND(RAW_ZP!$Q$74,0)</x:f>
        <x:v>1228</x:v>
      </x:c>
      <x:c r="O71" s="11" t="n">
        <x:f>ROUND(RAW_ZP!$R$74,0)</x:f>
        <x:v>1900</x:v>
      </x:c>
      <x:c r="P71" s="11" t="n">
        <x:f>ROUND(RAW_ZP!$S$74,0)</x:f>
        <x:v>1545</x:v>
      </x:c>
      <x:c r="Q71" s="732" t="n">
        <x:v>4358</x:v>
      </x:c>
      <x:c r="R71" s="732" t="n">
        <x:v>3543</x:v>
      </x:c>
      <x:c r="S71" s="732" t="n">
        <x:v>6635</x:v>
      </x:c>
      <x:c r="T71" s="732" t="n">
        <x:v>5394</x:v>
      </x:c>
      <x:c r="U71" s="11" t="str">
        <x:f>""</x:f>
      </x:c>
      <x:c r="V71" s="11" t="str">
        <x:f>""</x:f>
      </x:c>
      <x:c r="W71" s="11" t="str">
        <x:f>""</x:f>
      </x:c>
      <x:c r="X71" s="11" t="str">
        <x:f>""</x:f>
      </x:c>
      <x:c r="Y71" s="11" t="n">
        <x:f>ROUND(RAW_OP!$B$74,0)</x:f>
        <x:v>65630</x:v>
      </x:c>
      <x:c r="Z71" s="11" t="n">
        <x:f>ROUND(RAW_OP!$C$74,0)</x:f>
        <x:v>53358</x:v>
      </x:c>
      <x:c r="AA71" s="11" t="n">
        <x:f>ROUND(RAW_OP!$H$74,0)</x:f>
        <x:v>2880</x:v>
      </x:c>
      <x:c r="AB71" s="11" t="n">
        <x:f>ROUND(RAW_OP!$I$74,0)</x:f>
        <x:v>2341</x:v>
      </x:c>
      <x:c r="AC71" s="11" t="n">
        <x:f>ROUND(RAW_OP!$L$74,0)</x:f>
        <x:v>840</x:v>
      </x:c>
      <x:c r="AD71" s="11" t="n">
        <x:f>ROUND(RAW_OP!$M$74,0)</x:f>
        <x:v>683</x:v>
      </x:c>
      <x:c r="AE71" s="11" t="n">
        <x:f>ROUND(RAW_OP!$N$74,0)</x:f>
        <x:v>760</x:v>
      </x:c>
      <x:c r="AF71" s="11" t="n">
        <x:f>ROUND(RAW_OP!$O$74,0)</x:f>
        <x:v>618</x:v>
      </x:c>
      <x:c r="AG71" s="11" t="n">
        <x:f>ROUND(RAW_OP!$AB$74,0)</x:f>
        <x:v>2460</x:v>
      </x:c>
      <x:c r="AH71" s="11" t="n">
        <x:f>ROUND(RAW_OP!$AC$74,0)</x:f>
        <x:v>2000</x:v>
      </x:c>
      <x:c r="AI71" s="11" t="n">
        <x:f>ROUND(RAW_OP!$AD$74,0)</x:f>
        <x:v>760</x:v>
      </x:c>
      <x:c r="AJ71" s="11" t="n">
        <x:f>ROUND(RAW_OP!$AE$74,0)</x:f>
        <x:v>618</x:v>
      </x:c>
      <x:c r="AK71" s="11" t="str">
        <x:f>""</x:f>
      </x:c>
      <x:c r="AL71" s="11" t="str">
        <x:f>""</x:f>
      </x:c>
      <x:c r="AM71" s="11" t="str">
        <x:f>""</x:f>
      </x:c>
      <x:c r="AN71" s="11" t="str">
        <x:f>""</x:f>
      </x:c>
      <x:c r="AO71" s="11" t="str">
        <x:f>""</x:f>
      </x:c>
      <x:c r="AP71" s="11" t="str">
        <x:f>""</x:f>
      </x:c>
    </x:row>
  </x:sheetData>
  <x:pageMargins left="0.7" right="0.7" top="0.75" bottom="0.75" header="0.3" footer="0.3"/>
  <x:legacyDrawing xmlns:r="http://schemas.openxmlformats.org/officeDocument/2006/relationships" r:id="R37e073412b9349ad"/>
  <x:tableParts count="1">
    <x:tablePart xmlns:r="http://schemas.openxmlformats.org/officeDocument/2006/relationships" r:id="Rc66ac32f92e44c1e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baseColWidth="8" defaultRowHeight="14.75"/>
  <x:cols>
    <x:col min="1" max="1" width="14" style="655" customWidth="1"/>
    <x:col min="2" max="2" width="11" style="655" customWidth="1"/>
    <x:col min="3" max="3" width="28" style="655" customWidth="1"/>
    <x:col min="4" max="4" width="24" style="655" customWidth="1"/>
    <x:col min="5" max="6" width="28" style="655" customWidth="1"/>
    <x:col min="6" max="6" width="13" style="655" customWidth="1"/>
    <x:col min="7" max="7" width="23" style="655" customWidth="1"/>
    <x:col min="8" max="16" width="28" style="655" customWidth="1"/>
    <x:col min="9" max="9" width="13" style="655" customWidth="1"/>
    <x:col min="10" max="10" width="13" style="655" customWidth="1"/>
    <x:col min="11" max="11" width="13" style="655" customWidth="1"/>
    <x:col min="12" max="12" width="13" style="655" customWidth="1"/>
    <x:col min="13" max="13" width="13" style="655" customWidth="1"/>
    <x:col min="14" max="14" width="13" style="655" customWidth="1"/>
    <x:col min="15" max="15" width="13" style="655" customWidth="1"/>
    <x:col min="16" max="16" width="13" style="655" customWidth="1"/>
    <x:col min="17" max="17" width="17" style="655" customWidth="1"/>
    <x:col min="18" max="18" width="28" style="655" customWidth="1"/>
    <x:col min="19" max="19" width="13" style="655" customWidth="1"/>
    <x:col min="20" max="20" width="36" style="655" customWidth="1"/>
  </x:cols>
  <x:sheetData>
    <x:row r="1" s="655" customFormat="1" ht="30" customHeight="1">
      <x:c r="A1" s="706" t="inlineStr">
        <x:is>
          <x:t xml:space="preserve">Wymiar</x:t>
        </x:is>
      </x:c>
      <x:c r="B1" s="706" t="inlineStr">
        <x:is>
          <x:t xml:space="preserve">Kod</x:t>
        </x:is>
      </x:c>
      <x:c r="C1" s="706" t="inlineStr">
        <x:is>
          <x:t xml:space="preserve">Nazwa komponentu</x:t>
        </x:is>
      </x:c>
      <x:c r="D1" s="706" t="inlineStr">
        <x:is>
          <x:t xml:space="preserve">Grupa kalkulacyjna</x:t>
        </x:is>
      </x:c>
      <x:c r="E1" s="706" t="inlineStr">
        <x:is>
          <x:t xml:space="preserve">Cena dostawcy netto</x:t>
        </x:is>
      </x:c>
      <x:c r="F1" s="706" t="inlineStr">
        <x:is>
          <x:t xml:space="preserve">Cena dostawcy brutto</x:t>
        </x:is>
      </x:c>
      <x:c r="G1" s="706" t="inlineStr">
        <x:is>
          <x:t xml:space="preserve">Rabat dostawcy %</x:t>
        </x:is>
      </x:c>
      <x:c r="H1" s="706" t="inlineStr">
        <x:is>
          <x:t xml:space="preserve">Cena po rabacie / koszt bazowy</x:t>
        </x:is>
      </x:c>
      <x:c r="I1" s="706" t="inlineStr">
        <x:is>
          <x:t xml:space="preserve">Narzut %</x:t>
        </x:is>
      </x:c>
      <x:c r="J1" s="706" t="inlineStr">
        <x:is>
          <x:t xml:space="preserve">Cena sprzedaży netto/kalk.</x:t>
        </x:is>
      </x:c>
      <x:c r="K1" s="706" t="inlineStr">
        <x:is>
          <x:t xml:space="preserve">Cena montażu netto</x:t>
        </x:is>
      </x:c>
      <x:c r="L1" s="706" t="inlineStr">
        <x:is>
          <x:t xml:space="preserve">Wynagrodzenie + koszty</x:t>
        </x:is>
      </x:c>
      <x:c r="M1" s="706" t="inlineStr">
        <x:is>
          <x:t xml:space="preserve">VAT sprzedaży</x:t>
        </x:is>
      </x:c>
      <x:c r="N1" s="706" t="inlineStr">
        <x:is>
          <x:t xml:space="preserve">Cena brutto dla strony</x:t>
        </x:is>
      </x:c>
      <x:c r="O1" s="706" t="inlineStr">
        <x:is>
          <x:t xml:space="preserve">Czysty zysk netto</x:t>
        </x:is>
      </x:c>
      <x:c r="P1" s="706" t="inlineStr">
        <x:is>
          <x:t xml:space="preserve">Rentowność %</x:t>
        </x:is>
      </x:c>
      <x:c r="Q1" s="706" t="inlineStr">
        <x:is>
          <x:t xml:space="preserve">Źródło</x:t>
        </x:is>
      </x:c>
      <x:c r="R1" s="706" t="inlineStr">
        <x:is>
          <x:t xml:space="preserve">Kategoria Bitrix</x:t>
        </x:is>
      </x:c>
      <x:c r="S1" s="706" t="inlineStr">
        <x:is>
          <x:t xml:space="preserve">Widoczność</x:t>
        </x:is>
      </x:c>
      <x:c r="T1" s="706" t="inlineStr">
        <x:is>
          <x:t xml:space="preserve">Uwagi</x:t>
        </x:is>
      </x:c>
    </x:row>
    <x:row r="2" s="655" customFormat="1" ht="30" customHeight="1">
      <x:c r="A2" s="6" t="inlineStr">
        <x:is>
          <x:t xml:space="preserve">300 x 306 cm</x:t>
        </x:is>
      </x:c>
      <x:c r="B2" s="6" t="inlineStr">
        <x:is>
          <x:t xml:space="preserve">ZP</x:t>
        </x:is>
      </x:c>
      <x:c r="C2" s="6" t="inlineStr">
        <x:is>
          <x:t xml:space="preserve">Zadaszenie poliwęglan - baza</x:t>
        </x:is>
      </x:c>
      <x:c r="D2" s="6" t="inlineStr">
        <x:is>
          <x:t xml:space="preserve">ZADASZENIE POLIWĘGLAN</x:t>
        </x:is>
      </x:c>
      <x:c r="E2" s="8" t="n">
        <x:f>IFERROR(INDEX('02_RAW_INDEX'!$D:$D,MATCH($A2,'02_RAW_INDEX'!$A:$A,0)),"")</x:f>
        <x:v>3358</x:v>
      </x:c>
      <x:c r="F2" s="8" t="n">
        <x:f>IFERROR(INDEX('02_RAW_INDEX'!$C:$C,MATCH($A2,'02_RAW_INDEX'!$A:$A,0)),"")</x:f>
        <x:v>4130</x:v>
      </x:c>
      <x:c r="G2" s="7" t="n">
        <x:f>'01_Ustawienia'!$B$6</x:f>
        <x:v>0</x:v>
      </x:c>
      <x:c r="H2" s="8" t="n">
        <x:f>IF(E2="","",ROUND(IF('01_Ustawienia'!$B$5="BRUTTO",F2,E2)*(1-G2),0))</x:f>
        <x:v>3358</x:v>
      </x:c>
      <x:c r="I2" s="7" t="n">
        <x:f>IFERROR(IFERROR(INDEX('01_Ustawienia'!$B$15:$B$33,MATCH(B2,'01_Ustawienia'!$A$15:$A$33,0)),0.45),0.45)</x:f>
        <x:v>0.45</x:v>
      </x:c>
      <x:c r="J2" s="8" t="n">
        <x:f>IF(H2="","",ROUND(H2*(1+I2),0))</x:f>
        <x:v>4869</x:v>
      </x:c>
      <x:c r="K2" s="8" t="n">
        <x:f>IFERROR(IFERROR(INDEX(EG_Cennik_uslug!$F:$F,MATCH($A2,EG_Cennik_uslug!$A:$A,0)),0),0)</x:f>
        <x:v>2550</x:v>
      </x:c>
      <x:c r="L2" s="8" t="n">
        <x:f>IFERROR(IFERROR(INDEX(EG_Cennik_uslug!$G:$G,MATCH($A2,EG_Cennik_uslug!$A:$A,0)),0),0)</x:f>
        <x:v>730</x:v>
      </x:c>
      <x:c r="M2" s="7" t="n">
        <x:f>IF('01_Ustawienia'!$B$4="ZWOLNIONY",0,'01_Ustawienia'!$B$7)</x:f>
        <x:v>0.08</x:v>
      </x:c>
      <x:c r="N2" s="8" t="n">
        <x:f>IF(J2="","",ROUND((J2+K2)*(1+M2),0))</x:f>
        <x:v>8013</x:v>
      </x:c>
      <x:c r="O2" s="8" t="n">
        <x:f>IF(J2="","",J2+K2-H2-L2)</x:f>
        <x:v>3331</x:v>
      </x:c>
      <x:c r="P2" s="7" t="n">
        <x:f>IFERROR(O2/(J2+K2),"")</x:f>
        <x:v>0.4489823426337781</x:v>
      </x:c>
      <x:c r="Q2" s="6" t="inlineStr">
        <x:is>
          <x:t xml:space="preserve">RAW_ZP B/C</x:t>
        </x:is>
      </x:c>
      <x:c r="R2" s="6" t="inlineStr">
        <x:is>
          <x:t xml:space="preserve">ZADASZENIE TARASU KONSTRUKCJA</x:t>
        </x:is>
      </x:c>
      <x:c r="S2" s="6" t="inlineStr">
        <x:is>
          <x:t xml:space="preserve">website+crm</x:t>
        </x:is>
      </x:c>
      <x:c r="T2" s="6" t="inlineStr">
        <x:is>
          <x:t xml:space="preserve">Baza dla kalkulatora</x:t>
        </x:is>
      </x:c>
    </x:row>
    <x:row r="3" s="655" customFormat="1" ht="30" customHeight="1">
      <x:c r="A3" s="6" t="inlineStr">
        <x:is>
          <x:t xml:space="preserve">300 x 306 cm</x:t>
        </x:is>
      </x:c>
      <x:c r="B3" s="6" t="inlineStr">
        <x:is>
          <x:t xml:space="preserve">ZS</x:t>
        </x:is>
      </x:c>
      <x:c r="C3" s="6" t="inlineStr">
        <x:is>
          <x:t xml:space="preserve">Zadaszenie szkło - pełna konstrukcja</x:t>
        </x:is>
      </x:c>
      <x:c r="D3" s="6" t="inlineStr">
        <x:is>
          <x:t xml:space="preserve">ZADASZENIE SZKŁO</x:t>
        </x:is>
      </x:c>
      <x:c r="E3" s="8" t="n">
        <x:f>IFERROR(INDEX('02_RAW_INDEX'!$V:$V,MATCH($A3,'02_RAW_INDEX'!$A:$A,0)),"")</x:f>
        <x:v>4699</x:v>
      </x:c>
      <x:c r="F3" s="8" t="n">
        <x:f>IFERROR(INDEX('02_RAW_INDEX'!$U:$U,MATCH($A3,'02_RAW_INDEX'!$A:$A,0)),"")</x:f>
        <x:v>5780</x:v>
      </x:c>
      <x:c r="G3" s="7" t="n">
        <x:f>'01_Ustawienia'!$B$6</x:f>
        <x:v>0</x:v>
      </x:c>
      <x:c r="H3" s="8" t="n">
        <x:f>IF(E3="","",ROUND(IF('01_Ustawienia'!$B$5="BRUTTO",F3,E3)*(1-G3),0))</x:f>
        <x:v>4699</x:v>
      </x:c>
      <x:c r="I3" s="7" t="n">
        <x:f>IFERROR(IFERROR(INDEX('01_Ustawienia'!$B$15:$B$33,MATCH(B3,'01_Ustawienia'!$A$15:$A$33,0)),0.45),0.45)</x:f>
        <x:v>0.45</x:v>
      </x:c>
      <x:c r="J3" s="8" t="n">
        <x:f>IF(H3="","",ROUND(H3*(1+I3),0))</x:f>
        <x:v>6814</x:v>
      </x:c>
      <x:c r="K3" s="8" t="n">
        <x:f>IFERROR(IFERROR(INDEX(EG_Cennik_uslug!$F:$F,MATCH($A3,EG_Cennik_uslug!$A:$A,0)),0),0)</x:f>
        <x:v>2550</x:v>
      </x:c>
      <x:c r="L3" s="8" t="n">
        <x:f>IFERROR(IFERROR(INDEX(EG_Cennik_uslug!$G:$G,MATCH($A3,EG_Cennik_uslug!$A:$A,0)),0),0)</x:f>
        <x:v>730</x:v>
      </x:c>
      <x:c r="M3" s="7" t="n">
        <x:f>IF('01_Ustawienia'!$B$4="ZWOLNIONY",0,'01_Ustawienia'!$B$7)</x:f>
        <x:v>0.08</x:v>
      </x:c>
      <x:c r="N3" s="8" t="n">
        <x:f>IF(J3="","",ROUND((J3+K3)*(1+M3),0))</x:f>
        <x:v>10113</x:v>
      </x:c>
      <x:c r="O3" s="8" t="n">
        <x:f>IF(J3="","",J3+K3-H3-L3)</x:f>
        <x:v>3935</x:v>
      </x:c>
      <x:c r="P3" s="7" t="n">
        <x:f>IFERROR(O3/(J3+K3),"")</x:f>
        <x:v>0.4202263989747971</x:v>
      </x:c>
      <x:c r="Q3" s="6" t="inlineStr">
        <x:is>
          <x:t xml:space="preserve">RAW_ZS B/C</x:t>
        </x:is>
      </x:c>
      <x:c r="R3" s="6" t="inlineStr">
        <x:is>
          <x:t xml:space="preserve">ZADASZENIE TARASU KONSTRUKCJA</x:t>
        </x:is>
      </x:c>
      <x:c r="S3" s="6" t="inlineStr">
        <x:is>
          <x:t xml:space="preserve">crm_only</x:t>
        </x:is>
      </x:c>
      <x:c r="T3" s="6" t="inlineStr">
        <x:is>
          <x:t xml:space="preserve">Referencyjne/full; strona zwykle używa ZP + PDS</x:t>
        </x:is>
      </x:c>
    </x:row>
    <x:row r="4" s="655" customFormat="1" ht="30" customHeight="1">
      <x:c r="A4" s="6" t="inlineStr">
        <x:is>
          <x:t xml:space="preserve">300 x 306 cm</x:t>
        </x:is>
      </x:c>
      <x:c r="B4" s="6" t="inlineStr">
        <x:is>
          <x:t xml:space="preserve">OP</x:t>
        </x:is>
      </x:c>
      <x:c r="C4" s="6" t="inlineStr">
        <x:is>
          <x:t xml:space="preserve">Ogród zimowy poliwęglan - baza</x:t>
        </x:is>
      </x:c>
      <x:c r="D4" s="6" t="inlineStr">
        <x:is>
          <x:t xml:space="preserve">OGRODY POLIWĘGLAN</x:t>
        </x:is>
      </x:c>
      <x:c r="E4" s="8" t="n">
        <x:f>IFERROR(INDEX('02_RAW_INDEX'!$Z:$Z,MATCH($A4,'02_RAW_INDEX'!$A:$A,0)),"")</x:f>
        <x:v>11382</x:v>
      </x:c>
      <x:c r="F4" s="8" t="n">
        <x:f>IFERROR(INDEX('02_RAW_INDEX'!$Y:$Y,MATCH($A4,'02_RAW_INDEX'!$A:$A,0)),"")</x:f>
        <x:v>14000</x:v>
      </x:c>
      <x:c r="G4" s="7" t="n">
        <x:f>'01_Ustawienia'!$B$6</x:f>
        <x:v>0</x:v>
      </x:c>
      <x:c r="H4" s="8" t="n">
        <x:f>IF(E4="","",ROUND(IF('01_Ustawienia'!$B$5="BRUTTO",F4,E4)*(1-G4),0))</x:f>
        <x:v>11382</x:v>
      </x:c>
      <x:c r="I4" s="7" t="n">
        <x:f>IFERROR(IFERROR(INDEX('01_Ustawienia'!$B$15:$B$33,MATCH(B4,'01_Ustawienia'!$A$15:$A$33,0)),0.45),0.45)</x:f>
        <x:v>0.45</x:v>
      </x:c>
      <x:c r="J4" s="8" t="n">
        <x:f>IF(H4="","",ROUND(H4*(1+I4),0))</x:f>
        <x:v>16504</x:v>
      </x:c>
      <x:c r="K4" s="8" t="n">
        <x:f>IFERROR(IFERROR(INDEX(EG_Cennik_uslug!$N:$N,MATCH($A4,EG_Cennik_uslug!$A:$A,0)),0),0)</x:f>
        <x:v>3460</x:v>
      </x:c>
      <x:c r="L4" s="8" t="n">
        <x:f>IFERROR(IFERROR(INDEX(EG_Cennik_uslug!$O:$O,MATCH($A4,EG_Cennik_uslug!$A:$A,0)),0),0)</x:f>
        <x:v>1020</x:v>
      </x:c>
      <x:c r="M4" s="7" t="n">
        <x:f>IF('01_Ustawienia'!$B$4="ZWOLNIONY",0,'01_Ustawienia'!$B$7)</x:f>
        <x:v>0.08</x:v>
      </x:c>
      <x:c r="N4" s="8" t="n">
        <x:f>IF(J4="","",ROUND((J4+K4)*(1+M4),0))</x:f>
        <x:v>21561</x:v>
      </x:c>
      <x:c r="O4" s="8" t="n">
        <x:f>IF(J4="","",J4+K4-H4-L4)</x:f>
        <x:v>7562</x:v>
      </x:c>
      <x:c r="P4" s="7" t="n">
        <x:f>IFERROR(O4/(J4+K4),"")</x:f>
        <x:v>0.3787818072530555</x:v>
      </x:c>
      <x:c r="Q4" s="6" t="inlineStr">
        <x:is>
          <x:t xml:space="preserve">RAW_OP B/C</x:t>
        </x:is>
      </x:c>
      <x:c r="R4" s="6" t="inlineStr">
        <x:is>
          <x:t xml:space="preserve">OGRÓD ZIMOWY (KONSTRUKCJA)</x:t>
        </x:is>
      </x:c>
      <x:c r="S4" s="6" t="inlineStr">
        <x:is>
          <x:t xml:space="preserve">website+crm</x:t>
        </x:is>
      </x:c>
      <x:c r="T4" s="6" t="inlineStr">
        <x:is>
          <x:t xml:space="preserve">Do wyliczenia dopłaty za ściany</x:t>
        </x:is>
      </x:c>
    </x:row>
    <x:row r="5" s="655" customFormat="1" ht="30" customHeight="1">
      <x:c r="A5" s="6" t="inlineStr">
        <x:is>
          <x:t xml:space="preserve">300 x 306 cm</x:t>
        </x:is>
      </x:c>
      <x:c r="B5" s="6" t="inlineStr">
        <x:is>
          <x:t xml:space="preserve">OS</x:t>
        </x:is>
      </x:c>
      <x:c r="C5" s="6" t="inlineStr">
        <x:is>
          <x:t xml:space="preserve">Ogród zimowy szkło - pełna konstrukcja</x:t>
        </x:is>
      </x:c>
      <x:c r="D5" s="6" t="inlineStr">
        <x:is>
          <x:t xml:space="preserve">OGRODY SZKŁO</x:t>
        </x:is>
      </x:c>
      <x:c r="E5" s="8" t="n">
        <x:f>IFERROR(INDEX('02_RAW_INDEX'!$AL:$AL,MATCH($A5,'02_RAW_INDEX'!$A:$A,0)),"")</x:f>
        <x:v>12992</x:v>
      </x:c>
      <x:c r="F5" s="8" t="n">
        <x:f>IFERROR(INDEX('02_RAW_INDEX'!$AK:$AK,MATCH($A5,'02_RAW_INDEX'!$A:$A,0)),"")</x:f>
        <x:v>15980</x:v>
      </x:c>
      <x:c r="G5" s="7" t="n">
        <x:f>'01_Ustawienia'!$B$6</x:f>
        <x:v>0</x:v>
      </x:c>
      <x:c r="H5" s="8" t="n">
        <x:f>IF(E5="","",ROUND(IF('01_Ustawienia'!$B$5="BRUTTO",F5,E5)*(1-G5),0))</x:f>
        <x:v>12992</x:v>
      </x:c>
      <x:c r="I5" s="7" t="n">
        <x:f>IFERROR(IFERROR(INDEX('01_Ustawienia'!$B$15:$B$33,MATCH(B5,'01_Ustawienia'!$A$15:$A$33,0)),0.45),0.45)</x:f>
        <x:v>0.45</x:v>
      </x:c>
      <x:c r="J5" s="8" t="n">
        <x:f>IF(H5="","",ROUND(H5*(1+I5),0))</x:f>
        <x:v>18838</x:v>
      </x:c>
      <x:c r="K5" s="8" t="n">
        <x:f>IFERROR(IFERROR(INDEX(EG_Cennik_uslug!$N:$N,MATCH($A5,EG_Cennik_uslug!$A:$A,0)),0),0)</x:f>
        <x:v>3460</x:v>
      </x:c>
      <x:c r="L5" s="8" t="n">
        <x:f>IFERROR(IFERROR(INDEX(EG_Cennik_uslug!$O:$O,MATCH($A5,EG_Cennik_uslug!$A:$A,0)),0),0)</x:f>
        <x:v>1020</x:v>
      </x:c>
      <x:c r="M5" s="7" t="n">
        <x:f>IF('01_Ustawienia'!$B$4="ZWOLNIONY",0,'01_Ustawienia'!$B$7)</x:f>
        <x:v>0.08</x:v>
      </x:c>
      <x:c r="N5" s="8" t="n">
        <x:f>IF(J5="","",ROUND((J5+K5)*(1+M5),0))</x:f>
        <x:v>24082</x:v>
      </x:c>
      <x:c r="O5" s="8" t="n">
        <x:f>IF(J5="","",J5+K5-H5-L5)</x:f>
        <x:v>8286</x:v>
      </x:c>
      <x:c r="P5" s="7" t="n">
        <x:f>IFERROR(O5/(J5+K5),"")</x:f>
        <x:v>0.3716028343349179</x:v>
      </x:c>
      <x:c r="Q5" s="6" t="inlineStr">
        <x:is>
          <x:t xml:space="preserve">RAW_OS B/C</x:t>
        </x:is>
      </x:c>
      <x:c r="R5" s="6" t="inlineStr">
        <x:is>
          <x:t xml:space="preserve">OGRÓD ZIMOWY (KONSTRUKCJA)</x:t>
        </x:is>
      </x:c>
      <x:c r="S5" s="6" t="inlineStr">
        <x:is>
          <x:t xml:space="preserve">crm_only</x:t>
        </x:is>
      </x:c>
      <x:c r="T5" s="6" t="inlineStr">
        <x:is>
          <x:t xml:space="preserve">Referencyjne/full</x:t>
        </x:is>
      </x:c>
    </x:row>
    <x:row r="6" s="655" customFormat="1" ht="30" customHeight="1">
      <x:c r="A6" s="6" t="inlineStr">
        <x:is>
          <x:t xml:space="preserve">300 x 306 cm</x:t>
        </x:is>
      </x:c>
      <x:c r="B6" s="6" t="inlineStr">
        <x:is>
          <x:t xml:space="preserve">PDS</x:t>
        </x:is>
      </x:c>
      <x:c r="C6" s="6" t="inlineStr">
        <x:is>
          <x:t xml:space="preserve">Dopłata dach szkło przezroczyste</x:t>
        </x:is>
      </x:c>
      <x:c r="D6" s="6" t="inlineStr">
        <x:is>
          <x:t xml:space="preserve">POKRYCIE DACHU SZKŁO</x:t>
        </x:is>
      </x:c>
      <x:c r="E6" s="8" t="n">
        <x:f>IFERROR(IFERROR(INDEX('02_RAW_INDEX'!$V:$V,MATCH($A6,'02_RAW_INDEX'!$A:$A,0)),"")-IFERROR(INDEX('02_RAW_INDEX'!$D:$D,MATCH($A6,'02_RAW_INDEX'!$A:$A,0)),""),"")</x:f>
        <x:v>1341</x:v>
      </x:c>
      <x:c r="F6" s="8" t="n">
        <x:f>IFERROR(IFERROR(INDEX('02_RAW_INDEX'!$U:$U,MATCH($A6,'02_RAW_INDEX'!$A:$A,0)),"")-IFERROR(INDEX('02_RAW_INDEX'!$C:$C,MATCH($A6,'02_RAW_INDEX'!$A:$A,0)),""),"")</x:f>
        <x:v>1650</x:v>
      </x:c>
      <x:c r="G6" s="7" t="n">
        <x:f>'01_Ustawienia'!$B$6</x:f>
        <x:v>0</x:v>
      </x:c>
      <x:c r="H6" s="8" t="n">
        <x:f>IF(E6="","",ROUND(IF('01_Ustawienia'!$B$5="BRUTTO",F6,E6)*(1-G6),0))</x:f>
        <x:v>1341</x:v>
      </x:c>
      <x:c r="I6" s="7" t="n">
        <x:f>IFERROR(IFERROR(INDEX('01_Ustawienia'!$B$15:$B$33,MATCH(B6,'01_Ustawienia'!$A$15:$A$33,0)),0.45),0.45)</x:f>
        <x:v>0.45</x:v>
      </x:c>
      <x:c r="J6" s="8" t="n">
        <x:f>IF(H6="","",ROUND(H6*(1+I6),0))</x:f>
        <x:v>1944</x:v>
      </x:c>
      <x:c r="K6" s="8" t="n">
        <x:f>0</x:f>
        <x:v>0</x:v>
      </x:c>
      <x:c r="L6" s="8" t="n">
        <x:v>0</x:v>
      </x:c>
      <x:c r="M6" s="7" t="n">
        <x:f>IF('01_Ustawienia'!$B$4="ZWOLNIONY",0,'01_Ustawienia'!$B$7)</x:f>
        <x:v>0.08</x:v>
      </x:c>
      <x:c r="N6" s="8" t="n">
        <x:f>IF(J6="","",ROUND((J6+K6)*(1+M6),0))</x:f>
        <x:v>2100</x:v>
      </x:c>
      <x:c r="O6" s="8" t="n">
        <x:f>IF(J6="","",J6+K6-H6-L6)</x:f>
        <x:v>603</x:v>
      </x:c>
      <x:c r="P6" s="7" t="n">
        <x:f>IFERROR(O6/(J6+K6),"")</x:f>
        <x:v>0.3101851851851852</x:v>
      </x:c>
      <x:c r="Q6" s="6" t="inlineStr">
        <x:is>
          <x:t xml:space="preserve">RAW_ZS - RAW_ZP</x:t>
        </x:is>
      </x:c>
      <x:c r="R6" s="6" t="inlineStr">
        <x:is>
          <x:t xml:space="preserve">POKRYCIE DACHU</x:t>
        </x:is>
      </x:c>
      <x:c r="S6" s="6" t="inlineStr">
        <x:is>
          <x:t xml:space="preserve">website+crm</x:t>
        </x:is>
      </x:c>
      <x:c r="T6" s="6" t="inlineStr">
        <x:is>
          <x:t xml:space="preserve">Dopłata do bazowego dachu poliwęglan | FIX17: Wynagr.+koszty = 0 dla dopłaty; nie jest osobnym montażem ekipy.</x:t>
        </x:is>
      </x:c>
    </x:row>
    <x:row r="7" s="655" customFormat="1" ht="30" customHeight="1">
      <x:c r="A7" s="6" t="inlineStr">
        <x:is>
          <x:t xml:space="preserve">300 x 306 cm</x:t>
        </x:is>
      </x:c>
      <x:c r="B7" s="6" t="inlineStr">
        <x:is>
          <x:t xml:space="preserve">PDSB</x:t>
        </x:is>
      </x:c>
      <x:c r="C7" s="6" t="inlineStr">
        <x:is>
          <x:t xml:space="preserve">Dopłata dach szkło barwione/mleczne</x:t>
        </x:is>
      </x:c>
      <x:c r="D7" s="6" t="inlineStr">
        <x:is>
          <x:t xml:space="preserve">POKRYCIE DACHU SZKŁO BARWIONE</x:t>
        </x:is>
      </x:c>
      <x:c r="E7" s="8" t="n">
        <x:f>IFERROR(INDEX('02_RAW_INDEX'!$X:$X,MATCH($A7,'02_RAW_INDEX'!$A:$A,0)),"")</x:f>
        <x:v>276</x:v>
      </x:c>
      <x:c r="F7" s="8" t="n">
        <x:f>IFERROR(INDEX('02_RAW_INDEX'!$W:$W,MATCH($A7,'02_RAW_INDEX'!$A:$A,0)),"")</x:f>
        <x:v>340</x:v>
      </x:c>
      <x:c r="G7" s="7" t="n">
        <x:f>'01_Ustawienia'!$B$6</x:f>
        <x:v>0</x:v>
      </x:c>
      <x:c r="H7" s="8" t="n">
        <x:f>IF(E7="","",ROUND(IF('01_Ustawienia'!$B$5="BRUTTO",F7,E7)*(1-G7),0))</x:f>
        <x:v>276</x:v>
      </x:c>
      <x:c r="I7" s="7" t="n">
        <x:f>IFERROR(IFERROR(INDEX('01_Ustawienia'!$B$15:$B$33,MATCH(B7,'01_Ustawienia'!$A$15:$A$33,0)),0.45),0.45)</x:f>
        <x:v>0.45</x:v>
      </x:c>
      <x:c r="J7" s="8" t="n">
        <x:f>IF(H7="","",ROUND(H7*(1+I7),0))</x:f>
        <x:v>400</x:v>
      </x:c>
      <x:c r="K7" s="8" t="n">
        <x:f>0</x:f>
        <x:v>0</x:v>
      </x:c>
      <x:c r="L7" s="8" t="n">
        <x:v>0</x:v>
      </x:c>
      <x:c r="M7" s="7" t="n">
        <x:f>IF('01_Ustawienia'!$B$4="ZWOLNIONY",0,'01_Ustawienia'!$B$7)</x:f>
        <x:v>0.08</x:v>
      </x:c>
      <x:c r="N7" s="8" t="n">
        <x:f>IF(J7="","",ROUND((J7+K7)*(1+M7),0))</x:f>
        <x:v>432</x:v>
      </x:c>
      <x:c r="O7" s="8" t="n">
        <x:f>IF(J7="","",J7+K7-H7-L7)</x:f>
        <x:v>124</x:v>
      </x:c>
      <x:c r="P7" s="7" t="n">
        <x:f>IFERROR(O7/(J7+K7),"")</x:f>
        <x:v>0.31</x:v>
      </x:c>
      <x:c r="Q7" s="6" t="inlineStr">
        <x:is>
          <x:t xml:space="preserve">RAW_ZS D/E</x:t>
        </x:is>
      </x:c>
      <x:c r="R7" s="6" t="inlineStr">
        <x:is>
          <x:t xml:space="preserve">POKRYCIE DACHU</x:t>
        </x:is>
      </x:c>
      <x:c r="S7" s="6" t="inlineStr">
        <x:is>
          <x:t xml:space="preserve">website+crm</x:t>
        </x:is>
      </x:c>
      <x:c r="T7" s="6" t="inlineStr">
        <x:is>
          <x:t xml:space="preserve">Dodawane do PDS | FIX17: Wynagr.+koszty = 0 dla dopłaty; nie jest osobnym montażem ekipy.</x:t>
        </x:is>
      </x:c>
    </x:row>
    <x:row r="8" s="655" customFormat="1" ht="30" customHeight="1">
      <x:c r="A8" s="6" t="inlineStr">
        <x:is>
          <x:t xml:space="preserve">300 x 306 cm</x:t>
        </x:is>
      </x:c>
      <x:c r="B8" s="6" t="inlineStr">
        <x:is>
          <x:t xml:space="preserve">PDPB</x:t>
        </x:is>
      </x:c>
      <x:c r="C8" s="6" t="inlineStr">
        <x:is>
          <x:t xml:space="preserve">Dopłata poliwęglan barwiony</x:t>
        </x:is>
      </x:c>
      <x:c r="D8" s="6" t="inlineStr">
        <x:is>
          <x:t xml:space="preserve">POKRYCIE DACHU POLIWĘGLAN BARWIONY</x:t>
        </x:is>
      </x:c>
      <x:c r="E8" s="8" t="n">
        <x:f>IFERROR(INDEX('02_RAW_INDEX'!$F:$F,MATCH($A8,'02_RAW_INDEX'!$A:$A,0)),"")</x:f>
        <x:v>98</x:v>
      </x:c>
      <x:c r="F8" s="8" t="n">
        <x:f>IFERROR(INDEX('02_RAW_INDEX'!$E:$E,MATCH($A8,'02_RAW_INDEX'!$A:$A,0)),"")</x:f>
        <x:v>120</x:v>
      </x:c>
      <x:c r="G8" s="7" t="n">
        <x:f>'01_Ustawienia'!$B$6</x:f>
        <x:v>0</x:v>
      </x:c>
      <x:c r="H8" s="8" t="n">
        <x:f>IF(E8="","",ROUND(IF('01_Ustawienia'!$B$5="BRUTTO",F8,E8)*(1-G8),0))</x:f>
        <x:v>98</x:v>
      </x:c>
      <x:c r="I8" s="7" t="n">
        <x:f>IFERROR(IFERROR(INDEX('01_Ustawienia'!$B$15:$B$33,MATCH(B8,'01_Ustawienia'!$A$15:$A$33,0)),0.45),0.45)</x:f>
        <x:v>0.45</x:v>
      </x:c>
      <x:c r="J8" s="8" t="n">
        <x:f>IF(H8="","",ROUND(H8*(1+I8),0))</x:f>
        <x:v>142</x:v>
      </x:c>
      <x:c r="K8" s="8" t="n">
        <x:f>0</x:f>
        <x:v>0</x:v>
      </x:c>
      <x:c r="L8" s="8" t="n">
        <x:v>0</x:v>
      </x:c>
      <x:c r="M8" s="7" t="n">
        <x:f>IF('01_Ustawienia'!$B$4="ZWOLNIONY",0,'01_Ustawienia'!$B$7)</x:f>
        <x:v>0.08</x:v>
      </x:c>
      <x:c r="N8" s="8" t="n">
        <x:f>IF(J8="","",ROUND((J8+K8)*(1+M8),0))</x:f>
        <x:v>153</x:v>
      </x:c>
      <x:c r="O8" s="8" t="n">
        <x:f>IF(J8="","",J8+K8-H8-L8)</x:f>
        <x:v>44</x:v>
      </x:c>
      <x:c r="P8" s="7" t="n">
        <x:f>IFERROR(O8/(J8+K8),"")</x:f>
        <x:v>0.30985915492957744</x:v>
      </x:c>
      <x:c r="Q8" s="6" t="inlineStr">
        <x:is>
          <x:t xml:space="preserve">RAW_ZP D/E</x:t>
        </x:is>
      </x:c>
      <x:c r="R8" s="6" t="inlineStr">
        <x:is>
          <x:t xml:space="preserve">POKRYCIE DACHU</x:t>
        </x:is>
      </x:c>
      <x:c r="S8" s="6" t="inlineStr">
        <x:is>
          <x:t xml:space="preserve">website+crm</x:t>
        </x:is>
      </x:c>
      <x:c r="T8" s="6" t="inlineStr">
        <x:is>
          <x:t xml:space="preserve">FIX17: Wynagr.+koszty = 0 dla dopłaty; nie jest osobnym montażem ekipy.</x:t>
        </x:is>
      </x:c>
    </x:row>
    <x:row r="9" s="655" customFormat="1" ht="30" customHeight="1">
      <x:c r="A9" s="6" t="inlineStr">
        <x:is>
          <x:t xml:space="preserve">300 x 306 cm</x:t>
        </x:is>
      </x:c>
      <x:c r="B9" s="6" t="inlineStr">
        <x:is>
          <x:t xml:space="preserve">SBB</x:t>
        </x:is>
      </x:c>
      <x:c r="C9" s="6" t="inlineStr">
        <x:is>
          <x:t xml:space="preserve">Dopłata szkło boczne przyciemniane</x:t>
        </x:is>
      </x:c>
      <x:c r="D9" s="6" t="inlineStr">
        <x:is>
          <x:t xml:space="preserve">SZKŁO BOCZNE BARWIONE</x:t>
        </x:is>
      </x:c>
      <x:c r="E9" s="8" t="n">
        <x:f>IFERROR(INDEX('02_RAW_INDEX'!$AB:$AB,MATCH($A9,'02_RAW_INDEX'!$A:$A,0)),"")</x:f>
        <x:v>878</x:v>
      </x:c>
      <x:c r="F9" s="8" t="n">
        <x:f>IFERROR(INDEX('02_RAW_INDEX'!$AA:$AA,MATCH($A9,'02_RAW_INDEX'!$A:$A,0)),"")</x:f>
        <x:v>1080</x:v>
      </x:c>
      <x:c r="G9" s="7" t="n">
        <x:f>'01_Ustawienia'!$B$6</x:f>
        <x:v>0</x:v>
      </x:c>
      <x:c r="H9" s="8" t="n">
        <x:f>IF(E9="","",ROUND(IF('01_Ustawienia'!$B$5="BRUTTO",F9,E9)*(1-G9),0))</x:f>
        <x:v>878</x:v>
      </x:c>
      <x:c r="I9" s="7" t="n">
        <x:f>IFERROR(IFERROR(INDEX('01_Ustawienia'!$B$15:$B$33,MATCH(B9,'01_Ustawienia'!$A$15:$A$33,0)),0.45),0.45)</x:f>
        <x:v>0.45</x:v>
      </x:c>
      <x:c r="J9" s="8" t="n">
        <x:f>IF(H9="","",ROUND(H9*(1+I9),0))</x:f>
        <x:v>1273</x:v>
      </x:c>
      <x:c r="K9" s="8" t="n">
        <x:f>0</x:f>
        <x:v>0</x:v>
      </x:c>
      <x:c r="L9" s="8" t="n">
        <x:v>0</x:v>
      </x:c>
      <x:c r="M9" s="7" t="n">
        <x:f>IF('01_Ustawienia'!$B$4="ZWOLNIONY",0,'01_Ustawienia'!$B$7)</x:f>
        <x:v>0.08</x:v>
      </x:c>
      <x:c r="N9" s="8" t="n">
        <x:f>IF(J9="","",ROUND((J9+K9)*(1+M9),0))</x:f>
        <x:v>1375</x:v>
      </x:c>
      <x:c r="O9" s="8" t="n">
        <x:f>IF(J9="","",J9+K9-H9-L9)</x:f>
        <x:v>395</x:v>
      </x:c>
      <x:c r="P9" s="7" t="n">
        <x:f>IFERROR(O9/(J9+K9),"")</x:f>
        <x:v>0.3102906520031422</x:v>
      </x:c>
      <x:c r="Q9" s="6" t="inlineStr">
        <x:is>
          <x:t xml:space="preserve">RAW_OP H/I</x:t>
        </x:is>
      </x:c>
      <x:c r="R9" s="6" t="inlineStr">
        <x:is>
          <x:t xml:space="preserve">SZYBY BOCZNE</x:t>
        </x:is>
      </x:c>
      <x:c r="S9" s="6" t="inlineStr">
        <x:is>
          <x:t xml:space="preserve">website+crm</x:t>
        </x:is>
      </x:c>
      <x:c r="T9" s="6" t="inlineStr">
        <x:is>
          <x:t xml:space="preserve">Dodawane do ścian przezroczystych | FIX17: Wynagr.+koszty = 0 dla dopłaty; nie jest osobnym montażem ekipy.</x:t>
        </x:is>
      </x:c>
    </x:row>
    <x:row r="10">
      <x:c r="A10" s="6" t="inlineStr">
        <x:is>
          <x:t xml:space="preserve">300 x 306 cm</x:t>
        </x:is>
      </x:c>
      <x:c r="B10" s="6" t="inlineStr">
        <x:is>
          <x:t xml:space="preserve">RB</x:t>
        </x:is>
      </x:c>
      <x:c r="C10" s="6" t="inlineStr">
        <x:is>
          <x:t xml:space="preserve">Roleta boczna ZIP</x:t>
        </x:is>
      </x:c>
      <x:c r="D10" s="6" t="inlineStr">
        <x:is>
          <x:t xml:space="preserve">ROLETA BOCZNA</x:t>
        </x:is>
      </x:c>
      <x:c r="E10" s="8" t="n">
        <x:f>IFERROR(INDEX('02_RAW_INDEX'!$J:$J,MATCH($A10,'02_RAW_INDEX'!$A:$A,0)),"")</x:f>
        <x:v>1740</x:v>
      </x:c>
      <x:c r="F10" s="8" t="n">
        <x:f>IFERROR(INDEX('02_RAW_INDEX'!$I:$I,MATCH($A10,'02_RAW_INDEX'!$A:$A,0)),"")</x:f>
        <x:v>2140</x:v>
      </x:c>
      <x:c r="G10" s="7" t="n">
        <x:f>'01_Ustawienia'!$B$6</x:f>
        <x:v>0</x:v>
      </x:c>
      <x:c r="H10" s="8" t="n">
        <x:f>IF(E10="","",ROUND(IF('01_Ustawienia'!$B$5="BRUTTO",F10,E10)*(1-G10),0))</x:f>
        <x:v>1740</x:v>
      </x:c>
      <x:c r="I10" s="7" t="n">
        <x:f>IFERROR(IFERROR(INDEX('01_Ustawienia'!$B$15:$B$33,MATCH(B10,'01_Ustawienia'!$A$15:$A$33,0)),0.45),0.45)</x:f>
        <x:v>0.45</x:v>
      </x:c>
      <x:c r="J10" s="8" t="n">
        <x:f>IF(H10="","",ROUND(H10*(1+I10),0))</x:f>
        <x:v>2523</x:v>
      </x:c>
      <x:c r="K10" s="8" t="n">
        <x:f>0</x:f>
        <x:v>0</x:v>
      </x:c>
      <x:c r="L10" s="8" t="n">
        <x:f>IFERROR(IFERROR(INDEX(EG_Cennik_uslug!$AC:$AC,MATCH($A10,EG_Cennik_uslug!$A:$A,0)),0),0)</x:f>
        <x:v>150</x:v>
      </x:c>
      <x:c r="M10" s="7" t="n">
        <x:f>IF('01_Ustawienia'!$B$4="ZWOLNIONY",0,'01_Ustawienia'!$B$7)</x:f>
        <x:v>0.08</x:v>
      </x:c>
      <x:c r="N10" s="8" t="n">
        <x:f>IF(J10="","",ROUND((J10+K10)*(1+M10),0))</x:f>
        <x:v>2725</x:v>
      </x:c>
      <x:c r="O10" s="8" t="n">
        <x:f>IF(J10="","",J10+K10-H10-L10)</x:f>
        <x:v>633</x:v>
      </x:c>
      <x:c r="P10" s="7" t="n">
        <x:f>IFERROR(O10/(J10+K10),"")</x:f>
        <x:v>0.25089179548156954</x:v>
      </x:c>
      <x:c r="Q10" s="6" t="inlineStr">
        <x:is>
          <x:t xml:space="preserve">RAW_ZP J/K</x:t>
        </x:is>
      </x:c>
      <x:c r="R10" s="6" t="inlineStr">
        <x:is>
          <x:t xml:space="preserve">ROLETY BOCZNE</x:t>
        </x:is>
      </x:c>
      <x:c r="S10" s="6" t="inlineStr">
        <x:is>
          <x:t xml:space="preserve">website+crm</x:t>
        </x:is>
      </x:c>
      <x:c r="T10" s="6" t="inlineStr">
        <x:is>
          <x:t xml:space="preserve">Używana dla lewej i prawej</x:t>
        </x:is>
      </x:c>
    </x:row>
    <x:row r="11">
      <x:c r="A11" s="6" t="inlineStr">
        <x:is>
          <x:t xml:space="preserve">300 x 306 cm</x:t>
        </x:is>
      </x:c>
      <x:c r="B11" s="6" t="inlineStr">
        <x:is>
          <x:t xml:space="preserve">RP</x:t>
        </x:is>
      </x:c>
      <x:c r="C11" s="6" t="inlineStr">
        <x:is>
          <x:t xml:space="preserve">Roleta przednia ZIP</x:t>
        </x:is>
      </x:c>
      <x:c r="D11" s="6" t="inlineStr">
        <x:is>
          <x:t xml:space="preserve">ROLETA PRZÓD</x:t>
        </x:is>
      </x:c>
      <x:c r="E11" s="8" t="n">
        <x:f>IFERROR(INDEX('02_RAW_INDEX'!$L:$L,MATCH($A11,'02_RAW_INDEX'!$A:$A,0)),"")</x:f>
        <x:v>1740</x:v>
      </x:c>
      <x:c r="F11" s="8" t="n">
        <x:f>IFERROR(INDEX('02_RAW_INDEX'!$K:$K,MATCH($A11,'02_RAW_INDEX'!$A:$A,0)),"")</x:f>
        <x:v>2140</x:v>
      </x:c>
      <x:c r="G11" s="7" t="n">
        <x:f>'01_Ustawienia'!$B$6</x:f>
        <x:v>0</x:v>
      </x:c>
      <x:c r="H11" s="8" t="n">
        <x:f>IF(E11="","",ROUND(IF('01_Ustawienia'!$B$5="BRUTTO",F11,E11)*(1-G11),0))</x:f>
        <x:v>1740</x:v>
      </x:c>
      <x:c r="I11" s="7" t="n">
        <x:f>IFERROR(IFERROR(INDEX('01_Ustawienia'!$B$15:$B$33,MATCH(B11,'01_Ustawienia'!$A$15:$A$33,0)),0.45),0.45)</x:f>
        <x:v>0.45</x:v>
      </x:c>
      <x:c r="J11" s="8" t="n">
        <x:f>IF(H11="","",ROUND(H11*(1+I11),0))</x:f>
        <x:v>2523</x:v>
      </x:c>
      <x:c r="K11" s="8" t="n">
        <x:f>0</x:f>
        <x:v>0</x:v>
      </x:c>
      <x:c r="L11" s="8" t="n">
        <x:f>IFERROR(IFERROR(INDEX(EG_Cennik_uslug!$AJ:$AJ,MATCH($A11,EG_Cennik_uslug!$A:$A,0)),0),0)</x:f>
        <x:v>150</x:v>
      </x:c>
      <x:c r="M11" s="7" t="n">
        <x:f>IF('01_Ustawienia'!$B$4="ZWOLNIONY",0,'01_Ustawienia'!$B$7)</x:f>
        <x:v>0.08</x:v>
      </x:c>
      <x:c r="N11" s="8" t="n">
        <x:f>IF(J11="","",ROUND((J11+K11)*(1+M11),0))</x:f>
        <x:v>2725</x:v>
      </x:c>
      <x:c r="O11" s="8" t="n">
        <x:f>IF(J11="","",J11+K11-H11-L11)</x:f>
        <x:v>633</x:v>
      </x:c>
      <x:c r="P11" s="7" t="n">
        <x:f>IFERROR(O11/(J11+K11),"")</x:f>
        <x:v>0.25089179548156954</x:v>
      </x:c>
      <x:c r="Q11" s="6" t="inlineStr">
        <x:is>
          <x:t xml:space="preserve">RAW_ZP N/O</x:t>
        </x:is>
      </x:c>
      <x:c r="R11" s="6" t="inlineStr">
        <x:is>
          <x:t xml:space="preserve">ROLETY BOCZNE</x:t>
        </x:is>
      </x:c>
      <x:c r="S11" s="6" t="inlineStr">
        <x:is>
          <x:t xml:space="preserve">website+crm</x:t>
        </x:is>
      </x:c>
      <x:c r="T11" s="6" t="n"/>
    </x:row>
    <x:row r="12">
      <x:c r="A12" s="6" t="inlineStr">
        <x:is>
          <x:t xml:space="preserve">300 x 306 cm</x:t>
        </x:is>
      </x:c>
      <x:c r="B12" s="6" t="inlineStr">
        <x:is>
          <x:t xml:space="preserve">M</x:t>
        </x:is>
      </x:c>
      <x:c r="C12" s="6" t="inlineStr">
        <x:is>
          <x:t xml:space="preserve">Markiza dachowa</x:t>
        </x:is>
      </x:c>
      <x:c r="D12" s="6" t="inlineStr">
        <x:is>
          <x:t xml:space="preserve">MARKIZA</x:t>
        </x:is>
      </x:c>
      <x:c r="E12" s="8" t="n">
        <x:f>IFERROR(INDEX('02_RAW_INDEX'!$H:$H,MATCH($A12,'02_RAW_INDEX'!$A:$A,0)),"")</x:f>
        <x:v>3171</x:v>
      </x:c>
      <x:c r="F12" s="8" t="n">
        <x:f>IFERROR(INDEX('02_RAW_INDEX'!$G:$G,MATCH($A12,'02_RAW_INDEX'!$A:$A,0)),"")</x:f>
        <x:v>3900</x:v>
      </x:c>
      <x:c r="G12" s="7" t="n">
        <x:f>'01_Ustawienia'!$B$6</x:f>
        <x:v>0</x:v>
      </x:c>
      <x:c r="H12" s="8" t="n">
        <x:f>IF(E12="","",ROUND(IF('01_Ustawienia'!$B$5="BRUTTO",F12,E12)*(1-G12),0))</x:f>
        <x:v>3171</x:v>
      </x:c>
      <x:c r="I12" s="7" t="n">
        <x:f>IFERROR(IFERROR(INDEX('01_Ustawienia'!$B$15:$B$33,MATCH(B12,'01_Ustawienia'!$A$15:$A$33,0)),0.45),0.45)</x:f>
        <x:v>0.45</x:v>
      </x:c>
      <x:c r="J12" s="8" t="n">
        <x:f>IF(H12="","",ROUND(H12*(1+I12),0))</x:f>
        <x:v>4598</x:v>
      </x:c>
      <x:c r="K12" s="8" t="n">
        <x:f>0</x:f>
        <x:v>0</x:v>
      </x:c>
      <x:c r="L12" s="8" t="n">
        <x:f>IFERROR(IFERROR(INDEX(EG_Cennik_uslug!$AQ:$AQ,MATCH($A12,EG_Cennik_uslug!$A:$A,0)),0),0)</x:f>
        <x:v>200</x:v>
      </x:c>
      <x:c r="M12" s="7" t="n">
        <x:f>IF('01_Ustawienia'!$B$4="ZWOLNIONY",0,'01_Ustawienia'!$B$7)</x:f>
        <x:v>0.08</x:v>
      </x:c>
      <x:c r="N12" s="8" t="n">
        <x:f>IF(J12="","",ROUND((J12+K12)*(1+M12),0))</x:f>
        <x:v>4966</x:v>
      </x:c>
      <x:c r="O12" s="8" t="n">
        <x:f>IF(J12="","",J12+K12-H12-L12)</x:f>
        <x:v>1227</x:v>
      </x:c>
      <x:c r="P12" s="7" t="n">
        <x:f>IFERROR(O12/(J12+K12),"")</x:f>
        <x:v>0.26685515441496305</x:v>
      </x:c>
      <x:c r="Q12" s="6" t="inlineStr">
        <x:is>
          <x:t xml:space="preserve">RAW_ZP H/I</x:t>
        </x:is>
      </x:c>
      <x:c r="R12" s="6" t="inlineStr">
        <x:is>
          <x:t xml:space="preserve">MARKIZA</x:t>
        </x:is>
      </x:c>
      <x:c r="S12" s="6" t="inlineStr">
        <x:is>
          <x:t xml:space="preserve">website+crm</x:t>
        </x:is>
      </x:c>
      <x:c r="T12" s="6" t="n"/>
    </x:row>
    <x:row r="13">
      <x:c r="A13" s="6" t="inlineStr">
        <x:is>
          <x:t xml:space="preserve">300 x 306 cm</x:t>
        </x:is>
      </x:c>
      <x:c r="B13" s="6" t="inlineStr">
        <x:is>
          <x:t xml:space="preserve">PDWP</x:t>
        </x:is>
      </x:c>
      <x:c r="C13" s="6" t="inlineStr">
        <x:is>
          <x:t xml:space="preserve">Fundament/profile</x:t>
        </x:is>
      </x:c>
      <x:c r="D13" s="6" t="inlineStr">
        <x:is>
          <x:t xml:space="preserve">FUNDAMENT / PROFILE</x:t>
        </x:is>
      </x:c>
      <x:c r="E13" s="8" t="n">
        <x:f>IFERROR(INDEX('02_RAW_INDEX'!$AH:$AH,MATCH($A13,'02_RAW_INDEX'!$A:$A,0)),"")</x:f>
        <x:v>537</x:v>
      </x:c>
      <x:c r="F13" s="8" t="n">
        <x:f>IFERROR(INDEX('02_RAW_INDEX'!$AG:$AG,MATCH($A13,'02_RAW_INDEX'!$A:$A,0)),"")</x:f>
        <x:v>660</x:v>
      </x:c>
      <x:c r="G13" s="7" t="n">
        <x:f>'01_Ustawienia'!$B$6</x:f>
        <x:v>0</x:v>
      </x:c>
      <x:c r="H13" s="8" t="n">
        <x:f>IF(E13="","",ROUND(IF('01_Ustawienia'!$B$5="BRUTTO",F13,E13)*(1-G13),0))</x:f>
        <x:v>537</x:v>
      </x:c>
      <x:c r="I13" s="7" t="n">
        <x:f>IFERROR(IFERROR(INDEX('01_Ustawienia'!$B$15:$B$33,MATCH(B13,'01_Ustawienia'!$A$15:$A$33,0)),0.45),0.45)</x:f>
        <x:v>1.2</x:v>
      </x:c>
      <x:c r="J13" s="8" t="n">
        <x:f>IF(H13="","",ROUND(H13*(1+I13),0))</x:f>
        <x:v>1181</x:v>
      </x:c>
      <x:c r="K13" s="8" t="n">
        <x:f>0</x:f>
        <x:v>0</x:v>
      </x:c>
      <x:c r="L13" s="8" t="n">
        <x:f>IFERROR(IFERROR(INDEX(EG_Cennik_uslug!$BT:$BT,MATCH($A13,EG_Cennik_uslug!$A:$A,0)),0),0)</x:f>
        <x:v>250</x:v>
      </x:c>
      <x:c r="M13" s="7" t="n">
        <x:f>IF('01_Ustawienia'!$B$4="ZWOLNIONY",0,'01_Ustawienia'!$B$7)</x:f>
        <x:v>0.08</x:v>
      </x:c>
      <x:c r="N13" s="8" t="n">
        <x:f>IF(J13="","",ROUND((J13+K13)*(1+M13),0))</x:f>
        <x:v>1275</x:v>
      </x:c>
      <x:c r="O13" s="8" t="n">
        <x:f>IF(J13="","",J13+K13-H13-L13)</x:f>
        <x:v>394</x:v>
      </x:c>
      <x:c r="P13" s="7" t="n">
        <x:f>IFERROR(O13/(J13+K13),"")</x:f>
        <x:v>0.3336155800169348</x:v>
      </x:c>
      <x:c r="Q13" s="6" t="inlineStr">
        <x:is>
          <x:t xml:space="preserve">RAW_OP AB/AC</x:t>
        </x:is>
      </x:c>
      <x:c r="R13" s="6" t="inlineStr">
        <x:is>
          <x:t xml:space="preserve">FUNDAMENT (PROFILE)</x:t>
        </x:is>
      </x:c>
      <x:c r="S13" s="6" t="inlineStr">
        <x:is>
          <x:t xml:space="preserve">website+crm</x:t>
        </x:is>
      </x:c>
      <x:c r="T13" s="6" t="n"/>
    </x:row>
    <x:row r="14" s="655" customFormat="1" ht="30" customHeight="1">
      <x:c r="A14" s="6" t="inlineStr">
        <x:is>
          <x:t xml:space="preserve">300 x 306 cm</x:t>
        </x:is>
      </x:c>
      <x:c r="B14" s="6" t="inlineStr">
        <x:is>
          <x:t xml:space="preserve">ZAB</x:t>
        </x:is>
      </x:c>
      <x:c r="C14" s="6" t="inlineStr">
        <x:is>
          <x:t xml:space="preserve">Zabieraki do ścian przesuwnych</x:t>
        </x:is>
      </x:c>
      <x:c r="D14" s="6" t="inlineStr">
        <x:is>
          <x:t xml:space="preserve">DODATKI</x:t>
        </x:is>
      </x:c>
      <x:c r="E14" s="8" t="n">
        <x:f>IFERROR(INDEX('02_RAW_INDEX'!$AJ:$AJ,MATCH($A14,'02_RAW_INDEX'!$A:$A,0)),"")</x:f>
        <x:v>195</x:v>
      </x:c>
      <x:c r="F14" s="8" t="n">
        <x:f>IFERROR(INDEX('02_RAW_INDEX'!$AI:$AI,MATCH($A14,'02_RAW_INDEX'!$A:$A,0)),"")</x:f>
        <x:v>240</x:v>
      </x:c>
      <x:c r="G14" s="7" t="n">
        <x:f>'01_Ustawienia'!$B$6</x:f>
        <x:v>0</x:v>
      </x:c>
      <x:c r="H14" s="8" t="n">
        <x:f>IF(E14="","",ROUND(IF('01_Ustawienia'!$B$5="BRUTTO",F14,E14)*(1-G14),0))</x:f>
        <x:v>195</x:v>
      </x:c>
      <x:c r="I14" s="7" t="n">
        <x:f>IFERROR(IFERROR(INDEX('01_Ustawienia'!$B$15:$B$33,MATCH(B14,'01_Ustawienia'!$A$15:$A$33,0)),0.45),0.45)</x:f>
        <x:v>0.45</x:v>
      </x:c>
      <x:c r="J14" s="8" t="n">
        <x:f>IF(H14="","",ROUND(H14*(1+I14),0))</x:f>
        <x:v>283</x:v>
      </x:c>
      <x:c r="K14" s="8" t="n">
        <x:f>0</x:f>
        <x:v>0</x:v>
      </x:c>
      <x:c r="L14" s="8" t="n">
        <x:f>0</x:f>
        <x:v>0</x:v>
      </x:c>
      <x:c r="M14" s="7" t="n">
        <x:f>IF('01_Ustawienia'!$B$4="ZWOLNIONY",0,'01_Ustawienia'!$B$7)</x:f>
        <x:v>0.08</x:v>
      </x:c>
      <x:c r="N14" s="8" t="n">
        <x:f>IF(J14="","",ROUND((J14+K14)*(1+M14),0))</x:f>
        <x:v>306</x:v>
      </x:c>
      <x:c r="O14" s="8" t="n">
        <x:f>IF(J14="","",J14+K14-H14-L14)</x:f>
        <x:v>88</x:v>
      </x:c>
      <x:c r="P14" s="7" t="n">
        <x:f>IFERROR(O14/(J14+K14),"")</x:f>
        <x:v>0.31095406360424027</x:v>
      </x:c>
      <x:c r="Q14" s="6" t="inlineStr">
        <x:is>
          <x:t xml:space="preserve">RAW_OP AD/AE</x:t>
        </x:is>
      </x:c>
      <x:c r="R14" s="6" t="inlineStr">
        <x:is>
          <x:t xml:space="preserve">DODATKI</x:t>
        </x:is>
      </x:c>
      <x:c r="S14" s="6" t="inlineStr">
        <x:is>
          <x:t xml:space="preserve">crm_only</x:t>
        </x:is>
      </x:c>
      <x:c r="T14" s="6" t="n"/>
    </x:row>
    <x:row r="15">
      <x:c r="A15" s="6" t="inlineStr">
        <x:is>
          <x:t xml:space="preserve">300 x 306 cm</x:t>
        </x:is>
      </x:c>
      <x:c r="B15" s="6" t="inlineStr">
        <x:is>
          <x:t xml:space="preserve">S</x:t>
        </x:is>
      </x:c>
      <x:c r="C15" s="6" t="inlineStr">
        <x:is>
          <x:t xml:space="preserve">Szczotki przeciwkurzowe</x:t>
        </x:is>
      </x:c>
      <x:c r="D15" s="6" t="inlineStr">
        <x:is>
          <x:t xml:space="preserve">SZCZOTKI</x:t>
        </x:is>
      </x:c>
      <x:c r="E15" s="8" t="n">
        <x:f>IFERROR(INDEX('02_RAW_INDEX'!$AD:$AD,MATCH($A15,'02_RAW_INDEX'!$A:$A,0)),"")</x:f>
        <x:v>276</x:v>
      </x:c>
      <x:c r="F15" s="8" t="n">
        <x:f>IFERROR(INDEX('02_RAW_INDEX'!$AC:$AC,MATCH($A15,'02_RAW_INDEX'!$A:$A,0)),"")</x:f>
        <x:v>340</x:v>
      </x:c>
      <x:c r="G15" s="7" t="n">
        <x:f>'01_Ustawienia'!$B$6</x:f>
        <x:v>0</x:v>
      </x:c>
      <x:c r="H15" s="8" t="n">
        <x:f>IF(E15="","",ROUND(IF('01_Ustawienia'!$B$5="BRUTTO",F15,E15)*(1-G15),0))</x:f>
        <x:v>276</x:v>
      </x:c>
      <x:c r="I15" s="7" t="n">
        <x:f>IFERROR(IFERROR(INDEX('01_Ustawienia'!$B$15:$B$33,MATCH(B15,'01_Ustawienia'!$A$15:$A$33,0)),0.45),0.45)</x:f>
        <x:v>0.45</x:v>
      </x:c>
      <x:c r="J15" s="8" t="n">
        <x:f>IF(H15="","",ROUND(H15*(1+I15),0))</x:f>
        <x:v>400</x:v>
      </x:c>
      <x:c r="K15" s="8" t="n">
        <x:f>0</x:f>
        <x:v>0</x:v>
      </x:c>
      <x:c r="L15" s="8" t="n">
        <x:f>IFERROR(IFERROR(INDEX(EG_Cennik_uslug!$CA:$CA,MATCH($A15,EG_Cennik_uslug!$A:$A,0)),0),0)</x:f>
        <x:v>0</x:v>
      </x:c>
      <x:c r="M15" s="7" t="n">
        <x:f>IF('01_Ustawienia'!$B$4="ZWOLNIONY",0,'01_Ustawienia'!$B$7)</x:f>
        <x:v>0.08</x:v>
      </x:c>
      <x:c r="N15" s="8" t="n">
        <x:f>IF(J15="","",ROUND((J15+K15)*(1+M15),0))</x:f>
        <x:v>432</x:v>
      </x:c>
      <x:c r="O15" s="8" t="n">
        <x:f>IF(J15="","",J15+K15-H15-L15)</x:f>
        <x:v>124</x:v>
      </x:c>
      <x:c r="P15" s="7" t="n">
        <x:f>IFERROR(O15/(J15+K15),"")</x:f>
        <x:v>0.31</x:v>
      </x:c>
      <x:c r="Q15" s="6" t="inlineStr">
        <x:is>
          <x:t xml:space="preserve">RAW_OP L/M</x:t>
        </x:is>
      </x:c>
      <x:c r="R15" s="6" t="inlineStr">
        <x:is>
          <x:t xml:space="preserve">DODATKI</x:t>
        </x:is>
      </x:c>
      <x:c r="S15" s="6" t="inlineStr">
        <x:is>
          <x:t xml:space="preserve">website+crm</x:t>
        </x:is>
      </x:c>
      <x:c r="T15" s="6" t="n"/>
    </x:row>
    <x:row r="16">
      <x:c r="A16" s="6" t="inlineStr">
        <x:is>
          <x:t xml:space="preserve">300 x 306 cm</x:t>
        </x:is>
      </x:c>
      <x:c r="B16" s="6" t="inlineStr">
        <x:is>
          <x:t xml:space="preserve">U</x:t>
        </x:is>
      </x:c>
      <x:c r="C16" s="6" t="inlineStr">
        <x:is>
          <x:t xml:space="preserve">Uchwyty na szkło ścienne</x:t>
        </x:is>
      </x:c>
      <x:c r="D16" s="6" t="inlineStr">
        <x:is>
          <x:t xml:space="preserve">UCHWYTY</x:t>
        </x:is>
      </x:c>
      <x:c r="E16" s="8" t="n">
        <x:f>IFERROR(INDEX('02_RAW_INDEX'!$AF:$AF,MATCH($A16,'02_RAW_INDEX'!$A:$A,0)),"")</x:f>
        <x:v>252</x:v>
      </x:c>
      <x:c r="F16" s="8" t="n">
        <x:f>IFERROR(INDEX('02_RAW_INDEX'!$AE:$AE,MATCH($A16,'02_RAW_INDEX'!$A:$A,0)),"")</x:f>
        <x:v>310</x:v>
      </x:c>
      <x:c r="G16" s="7" t="n">
        <x:f>'01_Ustawienia'!$B$6</x:f>
        <x:v>0</x:v>
      </x:c>
      <x:c r="H16" s="8" t="n">
        <x:f>IF(E16="","",ROUND(IF('01_Ustawienia'!$B$5="BRUTTO",F16,E16)*(1-G16),0))</x:f>
        <x:v>252</x:v>
      </x:c>
      <x:c r="I16" s="7" t="n">
        <x:f>IFERROR(IFERROR(INDEX('01_Ustawienia'!$B$15:$B$33,MATCH(B16,'01_Ustawienia'!$A$15:$A$33,0)),0.45),0.45)</x:f>
        <x:v>0.45</x:v>
      </x:c>
      <x:c r="J16" s="8" t="n">
        <x:f>IF(H16="","",ROUND(H16*(1+I16),0))</x:f>
        <x:v>365</x:v>
      </x:c>
      <x:c r="K16" s="8" t="n">
        <x:f>0</x:f>
        <x:v>0</x:v>
      </x:c>
      <x:c r="L16" s="8" t="n">
        <x:f>IFERROR(IFERROR(INDEX(EG_Cennik_uslug!$CH:$CH,MATCH($A16,EG_Cennik_uslug!$A:$A,0)),0),0)</x:f>
        <x:v>0</x:v>
      </x:c>
      <x:c r="M16" s="7" t="n">
        <x:f>IF('01_Ustawienia'!$B$4="ZWOLNIONY",0,'01_Ustawienia'!$B$7)</x:f>
        <x:v>0.08</x:v>
      </x:c>
      <x:c r="N16" s="8" t="n">
        <x:f>IF(J16="","",ROUND((J16+K16)*(1+M16),0))</x:f>
        <x:v>394</x:v>
      </x:c>
      <x:c r="O16" s="8" t="n">
        <x:f>IF(J16="","",J16+K16-H16-L16)</x:f>
        <x:v>113</x:v>
      </x:c>
      <x:c r="P16" s="7" t="n">
        <x:f>IFERROR(O16/(J16+K16),"")</x:f>
        <x:v>0.3095890410958904</x:v>
      </x:c>
      <x:c r="Q16" s="6" t="inlineStr">
        <x:is>
          <x:t xml:space="preserve">RAW_OP N/O</x:t>
        </x:is>
      </x:c>
      <x:c r="R16" s="6" t="inlineStr">
        <x:is>
          <x:t xml:space="preserve">DODATKI</x:t>
        </x:is>
      </x:c>
      <x:c r="S16" s="6" t="inlineStr">
        <x:is>
          <x:t xml:space="preserve">website+crm</x:t>
        </x:is>
      </x:c>
      <x:c r="T16" s="6" t="n"/>
    </x:row>
    <x:row r="17">
      <x:c r="A17" s="6" t="inlineStr">
        <x:is>
          <x:t xml:space="preserve">300 x 306 cm</x:t>
        </x:is>
      </x:c>
      <x:c r="B17" s="6" t="inlineStr">
        <x:is>
          <x:t xml:space="preserve">LED2</x:t>
        </x:is>
      </x:c>
      <x:c r="C17" s="6" t="inlineStr">
        <x:is>
          <x:t xml:space="preserve">Oświetlenie LED 2 punkty</x:t>
        </x:is>
      </x:c>
      <x:c r="D17" s="6" t="inlineStr">
        <x:is>
          <x:t xml:space="preserve">LED 2 PKT</x:t>
        </x:is>
      </x:c>
      <x:c r="E17" s="8" t="n">
        <x:f>IFERROR(INDEX('02_RAW_INDEX'!$N:$N,MATCH($A17,'02_RAW_INDEX'!$A:$A,0)),"")</x:f>
        <x:v>341</x:v>
      </x:c>
      <x:c r="F17" s="8" t="n">
        <x:f>IFERROR(INDEX('02_RAW_INDEX'!$M:$M,MATCH($A17,'02_RAW_INDEX'!$A:$A,0)),"")</x:f>
        <x:v>420</x:v>
      </x:c>
      <x:c r="G17" s="7" t="n">
        <x:f>'01_Ustawienia'!$B$6</x:f>
        <x:v>0</x:v>
      </x:c>
      <x:c r="H17" s="8" t="n">
        <x:f>IF(E17="","",ROUND(IF('01_Ustawienia'!$B$5="BRUTTO",F17,E17)*(1-G17),0))</x:f>
        <x:v>341</x:v>
      </x:c>
      <x:c r="I17" s="7" t="n">
        <x:f>IFERROR(IFERROR(INDEX('01_Ustawienia'!$B$15:$B$33,MATCH(B17,'01_Ustawienia'!$A$15:$A$33,0)),0.45),0.45)</x:f>
        <x:v>0.45</x:v>
      </x:c>
      <x:c r="J17" s="8" t="n">
        <x:f>IF(H17="","",ROUND(H17*(1+I17),0))</x:f>
        <x:v>494</x:v>
      </x:c>
      <x:c r="K17" s="8" t="n">
        <x:f>0</x:f>
        <x:v>0</x:v>
      </x:c>
      <x:c r="L17" s="8" t="n">
        <x:f>IFERROR(IFERROR(INDEX(EG_Cennik_uslug!$CO:$CO,MATCH($A17,EG_Cennik_uslug!$A:$A,0)),0),0)</x:f>
        <x:v>0</x:v>
      </x:c>
      <x:c r="M17" s="7" t="n">
        <x:f>IF('01_Ustawienia'!$B$4="ZWOLNIONY",0,'01_Ustawienia'!$B$7)</x:f>
        <x:v>0.08</x:v>
      </x:c>
      <x:c r="N17" s="8" t="n">
        <x:f>IF(J17="","",ROUND((J17+K17)*(1+M17),0))</x:f>
        <x:v>534</x:v>
      </x:c>
      <x:c r="O17" s="8" t="n">
        <x:f>IF(J17="","",J17+K17-H17-L17)</x:f>
        <x:v>153</x:v>
      </x:c>
      <x:c r="P17" s="7" t="n">
        <x:f>IFERROR(O17/(J17+K17),"")</x:f>
        <x:v>0.3097165991902834</x:v>
      </x:c>
      <x:c r="Q17" s="6" t="inlineStr">
        <x:is>
          <x:t xml:space="preserve">RAW_ZP P/Q</x:t>
        </x:is>
      </x:c>
      <x:c r="R17" s="6" t="inlineStr">
        <x:is>
          <x:t xml:space="preserve">OŚWIETLENIE</x:t>
        </x:is>
      </x:c>
      <x:c r="S17" s="6" t="inlineStr">
        <x:is>
          <x:t xml:space="preserve">website+crm</x:t>
        </x:is>
      </x:c>
      <x:c r="T17" s="6" t="n"/>
    </x:row>
    <x:row r="18">
      <x:c r="A18" s="6" t="inlineStr">
        <x:is>
          <x:t xml:space="preserve">300 x 306 cm</x:t>
        </x:is>
      </x:c>
      <x:c r="B18" s="6" t="inlineStr">
        <x:is>
          <x:t xml:space="preserve">LED3</x:t>
        </x:is>
      </x:c>
      <x:c r="C18" s="6" t="inlineStr">
        <x:is>
          <x:t xml:space="preserve">Oświetlenie LED 3 punkty</x:t>
        </x:is>
      </x:c>
      <x:c r="D18" s="6" t="inlineStr">
        <x:is>
          <x:t xml:space="preserve">LED 3 PKT</x:t>
        </x:is>
      </x:c>
      <x:c r="E18" s="8" t="n">
        <x:f>IFERROR(INDEX('02_RAW_INDEX'!$P:$P,MATCH($A18,'02_RAW_INDEX'!$A:$A,0)),"")</x:f>
        <x:v>520</x:v>
      </x:c>
      <x:c r="F18" s="8" t="n">
        <x:f>IFERROR(INDEX('02_RAW_INDEX'!$O:$O,MATCH($A18,'02_RAW_INDEX'!$A:$A,0)),"")</x:f>
        <x:v>640</x:v>
      </x:c>
      <x:c r="G18" s="7" t="n">
        <x:f>'01_Ustawienia'!$B$6</x:f>
        <x:v>0</x:v>
      </x:c>
      <x:c r="H18" s="8" t="n">
        <x:f>IF(E18="","",ROUND(IF('01_Ustawienia'!$B$5="BRUTTO",F18,E18)*(1-G18),0))</x:f>
        <x:v>520</x:v>
      </x:c>
      <x:c r="I18" s="7" t="n">
        <x:f>IFERROR(IFERROR(INDEX('01_Ustawienia'!$B$15:$B$33,MATCH(B18,'01_Ustawienia'!$A$15:$A$33,0)),0.45),0.45)</x:f>
        <x:v>0.45</x:v>
      </x:c>
      <x:c r="J18" s="8" t="n">
        <x:f>IF(H18="","",ROUND(H18*(1+I18),0))</x:f>
        <x:v>754</x:v>
      </x:c>
      <x:c r="K18" s="8" t="n">
        <x:f>0</x:f>
        <x:v>0</x:v>
      </x:c>
      <x:c r="L18" s="8" t="n">
        <x:f>IFERROR(IFERROR(INDEX(EG_Cennik_uslug!$CV:$CV,MATCH($A18,EG_Cennik_uslug!$A:$A,0)),0),0)</x:f>
        <x:v>0</x:v>
      </x:c>
      <x:c r="M18" s="7" t="n">
        <x:f>IF('01_Ustawienia'!$B$4="ZWOLNIONY",0,'01_Ustawienia'!$B$7)</x:f>
        <x:v>0.08</x:v>
      </x:c>
      <x:c r="N18" s="8" t="n">
        <x:f>IF(J18="","",ROUND((J18+K18)*(1+M18),0))</x:f>
        <x:v>814</x:v>
      </x:c>
      <x:c r="O18" s="8" t="n">
        <x:f>IF(J18="","",J18+K18-H18-L18)</x:f>
        <x:v>234</x:v>
      </x:c>
      <x:c r="P18" s="7" t="n">
        <x:f>IFERROR(O18/(J18+K18),"")</x:f>
        <x:v>0.3103448275862069</x:v>
      </x:c>
      <x:c r="Q18" s="6" t="inlineStr">
        <x:is>
          <x:t xml:space="preserve">RAW_ZP R/S</x:t>
        </x:is>
      </x:c>
      <x:c r="R18" s="6" t="inlineStr">
        <x:is>
          <x:t xml:space="preserve">OŚWIETLENIE</x:t>
        </x:is>
      </x:c>
      <x:c r="S18" s="6" t="inlineStr">
        <x:is>
          <x:t xml:space="preserve">website+crm</x:t>
        </x:is>
      </x:c>
      <x:c r="T18" s="6" t="inlineStr">
        <x:is>
          <x:t xml:space="preserve">Nazwa do potwierdzenia</x:t>
        </x:is>
      </x:c>
    </x:row>
    <x:row r="19">
      <x:c r="A19" s="6" t="inlineStr">
        <x:is>
          <x:t xml:space="preserve">300 x 306 cm</x:t>
        </x:is>
      </x:c>
      <x:c r="B19" s="6" t="inlineStr">
        <x:is>
          <x:t xml:space="preserve">LEDCCT</x:t>
        </x:is>
      </x:c>
      <x:c r="C19" s="6" t="inlineStr">
        <x:is>
          <x:t xml:space="preserve">Oświetlenie LED CCT</x:t>
        </x:is>
      </x:c>
      <x:c r="D19" s="6" t="inlineStr">
        <x:is>
          <x:t xml:space="preserve">OŚWIETLENIE</x:t>
        </x:is>
      </x:c>
      <x:c r="E19" s="8" t="n">
        <x:f>IFERROR(INDEX('02_RAW_INDEX'!$R:$R,MATCH($A19,'02_RAW_INDEX'!$A:$A,0)),"")</x:f>
        <x:v>790</x:v>
      </x:c>
      <x:c r="F19" s="8" t="n">
        <x:f>IFERROR(INDEX('02_RAW_INDEX'!$Q:$Q,MATCH($A19,'02_RAW_INDEX'!$A:$A,0)),"")</x:f>
        <x:v>972</x:v>
      </x:c>
      <x:c r="G19" s="7" t="n">
        <x:f>'01_Ustawienia'!$B$6</x:f>
        <x:v>0</x:v>
      </x:c>
      <x:c r="H19" s="8" t="n">
        <x:f>IF(E19="","",ROUND(IF('01_Ustawienia'!$B$5="BRUTTO",F19,E19)*(1-G19),0))</x:f>
        <x:v>790</x:v>
      </x:c>
      <x:c r="I19" s="7" t="n">
        <x:f>IFERROR(IFERROR(INDEX('01_Ustawienia'!$B$15:$B$33,MATCH(B19,'01_Ustawienia'!$A$15:$A$33,0)),0.45),0.45)</x:f>
        <x:v>0.45</x:v>
      </x:c>
      <x:c r="J19" s="8" t="n">
        <x:f>IF(H19="","",ROUND(H19*(1+I19),0))</x:f>
        <x:v>1146</x:v>
      </x:c>
      <x:c r="K19" s="8" t="n">
        <x:f>0</x:f>
        <x:v>0</x:v>
      </x:c>
      <x:c r="L19" s="8" t="n">
        <x:f>0</x:f>
        <x:v>0</x:v>
      </x:c>
      <x:c r="M19" s="7" t="n">
        <x:f>IF('01_Ustawienia'!$B$4="ZWOLNIONY",0,'01_Ustawienia'!$B$7)</x:f>
        <x:v>0.08</x:v>
      </x:c>
      <x:c r="N19" s="8" t="n">
        <x:f>IF(J19="","",ROUND((J19+K19)*(1+M19),0))</x:f>
        <x:v>1238</x:v>
      </x:c>
      <x:c r="O19" s="8" t="n">
        <x:f>IF(J19="","",J19+K19-H19-L19)</x:f>
        <x:v>356</x:v>
      </x:c>
      <x:c r="P19" s="7" t="n">
        <x:f>IFERROR(O19/(J19+K19),"")</x:f>
        <x:v>0.3106457242582897</x:v>
      </x:c>
      <x:c r="Q19" s="6" t="inlineStr">
        <x:is>
          <x:t xml:space="preserve">RAW_ZP T/U</x:t>
        </x:is>
      </x:c>
      <x:c r="R19" s="6" t="inlineStr">
        <x:is>
          <x:t xml:space="preserve">OŚWIETLENIE</x:t>
        </x:is>
      </x:c>
      <x:c r="S19" s="6" t="inlineStr">
        <x:is>
          <x:t xml:space="preserve">website+crm</x:t>
        </x:is>
      </x:c>
      <x:c r="T19" s="6" t="inlineStr">
        <x:is>
          <x:t xml:space="preserve">Opcja dodatkowa | FIX17: opcja LED dostępna dla strony; ceny 450-600 wg modelu FIX15.</x:t>
        </x:is>
      </x:c>
    </x:row>
    <x:row r="20">
      <x:c r="A20" s="6" t="inlineStr">
        <x:is>
          <x:t xml:space="preserve">300 x 306 cm</x:t>
        </x:is>
      </x:c>
      <x:c r="B20" s="6" t="inlineStr">
        <x:is>
          <x:t xml:space="preserve">LEDRGBCCT</x:t>
        </x:is>
      </x:c>
      <x:c r="C20" s="6" t="inlineStr">
        <x:is>
          <x:t xml:space="preserve">Oświetlenie LED RGB CCT</x:t>
        </x:is>
      </x:c>
      <x:c r="D20" s="6" t="inlineStr">
        <x:is>
          <x:t xml:space="preserve">OŚWIETLENIE</x:t>
        </x:is>
      </x:c>
      <x:c r="E20" s="8" t="n">
        <x:f>IFERROR(INDEX('02_RAW_INDEX'!$T:$T,MATCH($A20,'02_RAW_INDEX'!$A:$A,0)),"")</x:f>
        <x:v>980</x:v>
      </x:c>
      <x:c r="F20" s="8" t="n">
        <x:f>IFERROR(INDEX('02_RAW_INDEX'!$S:$S,MATCH($A20,'02_RAW_INDEX'!$A:$A,0)),"")</x:f>
        <x:v>1205</x:v>
      </x:c>
      <x:c r="G20" s="7" t="n">
        <x:f>'01_Ustawienia'!$B$6</x:f>
        <x:v>0</x:v>
      </x:c>
      <x:c r="H20" s="8" t="n">
        <x:f>IF(E20="","",ROUND(IF('01_Ustawienia'!$B$5="BRUTTO",F20,E20)*(1-G20),0))</x:f>
        <x:v>980</x:v>
      </x:c>
      <x:c r="I20" s="7" t="n">
        <x:f>IFERROR(IFERROR(INDEX('01_Ustawienia'!$B$15:$B$33,MATCH(B20,'01_Ustawienia'!$A$15:$A$33,0)),0.45),0.45)</x:f>
        <x:v>0.45</x:v>
      </x:c>
      <x:c r="J20" s="8" t="n">
        <x:f>IF(H20="","",ROUND(H20*(1+I20),0))</x:f>
        <x:v>1421</x:v>
      </x:c>
      <x:c r="K20" s="8" t="n">
        <x:f>0</x:f>
        <x:v>0</x:v>
      </x:c>
      <x:c r="L20" s="8" t="n">
        <x:f>0</x:f>
        <x:v>0</x:v>
      </x:c>
      <x:c r="M20" s="7" t="n">
        <x:f>IF('01_Ustawienia'!$B$4="ZWOLNIONY",0,'01_Ustawienia'!$B$7)</x:f>
        <x:v>0.08</x:v>
      </x:c>
      <x:c r="N20" s="8" t="n">
        <x:f>IF(J20="","",ROUND((J20+K20)*(1+M20),0))</x:f>
        <x:v>1535</x:v>
      </x:c>
      <x:c r="O20" s="8" t="n">
        <x:f>IF(J20="","",J20+K20-H20-L20)</x:f>
        <x:v>441</x:v>
      </x:c>
      <x:c r="P20" s="7" t="n">
        <x:f>IFERROR(O20/(J20+K20),"")</x:f>
        <x:v>0.3103448275862069</x:v>
      </x:c>
      <x:c r="Q20" s="6" t="inlineStr">
        <x:is>
          <x:t xml:space="preserve">RAW_ZP V/W</x:t>
        </x:is>
      </x:c>
      <x:c r="R20" s="6" t="inlineStr">
        <x:is>
          <x:t xml:space="preserve">OŚWIETLENIE</x:t>
        </x:is>
      </x:c>
      <x:c r="S20" s="6" t="inlineStr">
        <x:is>
          <x:t xml:space="preserve">crm_only</x:t>
        </x:is>
      </x:c>
      <x:c r="T20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21" s="655" customFormat="1" ht="30" customHeight="1">
      <x:c r="A21" s="6" t="inlineStr">
        <x:is>
          <x:t xml:space="preserve">300 x 406 cm</x:t>
        </x:is>
      </x:c>
      <x:c r="B21" s="6" t="inlineStr">
        <x:is>
          <x:t xml:space="preserve">ZP</x:t>
        </x:is>
      </x:c>
      <x:c r="C21" s="6" t="inlineStr">
        <x:is>
          <x:t xml:space="preserve">Zadaszenie poliwęglan - baza</x:t>
        </x:is>
      </x:c>
      <x:c r="D21" s="6" t="inlineStr">
        <x:is>
          <x:t xml:space="preserve">ZADASZENIE POLIWĘGLAN</x:t>
        </x:is>
      </x:c>
      <x:c r="E21" s="8" t="n">
        <x:f>IFERROR(INDEX('02_RAW_INDEX'!$D:$D,MATCH($A21,'02_RAW_INDEX'!$A:$A,0)),"")</x:f>
        <x:v>4285</x:v>
      </x:c>
      <x:c r="F21" s="8" t="n">
        <x:f>IFERROR(INDEX('02_RAW_INDEX'!$C:$C,MATCH($A21,'02_RAW_INDEX'!$A:$A,0)),"")</x:f>
        <x:v>5270</x:v>
      </x:c>
      <x:c r="G21" s="7" t="n">
        <x:f>'01_Ustawienia'!$B$6</x:f>
        <x:v>0</x:v>
      </x:c>
      <x:c r="H21" s="8" t="n">
        <x:f>IF(E21="","",ROUND(IF('01_Ustawienia'!$B$5="BRUTTO",F21,E21)*(1-G21),0))</x:f>
        <x:v>4285</x:v>
      </x:c>
      <x:c r="I21" s="7" t="n">
        <x:f>IFERROR(IFERROR(INDEX('01_Ustawienia'!$B$15:$B$33,MATCH(B21,'01_Ustawienia'!$A$15:$A$33,0)),0.45),0.45)</x:f>
        <x:v>0.45</x:v>
      </x:c>
      <x:c r="J21" s="8" t="n">
        <x:f>IF(H21="","",ROUND(H21*(1+I21),0))</x:f>
        <x:v>6213</x:v>
      </x:c>
      <x:c r="K21" s="8" t="n">
        <x:f>IFERROR(IFERROR(INDEX(EG_Cennik_uslug!$F:$F,MATCH($A21,EG_Cennik_uslug!$A:$A,0)),0),0)</x:f>
        <x:v>2860</x:v>
      </x:c>
      <x:c r="L21" s="8" t="n">
        <x:f>IFERROR(IFERROR(INDEX(EG_Cennik_uslug!$G:$G,MATCH($A21,EG_Cennik_uslug!$A:$A,0)),0),0)</x:f>
        <x:v>870</x:v>
      </x:c>
      <x:c r="M21" s="7" t="n">
        <x:f>IF('01_Ustawienia'!$B$4="ZWOLNIONY",0,'01_Ustawienia'!$B$7)</x:f>
        <x:v>0.08</x:v>
      </x:c>
      <x:c r="N21" s="8" t="n">
        <x:f>IF(J21="","",ROUND((J21+K21)*(1+M21),0))</x:f>
        <x:v>9799</x:v>
      </x:c>
      <x:c r="O21" s="8" t="n">
        <x:f>IF(J21="","",J21+K21-H21-L21)</x:f>
        <x:v>3918</x:v>
      </x:c>
      <x:c r="P21" s="7" t="n">
        <x:f>IFERROR(O21/(J21+K21),"")</x:f>
        <x:v>0.43183070649178884</x:v>
      </x:c>
      <x:c r="Q21" s="6" t="inlineStr">
        <x:is>
          <x:t xml:space="preserve">RAW_ZP B/C</x:t>
        </x:is>
      </x:c>
      <x:c r="R21" s="6" t="inlineStr">
        <x:is>
          <x:t xml:space="preserve">ZADASZENIE TARASU KONSTRUKCJA</x:t>
        </x:is>
      </x:c>
      <x:c r="S21" s="6" t="inlineStr">
        <x:is>
          <x:t xml:space="preserve">website+crm</x:t>
        </x:is>
      </x:c>
      <x:c r="T21" s="6" t="inlineStr">
        <x:is>
          <x:t xml:space="preserve">Baza dla kalkulatora</x:t>
        </x:is>
      </x:c>
    </x:row>
    <x:row r="22" s="655" customFormat="1" ht="30" customHeight="1">
      <x:c r="A22" s="6" t="inlineStr">
        <x:is>
          <x:t xml:space="preserve">300 x 406 cm</x:t>
        </x:is>
      </x:c>
      <x:c r="B22" s="6" t="inlineStr">
        <x:is>
          <x:t xml:space="preserve">ZS</x:t>
        </x:is>
      </x:c>
      <x:c r="C22" s="6" t="inlineStr">
        <x:is>
          <x:t xml:space="preserve">Zadaszenie szkło - pełna konstrukcja</x:t>
        </x:is>
      </x:c>
      <x:c r="D22" s="6" t="inlineStr">
        <x:is>
          <x:t xml:space="preserve">ZADASZENIE SZKŁO</x:t>
        </x:is>
      </x:c>
      <x:c r="E22" s="8" t="n">
        <x:f>IFERROR(INDEX('02_RAW_INDEX'!$V:$V,MATCH($A22,'02_RAW_INDEX'!$A:$A,0)),"")</x:f>
        <x:v>6114</x:v>
      </x:c>
      <x:c r="F22" s="8" t="n">
        <x:f>IFERROR(INDEX('02_RAW_INDEX'!$U:$U,MATCH($A22,'02_RAW_INDEX'!$A:$A,0)),"")</x:f>
        <x:v>7520</x:v>
      </x:c>
      <x:c r="G22" s="7" t="n">
        <x:f>'01_Ustawienia'!$B$6</x:f>
        <x:v>0</x:v>
      </x:c>
      <x:c r="H22" s="8" t="n">
        <x:f>IF(E22="","",ROUND(IF('01_Ustawienia'!$B$5="BRUTTO",F22,E22)*(1-G22),0))</x:f>
        <x:v>6114</x:v>
      </x:c>
      <x:c r="I22" s="7" t="n">
        <x:f>IFERROR(IFERROR(INDEX('01_Ustawienia'!$B$15:$B$33,MATCH(B22,'01_Ustawienia'!$A$15:$A$33,0)),0.45),0.45)</x:f>
        <x:v>0.45</x:v>
      </x:c>
      <x:c r="J22" s="8" t="n">
        <x:f>IF(H22="","",ROUND(H22*(1+I22),0))</x:f>
        <x:v>8865</x:v>
      </x:c>
      <x:c r="K22" s="8" t="n">
        <x:f>IFERROR(IFERROR(INDEX(EG_Cennik_uslug!$F:$F,MATCH($A22,EG_Cennik_uslug!$A:$A,0)),0),0)</x:f>
        <x:v>2860</x:v>
      </x:c>
      <x:c r="L22" s="8" t="n">
        <x:f>IFERROR(IFERROR(INDEX(EG_Cennik_uslug!$G:$G,MATCH($A22,EG_Cennik_uslug!$A:$A,0)),0),0)</x:f>
        <x:v>870</x:v>
      </x:c>
      <x:c r="M22" s="7" t="n">
        <x:f>IF('01_Ustawienia'!$B$4="ZWOLNIONY",0,'01_Ustawienia'!$B$7)</x:f>
        <x:v>0.08</x:v>
      </x:c>
      <x:c r="N22" s="8" t="n">
        <x:f>IF(J22="","",ROUND((J22+K22)*(1+M22),0))</x:f>
        <x:v>12663</x:v>
      </x:c>
      <x:c r="O22" s="8" t="n">
        <x:f>IF(J22="","",J22+K22-H22-L22)</x:f>
        <x:v>4741</x:v>
      </x:c>
      <x:c r="P22" s="7" t="n">
        <x:f>IFERROR(O22/(J22+K22),"")</x:f>
        <x:v>0.4043496801705757</x:v>
      </x:c>
      <x:c r="Q22" s="6" t="inlineStr">
        <x:is>
          <x:t xml:space="preserve">RAW_ZS B/C</x:t>
        </x:is>
      </x:c>
      <x:c r="R22" s="6" t="inlineStr">
        <x:is>
          <x:t xml:space="preserve">ZADASZENIE TARASU KONSTRUKCJA</x:t>
        </x:is>
      </x:c>
      <x:c r="S22" s="6" t="inlineStr">
        <x:is>
          <x:t xml:space="preserve">crm_only</x:t>
        </x:is>
      </x:c>
      <x:c r="T22" s="6" t="inlineStr">
        <x:is>
          <x:t xml:space="preserve">Referencyjne/full; strona zwykle używa ZP + PDS</x:t>
        </x:is>
      </x:c>
    </x:row>
    <x:row r="23" s="655" customFormat="1" ht="30" customHeight="1">
      <x:c r="A23" s="6" t="inlineStr">
        <x:is>
          <x:t xml:space="preserve">300 x 406 cm</x:t>
        </x:is>
      </x:c>
      <x:c r="B23" s="6" t="inlineStr">
        <x:is>
          <x:t xml:space="preserve">OP</x:t>
        </x:is>
      </x:c>
      <x:c r="C23" s="6" t="inlineStr">
        <x:is>
          <x:t xml:space="preserve">Ogród zimowy poliwęglan - baza</x:t>
        </x:is>
      </x:c>
      <x:c r="D23" s="6" t="inlineStr">
        <x:is>
          <x:t xml:space="preserve">OGRODY POLIWĘGLAN</x:t>
        </x:is>
      </x:c>
      <x:c r="E23" s="8" t="n">
        <x:f>IFERROR(INDEX('02_RAW_INDEX'!$Z:$Z,MATCH($A23,'02_RAW_INDEX'!$A:$A,0)),"")</x:f>
        <x:v>13049</x:v>
      </x:c>
      <x:c r="F23" s="8" t="n">
        <x:f>IFERROR(INDEX('02_RAW_INDEX'!$Y:$Y,MATCH($A23,'02_RAW_INDEX'!$A:$A,0)),"")</x:f>
        <x:v>16050</x:v>
      </x:c>
      <x:c r="G23" s="7" t="n">
        <x:f>'01_Ustawienia'!$B$6</x:f>
        <x:v>0</x:v>
      </x:c>
      <x:c r="H23" s="8" t="n">
        <x:f>IF(E23="","",ROUND(IF('01_Ustawienia'!$B$5="BRUTTO",F23,E23)*(1-G23),0))</x:f>
        <x:v>13049</x:v>
      </x:c>
      <x:c r="I23" s="7" t="n">
        <x:f>IFERROR(IFERROR(INDEX('01_Ustawienia'!$B$15:$B$33,MATCH(B23,'01_Ustawienia'!$A$15:$A$33,0)),0.45),0.45)</x:f>
        <x:v>0.45</x:v>
      </x:c>
      <x:c r="J23" s="8" t="n">
        <x:f>IF(H23="","",ROUND(H23*(1+I23),0))</x:f>
        <x:v>18921</x:v>
      </x:c>
      <x:c r="K23" s="8" t="n">
        <x:f>IFERROR(IFERROR(INDEX(EG_Cennik_uslug!$N:$N,MATCH($A23,EG_Cennik_uslug!$A:$A,0)),0),0)</x:f>
        <x:v>3700</x:v>
      </x:c>
      <x:c r="L23" s="8" t="n">
        <x:f>IFERROR(IFERROR(INDEX(EG_Cennik_uslug!$O:$O,MATCH($A23,EG_Cennik_uslug!$A:$A,0)),0),0)</x:f>
        <x:v>1220</x:v>
      </x:c>
      <x:c r="M23" s="7" t="n">
        <x:f>IF('01_Ustawienia'!$B$4="ZWOLNIONY",0,'01_Ustawienia'!$B$7)</x:f>
        <x:v>0.08</x:v>
      </x:c>
      <x:c r="N23" s="8" t="n">
        <x:f>IF(J23="","",ROUND((J23+K23)*(1+M23),0))</x:f>
        <x:v>24431</x:v>
      </x:c>
      <x:c r="O23" s="8" t="n">
        <x:f>IF(J23="","",J23+K23-H23-L23)</x:f>
        <x:v>8352</x:v>
      </x:c>
      <x:c r="P23" s="7" t="n">
        <x:f>IFERROR(O23/(J23+K23),"")</x:f>
        <x:v>0.3692144467530171</x:v>
      </x:c>
      <x:c r="Q23" s="6" t="inlineStr">
        <x:is>
          <x:t xml:space="preserve">RAW_OP B/C</x:t>
        </x:is>
      </x:c>
      <x:c r="R23" s="6" t="inlineStr">
        <x:is>
          <x:t xml:space="preserve">OGRÓD ZIMOWY (KONSTRUKCJA)</x:t>
        </x:is>
      </x:c>
      <x:c r="S23" s="6" t="inlineStr">
        <x:is>
          <x:t xml:space="preserve">website+crm</x:t>
        </x:is>
      </x:c>
      <x:c r="T23" s="6" t="inlineStr">
        <x:is>
          <x:t xml:space="preserve">Do wyliczenia dopłaty za ściany</x:t>
        </x:is>
      </x:c>
    </x:row>
    <x:row r="24" s="655" customFormat="1" ht="30" customHeight="1">
      <x:c r="A24" s="6" t="inlineStr">
        <x:is>
          <x:t xml:space="preserve">300 x 406 cm</x:t>
        </x:is>
      </x:c>
      <x:c r="B24" s="6" t="inlineStr">
        <x:is>
          <x:t xml:space="preserve">OS</x:t>
        </x:is>
      </x:c>
      <x:c r="C24" s="6" t="inlineStr">
        <x:is>
          <x:t xml:space="preserve">Ogród zimowy szkło - pełna konstrukcja</x:t>
        </x:is>
      </x:c>
      <x:c r="D24" s="6" t="inlineStr">
        <x:is>
          <x:t xml:space="preserve">OGRODY SZKŁO</x:t>
        </x:is>
      </x:c>
      <x:c r="E24" s="8" t="n">
        <x:f>IFERROR(INDEX('02_RAW_INDEX'!$AL:$AL,MATCH($A24,'02_RAW_INDEX'!$A:$A,0)),"")</x:f>
        <x:v>14878</x:v>
      </x:c>
      <x:c r="F24" s="8" t="n">
        <x:f>IFERROR(INDEX('02_RAW_INDEX'!$AK:$AK,MATCH($A24,'02_RAW_INDEX'!$A:$A,0)),"")</x:f>
        <x:v>18300</x:v>
      </x:c>
      <x:c r="G24" s="7" t="n">
        <x:f>'01_Ustawienia'!$B$6</x:f>
        <x:v>0</x:v>
      </x:c>
      <x:c r="H24" s="8" t="n">
        <x:f>IF(E24="","",ROUND(IF('01_Ustawienia'!$B$5="BRUTTO",F24,E24)*(1-G24),0))</x:f>
        <x:v>14878</x:v>
      </x:c>
      <x:c r="I24" s="7" t="n">
        <x:f>IFERROR(IFERROR(INDEX('01_Ustawienia'!$B$15:$B$33,MATCH(B24,'01_Ustawienia'!$A$15:$A$33,0)),0.45),0.45)</x:f>
        <x:v>0.45</x:v>
      </x:c>
      <x:c r="J24" s="8" t="n">
        <x:f>IF(H24="","",ROUND(H24*(1+I24),0))</x:f>
        <x:v>21573</x:v>
      </x:c>
      <x:c r="K24" s="8" t="n">
        <x:f>IFERROR(IFERROR(INDEX(EG_Cennik_uslug!$N:$N,MATCH($A24,EG_Cennik_uslug!$A:$A,0)),0),0)</x:f>
        <x:v>3700</x:v>
      </x:c>
      <x:c r="L24" s="8" t="n">
        <x:f>IFERROR(IFERROR(INDEX(EG_Cennik_uslug!$O:$O,MATCH($A24,EG_Cennik_uslug!$A:$A,0)),0),0)</x:f>
        <x:v>1220</x:v>
      </x:c>
      <x:c r="M24" s="7" t="n">
        <x:f>IF('01_Ustawienia'!$B$4="ZWOLNIONY",0,'01_Ustawienia'!$B$7)</x:f>
        <x:v>0.08</x:v>
      </x:c>
      <x:c r="N24" s="8" t="n">
        <x:f>IF(J24="","",ROUND((J24+K24)*(1+M24),0))</x:f>
        <x:v>27295</x:v>
      </x:c>
      <x:c r="O24" s="8" t="n">
        <x:f>IF(J24="","",J24+K24-H24-L24)</x:f>
        <x:v>9175</x:v>
      </x:c>
      <x:c r="P24" s="7" t="n">
        <x:f>IFERROR(O24/(J24+K24),"")</x:f>
        <x:v>0.36303565069441696</x:v>
      </x:c>
      <x:c r="Q24" s="6" t="inlineStr">
        <x:is>
          <x:t xml:space="preserve">RAW_OS B/C</x:t>
        </x:is>
      </x:c>
      <x:c r="R24" s="6" t="inlineStr">
        <x:is>
          <x:t xml:space="preserve">OGRÓD ZIMOWY (KONSTRUKCJA)</x:t>
        </x:is>
      </x:c>
      <x:c r="S24" s="6" t="inlineStr">
        <x:is>
          <x:t xml:space="preserve">crm_only</x:t>
        </x:is>
      </x:c>
      <x:c r="T24" s="6" t="inlineStr">
        <x:is>
          <x:t xml:space="preserve">Referencyjne/full</x:t>
        </x:is>
      </x:c>
    </x:row>
    <x:row r="25" s="655" customFormat="1" ht="30" customHeight="1">
      <x:c r="A25" s="6" t="inlineStr">
        <x:is>
          <x:t xml:space="preserve">300 x 406 cm</x:t>
        </x:is>
      </x:c>
      <x:c r="B25" s="6" t="inlineStr">
        <x:is>
          <x:t xml:space="preserve">PDS</x:t>
        </x:is>
      </x:c>
      <x:c r="C25" s="6" t="inlineStr">
        <x:is>
          <x:t xml:space="preserve">Dopłata dach szkło przezroczyste</x:t>
        </x:is>
      </x:c>
      <x:c r="D25" s="6" t="inlineStr">
        <x:is>
          <x:t xml:space="preserve">POKRYCIE DACHU SZKŁO</x:t>
        </x:is>
      </x:c>
      <x:c r="E25" s="8" t="n">
        <x:f>IFERROR(IFERROR(INDEX('02_RAW_INDEX'!$V:$V,MATCH($A25,'02_RAW_INDEX'!$A:$A,0)),"")-IFERROR(INDEX('02_RAW_INDEX'!$D:$D,MATCH($A25,'02_RAW_INDEX'!$A:$A,0)),""),"")</x:f>
        <x:v>1829</x:v>
      </x:c>
      <x:c r="F25" s="8" t="n">
        <x:f>IFERROR(IFERROR(INDEX('02_RAW_INDEX'!$U:$U,MATCH($A25,'02_RAW_INDEX'!$A:$A,0)),"")-IFERROR(INDEX('02_RAW_INDEX'!$C:$C,MATCH($A25,'02_RAW_INDEX'!$A:$A,0)),""),"")</x:f>
        <x:v>2250</x:v>
      </x:c>
      <x:c r="G25" s="7" t="n">
        <x:f>'01_Ustawienia'!$B$6</x:f>
        <x:v>0</x:v>
      </x:c>
      <x:c r="H25" s="8" t="n">
        <x:f>IF(E25="","",ROUND(IF('01_Ustawienia'!$B$5="BRUTTO",F25,E25)*(1-G25),0))</x:f>
        <x:v>1829</x:v>
      </x:c>
      <x:c r="I25" s="7" t="n">
        <x:f>IFERROR(IFERROR(INDEX('01_Ustawienia'!$B$15:$B$33,MATCH(B25,'01_Ustawienia'!$A$15:$A$33,0)),0.45),0.45)</x:f>
        <x:v>0.45</x:v>
      </x:c>
      <x:c r="J25" s="8" t="n">
        <x:f>IF(H25="","",ROUND(H25*(1+I25),0))</x:f>
        <x:v>2652</x:v>
      </x:c>
      <x:c r="K25" s="8" t="n">
        <x:f>0</x:f>
        <x:v>0</x:v>
      </x:c>
      <x:c r="L25" s="8" t="n">
        <x:v>0</x:v>
      </x:c>
      <x:c r="M25" s="7" t="n">
        <x:f>IF('01_Ustawienia'!$B$4="ZWOLNIONY",0,'01_Ustawienia'!$B$7)</x:f>
        <x:v>0.08</x:v>
      </x:c>
      <x:c r="N25" s="8" t="n">
        <x:f>IF(J25="","",ROUND((J25+K25)*(1+M25),0))</x:f>
        <x:v>2864</x:v>
      </x:c>
      <x:c r="O25" s="8" t="n">
        <x:f>IF(J25="","",J25+K25-H25-L25)</x:f>
        <x:v>823</x:v>
      </x:c>
      <x:c r="P25" s="7" t="n">
        <x:f>IFERROR(O25/(J25+K25),"")</x:f>
        <x:v>0.3103318250377074</x:v>
      </x:c>
      <x:c r="Q25" s="6" t="inlineStr">
        <x:is>
          <x:t xml:space="preserve">RAW_ZS - RAW_ZP</x:t>
        </x:is>
      </x:c>
      <x:c r="R25" s="6" t="inlineStr">
        <x:is>
          <x:t xml:space="preserve">POKRYCIE DACHU</x:t>
        </x:is>
      </x:c>
      <x:c r="S25" s="6" t="inlineStr">
        <x:is>
          <x:t xml:space="preserve">website+crm</x:t>
        </x:is>
      </x:c>
      <x:c r="T25" s="6" t="inlineStr">
        <x:is>
          <x:t xml:space="preserve">Dopłata do bazowego dachu poliwęglan | FIX17: Wynagr.+koszty = 0 dla dopłaty; nie jest osobnym montażem ekipy.</x:t>
        </x:is>
      </x:c>
    </x:row>
    <x:row r="26" s="655" customFormat="1" ht="30" customHeight="1">
      <x:c r="A26" s="6" t="inlineStr">
        <x:is>
          <x:t xml:space="preserve">300 x 406 cm</x:t>
        </x:is>
      </x:c>
      <x:c r="B26" s="6" t="inlineStr">
        <x:is>
          <x:t xml:space="preserve">PDSB</x:t>
        </x:is>
      </x:c>
      <x:c r="C26" s="6" t="inlineStr">
        <x:is>
          <x:t xml:space="preserve">Dopłata dach szkło barwione/mleczne</x:t>
        </x:is>
      </x:c>
      <x:c r="D26" s="6" t="inlineStr">
        <x:is>
          <x:t xml:space="preserve">POKRYCIE DACHU SZKŁO BARWIONE</x:t>
        </x:is>
      </x:c>
      <x:c r="E26" s="8" t="n">
        <x:f>IFERROR(INDEX('02_RAW_INDEX'!$X:$X,MATCH($A26,'02_RAW_INDEX'!$A:$A,0)),"")</x:f>
        <x:v>366</x:v>
      </x:c>
      <x:c r="F26" s="8" t="n">
        <x:f>IFERROR(INDEX('02_RAW_INDEX'!$W:$W,MATCH($A26,'02_RAW_INDEX'!$A:$A,0)),"")</x:f>
        <x:v>450</x:v>
      </x:c>
      <x:c r="G26" s="7" t="n">
        <x:f>'01_Ustawienia'!$B$6</x:f>
        <x:v>0</x:v>
      </x:c>
      <x:c r="H26" s="8" t="n">
        <x:f>IF(E26="","",ROUND(IF('01_Ustawienia'!$B$5="BRUTTO",F26,E26)*(1-G26),0))</x:f>
        <x:v>366</x:v>
      </x:c>
      <x:c r="I26" s="7" t="n">
        <x:f>IFERROR(IFERROR(INDEX('01_Ustawienia'!$B$15:$B$33,MATCH(B26,'01_Ustawienia'!$A$15:$A$33,0)),0.45),0.45)</x:f>
        <x:v>0.45</x:v>
      </x:c>
      <x:c r="J26" s="8" t="n">
        <x:f>IF(H26="","",ROUND(H26*(1+I26),0))</x:f>
        <x:v>531</x:v>
      </x:c>
      <x:c r="K26" s="8" t="n">
        <x:f>0</x:f>
        <x:v>0</x:v>
      </x:c>
      <x:c r="L26" s="8" t="n">
        <x:v>0</x:v>
      </x:c>
      <x:c r="M26" s="7" t="n">
        <x:f>IF('01_Ustawienia'!$B$4="ZWOLNIONY",0,'01_Ustawienia'!$B$7)</x:f>
        <x:v>0.08</x:v>
      </x:c>
      <x:c r="N26" s="8" t="n">
        <x:f>IF(J26="","",ROUND((J26+K26)*(1+M26),0))</x:f>
        <x:v>573</x:v>
      </x:c>
      <x:c r="O26" s="8" t="n">
        <x:f>IF(J26="","",J26+K26-H26-L26)</x:f>
        <x:v>165</x:v>
      </x:c>
      <x:c r="P26" s="7" t="n">
        <x:f>IFERROR(O26/(J26+K26),"")</x:f>
        <x:v>0.3107344632768362</x:v>
      </x:c>
      <x:c r="Q26" s="6" t="inlineStr">
        <x:is>
          <x:t xml:space="preserve">RAW_ZS D/E</x:t>
        </x:is>
      </x:c>
      <x:c r="R26" s="6" t="inlineStr">
        <x:is>
          <x:t xml:space="preserve">POKRYCIE DACHU</x:t>
        </x:is>
      </x:c>
      <x:c r="S26" s="6" t="inlineStr">
        <x:is>
          <x:t xml:space="preserve">website+crm</x:t>
        </x:is>
      </x:c>
      <x:c r="T26" s="6" t="inlineStr">
        <x:is>
          <x:t xml:space="preserve">Dodawane do PDS | FIX17: Wynagr.+koszty = 0 dla dopłaty; nie jest osobnym montażem ekipy.</x:t>
        </x:is>
      </x:c>
    </x:row>
    <x:row r="27" s="655" customFormat="1" ht="30" customHeight="1">
      <x:c r="A27" s="6" t="inlineStr">
        <x:is>
          <x:t xml:space="preserve">300 x 406 cm</x:t>
        </x:is>
      </x:c>
      <x:c r="B27" s="6" t="inlineStr">
        <x:is>
          <x:t xml:space="preserve">PDPB</x:t>
        </x:is>
      </x:c>
      <x:c r="C27" s="6" t="inlineStr">
        <x:is>
          <x:t xml:space="preserve">Dopłata poliwęglan barwiony</x:t>
        </x:is>
      </x:c>
      <x:c r="D27" s="6" t="inlineStr">
        <x:is>
          <x:t xml:space="preserve">POKRYCIE DACHU POLIWĘGLAN BARWIONY</x:t>
        </x:is>
      </x:c>
      <x:c r="E27" s="8" t="n">
        <x:f>IFERROR(INDEX('02_RAW_INDEX'!$F:$F,MATCH($A27,'02_RAW_INDEX'!$A:$A,0)),"")</x:f>
        <x:v>150</x:v>
      </x:c>
      <x:c r="F27" s="8" t="n">
        <x:f>IFERROR(INDEX('02_RAW_INDEX'!$E:$E,MATCH($A27,'02_RAW_INDEX'!$A:$A,0)),"")</x:f>
        <x:v>185</x:v>
      </x:c>
      <x:c r="G27" s="7" t="n">
        <x:f>'01_Ustawienia'!$B$6</x:f>
        <x:v>0</x:v>
      </x:c>
      <x:c r="H27" s="8" t="n">
        <x:f>IF(E27="","",ROUND(IF('01_Ustawienia'!$B$5="BRUTTO",F27,E27)*(1-G27),0))</x:f>
        <x:v>150</x:v>
      </x:c>
      <x:c r="I27" s="7" t="n">
        <x:f>IFERROR(IFERROR(INDEX('01_Ustawienia'!$B$15:$B$33,MATCH(B27,'01_Ustawienia'!$A$15:$A$33,0)),0.45),0.45)</x:f>
        <x:v>0.45</x:v>
      </x:c>
      <x:c r="J27" s="8" t="n">
        <x:f>IF(H27="","",ROUND(H27*(1+I27),0))</x:f>
        <x:v>218</x:v>
      </x:c>
      <x:c r="K27" s="8" t="n">
        <x:f>0</x:f>
        <x:v>0</x:v>
      </x:c>
      <x:c r="L27" s="8" t="n">
        <x:v>0</x:v>
      </x:c>
      <x:c r="M27" s="7" t="n">
        <x:f>IF('01_Ustawienia'!$B$4="ZWOLNIONY",0,'01_Ustawienia'!$B$7)</x:f>
        <x:v>0.08</x:v>
      </x:c>
      <x:c r="N27" s="8" t="n">
        <x:f>IF(J27="","",ROUND((J27+K27)*(1+M27),0))</x:f>
        <x:v>235</x:v>
      </x:c>
      <x:c r="O27" s="8" t="n">
        <x:f>IF(J27="","",J27+K27-H27-L27)</x:f>
        <x:v>68</x:v>
      </x:c>
      <x:c r="P27" s="7" t="n">
        <x:f>IFERROR(O27/(J27+K27),"")</x:f>
        <x:v>0.3119266055045872</x:v>
      </x:c>
      <x:c r="Q27" s="6" t="inlineStr">
        <x:is>
          <x:t xml:space="preserve">RAW_ZP D/E</x:t>
        </x:is>
      </x:c>
      <x:c r="R27" s="6" t="inlineStr">
        <x:is>
          <x:t xml:space="preserve">POKRYCIE DACHU</x:t>
        </x:is>
      </x:c>
      <x:c r="S27" s="6" t="inlineStr">
        <x:is>
          <x:t xml:space="preserve">website+crm</x:t>
        </x:is>
      </x:c>
      <x:c r="T27" s="6" t="inlineStr">
        <x:is>
          <x:t xml:space="preserve">FIX17: Wynagr.+koszty = 0 dla dopłaty; nie jest osobnym montażem ekipy.</x:t>
        </x:is>
      </x:c>
    </x:row>
    <x:row r="28" s="655" customFormat="1" ht="30" customHeight="1">
      <x:c r="A28" s="6" t="inlineStr">
        <x:is>
          <x:t xml:space="preserve">300 x 406 cm</x:t>
        </x:is>
      </x:c>
      <x:c r="B28" s="6" t="inlineStr">
        <x:is>
          <x:t xml:space="preserve">SBB</x:t>
        </x:is>
      </x:c>
      <x:c r="C28" s="6" t="inlineStr">
        <x:is>
          <x:t xml:space="preserve">Dopłata szkło boczne przyciemniane</x:t>
        </x:is>
      </x:c>
      <x:c r="D28" s="6" t="inlineStr">
        <x:is>
          <x:t xml:space="preserve">SZKŁO BOCZNE BARWIONE</x:t>
        </x:is>
      </x:c>
      <x:c r="E28" s="8" t="n">
        <x:f>IFERROR(INDEX('02_RAW_INDEX'!$AB:$AB,MATCH($A28,'02_RAW_INDEX'!$A:$A,0)),"")</x:f>
        <x:v>976</x:v>
      </x:c>
      <x:c r="F28" s="8" t="n">
        <x:f>IFERROR(INDEX('02_RAW_INDEX'!$AA:$AA,MATCH($A28,'02_RAW_INDEX'!$A:$A,0)),"")</x:f>
        <x:v>1200</x:v>
      </x:c>
      <x:c r="G28" s="7" t="n">
        <x:f>'01_Ustawienia'!$B$6</x:f>
        <x:v>0</x:v>
      </x:c>
      <x:c r="H28" s="8" t="n">
        <x:f>IF(E28="","",ROUND(IF('01_Ustawienia'!$B$5="BRUTTO",F28,E28)*(1-G28),0))</x:f>
        <x:v>976</x:v>
      </x:c>
      <x:c r="I28" s="7" t="n">
        <x:f>IFERROR(IFERROR(INDEX('01_Ustawienia'!$B$15:$B$33,MATCH(B28,'01_Ustawienia'!$A$15:$A$33,0)),0.45),0.45)</x:f>
        <x:v>0.45</x:v>
      </x:c>
      <x:c r="J28" s="8" t="n">
        <x:f>IF(H28="","",ROUND(H28*(1+I28),0))</x:f>
        <x:v>1415</x:v>
      </x:c>
      <x:c r="K28" s="8" t="n">
        <x:f>0</x:f>
        <x:v>0</x:v>
      </x:c>
      <x:c r="L28" s="8" t="n">
        <x:v>0</x:v>
      </x:c>
      <x:c r="M28" s="7" t="n">
        <x:f>IF('01_Ustawienia'!$B$4="ZWOLNIONY",0,'01_Ustawienia'!$B$7)</x:f>
        <x:v>0.08</x:v>
      </x:c>
      <x:c r="N28" s="8" t="n">
        <x:f>IF(J28="","",ROUND((J28+K28)*(1+M28),0))</x:f>
        <x:v>1528</x:v>
      </x:c>
      <x:c r="O28" s="8" t="n">
        <x:f>IF(J28="","",J28+K28-H28-L28)</x:f>
        <x:v>439</x:v>
      </x:c>
      <x:c r="P28" s="7" t="n">
        <x:f>IFERROR(O28/(J28+K28),"")</x:f>
        <x:v>0.3102473498233215</x:v>
      </x:c>
      <x:c r="Q28" s="6" t="inlineStr">
        <x:is>
          <x:t xml:space="preserve">RAW_OP H/I</x:t>
        </x:is>
      </x:c>
      <x:c r="R28" s="6" t="inlineStr">
        <x:is>
          <x:t xml:space="preserve">SZYBY BOCZNE</x:t>
        </x:is>
      </x:c>
      <x:c r="S28" s="6" t="inlineStr">
        <x:is>
          <x:t xml:space="preserve">website+crm</x:t>
        </x:is>
      </x:c>
      <x:c r="T28" s="6" t="inlineStr">
        <x:is>
          <x:t xml:space="preserve">Dodawane do ścian przezroczystych | FIX17: Wynagr.+koszty = 0 dla dopłaty; nie jest osobnym montażem ekipy.</x:t>
        </x:is>
      </x:c>
    </x:row>
    <x:row r="29">
      <x:c r="A29" s="6" t="inlineStr">
        <x:is>
          <x:t xml:space="preserve">300 x 406 cm</x:t>
        </x:is>
      </x:c>
      <x:c r="B29" s="6" t="inlineStr">
        <x:is>
          <x:t xml:space="preserve">RB</x:t>
        </x:is>
      </x:c>
      <x:c r="C29" s="6" t="inlineStr">
        <x:is>
          <x:t xml:space="preserve">Roleta boczna ZIP</x:t>
        </x:is>
      </x:c>
      <x:c r="D29" s="6" t="inlineStr">
        <x:is>
          <x:t xml:space="preserve">ROLETA BOCZNA</x:t>
        </x:is>
      </x:c>
      <x:c r="E29" s="8" t="n">
        <x:f>IFERROR(INDEX('02_RAW_INDEX'!$J:$J,MATCH($A29,'02_RAW_INDEX'!$A:$A,0)),"")</x:f>
        <x:v>1740</x:v>
      </x:c>
      <x:c r="F29" s="8" t="n">
        <x:f>IFERROR(INDEX('02_RAW_INDEX'!$I:$I,MATCH($A29,'02_RAW_INDEX'!$A:$A,0)),"")</x:f>
        <x:v>2140</x:v>
      </x:c>
      <x:c r="G29" s="7" t="n">
        <x:f>'01_Ustawienia'!$B$6</x:f>
        <x:v>0</x:v>
      </x:c>
      <x:c r="H29" s="8" t="n">
        <x:f>IF(E29="","",ROUND(IF('01_Ustawienia'!$B$5="BRUTTO",F29,E29)*(1-G29),0))</x:f>
        <x:v>1740</x:v>
      </x:c>
      <x:c r="I29" s="7" t="n">
        <x:f>IFERROR(IFERROR(INDEX('01_Ustawienia'!$B$15:$B$33,MATCH(B29,'01_Ustawienia'!$A$15:$A$33,0)),0.45),0.45)</x:f>
        <x:v>0.45</x:v>
      </x:c>
      <x:c r="J29" s="8" t="n">
        <x:f>IF(H29="","",ROUND(H29*(1+I29),0))</x:f>
        <x:v>2523</x:v>
      </x:c>
      <x:c r="K29" s="8" t="n">
        <x:f>0</x:f>
        <x:v>0</x:v>
      </x:c>
      <x:c r="L29" s="8" t="n">
        <x:f>IFERROR(IFERROR(INDEX(EG_Cennik_uslug!$AC:$AC,MATCH($A29,EG_Cennik_uslug!$A:$A,0)),0),0)</x:f>
        <x:v>150</x:v>
      </x:c>
      <x:c r="M29" s="7" t="n">
        <x:f>IF('01_Ustawienia'!$B$4="ZWOLNIONY",0,'01_Ustawienia'!$B$7)</x:f>
        <x:v>0.08</x:v>
      </x:c>
      <x:c r="N29" s="8" t="n">
        <x:f>IF(J29="","",ROUND((J29+K29)*(1+M29),0))</x:f>
        <x:v>2725</x:v>
      </x:c>
      <x:c r="O29" s="8" t="n">
        <x:f>IF(J29="","",J29+K29-H29-L29)</x:f>
        <x:v>633</x:v>
      </x:c>
      <x:c r="P29" s="7" t="n">
        <x:f>IFERROR(O29/(J29+K29),"")</x:f>
        <x:v>0.25089179548156954</x:v>
      </x:c>
      <x:c r="Q29" s="6" t="inlineStr">
        <x:is>
          <x:t xml:space="preserve">RAW_ZP J/K</x:t>
        </x:is>
      </x:c>
      <x:c r="R29" s="6" t="inlineStr">
        <x:is>
          <x:t xml:space="preserve">ROLETY BOCZNE</x:t>
        </x:is>
      </x:c>
      <x:c r="S29" s="6" t="inlineStr">
        <x:is>
          <x:t xml:space="preserve">website+crm</x:t>
        </x:is>
      </x:c>
      <x:c r="T29" s="6" t="inlineStr">
        <x:is>
          <x:t xml:space="preserve">Używana dla lewej i prawej</x:t>
        </x:is>
      </x:c>
    </x:row>
    <x:row r="30">
      <x:c r="A30" s="6" t="inlineStr">
        <x:is>
          <x:t xml:space="preserve">300 x 406 cm</x:t>
        </x:is>
      </x:c>
      <x:c r="B30" s="6" t="inlineStr">
        <x:is>
          <x:t xml:space="preserve">RP</x:t>
        </x:is>
      </x:c>
      <x:c r="C30" s="6" t="inlineStr">
        <x:is>
          <x:t xml:space="preserve">Roleta przednia ZIP</x:t>
        </x:is>
      </x:c>
      <x:c r="D30" s="6" t="inlineStr">
        <x:is>
          <x:t xml:space="preserve">ROLETA PRZÓD</x:t>
        </x:is>
      </x:c>
      <x:c r="E30" s="8" t="n">
        <x:f>IFERROR(INDEX('02_RAW_INDEX'!$L:$L,MATCH($A30,'02_RAW_INDEX'!$A:$A,0)),"")</x:f>
        <x:v>2146</x:v>
      </x:c>
      <x:c r="F30" s="8" t="n">
        <x:f>IFERROR(INDEX('02_RAW_INDEX'!$K:$K,MATCH($A30,'02_RAW_INDEX'!$A:$A,0)),"")</x:f>
        <x:v>2640</x:v>
      </x:c>
      <x:c r="G30" s="7" t="n">
        <x:f>'01_Ustawienia'!$B$6</x:f>
        <x:v>0</x:v>
      </x:c>
      <x:c r="H30" s="8" t="n">
        <x:f>IF(E30="","",ROUND(IF('01_Ustawienia'!$B$5="BRUTTO",F30,E30)*(1-G30),0))</x:f>
        <x:v>2146</x:v>
      </x:c>
      <x:c r="I30" s="7" t="n">
        <x:f>IFERROR(IFERROR(INDEX('01_Ustawienia'!$B$15:$B$33,MATCH(B30,'01_Ustawienia'!$A$15:$A$33,0)),0.45),0.45)</x:f>
        <x:v>0.45</x:v>
      </x:c>
      <x:c r="J30" s="8" t="n">
        <x:f>IF(H30="","",ROUND(H30*(1+I30),0))</x:f>
        <x:v>3112</x:v>
      </x:c>
      <x:c r="K30" s="8" t="n">
        <x:f>0</x:f>
        <x:v>0</x:v>
      </x:c>
      <x:c r="L30" s="8" t="n">
        <x:f>IFERROR(IFERROR(INDEX(EG_Cennik_uslug!$AJ:$AJ,MATCH($A30,EG_Cennik_uslug!$A:$A,0)),0),0)</x:f>
        <x:v>150</x:v>
      </x:c>
      <x:c r="M30" s="7" t="n">
        <x:f>IF('01_Ustawienia'!$B$4="ZWOLNIONY",0,'01_Ustawienia'!$B$7)</x:f>
        <x:v>0.08</x:v>
      </x:c>
      <x:c r="N30" s="8" t="n">
        <x:f>IF(J30="","",ROUND((J30+K30)*(1+M30),0))</x:f>
        <x:v>3361</x:v>
      </x:c>
      <x:c r="O30" s="8" t="n">
        <x:f>IF(J30="","",J30+K30-H30-L30)</x:f>
        <x:v>816</x:v>
      </x:c>
      <x:c r="P30" s="7" t="n">
        <x:f>IFERROR(O30/(J30+K30),"")</x:f>
        <x:v>0.2622107969151671</x:v>
      </x:c>
      <x:c r="Q30" s="6" t="inlineStr">
        <x:is>
          <x:t xml:space="preserve">RAW_ZP N/O</x:t>
        </x:is>
      </x:c>
      <x:c r="R30" s="6" t="inlineStr">
        <x:is>
          <x:t xml:space="preserve">ROLETY BOCZNE</x:t>
        </x:is>
      </x:c>
      <x:c r="S30" s="6" t="inlineStr">
        <x:is>
          <x:t xml:space="preserve">website+crm</x:t>
        </x:is>
      </x:c>
      <x:c r="T30" s="6" t="n"/>
    </x:row>
    <x:row r="31">
      <x:c r="A31" s="6" t="inlineStr">
        <x:is>
          <x:t xml:space="preserve">300 x 406 cm</x:t>
        </x:is>
      </x:c>
      <x:c r="B31" s="6" t="inlineStr">
        <x:is>
          <x:t xml:space="preserve">M</x:t>
        </x:is>
      </x:c>
      <x:c r="C31" s="6" t="inlineStr">
        <x:is>
          <x:t xml:space="preserve">Markiza dachowa</x:t>
        </x:is>
      </x:c>
      <x:c r="D31" s="6" t="inlineStr">
        <x:is>
          <x:t xml:space="preserve">MARKIZA</x:t>
        </x:is>
      </x:c>
      <x:c r="E31" s="8" t="n">
        <x:f>IFERROR(INDEX('02_RAW_INDEX'!$H:$H,MATCH($A31,'02_RAW_INDEX'!$A:$A,0)),"")</x:f>
        <x:v>3496</x:v>
      </x:c>
      <x:c r="F31" s="8" t="n">
        <x:f>IFERROR(INDEX('02_RAW_INDEX'!$G:$G,MATCH($A31,'02_RAW_INDEX'!$A:$A,0)),"")</x:f>
        <x:v>4300</x:v>
      </x:c>
      <x:c r="G31" s="7" t="n">
        <x:f>'01_Ustawienia'!$B$6</x:f>
        <x:v>0</x:v>
      </x:c>
      <x:c r="H31" s="8" t="n">
        <x:f>IF(E31="","",ROUND(IF('01_Ustawienia'!$B$5="BRUTTO",F31,E31)*(1-G31),0))</x:f>
        <x:v>3496</x:v>
      </x:c>
      <x:c r="I31" s="7" t="n">
        <x:f>IFERROR(IFERROR(INDEX('01_Ustawienia'!$B$15:$B$33,MATCH(B31,'01_Ustawienia'!$A$15:$A$33,0)),0.45),0.45)</x:f>
        <x:v>0.45</x:v>
      </x:c>
      <x:c r="J31" s="8" t="n">
        <x:f>IF(H31="","",ROUND(H31*(1+I31),0))</x:f>
        <x:v>5069</x:v>
      </x:c>
      <x:c r="K31" s="8" t="n">
        <x:f>0</x:f>
        <x:v>0</x:v>
      </x:c>
      <x:c r="L31" s="8" t="n">
        <x:f>IFERROR(IFERROR(INDEX(EG_Cennik_uslug!$AQ:$AQ,MATCH($A31,EG_Cennik_uslug!$A:$A,0)),0),0)</x:f>
        <x:v>250</x:v>
      </x:c>
      <x:c r="M31" s="7" t="n">
        <x:f>IF('01_Ustawienia'!$B$4="ZWOLNIONY",0,'01_Ustawienia'!$B$7)</x:f>
        <x:v>0.08</x:v>
      </x:c>
      <x:c r="N31" s="8" t="n">
        <x:f>IF(J31="","",ROUND((J31+K31)*(1+M31),0))</x:f>
        <x:v>5475</x:v>
      </x:c>
      <x:c r="O31" s="8" t="n">
        <x:f>IF(J31="","",J31+K31-H31-L31)</x:f>
        <x:v>1323</x:v>
      </x:c>
      <x:c r="P31" s="7" t="n">
        <x:f>IFERROR(O31/(J31+K31),"")</x:f>
        <x:v>0.26099822450187415</x:v>
      </x:c>
      <x:c r="Q31" s="6" t="inlineStr">
        <x:is>
          <x:t xml:space="preserve">RAW_ZP H/I</x:t>
        </x:is>
      </x:c>
      <x:c r="R31" s="6" t="inlineStr">
        <x:is>
          <x:t xml:space="preserve">MARKIZA</x:t>
        </x:is>
      </x:c>
      <x:c r="S31" s="6" t="inlineStr">
        <x:is>
          <x:t xml:space="preserve">website+crm</x:t>
        </x:is>
      </x:c>
      <x:c r="T31" s="6" t="n"/>
    </x:row>
    <x:row r="32">
      <x:c r="A32" s="6" t="inlineStr">
        <x:is>
          <x:t xml:space="preserve">300 x 406 cm</x:t>
        </x:is>
      </x:c>
      <x:c r="B32" s="6" t="inlineStr">
        <x:is>
          <x:t xml:space="preserve">PDWP</x:t>
        </x:is>
      </x:c>
      <x:c r="C32" s="6" t="inlineStr">
        <x:is>
          <x:t xml:space="preserve">Fundament/profile</x:t>
        </x:is>
      </x:c>
      <x:c r="D32" s="6" t="inlineStr">
        <x:is>
          <x:t xml:space="preserve">FUNDAMENT / PROFILE</x:t>
        </x:is>
      </x:c>
      <x:c r="E32" s="8" t="n">
        <x:f>IFERROR(INDEX('02_RAW_INDEX'!$AH:$AH,MATCH($A32,'02_RAW_INDEX'!$A:$A,0)),"")</x:f>
        <x:v>626</x:v>
      </x:c>
      <x:c r="F32" s="8" t="n">
        <x:f>IFERROR(INDEX('02_RAW_INDEX'!$AG:$AG,MATCH($A32,'02_RAW_INDEX'!$A:$A,0)),"")</x:f>
        <x:v>770</x:v>
      </x:c>
      <x:c r="G32" s="7" t="n">
        <x:f>'01_Ustawienia'!$B$6</x:f>
        <x:v>0</x:v>
      </x:c>
      <x:c r="H32" s="8" t="n">
        <x:f>IF(E32="","",ROUND(IF('01_Ustawienia'!$B$5="BRUTTO",F32,E32)*(1-G32),0))</x:f>
        <x:v>626</x:v>
      </x:c>
      <x:c r="I32" s="7" t="n">
        <x:f>IFERROR(IFERROR(INDEX('01_Ustawienia'!$B$15:$B$33,MATCH(B32,'01_Ustawienia'!$A$15:$A$33,0)),0.45),0.45)</x:f>
        <x:v>1.2</x:v>
      </x:c>
      <x:c r="J32" s="8" t="n">
        <x:f>IF(H32="","",ROUND(H32*(1+I32),0))</x:f>
        <x:v>1377</x:v>
      </x:c>
      <x:c r="K32" s="8" t="n">
        <x:f>0</x:f>
        <x:v>0</x:v>
      </x:c>
      <x:c r="L32" s="8" t="n">
        <x:f>IFERROR(IFERROR(INDEX(EG_Cennik_uslug!$BT:$BT,MATCH($A32,EG_Cennik_uslug!$A:$A,0)),0),0)</x:f>
        <x:v>290</x:v>
      </x:c>
      <x:c r="M32" s="7" t="n">
        <x:f>IF('01_Ustawienia'!$B$4="ZWOLNIONY",0,'01_Ustawienia'!$B$7)</x:f>
        <x:v>0.08</x:v>
      </x:c>
      <x:c r="N32" s="8" t="n">
        <x:f>IF(J32="","",ROUND((J32+K32)*(1+M32),0))</x:f>
        <x:v>1487</x:v>
      </x:c>
      <x:c r="O32" s="8" t="n">
        <x:f>IF(J32="","",J32+K32-H32-L32)</x:f>
        <x:v>461</x:v>
      </x:c>
      <x:c r="P32" s="7" t="n">
        <x:f>IFERROR(O32/(J32+K32),"")</x:f>
        <x:v>0.3347857661583152</x:v>
      </x:c>
      <x:c r="Q32" s="6" t="inlineStr">
        <x:is>
          <x:t xml:space="preserve">RAW_OP AB/AC</x:t>
        </x:is>
      </x:c>
      <x:c r="R32" s="6" t="inlineStr">
        <x:is>
          <x:t xml:space="preserve">FUNDAMENT (PROFILE)</x:t>
        </x:is>
      </x:c>
      <x:c r="S32" s="6" t="inlineStr">
        <x:is>
          <x:t xml:space="preserve">website+crm</x:t>
        </x:is>
      </x:c>
      <x:c r="T32" s="6" t="n"/>
    </x:row>
    <x:row r="33" s="655" customFormat="1" ht="30" customHeight="1">
      <x:c r="A33" s="6" t="inlineStr">
        <x:is>
          <x:t xml:space="preserve">300 x 406 cm</x:t>
        </x:is>
      </x:c>
      <x:c r="B33" s="6" t="inlineStr">
        <x:is>
          <x:t xml:space="preserve">ZAB</x:t>
        </x:is>
      </x:c>
      <x:c r="C33" s="6" t="inlineStr">
        <x:is>
          <x:t xml:space="preserve">Zabieraki do ścian przesuwnych</x:t>
        </x:is>
      </x:c>
      <x:c r="D33" s="6" t="inlineStr">
        <x:is>
          <x:t xml:space="preserve">DODATKI</x:t>
        </x:is>
      </x:c>
      <x:c r="E33" s="8" t="n">
        <x:f>IFERROR(INDEX('02_RAW_INDEX'!$AJ:$AJ,MATCH($A33,'02_RAW_INDEX'!$A:$A,0)),"")</x:f>
        <x:v>228</x:v>
      </x:c>
      <x:c r="F33" s="8" t="n">
        <x:f>IFERROR(INDEX('02_RAW_INDEX'!$AI:$AI,MATCH($A33,'02_RAW_INDEX'!$A:$A,0)),"")</x:f>
        <x:v>280</x:v>
      </x:c>
      <x:c r="G33" s="7" t="n">
        <x:f>'01_Ustawienia'!$B$6</x:f>
        <x:v>0</x:v>
      </x:c>
      <x:c r="H33" s="8" t="n">
        <x:f>IF(E33="","",ROUND(IF('01_Ustawienia'!$B$5="BRUTTO",F33,E33)*(1-G33),0))</x:f>
        <x:v>228</x:v>
      </x:c>
      <x:c r="I33" s="7" t="n">
        <x:f>IFERROR(IFERROR(INDEX('01_Ustawienia'!$B$15:$B$33,MATCH(B33,'01_Ustawienia'!$A$15:$A$33,0)),0.45),0.45)</x:f>
        <x:v>0.45</x:v>
      </x:c>
      <x:c r="J33" s="8" t="n">
        <x:f>IF(H33="","",ROUND(H33*(1+I33),0))</x:f>
        <x:v>331</x:v>
      </x:c>
      <x:c r="K33" s="8" t="n">
        <x:f>0</x:f>
        <x:v>0</x:v>
      </x:c>
      <x:c r="L33" s="8" t="n">
        <x:f>0</x:f>
        <x:v>0</x:v>
      </x:c>
      <x:c r="M33" s="7" t="n">
        <x:f>IF('01_Ustawienia'!$B$4="ZWOLNIONY",0,'01_Ustawienia'!$B$7)</x:f>
        <x:v>0.08</x:v>
      </x:c>
      <x:c r="N33" s="8" t="n">
        <x:f>IF(J33="","",ROUND((J33+K33)*(1+M33),0))</x:f>
        <x:v>357</x:v>
      </x:c>
      <x:c r="O33" s="8" t="n">
        <x:f>IF(J33="","",J33+K33-H33-L33)</x:f>
        <x:v>103</x:v>
      </x:c>
      <x:c r="P33" s="7" t="n">
        <x:f>IFERROR(O33/(J33+K33),"")</x:f>
        <x:v>0.311178247734139</x:v>
      </x:c>
      <x:c r="Q33" s="6" t="inlineStr">
        <x:is>
          <x:t xml:space="preserve">RAW_OP AD/AE</x:t>
        </x:is>
      </x:c>
      <x:c r="R33" s="6" t="inlineStr">
        <x:is>
          <x:t xml:space="preserve">DODATKI</x:t>
        </x:is>
      </x:c>
      <x:c r="S33" s="6" t="inlineStr">
        <x:is>
          <x:t xml:space="preserve">crm_only</x:t>
        </x:is>
      </x:c>
      <x:c r="T33" s="6" t="n"/>
    </x:row>
    <x:row r="34">
      <x:c r="A34" s="6" t="inlineStr">
        <x:is>
          <x:t xml:space="preserve">300 x 406 cm</x:t>
        </x:is>
      </x:c>
      <x:c r="B34" s="6" t="inlineStr">
        <x:is>
          <x:t xml:space="preserve">S</x:t>
        </x:is>
      </x:c>
      <x:c r="C34" s="6" t="inlineStr">
        <x:is>
          <x:t xml:space="preserve">Szczotki przeciwkurzowe</x:t>
        </x:is>
      </x:c>
      <x:c r="D34" s="6" t="inlineStr">
        <x:is>
          <x:t xml:space="preserve">SZCZOTKI</x:t>
        </x:is>
      </x:c>
      <x:c r="E34" s="8" t="n">
        <x:f>IFERROR(INDEX('02_RAW_INDEX'!$AD:$AD,MATCH($A34,'02_RAW_INDEX'!$A:$A,0)),"")</x:f>
        <x:v>309</x:v>
      </x:c>
      <x:c r="F34" s="8" t="n">
        <x:f>IFERROR(INDEX('02_RAW_INDEX'!$AC:$AC,MATCH($A34,'02_RAW_INDEX'!$A:$A,0)),"")</x:f>
        <x:v>380</x:v>
      </x:c>
      <x:c r="G34" s="7" t="n">
        <x:f>'01_Ustawienia'!$B$6</x:f>
        <x:v>0</x:v>
      </x:c>
      <x:c r="H34" s="8" t="n">
        <x:f>IF(E34="","",ROUND(IF('01_Ustawienia'!$B$5="BRUTTO",F34,E34)*(1-G34),0))</x:f>
        <x:v>309</x:v>
      </x:c>
      <x:c r="I34" s="7" t="n">
        <x:f>IFERROR(IFERROR(INDEX('01_Ustawienia'!$B$15:$B$33,MATCH(B34,'01_Ustawienia'!$A$15:$A$33,0)),0.45),0.45)</x:f>
        <x:v>0.45</x:v>
      </x:c>
      <x:c r="J34" s="8" t="n">
        <x:f>IF(H34="","",ROUND(H34*(1+I34),0))</x:f>
        <x:v>448</x:v>
      </x:c>
      <x:c r="K34" s="8" t="n">
        <x:f>0</x:f>
        <x:v>0</x:v>
      </x:c>
      <x:c r="L34" s="8" t="n">
        <x:f>IFERROR(IFERROR(INDEX(EG_Cennik_uslug!$CA:$CA,MATCH($A34,EG_Cennik_uslug!$A:$A,0)),0),0)</x:f>
        <x:v>0</x:v>
      </x:c>
      <x:c r="M34" s="7" t="n">
        <x:f>IF('01_Ustawienia'!$B$4="ZWOLNIONY",0,'01_Ustawienia'!$B$7)</x:f>
        <x:v>0.08</x:v>
      </x:c>
      <x:c r="N34" s="8" t="n">
        <x:f>IF(J34="","",ROUND((J34+K34)*(1+M34),0))</x:f>
        <x:v>484</x:v>
      </x:c>
      <x:c r="O34" s="8" t="n">
        <x:f>IF(J34="","",J34+K34-H34-L34)</x:f>
        <x:v>139</x:v>
      </x:c>
      <x:c r="P34" s="7" t="n">
        <x:f>IFERROR(O34/(J34+K34),"")</x:f>
        <x:v>0.31026785714285715</x:v>
      </x:c>
      <x:c r="Q34" s="6" t="inlineStr">
        <x:is>
          <x:t xml:space="preserve">RAW_OP L/M</x:t>
        </x:is>
      </x:c>
      <x:c r="R34" s="6" t="inlineStr">
        <x:is>
          <x:t xml:space="preserve">DODATKI</x:t>
        </x:is>
      </x:c>
      <x:c r="S34" s="6" t="inlineStr">
        <x:is>
          <x:t xml:space="preserve">website+crm</x:t>
        </x:is>
      </x:c>
      <x:c r="T34" s="6" t="n"/>
    </x:row>
    <x:row r="35">
      <x:c r="A35" s="6" t="inlineStr">
        <x:is>
          <x:t xml:space="preserve">300 x 406 cm</x:t>
        </x:is>
      </x:c>
      <x:c r="B35" s="6" t="inlineStr">
        <x:is>
          <x:t xml:space="preserve">U</x:t>
        </x:is>
      </x:c>
      <x:c r="C35" s="6" t="inlineStr">
        <x:is>
          <x:t xml:space="preserve">Uchwyty na szkło ścienne</x:t>
        </x:is>
      </x:c>
      <x:c r="D35" s="6" t="inlineStr">
        <x:is>
          <x:t xml:space="preserve">UCHWYTY</x:t>
        </x:is>
      </x:c>
      <x:c r="E35" s="8" t="n">
        <x:f>IFERROR(INDEX('02_RAW_INDEX'!$AF:$AF,MATCH($A35,'02_RAW_INDEX'!$A:$A,0)),"")</x:f>
        <x:v>276</x:v>
      </x:c>
      <x:c r="F35" s="8" t="n">
        <x:f>IFERROR(INDEX('02_RAW_INDEX'!$AE:$AE,MATCH($A35,'02_RAW_INDEX'!$A:$A,0)),"")</x:f>
        <x:v>340</x:v>
      </x:c>
      <x:c r="G35" s="7" t="n">
        <x:f>'01_Ustawienia'!$B$6</x:f>
        <x:v>0</x:v>
      </x:c>
      <x:c r="H35" s="8" t="n">
        <x:f>IF(E35="","",ROUND(IF('01_Ustawienia'!$B$5="BRUTTO",F35,E35)*(1-G35),0))</x:f>
        <x:v>276</x:v>
      </x:c>
      <x:c r="I35" s="7" t="n">
        <x:f>IFERROR(IFERROR(INDEX('01_Ustawienia'!$B$15:$B$33,MATCH(B35,'01_Ustawienia'!$A$15:$A$33,0)),0.45),0.45)</x:f>
        <x:v>0.45</x:v>
      </x:c>
      <x:c r="J35" s="8" t="n">
        <x:f>IF(H35="","",ROUND(H35*(1+I35),0))</x:f>
        <x:v>400</x:v>
      </x:c>
      <x:c r="K35" s="8" t="n">
        <x:f>0</x:f>
        <x:v>0</x:v>
      </x:c>
      <x:c r="L35" s="8" t="n">
        <x:f>IFERROR(IFERROR(INDEX(EG_Cennik_uslug!$CH:$CH,MATCH($A35,EG_Cennik_uslug!$A:$A,0)),0),0)</x:f>
        <x:v>0</x:v>
      </x:c>
      <x:c r="M35" s="7" t="n">
        <x:f>IF('01_Ustawienia'!$B$4="ZWOLNIONY",0,'01_Ustawienia'!$B$7)</x:f>
        <x:v>0.08</x:v>
      </x:c>
      <x:c r="N35" s="8" t="n">
        <x:f>IF(J35="","",ROUND((J35+K35)*(1+M35),0))</x:f>
        <x:v>432</x:v>
      </x:c>
      <x:c r="O35" s="8" t="n">
        <x:f>IF(J35="","",J35+K35-H35-L35)</x:f>
        <x:v>124</x:v>
      </x:c>
      <x:c r="P35" s="7" t="n">
        <x:f>IFERROR(O35/(J35+K35),"")</x:f>
        <x:v>0.31</x:v>
      </x:c>
      <x:c r="Q35" s="6" t="inlineStr">
        <x:is>
          <x:t xml:space="preserve">RAW_OP N/O</x:t>
        </x:is>
      </x:c>
      <x:c r="R35" s="6" t="inlineStr">
        <x:is>
          <x:t xml:space="preserve">DODATKI</x:t>
        </x:is>
      </x:c>
      <x:c r="S35" s="6" t="inlineStr">
        <x:is>
          <x:t xml:space="preserve">website+crm</x:t>
        </x:is>
      </x:c>
      <x:c r="T35" s="6" t="n"/>
    </x:row>
    <x:row r="36">
      <x:c r="A36" s="6" t="inlineStr">
        <x:is>
          <x:t xml:space="preserve">300 x 406 cm</x:t>
        </x:is>
      </x:c>
      <x:c r="B36" s="6" t="inlineStr">
        <x:is>
          <x:t xml:space="preserve">LED2</x:t>
        </x:is>
      </x:c>
      <x:c r="C36" s="6" t="inlineStr">
        <x:is>
          <x:t xml:space="preserve">Oświetlenie LED 2 punkty</x:t>
        </x:is>
      </x:c>
      <x:c r="D36" s="6" t="inlineStr">
        <x:is>
          <x:t xml:space="preserve">LED 2 PKT</x:t>
        </x:is>
      </x:c>
      <x:c r="E36" s="8" t="n">
        <x:f>IFERROR(INDEX('02_RAW_INDEX'!$N:$N,MATCH($A36,'02_RAW_INDEX'!$A:$A,0)),"")</x:f>
        <x:v>415</x:v>
      </x:c>
      <x:c r="F36" s="8" t="n">
        <x:f>IFERROR(INDEX('02_RAW_INDEX'!$M:$M,MATCH($A36,'02_RAW_INDEX'!$A:$A,0)),"")</x:f>
        <x:v>510</x:v>
      </x:c>
      <x:c r="G36" s="7" t="n">
        <x:f>'01_Ustawienia'!$B$6</x:f>
        <x:v>0</x:v>
      </x:c>
      <x:c r="H36" s="8" t="n">
        <x:f>IF(E36="","",ROUND(IF('01_Ustawienia'!$B$5="BRUTTO",F36,E36)*(1-G36),0))</x:f>
        <x:v>415</x:v>
      </x:c>
      <x:c r="I36" s="7" t="n">
        <x:f>IFERROR(IFERROR(INDEX('01_Ustawienia'!$B$15:$B$33,MATCH(B36,'01_Ustawienia'!$A$15:$A$33,0)),0.45),0.45)</x:f>
        <x:v>0.45</x:v>
      </x:c>
      <x:c r="J36" s="8" t="n">
        <x:f>IF(H36="","",ROUND(H36*(1+I36),0))</x:f>
        <x:v>602</x:v>
      </x:c>
      <x:c r="K36" s="8" t="n">
        <x:f>0</x:f>
        <x:v>0</x:v>
      </x:c>
      <x:c r="L36" s="8" t="n">
        <x:f>IFERROR(IFERROR(INDEX(EG_Cennik_uslug!$CO:$CO,MATCH($A36,EG_Cennik_uslug!$A:$A,0)),0),0)</x:f>
        <x:v>0</x:v>
      </x:c>
      <x:c r="M36" s="7" t="n">
        <x:f>IF('01_Ustawienia'!$B$4="ZWOLNIONY",0,'01_Ustawienia'!$B$7)</x:f>
        <x:v>0.08</x:v>
      </x:c>
      <x:c r="N36" s="8" t="n">
        <x:f>IF(J36="","",ROUND((J36+K36)*(1+M36),0))</x:f>
        <x:v>650</x:v>
      </x:c>
      <x:c r="O36" s="8" t="n">
        <x:f>IF(J36="","",J36+K36-H36-L36)</x:f>
        <x:v>187</x:v>
      </x:c>
      <x:c r="P36" s="7" t="n">
        <x:f>IFERROR(O36/(J36+K36),"")</x:f>
        <x:v>0.3106312292358804</x:v>
      </x:c>
      <x:c r="Q36" s="6" t="inlineStr">
        <x:is>
          <x:t xml:space="preserve">RAW_ZP P/Q</x:t>
        </x:is>
      </x:c>
      <x:c r="R36" s="6" t="inlineStr">
        <x:is>
          <x:t xml:space="preserve">OŚWIETLENIE</x:t>
        </x:is>
      </x:c>
      <x:c r="S36" s="6" t="inlineStr">
        <x:is>
          <x:t xml:space="preserve">website+crm</x:t>
        </x:is>
      </x:c>
      <x:c r="T36" s="6" t="n"/>
    </x:row>
    <x:row r="37">
      <x:c r="A37" s="6" t="inlineStr">
        <x:is>
          <x:t xml:space="preserve">300 x 406 cm</x:t>
        </x:is>
      </x:c>
      <x:c r="B37" s="6" t="inlineStr">
        <x:is>
          <x:t xml:space="preserve">LED3</x:t>
        </x:is>
      </x:c>
      <x:c r="C37" s="6" t="inlineStr">
        <x:is>
          <x:t xml:space="preserve">Oświetlenie LED 3 punkty</x:t>
        </x:is>
      </x:c>
      <x:c r="D37" s="6" t="inlineStr">
        <x:is>
          <x:t xml:space="preserve">LED 3 PKT</x:t>
        </x:is>
      </x:c>
      <x:c r="E37" s="8" t="n">
        <x:f>IFERROR(INDEX('02_RAW_INDEX'!$P:$P,MATCH($A37,'02_RAW_INDEX'!$A:$A,0)),"")</x:f>
        <x:v>602</x:v>
      </x:c>
      <x:c r="F37" s="8" t="n">
        <x:f>IFERROR(INDEX('02_RAW_INDEX'!$O:$O,MATCH($A37,'02_RAW_INDEX'!$A:$A,0)),"")</x:f>
        <x:v>740</x:v>
      </x:c>
      <x:c r="G37" s="7" t="n">
        <x:f>'01_Ustawienia'!$B$6</x:f>
        <x:v>0</x:v>
      </x:c>
      <x:c r="H37" s="8" t="n">
        <x:f>IF(E37="","",ROUND(IF('01_Ustawienia'!$B$5="BRUTTO",F37,E37)*(1-G37),0))</x:f>
        <x:v>602</x:v>
      </x:c>
      <x:c r="I37" s="7" t="n">
        <x:f>IFERROR(IFERROR(INDEX('01_Ustawienia'!$B$15:$B$33,MATCH(B37,'01_Ustawienia'!$A$15:$A$33,0)),0.45),0.45)</x:f>
        <x:v>0.45</x:v>
      </x:c>
      <x:c r="J37" s="8" t="n">
        <x:f>IF(H37="","",ROUND(H37*(1+I37),0))</x:f>
        <x:v>873</x:v>
      </x:c>
      <x:c r="K37" s="8" t="n">
        <x:f>0</x:f>
        <x:v>0</x:v>
      </x:c>
      <x:c r="L37" s="8" t="n">
        <x:f>IFERROR(IFERROR(INDEX(EG_Cennik_uslug!$CV:$CV,MATCH($A37,EG_Cennik_uslug!$A:$A,0)),0),0)</x:f>
        <x:v>0</x:v>
      </x:c>
      <x:c r="M37" s="7" t="n">
        <x:f>IF('01_Ustawienia'!$B$4="ZWOLNIONY",0,'01_Ustawienia'!$B$7)</x:f>
        <x:v>0.08</x:v>
      </x:c>
      <x:c r="N37" s="8" t="n">
        <x:f>IF(J37="","",ROUND((J37+K37)*(1+M37),0))</x:f>
        <x:v>943</x:v>
      </x:c>
      <x:c r="O37" s="8" t="n">
        <x:f>IF(J37="","",J37+K37-H37-L37)</x:f>
        <x:v>271</x:v>
      </x:c>
      <x:c r="P37" s="7" t="n">
        <x:f>IFERROR(O37/(J37+K37),"")</x:f>
        <x:v>0.3104238258877434</x:v>
      </x:c>
      <x:c r="Q37" s="6" t="inlineStr">
        <x:is>
          <x:t xml:space="preserve">RAW_ZP R/S</x:t>
        </x:is>
      </x:c>
      <x:c r="R37" s="6" t="inlineStr">
        <x:is>
          <x:t xml:space="preserve">OŚWIETLENIE</x:t>
        </x:is>
      </x:c>
      <x:c r="S37" s="6" t="inlineStr">
        <x:is>
          <x:t xml:space="preserve">website+crm</x:t>
        </x:is>
      </x:c>
      <x:c r="T37" s="6" t="inlineStr">
        <x:is>
          <x:t xml:space="preserve">Nazwa do potwierdzenia</x:t>
        </x:is>
      </x:c>
    </x:row>
    <x:row r="38">
      <x:c r="A38" s="6" t="inlineStr">
        <x:is>
          <x:t xml:space="preserve">300 x 406 cm</x:t>
        </x:is>
      </x:c>
      <x:c r="B38" s="6" t="inlineStr">
        <x:is>
          <x:t xml:space="preserve">LEDCCT</x:t>
        </x:is>
      </x:c>
      <x:c r="C38" s="6" t="inlineStr">
        <x:is>
          <x:t xml:space="preserve">Oświetlenie LED CCT</x:t>
        </x:is>
      </x:c>
      <x:c r="D38" s="6" t="inlineStr">
        <x:is>
          <x:t xml:space="preserve">OŚWIETLENIE</x:t>
        </x:is>
      </x:c>
      <x:c r="E38" s="8" t="n">
        <x:f>IFERROR(INDEX('02_RAW_INDEX'!$R:$R,MATCH($A38,'02_RAW_INDEX'!$A:$A,0)),"")</x:f>
        <x:v>920</x:v>
      </x:c>
      <x:c r="F38" s="8" t="n">
        <x:f>IFERROR(INDEX('02_RAW_INDEX'!$Q:$Q,MATCH($A38,'02_RAW_INDEX'!$A:$A,0)),"")</x:f>
        <x:v>1132</x:v>
      </x:c>
      <x:c r="G38" s="7" t="n">
        <x:f>'01_Ustawienia'!$B$6</x:f>
        <x:v>0</x:v>
      </x:c>
      <x:c r="H38" s="8" t="n">
        <x:f>IF(E38="","",ROUND(IF('01_Ustawienia'!$B$5="BRUTTO",F38,E38)*(1-G38),0))</x:f>
        <x:v>920</x:v>
      </x:c>
      <x:c r="I38" s="7" t="n">
        <x:f>IFERROR(IFERROR(INDEX('01_Ustawienia'!$B$15:$B$33,MATCH(B38,'01_Ustawienia'!$A$15:$A$33,0)),0.45),0.45)</x:f>
        <x:v>0.45</x:v>
      </x:c>
      <x:c r="J38" s="8" t="n">
        <x:f>IF(H38="","",ROUND(H38*(1+I38),0))</x:f>
        <x:v>1334</x:v>
      </x:c>
      <x:c r="K38" s="8" t="n">
        <x:f>0</x:f>
        <x:v>0</x:v>
      </x:c>
      <x:c r="L38" s="8" t="n">
        <x:f>0</x:f>
        <x:v>0</x:v>
      </x:c>
      <x:c r="M38" s="7" t="n">
        <x:f>IF('01_Ustawienia'!$B$4="ZWOLNIONY",0,'01_Ustawienia'!$B$7)</x:f>
        <x:v>0.08</x:v>
      </x:c>
      <x:c r="N38" s="8" t="n">
        <x:f>IF(J38="","",ROUND((J38+K38)*(1+M38),0))</x:f>
        <x:v>1441</x:v>
      </x:c>
      <x:c r="O38" s="8" t="n">
        <x:f>IF(J38="","",J38+K38-H38-L38)</x:f>
        <x:v>414</x:v>
      </x:c>
      <x:c r="P38" s="7" t="n">
        <x:f>IFERROR(O38/(J38+K38),"")</x:f>
        <x:v>0.3103448275862069</x:v>
      </x:c>
      <x:c r="Q38" s="6" t="inlineStr">
        <x:is>
          <x:t xml:space="preserve">RAW_ZP T/U</x:t>
        </x:is>
      </x:c>
      <x:c r="R38" s="6" t="inlineStr">
        <x:is>
          <x:t xml:space="preserve">OŚWIETLENIE</x:t>
        </x:is>
      </x:c>
      <x:c r="S38" s="6" t="inlineStr">
        <x:is>
          <x:t xml:space="preserve">website+crm</x:t>
        </x:is>
      </x:c>
      <x:c r="T38" s="6" t="inlineStr">
        <x:is>
          <x:t xml:space="preserve">Opcja dodatkowa | FIX17: opcja LED dostępna dla strony; ceny 450-600 wg modelu FIX15.</x:t>
        </x:is>
      </x:c>
    </x:row>
    <x:row r="39">
      <x:c r="A39" s="6" t="inlineStr">
        <x:is>
          <x:t xml:space="preserve">300 x 406 cm</x:t>
        </x:is>
      </x:c>
      <x:c r="B39" s="6" t="inlineStr">
        <x:is>
          <x:t xml:space="preserve">LEDRGBCCT</x:t>
        </x:is>
      </x:c>
      <x:c r="C39" s="6" t="inlineStr">
        <x:is>
          <x:t xml:space="preserve">Oświetlenie LED RGB CCT</x:t>
        </x:is>
      </x:c>
      <x:c r="D39" s="6" t="inlineStr">
        <x:is>
          <x:t xml:space="preserve">OŚWIETLENIE</x:t>
        </x:is>
      </x:c>
      <x:c r="E39" s="8" t="n">
        <x:f>IFERROR(INDEX('02_RAW_INDEX'!$T:$T,MATCH($A39,'02_RAW_INDEX'!$A:$A,0)),"")</x:f>
        <x:v>1200</x:v>
      </x:c>
      <x:c r="F39" s="8" t="n">
        <x:f>IFERROR(INDEX('02_RAW_INDEX'!$S:$S,MATCH($A39,'02_RAW_INDEX'!$A:$A,0)),"")</x:f>
        <x:v>1476</x:v>
      </x:c>
      <x:c r="G39" s="7" t="n">
        <x:f>'01_Ustawienia'!$B$6</x:f>
        <x:v>0</x:v>
      </x:c>
      <x:c r="H39" s="8" t="n">
        <x:f>IF(E39="","",ROUND(IF('01_Ustawienia'!$B$5="BRUTTO",F39,E39)*(1-G39),0))</x:f>
        <x:v>1200</x:v>
      </x:c>
      <x:c r="I39" s="7" t="n">
        <x:f>IFERROR(IFERROR(INDEX('01_Ustawienia'!$B$15:$B$33,MATCH(B39,'01_Ustawienia'!$A$15:$A$33,0)),0.45),0.45)</x:f>
        <x:v>0.45</x:v>
      </x:c>
      <x:c r="J39" s="8" t="n">
        <x:f>IF(H39="","",ROUND(H39*(1+I39),0))</x:f>
        <x:v>1740</x:v>
      </x:c>
      <x:c r="K39" s="8" t="n">
        <x:f>0</x:f>
        <x:v>0</x:v>
      </x:c>
      <x:c r="L39" s="8" t="n">
        <x:f>0</x:f>
        <x:v>0</x:v>
      </x:c>
      <x:c r="M39" s="7" t="n">
        <x:f>IF('01_Ustawienia'!$B$4="ZWOLNIONY",0,'01_Ustawienia'!$B$7)</x:f>
        <x:v>0.08</x:v>
      </x:c>
      <x:c r="N39" s="8" t="n">
        <x:f>IF(J39="","",ROUND((J39+K39)*(1+M39),0))</x:f>
        <x:v>1879</x:v>
      </x:c>
      <x:c r="O39" s="8" t="n">
        <x:f>IF(J39="","",J39+K39-H39-L39)</x:f>
        <x:v>540</x:v>
      </x:c>
      <x:c r="P39" s="7" t="n">
        <x:f>IFERROR(O39/(J39+K39),"")</x:f>
        <x:v>0.3103448275862069</x:v>
      </x:c>
      <x:c r="Q39" s="6" t="inlineStr">
        <x:is>
          <x:t xml:space="preserve">RAW_ZP V/W</x:t>
        </x:is>
      </x:c>
      <x:c r="R39" s="6" t="inlineStr">
        <x:is>
          <x:t xml:space="preserve">OŚWIETLENIE</x:t>
        </x:is>
      </x:c>
      <x:c r="S39" s="6" t="inlineStr">
        <x:is>
          <x:t xml:space="preserve">crm_only</x:t>
        </x:is>
      </x:c>
      <x:c r="T39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40" s="655" customFormat="1" ht="30" customHeight="1">
      <x:c r="A40" s="6" t="inlineStr">
        <x:is>
          <x:t xml:space="preserve">300 x 506 cm</x:t>
        </x:is>
      </x:c>
      <x:c r="B40" s="6" t="inlineStr">
        <x:is>
          <x:t xml:space="preserve">ZP</x:t>
        </x:is>
      </x:c>
      <x:c r="C40" s="6" t="inlineStr">
        <x:is>
          <x:t xml:space="preserve">Zadaszenie poliwęglan - baza</x:t>
        </x:is>
      </x:c>
      <x:c r="D40" s="6" t="inlineStr">
        <x:is>
          <x:t xml:space="preserve">ZADASZENIE POLIWĘGLAN</x:t>
        </x:is>
      </x:c>
      <x:c r="E40" s="8" t="n">
        <x:f>IFERROR(INDEX('02_RAW_INDEX'!$D:$D,MATCH($A40,'02_RAW_INDEX'!$A:$A,0)),"")</x:f>
        <x:v>5350</x:v>
      </x:c>
      <x:c r="F40" s="8" t="n">
        <x:f>IFERROR(INDEX('02_RAW_INDEX'!$C:$C,MATCH($A40,'02_RAW_INDEX'!$A:$A,0)),"")</x:f>
        <x:v>6580</x:v>
      </x:c>
      <x:c r="G40" s="7" t="n">
        <x:f>'01_Ustawienia'!$B$6</x:f>
        <x:v>0</x:v>
      </x:c>
      <x:c r="H40" s="8" t="n">
        <x:f>IF(E40="","",ROUND(IF('01_Ustawienia'!$B$5="BRUTTO",F40,E40)*(1-G40),0))</x:f>
        <x:v>5350</x:v>
      </x:c>
      <x:c r="I40" s="7" t="n">
        <x:f>IFERROR(IFERROR(INDEX('01_Ustawienia'!$B$15:$B$33,MATCH(B40,'01_Ustawienia'!$A$15:$A$33,0)),0.45),0.45)</x:f>
        <x:v>0.45</x:v>
      </x:c>
      <x:c r="J40" s="8" t="n">
        <x:f>IF(H40="","",ROUND(H40*(1+I40),0))</x:f>
        <x:v>7758</x:v>
      </x:c>
      <x:c r="K40" s="8" t="n">
        <x:f>IFERROR(IFERROR(INDEX(EG_Cennik_uslug!$F:$F,MATCH($A40,EG_Cennik_uslug!$A:$A,0)),0),0)</x:f>
        <x:v>3080</x:v>
      </x:c>
      <x:c r="L40" s="8" t="n">
        <x:f>IFERROR(IFERROR(INDEX(EG_Cennik_uslug!$G:$G,MATCH($A40,EG_Cennik_uslug!$A:$A,0)),0),0)</x:f>
        <x:v>980</x:v>
      </x:c>
      <x:c r="M40" s="7" t="n">
        <x:f>IF('01_Ustawienia'!$B$4="ZWOLNIONY",0,'01_Ustawienia'!$B$7)</x:f>
        <x:v>0.08</x:v>
      </x:c>
      <x:c r="N40" s="8" t="n">
        <x:f>IF(J40="","",ROUND((J40+K40)*(1+M40),0))</x:f>
        <x:v>11705</x:v>
      </x:c>
      <x:c r="O40" s="8" t="n">
        <x:f>IF(J40="","",J40+K40-H40-L40)</x:f>
        <x:v>4508</x:v>
      </x:c>
      <x:c r="P40" s="7" t="n">
        <x:f>IFERROR(O40/(J40+K40),"")</x:f>
        <x:v>0.4159439010887618</x:v>
      </x:c>
      <x:c r="Q40" s="6" t="inlineStr">
        <x:is>
          <x:t xml:space="preserve">RAW_ZP B/C</x:t>
        </x:is>
      </x:c>
      <x:c r="R40" s="6" t="inlineStr">
        <x:is>
          <x:t xml:space="preserve">ZADASZENIE TARASU KONSTRUKCJA</x:t>
        </x:is>
      </x:c>
      <x:c r="S40" s="6" t="inlineStr">
        <x:is>
          <x:t xml:space="preserve">website+crm</x:t>
        </x:is>
      </x:c>
      <x:c r="T40" s="6" t="inlineStr">
        <x:is>
          <x:t xml:space="preserve">Baza dla kalkulatora</x:t>
        </x:is>
      </x:c>
    </x:row>
    <x:row r="41" s="655" customFormat="1" ht="30" customHeight="1">
      <x:c r="A41" s="6" t="inlineStr">
        <x:is>
          <x:t xml:space="preserve">300 x 506 cm</x:t>
        </x:is>
      </x:c>
      <x:c r="B41" s="6" t="inlineStr">
        <x:is>
          <x:t xml:space="preserve">ZS</x:t>
        </x:is>
      </x:c>
      <x:c r="C41" s="6" t="inlineStr">
        <x:is>
          <x:t xml:space="preserve">Zadaszenie szkło - pełna konstrukcja</x:t>
        </x:is>
      </x:c>
      <x:c r="D41" s="6" t="inlineStr">
        <x:is>
          <x:t xml:space="preserve">ZADASZENIE SZKŁO</x:t>
        </x:is>
      </x:c>
      <x:c r="E41" s="8" t="n">
        <x:f>IFERROR(INDEX('02_RAW_INDEX'!$V:$V,MATCH($A41,'02_RAW_INDEX'!$A:$A,0)),"")</x:f>
        <x:v>7610</x:v>
      </x:c>
      <x:c r="F41" s="8" t="n">
        <x:f>IFERROR(INDEX('02_RAW_INDEX'!$U:$U,MATCH($A41,'02_RAW_INDEX'!$A:$A,0)),"")</x:f>
        <x:v>9360</x:v>
      </x:c>
      <x:c r="G41" s="7" t="n">
        <x:f>'01_Ustawienia'!$B$6</x:f>
        <x:v>0</x:v>
      </x:c>
      <x:c r="H41" s="8" t="n">
        <x:f>IF(E41="","",ROUND(IF('01_Ustawienia'!$B$5="BRUTTO",F41,E41)*(1-G41),0))</x:f>
        <x:v>7610</x:v>
      </x:c>
      <x:c r="I41" s="7" t="n">
        <x:f>IFERROR(IFERROR(INDEX('01_Ustawienia'!$B$15:$B$33,MATCH(B41,'01_Ustawienia'!$A$15:$A$33,0)),0.45),0.45)</x:f>
        <x:v>0.45</x:v>
      </x:c>
      <x:c r="J41" s="8" t="n">
        <x:f>IF(H41="","",ROUND(H41*(1+I41),0))</x:f>
        <x:v>11035</x:v>
      </x:c>
      <x:c r="K41" s="8" t="n">
        <x:f>IFERROR(IFERROR(INDEX(EG_Cennik_uslug!$F:$F,MATCH($A41,EG_Cennik_uslug!$A:$A,0)),0),0)</x:f>
        <x:v>3080</x:v>
      </x:c>
      <x:c r="L41" s="8" t="n">
        <x:f>IFERROR(IFERROR(INDEX(EG_Cennik_uslug!$G:$G,MATCH($A41,EG_Cennik_uslug!$A:$A,0)),0),0)</x:f>
        <x:v>980</x:v>
      </x:c>
      <x:c r="M41" s="7" t="n">
        <x:f>IF('01_Ustawienia'!$B$4="ZWOLNIONY",0,'01_Ustawienia'!$B$7)</x:f>
        <x:v>0.08</x:v>
      </x:c>
      <x:c r="N41" s="8" t="n">
        <x:f>IF(J41="","",ROUND((J41+K41)*(1+M41),0))</x:f>
        <x:v>15244</x:v>
      </x:c>
      <x:c r="O41" s="8" t="n">
        <x:f>IF(J41="","",J41+K41-H41-L41)</x:f>
        <x:v>5525</x:v>
      </x:c>
      <x:c r="P41" s="7" t="n">
        <x:f>IFERROR(O41/(J41+K41),"")</x:f>
        <x:v>0.3914275593340418</x:v>
      </x:c>
      <x:c r="Q41" s="6" t="inlineStr">
        <x:is>
          <x:t xml:space="preserve">RAW_ZS B/C</x:t>
        </x:is>
      </x:c>
      <x:c r="R41" s="6" t="inlineStr">
        <x:is>
          <x:t xml:space="preserve">ZADASZENIE TARASU KONSTRUKCJA</x:t>
        </x:is>
      </x:c>
      <x:c r="S41" s="6" t="inlineStr">
        <x:is>
          <x:t xml:space="preserve">crm_only</x:t>
        </x:is>
      </x:c>
      <x:c r="T41" s="6" t="inlineStr">
        <x:is>
          <x:t xml:space="preserve">Referencyjne/full; strona zwykle używa ZP + PDS</x:t>
        </x:is>
      </x:c>
    </x:row>
    <x:row r="42" s="655" customFormat="1" ht="30" customHeight="1">
      <x:c r="A42" s="6" t="inlineStr">
        <x:is>
          <x:t xml:space="preserve">300 x 506 cm</x:t>
        </x:is>
      </x:c>
      <x:c r="B42" s="6" t="inlineStr">
        <x:is>
          <x:t xml:space="preserve">OP</x:t>
        </x:is>
      </x:c>
      <x:c r="C42" s="6" t="inlineStr">
        <x:is>
          <x:t xml:space="preserve">Ogród zimowy poliwęglan - baza</x:t>
        </x:is>
      </x:c>
      <x:c r="D42" s="6" t="inlineStr">
        <x:is>
          <x:t xml:space="preserve">OGRODY POLIWĘGLAN</x:t>
        </x:is>
      </x:c>
      <x:c r="E42" s="8" t="n">
        <x:f>IFERROR(INDEX('02_RAW_INDEX'!$Z:$Z,MATCH($A42,'02_RAW_INDEX'!$A:$A,0)),"")</x:f>
        <x:v>15049</x:v>
      </x:c>
      <x:c r="F42" s="8" t="n">
        <x:f>IFERROR(INDEX('02_RAW_INDEX'!$Y:$Y,MATCH($A42,'02_RAW_INDEX'!$A:$A,0)),"")</x:f>
        <x:v>18510</x:v>
      </x:c>
      <x:c r="G42" s="7" t="n">
        <x:f>'01_Ustawienia'!$B$6</x:f>
        <x:v>0</x:v>
      </x:c>
      <x:c r="H42" s="8" t="n">
        <x:f>IF(E42="","",ROUND(IF('01_Ustawienia'!$B$5="BRUTTO",F42,E42)*(1-G42),0))</x:f>
        <x:v>15049</x:v>
      </x:c>
      <x:c r="I42" s="7" t="n">
        <x:f>IFERROR(IFERROR(INDEX('01_Ustawienia'!$B$15:$B$33,MATCH(B42,'01_Ustawienia'!$A$15:$A$33,0)),0.45),0.45)</x:f>
        <x:v>0.45</x:v>
      </x:c>
      <x:c r="J42" s="8" t="n">
        <x:f>IF(H42="","",ROUND(H42*(1+I42),0))</x:f>
        <x:v>21821</x:v>
      </x:c>
      <x:c r="K42" s="8" t="n">
        <x:f>IFERROR(IFERROR(INDEX(EG_Cennik_uslug!$N:$N,MATCH($A42,EG_Cennik_uslug!$A:$A,0)),0),0)</x:f>
        <x:v>4400</x:v>
      </x:c>
      <x:c r="L42" s="8" t="n">
        <x:f>IFERROR(IFERROR(INDEX(EG_Cennik_uslug!$O:$O,MATCH($A42,EG_Cennik_uslug!$A:$A,0)),0),0)</x:f>
        <x:v>1370</x:v>
      </x:c>
      <x:c r="M42" s="7" t="n">
        <x:f>IF('01_Ustawienia'!$B$4="ZWOLNIONY",0,'01_Ustawienia'!$B$7)</x:f>
        <x:v>0.08</x:v>
      </x:c>
      <x:c r="N42" s="8" t="n">
        <x:f>IF(J42="","",ROUND((J42+K42)*(1+M42),0))</x:f>
        <x:v>28319</x:v>
      </x:c>
      <x:c r="O42" s="8" t="n">
        <x:f>IF(J42="","",J42+K42-H42-L42)</x:f>
        <x:v>9802</x:v>
      </x:c>
      <x:c r="P42" s="7" t="n">
        <x:f>IFERROR(O42/(J42+K42),"")</x:f>
        <x:v>0.3738225086762519</x:v>
      </x:c>
      <x:c r="Q42" s="6" t="inlineStr">
        <x:is>
          <x:t xml:space="preserve">RAW_OP B/C</x:t>
        </x:is>
      </x:c>
      <x:c r="R42" s="6" t="inlineStr">
        <x:is>
          <x:t xml:space="preserve">OGRÓD ZIMOWY (KONSTRUKCJA)</x:t>
        </x:is>
      </x:c>
      <x:c r="S42" s="6" t="inlineStr">
        <x:is>
          <x:t xml:space="preserve">website+crm</x:t>
        </x:is>
      </x:c>
      <x:c r="T42" s="6" t="inlineStr">
        <x:is>
          <x:t xml:space="preserve">Do wyliczenia dopłaty za ściany</x:t>
        </x:is>
      </x:c>
    </x:row>
    <x:row r="43" s="655" customFormat="1" ht="30" customHeight="1">
      <x:c r="A43" s="6" t="inlineStr">
        <x:is>
          <x:t xml:space="preserve">300 x 506 cm</x:t>
        </x:is>
      </x:c>
      <x:c r="B43" s="6" t="inlineStr">
        <x:is>
          <x:t xml:space="preserve">OS</x:t>
        </x:is>
      </x:c>
      <x:c r="C43" s="6" t="inlineStr">
        <x:is>
          <x:t xml:space="preserve">Ogród zimowy szkło - pełna konstrukcja</x:t>
        </x:is>
      </x:c>
      <x:c r="D43" s="6" t="inlineStr">
        <x:is>
          <x:t xml:space="preserve">OGRODY SZKŁO</x:t>
        </x:is>
      </x:c>
      <x:c r="E43" s="8" t="n">
        <x:f>IFERROR(INDEX('02_RAW_INDEX'!$AL:$AL,MATCH($A43,'02_RAW_INDEX'!$A:$A,0)),"")</x:f>
        <x:v>17317</x:v>
      </x:c>
      <x:c r="F43" s="8" t="n">
        <x:f>IFERROR(INDEX('02_RAW_INDEX'!$AK:$AK,MATCH($A43,'02_RAW_INDEX'!$A:$A,0)),"")</x:f>
        <x:v>21300</x:v>
      </x:c>
      <x:c r="G43" s="7" t="n">
        <x:f>'01_Ustawienia'!$B$6</x:f>
        <x:v>0</x:v>
      </x:c>
      <x:c r="H43" s="8" t="n">
        <x:f>IF(E43="","",ROUND(IF('01_Ustawienia'!$B$5="BRUTTO",F43,E43)*(1-G43),0))</x:f>
        <x:v>17317</x:v>
      </x:c>
      <x:c r="I43" s="7" t="n">
        <x:f>IFERROR(IFERROR(INDEX('01_Ustawienia'!$B$15:$B$33,MATCH(B43,'01_Ustawienia'!$A$15:$A$33,0)),0.45),0.45)</x:f>
        <x:v>0.45</x:v>
      </x:c>
      <x:c r="J43" s="8" t="n">
        <x:f>IF(H43="","",ROUND(H43*(1+I43),0))</x:f>
        <x:v>25110</x:v>
      </x:c>
      <x:c r="K43" s="8" t="n">
        <x:f>IFERROR(IFERROR(INDEX(EG_Cennik_uslug!$N:$N,MATCH($A43,EG_Cennik_uslug!$A:$A,0)),0),0)</x:f>
        <x:v>4400</x:v>
      </x:c>
      <x:c r="L43" s="8" t="n">
        <x:f>IFERROR(IFERROR(INDEX(EG_Cennik_uslug!$O:$O,MATCH($A43,EG_Cennik_uslug!$A:$A,0)),0),0)</x:f>
        <x:v>1370</x:v>
      </x:c>
      <x:c r="M43" s="7" t="n">
        <x:f>IF('01_Ustawienia'!$B$4="ZWOLNIONY",0,'01_Ustawienia'!$B$7)</x:f>
        <x:v>0.08</x:v>
      </x:c>
      <x:c r="N43" s="8" t="n">
        <x:f>IF(J43="","",ROUND((J43+K43)*(1+M43),0))</x:f>
        <x:v>31871</x:v>
      </x:c>
      <x:c r="O43" s="8" t="n">
        <x:f>IF(J43="","",J43+K43-H43-L43)</x:f>
        <x:v>10823</x:v>
      </x:c>
      <x:c r="P43" s="7" t="n">
        <x:f>IFERROR(O43/(J43+K43),"")</x:f>
        <x:v>0.36675703151474076</x:v>
      </x:c>
      <x:c r="Q43" s="6" t="inlineStr">
        <x:is>
          <x:t xml:space="preserve">RAW_OS B/C</x:t>
        </x:is>
      </x:c>
      <x:c r="R43" s="6" t="inlineStr">
        <x:is>
          <x:t xml:space="preserve">OGRÓD ZIMOWY (KONSTRUKCJA)</x:t>
        </x:is>
      </x:c>
      <x:c r="S43" s="6" t="inlineStr">
        <x:is>
          <x:t xml:space="preserve">crm_only</x:t>
        </x:is>
      </x:c>
      <x:c r="T43" s="6" t="inlineStr">
        <x:is>
          <x:t xml:space="preserve">Referencyjne/full</x:t>
        </x:is>
      </x:c>
    </x:row>
    <x:row r="44" s="655" customFormat="1" ht="30" customHeight="1">
      <x:c r="A44" s="6" t="inlineStr">
        <x:is>
          <x:t xml:space="preserve">300 x 506 cm</x:t>
        </x:is>
      </x:c>
      <x:c r="B44" s="6" t="inlineStr">
        <x:is>
          <x:t xml:space="preserve">PDS</x:t>
        </x:is>
      </x:c>
      <x:c r="C44" s="6" t="inlineStr">
        <x:is>
          <x:t xml:space="preserve">Dopłata dach szkło przezroczyste</x:t>
        </x:is>
      </x:c>
      <x:c r="D44" s="6" t="inlineStr">
        <x:is>
          <x:t xml:space="preserve">POKRYCIE DACHU SZKŁO</x:t>
        </x:is>
      </x:c>
      <x:c r="E44" s="8" t="n">
        <x:f>IFERROR(IFERROR(INDEX('02_RAW_INDEX'!$V:$V,MATCH($A44,'02_RAW_INDEX'!$A:$A,0)),"")-IFERROR(INDEX('02_RAW_INDEX'!$D:$D,MATCH($A44,'02_RAW_INDEX'!$A:$A,0)),""),"")</x:f>
        <x:v>2260</x:v>
      </x:c>
      <x:c r="F44" s="8" t="n">
        <x:f>IFERROR(IFERROR(INDEX('02_RAW_INDEX'!$U:$U,MATCH($A44,'02_RAW_INDEX'!$A:$A,0)),"")-IFERROR(INDEX('02_RAW_INDEX'!$C:$C,MATCH($A44,'02_RAW_INDEX'!$A:$A,0)),""),"")</x:f>
        <x:v>2780</x:v>
      </x:c>
      <x:c r="G44" s="7" t="n">
        <x:f>'01_Ustawienia'!$B$6</x:f>
        <x:v>0</x:v>
      </x:c>
      <x:c r="H44" s="8" t="n">
        <x:f>IF(E44="","",ROUND(IF('01_Ustawienia'!$B$5="BRUTTO",F44,E44)*(1-G44),0))</x:f>
        <x:v>2260</x:v>
      </x:c>
      <x:c r="I44" s="7" t="n">
        <x:f>IFERROR(IFERROR(INDEX('01_Ustawienia'!$B$15:$B$33,MATCH(B44,'01_Ustawienia'!$A$15:$A$33,0)),0.45),0.45)</x:f>
        <x:v>0.45</x:v>
      </x:c>
      <x:c r="J44" s="8" t="n">
        <x:f>IF(H44="","",ROUND(H44*(1+I44),0))</x:f>
        <x:v>3277</x:v>
      </x:c>
      <x:c r="K44" s="8" t="n">
        <x:f>0</x:f>
        <x:v>0</x:v>
      </x:c>
      <x:c r="L44" s="8" t="n">
        <x:v>0</x:v>
      </x:c>
      <x:c r="M44" s="7" t="n">
        <x:f>IF('01_Ustawienia'!$B$4="ZWOLNIONY",0,'01_Ustawienia'!$B$7)</x:f>
        <x:v>0.08</x:v>
      </x:c>
      <x:c r="N44" s="8" t="n">
        <x:f>IF(J44="","",ROUND((J44+K44)*(1+M44),0))</x:f>
        <x:v>3539</x:v>
      </x:c>
      <x:c r="O44" s="8" t="n">
        <x:f>IF(J44="","",J44+K44-H44-L44)</x:f>
        <x:v>1017</x:v>
      </x:c>
      <x:c r="P44" s="7" t="n">
        <x:f>IFERROR(O44/(J44+K44),"")</x:f>
        <x:v>0.3103448275862069</x:v>
      </x:c>
      <x:c r="Q44" s="6" t="inlineStr">
        <x:is>
          <x:t xml:space="preserve">RAW_ZS - RAW_ZP</x:t>
        </x:is>
      </x:c>
      <x:c r="R44" s="6" t="inlineStr">
        <x:is>
          <x:t xml:space="preserve">POKRYCIE DACHU</x:t>
        </x:is>
      </x:c>
      <x:c r="S44" s="6" t="inlineStr">
        <x:is>
          <x:t xml:space="preserve">website+crm</x:t>
        </x:is>
      </x:c>
      <x:c r="T44" s="6" t="inlineStr">
        <x:is>
          <x:t xml:space="preserve">Dopłata do bazowego dachu poliwęglan | FIX17: Wynagr.+koszty = 0 dla dopłaty; nie jest osobnym montażem ekipy.</x:t>
        </x:is>
      </x:c>
    </x:row>
    <x:row r="45" s="655" customFormat="1" ht="30" customHeight="1">
      <x:c r="A45" s="6" t="inlineStr">
        <x:is>
          <x:t xml:space="preserve">300 x 506 cm</x:t>
        </x:is>
      </x:c>
      <x:c r="B45" s="6" t="inlineStr">
        <x:is>
          <x:t xml:space="preserve">PDSB</x:t>
        </x:is>
      </x:c>
      <x:c r="C45" s="6" t="inlineStr">
        <x:is>
          <x:t xml:space="preserve">Dopłata dach szkło barwione/mleczne</x:t>
        </x:is>
      </x:c>
      <x:c r="D45" s="6" t="inlineStr">
        <x:is>
          <x:t xml:space="preserve">POKRYCIE DACHU SZKŁO BARWIONE</x:t>
        </x:is>
      </x:c>
      <x:c r="E45" s="8" t="n">
        <x:f>IFERROR(INDEX('02_RAW_INDEX'!$X:$X,MATCH($A45,'02_RAW_INDEX'!$A:$A,0)),"")</x:f>
        <x:v>455</x:v>
      </x:c>
      <x:c r="F45" s="8" t="n">
        <x:f>IFERROR(INDEX('02_RAW_INDEX'!$W:$W,MATCH($A45,'02_RAW_INDEX'!$A:$A,0)),"")</x:f>
        <x:v>560</x:v>
      </x:c>
      <x:c r="G45" s="7" t="n">
        <x:f>'01_Ustawienia'!$B$6</x:f>
        <x:v>0</x:v>
      </x:c>
      <x:c r="H45" s="8" t="n">
        <x:f>IF(E45="","",ROUND(IF('01_Ustawienia'!$B$5="BRUTTO",F45,E45)*(1-G45),0))</x:f>
        <x:v>455</x:v>
      </x:c>
      <x:c r="I45" s="7" t="n">
        <x:f>IFERROR(IFERROR(INDEX('01_Ustawienia'!$B$15:$B$33,MATCH(B45,'01_Ustawienia'!$A$15:$A$33,0)),0.45),0.45)</x:f>
        <x:v>0.45</x:v>
      </x:c>
      <x:c r="J45" s="8" t="n">
        <x:f>IF(H45="","",ROUND(H45*(1+I45),0))</x:f>
        <x:v>660</x:v>
      </x:c>
      <x:c r="K45" s="8" t="n">
        <x:f>0</x:f>
        <x:v>0</x:v>
      </x:c>
      <x:c r="L45" s="8" t="n">
        <x:v>0</x:v>
      </x:c>
      <x:c r="M45" s="7" t="n">
        <x:f>IF('01_Ustawienia'!$B$4="ZWOLNIONY",0,'01_Ustawienia'!$B$7)</x:f>
        <x:v>0.08</x:v>
      </x:c>
      <x:c r="N45" s="8" t="n">
        <x:f>IF(J45="","",ROUND((J45+K45)*(1+M45),0))</x:f>
        <x:v>713</x:v>
      </x:c>
      <x:c r="O45" s="8" t="n">
        <x:f>IF(J45="","",J45+K45-H45-L45)</x:f>
        <x:v>205</x:v>
      </x:c>
      <x:c r="P45" s="7" t="n">
        <x:f>IFERROR(O45/(J45+K45),"")</x:f>
        <x:v>0.3106060606060606</x:v>
      </x:c>
      <x:c r="Q45" s="6" t="inlineStr">
        <x:is>
          <x:t xml:space="preserve">RAW_ZS D/E</x:t>
        </x:is>
      </x:c>
      <x:c r="R45" s="6" t="inlineStr">
        <x:is>
          <x:t xml:space="preserve">POKRYCIE DACHU</x:t>
        </x:is>
      </x:c>
      <x:c r="S45" s="6" t="inlineStr">
        <x:is>
          <x:t xml:space="preserve">website+crm</x:t>
        </x:is>
      </x:c>
      <x:c r="T45" s="6" t="inlineStr">
        <x:is>
          <x:t xml:space="preserve">Dodawane do PDS | FIX17: Wynagr.+koszty = 0 dla dopłaty; nie jest osobnym montażem ekipy.</x:t>
        </x:is>
      </x:c>
    </x:row>
    <x:row r="46" s="655" customFormat="1" ht="30" customHeight="1">
      <x:c r="A46" s="6" t="inlineStr">
        <x:is>
          <x:t xml:space="preserve">300 x 506 cm</x:t>
        </x:is>
      </x:c>
      <x:c r="B46" s="6" t="inlineStr">
        <x:is>
          <x:t xml:space="preserve">PDPB</x:t>
        </x:is>
      </x:c>
      <x:c r="C46" s="6" t="inlineStr">
        <x:is>
          <x:t xml:space="preserve">Dopłata poliwęglan barwiony</x:t>
        </x:is>
      </x:c>
      <x:c r="D46" s="6" t="inlineStr">
        <x:is>
          <x:t xml:space="preserve">POKRYCIE DACHU POLIWĘGLAN BARWIONY</x:t>
        </x:is>
      </x:c>
      <x:c r="E46" s="8" t="n">
        <x:f>IFERROR(INDEX('02_RAW_INDEX'!$F:$F,MATCH($A46,'02_RAW_INDEX'!$A:$A,0)),"")</x:f>
        <x:v>203</x:v>
      </x:c>
      <x:c r="F46" s="8" t="n">
        <x:f>IFERROR(INDEX('02_RAW_INDEX'!$E:$E,MATCH($A46,'02_RAW_INDEX'!$A:$A,0)),"")</x:f>
        <x:v>250</x:v>
      </x:c>
      <x:c r="G46" s="7" t="n">
        <x:f>'01_Ustawienia'!$B$6</x:f>
        <x:v>0</x:v>
      </x:c>
      <x:c r="H46" s="8" t="n">
        <x:f>IF(E46="","",ROUND(IF('01_Ustawienia'!$B$5="BRUTTO",F46,E46)*(1-G46),0))</x:f>
        <x:v>203</x:v>
      </x:c>
      <x:c r="I46" s="7" t="n">
        <x:f>IFERROR(IFERROR(INDEX('01_Ustawienia'!$B$15:$B$33,MATCH(B46,'01_Ustawienia'!$A$15:$A$33,0)),0.45),0.45)</x:f>
        <x:v>0.45</x:v>
      </x:c>
      <x:c r="J46" s="8" t="n">
        <x:f>IF(H46="","",ROUND(H46*(1+I46),0))</x:f>
        <x:v>294</x:v>
      </x:c>
      <x:c r="K46" s="8" t="n">
        <x:f>0</x:f>
        <x:v>0</x:v>
      </x:c>
      <x:c r="L46" s="8" t="n">
        <x:v>0</x:v>
      </x:c>
      <x:c r="M46" s="7" t="n">
        <x:f>IF('01_Ustawienia'!$B$4="ZWOLNIONY",0,'01_Ustawienia'!$B$7)</x:f>
        <x:v>0.08</x:v>
      </x:c>
      <x:c r="N46" s="8" t="n">
        <x:f>IF(J46="","",ROUND((J46+K46)*(1+M46),0))</x:f>
        <x:v>318</x:v>
      </x:c>
      <x:c r="O46" s="8" t="n">
        <x:f>IF(J46="","",J46+K46-H46-L46)</x:f>
        <x:v>91</x:v>
      </x:c>
      <x:c r="P46" s="7" t="n">
        <x:f>IFERROR(O46/(J46+K46),"")</x:f>
        <x:v>0.30952380952380953</x:v>
      </x:c>
      <x:c r="Q46" s="6" t="inlineStr">
        <x:is>
          <x:t xml:space="preserve">RAW_ZP D/E</x:t>
        </x:is>
      </x:c>
      <x:c r="R46" s="6" t="inlineStr">
        <x:is>
          <x:t xml:space="preserve">POKRYCIE DACHU</x:t>
        </x:is>
      </x:c>
      <x:c r="S46" s="6" t="inlineStr">
        <x:is>
          <x:t xml:space="preserve">website+crm</x:t>
        </x:is>
      </x:c>
      <x:c r="T46" s="6" t="inlineStr">
        <x:is>
          <x:t xml:space="preserve">FIX17: Wynagr.+koszty = 0 dla dopłaty; nie jest osobnym montażem ekipy.</x:t>
        </x:is>
      </x:c>
    </x:row>
    <x:row r="47" s="655" customFormat="1" ht="30" customHeight="1">
      <x:c r="A47" s="6" t="inlineStr">
        <x:is>
          <x:t xml:space="preserve">300 x 506 cm</x:t>
        </x:is>
      </x:c>
      <x:c r="B47" s="6" t="inlineStr">
        <x:is>
          <x:t xml:space="preserve">SBB</x:t>
        </x:is>
      </x:c>
      <x:c r="C47" s="6" t="inlineStr">
        <x:is>
          <x:t xml:space="preserve">Dopłata szkło boczne przyciemniane</x:t>
        </x:is>
      </x:c>
      <x:c r="D47" s="6" t="inlineStr">
        <x:is>
          <x:t xml:space="preserve">SZKŁO BOCZNE BARWIONE</x:t>
        </x:is>
      </x:c>
      <x:c r="E47" s="8" t="n">
        <x:f>IFERROR(INDEX('02_RAW_INDEX'!$AB:$AB,MATCH($A47,'02_RAW_INDEX'!$A:$A,0)),"")</x:f>
        <x:v>1073</x:v>
      </x:c>
      <x:c r="F47" s="8" t="n">
        <x:f>IFERROR(INDEX('02_RAW_INDEX'!$AA:$AA,MATCH($A47,'02_RAW_INDEX'!$A:$A,0)),"")</x:f>
        <x:v>1320</x:v>
      </x:c>
      <x:c r="G47" s="7" t="n">
        <x:f>'01_Ustawienia'!$B$6</x:f>
        <x:v>0</x:v>
      </x:c>
      <x:c r="H47" s="8" t="n">
        <x:f>IF(E47="","",ROUND(IF('01_Ustawienia'!$B$5="BRUTTO",F47,E47)*(1-G47),0))</x:f>
        <x:v>1073</x:v>
      </x:c>
      <x:c r="I47" s="7" t="n">
        <x:f>IFERROR(IFERROR(INDEX('01_Ustawienia'!$B$15:$B$33,MATCH(B47,'01_Ustawienia'!$A$15:$A$33,0)),0.45),0.45)</x:f>
        <x:v>0.45</x:v>
      </x:c>
      <x:c r="J47" s="8" t="n">
        <x:f>IF(H47="","",ROUND(H47*(1+I47),0))</x:f>
        <x:v>1556</x:v>
      </x:c>
      <x:c r="K47" s="8" t="n">
        <x:f>0</x:f>
        <x:v>0</x:v>
      </x:c>
      <x:c r="L47" s="8" t="n">
        <x:v>0</x:v>
      </x:c>
      <x:c r="M47" s="7" t="n">
        <x:f>IF('01_Ustawienia'!$B$4="ZWOLNIONY",0,'01_Ustawienia'!$B$7)</x:f>
        <x:v>0.08</x:v>
      </x:c>
      <x:c r="N47" s="8" t="n">
        <x:f>IF(J47="","",ROUND((J47+K47)*(1+M47),0))</x:f>
        <x:v>1680</x:v>
      </x:c>
      <x:c r="O47" s="8" t="n">
        <x:f>IF(J47="","",J47+K47-H47-L47)</x:f>
        <x:v>483</x:v>
      </x:c>
      <x:c r="P47" s="7" t="n">
        <x:f>IFERROR(O47/(J47+K47),"")</x:f>
        <x:v>0.31041131105398456</x:v>
      </x:c>
      <x:c r="Q47" s="6" t="inlineStr">
        <x:is>
          <x:t xml:space="preserve">RAW_OP H/I</x:t>
        </x:is>
      </x:c>
      <x:c r="R47" s="6" t="inlineStr">
        <x:is>
          <x:t xml:space="preserve">SZYBY BOCZNE</x:t>
        </x:is>
      </x:c>
      <x:c r="S47" s="6" t="inlineStr">
        <x:is>
          <x:t xml:space="preserve">website+crm</x:t>
        </x:is>
      </x:c>
      <x:c r="T47" s="6" t="inlineStr">
        <x:is>
          <x:t xml:space="preserve">Dodawane do ścian przezroczystych | FIX17: Wynagr.+koszty = 0 dla dopłaty; nie jest osobnym montażem ekipy.</x:t>
        </x:is>
      </x:c>
    </x:row>
    <x:row r="48">
      <x:c r="A48" s="6" t="inlineStr">
        <x:is>
          <x:t xml:space="preserve">300 x 506 cm</x:t>
        </x:is>
      </x:c>
      <x:c r="B48" s="6" t="inlineStr">
        <x:is>
          <x:t xml:space="preserve">RB</x:t>
        </x:is>
      </x:c>
      <x:c r="C48" s="6" t="inlineStr">
        <x:is>
          <x:t xml:space="preserve">Roleta boczna ZIP</x:t>
        </x:is>
      </x:c>
      <x:c r="D48" s="6" t="inlineStr">
        <x:is>
          <x:t xml:space="preserve">ROLETA BOCZNA</x:t>
        </x:is>
      </x:c>
      <x:c r="E48" s="8" t="n">
        <x:f>IFERROR(INDEX('02_RAW_INDEX'!$J:$J,MATCH($A48,'02_RAW_INDEX'!$A:$A,0)),"")</x:f>
        <x:v>1740</x:v>
      </x:c>
      <x:c r="F48" s="8" t="n">
        <x:f>IFERROR(INDEX('02_RAW_INDEX'!$I:$I,MATCH($A48,'02_RAW_INDEX'!$A:$A,0)),"")</x:f>
        <x:v>2140</x:v>
      </x:c>
      <x:c r="G48" s="7" t="n">
        <x:f>'01_Ustawienia'!$B$6</x:f>
        <x:v>0</x:v>
      </x:c>
      <x:c r="H48" s="8" t="n">
        <x:f>IF(E48="","",ROUND(IF('01_Ustawienia'!$B$5="BRUTTO",F48,E48)*(1-G48),0))</x:f>
        <x:v>1740</x:v>
      </x:c>
      <x:c r="I48" s="7" t="n">
        <x:f>IFERROR(IFERROR(INDEX('01_Ustawienia'!$B$15:$B$33,MATCH(B48,'01_Ustawienia'!$A$15:$A$33,0)),0.45),0.45)</x:f>
        <x:v>0.45</x:v>
      </x:c>
      <x:c r="J48" s="8" t="n">
        <x:f>IF(H48="","",ROUND(H48*(1+I48),0))</x:f>
        <x:v>2523</x:v>
      </x:c>
      <x:c r="K48" s="8" t="n">
        <x:f>0</x:f>
        <x:v>0</x:v>
      </x:c>
      <x:c r="L48" s="8" t="n">
        <x:f>IFERROR(IFERROR(INDEX(EG_Cennik_uslug!$AC:$AC,MATCH($A48,EG_Cennik_uslug!$A:$A,0)),0),0)</x:f>
        <x:v>150</x:v>
      </x:c>
      <x:c r="M48" s="7" t="n">
        <x:f>IF('01_Ustawienia'!$B$4="ZWOLNIONY",0,'01_Ustawienia'!$B$7)</x:f>
        <x:v>0.08</x:v>
      </x:c>
      <x:c r="N48" s="8" t="n">
        <x:f>IF(J48="","",ROUND((J48+K48)*(1+M48),0))</x:f>
        <x:v>2725</x:v>
      </x:c>
      <x:c r="O48" s="8" t="n">
        <x:f>IF(J48="","",J48+K48-H48-L48)</x:f>
        <x:v>633</x:v>
      </x:c>
      <x:c r="P48" s="7" t="n">
        <x:f>IFERROR(O48/(J48+K48),"")</x:f>
        <x:v>0.25089179548156954</x:v>
      </x:c>
      <x:c r="Q48" s="6" t="inlineStr">
        <x:is>
          <x:t xml:space="preserve">RAW_ZP J/K</x:t>
        </x:is>
      </x:c>
      <x:c r="R48" s="6" t="inlineStr">
        <x:is>
          <x:t xml:space="preserve">ROLETY BOCZNE</x:t>
        </x:is>
      </x:c>
      <x:c r="S48" s="6" t="inlineStr">
        <x:is>
          <x:t xml:space="preserve">website+crm</x:t>
        </x:is>
      </x:c>
      <x:c r="T48" s="6" t="inlineStr">
        <x:is>
          <x:t xml:space="preserve">Używana dla lewej i prawej</x:t>
        </x:is>
      </x:c>
    </x:row>
    <x:row r="49">
      <x:c r="A49" s="6" t="inlineStr">
        <x:is>
          <x:t xml:space="preserve">300 x 506 cm</x:t>
        </x:is>
      </x:c>
      <x:c r="B49" s="6" t="inlineStr">
        <x:is>
          <x:t xml:space="preserve">RP</x:t>
        </x:is>
      </x:c>
      <x:c r="C49" s="6" t="inlineStr">
        <x:is>
          <x:t xml:space="preserve">Roleta przednia ZIP</x:t>
        </x:is>
      </x:c>
      <x:c r="D49" s="6" t="inlineStr">
        <x:is>
          <x:t xml:space="preserve">ROLETA PRZÓD</x:t>
        </x:is>
      </x:c>
      <x:c r="E49" s="8" t="n">
        <x:f>IFERROR(INDEX('02_RAW_INDEX'!$L:$L,MATCH($A49,'02_RAW_INDEX'!$A:$A,0)),"")</x:f>
        <x:v>3008</x:v>
      </x:c>
      <x:c r="F49" s="8" t="n">
        <x:f>IFERROR(INDEX('02_RAW_INDEX'!$K:$K,MATCH($A49,'02_RAW_INDEX'!$A:$A,0)),"")</x:f>
        <x:v>3700</x:v>
      </x:c>
      <x:c r="G49" s="7" t="n">
        <x:f>'01_Ustawienia'!$B$6</x:f>
        <x:v>0</x:v>
      </x:c>
      <x:c r="H49" s="8" t="n">
        <x:f>IF(E49="","",ROUND(IF('01_Ustawienia'!$B$5="BRUTTO",F49,E49)*(1-G49),0))</x:f>
        <x:v>3008</x:v>
      </x:c>
      <x:c r="I49" s="7" t="n">
        <x:f>IFERROR(IFERROR(INDEX('01_Ustawienia'!$B$15:$B$33,MATCH(B49,'01_Ustawienia'!$A$15:$A$33,0)),0.45),0.45)</x:f>
        <x:v>0.45</x:v>
      </x:c>
      <x:c r="J49" s="8" t="n">
        <x:f>IF(H49="","",ROUND(H49*(1+I49),0))</x:f>
        <x:v>4362</x:v>
      </x:c>
      <x:c r="K49" s="8" t="n">
        <x:f>0</x:f>
        <x:v>0</x:v>
      </x:c>
      <x:c r="L49" s="8" t="n">
        <x:f>IFERROR(IFERROR(INDEX(EG_Cennik_uslug!$AJ:$AJ,MATCH($A49,EG_Cennik_uslug!$A:$A,0)),0),0)</x:f>
        <x:v>300</x:v>
      </x:c>
      <x:c r="M49" s="7" t="n">
        <x:f>IF('01_Ustawienia'!$B$4="ZWOLNIONY",0,'01_Ustawienia'!$B$7)</x:f>
        <x:v>0.08</x:v>
      </x:c>
      <x:c r="N49" s="8" t="n">
        <x:f>IF(J49="","",ROUND((J49+K49)*(1+M49),0))</x:f>
        <x:v>4711</x:v>
      </x:c>
      <x:c r="O49" s="8" t="n">
        <x:f>IF(J49="","",J49+K49-H49-L49)</x:f>
        <x:v>1054</x:v>
      </x:c>
      <x:c r="P49" s="7" t="n">
        <x:f>IFERROR(O49/(J49+K49),"")</x:f>
        <x:v>0.24163227877120586</x:v>
      </x:c>
      <x:c r="Q49" s="6" t="inlineStr">
        <x:is>
          <x:t xml:space="preserve">RAW_ZP N/O</x:t>
        </x:is>
      </x:c>
      <x:c r="R49" s="6" t="inlineStr">
        <x:is>
          <x:t xml:space="preserve">ROLETY BOCZNE</x:t>
        </x:is>
      </x:c>
      <x:c r="S49" s="6" t="inlineStr">
        <x:is>
          <x:t xml:space="preserve">website+crm</x:t>
        </x:is>
      </x:c>
      <x:c r="T49" s="6" t="n"/>
    </x:row>
    <x:row r="50">
      <x:c r="A50" s="6" t="inlineStr">
        <x:is>
          <x:t xml:space="preserve">300 x 506 cm</x:t>
        </x:is>
      </x:c>
      <x:c r="B50" s="6" t="inlineStr">
        <x:is>
          <x:t xml:space="preserve">M</x:t>
        </x:is>
      </x:c>
      <x:c r="C50" s="6" t="inlineStr">
        <x:is>
          <x:t xml:space="preserve">Markiza dachowa</x:t>
        </x:is>
      </x:c>
      <x:c r="D50" s="6" t="inlineStr">
        <x:is>
          <x:t xml:space="preserve">MARKIZA</x:t>
        </x:is>
      </x:c>
      <x:c r="E50" s="8" t="n">
        <x:f>IFERROR(INDEX('02_RAW_INDEX'!$H:$H,MATCH($A50,'02_RAW_INDEX'!$A:$A,0)),"")</x:f>
        <x:v>4049</x:v>
      </x:c>
      <x:c r="F50" s="8" t="n">
        <x:f>IFERROR(INDEX('02_RAW_INDEX'!$G:$G,MATCH($A50,'02_RAW_INDEX'!$A:$A,0)),"")</x:f>
        <x:v>4980</x:v>
      </x:c>
      <x:c r="G50" s="7" t="n">
        <x:f>'01_Ustawienia'!$B$6</x:f>
        <x:v>0</x:v>
      </x:c>
      <x:c r="H50" s="8" t="n">
        <x:f>IF(E50="","",ROUND(IF('01_Ustawienia'!$B$5="BRUTTO",F50,E50)*(1-G50),0))</x:f>
        <x:v>4049</x:v>
      </x:c>
      <x:c r="I50" s="7" t="n">
        <x:f>IFERROR(IFERROR(INDEX('01_Ustawienia'!$B$15:$B$33,MATCH(B50,'01_Ustawienia'!$A$15:$A$33,0)),0.45),0.45)</x:f>
        <x:v>0.45</x:v>
      </x:c>
      <x:c r="J50" s="8" t="n">
        <x:f>IF(H50="","",ROUND(H50*(1+I50),0))</x:f>
        <x:v>5871</x:v>
      </x:c>
      <x:c r="K50" s="8" t="n">
        <x:f>0</x:f>
        <x:v>0</x:v>
      </x:c>
      <x:c r="L50" s="8" t="n">
        <x:f>IFERROR(IFERROR(INDEX(EG_Cennik_uslug!$AQ:$AQ,MATCH($A50,EG_Cennik_uslug!$A:$A,0)),0),0)</x:f>
        <x:v>300</x:v>
      </x:c>
      <x:c r="M50" s="7" t="n">
        <x:f>IF('01_Ustawienia'!$B$4="ZWOLNIONY",0,'01_Ustawienia'!$B$7)</x:f>
        <x:v>0.08</x:v>
      </x:c>
      <x:c r="N50" s="8" t="n">
        <x:f>IF(J50="","",ROUND((J50+K50)*(1+M50),0))</x:f>
        <x:v>6341</x:v>
      </x:c>
      <x:c r="O50" s="8" t="n">
        <x:f>IF(J50="","",J50+K50-H50-L50)</x:f>
        <x:v>1522</x:v>
      </x:c>
      <x:c r="P50" s="7" t="n">
        <x:f>IFERROR(O50/(J50+K50),"")</x:f>
        <x:v>0.25924033384431955</x:v>
      </x:c>
      <x:c r="Q50" s="6" t="inlineStr">
        <x:is>
          <x:t xml:space="preserve">RAW_ZP H/I</x:t>
        </x:is>
      </x:c>
      <x:c r="R50" s="6" t="inlineStr">
        <x:is>
          <x:t xml:space="preserve">MARKIZA</x:t>
        </x:is>
      </x:c>
      <x:c r="S50" s="6" t="inlineStr">
        <x:is>
          <x:t xml:space="preserve">website+crm</x:t>
        </x:is>
      </x:c>
      <x:c r="T50" s="6" t="n"/>
    </x:row>
    <x:row r="51">
      <x:c r="A51" s="6" t="inlineStr">
        <x:is>
          <x:t xml:space="preserve">300 x 506 cm</x:t>
        </x:is>
      </x:c>
      <x:c r="B51" s="6" t="inlineStr">
        <x:is>
          <x:t xml:space="preserve">PDWP</x:t>
        </x:is>
      </x:c>
      <x:c r="C51" s="6" t="inlineStr">
        <x:is>
          <x:t xml:space="preserve">Fundament/profile</x:t>
        </x:is>
      </x:c>
      <x:c r="D51" s="6" t="inlineStr">
        <x:is>
          <x:t xml:space="preserve">FUNDAMENT / PROFILE</x:t>
        </x:is>
      </x:c>
      <x:c r="E51" s="8" t="n">
        <x:f>IFERROR(INDEX('02_RAW_INDEX'!$AH:$AH,MATCH($A51,'02_RAW_INDEX'!$A:$A,0)),"")</x:f>
        <x:v>740</x:v>
      </x:c>
      <x:c r="F51" s="8" t="n">
        <x:f>IFERROR(INDEX('02_RAW_INDEX'!$AG:$AG,MATCH($A51,'02_RAW_INDEX'!$A:$A,0)),"")</x:f>
        <x:v>910</x:v>
      </x:c>
      <x:c r="G51" s="7" t="n">
        <x:f>'01_Ustawienia'!$B$6</x:f>
        <x:v>0</x:v>
      </x:c>
      <x:c r="H51" s="8" t="n">
        <x:f>IF(E51="","",ROUND(IF('01_Ustawienia'!$B$5="BRUTTO",F51,E51)*(1-G51),0))</x:f>
        <x:v>740</x:v>
      </x:c>
      <x:c r="I51" s="7" t="n">
        <x:f>IFERROR(IFERROR(INDEX('01_Ustawienia'!$B$15:$B$33,MATCH(B51,'01_Ustawienia'!$A$15:$A$33,0)),0.45),0.45)</x:f>
        <x:v>1.2</x:v>
      </x:c>
      <x:c r="J51" s="8" t="n">
        <x:f>IF(H51="","",ROUND(H51*(1+I51),0))</x:f>
        <x:v>1628</x:v>
      </x:c>
      <x:c r="K51" s="8" t="n">
        <x:f>0</x:f>
        <x:v>0</x:v>
      </x:c>
      <x:c r="L51" s="8" t="n">
        <x:f>IFERROR(IFERROR(INDEX(EG_Cennik_uslug!$BT:$BT,MATCH($A51,EG_Cennik_uslug!$A:$A,0)),0),0)</x:f>
        <x:v>350</x:v>
      </x:c>
      <x:c r="M51" s="7" t="n">
        <x:f>IF('01_Ustawienia'!$B$4="ZWOLNIONY",0,'01_Ustawienia'!$B$7)</x:f>
        <x:v>0.08</x:v>
      </x:c>
      <x:c r="N51" s="8" t="n">
        <x:f>IF(J51="","",ROUND((J51+K51)*(1+M51),0))</x:f>
        <x:v>1758</x:v>
      </x:c>
      <x:c r="O51" s="8" t="n">
        <x:f>IF(J51="","",J51+K51-H51-L51)</x:f>
        <x:v>538</x:v>
      </x:c>
      <x:c r="P51" s="7" t="n">
        <x:f>IFERROR(O51/(J51+K51),"")</x:f>
        <x:v>0.33046683046683045</x:v>
      </x:c>
      <x:c r="Q51" s="6" t="inlineStr">
        <x:is>
          <x:t xml:space="preserve">RAW_OP AB/AC</x:t>
        </x:is>
      </x:c>
      <x:c r="R51" s="6" t="inlineStr">
        <x:is>
          <x:t xml:space="preserve">FUNDAMENT (PROFILE)</x:t>
        </x:is>
      </x:c>
      <x:c r="S51" s="6" t="inlineStr">
        <x:is>
          <x:t xml:space="preserve">website+crm</x:t>
        </x:is>
      </x:c>
      <x:c r="T51" s="6" t="n"/>
    </x:row>
    <x:row r="52" s="655" customFormat="1" ht="30" customHeight="1">
      <x:c r="A52" s="6" t="inlineStr">
        <x:is>
          <x:t xml:space="preserve">300 x 506 cm</x:t>
        </x:is>
      </x:c>
      <x:c r="B52" s="6" t="inlineStr">
        <x:is>
          <x:t xml:space="preserve">ZAB</x:t>
        </x:is>
      </x:c>
      <x:c r="C52" s="6" t="inlineStr">
        <x:is>
          <x:t xml:space="preserve">Zabieraki do ścian przesuwnych</x:t>
        </x:is>
      </x:c>
      <x:c r="D52" s="6" t="inlineStr">
        <x:is>
          <x:t xml:space="preserve">DODATKI</x:t>
        </x:is>
      </x:c>
      <x:c r="E52" s="8" t="n">
        <x:f>IFERROR(INDEX('02_RAW_INDEX'!$AJ:$AJ,MATCH($A52,'02_RAW_INDEX'!$A:$A,0)),"")</x:f>
        <x:v>228</x:v>
      </x:c>
      <x:c r="F52" s="8" t="n">
        <x:f>IFERROR(INDEX('02_RAW_INDEX'!$AI:$AI,MATCH($A52,'02_RAW_INDEX'!$A:$A,0)),"")</x:f>
        <x:v>280</x:v>
      </x:c>
      <x:c r="G52" s="7" t="n">
        <x:f>'01_Ustawienia'!$B$6</x:f>
        <x:v>0</x:v>
      </x:c>
      <x:c r="H52" s="8" t="n">
        <x:f>IF(E52="","",ROUND(IF('01_Ustawienia'!$B$5="BRUTTO",F52,E52)*(1-G52),0))</x:f>
        <x:v>228</x:v>
      </x:c>
      <x:c r="I52" s="7" t="n">
        <x:f>IFERROR(IFERROR(INDEX('01_Ustawienia'!$B$15:$B$33,MATCH(B52,'01_Ustawienia'!$A$15:$A$33,0)),0.45),0.45)</x:f>
        <x:v>0.45</x:v>
      </x:c>
      <x:c r="J52" s="8" t="n">
        <x:f>IF(H52="","",ROUND(H52*(1+I52),0))</x:f>
        <x:v>331</x:v>
      </x:c>
      <x:c r="K52" s="8" t="n">
        <x:f>0</x:f>
        <x:v>0</x:v>
      </x:c>
      <x:c r="L52" s="8" t="n">
        <x:f>0</x:f>
        <x:v>0</x:v>
      </x:c>
      <x:c r="M52" s="7" t="n">
        <x:f>IF('01_Ustawienia'!$B$4="ZWOLNIONY",0,'01_Ustawienia'!$B$7)</x:f>
        <x:v>0.08</x:v>
      </x:c>
      <x:c r="N52" s="8" t="n">
        <x:f>IF(J52="","",ROUND((J52+K52)*(1+M52),0))</x:f>
        <x:v>357</x:v>
      </x:c>
      <x:c r="O52" s="8" t="n">
        <x:f>IF(J52="","",J52+K52-H52-L52)</x:f>
        <x:v>103</x:v>
      </x:c>
      <x:c r="P52" s="7" t="n">
        <x:f>IFERROR(O52/(J52+K52),"")</x:f>
        <x:v>0.311178247734139</x:v>
      </x:c>
      <x:c r="Q52" s="6" t="inlineStr">
        <x:is>
          <x:t xml:space="preserve">RAW_OP AD/AE</x:t>
        </x:is>
      </x:c>
      <x:c r="R52" s="6" t="inlineStr">
        <x:is>
          <x:t xml:space="preserve">DODATKI</x:t>
        </x:is>
      </x:c>
      <x:c r="S52" s="6" t="inlineStr">
        <x:is>
          <x:t xml:space="preserve">crm_only</x:t>
        </x:is>
      </x:c>
      <x:c r="T52" s="6" t="n"/>
    </x:row>
    <x:row r="53">
      <x:c r="A53" s="6" t="inlineStr">
        <x:is>
          <x:t xml:space="preserve">300 x 506 cm</x:t>
        </x:is>
      </x:c>
      <x:c r="B53" s="6" t="inlineStr">
        <x:is>
          <x:t xml:space="preserve">S</x:t>
        </x:is>
      </x:c>
      <x:c r="C53" s="6" t="inlineStr">
        <x:is>
          <x:t xml:space="preserve">Szczotki przeciwkurzowe</x:t>
        </x:is>
      </x:c>
      <x:c r="D53" s="6" t="inlineStr">
        <x:is>
          <x:t xml:space="preserve">SZCZOTKI</x:t>
        </x:is>
      </x:c>
      <x:c r="E53" s="8" t="n">
        <x:f>IFERROR(INDEX('02_RAW_INDEX'!$AD:$AD,MATCH($A53,'02_RAW_INDEX'!$A:$A,0)),"")</x:f>
        <x:v>341</x:v>
      </x:c>
      <x:c r="F53" s="8" t="n">
        <x:f>IFERROR(INDEX('02_RAW_INDEX'!$AC:$AC,MATCH($A53,'02_RAW_INDEX'!$A:$A,0)),"")</x:f>
        <x:v>420</x:v>
      </x:c>
      <x:c r="G53" s="7" t="n">
        <x:f>'01_Ustawienia'!$B$6</x:f>
        <x:v>0</x:v>
      </x:c>
      <x:c r="H53" s="8" t="n">
        <x:f>IF(E53="","",ROUND(IF('01_Ustawienia'!$B$5="BRUTTO",F53,E53)*(1-G53),0))</x:f>
        <x:v>341</x:v>
      </x:c>
      <x:c r="I53" s="7" t="n">
        <x:f>IFERROR(IFERROR(INDEX('01_Ustawienia'!$B$15:$B$33,MATCH(B53,'01_Ustawienia'!$A$15:$A$33,0)),0.45),0.45)</x:f>
        <x:v>0.45</x:v>
      </x:c>
      <x:c r="J53" s="8" t="n">
        <x:f>IF(H53="","",ROUND(H53*(1+I53),0))</x:f>
        <x:v>494</x:v>
      </x:c>
      <x:c r="K53" s="8" t="n">
        <x:f>0</x:f>
        <x:v>0</x:v>
      </x:c>
      <x:c r="L53" s="8" t="n">
        <x:f>IFERROR(IFERROR(INDEX(EG_Cennik_uslug!$CA:$CA,MATCH($A53,EG_Cennik_uslug!$A:$A,0)),0),0)</x:f>
        <x:v>0</x:v>
      </x:c>
      <x:c r="M53" s="7" t="n">
        <x:f>IF('01_Ustawienia'!$B$4="ZWOLNIONY",0,'01_Ustawienia'!$B$7)</x:f>
        <x:v>0.08</x:v>
      </x:c>
      <x:c r="N53" s="8" t="n">
        <x:f>IF(J53="","",ROUND((J53+K53)*(1+M53),0))</x:f>
        <x:v>534</x:v>
      </x:c>
      <x:c r="O53" s="8" t="n">
        <x:f>IF(J53="","",J53+K53-H53-L53)</x:f>
        <x:v>153</x:v>
      </x:c>
      <x:c r="P53" s="7" t="n">
        <x:f>IFERROR(O53/(J53+K53),"")</x:f>
        <x:v>0.3097165991902834</x:v>
      </x:c>
      <x:c r="Q53" s="6" t="inlineStr">
        <x:is>
          <x:t xml:space="preserve">RAW_OP L/M</x:t>
        </x:is>
      </x:c>
      <x:c r="R53" s="6" t="inlineStr">
        <x:is>
          <x:t xml:space="preserve">DODATKI</x:t>
        </x:is>
      </x:c>
      <x:c r="S53" s="6" t="inlineStr">
        <x:is>
          <x:t xml:space="preserve">website+crm</x:t>
        </x:is>
      </x:c>
      <x:c r="T53" s="6" t="n"/>
    </x:row>
    <x:row r="54">
      <x:c r="A54" s="6" t="inlineStr">
        <x:is>
          <x:t xml:space="preserve">300 x 506 cm</x:t>
        </x:is>
      </x:c>
      <x:c r="B54" s="6" t="inlineStr">
        <x:is>
          <x:t xml:space="preserve">U</x:t>
        </x:is>
      </x:c>
      <x:c r="C54" s="6" t="inlineStr">
        <x:is>
          <x:t xml:space="preserve">Uchwyty na szkło ścienne</x:t>
        </x:is>
      </x:c>
      <x:c r="D54" s="6" t="inlineStr">
        <x:is>
          <x:t xml:space="preserve">UCHWYTY</x:t>
        </x:is>
      </x:c>
      <x:c r="E54" s="8" t="n">
        <x:f>IFERROR(INDEX('02_RAW_INDEX'!$AF:$AF,MATCH($A54,'02_RAW_INDEX'!$A:$A,0)),"")</x:f>
        <x:v>309</x:v>
      </x:c>
      <x:c r="F54" s="8" t="n">
        <x:f>IFERROR(INDEX('02_RAW_INDEX'!$AE:$AE,MATCH($A54,'02_RAW_INDEX'!$A:$A,0)),"")</x:f>
        <x:v>380</x:v>
      </x:c>
      <x:c r="G54" s="7" t="n">
        <x:f>'01_Ustawienia'!$B$6</x:f>
        <x:v>0</x:v>
      </x:c>
      <x:c r="H54" s="8" t="n">
        <x:f>IF(E54="","",ROUND(IF('01_Ustawienia'!$B$5="BRUTTO",F54,E54)*(1-G54),0))</x:f>
        <x:v>309</x:v>
      </x:c>
      <x:c r="I54" s="7" t="n">
        <x:f>IFERROR(IFERROR(INDEX('01_Ustawienia'!$B$15:$B$33,MATCH(B54,'01_Ustawienia'!$A$15:$A$33,0)),0.45),0.45)</x:f>
        <x:v>0.45</x:v>
      </x:c>
      <x:c r="J54" s="8" t="n">
        <x:f>IF(H54="","",ROUND(H54*(1+I54),0))</x:f>
        <x:v>448</x:v>
      </x:c>
      <x:c r="K54" s="8" t="n">
        <x:f>0</x:f>
        <x:v>0</x:v>
      </x:c>
      <x:c r="L54" s="8" t="n">
        <x:f>IFERROR(IFERROR(INDEX(EG_Cennik_uslug!$CH:$CH,MATCH($A54,EG_Cennik_uslug!$A:$A,0)),0),0)</x:f>
        <x:v>0</x:v>
      </x:c>
      <x:c r="M54" s="7" t="n">
        <x:f>IF('01_Ustawienia'!$B$4="ZWOLNIONY",0,'01_Ustawienia'!$B$7)</x:f>
        <x:v>0.08</x:v>
      </x:c>
      <x:c r="N54" s="8" t="n">
        <x:f>IF(J54="","",ROUND((J54+K54)*(1+M54),0))</x:f>
        <x:v>484</x:v>
      </x:c>
      <x:c r="O54" s="8" t="n">
        <x:f>IF(J54="","",J54+K54-H54-L54)</x:f>
        <x:v>139</x:v>
      </x:c>
      <x:c r="P54" s="7" t="n">
        <x:f>IFERROR(O54/(J54+K54),"")</x:f>
        <x:v>0.31026785714285715</x:v>
      </x:c>
      <x:c r="Q54" s="6" t="inlineStr">
        <x:is>
          <x:t xml:space="preserve">RAW_OP N/O</x:t>
        </x:is>
      </x:c>
      <x:c r="R54" s="6" t="inlineStr">
        <x:is>
          <x:t xml:space="preserve">DODATKI</x:t>
        </x:is>
      </x:c>
      <x:c r="S54" s="6" t="inlineStr">
        <x:is>
          <x:t xml:space="preserve">website+crm</x:t>
        </x:is>
      </x:c>
      <x:c r="T54" s="6" t="n"/>
    </x:row>
    <x:row r="55">
      <x:c r="A55" s="6" t="inlineStr">
        <x:is>
          <x:t xml:space="preserve">300 x 506 cm</x:t>
        </x:is>
      </x:c>
      <x:c r="B55" s="6" t="inlineStr">
        <x:is>
          <x:t xml:space="preserve">LED2</x:t>
        </x:is>
      </x:c>
      <x:c r="C55" s="6" t="inlineStr">
        <x:is>
          <x:t xml:space="preserve">Oświetlenie LED 2 punkty</x:t>
        </x:is>
      </x:c>
      <x:c r="D55" s="6" t="inlineStr">
        <x:is>
          <x:t xml:space="preserve">LED 2 PKT</x:t>
        </x:is>
      </x:c>
      <x:c r="E55" s="8" t="n">
        <x:f>IFERROR(INDEX('02_RAW_INDEX'!$N:$N,MATCH($A55,'02_RAW_INDEX'!$A:$A,0)),"")</x:f>
        <x:v>488</x:v>
      </x:c>
      <x:c r="F55" s="8" t="n">
        <x:f>IFERROR(INDEX('02_RAW_INDEX'!$M:$M,MATCH($A55,'02_RAW_INDEX'!$A:$A,0)),"")</x:f>
        <x:v>600</x:v>
      </x:c>
      <x:c r="G55" s="7" t="n">
        <x:f>'01_Ustawienia'!$B$6</x:f>
        <x:v>0</x:v>
      </x:c>
      <x:c r="H55" s="8" t="n">
        <x:f>IF(E55="","",ROUND(IF('01_Ustawienia'!$B$5="BRUTTO",F55,E55)*(1-G55),0))</x:f>
        <x:v>488</x:v>
      </x:c>
      <x:c r="I55" s="7" t="n">
        <x:f>IFERROR(IFERROR(INDEX('01_Ustawienia'!$B$15:$B$33,MATCH(B55,'01_Ustawienia'!$A$15:$A$33,0)),0.45),0.45)</x:f>
        <x:v>0.45</x:v>
      </x:c>
      <x:c r="J55" s="8" t="n">
        <x:f>IF(H55="","",ROUND(H55*(1+I55),0))</x:f>
        <x:v>708</x:v>
      </x:c>
      <x:c r="K55" s="8" t="n">
        <x:f>0</x:f>
        <x:v>0</x:v>
      </x:c>
      <x:c r="L55" s="8" t="n">
        <x:f>IFERROR(IFERROR(INDEX(EG_Cennik_uslug!$CO:$CO,MATCH($A55,EG_Cennik_uslug!$A:$A,0)),0),0)</x:f>
        <x:v>0</x:v>
      </x:c>
      <x:c r="M55" s="7" t="n">
        <x:f>IF('01_Ustawienia'!$B$4="ZWOLNIONY",0,'01_Ustawienia'!$B$7)</x:f>
        <x:v>0.08</x:v>
      </x:c>
      <x:c r="N55" s="8" t="n">
        <x:f>IF(J55="","",ROUND((J55+K55)*(1+M55),0))</x:f>
        <x:v>765</x:v>
      </x:c>
      <x:c r="O55" s="8" t="n">
        <x:f>IF(J55="","",J55+K55-H55-L55)</x:f>
        <x:v>220</x:v>
      </x:c>
      <x:c r="P55" s="7" t="n">
        <x:f>IFERROR(O55/(J55+K55),"")</x:f>
        <x:v>0.3107344632768362</x:v>
      </x:c>
      <x:c r="Q55" s="6" t="inlineStr">
        <x:is>
          <x:t xml:space="preserve">RAW_ZP P/Q</x:t>
        </x:is>
      </x:c>
      <x:c r="R55" s="6" t="inlineStr">
        <x:is>
          <x:t xml:space="preserve">OŚWIETLENIE</x:t>
        </x:is>
      </x:c>
      <x:c r="S55" s="6" t="inlineStr">
        <x:is>
          <x:t xml:space="preserve">website+crm</x:t>
        </x:is>
      </x:c>
      <x:c r="T55" s="6" t="n"/>
    </x:row>
    <x:row r="56">
      <x:c r="A56" s="6" t="inlineStr">
        <x:is>
          <x:t xml:space="preserve">300 x 506 cm</x:t>
        </x:is>
      </x:c>
      <x:c r="B56" s="6" t="inlineStr">
        <x:is>
          <x:t xml:space="preserve">LED3</x:t>
        </x:is>
      </x:c>
      <x:c r="C56" s="6" t="inlineStr">
        <x:is>
          <x:t xml:space="preserve">Oświetlenie LED 3 punkty</x:t>
        </x:is>
      </x:c>
      <x:c r="D56" s="6" t="inlineStr">
        <x:is>
          <x:t xml:space="preserve">LED 3 PKT</x:t>
        </x:is>
      </x:c>
      <x:c r="E56" s="8" t="n">
        <x:f>IFERROR(INDEX('02_RAW_INDEX'!$P:$P,MATCH($A56,'02_RAW_INDEX'!$A:$A,0)),"")</x:f>
        <x:v>780</x:v>
      </x:c>
      <x:c r="F56" s="8" t="n">
        <x:f>IFERROR(INDEX('02_RAW_INDEX'!$O:$O,MATCH($A56,'02_RAW_INDEX'!$A:$A,0)),"")</x:f>
        <x:v>960</x:v>
      </x:c>
      <x:c r="G56" s="7" t="n">
        <x:f>'01_Ustawienia'!$B$6</x:f>
        <x:v>0</x:v>
      </x:c>
      <x:c r="H56" s="8" t="n">
        <x:f>IF(E56="","",ROUND(IF('01_Ustawienia'!$B$5="BRUTTO",F56,E56)*(1-G56),0))</x:f>
        <x:v>780</x:v>
      </x:c>
      <x:c r="I56" s="7" t="n">
        <x:f>IFERROR(IFERROR(INDEX('01_Ustawienia'!$B$15:$B$33,MATCH(B56,'01_Ustawienia'!$A$15:$A$33,0)),0.45),0.45)</x:f>
        <x:v>0.45</x:v>
      </x:c>
      <x:c r="J56" s="8" t="n">
        <x:f>IF(H56="","",ROUND(H56*(1+I56),0))</x:f>
        <x:v>1131</x:v>
      </x:c>
      <x:c r="K56" s="8" t="n">
        <x:f>0</x:f>
        <x:v>0</x:v>
      </x:c>
      <x:c r="L56" s="8" t="n">
        <x:f>IFERROR(IFERROR(INDEX(EG_Cennik_uslug!$CV:$CV,MATCH($A56,EG_Cennik_uslug!$A:$A,0)),0),0)</x:f>
        <x:v>0</x:v>
      </x:c>
      <x:c r="M56" s="7" t="n">
        <x:f>IF('01_Ustawienia'!$B$4="ZWOLNIONY",0,'01_Ustawienia'!$B$7)</x:f>
        <x:v>0.08</x:v>
      </x:c>
      <x:c r="N56" s="8" t="n">
        <x:f>IF(J56="","",ROUND((J56+K56)*(1+M56),0))</x:f>
        <x:v>1221</x:v>
      </x:c>
      <x:c r="O56" s="8" t="n">
        <x:f>IF(J56="","",J56+K56-H56-L56)</x:f>
        <x:v>351</x:v>
      </x:c>
      <x:c r="P56" s="7" t="n">
        <x:f>IFERROR(O56/(J56+K56),"")</x:f>
        <x:v>0.3103448275862069</x:v>
      </x:c>
      <x:c r="Q56" s="6" t="inlineStr">
        <x:is>
          <x:t xml:space="preserve">RAW_ZP R/S</x:t>
        </x:is>
      </x:c>
      <x:c r="R56" s="6" t="inlineStr">
        <x:is>
          <x:t xml:space="preserve">OŚWIETLENIE</x:t>
        </x:is>
      </x:c>
      <x:c r="S56" s="6" t="inlineStr">
        <x:is>
          <x:t xml:space="preserve">website+crm</x:t>
        </x:is>
      </x:c>
      <x:c r="T56" s="6" t="inlineStr">
        <x:is>
          <x:t xml:space="preserve">Nazwa do potwierdzenia</x:t>
        </x:is>
      </x:c>
    </x:row>
    <x:row r="57">
      <x:c r="A57" s="6" t="inlineStr">
        <x:is>
          <x:t xml:space="preserve">300 x 506 cm</x:t>
        </x:is>
      </x:c>
      <x:c r="B57" s="6" t="inlineStr">
        <x:is>
          <x:t xml:space="preserve">LEDCCT</x:t>
        </x:is>
      </x:c>
      <x:c r="C57" s="6" t="inlineStr">
        <x:is>
          <x:t xml:space="preserve">Oświetlenie LED CCT</x:t>
        </x:is>
      </x:c>
      <x:c r="D57" s="6" t="inlineStr">
        <x:is>
          <x:t xml:space="preserve">OŚWIETLENIE</x:t>
        </x:is>
      </x:c>
      <x:c r="E57" s="8" t="n">
        <x:f>IFERROR(INDEX('02_RAW_INDEX'!$R:$R,MATCH($A57,'02_RAW_INDEX'!$A:$A,0)),"")</x:f>
        <x:v>1060</x:v>
      </x:c>
      <x:c r="F57" s="8" t="n">
        <x:f>IFERROR(INDEX('02_RAW_INDEX'!$Q:$Q,MATCH($A57,'02_RAW_INDEX'!$A:$A,0)),"")</x:f>
        <x:v>1304</x:v>
      </x:c>
      <x:c r="G57" s="7" t="n">
        <x:f>'01_Ustawienia'!$B$6</x:f>
        <x:v>0</x:v>
      </x:c>
      <x:c r="H57" s="8" t="n">
        <x:f>IF(E57="","",ROUND(IF('01_Ustawienia'!$B$5="BRUTTO",F57,E57)*(1-G57),0))</x:f>
        <x:v>1060</x:v>
      </x:c>
      <x:c r="I57" s="7" t="n">
        <x:f>IFERROR(IFERROR(INDEX('01_Ustawienia'!$B$15:$B$33,MATCH(B57,'01_Ustawienia'!$A$15:$A$33,0)),0.45),0.45)</x:f>
        <x:v>0.45</x:v>
      </x:c>
      <x:c r="J57" s="8" t="n">
        <x:f>IF(H57="","",ROUND(H57*(1+I57),0))</x:f>
        <x:v>1537</x:v>
      </x:c>
      <x:c r="K57" s="8" t="n">
        <x:f>0</x:f>
        <x:v>0</x:v>
      </x:c>
      <x:c r="L57" s="8" t="n">
        <x:f>0</x:f>
        <x:v>0</x:v>
      </x:c>
      <x:c r="M57" s="7" t="n">
        <x:f>IF('01_Ustawienia'!$B$4="ZWOLNIONY",0,'01_Ustawienia'!$B$7)</x:f>
        <x:v>0.08</x:v>
      </x:c>
      <x:c r="N57" s="8" t="n">
        <x:f>IF(J57="","",ROUND((J57+K57)*(1+M57),0))</x:f>
        <x:v>1660</x:v>
      </x:c>
      <x:c r="O57" s="8" t="n">
        <x:f>IF(J57="","",J57+K57-H57-L57)</x:f>
        <x:v>477</x:v>
      </x:c>
      <x:c r="P57" s="7" t="n">
        <x:f>IFERROR(O57/(J57+K57),"")</x:f>
        <x:v>0.3103448275862069</x:v>
      </x:c>
      <x:c r="Q57" s="6" t="inlineStr">
        <x:is>
          <x:t xml:space="preserve">RAW_ZP T/U</x:t>
        </x:is>
      </x:c>
      <x:c r="R57" s="6" t="inlineStr">
        <x:is>
          <x:t xml:space="preserve">OŚWIETLENIE</x:t>
        </x:is>
      </x:c>
      <x:c r="S57" s="6" t="inlineStr">
        <x:is>
          <x:t xml:space="preserve">website+crm</x:t>
        </x:is>
      </x:c>
      <x:c r="T57" s="6" t="inlineStr">
        <x:is>
          <x:t xml:space="preserve">Opcja dodatkowa | FIX17: opcja LED dostępna dla strony; ceny 450-600 wg modelu FIX15.</x:t>
        </x:is>
      </x:c>
    </x:row>
    <x:row r="58">
      <x:c r="A58" s="6" t="inlineStr">
        <x:is>
          <x:t xml:space="preserve">300 x 506 cm</x:t>
        </x:is>
      </x:c>
      <x:c r="B58" s="6" t="inlineStr">
        <x:is>
          <x:t xml:space="preserve">LEDRGBCCT</x:t>
        </x:is>
      </x:c>
      <x:c r="C58" s="6" t="inlineStr">
        <x:is>
          <x:t xml:space="preserve">Oświetlenie LED RGB CCT</x:t>
        </x:is>
      </x:c>
      <x:c r="D58" s="6" t="inlineStr">
        <x:is>
          <x:t xml:space="preserve">OŚWIETLENIE</x:t>
        </x:is>
      </x:c>
      <x:c r="E58" s="8" t="n">
        <x:f>IFERROR(INDEX('02_RAW_INDEX'!$T:$T,MATCH($A58,'02_RAW_INDEX'!$A:$A,0)),"")</x:f>
        <x:v>1420</x:v>
      </x:c>
      <x:c r="F58" s="8" t="n">
        <x:f>IFERROR(INDEX('02_RAW_INDEX'!$S:$S,MATCH($A58,'02_RAW_INDEX'!$A:$A,0)),"")</x:f>
        <x:v>1747</x:v>
      </x:c>
      <x:c r="G58" s="7" t="n">
        <x:f>'01_Ustawienia'!$B$6</x:f>
        <x:v>0</x:v>
      </x:c>
      <x:c r="H58" s="8" t="n">
        <x:f>IF(E58="","",ROUND(IF('01_Ustawienia'!$B$5="BRUTTO",F58,E58)*(1-G58),0))</x:f>
        <x:v>1420</x:v>
      </x:c>
      <x:c r="I58" s="7" t="n">
        <x:f>IFERROR(IFERROR(INDEX('01_Ustawienia'!$B$15:$B$33,MATCH(B58,'01_Ustawienia'!$A$15:$A$33,0)),0.45),0.45)</x:f>
        <x:v>0.45</x:v>
      </x:c>
      <x:c r="J58" s="8" t="n">
        <x:f>IF(H58="","",ROUND(H58*(1+I58),0))</x:f>
        <x:v>2059</x:v>
      </x:c>
      <x:c r="K58" s="8" t="n">
        <x:f>0</x:f>
        <x:v>0</x:v>
      </x:c>
      <x:c r="L58" s="8" t="n">
        <x:f>0</x:f>
        <x:v>0</x:v>
      </x:c>
      <x:c r="M58" s="7" t="n">
        <x:f>IF('01_Ustawienia'!$B$4="ZWOLNIONY",0,'01_Ustawienia'!$B$7)</x:f>
        <x:v>0.08</x:v>
      </x:c>
      <x:c r="N58" s="8" t="n">
        <x:f>IF(J58="","",ROUND((J58+K58)*(1+M58),0))</x:f>
        <x:v>2224</x:v>
      </x:c>
      <x:c r="O58" s="8" t="n">
        <x:f>IF(J58="","",J58+K58-H58-L58)</x:f>
        <x:v>639</x:v>
      </x:c>
      <x:c r="P58" s="7" t="n">
        <x:f>IFERROR(O58/(J58+K58),"")</x:f>
        <x:v>0.3103448275862069</x:v>
      </x:c>
      <x:c r="Q58" s="6" t="inlineStr">
        <x:is>
          <x:t xml:space="preserve">RAW_ZP V/W</x:t>
        </x:is>
      </x:c>
      <x:c r="R58" s="6" t="inlineStr">
        <x:is>
          <x:t xml:space="preserve">OŚWIETLENIE</x:t>
        </x:is>
      </x:c>
      <x:c r="S58" s="6" t="inlineStr">
        <x:is>
          <x:t xml:space="preserve">crm_only</x:t>
        </x:is>
      </x:c>
      <x:c r="T58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59" s="655" customFormat="1" ht="30" customHeight="1">
      <x:c r="A59" s="6" t="inlineStr">
        <x:is>
          <x:t xml:space="preserve">300 x 606 cm</x:t>
        </x:is>
      </x:c>
      <x:c r="B59" s="6" t="inlineStr">
        <x:is>
          <x:t xml:space="preserve">ZP</x:t>
        </x:is>
      </x:c>
      <x:c r="C59" s="6" t="inlineStr">
        <x:is>
          <x:t xml:space="preserve">Zadaszenie poliwęglan - baza</x:t>
        </x:is>
      </x:c>
      <x:c r="D59" s="6" t="inlineStr">
        <x:is>
          <x:t xml:space="preserve">ZADASZENIE POLIWĘGLAN</x:t>
        </x:is>
      </x:c>
      <x:c r="E59" s="8" t="n">
        <x:f>IFERROR(INDEX('02_RAW_INDEX'!$D:$D,MATCH($A59,'02_RAW_INDEX'!$A:$A,0)),"")</x:f>
        <x:v>6114</x:v>
      </x:c>
      <x:c r="F59" s="8" t="n">
        <x:f>IFERROR(INDEX('02_RAW_INDEX'!$C:$C,MATCH($A59,'02_RAW_INDEX'!$A:$A,0)),"")</x:f>
        <x:v>7520</x:v>
      </x:c>
      <x:c r="G59" s="7" t="n">
        <x:f>'01_Ustawienia'!$B$6</x:f>
        <x:v>0</x:v>
      </x:c>
      <x:c r="H59" s="8" t="n">
        <x:f>IF(E59="","",ROUND(IF('01_Ustawienia'!$B$5="BRUTTO",F59,E59)*(1-G59),0))</x:f>
        <x:v>6114</x:v>
      </x:c>
      <x:c r="I59" s="7" t="n">
        <x:f>IFERROR(IFERROR(INDEX('01_Ustawienia'!$B$15:$B$33,MATCH(B59,'01_Ustawienia'!$A$15:$A$33,0)),0.45),0.45)</x:f>
        <x:v>0.45</x:v>
      </x:c>
      <x:c r="J59" s="8" t="n">
        <x:f>IF(H59="","",ROUND(H59*(1+I59),0))</x:f>
        <x:v>8865</x:v>
      </x:c>
      <x:c r="K59" s="8" t="n">
        <x:f>IFERROR(IFERROR(INDEX(EG_Cennik_uslug!$F:$F,MATCH($A59,EG_Cennik_uslug!$A:$A,0)),0),0)</x:f>
        <x:v>3400</x:v>
      </x:c>
      <x:c r="L59" s="8" t="n">
        <x:f>IFERROR(IFERROR(INDEX(EG_Cennik_uslug!$G:$G,MATCH($A59,EG_Cennik_uslug!$A:$A,0)),0),0)</x:f>
        <x:v>1130</x:v>
      </x:c>
      <x:c r="M59" s="7" t="n">
        <x:f>IF('01_Ustawienia'!$B$4="ZWOLNIONY",0,'01_Ustawienia'!$B$7)</x:f>
        <x:v>0.08</x:v>
      </x:c>
      <x:c r="N59" s="8" t="n">
        <x:f>IF(J59="","",ROUND((J59+K59)*(1+M59),0))</x:f>
        <x:v>13246</x:v>
      </x:c>
      <x:c r="O59" s="8" t="n">
        <x:f>IF(J59="","",J59+K59-H59-L59)</x:f>
        <x:v>5021</x:v>
      </x:c>
      <x:c r="P59" s="7" t="n">
        <x:f>IFERROR(O59/(J59+K59),"")</x:f>
        <x:v>0.409376273950265</x:v>
      </x:c>
      <x:c r="Q59" s="6" t="inlineStr">
        <x:is>
          <x:t xml:space="preserve">RAW_ZP B/C</x:t>
        </x:is>
      </x:c>
      <x:c r="R59" s="6" t="inlineStr">
        <x:is>
          <x:t xml:space="preserve">ZADASZENIE TARASU KONSTRUKCJA</x:t>
        </x:is>
      </x:c>
      <x:c r="S59" s="6" t="inlineStr">
        <x:is>
          <x:t xml:space="preserve">website+crm</x:t>
        </x:is>
      </x:c>
      <x:c r="T59" s="6" t="inlineStr">
        <x:is>
          <x:t xml:space="preserve">Baza dla kalkulatora</x:t>
        </x:is>
      </x:c>
    </x:row>
    <x:row r="60" s="655" customFormat="1" ht="30" customHeight="1">
      <x:c r="A60" s="6" t="inlineStr">
        <x:is>
          <x:t xml:space="preserve">300 x 606 cm</x:t>
        </x:is>
      </x:c>
      <x:c r="B60" s="6" t="inlineStr">
        <x:is>
          <x:t xml:space="preserve">ZS</x:t>
        </x:is>
      </x:c>
      <x:c r="C60" s="6" t="inlineStr">
        <x:is>
          <x:t xml:space="preserve">Zadaszenie szkło - pełna konstrukcja</x:t>
        </x:is>
      </x:c>
      <x:c r="D60" s="6" t="inlineStr">
        <x:is>
          <x:t xml:space="preserve">ZADASZENIE SZKŁO</x:t>
        </x:is>
      </x:c>
      <x:c r="E60" s="8" t="n">
        <x:f>IFERROR(INDEX('02_RAW_INDEX'!$V:$V,MATCH($A60,'02_RAW_INDEX'!$A:$A,0)),"")</x:f>
        <x:v>8870</x:v>
      </x:c>
      <x:c r="F60" s="8" t="n">
        <x:f>IFERROR(INDEX('02_RAW_INDEX'!$U:$U,MATCH($A60,'02_RAW_INDEX'!$A:$A,0)),"")</x:f>
        <x:v>10910</x:v>
      </x:c>
      <x:c r="G60" s="7" t="n">
        <x:f>'01_Ustawienia'!$B$6</x:f>
        <x:v>0</x:v>
      </x:c>
      <x:c r="H60" s="8" t="n">
        <x:f>IF(E60="","",ROUND(IF('01_Ustawienia'!$B$5="BRUTTO",F60,E60)*(1-G60),0))</x:f>
        <x:v>8870</x:v>
      </x:c>
      <x:c r="I60" s="7" t="n">
        <x:f>IFERROR(IFERROR(INDEX('01_Ustawienia'!$B$15:$B$33,MATCH(B60,'01_Ustawienia'!$A$15:$A$33,0)),0.45),0.45)</x:f>
        <x:v>0.45</x:v>
      </x:c>
      <x:c r="J60" s="8" t="n">
        <x:f>IF(H60="","",ROUND(H60*(1+I60),0))</x:f>
        <x:v>12862</x:v>
      </x:c>
      <x:c r="K60" s="8" t="n">
        <x:f>IFERROR(IFERROR(INDEX(EG_Cennik_uslug!$F:$F,MATCH($A60,EG_Cennik_uslug!$A:$A,0)),0),0)</x:f>
        <x:v>3400</x:v>
      </x:c>
      <x:c r="L60" s="8" t="n">
        <x:f>IFERROR(IFERROR(INDEX(EG_Cennik_uslug!$G:$G,MATCH($A60,EG_Cennik_uslug!$A:$A,0)),0),0)</x:f>
        <x:v>1130</x:v>
      </x:c>
      <x:c r="M60" s="7" t="n">
        <x:f>IF('01_Ustawienia'!$B$4="ZWOLNIONY",0,'01_Ustawienia'!$B$7)</x:f>
        <x:v>0.08</x:v>
      </x:c>
      <x:c r="N60" s="8" t="n">
        <x:f>IF(J60="","",ROUND((J60+K60)*(1+M60),0))</x:f>
        <x:v>17563</x:v>
      </x:c>
      <x:c r="O60" s="8" t="n">
        <x:f>IF(J60="","",J60+K60-H60-L60)</x:f>
        <x:v>6262</x:v>
      </x:c>
      <x:c r="P60" s="7" t="n">
        <x:f>IFERROR(O60/(J60+K60),"")</x:f>
        <x:v>0.3850694871479523</x:v>
      </x:c>
      <x:c r="Q60" s="6" t="inlineStr">
        <x:is>
          <x:t xml:space="preserve">RAW_ZS B/C</x:t>
        </x:is>
      </x:c>
      <x:c r="R60" s="6" t="inlineStr">
        <x:is>
          <x:t xml:space="preserve">ZADASZENIE TARASU KONSTRUKCJA</x:t>
        </x:is>
      </x:c>
      <x:c r="S60" s="6" t="inlineStr">
        <x:is>
          <x:t xml:space="preserve">crm_only</x:t>
        </x:is>
      </x:c>
      <x:c r="T60" s="6" t="inlineStr">
        <x:is>
          <x:t xml:space="preserve">Referencyjne/full; strona zwykle używa ZP + PDS</x:t>
        </x:is>
      </x:c>
    </x:row>
    <x:row r="61" s="655" customFormat="1" ht="30" customHeight="1">
      <x:c r="A61" s="6" t="inlineStr">
        <x:is>
          <x:t xml:space="preserve">300 x 606 cm</x:t>
        </x:is>
      </x:c>
      <x:c r="B61" s="6" t="inlineStr">
        <x:is>
          <x:t xml:space="preserve">OP</x:t>
        </x:is>
      </x:c>
      <x:c r="C61" s="6" t="inlineStr">
        <x:is>
          <x:t xml:space="preserve">Ogród zimowy poliwęglan - baza</x:t>
        </x:is>
      </x:c>
      <x:c r="D61" s="6" t="inlineStr">
        <x:is>
          <x:t xml:space="preserve">OGRODY POLIWĘGLAN</x:t>
        </x:is>
      </x:c>
      <x:c r="E61" s="8" t="n">
        <x:f>IFERROR(INDEX('02_RAW_INDEX'!$Z:$Z,MATCH($A61,'02_RAW_INDEX'!$A:$A,0)),"")</x:f>
        <x:v>16821</x:v>
      </x:c>
      <x:c r="F61" s="8" t="n">
        <x:f>IFERROR(INDEX('02_RAW_INDEX'!$Y:$Y,MATCH($A61,'02_RAW_INDEX'!$A:$A,0)),"")</x:f>
        <x:v>20690</x:v>
      </x:c>
      <x:c r="G61" s="7" t="n">
        <x:f>'01_Ustawienia'!$B$6</x:f>
        <x:v>0</x:v>
      </x:c>
      <x:c r="H61" s="8" t="n">
        <x:f>IF(E61="","",ROUND(IF('01_Ustawienia'!$B$5="BRUTTO",F61,E61)*(1-G61),0))</x:f>
        <x:v>16821</x:v>
      </x:c>
      <x:c r="I61" s="7" t="n">
        <x:f>IFERROR(IFERROR(INDEX('01_Ustawienia'!$B$15:$B$33,MATCH(B61,'01_Ustawienia'!$A$15:$A$33,0)),0.45),0.45)</x:f>
        <x:v>0.45</x:v>
      </x:c>
      <x:c r="J61" s="8" t="n">
        <x:f>IF(H61="","",ROUND(H61*(1+I61),0))</x:f>
        <x:v>24390</x:v>
      </x:c>
      <x:c r="K61" s="8" t="n">
        <x:f>IFERROR(IFERROR(INDEX(EG_Cennik_uslug!$N:$N,MATCH($A61,EG_Cennik_uslug!$A:$A,0)),0),0)</x:f>
        <x:v>4590</x:v>
      </x:c>
      <x:c r="L61" s="8" t="n">
        <x:f>IFERROR(IFERROR(INDEX(EG_Cennik_uslug!$O:$O,MATCH($A61,EG_Cennik_uslug!$A:$A,0)),0),0)</x:f>
        <x:v>1580</x:v>
      </x:c>
      <x:c r="M61" s="7" t="n">
        <x:f>IF('01_Ustawienia'!$B$4="ZWOLNIONY",0,'01_Ustawienia'!$B$7)</x:f>
        <x:v>0.08</x:v>
      </x:c>
      <x:c r="N61" s="8" t="n">
        <x:f>IF(J61="","",ROUND((J61+K61)*(1+M61),0))</x:f>
        <x:v>31298</x:v>
      </x:c>
      <x:c r="O61" s="8" t="n">
        <x:f>IF(J61="","",J61+K61-H61-L61)</x:f>
        <x:v>10579</x:v>
      </x:c>
      <x:c r="P61" s="7" t="n">
        <x:f>IFERROR(O61/(J61+K61),"")</x:f>
        <x:v>0.3650448585231194</x:v>
      </x:c>
      <x:c r="Q61" s="6" t="inlineStr">
        <x:is>
          <x:t xml:space="preserve">RAW_OP B/C</x:t>
        </x:is>
      </x:c>
      <x:c r="R61" s="6" t="inlineStr">
        <x:is>
          <x:t xml:space="preserve">OGRÓD ZIMOWY (KONSTRUKCJA)</x:t>
        </x:is>
      </x:c>
      <x:c r="S61" s="6" t="inlineStr">
        <x:is>
          <x:t xml:space="preserve">website+crm</x:t>
        </x:is>
      </x:c>
      <x:c r="T61" s="6" t="inlineStr">
        <x:is>
          <x:t xml:space="preserve">Do wyliczenia dopłaty za ściany</x:t>
        </x:is>
      </x:c>
    </x:row>
    <x:row r="62" s="655" customFormat="1" ht="30" customHeight="1">
      <x:c r="A62" s="6" t="inlineStr">
        <x:is>
          <x:t xml:space="preserve">300 x 606 cm</x:t>
        </x:is>
      </x:c>
      <x:c r="B62" s="6" t="inlineStr">
        <x:is>
          <x:t xml:space="preserve">OS</x:t>
        </x:is>
      </x:c>
      <x:c r="C62" s="6" t="inlineStr">
        <x:is>
          <x:t xml:space="preserve">Ogród zimowy szkło - pełna konstrukcja</x:t>
        </x:is>
      </x:c>
      <x:c r="D62" s="6" t="inlineStr">
        <x:is>
          <x:t xml:space="preserve">OGRODY SZKŁO</x:t>
        </x:is>
      </x:c>
      <x:c r="E62" s="8" t="n">
        <x:f>IFERROR(INDEX('02_RAW_INDEX'!$AL:$AL,MATCH($A62,'02_RAW_INDEX'!$A:$A,0)),"")</x:f>
        <x:v>19577</x:v>
      </x:c>
      <x:c r="F62" s="8" t="n">
        <x:f>IFERROR(INDEX('02_RAW_INDEX'!$AK:$AK,MATCH($A62,'02_RAW_INDEX'!$A:$A,0)),"")</x:f>
        <x:v>24080</x:v>
      </x:c>
      <x:c r="G62" s="7" t="n">
        <x:f>'01_Ustawienia'!$B$6</x:f>
        <x:v>0</x:v>
      </x:c>
      <x:c r="H62" s="8" t="n">
        <x:f>IF(E62="","",ROUND(IF('01_Ustawienia'!$B$5="BRUTTO",F62,E62)*(1-G62),0))</x:f>
        <x:v>19577</x:v>
      </x:c>
      <x:c r="I62" s="7" t="n">
        <x:f>IFERROR(IFERROR(INDEX('01_Ustawienia'!$B$15:$B$33,MATCH(B62,'01_Ustawienia'!$A$15:$A$33,0)),0.45),0.45)</x:f>
        <x:v>0.45</x:v>
      </x:c>
      <x:c r="J62" s="8" t="n">
        <x:f>IF(H62="","",ROUND(H62*(1+I62),0))</x:f>
        <x:v>28387</x:v>
      </x:c>
      <x:c r="K62" s="8" t="n">
        <x:f>IFERROR(IFERROR(INDEX(EG_Cennik_uslug!$N:$N,MATCH($A62,EG_Cennik_uslug!$A:$A,0)),0),0)</x:f>
        <x:v>4590</x:v>
      </x:c>
      <x:c r="L62" s="8" t="n">
        <x:f>IFERROR(IFERROR(INDEX(EG_Cennik_uslug!$O:$O,MATCH($A62,EG_Cennik_uslug!$A:$A,0)),0),0)</x:f>
        <x:v>1580</x:v>
      </x:c>
      <x:c r="M62" s="7" t="n">
        <x:f>IF('01_Ustawienia'!$B$4="ZWOLNIONY",0,'01_Ustawienia'!$B$7)</x:f>
        <x:v>0.08</x:v>
      </x:c>
      <x:c r="N62" s="8" t="n">
        <x:f>IF(J62="","",ROUND((J62+K62)*(1+M62),0))</x:f>
        <x:v>35615</x:v>
      </x:c>
      <x:c r="O62" s="8" t="n">
        <x:f>IF(J62="","",J62+K62-H62-L62)</x:f>
        <x:v>11820</x:v>
      </x:c>
      <x:c r="P62" s="7" t="n">
        <x:f>IFERROR(O62/(J62+K62),"")</x:f>
        <x:v>0.3584316341692695</x:v>
      </x:c>
      <x:c r="Q62" s="6" t="inlineStr">
        <x:is>
          <x:t xml:space="preserve">RAW_OS B/C</x:t>
        </x:is>
      </x:c>
      <x:c r="R62" s="6" t="inlineStr">
        <x:is>
          <x:t xml:space="preserve">OGRÓD ZIMOWY (KONSTRUKCJA)</x:t>
        </x:is>
      </x:c>
      <x:c r="S62" s="6" t="inlineStr">
        <x:is>
          <x:t xml:space="preserve">crm_only</x:t>
        </x:is>
      </x:c>
      <x:c r="T62" s="6" t="inlineStr">
        <x:is>
          <x:t xml:space="preserve">Referencyjne/full</x:t>
        </x:is>
      </x:c>
    </x:row>
    <x:row r="63" s="655" customFormat="1" ht="30" customHeight="1">
      <x:c r="A63" s="6" t="inlineStr">
        <x:is>
          <x:t xml:space="preserve">300 x 606 cm</x:t>
        </x:is>
      </x:c>
      <x:c r="B63" s="6" t="inlineStr">
        <x:is>
          <x:t xml:space="preserve">PDS</x:t>
        </x:is>
      </x:c>
      <x:c r="C63" s="6" t="inlineStr">
        <x:is>
          <x:t xml:space="preserve">Dopłata dach szkło przezroczyste</x:t>
        </x:is>
      </x:c>
      <x:c r="D63" s="6" t="inlineStr">
        <x:is>
          <x:t xml:space="preserve">POKRYCIE DACHU SZKŁO</x:t>
        </x:is>
      </x:c>
      <x:c r="E63" s="8" t="n">
        <x:f>IFERROR(IFERROR(INDEX('02_RAW_INDEX'!$V:$V,MATCH($A63,'02_RAW_INDEX'!$A:$A,0)),"")-IFERROR(INDEX('02_RAW_INDEX'!$D:$D,MATCH($A63,'02_RAW_INDEX'!$A:$A,0)),""),"")</x:f>
        <x:v>2756</x:v>
      </x:c>
      <x:c r="F63" s="8" t="n">
        <x:f>IFERROR(IFERROR(INDEX('02_RAW_INDEX'!$U:$U,MATCH($A63,'02_RAW_INDEX'!$A:$A,0)),"")-IFERROR(INDEX('02_RAW_INDEX'!$C:$C,MATCH($A63,'02_RAW_INDEX'!$A:$A,0)),""),"")</x:f>
        <x:v>3390</x:v>
      </x:c>
      <x:c r="G63" s="7" t="n">
        <x:f>'01_Ustawienia'!$B$6</x:f>
        <x:v>0</x:v>
      </x:c>
      <x:c r="H63" s="8" t="n">
        <x:f>IF(E63="","",ROUND(IF('01_Ustawienia'!$B$5="BRUTTO",F63,E63)*(1-G63),0))</x:f>
        <x:v>2756</x:v>
      </x:c>
      <x:c r="I63" s="7" t="n">
        <x:f>IFERROR(IFERROR(INDEX('01_Ustawienia'!$B$15:$B$33,MATCH(B63,'01_Ustawienia'!$A$15:$A$33,0)),0.45),0.45)</x:f>
        <x:v>0.45</x:v>
      </x:c>
      <x:c r="J63" s="8" t="n">
        <x:f>IF(H63="","",ROUND(H63*(1+I63),0))</x:f>
        <x:v>3996</x:v>
      </x:c>
      <x:c r="K63" s="8" t="n">
        <x:f>0</x:f>
        <x:v>0</x:v>
      </x:c>
      <x:c r="L63" s="8" t="n">
        <x:v>0</x:v>
      </x:c>
      <x:c r="M63" s="7" t="n">
        <x:f>IF('01_Ustawienia'!$B$4="ZWOLNIONY",0,'01_Ustawienia'!$B$7)</x:f>
        <x:v>0.08</x:v>
      </x:c>
      <x:c r="N63" s="8" t="n">
        <x:f>IF(J63="","",ROUND((J63+K63)*(1+M63),0))</x:f>
        <x:v>4316</x:v>
      </x:c>
      <x:c r="O63" s="8" t="n">
        <x:f>IF(J63="","",J63+K63-H63-L63)</x:f>
        <x:v>1240</x:v>
      </x:c>
      <x:c r="P63" s="7" t="n">
        <x:f>IFERROR(O63/(J63+K63),"")</x:f>
        <x:v>0.3103103103103103</x:v>
      </x:c>
      <x:c r="Q63" s="6" t="inlineStr">
        <x:is>
          <x:t xml:space="preserve">RAW_ZS - RAW_ZP</x:t>
        </x:is>
      </x:c>
      <x:c r="R63" s="6" t="inlineStr">
        <x:is>
          <x:t xml:space="preserve">POKRYCIE DACHU</x:t>
        </x:is>
      </x:c>
      <x:c r="S63" s="6" t="inlineStr">
        <x:is>
          <x:t xml:space="preserve">website+crm</x:t>
        </x:is>
      </x:c>
      <x:c r="T63" s="6" t="inlineStr">
        <x:is>
          <x:t xml:space="preserve">Dopłata do bazowego dachu poliwęglan | FIX17: Wynagr.+koszty = 0 dla dopłaty; nie jest osobnym montażem ekipy.</x:t>
        </x:is>
      </x:c>
    </x:row>
    <x:row r="64" s="655" customFormat="1" ht="30" customHeight="1">
      <x:c r="A64" s="6" t="inlineStr">
        <x:is>
          <x:t xml:space="preserve">300 x 606 cm</x:t>
        </x:is>
      </x:c>
      <x:c r="B64" s="6" t="inlineStr">
        <x:is>
          <x:t xml:space="preserve">PDSB</x:t>
        </x:is>
      </x:c>
      <x:c r="C64" s="6" t="inlineStr">
        <x:is>
          <x:t xml:space="preserve">Dopłata dach szkło barwione/mleczne</x:t>
        </x:is>
      </x:c>
      <x:c r="D64" s="6" t="inlineStr">
        <x:is>
          <x:t xml:space="preserve">POKRYCIE DACHU SZKŁO BARWIONE</x:t>
        </x:is>
      </x:c>
      <x:c r="E64" s="8" t="n">
        <x:f>IFERROR(INDEX('02_RAW_INDEX'!$X:$X,MATCH($A64,'02_RAW_INDEX'!$A:$A,0)),"")</x:f>
        <x:v>545</x:v>
      </x:c>
      <x:c r="F64" s="8" t="n">
        <x:f>IFERROR(INDEX('02_RAW_INDEX'!$W:$W,MATCH($A64,'02_RAW_INDEX'!$A:$A,0)),"")</x:f>
        <x:v>670</x:v>
      </x:c>
      <x:c r="G64" s="7" t="n">
        <x:f>'01_Ustawienia'!$B$6</x:f>
        <x:v>0</x:v>
      </x:c>
      <x:c r="H64" s="8" t="n">
        <x:f>IF(E64="","",ROUND(IF('01_Ustawienia'!$B$5="BRUTTO",F64,E64)*(1-G64),0))</x:f>
        <x:v>545</x:v>
      </x:c>
      <x:c r="I64" s="7" t="n">
        <x:f>IFERROR(IFERROR(INDEX('01_Ustawienia'!$B$15:$B$33,MATCH(B64,'01_Ustawienia'!$A$15:$A$33,0)),0.45),0.45)</x:f>
        <x:v>0.45</x:v>
      </x:c>
      <x:c r="J64" s="8" t="n">
        <x:f>IF(H64="","",ROUND(H64*(1+I64),0))</x:f>
        <x:v>790</x:v>
      </x:c>
      <x:c r="K64" s="8" t="n">
        <x:f>0</x:f>
        <x:v>0</x:v>
      </x:c>
      <x:c r="L64" s="8" t="n">
        <x:v>0</x:v>
      </x:c>
      <x:c r="M64" s="7" t="n">
        <x:f>IF('01_Ustawienia'!$B$4="ZWOLNIONY",0,'01_Ustawienia'!$B$7)</x:f>
        <x:v>0.08</x:v>
      </x:c>
      <x:c r="N64" s="8" t="n">
        <x:f>IF(J64="","",ROUND((J64+K64)*(1+M64),0))</x:f>
        <x:v>853</x:v>
      </x:c>
      <x:c r="O64" s="8" t="n">
        <x:f>IF(J64="","",J64+K64-H64-L64)</x:f>
        <x:v>245</x:v>
      </x:c>
      <x:c r="P64" s="7" t="n">
        <x:f>IFERROR(O64/(J64+K64),"")</x:f>
        <x:v>0.310126582278481</x:v>
      </x:c>
      <x:c r="Q64" s="6" t="inlineStr">
        <x:is>
          <x:t xml:space="preserve">RAW_ZS D/E</x:t>
        </x:is>
      </x:c>
      <x:c r="R64" s="6" t="inlineStr">
        <x:is>
          <x:t xml:space="preserve">POKRYCIE DACHU</x:t>
        </x:is>
      </x:c>
      <x:c r="S64" s="6" t="inlineStr">
        <x:is>
          <x:t xml:space="preserve">website+crm</x:t>
        </x:is>
      </x:c>
      <x:c r="T64" s="6" t="inlineStr">
        <x:is>
          <x:t xml:space="preserve">Dodawane do PDS | FIX17: Wynagr.+koszty = 0 dla dopłaty; nie jest osobnym montażem ekipy.</x:t>
        </x:is>
      </x:c>
    </x:row>
    <x:row r="65" s="655" customFormat="1" ht="30" customHeight="1">
      <x:c r="A65" s="6" t="inlineStr">
        <x:is>
          <x:t xml:space="preserve">300 x 606 cm</x:t>
        </x:is>
      </x:c>
      <x:c r="B65" s="6" t="inlineStr">
        <x:is>
          <x:t xml:space="preserve">PDPB</x:t>
        </x:is>
      </x:c>
      <x:c r="C65" s="6" t="inlineStr">
        <x:is>
          <x:t xml:space="preserve">Dopłata poliwęglan barwiony</x:t>
        </x:is>
      </x:c>
      <x:c r="D65" s="6" t="inlineStr">
        <x:is>
          <x:t xml:space="preserve">POKRYCIE DACHU POLIWĘGLAN BARWIONY</x:t>
        </x:is>
      </x:c>
      <x:c r="E65" s="8" t="n">
        <x:f>IFERROR(INDEX('02_RAW_INDEX'!$F:$F,MATCH($A65,'02_RAW_INDEX'!$A:$A,0)),"")</x:f>
        <x:v>252</x:v>
      </x:c>
      <x:c r="F65" s="8" t="n">
        <x:f>IFERROR(INDEX('02_RAW_INDEX'!$E:$E,MATCH($A65,'02_RAW_INDEX'!$A:$A,0)),"")</x:f>
        <x:v>310</x:v>
      </x:c>
      <x:c r="G65" s="7" t="n">
        <x:f>'01_Ustawienia'!$B$6</x:f>
        <x:v>0</x:v>
      </x:c>
      <x:c r="H65" s="8" t="n">
        <x:f>IF(E65="","",ROUND(IF('01_Ustawienia'!$B$5="BRUTTO",F65,E65)*(1-G65),0))</x:f>
        <x:v>252</x:v>
      </x:c>
      <x:c r="I65" s="7" t="n">
        <x:f>IFERROR(IFERROR(INDEX('01_Ustawienia'!$B$15:$B$33,MATCH(B65,'01_Ustawienia'!$A$15:$A$33,0)),0.45),0.45)</x:f>
        <x:v>0.45</x:v>
      </x:c>
      <x:c r="J65" s="8" t="n">
        <x:f>IF(H65="","",ROUND(H65*(1+I65),0))</x:f>
        <x:v>365</x:v>
      </x:c>
      <x:c r="K65" s="8" t="n">
        <x:f>0</x:f>
        <x:v>0</x:v>
      </x:c>
      <x:c r="L65" s="8" t="n">
        <x:v>0</x:v>
      </x:c>
      <x:c r="M65" s="7" t="n">
        <x:f>IF('01_Ustawienia'!$B$4="ZWOLNIONY",0,'01_Ustawienia'!$B$7)</x:f>
        <x:v>0.08</x:v>
      </x:c>
      <x:c r="N65" s="8" t="n">
        <x:f>IF(J65="","",ROUND((J65+K65)*(1+M65),0))</x:f>
        <x:v>394</x:v>
      </x:c>
      <x:c r="O65" s="8" t="n">
        <x:f>IF(J65="","",J65+K65-H65-L65)</x:f>
        <x:v>113</x:v>
      </x:c>
      <x:c r="P65" s="7" t="n">
        <x:f>IFERROR(O65/(J65+K65),"")</x:f>
        <x:v>0.3095890410958904</x:v>
      </x:c>
      <x:c r="Q65" s="6" t="inlineStr">
        <x:is>
          <x:t xml:space="preserve">RAW_ZP D/E</x:t>
        </x:is>
      </x:c>
      <x:c r="R65" s="6" t="inlineStr">
        <x:is>
          <x:t xml:space="preserve">POKRYCIE DACHU</x:t>
        </x:is>
      </x:c>
      <x:c r="S65" s="6" t="inlineStr">
        <x:is>
          <x:t xml:space="preserve">website+crm</x:t>
        </x:is>
      </x:c>
      <x:c r="T65" s="6" t="inlineStr">
        <x:is>
          <x:t xml:space="preserve">FIX17: Wynagr.+koszty = 0 dla dopłaty; nie jest osobnym montażem ekipy.</x:t>
        </x:is>
      </x:c>
    </x:row>
    <x:row r="66" s="655" customFormat="1" ht="30" customHeight="1">
      <x:c r="A66" s="6" t="inlineStr">
        <x:is>
          <x:t xml:space="preserve">300 x 606 cm</x:t>
        </x:is>
      </x:c>
      <x:c r="B66" s="6" t="inlineStr">
        <x:is>
          <x:t xml:space="preserve">SBB</x:t>
        </x:is>
      </x:c>
      <x:c r="C66" s="6" t="inlineStr">
        <x:is>
          <x:t xml:space="preserve">Dopłata szkło boczne przyciemniane</x:t>
        </x:is>
      </x:c>
      <x:c r="D66" s="6" t="inlineStr">
        <x:is>
          <x:t xml:space="preserve">SZKŁO BOCZNE BARWIONE</x:t>
        </x:is>
      </x:c>
      <x:c r="E66" s="8" t="n">
        <x:f>IFERROR(INDEX('02_RAW_INDEX'!$AB:$AB,MATCH($A66,'02_RAW_INDEX'!$A:$A,0)),"")</x:f>
        <x:v>1171</x:v>
      </x:c>
      <x:c r="F66" s="8" t="n">
        <x:f>IFERROR(INDEX('02_RAW_INDEX'!$AA:$AA,MATCH($A66,'02_RAW_INDEX'!$A:$A,0)),"")</x:f>
        <x:v>1440</x:v>
      </x:c>
      <x:c r="G66" s="7" t="n">
        <x:f>'01_Ustawienia'!$B$6</x:f>
        <x:v>0</x:v>
      </x:c>
      <x:c r="H66" s="8" t="n">
        <x:f>IF(E66="","",ROUND(IF('01_Ustawienia'!$B$5="BRUTTO",F66,E66)*(1-G66),0))</x:f>
        <x:v>1171</x:v>
      </x:c>
      <x:c r="I66" s="7" t="n">
        <x:f>IFERROR(IFERROR(INDEX('01_Ustawienia'!$B$15:$B$33,MATCH(B66,'01_Ustawienia'!$A$15:$A$33,0)),0.45),0.45)</x:f>
        <x:v>0.45</x:v>
      </x:c>
      <x:c r="J66" s="8" t="n">
        <x:f>IF(H66="","",ROUND(H66*(1+I66),0))</x:f>
        <x:v>1698</x:v>
      </x:c>
      <x:c r="K66" s="8" t="n">
        <x:f>0</x:f>
        <x:v>0</x:v>
      </x:c>
      <x:c r="L66" s="8" t="n">
        <x:v>0</x:v>
      </x:c>
      <x:c r="M66" s="7" t="n">
        <x:f>IF('01_Ustawienia'!$B$4="ZWOLNIONY",0,'01_Ustawienia'!$B$7)</x:f>
        <x:v>0.08</x:v>
      </x:c>
      <x:c r="N66" s="8" t="n">
        <x:f>IF(J66="","",ROUND((J66+K66)*(1+M66),0))</x:f>
        <x:v>1834</x:v>
      </x:c>
      <x:c r="O66" s="8" t="n">
        <x:f>IF(J66="","",J66+K66-H66-L66)</x:f>
        <x:v>527</x:v>
      </x:c>
      <x:c r="P66" s="7" t="n">
        <x:f>IFERROR(O66/(J66+K66),"")</x:f>
        <x:v>0.31036513545347466</x:v>
      </x:c>
      <x:c r="Q66" s="6" t="inlineStr">
        <x:is>
          <x:t xml:space="preserve">RAW_OP H/I</x:t>
        </x:is>
      </x:c>
      <x:c r="R66" s="6" t="inlineStr">
        <x:is>
          <x:t xml:space="preserve">SZYBY BOCZNE</x:t>
        </x:is>
      </x:c>
      <x:c r="S66" s="6" t="inlineStr">
        <x:is>
          <x:t xml:space="preserve">website+crm</x:t>
        </x:is>
      </x:c>
      <x:c r="T66" s="6" t="inlineStr">
        <x:is>
          <x:t xml:space="preserve">Dodawane do ścian przezroczystych | FIX17: Wynagr.+koszty = 0 dla dopłaty; nie jest osobnym montażem ekipy.</x:t>
        </x:is>
      </x:c>
    </x:row>
    <x:row r="67">
      <x:c r="A67" s="6" t="inlineStr">
        <x:is>
          <x:t xml:space="preserve">300 x 606 cm</x:t>
        </x:is>
      </x:c>
      <x:c r="B67" s="6" t="inlineStr">
        <x:is>
          <x:t xml:space="preserve">RB</x:t>
        </x:is>
      </x:c>
      <x:c r="C67" s="6" t="inlineStr">
        <x:is>
          <x:t xml:space="preserve">Roleta boczna ZIP</x:t>
        </x:is>
      </x:c>
      <x:c r="D67" s="6" t="inlineStr">
        <x:is>
          <x:t xml:space="preserve">ROLETA BOCZNA</x:t>
        </x:is>
      </x:c>
      <x:c r="E67" s="8" t="n">
        <x:f>IFERROR(INDEX('02_RAW_INDEX'!$J:$J,MATCH($A67,'02_RAW_INDEX'!$A:$A,0)),"")</x:f>
        <x:v>1740</x:v>
      </x:c>
      <x:c r="F67" s="8" t="n">
        <x:f>IFERROR(INDEX('02_RAW_INDEX'!$I:$I,MATCH($A67,'02_RAW_INDEX'!$A:$A,0)),"")</x:f>
        <x:v>2140</x:v>
      </x:c>
      <x:c r="G67" s="7" t="n">
        <x:f>'01_Ustawienia'!$B$6</x:f>
        <x:v>0</x:v>
      </x:c>
      <x:c r="H67" s="8" t="n">
        <x:f>IF(E67="","",ROUND(IF('01_Ustawienia'!$B$5="BRUTTO",F67,E67)*(1-G67),0))</x:f>
        <x:v>1740</x:v>
      </x:c>
      <x:c r="I67" s="7" t="n">
        <x:f>IFERROR(IFERROR(INDEX('01_Ustawienia'!$B$15:$B$33,MATCH(B67,'01_Ustawienia'!$A$15:$A$33,0)),0.45),0.45)</x:f>
        <x:v>0.45</x:v>
      </x:c>
      <x:c r="J67" s="8" t="n">
        <x:f>IF(H67="","",ROUND(H67*(1+I67),0))</x:f>
        <x:v>2523</x:v>
      </x:c>
      <x:c r="K67" s="8" t="n">
        <x:f>0</x:f>
        <x:v>0</x:v>
      </x:c>
      <x:c r="L67" s="8" t="n">
        <x:f>IFERROR(IFERROR(INDEX(EG_Cennik_uslug!$AC:$AC,MATCH($A67,EG_Cennik_uslug!$A:$A,0)),0),0)</x:f>
        <x:v>150</x:v>
      </x:c>
      <x:c r="M67" s="7" t="n">
        <x:f>IF('01_Ustawienia'!$B$4="ZWOLNIONY",0,'01_Ustawienia'!$B$7)</x:f>
        <x:v>0.08</x:v>
      </x:c>
      <x:c r="N67" s="8" t="n">
        <x:f>IF(J67="","",ROUND((J67+K67)*(1+M67),0))</x:f>
        <x:v>2725</x:v>
      </x:c>
      <x:c r="O67" s="8" t="n">
        <x:f>IF(J67="","",J67+K67-H67-L67)</x:f>
        <x:v>633</x:v>
      </x:c>
      <x:c r="P67" s="7" t="n">
        <x:f>IFERROR(O67/(J67+K67),"")</x:f>
        <x:v>0.25089179548156954</x:v>
      </x:c>
      <x:c r="Q67" s="6" t="inlineStr">
        <x:is>
          <x:t xml:space="preserve">RAW_ZP J/K</x:t>
        </x:is>
      </x:c>
      <x:c r="R67" s="6" t="inlineStr">
        <x:is>
          <x:t xml:space="preserve">ROLETY BOCZNE</x:t>
        </x:is>
      </x:c>
      <x:c r="S67" s="6" t="inlineStr">
        <x:is>
          <x:t xml:space="preserve">website+crm</x:t>
        </x:is>
      </x:c>
      <x:c r="T67" s="6" t="inlineStr">
        <x:is>
          <x:t xml:space="preserve">Używana dla lewej i prawej</x:t>
        </x:is>
      </x:c>
    </x:row>
    <x:row r="68">
      <x:c r="A68" s="6" t="inlineStr">
        <x:is>
          <x:t xml:space="preserve">300 x 606 cm</x:t>
        </x:is>
      </x:c>
      <x:c r="B68" s="6" t="inlineStr">
        <x:is>
          <x:t xml:space="preserve">RP</x:t>
        </x:is>
      </x:c>
      <x:c r="C68" s="6" t="inlineStr">
        <x:is>
          <x:t xml:space="preserve">Roleta przednia ZIP</x:t>
        </x:is>
      </x:c>
      <x:c r="D68" s="6" t="inlineStr">
        <x:is>
          <x:t xml:space="preserve">ROLETA PRZÓD</x:t>
        </x:is>
      </x:c>
      <x:c r="E68" s="8" t="n">
        <x:f>IFERROR(INDEX('02_RAW_INDEX'!$L:$L,MATCH($A68,'02_RAW_INDEX'!$A:$A,0)),"")</x:f>
        <x:v>3472</x:v>
      </x:c>
      <x:c r="F68" s="8" t="n">
        <x:f>IFERROR(INDEX('02_RAW_INDEX'!$K:$K,MATCH($A68,'02_RAW_INDEX'!$A:$A,0)),"")</x:f>
        <x:v>4270</x:v>
      </x:c>
      <x:c r="G68" s="7" t="n">
        <x:f>'01_Ustawienia'!$B$6</x:f>
        <x:v>0</x:v>
      </x:c>
      <x:c r="H68" s="8" t="n">
        <x:f>IF(E68="","",ROUND(IF('01_Ustawienia'!$B$5="BRUTTO",F68,E68)*(1-G68),0))</x:f>
        <x:v>3472</x:v>
      </x:c>
      <x:c r="I68" s="7" t="n">
        <x:f>IFERROR(IFERROR(INDEX('01_Ustawienia'!$B$15:$B$33,MATCH(B68,'01_Ustawienia'!$A$15:$A$33,0)),0.45),0.45)</x:f>
        <x:v>0.45</x:v>
      </x:c>
      <x:c r="J68" s="8" t="n">
        <x:f>IF(H68="","",ROUND(H68*(1+I68),0))</x:f>
        <x:v>5034</x:v>
      </x:c>
      <x:c r="K68" s="8" t="n">
        <x:f>0</x:f>
        <x:v>0</x:v>
      </x:c>
      <x:c r="L68" s="8" t="n">
        <x:f>IFERROR(IFERROR(INDEX(EG_Cennik_uslug!$AJ:$AJ,MATCH($A68,EG_Cennik_uslug!$A:$A,0)),0),0)</x:f>
        <x:v>300</x:v>
      </x:c>
      <x:c r="M68" s="7" t="n">
        <x:f>IF('01_Ustawienia'!$B$4="ZWOLNIONY",0,'01_Ustawienia'!$B$7)</x:f>
        <x:v>0.08</x:v>
      </x:c>
      <x:c r="N68" s="8" t="n">
        <x:f>IF(J68="","",ROUND((J68+K68)*(1+M68),0))</x:f>
        <x:v>5437</x:v>
      </x:c>
      <x:c r="O68" s="8" t="n">
        <x:f>IF(J68="","",J68+K68-H68-L68)</x:f>
        <x:v>1262</x:v>
      </x:c>
      <x:c r="P68" s="7" t="n">
        <x:f>IFERROR(O68/(J68+K68),"")</x:f>
        <x:v>0.2506952721493842</x:v>
      </x:c>
      <x:c r="Q68" s="6" t="inlineStr">
        <x:is>
          <x:t xml:space="preserve">RAW_ZP N/O</x:t>
        </x:is>
      </x:c>
      <x:c r="R68" s="6" t="inlineStr">
        <x:is>
          <x:t xml:space="preserve">ROLETY BOCZNE</x:t>
        </x:is>
      </x:c>
      <x:c r="S68" s="6" t="inlineStr">
        <x:is>
          <x:t xml:space="preserve">website+crm</x:t>
        </x:is>
      </x:c>
      <x:c r="T68" s="6" t="n"/>
    </x:row>
    <x:row r="69">
      <x:c r="A69" s="6" t="inlineStr">
        <x:is>
          <x:t xml:space="preserve">300 x 606 cm</x:t>
        </x:is>
      </x:c>
      <x:c r="B69" s="6" t="inlineStr">
        <x:is>
          <x:t xml:space="preserve">M</x:t>
        </x:is>
      </x:c>
      <x:c r="C69" s="6" t="inlineStr">
        <x:is>
          <x:t xml:space="preserve">Markiza dachowa</x:t>
        </x:is>
      </x:c>
      <x:c r="D69" s="6" t="inlineStr">
        <x:is>
          <x:t xml:space="preserve">MARKIZA</x:t>
        </x:is>
      </x:c>
      <x:c r="E69" s="8" t="n">
        <x:f>IFERROR(INDEX('02_RAW_INDEX'!$H:$H,MATCH($A69,'02_RAW_INDEX'!$A:$A,0)),"")</x:f>
        <x:v>6341</x:v>
      </x:c>
      <x:c r="F69" s="8" t="n">
        <x:f>IFERROR(INDEX('02_RAW_INDEX'!$G:$G,MATCH($A69,'02_RAW_INDEX'!$A:$A,0)),"")</x:f>
        <x:v>7800</x:v>
      </x:c>
      <x:c r="G69" s="7" t="n">
        <x:f>'01_Ustawienia'!$B$6</x:f>
        <x:v>0</x:v>
      </x:c>
      <x:c r="H69" s="8" t="n">
        <x:f>IF(E69="","",ROUND(IF('01_Ustawienia'!$B$5="BRUTTO",F69,E69)*(1-G69),0))</x:f>
        <x:v>6341</x:v>
      </x:c>
      <x:c r="I69" s="7" t="n">
        <x:f>IFERROR(IFERROR(INDEX('01_Ustawienia'!$B$15:$B$33,MATCH(B69,'01_Ustawienia'!$A$15:$A$33,0)),0.45),0.45)</x:f>
        <x:v>0.45</x:v>
      </x:c>
      <x:c r="J69" s="8" t="n">
        <x:f>IF(H69="","",ROUND(H69*(1+I69),0))</x:f>
        <x:v>9194</x:v>
      </x:c>
      <x:c r="K69" s="8" t="n">
        <x:f>0</x:f>
        <x:v>0</x:v>
      </x:c>
      <x:c r="L69" s="8" t="n">
        <x:f>IFERROR(IFERROR(INDEX(EG_Cennik_uslug!$AQ:$AQ,MATCH($A69,EG_Cennik_uslug!$A:$A,0)),0),0)</x:f>
        <x:v>350</x:v>
      </x:c>
      <x:c r="M69" s="7" t="n">
        <x:f>IF('01_Ustawienia'!$B$4="ZWOLNIONY",0,'01_Ustawienia'!$B$7)</x:f>
        <x:v>0.08</x:v>
      </x:c>
      <x:c r="N69" s="8" t="n">
        <x:f>IF(J69="","",ROUND((J69+K69)*(1+M69),0))</x:f>
        <x:v>9930</x:v>
      </x:c>
      <x:c r="O69" s="8" t="n">
        <x:f>IF(J69="","",J69+K69-H69-L69)</x:f>
        <x:v>2503</x:v>
      </x:c>
      <x:c r="P69" s="7" t="n">
        <x:f>IFERROR(O69/(J69+K69),"")</x:f>
        <x:v>0.27224276702197087</x:v>
      </x:c>
      <x:c r="Q69" s="6" t="inlineStr">
        <x:is>
          <x:t xml:space="preserve">RAW_ZP H/I</x:t>
        </x:is>
      </x:c>
      <x:c r="R69" s="6" t="inlineStr">
        <x:is>
          <x:t xml:space="preserve">MARKIZA</x:t>
        </x:is>
      </x:c>
      <x:c r="S69" s="6" t="inlineStr">
        <x:is>
          <x:t xml:space="preserve">website+crm</x:t>
        </x:is>
      </x:c>
      <x:c r="T69" s="6" t="n"/>
    </x:row>
    <x:row r="70">
      <x:c r="A70" s="6" t="inlineStr">
        <x:is>
          <x:t xml:space="preserve">300 x 606 cm</x:t>
        </x:is>
      </x:c>
      <x:c r="B70" s="6" t="inlineStr">
        <x:is>
          <x:t xml:space="preserve">PDWP</x:t>
        </x:is>
      </x:c>
      <x:c r="C70" s="6" t="inlineStr">
        <x:is>
          <x:t xml:space="preserve">Fundament/profile</x:t>
        </x:is>
      </x:c>
      <x:c r="D70" s="6" t="inlineStr">
        <x:is>
          <x:t xml:space="preserve">FUNDAMENT / PROFILE</x:t>
        </x:is>
      </x:c>
      <x:c r="E70" s="8" t="n">
        <x:f>IFERROR(INDEX('02_RAW_INDEX'!$AH:$AH,MATCH($A70,'02_RAW_INDEX'!$A:$A,0)),"")</x:f>
        <x:v>976</x:v>
      </x:c>
      <x:c r="F70" s="8" t="n">
        <x:f>IFERROR(INDEX('02_RAW_INDEX'!$AG:$AG,MATCH($A70,'02_RAW_INDEX'!$A:$A,0)),"")</x:f>
        <x:v>1200</x:v>
      </x:c>
      <x:c r="G70" s="7" t="n">
        <x:f>'01_Ustawienia'!$B$6</x:f>
        <x:v>0</x:v>
      </x:c>
      <x:c r="H70" s="8" t="n">
        <x:f>IF(E70="","",ROUND(IF('01_Ustawienia'!$B$5="BRUTTO",F70,E70)*(1-G70),0))</x:f>
        <x:v>976</x:v>
      </x:c>
      <x:c r="I70" s="7" t="n">
        <x:f>IFERROR(IFERROR(INDEX('01_Ustawienia'!$B$15:$B$33,MATCH(B70,'01_Ustawienia'!$A$15:$A$33,0)),0.45),0.45)</x:f>
        <x:v>1.2</x:v>
      </x:c>
      <x:c r="J70" s="8" t="n">
        <x:f>IF(H70="","",ROUND(H70*(1+I70),0))</x:f>
        <x:v>2147</x:v>
      </x:c>
      <x:c r="K70" s="8" t="n">
        <x:f>0</x:f>
        <x:v>0</x:v>
      </x:c>
      <x:c r="L70" s="8" t="n">
        <x:f>IFERROR(IFERROR(INDEX(EG_Cennik_uslug!$BT:$BT,MATCH($A70,EG_Cennik_uslug!$A:$A,0)),0),0)</x:f>
        <x:v>460</x:v>
      </x:c>
      <x:c r="M70" s="7" t="n">
        <x:f>IF('01_Ustawienia'!$B$4="ZWOLNIONY",0,'01_Ustawienia'!$B$7)</x:f>
        <x:v>0.08</x:v>
      </x:c>
      <x:c r="N70" s="8" t="n">
        <x:f>IF(J70="","",ROUND((J70+K70)*(1+M70),0))</x:f>
        <x:v>2319</x:v>
      </x:c>
      <x:c r="O70" s="8" t="n">
        <x:f>IF(J70="","",J70+K70-H70-L70)</x:f>
        <x:v>711</x:v>
      </x:c>
      <x:c r="P70" s="7" t="n">
        <x:f>IFERROR(O70/(J70+K70),"")</x:f>
        <x:v>0.33115975780158363</x:v>
      </x:c>
      <x:c r="Q70" s="6" t="inlineStr">
        <x:is>
          <x:t xml:space="preserve">RAW_OP AB/AC</x:t>
        </x:is>
      </x:c>
      <x:c r="R70" s="6" t="inlineStr">
        <x:is>
          <x:t xml:space="preserve">FUNDAMENT (PROFILE)</x:t>
        </x:is>
      </x:c>
      <x:c r="S70" s="6" t="inlineStr">
        <x:is>
          <x:t xml:space="preserve">website+crm</x:t>
        </x:is>
      </x:c>
      <x:c r="T70" s="6" t="n"/>
    </x:row>
    <x:row r="71" s="655" customFormat="1" ht="30" customHeight="1">
      <x:c r="A71" s="6" t="inlineStr">
        <x:is>
          <x:t xml:space="preserve">300 x 606 cm</x:t>
        </x:is>
      </x:c>
      <x:c r="B71" s="6" t="inlineStr">
        <x:is>
          <x:t xml:space="preserve">ZAB</x:t>
        </x:is>
      </x:c>
      <x:c r="C71" s="6" t="inlineStr">
        <x:is>
          <x:t xml:space="preserve">Zabieraki do ścian przesuwnych</x:t>
        </x:is>
      </x:c>
      <x:c r="D71" s="6" t="inlineStr">
        <x:is>
          <x:t xml:space="preserve">DODATKI</x:t>
        </x:is>
      </x:c>
      <x:c r="E71" s="8" t="n">
        <x:f>IFERROR(INDEX('02_RAW_INDEX'!$AJ:$AJ,MATCH($A71,'02_RAW_INDEX'!$A:$A,0)),"")</x:f>
        <x:v>260</x:v>
      </x:c>
      <x:c r="F71" s="8" t="n">
        <x:f>IFERROR(INDEX('02_RAW_INDEX'!$AI:$AI,MATCH($A71,'02_RAW_INDEX'!$A:$A,0)),"")</x:f>
        <x:v>320</x:v>
      </x:c>
      <x:c r="G71" s="7" t="n">
        <x:f>'01_Ustawienia'!$B$6</x:f>
        <x:v>0</x:v>
      </x:c>
      <x:c r="H71" s="8" t="n">
        <x:f>IF(E71="","",ROUND(IF('01_Ustawienia'!$B$5="BRUTTO",F71,E71)*(1-G71),0))</x:f>
        <x:v>260</x:v>
      </x:c>
      <x:c r="I71" s="7" t="n">
        <x:f>IFERROR(IFERROR(INDEX('01_Ustawienia'!$B$15:$B$33,MATCH(B71,'01_Ustawienia'!$A$15:$A$33,0)),0.45),0.45)</x:f>
        <x:v>0.45</x:v>
      </x:c>
      <x:c r="J71" s="8" t="n">
        <x:f>IF(H71="","",ROUND(H71*(1+I71),0))</x:f>
        <x:v>377</x:v>
      </x:c>
      <x:c r="K71" s="8" t="n">
        <x:f>0</x:f>
        <x:v>0</x:v>
      </x:c>
      <x:c r="L71" s="8" t="n">
        <x:f>0</x:f>
        <x:v>0</x:v>
      </x:c>
      <x:c r="M71" s="7" t="n">
        <x:f>IF('01_Ustawienia'!$B$4="ZWOLNIONY",0,'01_Ustawienia'!$B$7)</x:f>
        <x:v>0.08</x:v>
      </x:c>
      <x:c r="N71" s="8" t="n">
        <x:f>IF(J71="","",ROUND((J71+K71)*(1+M71),0))</x:f>
        <x:v>407</x:v>
      </x:c>
      <x:c r="O71" s="8" t="n">
        <x:f>IF(J71="","",J71+K71-H71-L71)</x:f>
        <x:v>117</x:v>
      </x:c>
      <x:c r="P71" s="7" t="n">
        <x:f>IFERROR(O71/(J71+K71),"")</x:f>
        <x:v>0.3103448275862069</x:v>
      </x:c>
      <x:c r="Q71" s="6" t="inlineStr">
        <x:is>
          <x:t xml:space="preserve">RAW_OP AD/AE</x:t>
        </x:is>
      </x:c>
      <x:c r="R71" s="6" t="inlineStr">
        <x:is>
          <x:t xml:space="preserve">DODATKI</x:t>
        </x:is>
      </x:c>
      <x:c r="S71" s="6" t="inlineStr">
        <x:is>
          <x:t xml:space="preserve">crm_only</x:t>
        </x:is>
      </x:c>
      <x:c r="T71" s="6" t="n"/>
    </x:row>
    <x:row r="72">
      <x:c r="A72" s="6" t="inlineStr">
        <x:is>
          <x:t xml:space="preserve">300 x 606 cm</x:t>
        </x:is>
      </x:c>
      <x:c r="B72" s="6" t="inlineStr">
        <x:is>
          <x:t xml:space="preserve">S</x:t>
        </x:is>
      </x:c>
      <x:c r="C72" s="6" t="inlineStr">
        <x:is>
          <x:t xml:space="preserve">Szczotki przeciwkurzowe</x:t>
        </x:is>
      </x:c>
      <x:c r="D72" s="6" t="inlineStr">
        <x:is>
          <x:t xml:space="preserve">SZCZOTKI</x:t>
        </x:is>
      </x:c>
      <x:c r="E72" s="8" t="n">
        <x:f>IFERROR(INDEX('02_RAW_INDEX'!$AD:$AD,MATCH($A72,'02_RAW_INDEX'!$A:$A,0)),"")</x:f>
        <x:v>374</x:v>
      </x:c>
      <x:c r="F72" s="8" t="n">
        <x:f>IFERROR(INDEX('02_RAW_INDEX'!$AC:$AC,MATCH($A72,'02_RAW_INDEX'!$A:$A,0)),"")</x:f>
        <x:v>460</x:v>
      </x:c>
      <x:c r="G72" s="7" t="n">
        <x:f>'01_Ustawienia'!$B$6</x:f>
        <x:v>0</x:v>
      </x:c>
      <x:c r="H72" s="8" t="n">
        <x:f>IF(E72="","",ROUND(IF('01_Ustawienia'!$B$5="BRUTTO",F72,E72)*(1-G72),0))</x:f>
        <x:v>374</x:v>
      </x:c>
      <x:c r="I72" s="7" t="n">
        <x:f>IFERROR(IFERROR(INDEX('01_Ustawienia'!$B$15:$B$33,MATCH(B72,'01_Ustawienia'!$A$15:$A$33,0)),0.45),0.45)</x:f>
        <x:v>0.45</x:v>
      </x:c>
      <x:c r="J72" s="8" t="n">
        <x:f>IF(H72="","",ROUND(H72*(1+I72),0))</x:f>
        <x:v>542</x:v>
      </x:c>
      <x:c r="K72" s="8" t="n">
        <x:f>0</x:f>
        <x:v>0</x:v>
      </x:c>
      <x:c r="L72" s="8" t="n">
        <x:f>IFERROR(IFERROR(INDEX(EG_Cennik_uslug!$CA:$CA,MATCH($A72,EG_Cennik_uslug!$A:$A,0)),0),0)</x:f>
        <x:v>0</x:v>
      </x:c>
      <x:c r="M72" s="7" t="n">
        <x:f>IF('01_Ustawienia'!$B$4="ZWOLNIONY",0,'01_Ustawienia'!$B$7)</x:f>
        <x:v>0.08</x:v>
      </x:c>
      <x:c r="N72" s="8" t="n">
        <x:f>IF(J72="","",ROUND((J72+K72)*(1+M72),0))</x:f>
        <x:v>585</x:v>
      </x:c>
      <x:c r="O72" s="8" t="n">
        <x:f>IF(J72="","",J72+K72-H72-L72)</x:f>
        <x:v>168</x:v>
      </x:c>
      <x:c r="P72" s="7" t="n">
        <x:f>IFERROR(O72/(J72+K72),"")</x:f>
        <x:v>0.30996309963099633</x:v>
      </x:c>
      <x:c r="Q72" s="6" t="inlineStr">
        <x:is>
          <x:t xml:space="preserve">RAW_OP L/M</x:t>
        </x:is>
      </x:c>
      <x:c r="R72" s="6" t="inlineStr">
        <x:is>
          <x:t xml:space="preserve">DODATKI</x:t>
        </x:is>
      </x:c>
      <x:c r="S72" s="6" t="inlineStr">
        <x:is>
          <x:t xml:space="preserve">website+crm</x:t>
        </x:is>
      </x:c>
      <x:c r="T72" s="6" t="n"/>
    </x:row>
    <x:row r="73">
      <x:c r="A73" s="6" t="inlineStr">
        <x:is>
          <x:t xml:space="preserve">300 x 606 cm</x:t>
        </x:is>
      </x:c>
      <x:c r="B73" s="6" t="inlineStr">
        <x:is>
          <x:t xml:space="preserve">U</x:t>
        </x:is>
      </x:c>
      <x:c r="C73" s="6" t="inlineStr">
        <x:is>
          <x:t xml:space="preserve">Uchwyty na szkło ścienne</x:t>
        </x:is>
      </x:c>
      <x:c r="D73" s="6" t="inlineStr">
        <x:is>
          <x:t xml:space="preserve">UCHWYTY</x:t>
        </x:is>
      </x:c>
      <x:c r="E73" s="8" t="n">
        <x:f>IFERROR(INDEX('02_RAW_INDEX'!$AF:$AF,MATCH($A73,'02_RAW_INDEX'!$A:$A,0)),"")</x:f>
        <x:v>333</x:v>
      </x:c>
      <x:c r="F73" s="8" t="n">
        <x:f>IFERROR(INDEX('02_RAW_INDEX'!$AE:$AE,MATCH($A73,'02_RAW_INDEX'!$A:$A,0)),"")</x:f>
        <x:v>410</x:v>
      </x:c>
      <x:c r="G73" s="7" t="n">
        <x:f>'01_Ustawienia'!$B$6</x:f>
        <x:v>0</x:v>
      </x:c>
      <x:c r="H73" s="8" t="n">
        <x:f>IF(E73="","",ROUND(IF('01_Ustawienia'!$B$5="BRUTTO",F73,E73)*(1-G73),0))</x:f>
        <x:v>333</x:v>
      </x:c>
      <x:c r="I73" s="7" t="n">
        <x:f>IFERROR(IFERROR(INDEX('01_Ustawienia'!$B$15:$B$33,MATCH(B73,'01_Ustawienia'!$A$15:$A$33,0)),0.45),0.45)</x:f>
        <x:v>0.45</x:v>
      </x:c>
      <x:c r="J73" s="8" t="n">
        <x:f>IF(H73="","",ROUND(H73*(1+I73),0))</x:f>
        <x:v>483</x:v>
      </x:c>
      <x:c r="K73" s="8" t="n">
        <x:f>0</x:f>
        <x:v>0</x:v>
      </x:c>
      <x:c r="L73" s="8" t="n">
        <x:f>IFERROR(IFERROR(INDEX(EG_Cennik_uslug!$CH:$CH,MATCH($A73,EG_Cennik_uslug!$A:$A,0)),0),0)</x:f>
        <x:v>0</x:v>
      </x:c>
      <x:c r="M73" s="7" t="n">
        <x:f>IF('01_Ustawienia'!$B$4="ZWOLNIONY",0,'01_Ustawienia'!$B$7)</x:f>
        <x:v>0.08</x:v>
      </x:c>
      <x:c r="N73" s="8" t="n">
        <x:f>IF(J73="","",ROUND((J73+K73)*(1+M73),0))</x:f>
        <x:v>522</x:v>
      </x:c>
      <x:c r="O73" s="8" t="n">
        <x:f>IF(J73="","",J73+K73-H73-L73)</x:f>
        <x:v>150</x:v>
      </x:c>
      <x:c r="P73" s="7" t="n">
        <x:f>IFERROR(O73/(J73+K73),"")</x:f>
        <x:v>0.3105590062111801</x:v>
      </x:c>
      <x:c r="Q73" s="6" t="inlineStr">
        <x:is>
          <x:t xml:space="preserve">RAW_OP N/O</x:t>
        </x:is>
      </x:c>
      <x:c r="R73" s="6" t="inlineStr">
        <x:is>
          <x:t xml:space="preserve">DODATKI</x:t>
        </x:is>
      </x:c>
      <x:c r="S73" s="6" t="inlineStr">
        <x:is>
          <x:t xml:space="preserve">website+crm</x:t>
        </x:is>
      </x:c>
      <x:c r="T73" s="6" t="n"/>
    </x:row>
    <x:row r="74">
      <x:c r="A74" s="6" t="inlineStr">
        <x:is>
          <x:t xml:space="preserve">300 x 606 cm</x:t>
        </x:is>
      </x:c>
      <x:c r="B74" s="6" t="inlineStr">
        <x:is>
          <x:t xml:space="preserve">LED2</x:t>
        </x:is>
      </x:c>
      <x:c r="C74" s="6" t="inlineStr">
        <x:is>
          <x:t xml:space="preserve">Oświetlenie LED 2 punkty</x:t>
        </x:is>
      </x:c>
      <x:c r="D74" s="6" t="inlineStr">
        <x:is>
          <x:t xml:space="preserve">LED 2 PKT</x:t>
        </x:is>
      </x:c>
      <x:c r="E74" s="8" t="n">
        <x:f>IFERROR(INDEX('02_RAW_INDEX'!$N:$N,MATCH($A74,'02_RAW_INDEX'!$A:$A,0)),"")</x:f>
        <x:v>642</x:v>
      </x:c>
      <x:c r="F74" s="8" t="n">
        <x:f>IFERROR(INDEX('02_RAW_INDEX'!$M:$M,MATCH($A74,'02_RAW_INDEX'!$A:$A,0)),"")</x:f>
        <x:v>790</x:v>
      </x:c>
      <x:c r="G74" s="7" t="n">
        <x:f>'01_Ustawienia'!$B$6</x:f>
        <x:v>0</x:v>
      </x:c>
      <x:c r="H74" s="8" t="n">
        <x:f>IF(E74="","",ROUND(IF('01_Ustawienia'!$B$5="BRUTTO",F74,E74)*(1-G74),0))</x:f>
        <x:v>642</x:v>
      </x:c>
      <x:c r="I74" s="7" t="n">
        <x:f>IFERROR(IFERROR(INDEX('01_Ustawienia'!$B$15:$B$33,MATCH(B74,'01_Ustawienia'!$A$15:$A$33,0)),0.45),0.45)</x:f>
        <x:v>0.45</x:v>
      </x:c>
      <x:c r="J74" s="8" t="n">
        <x:f>IF(H74="","",ROUND(H74*(1+I74),0))</x:f>
        <x:v>931</x:v>
      </x:c>
      <x:c r="K74" s="8" t="n">
        <x:f>0</x:f>
        <x:v>0</x:v>
      </x:c>
      <x:c r="L74" s="8" t="n">
        <x:f>IFERROR(IFERROR(INDEX(EG_Cennik_uslug!$CO:$CO,MATCH($A74,EG_Cennik_uslug!$A:$A,0)),0),0)</x:f>
        <x:v>0</x:v>
      </x:c>
      <x:c r="M74" s="7" t="n">
        <x:f>IF('01_Ustawienia'!$B$4="ZWOLNIONY",0,'01_Ustawienia'!$B$7)</x:f>
        <x:v>0.08</x:v>
      </x:c>
      <x:c r="N74" s="8" t="n">
        <x:f>IF(J74="","",ROUND((J74+K74)*(1+M74),0))</x:f>
        <x:v>1005</x:v>
      </x:c>
      <x:c r="O74" s="8" t="n">
        <x:f>IF(J74="","",J74+K74-H74-L74)</x:f>
        <x:v>289</x:v>
      </x:c>
      <x:c r="P74" s="7" t="n">
        <x:f>IFERROR(O74/(J74+K74),"")</x:f>
        <x:v>0.3104189044038668</x:v>
      </x:c>
      <x:c r="Q74" s="6" t="inlineStr">
        <x:is>
          <x:t xml:space="preserve">RAW_ZP P/Q</x:t>
        </x:is>
      </x:c>
      <x:c r="R74" s="6" t="inlineStr">
        <x:is>
          <x:t xml:space="preserve">OŚWIETLENIE</x:t>
        </x:is>
      </x:c>
      <x:c r="S74" s="6" t="inlineStr">
        <x:is>
          <x:t xml:space="preserve">website+crm</x:t>
        </x:is>
      </x:c>
      <x:c r="T74" s="6" t="n"/>
    </x:row>
    <x:row r="75">
      <x:c r="A75" s="6" t="inlineStr">
        <x:is>
          <x:t xml:space="preserve">300 x 606 cm</x:t>
        </x:is>
      </x:c>
      <x:c r="B75" s="6" t="inlineStr">
        <x:is>
          <x:t xml:space="preserve">LED3</x:t>
        </x:is>
      </x:c>
      <x:c r="C75" s="6" t="inlineStr">
        <x:is>
          <x:t xml:space="preserve">Oświetlenie LED 3 punkty</x:t>
        </x:is>
      </x:c>
      <x:c r="D75" s="6" t="inlineStr">
        <x:is>
          <x:t xml:space="preserve">LED 3 PKT</x:t>
        </x:is>
      </x:c>
      <x:c r="E75" s="8" t="n">
        <x:f>IFERROR(INDEX('02_RAW_INDEX'!$P:$P,MATCH($A75,'02_RAW_INDEX'!$A:$A,0)),"")</x:f>
        <x:v>886</x:v>
      </x:c>
      <x:c r="F75" s="8" t="n">
        <x:f>IFERROR(INDEX('02_RAW_INDEX'!$O:$O,MATCH($A75,'02_RAW_INDEX'!$A:$A,0)),"")</x:f>
        <x:v>1090</x:v>
      </x:c>
      <x:c r="G75" s="7" t="n">
        <x:f>'01_Ustawienia'!$B$6</x:f>
        <x:v>0</x:v>
      </x:c>
      <x:c r="H75" s="8" t="n">
        <x:f>IF(E75="","",ROUND(IF('01_Ustawienia'!$B$5="BRUTTO",F75,E75)*(1-G75),0))</x:f>
        <x:v>886</x:v>
      </x:c>
      <x:c r="I75" s="7" t="n">
        <x:f>IFERROR(IFERROR(INDEX('01_Ustawienia'!$B$15:$B$33,MATCH(B75,'01_Ustawienia'!$A$15:$A$33,0)),0.45),0.45)</x:f>
        <x:v>0.45</x:v>
      </x:c>
      <x:c r="J75" s="8" t="n">
        <x:f>IF(H75="","",ROUND(H75*(1+I75),0))</x:f>
        <x:v>1285</x:v>
      </x:c>
      <x:c r="K75" s="8" t="n">
        <x:f>0</x:f>
        <x:v>0</x:v>
      </x:c>
      <x:c r="L75" s="8" t="n">
        <x:f>IFERROR(IFERROR(INDEX(EG_Cennik_uslug!$CV:$CV,MATCH($A75,EG_Cennik_uslug!$A:$A,0)),0),0)</x:f>
        <x:v>0</x:v>
      </x:c>
      <x:c r="M75" s="7" t="n">
        <x:f>IF('01_Ustawienia'!$B$4="ZWOLNIONY",0,'01_Ustawienia'!$B$7)</x:f>
        <x:v>0.08</x:v>
      </x:c>
      <x:c r="N75" s="8" t="n">
        <x:f>IF(J75="","",ROUND((J75+K75)*(1+M75),0))</x:f>
        <x:v>1388</x:v>
      </x:c>
      <x:c r="O75" s="8" t="n">
        <x:f>IF(J75="","",J75+K75-H75-L75)</x:f>
        <x:v>399</x:v>
      </x:c>
      <x:c r="P75" s="7" t="n">
        <x:f>IFERROR(O75/(J75+K75),"")</x:f>
        <x:v>0.3105058365758755</x:v>
      </x:c>
      <x:c r="Q75" s="6" t="inlineStr">
        <x:is>
          <x:t xml:space="preserve">RAW_ZP R/S</x:t>
        </x:is>
      </x:c>
      <x:c r="R75" s="6" t="inlineStr">
        <x:is>
          <x:t xml:space="preserve">OŚWIETLENIE</x:t>
        </x:is>
      </x:c>
      <x:c r="S75" s="6" t="inlineStr">
        <x:is>
          <x:t xml:space="preserve">website+crm</x:t>
        </x:is>
      </x:c>
      <x:c r="T75" s="6" t="inlineStr">
        <x:is>
          <x:t xml:space="preserve">Nazwa do potwierdzenia</x:t>
        </x:is>
      </x:c>
    </x:row>
    <x:row r="76">
      <x:c r="A76" s="6" t="inlineStr">
        <x:is>
          <x:t xml:space="preserve">300 x 606 cm</x:t>
        </x:is>
      </x:c>
      <x:c r="B76" s="6" t="inlineStr">
        <x:is>
          <x:t xml:space="preserve">LEDCCT</x:t>
        </x:is>
      </x:c>
      <x:c r="C76" s="6" t="inlineStr">
        <x:is>
          <x:t xml:space="preserve">Oświetlenie LED CCT</x:t>
        </x:is>
      </x:c>
      <x:c r="D76" s="6" t="inlineStr">
        <x:is>
          <x:t xml:space="preserve">OŚWIETLENIE</x:t>
        </x:is>
      </x:c>
      <x:c r="E76" s="8" t="n">
        <x:f>IFERROR(INDEX('02_RAW_INDEX'!$R:$R,MATCH($A76,'02_RAW_INDEX'!$A:$A,0)),"")</x:f>
        <x:v>1060</x:v>
      </x:c>
      <x:c r="F76" s="8" t="n">
        <x:f>IFERROR(INDEX('02_RAW_INDEX'!$Q:$Q,MATCH($A76,'02_RAW_INDEX'!$A:$A,0)),"")</x:f>
        <x:v>1304</x:v>
      </x:c>
      <x:c r="G76" s="7" t="n">
        <x:f>'01_Ustawienia'!$B$6</x:f>
        <x:v>0</x:v>
      </x:c>
      <x:c r="H76" s="8" t="n">
        <x:f>IF(E76="","",ROUND(IF('01_Ustawienia'!$B$5="BRUTTO",F76,E76)*(1-G76),0))</x:f>
        <x:v>1060</x:v>
      </x:c>
      <x:c r="I76" s="7" t="n">
        <x:f>IFERROR(IFERROR(INDEX('01_Ustawienia'!$B$15:$B$33,MATCH(B76,'01_Ustawienia'!$A$15:$A$33,0)),0.45),0.45)</x:f>
        <x:v>0.45</x:v>
      </x:c>
      <x:c r="J76" s="8" t="n">
        <x:f>IF(H76="","",ROUND(H76*(1+I76),0))</x:f>
        <x:v>1537</x:v>
      </x:c>
      <x:c r="K76" s="8" t="n">
        <x:f>0</x:f>
        <x:v>0</x:v>
      </x:c>
      <x:c r="L76" s="8" t="n">
        <x:f>0</x:f>
        <x:v>0</x:v>
      </x:c>
      <x:c r="M76" s="7" t="n">
        <x:f>IF('01_Ustawienia'!$B$4="ZWOLNIONY",0,'01_Ustawienia'!$B$7)</x:f>
        <x:v>0.08</x:v>
      </x:c>
      <x:c r="N76" s="8" t="n">
        <x:f>IF(J76="","",ROUND((J76+K76)*(1+M76),0))</x:f>
        <x:v>1660</x:v>
      </x:c>
      <x:c r="O76" s="8" t="n">
        <x:f>IF(J76="","",J76+K76-H76-L76)</x:f>
        <x:v>477</x:v>
      </x:c>
      <x:c r="P76" s="7" t="n">
        <x:f>IFERROR(O76/(J76+K76),"")</x:f>
        <x:v>0.3103448275862069</x:v>
      </x:c>
      <x:c r="Q76" s="6" t="inlineStr">
        <x:is>
          <x:t xml:space="preserve">RAW_ZP T/U</x:t>
        </x:is>
      </x:c>
      <x:c r="R76" s="6" t="inlineStr">
        <x:is>
          <x:t xml:space="preserve">OŚWIETLENIE</x:t>
        </x:is>
      </x:c>
      <x:c r="S76" s="6" t="inlineStr">
        <x:is>
          <x:t xml:space="preserve">website+crm</x:t>
        </x:is>
      </x:c>
      <x:c r="T76" s="6" t="inlineStr">
        <x:is>
          <x:t xml:space="preserve">Opcja dodatkowa | FIX17: opcja LED dostępna dla strony; ceny 450-600 wg modelu FIX15.</x:t>
        </x:is>
      </x:c>
    </x:row>
    <x:row r="77">
      <x:c r="A77" s="6" t="inlineStr">
        <x:is>
          <x:t xml:space="preserve">300 x 606 cm</x:t>
        </x:is>
      </x:c>
      <x:c r="B77" s="6" t="inlineStr">
        <x:is>
          <x:t xml:space="preserve">LEDRGBCCT</x:t>
        </x:is>
      </x:c>
      <x:c r="C77" s="6" t="inlineStr">
        <x:is>
          <x:t xml:space="preserve">Oświetlenie LED RGB CCT</x:t>
        </x:is>
      </x:c>
      <x:c r="D77" s="6" t="inlineStr">
        <x:is>
          <x:t xml:space="preserve">OŚWIETLENIE</x:t>
        </x:is>
      </x:c>
      <x:c r="E77" s="8" t="n">
        <x:f>IFERROR(INDEX('02_RAW_INDEX'!$T:$T,MATCH($A77,'02_RAW_INDEX'!$A:$A,0)),"")</x:f>
        <x:v>1660</x:v>
      </x:c>
      <x:c r="F77" s="8" t="n">
        <x:f>IFERROR(INDEX('02_RAW_INDEX'!$S:$S,MATCH($A77,'02_RAW_INDEX'!$A:$A,0)),"")</x:f>
        <x:v>2042</x:v>
      </x:c>
      <x:c r="G77" s="7" t="n">
        <x:f>'01_Ustawienia'!$B$6</x:f>
        <x:v>0</x:v>
      </x:c>
      <x:c r="H77" s="8" t="n">
        <x:f>IF(E77="","",ROUND(IF('01_Ustawienia'!$B$5="BRUTTO",F77,E77)*(1-G77),0))</x:f>
        <x:v>1660</x:v>
      </x:c>
      <x:c r="I77" s="7" t="n">
        <x:f>IFERROR(IFERROR(INDEX('01_Ustawienia'!$B$15:$B$33,MATCH(B77,'01_Ustawienia'!$A$15:$A$33,0)),0.45),0.45)</x:f>
        <x:v>0.45</x:v>
      </x:c>
      <x:c r="J77" s="8" t="n">
        <x:f>IF(H77="","",ROUND(H77*(1+I77),0))</x:f>
        <x:v>2407</x:v>
      </x:c>
      <x:c r="K77" s="8" t="n">
        <x:f>0</x:f>
        <x:v>0</x:v>
      </x:c>
      <x:c r="L77" s="8" t="n">
        <x:f>0</x:f>
        <x:v>0</x:v>
      </x:c>
      <x:c r="M77" s="7" t="n">
        <x:f>IF('01_Ustawienia'!$B$4="ZWOLNIONY",0,'01_Ustawienia'!$B$7)</x:f>
        <x:v>0.08</x:v>
      </x:c>
      <x:c r="N77" s="8" t="n">
        <x:f>IF(J77="","",ROUND((J77+K77)*(1+M77),0))</x:f>
        <x:v>2600</x:v>
      </x:c>
      <x:c r="O77" s="8" t="n">
        <x:f>IF(J77="","",J77+K77-H77-L77)</x:f>
        <x:v>747</x:v>
      </x:c>
      <x:c r="P77" s="7" t="n">
        <x:f>IFERROR(O77/(J77+K77),"")</x:f>
        <x:v>0.3103448275862069</x:v>
      </x:c>
      <x:c r="Q77" s="6" t="inlineStr">
        <x:is>
          <x:t xml:space="preserve">RAW_ZP V/W</x:t>
        </x:is>
      </x:c>
      <x:c r="R77" s="6" t="inlineStr">
        <x:is>
          <x:t xml:space="preserve">OŚWIETLENIE</x:t>
        </x:is>
      </x:c>
      <x:c r="S77" s="6" t="inlineStr">
        <x:is>
          <x:t xml:space="preserve">crm_only</x:t>
        </x:is>
      </x:c>
      <x:c r="T77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78" s="655" customFormat="1" ht="30" customHeight="1">
      <x:c r="A78" s="6" t="inlineStr">
        <x:is>
          <x:t xml:space="preserve">300 x 706 cm</x:t>
        </x:is>
      </x:c>
      <x:c r="B78" s="6" t="inlineStr">
        <x:is>
          <x:t xml:space="preserve">ZP</x:t>
        </x:is>
      </x:c>
      <x:c r="C78" s="6" t="inlineStr">
        <x:is>
          <x:t xml:space="preserve">Zadaszenie poliwęglan - baza</x:t>
        </x:is>
      </x:c>
      <x:c r="D78" s="6" t="inlineStr">
        <x:is>
          <x:t xml:space="preserve">ZADASZENIE POLIWĘGLAN</x:t>
        </x:is>
      </x:c>
      <x:c r="E78" s="8" t="n">
        <x:f>IFERROR(INDEX('02_RAW_INDEX'!$D:$D,MATCH($A78,'02_RAW_INDEX'!$A:$A,0)),"")</x:f>
        <x:v>7106</x:v>
      </x:c>
      <x:c r="F78" s="8" t="n">
        <x:f>IFERROR(INDEX('02_RAW_INDEX'!$C:$C,MATCH($A78,'02_RAW_INDEX'!$A:$A,0)),"")</x:f>
        <x:v>8740</x:v>
      </x:c>
      <x:c r="G78" s="7" t="n">
        <x:f>'01_Ustawienia'!$B$6</x:f>
        <x:v>0</x:v>
      </x:c>
      <x:c r="H78" s="8" t="n">
        <x:f>IF(E78="","",ROUND(IF('01_Ustawienia'!$B$5="BRUTTO",F78,E78)*(1-G78),0))</x:f>
        <x:v>7106</x:v>
      </x:c>
      <x:c r="I78" s="7" t="n">
        <x:f>IFERROR(IFERROR(INDEX('01_Ustawienia'!$B$15:$B$33,MATCH(B78,'01_Ustawienia'!$A$15:$A$33,0)),0.45),0.45)</x:f>
        <x:v>0.45</x:v>
      </x:c>
      <x:c r="J78" s="8" t="n">
        <x:f>IF(H78="","",ROUND(H78*(1+I78),0))</x:f>
        <x:v>10304</x:v>
      </x:c>
      <x:c r="K78" s="8" t="n">
        <x:f>IFERROR(IFERROR(INDEX(EG_Cennik_uslug!$F:$F,MATCH($A78,EG_Cennik_uslug!$A:$A,0)),0),0)</x:f>
        <x:v>3730</x:v>
      </x:c>
      <x:c r="L78" s="8" t="n">
        <x:f>IFERROR(IFERROR(INDEX(EG_Cennik_uslug!$G:$G,MATCH($A78,EG_Cennik_uslug!$A:$A,0)),0),0)</x:f>
        <x:v>1290</x:v>
      </x:c>
      <x:c r="M78" s="7" t="n">
        <x:f>IF('01_Ustawienia'!$B$4="ZWOLNIONY",0,'01_Ustawienia'!$B$7)</x:f>
        <x:v>0.08</x:v>
      </x:c>
      <x:c r="N78" s="8" t="n">
        <x:f>IF(J78="","",ROUND((J78+K78)*(1+M78),0))</x:f>
        <x:v>15157</x:v>
      </x:c>
      <x:c r="O78" s="8" t="n">
        <x:f>IF(J78="","",J78+K78-H78-L78)</x:f>
        <x:v>5638</x:v>
      </x:c>
      <x:c r="P78" s="7" t="n">
        <x:f>IFERROR(O78/(J78+K78),"")</x:f>
        <x:v>0.4017386347441927</x:v>
      </x:c>
      <x:c r="Q78" s="6" t="inlineStr">
        <x:is>
          <x:t xml:space="preserve">RAW_ZP B/C</x:t>
        </x:is>
      </x:c>
      <x:c r="R78" s="6" t="inlineStr">
        <x:is>
          <x:t xml:space="preserve">ZADASZENIE TARASU KONSTRUKCJA</x:t>
        </x:is>
      </x:c>
      <x:c r="S78" s="6" t="inlineStr">
        <x:is>
          <x:t xml:space="preserve">website+crm</x:t>
        </x:is>
      </x:c>
      <x:c r="T78" s="6" t="inlineStr">
        <x:is>
          <x:t xml:space="preserve">Baza dla kalkulatora</x:t>
        </x:is>
      </x:c>
    </x:row>
    <x:row r="79" s="655" customFormat="1" ht="30" customHeight="1">
      <x:c r="A79" s="6" t="inlineStr">
        <x:is>
          <x:t xml:space="preserve">300 x 706 cm</x:t>
        </x:is>
      </x:c>
      <x:c r="B79" s="6" t="inlineStr">
        <x:is>
          <x:t xml:space="preserve">ZS</x:t>
        </x:is>
      </x:c>
      <x:c r="C79" s="6" t="inlineStr">
        <x:is>
          <x:t xml:space="preserve">Zadaszenie szkło - pełna konstrukcja</x:t>
        </x:is>
      </x:c>
      <x:c r="D79" s="6" t="inlineStr">
        <x:is>
          <x:t xml:space="preserve">ZADASZENIE SZKŁO</x:t>
        </x:is>
      </x:c>
      <x:c r="E79" s="8" t="n">
        <x:f>IFERROR(INDEX('02_RAW_INDEX'!$V:$V,MATCH($A79,'02_RAW_INDEX'!$A:$A,0)),"")</x:f>
        <x:v>10301</x:v>
      </x:c>
      <x:c r="F79" s="8" t="n">
        <x:f>IFERROR(INDEX('02_RAW_INDEX'!$U:$U,MATCH($A79,'02_RAW_INDEX'!$A:$A,0)),"")</x:f>
        <x:v>12670</x:v>
      </x:c>
      <x:c r="G79" s="7" t="n">
        <x:f>'01_Ustawienia'!$B$6</x:f>
        <x:v>0</x:v>
      </x:c>
      <x:c r="H79" s="8" t="n">
        <x:f>IF(E79="","",ROUND(IF('01_Ustawienia'!$B$5="BRUTTO",F79,E79)*(1-G79),0))</x:f>
        <x:v>10301</x:v>
      </x:c>
      <x:c r="I79" s="7" t="n">
        <x:f>IFERROR(IFERROR(INDEX('01_Ustawienia'!$B$15:$B$33,MATCH(B79,'01_Ustawienia'!$A$15:$A$33,0)),0.45),0.45)</x:f>
        <x:v>0.45</x:v>
      </x:c>
      <x:c r="J79" s="8" t="n">
        <x:f>IF(H79="","",ROUND(H79*(1+I79),0))</x:f>
        <x:v>14936</x:v>
      </x:c>
      <x:c r="K79" s="8" t="n">
        <x:f>IFERROR(IFERROR(INDEX(EG_Cennik_uslug!$F:$F,MATCH($A79,EG_Cennik_uslug!$A:$A,0)),0),0)</x:f>
        <x:v>3730</x:v>
      </x:c>
      <x:c r="L79" s="8" t="n">
        <x:f>IFERROR(IFERROR(INDEX(EG_Cennik_uslug!$G:$G,MATCH($A79,EG_Cennik_uslug!$A:$A,0)),0),0)</x:f>
        <x:v>1290</x:v>
      </x:c>
      <x:c r="M79" s="7" t="n">
        <x:f>IF('01_Ustawienia'!$B$4="ZWOLNIONY",0,'01_Ustawienia'!$B$7)</x:f>
        <x:v>0.08</x:v>
      </x:c>
      <x:c r="N79" s="8" t="n">
        <x:f>IF(J79="","",ROUND((J79+K79)*(1+M79),0))</x:f>
        <x:v>20159</x:v>
      </x:c>
      <x:c r="O79" s="8" t="n">
        <x:f>IF(J79="","",J79+K79-H79-L79)</x:f>
        <x:v>7075</x:v>
      </x:c>
      <x:c r="P79" s="7" t="n">
        <x:f>IFERROR(O79/(J79+K79),"")</x:f>
        <x:v>0.3790313939783564</x:v>
      </x:c>
      <x:c r="Q79" s="6" t="inlineStr">
        <x:is>
          <x:t xml:space="preserve">RAW_ZS B/C</x:t>
        </x:is>
      </x:c>
      <x:c r="R79" s="6" t="inlineStr">
        <x:is>
          <x:t xml:space="preserve">ZADASZENIE TARASU KONSTRUKCJA</x:t>
        </x:is>
      </x:c>
      <x:c r="S79" s="6" t="inlineStr">
        <x:is>
          <x:t xml:space="preserve">crm_only</x:t>
        </x:is>
      </x:c>
      <x:c r="T79" s="6" t="inlineStr">
        <x:is>
          <x:t xml:space="preserve">Referencyjne/full; strona zwykle używa ZP + PDS</x:t>
        </x:is>
      </x:c>
    </x:row>
    <x:row r="80" s="655" customFormat="1" ht="30" customHeight="1">
      <x:c r="A80" s="6" t="inlineStr">
        <x:is>
          <x:t xml:space="preserve">300 x 706 cm</x:t>
        </x:is>
      </x:c>
      <x:c r="B80" s="6" t="inlineStr">
        <x:is>
          <x:t xml:space="preserve">OP</x:t>
        </x:is>
      </x:c>
      <x:c r="C80" s="6" t="inlineStr">
        <x:is>
          <x:t xml:space="preserve">Ogród zimowy poliwęglan - baza</x:t>
        </x:is>
      </x:c>
      <x:c r="D80" s="6" t="inlineStr">
        <x:is>
          <x:t xml:space="preserve">OGRODY POLIWĘGLAN</x:t>
        </x:is>
      </x:c>
      <x:c r="E80" s="8" t="n">
        <x:f>IFERROR(INDEX('02_RAW_INDEX'!$Z:$Z,MATCH($A80,'02_RAW_INDEX'!$A:$A,0)),"")</x:f>
        <x:v>17886</x:v>
      </x:c>
      <x:c r="F80" s="8" t="n">
        <x:f>IFERROR(INDEX('02_RAW_INDEX'!$Y:$Y,MATCH($A80,'02_RAW_INDEX'!$A:$A,0)),"")</x:f>
        <x:v>22000</x:v>
      </x:c>
      <x:c r="G80" s="7" t="n">
        <x:f>'01_Ustawienia'!$B$6</x:f>
        <x:v>0</x:v>
      </x:c>
      <x:c r="H80" s="8" t="n">
        <x:f>IF(E80="","",ROUND(IF('01_Ustawienia'!$B$5="BRUTTO",F80,E80)*(1-G80),0))</x:f>
        <x:v>17886</x:v>
      </x:c>
      <x:c r="I80" s="7" t="n">
        <x:f>IFERROR(IFERROR(INDEX('01_Ustawienia'!$B$15:$B$33,MATCH(B80,'01_Ustawienia'!$A$15:$A$33,0)),0.45),0.45)</x:f>
        <x:v>0.45</x:v>
      </x:c>
      <x:c r="J80" s="8" t="n">
        <x:f>IF(H80="","",ROUND(H80*(1+I80),0))</x:f>
        <x:v>25935</x:v>
      </x:c>
      <x:c r="K80" s="8" t="n">
        <x:f>IFERROR(IFERROR(INDEX(EG_Cennik_uslug!$N:$N,MATCH($A80,EG_Cennik_uslug!$A:$A,0)),0),0)</x:f>
        <x:v>4960</x:v>
      </x:c>
      <x:c r="L80" s="8" t="n">
        <x:f>IFERROR(IFERROR(INDEX(EG_Cennik_uslug!$O:$O,MATCH($A80,EG_Cennik_uslug!$A:$A,0)),0),0)</x:f>
        <x:v>1800</x:v>
      </x:c>
      <x:c r="M80" s="7" t="n">
        <x:f>IF('01_Ustawienia'!$B$4="ZWOLNIONY",0,'01_Ustawienia'!$B$7)</x:f>
        <x:v>0.08</x:v>
      </x:c>
      <x:c r="N80" s="8" t="n">
        <x:f>IF(J80="","",ROUND((J80+K80)*(1+M80),0))</x:f>
        <x:v>33367</x:v>
      </x:c>
      <x:c r="O80" s="8" t="n">
        <x:f>IF(J80="","",J80+K80-H80-L80)</x:f>
        <x:v>11209</x:v>
      </x:c>
      <x:c r="P80" s="7" t="n">
        <x:f>IFERROR(O80/(J80+K80),"")</x:f>
        <x:v>0.3628095161029293</x:v>
      </x:c>
      <x:c r="Q80" s="6" t="inlineStr">
        <x:is>
          <x:t xml:space="preserve">RAW_OP B/C</x:t>
        </x:is>
      </x:c>
      <x:c r="R80" s="6" t="inlineStr">
        <x:is>
          <x:t xml:space="preserve">OGRÓD ZIMOWY (KONSTRUKCJA)</x:t>
        </x:is>
      </x:c>
      <x:c r="S80" s="6" t="inlineStr">
        <x:is>
          <x:t xml:space="preserve">website+crm</x:t>
        </x:is>
      </x:c>
      <x:c r="T80" s="6" t="inlineStr">
        <x:is>
          <x:t xml:space="preserve">Do wyliczenia dopłaty za ściany</x:t>
        </x:is>
      </x:c>
    </x:row>
    <x:row r="81" s="655" customFormat="1" ht="30" customHeight="1">
      <x:c r="A81" s="6" t="inlineStr">
        <x:is>
          <x:t xml:space="preserve">300 x 706 cm</x:t>
        </x:is>
      </x:c>
      <x:c r="B81" s="6" t="inlineStr">
        <x:is>
          <x:t xml:space="preserve">OS</x:t>
        </x:is>
      </x:c>
      <x:c r="C81" s="6" t="inlineStr">
        <x:is>
          <x:t xml:space="preserve">Ogród zimowy szkło - pełna konstrukcja</x:t>
        </x:is>
      </x:c>
      <x:c r="D81" s="6" t="inlineStr">
        <x:is>
          <x:t xml:space="preserve">OGRODY SZKŁO</x:t>
        </x:is>
      </x:c>
      <x:c r="E81" s="8" t="n">
        <x:f>IFERROR(INDEX('02_RAW_INDEX'!$AL:$AL,MATCH($A81,'02_RAW_INDEX'!$A:$A,0)),"")</x:f>
        <x:v>21073</x:v>
      </x:c>
      <x:c r="F81" s="8" t="n">
        <x:f>IFERROR(INDEX('02_RAW_INDEX'!$AK:$AK,MATCH($A81,'02_RAW_INDEX'!$A:$A,0)),"")</x:f>
        <x:v>25920</x:v>
      </x:c>
      <x:c r="G81" s="7" t="n">
        <x:f>'01_Ustawienia'!$B$6</x:f>
        <x:v>0</x:v>
      </x:c>
      <x:c r="H81" s="8" t="n">
        <x:f>IF(E81="","",ROUND(IF('01_Ustawienia'!$B$5="BRUTTO",F81,E81)*(1-G81),0))</x:f>
        <x:v>21073</x:v>
      </x:c>
      <x:c r="I81" s="7" t="n">
        <x:f>IFERROR(IFERROR(INDEX('01_Ustawienia'!$B$15:$B$33,MATCH(B81,'01_Ustawienia'!$A$15:$A$33,0)),0.45),0.45)</x:f>
        <x:v>0.45</x:v>
      </x:c>
      <x:c r="J81" s="8" t="n">
        <x:f>IF(H81="","",ROUND(H81*(1+I81),0))</x:f>
        <x:v>30556</x:v>
      </x:c>
      <x:c r="K81" s="8" t="n">
        <x:f>IFERROR(IFERROR(INDEX(EG_Cennik_uslug!$N:$N,MATCH($A81,EG_Cennik_uslug!$A:$A,0)),0),0)</x:f>
        <x:v>4960</x:v>
      </x:c>
      <x:c r="L81" s="8" t="n">
        <x:f>IFERROR(IFERROR(INDEX(EG_Cennik_uslug!$O:$O,MATCH($A81,EG_Cennik_uslug!$A:$A,0)),0),0)</x:f>
        <x:v>1800</x:v>
      </x:c>
      <x:c r="M81" s="7" t="n">
        <x:f>IF('01_Ustawienia'!$B$4="ZWOLNIONY",0,'01_Ustawienia'!$B$7)</x:f>
        <x:v>0.08</x:v>
      </x:c>
      <x:c r="N81" s="8" t="n">
        <x:f>IF(J81="","",ROUND((J81+K81)*(1+M81),0))</x:f>
        <x:v>38357</x:v>
      </x:c>
      <x:c r="O81" s="8" t="n">
        <x:f>IF(J81="","",J81+K81-H81-L81)</x:f>
        <x:v>12643</x:v>
      </x:c>
      <x:c r="P81" s="7" t="n">
        <x:f>IFERROR(O81/(J81+K81),"")</x:f>
        <x:v>0.3559804031985584</x:v>
      </x:c>
      <x:c r="Q81" s="6" t="inlineStr">
        <x:is>
          <x:t xml:space="preserve">RAW_OS B/C</x:t>
        </x:is>
      </x:c>
      <x:c r="R81" s="6" t="inlineStr">
        <x:is>
          <x:t xml:space="preserve">OGRÓD ZIMOWY (KONSTRUKCJA)</x:t>
        </x:is>
      </x:c>
      <x:c r="S81" s="6" t="inlineStr">
        <x:is>
          <x:t xml:space="preserve">crm_only</x:t>
        </x:is>
      </x:c>
      <x:c r="T81" s="6" t="inlineStr">
        <x:is>
          <x:t xml:space="preserve">Referencyjne/full</x:t>
        </x:is>
      </x:c>
    </x:row>
    <x:row r="82" s="655" customFormat="1" ht="30" customHeight="1">
      <x:c r="A82" s="6" t="inlineStr">
        <x:is>
          <x:t xml:space="preserve">300 x 706 cm</x:t>
        </x:is>
      </x:c>
      <x:c r="B82" s="6" t="inlineStr">
        <x:is>
          <x:t xml:space="preserve">PDS</x:t>
        </x:is>
      </x:c>
      <x:c r="C82" s="6" t="inlineStr">
        <x:is>
          <x:t xml:space="preserve">Dopłata dach szkło przezroczyste</x:t>
        </x:is>
      </x:c>
      <x:c r="D82" s="6" t="inlineStr">
        <x:is>
          <x:t xml:space="preserve">POKRYCIE DACHU SZKŁO</x:t>
        </x:is>
      </x:c>
      <x:c r="E82" s="8" t="n">
        <x:f>IFERROR(IFERROR(INDEX('02_RAW_INDEX'!$V:$V,MATCH($A82,'02_RAW_INDEX'!$A:$A,0)),"")-IFERROR(INDEX('02_RAW_INDEX'!$D:$D,MATCH($A82,'02_RAW_INDEX'!$A:$A,0)),""),"")</x:f>
        <x:v>3195</x:v>
      </x:c>
      <x:c r="F82" s="8" t="n">
        <x:f>IFERROR(IFERROR(INDEX('02_RAW_INDEX'!$U:$U,MATCH($A82,'02_RAW_INDEX'!$A:$A,0)),"")-IFERROR(INDEX('02_RAW_INDEX'!$C:$C,MATCH($A82,'02_RAW_INDEX'!$A:$A,0)),""),"")</x:f>
        <x:v>3930</x:v>
      </x:c>
      <x:c r="G82" s="7" t="n">
        <x:f>'01_Ustawienia'!$B$6</x:f>
        <x:v>0</x:v>
      </x:c>
      <x:c r="H82" s="8" t="n">
        <x:f>IF(E82="","",ROUND(IF('01_Ustawienia'!$B$5="BRUTTO",F82,E82)*(1-G82),0))</x:f>
        <x:v>3195</x:v>
      </x:c>
      <x:c r="I82" s="7" t="n">
        <x:f>IFERROR(IFERROR(INDEX('01_Ustawienia'!$B$15:$B$33,MATCH(B82,'01_Ustawienia'!$A$15:$A$33,0)),0.45),0.45)</x:f>
        <x:v>0.45</x:v>
      </x:c>
      <x:c r="J82" s="8" t="n">
        <x:f>IF(H82="","",ROUND(H82*(1+I82),0))</x:f>
        <x:v>4633</x:v>
      </x:c>
      <x:c r="K82" s="8" t="n">
        <x:f>0</x:f>
        <x:v>0</x:v>
      </x:c>
      <x:c r="L82" s="8" t="n">
        <x:v>0</x:v>
      </x:c>
      <x:c r="M82" s="7" t="n">
        <x:f>IF('01_Ustawienia'!$B$4="ZWOLNIONY",0,'01_Ustawienia'!$B$7)</x:f>
        <x:v>0.08</x:v>
      </x:c>
      <x:c r="N82" s="8" t="n">
        <x:f>IF(J82="","",ROUND((J82+K82)*(1+M82),0))</x:f>
        <x:v>5004</x:v>
      </x:c>
      <x:c r="O82" s="8" t="n">
        <x:f>IF(J82="","",J82+K82-H82-L82)</x:f>
        <x:v>1438</x:v>
      </x:c>
      <x:c r="P82" s="7" t="n">
        <x:f>IFERROR(O82/(J82+K82),"")</x:f>
        <x:v>0.3103820418735161</x:v>
      </x:c>
      <x:c r="Q82" s="6" t="inlineStr">
        <x:is>
          <x:t xml:space="preserve">RAW_ZS - RAW_ZP</x:t>
        </x:is>
      </x:c>
      <x:c r="R82" s="6" t="inlineStr">
        <x:is>
          <x:t xml:space="preserve">POKRYCIE DACHU</x:t>
        </x:is>
      </x:c>
      <x:c r="S82" s="6" t="inlineStr">
        <x:is>
          <x:t xml:space="preserve">website+crm</x:t>
        </x:is>
      </x:c>
      <x:c r="T82" s="6" t="inlineStr">
        <x:is>
          <x:t xml:space="preserve">Dopłata do bazowego dachu poliwęglan | FIX17: Wynagr.+koszty = 0 dla dopłaty; nie jest osobnym montażem ekipy.</x:t>
        </x:is>
      </x:c>
    </x:row>
    <x:row r="83" s="655" customFormat="1" ht="30" customHeight="1">
      <x:c r="A83" s="6" t="inlineStr">
        <x:is>
          <x:t xml:space="preserve">300 x 706 cm</x:t>
        </x:is>
      </x:c>
      <x:c r="B83" s="6" t="inlineStr">
        <x:is>
          <x:t xml:space="preserve">PDSB</x:t>
        </x:is>
      </x:c>
      <x:c r="C83" s="6" t="inlineStr">
        <x:is>
          <x:t xml:space="preserve">Dopłata dach szkło barwione/mleczne</x:t>
        </x:is>
      </x:c>
      <x:c r="D83" s="6" t="inlineStr">
        <x:is>
          <x:t xml:space="preserve">POKRYCIE DACHU SZKŁO BARWIONE</x:t>
        </x:is>
      </x:c>
      <x:c r="E83" s="8" t="n">
        <x:f>IFERROR(INDEX('02_RAW_INDEX'!$X:$X,MATCH($A83,'02_RAW_INDEX'!$A:$A,0)),"")</x:f>
        <x:v>634</x:v>
      </x:c>
      <x:c r="F83" s="8" t="n">
        <x:f>IFERROR(INDEX('02_RAW_INDEX'!$W:$W,MATCH($A83,'02_RAW_INDEX'!$A:$A,0)),"")</x:f>
        <x:v>780</x:v>
      </x:c>
      <x:c r="G83" s="7" t="n">
        <x:f>'01_Ustawienia'!$B$6</x:f>
        <x:v>0</x:v>
      </x:c>
      <x:c r="H83" s="8" t="n">
        <x:f>IF(E83="","",ROUND(IF('01_Ustawienia'!$B$5="BRUTTO",F83,E83)*(1-G83),0))</x:f>
        <x:v>634</x:v>
      </x:c>
      <x:c r="I83" s="7" t="n">
        <x:f>IFERROR(IFERROR(INDEX('01_Ustawienia'!$B$15:$B$33,MATCH(B83,'01_Ustawienia'!$A$15:$A$33,0)),0.45),0.45)</x:f>
        <x:v>0.45</x:v>
      </x:c>
      <x:c r="J83" s="8" t="n">
        <x:f>IF(H83="","",ROUND(H83*(1+I83),0))</x:f>
        <x:v>919</x:v>
      </x:c>
      <x:c r="K83" s="8" t="n">
        <x:f>0</x:f>
        <x:v>0</x:v>
      </x:c>
      <x:c r="L83" s="8" t="n">
        <x:v>0</x:v>
      </x:c>
      <x:c r="M83" s="7" t="n">
        <x:f>IF('01_Ustawienia'!$B$4="ZWOLNIONY",0,'01_Ustawienia'!$B$7)</x:f>
        <x:v>0.08</x:v>
      </x:c>
      <x:c r="N83" s="8" t="n">
        <x:f>IF(J83="","",ROUND((J83+K83)*(1+M83),0))</x:f>
        <x:v>993</x:v>
      </x:c>
      <x:c r="O83" s="8" t="n">
        <x:f>IF(J83="","",J83+K83-H83-L83)</x:f>
        <x:v>285</x:v>
      </x:c>
      <x:c r="P83" s="7" t="n">
        <x:f>IFERROR(O83/(J83+K83),"")</x:f>
        <x:v>0.3101196953210011</x:v>
      </x:c>
      <x:c r="Q83" s="6" t="inlineStr">
        <x:is>
          <x:t xml:space="preserve">RAW_ZS D/E</x:t>
        </x:is>
      </x:c>
      <x:c r="R83" s="6" t="inlineStr">
        <x:is>
          <x:t xml:space="preserve">POKRYCIE DACHU</x:t>
        </x:is>
      </x:c>
      <x:c r="S83" s="6" t="inlineStr">
        <x:is>
          <x:t xml:space="preserve">website+crm</x:t>
        </x:is>
      </x:c>
      <x:c r="T83" s="6" t="inlineStr">
        <x:is>
          <x:t xml:space="preserve">Dodawane do PDS | FIX17: Wynagr.+koszty = 0 dla dopłaty; nie jest osobnym montażem ekipy.</x:t>
        </x:is>
      </x:c>
    </x:row>
    <x:row r="84" s="655" customFormat="1" ht="30" customHeight="1">
      <x:c r="A84" s="6" t="inlineStr">
        <x:is>
          <x:t xml:space="preserve">300 x 706 cm</x:t>
        </x:is>
      </x:c>
      <x:c r="B84" s="6" t="inlineStr">
        <x:is>
          <x:t xml:space="preserve">PDPB</x:t>
        </x:is>
      </x:c>
      <x:c r="C84" s="6" t="inlineStr">
        <x:is>
          <x:t xml:space="preserve">Dopłata poliwęglan barwiony</x:t>
        </x:is>
      </x:c>
      <x:c r="D84" s="6" t="inlineStr">
        <x:is>
          <x:t xml:space="preserve">POKRYCIE DACHU POLIWĘGLAN BARWIONY</x:t>
        </x:is>
      </x:c>
      <x:c r="E84" s="8" t="n">
        <x:f>IFERROR(INDEX('02_RAW_INDEX'!$F:$F,MATCH($A84,'02_RAW_INDEX'!$A:$A,0)),"")</x:f>
        <x:v>301</x:v>
      </x:c>
      <x:c r="F84" s="8" t="n">
        <x:f>IFERROR(INDEX('02_RAW_INDEX'!$E:$E,MATCH($A84,'02_RAW_INDEX'!$A:$A,0)),"")</x:f>
        <x:v>370</x:v>
      </x:c>
      <x:c r="G84" s="7" t="n">
        <x:f>'01_Ustawienia'!$B$6</x:f>
        <x:v>0</x:v>
      </x:c>
      <x:c r="H84" s="8" t="n">
        <x:f>IF(E84="","",ROUND(IF('01_Ustawienia'!$B$5="BRUTTO",F84,E84)*(1-G84),0))</x:f>
        <x:v>301</x:v>
      </x:c>
      <x:c r="I84" s="7" t="n">
        <x:f>IFERROR(IFERROR(INDEX('01_Ustawienia'!$B$15:$B$33,MATCH(B84,'01_Ustawienia'!$A$15:$A$33,0)),0.45),0.45)</x:f>
        <x:v>0.45</x:v>
      </x:c>
      <x:c r="J84" s="8" t="n">
        <x:f>IF(H84="","",ROUND(H84*(1+I84),0))</x:f>
        <x:v>436</x:v>
      </x:c>
      <x:c r="K84" s="8" t="n">
        <x:f>0</x:f>
        <x:v>0</x:v>
      </x:c>
      <x:c r="L84" s="8" t="n">
        <x:v>0</x:v>
      </x:c>
      <x:c r="M84" s="7" t="n">
        <x:f>IF('01_Ustawienia'!$B$4="ZWOLNIONY",0,'01_Ustawienia'!$B$7)</x:f>
        <x:v>0.08</x:v>
      </x:c>
      <x:c r="N84" s="8" t="n">
        <x:f>IF(J84="","",ROUND((J84+K84)*(1+M84),0))</x:f>
        <x:v>471</x:v>
      </x:c>
      <x:c r="O84" s="8" t="n">
        <x:f>IF(J84="","",J84+K84-H84-L84)</x:f>
        <x:v>135</x:v>
      </x:c>
      <x:c r="P84" s="7" t="n">
        <x:f>IFERROR(O84/(J84+K84),"")</x:f>
        <x:v>0.30963302752293576</x:v>
      </x:c>
      <x:c r="Q84" s="6" t="inlineStr">
        <x:is>
          <x:t xml:space="preserve">RAW_ZP D/E</x:t>
        </x:is>
      </x:c>
      <x:c r="R84" s="6" t="inlineStr">
        <x:is>
          <x:t xml:space="preserve">POKRYCIE DACHU</x:t>
        </x:is>
      </x:c>
      <x:c r="S84" s="6" t="inlineStr">
        <x:is>
          <x:t xml:space="preserve">website+crm</x:t>
        </x:is>
      </x:c>
      <x:c r="T84" s="6" t="inlineStr">
        <x:is>
          <x:t xml:space="preserve">FIX17: Wynagr.+koszty = 0 dla dopłaty; nie jest osobnym montażem ekipy.</x:t>
        </x:is>
      </x:c>
    </x:row>
    <x:row r="85" s="655" customFormat="1" ht="30" customHeight="1">
      <x:c r="A85" s="6" t="inlineStr">
        <x:is>
          <x:t xml:space="preserve">300 x 706 cm</x:t>
        </x:is>
      </x:c>
      <x:c r="B85" s="6" t="inlineStr">
        <x:is>
          <x:t xml:space="preserve">SBB</x:t>
        </x:is>
      </x:c>
      <x:c r="C85" s="6" t="inlineStr">
        <x:is>
          <x:t xml:space="preserve">Dopłata szkło boczne przyciemniane</x:t>
        </x:is>
      </x:c>
      <x:c r="D85" s="6" t="inlineStr">
        <x:is>
          <x:t xml:space="preserve">SZKŁO BOCZNE BARWIONE</x:t>
        </x:is>
      </x:c>
      <x:c r="E85" s="8" t="n">
        <x:f>IFERROR(INDEX('02_RAW_INDEX'!$AB:$AB,MATCH($A85,'02_RAW_INDEX'!$A:$A,0)),"")</x:f>
        <x:v>1268</x:v>
      </x:c>
      <x:c r="F85" s="8" t="n">
        <x:f>IFERROR(INDEX('02_RAW_INDEX'!$AA:$AA,MATCH($A85,'02_RAW_INDEX'!$A:$A,0)),"")</x:f>
        <x:v>1560</x:v>
      </x:c>
      <x:c r="G85" s="7" t="n">
        <x:f>'01_Ustawienia'!$B$6</x:f>
        <x:v>0</x:v>
      </x:c>
      <x:c r="H85" s="8" t="n">
        <x:f>IF(E85="","",ROUND(IF('01_Ustawienia'!$B$5="BRUTTO",F85,E85)*(1-G85),0))</x:f>
        <x:v>1268</x:v>
      </x:c>
      <x:c r="I85" s="7" t="n">
        <x:f>IFERROR(IFERROR(INDEX('01_Ustawienia'!$B$15:$B$33,MATCH(B85,'01_Ustawienia'!$A$15:$A$33,0)),0.45),0.45)</x:f>
        <x:v>0.45</x:v>
      </x:c>
      <x:c r="J85" s="8" t="n">
        <x:f>IF(H85="","",ROUND(H85*(1+I85),0))</x:f>
        <x:v>1839</x:v>
      </x:c>
      <x:c r="K85" s="8" t="n">
        <x:f>0</x:f>
        <x:v>0</x:v>
      </x:c>
      <x:c r="L85" s="8" t="n">
        <x:v>0</x:v>
      </x:c>
      <x:c r="M85" s="7" t="n">
        <x:f>IF('01_Ustawienia'!$B$4="ZWOLNIONY",0,'01_Ustawienia'!$B$7)</x:f>
        <x:v>0.08</x:v>
      </x:c>
      <x:c r="N85" s="8" t="n">
        <x:f>IF(J85="","",ROUND((J85+K85)*(1+M85),0))</x:f>
        <x:v>1986</x:v>
      </x:c>
      <x:c r="O85" s="8" t="n">
        <x:f>IF(J85="","",J85+K85-H85-L85)</x:f>
        <x:v>571</x:v>
      </x:c>
      <x:c r="P85" s="7" t="n">
        <x:f>IFERROR(O85/(J85+K85),"")</x:f>
        <x:v>0.31049483414899404</x:v>
      </x:c>
      <x:c r="Q85" s="6" t="inlineStr">
        <x:is>
          <x:t xml:space="preserve">RAW_OP H/I</x:t>
        </x:is>
      </x:c>
      <x:c r="R85" s="6" t="inlineStr">
        <x:is>
          <x:t xml:space="preserve">SZYBY BOCZNE</x:t>
        </x:is>
      </x:c>
      <x:c r="S85" s="6" t="inlineStr">
        <x:is>
          <x:t xml:space="preserve">website+crm</x:t>
        </x:is>
      </x:c>
      <x:c r="T85" s="6" t="inlineStr">
        <x:is>
          <x:t xml:space="preserve">Dodawane do ścian przezroczystych | FIX17: Wynagr.+koszty = 0 dla dopłaty; nie jest osobnym montażem ekipy.</x:t>
        </x:is>
      </x:c>
    </x:row>
    <x:row r="86">
      <x:c r="A86" s="6" t="inlineStr">
        <x:is>
          <x:t xml:space="preserve">300 x 706 cm</x:t>
        </x:is>
      </x:c>
      <x:c r="B86" s="6" t="inlineStr">
        <x:is>
          <x:t xml:space="preserve">RB</x:t>
        </x:is>
      </x:c>
      <x:c r="C86" s="6" t="inlineStr">
        <x:is>
          <x:t xml:space="preserve">Roleta boczna ZIP</x:t>
        </x:is>
      </x:c>
      <x:c r="D86" s="6" t="inlineStr">
        <x:is>
          <x:t xml:space="preserve">ROLETA BOCZNA</x:t>
        </x:is>
      </x:c>
      <x:c r="E86" s="8" t="n">
        <x:f>IFERROR(INDEX('02_RAW_INDEX'!$J:$J,MATCH($A86,'02_RAW_INDEX'!$A:$A,0)),"")</x:f>
        <x:v>1740</x:v>
      </x:c>
      <x:c r="F86" s="8" t="n">
        <x:f>IFERROR(INDEX('02_RAW_INDEX'!$I:$I,MATCH($A86,'02_RAW_INDEX'!$A:$A,0)),"")</x:f>
        <x:v>2140</x:v>
      </x:c>
      <x:c r="G86" s="7" t="n">
        <x:f>'01_Ustawienia'!$B$6</x:f>
        <x:v>0</x:v>
      </x:c>
      <x:c r="H86" s="8" t="n">
        <x:f>IF(E86="","",ROUND(IF('01_Ustawienia'!$B$5="BRUTTO",F86,E86)*(1-G86),0))</x:f>
        <x:v>1740</x:v>
      </x:c>
      <x:c r="I86" s="7" t="n">
        <x:f>IFERROR(IFERROR(INDEX('01_Ustawienia'!$B$15:$B$33,MATCH(B86,'01_Ustawienia'!$A$15:$A$33,0)),0.45),0.45)</x:f>
        <x:v>0.45</x:v>
      </x:c>
      <x:c r="J86" s="8" t="n">
        <x:f>IF(H86="","",ROUND(H86*(1+I86),0))</x:f>
        <x:v>2523</x:v>
      </x:c>
      <x:c r="K86" s="8" t="n">
        <x:f>0</x:f>
        <x:v>0</x:v>
      </x:c>
      <x:c r="L86" s="8" t="n">
        <x:f>IFERROR(IFERROR(INDEX(EG_Cennik_uslug!$AC:$AC,MATCH($A86,EG_Cennik_uslug!$A:$A,0)),0),0)</x:f>
        <x:v>150</x:v>
      </x:c>
      <x:c r="M86" s="7" t="n">
        <x:f>IF('01_Ustawienia'!$B$4="ZWOLNIONY",0,'01_Ustawienia'!$B$7)</x:f>
        <x:v>0.08</x:v>
      </x:c>
      <x:c r="N86" s="8" t="n">
        <x:f>IF(J86="","",ROUND((J86+K86)*(1+M86),0))</x:f>
        <x:v>2725</x:v>
      </x:c>
      <x:c r="O86" s="8" t="n">
        <x:f>IF(J86="","",J86+K86-H86-L86)</x:f>
        <x:v>633</x:v>
      </x:c>
      <x:c r="P86" s="7" t="n">
        <x:f>IFERROR(O86/(J86+K86),"")</x:f>
        <x:v>0.25089179548156954</x:v>
      </x:c>
      <x:c r="Q86" s="6" t="inlineStr">
        <x:is>
          <x:t xml:space="preserve">RAW_ZP J/K</x:t>
        </x:is>
      </x:c>
      <x:c r="R86" s="6" t="inlineStr">
        <x:is>
          <x:t xml:space="preserve">ROLETY BOCZNE</x:t>
        </x:is>
      </x:c>
      <x:c r="S86" s="6" t="inlineStr">
        <x:is>
          <x:t xml:space="preserve">website+crm</x:t>
        </x:is>
      </x:c>
      <x:c r="T86" s="6" t="inlineStr">
        <x:is>
          <x:t xml:space="preserve">Używana dla lewej i prawej</x:t>
        </x:is>
      </x:c>
    </x:row>
    <x:row r="87">
      <x:c r="A87" s="6" t="inlineStr">
        <x:is>
          <x:t xml:space="preserve">300 x 706 cm</x:t>
        </x:is>
      </x:c>
      <x:c r="B87" s="6" t="inlineStr">
        <x:is>
          <x:t xml:space="preserve">RP</x:t>
        </x:is>
      </x:c>
      <x:c r="C87" s="6" t="inlineStr">
        <x:is>
          <x:t xml:space="preserve">Roleta przednia ZIP</x:t>
        </x:is>
      </x:c>
      <x:c r="D87" s="6" t="inlineStr">
        <x:is>
          <x:t xml:space="preserve">ROLETA PRZÓD</x:t>
        </x:is>
      </x:c>
      <x:c r="E87" s="8" t="n">
        <x:f>IFERROR(INDEX('02_RAW_INDEX'!$L:$L,MATCH($A87,'02_RAW_INDEX'!$A:$A,0)),"")</x:f>
        <x:v>3886</x:v>
      </x:c>
      <x:c r="F87" s="8" t="n">
        <x:f>IFERROR(INDEX('02_RAW_INDEX'!$K:$K,MATCH($A87,'02_RAW_INDEX'!$A:$A,0)),"")</x:f>
        <x:v>4780</x:v>
      </x:c>
      <x:c r="G87" s="7" t="n">
        <x:f>'01_Ustawienia'!$B$6</x:f>
        <x:v>0</x:v>
      </x:c>
      <x:c r="H87" s="8" t="n">
        <x:f>IF(E87="","",ROUND(IF('01_Ustawienia'!$B$5="BRUTTO",F87,E87)*(1-G87),0))</x:f>
        <x:v>3886</x:v>
      </x:c>
      <x:c r="I87" s="7" t="n">
        <x:f>IFERROR(IFERROR(INDEX('01_Ustawienia'!$B$15:$B$33,MATCH(B87,'01_Ustawienia'!$A$15:$A$33,0)),0.45),0.45)</x:f>
        <x:v>0.45</x:v>
      </x:c>
      <x:c r="J87" s="8" t="n">
        <x:f>IF(H87="","",ROUND(H87*(1+I87),0))</x:f>
        <x:v>5635</x:v>
      </x:c>
      <x:c r="K87" s="8" t="n">
        <x:f>0</x:f>
        <x:v>0</x:v>
      </x:c>
      <x:c r="L87" s="8" t="n">
        <x:f>IFERROR(IFERROR(INDEX(EG_Cennik_uslug!$AJ:$AJ,MATCH($A87,EG_Cennik_uslug!$A:$A,0)),0),0)</x:f>
        <x:v>300</x:v>
      </x:c>
      <x:c r="M87" s="7" t="n">
        <x:f>IF('01_Ustawienia'!$B$4="ZWOLNIONY",0,'01_Ustawienia'!$B$7)</x:f>
        <x:v>0.08</x:v>
      </x:c>
      <x:c r="N87" s="8" t="n">
        <x:f>IF(J87="","",ROUND((J87+K87)*(1+M87),0))</x:f>
        <x:v>6086</x:v>
      </x:c>
      <x:c r="O87" s="8" t="n">
        <x:f>IF(J87="","",J87+K87-H87-L87)</x:f>
        <x:v>1449</x:v>
      </x:c>
      <x:c r="P87" s="7" t="n">
        <x:f>IFERROR(O87/(J87+K87),"")</x:f>
        <x:v>0.2571428571428571</x:v>
      </x:c>
      <x:c r="Q87" s="6" t="inlineStr">
        <x:is>
          <x:t xml:space="preserve">RAW_ZP N/O</x:t>
        </x:is>
      </x:c>
      <x:c r="R87" s="6" t="inlineStr">
        <x:is>
          <x:t xml:space="preserve">ROLETY BOCZNE</x:t>
        </x:is>
      </x:c>
      <x:c r="S87" s="6" t="inlineStr">
        <x:is>
          <x:t xml:space="preserve">website+crm</x:t>
        </x:is>
      </x:c>
      <x:c r="T87" s="6" t="n"/>
    </x:row>
    <x:row r="88">
      <x:c r="A88" s="6" t="inlineStr">
        <x:is>
          <x:t xml:space="preserve">300 x 706 cm</x:t>
        </x:is>
      </x:c>
      <x:c r="B88" s="6" t="inlineStr">
        <x:is>
          <x:t xml:space="preserve">M</x:t>
        </x:is>
      </x:c>
      <x:c r="C88" s="6" t="inlineStr">
        <x:is>
          <x:t xml:space="preserve">Markiza dachowa</x:t>
        </x:is>
      </x:c>
      <x:c r="D88" s="6" t="inlineStr">
        <x:is>
          <x:t xml:space="preserve">MARKIZA</x:t>
        </x:is>
      </x:c>
      <x:c r="E88" s="8" t="n">
        <x:f>IFERROR(INDEX('02_RAW_INDEX'!$H:$H,MATCH($A88,'02_RAW_INDEX'!$A:$A,0)),"")</x:f>
        <x:v>6675</x:v>
      </x:c>
      <x:c r="F88" s="8" t="n">
        <x:f>IFERROR(INDEX('02_RAW_INDEX'!$G:$G,MATCH($A88,'02_RAW_INDEX'!$A:$A,0)),"")</x:f>
        <x:v>8210</x:v>
      </x:c>
      <x:c r="G88" s="7" t="n">
        <x:f>'01_Ustawienia'!$B$6</x:f>
        <x:v>0</x:v>
      </x:c>
      <x:c r="H88" s="8" t="n">
        <x:f>IF(E88="","",ROUND(IF('01_Ustawienia'!$B$5="BRUTTO",F88,E88)*(1-G88),0))</x:f>
        <x:v>6675</x:v>
      </x:c>
      <x:c r="I88" s="7" t="n">
        <x:f>IFERROR(IFERROR(INDEX('01_Ustawienia'!$B$15:$B$33,MATCH(B88,'01_Ustawienia'!$A$15:$A$33,0)),0.45),0.45)</x:f>
        <x:v>0.45</x:v>
      </x:c>
      <x:c r="J88" s="8" t="n">
        <x:f>IF(H88="","",ROUND(H88*(1+I88),0))</x:f>
        <x:v>9679</x:v>
      </x:c>
      <x:c r="K88" s="8" t="n">
        <x:f>0</x:f>
        <x:v>0</x:v>
      </x:c>
      <x:c r="L88" s="8" t="n">
        <x:f>IFERROR(IFERROR(INDEX(EG_Cennik_uslug!$AQ:$AQ,MATCH($A88,EG_Cennik_uslug!$A:$A,0)),0),0)</x:f>
        <x:v>450</x:v>
      </x:c>
      <x:c r="M88" s="7" t="n">
        <x:f>IF('01_Ustawienia'!$B$4="ZWOLNIONY",0,'01_Ustawienia'!$B$7)</x:f>
        <x:v>0.08</x:v>
      </x:c>
      <x:c r="N88" s="8" t="n">
        <x:f>IF(J88="","",ROUND((J88+K88)*(1+M88),0))</x:f>
        <x:v>10453</x:v>
      </x:c>
      <x:c r="O88" s="8" t="n">
        <x:f>IF(J88="","",J88+K88-H88-L88)</x:f>
        <x:v>2554</x:v>
      </x:c>
      <x:c r="P88" s="7" t="n">
        <x:f>IFERROR(O88/(J88+K88),"")</x:f>
        <x:v>0.2638702345283604</x:v>
      </x:c>
      <x:c r="Q88" s="6" t="inlineStr">
        <x:is>
          <x:t xml:space="preserve">RAW_ZP H/I</x:t>
        </x:is>
      </x:c>
      <x:c r="R88" s="6" t="inlineStr">
        <x:is>
          <x:t xml:space="preserve">MARKIZA</x:t>
        </x:is>
      </x:c>
      <x:c r="S88" s="6" t="inlineStr">
        <x:is>
          <x:t xml:space="preserve">website+crm</x:t>
        </x:is>
      </x:c>
      <x:c r="T88" s="6" t="n"/>
    </x:row>
    <x:row r="89">
      <x:c r="A89" s="6" t="inlineStr">
        <x:is>
          <x:t xml:space="preserve">300 x 706 cm</x:t>
        </x:is>
      </x:c>
      <x:c r="B89" s="6" t="inlineStr">
        <x:is>
          <x:t xml:space="preserve">PDWP</x:t>
        </x:is>
      </x:c>
      <x:c r="C89" s="6" t="inlineStr">
        <x:is>
          <x:t xml:space="preserve">Fundament/profile</x:t>
        </x:is>
      </x:c>
      <x:c r="D89" s="6" t="inlineStr">
        <x:is>
          <x:t xml:space="preserve">FUNDAMENT / PROFILE</x:t>
        </x:is>
      </x:c>
      <x:c r="E89" s="8" t="n">
        <x:f>IFERROR(INDEX('02_RAW_INDEX'!$AH:$AH,MATCH($A89,'02_RAW_INDEX'!$A:$A,0)),"")</x:f>
        <x:v>805</x:v>
      </x:c>
      <x:c r="F89" s="8" t="n">
        <x:f>IFERROR(INDEX('02_RAW_INDEX'!$AG:$AG,MATCH($A89,'02_RAW_INDEX'!$A:$A,0)),"")</x:f>
        <x:v>990</x:v>
      </x:c>
      <x:c r="G89" s="7" t="n">
        <x:f>'01_Ustawienia'!$B$6</x:f>
        <x:v>0</x:v>
      </x:c>
      <x:c r="H89" s="8" t="n">
        <x:f>IF(E89="","",ROUND(IF('01_Ustawienia'!$B$5="BRUTTO",F89,E89)*(1-G89),0))</x:f>
        <x:v>805</x:v>
      </x:c>
      <x:c r="I89" s="7" t="n">
        <x:f>IFERROR(IFERROR(INDEX('01_Ustawienia'!$B$15:$B$33,MATCH(B89,'01_Ustawienia'!$A$15:$A$33,0)),0.45),0.45)</x:f>
        <x:v>1.2</x:v>
      </x:c>
      <x:c r="J89" s="8" t="n">
        <x:f>IF(H89="","",ROUND(H89*(1+I89),0))</x:f>
        <x:v>1771</x:v>
      </x:c>
      <x:c r="K89" s="8" t="n">
        <x:f>0</x:f>
        <x:v>0</x:v>
      </x:c>
      <x:c r="L89" s="8" t="n">
        <x:f>IFERROR(IFERROR(INDEX(EG_Cennik_uslug!$BT:$BT,MATCH($A89,EG_Cennik_uslug!$A:$A,0)),0),0)</x:f>
        <x:v>380</x:v>
      </x:c>
      <x:c r="M89" s="7" t="n">
        <x:f>IF('01_Ustawienia'!$B$4="ZWOLNIONY",0,'01_Ustawienia'!$B$7)</x:f>
        <x:v>0.08</x:v>
      </x:c>
      <x:c r="N89" s="8" t="n">
        <x:f>IF(J89="","",ROUND((J89+K89)*(1+M89),0))</x:f>
        <x:v>1913</x:v>
      </x:c>
      <x:c r="O89" s="8" t="n">
        <x:f>IF(J89="","",J89+K89-H89-L89)</x:f>
        <x:v>586</x:v>
      </x:c>
      <x:c r="P89" s="7" t="n">
        <x:f>IFERROR(O89/(J89+K89),"")</x:f>
        <x:v>0.3308865047995483</x:v>
      </x:c>
      <x:c r="Q89" s="6" t="inlineStr">
        <x:is>
          <x:t xml:space="preserve">RAW_OP AB/AC</x:t>
        </x:is>
      </x:c>
      <x:c r="R89" s="6" t="inlineStr">
        <x:is>
          <x:t xml:space="preserve">FUNDAMENT (PROFILE)</x:t>
        </x:is>
      </x:c>
      <x:c r="S89" s="6" t="inlineStr">
        <x:is>
          <x:t xml:space="preserve">website+crm</x:t>
        </x:is>
      </x:c>
      <x:c r="T89" s="6" t="n"/>
    </x:row>
    <x:row r="90" s="655" customFormat="1" ht="30" customHeight="1">
      <x:c r="A90" s="6" t="inlineStr">
        <x:is>
          <x:t xml:space="preserve">300 x 706 cm</x:t>
        </x:is>
      </x:c>
      <x:c r="B90" s="6" t="inlineStr">
        <x:is>
          <x:t xml:space="preserve">ZAB</x:t>
        </x:is>
      </x:c>
      <x:c r="C90" s="6" t="inlineStr">
        <x:is>
          <x:t xml:space="preserve">Zabieraki do ścian przesuwnych</x:t>
        </x:is>
      </x:c>
      <x:c r="D90" s="6" t="inlineStr">
        <x:is>
          <x:t xml:space="preserve">DODATKI</x:t>
        </x:is>
      </x:c>
      <x:c r="E90" s="8" t="n">
        <x:f>IFERROR(INDEX('02_RAW_INDEX'!$AJ:$AJ,MATCH($A90,'02_RAW_INDEX'!$A:$A,0)),"")</x:f>
        <x:v>293</x:v>
      </x:c>
      <x:c r="F90" s="8" t="n">
        <x:f>IFERROR(INDEX('02_RAW_INDEX'!$AI:$AI,MATCH($A90,'02_RAW_INDEX'!$A:$A,0)),"")</x:f>
        <x:v>360</x:v>
      </x:c>
      <x:c r="G90" s="7" t="n">
        <x:f>'01_Ustawienia'!$B$6</x:f>
        <x:v>0</x:v>
      </x:c>
      <x:c r="H90" s="8" t="n">
        <x:f>IF(E90="","",ROUND(IF('01_Ustawienia'!$B$5="BRUTTO",F90,E90)*(1-G90),0))</x:f>
        <x:v>293</x:v>
      </x:c>
      <x:c r="I90" s="7" t="n">
        <x:f>IFERROR(IFERROR(INDEX('01_Ustawienia'!$B$15:$B$33,MATCH(B90,'01_Ustawienia'!$A$15:$A$33,0)),0.45),0.45)</x:f>
        <x:v>0.45</x:v>
      </x:c>
      <x:c r="J90" s="8" t="n">
        <x:f>IF(H90="","",ROUND(H90*(1+I90),0))</x:f>
        <x:v>425</x:v>
      </x:c>
      <x:c r="K90" s="8" t="n">
        <x:f>0</x:f>
        <x:v>0</x:v>
      </x:c>
      <x:c r="L90" s="8" t="n">
        <x:f>0</x:f>
        <x:v>0</x:v>
      </x:c>
      <x:c r="M90" s="7" t="n">
        <x:f>IF('01_Ustawienia'!$B$4="ZWOLNIONY",0,'01_Ustawienia'!$B$7)</x:f>
        <x:v>0.08</x:v>
      </x:c>
      <x:c r="N90" s="8" t="n">
        <x:f>IF(J90="","",ROUND((J90+K90)*(1+M90),0))</x:f>
        <x:v>459</x:v>
      </x:c>
      <x:c r="O90" s="8" t="n">
        <x:f>IF(J90="","",J90+K90-H90-L90)</x:f>
        <x:v>132</x:v>
      </x:c>
      <x:c r="P90" s="7" t="n">
        <x:f>IFERROR(O90/(J90+K90),"")</x:f>
        <x:v>0.31058823529411766</x:v>
      </x:c>
      <x:c r="Q90" s="6" t="inlineStr">
        <x:is>
          <x:t xml:space="preserve">RAW_OP AD/AE</x:t>
        </x:is>
      </x:c>
      <x:c r="R90" s="6" t="inlineStr">
        <x:is>
          <x:t xml:space="preserve">DODATKI</x:t>
        </x:is>
      </x:c>
      <x:c r="S90" s="6" t="inlineStr">
        <x:is>
          <x:t xml:space="preserve">crm_only</x:t>
        </x:is>
      </x:c>
      <x:c r="T90" s="6" t="n"/>
    </x:row>
    <x:row r="91">
      <x:c r="A91" s="6" t="inlineStr">
        <x:is>
          <x:t xml:space="preserve">300 x 706 cm</x:t>
        </x:is>
      </x:c>
      <x:c r="B91" s="6" t="inlineStr">
        <x:is>
          <x:t xml:space="preserve">S</x:t>
        </x:is>
      </x:c>
      <x:c r="C91" s="6" t="inlineStr">
        <x:is>
          <x:t xml:space="preserve">Szczotki przeciwkurzowe</x:t>
        </x:is>
      </x:c>
      <x:c r="D91" s="6" t="inlineStr">
        <x:is>
          <x:t xml:space="preserve">SZCZOTKI</x:t>
        </x:is>
      </x:c>
      <x:c r="E91" s="8" t="n">
        <x:f>IFERROR(INDEX('02_RAW_INDEX'!$AD:$AD,MATCH($A91,'02_RAW_INDEX'!$A:$A,0)),"")</x:f>
        <x:v>407</x:v>
      </x:c>
      <x:c r="F91" s="8" t="n">
        <x:f>IFERROR(INDEX('02_RAW_INDEX'!$AC:$AC,MATCH($A91,'02_RAW_INDEX'!$A:$A,0)),"")</x:f>
        <x:v>500</x:v>
      </x:c>
      <x:c r="G91" s="7" t="n">
        <x:f>'01_Ustawienia'!$B$6</x:f>
        <x:v>0</x:v>
      </x:c>
      <x:c r="H91" s="8" t="n">
        <x:f>IF(E91="","",ROUND(IF('01_Ustawienia'!$B$5="BRUTTO",F91,E91)*(1-G91),0))</x:f>
        <x:v>407</x:v>
      </x:c>
      <x:c r="I91" s="7" t="n">
        <x:f>IFERROR(IFERROR(INDEX('01_Ustawienia'!$B$15:$B$33,MATCH(B91,'01_Ustawienia'!$A$15:$A$33,0)),0.45),0.45)</x:f>
        <x:v>0.45</x:v>
      </x:c>
      <x:c r="J91" s="8" t="n">
        <x:f>IF(H91="","",ROUND(H91*(1+I91),0))</x:f>
        <x:v>590</x:v>
      </x:c>
      <x:c r="K91" s="8" t="n">
        <x:f>0</x:f>
        <x:v>0</x:v>
      </x:c>
      <x:c r="L91" s="8" t="n">
        <x:f>IFERROR(IFERROR(INDEX(EG_Cennik_uslug!$CA:$CA,MATCH($A91,EG_Cennik_uslug!$A:$A,0)),0),0)</x:f>
        <x:v>0</x:v>
      </x:c>
      <x:c r="M91" s="7" t="n">
        <x:f>IF('01_Ustawienia'!$B$4="ZWOLNIONY",0,'01_Ustawienia'!$B$7)</x:f>
        <x:v>0.08</x:v>
      </x:c>
      <x:c r="N91" s="8" t="n">
        <x:f>IF(J91="","",ROUND((J91+K91)*(1+M91),0))</x:f>
        <x:v>637</x:v>
      </x:c>
      <x:c r="O91" s="8" t="n">
        <x:f>IF(J91="","",J91+K91-H91-L91)</x:f>
        <x:v>183</x:v>
      </x:c>
      <x:c r="P91" s="7" t="n">
        <x:f>IFERROR(O91/(J91+K91),"")</x:f>
        <x:v>0.3101694915254237</x:v>
      </x:c>
      <x:c r="Q91" s="6" t="inlineStr">
        <x:is>
          <x:t xml:space="preserve">RAW_OP L/M</x:t>
        </x:is>
      </x:c>
      <x:c r="R91" s="6" t="inlineStr">
        <x:is>
          <x:t xml:space="preserve">DODATKI</x:t>
        </x:is>
      </x:c>
      <x:c r="S91" s="6" t="inlineStr">
        <x:is>
          <x:t xml:space="preserve">website+crm</x:t>
        </x:is>
      </x:c>
      <x:c r="T91" s="6" t="n"/>
    </x:row>
    <x:row r="92">
      <x:c r="A92" s="6" t="inlineStr">
        <x:is>
          <x:t xml:space="preserve">300 x 706 cm</x:t>
        </x:is>
      </x:c>
      <x:c r="B92" s="6" t="inlineStr">
        <x:is>
          <x:t xml:space="preserve">U</x:t>
        </x:is>
      </x:c>
      <x:c r="C92" s="6" t="inlineStr">
        <x:is>
          <x:t xml:space="preserve">Uchwyty na szkło ścienne</x:t>
        </x:is>
      </x:c>
      <x:c r="D92" s="6" t="inlineStr">
        <x:is>
          <x:t xml:space="preserve">UCHWYTY</x:t>
        </x:is>
      </x:c>
      <x:c r="E92" s="8" t="n">
        <x:f>IFERROR(INDEX('02_RAW_INDEX'!$AF:$AF,MATCH($A92,'02_RAW_INDEX'!$A:$A,0)),"")</x:f>
        <x:v>366</x:v>
      </x:c>
      <x:c r="F92" s="8" t="n">
        <x:f>IFERROR(INDEX('02_RAW_INDEX'!$AE:$AE,MATCH($A92,'02_RAW_INDEX'!$A:$A,0)),"")</x:f>
        <x:v>450</x:v>
      </x:c>
      <x:c r="G92" s="7" t="n">
        <x:f>'01_Ustawienia'!$B$6</x:f>
        <x:v>0</x:v>
      </x:c>
      <x:c r="H92" s="8" t="n">
        <x:f>IF(E92="","",ROUND(IF('01_Ustawienia'!$B$5="BRUTTO",F92,E92)*(1-G92),0))</x:f>
        <x:v>366</x:v>
      </x:c>
      <x:c r="I92" s="7" t="n">
        <x:f>IFERROR(IFERROR(INDEX('01_Ustawienia'!$B$15:$B$33,MATCH(B92,'01_Ustawienia'!$A$15:$A$33,0)),0.45),0.45)</x:f>
        <x:v>0.45</x:v>
      </x:c>
      <x:c r="J92" s="8" t="n">
        <x:f>IF(H92="","",ROUND(H92*(1+I92),0))</x:f>
        <x:v>531</x:v>
      </x:c>
      <x:c r="K92" s="8" t="n">
        <x:f>0</x:f>
        <x:v>0</x:v>
      </x:c>
      <x:c r="L92" s="8" t="n">
        <x:f>IFERROR(IFERROR(INDEX(EG_Cennik_uslug!$CH:$CH,MATCH($A92,EG_Cennik_uslug!$A:$A,0)),0),0)</x:f>
        <x:v>0</x:v>
      </x:c>
      <x:c r="M92" s="7" t="n">
        <x:f>IF('01_Ustawienia'!$B$4="ZWOLNIONY",0,'01_Ustawienia'!$B$7)</x:f>
        <x:v>0.08</x:v>
      </x:c>
      <x:c r="N92" s="8" t="n">
        <x:f>IF(J92="","",ROUND((J92+K92)*(1+M92),0))</x:f>
        <x:v>573</x:v>
      </x:c>
      <x:c r="O92" s="8" t="n">
        <x:f>IF(J92="","",J92+K92-H92-L92)</x:f>
        <x:v>165</x:v>
      </x:c>
      <x:c r="P92" s="7" t="n">
        <x:f>IFERROR(O92/(J92+K92),"")</x:f>
        <x:v>0.3107344632768362</x:v>
      </x:c>
      <x:c r="Q92" s="6" t="inlineStr">
        <x:is>
          <x:t xml:space="preserve">RAW_OP N/O</x:t>
        </x:is>
      </x:c>
      <x:c r="R92" s="6" t="inlineStr">
        <x:is>
          <x:t xml:space="preserve">DODATKI</x:t>
        </x:is>
      </x:c>
      <x:c r="S92" s="6" t="inlineStr">
        <x:is>
          <x:t xml:space="preserve">website+crm</x:t>
        </x:is>
      </x:c>
      <x:c r="T92" s="6" t="n"/>
    </x:row>
    <x:row r="93">
      <x:c r="A93" s="6" t="inlineStr">
        <x:is>
          <x:t xml:space="preserve">300 x 706 cm</x:t>
        </x:is>
      </x:c>
      <x:c r="B93" s="6" t="inlineStr">
        <x:is>
          <x:t xml:space="preserve">LED2</x:t>
        </x:is>
      </x:c>
      <x:c r="C93" s="6" t="inlineStr">
        <x:is>
          <x:t xml:space="preserve">Oświetlenie LED 2 punkty</x:t>
        </x:is>
      </x:c>
      <x:c r="D93" s="6" t="inlineStr">
        <x:is>
          <x:t xml:space="preserve">LED 2 PKT</x:t>
        </x:is>
      </x:c>
      <x:c r="E93" s="8" t="n">
        <x:f>IFERROR(INDEX('02_RAW_INDEX'!$N:$N,MATCH($A93,'02_RAW_INDEX'!$A:$A,0)),"")</x:f>
        <x:v>707</x:v>
      </x:c>
      <x:c r="F93" s="8" t="n">
        <x:f>IFERROR(INDEX('02_RAW_INDEX'!$M:$M,MATCH($A93,'02_RAW_INDEX'!$A:$A,0)),"")</x:f>
        <x:v>870</x:v>
      </x:c>
      <x:c r="G93" s="7" t="n">
        <x:f>'01_Ustawienia'!$B$6</x:f>
        <x:v>0</x:v>
      </x:c>
      <x:c r="H93" s="8" t="n">
        <x:f>IF(E93="","",ROUND(IF('01_Ustawienia'!$B$5="BRUTTO",F93,E93)*(1-G93),0))</x:f>
        <x:v>707</x:v>
      </x:c>
      <x:c r="I93" s="7" t="n">
        <x:f>IFERROR(IFERROR(INDEX('01_Ustawienia'!$B$15:$B$33,MATCH(B93,'01_Ustawienia'!$A$15:$A$33,0)),0.45),0.45)</x:f>
        <x:v>0.45</x:v>
      </x:c>
      <x:c r="J93" s="8" t="n">
        <x:f>IF(H93="","",ROUND(H93*(1+I93),0))</x:f>
        <x:v>1025</x:v>
      </x:c>
      <x:c r="K93" s="8" t="n">
        <x:f>0</x:f>
        <x:v>0</x:v>
      </x:c>
      <x:c r="L93" s="8" t="n">
        <x:f>IFERROR(IFERROR(INDEX(EG_Cennik_uslug!$CO:$CO,MATCH($A93,EG_Cennik_uslug!$A:$A,0)),0),0)</x:f>
        <x:v>0</x:v>
      </x:c>
      <x:c r="M93" s="7" t="n">
        <x:f>IF('01_Ustawienia'!$B$4="ZWOLNIONY",0,'01_Ustawienia'!$B$7)</x:f>
        <x:v>0.08</x:v>
      </x:c>
      <x:c r="N93" s="8" t="n">
        <x:f>IF(J93="","",ROUND((J93+K93)*(1+M93),0))</x:f>
        <x:v>1107</x:v>
      </x:c>
      <x:c r="O93" s="8" t="n">
        <x:f>IF(J93="","",J93+K93-H93-L93)</x:f>
        <x:v>318</x:v>
      </x:c>
      <x:c r="P93" s="7" t="n">
        <x:f>IFERROR(O93/(J93+K93),"")</x:f>
        <x:v>0.3102439024390244</x:v>
      </x:c>
      <x:c r="Q93" s="6" t="inlineStr">
        <x:is>
          <x:t xml:space="preserve">RAW_ZP P/Q</x:t>
        </x:is>
      </x:c>
      <x:c r="R93" s="6" t="inlineStr">
        <x:is>
          <x:t xml:space="preserve">OŚWIETLENIE</x:t>
        </x:is>
      </x:c>
      <x:c r="S93" s="6" t="inlineStr">
        <x:is>
          <x:t xml:space="preserve">website+crm</x:t>
        </x:is>
      </x:c>
      <x:c r="T93" s="6" t="n"/>
    </x:row>
    <x:row r="94">
      <x:c r="A94" s="6" t="inlineStr">
        <x:is>
          <x:t xml:space="preserve">300 x 706 cm</x:t>
        </x:is>
      </x:c>
      <x:c r="B94" s="6" t="inlineStr">
        <x:is>
          <x:t xml:space="preserve">LED3</x:t>
        </x:is>
      </x:c>
      <x:c r="C94" s="6" t="inlineStr">
        <x:is>
          <x:t xml:space="preserve">Oświetlenie LED 3 punkty</x:t>
        </x:is>
      </x:c>
      <x:c r="D94" s="6" t="inlineStr">
        <x:is>
          <x:t xml:space="preserve">LED 3 PKT</x:t>
        </x:is>
      </x:c>
      <x:c r="E94" s="8" t="n">
        <x:f>IFERROR(INDEX('02_RAW_INDEX'!$P:$P,MATCH($A94,'02_RAW_INDEX'!$A:$A,0)),"")</x:f>
        <x:v>984</x:v>
      </x:c>
      <x:c r="F94" s="8" t="n">
        <x:f>IFERROR(INDEX('02_RAW_INDEX'!$O:$O,MATCH($A94,'02_RAW_INDEX'!$A:$A,0)),"")</x:f>
        <x:v>1210</x:v>
      </x:c>
      <x:c r="G94" s="7" t="n">
        <x:f>'01_Ustawienia'!$B$6</x:f>
        <x:v>0</x:v>
      </x:c>
      <x:c r="H94" s="8" t="n">
        <x:f>IF(E94="","",ROUND(IF('01_Ustawienia'!$B$5="BRUTTO",F94,E94)*(1-G94),0))</x:f>
        <x:v>984</x:v>
      </x:c>
      <x:c r="I94" s="7" t="n">
        <x:f>IFERROR(IFERROR(INDEX('01_Ustawienia'!$B$15:$B$33,MATCH(B94,'01_Ustawienia'!$A$15:$A$33,0)),0.45),0.45)</x:f>
        <x:v>0.45</x:v>
      </x:c>
      <x:c r="J94" s="8" t="n">
        <x:f>IF(H94="","",ROUND(H94*(1+I94),0))</x:f>
        <x:v>1427</x:v>
      </x:c>
      <x:c r="K94" s="8" t="n">
        <x:f>0</x:f>
        <x:v>0</x:v>
      </x:c>
      <x:c r="L94" s="8" t="n">
        <x:f>IFERROR(IFERROR(INDEX(EG_Cennik_uslug!$CV:$CV,MATCH($A94,EG_Cennik_uslug!$A:$A,0)),0),0)</x:f>
        <x:v>0</x:v>
      </x:c>
      <x:c r="M94" s="7" t="n">
        <x:f>IF('01_Ustawienia'!$B$4="ZWOLNIONY",0,'01_Ustawienia'!$B$7)</x:f>
        <x:v>0.08</x:v>
      </x:c>
      <x:c r="N94" s="8" t="n">
        <x:f>IF(J94="","",ROUND((J94+K94)*(1+M94),0))</x:f>
        <x:v>1541</x:v>
      </x:c>
      <x:c r="O94" s="8" t="n">
        <x:f>IF(J94="","",J94+K94-H94-L94)</x:f>
        <x:v>443</x:v>
      </x:c>
      <x:c r="P94" s="7" t="n">
        <x:f>IFERROR(O94/(J94+K94),"")</x:f>
        <x:v>0.3104414856341976</x:v>
      </x:c>
      <x:c r="Q94" s="6" t="inlineStr">
        <x:is>
          <x:t xml:space="preserve">RAW_ZP R/S</x:t>
        </x:is>
      </x:c>
      <x:c r="R94" s="6" t="inlineStr">
        <x:is>
          <x:t xml:space="preserve">OŚWIETLENIE</x:t>
        </x:is>
      </x:c>
      <x:c r="S94" s="6" t="inlineStr">
        <x:is>
          <x:t xml:space="preserve">website+crm</x:t>
        </x:is>
      </x:c>
      <x:c r="T94" s="6" t="inlineStr">
        <x:is>
          <x:t xml:space="preserve">Nazwa do potwierdzenia</x:t>
        </x:is>
      </x:c>
    </x:row>
    <x:row r="95">
      <x:c r="A95" s="6" t="inlineStr">
        <x:is>
          <x:t xml:space="preserve">300 x 706 cm</x:t>
        </x:is>
      </x:c>
      <x:c r="B95" s="6" t="inlineStr">
        <x:is>
          <x:t xml:space="preserve">LEDCCT</x:t>
        </x:is>
      </x:c>
      <x:c r="C95" s="6" t="inlineStr">
        <x:is>
          <x:t xml:space="preserve">Oświetlenie LED CCT</x:t>
        </x:is>
      </x:c>
      <x:c r="D95" s="6" t="inlineStr">
        <x:is>
          <x:t xml:space="preserve">OŚWIETLENIE</x:t>
        </x:is>
      </x:c>
      <x:c r="E95" s="8" t="n">
        <x:f>IFERROR(INDEX('02_RAW_INDEX'!$R:$R,MATCH($A95,'02_RAW_INDEX'!$A:$A,0)),"")</x:f>
        <x:v>1190</x:v>
      </x:c>
      <x:c r="F95" s="8" t="n">
        <x:f>IFERROR(INDEX('02_RAW_INDEX'!$Q:$Q,MATCH($A95,'02_RAW_INDEX'!$A:$A,0)),"")</x:f>
        <x:v>1464</x:v>
      </x:c>
      <x:c r="G95" s="7" t="n">
        <x:f>'01_Ustawienia'!$B$6</x:f>
        <x:v>0</x:v>
      </x:c>
      <x:c r="H95" s="8" t="n">
        <x:f>IF(E95="","",ROUND(IF('01_Ustawienia'!$B$5="BRUTTO",F95,E95)*(1-G95),0))</x:f>
        <x:v>1190</x:v>
      </x:c>
      <x:c r="I95" s="7" t="n">
        <x:f>IFERROR(IFERROR(INDEX('01_Ustawienia'!$B$15:$B$33,MATCH(B95,'01_Ustawienia'!$A$15:$A$33,0)),0.45),0.45)</x:f>
        <x:v>0.45</x:v>
      </x:c>
      <x:c r="J95" s="8" t="n">
        <x:f>IF(H95="","",ROUND(H95*(1+I95),0))</x:f>
        <x:v>1726</x:v>
      </x:c>
      <x:c r="K95" s="8" t="n">
        <x:f>0</x:f>
        <x:v>0</x:v>
      </x:c>
      <x:c r="L95" s="8" t="n">
        <x:f>0</x:f>
        <x:v>0</x:v>
      </x:c>
      <x:c r="M95" s="7" t="n">
        <x:f>IF('01_Ustawienia'!$B$4="ZWOLNIONY",0,'01_Ustawienia'!$B$7)</x:f>
        <x:v>0.08</x:v>
      </x:c>
      <x:c r="N95" s="8" t="n">
        <x:f>IF(J95="","",ROUND((J95+K95)*(1+M95),0))</x:f>
        <x:v>1864</x:v>
      </x:c>
      <x:c r="O95" s="8" t="n">
        <x:f>IF(J95="","",J95+K95-H95-L95)</x:f>
        <x:v>536</x:v>
      </x:c>
      <x:c r="P95" s="7" t="n">
        <x:f>IFERROR(O95/(J95+K95),"")</x:f>
        <x:v>0.3105446118192352</x:v>
      </x:c>
      <x:c r="Q95" s="6" t="inlineStr">
        <x:is>
          <x:t xml:space="preserve">RAW_ZP T/U</x:t>
        </x:is>
      </x:c>
      <x:c r="R95" s="6" t="inlineStr">
        <x:is>
          <x:t xml:space="preserve">OŚWIETLENIE</x:t>
        </x:is>
      </x:c>
      <x:c r="S95" s="6" t="inlineStr">
        <x:is>
          <x:t xml:space="preserve">website+crm</x:t>
        </x:is>
      </x:c>
      <x:c r="T95" s="6" t="inlineStr">
        <x:is>
          <x:t xml:space="preserve">Opcja dodatkowa | FIX17: opcja LED dostępna dla strony; ceny 450-600 wg modelu FIX15.</x:t>
        </x:is>
      </x:c>
    </x:row>
    <x:row r="96">
      <x:c r="A96" s="6" t="inlineStr">
        <x:is>
          <x:t xml:space="preserve">300 x 706 cm</x:t>
        </x:is>
      </x:c>
      <x:c r="B96" s="6" t="inlineStr">
        <x:is>
          <x:t xml:space="preserve">LEDRGBCCT</x:t>
        </x:is>
      </x:c>
      <x:c r="C96" s="6" t="inlineStr">
        <x:is>
          <x:t xml:space="preserve">Oświetlenie LED RGB CCT</x:t>
        </x:is>
      </x:c>
      <x:c r="D96" s="6" t="inlineStr">
        <x:is>
          <x:t xml:space="preserve">OŚWIETLENIE</x:t>
        </x:is>
      </x:c>
      <x:c r="E96" s="8" t="n">
        <x:f>IFERROR(INDEX('02_RAW_INDEX'!$T:$T,MATCH($A96,'02_RAW_INDEX'!$A:$A,0)),"")</x:f>
        <x:v>1890</x:v>
      </x:c>
      <x:c r="F96" s="8" t="n">
        <x:f>IFERROR(INDEX('02_RAW_INDEX'!$S:$S,MATCH($A96,'02_RAW_INDEX'!$A:$A,0)),"")</x:f>
        <x:v>2325</x:v>
      </x:c>
      <x:c r="G96" s="7" t="n">
        <x:f>'01_Ustawienia'!$B$6</x:f>
        <x:v>0</x:v>
      </x:c>
      <x:c r="H96" s="8" t="n">
        <x:f>IF(E96="","",ROUND(IF('01_Ustawienia'!$B$5="BRUTTO",F96,E96)*(1-G96),0))</x:f>
        <x:v>1890</x:v>
      </x:c>
      <x:c r="I96" s="7" t="n">
        <x:f>IFERROR(IFERROR(INDEX('01_Ustawienia'!$B$15:$B$33,MATCH(B96,'01_Ustawienia'!$A$15:$A$33,0)),0.45),0.45)</x:f>
        <x:v>0.45</x:v>
      </x:c>
      <x:c r="J96" s="8" t="n">
        <x:f>IF(H96="","",ROUND(H96*(1+I96),0))</x:f>
        <x:v>2741</x:v>
      </x:c>
      <x:c r="K96" s="8" t="n">
        <x:f>0</x:f>
        <x:v>0</x:v>
      </x:c>
      <x:c r="L96" s="8" t="n">
        <x:f>0</x:f>
        <x:v>0</x:v>
      </x:c>
      <x:c r="M96" s="7" t="n">
        <x:f>IF('01_Ustawienia'!$B$4="ZWOLNIONY",0,'01_Ustawienia'!$B$7)</x:f>
        <x:v>0.08</x:v>
      </x:c>
      <x:c r="N96" s="8" t="n">
        <x:f>IF(J96="","",ROUND((J96+K96)*(1+M96),0))</x:f>
        <x:v>2960</x:v>
      </x:c>
      <x:c r="O96" s="8" t="n">
        <x:f>IF(J96="","",J96+K96-H96-L96)</x:f>
        <x:v>851</x:v>
      </x:c>
      <x:c r="P96" s="7" t="n">
        <x:f>IFERROR(O96/(J96+K96),"")</x:f>
        <x:v>0.31047063115651224</x:v>
      </x:c>
      <x:c r="Q96" s="6" t="inlineStr">
        <x:is>
          <x:t xml:space="preserve">RAW_ZP V/W</x:t>
        </x:is>
      </x:c>
      <x:c r="R96" s="6" t="inlineStr">
        <x:is>
          <x:t xml:space="preserve">OŚWIETLENIE</x:t>
        </x:is>
      </x:c>
      <x:c r="S96" s="6" t="inlineStr">
        <x:is>
          <x:t xml:space="preserve">crm_only</x:t>
        </x:is>
      </x:c>
      <x:c r="T96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97" s="655" customFormat="1" ht="30" customHeight="1">
      <x:c r="A97" s="6" t="inlineStr">
        <x:is>
          <x:t xml:space="preserve">300 x 806 cm</x:t>
        </x:is>
      </x:c>
      <x:c r="B97" s="6" t="inlineStr">
        <x:is>
          <x:t xml:space="preserve">ZP</x:t>
        </x:is>
      </x:c>
      <x:c r="C97" s="6" t="inlineStr">
        <x:is>
          <x:t xml:space="preserve">Zadaszenie poliwęglan - baza</x:t>
        </x:is>
      </x:c>
      <x:c r="D97" s="6" t="inlineStr">
        <x:is>
          <x:t xml:space="preserve">ZADASZENIE POLIWĘGLAN</x:t>
        </x:is>
      </x:c>
      <x:c r="E97" s="8" t="n">
        <x:f>IFERROR(INDEX('02_RAW_INDEX'!$D:$D,MATCH($A97,'02_RAW_INDEX'!$A:$A,0)),"")</x:f>
        <x:v>8577</x:v>
      </x:c>
      <x:c r="F97" s="8" t="n">
        <x:f>IFERROR(INDEX('02_RAW_INDEX'!$C:$C,MATCH($A97,'02_RAW_INDEX'!$A:$A,0)),"")</x:f>
        <x:v>10550</x:v>
      </x:c>
      <x:c r="G97" s="7" t="n">
        <x:f>'01_Ustawienia'!$B$6</x:f>
        <x:v>0</x:v>
      </x:c>
      <x:c r="H97" s="8" t="n">
        <x:f>IF(E97="","",ROUND(IF('01_Ustawienia'!$B$5="BRUTTO",F97,E97)*(1-G97),0))</x:f>
        <x:v>8577</x:v>
      </x:c>
      <x:c r="I97" s="7" t="n">
        <x:f>IFERROR(IFERROR(INDEX('01_Ustawienia'!$B$15:$B$33,MATCH(B97,'01_Ustawienia'!$A$15:$A$33,0)),0.45),0.45)</x:f>
        <x:v>0.45</x:v>
      </x:c>
      <x:c r="J97" s="8" t="n">
        <x:f>IF(H97="","",ROUND(H97*(1+I97),0))</x:f>
        <x:v>12437</x:v>
      </x:c>
      <x:c r="K97" s="8" t="n">
        <x:f>IFERROR(IFERROR(INDEX(EG_Cennik_uslug!$F:$F,MATCH($A97,EG_Cennik_uslug!$A:$A,0)),0),0)</x:f>
        <x:v>3910</x:v>
      </x:c>
      <x:c r="L97" s="8" t="n">
        <x:f>IFERROR(IFERROR(INDEX(EG_Cennik_uslug!$G:$G,MATCH($A97,EG_Cennik_uslug!$A:$A,0)),0),0)</x:f>
        <x:v>1370</x:v>
      </x:c>
      <x:c r="M97" s="7" t="n">
        <x:f>IF('01_Ustawienia'!$B$4="ZWOLNIONY",0,'01_Ustawienia'!$B$7)</x:f>
        <x:v>0.08</x:v>
      </x:c>
      <x:c r="N97" s="8" t="n">
        <x:f>IF(J97="","",ROUND((J97+K97)*(1+M97),0))</x:f>
        <x:v>17655</x:v>
      </x:c>
      <x:c r="O97" s="8" t="n">
        <x:f>IF(J97="","",J97+K97-H97-L97)</x:f>
        <x:v>6400</x:v>
      </x:c>
      <x:c r="P97" s="7" t="n">
        <x:f>IFERROR(O97/(J97+K97),"")</x:f>
        <x:v>0.39150914540894355</x:v>
      </x:c>
      <x:c r="Q97" s="6" t="inlineStr">
        <x:is>
          <x:t xml:space="preserve">RAW_ZP B/C</x:t>
        </x:is>
      </x:c>
      <x:c r="R97" s="6" t="inlineStr">
        <x:is>
          <x:t xml:space="preserve">ZADASZENIE TARASU KONSTRUKCJA</x:t>
        </x:is>
      </x:c>
      <x:c r="S97" s="6" t="inlineStr">
        <x:is>
          <x:t xml:space="preserve">website+crm</x:t>
        </x:is>
      </x:c>
      <x:c r="T97" s="6" t="inlineStr">
        <x:is>
          <x:t xml:space="preserve">Baza dla kalkulatora</x:t>
        </x:is>
      </x:c>
    </x:row>
    <x:row r="98" s="655" customFormat="1" ht="30" customHeight="1">
      <x:c r="A98" s="6" t="inlineStr">
        <x:is>
          <x:t xml:space="preserve">300 x 806 cm</x:t>
        </x:is>
      </x:c>
      <x:c r="B98" s="6" t="inlineStr">
        <x:is>
          <x:t xml:space="preserve">ZS</x:t>
        </x:is>
      </x:c>
      <x:c r="C98" s="6" t="inlineStr">
        <x:is>
          <x:t xml:space="preserve">Zadaszenie szkło - pełna konstrukcja</x:t>
        </x:is>
      </x:c>
      <x:c r="D98" s="6" t="inlineStr">
        <x:is>
          <x:t xml:space="preserve">ZADASZENIE SZKŁO</x:t>
        </x:is>
      </x:c>
      <x:c r="E98" s="8" t="n">
        <x:f>IFERROR(INDEX('02_RAW_INDEX'!$V:$V,MATCH($A98,'02_RAW_INDEX'!$A:$A,0)),"")</x:f>
        <x:v>12382</x:v>
      </x:c>
      <x:c r="F98" s="8" t="n">
        <x:f>IFERROR(INDEX('02_RAW_INDEX'!$U:$U,MATCH($A98,'02_RAW_INDEX'!$A:$A,0)),"")</x:f>
        <x:v>15230</x:v>
      </x:c>
      <x:c r="G98" s="7" t="n">
        <x:f>'01_Ustawienia'!$B$6</x:f>
        <x:v>0</x:v>
      </x:c>
      <x:c r="H98" s="8" t="n">
        <x:f>IF(E98="","",ROUND(IF('01_Ustawienia'!$B$5="BRUTTO",F98,E98)*(1-G98),0))</x:f>
        <x:v>12382</x:v>
      </x:c>
      <x:c r="I98" s="7" t="n">
        <x:f>IFERROR(IFERROR(INDEX('01_Ustawienia'!$B$15:$B$33,MATCH(B98,'01_Ustawienia'!$A$15:$A$33,0)),0.45),0.45)</x:f>
        <x:v>0.45</x:v>
      </x:c>
      <x:c r="J98" s="8" t="n">
        <x:f>IF(H98="","",ROUND(H98*(1+I98),0))</x:f>
        <x:v>17954</x:v>
      </x:c>
      <x:c r="K98" s="8" t="n">
        <x:f>IFERROR(IFERROR(INDEX(EG_Cennik_uslug!$F:$F,MATCH($A98,EG_Cennik_uslug!$A:$A,0)),0),0)</x:f>
        <x:v>3910</x:v>
      </x:c>
      <x:c r="L98" s="8" t="n">
        <x:f>IFERROR(IFERROR(INDEX(EG_Cennik_uslug!$G:$G,MATCH($A98,EG_Cennik_uslug!$A:$A,0)),0),0)</x:f>
        <x:v>1370</x:v>
      </x:c>
      <x:c r="M98" s="7" t="n">
        <x:f>IF('01_Ustawienia'!$B$4="ZWOLNIONY",0,'01_Ustawienia'!$B$7)</x:f>
        <x:v>0.08</x:v>
      </x:c>
      <x:c r="N98" s="8" t="n">
        <x:f>IF(J98="","",ROUND((J98+K98)*(1+M98),0))</x:f>
        <x:v>23613</x:v>
      </x:c>
      <x:c r="O98" s="8" t="n">
        <x:f>IF(J98="","",J98+K98-H98-L98)</x:f>
        <x:v>8112</x:v>
      </x:c>
      <x:c r="P98" s="7" t="n">
        <x:f>IFERROR(O98/(J98+K98),"")</x:f>
        <x:v>0.37102085620197583</x:v>
      </x:c>
      <x:c r="Q98" s="6" t="inlineStr">
        <x:is>
          <x:t xml:space="preserve">RAW_ZS B/C</x:t>
        </x:is>
      </x:c>
      <x:c r="R98" s="6" t="inlineStr">
        <x:is>
          <x:t xml:space="preserve">ZADASZENIE TARASU KONSTRUKCJA</x:t>
        </x:is>
      </x:c>
      <x:c r="S98" s="6" t="inlineStr">
        <x:is>
          <x:t xml:space="preserve">crm_only</x:t>
        </x:is>
      </x:c>
      <x:c r="T98" s="6" t="inlineStr">
        <x:is>
          <x:t xml:space="preserve">Referencyjne/full; strona zwykle używa ZP + PDS</x:t>
        </x:is>
      </x:c>
    </x:row>
    <x:row r="99" s="655" customFormat="1" ht="30" customHeight="1">
      <x:c r="A99" s="6" t="inlineStr">
        <x:is>
          <x:t xml:space="preserve">300 x 806 cm</x:t>
        </x:is>
      </x:c>
      <x:c r="B99" s="6" t="inlineStr">
        <x:is>
          <x:t xml:space="preserve">OP</x:t>
        </x:is>
      </x:c>
      <x:c r="C99" s="6" t="inlineStr">
        <x:is>
          <x:t xml:space="preserve">Ogród zimowy poliwęglan - baza</x:t>
        </x:is>
      </x:c>
      <x:c r="D99" s="6" t="inlineStr">
        <x:is>
          <x:t xml:space="preserve">OGRODY POLIWĘGLAN</x:t>
        </x:is>
      </x:c>
      <x:c r="E99" s="8" t="n">
        <x:f>IFERROR(INDEX('02_RAW_INDEX'!$Z:$Z,MATCH($A99,'02_RAW_INDEX'!$A:$A,0)),"")</x:f>
        <x:v>20065</x:v>
      </x:c>
      <x:c r="F99" s="8" t="n">
        <x:f>IFERROR(INDEX('02_RAW_INDEX'!$Y:$Y,MATCH($A99,'02_RAW_INDEX'!$A:$A,0)),"")</x:f>
        <x:v>24680</x:v>
      </x:c>
      <x:c r="G99" s="7" t="n">
        <x:f>'01_Ustawienia'!$B$6</x:f>
        <x:v>0</x:v>
      </x:c>
      <x:c r="H99" s="8" t="n">
        <x:f>IF(E99="","",ROUND(IF('01_Ustawienia'!$B$5="BRUTTO",F99,E99)*(1-G99),0))</x:f>
        <x:v>20065</x:v>
      </x:c>
      <x:c r="I99" s="7" t="n">
        <x:f>IFERROR(IFERROR(INDEX('01_Ustawienia'!$B$15:$B$33,MATCH(B99,'01_Ustawienia'!$A$15:$A$33,0)),0.45),0.45)</x:f>
        <x:v>0.45</x:v>
      </x:c>
      <x:c r="J99" s="8" t="n">
        <x:f>IF(H99="","",ROUND(H99*(1+I99),0))</x:f>
        <x:v>29094</x:v>
      </x:c>
      <x:c r="K99" s="8" t="n">
        <x:f>IFERROR(IFERROR(INDEX(EG_Cennik_uslug!$N:$N,MATCH($A99,EG_Cennik_uslug!$A:$A,0)),0),0)</x:f>
        <x:v>5180</x:v>
      </x:c>
      <x:c r="L99" s="8" t="n">
        <x:f>IFERROR(IFERROR(INDEX(EG_Cennik_uslug!$O:$O,MATCH($A99,EG_Cennik_uslug!$A:$A,0)),0),0)</x:f>
        <x:v>1920</x:v>
      </x:c>
      <x:c r="M99" s="7" t="n">
        <x:f>IF('01_Ustawienia'!$B$4="ZWOLNIONY",0,'01_Ustawienia'!$B$7)</x:f>
        <x:v>0.08</x:v>
      </x:c>
      <x:c r="N99" s="8" t="n">
        <x:f>IF(J99="","",ROUND((J99+K99)*(1+M99),0))</x:f>
        <x:v>37016</x:v>
      </x:c>
      <x:c r="O99" s="8" t="n">
        <x:f>IF(J99="","",J99+K99-H99-L99)</x:f>
        <x:v>12289</x:v>
      </x:c>
      <x:c r="P99" s="7" t="n">
        <x:f>IFERROR(O99/(J99+K99),"")</x:f>
        <x:v>0.35855167182120556</x:v>
      </x:c>
      <x:c r="Q99" s="6" t="inlineStr">
        <x:is>
          <x:t xml:space="preserve">RAW_OP B/C</x:t>
        </x:is>
      </x:c>
      <x:c r="R99" s="6" t="inlineStr">
        <x:is>
          <x:t xml:space="preserve">OGRÓD ZIMOWY (KONSTRUKCJA)</x:t>
        </x:is>
      </x:c>
      <x:c r="S99" s="6" t="inlineStr">
        <x:is>
          <x:t xml:space="preserve">website+crm</x:t>
        </x:is>
      </x:c>
      <x:c r="T99" s="6" t="inlineStr">
        <x:is>
          <x:t xml:space="preserve">Do wyliczenia dopłaty za ściany</x:t>
        </x:is>
      </x:c>
    </x:row>
    <x:row r="100" s="655" customFormat="1" ht="30" customHeight="1">
      <x:c r="A100" s="6" t="inlineStr">
        <x:is>
          <x:t xml:space="preserve">300 x 806 cm</x:t>
        </x:is>
      </x:c>
      <x:c r="B100" s="6" t="inlineStr">
        <x:is>
          <x:t xml:space="preserve">OS</x:t>
        </x:is>
      </x:c>
      <x:c r="C100" s="6" t="inlineStr">
        <x:is>
          <x:t xml:space="preserve">Ogród zimowy szkło - pełna konstrukcja</x:t>
        </x:is>
      </x:c>
      <x:c r="D100" s="6" t="inlineStr">
        <x:is>
          <x:t xml:space="preserve">OGRODY SZKŁO</x:t>
        </x:is>
      </x:c>
      <x:c r="E100" s="8" t="n">
        <x:f>IFERROR(INDEX('02_RAW_INDEX'!$AL:$AL,MATCH($A100,'02_RAW_INDEX'!$A:$A,0)),"")</x:f>
        <x:v>23878</x:v>
      </x:c>
      <x:c r="F100" s="8" t="n">
        <x:f>IFERROR(INDEX('02_RAW_INDEX'!$AK:$AK,MATCH($A100,'02_RAW_INDEX'!$A:$A,0)),"")</x:f>
        <x:v>29370</x:v>
      </x:c>
      <x:c r="G100" s="7" t="n">
        <x:f>'01_Ustawienia'!$B$6</x:f>
        <x:v>0</x:v>
      </x:c>
      <x:c r="H100" s="8" t="n">
        <x:f>IF(E100="","",ROUND(IF('01_Ustawienia'!$B$5="BRUTTO",F100,E100)*(1-G100),0))</x:f>
        <x:v>23878</x:v>
      </x:c>
      <x:c r="I100" s="7" t="n">
        <x:f>IFERROR(IFERROR(INDEX('01_Ustawienia'!$B$15:$B$33,MATCH(B100,'01_Ustawienia'!$A$15:$A$33,0)),0.45),0.45)</x:f>
        <x:v>0.45</x:v>
      </x:c>
      <x:c r="J100" s="8" t="n">
        <x:f>IF(H100="","",ROUND(H100*(1+I100),0))</x:f>
        <x:v>34623</x:v>
      </x:c>
      <x:c r="K100" s="8" t="n">
        <x:f>IFERROR(IFERROR(INDEX(EG_Cennik_uslug!$N:$N,MATCH($A100,EG_Cennik_uslug!$A:$A,0)),0),0)</x:f>
        <x:v>5180</x:v>
      </x:c>
      <x:c r="L100" s="8" t="n">
        <x:f>IFERROR(IFERROR(INDEX(EG_Cennik_uslug!$O:$O,MATCH($A100,EG_Cennik_uslug!$A:$A,0)),0),0)</x:f>
        <x:v>1920</x:v>
      </x:c>
      <x:c r="M100" s="7" t="n">
        <x:f>IF('01_Ustawienia'!$B$4="ZWOLNIONY",0,'01_Ustawienia'!$B$7)</x:f>
        <x:v>0.08</x:v>
      </x:c>
      <x:c r="N100" s="8" t="n">
        <x:f>IF(J100="","",ROUND((J100+K100)*(1+M100),0))</x:f>
        <x:v>42987</x:v>
      </x:c>
      <x:c r="O100" s="8" t="n">
        <x:f>IF(J100="","",J100+K100-H100-L100)</x:f>
        <x:v>14005</x:v>
      </x:c>
      <x:c r="P100" s="7" t="n">
        <x:f>IFERROR(O100/(J100+K100),"")</x:f>
        <x:v>0.3518579001582795</x:v>
      </x:c>
      <x:c r="Q100" s="6" t="inlineStr">
        <x:is>
          <x:t xml:space="preserve">RAW_OS B/C</x:t>
        </x:is>
      </x:c>
      <x:c r="R100" s="6" t="inlineStr">
        <x:is>
          <x:t xml:space="preserve">OGRÓD ZIMOWY (KONSTRUKCJA)</x:t>
        </x:is>
      </x:c>
      <x:c r="S100" s="6" t="inlineStr">
        <x:is>
          <x:t xml:space="preserve">crm_only</x:t>
        </x:is>
      </x:c>
      <x:c r="T100" s="6" t="inlineStr">
        <x:is>
          <x:t xml:space="preserve">Referencyjne/full</x:t>
        </x:is>
      </x:c>
    </x:row>
    <x:row r="101" s="655" customFormat="1" ht="30" customHeight="1">
      <x:c r="A101" s="6" t="inlineStr">
        <x:is>
          <x:t xml:space="preserve">300 x 806 cm</x:t>
        </x:is>
      </x:c>
      <x:c r="B101" s="6" t="inlineStr">
        <x:is>
          <x:t xml:space="preserve">PDS</x:t>
        </x:is>
      </x:c>
      <x:c r="C101" s="6" t="inlineStr">
        <x:is>
          <x:t xml:space="preserve">Dopłata dach szkło przezroczyste</x:t>
        </x:is>
      </x:c>
      <x:c r="D101" s="6" t="inlineStr">
        <x:is>
          <x:t xml:space="preserve">POKRYCIE DACHU SZKŁO</x:t>
        </x:is>
      </x:c>
      <x:c r="E101" s="8" t="n">
        <x:f>IFERROR(IFERROR(INDEX('02_RAW_INDEX'!$V:$V,MATCH($A101,'02_RAW_INDEX'!$A:$A,0)),"")-IFERROR(INDEX('02_RAW_INDEX'!$D:$D,MATCH($A101,'02_RAW_INDEX'!$A:$A,0)),""),"")</x:f>
        <x:v>3805</x:v>
      </x:c>
      <x:c r="F101" s="8" t="n">
        <x:f>IFERROR(IFERROR(INDEX('02_RAW_INDEX'!$U:$U,MATCH($A101,'02_RAW_INDEX'!$A:$A,0)),"")-IFERROR(INDEX('02_RAW_INDEX'!$C:$C,MATCH($A101,'02_RAW_INDEX'!$A:$A,0)),""),"")</x:f>
        <x:v>4680</x:v>
      </x:c>
      <x:c r="G101" s="7" t="n">
        <x:f>'01_Ustawienia'!$B$6</x:f>
        <x:v>0</x:v>
      </x:c>
      <x:c r="H101" s="8" t="n">
        <x:f>IF(E101="","",ROUND(IF('01_Ustawienia'!$B$5="BRUTTO",F101,E101)*(1-G101),0))</x:f>
        <x:v>3805</x:v>
      </x:c>
      <x:c r="I101" s="7" t="n">
        <x:f>IFERROR(IFERROR(INDEX('01_Ustawienia'!$B$15:$B$33,MATCH(B101,'01_Ustawienia'!$A$15:$A$33,0)),0.45),0.45)</x:f>
        <x:v>0.45</x:v>
      </x:c>
      <x:c r="J101" s="8" t="n">
        <x:f>IF(H101="","",ROUND(H101*(1+I101),0))</x:f>
        <x:v>5517</x:v>
      </x:c>
      <x:c r="K101" s="8" t="n">
        <x:f>0</x:f>
        <x:v>0</x:v>
      </x:c>
      <x:c r="L101" s="8" t="n">
        <x:v>0</x:v>
      </x:c>
      <x:c r="M101" s="7" t="n">
        <x:f>IF('01_Ustawienia'!$B$4="ZWOLNIONY",0,'01_Ustawienia'!$B$7)</x:f>
        <x:v>0.08</x:v>
      </x:c>
      <x:c r="N101" s="8" t="n">
        <x:f>IF(J101="","",ROUND((J101+K101)*(1+M101),0))</x:f>
        <x:v>5958</x:v>
      </x:c>
      <x:c r="O101" s="8" t="n">
        <x:f>IF(J101="","",J101+K101-H101-L101)</x:f>
        <x:v>1712</x:v>
      </x:c>
      <x:c r="P101" s="7" t="n">
        <x:f>IFERROR(O101/(J101+K101),"")</x:f>
        <x:v>0.31031357621895955</x:v>
      </x:c>
      <x:c r="Q101" s="6" t="inlineStr">
        <x:is>
          <x:t xml:space="preserve">RAW_ZS - RAW_ZP</x:t>
        </x:is>
      </x:c>
      <x:c r="R101" s="6" t="inlineStr">
        <x:is>
          <x:t xml:space="preserve">POKRYCIE DACHU</x:t>
        </x:is>
      </x:c>
      <x:c r="S101" s="6" t="inlineStr">
        <x:is>
          <x:t xml:space="preserve">website+crm</x:t>
        </x:is>
      </x:c>
      <x:c r="T101" s="6" t="inlineStr">
        <x:is>
          <x:t xml:space="preserve">Dopłata do bazowego dachu poliwęglan | FIX17: Wynagr.+koszty = 0 dla dopłaty; nie jest osobnym montażem ekipy.</x:t>
        </x:is>
      </x:c>
    </x:row>
    <x:row r="102" s="655" customFormat="1" ht="30" customHeight="1">
      <x:c r="A102" s="6" t="inlineStr">
        <x:is>
          <x:t xml:space="preserve">300 x 806 cm</x:t>
        </x:is>
      </x:c>
      <x:c r="B102" s="6" t="inlineStr">
        <x:is>
          <x:t xml:space="preserve">PDSB</x:t>
        </x:is>
      </x:c>
      <x:c r="C102" s="6" t="inlineStr">
        <x:is>
          <x:t xml:space="preserve">Dopłata dach szkło barwione/mleczne</x:t>
        </x:is>
      </x:c>
      <x:c r="D102" s="6" t="inlineStr">
        <x:is>
          <x:t xml:space="preserve">POKRYCIE DACHU SZKŁO BARWIONE</x:t>
        </x:is>
      </x:c>
      <x:c r="E102" s="8" t="n">
        <x:f>IFERROR(INDEX('02_RAW_INDEX'!$X:$X,MATCH($A102,'02_RAW_INDEX'!$A:$A,0)),"")</x:f>
        <x:v>732</x:v>
      </x:c>
      <x:c r="F102" s="8" t="n">
        <x:f>IFERROR(INDEX('02_RAW_INDEX'!$W:$W,MATCH($A102,'02_RAW_INDEX'!$A:$A,0)),"")</x:f>
        <x:v>900</x:v>
      </x:c>
      <x:c r="G102" s="7" t="n">
        <x:f>'01_Ustawienia'!$B$6</x:f>
        <x:v>0</x:v>
      </x:c>
      <x:c r="H102" s="8" t="n">
        <x:f>IF(E102="","",ROUND(IF('01_Ustawienia'!$B$5="BRUTTO",F102,E102)*(1-G102),0))</x:f>
        <x:v>732</x:v>
      </x:c>
      <x:c r="I102" s="7" t="n">
        <x:f>IFERROR(IFERROR(INDEX('01_Ustawienia'!$B$15:$B$33,MATCH(B102,'01_Ustawienia'!$A$15:$A$33,0)),0.45),0.45)</x:f>
        <x:v>0.45</x:v>
      </x:c>
      <x:c r="J102" s="8" t="n">
        <x:f>IF(H102="","",ROUND(H102*(1+I102),0))</x:f>
        <x:v>1061</x:v>
      </x:c>
      <x:c r="K102" s="8" t="n">
        <x:f>0</x:f>
        <x:v>0</x:v>
      </x:c>
      <x:c r="L102" s="8" t="n">
        <x:v>0</x:v>
      </x:c>
      <x:c r="M102" s="7" t="n">
        <x:f>IF('01_Ustawienia'!$B$4="ZWOLNIONY",0,'01_Ustawienia'!$B$7)</x:f>
        <x:v>0.08</x:v>
      </x:c>
      <x:c r="N102" s="8" t="n">
        <x:f>IF(J102="","",ROUND((J102+K102)*(1+M102),0))</x:f>
        <x:v>1146</x:v>
      </x:c>
      <x:c r="O102" s="8" t="n">
        <x:f>IF(J102="","",J102+K102-H102-L102)</x:f>
        <x:v>329</x:v>
      </x:c>
      <x:c r="P102" s="7" t="n">
        <x:f>IFERROR(O102/(J102+K102),"")</x:f>
        <x:v>0.3100848256361923</x:v>
      </x:c>
      <x:c r="Q102" s="6" t="inlineStr">
        <x:is>
          <x:t xml:space="preserve">RAW_ZS D/E</x:t>
        </x:is>
      </x:c>
      <x:c r="R102" s="6" t="inlineStr">
        <x:is>
          <x:t xml:space="preserve">POKRYCIE DACHU</x:t>
        </x:is>
      </x:c>
      <x:c r="S102" s="6" t="inlineStr">
        <x:is>
          <x:t xml:space="preserve">website+crm</x:t>
        </x:is>
      </x:c>
      <x:c r="T102" s="6" t="inlineStr">
        <x:is>
          <x:t xml:space="preserve">Dodawane do PDS | FIX17: Wynagr.+koszty = 0 dla dopłaty; nie jest osobnym montażem ekipy.</x:t>
        </x:is>
      </x:c>
    </x:row>
    <x:row r="103" s="655" customFormat="1" ht="30" customHeight="1">
      <x:c r="A103" s="6" t="inlineStr">
        <x:is>
          <x:t xml:space="preserve">300 x 806 cm</x:t>
        </x:is>
      </x:c>
      <x:c r="B103" s="6" t="inlineStr">
        <x:is>
          <x:t xml:space="preserve">PDPB</x:t>
        </x:is>
      </x:c>
      <x:c r="C103" s="6" t="inlineStr">
        <x:is>
          <x:t xml:space="preserve">Dopłata poliwęglan barwiony</x:t>
        </x:is>
      </x:c>
      <x:c r="D103" s="6" t="inlineStr">
        <x:is>
          <x:t xml:space="preserve">POKRYCIE DACHU POLIWĘGLAN BARWIONY</x:t>
        </x:is>
      </x:c>
      <x:c r="E103" s="8" t="n">
        <x:f>IFERROR(INDEX('02_RAW_INDEX'!$F:$F,MATCH($A103,'02_RAW_INDEX'!$A:$A,0)),"")</x:f>
        <x:v>350</x:v>
      </x:c>
      <x:c r="F103" s="8" t="n">
        <x:f>IFERROR(INDEX('02_RAW_INDEX'!$E:$E,MATCH($A103,'02_RAW_INDEX'!$A:$A,0)),"")</x:f>
        <x:v>430</x:v>
      </x:c>
      <x:c r="G103" s="7" t="n">
        <x:f>'01_Ustawienia'!$B$6</x:f>
        <x:v>0</x:v>
      </x:c>
      <x:c r="H103" s="8" t="n">
        <x:f>IF(E103="","",ROUND(IF('01_Ustawienia'!$B$5="BRUTTO",F103,E103)*(1-G103),0))</x:f>
        <x:v>350</x:v>
      </x:c>
      <x:c r="I103" s="7" t="n">
        <x:f>IFERROR(IFERROR(INDEX('01_Ustawienia'!$B$15:$B$33,MATCH(B103,'01_Ustawienia'!$A$15:$A$33,0)),0.45),0.45)</x:f>
        <x:v>0.45</x:v>
      </x:c>
      <x:c r="J103" s="8" t="n">
        <x:f>IF(H103="","",ROUND(H103*(1+I103),0))</x:f>
        <x:v>508</x:v>
      </x:c>
      <x:c r="K103" s="8" t="n">
        <x:f>0</x:f>
        <x:v>0</x:v>
      </x:c>
      <x:c r="L103" s="8" t="n">
        <x:v>0</x:v>
      </x:c>
      <x:c r="M103" s="7" t="n">
        <x:f>IF('01_Ustawienia'!$B$4="ZWOLNIONY",0,'01_Ustawienia'!$B$7)</x:f>
        <x:v>0.08</x:v>
      </x:c>
      <x:c r="N103" s="8" t="n">
        <x:f>IF(J103="","",ROUND((J103+K103)*(1+M103),0))</x:f>
        <x:v>549</x:v>
      </x:c>
      <x:c r="O103" s="8" t="n">
        <x:f>IF(J103="","",J103+K103-H103-L103)</x:f>
        <x:v>158</x:v>
      </x:c>
      <x:c r="P103" s="7" t="n">
        <x:f>IFERROR(O103/(J103+K103),"")</x:f>
        <x:v>0.3110236220472441</x:v>
      </x:c>
      <x:c r="Q103" s="6" t="inlineStr">
        <x:is>
          <x:t xml:space="preserve">RAW_ZP D/E</x:t>
        </x:is>
      </x:c>
      <x:c r="R103" s="6" t="inlineStr">
        <x:is>
          <x:t xml:space="preserve">POKRYCIE DACHU</x:t>
        </x:is>
      </x:c>
      <x:c r="S103" s="6" t="inlineStr">
        <x:is>
          <x:t xml:space="preserve">website+crm</x:t>
        </x:is>
      </x:c>
      <x:c r="T103" s="6" t="inlineStr">
        <x:is>
          <x:t xml:space="preserve">FIX17: Wynagr.+koszty = 0 dla dopłaty; nie jest osobnym montażem ekipy.</x:t>
        </x:is>
      </x:c>
    </x:row>
    <x:row r="104" s="655" customFormat="1" ht="30" customHeight="1">
      <x:c r="A104" s="6" t="inlineStr">
        <x:is>
          <x:t xml:space="preserve">300 x 806 cm</x:t>
        </x:is>
      </x:c>
      <x:c r="B104" s="6" t="inlineStr">
        <x:is>
          <x:t xml:space="preserve">SBB</x:t>
        </x:is>
      </x:c>
      <x:c r="C104" s="6" t="inlineStr">
        <x:is>
          <x:t xml:space="preserve">Dopłata szkło boczne przyciemniane</x:t>
        </x:is>
      </x:c>
      <x:c r="D104" s="6" t="inlineStr">
        <x:is>
          <x:t xml:space="preserve">SZKŁO BOCZNE BARWIONE</x:t>
        </x:is>
      </x:c>
      <x:c r="E104" s="8" t="n">
        <x:f>IFERROR(INDEX('02_RAW_INDEX'!$AB:$AB,MATCH($A104,'02_RAW_INDEX'!$A:$A,0)),"")</x:f>
        <x:v>1366</x:v>
      </x:c>
      <x:c r="F104" s="8" t="n">
        <x:f>IFERROR(INDEX('02_RAW_INDEX'!$AA:$AA,MATCH($A104,'02_RAW_INDEX'!$A:$A,0)),"")</x:f>
        <x:v>1680</x:v>
      </x:c>
      <x:c r="G104" s="7" t="n">
        <x:f>'01_Ustawienia'!$B$6</x:f>
        <x:v>0</x:v>
      </x:c>
      <x:c r="H104" s="8" t="n">
        <x:f>IF(E104="","",ROUND(IF('01_Ustawienia'!$B$5="BRUTTO",F104,E104)*(1-G104),0))</x:f>
        <x:v>1366</x:v>
      </x:c>
      <x:c r="I104" s="7" t="n">
        <x:f>IFERROR(IFERROR(INDEX('01_Ustawienia'!$B$15:$B$33,MATCH(B104,'01_Ustawienia'!$A$15:$A$33,0)),0.45),0.45)</x:f>
        <x:v>0.45</x:v>
      </x:c>
      <x:c r="J104" s="8" t="n">
        <x:f>IF(H104="","",ROUND(H104*(1+I104),0))</x:f>
        <x:v>1981</x:v>
      </x:c>
      <x:c r="K104" s="8" t="n">
        <x:f>0</x:f>
        <x:v>0</x:v>
      </x:c>
      <x:c r="L104" s="8" t="n">
        <x:v>0</x:v>
      </x:c>
      <x:c r="M104" s="7" t="n">
        <x:f>IF('01_Ustawienia'!$B$4="ZWOLNIONY",0,'01_Ustawienia'!$B$7)</x:f>
        <x:v>0.08</x:v>
      </x:c>
      <x:c r="N104" s="8" t="n">
        <x:f>IF(J104="","",ROUND((J104+K104)*(1+M104),0))</x:f>
        <x:v>2139</x:v>
      </x:c>
      <x:c r="O104" s="8" t="n">
        <x:f>IF(J104="","",J104+K104-H104-L104)</x:f>
        <x:v>615</x:v>
      </x:c>
      <x:c r="P104" s="7" t="n">
        <x:f>IFERROR(O104/(J104+K104),"")</x:f>
        <x:v>0.3104492680464412</x:v>
      </x:c>
      <x:c r="Q104" s="6" t="inlineStr">
        <x:is>
          <x:t xml:space="preserve">RAW_OP H/I</x:t>
        </x:is>
      </x:c>
      <x:c r="R104" s="6" t="inlineStr">
        <x:is>
          <x:t xml:space="preserve">SZYBY BOCZNE</x:t>
        </x:is>
      </x:c>
      <x:c r="S104" s="6" t="inlineStr">
        <x:is>
          <x:t xml:space="preserve">website+crm</x:t>
        </x:is>
      </x:c>
      <x:c r="T104" s="6" t="inlineStr">
        <x:is>
          <x:t xml:space="preserve">Dodawane do ścian przezroczystych | FIX17: Wynagr.+koszty = 0 dla dopłaty; nie jest osobnym montażem ekipy.</x:t>
        </x:is>
      </x:c>
    </x:row>
    <x:row r="105">
      <x:c r="A105" s="6" t="inlineStr">
        <x:is>
          <x:t xml:space="preserve">300 x 806 cm</x:t>
        </x:is>
      </x:c>
      <x:c r="B105" s="6" t="inlineStr">
        <x:is>
          <x:t xml:space="preserve">RB</x:t>
        </x:is>
      </x:c>
      <x:c r="C105" s="6" t="inlineStr">
        <x:is>
          <x:t xml:space="preserve">Roleta boczna ZIP</x:t>
        </x:is>
      </x:c>
      <x:c r="D105" s="6" t="inlineStr">
        <x:is>
          <x:t xml:space="preserve">ROLETA BOCZNA</x:t>
        </x:is>
      </x:c>
      <x:c r="E105" s="8" t="n">
        <x:f>IFERROR(INDEX('02_RAW_INDEX'!$J:$J,MATCH($A105,'02_RAW_INDEX'!$A:$A,0)),"")</x:f>
        <x:v>1740</x:v>
      </x:c>
      <x:c r="F105" s="8" t="n">
        <x:f>IFERROR(INDEX('02_RAW_INDEX'!$I:$I,MATCH($A105,'02_RAW_INDEX'!$A:$A,0)),"")</x:f>
        <x:v>2140</x:v>
      </x:c>
      <x:c r="G105" s="7" t="n">
        <x:f>'01_Ustawienia'!$B$6</x:f>
        <x:v>0</x:v>
      </x:c>
      <x:c r="H105" s="8" t="n">
        <x:f>IF(E105="","",ROUND(IF('01_Ustawienia'!$B$5="BRUTTO",F105,E105)*(1-G105),0))</x:f>
        <x:v>1740</x:v>
      </x:c>
      <x:c r="I105" s="7" t="n">
        <x:f>IFERROR(IFERROR(INDEX('01_Ustawienia'!$B$15:$B$33,MATCH(B105,'01_Ustawienia'!$A$15:$A$33,0)),0.45),0.45)</x:f>
        <x:v>0.45</x:v>
      </x:c>
      <x:c r="J105" s="8" t="n">
        <x:f>IF(H105="","",ROUND(H105*(1+I105),0))</x:f>
        <x:v>2523</x:v>
      </x:c>
      <x:c r="K105" s="8" t="n">
        <x:f>0</x:f>
        <x:v>0</x:v>
      </x:c>
      <x:c r="L105" s="8" t="n">
        <x:f>IFERROR(IFERROR(INDEX(EG_Cennik_uslug!$AC:$AC,MATCH($A105,EG_Cennik_uslug!$A:$A,0)),0),0)</x:f>
        <x:v>150</x:v>
      </x:c>
      <x:c r="M105" s="7" t="n">
        <x:f>IF('01_Ustawienia'!$B$4="ZWOLNIONY",0,'01_Ustawienia'!$B$7)</x:f>
        <x:v>0.08</x:v>
      </x:c>
      <x:c r="N105" s="8" t="n">
        <x:f>IF(J105="","",ROUND((J105+K105)*(1+M105),0))</x:f>
        <x:v>2725</x:v>
      </x:c>
      <x:c r="O105" s="8" t="n">
        <x:f>IF(J105="","",J105+K105-H105-L105)</x:f>
        <x:v>633</x:v>
      </x:c>
      <x:c r="P105" s="7" t="n">
        <x:f>IFERROR(O105/(J105+K105),"")</x:f>
        <x:v>0.25089179548156954</x:v>
      </x:c>
      <x:c r="Q105" s="6" t="inlineStr">
        <x:is>
          <x:t xml:space="preserve">RAW_ZP J/K</x:t>
        </x:is>
      </x:c>
      <x:c r="R105" s="6" t="inlineStr">
        <x:is>
          <x:t xml:space="preserve">ROLETY BOCZNE</x:t>
        </x:is>
      </x:c>
      <x:c r="S105" s="6" t="inlineStr">
        <x:is>
          <x:t xml:space="preserve">website+crm</x:t>
        </x:is>
      </x:c>
      <x:c r="T105" s="6" t="inlineStr">
        <x:is>
          <x:t xml:space="preserve">Używana dla lewej i prawej</x:t>
        </x:is>
      </x:c>
    </x:row>
    <x:row r="106">
      <x:c r="A106" s="6" t="inlineStr">
        <x:is>
          <x:t xml:space="preserve">300 x 806 cm</x:t>
        </x:is>
      </x:c>
      <x:c r="B106" s="6" t="inlineStr">
        <x:is>
          <x:t xml:space="preserve">RP</x:t>
        </x:is>
      </x:c>
      <x:c r="C106" s="6" t="inlineStr">
        <x:is>
          <x:t xml:space="preserve">Roleta przednia ZIP</x:t>
        </x:is>
      </x:c>
      <x:c r="D106" s="6" t="inlineStr">
        <x:is>
          <x:t xml:space="preserve">ROLETA PRZÓD</x:t>
        </x:is>
      </x:c>
      <x:c r="E106" s="8" t="n">
        <x:f>IFERROR(INDEX('02_RAW_INDEX'!$L:$L,MATCH($A106,'02_RAW_INDEX'!$A:$A,0)),"")</x:f>
        <x:v>4293</x:v>
      </x:c>
      <x:c r="F106" s="8" t="n">
        <x:f>IFERROR(INDEX('02_RAW_INDEX'!$K:$K,MATCH($A106,'02_RAW_INDEX'!$A:$A,0)),"")</x:f>
        <x:v>5280</x:v>
      </x:c>
      <x:c r="G106" s="7" t="n">
        <x:f>'01_Ustawienia'!$B$6</x:f>
        <x:v>0</x:v>
      </x:c>
      <x:c r="H106" s="8" t="n">
        <x:f>IF(E106="","",ROUND(IF('01_Ustawienia'!$B$5="BRUTTO",F106,E106)*(1-G106),0))</x:f>
        <x:v>4293</x:v>
      </x:c>
      <x:c r="I106" s="7" t="n">
        <x:f>IFERROR(IFERROR(INDEX('01_Ustawienia'!$B$15:$B$33,MATCH(B106,'01_Ustawienia'!$A$15:$A$33,0)),0.45),0.45)</x:f>
        <x:v>0.45</x:v>
      </x:c>
      <x:c r="J106" s="8" t="n">
        <x:f>IF(H106="","",ROUND(H106*(1+I106),0))</x:f>
        <x:v>6225</x:v>
      </x:c>
      <x:c r="K106" s="8" t="n">
        <x:f>0</x:f>
        <x:v>0</x:v>
      </x:c>
      <x:c r="L106" s="8" t="n">
        <x:f>IFERROR(IFERROR(INDEX(EG_Cennik_uslug!$AJ:$AJ,MATCH($A106,EG_Cennik_uslug!$A:$A,0)),0),0)</x:f>
        <x:v>300</x:v>
      </x:c>
      <x:c r="M106" s="7" t="n">
        <x:f>IF('01_Ustawienia'!$B$4="ZWOLNIONY",0,'01_Ustawienia'!$B$7)</x:f>
        <x:v>0.08</x:v>
      </x:c>
      <x:c r="N106" s="8" t="n">
        <x:f>IF(J106="","",ROUND((J106+K106)*(1+M106),0))</x:f>
        <x:v>6723</x:v>
      </x:c>
      <x:c r="O106" s="8" t="n">
        <x:f>IF(J106="","",J106+K106-H106-L106)</x:f>
        <x:v>1632</x:v>
      </x:c>
      <x:c r="P106" s="7" t="n">
        <x:f>IFERROR(O106/(J106+K106),"")</x:f>
        <x:v>0.2621686746987952</x:v>
      </x:c>
      <x:c r="Q106" s="6" t="inlineStr">
        <x:is>
          <x:t xml:space="preserve">RAW_ZP N/O</x:t>
        </x:is>
      </x:c>
      <x:c r="R106" s="6" t="inlineStr">
        <x:is>
          <x:t xml:space="preserve">ROLETY BOCZNE</x:t>
        </x:is>
      </x:c>
      <x:c r="S106" s="6" t="inlineStr">
        <x:is>
          <x:t xml:space="preserve">website+crm</x:t>
        </x:is>
      </x:c>
      <x:c r="T106" s="6" t="n"/>
    </x:row>
    <x:row r="107">
      <x:c r="A107" s="6" t="inlineStr">
        <x:is>
          <x:t xml:space="preserve">300 x 806 cm</x:t>
        </x:is>
      </x:c>
      <x:c r="B107" s="6" t="inlineStr">
        <x:is>
          <x:t xml:space="preserve">M</x:t>
        </x:is>
      </x:c>
      <x:c r="C107" s="6" t="inlineStr">
        <x:is>
          <x:t xml:space="preserve">Markiza dachowa</x:t>
        </x:is>
      </x:c>
      <x:c r="D107" s="6" t="inlineStr">
        <x:is>
          <x:t xml:space="preserve">MARKIZA</x:t>
        </x:is>
      </x:c>
      <x:c r="E107" s="8" t="n">
        <x:f>IFERROR(INDEX('02_RAW_INDEX'!$H:$H,MATCH($A107,'02_RAW_INDEX'!$A:$A,0)),"")</x:f>
        <x:v>6992</x:v>
      </x:c>
      <x:c r="F107" s="8" t="n">
        <x:f>IFERROR(INDEX('02_RAW_INDEX'!$G:$G,MATCH($A107,'02_RAW_INDEX'!$A:$A,0)),"")</x:f>
        <x:v>8600</x:v>
      </x:c>
      <x:c r="G107" s="7" t="n">
        <x:f>'01_Ustawienia'!$B$6</x:f>
        <x:v>0</x:v>
      </x:c>
      <x:c r="H107" s="8" t="n">
        <x:f>IF(E107="","",ROUND(IF('01_Ustawienia'!$B$5="BRUTTO",F107,E107)*(1-G107),0))</x:f>
        <x:v>6992</x:v>
      </x:c>
      <x:c r="I107" s="7" t="n">
        <x:f>IFERROR(IFERROR(INDEX('01_Ustawienia'!$B$15:$B$33,MATCH(B107,'01_Ustawienia'!$A$15:$A$33,0)),0.45),0.45)</x:f>
        <x:v>0.45</x:v>
      </x:c>
      <x:c r="J107" s="8" t="n">
        <x:f>IF(H107="","",ROUND(H107*(1+I107),0))</x:f>
        <x:v>10138</x:v>
      </x:c>
      <x:c r="K107" s="8" t="n">
        <x:f>0</x:f>
        <x:v>0</x:v>
      </x:c>
      <x:c r="L107" s="8" t="n">
        <x:f>IFERROR(IFERROR(INDEX(EG_Cennik_uslug!$AQ:$AQ,MATCH($A107,EG_Cennik_uslug!$A:$A,0)),0),0)</x:f>
        <x:v>500</x:v>
      </x:c>
      <x:c r="M107" s="7" t="n">
        <x:f>IF('01_Ustawienia'!$B$4="ZWOLNIONY",0,'01_Ustawienia'!$B$7)</x:f>
        <x:v>0.08</x:v>
      </x:c>
      <x:c r="N107" s="8" t="n">
        <x:f>IF(J107="","",ROUND((J107+K107)*(1+M107),0))</x:f>
        <x:v>10949</x:v>
      </x:c>
      <x:c r="O107" s="8" t="n">
        <x:f>IF(J107="","",J107+K107-H107-L107)</x:f>
        <x:v>2646</x:v>
      </x:c>
      <x:c r="P107" s="7" t="n">
        <x:f>IFERROR(O107/(J107+K107),"")</x:f>
        <x:v>0.26099822450187415</x:v>
      </x:c>
      <x:c r="Q107" s="6" t="inlineStr">
        <x:is>
          <x:t xml:space="preserve">RAW_ZP H/I</x:t>
        </x:is>
      </x:c>
      <x:c r="R107" s="6" t="inlineStr">
        <x:is>
          <x:t xml:space="preserve">MARKIZA</x:t>
        </x:is>
      </x:c>
      <x:c r="S107" s="6" t="inlineStr">
        <x:is>
          <x:t xml:space="preserve">website+crm</x:t>
        </x:is>
      </x:c>
      <x:c r="T107" s="6" t="n"/>
    </x:row>
    <x:row r="108">
      <x:c r="A108" s="6" t="inlineStr">
        <x:is>
          <x:t xml:space="preserve">300 x 806 cm</x:t>
        </x:is>
      </x:c>
      <x:c r="B108" s="6" t="inlineStr">
        <x:is>
          <x:t xml:space="preserve">PDWP</x:t>
        </x:is>
      </x:c>
      <x:c r="C108" s="6" t="inlineStr">
        <x:is>
          <x:t xml:space="preserve">Fundament/profile</x:t>
        </x:is>
      </x:c>
      <x:c r="D108" s="6" t="inlineStr">
        <x:is>
          <x:t xml:space="preserve">FUNDAMENT / PROFILE</x:t>
        </x:is>
      </x:c>
      <x:c r="E108" s="8" t="n">
        <x:f>IFERROR(INDEX('02_RAW_INDEX'!$AH:$AH,MATCH($A108,'02_RAW_INDEX'!$A:$A,0)),"")</x:f>
        <x:v>902</x:v>
      </x:c>
      <x:c r="F108" s="8" t="n">
        <x:f>IFERROR(INDEX('02_RAW_INDEX'!$AG:$AG,MATCH($A108,'02_RAW_INDEX'!$A:$A,0)),"")</x:f>
        <x:v>1110</x:v>
      </x:c>
      <x:c r="G108" s="7" t="n">
        <x:f>'01_Ustawienia'!$B$6</x:f>
        <x:v>0</x:v>
      </x:c>
      <x:c r="H108" s="8" t="n">
        <x:f>IF(E108="","",ROUND(IF('01_Ustawienia'!$B$5="BRUTTO",F108,E108)*(1-G108),0))</x:f>
        <x:v>902</x:v>
      </x:c>
      <x:c r="I108" s="7" t="n">
        <x:f>IFERROR(IFERROR(INDEX('01_Ustawienia'!$B$15:$B$33,MATCH(B108,'01_Ustawienia'!$A$15:$A$33,0)),0.45),0.45)</x:f>
        <x:v>1.2</x:v>
      </x:c>
      <x:c r="J108" s="8" t="n">
        <x:f>IF(H108="","",ROUND(H108*(1+I108),0))</x:f>
        <x:v>1984</x:v>
      </x:c>
      <x:c r="K108" s="8" t="n">
        <x:f>0</x:f>
        <x:v>0</x:v>
      </x:c>
      <x:c r="L108" s="8" t="n">
        <x:f>IFERROR(IFERROR(INDEX(EG_Cennik_uslug!$BT:$BT,MATCH($A108,EG_Cennik_uslug!$A:$A,0)),0),0)</x:f>
        <x:v>420</x:v>
      </x:c>
      <x:c r="M108" s="7" t="n">
        <x:f>IF('01_Ustawienia'!$B$4="ZWOLNIONY",0,'01_Ustawienia'!$B$7)</x:f>
        <x:v>0.08</x:v>
      </x:c>
      <x:c r="N108" s="8" t="n">
        <x:f>IF(J108="","",ROUND((J108+K108)*(1+M108),0))</x:f>
        <x:v>2143</x:v>
      </x:c>
      <x:c r="O108" s="8" t="n">
        <x:f>IF(J108="","",J108+K108-H108-L108)</x:f>
        <x:v>662</x:v>
      </x:c>
      <x:c r="P108" s="7" t="n">
        <x:f>IFERROR(O108/(J108+K108),"")</x:f>
        <x:v>0.3336693548387097</x:v>
      </x:c>
      <x:c r="Q108" s="6" t="inlineStr">
        <x:is>
          <x:t xml:space="preserve">RAW_OP AB/AC</x:t>
        </x:is>
      </x:c>
      <x:c r="R108" s="6" t="inlineStr">
        <x:is>
          <x:t xml:space="preserve">FUNDAMENT (PROFILE)</x:t>
        </x:is>
      </x:c>
      <x:c r="S108" s="6" t="inlineStr">
        <x:is>
          <x:t xml:space="preserve">website+crm</x:t>
        </x:is>
      </x:c>
      <x:c r="T108" s="6" t="n"/>
    </x:row>
    <x:row r="109" s="655" customFormat="1" ht="30" customHeight="1">
      <x:c r="A109" s="6" t="inlineStr">
        <x:is>
          <x:t xml:space="preserve">300 x 806 cm</x:t>
        </x:is>
      </x:c>
      <x:c r="B109" s="6" t="inlineStr">
        <x:is>
          <x:t xml:space="preserve">ZAB</x:t>
        </x:is>
      </x:c>
      <x:c r="C109" s="6" t="inlineStr">
        <x:is>
          <x:t xml:space="preserve">Zabieraki do ścian przesuwnych</x:t>
        </x:is>
      </x:c>
      <x:c r="D109" s="6" t="inlineStr">
        <x:is>
          <x:t xml:space="preserve">DODATKI</x:t>
        </x:is>
      </x:c>
      <x:c r="E109" s="8" t="n">
        <x:f>IFERROR(INDEX('02_RAW_INDEX'!$AJ:$AJ,MATCH($A109,'02_RAW_INDEX'!$A:$A,0)),"")</x:f>
        <x:v>325</x:v>
      </x:c>
      <x:c r="F109" s="8" t="n">
        <x:f>IFERROR(INDEX('02_RAW_INDEX'!$AI:$AI,MATCH($A109,'02_RAW_INDEX'!$A:$A,0)),"")</x:f>
        <x:v>400</x:v>
      </x:c>
      <x:c r="G109" s="7" t="n">
        <x:f>'01_Ustawienia'!$B$6</x:f>
        <x:v>0</x:v>
      </x:c>
      <x:c r="H109" s="8" t="n">
        <x:f>IF(E109="","",ROUND(IF('01_Ustawienia'!$B$5="BRUTTO",F109,E109)*(1-G109),0))</x:f>
        <x:v>325</x:v>
      </x:c>
      <x:c r="I109" s="7" t="n">
        <x:f>IFERROR(IFERROR(INDEX('01_Ustawienia'!$B$15:$B$33,MATCH(B109,'01_Ustawienia'!$A$15:$A$33,0)),0.45),0.45)</x:f>
        <x:v>0.45</x:v>
      </x:c>
      <x:c r="J109" s="8" t="n">
        <x:f>IF(H109="","",ROUND(H109*(1+I109),0))</x:f>
        <x:v>471</x:v>
      </x:c>
      <x:c r="K109" s="8" t="n">
        <x:f>0</x:f>
        <x:v>0</x:v>
      </x:c>
      <x:c r="L109" s="8" t="n">
        <x:f>0</x:f>
        <x:v>0</x:v>
      </x:c>
      <x:c r="M109" s="7" t="n">
        <x:f>IF('01_Ustawienia'!$B$4="ZWOLNIONY",0,'01_Ustawienia'!$B$7)</x:f>
        <x:v>0.08</x:v>
      </x:c>
      <x:c r="N109" s="8" t="n">
        <x:f>IF(J109="","",ROUND((J109+K109)*(1+M109),0))</x:f>
        <x:v>509</x:v>
      </x:c>
      <x:c r="O109" s="8" t="n">
        <x:f>IF(J109="","",J109+K109-H109-L109)</x:f>
        <x:v>146</x:v>
      </x:c>
      <x:c r="P109" s="7" t="n">
        <x:f>IFERROR(O109/(J109+K109),"")</x:f>
        <x:v>0.3099787685774947</x:v>
      </x:c>
      <x:c r="Q109" s="6" t="inlineStr">
        <x:is>
          <x:t xml:space="preserve">RAW_OP AD/AE</x:t>
        </x:is>
      </x:c>
      <x:c r="R109" s="6" t="inlineStr">
        <x:is>
          <x:t xml:space="preserve">DODATKI</x:t>
        </x:is>
      </x:c>
      <x:c r="S109" s="6" t="inlineStr">
        <x:is>
          <x:t xml:space="preserve">crm_only</x:t>
        </x:is>
      </x:c>
      <x:c r="T109" s="6" t="n"/>
    </x:row>
    <x:row r="110">
      <x:c r="A110" s="6" t="inlineStr">
        <x:is>
          <x:t xml:space="preserve">300 x 806 cm</x:t>
        </x:is>
      </x:c>
      <x:c r="B110" s="6" t="inlineStr">
        <x:is>
          <x:t xml:space="preserve">S</x:t>
        </x:is>
      </x:c>
      <x:c r="C110" s="6" t="inlineStr">
        <x:is>
          <x:t xml:space="preserve">Szczotki przeciwkurzowe</x:t>
        </x:is>
      </x:c>
      <x:c r="D110" s="6" t="inlineStr">
        <x:is>
          <x:t xml:space="preserve">SZCZOTKI</x:t>
        </x:is>
      </x:c>
      <x:c r="E110" s="8" t="n">
        <x:f>IFERROR(INDEX('02_RAW_INDEX'!$AD:$AD,MATCH($A110,'02_RAW_INDEX'!$A:$A,0)),"")</x:f>
        <x:v>431</x:v>
      </x:c>
      <x:c r="F110" s="8" t="n">
        <x:f>IFERROR(INDEX('02_RAW_INDEX'!$AC:$AC,MATCH($A110,'02_RAW_INDEX'!$A:$A,0)),"")</x:f>
        <x:v>530</x:v>
      </x:c>
      <x:c r="G110" s="7" t="n">
        <x:f>'01_Ustawienia'!$B$6</x:f>
        <x:v>0</x:v>
      </x:c>
      <x:c r="H110" s="8" t="n">
        <x:f>IF(E110="","",ROUND(IF('01_Ustawienia'!$B$5="BRUTTO",F110,E110)*(1-G110),0))</x:f>
        <x:v>431</x:v>
      </x:c>
      <x:c r="I110" s="7" t="n">
        <x:f>IFERROR(IFERROR(INDEX('01_Ustawienia'!$B$15:$B$33,MATCH(B110,'01_Ustawienia'!$A$15:$A$33,0)),0.45),0.45)</x:f>
        <x:v>0.45</x:v>
      </x:c>
      <x:c r="J110" s="8" t="n">
        <x:f>IF(H110="","",ROUND(H110*(1+I110),0))</x:f>
        <x:v>625</x:v>
      </x:c>
      <x:c r="K110" s="8" t="n">
        <x:f>0</x:f>
        <x:v>0</x:v>
      </x:c>
      <x:c r="L110" s="8" t="n">
        <x:f>IFERROR(IFERROR(INDEX(EG_Cennik_uslug!$CA:$CA,MATCH($A110,EG_Cennik_uslug!$A:$A,0)),0),0)</x:f>
        <x:v>0</x:v>
      </x:c>
      <x:c r="M110" s="7" t="n">
        <x:f>IF('01_Ustawienia'!$B$4="ZWOLNIONY",0,'01_Ustawienia'!$B$7)</x:f>
        <x:v>0.08</x:v>
      </x:c>
      <x:c r="N110" s="8" t="n">
        <x:f>IF(J110="","",ROUND((J110+K110)*(1+M110),0))</x:f>
        <x:v>675</x:v>
      </x:c>
      <x:c r="O110" s="8" t="n">
        <x:f>IF(J110="","",J110+K110-H110-L110)</x:f>
        <x:v>194</x:v>
      </x:c>
      <x:c r="P110" s="7" t="n">
        <x:f>IFERROR(O110/(J110+K110),"")</x:f>
        <x:v>0.3104</x:v>
      </x:c>
      <x:c r="Q110" s="6" t="inlineStr">
        <x:is>
          <x:t xml:space="preserve">RAW_OP L/M</x:t>
        </x:is>
      </x:c>
      <x:c r="R110" s="6" t="inlineStr">
        <x:is>
          <x:t xml:space="preserve">DODATKI</x:t>
        </x:is>
      </x:c>
      <x:c r="S110" s="6" t="inlineStr">
        <x:is>
          <x:t xml:space="preserve">website+crm</x:t>
        </x:is>
      </x:c>
      <x:c r="T110" s="6" t="n"/>
    </x:row>
    <x:row r="111">
      <x:c r="A111" s="6" t="inlineStr">
        <x:is>
          <x:t xml:space="preserve">300 x 806 cm</x:t>
        </x:is>
      </x:c>
      <x:c r="B111" s="6" t="inlineStr">
        <x:is>
          <x:t xml:space="preserve">U</x:t>
        </x:is>
      </x:c>
      <x:c r="C111" s="6" t="inlineStr">
        <x:is>
          <x:t xml:space="preserve">Uchwyty na szkło ścienne</x:t>
        </x:is>
      </x:c>
      <x:c r="D111" s="6" t="inlineStr">
        <x:is>
          <x:t xml:space="preserve">UCHWYTY</x:t>
        </x:is>
      </x:c>
      <x:c r="E111" s="8" t="n">
        <x:f>IFERROR(INDEX('02_RAW_INDEX'!$AF:$AF,MATCH($A111,'02_RAW_INDEX'!$A:$A,0)),"")</x:f>
        <x:v>390</x:v>
      </x:c>
      <x:c r="F111" s="8" t="n">
        <x:f>IFERROR(INDEX('02_RAW_INDEX'!$AE:$AE,MATCH($A111,'02_RAW_INDEX'!$A:$A,0)),"")</x:f>
        <x:v>480</x:v>
      </x:c>
      <x:c r="G111" s="7" t="n">
        <x:f>'01_Ustawienia'!$B$6</x:f>
        <x:v>0</x:v>
      </x:c>
      <x:c r="H111" s="8" t="n">
        <x:f>IF(E111="","",ROUND(IF('01_Ustawienia'!$B$5="BRUTTO",F111,E111)*(1-G111),0))</x:f>
        <x:v>390</x:v>
      </x:c>
      <x:c r="I111" s="7" t="n">
        <x:f>IFERROR(IFERROR(INDEX('01_Ustawienia'!$B$15:$B$33,MATCH(B111,'01_Ustawienia'!$A$15:$A$33,0)),0.45),0.45)</x:f>
        <x:v>0.45</x:v>
      </x:c>
      <x:c r="J111" s="8" t="n">
        <x:f>IF(H111="","",ROUND(H111*(1+I111),0))</x:f>
        <x:v>566</x:v>
      </x:c>
      <x:c r="K111" s="8" t="n">
        <x:f>0</x:f>
        <x:v>0</x:v>
      </x:c>
      <x:c r="L111" s="8" t="n">
        <x:f>IFERROR(IFERROR(INDEX(EG_Cennik_uslug!$CH:$CH,MATCH($A111,EG_Cennik_uslug!$A:$A,0)),0),0)</x:f>
        <x:v>0</x:v>
      </x:c>
      <x:c r="M111" s="7" t="n">
        <x:f>IF('01_Ustawienia'!$B$4="ZWOLNIONY",0,'01_Ustawienia'!$B$7)</x:f>
        <x:v>0.08</x:v>
      </x:c>
      <x:c r="N111" s="8" t="n">
        <x:f>IF(J111="","",ROUND((J111+K111)*(1+M111),0))</x:f>
        <x:v>611</x:v>
      </x:c>
      <x:c r="O111" s="8" t="n">
        <x:f>IF(J111="","",J111+K111-H111-L111)</x:f>
        <x:v>176</x:v>
      </x:c>
      <x:c r="P111" s="7" t="n">
        <x:f>IFERROR(O111/(J111+K111),"")</x:f>
        <x:v>0.31095406360424027</x:v>
      </x:c>
      <x:c r="Q111" s="6" t="inlineStr">
        <x:is>
          <x:t xml:space="preserve">RAW_OP N/O</x:t>
        </x:is>
      </x:c>
      <x:c r="R111" s="6" t="inlineStr">
        <x:is>
          <x:t xml:space="preserve">DODATKI</x:t>
        </x:is>
      </x:c>
      <x:c r="S111" s="6" t="inlineStr">
        <x:is>
          <x:t xml:space="preserve">website+crm</x:t>
        </x:is>
      </x:c>
      <x:c r="T111" s="6" t="n"/>
    </x:row>
    <x:row r="112">
      <x:c r="A112" s="6" t="inlineStr">
        <x:is>
          <x:t xml:space="preserve">300 x 806 cm</x:t>
        </x:is>
      </x:c>
      <x:c r="B112" s="6" t="inlineStr">
        <x:is>
          <x:t xml:space="preserve">LED2</x:t>
        </x:is>
      </x:c>
      <x:c r="C112" s="6" t="inlineStr">
        <x:is>
          <x:t xml:space="preserve">Oświetlenie LED 2 punkty</x:t>
        </x:is>
      </x:c>
      <x:c r="D112" s="6" t="inlineStr">
        <x:is>
          <x:t xml:space="preserve">LED 2 PKT</x:t>
        </x:is>
      </x:c>
      <x:c r="E112" s="8" t="n">
        <x:f>IFERROR(INDEX('02_RAW_INDEX'!$N:$N,MATCH($A112,'02_RAW_INDEX'!$A:$A,0)),"")</x:f>
        <x:v>780</x:v>
      </x:c>
      <x:c r="F112" s="8" t="n">
        <x:f>IFERROR(INDEX('02_RAW_INDEX'!$M:$M,MATCH($A112,'02_RAW_INDEX'!$A:$A,0)),"")</x:f>
        <x:v>960</x:v>
      </x:c>
      <x:c r="G112" s="7" t="n">
        <x:f>'01_Ustawienia'!$B$6</x:f>
        <x:v>0</x:v>
      </x:c>
      <x:c r="H112" s="8" t="n">
        <x:f>IF(E112="","",ROUND(IF('01_Ustawienia'!$B$5="BRUTTO",F112,E112)*(1-G112),0))</x:f>
        <x:v>780</x:v>
      </x:c>
      <x:c r="I112" s="7" t="n">
        <x:f>IFERROR(IFERROR(INDEX('01_Ustawienia'!$B$15:$B$33,MATCH(B112,'01_Ustawienia'!$A$15:$A$33,0)),0.45),0.45)</x:f>
        <x:v>0.45</x:v>
      </x:c>
      <x:c r="J112" s="8" t="n">
        <x:f>IF(H112="","",ROUND(H112*(1+I112),0))</x:f>
        <x:v>1131</x:v>
      </x:c>
      <x:c r="K112" s="8" t="n">
        <x:f>0</x:f>
        <x:v>0</x:v>
      </x:c>
      <x:c r="L112" s="8" t="n">
        <x:f>IFERROR(IFERROR(INDEX(EG_Cennik_uslug!$CO:$CO,MATCH($A112,EG_Cennik_uslug!$A:$A,0)),0),0)</x:f>
        <x:v>0</x:v>
      </x:c>
      <x:c r="M112" s="7" t="n">
        <x:f>IF('01_Ustawienia'!$B$4="ZWOLNIONY",0,'01_Ustawienia'!$B$7)</x:f>
        <x:v>0.08</x:v>
      </x:c>
      <x:c r="N112" s="8" t="n">
        <x:f>IF(J112="","",ROUND((J112+K112)*(1+M112),0))</x:f>
        <x:v>1221</x:v>
      </x:c>
      <x:c r="O112" s="8" t="n">
        <x:f>IF(J112="","",J112+K112-H112-L112)</x:f>
        <x:v>351</x:v>
      </x:c>
      <x:c r="P112" s="7" t="n">
        <x:f>IFERROR(O112/(J112+K112),"")</x:f>
        <x:v>0.3103448275862069</x:v>
      </x:c>
      <x:c r="Q112" s="6" t="inlineStr">
        <x:is>
          <x:t xml:space="preserve">RAW_ZP P/Q</x:t>
        </x:is>
      </x:c>
      <x:c r="R112" s="6" t="inlineStr">
        <x:is>
          <x:t xml:space="preserve">OŚWIETLENIE</x:t>
        </x:is>
      </x:c>
      <x:c r="S112" s="6" t="inlineStr">
        <x:is>
          <x:t xml:space="preserve">website+crm</x:t>
        </x:is>
      </x:c>
      <x:c r="T112" s="6" t="n"/>
    </x:row>
    <x:row r="113">
      <x:c r="A113" s="6" t="inlineStr">
        <x:is>
          <x:t xml:space="preserve">300 x 806 cm</x:t>
        </x:is>
      </x:c>
      <x:c r="B113" s="6" t="inlineStr">
        <x:is>
          <x:t xml:space="preserve">LED3</x:t>
        </x:is>
      </x:c>
      <x:c r="C113" s="6" t="inlineStr">
        <x:is>
          <x:t xml:space="preserve">Oświetlenie LED 3 punkty</x:t>
        </x:is>
      </x:c>
      <x:c r="D113" s="6" t="inlineStr">
        <x:is>
          <x:t xml:space="preserve">LED 3 PKT</x:t>
        </x:is>
      </x:c>
      <x:c r="E113" s="8" t="n">
        <x:f>IFERROR(INDEX('02_RAW_INDEX'!$P:$P,MATCH($A113,'02_RAW_INDEX'!$A:$A,0)),"")</x:f>
        <x:v>1171</x:v>
      </x:c>
      <x:c r="F113" s="8" t="n">
        <x:f>IFERROR(INDEX('02_RAW_INDEX'!$O:$O,MATCH($A113,'02_RAW_INDEX'!$A:$A,0)),"")</x:f>
        <x:v>1440</x:v>
      </x:c>
      <x:c r="G113" s="7" t="n">
        <x:f>'01_Ustawienia'!$B$6</x:f>
        <x:v>0</x:v>
      </x:c>
      <x:c r="H113" s="8" t="n">
        <x:f>IF(E113="","",ROUND(IF('01_Ustawienia'!$B$5="BRUTTO",F113,E113)*(1-G113),0))</x:f>
        <x:v>1171</x:v>
      </x:c>
      <x:c r="I113" s="7" t="n">
        <x:f>IFERROR(IFERROR(INDEX('01_Ustawienia'!$B$15:$B$33,MATCH(B113,'01_Ustawienia'!$A$15:$A$33,0)),0.45),0.45)</x:f>
        <x:v>0.45</x:v>
      </x:c>
      <x:c r="J113" s="8" t="n">
        <x:f>IF(H113="","",ROUND(H113*(1+I113),0))</x:f>
        <x:v>1698</x:v>
      </x:c>
      <x:c r="K113" s="8" t="n">
        <x:f>0</x:f>
        <x:v>0</x:v>
      </x:c>
      <x:c r="L113" s="8" t="n">
        <x:f>IFERROR(IFERROR(INDEX(EG_Cennik_uslug!$CV:$CV,MATCH($A113,EG_Cennik_uslug!$A:$A,0)),0),0)</x:f>
        <x:v>0</x:v>
      </x:c>
      <x:c r="M113" s="7" t="n">
        <x:f>IF('01_Ustawienia'!$B$4="ZWOLNIONY",0,'01_Ustawienia'!$B$7)</x:f>
        <x:v>0.08</x:v>
      </x:c>
      <x:c r="N113" s="8" t="n">
        <x:f>IF(J113="","",ROUND((J113+K113)*(1+M113),0))</x:f>
        <x:v>1834</x:v>
      </x:c>
      <x:c r="O113" s="8" t="n">
        <x:f>IF(J113="","",J113+K113-H113-L113)</x:f>
        <x:v>527</x:v>
      </x:c>
      <x:c r="P113" s="7" t="n">
        <x:f>IFERROR(O113/(J113+K113),"")</x:f>
        <x:v>0.31036513545347466</x:v>
      </x:c>
      <x:c r="Q113" s="6" t="inlineStr">
        <x:is>
          <x:t xml:space="preserve">RAW_ZP R/S</x:t>
        </x:is>
      </x:c>
      <x:c r="R113" s="6" t="inlineStr">
        <x:is>
          <x:t xml:space="preserve">OŚWIETLENIE</x:t>
        </x:is>
      </x:c>
      <x:c r="S113" s="6" t="inlineStr">
        <x:is>
          <x:t xml:space="preserve">website+crm</x:t>
        </x:is>
      </x:c>
      <x:c r="T113" s="6" t="inlineStr">
        <x:is>
          <x:t xml:space="preserve">Nazwa do potwierdzenia</x:t>
        </x:is>
      </x:c>
    </x:row>
    <x:row r="114">
      <x:c r="A114" s="6" t="inlineStr">
        <x:is>
          <x:t xml:space="preserve">300 x 806 cm</x:t>
        </x:is>
      </x:c>
      <x:c r="B114" s="6" t="inlineStr">
        <x:is>
          <x:t xml:space="preserve">LEDCCT</x:t>
        </x:is>
      </x:c>
      <x:c r="C114" s="6" t="inlineStr">
        <x:is>
          <x:t xml:space="preserve">Oświetlenie LED CCT</x:t>
        </x:is>
      </x:c>
      <x:c r="D114" s="6" t="inlineStr">
        <x:is>
          <x:t xml:space="preserve">OŚWIETLENIE</x:t>
        </x:is>
      </x:c>
      <x:c r="E114" s="8" t="n">
        <x:f>IFERROR(INDEX('02_RAW_INDEX'!$R:$R,MATCH($A114,'02_RAW_INDEX'!$A:$A,0)),"")</x:f>
        <x:v>1340</x:v>
      </x:c>
      <x:c r="F114" s="8" t="n">
        <x:f>IFERROR(INDEX('02_RAW_INDEX'!$Q:$Q,MATCH($A114,'02_RAW_INDEX'!$A:$A,0)),"")</x:f>
        <x:v>1648</x:v>
      </x:c>
      <x:c r="G114" s="7" t="n">
        <x:f>'01_Ustawienia'!$B$6</x:f>
        <x:v>0</x:v>
      </x:c>
      <x:c r="H114" s="8" t="n">
        <x:f>IF(E114="","",ROUND(IF('01_Ustawienia'!$B$5="BRUTTO",F114,E114)*(1-G114),0))</x:f>
        <x:v>1340</x:v>
      </x:c>
      <x:c r="I114" s="7" t="n">
        <x:f>IFERROR(IFERROR(INDEX('01_Ustawienia'!$B$15:$B$33,MATCH(B114,'01_Ustawienia'!$A$15:$A$33,0)),0.45),0.45)</x:f>
        <x:v>0.45</x:v>
      </x:c>
      <x:c r="J114" s="8" t="n">
        <x:f>IF(H114="","",ROUND(H114*(1+I114),0))</x:f>
        <x:v>1943</x:v>
      </x:c>
      <x:c r="K114" s="8" t="n">
        <x:f>0</x:f>
        <x:v>0</x:v>
      </x:c>
      <x:c r="L114" s="8" t="n">
        <x:f>0</x:f>
        <x:v>0</x:v>
      </x:c>
      <x:c r="M114" s="7" t="n">
        <x:f>IF('01_Ustawienia'!$B$4="ZWOLNIONY",0,'01_Ustawienia'!$B$7)</x:f>
        <x:v>0.08</x:v>
      </x:c>
      <x:c r="N114" s="8" t="n">
        <x:f>IF(J114="","",ROUND((J114+K114)*(1+M114),0))</x:f>
        <x:v>2098</x:v>
      </x:c>
      <x:c r="O114" s="8" t="n">
        <x:f>IF(J114="","",J114+K114-H114-L114)</x:f>
        <x:v>603</x:v>
      </x:c>
      <x:c r="P114" s="7" t="n">
        <x:f>IFERROR(O114/(J114+K114),"")</x:f>
        <x:v>0.3103448275862069</x:v>
      </x:c>
      <x:c r="Q114" s="6" t="inlineStr">
        <x:is>
          <x:t xml:space="preserve">RAW_ZP T/U</x:t>
        </x:is>
      </x:c>
      <x:c r="R114" s="6" t="inlineStr">
        <x:is>
          <x:t xml:space="preserve">OŚWIETLENIE</x:t>
        </x:is>
      </x:c>
      <x:c r="S114" s="6" t="inlineStr">
        <x:is>
          <x:t xml:space="preserve">website+crm</x:t>
        </x:is>
      </x:c>
      <x:c r="T114" s="6" t="inlineStr">
        <x:is>
          <x:t xml:space="preserve">Opcja dodatkowa | FIX17: opcja LED dostępna dla strony; ceny 450-600 wg modelu FIX15.</x:t>
        </x:is>
      </x:c>
    </x:row>
    <x:row r="115">
      <x:c r="A115" s="6" t="inlineStr">
        <x:is>
          <x:t xml:space="preserve">300 x 806 cm</x:t>
        </x:is>
      </x:c>
      <x:c r="B115" s="6" t="inlineStr">
        <x:is>
          <x:t xml:space="preserve">LEDRGBCCT</x:t>
        </x:is>
      </x:c>
      <x:c r="C115" s="6" t="inlineStr">
        <x:is>
          <x:t xml:space="preserve">Oświetlenie LED RGB CCT</x:t>
        </x:is>
      </x:c>
      <x:c r="D115" s="6" t="inlineStr">
        <x:is>
          <x:t xml:space="preserve">OŚWIETLENIE</x:t>
        </x:is>
      </x:c>
      <x:c r="E115" s="8" t="n">
        <x:f>IFERROR(INDEX('02_RAW_INDEX'!$T:$T,MATCH($A115,'02_RAW_INDEX'!$A:$A,0)),"")</x:f>
        <x:v>2130</x:v>
      </x:c>
      <x:c r="F115" s="8" t="n">
        <x:f>IFERROR(INDEX('02_RAW_INDEX'!$S:$S,MATCH($A115,'02_RAW_INDEX'!$A:$A,0)),"")</x:f>
        <x:v>2620</x:v>
      </x:c>
      <x:c r="G115" s="7" t="n">
        <x:f>'01_Ustawienia'!$B$6</x:f>
        <x:v>0</x:v>
      </x:c>
      <x:c r="H115" s="8" t="n">
        <x:f>IF(E115="","",ROUND(IF('01_Ustawienia'!$B$5="BRUTTO",F115,E115)*(1-G115),0))</x:f>
        <x:v>2130</x:v>
      </x:c>
      <x:c r="I115" s="7" t="n">
        <x:f>IFERROR(IFERROR(INDEX('01_Ustawienia'!$B$15:$B$33,MATCH(B115,'01_Ustawienia'!$A$15:$A$33,0)),0.45),0.45)</x:f>
        <x:v>0.45</x:v>
      </x:c>
      <x:c r="J115" s="8" t="n">
        <x:f>IF(H115="","",ROUND(H115*(1+I115),0))</x:f>
        <x:v>3089</x:v>
      </x:c>
      <x:c r="K115" s="8" t="n">
        <x:f>0</x:f>
        <x:v>0</x:v>
      </x:c>
      <x:c r="L115" s="8" t="n">
        <x:f>0</x:f>
        <x:v>0</x:v>
      </x:c>
      <x:c r="M115" s="7" t="n">
        <x:f>IF('01_Ustawienia'!$B$4="ZWOLNIONY",0,'01_Ustawienia'!$B$7)</x:f>
        <x:v>0.08</x:v>
      </x:c>
      <x:c r="N115" s="8" t="n">
        <x:f>IF(J115="","",ROUND((J115+K115)*(1+M115),0))</x:f>
        <x:v>3336</x:v>
      </x:c>
      <x:c r="O115" s="8" t="n">
        <x:f>IF(J115="","",J115+K115-H115-L115)</x:f>
        <x:v>959</x:v>
      </x:c>
      <x:c r="P115" s="7" t="n">
        <x:f>IFERROR(O115/(J115+K115),"")</x:f>
        <x:v>0.31045645840077696</x:v>
      </x:c>
      <x:c r="Q115" s="6" t="inlineStr">
        <x:is>
          <x:t xml:space="preserve">RAW_ZP V/W</x:t>
        </x:is>
      </x:c>
      <x:c r="R115" s="6" t="inlineStr">
        <x:is>
          <x:t xml:space="preserve">OŚWIETLENIE</x:t>
        </x:is>
      </x:c>
      <x:c r="S115" s="6" t="inlineStr">
        <x:is>
          <x:t xml:space="preserve">crm_only</x:t>
        </x:is>
      </x:c>
      <x:c r="T115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116" s="655" customFormat="1" ht="30" customHeight="1">
      <x:c r="A116" s="6" t="inlineStr">
        <x:is>
          <x:t xml:space="preserve">300 x 906 cm</x:t>
        </x:is>
      </x:c>
      <x:c r="B116" s="6" t="inlineStr">
        <x:is>
          <x:t xml:space="preserve">ZP</x:t>
        </x:is>
      </x:c>
      <x:c r="C116" s="6" t="inlineStr">
        <x:is>
          <x:t xml:space="preserve">Zadaszenie poliwęglan - baza</x:t>
        </x:is>
      </x:c>
      <x:c r="D116" s="6" t="inlineStr">
        <x:is>
          <x:t xml:space="preserve">ZADASZENIE POLIWĘGLAN</x:t>
        </x:is>
      </x:c>
      <x:c r="E116" s="8" t="n">
        <x:f>IFERROR(INDEX('02_RAW_INDEX'!$D:$D,MATCH($A116,'02_RAW_INDEX'!$A:$A,0)),"")</x:f>
        <x:v>9634</x:v>
      </x:c>
      <x:c r="F116" s="8" t="n">
        <x:f>IFERROR(INDEX('02_RAW_INDEX'!$C:$C,MATCH($A116,'02_RAW_INDEX'!$A:$A,0)),"")</x:f>
        <x:v>11850</x:v>
      </x:c>
      <x:c r="G116" s="7" t="n">
        <x:f>'01_Ustawienia'!$B$6</x:f>
        <x:v>0</x:v>
      </x:c>
      <x:c r="H116" s="8" t="n">
        <x:f>IF(E116="","",ROUND(IF('01_Ustawienia'!$B$5="BRUTTO",F116,E116)*(1-G116),0))</x:f>
        <x:v>9634</x:v>
      </x:c>
      <x:c r="I116" s="7" t="n">
        <x:f>IFERROR(IFERROR(INDEX('01_Ustawienia'!$B$15:$B$33,MATCH(B116,'01_Ustawienia'!$A$15:$A$33,0)),0.45),0.45)</x:f>
        <x:v>0.45</x:v>
      </x:c>
      <x:c r="J116" s="8" t="n">
        <x:f>IF(H116="","",ROUND(H116*(1+I116),0))</x:f>
        <x:v>13969</x:v>
      </x:c>
      <x:c r="K116" s="8" t="n">
        <x:f>IFERROR(IFERROR(INDEX(EG_Cennik_uslug!$F:$F,MATCH($A116,EG_Cennik_uslug!$A:$A,0)),0),0)</x:f>
        <x:v>4190</x:v>
      </x:c>
      <x:c r="L116" s="8" t="n">
        <x:f>IFERROR(IFERROR(INDEX(EG_Cennik_uslug!$G:$G,MATCH($A116,EG_Cennik_uslug!$A:$A,0)),0),0)</x:f>
        <x:v>1500</x:v>
      </x:c>
      <x:c r="M116" s="7" t="n">
        <x:f>IF('01_Ustawienia'!$B$4="ZWOLNIONY",0,'01_Ustawienia'!$B$7)</x:f>
        <x:v>0.08</x:v>
      </x:c>
      <x:c r="N116" s="8" t="n">
        <x:f>IF(J116="","",ROUND((J116+K116)*(1+M116),0))</x:f>
        <x:v>19612</x:v>
      </x:c>
      <x:c r="O116" s="8" t="n">
        <x:f>IF(J116="","",J116+K116-H116-L116)</x:f>
        <x:v>7025</x:v>
      </x:c>
      <x:c r="P116" s="7" t="n">
        <x:f>IFERROR(O116/(J116+K116),"")</x:f>
        <x:v>0.3868605099399747</x:v>
      </x:c>
      <x:c r="Q116" s="6" t="inlineStr">
        <x:is>
          <x:t xml:space="preserve">RAW_ZP B/C</x:t>
        </x:is>
      </x:c>
      <x:c r="R116" s="6" t="inlineStr">
        <x:is>
          <x:t xml:space="preserve">ZADASZENIE TARASU KONSTRUKCJA</x:t>
        </x:is>
      </x:c>
      <x:c r="S116" s="6" t="inlineStr">
        <x:is>
          <x:t xml:space="preserve">website+crm</x:t>
        </x:is>
      </x:c>
      <x:c r="T116" s="6" t="inlineStr">
        <x:is>
          <x:t xml:space="preserve">Baza dla kalkulatora</x:t>
        </x:is>
      </x:c>
    </x:row>
    <x:row r="117" s="655" customFormat="1" ht="30" customHeight="1">
      <x:c r="A117" s="6" t="inlineStr">
        <x:is>
          <x:t xml:space="preserve">300 x 906 cm</x:t>
        </x:is>
      </x:c>
      <x:c r="B117" s="6" t="inlineStr">
        <x:is>
          <x:t xml:space="preserve">ZS</x:t>
        </x:is>
      </x:c>
      <x:c r="C117" s="6" t="inlineStr">
        <x:is>
          <x:t xml:space="preserve">Zadaszenie szkło - pełna konstrukcja</x:t>
        </x:is>
      </x:c>
      <x:c r="D117" s="6" t="inlineStr">
        <x:is>
          <x:t xml:space="preserve">ZADASZENIE SZKŁO</x:t>
        </x:is>
      </x:c>
      <x:c r="E117" s="8" t="n">
        <x:f>IFERROR(INDEX('02_RAW_INDEX'!$V:$V,MATCH($A117,'02_RAW_INDEX'!$A:$A,0)),"")</x:f>
        <x:v>13886</x:v>
      </x:c>
      <x:c r="F117" s="8" t="n">
        <x:f>IFERROR(INDEX('02_RAW_INDEX'!$U:$U,MATCH($A117,'02_RAW_INDEX'!$A:$A,0)),"")</x:f>
        <x:v>17080</x:v>
      </x:c>
      <x:c r="G117" s="7" t="n">
        <x:f>'01_Ustawienia'!$B$6</x:f>
        <x:v>0</x:v>
      </x:c>
      <x:c r="H117" s="8" t="n">
        <x:f>IF(E117="","",ROUND(IF('01_Ustawienia'!$B$5="BRUTTO",F117,E117)*(1-G117),0))</x:f>
        <x:v>13886</x:v>
      </x:c>
      <x:c r="I117" s="7" t="n">
        <x:f>IFERROR(IFERROR(INDEX('01_Ustawienia'!$B$15:$B$33,MATCH(B117,'01_Ustawienia'!$A$15:$A$33,0)),0.45),0.45)</x:f>
        <x:v>0.45</x:v>
      </x:c>
      <x:c r="J117" s="8" t="n">
        <x:f>IF(H117="","",ROUND(H117*(1+I117),0))</x:f>
        <x:v>20135</x:v>
      </x:c>
      <x:c r="K117" s="8" t="n">
        <x:f>IFERROR(IFERROR(INDEX(EG_Cennik_uslug!$F:$F,MATCH($A117,EG_Cennik_uslug!$A:$A,0)),0),0)</x:f>
        <x:v>4190</x:v>
      </x:c>
      <x:c r="L117" s="8" t="n">
        <x:f>IFERROR(IFERROR(INDEX(EG_Cennik_uslug!$G:$G,MATCH($A117,EG_Cennik_uslug!$A:$A,0)),0),0)</x:f>
        <x:v>1500</x:v>
      </x:c>
      <x:c r="M117" s="7" t="n">
        <x:f>IF('01_Ustawienia'!$B$4="ZWOLNIONY",0,'01_Ustawienia'!$B$7)</x:f>
        <x:v>0.08</x:v>
      </x:c>
      <x:c r="N117" s="8" t="n">
        <x:f>IF(J117="","",ROUND((J117+K117)*(1+M117),0))</x:f>
        <x:v>26271</x:v>
      </x:c>
      <x:c r="O117" s="8" t="n">
        <x:f>IF(J117="","",J117+K117-H117-L117)</x:f>
        <x:v>8939</x:v>
      </x:c>
      <x:c r="P117" s="7" t="n">
        <x:f>IFERROR(O117/(J117+K117),"")</x:f>
        <x:v>0.3674820143884892</x:v>
      </x:c>
      <x:c r="Q117" s="6" t="inlineStr">
        <x:is>
          <x:t xml:space="preserve">RAW_ZS B/C</x:t>
        </x:is>
      </x:c>
      <x:c r="R117" s="6" t="inlineStr">
        <x:is>
          <x:t xml:space="preserve">ZADASZENIE TARASU KONSTRUKCJA</x:t>
        </x:is>
      </x:c>
      <x:c r="S117" s="6" t="inlineStr">
        <x:is>
          <x:t xml:space="preserve">crm_only</x:t>
        </x:is>
      </x:c>
      <x:c r="T117" s="6" t="inlineStr">
        <x:is>
          <x:t xml:space="preserve">Referencyjne/full; strona zwykle używa ZP + PDS</x:t>
        </x:is>
      </x:c>
    </x:row>
    <x:row r="118" s="655" customFormat="1" ht="30" customHeight="1">
      <x:c r="A118" s="6" t="inlineStr">
        <x:is>
          <x:t xml:space="preserve">300 x 906 cm</x:t>
        </x:is>
      </x:c>
      <x:c r="B118" s="6" t="inlineStr">
        <x:is>
          <x:t xml:space="preserve">OP</x:t>
        </x:is>
      </x:c>
      <x:c r="C118" s="6" t="inlineStr">
        <x:is>
          <x:t xml:space="preserve">Ogród zimowy poliwęglan - baza</x:t>
        </x:is>
      </x:c>
      <x:c r="D118" s="6" t="inlineStr">
        <x:is>
          <x:t xml:space="preserve">OGRODY POLIWĘGLAN</x:t>
        </x:is>
      </x:c>
      <x:c r="E118" s="8" t="n">
        <x:f>IFERROR(INDEX('02_RAW_INDEX'!$Z:$Z,MATCH($A118,'02_RAW_INDEX'!$A:$A,0)),"")</x:f>
        <x:v>22073</x:v>
      </x:c>
      <x:c r="F118" s="8" t="n">
        <x:f>IFERROR(INDEX('02_RAW_INDEX'!$Y:$Y,MATCH($A118,'02_RAW_INDEX'!$A:$A,0)),"")</x:f>
        <x:v>27150</x:v>
      </x:c>
      <x:c r="G118" s="7" t="n">
        <x:f>'01_Ustawienia'!$B$6</x:f>
        <x:v>0</x:v>
      </x:c>
      <x:c r="H118" s="8" t="n">
        <x:f>IF(E118="","",ROUND(IF('01_Ustawienia'!$B$5="BRUTTO",F118,E118)*(1-G118),0))</x:f>
        <x:v>22073</x:v>
      </x:c>
      <x:c r="I118" s="7" t="n">
        <x:f>IFERROR(IFERROR(INDEX('01_Ustawienia'!$B$15:$B$33,MATCH(B118,'01_Ustawienia'!$A$15:$A$33,0)),0.45),0.45)</x:f>
        <x:v>0.45</x:v>
      </x:c>
      <x:c r="J118" s="8" t="n">
        <x:f>IF(H118="","",ROUND(H118*(1+I118),0))</x:f>
        <x:v>32006</x:v>
      </x:c>
      <x:c r="K118" s="8" t="n">
        <x:f>IFERROR(IFERROR(INDEX(EG_Cennik_uslug!$N:$N,MATCH($A118,EG_Cennik_uslug!$A:$A,0)),0),0)</x:f>
        <x:v>5500</x:v>
      </x:c>
      <x:c r="L118" s="8" t="n">
        <x:f>IFERROR(IFERROR(INDEX(EG_Cennik_uslug!$O:$O,MATCH($A118,EG_Cennik_uslug!$A:$A,0)),0),0)</x:f>
        <x:v>2100</x:v>
      </x:c>
      <x:c r="M118" s="7" t="n">
        <x:f>IF('01_Ustawienia'!$B$4="ZWOLNIONY",0,'01_Ustawienia'!$B$7)</x:f>
        <x:v>0.08</x:v>
      </x:c>
      <x:c r="N118" s="8" t="n">
        <x:f>IF(J118="","",ROUND((J118+K118)*(1+M118),0))</x:f>
        <x:v>40506</x:v>
      </x:c>
      <x:c r="O118" s="8" t="n">
        <x:f>IF(J118="","",J118+K118-H118-L118)</x:f>
        <x:v>13333</x:v>
      </x:c>
      <x:c r="P118" s="7" t="n">
        <x:f>IFERROR(O118/(J118+K118),"")</x:f>
        <x:v>0.35548978830053857</x:v>
      </x:c>
      <x:c r="Q118" s="6" t="inlineStr">
        <x:is>
          <x:t xml:space="preserve">RAW_OP B/C</x:t>
        </x:is>
      </x:c>
      <x:c r="R118" s="6" t="inlineStr">
        <x:is>
          <x:t xml:space="preserve">OGRÓD ZIMOWY (KONSTRUKCJA)</x:t>
        </x:is>
      </x:c>
      <x:c r="S118" s="6" t="inlineStr">
        <x:is>
          <x:t xml:space="preserve">website+crm</x:t>
        </x:is>
      </x:c>
      <x:c r="T118" s="6" t="inlineStr">
        <x:is>
          <x:t xml:space="preserve">Do wyliczenia dopłaty za ściany</x:t>
        </x:is>
      </x:c>
    </x:row>
    <x:row r="119" s="655" customFormat="1" ht="30" customHeight="1">
      <x:c r="A119" s="6" t="inlineStr">
        <x:is>
          <x:t xml:space="preserve">300 x 906 cm</x:t>
        </x:is>
      </x:c>
      <x:c r="B119" s="6" t="inlineStr">
        <x:is>
          <x:t xml:space="preserve">OS</x:t>
        </x:is>
      </x:c>
      <x:c r="C119" s="6" t="inlineStr">
        <x:is>
          <x:t xml:space="preserve">Ogród zimowy szkło - pełna konstrukcja</x:t>
        </x:is>
      </x:c>
      <x:c r="D119" s="6" t="inlineStr">
        <x:is>
          <x:t xml:space="preserve">OGRODY SZKŁO</x:t>
        </x:is>
      </x:c>
      <x:c r="E119" s="8" t="n">
        <x:f>IFERROR(INDEX('02_RAW_INDEX'!$AL:$AL,MATCH($A119,'02_RAW_INDEX'!$A:$A,0)),"")</x:f>
        <x:v>26317</x:v>
      </x:c>
      <x:c r="F119" s="8" t="n">
        <x:f>IFERROR(INDEX('02_RAW_INDEX'!$AK:$AK,MATCH($A119,'02_RAW_INDEX'!$A:$A,0)),"")</x:f>
        <x:v>32370</x:v>
      </x:c>
      <x:c r="G119" s="7" t="n">
        <x:f>'01_Ustawienia'!$B$6</x:f>
        <x:v>0</x:v>
      </x:c>
      <x:c r="H119" s="8" t="n">
        <x:f>IF(E119="","",ROUND(IF('01_Ustawienia'!$B$5="BRUTTO",F119,E119)*(1-G119),0))</x:f>
        <x:v>26317</x:v>
      </x:c>
      <x:c r="I119" s="7" t="n">
        <x:f>IFERROR(IFERROR(INDEX('01_Ustawienia'!$B$15:$B$33,MATCH(B119,'01_Ustawienia'!$A$15:$A$33,0)),0.45),0.45)</x:f>
        <x:v>0.45</x:v>
      </x:c>
      <x:c r="J119" s="8" t="n">
        <x:f>IF(H119="","",ROUND(H119*(1+I119),0))</x:f>
        <x:v>38160</x:v>
      </x:c>
      <x:c r="K119" s="8" t="n">
        <x:f>IFERROR(IFERROR(INDEX(EG_Cennik_uslug!$N:$N,MATCH($A119,EG_Cennik_uslug!$A:$A,0)),0),0)</x:f>
        <x:v>5500</x:v>
      </x:c>
      <x:c r="L119" s="8" t="n">
        <x:f>IFERROR(IFERROR(INDEX(EG_Cennik_uslug!$O:$O,MATCH($A119,EG_Cennik_uslug!$A:$A,0)),0),0)</x:f>
        <x:v>2100</x:v>
      </x:c>
      <x:c r="M119" s="7" t="n">
        <x:f>IF('01_Ustawienia'!$B$4="ZWOLNIONY",0,'01_Ustawienia'!$B$7)</x:f>
        <x:v>0.08</x:v>
      </x:c>
      <x:c r="N119" s="8" t="n">
        <x:f>IF(J119="","",ROUND((J119+K119)*(1+M119),0))</x:f>
        <x:v>47153</x:v>
      </x:c>
      <x:c r="O119" s="8" t="n">
        <x:f>IF(J119="","",J119+K119-H119-L119)</x:f>
        <x:v>15243</x:v>
      </x:c>
      <x:c r="P119" s="7" t="n">
        <x:f>IFERROR(O119/(J119+K119),"")</x:f>
        <x:v>0.34912963811268893</x:v>
      </x:c>
      <x:c r="Q119" s="6" t="inlineStr">
        <x:is>
          <x:t xml:space="preserve">RAW_OS B/C</x:t>
        </x:is>
      </x:c>
      <x:c r="R119" s="6" t="inlineStr">
        <x:is>
          <x:t xml:space="preserve">OGRÓD ZIMOWY (KONSTRUKCJA)</x:t>
        </x:is>
      </x:c>
      <x:c r="S119" s="6" t="inlineStr">
        <x:is>
          <x:t xml:space="preserve">crm_only</x:t>
        </x:is>
      </x:c>
      <x:c r="T119" s="6" t="inlineStr">
        <x:is>
          <x:t xml:space="preserve">Referencyjne/full</x:t>
        </x:is>
      </x:c>
    </x:row>
    <x:row r="120" s="655" customFormat="1" ht="30" customHeight="1">
      <x:c r="A120" s="6" t="inlineStr">
        <x:is>
          <x:t xml:space="preserve">300 x 906 cm</x:t>
        </x:is>
      </x:c>
      <x:c r="B120" s="6" t="inlineStr">
        <x:is>
          <x:t xml:space="preserve">PDS</x:t>
        </x:is>
      </x:c>
      <x:c r="C120" s="6" t="inlineStr">
        <x:is>
          <x:t xml:space="preserve">Dopłata dach szkło przezroczyste</x:t>
        </x:is>
      </x:c>
      <x:c r="D120" s="6" t="inlineStr">
        <x:is>
          <x:t xml:space="preserve">POKRYCIE DACHU SZKŁO</x:t>
        </x:is>
      </x:c>
      <x:c r="E120" s="8" t="n">
        <x:f>IFERROR(IFERROR(INDEX('02_RAW_INDEX'!$V:$V,MATCH($A120,'02_RAW_INDEX'!$A:$A,0)),"")-IFERROR(INDEX('02_RAW_INDEX'!$D:$D,MATCH($A120,'02_RAW_INDEX'!$A:$A,0)),""),"")</x:f>
        <x:v>4252</x:v>
      </x:c>
      <x:c r="F120" s="8" t="n">
        <x:f>IFERROR(IFERROR(INDEX('02_RAW_INDEX'!$U:$U,MATCH($A120,'02_RAW_INDEX'!$A:$A,0)),"")-IFERROR(INDEX('02_RAW_INDEX'!$C:$C,MATCH($A120,'02_RAW_INDEX'!$A:$A,0)),""),"")</x:f>
        <x:v>5230</x:v>
      </x:c>
      <x:c r="G120" s="7" t="n">
        <x:f>'01_Ustawienia'!$B$6</x:f>
        <x:v>0</x:v>
      </x:c>
      <x:c r="H120" s="8" t="n">
        <x:f>IF(E120="","",ROUND(IF('01_Ustawienia'!$B$5="BRUTTO",F120,E120)*(1-G120),0))</x:f>
        <x:v>4252</x:v>
      </x:c>
      <x:c r="I120" s="7" t="n">
        <x:f>IFERROR(IFERROR(INDEX('01_Ustawienia'!$B$15:$B$33,MATCH(B120,'01_Ustawienia'!$A$15:$A$33,0)),0.45),0.45)</x:f>
        <x:v>0.45</x:v>
      </x:c>
      <x:c r="J120" s="8" t="n">
        <x:f>IF(H120="","",ROUND(H120*(1+I120),0))</x:f>
        <x:v>6165</x:v>
      </x:c>
      <x:c r="K120" s="8" t="n">
        <x:f>0</x:f>
        <x:v>0</x:v>
      </x:c>
      <x:c r="L120" s="8" t="n">
        <x:v>0</x:v>
      </x:c>
      <x:c r="M120" s="7" t="n">
        <x:f>IF('01_Ustawienia'!$B$4="ZWOLNIONY",0,'01_Ustawienia'!$B$7)</x:f>
        <x:v>0.08</x:v>
      </x:c>
      <x:c r="N120" s="8" t="n">
        <x:f>IF(J120="","",ROUND((J120+K120)*(1+M120),0))</x:f>
        <x:v>6658</x:v>
      </x:c>
      <x:c r="O120" s="8" t="n">
        <x:f>IF(J120="","",J120+K120-H120-L120)</x:f>
        <x:v>1913</x:v>
      </x:c>
      <x:c r="P120" s="7" t="n">
        <x:f>IFERROR(O120/(J120+K120),"")</x:f>
        <x:v>0.31030008110300084</x:v>
      </x:c>
      <x:c r="Q120" s="6" t="inlineStr">
        <x:is>
          <x:t xml:space="preserve">RAW_ZS - RAW_ZP</x:t>
        </x:is>
      </x:c>
      <x:c r="R120" s="6" t="inlineStr">
        <x:is>
          <x:t xml:space="preserve">POKRYCIE DACHU</x:t>
        </x:is>
      </x:c>
      <x:c r="S120" s="6" t="inlineStr">
        <x:is>
          <x:t xml:space="preserve">website+crm</x:t>
        </x:is>
      </x:c>
      <x:c r="T120" s="6" t="inlineStr">
        <x:is>
          <x:t xml:space="preserve">Dopłata do bazowego dachu poliwęglan | FIX17: Wynagr.+koszty = 0 dla dopłaty; nie jest osobnym montażem ekipy.</x:t>
        </x:is>
      </x:c>
    </x:row>
    <x:row r="121" s="655" customFormat="1" ht="30" customHeight="1">
      <x:c r="A121" s="6" t="inlineStr">
        <x:is>
          <x:t xml:space="preserve">300 x 906 cm</x:t>
        </x:is>
      </x:c>
      <x:c r="B121" s="6" t="inlineStr">
        <x:is>
          <x:t xml:space="preserve">PDSB</x:t>
        </x:is>
      </x:c>
      <x:c r="C121" s="6" t="inlineStr">
        <x:is>
          <x:t xml:space="preserve">Dopłata dach szkło barwione/mleczne</x:t>
        </x:is>
      </x:c>
      <x:c r="D121" s="6" t="inlineStr">
        <x:is>
          <x:t xml:space="preserve">POKRYCIE DACHU SZKŁO BARWIONE</x:t>
        </x:is>
      </x:c>
      <x:c r="E121" s="8" t="n">
        <x:f>IFERROR(INDEX('02_RAW_INDEX'!$X:$X,MATCH($A121,'02_RAW_INDEX'!$A:$A,0)),"")</x:f>
        <x:v>813</x:v>
      </x:c>
      <x:c r="F121" s="8" t="n">
        <x:f>IFERROR(INDEX('02_RAW_INDEX'!$W:$W,MATCH($A121,'02_RAW_INDEX'!$A:$A,0)),"")</x:f>
        <x:v>1000</x:v>
      </x:c>
      <x:c r="G121" s="7" t="n">
        <x:f>'01_Ustawienia'!$B$6</x:f>
        <x:v>0</x:v>
      </x:c>
      <x:c r="H121" s="8" t="n">
        <x:f>IF(E121="","",ROUND(IF('01_Ustawienia'!$B$5="BRUTTO",F121,E121)*(1-G121),0))</x:f>
        <x:v>813</x:v>
      </x:c>
      <x:c r="I121" s="7" t="n">
        <x:f>IFERROR(IFERROR(INDEX('01_Ustawienia'!$B$15:$B$33,MATCH(B121,'01_Ustawienia'!$A$15:$A$33,0)),0.45),0.45)</x:f>
        <x:v>0.45</x:v>
      </x:c>
      <x:c r="J121" s="8" t="n">
        <x:f>IF(H121="","",ROUND(H121*(1+I121),0))</x:f>
        <x:v>1179</x:v>
      </x:c>
      <x:c r="K121" s="8" t="n">
        <x:f>0</x:f>
        <x:v>0</x:v>
      </x:c>
      <x:c r="L121" s="8" t="n">
        <x:v>0</x:v>
      </x:c>
      <x:c r="M121" s="7" t="n">
        <x:f>IF('01_Ustawienia'!$B$4="ZWOLNIONY",0,'01_Ustawienia'!$B$7)</x:f>
        <x:v>0.08</x:v>
      </x:c>
      <x:c r="N121" s="8" t="n">
        <x:f>IF(J121="","",ROUND((J121+K121)*(1+M121),0))</x:f>
        <x:v>1273</x:v>
      </x:c>
      <x:c r="O121" s="8" t="n">
        <x:f>IF(J121="","",J121+K121-H121-L121)</x:f>
        <x:v>366</x:v>
      </x:c>
      <x:c r="P121" s="7" t="n">
        <x:f>IFERROR(O121/(J121+K121),"")</x:f>
        <x:v>0.3104325699745547</x:v>
      </x:c>
      <x:c r="Q121" s="6" t="inlineStr">
        <x:is>
          <x:t xml:space="preserve">RAW_ZS D/E</x:t>
        </x:is>
      </x:c>
      <x:c r="R121" s="6" t="inlineStr">
        <x:is>
          <x:t xml:space="preserve">POKRYCIE DACHU</x:t>
        </x:is>
      </x:c>
      <x:c r="S121" s="6" t="inlineStr">
        <x:is>
          <x:t xml:space="preserve">website+crm</x:t>
        </x:is>
      </x:c>
      <x:c r="T121" s="6" t="inlineStr">
        <x:is>
          <x:t xml:space="preserve">Dodawane do PDS | FIX17: Wynagr.+koszty = 0 dla dopłaty; nie jest osobnym montażem ekipy.</x:t>
        </x:is>
      </x:c>
    </x:row>
    <x:row r="122" s="655" customFormat="1" ht="30" customHeight="1">
      <x:c r="A122" s="6" t="inlineStr">
        <x:is>
          <x:t xml:space="preserve">300 x 906 cm</x:t>
        </x:is>
      </x:c>
      <x:c r="B122" s="6" t="inlineStr">
        <x:is>
          <x:t xml:space="preserve">PDPB</x:t>
        </x:is>
      </x:c>
      <x:c r="C122" s="6" t="inlineStr">
        <x:is>
          <x:t xml:space="preserve">Dopłata poliwęglan barwiony</x:t>
        </x:is>
      </x:c>
      <x:c r="D122" s="6" t="inlineStr">
        <x:is>
          <x:t xml:space="preserve">POKRYCIE DACHU POLIWĘGLAN BARWIONY</x:t>
        </x:is>
      </x:c>
      <x:c r="E122" s="8" t="n">
        <x:f>IFERROR(INDEX('02_RAW_INDEX'!$F:$F,MATCH($A122,'02_RAW_INDEX'!$A:$A,0)),"")</x:f>
        <x:v>398</x:v>
      </x:c>
      <x:c r="F122" s="8" t="n">
        <x:f>IFERROR(INDEX('02_RAW_INDEX'!$E:$E,MATCH($A122,'02_RAW_INDEX'!$A:$A,0)),"")</x:f>
        <x:v>490</x:v>
      </x:c>
      <x:c r="G122" s="7" t="n">
        <x:f>'01_Ustawienia'!$B$6</x:f>
        <x:v>0</x:v>
      </x:c>
      <x:c r="H122" s="8" t="n">
        <x:f>IF(E122="","",ROUND(IF('01_Ustawienia'!$B$5="BRUTTO",F122,E122)*(1-G122),0))</x:f>
        <x:v>398</x:v>
      </x:c>
      <x:c r="I122" s="7" t="n">
        <x:f>IFERROR(IFERROR(INDEX('01_Ustawienia'!$B$15:$B$33,MATCH(B122,'01_Ustawienia'!$A$15:$A$33,0)),0.45),0.45)</x:f>
        <x:v>0.45</x:v>
      </x:c>
      <x:c r="J122" s="8" t="n">
        <x:f>IF(H122="","",ROUND(H122*(1+I122),0))</x:f>
        <x:v>577</x:v>
      </x:c>
      <x:c r="K122" s="8" t="n">
        <x:f>0</x:f>
        <x:v>0</x:v>
      </x:c>
      <x:c r="L122" s="8" t="n">
        <x:v>0</x:v>
      </x:c>
      <x:c r="M122" s="7" t="n">
        <x:f>IF('01_Ustawienia'!$B$4="ZWOLNIONY",0,'01_Ustawienia'!$B$7)</x:f>
        <x:v>0.08</x:v>
      </x:c>
      <x:c r="N122" s="8" t="n">
        <x:f>IF(J122="","",ROUND((J122+K122)*(1+M122),0))</x:f>
        <x:v>623</x:v>
      </x:c>
      <x:c r="O122" s="8" t="n">
        <x:f>IF(J122="","",J122+K122-H122-L122)</x:f>
        <x:v>179</x:v>
      </x:c>
      <x:c r="P122" s="7" t="n">
        <x:f>IFERROR(O122/(J122+K122),"")</x:f>
        <x:v>0.31022530329289427</x:v>
      </x:c>
      <x:c r="Q122" s="6" t="inlineStr">
        <x:is>
          <x:t xml:space="preserve">RAW_ZP D/E</x:t>
        </x:is>
      </x:c>
      <x:c r="R122" s="6" t="inlineStr">
        <x:is>
          <x:t xml:space="preserve">POKRYCIE DACHU</x:t>
        </x:is>
      </x:c>
      <x:c r="S122" s="6" t="inlineStr">
        <x:is>
          <x:t xml:space="preserve">website+crm</x:t>
        </x:is>
      </x:c>
      <x:c r="T122" s="6" t="inlineStr">
        <x:is>
          <x:t xml:space="preserve">FIX17: Wynagr.+koszty = 0 dla dopłaty; nie jest osobnym montażem ekipy.</x:t>
        </x:is>
      </x:c>
    </x:row>
    <x:row r="123" s="655" customFormat="1" ht="30" customHeight="1">
      <x:c r="A123" s="6" t="inlineStr">
        <x:is>
          <x:t xml:space="preserve">300 x 906 cm</x:t>
        </x:is>
      </x:c>
      <x:c r="B123" s="6" t="inlineStr">
        <x:is>
          <x:t xml:space="preserve">SBB</x:t>
        </x:is>
      </x:c>
      <x:c r="C123" s="6" t="inlineStr">
        <x:is>
          <x:t xml:space="preserve">Dopłata szkło boczne przyciemniane</x:t>
        </x:is>
      </x:c>
      <x:c r="D123" s="6" t="inlineStr">
        <x:is>
          <x:t xml:space="preserve">SZKŁO BOCZNE BARWIONE</x:t>
        </x:is>
      </x:c>
      <x:c r="E123" s="8" t="n">
        <x:f>IFERROR(INDEX('02_RAW_INDEX'!$AB:$AB,MATCH($A123,'02_RAW_INDEX'!$A:$A,0)),"")</x:f>
        <x:v>1463</x:v>
      </x:c>
      <x:c r="F123" s="8" t="n">
        <x:f>IFERROR(INDEX('02_RAW_INDEX'!$AA:$AA,MATCH($A123,'02_RAW_INDEX'!$A:$A,0)),"")</x:f>
        <x:v>1800</x:v>
      </x:c>
      <x:c r="G123" s="7" t="n">
        <x:f>'01_Ustawienia'!$B$6</x:f>
        <x:v>0</x:v>
      </x:c>
      <x:c r="H123" s="8" t="n">
        <x:f>IF(E123="","",ROUND(IF('01_Ustawienia'!$B$5="BRUTTO",F123,E123)*(1-G123),0))</x:f>
        <x:v>1463</x:v>
      </x:c>
      <x:c r="I123" s="7" t="n">
        <x:f>IFERROR(IFERROR(INDEX('01_Ustawienia'!$B$15:$B$33,MATCH(B123,'01_Ustawienia'!$A$15:$A$33,0)),0.45),0.45)</x:f>
        <x:v>0.45</x:v>
      </x:c>
      <x:c r="J123" s="8" t="n">
        <x:f>IF(H123="","",ROUND(H123*(1+I123),0))</x:f>
        <x:v>2121</x:v>
      </x:c>
      <x:c r="K123" s="8" t="n">
        <x:f>0</x:f>
        <x:v>0</x:v>
      </x:c>
      <x:c r="L123" s="8" t="n">
        <x:v>0</x:v>
      </x:c>
      <x:c r="M123" s="7" t="n">
        <x:f>IF('01_Ustawienia'!$B$4="ZWOLNIONY",0,'01_Ustawienia'!$B$7)</x:f>
        <x:v>0.08</x:v>
      </x:c>
      <x:c r="N123" s="8" t="n">
        <x:f>IF(J123="","",ROUND((J123+K123)*(1+M123),0))</x:f>
        <x:v>2291</x:v>
      </x:c>
      <x:c r="O123" s="8" t="n">
        <x:f>IF(J123="","",J123+K123-H123-L123)</x:f>
        <x:v>658</x:v>
      </x:c>
      <x:c r="P123" s="7" t="n">
        <x:f>IFERROR(O123/(J123+K123),"")</x:f>
        <x:v>0.3102310231023102</x:v>
      </x:c>
      <x:c r="Q123" s="6" t="inlineStr">
        <x:is>
          <x:t xml:space="preserve">RAW_OP H/I</x:t>
        </x:is>
      </x:c>
      <x:c r="R123" s="6" t="inlineStr">
        <x:is>
          <x:t xml:space="preserve">SZYBY BOCZNE</x:t>
        </x:is>
      </x:c>
      <x:c r="S123" s="6" t="inlineStr">
        <x:is>
          <x:t xml:space="preserve">website+crm</x:t>
        </x:is>
      </x:c>
      <x:c r="T123" s="6" t="inlineStr">
        <x:is>
          <x:t xml:space="preserve">Dodawane do ścian przezroczystych | FIX17: Wynagr.+koszty = 0 dla dopłaty; nie jest osobnym montażem ekipy.</x:t>
        </x:is>
      </x:c>
    </x:row>
    <x:row r="124">
      <x:c r="A124" s="6" t="inlineStr">
        <x:is>
          <x:t xml:space="preserve">300 x 906 cm</x:t>
        </x:is>
      </x:c>
      <x:c r="B124" s="6" t="inlineStr">
        <x:is>
          <x:t xml:space="preserve">RB</x:t>
        </x:is>
      </x:c>
      <x:c r="C124" s="6" t="inlineStr">
        <x:is>
          <x:t xml:space="preserve">Roleta boczna ZIP</x:t>
        </x:is>
      </x:c>
      <x:c r="D124" s="6" t="inlineStr">
        <x:is>
          <x:t xml:space="preserve">ROLETA BOCZNA</x:t>
        </x:is>
      </x:c>
      <x:c r="E124" s="8" t="n">
        <x:f>IFERROR(INDEX('02_RAW_INDEX'!$J:$J,MATCH($A124,'02_RAW_INDEX'!$A:$A,0)),"")</x:f>
        <x:v>1740</x:v>
      </x:c>
      <x:c r="F124" s="8" t="n">
        <x:f>IFERROR(INDEX('02_RAW_INDEX'!$I:$I,MATCH($A124,'02_RAW_INDEX'!$A:$A,0)),"")</x:f>
        <x:v>2140</x:v>
      </x:c>
      <x:c r="G124" s="7" t="n">
        <x:f>'01_Ustawienia'!$B$6</x:f>
        <x:v>0</x:v>
      </x:c>
      <x:c r="H124" s="8" t="n">
        <x:f>IF(E124="","",ROUND(IF('01_Ustawienia'!$B$5="BRUTTO",F124,E124)*(1-G124),0))</x:f>
        <x:v>1740</x:v>
      </x:c>
      <x:c r="I124" s="7" t="n">
        <x:f>IFERROR(IFERROR(INDEX('01_Ustawienia'!$B$15:$B$33,MATCH(B124,'01_Ustawienia'!$A$15:$A$33,0)),0.45),0.45)</x:f>
        <x:v>0.45</x:v>
      </x:c>
      <x:c r="J124" s="8" t="n">
        <x:f>IF(H124="","",ROUND(H124*(1+I124),0))</x:f>
        <x:v>2523</x:v>
      </x:c>
      <x:c r="K124" s="8" t="n">
        <x:f>0</x:f>
        <x:v>0</x:v>
      </x:c>
      <x:c r="L124" s="8" t="n">
        <x:f>IFERROR(IFERROR(INDEX(EG_Cennik_uslug!$AC:$AC,MATCH($A124,EG_Cennik_uslug!$A:$A,0)),0),0)</x:f>
        <x:v>150</x:v>
      </x:c>
      <x:c r="M124" s="7" t="n">
        <x:f>IF('01_Ustawienia'!$B$4="ZWOLNIONY",0,'01_Ustawienia'!$B$7)</x:f>
        <x:v>0.08</x:v>
      </x:c>
      <x:c r="N124" s="8" t="n">
        <x:f>IF(J124="","",ROUND((J124+K124)*(1+M124),0))</x:f>
        <x:v>2725</x:v>
      </x:c>
      <x:c r="O124" s="8" t="n">
        <x:f>IF(J124="","",J124+K124-H124-L124)</x:f>
        <x:v>633</x:v>
      </x:c>
      <x:c r="P124" s="7" t="n">
        <x:f>IFERROR(O124/(J124+K124),"")</x:f>
        <x:v>0.25089179548156954</x:v>
      </x:c>
      <x:c r="Q124" s="6" t="inlineStr">
        <x:is>
          <x:t xml:space="preserve">RAW_ZP J/K</x:t>
        </x:is>
      </x:c>
      <x:c r="R124" s="6" t="inlineStr">
        <x:is>
          <x:t xml:space="preserve">ROLETY BOCZNE</x:t>
        </x:is>
      </x:c>
      <x:c r="S124" s="6" t="inlineStr">
        <x:is>
          <x:t xml:space="preserve">website+crm</x:t>
        </x:is>
      </x:c>
      <x:c r="T124" s="6" t="inlineStr">
        <x:is>
          <x:t xml:space="preserve">Używana dla lewej i prawej</x:t>
        </x:is>
      </x:c>
    </x:row>
    <x:row r="125">
      <x:c r="A125" s="6" t="inlineStr">
        <x:is>
          <x:t xml:space="preserve">300 x 906 cm</x:t>
        </x:is>
      </x:c>
      <x:c r="B125" s="6" t="inlineStr">
        <x:is>
          <x:t xml:space="preserve">RP</x:t>
        </x:is>
      </x:c>
      <x:c r="C125" s="6" t="inlineStr">
        <x:is>
          <x:t xml:space="preserve">Roleta przednia ZIP</x:t>
        </x:is>
      </x:c>
      <x:c r="D125" s="6" t="inlineStr">
        <x:is>
          <x:t xml:space="preserve">ROLETA PRZÓD</x:t>
        </x:is>
      </x:c>
      <x:c r="E125" s="8" t="n">
        <x:f>IFERROR(INDEX('02_RAW_INDEX'!$L:$L,MATCH($A125,'02_RAW_INDEX'!$A:$A,0)),"")</x:f>
        <x:v>5203</x:v>
      </x:c>
      <x:c r="F125" s="8" t="n">
        <x:f>IFERROR(INDEX('02_RAW_INDEX'!$K:$K,MATCH($A125,'02_RAW_INDEX'!$A:$A,0)),"")</x:f>
        <x:v>6400</x:v>
      </x:c>
      <x:c r="G125" s="7" t="n">
        <x:f>'01_Ustawienia'!$B$6</x:f>
        <x:v>0</x:v>
      </x:c>
      <x:c r="H125" s="8" t="n">
        <x:f>IF(E125="","",ROUND(IF('01_Ustawienia'!$B$5="BRUTTO",F125,E125)*(1-G125),0))</x:f>
        <x:v>5203</x:v>
      </x:c>
      <x:c r="I125" s="7" t="n">
        <x:f>IFERROR(IFERROR(INDEX('01_Ustawienia'!$B$15:$B$33,MATCH(B125,'01_Ustawienia'!$A$15:$A$33,0)),0.45),0.45)</x:f>
        <x:v>0.45</x:v>
      </x:c>
      <x:c r="J125" s="8" t="n">
        <x:f>IF(H125="","",ROUND(H125*(1+I125),0))</x:f>
        <x:v>7544</x:v>
      </x:c>
      <x:c r="K125" s="8" t="n">
        <x:f>0</x:f>
        <x:v>0</x:v>
      </x:c>
      <x:c r="L125" s="8" t="n">
        <x:f>IFERROR(IFERROR(INDEX(EG_Cennik_uslug!$AJ:$AJ,MATCH($A125,EG_Cennik_uslug!$A:$A,0)),0),0)</x:f>
        <x:v>450</x:v>
      </x:c>
      <x:c r="M125" s="7" t="n">
        <x:f>IF('01_Ustawienia'!$B$4="ZWOLNIONY",0,'01_Ustawienia'!$B$7)</x:f>
        <x:v>0.08</x:v>
      </x:c>
      <x:c r="N125" s="8" t="n">
        <x:f>IF(J125="","",ROUND((J125+K125)*(1+M125),0))</x:f>
        <x:v>8148</x:v>
      </x:c>
      <x:c r="O125" s="8" t="n">
        <x:f>IF(J125="","",J125+K125-H125-L125)</x:f>
        <x:v>1891</x:v>
      </x:c>
      <x:c r="P125" s="7" t="n">
        <x:f>IFERROR(O125/(J125+K125),"")</x:f>
        <x:v>0.2506627783669141</x:v>
      </x:c>
      <x:c r="Q125" s="6" t="inlineStr">
        <x:is>
          <x:t xml:space="preserve">RAW_ZP N/O</x:t>
        </x:is>
      </x:c>
      <x:c r="R125" s="6" t="inlineStr">
        <x:is>
          <x:t xml:space="preserve">ROLETY BOCZNE</x:t>
        </x:is>
      </x:c>
      <x:c r="S125" s="6" t="inlineStr">
        <x:is>
          <x:t xml:space="preserve">website+crm</x:t>
        </x:is>
      </x:c>
      <x:c r="T125" s="6" t="n"/>
    </x:row>
    <x:row r="126">
      <x:c r="A126" s="6" t="inlineStr">
        <x:is>
          <x:t xml:space="preserve">300 x 906 cm</x:t>
        </x:is>
      </x:c>
      <x:c r="B126" s="6" t="inlineStr">
        <x:is>
          <x:t xml:space="preserve">M</x:t>
        </x:is>
      </x:c>
      <x:c r="C126" s="6" t="inlineStr">
        <x:is>
          <x:t xml:space="preserve">Markiza dachowa</x:t>
        </x:is>
      </x:c>
      <x:c r="D126" s="6" t="inlineStr">
        <x:is>
          <x:t xml:space="preserve">MARKIZA</x:t>
        </x:is>
      </x:c>
      <x:c r="E126" s="8" t="n">
        <x:f>IFERROR(INDEX('02_RAW_INDEX'!$H:$H,MATCH($A126,'02_RAW_INDEX'!$A:$A,0)),"")</x:f>
        <x:v>7545</x:v>
      </x:c>
      <x:c r="F126" s="8" t="n">
        <x:f>IFERROR(INDEX('02_RAW_INDEX'!$G:$G,MATCH($A126,'02_RAW_INDEX'!$A:$A,0)),"")</x:f>
        <x:v>9280</x:v>
      </x:c>
      <x:c r="G126" s="7" t="n">
        <x:f>'01_Ustawienia'!$B$6</x:f>
        <x:v>0</x:v>
      </x:c>
      <x:c r="H126" s="8" t="n">
        <x:f>IF(E126="","",ROUND(IF('01_Ustawienia'!$B$5="BRUTTO",F126,E126)*(1-G126),0))</x:f>
        <x:v>7545</x:v>
      </x:c>
      <x:c r="I126" s="7" t="n">
        <x:f>IFERROR(IFERROR(INDEX('01_Ustawienia'!$B$15:$B$33,MATCH(B126,'01_Ustawienia'!$A$15:$A$33,0)),0.45),0.45)</x:f>
        <x:v>0.45</x:v>
      </x:c>
      <x:c r="J126" s="8" t="n">
        <x:f>IF(H126="","",ROUND(H126*(1+I126),0))</x:f>
        <x:v>10940</x:v>
      </x:c>
      <x:c r="K126" s="8" t="n">
        <x:f>0</x:f>
        <x:v>0</x:v>
      </x:c>
      <x:c r="L126" s="8" t="n">
        <x:f>IFERROR(IFERROR(INDEX(EG_Cennik_uslug!$AQ:$AQ,MATCH($A126,EG_Cennik_uslug!$A:$A,0)),0),0)</x:f>
        <x:v>550</x:v>
      </x:c>
      <x:c r="M126" s="7" t="n">
        <x:f>IF('01_Ustawienia'!$B$4="ZWOLNIONY",0,'01_Ustawienia'!$B$7)</x:f>
        <x:v>0.08</x:v>
      </x:c>
      <x:c r="N126" s="8" t="n">
        <x:f>IF(J126="","",ROUND((J126+K126)*(1+M126),0))</x:f>
        <x:v>11815</x:v>
      </x:c>
      <x:c r="O126" s="8" t="n">
        <x:f>IF(J126="","",J126+K126-H126-L126)</x:f>
        <x:v>2845</x:v>
      </x:c>
      <x:c r="P126" s="7" t="n">
        <x:f>IFERROR(O126/(J126+K126),"")</x:f>
        <x:v>0.260054844606947</x:v>
      </x:c>
      <x:c r="Q126" s="6" t="inlineStr">
        <x:is>
          <x:t xml:space="preserve">RAW_ZP H/I</x:t>
        </x:is>
      </x:c>
      <x:c r="R126" s="6" t="inlineStr">
        <x:is>
          <x:t xml:space="preserve">MARKIZA</x:t>
        </x:is>
      </x:c>
      <x:c r="S126" s="6" t="inlineStr">
        <x:is>
          <x:t xml:space="preserve">website+crm</x:t>
        </x:is>
      </x:c>
      <x:c r="T126" s="6" t="n"/>
    </x:row>
    <x:row r="127">
      <x:c r="A127" s="6" t="inlineStr">
        <x:is>
          <x:t xml:space="preserve">300 x 906 cm</x:t>
        </x:is>
      </x:c>
      <x:c r="B127" s="6" t="inlineStr">
        <x:is>
          <x:t xml:space="preserve">PDWP</x:t>
        </x:is>
      </x:c>
      <x:c r="C127" s="6" t="inlineStr">
        <x:is>
          <x:t xml:space="preserve">Fundament/profile</x:t>
        </x:is>
      </x:c>
      <x:c r="D127" s="6" t="inlineStr">
        <x:is>
          <x:t xml:space="preserve">FUNDAMENT / PROFILE</x:t>
        </x:is>
      </x:c>
      <x:c r="E127" s="8" t="n">
        <x:f>IFERROR(INDEX('02_RAW_INDEX'!$AH:$AH,MATCH($A127,'02_RAW_INDEX'!$A:$A,0)),"")</x:f>
        <x:v>1016</x:v>
      </x:c>
      <x:c r="F127" s="8" t="n">
        <x:f>IFERROR(INDEX('02_RAW_INDEX'!$AG:$AG,MATCH($A127,'02_RAW_INDEX'!$A:$A,0)),"")</x:f>
        <x:v>1250</x:v>
      </x:c>
      <x:c r="G127" s="7" t="n">
        <x:f>'01_Ustawienia'!$B$6</x:f>
        <x:v>0</x:v>
      </x:c>
      <x:c r="H127" s="8" t="n">
        <x:f>IF(E127="","",ROUND(IF('01_Ustawienia'!$B$5="BRUTTO",F127,E127)*(1-G127),0))</x:f>
        <x:v>1016</x:v>
      </x:c>
      <x:c r="I127" s="7" t="n">
        <x:f>IFERROR(IFERROR(INDEX('01_Ustawienia'!$B$15:$B$33,MATCH(B127,'01_Ustawienia'!$A$15:$A$33,0)),0.45),0.45)</x:f>
        <x:v>1.2</x:v>
      </x:c>
      <x:c r="J127" s="8" t="n">
        <x:f>IF(H127="","",ROUND(H127*(1+I127),0))</x:f>
        <x:v>2235</x:v>
      </x:c>
      <x:c r="K127" s="8" t="n">
        <x:f>0</x:f>
        <x:v>0</x:v>
      </x:c>
      <x:c r="L127" s="8" t="n">
        <x:f>IFERROR(IFERROR(INDEX(EG_Cennik_uslug!$BT:$BT,MATCH($A127,EG_Cennik_uslug!$A:$A,0)),0),0)</x:f>
        <x:v>470</x:v>
      </x:c>
      <x:c r="M127" s="7" t="n">
        <x:f>IF('01_Ustawienia'!$B$4="ZWOLNIONY",0,'01_Ustawienia'!$B$7)</x:f>
        <x:v>0.08</x:v>
      </x:c>
      <x:c r="N127" s="8" t="n">
        <x:f>IF(J127="","",ROUND((J127+K127)*(1+M127),0))</x:f>
        <x:v>2414</x:v>
      </x:c>
      <x:c r="O127" s="8" t="n">
        <x:f>IF(J127="","",J127+K127-H127-L127)</x:f>
        <x:v>749</x:v>
      </x:c>
      <x:c r="P127" s="7" t="n">
        <x:f>IFERROR(O127/(J127+K127),"")</x:f>
        <x:v>0.3351230425055928</x:v>
      </x:c>
      <x:c r="Q127" s="6" t="inlineStr">
        <x:is>
          <x:t xml:space="preserve">RAW_OP AB/AC</x:t>
        </x:is>
      </x:c>
      <x:c r="R127" s="6" t="inlineStr">
        <x:is>
          <x:t xml:space="preserve">FUNDAMENT (PROFILE)</x:t>
        </x:is>
      </x:c>
      <x:c r="S127" s="6" t="inlineStr">
        <x:is>
          <x:t xml:space="preserve">website+crm</x:t>
        </x:is>
      </x:c>
      <x:c r="T127" s="6" t="n"/>
    </x:row>
    <x:row r="128" s="655" customFormat="1" ht="30" customHeight="1">
      <x:c r="A128" s="6" t="inlineStr">
        <x:is>
          <x:t xml:space="preserve">300 x 906 cm</x:t>
        </x:is>
      </x:c>
      <x:c r="B128" s="6" t="inlineStr">
        <x:is>
          <x:t xml:space="preserve">ZAB</x:t>
        </x:is>
      </x:c>
      <x:c r="C128" s="6" t="inlineStr">
        <x:is>
          <x:t xml:space="preserve">Zabieraki do ścian przesuwnych</x:t>
        </x:is>
      </x:c>
      <x:c r="D128" s="6" t="inlineStr">
        <x:is>
          <x:t xml:space="preserve">DODATKI</x:t>
        </x:is>
      </x:c>
      <x:c r="E128" s="8" t="n">
        <x:f>IFERROR(INDEX('02_RAW_INDEX'!$AJ:$AJ,MATCH($A128,'02_RAW_INDEX'!$A:$A,0)),"")</x:f>
        <x:v>325</x:v>
      </x:c>
      <x:c r="F128" s="8" t="n">
        <x:f>IFERROR(INDEX('02_RAW_INDEX'!$AI:$AI,MATCH($A128,'02_RAW_INDEX'!$A:$A,0)),"")</x:f>
        <x:v>400</x:v>
      </x:c>
      <x:c r="G128" s="7" t="n">
        <x:f>'01_Ustawienia'!$B$6</x:f>
        <x:v>0</x:v>
      </x:c>
      <x:c r="H128" s="8" t="n">
        <x:f>IF(E128="","",ROUND(IF('01_Ustawienia'!$B$5="BRUTTO",F128,E128)*(1-G128),0))</x:f>
        <x:v>325</x:v>
      </x:c>
      <x:c r="I128" s="7" t="n">
        <x:f>IFERROR(IFERROR(INDEX('01_Ustawienia'!$B$15:$B$33,MATCH(B128,'01_Ustawienia'!$A$15:$A$33,0)),0.45),0.45)</x:f>
        <x:v>0.45</x:v>
      </x:c>
      <x:c r="J128" s="8" t="n">
        <x:f>IF(H128="","",ROUND(H128*(1+I128),0))</x:f>
        <x:v>471</x:v>
      </x:c>
      <x:c r="K128" s="8" t="n">
        <x:f>0</x:f>
        <x:v>0</x:v>
      </x:c>
      <x:c r="L128" s="8" t="n">
        <x:f>0</x:f>
        <x:v>0</x:v>
      </x:c>
      <x:c r="M128" s="7" t="n">
        <x:f>IF('01_Ustawienia'!$B$4="ZWOLNIONY",0,'01_Ustawienia'!$B$7)</x:f>
        <x:v>0.08</x:v>
      </x:c>
      <x:c r="N128" s="8" t="n">
        <x:f>IF(J128="","",ROUND((J128+K128)*(1+M128),0))</x:f>
        <x:v>509</x:v>
      </x:c>
      <x:c r="O128" s="8" t="n">
        <x:f>IF(J128="","",J128+K128-H128-L128)</x:f>
        <x:v>146</x:v>
      </x:c>
      <x:c r="P128" s="7" t="n">
        <x:f>IFERROR(O128/(J128+K128),"")</x:f>
        <x:v>0.3099787685774947</x:v>
      </x:c>
      <x:c r="Q128" s="6" t="inlineStr">
        <x:is>
          <x:t xml:space="preserve">RAW_OP AD/AE</x:t>
        </x:is>
      </x:c>
      <x:c r="R128" s="6" t="inlineStr">
        <x:is>
          <x:t xml:space="preserve">DODATKI</x:t>
        </x:is>
      </x:c>
      <x:c r="S128" s="6" t="inlineStr">
        <x:is>
          <x:t xml:space="preserve">crm_only</x:t>
        </x:is>
      </x:c>
      <x:c r="T128" s="6" t="n"/>
    </x:row>
    <x:row r="129">
      <x:c r="A129" s="6" t="inlineStr">
        <x:is>
          <x:t xml:space="preserve">300 x 906 cm</x:t>
        </x:is>
      </x:c>
      <x:c r="B129" s="6" t="inlineStr">
        <x:is>
          <x:t xml:space="preserve">S</x:t>
        </x:is>
      </x:c>
      <x:c r="C129" s="6" t="inlineStr">
        <x:is>
          <x:t xml:space="preserve">Szczotki przeciwkurzowe</x:t>
        </x:is>
      </x:c>
      <x:c r="D129" s="6" t="inlineStr">
        <x:is>
          <x:t xml:space="preserve">SZCZOTKI</x:t>
        </x:is>
      </x:c>
      <x:c r="E129" s="8" t="n">
        <x:f>IFERROR(INDEX('02_RAW_INDEX'!$AD:$AD,MATCH($A129,'02_RAW_INDEX'!$A:$A,0)),"")</x:f>
        <x:v>463</x:v>
      </x:c>
      <x:c r="F129" s="8" t="n">
        <x:f>IFERROR(INDEX('02_RAW_INDEX'!$AC:$AC,MATCH($A129,'02_RAW_INDEX'!$A:$A,0)),"")</x:f>
        <x:v>570</x:v>
      </x:c>
      <x:c r="G129" s="7" t="n">
        <x:f>'01_Ustawienia'!$B$6</x:f>
        <x:v>0</x:v>
      </x:c>
      <x:c r="H129" s="8" t="n">
        <x:f>IF(E129="","",ROUND(IF('01_Ustawienia'!$B$5="BRUTTO",F129,E129)*(1-G129),0))</x:f>
        <x:v>463</x:v>
      </x:c>
      <x:c r="I129" s="7" t="n">
        <x:f>IFERROR(IFERROR(INDEX('01_Ustawienia'!$B$15:$B$33,MATCH(B129,'01_Ustawienia'!$A$15:$A$33,0)),0.45),0.45)</x:f>
        <x:v>0.45</x:v>
      </x:c>
      <x:c r="J129" s="8" t="n">
        <x:f>IF(H129="","",ROUND(H129*(1+I129),0))</x:f>
        <x:v>671</x:v>
      </x:c>
      <x:c r="K129" s="8" t="n">
        <x:f>0</x:f>
        <x:v>0</x:v>
      </x:c>
      <x:c r="L129" s="8" t="n">
        <x:f>IFERROR(IFERROR(INDEX(EG_Cennik_uslug!$CA:$CA,MATCH($A129,EG_Cennik_uslug!$A:$A,0)),0),0)</x:f>
        <x:v>0</x:v>
      </x:c>
      <x:c r="M129" s="7" t="n">
        <x:f>IF('01_Ustawienia'!$B$4="ZWOLNIONY",0,'01_Ustawienia'!$B$7)</x:f>
        <x:v>0.08</x:v>
      </x:c>
      <x:c r="N129" s="8" t="n">
        <x:f>IF(J129="","",ROUND((J129+K129)*(1+M129),0))</x:f>
        <x:v>725</x:v>
      </x:c>
      <x:c r="O129" s="8" t="n">
        <x:f>IF(J129="","",J129+K129-H129-L129)</x:f>
        <x:v>208</x:v>
      </x:c>
      <x:c r="P129" s="7" t="n">
        <x:f>IFERROR(O129/(J129+K129),"")</x:f>
        <x:v>0.30998509687034276</x:v>
      </x:c>
      <x:c r="Q129" s="6" t="inlineStr">
        <x:is>
          <x:t xml:space="preserve">RAW_OP L/M</x:t>
        </x:is>
      </x:c>
      <x:c r="R129" s="6" t="inlineStr">
        <x:is>
          <x:t xml:space="preserve">DODATKI</x:t>
        </x:is>
      </x:c>
      <x:c r="S129" s="6" t="inlineStr">
        <x:is>
          <x:t xml:space="preserve">website+crm</x:t>
        </x:is>
      </x:c>
      <x:c r="T129" s="6" t="n"/>
    </x:row>
    <x:row r="130">
      <x:c r="A130" s="6" t="inlineStr">
        <x:is>
          <x:t xml:space="preserve">300 x 906 cm</x:t>
        </x:is>
      </x:c>
      <x:c r="B130" s="6" t="inlineStr">
        <x:is>
          <x:t xml:space="preserve">U</x:t>
        </x:is>
      </x:c>
      <x:c r="C130" s="6" t="inlineStr">
        <x:is>
          <x:t xml:space="preserve">Uchwyty na szkło ścienne</x:t>
        </x:is>
      </x:c>
      <x:c r="D130" s="6" t="inlineStr">
        <x:is>
          <x:t xml:space="preserve">UCHWYTY</x:t>
        </x:is>
      </x:c>
      <x:c r="E130" s="8" t="n">
        <x:f>IFERROR(INDEX('02_RAW_INDEX'!$AF:$AF,MATCH($A130,'02_RAW_INDEX'!$A:$A,0)),"")</x:f>
        <x:v>423</x:v>
      </x:c>
      <x:c r="F130" s="8" t="n">
        <x:f>IFERROR(INDEX('02_RAW_INDEX'!$AE:$AE,MATCH($A130,'02_RAW_INDEX'!$A:$A,0)),"")</x:f>
        <x:v>520</x:v>
      </x:c>
      <x:c r="G130" s="7" t="n">
        <x:f>'01_Ustawienia'!$B$6</x:f>
        <x:v>0</x:v>
      </x:c>
      <x:c r="H130" s="8" t="n">
        <x:f>IF(E130="","",ROUND(IF('01_Ustawienia'!$B$5="BRUTTO",F130,E130)*(1-G130),0))</x:f>
        <x:v>423</x:v>
      </x:c>
      <x:c r="I130" s="7" t="n">
        <x:f>IFERROR(IFERROR(INDEX('01_Ustawienia'!$B$15:$B$33,MATCH(B130,'01_Ustawienia'!$A$15:$A$33,0)),0.45),0.45)</x:f>
        <x:v>0.45</x:v>
      </x:c>
      <x:c r="J130" s="8" t="n">
        <x:f>IF(H130="","",ROUND(H130*(1+I130),0))</x:f>
        <x:v>613</x:v>
      </x:c>
      <x:c r="K130" s="8" t="n">
        <x:f>0</x:f>
        <x:v>0</x:v>
      </x:c>
      <x:c r="L130" s="8" t="n">
        <x:f>IFERROR(IFERROR(INDEX(EG_Cennik_uslug!$CH:$CH,MATCH($A130,EG_Cennik_uslug!$A:$A,0)),0),0)</x:f>
        <x:v>0</x:v>
      </x:c>
      <x:c r="M130" s="7" t="n">
        <x:f>IF('01_Ustawienia'!$B$4="ZWOLNIONY",0,'01_Ustawienia'!$B$7)</x:f>
        <x:v>0.08</x:v>
      </x:c>
      <x:c r="N130" s="8" t="n">
        <x:f>IF(J130="","",ROUND((J130+K130)*(1+M130),0))</x:f>
        <x:v>662</x:v>
      </x:c>
      <x:c r="O130" s="8" t="n">
        <x:f>IF(J130="","",J130+K130-H130-L130)</x:f>
        <x:v>190</x:v>
      </x:c>
      <x:c r="P130" s="7" t="n">
        <x:f>IFERROR(O130/(J130+K130),"")</x:f>
        <x:v>0.3099510603588907</x:v>
      </x:c>
      <x:c r="Q130" s="6" t="inlineStr">
        <x:is>
          <x:t xml:space="preserve">RAW_OP N/O</x:t>
        </x:is>
      </x:c>
      <x:c r="R130" s="6" t="inlineStr">
        <x:is>
          <x:t xml:space="preserve">DODATKI</x:t>
        </x:is>
      </x:c>
      <x:c r="S130" s="6" t="inlineStr">
        <x:is>
          <x:t xml:space="preserve">website+crm</x:t>
        </x:is>
      </x:c>
      <x:c r="T130" s="6" t="n"/>
    </x:row>
    <x:row r="131">
      <x:c r="A131" s="6" t="inlineStr">
        <x:is>
          <x:t xml:space="preserve">300 x 906 cm</x:t>
        </x:is>
      </x:c>
      <x:c r="B131" s="6" t="inlineStr">
        <x:is>
          <x:t xml:space="preserve">LED2</x:t>
        </x:is>
      </x:c>
      <x:c r="C131" s="6" t="inlineStr">
        <x:is>
          <x:t xml:space="preserve">Oświetlenie LED 2 punkty</x:t>
        </x:is>
      </x:c>
      <x:c r="D131" s="6" t="inlineStr">
        <x:is>
          <x:t xml:space="preserve">LED 2 PKT</x:t>
        </x:is>
      </x:c>
      <x:c r="E131" s="8" t="n">
        <x:f>IFERROR(INDEX('02_RAW_INDEX'!$N:$N,MATCH($A131,'02_RAW_INDEX'!$A:$A,0)),"")</x:f>
        <x:v>846</x:v>
      </x:c>
      <x:c r="F131" s="8" t="n">
        <x:f>IFERROR(INDEX('02_RAW_INDEX'!$M:$M,MATCH($A131,'02_RAW_INDEX'!$A:$A,0)),"")</x:f>
        <x:v>1040</x:v>
      </x:c>
      <x:c r="G131" s="7" t="n">
        <x:f>'01_Ustawienia'!$B$6</x:f>
        <x:v>0</x:v>
      </x:c>
      <x:c r="H131" s="8" t="n">
        <x:f>IF(E131="","",ROUND(IF('01_Ustawienia'!$B$5="BRUTTO",F131,E131)*(1-G131),0))</x:f>
        <x:v>846</x:v>
      </x:c>
      <x:c r="I131" s="7" t="n">
        <x:f>IFERROR(IFERROR(INDEX('01_Ustawienia'!$B$15:$B$33,MATCH(B131,'01_Ustawienia'!$A$15:$A$33,0)),0.45),0.45)</x:f>
        <x:v>0.45</x:v>
      </x:c>
      <x:c r="J131" s="8" t="n">
        <x:f>IF(H131="","",ROUND(H131*(1+I131),0))</x:f>
        <x:v>1227</x:v>
      </x:c>
      <x:c r="K131" s="8" t="n">
        <x:f>0</x:f>
        <x:v>0</x:v>
      </x:c>
      <x:c r="L131" s="8" t="n">
        <x:f>IFERROR(IFERROR(INDEX(EG_Cennik_uslug!$CO:$CO,MATCH($A131,EG_Cennik_uslug!$A:$A,0)),0),0)</x:f>
        <x:v>0</x:v>
      </x:c>
      <x:c r="M131" s="7" t="n">
        <x:f>IF('01_Ustawienia'!$B$4="ZWOLNIONY",0,'01_Ustawienia'!$B$7)</x:f>
        <x:v>0.08</x:v>
      </x:c>
      <x:c r="N131" s="8" t="n">
        <x:f>IF(J131="","",ROUND((J131+K131)*(1+M131),0))</x:f>
        <x:v>1325</x:v>
      </x:c>
      <x:c r="O131" s="8" t="n">
        <x:f>IF(J131="","",J131+K131-H131-L131)</x:f>
        <x:v>381</x:v>
      </x:c>
      <x:c r="P131" s="7" t="n">
        <x:f>IFERROR(O131/(J131+K131),"")</x:f>
        <x:v>0.3105134474327628</x:v>
      </x:c>
      <x:c r="Q131" s="6" t="inlineStr">
        <x:is>
          <x:t xml:space="preserve">RAW_ZP P/Q</x:t>
        </x:is>
      </x:c>
      <x:c r="R131" s="6" t="inlineStr">
        <x:is>
          <x:t xml:space="preserve">OŚWIETLENIE</x:t>
        </x:is>
      </x:c>
      <x:c r="S131" s="6" t="inlineStr">
        <x:is>
          <x:t xml:space="preserve">website+crm</x:t>
        </x:is>
      </x:c>
      <x:c r="T131" s="6" t="n"/>
    </x:row>
    <x:row r="132">
      <x:c r="A132" s="6" t="inlineStr">
        <x:is>
          <x:t xml:space="preserve">300 x 906 cm</x:t>
        </x:is>
      </x:c>
      <x:c r="B132" s="6" t="inlineStr">
        <x:is>
          <x:t xml:space="preserve">LED3</x:t>
        </x:is>
      </x:c>
      <x:c r="C132" s="6" t="inlineStr">
        <x:is>
          <x:t xml:space="preserve">Oświetlenie LED 3 punkty</x:t>
        </x:is>
      </x:c>
      <x:c r="D132" s="6" t="inlineStr">
        <x:is>
          <x:t xml:space="preserve">LED 3 PKT</x:t>
        </x:is>
      </x:c>
      <x:c r="E132" s="8" t="n">
        <x:f>IFERROR(INDEX('02_RAW_INDEX'!$P:$P,MATCH($A132,'02_RAW_INDEX'!$A:$A,0)),"")</x:f>
        <x:v>1268</x:v>
      </x:c>
      <x:c r="F132" s="8" t="n">
        <x:f>IFERROR(INDEX('02_RAW_INDEX'!$O:$O,MATCH($A132,'02_RAW_INDEX'!$A:$A,0)),"")</x:f>
        <x:v>1560</x:v>
      </x:c>
      <x:c r="G132" s="7" t="n">
        <x:f>'01_Ustawienia'!$B$6</x:f>
        <x:v>0</x:v>
      </x:c>
      <x:c r="H132" s="8" t="n">
        <x:f>IF(E132="","",ROUND(IF('01_Ustawienia'!$B$5="BRUTTO",F132,E132)*(1-G132),0))</x:f>
        <x:v>1268</x:v>
      </x:c>
      <x:c r="I132" s="7" t="n">
        <x:f>IFERROR(IFERROR(INDEX('01_Ustawienia'!$B$15:$B$33,MATCH(B132,'01_Ustawienia'!$A$15:$A$33,0)),0.45),0.45)</x:f>
        <x:v>0.45</x:v>
      </x:c>
      <x:c r="J132" s="8" t="n">
        <x:f>IF(H132="","",ROUND(H132*(1+I132),0))</x:f>
        <x:v>1839</x:v>
      </x:c>
      <x:c r="K132" s="8" t="n">
        <x:f>0</x:f>
        <x:v>0</x:v>
      </x:c>
      <x:c r="L132" s="8" t="n">
        <x:f>IFERROR(IFERROR(INDEX(EG_Cennik_uslug!$CV:$CV,MATCH($A132,EG_Cennik_uslug!$A:$A,0)),0),0)</x:f>
        <x:v>0</x:v>
      </x:c>
      <x:c r="M132" s="7" t="n">
        <x:f>IF('01_Ustawienia'!$B$4="ZWOLNIONY",0,'01_Ustawienia'!$B$7)</x:f>
        <x:v>0.08</x:v>
      </x:c>
      <x:c r="N132" s="8" t="n">
        <x:f>IF(J132="","",ROUND((J132+K132)*(1+M132),0))</x:f>
        <x:v>1986</x:v>
      </x:c>
      <x:c r="O132" s="8" t="n">
        <x:f>IF(J132="","",J132+K132-H132-L132)</x:f>
        <x:v>571</x:v>
      </x:c>
      <x:c r="P132" s="7" t="n">
        <x:f>IFERROR(O132/(J132+K132),"")</x:f>
        <x:v>0.31049483414899404</x:v>
      </x:c>
      <x:c r="Q132" s="6" t="inlineStr">
        <x:is>
          <x:t xml:space="preserve">RAW_ZP R/S</x:t>
        </x:is>
      </x:c>
      <x:c r="R132" s="6" t="inlineStr">
        <x:is>
          <x:t xml:space="preserve">OŚWIETLENIE</x:t>
        </x:is>
      </x:c>
      <x:c r="S132" s="6" t="inlineStr">
        <x:is>
          <x:t xml:space="preserve">website+crm</x:t>
        </x:is>
      </x:c>
      <x:c r="T132" s="6" t="inlineStr">
        <x:is>
          <x:t xml:space="preserve">Nazwa do potwierdzenia</x:t>
        </x:is>
      </x:c>
    </x:row>
    <x:row r="133">
      <x:c r="A133" s="6" t="inlineStr">
        <x:is>
          <x:t xml:space="preserve">300 x 906 cm</x:t>
        </x:is>
      </x:c>
      <x:c r="B133" s="6" t="inlineStr">
        <x:is>
          <x:t xml:space="preserve">LEDCCT</x:t>
        </x:is>
      </x:c>
      <x:c r="C133" s="6" t="inlineStr">
        <x:is>
          <x:t xml:space="preserve">Oświetlenie LED CCT</x:t>
        </x:is>
      </x:c>
      <x:c r="D133" s="6" t="inlineStr">
        <x:is>
          <x:t xml:space="preserve">OŚWIETLENIE</x:t>
        </x:is>
      </x:c>
      <x:c r="E133" s="8" t="n">
        <x:f>IFERROR(INDEX('02_RAW_INDEX'!$R:$R,MATCH($A133,'02_RAW_INDEX'!$A:$A,0)),"")</x:f>
        <x:v>1490</x:v>
      </x:c>
      <x:c r="F133" s="8" t="n">
        <x:f>IFERROR(INDEX('02_RAW_INDEX'!$Q:$Q,MATCH($A133,'02_RAW_INDEX'!$A:$A,0)),"")</x:f>
        <x:v>1833</x:v>
      </x:c>
      <x:c r="G133" s="7" t="n">
        <x:f>'01_Ustawienia'!$B$6</x:f>
        <x:v>0</x:v>
      </x:c>
      <x:c r="H133" s="8" t="n">
        <x:f>IF(E133="","",ROUND(IF('01_Ustawienia'!$B$5="BRUTTO",F133,E133)*(1-G133),0))</x:f>
        <x:v>1490</x:v>
      </x:c>
      <x:c r="I133" s="7" t="n">
        <x:f>IFERROR(IFERROR(INDEX('01_Ustawienia'!$B$15:$B$33,MATCH(B133,'01_Ustawienia'!$A$15:$A$33,0)),0.45),0.45)</x:f>
        <x:v>0.45</x:v>
      </x:c>
      <x:c r="J133" s="8" t="n">
        <x:f>IF(H133="","",ROUND(H133*(1+I133),0))</x:f>
        <x:v>2161</x:v>
      </x:c>
      <x:c r="K133" s="8" t="n">
        <x:f>0</x:f>
        <x:v>0</x:v>
      </x:c>
      <x:c r="L133" s="8" t="n">
        <x:f>0</x:f>
        <x:v>0</x:v>
      </x:c>
      <x:c r="M133" s="7" t="n">
        <x:f>IF('01_Ustawienia'!$B$4="ZWOLNIONY",0,'01_Ustawienia'!$B$7)</x:f>
        <x:v>0.08</x:v>
      </x:c>
      <x:c r="N133" s="8" t="n">
        <x:f>IF(J133="","",ROUND((J133+K133)*(1+M133),0))</x:f>
        <x:v>2334</x:v>
      </x:c>
      <x:c r="O133" s="8" t="n">
        <x:f>IF(J133="","",J133+K133-H133-L133)</x:f>
        <x:v>671</x:v>
      </x:c>
      <x:c r="P133" s="7" t="n">
        <x:f>IFERROR(O133/(J133+K133),"")</x:f>
        <x:v>0.3105043961129107</x:v>
      </x:c>
      <x:c r="Q133" s="6" t="inlineStr">
        <x:is>
          <x:t xml:space="preserve">RAW_ZP T/U</x:t>
        </x:is>
      </x:c>
      <x:c r="R133" s="6" t="inlineStr">
        <x:is>
          <x:t xml:space="preserve">OŚWIETLENIE</x:t>
        </x:is>
      </x:c>
      <x:c r="S133" s="6" t="inlineStr">
        <x:is>
          <x:t xml:space="preserve">website+crm</x:t>
        </x:is>
      </x:c>
      <x:c r="T133" s="6" t="inlineStr">
        <x:is>
          <x:t xml:space="preserve">Opcja dodatkowa | FIX17: opcja LED dostępna dla strony; ceny 450-600 wg modelu FIX15.</x:t>
        </x:is>
      </x:c>
    </x:row>
    <x:row r="134">
      <x:c r="A134" s="6" t="inlineStr">
        <x:is>
          <x:t xml:space="preserve">300 x 906 cm</x:t>
        </x:is>
      </x:c>
      <x:c r="B134" s="6" t="inlineStr">
        <x:is>
          <x:t xml:space="preserve">LEDRGBCCT</x:t>
        </x:is>
      </x:c>
      <x:c r="C134" s="6" t="inlineStr">
        <x:is>
          <x:t xml:space="preserve">Oświetlenie LED RGB CCT</x:t>
        </x:is>
      </x:c>
      <x:c r="D134" s="6" t="inlineStr">
        <x:is>
          <x:t xml:space="preserve">OŚWIETLENIE</x:t>
        </x:is>
      </x:c>
      <x:c r="E134" s="8" t="n">
        <x:f>IFERROR(INDEX('02_RAW_INDEX'!$T:$T,MATCH($A134,'02_RAW_INDEX'!$A:$A,0)),"")</x:f>
        <x:v>2370</x:v>
      </x:c>
      <x:c r="F134" s="8" t="n">
        <x:f>IFERROR(INDEX('02_RAW_INDEX'!$S:$S,MATCH($A134,'02_RAW_INDEX'!$A:$A,0)),"")</x:f>
        <x:v>2915</x:v>
      </x:c>
      <x:c r="G134" s="7" t="n">
        <x:f>'01_Ustawienia'!$B$6</x:f>
        <x:v>0</x:v>
      </x:c>
      <x:c r="H134" s="8" t="n">
        <x:f>IF(E134="","",ROUND(IF('01_Ustawienia'!$B$5="BRUTTO",F134,E134)*(1-G134),0))</x:f>
        <x:v>2370</x:v>
      </x:c>
      <x:c r="I134" s="7" t="n">
        <x:f>IFERROR(IFERROR(INDEX('01_Ustawienia'!$B$15:$B$33,MATCH(B134,'01_Ustawienia'!$A$15:$A$33,0)),0.45),0.45)</x:f>
        <x:v>0.45</x:v>
      </x:c>
      <x:c r="J134" s="8" t="n">
        <x:f>IF(H134="","",ROUND(H134*(1+I134),0))</x:f>
        <x:v>3437</x:v>
      </x:c>
      <x:c r="K134" s="8" t="n">
        <x:f>0</x:f>
        <x:v>0</x:v>
      </x:c>
      <x:c r="L134" s="8" t="n">
        <x:f>0</x:f>
        <x:v>0</x:v>
      </x:c>
      <x:c r="M134" s="7" t="n">
        <x:f>IF('01_Ustawienia'!$B$4="ZWOLNIONY",0,'01_Ustawienia'!$B$7)</x:f>
        <x:v>0.08</x:v>
      </x:c>
      <x:c r="N134" s="8" t="n">
        <x:f>IF(J134="","",ROUND((J134+K134)*(1+M134),0))</x:f>
        <x:v>3712</x:v>
      </x:c>
      <x:c r="O134" s="8" t="n">
        <x:f>IF(J134="","",J134+K134-H134-L134)</x:f>
        <x:v>1067</x:v>
      </x:c>
      <x:c r="P134" s="7" t="n">
        <x:f>IFERROR(O134/(J134+K134),"")</x:f>
        <x:v>0.31044515565900493</x:v>
      </x:c>
      <x:c r="Q134" s="6" t="inlineStr">
        <x:is>
          <x:t xml:space="preserve">RAW_ZP V/W</x:t>
        </x:is>
      </x:c>
      <x:c r="R134" s="6" t="inlineStr">
        <x:is>
          <x:t xml:space="preserve">OŚWIETLENIE</x:t>
        </x:is>
      </x:c>
      <x:c r="S134" s="6" t="inlineStr">
        <x:is>
          <x:t xml:space="preserve">crm_only</x:t>
        </x:is>
      </x:c>
      <x:c r="T134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135" s="655" customFormat="1" ht="30" customHeight="1">
      <x:c r="A135" s="6" t="inlineStr">
        <x:is>
          <x:t xml:space="preserve">300 x 1006 cm</x:t>
        </x:is>
      </x:c>
      <x:c r="B135" s="6" t="inlineStr">
        <x:is>
          <x:t xml:space="preserve">ZP</x:t>
        </x:is>
      </x:c>
      <x:c r="C135" s="6" t="inlineStr">
        <x:is>
          <x:t xml:space="preserve">Zadaszenie poliwęglan - baza</x:t>
        </x:is>
      </x:c>
      <x:c r="D135" s="6" t="inlineStr">
        <x:is>
          <x:t xml:space="preserve">ZADASZENIE POLIWĘGLAN</x:t>
        </x:is>
      </x:c>
      <x:c r="E135" s="8" t="n">
        <x:f>IFERROR(INDEX('02_RAW_INDEX'!$D:$D,MATCH($A135,'02_RAW_INDEX'!$A:$A,0)),"")</x:f>
        <x:v>10691</x:v>
      </x:c>
      <x:c r="F135" s="8" t="n">
        <x:f>IFERROR(INDEX('02_RAW_INDEX'!$C:$C,MATCH($A135,'02_RAW_INDEX'!$A:$A,0)),"")</x:f>
        <x:v>13150</x:v>
      </x:c>
      <x:c r="G135" s="7" t="n">
        <x:f>'01_Ustawienia'!$B$6</x:f>
        <x:v>0</x:v>
      </x:c>
      <x:c r="H135" s="8" t="n">
        <x:f>IF(E135="","",ROUND(IF('01_Ustawienia'!$B$5="BRUTTO",F135,E135)*(1-G135),0))</x:f>
        <x:v>10691</x:v>
      </x:c>
      <x:c r="I135" s="7" t="n">
        <x:f>IFERROR(IFERROR(INDEX('01_Ustawienia'!$B$15:$B$33,MATCH(B135,'01_Ustawienia'!$A$15:$A$33,0)),0.45),0.45)</x:f>
        <x:v>0.45</x:v>
      </x:c>
      <x:c r="J135" s="8" t="n">
        <x:f>IF(H135="","",ROUND(H135*(1+I135),0))</x:f>
        <x:v>15502</x:v>
      </x:c>
      <x:c r="K135" s="8" t="n">
        <x:f>IFERROR(IFERROR(INDEX(EG_Cennik_uslug!$F:$F,MATCH($A135,EG_Cennik_uslug!$A:$A,0)),0),0)</x:f>
        <x:v>4460</x:v>
      </x:c>
      <x:c r="L135" s="8" t="n">
        <x:f>IFERROR(IFERROR(INDEX(EG_Cennik_uslug!$G:$G,MATCH($A135,EG_Cennik_uslug!$A:$A,0)),0),0)</x:f>
        <x:v>1630</x:v>
      </x:c>
      <x:c r="M135" s="7" t="n">
        <x:f>IF('01_Ustawienia'!$B$4="ZWOLNIONY",0,'01_Ustawienia'!$B$7)</x:f>
        <x:v>0.08</x:v>
      </x:c>
      <x:c r="N135" s="8" t="n">
        <x:f>IF(J135="","",ROUND((J135+K135)*(1+M135),0))</x:f>
        <x:v>21559</x:v>
      </x:c>
      <x:c r="O135" s="8" t="n">
        <x:f>IF(J135="","",J135+K135-H135-L135)</x:f>
        <x:v>7641</x:v>
      </x:c>
      <x:c r="P135" s="7" t="n">
        <x:f>IFERROR(O135/(J135+K135),"")</x:f>
        <x:v>0.38277727682596935</x:v>
      </x:c>
      <x:c r="Q135" s="6" t="inlineStr">
        <x:is>
          <x:t xml:space="preserve">RAW_ZP B/C</x:t>
        </x:is>
      </x:c>
      <x:c r="R135" s="6" t="inlineStr">
        <x:is>
          <x:t xml:space="preserve">ZADASZENIE TARASU KONSTRUKCJA</x:t>
        </x:is>
      </x:c>
      <x:c r="S135" s="6" t="inlineStr">
        <x:is>
          <x:t xml:space="preserve">website+crm</x:t>
        </x:is>
      </x:c>
      <x:c r="T135" s="6" t="inlineStr">
        <x:is>
          <x:t xml:space="preserve">Baza dla kalkulatora</x:t>
        </x:is>
      </x:c>
    </x:row>
    <x:row r="136" s="655" customFormat="1" ht="30" customHeight="1">
      <x:c r="A136" s="6" t="inlineStr">
        <x:is>
          <x:t xml:space="preserve">300 x 1006 cm</x:t>
        </x:is>
      </x:c>
      <x:c r="B136" s="6" t="inlineStr">
        <x:is>
          <x:t xml:space="preserve">ZS</x:t>
        </x:is>
      </x:c>
      <x:c r="C136" s="6" t="inlineStr">
        <x:is>
          <x:t xml:space="preserve">Zadaszenie szkło - pełna konstrukcja</x:t>
        </x:is>
      </x:c>
      <x:c r="D136" s="6" t="inlineStr">
        <x:is>
          <x:t xml:space="preserve">ZADASZENIE SZKŁO</x:t>
        </x:is>
      </x:c>
      <x:c r="E136" s="8" t="n">
        <x:f>IFERROR(INDEX('02_RAW_INDEX'!$V:$V,MATCH($A136,'02_RAW_INDEX'!$A:$A,0)),"")</x:f>
        <x:v>15390</x:v>
      </x:c>
      <x:c r="F136" s="8" t="n">
        <x:f>IFERROR(INDEX('02_RAW_INDEX'!$U:$U,MATCH($A136,'02_RAW_INDEX'!$A:$A,0)),"")</x:f>
        <x:v>18930</x:v>
      </x:c>
      <x:c r="G136" s="7" t="n">
        <x:f>'01_Ustawienia'!$B$6</x:f>
        <x:v>0</x:v>
      </x:c>
      <x:c r="H136" s="8" t="n">
        <x:f>IF(E136="","",ROUND(IF('01_Ustawienia'!$B$5="BRUTTO",F136,E136)*(1-G136),0))</x:f>
        <x:v>15390</x:v>
      </x:c>
      <x:c r="I136" s="7" t="n">
        <x:f>IFERROR(IFERROR(INDEX('01_Ustawienia'!$B$15:$B$33,MATCH(B136,'01_Ustawienia'!$A$15:$A$33,0)),0.45),0.45)</x:f>
        <x:v>0.45</x:v>
      </x:c>
      <x:c r="J136" s="8" t="n">
        <x:f>IF(H136="","",ROUND(H136*(1+I136),0))</x:f>
        <x:v>22316</x:v>
      </x:c>
      <x:c r="K136" s="8" t="n">
        <x:f>IFERROR(IFERROR(INDEX(EG_Cennik_uslug!$F:$F,MATCH($A136,EG_Cennik_uslug!$A:$A,0)),0),0)</x:f>
        <x:v>4460</x:v>
      </x:c>
      <x:c r="L136" s="8" t="n">
        <x:f>IFERROR(IFERROR(INDEX(EG_Cennik_uslug!$G:$G,MATCH($A136,EG_Cennik_uslug!$A:$A,0)),0),0)</x:f>
        <x:v>1630</x:v>
      </x:c>
      <x:c r="M136" s="7" t="n">
        <x:f>IF('01_Ustawienia'!$B$4="ZWOLNIONY",0,'01_Ustawienia'!$B$7)</x:f>
        <x:v>0.08</x:v>
      </x:c>
      <x:c r="N136" s="8" t="n">
        <x:f>IF(J136="","",ROUND((J136+K136)*(1+M136),0))</x:f>
        <x:v>28918</x:v>
      </x:c>
      <x:c r="O136" s="8" t="n">
        <x:f>IF(J136="","",J136+K136-H136-L136)</x:f>
        <x:v>9756</x:v>
      </x:c>
      <x:c r="P136" s="7" t="n">
        <x:f>IFERROR(O136/(J136+K136),"")</x:f>
        <x:v>0.3643561398267105</x:v>
      </x:c>
      <x:c r="Q136" s="6" t="inlineStr">
        <x:is>
          <x:t xml:space="preserve">RAW_ZS B/C</x:t>
        </x:is>
      </x:c>
      <x:c r="R136" s="6" t="inlineStr">
        <x:is>
          <x:t xml:space="preserve">ZADASZENIE TARASU KONSTRUKCJA</x:t>
        </x:is>
      </x:c>
      <x:c r="S136" s="6" t="inlineStr">
        <x:is>
          <x:t xml:space="preserve">crm_only</x:t>
        </x:is>
      </x:c>
      <x:c r="T136" s="6" t="inlineStr">
        <x:is>
          <x:t xml:space="preserve">Referencyjne/full; strona zwykle używa ZP + PDS</x:t>
        </x:is>
      </x:c>
    </x:row>
    <x:row r="137" s="655" customFormat="1" ht="30" customHeight="1">
      <x:c r="A137" s="6" t="inlineStr">
        <x:is>
          <x:t xml:space="preserve">300 x 1006 cm</x:t>
        </x:is>
      </x:c>
      <x:c r="B137" s="6" t="inlineStr">
        <x:is>
          <x:t xml:space="preserve">OP</x:t>
        </x:is>
      </x:c>
      <x:c r="C137" s="6" t="inlineStr">
        <x:is>
          <x:t xml:space="preserve">Ogród zimowy poliwęglan - baza</x:t>
        </x:is>
      </x:c>
      <x:c r="D137" s="6" t="inlineStr">
        <x:is>
          <x:t xml:space="preserve">OGRODY POLIWĘGLAN</x:t>
        </x:is>
      </x:c>
      <x:c r="E137" s="8" t="n">
        <x:f>IFERROR(INDEX('02_RAW_INDEX'!$Z:$Z,MATCH($A137,'02_RAW_INDEX'!$A:$A,0)),"")</x:f>
        <x:v>24065</x:v>
      </x:c>
      <x:c r="F137" s="8" t="n">
        <x:f>IFERROR(INDEX('02_RAW_INDEX'!$Y:$Y,MATCH($A137,'02_RAW_INDEX'!$A:$A,0)),"")</x:f>
        <x:v>29600</x:v>
      </x:c>
      <x:c r="G137" s="7" t="n">
        <x:f>'01_Ustawienia'!$B$6</x:f>
        <x:v>0</x:v>
      </x:c>
      <x:c r="H137" s="8" t="n">
        <x:f>IF(E137="","",ROUND(IF('01_Ustawienia'!$B$5="BRUTTO",F137,E137)*(1-G137),0))</x:f>
        <x:v>24065</x:v>
      </x:c>
      <x:c r="I137" s="7" t="n">
        <x:f>IFERROR(IFERROR(INDEX('01_Ustawienia'!$B$15:$B$33,MATCH(B137,'01_Ustawienia'!$A$15:$A$33,0)),0.45),0.45)</x:f>
        <x:v>0.45</x:v>
      </x:c>
      <x:c r="J137" s="8" t="n">
        <x:f>IF(H137="","",ROUND(H137*(1+I137),0))</x:f>
        <x:v>34894</x:v>
      </x:c>
      <x:c r="K137" s="8" t="n">
        <x:f>IFERROR(IFERROR(INDEX(EG_Cennik_uslug!$N:$N,MATCH($A137,EG_Cennik_uslug!$A:$A,0)),0),0)</x:f>
        <x:v>5810</x:v>
      </x:c>
      <x:c r="L137" s="8" t="n">
        <x:f>IFERROR(IFERROR(INDEX(EG_Cennik_uslug!$O:$O,MATCH($A137,EG_Cennik_uslug!$A:$A,0)),0),0)</x:f>
        <x:v>2280</x:v>
      </x:c>
      <x:c r="M137" s="7" t="n">
        <x:f>IF('01_Ustawienia'!$B$4="ZWOLNIONY",0,'01_Ustawienia'!$B$7)</x:f>
        <x:v>0.08</x:v>
      </x:c>
      <x:c r="N137" s="8" t="n">
        <x:f>IF(J137="","",ROUND((J137+K137)*(1+M137),0))</x:f>
        <x:v>43960</x:v>
      </x:c>
      <x:c r="O137" s="8" t="n">
        <x:f>IF(J137="","",J137+K137-H137-L137)</x:f>
        <x:v>14359</x:v>
      </x:c>
      <x:c r="P137" s="7" t="n">
        <x:f>IFERROR(O137/(J137+K137),"")</x:f>
        <x:v>0.35276631289308175</x:v>
      </x:c>
      <x:c r="Q137" s="6" t="inlineStr">
        <x:is>
          <x:t xml:space="preserve">RAW_OP B/C</x:t>
        </x:is>
      </x:c>
      <x:c r="R137" s="6" t="inlineStr">
        <x:is>
          <x:t xml:space="preserve">OGRÓD ZIMOWY (KONSTRUKCJA)</x:t>
        </x:is>
      </x:c>
      <x:c r="S137" s="6" t="inlineStr">
        <x:is>
          <x:t xml:space="preserve">website+crm</x:t>
        </x:is>
      </x:c>
      <x:c r="T137" s="6" t="inlineStr">
        <x:is>
          <x:t xml:space="preserve">Do wyliczenia dopłaty za ściany</x:t>
        </x:is>
      </x:c>
    </x:row>
    <x:row r="138" s="655" customFormat="1" ht="30" customHeight="1">
      <x:c r="A138" s="6" t="inlineStr">
        <x:is>
          <x:t xml:space="preserve">300 x 1006 cm</x:t>
        </x:is>
      </x:c>
      <x:c r="B138" s="6" t="inlineStr">
        <x:is>
          <x:t xml:space="preserve">OS</x:t>
        </x:is>
      </x:c>
      <x:c r="C138" s="6" t="inlineStr">
        <x:is>
          <x:t xml:space="preserve">Ogród zimowy szkło - pełna konstrukcja</x:t>
        </x:is>
      </x:c>
      <x:c r="D138" s="6" t="inlineStr">
        <x:is>
          <x:t xml:space="preserve">OGRODY SZKŁO</x:t>
        </x:is>
      </x:c>
      <x:c r="E138" s="8" t="n">
        <x:f>IFERROR(INDEX('02_RAW_INDEX'!$AL:$AL,MATCH($A138,'02_RAW_INDEX'!$A:$A,0)),"")</x:f>
        <x:v>28764</x:v>
      </x:c>
      <x:c r="F138" s="8" t="n">
        <x:f>IFERROR(INDEX('02_RAW_INDEX'!$AK:$AK,MATCH($A138,'02_RAW_INDEX'!$A:$A,0)),"")</x:f>
        <x:v>35380</x:v>
      </x:c>
      <x:c r="G138" s="7" t="n">
        <x:f>'01_Ustawienia'!$B$6</x:f>
        <x:v>0</x:v>
      </x:c>
      <x:c r="H138" s="8" t="n">
        <x:f>IF(E138="","",ROUND(IF('01_Ustawienia'!$B$5="BRUTTO",F138,E138)*(1-G138),0))</x:f>
        <x:v>28764</x:v>
      </x:c>
      <x:c r="I138" s="7" t="n">
        <x:f>IFERROR(IFERROR(INDEX('01_Ustawienia'!$B$15:$B$33,MATCH(B138,'01_Ustawienia'!$A$15:$A$33,0)),0.45),0.45)</x:f>
        <x:v>0.45</x:v>
      </x:c>
      <x:c r="J138" s="8" t="n">
        <x:f>IF(H138="","",ROUND(H138*(1+I138),0))</x:f>
        <x:v>41708</x:v>
      </x:c>
      <x:c r="K138" s="8" t="n">
        <x:f>IFERROR(IFERROR(INDEX(EG_Cennik_uslug!$N:$N,MATCH($A138,EG_Cennik_uslug!$A:$A,0)),0),0)</x:f>
        <x:v>5810</x:v>
      </x:c>
      <x:c r="L138" s="8" t="n">
        <x:f>IFERROR(IFERROR(INDEX(EG_Cennik_uslug!$O:$O,MATCH($A138,EG_Cennik_uslug!$A:$A,0)),0),0)</x:f>
        <x:v>2280</x:v>
      </x:c>
      <x:c r="M138" s="7" t="n">
        <x:f>IF('01_Ustawienia'!$B$4="ZWOLNIONY",0,'01_Ustawienia'!$B$7)</x:f>
        <x:v>0.08</x:v>
      </x:c>
      <x:c r="N138" s="8" t="n">
        <x:f>IF(J138="","",ROUND((J138+K138)*(1+M138),0))</x:f>
        <x:v>51319</x:v>
      </x:c>
      <x:c r="O138" s="8" t="n">
        <x:f>IF(J138="","",J138+K138-H138-L138)</x:f>
        <x:v>16474</x:v>
      </x:c>
      <x:c r="P138" s="7" t="n">
        <x:f>IFERROR(O138/(J138+K138),"")</x:f>
        <x:v>0.34668967549139273</x:v>
      </x:c>
      <x:c r="Q138" s="6" t="inlineStr">
        <x:is>
          <x:t xml:space="preserve">RAW_OS B/C</x:t>
        </x:is>
      </x:c>
      <x:c r="R138" s="6" t="inlineStr">
        <x:is>
          <x:t xml:space="preserve">OGRÓD ZIMOWY (KONSTRUKCJA)</x:t>
        </x:is>
      </x:c>
      <x:c r="S138" s="6" t="inlineStr">
        <x:is>
          <x:t xml:space="preserve">crm_only</x:t>
        </x:is>
      </x:c>
      <x:c r="T138" s="6" t="inlineStr">
        <x:is>
          <x:t xml:space="preserve">Referencyjne/full</x:t>
        </x:is>
      </x:c>
    </x:row>
    <x:row r="139" s="655" customFormat="1" ht="30" customHeight="1">
      <x:c r="A139" s="6" t="inlineStr">
        <x:is>
          <x:t xml:space="preserve">300 x 1006 cm</x:t>
        </x:is>
      </x:c>
      <x:c r="B139" s="6" t="inlineStr">
        <x:is>
          <x:t xml:space="preserve">PDS</x:t>
        </x:is>
      </x:c>
      <x:c r="C139" s="6" t="inlineStr">
        <x:is>
          <x:t xml:space="preserve">Dopłata dach szkło przezroczyste</x:t>
        </x:is>
      </x:c>
      <x:c r="D139" s="6" t="inlineStr">
        <x:is>
          <x:t xml:space="preserve">POKRYCIE DACHU SZKŁO</x:t>
        </x:is>
      </x:c>
      <x:c r="E139" s="8" t="n">
        <x:f>IFERROR(IFERROR(INDEX('02_RAW_INDEX'!$V:$V,MATCH($A139,'02_RAW_INDEX'!$A:$A,0)),"")-IFERROR(INDEX('02_RAW_INDEX'!$D:$D,MATCH($A139,'02_RAW_INDEX'!$A:$A,0)),""),"")</x:f>
        <x:v>4699</x:v>
      </x:c>
      <x:c r="F139" s="8" t="n">
        <x:f>IFERROR(IFERROR(INDEX('02_RAW_INDEX'!$U:$U,MATCH($A139,'02_RAW_INDEX'!$A:$A,0)),"")-IFERROR(INDEX('02_RAW_INDEX'!$C:$C,MATCH($A139,'02_RAW_INDEX'!$A:$A,0)),""),"")</x:f>
        <x:v>5780</x:v>
      </x:c>
      <x:c r="G139" s="7" t="n">
        <x:f>'01_Ustawienia'!$B$6</x:f>
        <x:v>0</x:v>
      </x:c>
      <x:c r="H139" s="8" t="n">
        <x:f>IF(E139="","",ROUND(IF('01_Ustawienia'!$B$5="BRUTTO",F139,E139)*(1-G139),0))</x:f>
        <x:v>4699</x:v>
      </x:c>
      <x:c r="I139" s="7" t="n">
        <x:f>IFERROR(IFERROR(INDEX('01_Ustawienia'!$B$15:$B$33,MATCH(B139,'01_Ustawienia'!$A$15:$A$33,0)),0.45),0.45)</x:f>
        <x:v>0.45</x:v>
      </x:c>
      <x:c r="J139" s="8" t="n">
        <x:f>IF(H139="","",ROUND(H139*(1+I139),0))</x:f>
        <x:v>6814</x:v>
      </x:c>
      <x:c r="K139" s="8" t="n">
        <x:f>0</x:f>
        <x:v>0</x:v>
      </x:c>
      <x:c r="L139" s="8" t="n">
        <x:v>0</x:v>
      </x:c>
      <x:c r="M139" s="7" t="n">
        <x:f>IF('01_Ustawienia'!$B$4="ZWOLNIONY",0,'01_Ustawienia'!$B$7)</x:f>
        <x:v>0.08</x:v>
      </x:c>
      <x:c r="N139" s="8" t="n">
        <x:f>IF(J139="","",ROUND((J139+K139)*(1+M139),0))</x:f>
        <x:v>7359</x:v>
      </x:c>
      <x:c r="O139" s="8" t="n">
        <x:f>IF(J139="","",J139+K139-H139-L139)</x:f>
        <x:v>2115</x:v>
      </x:c>
      <x:c r="P139" s="7" t="n">
        <x:f>IFERROR(O139/(J139+K139),"")</x:f>
        <x:v>0.3103903727619607</x:v>
      </x:c>
      <x:c r="Q139" s="6" t="inlineStr">
        <x:is>
          <x:t xml:space="preserve">RAW_ZS - RAW_ZP</x:t>
        </x:is>
      </x:c>
      <x:c r="R139" s="6" t="inlineStr">
        <x:is>
          <x:t xml:space="preserve">POKRYCIE DACHU</x:t>
        </x:is>
      </x:c>
      <x:c r="S139" s="6" t="inlineStr">
        <x:is>
          <x:t xml:space="preserve">website+crm</x:t>
        </x:is>
      </x:c>
      <x:c r="T139" s="6" t="inlineStr">
        <x:is>
          <x:t xml:space="preserve">Dopłata do bazowego dachu poliwęglan | FIX17: Wynagr.+koszty = 0 dla dopłaty; nie jest osobnym montażem ekipy.</x:t>
        </x:is>
      </x:c>
    </x:row>
    <x:row r="140" s="655" customFormat="1" ht="30" customHeight="1">
      <x:c r="A140" s="6" t="inlineStr">
        <x:is>
          <x:t xml:space="preserve">300 x 1006 cm</x:t>
        </x:is>
      </x:c>
      <x:c r="B140" s="6" t="inlineStr">
        <x:is>
          <x:t xml:space="preserve">PDSB</x:t>
        </x:is>
      </x:c>
      <x:c r="C140" s="6" t="inlineStr">
        <x:is>
          <x:t xml:space="preserve">Dopłata dach szkło barwione/mleczne</x:t>
        </x:is>
      </x:c>
      <x:c r="D140" s="6" t="inlineStr">
        <x:is>
          <x:t xml:space="preserve">POKRYCIE DACHU SZKŁO BARWIONE</x:t>
        </x:is>
      </x:c>
      <x:c r="E140" s="8" t="n">
        <x:f>IFERROR(INDEX('02_RAW_INDEX'!$X:$X,MATCH($A140,'02_RAW_INDEX'!$A:$A,0)),"")</x:f>
        <x:v>902</x:v>
      </x:c>
      <x:c r="F140" s="8" t="n">
        <x:f>IFERROR(INDEX('02_RAW_INDEX'!$W:$W,MATCH($A140,'02_RAW_INDEX'!$A:$A,0)),"")</x:f>
        <x:v>1110</x:v>
      </x:c>
      <x:c r="G140" s="7" t="n">
        <x:f>'01_Ustawienia'!$B$6</x:f>
        <x:v>0</x:v>
      </x:c>
      <x:c r="H140" s="8" t="n">
        <x:f>IF(E140="","",ROUND(IF('01_Ustawienia'!$B$5="BRUTTO",F140,E140)*(1-G140),0))</x:f>
        <x:v>902</x:v>
      </x:c>
      <x:c r="I140" s="7" t="n">
        <x:f>IFERROR(IFERROR(INDEX('01_Ustawienia'!$B$15:$B$33,MATCH(B140,'01_Ustawienia'!$A$15:$A$33,0)),0.45),0.45)</x:f>
        <x:v>0.45</x:v>
      </x:c>
      <x:c r="J140" s="8" t="n">
        <x:f>IF(H140="","",ROUND(H140*(1+I140),0))</x:f>
        <x:v>1308</x:v>
      </x:c>
      <x:c r="K140" s="8" t="n">
        <x:f>0</x:f>
        <x:v>0</x:v>
      </x:c>
      <x:c r="L140" s="8" t="n">
        <x:v>0</x:v>
      </x:c>
      <x:c r="M140" s="7" t="n">
        <x:f>IF('01_Ustawienia'!$B$4="ZWOLNIONY",0,'01_Ustawienia'!$B$7)</x:f>
        <x:v>0.08</x:v>
      </x:c>
      <x:c r="N140" s="8" t="n">
        <x:f>IF(J140="","",ROUND((J140+K140)*(1+M140),0))</x:f>
        <x:v>1413</x:v>
      </x:c>
      <x:c r="O140" s="8" t="n">
        <x:f>IF(J140="","",J140+K140-H140-L140)</x:f>
        <x:v>406</x:v>
      </x:c>
      <x:c r="P140" s="7" t="n">
        <x:f>IFERROR(O140/(J140+K140),"")</x:f>
        <x:v>0.3103975535168196</x:v>
      </x:c>
      <x:c r="Q140" s="6" t="inlineStr">
        <x:is>
          <x:t xml:space="preserve">RAW_ZS D/E</x:t>
        </x:is>
      </x:c>
      <x:c r="R140" s="6" t="inlineStr">
        <x:is>
          <x:t xml:space="preserve">POKRYCIE DACHU</x:t>
        </x:is>
      </x:c>
      <x:c r="S140" s="6" t="inlineStr">
        <x:is>
          <x:t xml:space="preserve">website+crm</x:t>
        </x:is>
      </x:c>
      <x:c r="T140" s="6" t="inlineStr">
        <x:is>
          <x:t xml:space="preserve">Dodawane do PDS | FIX17: Wynagr.+koszty = 0 dla dopłaty; nie jest osobnym montażem ekipy.</x:t>
        </x:is>
      </x:c>
    </x:row>
    <x:row r="141" s="655" customFormat="1" ht="30" customHeight="1">
      <x:c r="A141" s="6" t="inlineStr">
        <x:is>
          <x:t xml:space="preserve">300 x 1006 cm</x:t>
        </x:is>
      </x:c>
      <x:c r="B141" s="6" t="inlineStr">
        <x:is>
          <x:t xml:space="preserve">PDPB</x:t>
        </x:is>
      </x:c>
      <x:c r="C141" s="6" t="inlineStr">
        <x:is>
          <x:t xml:space="preserve">Dopłata poliwęglan barwiony</x:t>
        </x:is>
      </x:c>
      <x:c r="D141" s="6" t="inlineStr">
        <x:is>
          <x:t xml:space="preserve">POKRYCIE DACHU POLIWĘGLAN BARWIONY</x:t>
        </x:is>
      </x:c>
      <x:c r="E141" s="8" t="n">
        <x:f>IFERROR(INDEX('02_RAW_INDEX'!$F:$F,MATCH($A141,'02_RAW_INDEX'!$A:$A,0)),"")</x:f>
        <x:v>447</x:v>
      </x:c>
      <x:c r="F141" s="8" t="n">
        <x:f>IFERROR(INDEX('02_RAW_INDEX'!$E:$E,MATCH($A141,'02_RAW_INDEX'!$A:$A,0)),"")</x:f>
        <x:v>550</x:v>
      </x:c>
      <x:c r="G141" s="7" t="n">
        <x:f>'01_Ustawienia'!$B$6</x:f>
        <x:v>0</x:v>
      </x:c>
      <x:c r="H141" s="8" t="n">
        <x:f>IF(E141="","",ROUND(IF('01_Ustawienia'!$B$5="BRUTTO",F141,E141)*(1-G141),0))</x:f>
        <x:v>447</x:v>
      </x:c>
      <x:c r="I141" s="7" t="n">
        <x:f>IFERROR(IFERROR(INDEX('01_Ustawienia'!$B$15:$B$33,MATCH(B141,'01_Ustawienia'!$A$15:$A$33,0)),0.45),0.45)</x:f>
        <x:v>0.45</x:v>
      </x:c>
      <x:c r="J141" s="8" t="n">
        <x:f>IF(H141="","",ROUND(H141*(1+I141),0))</x:f>
        <x:v>648</x:v>
      </x:c>
      <x:c r="K141" s="8" t="n">
        <x:f>0</x:f>
        <x:v>0</x:v>
      </x:c>
      <x:c r="L141" s="8" t="n">
        <x:v>0</x:v>
      </x:c>
      <x:c r="M141" s="7" t="n">
        <x:f>IF('01_Ustawienia'!$B$4="ZWOLNIONY",0,'01_Ustawienia'!$B$7)</x:f>
        <x:v>0.08</x:v>
      </x:c>
      <x:c r="N141" s="8" t="n">
        <x:f>IF(J141="","",ROUND((J141+K141)*(1+M141),0))</x:f>
        <x:v>700</x:v>
      </x:c>
      <x:c r="O141" s="8" t="n">
        <x:f>IF(J141="","",J141+K141-H141-L141)</x:f>
        <x:v>201</x:v>
      </x:c>
      <x:c r="P141" s="7" t="n">
        <x:f>IFERROR(O141/(J141+K141),"")</x:f>
        <x:v>0.3101851851851852</x:v>
      </x:c>
      <x:c r="Q141" s="6" t="inlineStr">
        <x:is>
          <x:t xml:space="preserve">RAW_ZP D/E</x:t>
        </x:is>
      </x:c>
      <x:c r="R141" s="6" t="inlineStr">
        <x:is>
          <x:t xml:space="preserve">POKRYCIE DACHU</x:t>
        </x:is>
      </x:c>
      <x:c r="S141" s="6" t="inlineStr">
        <x:is>
          <x:t xml:space="preserve">website+crm</x:t>
        </x:is>
      </x:c>
      <x:c r="T141" s="6" t="inlineStr">
        <x:is>
          <x:t xml:space="preserve">FIX17: Wynagr.+koszty = 0 dla dopłaty; nie jest osobnym montażem ekipy.</x:t>
        </x:is>
      </x:c>
    </x:row>
    <x:row r="142" s="655" customFormat="1" ht="30" customHeight="1">
      <x:c r="A142" s="6" t="inlineStr">
        <x:is>
          <x:t xml:space="preserve">300 x 1006 cm</x:t>
        </x:is>
      </x:c>
      <x:c r="B142" s="6" t="inlineStr">
        <x:is>
          <x:t xml:space="preserve">SBB</x:t>
        </x:is>
      </x:c>
      <x:c r="C142" s="6" t="inlineStr">
        <x:is>
          <x:t xml:space="preserve">Dopłata szkło boczne przyciemniane</x:t>
        </x:is>
      </x:c>
      <x:c r="D142" s="6" t="inlineStr">
        <x:is>
          <x:t xml:space="preserve">SZKŁO BOCZNE BARWIONE</x:t>
        </x:is>
      </x:c>
      <x:c r="E142" s="8" t="n">
        <x:f>IFERROR(INDEX('02_RAW_INDEX'!$AB:$AB,MATCH($A142,'02_RAW_INDEX'!$A:$A,0)),"")</x:f>
        <x:v>1561</x:v>
      </x:c>
      <x:c r="F142" s="8" t="n">
        <x:f>IFERROR(INDEX('02_RAW_INDEX'!$AA:$AA,MATCH($A142,'02_RAW_INDEX'!$A:$A,0)),"")</x:f>
        <x:v>1920</x:v>
      </x:c>
      <x:c r="G142" s="7" t="n">
        <x:f>'01_Ustawienia'!$B$6</x:f>
        <x:v>0</x:v>
      </x:c>
      <x:c r="H142" s="8" t="n">
        <x:f>IF(E142="","",ROUND(IF('01_Ustawienia'!$B$5="BRUTTO",F142,E142)*(1-G142),0))</x:f>
        <x:v>1561</x:v>
      </x:c>
      <x:c r="I142" s="7" t="n">
        <x:f>IFERROR(IFERROR(INDEX('01_Ustawienia'!$B$15:$B$33,MATCH(B142,'01_Ustawienia'!$A$15:$A$33,0)),0.45),0.45)</x:f>
        <x:v>0.45</x:v>
      </x:c>
      <x:c r="J142" s="8" t="n">
        <x:f>IF(H142="","",ROUND(H142*(1+I142),0))</x:f>
        <x:v>2263</x:v>
      </x:c>
      <x:c r="K142" s="8" t="n">
        <x:f>0</x:f>
        <x:v>0</x:v>
      </x:c>
      <x:c r="L142" s="8" t="n">
        <x:v>0</x:v>
      </x:c>
      <x:c r="M142" s="7" t="n">
        <x:f>IF('01_Ustawienia'!$B$4="ZWOLNIONY",0,'01_Ustawienia'!$B$7)</x:f>
        <x:v>0.08</x:v>
      </x:c>
      <x:c r="N142" s="8" t="n">
        <x:f>IF(J142="","",ROUND((J142+K142)*(1+M142),0))</x:f>
        <x:v>2444</x:v>
      </x:c>
      <x:c r="O142" s="8" t="n">
        <x:f>IF(J142="","",J142+K142-H142-L142)</x:f>
        <x:v>702</x:v>
      </x:c>
      <x:c r="P142" s="7" t="n">
        <x:f>IFERROR(O142/(J142+K142),"")</x:f>
        <x:v>0.3102076889085285</x:v>
      </x:c>
      <x:c r="Q142" s="6" t="inlineStr">
        <x:is>
          <x:t xml:space="preserve">RAW_OP H/I</x:t>
        </x:is>
      </x:c>
      <x:c r="R142" s="6" t="inlineStr">
        <x:is>
          <x:t xml:space="preserve">SZYBY BOCZNE</x:t>
        </x:is>
      </x:c>
      <x:c r="S142" s="6" t="inlineStr">
        <x:is>
          <x:t xml:space="preserve">website+crm</x:t>
        </x:is>
      </x:c>
      <x:c r="T142" s="6" t="inlineStr">
        <x:is>
          <x:t xml:space="preserve">Dodawane do ścian przezroczystych | FIX17: Wynagr.+koszty = 0 dla dopłaty; nie jest osobnym montażem ekipy.</x:t>
        </x:is>
      </x:c>
    </x:row>
    <x:row r="143">
      <x:c r="A143" s="6" t="inlineStr">
        <x:is>
          <x:t xml:space="preserve">300 x 1006 cm</x:t>
        </x:is>
      </x:c>
      <x:c r="B143" s="6" t="inlineStr">
        <x:is>
          <x:t xml:space="preserve">RB</x:t>
        </x:is>
      </x:c>
      <x:c r="C143" s="6" t="inlineStr">
        <x:is>
          <x:t xml:space="preserve">Roleta boczna ZIP</x:t>
        </x:is>
      </x:c>
      <x:c r="D143" s="6" t="inlineStr">
        <x:is>
          <x:t xml:space="preserve">ROLETA BOCZNA</x:t>
        </x:is>
      </x:c>
      <x:c r="E143" s="8" t="n">
        <x:f>IFERROR(INDEX('02_RAW_INDEX'!$J:$J,MATCH($A143,'02_RAW_INDEX'!$A:$A,0)),"")</x:f>
        <x:v>1740</x:v>
      </x:c>
      <x:c r="F143" s="8" t="n">
        <x:f>IFERROR(INDEX('02_RAW_INDEX'!$I:$I,MATCH($A143,'02_RAW_INDEX'!$A:$A,0)),"")</x:f>
        <x:v>2140</x:v>
      </x:c>
      <x:c r="G143" s="7" t="n">
        <x:f>'01_Ustawienia'!$B$6</x:f>
        <x:v>0</x:v>
      </x:c>
      <x:c r="H143" s="8" t="n">
        <x:f>IF(E143="","",ROUND(IF('01_Ustawienia'!$B$5="BRUTTO",F143,E143)*(1-G143),0))</x:f>
        <x:v>1740</x:v>
      </x:c>
      <x:c r="I143" s="7" t="n">
        <x:f>IFERROR(IFERROR(INDEX('01_Ustawienia'!$B$15:$B$33,MATCH(B143,'01_Ustawienia'!$A$15:$A$33,0)),0.45),0.45)</x:f>
        <x:v>0.45</x:v>
      </x:c>
      <x:c r="J143" s="8" t="n">
        <x:f>IF(H143="","",ROUND(H143*(1+I143),0))</x:f>
        <x:v>2523</x:v>
      </x:c>
      <x:c r="K143" s="8" t="n">
        <x:f>0</x:f>
        <x:v>0</x:v>
      </x:c>
      <x:c r="L143" s="8" t="n">
        <x:f>IFERROR(IFERROR(INDEX(EG_Cennik_uslug!$AC:$AC,MATCH($A143,EG_Cennik_uslug!$A:$A,0)),0),0)</x:f>
        <x:v>150</x:v>
      </x:c>
      <x:c r="M143" s="7" t="n">
        <x:f>IF('01_Ustawienia'!$B$4="ZWOLNIONY",0,'01_Ustawienia'!$B$7)</x:f>
        <x:v>0.08</x:v>
      </x:c>
      <x:c r="N143" s="8" t="n">
        <x:f>IF(J143="","",ROUND((J143+K143)*(1+M143),0))</x:f>
        <x:v>2725</x:v>
      </x:c>
      <x:c r="O143" s="8" t="n">
        <x:f>IF(J143="","",J143+K143-H143-L143)</x:f>
        <x:v>633</x:v>
      </x:c>
      <x:c r="P143" s="7" t="n">
        <x:f>IFERROR(O143/(J143+K143),"")</x:f>
        <x:v>0.25089179548156954</x:v>
      </x:c>
      <x:c r="Q143" s="6" t="inlineStr">
        <x:is>
          <x:t xml:space="preserve">RAW_ZP J/K</x:t>
        </x:is>
      </x:c>
      <x:c r="R143" s="6" t="inlineStr">
        <x:is>
          <x:t xml:space="preserve">ROLETY BOCZNE</x:t>
        </x:is>
      </x:c>
      <x:c r="S143" s="6" t="inlineStr">
        <x:is>
          <x:t xml:space="preserve">website+crm</x:t>
        </x:is>
      </x:c>
      <x:c r="T143" s="6" t="inlineStr">
        <x:is>
          <x:t xml:space="preserve">Używana dla lewej i prawej</x:t>
        </x:is>
      </x:c>
    </x:row>
    <x:row r="144">
      <x:c r="A144" s="6" t="inlineStr">
        <x:is>
          <x:t xml:space="preserve">300 x 1006 cm</x:t>
        </x:is>
      </x:c>
      <x:c r="B144" s="6" t="inlineStr">
        <x:is>
          <x:t xml:space="preserve">RP</x:t>
        </x:is>
      </x:c>
      <x:c r="C144" s="6" t="inlineStr">
        <x:is>
          <x:t xml:space="preserve">Roleta przednia ZIP</x:t>
        </x:is>
      </x:c>
      <x:c r="D144" s="6" t="inlineStr">
        <x:is>
          <x:t xml:space="preserve">ROLETA PRZÓD</x:t>
        </x:is>
      </x:c>
      <x:c r="E144" s="8" t="n">
        <x:f>IFERROR(INDEX('02_RAW_INDEX'!$L:$L,MATCH($A144,'02_RAW_INDEX'!$A:$A,0)),"")</x:f>
        <x:v>5618</x:v>
      </x:c>
      <x:c r="F144" s="8" t="n">
        <x:f>IFERROR(INDEX('02_RAW_INDEX'!$K:$K,MATCH($A144,'02_RAW_INDEX'!$A:$A,0)),"")</x:f>
        <x:v>6910</x:v>
      </x:c>
      <x:c r="G144" s="7" t="n">
        <x:f>'01_Ustawienia'!$B$6</x:f>
        <x:v>0</x:v>
      </x:c>
      <x:c r="H144" s="8" t="n">
        <x:f>IF(E144="","",ROUND(IF('01_Ustawienia'!$B$5="BRUTTO",F144,E144)*(1-G144),0))</x:f>
        <x:v>5618</x:v>
      </x:c>
      <x:c r="I144" s="7" t="n">
        <x:f>IFERROR(IFERROR(INDEX('01_Ustawienia'!$B$15:$B$33,MATCH(B144,'01_Ustawienia'!$A$15:$A$33,0)),0.45),0.45)</x:f>
        <x:v>0.45</x:v>
      </x:c>
      <x:c r="J144" s="8" t="n">
        <x:f>IF(H144="","",ROUND(H144*(1+I144),0))</x:f>
        <x:v>8146</x:v>
      </x:c>
      <x:c r="K144" s="8" t="n">
        <x:f>0</x:f>
        <x:v>0</x:v>
      </x:c>
      <x:c r="L144" s="8" t="n">
        <x:f>IFERROR(IFERROR(INDEX(EG_Cennik_uslug!$AJ:$AJ,MATCH($A144,EG_Cennik_uslug!$A:$A,0)),0),0)</x:f>
        <x:v>450</x:v>
      </x:c>
      <x:c r="M144" s="7" t="n">
        <x:f>IF('01_Ustawienia'!$B$4="ZWOLNIONY",0,'01_Ustawienia'!$B$7)</x:f>
        <x:v>0.08</x:v>
      </x:c>
      <x:c r="N144" s="8" t="n">
        <x:f>IF(J144="","",ROUND((J144+K144)*(1+M144),0))</x:f>
        <x:v>8798</x:v>
      </x:c>
      <x:c r="O144" s="8" t="n">
        <x:f>IF(J144="","",J144+K144-H144-L144)</x:f>
        <x:v>2078</x:v>
      </x:c>
      <x:c r="P144" s="7" t="n">
        <x:f>IFERROR(O144/(J144+K144),"")</x:f>
        <x:v>0.25509452492020623</x:v>
      </x:c>
      <x:c r="Q144" s="6" t="inlineStr">
        <x:is>
          <x:t xml:space="preserve">RAW_ZP N/O</x:t>
        </x:is>
      </x:c>
      <x:c r="R144" s="6" t="inlineStr">
        <x:is>
          <x:t xml:space="preserve">ROLETY BOCZNE</x:t>
        </x:is>
      </x:c>
      <x:c r="S144" s="6" t="inlineStr">
        <x:is>
          <x:t xml:space="preserve">website+crm</x:t>
        </x:is>
      </x:c>
      <x:c r="T144" s="6" t="n"/>
    </x:row>
    <x:row r="145">
      <x:c r="A145" s="6" t="inlineStr">
        <x:is>
          <x:t xml:space="preserve">300 x 1006 cm</x:t>
        </x:is>
      </x:c>
      <x:c r="B145" s="6" t="inlineStr">
        <x:is>
          <x:t xml:space="preserve">M</x:t>
        </x:is>
      </x:c>
      <x:c r="C145" s="6" t="inlineStr">
        <x:is>
          <x:t xml:space="preserve">Markiza dachowa</x:t>
        </x:is>
      </x:c>
      <x:c r="D145" s="6" t="inlineStr">
        <x:is>
          <x:t xml:space="preserve">MARKIZA</x:t>
        </x:is>
      </x:c>
      <x:c r="E145" s="8" t="n">
        <x:f>IFERROR(INDEX('02_RAW_INDEX'!$H:$H,MATCH($A145,'02_RAW_INDEX'!$A:$A,0)),"")</x:f>
        <x:v>8089</x:v>
      </x:c>
      <x:c r="F145" s="8" t="n">
        <x:f>IFERROR(INDEX('02_RAW_INDEX'!$G:$G,MATCH($A145,'02_RAW_INDEX'!$A:$A,0)),"")</x:f>
        <x:v>9950</x:v>
      </x:c>
      <x:c r="G145" s="7" t="n">
        <x:f>'01_Ustawienia'!$B$6</x:f>
        <x:v>0</x:v>
      </x:c>
      <x:c r="H145" s="8" t="n">
        <x:f>IF(E145="","",ROUND(IF('01_Ustawienia'!$B$5="BRUTTO",F145,E145)*(1-G145),0))</x:f>
        <x:v>8089</x:v>
      </x:c>
      <x:c r="I145" s="7" t="n">
        <x:f>IFERROR(IFERROR(INDEX('01_Ustawienia'!$B$15:$B$33,MATCH(B145,'01_Ustawienia'!$A$15:$A$33,0)),0.45),0.45)</x:f>
        <x:v>0.45</x:v>
      </x:c>
      <x:c r="J145" s="8" t="n">
        <x:f>IF(H145="","",ROUND(H145*(1+I145),0))</x:f>
        <x:v>11729</x:v>
      </x:c>
      <x:c r="K145" s="8" t="n">
        <x:f>0</x:f>
        <x:v>0</x:v>
      </x:c>
      <x:c r="L145" s="8" t="n">
        <x:f>IFERROR(IFERROR(INDEX(EG_Cennik_uslug!$AQ:$AQ,MATCH($A145,EG_Cennik_uslug!$A:$A,0)),0),0)</x:f>
        <x:v>600</x:v>
      </x:c>
      <x:c r="M145" s="7" t="n">
        <x:f>IF('01_Ustawienia'!$B$4="ZWOLNIONY",0,'01_Ustawienia'!$B$7)</x:f>
        <x:v>0.08</x:v>
      </x:c>
      <x:c r="N145" s="8" t="n">
        <x:f>IF(J145="","",ROUND((J145+K145)*(1+M145),0))</x:f>
        <x:v>12667</x:v>
      </x:c>
      <x:c r="O145" s="8" t="n">
        <x:f>IF(J145="","",J145+K145-H145-L145)</x:f>
        <x:v>3040</x:v>
      </x:c>
      <x:c r="P145" s="7" t="n">
        <x:f>IFERROR(O145/(J145+K145),"")</x:f>
        <x:v>0.25918663142637904</x:v>
      </x:c>
      <x:c r="Q145" s="6" t="inlineStr">
        <x:is>
          <x:t xml:space="preserve">RAW_ZP H/I</x:t>
        </x:is>
      </x:c>
      <x:c r="R145" s="6" t="inlineStr">
        <x:is>
          <x:t xml:space="preserve">MARKIZA</x:t>
        </x:is>
      </x:c>
      <x:c r="S145" s="6" t="inlineStr">
        <x:is>
          <x:t xml:space="preserve">website+crm</x:t>
        </x:is>
      </x:c>
      <x:c r="T145" s="6" t="n"/>
    </x:row>
    <x:row r="146">
      <x:c r="A146" s="6" t="inlineStr">
        <x:is>
          <x:t xml:space="preserve">300 x 1006 cm</x:t>
        </x:is>
      </x:c>
      <x:c r="B146" s="6" t="inlineStr">
        <x:is>
          <x:t xml:space="preserve">PDWP</x:t>
        </x:is>
      </x:c>
      <x:c r="C146" s="6" t="inlineStr">
        <x:is>
          <x:t xml:space="preserve">Fundament/profile</x:t>
        </x:is>
      </x:c>
      <x:c r="D146" s="6" t="inlineStr">
        <x:is>
          <x:t xml:space="preserve">FUNDAMENT / PROFILE</x:t>
        </x:is>
      </x:c>
      <x:c r="E146" s="8" t="n">
        <x:f>IFERROR(INDEX('02_RAW_INDEX'!$AH:$AH,MATCH($A146,'02_RAW_INDEX'!$A:$A,0)),"")</x:f>
        <x:v>1122</x:v>
      </x:c>
      <x:c r="F146" s="8" t="n">
        <x:f>IFERROR(INDEX('02_RAW_INDEX'!$AG:$AG,MATCH($A146,'02_RAW_INDEX'!$A:$A,0)),"")</x:f>
        <x:v>1380</x:v>
      </x:c>
      <x:c r="G146" s="7" t="n">
        <x:f>'01_Ustawienia'!$B$6</x:f>
        <x:v>0</x:v>
      </x:c>
      <x:c r="H146" s="8" t="n">
        <x:f>IF(E146="","",ROUND(IF('01_Ustawienia'!$B$5="BRUTTO",F146,E146)*(1-G146),0))</x:f>
        <x:v>1122</x:v>
      </x:c>
      <x:c r="I146" s="7" t="n">
        <x:f>IFERROR(IFERROR(INDEX('01_Ustawienia'!$B$15:$B$33,MATCH(B146,'01_Ustawienia'!$A$15:$A$33,0)),0.45),0.45)</x:f>
        <x:v>1.2</x:v>
      </x:c>
      <x:c r="J146" s="8" t="n">
        <x:f>IF(H146="","",ROUND(H146*(1+I146),0))</x:f>
        <x:v>2468</x:v>
      </x:c>
      <x:c r="K146" s="8" t="n">
        <x:f>0</x:f>
        <x:v>0</x:v>
      </x:c>
      <x:c r="L146" s="8" t="n">
        <x:f>IFERROR(IFERROR(INDEX(EG_Cennik_uslug!$BT:$BT,MATCH($A146,EG_Cennik_uslug!$A:$A,0)),0),0)</x:f>
        <x:v>530</x:v>
      </x:c>
      <x:c r="M146" s="7" t="n">
        <x:f>IF('01_Ustawienia'!$B$4="ZWOLNIONY",0,'01_Ustawienia'!$B$7)</x:f>
        <x:v>0.08</x:v>
      </x:c>
      <x:c r="N146" s="8" t="n">
        <x:f>IF(J146="","",ROUND((J146+K146)*(1+M146),0))</x:f>
        <x:v>2665</x:v>
      </x:c>
      <x:c r="O146" s="8" t="n">
        <x:f>IF(J146="","",J146+K146-H146-L146)</x:f>
        <x:v>816</x:v>
      </x:c>
      <x:c r="P146" s="7" t="n">
        <x:f>IFERROR(O146/(J146+K146),"")</x:f>
        <x:v>0.33063209076175043</x:v>
      </x:c>
      <x:c r="Q146" s="6" t="inlineStr">
        <x:is>
          <x:t xml:space="preserve">RAW_OP AB/AC</x:t>
        </x:is>
      </x:c>
      <x:c r="R146" s="6" t="inlineStr">
        <x:is>
          <x:t xml:space="preserve">FUNDAMENT (PROFILE)</x:t>
        </x:is>
      </x:c>
      <x:c r="S146" s="6" t="inlineStr">
        <x:is>
          <x:t xml:space="preserve">website+crm</x:t>
        </x:is>
      </x:c>
      <x:c r="T146" s="6" t="n"/>
    </x:row>
    <x:row r="147" s="655" customFormat="1" ht="30" customHeight="1">
      <x:c r="A147" s="6" t="inlineStr">
        <x:is>
          <x:t xml:space="preserve">300 x 1006 cm</x:t>
        </x:is>
      </x:c>
      <x:c r="B147" s="6" t="inlineStr">
        <x:is>
          <x:t xml:space="preserve">ZAB</x:t>
        </x:is>
      </x:c>
      <x:c r="C147" s="6" t="inlineStr">
        <x:is>
          <x:t xml:space="preserve">Zabieraki do ścian przesuwnych</x:t>
        </x:is>
      </x:c>
      <x:c r="D147" s="6" t="inlineStr">
        <x:is>
          <x:t xml:space="preserve">DODATKI</x:t>
        </x:is>
      </x:c>
      <x:c r="E147" s="8" t="n">
        <x:f>IFERROR(INDEX('02_RAW_INDEX'!$AJ:$AJ,MATCH($A147,'02_RAW_INDEX'!$A:$A,0)),"")</x:f>
        <x:v>358</x:v>
      </x:c>
      <x:c r="F147" s="8" t="n">
        <x:f>IFERROR(INDEX('02_RAW_INDEX'!$AI:$AI,MATCH($A147,'02_RAW_INDEX'!$A:$A,0)),"")</x:f>
        <x:v>440</x:v>
      </x:c>
      <x:c r="G147" s="7" t="n">
        <x:f>'01_Ustawienia'!$B$6</x:f>
        <x:v>0</x:v>
      </x:c>
      <x:c r="H147" s="8" t="n">
        <x:f>IF(E147="","",ROUND(IF('01_Ustawienia'!$B$5="BRUTTO",F147,E147)*(1-G147),0))</x:f>
        <x:v>358</x:v>
      </x:c>
      <x:c r="I147" s="7" t="n">
        <x:f>IFERROR(IFERROR(INDEX('01_Ustawienia'!$B$15:$B$33,MATCH(B147,'01_Ustawienia'!$A$15:$A$33,0)),0.45),0.45)</x:f>
        <x:v>0.45</x:v>
      </x:c>
      <x:c r="J147" s="8" t="n">
        <x:f>IF(H147="","",ROUND(H147*(1+I147),0))</x:f>
        <x:v>519</x:v>
      </x:c>
      <x:c r="K147" s="8" t="n">
        <x:f>0</x:f>
        <x:v>0</x:v>
      </x:c>
      <x:c r="L147" s="8" t="n">
        <x:f>0</x:f>
        <x:v>0</x:v>
      </x:c>
      <x:c r="M147" s="7" t="n">
        <x:f>IF('01_Ustawienia'!$B$4="ZWOLNIONY",0,'01_Ustawienia'!$B$7)</x:f>
        <x:v>0.08</x:v>
      </x:c>
      <x:c r="N147" s="8" t="n">
        <x:f>IF(J147="","",ROUND((J147+K147)*(1+M147),0))</x:f>
        <x:v>561</x:v>
      </x:c>
      <x:c r="O147" s="8" t="n">
        <x:f>IF(J147="","",J147+K147-H147-L147)</x:f>
        <x:v>161</x:v>
      </x:c>
      <x:c r="P147" s="7" t="n">
        <x:f>IFERROR(O147/(J147+K147),"")</x:f>
        <x:v>0.31021194605009633</x:v>
      </x:c>
      <x:c r="Q147" s="6" t="inlineStr">
        <x:is>
          <x:t xml:space="preserve">RAW_OP AD/AE</x:t>
        </x:is>
      </x:c>
      <x:c r="R147" s="6" t="inlineStr">
        <x:is>
          <x:t xml:space="preserve">DODATKI</x:t>
        </x:is>
      </x:c>
      <x:c r="S147" s="6" t="inlineStr">
        <x:is>
          <x:t xml:space="preserve">crm_only</x:t>
        </x:is>
      </x:c>
      <x:c r="T147" s="6" t="n"/>
    </x:row>
    <x:row r="148">
      <x:c r="A148" s="6" t="inlineStr">
        <x:is>
          <x:t xml:space="preserve">300 x 1006 cm</x:t>
        </x:is>
      </x:c>
      <x:c r="B148" s="6" t="inlineStr">
        <x:is>
          <x:t xml:space="preserve">S</x:t>
        </x:is>
      </x:c>
      <x:c r="C148" s="6" t="inlineStr">
        <x:is>
          <x:t xml:space="preserve">Szczotki przeciwkurzowe</x:t>
        </x:is>
      </x:c>
      <x:c r="D148" s="6" t="inlineStr">
        <x:is>
          <x:t xml:space="preserve">SZCZOTKI</x:t>
        </x:is>
      </x:c>
      <x:c r="E148" s="8" t="n">
        <x:f>IFERROR(INDEX('02_RAW_INDEX'!$AD:$AD,MATCH($A148,'02_RAW_INDEX'!$A:$A,0)),"")</x:f>
        <x:v>496</x:v>
      </x:c>
      <x:c r="F148" s="8" t="n">
        <x:f>IFERROR(INDEX('02_RAW_INDEX'!$AC:$AC,MATCH($A148,'02_RAW_INDEX'!$A:$A,0)),"")</x:f>
        <x:v>610</x:v>
      </x:c>
      <x:c r="G148" s="7" t="n">
        <x:f>'01_Ustawienia'!$B$6</x:f>
        <x:v>0</x:v>
      </x:c>
      <x:c r="H148" s="8" t="n">
        <x:f>IF(E148="","",ROUND(IF('01_Ustawienia'!$B$5="BRUTTO",F148,E148)*(1-G148),0))</x:f>
        <x:v>496</x:v>
      </x:c>
      <x:c r="I148" s="7" t="n">
        <x:f>IFERROR(IFERROR(INDEX('01_Ustawienia'!$B$15:$B$33,MATCH(B148,'01_Ustawienia'!$A$15:$A$33,0)),0.45),0.45)</x:f>
        <x:v>0.45</x:v>
      </x:c>
      <x:c r="J148" s="8" t="n">
        <x:f>IF(H148="","",ROUND(H148*(1+I148),0))</x:f>
        <x:v>719</x:v>
      </x:c>
      <x:c r="K148" s="8" t="n">
        <x:f>0</x:f>
        <x:v>0</x:v>
      </x:c>
      <x:c r="L148" s="8" t="n">
        <x:f>IFERROR(IFERROR(INDEX(EG_Cennik_uslug!$CA:$CA,MATCH($A148,EG_Cennik_uslug!$A:$A,0)),0),0)</x:f>
        <x:v>0</x:v>
      </x:c>
      <x:c r="M148" s="7" t="n">
        <x:f>IF('01_Ustawienia'!$B$4="ZWOLNIONY",0,'01_Ustawienia'!$B$7)</x:f>
        <x:v>0.08</x:v>
      </x:c>
      <x:c r="N148" s="8" t="n">
        <x:f>IF(J148="","",ROUND((J148+K148)*(1+M148),0))</x:f>
        <x:v>777</x:v>
      </x:c>
      <x:c r="O148" s="8" t="n">
        <x:f>IF(J148="","",J148+K148-H148-L148)</x:f>
        <x:v>223</x:v>
      </x:c>
      <x:c r="P148" s="7" t="n">
        <x:f>IFERROR(O148/(J148+K148),"")</x:f>
        <x:v>0.3101529902642559</x:v>
      </x:c>
      <x:c r="Q148" s="6" t="inlineStr">
        <x:is>
          <x:t xml:space="preserve">RAW_OP L/M</x:t>
        </x:is>
      </x:c>
      <x:c r="R148" s="6" t="inlineStr">
        <x:is>
          <x:t xml:space="preserve">DODATKI</x:t>
        </x:is>
      </x:c>
      <x:c r="S148" s="6" t="inlineStr">
        <x:is>
          <x:t xml:space="preserve">website+crm</x:t>
        </x:is>
      </x:c>
      <x:c r="T148" s="6" t="n"/>
    </x:row>
    <x:row r="149">
      <x:c r="A149" s="6" t="inlineStr">
        <x:is>
          <x:t xml:space="preserve">300 x 1006 cm</x:t>
        </x:is>
      </x:c>
      <x:c r="B149" s="6" t="inlineStr">
        <x:is>
          <x:t xml:space="preserve">U</x:t>
        </x:is>
      </x:c>
      <x:c r="C149" s="6" t="inlineStr">
        <x:is>
          <x:t xml:space="preserve">Uchwyty na szkło ścienne</x:t>
        </x:is>
      </x:c>
      <x:c r="D149" s="6" t="inlineStr">
        <x:is>
          <x:t xml:space="preserve">UCHWYTY</x:t>
        </x:is>
      </x:c>
      <x:c r="E149" s="8" t="n">
        <x:f>IFERROR(INDEX('02_RAW_INDEX'!$AF:$AF,MATCH($A149,'02_RAW_INDEX'!$A:$A,0)),"")</x:f>
        <x:v>447</x:v>
      </x:c>
      <x:c r="F149" s="8" t="n">
        <x:f>IFERROR(INDEX('02_RAW_INDEX'!$AE:$AE,MATCH($A149,'02_RAW_INDEX'!$A:$A,0)),"")</x:f>
        <x:v>550</x:v>
      </x:c>
      <x:c r="G149" s="7" t="n">
        <x:f>'01_Ustawienia'!$B$6</x:f>
        <x:v>0</x:v>
      </x:c>
      <x:c r="H149" s="8" t="n">
        <x:f>IF(E149="","",ROUND(IF('01_Ustawienia'!$B$5="BRUTTO",F149,E149)*(1-G149),0))</x:f>
        <x:v>447</x:v>
      </x:c>
      <x:c r="I149" s="7" t="n">
        <x:f>IFERROR(IFERROR(INDEX('01_Ustawienia'!$B$15:$B$33,MATCH(B149,'01_Ustawienia'!$A$15:$A$33,0)),0.45),0.45)</x:f>
        <x:v>0.45</x:v>
      </x:c>
      <x:c r="J149" s="8" t="n">
        <x:f>IF(H149="","",ROUND(H149*(1+I149),0))</x:f>
        <x:v>648</x:v>
      </x:c>
      <x:c r="K149" s="8" t="n">
        <x:f>0</x:f>
        <x:v>0</x:v>
      </x:c>
      <x:c r="L149" s="8" t="n">
        <x:f>IFERROR(IFERROR(INDEX(EG_Cennik_uslug!$CH:$CH,MATCH($A149,EG_Cennik_uslug!$A:$A,0)),0),0)</x:f>
        <x:v>0</x:v>
      </x:c>
      <x:c r="M149" s="7" t="n">
        <x:f>IF('01_Ustawienia'!$B$4="ZWOLNIONY",0,'01_Ustawienia'!$B$7)</x:f>
        <x:v>0.08</x:v>
      </x:c>
      <x:c r="N149" s="8" t="n">
        <x:f>IF(J149="","",ROUND((J149+K149)*(1+M149),0))</x:f>
        <x:v>700</x:v>
      </x:c>
      <x:c r="O149" s="8" t="n">
        <x:f>IF(J149="","",J149+K149-H149-L149)</x:f>
        <x:v>201</x:v>
      </x:c>
      <x:c r="P149" s="7" t="n">
        <x:f>IFERROR(O149/(J149+K149),"")</x:f>
        <x:v>0.3101851851851852</x:v>
      </x:c>
      <x:c r="Q149" s="6" t="inlineStr">
        <x:is>
          <x:t xml:space="preserve">RAW_OP N/O</x:t>
        </x:is>
      </x:c>
      <x:c r="R149" s="6" t="inlineStr">
        <x:is>
          <x:t xml:space="preserve">DODATKI</x:t>
        </x:is>
      </x:c>
      <x:c r="S149" s="6" t="inlineStr">
        <x:is>
          <x:t xml:space="preserve">website+crm</x:t>
        </x:is>
      </x:c>
      <x:c r="T149" s="6" t="n"/>
    </x:row>
    <x:row r="150">
      <x:c r="A150" s="6" t="inlineStr">
        <x:is>
          <x:t xml:space="preserve">300 x 1006 cm</x:t>
        </x:is>
      </x:c>
      <x:c r="B150" s="6" t="inlineStr">
        <x:is>
          <x:t xml:space="preserve">LED2</x:t>
        </x:is>
      </x:c>
      <x:c r="C150" s="6" t="inlineStr">
        <x:is>
          <x:t xml:space="preserve">Oświetlenie LED 2 punkty</x:t>
        </x:is>
      </x:c>
      <x:c r="D150" s="6" t="inlineStr">
        <x:is>
          <x:t xml:space="preserve">LED 2 PKT</x:t>
        </x:is>
      </x:c>
      <x:c r="E150" s="8" t="n">
        <x:f>IFERROR(INDEX('02_RAW_INDEX'!$N:$N,MATCH($A150,'02_RAW_INDEX'!$A:$A,0)),"")</x:f>
        <x:v>1000</x:v>
      </x:c>
      <x:c r="F150" s="8" t="n">
        <x:f>IFERROR(INDEX('02_RAW_INDEX'!$M:$M,MATCH($A150,'02_RAW_INDEX'!$A:$A,0)),"")</x:f>
        <x:v>1230</x:v>
      </x:c>
      <x:c r="G150" s="7" t="n">
        <x:f>'01_Ustawienia'!$B$6</x:f>
        <x:v>0</x:v>
      </x:c>
      <x:c r="H150" s="8" t="n">
        <x:f>IF(E150="","",ROUND(IF('01_Ustawienia'!$B$5="BRUTTO",F150,E150)*(1-G150),0))</x:f>
        <x:v>1000</x:v>
      </x:c>
      <x:c r="I150" s="7" t="n">
        <x:f>IFERROR(IFERROR(INDEX('01_Ustawienia'!$B$15:$B$33,MATCH(B150,'01_Ustawienia'!$A$15:$A$33,0)),0.45),0.45)</x:f>
        <x:v>0.45</x:v>
      </x:c>
      <x:c r="J150" s="8" t="n">
        <x:f>IF(H150="","",ROUND(H150*(1+I150),0))</x:f>
        <x:v>1450</x:v>
      </x:c>
      <x:c r="K150" s="8" t="n">
        <x:f>0</x:f>
        <x:v>0</x:v>
      </x:c>
      <x:c r="L150" s="8" t="n">
        <x:f>IFERROR(IFERROR(INDEX(EG_Cennik_uslug!$CO:$CO,MATCH($A150,EG_Cennik_uslug!$A:$A,0)),0),0)</x:f>
        <x:v>0</x:v>
      </x:c>
      <x:c r="M150" s="7" t="n">
        <x:f>IF('01_Ustawienia'!$B$4="ZWOLNIONY",0,'01_Ustawienia'!$B$7)</x:f>
        <x:v>0.08</x:v>
      </x:c>
      <x:c r="N150" s="8" t="n">
        <x:f>IF(J150="","",ROUND((J150+K150)*(1+M150),0))</x:f>
        <x:v>1566</x:v>
      </x:c>
      <x:c r="O150" s="8" t="n">
        <x:f>IF(J150="","",J150+K150-H150-L150)</x:f>
        <x:v>450</x:v>
      </x:c>
      <x:c r="P150" s="7" t="n">
        <x:f>IFERROR(O150/(J150+K150),"")</x:f>
        <x:v>0.3103448275862069</x:v>
      </x:c>
      <x:c r="Q150" s="6" t="inlineStr">
        <x:is>
          <x:t xml:space="preserve">RAW_ZP P/Q</x:t>
        </x:is>
      </x:c>
      <x:c r="R150" s="6" t="inlineStr">
        <x:is>
          <x:t xml:space="preserve">OŚWIETLENIE</x:t>
        </x:is>
      </x:c>
      <x:c r="S150" s="6" t="inlineStr">
        <x:is>
          <x:t xml:space="preserve">website+crm</x:t>
        </x:is>
      </x:c>
      <x:c r="T150" s="6" t="n"/>
    </x:row>
    <x:row r="151">
      <x:c r="A151" s="6" t="inlineStr">
        <x:is>
          <x:t xml:space="preserve">300 x 1006 cm</x:t>
        </x:is>
      </x:c>
      <x:c r="B151" s="6" t="inlineStr">
        <x:is>
          <x:t xml:space="preserve">LED3</x:t>
        </x:is>
      </x:c>
      <x:c r="C151" s="6" t="inlineStr">
        <x:is>
          <x:t xml:space="preserve">Oświetlenie LED 3 punkty</x:t>
        </x:is>
      </x:c>
      <x:c r="D151" s="6" t="inlineStr">
        <x:is>
          <x:t xml:space="preserve">LED 3 PKT</x:t>
        </x:is>
      </x:c>
      <x:c r="E151" s="8" t="n">
        <x:f>IFERROR(INDEX('02_RAW_INDEX'!$P:$P,MATCH($A151,'02_RAW_INDEX'!$A:$A,0)),"")</x:f>
        <x:v>1341</x:v>
      </x:c>
      <x:c r="F151" s="8" t="n">
        <x:f>IFERROR(INDEX('02_RAW_INDEX'!$O:$O,MATCH($A151,'02_RAW_INDEX'!$A:$A,0)),"")</x:f>
        <x:v>1650</x:v>
      </x:c>
      <x:c r="G151" s="7" t="n">
        <x:f>'01_Ustawienia'!$B$6</x:f>
        <x:v>0</x:v>
      </x:c>
      <x:c r="H151" s="8" t="n">
        <x:f>IF(E151="","",ROUND(IF('01_Ustawienia'!$B$5="BRUTTO",F151,E151)*(1-G151),0))</x:f>
        <x:v>1341</x:v>
      </x:c>
      <x:c r="I151" s="7" t="n">
        <x:f>IFERROR(IFERROR(INDEX('01_Ustawienia'!$B$15:$B$33,MATCH(B151,'01_Ustawienia'!$A$15:$A$33,0)),0.45),0.45)</x:f>
        <x:v>0.45</x:v>
      </x:c>
      <x:c r="J151" s="8" t="n">
        <x:f>IF(H151="","",ROUND(H151*(1+I151),0))</x:f>
        <x:v>1944</x:v>
      </x:c>
      <x:c r="K151" s="8" t="n">
        <x:f>0</x:f>
        <x:v>0</x:v>
      </x:c>
      <x:c r="L151" s="8" t="n">
        <x:f>IFERROR(IFERROR(INDEX(EG_Cennik_uslug!$CV:$CV,MATCH($A151,EG_Cennik_uslug!$A:$A,0)),0),0)</x:f>
        <x:v>0</x:v>
      </x:c>
      <x:c r="M151" s="7" t="n">
        <x:f>IF('01_Ustawienia'!$B$4="ZWOLNIONY",0,'01_Ustawienia'!$B$7)</x:f>
        <x:v>0.08</x:v>
      </x:c>
      <x:c r="N151" s="8" t="n">
        <x:f>IF(J151="","",ROUND((J151+K151)*(1+M151),0))</x:f>
        <x:v>2100</x:v>
      </x:c>
      <x:c r="O151" s="8" t="n">
        <x:f>IF(J151="","",J151+K151-H151-L151)</x:f>
        <x:v>603</x:v>
      </x:c>
      <x:c r="P151" s="7" t="n">
        <x:f>IFERROR(O151/(J151+K151),"")</x:f>
        <x:v>0.3101851851851852</x:v>
      </x:c>
      <x:c r="Q151" s="6" t="inlineStr">
        <x:is>
          <x:t xml:space="preserve">RAW_ZP R/S</x:t>
        </x:is>
      </x:c>
      <x:c r="R151" s="6" t="inlineStr">
        <x:is>
          <x:t xml:space="preserve">OŚWIETLENIE</x:t>
        </x:is>
      </x:c>
      <x:c r="S151" s="6" t="inlineStr">
        <x:is>
          <x:t xml:space="preserve">website+crm</x:t>
        </x:is>
      </x:c>
      <x:c r="T151" s="6" t="inlineStr">
        <x:is>
          <x:t xml:space="preserve">Nazwa do potwierdzenia</x:t>
        </x:is>
      </x:c>
    </x:row>
    <x:row r="152">
      <x:c r="A152" s="6" t="inlineStr">
        <x:is>
          <x:t xml:space="preserve">300 x 1006 cm</x:t>
        </x:is>
      </x:c>
      <x:c r="B152" s="6" t="inlineStr">
        <x:is>
          <x:t xml:space="preserve">LEDCCT</x:t>
        </x:is>
      </x:c>
      <x:c r="C152" s="6" t="inlineStr">
        <x:is>
          <x:t xml:space="preserve">Oświetlenie LED CCT</x:t>
        </x:is>
      </x:c>
      <x:c r="D152" s="6" t="inlineStr">
        <x:is>
          <x:t xml:space="preserve">OŚWIETLENIE</x:t>
        </x:is>
      </x:c>
      <x:c r="E152" s="8" t="n">
        <x:f>IFERROR(INDEX('02_RAW_INDEX'!$R:$R,MATCH($A152,'02_RAW_INDEX'!$A:$A,0)),"")</x:f>
        <x:v>1780</x:v>
      </x:c>
      <x:c r="F152" s="8" t="n">
        <x:f>IFERROR(INDEX('02_RAW_INDEX'!$Q:$Q,MATCH($A152,'02_RAW_INDEX'!$A:$A,0)),"")</x:f>
        <x:v>2189</x:v>
      </x:c>
      <x:c r="G152" s="7" t="n">
        <x:f>'01_Ustawienia'!$B$6</x:f>
        <x:v>0</x:v>
      </x:c>
      <x:c r="H152" s="8" t="n">
        <x:f>IF(E152="","",ROUND(IF('01_Ustawienia'!$B$5="BRUTTO",F152,E152)*(1-G152),0))</x:f>
        <x:v>1780</x:v>
      </x:c>
      <x:c r="I152" s="7" t="n">
        <x:f>IFERROR(IFERROR(INDEX('01_Ustawienia'!$B$15:$B$33,MATCH(B152,'01_Ustawienia'!$A$15:$A$33,0)),0.45),0.45)</x:f>
        <x:v>0.45</x:v>
      </x:c>
      <x:c r="J152" s="8" t="n">
        <x:f>IF(H152="","",ROUND(H152*(1+I152),0))</x:f>
        <x:v>2581</x:v>
      </x:c>
      <x:c r="K152" s="8" t="n">
        <x:f>0</x:f>
        <x:v>0</x:v>
      </x:c>
      <x:c r="L152" s="8" t="n">
        <x:f>0</x:f>
        <x:v>0</x:v>
      </x:c>
      <x:c r="M152" s="7" t="n">
        <x:f>IF('01_Ustawienia'!$B$4="ZWOLNIONY",0,'01_Ustawienia'!$B$7)</x:f>
        <x:v>0.08</x:v>
      </x:c>
      <x:c r="N152" s="8" t="n">
        <x:f>IF(J152="","",ROUND((J152+K152)*(1+M152),0))</x:f>
        <x:v>2787</x:v>
      </x:c>
      <x:c r="O152" s="8" t="n">
        <x:f>IF(J152="","",J152+K152-H152-L152)</x:f>
        <x:v>801</x:v>
      </x:c>
      <x:c r="P152" s="7" t="n">
        <x:f>IFERROR(O152/(J152+K152),"")</x:f>
        <x:v>0.3103448275862069</x:v>
      </x:c>
      <x:c r="Q152" s="6" t="inlineStr">
        <x:is>
          <x:t xml:space="preserve">RAW_ZP T/U</x:t>
        </x:is>
      </x:c>
      <x:c r="R152" s="6" t="inlineStr">
        <x:is>
          <x:t xml:space="preserve">OŚWIETLENIE</x:t>
        </x:is>
      </x:c>
      <x:c r="S152" s="6" t="inlineStr">
        <x:is>
          <x:t xml:space="preserve">website+crm</x:t>
        </x:is>
      </x:c>
      <x:c r="T152" s="6" t="inlineStr">
        <x:is>
          <x:t xml:space="preserve">Opcja dodatkowa | FIX17: opcja LED dostępna dla strony; ceny 450-600 wg modelu FIX15.</x:t>
        </x:is>
      </x:c>
    </x:row>
    <x:row r="153">
      <x:c r="A153" s="6" t="inlineStr">
        <x:is>
          <x:t xml:space="preserve">300 x 1006 cm</x:t>
        </x:is>
      </x:c>
      <x:c r="B153" s="6" t="inlineStr">
        <x:is>
          <x:t xml:space="preserve">LEDRGBCCT</x:t>
        </x:is>
      </x:c>
      <x:c r="C153" s="6" t="inlineStr">
        <x:is>
          <x:t xml:space="preserve">Oświetlenie LED RGB CCT</x:t>
        </x:is>
      </x:c>
      <x:c r="D153" s="6" t="inlineStr">
        <x:is>
          <x:t xml:space="preserve">OŚWIETLENIE</x:t>
        </x:is>
      </x:c>
      <x:c r="E153" s="8" t="n">
        <x:f>IFERROR(INDEX('02_RAW_INDEX'!$T:$T,MATCH($A153,'02_RAW_INDEX'!$A:$A,0)),"")</x:f>
        <x:v>2600</x:v>
      </x:c>
      <x:c r="F153" s="8" t="n">
        <x:f>IFERROR(INDEX('02_RAW_INDEX'!$S:$S,MATCH($A153,'02_RAW_INDEX'!$A:$A,0)),"")</x:f>
        <x:v>3198</x:v>
      </x:c>
      <x:c r="G153" s="7" t="n">
        <x:f>'01_Ustawienia'!$B$6</x:f>
        <x:v>0</x:v>
      </x:c>
      <x:c r="H153" s="8" t="n">
        <x:f>IF(E153="","",ROUND(IF('01_Ustawienia'!$B$5="BRUTTO",F153,E153)*(1-G153),0))</x:f>
        <x:v>2600</x:v>
      </x:c>
      <x:c r="I153" s="7" t="n">
        <x:f>IFERROR(IFERROR(INDEX('01_Ustawienia'!$B$15:$B$33,MATCH(B153,'01_Ustawienia'!$A$15:$A$33,0)),0.45),0.45)</x:f>
        <x:v>0.45</x:v>
      </x:c>
      <x:c r="J153" s="8" t="n">
        <x:f>IF(H153="","",ROUND(H153*(1+I153),0))</x:f>
        <x:v>3770</x:v>
      </x:c>
      <x:c r="K153" s="8" t="n">
        <x:f>0</x:f>
        <x:v>0</x:v>
      </x:c>
      <x:c r="L153" s="8" t="n">
        <x:f>0</x:f>
        <x:v>0</x:v>
      </x:c>
      <x:c r="M153" s="7" t="n">
        <x:f>IF('01_Ustawienia'!$B$4="ZWOLNIONY",0,'01_Ustawienia'!$B$7)</x:f>
        <x:v>0.08</x:v>
      </x:c>
      <x:c r="N153" s="8" t="n">
        <x:f>IF(J153="","",ROUND((J153+K153)*(1+M153),0))</x:f>
        <x:v>4072</x:v>
      </x:c>
      <x:c r="O153" s="8" t="n">
        <x:f>IF(J153="","",J153+K153-H153-L153)</x:f>
        <x:v>1170</x:v>
      </x:c>
      <x:c r="P153" s="7" t="n">
        <x:f>IFERROR(O153/(J153+K153),"")</x:f>
        <x:v>0.3103448275862069</x:v>
      </x:c>
      <x:c r="Q153" s="6" t="inlineStr">
        <x:is>
          <x:t xml:space="preserve">RAW_ZP V/W</x:t>
        </x:is>
      </x:c>
      <x:c r="R153" s="6" t="inlineStr">
        <x:is>
          <x:t xml:space="preserve">OŚWIETLENIE</x:t>
        </x:is>
      </x:c>
      <x:c r="S153" s="6" t="inlineStr">
        <x:is>
          <x:t xml:space="preserve">crm_only</x:t>
        </x:is>
      </x:c>
      <x:c r="T153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154" s="655" customFormat="1" ht="30" customHeight="1">
      <x:c r="A154" s="6" t="inlineStr">
        <x:is>
          <x:t xml:space="preserve">300 x 1106 cm</x:t>
        </x:is>
      </x:c>
      <x:c r="B154" s="6" t="inlineStr">
        <x:is>
          <x:t xml:space="preserve">ZP</x:t>
        </x:is>
      </x:c>
      <x:c r="C154" s="6" t="inlineStr">
        <x:is>
          <x:t xml:space="preserve">Zadaszenie poliwęglan - baza</x:t>
        </x:is>
      </x:c>
      <x:c r="D154" s="6" t="inlineStr">
        <x:is>
          <x:t xml:space="preserve">ZADASZENIE POLIWĘGLAN</x:t>
        </x:is>
      </x:c>
      <x:c r="E154" s="8" t="n">
        <x:f>IFERROR(INDEX('02_RAW_INDEX'!$D:$D,MATCH($A154,'02_RAW_INDEX'!$A:$A,0)),"")</x:f>
        <x:v>11463</x:v>
      </x:c>
      <x:c r="F154" s="8" t="n">
        <x:f>IFERROR(INDEX('02_RAW_INDEX'!$C:$C,MATCH($A154,'02_RAW_INDEX'!$A:$A,0)),"")</x:f>
        <x:v>14100</x:v>
      </x:c>
      <x:c r="G154" s="7" t="n">
        <x:f>'01_Ustawienia'!$B$6</x:f>
        <x:v>0</x:v>
      </x:c>
      <x:c r="H154" s="8" t="n">
        <x:f>IF(E154="","",ROUND(IF('01_Ustawienia'!$B$5="BRUTTO",F154,E154)*(1-G154),0))</x:f>
        <x:v>11463</x:v>
      </x:c>
      <x:c r="I154" s="7" t="n">
        <x:f>IFERROR(IFERROR(INDEX('01_Ustawienia'!$B$15:$B$33,MATCH(B154,'01_Ustawienia'!$A$15:$A$33,0)),0.45),0.45)</x:f>
        <x:v>0.45</x:v>
      </x:c>
      <x:c r="J154" s="8" t="n">
        <x:f>IF(H154="","",ROUND(H154*(1+I154),0))</x:f>
        <x:v>16621</x:v>
      </x:c>
      <x:c r="K154" s="8" t="n">
        <x:f>IFERROR(IFERROR(INDEX(EG_Cennik_uslug!$F:$F,MATCH($A154,EG_Cennik_uslug!$A:$A,0)),0),0)</x:f>
        <x:v>4730</x:v>
      </x:c>
      <x:c r="L154" s="8" t="n">
        <x:f>IFERROR(IFERROR(INDEX(EG_Cennik_uslug!$G:$G,MATCH($A154,EG_Cennik_uslug!$A:$A,0)),0),0)</x:f>
        <x:v>1760</x:v>
      </x:c>
      <x:c r="M154" s="7" t="n">
        <x:f>IF('01_Ustawienia'!$B$4="ZWOLNIONY",0,'01_Ustawienia'!$B$7)</x:f>
        <x:v>0.08</x:v>
      </x:c>
      <x:c r="N154" s="8" t="n">
        <x:f>IF(J154="","",ROUND((J154+K154)*(1+M154),0))</x:f>
        <x:v>23059</x:v>
      </x:c>
      <x:c r="O154" s="8" t="n">
        <x:f>IF(J154="","",J154+K154-H154-L154)</x:f>
        <x:v>8128</x:v>
      </x:c>
      <x:c r="P154" s="7" t="n">
        <x:f>IFERROR(O154/(J154+K154),"")</x:f>
        <x:v>0.3806847454451782</x:v>
      </x:c>
      <x:c r="Q154" s="6" t="inlineStr">
        <x:is>
          <x:t xml:space="preserve">RAW_ZP B/C</x:t>
        </x:is>
      </x:c>
      <x:c r="R154" s="6" t="inlineStr">
        <x:is>
          <x:t xml:space="preserve">ZADASZENIE TARASU KONSTRUKCJA</x:t>
        </x:is>
      </x:c>
      <x:c r="S154" s="6" t="inlineStr">
        <x:is>
          <x:t xml:space="preserve">website+crm</x:t>
        </x:is>
      </x:c>
      <x:c r="T154" s="6" t="inlineStr">
        <x:is>
          <x:t xml:space="preserve">Baza dla kalkulatora</x:t>
        </x:is>
      </x:c>
    </x:row>
    <x:row r="155" s="655" customFormat="1" ht="30" customHeight="1">
      <x:c r="A155" s="6" t="inlineStr">
        <x:is>
          <x:t xml:space="preserve">300 x 1106 cm</x:t>
        </x:is>
      </x:c>
      <x:c r="B155" s="6" t="inlineStr">
        <x:is>
          <x:t xml:space="preserve">ZS</x:t>
        </x:is>
      </x:c>
      <x:c r="C155" s="6" t="inlineStr">
        <x:is>
          <x:t xml:space="preserve">Zadaszenie szkło - pełna konstrukcja</x:t>
        </x:is>
      </x:c>
      <x:c r="D155" s="6" t="inlineStr">
        <x:is>
          <x:t xml:space="preserve">ZADASZENIE SZKŁO</x:t>
        </x:is>
      </x:c>
      <x:c r="E155" s="8" t="n">
        <x:f>IFERROR(INDEX('02_RAW_INDEX'!$V:$V,MATCH($A155,'02_RAW_INDEX'!$A:$A,0)),"")</x:f>
        <x:v>16634</x:v>
      </x:c>
      <x:c r="F155" s="8" t="n">
        <x:f>IFERROR(INDEX('02_RAW_INDEX'!$U:$U,MATCH($A155,'02_RAW_INDEX'!$A:$A,0)),"")</x:f>
        <x:v>20460</x:v>
      </x:c>
      <x:c r="G155" s="7" t="n">
        <x:f>'01_Ustawienia'!$B$6</x:f>
        <x:v>0</x:v>
      </x:c>
      <x:c r="H155" s="8" t="n">
        <x:f>IF(E155="","",ROUND(IF('01_Ustawienia'!$B$5="BRUTTO",F155,E155)*(1-G155),0))</x:f>
        <x:v>16634</x:v>
      </x:c>
      <x:c r="I155" s="7" t="n">
        <x:f>IFERROR(IFERROR(INDEX('01_Ustawienia'!$B$15:$B$33,MATCH(B155,'01_Ustawienia'!$A$15:$A$33,0)),0.45),0.45)</x:f>
        <x:v>0.45</x:v>
      </x:c>
      <x:c r="J155" s="8" t="n">
        <x:f>IF(H155="","",ROUND(H155*(1+I155),0))</x:f>
        <x:v>24119</x:v>
      </x:c>
      <x:c r="K155" s="8" t="n">
        <x:f>IFERROR(IFERROR(INDEX(EG_Cennik_uslug!$F:$F,MATCH($A155,EG_Cennik_uslug!$A:$A,0)),0),0)</x:f>
        <x:v>4730</x:v>
      </x:c>
      <x:c r="L155" s="8" t="n">
        <x:f>IFERROR(IFERROR(INDEX(EG_Cennik_uslug!$G:$G,MATCH($A155,EG_Cennik_uslug!$A:$A,0)),0),0)</x:f>
        <x:v>1760</x:v>
      </x:c>
      <x:c r="M155" s="7" t="n">
        <x:f>IF('01_Ustawienia'!$B$4="ZWOLNIONY",0,'01_Ustawienia'!$B$7)</x:f>
        <x:v>0.08</x:v>
      </x:c>
      <x:c r="N155" s="8" t="n">
        <x:f>IF(J155="","",ROUND((J155+K155)*(1+M155),0))</x:f>
        <x:v>31157</x:v>
      </x:c>
      <x:c r="O155" s="8" t="n">
        <x:f>IF(J155="","",J155+K155-H155-L155)</x:f>
        <x:v>10455</x:v>
      </x:c>
      <x:c r="P155" s="7" t="n">
        <x:f>IFERROR(O155/(J155+K155),"")</x:f>
        <x:v>0.3624042427813789</x:v>
      </x:c>
      <x:c r="Q155" s="6" t="inlineStr">
        <x:is>
          <x:t xml:space="preserve">RAW_ZS B/C</x:t>
        </x:is>
      </x:c>
      <x:c r="R155" s="6" t="inlineStr">
        <x:is>
          <x:t xml:space="preserve">ZADASZENIE TARASU KONSTRUKCJA</x:t>
        </x:is>
      </x:c>
      <x:c r="S155" s="6" t="inlineStr">
        <x:is>
          <x:t xml:space="preserve">crm_only</x:t>
        </x:is>
      </x:c>
      <x:c r="T155" s="6" t="inlineStr">
        <x:is>
          <x:t xml:space="preserve">Referencyjne/full; strona zwykle używa ZP + PDS</x:t>
        </x:is>
      </x:c>
    </x:row>
    <x:row r="156" s="655" customFormat="1" ht="30" customHeight="1">
      <x:c r="A156" s="6" t="inlineStr">
        <x:is>
          <x:t xml:space="preserve">300 x 1106 cm</x:t>
        </x:is>
      </x:c>
      <x:c r="B156" s="6" t="inlineStr">
        <x:is>
          <x:t xml:space="preserve">OP</x:t>
        </x:is>
      </x:c>
      <x:c r="C156" s="6" t="inlineStr">
        <x:is>
          <x:t xml:space="preserve">Ogród zimowy poliwęglan - baza</x:t>
        </x:is>
      </x:c>
      <x:c r="D156" s="6" t="inlineStr">
        <x:is>
          <x:t xml:space="preserve">OGRODY POLIWĘGLAN</x:t>
        </x:is>
      </x:c>
      <x:c r="E156" s="8" t="n">
        <x:f>IFERROR(INDEX('02_RAW_INDEX'!$Z:$Z,MATCH($A156,'02_RAW_INDEX'!$A:$A,0)),"")</x:f>
        <x:v>25846</x:v>
      </x:c>
      <x:c r="F156" s="8" t="n">
        <x:f>IFERROR(INDEX('02_RAW_INDEX'!$Y:$Y,MATCH($A156,'02_RAW_INDEX'!$A:$A,0)),"")</x:f>
        <x:v>31790</x:v>
      </x:c>
      <x:c r="G156" s="7" t="n">
        <x:f>'01_Ustawienia'!$B$6</x:f>
        <x:v>0</x:v>
      </x:c>
      <x:c r="H156" s="8" t="n">
        <x:f>IF(E156="","",ROUND(IF('01_Ustawienia'!$B$5="BRUTTO",F156,E156)*(1-G156),0))</x:f>
        <x:v>25846</x:v>
      </x:c>
      <x:c r="I156" s="7" t="n">
        <x:f>IFERROR(IFERROR(INDEX('01_Ustawienia'!$B$15:$B$33,MATCH(B156,'01_Ustawienia'!$A$15:$A$33,0)),0.45),0.45)</x:f>
        <x:v>0.45</x:v>
      </x:c>
      <x:c r="J156" s="8" t="n">
        <x:f>IF(H156="","",ROUND(H156*(1+I156),0))</x:f>
        <x:v>37477</x:v>
      </x:c>
      <x:c r="K156" s="8" t="n">
        <x:f>IFERROR(IFERROR(INDEX(EG_Cennik_uslug!$N:$N,MATCH($A156,EG_Cennik_uslug!$A:$A,0)),0),0)</x:f>
        <x:v>6130</x:v>
      </x:c>
      <x:c r="L156" s="8" t="n">
        <x:f>IFERROR(IFERROR(INDEX(EG_Cennik_uslug!$O:$O,MATCH($A156,EG_Cennik_uslug!$A:$A,0)),0),0)</x:f>
        <x:v>2460</x:v>
      </x:c>
      <x:c r="M156" s="7" t="n">
        <x:f>IF('01_Ustawienia'!$B$4="ZWOLNIONY",0,'01_Ustawienia'!$B$7)</x:f>
        <x:v>0.08</x:v>
      </x:c>
      <x:c r="N156" s="8" t="n">
        <x:f>IF(J156="","",ROUND((J156+K156)*(1+M156),0))</x:f>
        <x:v>47096</x:v>
      </x:c>
      <x:c r="O156" s="8" t="n">
        <x:f>IF(J156="","",J156+K156-H156-L156)</x:f>
        <x:v>15301</x:v>
      </x:c>
      <x:c r="P156" s="7" t="n">
        <x:f>IFERROR(O156/(J156+K156),"")</x:f>
        <x:v>0.35088403238012245</x:v>
      </x:c>
      <x:c r="Q156" s="6" t="inlineStr">
        <x:is>
          <x:t xml:space="preserve">RAW_OP B/C</x:t>
        </x:is>
      </x:c>
      <x:c r="R156" s="6" t="inlineStr">
        <x:is>
          <x:t xml:space="preserve">OGRÓD ZIMOWY (KONSTRUKCJA)</x:t>
        </x:is>
      </x:c>
      <x:c r="S156" s="6" t="inlineStr">
        <x:is>
          <x:t xml:space="preserve">website+crm</x:t>
        </x:is>
      </x:c>
      <x:c r="T156" s="6" t="inlineStr">
        <x:is>
          <x:t xml:space="preserve">Do wyliczenia dopłaty za ściany</x:t>
        </x:is>
      </x:c>
    </x:row>
    <x:row r="157" s="655" customFormat="1" ht="30" customHeight="1">
      <x:c r="A157" s="6" t="inlineStr">
        <x:is>
          <x:t xml:space="preserve">300 x 1106 cm</x:t>
        </x:is>
      </x:c>
      <x:c r="B157" s="6" t="inlineStr">
        <x:is>
          <x:t xml:space="preserve">OS</x:t>
        </x:is>
      </x:c>
      <x:c r="C157" s="6" t="inlineStr">
        <x:is>
          <x:t xml:space="preserve">Ogród zimowy szkło - pełna konstrukcja</x:t>
        </x:is>
      </x:c>
      <x:c r="D157" s="6" t="inlineStr">
        <x:is>
          <x:t xml:space="preserve">OGRODY SZKŁO</x:t>
        </x:is>
      </x:c>
      <x:c r="E157" s="8" t="n">
        <x:f>IFERROR(INDEX('02_RAW_INDEX'!$AL:$AL,MATCH($A157,'02_RAW_INDEX'!$A:$A,0)),"")</x:f>
        <x:v>31016</x:v>
      </x:c>
      <x:c r="F157" s="8" t="n">
        <x:f>IFERROR(INDEX('02_RAW_INDEX'!$AK:$AK,MATCH($A157,'02_RAW_INDEX'!$A:$A,0)),"")</x:f>
        <x:v>38150</x:v>
      </x:c>
      <x:c r="G157" s="7" t="n">
        <x:f>'01_Ustawienia'!$B$6</x:f>
        <x:v>0</x:v>
      </x:c>
      <x:c r="H157" s="8" t="n">
        <x:f>IF(E157="","",ROUND(IF('01_Ustawienia'!$B$5="BRUTTO",F157,E157)*(1-G157),0))</x:f>
        <x:v>31016</x:v>
      </x:c>
      <x:c r="I157" s="7" t="n">
        <x:f>IFERROR(IFERROR(INDEX('01_Ustawienia'!$B$15:$B$33,MATCH(B157,'01_Ustawienia'!$A$15:$A$33,0)),0.45),0.45)</x:f>
        <x:v>0.45</x:v>
      </x:c>
      <x:c r="J157" s="8" t="n">
        <x:f>IF(H157="","",ROUND(H157*(1+I157),0))</x:f>
        <x:v>44973</x:v>
      </x:c>
      <x:c r="K157" s="8" t="n">
        <x:f>IFERROR(IFERROR(INDEX(EG_Cennik_uslug!$N:$N,MATCH($A157,EG_Cennik_uslug!$A:$A,0)),0),0)</x:f>
        <x:v>6130</x:v>
      </x:c>
      <x:c r="L157" s="8" t="n">
        <x:f>IFERROR(IFERROR(INDEX(EG_Cennik_uslug!$O:$O,MATCH($A157,EG_Cennik_uslug!$A:$A,0)),0),0)</x:f>
        <x:v>2460</x:v>
      </x:c>
      <x:c r="M157" s="7" t="n">
        <x:f>IF('01_Ustawienia'!$B$4="ZWOLNIONY",0,'01_Ustawienia'!$B$7)</x:f>
        <x:v>0.08</x:v>
      </x:c>
      <x:c r="N157" s="8" t="n">
        <x:f>IF(J157="","",ROUND((J157+K157)*(1+M157),0))</x:f>
        <x:v>55191</x:v>
      </x:c>
      <x:c r="O157" s="8" t="n">
        <x:f>IF(J157="","",J157+K157-H157-L157)</x:f>
        <x:v>17627</x:v>
      </x:c>
      <x:c r="P157" s="7" t="n">
        <x:f>IFERROR(O157/(J157+K157),"")</x:f>
        <x:v>0.34493082597890534</x:v>
      </x:c>
      <x:c r="Q157" s="6" t="inlineStr">
        <x:is>
          <x:t xml:space="preserve">RAW_OS B/C</x:t>
        </x:is>
      </x:c>
      <x:c r="R157" s="6" t="inlineStr">
        <x:is>
          <x:t xml:space="preserve">OGRÓD ZIMOWY (KONSTRUKCJA)</x:t>
        </x:is>
      </x:c>
      <x:c r="S157" s="6" t="inlineStr">
        <x:is>
          <x:t xml:space="preserve">crm_only</x:t>
        </x:is>
      </x:c>
      <x:c r="T157" s="6" t="inlineStr">
        <x:is>
          <x:t xml:space="preserve">Referencyjne/full</x:t>
        </x:is>
      </x:c>
    </x:row>
    <x:row r="158" s="655" customFormat="1" ht="30" customHeight="1">
      <x:c r="A158" s="6" t="inlineStr">
        <x:is>
          <x:t xml:space="preserve">300 x 1106 cm</x:t>
        </x:is>
      </x:c>
      <x:c r="B158" s="6" t="inlineStr">
        <x:is>
          <x:t xml:space="preserve">PDS</x:t>
        </x:is>
      </x:c>
      <x:c r="C158" s="6" t="inlineStr">
        <x:is>
          <x:t xml:space="preserve">Dopłata dach szkło przezroczyste</x:t>
        </x:is>
      </x:c>
      <x:c r="D158" s="6" t="inlineStr">
        <x:is>
          <x:t xml:space="preserve">POKRYCIE DACHU SZKŁO</x:t>
        </x:is>
      </x:c>
      <x:c r="E158" s="8" t="n">
        <x:f>IFERROR(IFERROR(INDEX('02_RAW_INDEX'!$V:$V,MATCH($A158,'02_RAW_INDEX'!$A:$A,0)),"")-IFERROR(INDEX('02_RAW_INDEX'!$D:$D,MATCH($A158,'02_RAW_INDEX'!$A:$A,0)),""),"")</x:f>
        <x:v>5171</x:v>
      </x:c>
      <x:c r="F158" s="8" t="n">
        <x:f>IFERROR(IFERROR(INDEX('02_RAW_INDEX'!$U:$U,MATCH($A158,'02_RAW_INDEX'!$A:$A,0)),"")-IFERROR(INDEX('02_RAW_INDEX'!$C:$C,MATCH($A158,'02_RAW_INDEX'!$A:$A,0)),""),"")</x:f>
        <x:v>6360</x:v>
      </x:c>
      <x:c r="G158" s="7" t="n">
        <x:f>'01_Ustawienia'!$B$6</x:f>
        <x:v>0</x:v>
      </x:c>
      <x:c r="H158" s="8" t="n">
        <x:f>IF(E158="","",ROUND(IF('01_Ustawienia'!$B$5="BRUTTO",F158,E158)*(1-G158),0))</x:f>
        <x:v>5171</x:v>
      </x:c>
      <x:c r="I158" s="7" t="n">
        <x:f>IFERROR(IFERROR(INDEX('01_Ustawienia'!$B$15:$B$33,MATCH(B158,'01_Ustawienia'!$A$15:$A$33,0)),0.45),0.45)</x:f>
        <x:v>0.45</x:v>
      </x:c>
      <x:c r="J158" s="8" t="n">
        <x:f>IF(H158="","",ROUND(H158*(1+I158),0))</x:f>
        <x:v>7498</x:v>
      </x:c>
      <x:c r="K158" s="8" t="n">
        <x:f>0</x:f>
        <x:v>0</x:v>
      </x:c>
      <x:c r="L158" s="8" t="n">
        <x:v>0</x:v>
      </x:c>
      <x:c r="M158" s="7" t="n">
        <x:f>IF('01_Ustawienia'!$B$4="ZWOLNIONY",0,'01_Ustawienia'!$B$7)</x:f>
        <x:v>0.08</x:v>
      </x:c>
      <x:c r="N158" s="8" t="n">
        <x:f>IF(J158="","",ROUND((J158+K158)*(1+M158),0))</x:f>
        <x:v>8098</x:v>
      </x:c>
      <x:c r="O158" s="8" t="n">
        <x:f>IF(J158="","",J158+K158-H158-L158)</x:f>
        <x:v>2327</x:v>
      </x:c>
      <x:c r="P158" s="7" t="n">
        <x:f>IFERROR(O158/(J158+K158),"")</x:f>
        <x:v>0.310349426513737</x:v>
      </x:c>
      <x:c r="Q158" s="6" t="inlineStr">
        <x:is>
          <x:t xml:space="preserve">RAW_ZS - RAW_ZP</x:t>
        </x:is>
      </x:c>
      <x:c r="R158" s="6" t="inlineStr">
        <x:is>
          <x:t xml:space="preserve">POKRYCIE DACHU</x:t>
        </x:is>
      </x:c>
      <x:c r="S158" s="6" t="inlineStr">
        <x:is>
          <x:t xml:space="preserve">website+crm</x:t>
        </x:is>
      </x:c>
      <x:c r="T158" s="6" t="inlineStr">
        <x:is>
          <x:t xml:space="preserve">Dopłata do bazowego dachu poliwęglan | FIX17: Wynagr.+koszty = 0 dla dopłaty; nie jest osobnym montażem ekipy.</x:t>
        </x:is>
      </x:c>
    </x:row>
    <x:row r="159" s="655" customFormat="1" ht="30" customHeight="1">
      <x:c r="A159" s="6" t="inlineStr">
        <x:is>
          <x:t xml:space="preserve">300 x 1106 cm</x:t>
        </x:is>
      </x:c>
      <x:c r="B159" s="6" t="inlineStr">
        <x:is>
          <x:t xml:space="preserve">PDSB</x:t>
        </x:is>
      </x:c>
      <x:c r="C159" s="6" t="inlineStr">
        <x:is>
          <x:t xml:space="preserve">Dopłata dach szkło barwione/mleczne</x:t>
        </x:is>
      </x:c>
      <x:c r="D159" s="6" t="inlineStr">
        <x:is>
          <x:t xml:space="preserve">POKRYCIE DACHU SZKŁO BARWIONE</x:t>
        </x:is>
      </x:c>
      <x:c r="E159" s="8" t="n">
        <x:f>IFERROR(INDEX('02_RAW_INDEX'!$X:$X,MATCH($A159,'02_RAW_INDEX'!$A:$A,0)),"")</x:f>
        <x:v>992</x:v>
      </x:c>
      <x:c r="F159" s="8" t="n">
        <x:f>IFERROR(INDEX('02_RAW_INDEX'!$W:$W,MATCH($A159,'02_RAW_INDEX'!$A:$A,0)),"")</x:f>
        <x:v>1220</x:v>
      </x:c>
      <x:c r="G159" s="7" t="n">
        <x:f>'01_Ustawienia'!$B$6</x:f>
        <x:v>0</x:v>
      </x:c>
      <x:c r="H159" s="8" t="n">
        <x:f>IF(E159="","",ROUND(IF('01_Ustawienia'!$B$5="BRUTTO",F159,E159)*(1-G159),0))</x:f>
        <x:v>992</x:v>
      </x:c>
      <x:c r="I159" s="7" t="n">
        <x:f>IFERROR(IFERROR(INDEX('01_Ustawienia'!$B$15:$B$33,MATCH(B159,'01_Ustawienia'!$A$15:$A$33,0)),0.45),0.45)</x:f>
        <x:v>0.45</x:v>
      </x:c>
      <x:c r="J159" s="8" t="n">
        <x:f>IF(H159="","",ROUND(H159*(1+I159),0))</x:f>
        <x:v>1438</x:v>
      </x:c>
      <x:c r="K159" s="8" t="n">
        <x:f>0</x:f>
        <x:v>0</x:v>
      </x:c>
      <x:c r="L159" s="8" t="n">
        <x:v>0</x:v>
      </x:c>
      <x:c r="M159" s="7" t="n">
        <x:f>IF('01_Ustawienia'!$B$4="ZWOLNIONY",0,'01_Ustawienia'!$B$7)</x:f>
        <x:v>0.08</x:v>
      </x:c>
      <x:c r="N159" s="8" t="n">
        <x:f>IF(J159="","",ROUND((J159+K159)*(1+M159),0))</x:f>
        <x:v>1553</x:v>
      </x:c>
      <x:c r="O159" s="8" t="n">
        <x:f>IF(J159="","",J159+K159-H159-L159)</x:f>
        <x:v>446</x:v>
      </x:c>
      <x:c r="P159" s="7" t="n">
        <x:f>IFERROR(O159/(J159+K159),"")</x:f>
        <x:v>0.3101529902642559</x:v>
      </x:c>
      <x:c r="Q159" s="6" t="inlineStr">
        <x:is>
          <x:t xml:space="preserve">RAW_ZS D/E</x:t>
        </x:is>
      </x:c>
      <x:c r="R159" s="6" t="inlineStr">
        <x:is>
          <x:t xml:space="preserve">POKRYCIE DACHU</x:t>
        </x:is>
      </x:c>
      <x:c r="S159" s="6" t="inlineStr">
        <x:is>
          <x:t xml:space="preserve">website+crm</x:t>
        </x:is>
      </x:c>
      <x:c r="T159" s="6" t="inlineStr">
        <x:is>
          <x:t xml:space="preserve">Dodawane do PDS | FIX17: Wynagr.+koszty = 0 dla dopłaty; nie jest osobnym montażem ekipy.</x:t>
        </x:is>
      </x:c>
    </x:row>
    <x:row r="160" s="655" customFormat="1" ht="30" customHeight="1">
      <x:c r="A160" s="6" t="inlineStr">
        <x:is>
          <x:t xml:space="preserve">300 x 1106 cm</x:t>
        </x:is>
      </x:c>
      <x:c r="B160" s="6" t="inlineStr">
        <x:is>
          <x:t xml:space="preserve">PDPB</x:t>
        </x:is>
      </x:c>
      <x:c r="C160" s="6" t="inlineStr">
        <x:is>
          <x:t xml:space="preserve">Dopłata poliwęglan barwiony</x:t>
        </x:is>
      </x:c>
      <x:c r="D160" s="6" t="inlineStr">
        <x:is>
          <x:t xml:space="preserve">POKRYCIE DACHU POLIWĘGLAN BARWIONY</x:t>
        </x:is>
      </x:c>
      <x:c r="E160" s="8" t="n">
        <x:f>IFERROR(INDEX('02_RAW_INDEX'!$F:$F,MATCH($A160,'02_RAW_INDEX'!$A:$A,0)),"")</x:f>
        <x:v>504</x:v>
      </x:c>
      <x:c r="F160" s="8" t="n">
        <x:f>IFERROR(INDEX('02_RAW_INDEX'!$E:$E,MATCH($A160,'02_RAW_INDEX'!$A:$A,0)),"")</x:f>
        <x:v>620</x:v>
      </x:c>
      <x:c r="G160" s="7" t="n">
        <x:f>'01_Ustawienia'!$B$6</x:f>
        <x:v>0</x:v>
      </x:c>
      <x:c r="H160" s="8" t="n">
        <x:f>IF(E160="","",ROUND(IF('01_Ustawienia'!$B$5="BRUTTO",F160,E160)*(1-G160),0))</x:f>
        <x:v>504</x:v>
      </x:c>
      <x:c r="I160" s="7" t="n">
        <x:f>IFERROR(IFERROR(INDEX('01_Ustawienia'!$B$15:$B$33,MATCH(B160,'01_Ustawienia'!$A$15:$A$33,0)),0.45),0.45)</x:f>
        <x:v>0.45</x:v>
      </x:c>
      <x:c r="J160" s="8" t="n">
        <x:f>IF(H160="","",ROUND(H160*(1+I160),0))</x:f>
        <x:v>731</x:v>
      </x:c>
      <x:c r="K160" s="8" t="n">
        <x:f>0</x:f>
        <x:v>0</x:v>
      </x:c>
      <x:c r="L160" s="8" t="n">
        <x:v>0</x:v>
      </x:c>
      <x:c r="M160" s="7" t="n">
        <x:f>IF('01_Ustawienia'!$B$4="ZWOLNIONY",0,'01_Ustawienia'!$B$7)</x:f>
        <x:v>0.08</x:v>
      </x:c>
      <x:c r="N160" s="8" t="n">
        <x:f>IF(J160="","",ROUND((J160+K160)*(1+M160),0))</x:f>
        <x:v>789</x:v>
      </x:c>
      <x:c r="O160" s="8" t="n">
        <x:f>IF(J160="","",J160+K160-H160-L160)</x:f>
        <x:v>227</x:v>
      </x:c>
      <x:c r="P160" s="7" t="n">
        <x:f>IFERROR(O160/(J160+K160),"")</x:f>
        <x:v>0.31053351573187415</x:v>
      </x:c>
      <x:c r="Q160" s="6" t="inlineStr">
        <x:is>
          <x:t xml:space="preserve">RAW_ZP D/E</x:t>
        </x:is>
      </x:c>
      <x:c r="R160" s="6" t="inlineStr">
        <x:is>
          <x:t xml:space="preserve">POKRYCIE DACHU</x:t>
        </x:is>
      </x:c>
      <x:c r="S160" s="6" t="inlineStr">
        <x:is>
          <x:t xml:space="preserve">website+crm</x:t>
        </x:is>
      </x:c>
      <x:c r="T160" s="6" t="inlineStr">
        <x:is>
          <x:t xml:space="preserve">FIX17: Wynagr.+koszty = 0 dla dopłaty; nie jest osobnym montażem ekipy.</x:t>
        </x:is>
      </x:c>
    </x:row>
    <x:row r="161" s="655" customFormat="1" ht="30" customHeight="1">
      <x:c r="A161" s="6" t="inlineStr">
        <x:is>
          <x:t xml:space="preserve">300 x 1106 cm</x:t>
        </x:is>
      </x:c>
      <x:c r="B161" s="6" t="inlineStr">
        <x:is>
          <x:t xml:space="preserve">SBB</x:t>
        </x:is>
      </x:c>
      <x:c r="C161" s="6" t="inlineStr">
        <x:is>
          <x:t xml:space="preserve">Dopłata szkło boczne przyciemniane</x:t>
        </x:is>
      </x:c>
      <x:c r="D161" s="6" t="inlineStr">
        <x:is>
          <x:t xml:space="preserve">SZKŁO BOCZNE BARWIONE</x:t>
        </x:is>
      </x:c>
      <x:c r="E161" s="8" t="n">
        <x:f>IFERROR(INDEX('02_RAW_INDEX'!$AB:$AB,MATCH($A161,'02_RAW_INDEX'!$A:$A,0)),"")</x:f>
        <x:v>1659</x:v>
      </x:c>
      <x:c r="F161" s="8" t="n">
        <x:f>IFERROR(INDEX('02_RAW_INDEX'!$AA:$AA,MATCH($A161,'02_RAW_INDEX'!$A:$A,0)),"")</x:f>
        <x:v>2040</x:v>
      </x:c>
      <x:c r="G161" s="7" t="n">
        <x:f>'01_Ustawienia'!$B$6</x:f>
        <x:v>0</x:v>
      </x:c>
      <x:c r="H161" s="8" t="n">
        <x:f>IF(E161="","",ROUND(IF('01_Ustawienia'!$B$5="BRUTTO",F161,E161)*(1-G161),0))</x:f>
        <x:v>1659</x:v>
      </x:c>
      <x:c r="I161" s="7" t="n">
        <x:f>IFERROR(IFERROR(INDEX('01_Ustawienia'!$B$15:$B$33,MATCH(B161,'01_Ustawienia'!$A$15:$A$33,0)),0.45),0.45)</x:f>
        <x:v>0.45</x:v>
      </x:c>
      <x:c r="J161" s="8" t="n">
        <x:f>IF(H161="","",ROUND(H161*(1+I161),0))</x:f>
        <x:v>2406</x:v>
      </x:c>
      <x:c r="K161" s="8" t="n">
        <x:f>0</x:f>
        <x:v>0</x:v>
      </x:c>
      <x:c r="L161" s="8" t="n">
        <x:v>0</x:v>
      </x:c>
      <x:c r="M161" s="7" t="n">
        <x:f>IF('01_Ustawienia'!$B$4="ZWOLNIONY",0,'01_Ustawienia'!$B$7)</x:f>
        <x:v>0.08</x:v>
      </x:c>
      <x:c r="N161" s="8" t="n">
        <x:f>IF(J161="","",ROUND((J161+K161)*(1+M161),0))</x:f>
        <x:v>2598</x:v>
      </x:c>
      <x:c r="O161" s="8" t="n">
        <x:f>IF(J161="","",J161+K161-H161-L161)</x:f>
        <x:v>747</x:v>
      </x:c>
      <x:c r="P161" s="7" t="n">
        <x:f>IFERROR(O161/(J161+K161),"")</x:f>
        <x:v>0.3104738154613466</x:v>
      </x:c>
      <x:c r="Q161" s="6" t="inlineStr">
        <x:is>
          <x:t xml:space="preserve">RAW_OP H/I</x:t>
        </x:is>
      </x:c>
      <x:c r="R161" s="6" t="inlineStr">
        <x:is>
          <x:t xml:space="preserve">SZYBY BOCZNE</x:t>
        </x:is>
      </x:c>
      <x:c r="S161" s="6" t="inlineStr">
        <x:is>
          <x:t xml:space="preserve">website+crm</x:t>
        </x:is>
      </x:c>
      <x:c r="T161" s="6" t="inlineStr">
        <x:is>
          <x:t xml:space="preserve">Dodawane do ścian przezroczystych | FIX17: Wynagr.+koszty = 0 dla dopłaty; nie jest osobnym montażem ekipy.</x:t>
        </x:is>
      </x:c>
    </x:row>
    <x:row r="162">
      <x:c r="A162" s="6" t="inlineStr">
        <x:is>
          <x:t xml:space="preserve">300 x 1106 cm</x:t>
        </x:is>
      </x:c>
      <x:c r="B162" s="6" t="inlineStr">
        <x:is>
          <x:t xml:space="preserve">RB</x:t>
        </x:is>
      </x:c>
      <x:c r="C162" s="6" t="inlineStr">
        <x:is>
          <x:t xml:space="preserve">Roleta boczna ZIP</x:t>
        </x:is>
      </x:c>
      <x:c r="D162" s="6" t="inlineStr">
        <x:is>
          <x:t xml:space="preserve">ROLETA BOCZNA</x:t>
        </x:is>
      </x:c>
      <x:c r="E162" s="8" t="n">
        <x:f>IFERROR(INDEX('02_RAW_INDEX'!$J:$J,MATCH($A162,'02_RAW_INDEX'!$A:$A,0)),"")</x:f>
        <x:v>1740</x:v>
      </x:c>
      <x:c r="F162" s="8" t="n">
        <x:f>IFERROR(INDEX('02_RAW_INDEX'!$I:$I,MATCH($A162,'02_RAW_INDEX'!$A:$A,0)),"")</x:f>
        <x:v>2140</x:v>
      </x:c>
      <x:c r="G162" s="7" t="n">
        <x:f>'01_Ustawienia'!$B$6</x:f>
        <x:v>0</x:v>
      </x:c>
      <x:c r="H162" s="8" t="n">
        <x:f>IF(E162="","",ROUND(IF('01_Ustawienia'!$B$5="BRUTTO",F162,E162)*(1-G162),0))</x:f>
        <x:v>1740</x:v>
      </x:c>
      <x:c r="I162" s="7" t="n">
        <x:f>IFERROR(IFERROR(INDEX('01_Ustawienia'!$B$15:$B$33,MATCH(B162,'01_Ustawienia'!$A$15:$A$33,0)),0.45),0.45)</x:f>
        <x:v>0.45</x:v>
      </x:c>
      <x:c r="J162" s="8" t="n">
        <x:f>IF(H162="","",ROUND(H162*(1+I162),0))</x:f>
        <x:v>2523</x:v>
      </x:c>
      <x:c r="K162" s="8" t="n">
        <x:f>0</x:f>
        <x:v>0</x:v>
      </x:c>
      <x:c r="L162" s="8" t="n">
        <x:f>IFERROR(IFERROR(INDEX(EG_Cennik_uslug!$AC:$AC,MATCH($A162,EG_Cennik_uslug!$A:$A,0)),0),0)</x:f>
        <x:v>150</x:v>
      </x:c>
      <x:c r="M162" s="7" t="n">
        <x:f>IF('01_Ustawienia'!$B$4="ZWOLNIONY",0,'01_Ustawienia'!$B$7)</x:f>
        <x:v>0.08</x:v>
      </x:c>
      <x:c r="N162" s="8" t="n">
        <x:f>IF(J162="","",ROUND((J162+K162)*(1+M162),0))</x:f>
        <x:v>2725</x:v>
      </x:c>
      <x:c r="O162" s="8" t="n">
        <x:f>IF(J162="","",J162+K162-H162-L162)</x:f>
        <x:v>633</x:v>
      </x:c>
      <x:c r="P162" s="7" t="n">
        <x:f>IFERROR(O162/(J162+K162),"")</x:f>
        <x:v>0.25089179548156954</x:v>
      </x:c>
      <x:c r="Q162" s="6" t="inlineStr">
        <x:is>
          <x:t xml:space="preserve">RAW_ZP J/K</x:t>
        </x:is>
      </x:c>
      <x:c r="R162" s="6" t="inlineStr">
        <x:is>
          <x:t xml:space="preserve">ROLETY BOCZNE</x:t>
        </x:is>
      </x:c>
      <x:c r="S162" s="6" t="inlineStr">
        <x:is>
          <x:t xml:space="preserve">website+crm</x:t>
        </x:is>
      </x:c>
      <x:c r="T162" s="6" t="inlineStr">
        <x:is>
          <x:t xml:space="preserve">Używana dla lewej i prawej</x:t>
        </x:is>
      </x:c>
    </x:row>
    <x:row r="163">
      <x:c r="A163" s="6" t="inlineStr">
        <x:is>
          <x:t xml:space="preserve">300 x 1106 cm</x:t>
        </x:is>
      </x:c>
      <x:c r="B163" s="6" t="inlineStr">
        <x:is>
          <x:t xml:space="preserve">RP</x:t>
        </x:is>
      </x:c>
      <x:c r="C163" s="6" t="inlineStr">
        <x:is>
          <x:t xml:space="preserve">Roleta przednia ZIP</x:t>
        </x:is>
      </x:c>
      <x:c r="D163" s="6" t="inlineStr">
        <x:is>
          <x:t xml:space="preserve">ROLETA PRZÓD</x:t>
        </x:is>
      </x:c>
      <x:c r="E163" s="8" t="n">
        <x:f>IFERROR(INDEX('02_RAW_INDEX'!$L:$L,MATCH($A163,'02_RAW_INDEX'!$A:$A,0)),"")</x:f>
        <x:v>6033</x:v>
      </x:c>
      <x:c r="F163" s="8" t="n">
        <x:f>IFERROR(INDEX('02_RAW_INDEX'!$K:$K,MATCH($A163,'02_RAW_INDEX'!$A:$A,0)),"")</x:f>
        <x:v>7420</x:v>
      </x:c>
      <x:c r="G163" s="7" t="n">
        <x:f>'01_Ustawienia'!$B$6</x:f>
        <x:v>0</x:v>
      </x:c>
      <x:c r="H163" s="8" t="n">
        <x:f>IF(E163="","",ROUND(IF('01_Ustawienia'!$B$5="BRUTTO",F163,E163)*(1-G163),0))</x:f>
        <x:v>6033</x:v>
      </x:c>
      <x:c r="I163" s="7" t="n">
        <x:f>IFERROR(IFERROR(INDEX('01_Ustawienia'!$B$15:$B$33,MATCH(B163,'01_Ustawienia'!$A$15:$A$33,0)),0.45),0.45)</x:f>
        <x:v>0.45</x:v>
      </x:c>
      <x:c r="J163" s="8" t="n">
        <x:f>IF(H163="","",ROUND(H163*(1+I163),0))</x:f>
        <x:v>8748</x:v>
      </x:c>
      <x:c r="K163" s="8" t="n">
        <x:f>0</x:f>
        <x:v>0</x:v>
      </x:c>
      <x:c r="L163" s="8" t="n">
        <x:f>IFERROR(IFERROR(INDEX(EG_Cennik_uslug!$AJ:$AJ,MATCH($A163,EG_Cennik_uslug!$A:$A,0)),0),0)</x:f>
        <x:v>450</x:v>
      </x:c>
      <x:c r="M163" s="7" t="n">
        <x:f>IF('01_Ustawienia'!$B$4="ZWOLNIONY",0,'01_Ustawienia'!$B$7)</x:f>
        <x:v>0.08</x:v>
      </x:c>
      <x:c r="N163" s="8" t="n">
        <x:f>IF(J163="","",ROUND((J163+K163)*(1+M163),0))</x:f>
        <x:v>9448</x:v>
      </x:c>
      <x:c r="O163" s="8" t="n">
        <x:f>IF(J163="","",J163+K163-H163-L163)</x:f>
        <x:v>2265</x:v>
      </x:c>
      <x:c r="P163" s="7" t="n">
        <x:f>IFERROR(O163/(J163+K163),"")</x:f>
        <x:v>0.25891632373113854</x:v>
      </x:c>
      <x:c r="Q163" s="6" t="inlineStr">
        <x:is>
          <x:t xml:space="preserve">RAW_ZP N/O</x:t>
        </x:is>
      </x:c>
      <x:c r="R163" s="6" t="inlineStr">
        <x:is>
          <x:t xml:space="preserve">ROLETY BOCZNE</x:t>
        </x:is>
      </x:c>
      <x:c r="S163" s="6" t="inlineStr">
        <x:is>
          <x:t xml:space="preserve">website+crm</x:t>
        </x:is>
      </x:c>
      <x:c r="T163" s="6" t="n"/>
    </x:row>
    <x:row r="164">
      <x:c r="A164" s="6" t="inlineStr">
        <x:is>
          <x:t xml:space="preserve">300 x 1106 cm</x:t>
        </x:is>
      </x:c>
      <x:c r="B164" s="6" t="inlineStr">
        <x:is>
          <x:t xml:space="preserve">M</x:t>
        </x:is>
      </x:c>
      <x:c r="C164" s="6" t="inlineStr">
        <x:is>
          <x:t xml:space="preserve">Markiza dachowa</x:t>
        </x:is>
      </x:c>
      <x:c r="D164" s="6" t="inlineStr">
        <x:is>
          <x:t xml:space="preserve">MARKIZA</x:t>
        </x:is>
      </x:c>
      <x:c r="E164" s="8" t="n">
        <x:f>IFERROR(INDEX('02_RAW_INDEX'!$H:$H,MATCH($A164,'02_RAW_INDEX'!$A:$A,0)),"")</x:f>
        <x:v>10163</x:v>
      </x:c>
      <x:c r="F164" s="8" t="n">
        <x:f>IFERROR(INDEX('02_RAW_INDEX'!$G:$G,MATCH($A164,'02_RAW_INDEX'!$A:$A,0)),"")</x:f>
        <x:v>12500</x:v>
      </x:c>
      <x:c r="G164" s="7" t="n">
        <x:f>'01_Ustawienia'!$B$6</x:f>
        <x:v>0</x:v>
      </x:c>
      <x:c r="H164" s="8" t="n">
        <x:f>IF(E164="","",ROUND(IF('01_Ustawienia'!$B$5="BRUTTO",F164,E164)*(1-G164),0))</x:f>
        <x:v>10163</x:v>
      </x:c>
      <x:c r="I164" s="7" t="n">
        <x:f>IFERROR(IFERROR(INDEX('01_Ustawienia'!$B$15:$B$33,MATCH(B164,'01_Ustawienia'!$A$15:$A$33,0)),0.45),0.45)</x:f>
        <x:v>0.45</x:v>
      </x:c>
      <x:c r="J164" s="8" t="n">
        <x:f>IF(H164="","",ROUND(H164*(1+I164),0))</x:f>
        <x:v>14736</x:v>
      </x:c>
      <x:c r="K164" s="8" t="n">
        <x:f>0</x:f>
        <x:v>0</x:v>
      </x:c>
      <x:c r="L164" s="8" t="n">
        <x:f>IFERROR(IFERROR(INDEX(EG_Cennik_uslug!$AQ:$AQ,MATCH($A164,EG_Cennik_uslug!$A:$A,0)),0),0)</x:f>
        <x:v>650</x:v>
      </x:c>
      <x:c r="M164" s="7" t="n">
        <x:f>IF('01_Ustawienia'!$B$4="ZWOLNIONY",0,'01_Ustawienia'!$B$7)</x:f>
        <x:v>0.08</x:v>
      </x:c>
      <x:c r="N164" s="8" t="n">
        <x:f>IF(J164="","",ROUND((J164+K164)*(1+M164),0))</x:f>
        <x:v>15915</x:v>
      </x:c>
      <x:c r="O164" s="8" t="n">
        <x:f>IF(J164="","",J164+K164-H164-L164)</x:f>
        <x:v>3923</x:v>
      </x:c>
      <x:c r="P164" s="7" t="n">
        <x:f>IFERROR(O164/(J164+K164),"")</x:f>
        <x:v>0.2662187839305103</x:v>
      </x:c>
      <x:c r="Q164" s="6" t="inlineStr">
        <x:is>
          <x:t xml:space="preserve">RAW_ZP H/I</x:t>
        </x:is>
      </x:c>
      <x:c r="R164" s="6" t="inlineStr">
        <x:is>
          <x:t xml:space="preserve">MARKIZA</x:t>
        </x:is>
      </x:c>
      <x:c r="S164" s="6" t="inlineStr">
        <x:is>
          <x:t xml:space="preserve">website+crm</x:t>
        </x:is>
      </x:c>
      <x:c r="T164" s="6" t="n"/>
    </x:row>
    <x:row r="165">
      <x:c r="A165" s="6" t="inlineStr">
        <x:is>
          <x:t xml:space="preserve">300 x 1106 cm</x:t>
        </x:is>
      </x:c>
      <x:c r="B165" s="6" t="inlineStr">
        <x:is>
          <x:t xml:space="preserve">PDWP</x:t>
        </x:is>
      </x:c>
      <x:c r="C165" s="6" t="inlineStr">
        <x:is>
          <x:t xml:space="preserve">Fundament/profile</x:t>
        </x:is>
      </x:c>
      <x:c r="D165" s="6" t="inlineStr">
        <x:is>
          <x:t xml:space="preserve">FUNDAMENT / PROFILE</x:t>
        </x:is>
      </x:c>
      <x:c r="E165" s="8" t="n">
        <x:f>IFERROR(INDEX('02_RAW_INDEX'!$AH:$AH,MATCH($A165,'02_RAW_INDEX'!$A:$A,0)),"")</x:f>
        <x:v>1593</x:v>
      </x:c>
      <x:c r="F165" s="8" t="n">
        <x:f>IFERROR(INDEX('02_RAW_INDEX'!$AG:$AG,MATCH($A165,'02_RAW_INDEX'!$A:$A,0)),"")</x:f>
        <x:v>1960</x:v>
      </x:c>
      <x:c r="G165" s="7" t="n">
        <x:f>'01_Ustawienia'!$B$6</x:f>
        <x:v>0</x:v>
      </x:c>
      <x:c r="H165" s="8" t="n">
        <x:f>IF(E165="","",ROUND(IF('01_Ustawienia'!$B$5="BRUTTO",F165,E165)*(1-G165),0))</x:f>
        <x:v>1593</x:v>
      </x:c>
      <x:c r="I165" s="7" t="n">
        <x:f>IFERROR(IFERROR(INDEX('01_Ustawienia'!$B$15:$B$33,MATCH(B165,'01_Ustawienia'!$A$15:$A$33,0)),0.45),0.45)</x:f>
        <x:v>1.2</x:v>
      </x:c>
      <x:c r="J165" s="8" t="n">
        <x:f>IF(H165="","",ROUND(H165*(1+I165),0))</x:f>
        <x:v>3505</x:v>
      </x:c>
      <x:c r="K165" s="8" t="n">
        <x:f>0</x:f>
        <x:v>0</x:v>
      </x:c>
      <x:c r="L165" s="8" t="n">
        <x:f>IFERROR(IFERROR(INDEX(EG_Cennik_uslug!$BT:$BT,MATCH($A165,EG_Cennik_uslug!$A:$A,0)),0),0)</x:f>
        <x:v>510</x:v>
      </x:c>
      <x:c r="M165" s="7" t="n">
        <x:f>IF('01_Ustawienia'!$B$4="ZWOLNIONY",0,'01_Ustawienia'!$B$7)</x:f>
        <x:v>0.08</x:v>
      </x:c>
      <x:c r="N165" s="8" t="n">
        <x:f>IF(J165="","",ROUND((J165+K165)*(1+M165),0))</x:f>
        <x:v>3785</x:v>
      </x:c>
      <x:c r="O165" s="8" t="n">
        <x:f>IF(J165="","",J165+K165-H165-L165)</x:f>
        <x:v>1402</x:v>
      </x:c>
      <x:c r="P165" s="7" t="n">
        <x:f>IFERROR(O165/(J165+K165),"")</x:f>
        <x:v>0.4</x:v>
      </x:c>
      <x:c r="Q165" s="6" t="inlineStr">
        <x:is>
          <x:t xml:space="preserve">RAW_OP AB/AC</x:t>
        </x:is>
      </x:c>
      <x:c r="R165" s="6" t="inlineStr">
        <x:is>
          <x:t xml:space="preserve">FUNDAMENT (PROFILE)</x:t>
        </x:is>
      </x:c>
      <x:c r="S165" s="6" t="inlineStr">
        <x:is>
          <x:t xml:space="preserve">website+crm</x:t>
        </x:is>
      </x:c>
      <x:c r="T165" s="6" t="n"/>
    </x:row>
    <x:row r="166" s="655" customFormat="1" ht="30" customHeight="1">
      <x:c r="A166" s="6" t="inlineStr">
        <x:is>
          <x:t xml:space="preserve">300 x 1106 cm</x:t>
        </x:is>
      </x:c>
      <x:c r="B166" s="6" t="inlineStr">
        <x:is>
          <x:t xml:space="preserve">ZAB</x:t>
        </x:is>
      </x:c>
      <x:c r="C166" s="6" t="inlineStr">
        <x:is>
          <x:t xml:space="preserve">Zabieraki do ścian przesuwnych</x:t>
        </x:is>
      </x:c>
      <x:c r="D166" s="6" t="inlineStr">
        <x:is>
          <x:t xml:space="preserve">DODATKI</x:t>
        </x:is>
      </x:c>
      <x:c r="E166" s="8" t="n">
        <x:f>IFERROR(INDEX('02_RAW_INDEX'!$AJ:$AJ,MATCH($A166,'02_RAW_INDEX'!$A:$A,0)),"")</x:f>
        <x:v>390</x:v>
      </x:c>
      <x:c r="F166" s="8" t="n">
        <x:f>IFERROR(INDEX('02_RAW_INDEX'!$AI:$AI,MATCH($A166,'02_RAW_INDEX'!$A:$A,0)),"")</x:f>
        <x:v>480</x:v>
      </x:c>
      <x:c r="G166" s="7" t="n">
        <x:f>'01_Ustawienia'!$B$6</x:f>
        <x:v>0</x:v>
      </x:c>
      <x:c r="H166" s="8" t="n">
        <x:f>IF(E166="","",ROUND(IF('01_Ustawienia'!$B$5="BRUTTO",F166,E166)*(1-G166),0))</x:f>
        <x:v>390</x:v>
      </x:c>
      <x:c r="I166" s="7" t="n">
        <x:f>IFERROR(IFERROR(INDEX('01_Ustawienia'!$B$15:$B$33,MATCH(B166,'01_Ustawienia'!$A$15:$A$33,0)),0.45),0.45)</x:f>
        <x:v>0.45</x:v>
      </x:c>
      <x:c r="J166" s="8" t="n">
        <x:f>IF(H166="","",ROUND(H166*(1+I166),0))</x:f>
        <x:v>566</x:v>
      </x:c>
      <x:c r="K166" s="8" t="n">
        <x:f>0</x:f>
        <x:v>0</x:v>
      </x:c>
      <x:c r="L166" s="8" t="n">
        <x:f>0</x:f>
        <x:v>0</x:v>
      </x:c>
      <x:c r="M166" s="7" t="n">
        <x:f>IF('01_Ustawienia'!$B$4="ZWOLNIONY",0,'01_Ustawienia'!$B$7)</x:f>
        <x:v>0.08</x:v>
      </x:c>
      <x:c r="N166" s="8" t="n">
        <x:f>IF(J166="","",ROUND((J166+K166)*(1+M166),0))</x:f>
        <x:v>611</x:v>
      </x:c>
      <x:c r="O166" s="8" t="n">
        <x:f>IF(J166="","",J166+K166-H166-L166)</x:f>
        <x:v>176</x:v>
      </x:c>
      <x:c r="P166" s="7" t="n">
        <x:f>IFERROR(O166/(J166+K166),"")</x:f>
        <x:v>0.31095406360424027</x:v>
      </x:c>
      <x:c r="Q166" s="6" t="inlineStr">
        <x:is>
          <x:t xml:space="preserve">RAW_OP AD/AE</x:t>
        </x:is>
      </x:c>
      <x:c r="R166" s="6" t="inlineStr">
        <x:is>
          <x:t xml:space="preserve">DODATKI</x:t>
        </x:is>
      </x:c>
      <x:c r="S166" s="6" t="inlineStr">
        <x:is>
          <x:t xml:space="preserve">crm_only</x:t>
        </x:is>
      </x:c>
      <x:c r="T166" s="6" t="n"/>
    </x:row>
    <x:row r="167">
      <x:c r="A167" s="6" t="inlineStr">
        <x:is>
          <x:t xml:space="preserve">300 x 1106 cm</x:t>
        </x:is>
      </x:c>
      <x:c r="B167" s="6" t="inlineStr">
        <x:is>
          <x:t xml:space="preserve">S</x:t>
        </x:is>
      </x:c>
      <x:c r="C167" s="6" t="inlineStr">
        <x:is>
          <x:t xml:space="preserve">Szczotki przeciwkurzowe</x:t>
        </x:is>
      </x:c>
      <x:c r="D167" s="6" t="inlineStr">
        <x:is>
          <x:t xml:space="preserve">SZCZOTKI</x:t>
        </x:is>
      </x:c>
      <x:c r="E167" s="8" t="n">
        <x:f>IFERROR(INDEX('02_RAW_INDEX'!$AD:$AD,MATCH($A167,'02_RAW_INDEX'!$A:$A,0)),"")</x:f>
        <x:v>528</x:v>
      </x:c>
      <x:c r="F167" s="8" t="n">
        <x:f>IFERROR(INDEX('02_RAW_INDEX'!$AC:$AC,MATCH($A167,'02_RAW_INDEX'!$A:$A,0)),"")</x:f>
        <x:v>650</x:v>
      </x:c>
      <x:c r="G167" s="7" t="n">
        <x:f>'01_Ustawienia'!$B$6</x:f>
        <x:v>0</x:v>
      </x:c>
      <x:c r="H167" s="8" t="n">
        <x:f>IF(E167="","",ROUND(IF('01_Ustawienia'!$B$5="BRUTTO",F167,E167)*(1-G167),0))</x:f>
        <x:v>528</x:v>
      </x:c>
      <x:c r="I167" s="7" t="n">
        <x:f>IFERROR(IFERROR(INDEX('01_Ustawienia'!$B$15:$B$33,MATCH(B167,'01_Ustawienia'!$A$15:$A$33,0)),0.45),0.45)</x:f>
        <x:v>0.45</x:v>
      </x:c>
      <x:c r="J167" s="8" t="n">
        <x:f>IF(H167="","",ROUND(H167*(1+I167),0))</x:f>
        <x:v>766</x:v>
      </x:c>
      <x:c r="K167" s="8" t="n">
        <x:f>0</x:f>
        <x:v>0</x:v>
      </x:c>
      <x:c r="L167" s="8" t="n">
        <x:f>IFERROR(IFERROR(INDEX(EG_Cennik_uslug!$CA:$CA,MATCH($A167,EG_Cennik_uslug!$A:$A,0)),0),0)</x:f>
        <x:v>0</x:v>
      </x:c>
      <x:c r="M167" s="7" t="n">
        <x:f>IF('01_Ustawienia'!$B$4="ZWOLNIONY",0,'01_Ustawienia'!$B$7)</x:f>
        <x:v>0.08</x:v>
      </x:c>
      <x:c r="N167" s="8" t="n">
        <x:f>IF(J167="","",ROUND((J167+K167)*(1+M167),0))</x:f>
        <x:v>827</x:v>
      </x:c>
      <x:c r="O167" s="8" t="n">
        <x:f>IF(J167="","",J167+K167-H167-L167)</x:f>
        <x:v>238</x:v>
      </x:c>
      <x:c r="P167" s="7" t="n">
        <x:f>IFERROR(O167/(J167+K167),"")</x:f>
        <x:v>0.31070496083550914</x:v>
      </x:c>
      <x:c r="Q167" s="6" t="inlineStr">
        <x:is>
          <x:t xml:space="preserve">RAW_OP L/M</x:t>
        </x:is>
      </x:c>
      <x:c r="R167" s="6" t="inlineStr">
        <x:is>
          <x:t xml:space="preserve">DODATKI</x:t>
        </x:is>
      </x:c>
      <x:c r="S167" s="6" t="inlineStr">
        <x:is>
          <x:t xml:space="preserve">website+crm</x:t>
        </x:is>
      </x:c>
      <x:c r="T167" s="6" t="n"/>
    </x:row>
    <x:row r="168">
      <x:c r="A168" s="6" t="inlineStr">
        <x:is>
          <x:t xml:space="preserve">300 x 1106 cm</x:t>
        </x:is>
      </x:c>
      <x:c r="B168" s="6" t="inlineStr">
        <x:is>
          <x:t xml:space="preserve">U</x:t>
        </x:is>
      </x:c>
      <x:c r="C168" s="6" t="inlineStr">
        <x:is>
          <x:t xml:space="preserve">Uchwyty na szkło ścienne</x:t>
        </x:is>
      </x:c>
      <x:c r="D168" s="6" t="inlineStr">
        <x:is>
          <x:t xml:space="preserve">UCHWYTY</x:t>
        </x:is>
      </x:c>
      <x:c r="E168" s="8" t="n">
        <x:f>IFERROR(INDEX('02_RAW_INDEX'!$AF:$AF,MATCH($A168,'02_RAW_INDEX'!$A:$A,0)),"")</x:f>
        <x:v>480</x:v>
      </x:c>
      <x:c r="F168" s="8" t="n">
        <x:f>IFERROR(INDEX('02_RAW_INDEX'!$AE:$AE,MATCH($A168,'02_RAW_INDEX'!$A:$A,0)),"")</x:f>
        <x:v>590</x:v>
      </x:c>
      <x:c r="G168" s="7" t="n">
        <x:f>'01_Ustawienia'!$B$6</x:f>
        <x:v>0</x:v>
      </x:c>
      <x:c r="H168" s="8" t="n">
        <x:f>IF(E168="","",ROUND(IF('01_Ustawienia'!$B$5="BRUTTO",F168,E168)*(1-G168),0))</x:f>
        <x:v>480</x:v>
      </x:c>
      <x:c r="I168" s="7" t="n">
        <x:f>IFERROR(IFERROR(INDEX('01_Ustawienia'!$B$15:$B$33,MATCH(B168,'01_Ustawienia'!$A$15:$A$33,0)),0.45),0.45)</x:f>
        <x:v>0.45</x:v>
      </x:c>
      <x:c r="J168" s="8" t="n">
        <x:f>IF(H168="","",ROUND(H168*(1+I168),0))</x:f>
        <x:v>696</x:v>
      </x:c>
      <x:c r="K168" s="8" t="n">
        <x:f>0</x:f>
        <x:v>0</x:v>
      </x:c>
      <x:c r="L168" s="8" t="n">
        <x:f>IFERROR(IFERROR(INDEX(EG_Cennik_uslug!$CH:$CH,MATCH($A168,EG_Cennik_uslug!$A:$A,0)),0),0)</x:f>
        <x:v>0</x:v>
      </x:c>
      <x:c r="M168" s="7" t="n">
        <x:f>IF('01_Ustawienia'!$B$4="ZWOLNIONY",0,'01_Ustawienia'!$B$7)</x:f>
        <x:v>0.08</x:v>
      </x:c>
      <x:c r="N168" s="8" t="n">
        <x:f>IF(J168="","",ROUND((J168+K168)*(1+M168),0))</x:f>
        <x:v>752</x:v>
      </x:c>
      <x:c r="O168" s="8" t="n">
        <x:f>IF(J168="","",J168+K168-H168-L168)</x:f>
        <x:v>216</x:v>
      </x:c>
      <x:c r="P168" s="7" t="n">
        <x:f>IFERROR(O168/(J168+K168),"")</x:f>
        <x:v>0.3103448275862069</x:v>
      </x:c>
      <x:c r="Q168" s="6" t="inlineStr">
        <x:is>
          <x:t xml:space="preserve">RAW_OP N/O</x:t>
        </x:is>
      </x:c>
      <x:c r="R168" s="6" t="inlineStr">
        <x:is>
          <x:t xml:space="preserve">DODATKI</x:t>
        </x:is>
      </x:c>
      <x:c r="S168" s="6" t="inlineStr">
        <x:is>
          <x:t xml:space="preserve">website+crm</x:t>
        </x:is>
      </x:c>
      <x:c r="T168" s="6" t="n"/>
    </x:row>
    <x:row r="169">
      <x:c r="A169" s="6" t="inlineStr">
        <x:is>
          <x:t xml:space="preserve">300 x 1106 cm</x:t>
        </x:is>
      </x:c>
      <x:c r="B169" s="6" t="inlineStr">
        <x:is>
          <x:t xml:space="preserve">LED2</x:t>
        </x:is>
      </x:c>
      <x:c r="C169" s="6" t="inlineStr">
        <x:is>
          <x:t xml:space="preserve">Oświetlenie LED 2 punkty</x:t>
        </x:is>
      </x:c>
      <x:c r="D169" s="6" t="inlineStr">
        <x:is>
          <x:t xml:space="preserve">LED 2 PKT</x:t>
        </x:is>
      </x:c>
      <x:c r="E169" s="8" t="n">
        <x:f>IFERROR(INDEX('02_RAW_INDEX'!$N:$N,MATCH($A169,'02_RAW_INDEX'!$A:$A,0)),"")</x:f>
        <x:v>1163</x:v>
      </x:c>
      <x:c r="F169" s="8" t="n">
        <x:f>IFERROR(INDEX('02_RAW_INDEX'!$M:$M,MATCH($A169,'02_RAW_INDEX'!$A:$A,0)),"")</x:f>
        <x:v>1430</x:v>
      </x:c>
      <x:c r="G169" s="7" t="n">
        <x:f>'01_Ustawienia'!$B$6</x:f>
        <x:v>0</x:v>
      </x:c>
      <x:c r="H169" s="8" t="n">
        <x:f>IF(E169="","",ROUND(IF('01_Ustawienia'!$B$5="BRUTTO",F169,E169)*(1-G169),0))</x:f>
        <x:v>1163</x:v>
      </x:c>
      <x:c r="I169" s="7" t="n">
        <x:f>IFERROR(IFERROR(INDEX('01_Ustawienia'!$B$15:$B$33,MATCH(B169,'01_Ustawienia'!$A$15:$A$33,0)),0.45),0.45)</x:f>
        <x:v>0.45</x:v>
      </x:c>
      <x:c r="J169" s="8" t="n">
        <x:f>IF(H169="","",ROUND(H169*(1+I169),0))</x:f>
        <x:v>1686</x:v>
      </x:c>
      <x:c r="K169" s="8" t="n">
        <x:f>0</x:f>
        <x:v>0</x:v>
      </x:c>
      <x:c r="L169" s="8" t="n">
        <x:f>IFERROR(IFERROR(INDEX(EG_Cennik_uslug!$CO:$CO,MATCH($A169,EG_Cennik_uslug!$A:$A,0)),0),0)</x:f>
        <x:v>0</x:v>
      </x:c>
      <x:c r="M169" s="7" t="n">
        <x:f>IF('01_Ustawienia'!$B$4="ZWOLNIONY",0,'01_Ustawienia'!$B$7)</x:f>
        <x:v>0.08</x:v>
      </x:c>
      <x:c r="N169" s="8" t="n">
        <x:f>IF(J169="","",ROUND((J169+K169)*(1+M169),0))</x:f>
        <x:v>1821</x:v>
      </x:c>
      <x:c r="O169" s="8" t="n">
        <x:f>IF(J169="","",J169+K169-H169-L169)</x:f>
        <x:v>523</x:v>
      </x:c>
      <x:c r="P169" s="7" t="n">
        <x:f>IFERROR(O169/(J169+K169),"")</x:f>
        <x:v>0.31020166073546857</x:v>
      </x:c>
      <x:c r="Q169" s="6" t="inlineStr">
        <x:is>
          <x:t xml:space="preserve">RAW_ZP P/Q</x:t>
        </x:is>
      </x:c>
      <x:c r="R169" s="6" t="inlineStr">
        <x:is>
          <x:t xml:space="preserve">OŚWIETLENIE</x:t>
        </x:is>
      </x:c>
      <x:c r="S169" s="6" t="inlineStr">
        <x:is>
          <x:t xml:space="preserve">website+crm</x:t>
        </x:is>
      </x:c>
      <x:c r="T169" s="6" t="n"/>
    </x:row>
    <x:row r="170">
      <x:c r="A170" s="6" t="inlineStr">
        <x:is>
          <x:t xml:space="preserve">300 x 1106 cm</x:t>
        </x:is>
      </x:c>
      <x:c r="B170" s="6" t="inlineStr">
        <x:is>
          <x:t xml:space="preserve">LED3</x:t>
        </x:is>
      </x:c>
      <x:c r="C170" s="6" t="inlineStr">
        <x:is>
          <x:t xml:space="preserve">Oświetlenie LED 3 punkty</x:t>
        </x:is>
      </x:c>
      <x:c r="D170" s="6" t="inlineStr">
        <x:is>
          <x:t xml:space="preserve">LED 3 PKT</x:t>
        </x:is>
      </x:c>
      <x:c r="E170" s="8" t="n">
        <x:f>IFERROR(INDEX('02_RAW_INDEX'!$P:$P,MATCH($A170,'02_RAW_INDEX'!$A:$A,0)),"")</x:f>
        <x:v>1439</x:v>
      </x:c>
      <x:c r="F170" s="8" t="n">
        <x:f>IFERROR(INDEX('02_RAW_INDEX'!$O:$O,MATCH($A170,'02_RAW_INDEX'!$A:$A,0)),"")</x:f>
        <x:v>1770</x:v>
      </x:c>
      <x:c r="G170" s="7" t="n">
        <x:f>'01_Ustawienia'!$B$6</x:f>
        <x:v>0</x:v>
      </x:c>
      <x:c r="H170" s="8" t="n">
        <x:f>IF(E170="","",ROUND(IF('01_Ustawienia'!$B$5="BRUTTO",F170,E170)*(1-G170),0))</x:f>
        <x:v>1439</x:v>
      </x:c>
      <x:c r="I170" s="7" t="n">
        <x:f>IFERROR(IFERROR(INDEX('01_Ustawienia'!$B$15:$B$33,MATCH(B170,'01_Ustawienia'!$A$15:$A$33,0)),0.45),0.45)</x:f>
        <x:v>0.45</x:v>
      </x:c>
      <x:c r="J170" s="8" t="n">
        <x:f>IF(H170="","",ROUND(H170*(1+I170),0))</x:f>
        <x:v>2087</x:v>
      </x:c>
      <x:c r="K170" s="8" t="n">
        <x:f>0</x:f>
        <x:v>0</x:v>
      </x:c>
      <x:c r="L170" s="8" t="n">
        <x:f>IFERROR(IFERROR(INDEX(EG_Cennik_uslug!$CV:$CV,MATCH($A170,EG_Cennik_uslug!$A:$A,0)),0),0)</x:f>
        <x:v>0</x:v>
      </x:c>
      <x:c r="M170" s="7" t="n">
        <x:f>IF('01_Ustawienia'!$B$4="ZWOLNIONY",0,'01_Ustawienia'!$B$7)</x:f>
        <x:v>0.08</x:v>
      </x:c>
      <x:c r="N170" s="8" t="n">
        <x:f>IF(J170="","",ROUND((J170+K170)*(1+M170),0))</x:f>
        <x:v>2254</x:v>
      </x:c>
      <x:c r="O170" s="8" t="n">
        <x:f>IF(J170="","",J170+K170-H170-L170)</x:f>
        <x:v>648</x:v>
      </x:c>
      <x:c r="P170" s="7" t="n">
        <x:f>IFERROR(O170/(J170+K170),"")</x:f>
        <x:v>0.3104935313847628</x:v>
      </x:c>
      <x:c r="Q170" s="6" t="inlineStr">
        <x:is>
          <x:t xml:space="preserve">RAW_ZP R/S</x:t>
        </x:is>
      </x:c>
      <x:c r="R170" s="6" t="inlineStr">
        <x:is>
          <x:t xml:space="preserve">OŚWIETLENIE</x:t>
        </x:is>
      </x:c>
      <x:c r="S170" s="6" t="inlineStr">
        <x:is>
          <x:t xml:space="preserve">website+crm</x:t>
        </x:is>
      </x:c>
      <x:c r="T170" s="6" t="inlineStr">
        <x:is>
          <x:t xml:space="preserve">Nazwa do potwierdzenia</x:t>
        </x:is>
      </x:c>
    </x:row>
    <x:row r="171">
      <x:c r="A171" s="6" t="inlineStr">
        <x:is>
          <x:t xml:space="preserve">300 x 1106 cm</x:t>
        </x:is>
      </x:c>
      <x:c r="B171" s="6" t="inlineStr">
        <x:is>
          <x:t xml:space="preserve">LEDCCT</x:t>
        </x:is>
      </x:c>
      <x:c r="C171" s="6" t="inlineStr">
        <x:is>
          <x:t xml:space="preserve">Oświetlenie LED CCT</x:t>
        </x:is>
      </x:c>
      <x:c r="D171" s="6" t="inlineStr">
        <x:is>
          <x:t xml:space="preserve">OŚWIETLENIE</x:t>
        </x:is>
      </x:c>
      <x:c r="E171" s="8" t="n">
        <x:f>IFERROR(INDEX('02_RAW_INDEX'!$R:$R,MATCH($A171,'02_RAW_INDEX'!$A:$A,0)),"")</x:f>
        <x:v>1930</x:v>
      </x:c>
      <x:c r="F171" s="8" t="n">
        <x:f>IFERROR(INDEX('02_RAW_INDEX'!$Q:$Q,MATCH($A171,'02_RAW_INDEX'!$A:$A,0)),"")</x:f>
        <x:v>2374</x:v>
      </x:c>
      <x:c r="G171" s="7" t="n">
        <x:f>'01_Ustawienia'!$B$6</x:f>
        <x:v>0</x:v>
      </x:c>
      <x:c r="H171" s="8" t="n">
        <x:f>IF(E171="","",ROUND(IF('01_Ustawienia'!$B$5="BRUTTO",F171,E171)*(1-G171),0))</x:f>
        <x:v>1930</x:v>
      </x:c>
      <x:c r="I171" s="7" t="n">
        <x:f>IFERROR(IFERROR(INDEX('01_Ustawienia'!$B$15:$B$33,MATCH(B171,'01_Ustawienia'!$A$15:$A$33,0)),0.45),0.45)</x:f>
        <x:v>0.45</x:v>
      </x:c>
      <x:c r="J171" s="8" t="n">
        <x:f>IF(H171="","",ROUND(H171*(1+I171),0))</x:f>
        <x:v>2799</x:v>
      </x:c>
      <x:c r="K171" s="8" t="n">
        <x:f>0</x:f>
        <x:v>0</x:v>
      </x:c>
      <x:c r="L171" s="8" t="n">
        <x:f>0</x:f>
        <x:v>0</x:v>
      </x:c>
      <x:c r="M171" s="7" t="n">
        <x:f>IF('01_Ustawienia'!$B$4="ZWOLNIONY",0,'01_Ustawienia'!$B$7)</x:f>
        <x:v>0.08</x:v>
      </x:c>
      <x:c r="N171" s="8" t="n">
        <x:f>IF(J171="","",ROUND((J171+K171)*(1+M171),0))</x:f>
        <x:v>3023</x:v>
      </x:c>
      <x:c r="O171" s="8" t="n">
        <x:f>IF(J171="","",J171+K171-H171-L171)</x:f>
        <x:v>869</x:v>
      </x:c>
      <x:c r="P171" s="7" t="n">
        <x:f>IFERROR(O171/(J171+K171),"")</x:f>
        <x:v>0.31046802429439085</x:v>
      </x:c>
      <x:c r="Q171" s="6" t="inlineStr">
        <x:is>
          <x:t xml:space="preserve">RAW_ZP T/U</x:t>
        </x:is>
      </x:c>
      <x:c r="R171" s="6" t="inlineStr">
        <x:is>
          <x:t xml:space="preserve">OŚWIETLENIE</x:t>
        </x:is>
      </x:c>
      <x:c r="S171" s="6" t="inlineStr">
        <x:is>
          <x:t xml:space="preserve">website+crm</x:t>
        </x:is>
      </x:c>
      <x:c r="T171" s="6" t="inlineStr">
        <x:is>
          <x:t xml:space="preserve">Opcja dodatkowa | FIX17: opcja LED dostępna dla strony; ceny 450-600 wg modelu FIX15.</x:t>
        </x:is>
      </x:c>
    </x:row>
    <x:row r="172">
      <x:c r="A172" s="6" t="inlineStr">
        <x:is>
          <x:t xml:space="preserve">300 x 1106 cm</x:t>
        </x:is>
      </x:c>
      <x:c r="B172" s="6" t="inlineStr">
        <x:is>
          <x:t xml:space="preserve">LEDRGBCCT</x:t>
        </x:is>
      </x:c>
      <x:c r="C172" s="6" t="inlineStr">
        <x:is>
          <x:t xml:space="preserve">Oświetlenie LED RGB CCT</x:t>
        </x:is>
      </x:c>
      <x:c r="D172" s="6" t="inlineStr">
        <x:is>
          <x:t xml:space="preserve">OŚWIETLENIE</x:t>
        </x:is>
      </x:c>
      <x:c r="E172" s="8" t="n">
        <x:f>IFERROR(INDEX('02_RAW_INDEX'!$T:$T,MATCH($A172,'02_RAW_INDEX'!$A:$A,0)),"")</x:f>
        <x:v>2840</x:v>
      </x:c>
      <x:c r="F172" s="8" t="n">
        <x:f>IFERROR(INDEX('02_RAW_INDEX'!$S:$S,MATCH($A172,'02_RAW_INDEX'!$A:$A,0)),"")</x:f>
        <x:v>3493</x:v>
      </x:c>
      <x:c r="G172" s="7" t="n">
        <x:f>'01_Ustawienia'!$B$6</x:f>
        <x:v>0</x:v>
      </x:c>
      <x:c r="H172" s="8" t="n">
        <x:f>IF(E172="","",ROUND(IF('01_Ustawienia'!$B$5="BRUTTO",F172,E172)*(1-G172),0))</x:f>
        <x:v>2840</x:v>
      </x:c>
      <x:c r="I172" s="7" t="n">
        <x:f>IFERROR(IFERROR(INDEX('01_Ustawienia'!$B$15:$B$33,MATCH(B172,'01_Ustawienia'!$A$15:$A$33,0)),0.45),0.45)</x:f>
        <x:v>0.45</x:v>
      </x:c>
      <x:c r="J172" s="8" t="n">
        <x:f>IF(H172="","",ROUND(H172*(1+I172),0))</x:f>
        <x:v>4118</x:v>
      </x:c>
      <x:c r="K172" s="8" t="n">
        <x:f>0</x:f>
        <x:v>0</x:v>
      </x:c>
      <x:c r="L172" s="8" t="n">
        <x:f>0</x:f>
        <x:v>0</x:v>
      </x:c>
      <x:c r="M172" s="7" t="n">
        <x:f>IF('01_Ustawienia'!$B$4="ZWOLNIONY",0,'01_Ustawienia'!$B$7)</x:f>
        <x:v>0.08</x:v>
      </x:c>
      <x:c r="N172" s="8" t="n">
        <x:f>IF(J172="","",ROUND((J172+K172)*(1+M172),0))</x:f>
        <x:v>4447</x:v>
      </x:c>
      <x:c r="O172" s="8" t="n">
        <x:f>IF(J172="","",J172+K172-H172-L172)</x:f>
        <x:v>1278</x:v>
      </x:c>
      <x:c r="P172" s="7" t="n">
        <x:f>IFERROR(O172/(J172+K172),"")</x:f>
        <x:v>0.3103448275862069</x:v>
      </x:c>
      <x:c r="Q172" s="6" t="inlineStr">
        <x:is>
          <x:t xml:space="preserve">RAW_ZP V/W</x:t>
        </x:is>
      </x:c>
      <x:c r="R172" s="6" t="inlineStr">
        <x:is>
          <x:t xml:space="preserve">OŚWIETLENIE</x:t>
        </x:is>
      </x:c>
      <x:c r="S172" s="6" t="inlineStr">
        <x:is>
          <x:t xml:space="preserve">crm_only</x:t>
        </x:is>
      </x:c>
      <x:c r="T172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173" s="655" customFormat="1" ht="30" customHeight="1">
      <x:c r="A173" s="6" t="inlineStr">
        <x:is>
          <x:t xml:space="preserve">300 x 1206 cm</x:t>
        </x:is>
      </x:c>
      <x:c r="B173" s="6" t="inlineStr">
        <x:is>
          <x:t xml:space="preserve">ZP</x:t>
        </x:is>
      </x:c>
      <x:c r="C173" s="6" t="inlineStr">
        <x:is>
          <x:t xml:space="preserve">Zadaszenie poliwęglan - baza</x:t>
        </x:is>
      </x:c>
      <x:c r="D173" s="6" t="inlineStr">
        <x:is>
          <x:t xml:space="preserve">ZADASZENIE POLIWĘGLAN</x:t>
        </x:is>
      </x:c>
      <x:c r="E173" s="8" t="n">
        <x:f>IFERROR(INDEX('02_RAW_INDEX'!$D:$D,MATCH($A173,'02_RAW_INDEX'!$A:$A,0)),"")</x:f>
        <x:v>12236</x:v>
      </x:c>
      <x:c r="F173" s="8" t="n">
        <x:f>IFERROR(INDEX('02_RAW_INDEX'!$C:$C,MATCH($A173,'02_RAW_INDEX'!$A:$A,0)),"")</x:f>
        <x:v>15050</x:v>
      </x:c>
      <x:c r="G173" s="7" t="n">
        <x:f>'01_Ustawienia'!$B$6</x:f>
        <x:v>0</x:v>
      </x:c>
      <x:c r="H173" s="8" t="n">
        <x:f>IF(E173="","",ROUND(IF('01_Ustawienia'!$B$5="BRUTTO",F173,E173)*(1-G173),0))</x:f>
        <x:v>12236</x:v>
      </x:c>
      <x:c r="I173" s="7" t="n">
        <x:f>IFERROR(IFERROR(INDEX('01_Ustawienia'!$B$15:$B$33,MATCH(B173,'01_Ustawienia'!$A$15:$A$33,0)),0.45),0.45)</x:f>
        <x:v>0.45</x:v>
      </x:c>
      <x:c r="J173" s="8" t="n">
        <x:f>IF(H173="","",ROUND(H173*(1+I173),0))</x:f>
        <x:v>17742</x:v>
      </x:c>
      <x:c r="K173" s="8" t="n">
        <x:f>IFERROR(IFERROR(INDEX(EG_Cennik_uslug!$F:$F,MATCH($A173,EG_Cennik_uslug!$A:$A,0)),0),0)</x:f>
        <x:v>5000</x:v>
      </x:c>
      <x:c r="L173" s="8" t="n">
        <x:f>IFERROR(IFERROR(INDEX(EG_Cennik_uslug!$G:$G,MATCH($A173,EG_Cennik_uslug!$A:$A,0)),0),0)</x:f>
        <x:v>1890</x:v>
      </x:c>
      <x:c r="M173" s="7" t="n">
        <x:f>IF('01_Ustawienia'!$B$4="ZWOLNIONY",0,'01_Ustawienia'!$B$7)</x:f>
        <x:v>0.08</x:v>
      </x:c>
      <x:c r="N173" s="8" t="n">
        <x:f>IF(J173="","",ROUND((J173+K173)*(1+M173),0))</x:f>
        <x:v>24561</x:v>
      </x:c>
      <x:c r="O173" s="8" t="n">
        <x:f>IF(J173="","",J173+K173-H173-L173)</x:f>
        <x:v>8616</x:v>
      </x:c>
      <x:c r="P173" s="7" t="n">
        <x:f>IFERROR(O173/(J173+K173),"")</x:f>
        <x:v>0.3788584996921995</x:v>
      </x:c>
      <x:c r="Q173" s="6" t="inlineStr">
        <x:is>
          <x:t xml:space="preserve">RAW_ZP B/C</x:t>
        </x:is>
      </x:c>
      <x:c r="R173" s="6" t="inlineStr">
        <x:is>
          <x:t xml:space="preserve">ZADASZENIE TARASU KONSTRUKCJA</x:t>
        </x:is>
      </x:c>
      <x:c r="S173" s="6" t="inlineStr">
        <x:is>
          <x:t xml:space="preserve">website+crm</x:t>
        </x:is>
      </x:c>
      <x:c r="T173" s="6" t="inlineStr">
        <x:is>
          <x:t xml:space="preserve">Baza dla kalkulatora</x:t>
        </x:is>
      </x:c>
    </x:row>
    <x:row r="174" s="655" customFormat="1" ht="30" customHeight="1">
      <x:c r="A174" s="6" t="inlineStr">
        <x:is>
          <x:t xml:space="preserve">300 x 1206 cm</x:t>
        </x:is>
      </x:c>
      <x:c r="B174" s="6" t="inlineStr">
        <x:is>
          <x:t xml:space="preserve">ZS</x:t>
        </x:is>
      </x:c>
      <x:c r="C174" s="6" t="inlineStr">
        <x:is>
          <x:t xml:space="preserve">Zadaszenie szkło - pełna konstrukcja</x:t>
        </x:is>
      </x:c>
      <x:c r="D174" s="6" t="inlineStr">
        <x:is>
          <x:t xml:space="preserve">ZADASZENIE SZKŁO</x:t>
        </x:is>
      </x:c>
      <x:c r="E174" s="8" t="n">
        <x:f>IFERROR(INDEX('02_RAW_INDEX'!$V:$V,MATCH($A174,'02_RAW_INDEX'!$A:$A,0)),"")</x:f>
        <x:v>17894</x:v>
      </x:c>
      <x:c r="F174" s="8" t="n">
        <x:f>IFERROR(INDEX('02_RAW_INDEX'!$U:$U,MATCH($A174,'02_RAW_INDEX'!$A:$A,0)),"")</x:f>
        <x:v>22010</x:v>
      </x:c>
      <x:c r="G174" s="7" t="n">
        <x:f>'01_Ustawienia'!$B$6</x:f>
        <x:v>0</x:v>
      </x:c>
      <x:c r="H174" s="8" t="n">
        <x:f>IF(E174="","",ROUND(IF('01_Ustawienia'!$B$5="BRUTTO",F174,E174)*(1-G174),0))</x:f>
        <x:v>17894</x:v>
      </x:c>
      <x:c r="I174" s="7" t="n">
        <x:f>IFERROR(IFERROR(INDEX('01_Ustawienia'!$B$15:$B$33,MATCH(B174,'01_Ustawienia'!$A$15:$A$33,0)),0.45),0.45)</x:f>
        <x:v>0.45</x:v>
      </x:c>
      <x:c r="J174" s="8" t="n">
        <x:f>IF(H174="","",ROUND(H174*(1+I174),0))</x:f>
        <x:v>25946</x:v>
      </x:c>
      <x:c r="K174" s="8" t="n">
        <x:f>IFERROR(IFERROR(INDEX(EG_Cennik_uslug!$F:$F,MATCH($A174,EG_Cennik_uslug!$A:$A,0)),0),0)</x:f>
        <x:v>5000</x:v>
      </x:c>
      <x:c r="L174" s="8" t="n">
        <x:f>IFERROR(IFERROR(INDEX(EG_Cennik_uslug!$G:$G,MATCH($A174,EG_Cennik_uslug!$A:$A,0)),0),0)</x:f>
        <x:v>1890</x:v>
      </x:c>
      <x:c r="M174" s="7" t="n">
        <x:f>IF('01_Ustawienia'!$B$4="ZWOLNIONY",0,'01_Ustawienia'!$B$7)</x:f>
        <x:v>0.08</x:v>
      </x:c>
      <x:c r="N174" s="8" t="n">
        <x:f>IF(J174="","",ROUND((J174+K174)*(1+M174),0))</x:f>
        <x:v>33422</x:v>
      </x:c>
      <x:c r="O174" s="8" t="n">
        <x:f>IF(J174="","",J174+K174-H174-L174)</x:f>
        <x:v>11162</x:v>
      </x:c>
      <x:c r="P174" s="7" t="n">
        <x:f>IFERROR(O174/(J174+K174),"")</x:f>
        <x:v>0.3606928197505332</x:v>
      </x:c>
      <x:c r="Q174" s="6" t="inlineStr">
        <x:is>
          <x:t xml:space="preserve">RAW_ZS B/C</x:t>
        </x:is>
      </x:c>
      <x:c r="R174" s="6" t="inlineStr">
        <x:is>
          <x:t xml:space="preserve">ZADASZENIE TARASU KONSTRUKCJA</x:t>
        </x:is>
      </x:c>
      <x:c r="S174" s="6" t="inlineStr">
        <x:is>
          <x:t xml:space="preserve">crm_only</x:t>
        </x:is>
      </x:c>
      <x:c r="T174" s="6" t="inlineStr">
        <x:is>
          <x:t xml:space="preserve">Referencyjne/full; strona zwykle używa ZP + PDS</x:t>
        </x:is>
      </x:c>
    </x:row>
    <x:row r="175" s="655" customFormat="1" ht="30" customHeight="1">
      <x:c r="A175" s="6" t="inlineStr">
        <x:is>
          <x:t xml:space="preserve">300 x 1206 cm</x:t>
        </x:is>
      </x:c>
      <x:c r="B175" s="6" t="inlineStr">
        <x:is>
          <x:t xml:space="preserve">OP</x:t>
        </x:is>
      </x:c>
      <x:c r="C175" s="6" t="inlineStr">
        <x:is>
          <x:t xml:space="preserve">Ogród zimowy poliwęglan - baza</x:t>
        </x:is>
      </x:c>
      <x:c r="D175" s="6" t="inlineStr">
        <x:is>
          <x:t xml:space="preserve">OGRODY POLIWĘGLAN</x:t>
        </x:is>
      </x:c>
      <x:c r="E175" s="8" t="n">
        <x:f>IFERROR(INDEX('02_RAW_INDEX'!$Z:$Z,MATCH($A175,'02_RAW_INDEX'!$A:$A,0)),"")</x:f>
        <x:v>27610</x:v>
      </x:c>
      <x:c r="F175" s="8" t="n">
        <x:f>IFERROR(INDEX('02_RAW_INDEX'!$Y:$Y,MATCH($A175,'02_RAW_INDEX'!$A:$A,0)),"")</x:f>
        <x:v>33960</x:v>
      </x:c>
      <x:c r="G175" s="7" t="n">
        <x:f>'01_Ustawienia'!$B$6</x:f>
        <x:v>0</x:v>
      </x:c>
      <x:c r="H175" s="8" t="n">
        <x:f>IF(E175="","",ROUND(IF('01_Ustawienia'!$B$5="BRUTTO",F175,E175)*(1-G175),0))</x:f>
        <x:v>27610</x:v>
      </x:c>
      <x:c r="I175" s="7" t="n">
        <x:f>IFERROR(IFERROR(INDEX('01_Ustawienia'!$B$15:$B$33,MATCH(B175,'01_Ustawienia'!$A$15:$A$33,0)),0.45),0.45)</x:f>
        <x:v>0.45</x:v>
      </x:c>
      <x:c r="J175" s="8" t="n">
        <x:f>IF(H175="","",ROUND(H175*(1+I175),0))</x:f>
        <x:v>40035</x:v>
      </x:c>
      <x:c r="K175" s="8" t="n">
        <x:f>IFERROR(IFERROR(INDEX(EG_Cennik_uslug!$N:$N,MATCH($A175,EG_Cennik_uslug!$A:$A,0)),0),0)</x:f>
        <x:v>6450</x:v>
      </x:c>
      <x:c r="L175" s="8" t="n">
        <x:f>IFERROR(IFERROR(INDEX(EG_Cennik_uslug!$O:$O,MATCH($A175,EG_Cennik_uslug!$A:$A,0)),0),0)</x:f>
        <x:v>2640</x:v>
      </x:c>
      <x:c r="M175" s="7" t="n">
        <x:f>IF('01_Ustawienia'!$B$4="ZWOLNIONY",0,'01_Ustawienia'!$B$7)</x:f>
        <x:v>0.08</x:v>
      </x:c>
      <x:c r="N175" s="8" t="n">
        <x:f>IF(J175="","",ROUND((J175+K175)*(1+M175),0))</x:f>
        <x:v>50204</x:v>
      </x:c>
      <x:c r="O175" s="8" t="n">
        <x:f>IF(J175="","",J175+K175-H175-L175)</x:f>
        <x:v>16235</x:v>
      </x:c>
      <x:c r="P175" s="7" t="n">
        <x:f>IFERROR(O175/(J175+K175),"")</x:f>
        <x:v>0.34925244702592234</x:v>
      </x:c>
      <x:c r="Q175" s="6" t="inlineStr">
        <x:is>
          <x:t xml:space="preserve">RAW_OP B/C</x:t>
        </x:is>
      </x:c>
      <x:c r="R175" s="6" t="inlineStr">
        <x:is>
          <x:t xml:space="preserve">OGRÓD ZIMOWY (KONSTRUKCJA)</x:t>
        </x:is>
      </x:c>
      <x:c r="S175" s="6" t="inlineStr">
        <x:is>
          <x:t xml:space="preserve">website+crm</x:t>
        </x:is>
      </x:c>
      <x:c r="T175" s="6" t="inlineStr">
        <x:is>
          <x:t xml:space="preserve">Do wyliczenia dopłaty za ściany</x:t>
        </x:is>
      </x:c>
    </x:row>
    <x:row r="176" s="655" customFormat="1" ht="30" customHeight="1">
      <x:c r="A176" s="6" t="inlineStr">
        <x:is>
          <x:t xml:space="preserve">300 x 1206 cm</x:t>
        </x:is>
      </x:c>
      <x:c r="B176" s="6" t="inlineStr">
        <x:is>
          <x:t xml:space="preserve">OS</x:t>
        </x:is>
      </x:c>
      <x:c r="C176" s="6" t="inlineStr">
        <x:is>
          <x:t xml:space="preserve">Ogród zimowy szkło - pełna konstrukcja</x:t>
        </x:is>
      </x:c>
      <x:c r="D176" s="6" t="inlineStr">
        <x:is>
          <x:t xml:space="preserve">OGRODY SZKŁO</x:t>
        </x:is>
      </x:c>
      <x:c r="E176" s="8" t="n">
        <x:f>IFERROR(INDEX('02_RAW_INDEX'!$AL:$AL,MATCH($A176,'02_RAW_INDEX'!$A:$A,0)),"")</x:f>
        <x:v>33276</x:v>
      </x:c>
      <x:c r="F176" s="8" t="n">
        <x:f>IFERROR(INDEX('02_RAW_INDEX'!$AK:$AK,MATCH($A176,'02_RAW_INDEX'!$A:$A,0)),"")</x:f>
        <x:v>40930</x:v>
      </x:c>
      <x:c r="G176" s="7" t="n">
        <x:f>'01_Ustawienia'!$B$6</x:f>
        <x:v>0</x:v>
      </x:c>
      <x:c r="H176" s="8" t="n">
        <x:f>IF(E176="","",ROUND(IF('01_Ustawienia'!$B$5="BRUTTO",F176,E176)*(1-G176),0))</x:f>
        <x:v>33276</x:v>
      </x:c>
      <x:c r="I176" s="7" t="n">
        <x:f>IFERROR(IFERROR(INDEX('01_Ustawienia'!$B$15:$B$33,MATCH(B176,'01_Ustawienia'!$A$15:$A$33,0)),0.45),0.45)</x:f>
        <x:v>0.45</x:v>
      </x:c>
      <x:c r="J176" s="8" t="n">
        <x:f>IF(H176="","",ROUND(H176*(1+I176),0))</x:f>
        <x:v>48250</x:v>
      </x:c>
      <x:c r="K176" s="8" t="n">
        <x:f>IFERROR(IFERROR(INDEX(EG_Cennik_uslug!$N:$N,MATCH($A176,EG_Cennik_uslug!$A:$A,0)),0),0)</x:f>
        <x:v>6450</x:v>
      </x:c>
      <x:c r="L176" s="8" t="n">
        <x:f>IFERROR(IFERROR(INDEX(EG_Cennik_uslug!$O:$O,MATCH($A176,EG_Cennik_uslug!$A:$A,0)),0),0)</x:f>
        <x:v>2640</x:v>
      </x:c>
      <x:c r="M176" s="7" t="n">
        <x:f>IF('01_Ustawienia'!$B$4="ZWOLNIONY",0,'01_Ustawienia'!$B$7)</x:f>
        <x:v>0.08</x:v>
      </x:c>
      <x:c r="N176" s="8" t="n">
        <x:f>IF(J176="","",ROUND((J176+K176)*(1+M176),0))</x:f>
        <x:v>59076</x:v>
      </x:c>
      <x:c r="O176" s="8" t="n">
        <x:f>IF(J176="","",J176+K176-H176-L176)</x:f>
        <x:v>18784</x:v>
      </x:c>
      <x:c r="P176" s="7" t="n">
        <x:f>IFERROR(O176/(J176+K176),"")</x:f>
        <x:v>0.34340036563071297</x:v>
      </x:c>
      <x:c r="Q176" s="6" t="inlineStr">
        <x:is>
          <x:t xml:space="preserve">RAW_OS B/C</x:t>
        </x:is>
      </x:c>
      <x:c r="R176" s="6" t="inlineStr">
        <x:is>
          <x:t xml:space="preserve">OGRÓD ZIMOWY (KONSTRUKCJA)</x:t>
        </x:is>
      </x:c>
      <x:c r="S176" s="6" t="inlineStr">
        <x:is>
          <x:t xml:space="preserve">crm_only</x:t>
        </x:is>
      </x:c>
      <x:c r="T176" s="6" t="inlineStr">
        <x:is>
          <x:t xml:space="preserve">Referencyjne/full</x:t>
        </x:is>
      </x:c>
    </x:row>
    <x:row r="177" s="655" customFormat="1" ht="30" customHeight="1">
      <x:c r="A177" s="6" t="inlineStr">
        <x:is>
          <x:t xml:space="preserve">300 x 1206 cm</x:t>
        </x:is>
      </x:c>
      <x:c r="B177" s="6" t="inlineStr">
        <x:is>
          <x:t xml:space="preserve">PDS</x:t>
        </x:is>
      </x:c>
      <x:c r="C177" s="6" t="inlineStr">
        <x:is>
          <x:t xml:space="preserve">Dopłata dach szkło przezroczyste</x:t>
        </x:is>
      </x:c>
      <x:c r="D177" s="6" t="inlineStr">
        <x:is>
          <x:t xml:space="preserve">POKRYCIE DACHU SZKŁO</x:t>
        </x:is>
      </x:c>
      <x:c r="E177" s="8" t="n">
        <x:f>IFERROR(IFERROR(INDEX('02_RAW_INDEX'!$V:$V,MATCH($A177,'02_RAW_INDEX'!$A:$A,0)),"")-IFERROR(INDEX('02_RAW_INDEX'!$D:$D,MATCH($A177,'02_RAW_INDEX'!$A:$A,0)),""),"")</x:f>
        <x:v>5658</x:v>
      </x:c>
      <x:c r="F177" s="8" t="n">
        <x:f>IFERROR(IFERROR(INDEX('02_RAW_INDEX'!$U:$U,MATCH($A177,'02_RAW_INDEX'!$A:$A,0)),"")-IFERROR(INDEX('02_RAW_INDEX'!$C:$C,MATCH($A177,'02_RAW_INDEX'!$A:$A,0)),""),"")</x:f>
        <x:v>6960</x:v>
      </x:c>
      <x:c r="G177" s="7" t="n">
        <x:f>'01_Ustawienia'!$B$6</x:f>
        <x:v>0</x:v>
      </x:c>
      <x:c r="H177" s="8" t="n">
        <x:f>IF(E177="","",ROUND(IF('01_Ustawienia'!$B$5="BRUTTO",F177,E177)*(1-G177),0))</x:f>
        <x:v>5658</x:v>
      </x:c>
      <x:c r="I177" s="7" t="n">
        <x:f>IFERROR(IFERROR(INDEX('01_Ustawienia'!$B$15:$B$33,MATCH(B177,'01_Ustawienia'!$A$15:$A$33,0)),0.45),0.45)</x:f>
        <x:v>0.45</x:v>
      </x:c>
      <x:c r="J177" s="8" t="n">
        <x:f>IF(H177="","",ROUND(H177*(1+I177),0))</x:f>
        <x:v>8204</x:v>
      </x:c>
      <x:c r="K177" s="8" t="n">
        <x:f>0</x:f>
        <x:v>0</x:v>
      </x:c>
      <x:c r="L177" s="8" t="n">
        <x:v>0</x:v>
      </x:c>
      <x:c r="M177" s="7" t="n">
        <x:f>IF('01_Ustawienia'!$B$4="ZWOLNIONY",0,'01_Ustawienia'!$B$7)</x:f>
        <x:v>0.08</x:v>
      </x:c>
      <x:c r="N177" s="8" t="n">
        <x:f>IF(J177="","",ROUND((J177+K177)*(1+M177),0))</x:f>
        <x:v>8860</x:v>
      </x:c>
      <x:c r="O177" s="8" t="n">
        <x:f>IF(J177="","",J177+K177-H177-L177)</x:f>
        <x:v>2546</x:v>
      </x:c>
      <x:c r="P177" s="7" t="n">
        <x:f>IFERROR(O177/(J177+K177),"")</x:f>
        <x:v>0.310336421257923</x:v>
      </x:c>
      <x:c r="Q177" s="6" t="inlineStr">
        <x:is>
          <x:t xml:space="preserve">RAW_ZS - RAW_ZP</x:t>
        </x:is>
      </x:c>
      <x:c r="R177" s="6" t="inlineStr">
        <x:is>
          <x:t xml:space="preserve">POKRYCIE DACHU</x:t>
        </x:is>
      </x:c>
      <x:c r="S177" s="6" t="inlineStr">
        <x:is>
          <x:t xml:space="preserve">website+crm</x:t>
        </x:is>
      </x:c>
      <x:c r="T177" s="6" t="inlineStr">
        <x:is>
          <x:t xml:space="preserve">Dopłata do bazowego dachu poliwęglan | FIX17: Wynagr.+koszty = 0 dla dopłaty; nie jest osobnym montażem ekipy.</x:t>
        </x:is>
      </x:c>
    </x:row>
    <x:row r="178" s="655" customFormat="1" ht="30" customHeight="1">
      <x:c r="A178" s="6" t="inlineStr">
        <x:is>
          <x:t xml:space="preserve">300 x 1206 cm</x:t>
        </x:is>
      </x:c>
      <x:c r="B178" s="6" t="inlineStr">
        <x:is>
          <x:t xml:space="preserve">PDSB</x:t>
        </x:is>
      </x:c>
      <x:c r="C178" s="6" t="inlineStr">
        <x:is>
          <x:t xml:space="preserve">Dopłata dach szkło barwione/mleczne</x:t>
        </x:is>
      </x:c>
      <x:c r="D178" s="6" t="inlineStr">
        <x:is>
          <x:t xml:space="preserve">POKRYCIE DACHU SZKŁO BARWIONE</x:t>
        </x:is>
      </x:c>
      <x:c r="E178" s="8" t="n">
        <x:f>IFERROR(INDEX('02_RAW_INDEX'!$X:$X,MATCH($A178,'02_RAW_INDEX'!$A:$A,0)),"")</x:f>
        <x:v>1089</x:v>
      </x:c>
      <x:c r="F178" s="8" t="n">
        <x:f>IFERROR(INDEX('02_RAW_INDEX'!$W:$W,MATCH($A178,'02_RAW_INDEX'!$A:$A,0)),"")</x:f>
        <x:v>1340</x:v>
      </x:c>
      <x:c r="G178" s="7" t="n">
        <x:f>'01_Ustawienia'!$B$6</x:f>
        <x:v>0</x:v>
      </x:c>
      <x:c r="H178" s="8" t="n">
        <x:f>IF(E178="","",ROUND(IF('01_Ustawienia'!$B$5="BRUTTO",F178,E178)*(1-G178),0))</x:f>
        <x:v>1089</x:v>
      </x:c>
      <x:c r="I178" s="7" t="n">
        <x:f>IFERROR(IFERROR(INDEX('01_Ustawienia'!$B$15:$B$33,MATCH(B178,'01_Ustawienia'!$A$15:$A$33,0)),0.45),0.45)</x:f>
        <x:v>0.45</x:v>
      </x:c>
      <x:c r="J178" s="8" t="n">
        <x:f>IF(H178="","",ROUND(H178*(1+I178),0))</x:f>
        <x:v>1579</x:v>
      </x:c>
      <x:c r="K178" s="8" t="n">
        <x:f>0</x:f>
        <x:v>0</x:v>
      </x:c>
      <x:c r="L178" s="8" t="n">
        <x:v>0</x:v>
      </x:c>
      <x:c r="M178" s="7" t="n">
        <x:f>IF('01_Ustawienia'!$B$4="ZWOLNIONY",0,'01_Ustawienia'!$B$7)</x:f>
        <x:v>0.08</x:v>
      </x:c>
      <x:c r="N178" s="8" t="n">
        <x:f>IF(J178="","",ROUND((J178+K178)*(1+M178),0))</x:f>
        <x:v>1705</x:v>
      </x:c>
      <x:c r="O178" s="8" t="n">
        <x:f>IF(J178="","",J178+K178-H178-L178)</x:f>
        <x:v>490</x:v>
      </x:c>
      <x:c r="P178" s="7" t="n">
        <x:f>IFERROR(O178/(J178+K178),"")</x:f>
        <x:v>0.3103229892336922</x:v>
      </x:c>
      <x:c r="Q178" s="6" t="inlineStr">
        <x:is>
          <x:t xml:space="preserve">RAW_ZS D/E</x:t>
        </x:is>
      </x:c>
      <x:c r="R178" s="6" t="inlineStr">
        <x:is>
          <x:t xml:space="preserve">POKRYCIE DACHU</x:t>
        </x:is>
      </x:c>
      <x:c r="S178" s="6" t="inlineStr">
        <x:is>
          <x:t xml:space="preserve">website+crm</x:t>
        </x:is>
      </x:c>
      <x:c r="T178" s="6" t="inlineStr">
        <x:is>
          <x:t xml:space="preserve">Dodawane do PDS | FIX17: Wynagr.+koszty = 0 dla dopłaty; nie jest osobnym montażem ekipy.</x:t>
        </x:is>
      </x:c>
    </x:row>
    <x:row r="179" s="655" customFormat="1" ht="30" customHeight="1">
      <x:c r="A179" s="6" t="inlineStr">
        <x:is>
          <x:t xml:space="preserve">300 x 1206 cm</x:t>
        </x:is>
      </x:c>
      <x:c r="B179" s="6" t="inlineStr">
        <x:is>
          <x:t xml:space="preserve">PDPB</x:t>
        </x:is>
      </x:c>
      <x:c r="C179" s="6" t="inlineStr">
        <x:is>
          <x:t xml:space="preserve">Dopłata poliwęglan barwiony</x:t>
        </x:is>
      </x:c>
      <x:c r="D179" s="6" t="inlineStr">
        <x:is>
          <x:t xml:space="preserve">POKRYCIE DACHU POLIWĘGLAN BARWIONY</x:t>
        </x:is>
      </x:c>
      <x:c r="E179" s="8" t="n">
        <x:f>IFERROR(INDEX('02_RAW_INDEX'!$F:$F,MATCH($A179,'02_RAW_INDEX'!$A:$A,0)),"")</x:f>
        <x:v>553</x:v>
      </x:c>
      <x:c r="F179" s="8" t="n">
        <x:f>IFERROR(INDEX('02_RAW_INDEX'!$E:$E,MATCH($A179,'02_RAW_INDEX'!$A:$A,0)),"")</x:f>
        <x:v>680</x:v>
      </x:c>
      <x:c r="G179" s="7" t="n">
        <x:f>'01_Ustawienia'!$B$6</x:f>
        <x:v>0</x:v>
      </x:c>
      <x:c r="H179" s="8" t="n">
        <x:f>IF(E179="","",ROUND(IF('01_Ustawienia'!$B$5="BRUTTO",F179,E179)*(1-G179),0))</x:f>
        <x:v>553</x:v>
      </x:c>
      <x:c r="I179" s="7" t="n">
        <x:f>IFERROR(IFERROR(INDEX('01_Ustawienia'!$B$15:$B$33,MATCH(B179,'01_Ustawienia'!$A$15:$A$33,0)),0.45),0.45)</x:f>
        <x:v>0.45</x:v>
      </x:c>
      <x:c r="J179" s="8" t="n">
        <x:f>IF(H179="","",ROUND(H179*(1+I179),0))</x:f>
        <x:v>802</x:v>
      </x:c>
      <x:c r="K179" s="8" t="n">
        <x:f>0</x:f>
        <x:v>0</x:v>
      </x:c>
      <x:c r="L179" s="8" t="n">
        <x:v>0</x:v>
      </x:c>
      <x:c r="M179" s="7" t="n">
        <x:f>IF('01_Ustawienia'!$B$4="ZWOLNIONY",0,'01_Ustawienia'!$B$7)</x:f>
        <x:v>0.08</x:v>
      </x:c>
      <x:c r="N179" s="8" t="n">
        <x:f>IF(J179="","",ROUND((J179+K179)*(1+M179),0))</x:f>
        <x:v>866</x:v>
      </x:c>
      <x:c r="O179" s="8" t="n">
        <x:f>IF(J179="","",J179+K179-H179-L179)</x:f>
        <x:v>249</x:v>
      </x:c>
      <x:c r="P179" s="7" t="n">
        <x:f>IFERROR(O179/(J179+K179),"")</x:f>
        <x:v>0.3104738154613466</x:v>
      </x:c>
      <x:c r="Q179" s="6" t="inlineStr">
        <x:is>
          <x:t xml:space="preserve">RAW_ZP D/E</x:t>
        </x:is>
      </x:c>
      <x:c r="R179" s="6" t="inlineStr">
        <x:is>
          <x:t xml:space="preserve">POKRYCIE DACHU</x:t>
        </x:is>
      </x:c>
      <x:c r="S179" s="6" t="inlineStr">
        <x:is>
          <x:t xml:space="preserve">website+crm</x:t>
        </x:is>
      </x:c>
      <x:c r="T179" s="6" t="inlineStr">
        <x:is>
          <x:t xml:space="preserve">FIX17: Wynagr.+koszty = 0 dla dopłaty; nie jest osobnym montażem ekipy.</x:t>
        </x:is>
      </x:c>
    </x:row>
    <x:row r="180" s="655" customFormat="1" ht="30" customHeight="1">
      <x:c r="A180" s="6" t="inlineStr">
        <x:is>
          <x:t xml:space="preserve">300 x 1206 cm</x:t>
        </x:is>
      </x:c>
      <x:c r="B180" s="6" t="inlineStr">
        <x:is>
          <x:t xml:space="preserve">SBB</x:t>
        </x:is>
      </x:c>
      <x:c r="C180" s="6" t="inlineStr">
        <x:is>
          <x:t xml:space="preserve">Dopłata szkło boczne przyciemniane</x:t>
        </x:is>
      </x:c>
      <x:c r="D180" s="6" t="inlineStr">
        <x:is>
          <x:t xml:space="preserve">SZKŁO BOCZNE BARWIONE</x:t>
        </x:is>
      </x:c>
      <x:c r="E180" s="8" t="n">
        <x:f>IFERROR(INDEX('02_RAW_INDEX'!$AB:$AB,MATCH($A180,'02_RAW_INDEX'!$A:$A,0)),"")</x:f>
        <x:v>1756</x:v>
      </x:c>
      <x:c r="F180" s="8" t="n">
        <x:f>IFERROR(INDEX('02_RAW_INDEX'!$AA:$AA,MATCH($A180,'02_RAW_INDEX'!$A:$A,0)),"")</x:f>
        <x:v>2160</x:v>
      </x:c>
      <x:c r="G180" s="7" t="n">
        <x:f>'01_Ustawienia'!$B$6</x:f>
        <x:v>0</x:v>
      </x:c>
      <x:c r="H180" s="8" t="n">
        <x:f>IF(E180="","",ROUND(IF('01_Ustawienia'!$B$5="BRUTTO",F180,E180)*(1-G180),0))</x:f>
        <x:v>1756</x:v>
      </x:c>
      <x:c r="I180" s="7" t="n">
        <x:f>IFERROR(IFERROR(INDEX('01_Ustawienia'!$B$15:$B$33,MATCH(B180,'01_Ustawienia'!$A$15:$A$33,0)),0.45),0.45)</x:f>
        <x:v>0.45</x:v>
      </x:c>
      <x:c r="J180" s="8" t="n">
        <x:f>IF(H180="","",ROUND(H180*(1+I180),0))</x:f>
        <x:v>2546</x:v>
      </x:c>
      <x:c r="K180" s="8" t="n">
        <x:f>0</x:f>
        <x:v>0</x:v>
      </x:c>
      <x:c r="L180" s="8" t="n">
        <x:v>0</x:v>
      </x:c>
      <x:c r="M180" s="7" t="n">
        <x:f>IF('01_Ustawienia'!$B$4="ZWOLNIONY",0,'01_Ustawienia'!$B$7)</x:f>
        <x:v>0.08</x:v>
      </x:c>
      <x:c r="N180" s="8" t="n">
        <x:f>IF(J180="","",ROUND((J180+K180)*(1+M180),0))</x:f>
        <x:v>2750</x:v>
      </x:c>
      <x:c r="O180" s="8" t="n">
        <x:f>IF(J180="","",J180+K180-H180-L180)</x:f>
        <x:v>790</x:v>
      </x:c>
      <x:c r="P180" s="7" t="n">
        <x:f>IFERROR(O180/(J180+K180),"")</x:f>
        <x:v>0.3102906520031422</x:v>
      </x:c>
      <x:c r="Q180" s="6" t="inlineStr">
        <x:is>
          <x:t xml:space="preserve">RAW_OP H/I</x:t>
        </x:is>
      </x:c>
      <x:c r="R180" s="6" t="inlineStr">
        <x:is>
          <x:t xml:space="preserve">SZYBY BOCZNE</x:t>
        </x:is>
      </x:c>
      <x:c r="S180" s="6" t="inlineStr">
        <x:is>
          <x:t xml:space="preserve">website+crm</x:t>
        </x:is>
      </x:c>
      <x:c r="T180" s="6" t="inlineStr">
        <x:is>
          <x:t xml:space="preserve">Dodawane do ścian przezroczystych | FIX17: Wynagr.+koszty = 0 dla dopłaty; nie jest osobnym montażem ekipy.</x:t>
        </x:is>
      </x:c>
    </x:row>
    <x:row r="181">
      <x:c r="A181" s="6" t="inlineStr">
        <x:is>
          <x:t xml:space="preserve">300 x 1206 cm</x:t>
        </x:is>
      </x:c>
      <x:c r="B181" s="6" t="inlineStr">
        <x:is>
          <x:t xml:space="preserve">RB</x:t>
        </x:is>
      </x:c>
      <x:c r="C181" s="6" t="inlineStr">
        <x:is>
          <x:t xml:space="preserve">Roleta boczna ZIP</x:t>
        </x:is>
      </x:c>
      <x:c r="D181" s="6" t="inlineStr">
        <x:is>
          <x:t xml:space="preserve">ROLETA BOCZNA</x:t>
        </x:is>
      </x:c>
      <x:c r="E181" s="8" t="n">
        <x:f>IFERROR(INDEX('02_RAW_INDEX'!$J:$J,MATCH($A181,'02_RAW_INDEX'!$A:$A,0)),"")</x:f>
        <x:v>1740</x:v>
      </x:c>
      <x:c r="F181" s="8" t="n">
        <x:f>IFERROR(INDEX('02_RAW_INDEX'!$I:$I,MATCH($A181,'02_RAW_INDEX'!$A:$A,0)),"")</x:f>
        <x:v>2140</x:v>
      </x:c>
      <x:c r="G181" s="7" t="n">
        <x:f>'01_Ustawienia'!$B$6</x:f>
        <x:v>0</x:v>
      </x:c>
      <x:c r="H181" s="8" t="n">
        <x:f>IF(E181="","",ROUND(IF('01_Ustawienia'!$B$5="BRUTTO",F181,E181)*(1-G181),0))</x:f>
        <x:v>1740</x:v>
      </x:c>
      <x:c r="I181" s="7" t="n">
        <x:f>IFERROR(IFERROR(INDEX('01_Ustawienia'!$B$15:$B$33,MATCH(B181,'01_Ustawienia'!$A$15:$A$33,0)),0.45),0.45)</x:f>
        <x:v>0.45</x:v>
      </x:c>
      <x:c r="J181" s="8" t="n">
        <x:f>IF(H181="","",ROUND(H181*(1+I181),0))</x:f>
        <x:v>2523</x:v>
      </x:c>
      <x:c r="K181" s="8" t="n">
        <x:f>0</x:f>
        <x:v>0</x:v>
      </x:c>
      <x:c r="L181" s="8" t="n">
        <x:f>IFERROR(IFERROR(INDEX(EG_Cennik_uslug!$AC:$AC,MATCH($A181,EG_Cennik_uslug!$A:$A,0)),0),0)</x:f>
        <x:v>150</x:v>
      </x:c>
      <x:c r="M181" s="7" t="n">
        <x:f>IF('01_Ustawienia'!$B$4="ZWOLNIONY",0,'01_Ustawienia'!$B$7)</x:f>
        <x:v>0.08</x:v>
      </x:c>
      <x:c r="N181" s="8" t="n">
        <x:f>IF(J181="","",ROUND((J181+K181)*(1+M181),0))</x:f>
        <x:v>2725</x:v>
      </x:c>
      <x:c r="O181" s="8" t="n">
        <x:f>IF(J181="","",J181+K181-H181-L181)</x:f>
        <x:v>633</x:v>
      </x:c>
      <x:c r="P181" s="7" t="n">
        <x:f>IFERROR(O181/(J181+K181),"")</x:f>
        <x:v>0.25089179548156954</x:v>
      </x:c>
      <x:c r="Q181" s="6" t="inlineStr">
        <x:is>
          <x:t xml:space="preserve">RAW_ZP J/K</x:t>
        </x:is>
      </x:c>
      <x:c r="R181" s="6" t="inlineStr">
        <x:is>
          <x:t xml:space="preserve">ROLETY BOCZNE</x:t>
        </x:is>
      </x:c>
      <x:c r="S181" s="6" t="inlineStr">
        <x:is>
          <x:t xml:space="preserve">website+crm</x:t>
        </x:is>
      </x:c>
      <x:c r="T181" s="6" t="inlineStr">
        <x:is>
          <x:t xml:space="preserve">Używana dla lewej i prawej</x:t>
        </x:is>
      </x:c>
    </x:row>
    <x:row r="182">
      <x:c r="A182" s="6" t="inlineStr">
        <x:is>
          <x:t xml:space="preserve">300 x 1206 cm</x:t>
        </x:is>
      </x:c>
      <x:c r="B182" s="6" t="inlineStr">
        <x:is>
          <x:t xml:space="preserve">RP</x:t>
        </x:is>
      </x:c>
      <x:c r="C182" s="6" t="inlineStr">
        <x:is>
          <x:t xml:space="preserve">Roleta przednia ZIP</x:t>
        </x:is>
      </x:c>
      <x:c r="D182" s="6" t="inlineStr">
        <x:is>
          <x:t xml:space="preserve">ROLETA PRZÓD</x:t>
        </x:is>
      </x:c>
      <x:c r="E182" s="8" t="n">
        <x:f>IFERROR(INDEX('02_RAW_INDEX'!$L:$L,MATCH($A182,'02_RAW_INDEX'!$A:$A,0)),"")</x:f>
        <x:v>6439</x:v>
      </x:c>
      <x:c r="F182" s="8" t="n">
        <x:f>IFERROR(INDEX('02_RAW_INDEX'!$K:$K,MATCH($A182,'02_RAW_INDEX'!$A:$A,0)),"")</x:f>
        <x:v>7920</x:v>
      </x:c>
      <x:c r="G182" s="7" t="n">
        <x:f>'01_Ustawienia'!$B$6</x:f>
        <x:v>0</x:v>
      </x:c>
      <x:c r="H182" s="8" t="n">
        <x:f>IF(E182="","",ROUND(IF('01_Ustawienia'!$B$5="BRUTTO",F182,E182)*(1-G182),0))</x:f>
        <x:v>6439</x:v>
      </x:c>
      <x:c r="I182" s="7" t="n">
        <x:f>IFERROR(IFERROR(INDEX('01_Ustawienia'!$B$15:$B$33,MATCH(B182,'01_Ustawienia'!$A$15:$A$33,0)),0.45),0.45)</x:f>
        <x:v>0.45</x:v>
      </x:c>
      <x:c r="J182" s="8" t="n">
        <x:f>IF(H182="","",ROUND(H182*(1+I182),0))</x:f>
        <x:v>9337</x:v>
      </x:c>
      <x:c r="K182" s="8" t="n">
        <x:f>0</x:f>
        <x:v>0</x:v>
      </x:c>
      <x:c r="L182" s="8" t="n">
        <x:f>IFERROR(IFERROR(INDEX(EG_Cennik_uslug!$AJ:$AJ,MATCH($A182,EG_Cennik_uslug!$A:$A,0)),0),0)</x:f>
        <x:v>450</x:v>
      </x:c>
      <x:c r="M182" s="7" t="n">
        <x:f>IF('01_Ustawienia'!$B$4="ZWOLNIONY",0,'01_Ustawienia'!$B$7)</x:f>
        <x:v>0.08</x:v>
      </x:c>
      <x:c r="N182" s="8" t="n">
        <x:f>IF(J182="","",ROUND((J182+K182)*(1+M182),0))</x:f>
        <x:v>10084</x:v>
      </x:c>
      <x:c r="O182" s="8" t="n">
        <x:f>IF(J182="","",J182+K182-H182-L182)</x:f>
        <x:v>2448</x:v>
      </x:c>
      <x:c r="P182" s="7" t="n">
        <x:f>IFERROR(O182/(J182+K182),"")</x:f>
        <x:v>0.2621827139338117</x:v>
      </x:c>
      <x:c r="Q182" s="6" t="inlineStr">
        <x:is>
          <x:t xml:space="preserve">RAW_ZP N/O</x:t>
        </x:is>
      </x:c>
      <x:c r="R182" s="6" t="inlineStr">
        <x:is>
          <x:t xml:space="preserve">ROLETY BOCZNE</x:t>
        </x:is>
      </x:c>
      <x:c r="S182" s="6" t="inlineStr">
        <x:is>
          <x:t xml:space="preserve">website+crm</x:t>
        </x:is>
      </x:c>
      <x:c r="T182" s="6" t="n"/>
    </x:row>
    <x:row r="183">
      <x:c r="A183" s="6" t="inlineStr">
        <x:is>
          <x:t xml:space="preserve">300 x 1206 cm</x:t>
        </x:is>
      </x:c>
      <x:c r="B183" s="6" t="inlineStr">
        <x:is>
          <x:t xml:space="preserve">M</x:t>
        </x:is>
      </x:c>
      <x:c r="C183" s="6" t="inlineStr">
        <x:is>
          <x:t xml:space="preserve">Markiza dachowa</x:t>
        </x:is>
      </x:c>
      <x:c r="D183" s="6" t="inlineStr">
        <x:is>
          <x:t xml:space="preserve">MARKIZA</x:t>
        </x:is>
      </x:c>
      <x:c r="E183" s="8" t="n">
        <x:f>IFERROR(INDEX('02_RAW_INDEX'!$H:$H,MATCH($A183,'02_RAW_INDEX'!$A:$A,0)),"")</x:f>
        <x:v>10488</x:v>
      </x:c>
      <x:c r="F183" s="8" t="n">
        <x:f>IFERROR(INDEX('02_RAW_INDEX'!$G:$G,MATCH($A183,'02_RAW_INDEX'!$A:$A,0)),"")</x:f>
        <x:v>12900</x:v>
      </x:c>
      <x:c r="G183" s="7" t="n">
        <x:f>'01_Ustawienia'!$B$6</x:f>
        <x:v>0</x:v>
      </x:c>
      <x:c r="H183" s="8" t="n">
        <x:f>IF(E183="","",ROUND(IF('01_Ustawienia'!$B$5="BRUTTO",F183,E183)*(1-G183),0))</x:f>
        <x:v>10488</x:v>
      </x:c>
      <x:c r="I183" s="7" t="n">
        <x:f>IFERROR(IFERROR(INDEX('01_Ustawienia'!$B$15:$B$33,MATCH(B183,'01_Ustawienia'!$A$15:$A$33,0)),0.45),0.45)</x:f>
        <x:v>0.45</x:v>
      </x:c>
      <x:c r="J183" s="8" t="n">
        <x:f>IF(H183="","",ROUND(H183*(1+I183),0))</x:f>
        <x:v>15208</x:v>
      </x:c>
      <x:c r="K183" s="8" t="n">
        <x:f>0</x:f>
        <x:v>0</x:v>
      </x:c>
      <x:c r="L183" s="8" t="n">
        <x:f>IFERROR(IFERROR(INDEX(EG_Cennik_uslug!$AQ:$AQ,MATCH($A183,EG_Cennik_uslug!$A:$A,0)),0),0)</x:f>
        <x:v>700</x:v>
      </x:c>
      <x:c r="M183" s="7" t="n">
        <x:f>IF('01_Ustawienia'!$B$4="ZWOLNIONY",0,'01_Ustawienia'!$B$7)</x:f>
        <x:v>0.08</x:v>
      </x:c>
      <x:c r="N183" s="8" t="n">
        <x:f>IF(J183="","",ROUND((J183+K183)*(1+M183),0))</x:f>
        <x:v>16425</x:v>
      </x:c>
      <x:c r="O183" s="8" t="n">
        <x:f>IF(J183="","",J183+K183-H183-L183)</x:f>
        <x:v>4020</x:v>
      </x:c>
      <x:c r="P183" s="7" t="n">
        <x:f>IFERROR(O183/(J183+K183),"")</x:f>
        <x:v>0.26433456075749606</x:v>
      </x:c>
      <x:c r="Q183" s="6" t="inlineStr">
        <x:is>
          <x:t xml:space="preserve">RAW_ZP H/I</x:t>
        </x:is>
      </x:c>
      <x:c r="R183" s="6" t="inlineStr">
        <x:is>
          <x:t xml:space="preserve">MARKIZA</x:t>
        </x:is>
      </x:c>
      <x:c r="S183" s="6" t="inlineStr">
        <x:is>
          <x:t xml:space="preserve">website+crm</x:t>
        </x:is>
      </x:c>
      <x:c r="T183" s="6" t="n"/>
    </x:row>
    <x:row r="184">
      <x:c r="A184" s="6" t="inlineStr">
        <x:is>
          <x:t xml:space="preserve">300 x 1206 cm</x:t>
        </x:is>
      </x:c>
      <x:c r="B184" s="6" t="inlineStr">
        <x:is>
          <x:t xml:space="preserve">PDWP</x:t>
        </x:is>
      </x:c>
      <x:c r="C184" s="6" t="inlineStr">
        <x:is>
          <x:t xml:space="preserve">Fundament/profile</x:t>
        </x:is>
      </x:c>
      <x:c r="D184" s="6" t="inlineStr">
        <x:is>
          <x:t xml:space="preserve">FUNDAMENT / PROFILE</x:t>
        </x:is>
      </x:c>
      <x:c r="E184" s="8" t="n">
        <x:f>IFERROR(INDEX('02_RAW_INDEX'!$AH:$AH,MATCH($A184,'02_RAW_INDEX'!$A:$A,0)),"")</x:f>
        <x:v>1593</x:v>
      </x:c>
      <x:c r="F184" s="8" t="n">
        <x:f>IFERROR(INDEX('02_RAW_INDEX'!$AG:$AG,MATCH($A184,'02_RAW_INDEX'!$A:$A,0)),"")</x:f>
        <x:v>1960</x:v>
      </x:c>
      <x:c r="G184" s="7" t="n">
        <x:f>'01_Ustawienia'!$B$6</x:f>
        <x:v>0</x:v>
      </x:c>
      <x:c r="H184" s="8" t="n">
        <x:f>IF(E184="","",ROUND(IF('01_Ustawienia'!$B$5="BRUTTO",F184,E184)*(1-G184),0))</x:f>
        <x:v>1593</x:v>
      </x:c>
      <x:c r="I184" s="7" t="n">
        <x:f>IFERROR(IFERROR(INDEX('01_Ustawienia'!$B$15:$B$33,MATCH(B184,'01_Ustawienia'!$A$15:$A$33,0)),0.45),0.45)</x:f>
        <x:v>1.2</x:v>
      </x:c>
      <x:c r="J184" s="8" t="n">
        <x:f>IF(H184="","",ROUND(H184*(1+I184),0))</x:f>
        <x:v>3505</x:v>
      </x:c>
      <x:c r="K184" s="8" t="n">
        <x:f>0</x:f>
        <x:v>0</x:v>
      </x:c>
      <x:c r="L184" s="8" t="n">
        <x:f>IFERROR(IFERROR(INDEX(EG_Cennik_uslug!$BT:$BT,MATCH($A184,EG_Cennik_uslug!$A:$A,0)),0),0)</x:f>
        <x:v>550</x:v>
      </x:c>
      <x:c r="M184" s="7" t="n">
        <x:f>IF('01_Ustawienia'!$B$4="ZWOLNIONY",0,'01_Ustawienia'!$B$7)</x:f>
        <x:v>0.08</x:v>
      </x:c>
      <x:c r="N184" s="8" t="n">
        <x:f>IF(J184="","",ROUND((J184+K184)*(1+M184),0))</x:f>
        <x:v>3785</x:v>
      </x:c>
      <x:c r="O184" s="8" t="n">
        <x:f>IF(J184="","",J184+K184-H184-L184)</x:f>
        <x:v>1362</x:v>
      </x:c>
      <x:c r="P184" s="7" t="n">
        <x:f>IFERROR(O184/(J184+K184),"")</x:f>
        <x:v>0.3885877318116976</x:v>
      </x:c>
      <x:c r="Q184" s="6" t="inlineStr">
        <x:is>
          <x:t xml:space="preserve">RAW_OP AB/AC</x:t>
        </x:is>
      </x:c>
      <x:c r="R184" s="6" t="inlineStr">
        <x:is>
          <x:t xml:space="preserve">FUNDAMENT (PROFILE)</x:t>
        </x:is>
      </x:c>
      <x:c r="S184" s="6" t="inlineStr">
        <x:is>
          <x:t xml:space="preserve">website+crm</x:t>
        </x:is>
      </x:c>
      <x:c r="T184" s="6" t="n"/>
    </x:row>
    <x:row r="185" s="655" customFormat="1" ht="30" customHeight="1">
      <x:c r="A185" s="6" t="inlineStr">
        <x:is>
          <x:t xml:space="preserve">300 x 1206 cm</x:t>
        </x:is>
      </x:c>
      <x:c r="B185" s="6" t="inlineStr">
        <x:is>
          <x:t xml:space="preserve">ZAB</x:t>
        </x:is>
      </x:c>
      <x:c r="C185" s="6" t="inlineStr">
        <x:is>
          <x:t xml:space="preserve">Zabieraki do ścian przesuwnych</x:t>
        </x:is>
      </x:c>
      <x:c r="D185" s="6" t="inlineStr">
        <x:is>
          <x:t xml:space="preserve">DODATKI</x:t>
        </x:is>
      </x:c>
      <x:c r="E185" s="8" t="n">
        <x:f>IFERROR(INDEX('02_RAW_INDEX'!$AJ:$AJ,MATCH($A185,'02_RAW_INDEX'!$A:$A,0)),"")</x:f>
        <x:v>423</x:v>
      </x:c>
      <x:c r="F185" s="8" t="n">
        <x:f>IFERROR(INDEX('02_RAW_INDEX'!$AI:$AI,MATCH($A185,'02_RAW_INDEX'!$A:$A,0)),"")</x:f>
        <x:v>520</x:v>
      </x:c>
      <x:c r="G185" s="7" t="n">
        <x:f>'01_Ustawienia'!$B$6</x:f>
        <x:v>0</x:v>
      </x:c>
      <x:c r="H185" s="8" t="n">
        <x:f>IF(E185="","",ROUND(IF('01_Ustawienia'!$B$5="BRUTTO",F185,E185)*(1-G185),0))</x:f>
        <x:v>423</x:v>
      </x:c>
      <x:c r="I185" s="7" t="n">
        <x:f>IFERROR(IFERROR(INDEX('01_Ustawienia'!$B$15:$B$33,MATCH(B185,'01_Ustawienia'!$A$15:$A$33,0)),0.45),0.45)</x:f>
        <x:v>0.45</x:v>
      </x:c>
      <x:c r="J185" s="8" t="n">
        <x:f>IF(H185="","",ROUND(H185*(1+I185),0))</x:f>
        <x:v>613</x:v>
      </x:c>
      <x:c r="K185" s="8" t="n">
        <x:f>0</x:f>
        <x:v>0</x:v>
      </x:c>
      <x:c r="L185" s="8" t="n">
        <x:f>0</x:f>
        <x:v>0</x:v>
      </x:c>
      <x:c r="M185" s="7" t="n">
        <x:f>IF('01_Ustawienia'!$B$4="ZWOLNIONY",0,'01_Ustawienia'!$B$7)</x:f>
        <x:v>0.08</x:v>
      </x:c>
      <x:c r="N185" s="8" t="n">
        <x:f>IF(J185="","",ROUND((J185+K185)*(1+M185),0))</x:f>
        <x:v>662</x:v>
      </x:c>
      <x:c r="O185" s="8" t="n">
        <x:f>IF(J185="","",J185+K185-H185-L185)</x:f>
        <x:v>190</x:v>
      </x:c>
      <x:c r="P185" s="7" t="n">
        <x:f>IFERROR(O185/(J185+K185),"")</x:f>
        <x:v>0.3099510603588907</x:v>
      </x:c>
      <x:c r="Q185" s="6" t="inlineStr">
        <x:is>
          <x:t xml:space="preserve">RAW_OP AD/AE</x:t>
        </x:is>
      </x:c>
      <x:c r="R185" s="6" t="inlineStr">
        <x:is>
          <x:t xml:space="preserve">DODATKI</x:t>
        </x:is>
      </x:c>
      <x:c r="S185" s="6" t="inlineStr">
        <x:is>
          <x:t xml:space="preserve">crm_only</x:t>
        </x:is>
      </x:c>
      <x:c r="T185" s="6" t="n"/>
    </x:row>
    <x:row r="186">
      <x:c r="A186" s="6" t="inlineStr">
        <x:is>
          <x:t xml:space="preserve">300 x 1206 cm</x:t>
        </x:is>
      </x:c>
      <x:c r="B186" s="6" t="inlineStr">
        <x:is>
          <x:t xml:space="preserve">S</x:t>
        </x:is>
      </x:c>
      <x:c r="C186" s="6" t="inlineStr">
        <x:is>
          <x:t xml:space="preserve">Szczotki przeciwkurzowe</x:t>
        </x:is>
      </x:c>
      <x:c r="D186" s="6" t="inlineStr">
        <x:is>
          <x:t xml:space="preserve">SZCZOTKI</x:t>
        </x:is>
      </x:c>
      <x:c r="E186" s="8" t="n">
        <x:f>IFERROR(INDEX('02_RAW_INDEX'!$AD:$AD,MATCH($A186,'02_RAW_INDEX'!$A:$A,0)),"")</x:f>
        <x:v>561</x:v>
      </x:c>
      <x:c r="F186" s="8" t="n">
        <x:f>IFERROR(INDEX('02_RAW_INDEX'!$AC:$AC,MATCH($A186,'02_RAW_INDEX'!$A:$A,0)),"")</x:f>
        <x:v>690</x:v>
      </x:c>
      <x:c r="G186" s="7" t="n">
        <x:f>'01_Ustawienia'!$B$6</x:f>
        <x:v>0</x:v>
      </x:c>
      <x:c r="H186" s="8" t="n">
        <x:f>IF(E186="","",ROUND(IF('01_Ustawienia'!$B$5="BRUTTO",F186,E186)*(1-G186),0))</x:f>
        <x:v>561</x:v>
      </x:c>
      <x:c r="I186" s="7" t="n">
        <x:f>IFERROR(IFERROR(INDEX('01_Ustawienia'!$B$15:$B$33,MATCH(B186,'01_Ustawienia'!$A$15:$A$33,0)),0.45),0.45)</x:f>
        <x:v>0.45</x:v>
      </x:c>
      <x:c r="J186" s="8" t="n">
        <x:f>IF(H186="","",ROUND(H186*(1+I186),0))</x:f>
        <x:v>813</x:v>
      </x:c>
      <x:c r="K186" s="8" t="n">
        <x:f>0</x:f>
        <x:v>0</x:v>
      </x:c>
      <x:c r="L186" s="8" t="n">
        <x:f>IFERROR(IFERROR(INDEX(EG_Cennik_uslug!$CA:$CA,MATCH($A186,EG_Cennik_uslug!$A:$A,0)),0),0)</x:f>
        <x:v>0</x:v>
      </x:c>
      <x:c r="M186" s="7" t="n">
        <x:f>IF('01_Ustawienia'!$B$4="ZWOLNIONY",0,'01_Ustawienia'!$B$7)</x:f>
        <x:v>0.08</x:v>
      </x:c>
      <x:c r="N186" s="8" t="n">
        <x:f>IF(J186="","",ROUND((J186+K186)*(1+M186),0))</x:f>
        <x:v>878</x:v>
      </x:c>
      <x:c r="O186" s="8" t="n">
        <x:f>IF(J186="","",J186+K186-H186-L186)</x:f>
        <x:v>252</x:v>
      </x:c>
      <x:c r="P186" s="7" t="n">
        <x:f>IFERROR(O186/(J186+K186),"")</x:f>
        <x:v>0.30996309963099633</x:v>
      </x:c>
      <x:c r="Q186" s="6" t="inlineStr">
        <x:is>
          <x:t xml:space="preserve">RAW_OP L/M</x:t>
        </x:is>
      </x:c>
      <x:c r="R186" s="6" t="inlineStr">
        <x:is>
          <x:t xml:space="preserve">DODATKI</x:t>
        </x:is>
      </x:c>
      <x:c r="S186" s="6" t="inlineStr">
        <x:is>
          <x:t xml:space="preserve">website+crm</x:t>
        </x:is>
      </x:c>
      <x:c r="T186" s="6" t="n"/>
    </x:row>
    <x:row r="187">
      <x:c r="A187" s="6" t="inlineStr">
        <x:is>
          <x:t xml:space="preserve">300 x 1206 cm</x:t>
        </x:is>
      </x:c>
      <x:c r="B187" s="6" t="inlineStr">
        <x:is>
          <x:t xml:space="preserve">U</x:t>
        </x:is>
      </x:c>
      <x:c r="C187" s="6" t="inlineStr">
        <x:is>
          <x:t xml:space="preserve">Uchwyty na szkło ścienne</x:t>
        </x:is>
      </x:c>
      <x:c r="D187" s="6" t="inlineStr">
        <x:is>
          <x:t xml:space="preserve">UCHWYTY</x:t>
        </x:is>
      </x:c>
      <x:c r="E187" s="8" t="n">
        <x:f>IFERROR(INDEX('02_RAW_INDEX'!$AF:$AF,MATCH($A187,'02_RAW_INDEX'!$A:$A,0)),"")</x:f>
        <x:v>504</x:v>
      </x:c>
      <x:c r="F187" s="8" t="n">
        <x:f>IFERROR(INDEX('02_RAW_INDEX'!$AE:$AE,MATCH($A187,'02_RAW_INDEX'!$A:$A,0)),"")</x:f>
        <x:v>620</x:v>
      </x:c>
      <x:c r="G187" s="7" t="n">
        <x:f>'01_Ustawienia'!$B$6</x:f>
        <x:v>0</x:v>
      </x:c>
      <x:c r="H187" s="8" t="n">
        <x:f>IF(E187="","",ROUND(IF('01_Ustawienia'!$B$5="BRUTTO",F187,E187)*(1-G187),0))</x:f>
        <x:v>504</x:v>
      </x:c>
      <x:c r="I187" s="7" t="n">
        <x:f>IFERROR(IFERROR(INDEX('01_Ustawienia'!$B$15:$B$33,MATCH(B187,'01_Ustawienia'!$A$15:$A$33,0)),0.45),0.45)</x:f>
        <x:v>0.45</x:v>
      </x:c>
      <x:c r="J187" s="8" t="n">
        <x:f>IF(H187="","",ROUND(H187*(1+I187),0))</x:f>
        <x:v>731</x:v>
      </x:c>
      <x:c r="K187" s="8" t="n">
        <x:f>0</x:f>
        <x:v>0</x:v>
      </x:c>
      <x:c r="L187" s="8" t="n">
        <x:f>IFERROR(IFERROR(INDEX(EG_Cennik_uslug!$CH:$CH,MATCH($A187,EG_Cennik_uslug!$A:$A,0)),0),0)</x:f>
        <x:v>0</x:v>
      </x:c>
      <x:c r="M187" s="7" t="n">
        <x:f>IF('01_Ustawienia'!$B$4="ZWOLNIONY",0,'01_Ustawienia'!$B$7)</x:f>
        <x:v>0.08</x:v>
      </x:c>
      <x:c r="N187" s="8" t="n">
        <x:f>IF(J187="","",ROUND((J187+K187)*(1+M187),0))</x:f>
        <x:v>789</x:v>
      </x:c>
      <x:c r="O187" s="8" t="n">
        <x:f>IF(J187="","",J187+K187-H187-L187)</x:f>
        <x:v>227</x:v>
      </x:c>
      <x:c r="P187" s="7" t="n">
        <x:f>IFERROR(O187/(J187+K187),"")</x:f>
        <x:v>0.31053351573187415</x:v>
      </x:c>
      <x:c r="Q187" s="6" t="inlineStr">
        <x:is>
          <x:t xml:space="preserve">RAW_OP N/O</x:t>
        </x:is>
      </x:c>
      <x:c r="R187" s="6" t="inlineStr">
        <x:is>
          <x:t xml:space="preserve">DODATKI</x:t>
        </x:is>
      </x:c>
      <x:c r="S187" s="6" t="inlineStr">
        <x:is>
          <x:t xml:space="preserve">website+crm</x:t>
        </x:is>
      </x:c>
      <x:c r="T187" s="6" t="n"/>
    </x:row>
    <x:row r="188">
      <x:c r="A188" s="6" t="inlineStr">
        <x:is>
          <x:t xml:space="preserve">300 x 1206 cm</x:t>
        </x:is>
      </x:c>
      <x:c r="B188" s="6" t="inlineStr">
        <x:is>
          <x:t xml:space="preserve">LED2</x:t>
        </x:is>
      </x:c>
      <x:c r="C188" s="6" t="inlineStr">
        <x:is>
          <x:t xml:space="preserve">Oświetlenie LED 2 punkty</x:t>
        </x:is>
      </x:c>
      <x:c r="D188" s="6" t="inlineStr">
        <x:is>
          <x:t xml:space="preserve">LED 2 PKT</x:t>
        </x:is>
      </x:c>
      <x:c r="E188" s="8" t="n">
        <x:f>IFERROR(INDEX('02_RAW_INDEX'!$N:$N,MATCH($A188,'02_RAW_INDEX'!$A:$A,0)),"")</x:f>
        <x:v>1228</x:v>
      </x:c>
      <x:c r="F188" s="8" t="n">
        <x:f>IFERROR(INDEX('02_RAW_INDEX'!$M:$M,MATCH($A188,'02_RAW_INDEX'!$A:$A,0)),"")</x:f>
        <x:v>1510</x:v>
      </x:c>
      <x:c r="G188" s="7" t="n">
        <x:f>'01_Ustawienia'!$B$6</x:f>
        <x:v>0</x:v>
      </x:c>
      <x:c r="H188" s="8" t="n">
        <x:f>IF(E188="","",ROUND(IF('01_Ustawienia'!$B$5="BRUTTO",F188,E188)*(1-G188),0))</x:f>
        <x:v>1228</x:v>
      </x:c>
      <x:c r="I188" s="7" t="n">
        <x:f>IFERROR(IFERROR(INDEX('01_Ustawienia'!$B$15:$B$33,MATCH(B188,'01_Ustawienia'!$A$15:$A$33,0)),0.45),0.45)</x:f>
        <x:v>0.45</x:v>
      </x:c>
      <x:c r="J188" s="8" t="n">
        <x:f>IF(H188="","",ROUND(H188*(1+I188),0))</x:f>
        <x:v>1781</x:v>
      </x:c>
      <x:c r="K188" s="8" t="n">
        <x:f>0</x:f>
        <x:v>0</x:v>
      </x:c>
      <x:c r="L188" s="8" t="n">
        <x:f>IFERROR(IFERROR(INDEX(EG_Cennik_uslug!$CO:$CO,MATCH($A188,EG_Cennik_uslug!$A:$A,0)),0),0)</x:f>
        <x:v>0</x:v>
      </x:c>
      <x:c r="M188" s="7" t="n">
        <x:f>IF('01_Ustawienia'!$B$4="ZWOLNIONY",0,'01_Ustawienia'!$B$7)</x:f>
        <x:v>0.08</x:v>
      </x:c>
      <x:c r="N188" s="8" t="n">
        <x:f>IF(J188="","",ROUND((J188+K188)*(1+M188),0))</x:f>
        <x:v>1923</x:v>
      </x:c>
      <x:c r="O188" s="8" t="n">
        <x:f>IF(J188="","",J188+K188-H188-L188)</x:f>
        <x:v>553</x:v>
      </x:c>
      <x:c r="P188" s="7" t="n">
        <x:f>IFERROR(O188/(J188+K188),"")</x:f>
        <x:v>0.31049971925884334</x:v>
      </x:c>
      <x:c r="Q188" s="6" t="inlineStr">
        <x:is>
          <x:t xml:space="preserve">RAW_ZP P/Q</x:t>
        </x:is>
      </x:c>
      <x:c r="R188" s="6" t="inlineStr">
        <x:is>
          <x:t xml:space="preserve">OŚWIETLENIE</x:t>
        </x:is>
      </x:c>
      <x:c r="S188" s="6" t="inlineStr">
        <x:is>
          <x:t xml:space="preserve">website+crm</x:t>
        </x:is>
      </x:c>
      <x:c r="T188" s="6" t="n"/>
    </x:row>
    <x:row r="189">
      <x:c r="A189" s="6" t="inlineStr">
        <x:is>
          <x:t xml:space="preserve">300 x 1206 cm</x:t>
        </x:is>
      </x:c>
      <x:c r="B189" s="6" t="inlineStr">
        <x:is>
          <x:t xml:space="preserve">LED3</x:t>
        </x:is>
      </x:c>
      <x:c r="C189" s="6" t="inlineStr">
        <x:is>
          <x:t xml:space="preserve">Oświetlenie LED 3 punkty</x:t>
        </x:is>
      </x:c>
      <x:c r="D189" s="6" t="inlineStr">
        <x:is>
          <x:t xml:space="preserve">LED 3 PKT</x:t>
        </x:is>
      </x:c>
      <x:c r="E189" s="8" t="n">
        <x:f>IFERROR(INDEX('02_RAW_INDEX'!$P:$P,MATCH($A189,'02_RAW_INDEX'!$A:$A,0)),"")</x:f>
        <x:v>1545</x:v>
      </x:c>
      <x:c r="F189" s="8" t="n">
        <x:f>IFERROR(INDEX('02_RAW_INDEX'!$O:$O,MATCH($A189,'02_RAW_INDEX'!$A:$A,0)),"")</x:f>
        <x:v>1900</x:v>
      </x:c>
      <x:c r="G189" s="7" t="n">
        <x:f>'01_Ustawienia'!$B$6</x:f>
        <x:v>0</x:v>
      </x:c>
      <x:c r="H189" s="8" t="n">
        <x:f>IF(E189="","",ROUND(IF('01_Ustawienia'!$B$5="BRUTTO",F189,E189)*(1-G189),0))</x:f>
        <x:v>1545</x:v>
      </x:c>
      <x:c r="I189" s="7" t="n">
        <x:f>IFERROR(IFERROR(INDEX('01_Ustawienia'!$B$15:$B$33,MATCH(B189,'01_Ustawienia'!$A$15:$A$33,0)),0.45),0.45)</x:f>
        <x:v>0.45</x:v>
      </x:c>
      <x:c r="J189" s="8" t="n">
        <x:f>IF(H189="","",ROUND(H189*(1+I189),0))</x:f>
        <x:v>2240</x:v>
      </x:c>
      <x:c r="K189" s="8" t="n">
        <x:f>0</x:f>
        <x:v>0</x:v>
      </x:c>
      <x:c r="L189" s="8" t="n">
        <x:f>IFERROR(IFERROR(INDEX(EG_Cennik_uslug!$CV:$CV,MATCH($A189,EG_Cennik_uslug!$A:$A,0)),0),0)</x:f>
        <x:v>0</x:v>
      </x:c>
      <x:c r="M189" s="7" t="n">
        <x:f>IF('01_Ustawienia'!$B$4="ZWOLNIONY",0,'01_Ustawienia'!$B$7)</x:f>
        <x:v>0.08</x:v>
      </x:c>
      <x:c r="N189" s="8" t="n">
        <x:f>IF(J189="","",ROUND((J189+K189)*(1+M189),0))</x:f>
        <x:v>2419</x:v>
      </x:c>
      <x:c r="O189" s="8" t="n">
        <x:f>IF(J189="","",J189+K189-H189-L189)</x:f>
        <x:v>695</x:v>
      </x:c>
      <x:c r="P189" s="7" t="n">
        <x:f>IFERROR(O189/(J189+K189),"")</x:f>
        <x:v>0.31026785714285715</x:v>
      </x:c>
      <x:c r="Q189" s="6" t="inlineStr">
        <x:is>
          <x:t xml:space="preserve">RAW_ZP R/S</x:t>
        </x:is>
      </x:c>
      <x:c r="R189" s="6" t="inlineStr">
        <x:is>
          <x:t xml:space="preserve">OŚWIETLENIE</x:t>
        </x:is>
      </x:c>
      <x:c r="S189" s="6" t="inlineStr">
        <x:is>
          <x:t xml:space="preserve">website+crm</x:t>
        </x:is>
      </x:c>
      <x:c r="T189" s="6" t="inlineStr">
        <x:is>
          <x:t xml:space="preserve">Nazwa do potwierdzenia</x:t>
        </x:is>
      </x:c>
    </x:row>
    <x:row r="190">
      <x:c r="A190" s="6" t="inlineStr">
        <x:is>
          <x:t xml:space="preserve">300 x 1206 cm</x:t>
        </x:is>
      </x:c>
      <x:c r="B190" s="6" t="inlineStr">
        <x:is>
          <x:t xml:space="preserve">LEDCCT</x:t>
        </x:is>
      </x:c>
      <x:c r="C190" s="6" t="inlineStr">
        <x:is>
          <x:t xml:space="preserve">Oświetlenie LED CCT</x:t>
        </x:is>
      </x:c>
      <x:c r="D190" s="6" t="inlineStr">
        <x:is>
          <x:t xml:space="preserve">OŚWIETLENIE</x:t>
        </x:is>
      </x:c>
      <x:c r="E190" s="8" t="n">
        <x:f>IFERROR(INDEX('02_RAW_INDEX'!$R:$R,MATCH($A190,'02_RAW_INDEX'!$A:$A,0)),"")</x:f>
        <x:v>2070</x:v>
      </x:c>
      <x:c r="F190" s="8" t="n">
        <x:f>IFERROR(INDEX('02_RAW_INDEX'!$Q:$Q,MATCH($A190,'02_RAW_INDEX'!$A:$A,0)),"")</x:f>
        <x:v>2546</x:v>
      </x:c>
      <x:c r="G190" s="7" t="n">
        <x:f>'01_Ustawienia'!$B$6</x:f>
        <x:v>0</x:v>
      </x:c>
      <x:c r="H190" s="8" t="n">
        <x:f>IF(E190="","",ROUND(IF('01_Ustawienia'!$B$5="BRUTTO",F190,E190)*(1-G190),0))</x:f>
        <x:v>2070</x:v>
      </x:c>
      <x:c r="I190" s="7" t="n">
        <x:f>IFERROR(IFERROR(INDEX('01_Ustawienia'!$B$15:$B$33,MATCH(B190,'01_Ustawienia'!$A$15:$A$33,0)),0.45),0.45)</x:f>
        <x:v>0.45</x:v>
      </x:c>
      <x:c r="J190" s="8" t="n">
        <x:f>IF(H190="","",ROUND(H190*(1+I190),0))</x:f>
        <x:v>3002</x:v>
      </x:c>
      <x:c r="K190" s="8" t="n">
        <x:f>0</x:f>
        <x:v>0</x:v>
      </x:c>
      <x:c r="L190" s="8" t="n">
        <x:f>0</x:f>
        <x:v>0</x:v>
      </x:c>
      <x:c r="M190" s="7" t="n">
        <x:f>IF('01_Ustawienia'!$B$4="ZWOLNIONY",0,'01_Ustawienia'!$B$7)</x:f>
        <x:v>0.08</x:v>
      </x:c>
      <x:c r="N190" s="8" t="n">
        <x:f>IF(J190="","",ROUND((J190+K190)*(1+M190),0))</x:f>
        <x:v>3242</x:v>
      </x:c>
      <x:c r="O190" s="8" t="n">
        <x:f>IF(J190="","",J190+K190-H190-L190)</x:f>
        <x:v>932</x:v>
      </x:c>
      <x:c r="P190" s="7" t="n">
        <x:f>IFERROR(O190/(J190+K190),"")</x:f>
        <x:v>0.3104596935376416</x:v>
      </x:c>
      <x:c r="Q190" s="6" t="inlineStr">
        <x:is>
          <x:t xml:space="preserve">RAW_ZP T/U</x:t>
        </x:is>
      </x:c>
      <x:c r="R190" s="6" t="inlineStr">
        <x:is>
          <x:t xml:space="preserve">OŚWIETLENIE</x:t>
        </x:is>
      </x:c>
      <x:c r="S190" s="6" t="inlineStr">
        <x:is>
          <x:t xml:space="preserve">website+crm</x:t>
        </x:is>
      </x:c>
      <x:c r="T190" s="6" t="inlineStr">
        <x:is>
          <x:t xml:space="preserve">Opcja dodatkowa | FIX17: opcja LED dostępna dla strony; ceny 450-600 wg modelu FIX15.</x:t>
        </x:is>
      </x:c>
    </x:row>
    <x:row r="191">
      <x:c r="A191" s="6" t="inlineStr">
        <x:is>
          <x:t xml:space="preserve">300 x 1206 cm</x:t>
        </x:is>
      </x:c>
      <x:c r="B191" s="6" t="inlineStr">
        <x:is>
          <x:t xml:space="preserve">LEDRGBCCT</x:t>
        </x:is>
      </x:c>
      <x:c r="C191" s="6" t="inlineStr">
        <x:is>
          <x:t xml:space="preserve">Oświetlenie LED RGB CCT</x:t>
        </x:is>
      </x:c>
      <x:c r="D191" s="6" t="inlineStr">
        <x:is>
          <x:t xml:space="preserve">OŚWIETLENIE</x:t>
        </x:is>
      </x:c>
      <x:c r="E191" s="8" t="n">
        <x:f>IFERROR(INDEX('02_RAW_INDEX'!$T:$T,MATCH($A191,'02_RAW_INDEX'!$A:$A,0)),"")</x:f>
        <x:v>3080</x:v>
      </x:c>
      <x:c r="F191" s="8" t="n">
        <x:f>IFERROR(INDEX('02_RAW_INDEX'!$S:$S,MATCH($A191,'02_RAW_INDEX'!$A:$A,0)),"")</x:f>
        <x:v>3788</x:v>
      </x:c>
      <x:c r="G191" s="7" t="n">
        <x:f>'01_Ustawienia'!$B$6</x:f>
        <x:v>0</x:v>
      </x:c>
      <x:c r="H191" s="8" t="n">
        <x:f>IF(E191="","",ROUND(IF('01_Ustawienia'!$B$5="BRUTTO",F191,E191)*(1-G191),0))</x:f>
        <x:v>3080</x:v>
      </x:c>
      <x:c r="I191" s="7" t="n">
        <x:f>IFERROR(IFERROR(INDEX('01_Ustawienia'!$B$15:$B$33,MATCH(B191,'01_Ustawienia'!$A$15:$A$33,0)),0.45),0.45)</x:f>
        <x:v>0.45</x:v>
      </x:c>
      <x:c r="J191" s="8" t="n">
        <x:f>IF(H191="","",ROUND(H191*(1+I191),0))</x:f>
        <x:v>4466</x:v>
      </x:c>
      <x:c r="K191" s="8" t="n">
        <x:f>0</x:f>
        <x:v>0</x:v>
      </x:c>
      <x:c r="L191" s="8" t="n">
        <x:f>0</x:f>
        <x:v>0</x:v>
      </x:c>
      <x:c r="M191" s="7" t="n">
        <x:f>IF('01_Ustawienia'!$B$4="ZWOLNIONY",0,'01_Ustawienia'!$B$7)</x:f>
        <x:v>0.08</x:v>
      </x:c>
      <x:c r="N191" s="8" t="n">
        <x:f>IF(J191="","",ROUND((J191+K191)*(1+M191),0))</x:f>
        <x:v>4823</x:v>
      </x:c>
      <x:c r="O191" s="8" t="n">
        <x:f>IF(J191="","",J191+K191-H191-L191)</x:f>
        <x:v>1386</x:v>
      </x:c>
      <x:c r="P191" s="7" t="n">
        <x:f>IFERROR(O191/(J191+K191),"")</x:f>
        <x:v>0.3103448275862069</x:v>
      </x:c>
      <x:c r="Q191" s="6" t="inlineStr">
        <x:is>
          <x:t xml:space="preserve">RAW_ZP V/W</x:t>
        </x:is>
      </x:c>
      <x:c r="R191" s="6" t="inlineStr">
        <x:is>
          <x:t xml:space="preserve">OŚWIETLENIE</x:t>
        </x:is>
      </x:c>
      <x:c r="S191" s="6" t="inlineStr">
        <x:is>
          <x:t xml:space="preserve">crm_only</x:t>
        </x:is>
      </x:c>
      <x:c r="T191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192" s="655" customFormat="1" ht="30" customHeight="1">
      <x:c r="A192" s="6" t="inlineStr">
        <x:is>
          <x:t xml:space="preserve">350 x 306 cm</x:t>
        </x:is>
      </x:c>
      <x:c r="B192" s="6" t="inlineStr">
        <x:is>
          <x:t xml:space="preserve">ZP</x:t>
        </x:is>
      </x:c>
      <x:c r="C192" s="6" t="inlineStr">
        <x:is>
          <x:t xml:space="preserve">Zadaszenie poliwęglan - baza</x:t>
        </x:is>
      </x:c>
      <x:c r="D192" s="6" t="inlineStr">
        <x:is>
          <x:t xml:space="preserve">ZADASZENIE POLIWĘGLAN</x:t>
        </x:is>
      </x:c>
      <x:c r="E192" s="8" t="n">
        <x:f>IFERROR(INDEX('02_RAW_INDEX'!$D:$D,MATCH($A192,'02_RAW_INDEX'!$A:$A,0)),"")</x:f>
        <x:v>3528</x:v>
      </x:c>
      <x:c r="F192" s="8" t="n">
        <x:f>IFERROR(INDEX('02_RAW_INDEX'!$C:$C,MATCH($A192,'02_RAW_INDEX'!$A:$A,0)),"")</x:f>
        <x:v>4340</x:v>
      </x:c>
      <x:c r="G192" s="7" t="n">
        <x:f>'01_Ustawienia'!$B$6</x:f>
        <x:v>0</x:v>
      </x:c>
      <x:c r="H192" s="8" t="n">
        <x:f>IF(E192="","",ROUND(IF('01_Ustawienia'!$B$5="BRUTTO",F192,E192)*(1-G192),0))</x:f>
        <x:v>3528</x:v>
      </x:c>
      <x:c r="I192" s="7" t="n">
        <x:f>IFERROR(IFERROR(INDEX('01_Ustawienia'!$B$15:$B$33,MATCH(B192,'01_Ustawienia'!$A$15:$A$33,0)),0.45),0.45)</x:f>
        <x:v>0.45</x:v>
      </x:c>
      <x:c r="J192" s="8" t="n">
        <x:f>IF(H192="","",ROUND(H192*(1+I192),0))</x:f>
        <x:v>5116</x:v>
      </x:c>
      <x:c r="K192" s="8" t="n">
        <x:f>IFERROR(IFERROR(INDEX(EG_Cennik_uslug!$F:$F,MATCH($A192,EG_Cennik_uslug!$A:$A,0)),0),0)</x:f>
        <x:v>2640</x:v>
      </x:c>
      <x:c r="L192" s="8" t="n">
        <x:f>IFERROR(IFERROR(INDEX(EG_Cennik_uslug!$G:$G,MATCH($A192,EG_Cennik_uslug!$A:$A,0)),0),0)</x:f>
        <x:v>770</x:v>
      </x:c>
      <x:c r="M192" s="7" t="n">
        <x:f>IF('01_Ustawienia'!$B$4="ZWOLNIONY",0,'01_Ustawienia'!$B$7)</x:f>
        <x:v>0.08</x:v>
      </x:c>
      <x:c r="N192" s="8" t="n">
        <x:f>IF(J192="","",ROUND((J192+K192)*(1+M192),0))</x:f>
        <x:v>8376</x:v>
      </x:c>
      <x:c r="O192" s="8" t="n">
        <x:f>IF(J192="","",J192+K192-H192-L192)</x:f>
        <x:v>3458</x:v>
      </x:c>
      <x:c r="P192" s="7" t="n">
        <x:f>IFERROR(O192/(J192+K192),"")</x:f>
        <x:v>0.44584837545126355</x:v>
      </x:c>
      <x:c r="Q192" s="6" t="inlineStr">
        <x:is>
          <x:t xml:space="preserve">RAW_ZP B/C</x:t>
        </x:is>
      </x:c>
      <x:c r="R192" s="6" t="inlineStr">
        <x:is>
          <x:t xml:space="preserve">ZADASZENIE TARASU KONSTRUKCJA</x:t>
        </x:is>
      </x:c>
      <x:c r="S192" s="6" t="inlineStr">
        <x:is>
          <x:t xml:space="preserve">website+crm</x:t>
        </x:is>
      </x:c>
      <x:c r="T192" s="6" t="inlineStr">
        <x:is>
          <x:t xml:space="preserve">Baza dla kalkulatora</x:t>
        </x:is>
      </x:c>
    </x:row>
    <x:row r="193" s="655" customFormat="1" ht="30" customHeight="1">
      <x:c r="A193" s="6" t="inlineStr">
        <x:is>
          <x:t xml:space="preserve">350 x 306 cm</x:t>
        </x:is>
      </x:c>
      <x:c r="B193" s="6" t="inlineStr">
        <x:is>
          <x:t xml:space="preserve">ZS</x:t>
        </x:is>
      </x:c>
      <x:c r="C193" s="6" t="inlineStr">
        <x:is>
          <x:t xml:space="preserve">Zadaszenie szkło - pełna konstrukcja</x:t>
        </x:is>
      </x:c>
      <x:c r="D193" s="6" t="inlineStr">
        <x:is>
          <x:t xml:space="preserve">ZADASZENIE SZKŁO</x:t>
        </x:is>
      </x:c>
      <x:c r="E193" s="8" t="n">
        <x:f>IFERROR(INDEX('02_RAW_INDEX'!$V:$V,MATCH($A193,'02_RAW_INDEX'!$A:$A,0)),"")</x:f>
        <x:v>5382</x:v>
      </x:c>
      <x:c r="F193" s="8" t="n">
        <x:f>IFERROR(INDEX('02_RAW_INDEX'!$U:$U,MATCH($A193,'02_RAW_INDEX'!$A:$A,0)),"")</x:f>
        <x:v>6620</x:v>
      </x:c>
      <x:c r="G193" s="7" t="n">
        <x:f>'01_Ustawienia'!$B$6</x:f>
        <x:v>0</x:v>
      </x:c>
      <x:c r="H193" s="8" t="n">
        <x:f>IF(E193="","",ROUND(IF('01_Ustawienia'!$B$5="BRUTTO",F193,E193)*(1-G193),0))</x:f>
        <x:v>5382</x:v>
      </x:c>
      <x:c r="I193" s="7" t="n">
        <x:f>IFERROR(IFERROR(INDEX('01_Ustawienia'!$B$15:$B$33,MATCH(B193,'01_Ustawienia'!$A$15:$A$33,0)),0.45),0.45)</x:f>
        <x:v>0.45</x:v>
      </x:c>
      <x:c r="J193" s="8" t="n">
        <x:f>IF(H193="","",ROUND(H193*(1+I193),0))</x:f>
        <x:v>7804</x:v>
      </x:c>
      <x:c r="K193" s="8" t="n">
        <x:f>IFERROR(IFERROR(INDEX(EG_Cennik_uslug!$F:$F,MATCH($A193,EG_Cennik_uslug!$A:$A,0)),0),0)</x:f>
        <x:v>2640</x:v>
      </x:c>
      <x:c r="L193" s="8" t="n">
        <x:f>IFERROR(IFERROR(INDEX(EG_Cennik_uslug!$G:$G,MATCH($A193,EG_Cennik_uslug!$A:$A,0)),0),0)</x:f>
        <x:v>770</x:v>
      </x:c>
      <x:c r="M193" s="7" t="n">
        <x:f>IF('01_Ustawienia'!$B$4="ZWOLNIONY",0,'01_Ustawienia'!$B$7)</x:f>
        <x:v>0.08</x:v>
      </x:c>
      <x:c r="N193" s="8" t="n">
        <x:f>IF(J193="","",ROUND((J193+K193)*(1+M193),0))</x:f>
        <x:v>11280</x:v>
      </x:c>
      <x:c r="O193" s="8" t="n">
        <x:f>IF(J193="","",J193+K193-H193-L193)</x:f>
        <x:v>4292</x:v>
      </x:c>
      <x:c r="P193" s="7" t="n">
        <x:f>IFERROR(O193/(J193+K193),"")</x:f>
        <x:v>0.4109536576024512</x:v>
      </x:c>
      <x:c r="Q193" s="6" t="inlineStr">
        <x:is>
          <x:t xml:space="preserve">RAW_ZS B/C</x:t>
        </x:is>
      </x:c>
      <x:c r="R193" s="6" t="inlineStr">
        <x:is>
          <x:t xml:space="preserve">ZADASZENIE TARASU KONSTRUKCJA</x:t>
        </x:is>
      </x:c>
      <x:c r="S193" s="6" t="inlineStr">
        <x:is>
          <x:t xml:space="preserve">crm_only</x:t>
        </x:is>
      </x:c>
      <x:c r="T193" s="6" t="inlineStr">
        <x:is>
          <x:t xml:space="preserve">Referencyjne/full; strona zwykle używa ZP + PDS</x:t>
        </x:is>
      </x:c>
    </x:row>
    <x:row r="194" s="655" customFormat="1" ht="30" customHeight="1">
      <x:c r="A194" s="6" t="inlineStr">
        <x:is>
          <x:t xml:space="preserve">350 x 306 cm</x:t>
        </x:is>
      </x:c>
      <x:c r="B194" s="6" t="inlineStr">
        <x:is>
          <x:t xml:space="preserve">OP</x:t>
        </x:is>
      </x:c>
      <x:c r="C194" s="6" t="inlineStr">
        <x:is>
          <x:t xml:space="preserve">Ogród zimowy poliwęglan - baza</x:t>
        </x:is>
      </x:c>
      <x:c r="D194" s="6" t="inlineStr">
        <x:is>
          <x:t xml:space="preserve">OGRODY POLIWĘGLAN</x:t>
        </x:is>
      </x:c>
      <x:c r="E194" s="8" t="n">
        <x:f>IFERROR(INDEX('02_RAW_INDEX'!$Z:$Z,MATCH($A194,'02_RAW_INDEX'!$A:$A,0)),"")</x:f>
        <x:v>13439</x:v>
      </x:c>
      <x:c r="F194" s="8" t="n">
        <x:f>IFERROR(INDEX('02_RAW_INDEX'!$Y:$Y,MATCH($A194,'02_RAW_INDEX'!$A:$A,0)),"")</x:f>
        <x:v>16530</x:v>
      </x:c>
      <x:c r="G194" s="7" t="n">
        <x:f>'01_Ustawienia'!$B$6</x:f>
        <x:v>0</x:v>
      </x:c>
      <x:c r="H194" s="8" t="n">
        <x:f>IF(E194="","",ROUND(IF('01_Ustawienia'!$B$5="BRUTTO",F194,E194)*(1-G194),0))</x:f>
        <x:v>13439</x:v>
      </x:c>
      <x:c r="I194" s="7" t="n">
        <x:f>IFERROR(IFERROR(INDEX('01_Ustawienia'!$B$15:$B$33,MATCH(B194,'01_Ustawienia'!$A$15:$A$33,0)),0.45),0.45)</x:f>
        <x:v>0.45</x:v>
      </x:c>
      <x:c r="J194" s="8" t="n">
        <x:f>IF(H194="","",ROUND(H194*(1+I194),0))</x:f>
        <x:v>19487</x:v>
      </x:c>
      <x:c r="K194" s="8" t="n">
        <x:f>IFERROR(IFERROR(INDEX(EG_Cennik_uslug!$N:$N,MATCH($A194,EG_Cennik_uslug!$A:$A,0)),0),0)</x:f>
        <x:v>3650</x:v>
      </x:c>
      <x:c r="L194" s="8" t="n">
        <x:f>IFERROR(IFERROR(INDEX(EG_Cennik_uslug!$O:$O,MATCH($A194,EG_Cennik_uslug!$A:$A,0)),0),0)</x:f>
        <x:v>1080</x:v>
      </x:c>
      <x:c r="M194" s="7" t="n">
        <x:f>IF('01_Ustawienia'!$B$4="ZWOLNIONY",0,'01_Ustawienia'!$B$7)</x:f>
        <x:v>0.08</x:v>
      </x:c>
      <x:c r="N194" s="8" t="n">
        <x:f>IF(J194="","",ROUND((J194+K194)*(1+M194),0))</x:f>
        <x:v>24988</x:v>
      </x:c>
      <x:c r="O194" s="8" t="n">
        <x:f>IF(J194="","",J194+K194-H194-L194)</x:f>
        <x:v>8618</x:v>
      </x:c>
      <x:c r="P194" s="7" t="n">
        <x:f>IFERROR(O194/(J194+K194),"")</x:f>
        <x:v>0.3724769849159355</x:v>
      </x:c>
      <x:c r="Q194" s="6" t="inlineStr">
        <x:is>
          <x:t xml:space="preserve">RAW_OP B/C</x:t>
        </x:is>
      </x:c>
      <x:c r="R194" s="6" t="inlineStr">
        <x:is>
          <x:t xml:space="preserve">OGRÓD ZIMOWY (KONSTRUKCJA)</x:t>
        </x:is>
      </x:c>
      <x:c r="S194" s="6" t="inlineStr">
        <x:is>
          <x:t xml:space="preserve">website+crm</x:t>
        </x:is>
      </x:c>
      <x:c r="T194" s="6" t="inlineStr">
        <x:is>
          <x:t xml:space="preserve">Do wyliczenia dopłaty za ściany</x:t>
        </x:is>
      </x:c>
    </x:row>
    <x:row r="195" s="655" customFormat="1" ht="30" customHeight="1">
      <x:c r="A195" s="6" t="inlineStr">
        <x:is>
          <x:t xml:space="preserve">350 x 306 cm</x:t>
        </x:is>
      </x:c>
      <x:c r="B195" s="6" t="inlineStr">
        <x:is>
          <x:t xml:space="preserve">OS</x:t>
        </x:is>
      </x:c>
      <x:c r="C195" s="6" t="inlineStr">
        <x:is>
          <x:t xml:space="preserve">Ogród zimowy szkło - pełna konstrukcja</x:t>
        </x:is>
      </x:c>
      <x:c r="D195" s="6" t="inlineStr">
        <x:is>
          <x:t xml:space="preserve">OGRODY SZKŁO</x:t>
        </x:is>
      </x:c>
      <x:c r="E195" s="8" t="n">
        <x:f>IFERROR(INDEX('02_RAW_INDEX'!$AL:$AL,MATCH($A195,'02_RAW_INDEX'!$A:$A,0)),"")</x:f>
        <x:v>15293</x:v>
      </x:c>
      <x:c r="F195" s="8" t="n">
        <x:f>IFERROR(INDEX('02_RAW_INDEX'!$AK:$AK,MATCH($A195,'02_RAW_INDEX'!$A:$A,0)),"")</x:f>
        <x:v>18810</x:v>
      </x:c>
      <x:c r="G195" s="7" t="n">
        <x:f>'01_Ustawienia'!$B$6</x:f>
        <x:v>0</x:v>
      </x:c>
      <x:c r="H195" s="8" t="n">
        <x:f>IF(E195="","",ROUND(IF('01_Ustawienia'!$B$5="BRUTTO",F195,E195)*(1-G195),0))</x:f>
        <x:v>15293</x:v>
      </x:c>
      <x:c r="I195" s="7" t="n">
        <x:f>IFERROR(IFERROR(INDEX('01_Ustawienia'!$B$15:$B$33,MATCH(B195,'01_Ustawienia'!$A$15:$A$33,0)),0.45),0.45)</x:f>
        <x:v>0.45</x:v>
      </x:c>
      <x:c r="J195" s="8" t="n">
        <x:f>IF(H195="","",ROUND(H195*(1+I195),0))</x:f>
        <x:v>22175</x:v>
      </x:c>
      <x:c r="K195" s="8" t="n">
        <x:f>IFERROR(IFERROR(INDEX(EG_Cennik_uslug!$N:$N,MATCH($A195,EG_Cennik_uslug!$A:$A,0)),0),0)</x:f>
        <x:v>3650</x:v>
      </x:c>
      <x:c r="L195" s="8" t="n">
        <x:f>IFERROR(IFERROR(INDEX(EG_Cennik_uslug!$O:$O,MATCH($A195,EG_Cennik_uslug!$A:$A,0)),0),0)</x:f>
        <x:v>1080</x:v>
      </x:c>
      <x:c r="M195" s="7" t="n">
        <x:f>IF('01_Ustawienia'!$B$4="ZWOLNIONY",0,'01_Ustawienia'!$B$7)</x:f>
        <x:v>0.08</x:v>
      </x:c>
      <x:c r="N195" s="8" t="n">
        <x:f>IF(J195="","",ROUND((J195+K195)*(1+M195),0))</x:f>
        <x:v>27891</x:v>
      </x:c>
      <x:c r="O195" s="8" t="n">
        <x:f>IF(J195="","",J195+K195-H195-L195)</x:f>
        <x:v>9452</x:v>
      </x:c>
      <x:c r="P195" s="7" t="n">
        <x:f>IFERROR(O195/(J195+K195),"")</x:f>
        <x:v>0.3660019361084221</x:v>
      </x:c>
      <x:c r="Q195" s="6" t="inlineStr">
        <x:is>
          <x:t xml:space="preserve">RAW_OS B/C</x:t>
        </x:is>
      </x:c>
      <x:c r="R195" s="6" t="inlineStr">
        <x:is>
          <x:t xml:space="preserve">OGRÓD ZIMOWY (KONSTRUKCJA)</x:t>
        </x:is>
      </x:c>
      <x:c r="S195" s="6" t="inlineStr">
        <x:is>
          <x:t xml:space="preserve">crm_only</x:t>
        </x:is>
      </x:c>
      <x:c r="T195" s="6" t="inlineStr">
        <x:is>
          <x:t xml:space="preserve">Referencyjne/full</x:t>
        </x:is>
      </x:c>
    </x:row>
    <x:row r="196" s="655" customFormat="1" ht="30" customHeight="1">
      <x:c r="A196" s="6" t="inlineStr">
        <x:is>
          <x:t xml:space="preserve">350 x 306 cm</x:t>
        </x:is>
      </x:c>
      <x:c r="B196" s="6" t="inlineStr">
        <x:is>
          <x:t xml:space="preserve">PDS</x:t>
        </x:is>
      </x:c>
      <x:c r="C196" s="6" t="inlineStr">
        <x:is>
          <x:t xml:space="preserve">Dopłata dach szkło przezroczyste</x:t>
        </x:is>
      </x:c>
      <x:c r="D196" s="6" t="inlineStr">
        <x:is>
          <x:t xml:space="preserve">POKRYCIE DACHU SZKŁO</x:t>
        </x:is>
      </x:c>
      <x:c r="E196" s="8" t="n">
        <x:f>IFERROR(IFERROR(INDEX('02_RAW_INDEX'!$V:$V,MATCH($A196,'02_RAW_INDEX'!$A:$A,0)),"")-IFERROR(INDEX('02_RAW_INDEX'!$D:$D,MATCH($A196,'02_RAW_INDEX'!$A:$A,0)),""),"")</x:f>
        <x:v>1854</x:v>
      </x:c>
      <x:c r="F196" s="8" t="n">
        <x:f>IFERROR(IFERROR(INDEX('02_RAW_INDEX'!$U:$U,MATCH($A196,'02_RAW_INDEX'!$A:$A,0)),"")-IFERROR(INDEX('02_RAW_INDEX'!$C:$C,MATCH($A196,'02_RAW_INDEX'!$A:$A,0)),""),"")</x:f>
        <x:v>2280</x:v>
      </x:c>
      <x:c r="G196" s="7" t="n">
        <x:f>'01_Ustawienia'!$B$6</x:f>
        <x:v>0</x:v>
      </x:c>
      <x:c r="H196" s="8" t="n">
        <x:f>IF(E196="","",ROUND(IF('01_Ustawienia'!$B$5="BRUTTO",F196,E196)*(1-G196),0))</x:f>
        <x:v>1854</x:v>
      </x:c>
      <x:c r="I196" s="7" t="n">
        <x:f>IFERROR(IFERROR(INDEX('01_Ustawienia'!$B$15:$B$33,MATCH(B196,'01_Ustawienia'!$A$15:$A$33,0)),0.45),0.45)</x:f>
        <x:v>0.45</x:v>
      </x:c>
      <x:c r="J196" s="8" t="n">
        <x:f>IF(H196="","",ROUND(H196*(1+I196),0))</x:f>
        <x:v>2688</x:v>
      </x:c>
      <x:c r="K196" s="8" t="n">
        <x:f>0</x:f>
        <x:v>0</x:v>
      </x:c>
      <x:c r="L196" s="8" t="n">
        <x:v>0</x:v>
      </x:c>
      <x:c r="M196" s="7" t="n">
        <x:f>IF('01_Ustawienia'!$B$4="ZWOLNIONY",0,'01_Ustawienia'!$B$7)</x:f>
        <x:v>0.08</x:v>
      </x:c>
      <x:c r="N196" s="8" t="n">
        <x:f>IF(J196="","",ROUND((J196+K196)*(1+M196),0))</x:f>
        <x:v>2903</x:v>
      </x:c>
      <x:c r="O196" s="8" t="n">
        <x:f>IF(J196="","",J196+K196-H196-L196)</x:f>
        <x:v>834</x:v>
      </x:c>
      <x:c r="P196" s="7" t="n">
        <x:f>IFERROR(O196/(J196+K196),"")</x:f>
        <x:v>0.31026785714285715</x:v>
      </x:c>
      <x:c r="Q196" s="6" t="inlineStr">
        <x:is>
          <x:t xml:space="preserve">RAW_ZS - RAW_ZP</x:t>
        </x:is>
      </x:c>
      <x:c r="R196" s="6" t="inlineStr">
        <x:is>
          <x:t xml:space="preserve">POKRYCIE DACHU</x:t>
        </x:is>
      </x:c>
      <x:c r="S196" s="6" t="inlineStr">
        <x:is>
          <x:t xml:space="preserve">website+crm</x:t>
        </x:is>
      </x:c>
      <x:c r="T196" s="6" t="inlineStr">
        <x:is>
          <x:t xml:space="preserve">Dopłata do bazowego dachu poliwęglan | FIX17: Wynagr.+koszty = 0 dla dopłaty; nie jest osobnym montażem ekipy.</x:t>
        </x:is>
      </x:c>
    </x:row>
    <x:row r="197" s="655" customFormat="1" ht="30" customHeight="1">
      <x:c r="A197" s="6" t="inlineStr">
        <x:is>
          <x:t xml:space="preserve">350 x 306 cm</x:t>
        </x:is>
      </x:c>
      <x:c r="B197" s="6" t="inlineStr">
        <x:is>
          <x:t xml:space="preserve">PDSB</x:t>
        </x:is>
      </x:c>
      <x:c r="C197" s="6" t="inlineStr">
        <x:is>
          <x:t xml:space="preserve">Dopłata dach szkło barwione/mleczne</x:t>
        </x:is>
      </x:c>
      <x:c r="D197" s="6" t="inlineStr">
        <x:is>
          <x:t xml:space="preserve">POKRYCIE DACHU SZKŁO BARWIONE</x:t>
        </x:is>
      </x:c>
      <x:c r="E197" s="8" t="n">
        <x:f>IFERROR(INDEX('02_RAW_INDEX'!$X:$X,MATCH($A197,'02_RAW_INDEX'!$A:$A,0)),"")</x:f>
        <x:v>276</x:v>
      </x:c>
      <x:c r="F197" s="8" t="n">
        <x:f>IFERROR(INDEX('02_RAW_INDEX'!$W:$W,MATCH($A197,'02_RAW_INDEX'!$A:$A,0)),"")</x:f>
        <x:v>340</x:v>
      </x:c>
      <x:c r="G197" s="7" t="n">
        <x:f>'01_Ustawienia'!$B$6</x:f>
        <x:v>0</x:v>
      </x:c>
      <x:c r="H197" s="8" t="n">
        <x:f>IF(E197="","",ROUND(IF('01_Ustawienia'!$B$5="BRUTTO",F197,E197)*(1-G197),0))</x:f>
        <x:v>276</x:v>
      </x:c>
      <x:c r="I197" s="7" t="n">
        <x:f>IFERROR(IFERROR(INDEX('01_Ustawienia'!$B$15:$B$33,MATCH(B197,'01_Ustawienia'!$A$15:$A$33,0)),0.45),0.45)</x:f>
        <x:v>0.45</x:v>
      </x:c>
      <x:c r="J197" s="8" t="n">
        <x:f>IF(H197="","",ROUND(H197*(1+I197),0))</x:f>
        <x:v>400</x:v>
      </x:c>
      <x:c r="K197" s="8" t="n">
        <x:f>0</x:f>
        <x:v>0</x:v>
      </x:c>
      <x:c r="L197" s="8" t="n">
        <x:v>0</x:v>
      </x:c>
      <x:c r="M197" s="7" t="n">
        <x:f>IF('01_Ustawienia'!$B$4="ZWOLNIONY",0,'01_Ustawienia'!$B$7)</x:f>
        <x:v>0.08</x:v>
      </x:c>
      <x:c r="N197" s="8" t="n">
        <x:f>IF(J197="","",ROUND((J197+K197)*(1+M197),0))</x:f>
        <x:v>432</x:v>
      </x:c>
      <x:c r="O197" s="8" t="n">
        <x:f>IF(J197="","",J197+K197-H197-L197)</x:f>
        <x:v>124</x:v>
      </x:c>
      <x:c r="P197" s="7" t="n">
        <x:f>IFERROR(O197/(J197+K197),"")</x:f>
        <x:v>0.31</x:v>
      </x:c>
      <x:c r="Q197" s="6" t="inlineStr">
        <x:is>
          <x:t xml:space="preserve">RAW_ZS D/E</x:t>
        </x:is>
      </x:c>
      <x:c r="R197" s="6" t="inlineStr">
        <x:is>
          <x:t xml:space="preserve">POKRYCIE DACHU</x:t>
        </x:is>
      </x:c>
      <x:c r="S197" s="6" t="inlineStr">
        <x:is>
          <x:t xml:space="preserve">website+crm</x:t>
        </x:is>
      </x:c>
      <x:c r="T197" s="6" t="inlineStr">
        <x:is>
          <x:t xml:space="preserve">Dodawane do PDS | FIX17: Wynagr.+koszty = 0 dla dopłaty; nie jest osobnym montażem ekipy.</x:t>
        </x:is>
      </x:c>
    </x:row>
    <x:row r="198" s="655" customFormat="1" ht="30" customHeight="1">
      <x:c r="A198" s="6" t="inlineStr">
        <x:is>
          <x:t xml:space="preserve">350 x 306 cm</x:t>
        </x:is>
      </x:c>
      <x:c r="B198" s="6" t="inlineStr">
        <x:is>
          <x:t xml:space="preserve">PDPB</x:t>
        </x:is>
      </x:c>
      <x:c r="C198" s="6" t="inlineStr">
        <x:is>
          <x:t xml:space="preserve">Dopłata poliwęglan barwiony</x:t>
        </x:is>
      </x:c>
      <x:c r="D198" s="6" t="inlineStr">
        <x:is>
          <x:t xml:space="preserve">POKRYCIE DACHU POLIWĘGLAN BARWIONY</x:t>
        </x:is>
      </x:c>
      <x:c r="E198" s="8" t="n">
        <x:f>IFERROR(INDEX('02_RAW_INDEX'!$F:$F,MATCH($A198,'02_RAW_INDEX'!$A:$A,0)),"")</x:f>
        <x:v>122</x:v>
      </x:c>
      <x:c r="F198" s="8" t="n">
        <x:f>IFERROR(INDEX('02_RAW_INDEX'!$E:$E,MATCH($A198,'02_RAW_INDEX'!$A:$A,0)),"")</x:f>
        <x:v>150</x:v>
      </x:c>
      <x:c r="G198" s="7" t="n">
        <x:f>'01_Ustawienia'!$B$6</x:f>
        <x:v>0</x:v>
      </x:c>
      <x:c r="H198" s="8" t="n">
        <x:f>IF(E198="","",ROUND(IF('01_Ustawienia'!$B$5="BRUTTO",F198,E198)*(1-G198),0))</x:f>
        <x:v>122</x:v>
      </x:c>
      <x:c r="I198" s="7" t="n">
        <x:f>IFERROR(IFERROR(INDEX('01_Ustawienia'!$B$15:$B$33,MATCH(B198,'01_Ustawienia'!$A$15:$A$33,0)),0.45),0.45)</x:f>
        <x:v>0.45</x:v>
      </x:c>
      <x:c r="J198" s="8" t="n">
        <x:f>IF(H198="","",ROUND(H198*(1+I198),0))</x:f>
        <x:v>177</x:v>
      </x:c>
      <x:c r="K198" s="8" t="n">
        <x:f>0</x:f>
        <x:v>0</x:v>
      </x:c>
      <x:c r="L198" s="8" t="n">
        <x:v>0</x:v>
      </x:c>
      <x:c r="M198" s="7" t="n">
        <x:f>IF('01_Ustawienia'!$B$4="ZWOLNIONY",0,'01_Ustawienia'!$B$7)</x:f>
        <x:v>0.08</x:v>
      </x:c>
      <x:c r="N198" s="8" t="n">
        <x:f>IF(J198="","",ROUND((J198+K198)*(1+M198),0))</x:f>
        <x:v>191</x:v>
      </x:c>
      <x:c r="O198" s="8" t="n">
        <x:f>IF(J198="","",J198+K198-H198-L198)</x:f>
        <x:v>55</x:v>
      </x:c>
      <x:c r="P198" s="7" t="n">
        <x:f>IFERROR(O198/(J198+K198),"")</x:f>
        <x:v>0.3107344632768362</x:v>
      </x:c>
      <x:c r="Q198" s="6" t="inlineStr">
        <x:is>
          <x:t xml:space="preserve">RAW_ZP D/E</x:t>
        </x:is>
      </x:c>
      <x:c r="R198" s="6" t="inlineStr">
        <x:is>
          <x:t xml:space="preserve">POKRYCIE DACHU</x:t>
        </x:is>
      </x:c>
      <x:c r="S198" s="6" t="inlineStr">
        <x:is>
          <x:t xml:space="preserve">website+crm</x:t>
        </x:is>
      </x:c>
      <x:c r="T198" s="6" t="inlineStr">
        <x:is>
          <x:t xml:space="preserve">FIX17: Wynagr.+koszty = 0 dla dopłaty; nie jest osobnym montażem ekipy.</x:t>
        </x:is>
      </x:c>
    </x:row>
    <x:row r="199" s="655" customFormat="1" ht="30" customHeight="1">
      <x:c r="A199" s="6" t="inlineStr">
        <x:is>
          <x:t xml:space="preserve">350 x 306 cm</x:t>
        </x:is>
      </x:c>
      <x:c r="B199" s="6" t="inlineStr">
        <x:is>
          <x:t xml:space="preserve">SBB</x:t>
        </x:is>
      </x:c>
      <x:c r="C199" s="6" t="inlineStr">
        <x:is>
          <x:t xml:space="preserve">Dopłata szkło boczne przyciemniane</x:t>
        </x:is>
      </x:c>
      <x:c r="D199" s="6" t="inlineStr">
        <x:is>
          <x:t xml:space="preserve">SZKŁO BOCZNE BARWIONE</x:t>
        </x:is>
      </x:c>
      <x:c r="E199" s="8" t="n">
        <x:f>IFERROR(INDEX('02_RAW_INDEX'!$AB:$AB,MATCH($A199,'02_RAW_INDEX'!$A:$A,0)),"")</x:f>
        <x:v>1073</x:v>
      </x:c>
      <x:c r="F199" s="8" t="n">
        <x:f>IFERROR(INDEX('02_RAW_INDEX'!$AA:$AA,MATCH($A199,'02_RAW_INDEX'!$A:$A,0)),"")</x:f>
        <x:v>1320</x:v>
      </x:c>
      <x:c r="G199" s="7" t="n">
        <x:f>'01_Ustawienia'!$B$6</x:f>
        <x:v>0</x:v>
      </x:c>
      <x:c r="H199" s="8" t="n">
        <x:f>IF(E199="","",ROUND(IF('01_Ustawienia'!$B$5="BRUTTO",F199,E199)*(1-G199),0))</x:f>
        <x:v>1073</x:v>
      </x:c>
      <x:c r="I199" s="7" t="n">
        <x:f>IFERROR(IFERROR(INDEX('01_Ustawienia'!$B$15:$B$33,MATCH(B199,'01_Ustawienia'!$A$15:$A$33,0)),0.45),0.45)</x:f>
        <x:v>0.45</x:v>
      </x:c>
      <x:c r="J199" s="8" t="n">
        <x:f>IF(H199="","",ROUND(H199*(1+I199),0))</x:f>
        <x:v>1556</x:v>
      </x:c>
      <x:c r="K199" s="8" t="n">
        <x:f>0</x:f>
        <x:v>0</x:v>
      </x:c>
      <x:c r="L199" s="8" t="n">
        <x:v>0</x:v>
      </x:c>
      <x:c r="M199" s="7" t="n">
        <x:f>IF('01_Ustawienia'!$B$4="ZWOLNIONY",0,'01_Ustawienia'!$B$7)</x:f>
        <x:v>0.08</x:v>
      </x:c>
      <x:c r="N199" s="8" t="n">
        <x:f>IF(J199="","",ROUND((J199+K199)*(1+M199),0))</x:f>
        <x:v>1680</x:v>
      </x:c>
      <x:c r="O199" s="8" t="n">
        <x:f>IF(J199="","",J199+K199-H199-L199)</x:f>
        <x:v>483</x:v>
      </x:c>
      <x:c r="P199" s="7" t="n">
        <x:f>IFERROR(O199/(J199+K199),"")</x:f>
        <x:v>0.31041131105398456</x:v>
      </x:c>
      <x:c r="Q199" s="6" t="inlineStr">
        <x:is>
          <x:t xml:space="preserve">RAW_OP H/I</x:t>
        </x:is>
      </x:c>
      <x:c r="R199" s="6" t="inlineStr">
        <x:is>
          <x:t xml:space="preserve">SZYBY BOCZNE</x:t>
        </x:is>
      </x:c>
      <x:c r="S199" s="6" t="inlineStr">
        <x:is>
          <x:t xml:space="preserve">website+crm</x:t>
        </x:is>
      </x:c>
      <x:c r="T199" s="6" t="inlineStr">
        <x:is>
          <x:t xml:space="preserve">Dodawane do ścian przezroczystych | FIX17: Wynagr.+koszty = 0 dla dopłaty; nie jest osobnym montażem ekipy.</x:t>
        </x:is>
      </x:c>
    </x:row>
    <x:row r="200">
      <x:c r="A200" s="6" t="inlineStr">
        <x:is>
          <x:t xml:space="preserve">350 x 306 cm</x:t>
        </x:is>
      </x:c>
      <x:c r="B200" s="6" t="inlineStr">
        <x:is>
          <x:t xml:space="preserve">RB</x:t>
        </x:is>
      </x:c>
      <x:c r="C200" s="6" t="inlineStr">
        <x:is>
          <x:t xml:space="preserve">Roleta boczna ZIP</x:t>
        </x:is>
      </x:c>
      <x:c r="D200" s="6" t="inlineStr">
        <x:is>
          <x:t xml:space="preserve">ROLETA BOCZNA</x:t>
        </x:is>
      </x:c>
      <x:c r="E200" s="8" t="n">
        <x:f>IFERROR(INDEX('02_RAW_INDEX'!$J:$J,MATCH($A200,'02_RAW_INDEX'!$A:$A,0)),"")</x:f>
        <x:v>1902</x:v>
      </x:c>
      <x:c r="F200" s="8" t="n">
        <x:f>IFERROR(INDEX('02_RAW_INDEX'!$I:$I,MATCH($A200,'02_RAW_INDEX'!$A:$A,0)),"")</x:f>
        <x:v>2340</x:v>
      </x:c>
      <x:c r="G200" s="7" t="n">
        <x:f>'01_Ustawienia'!$B$6</x:f>
        <x:v>0</x:v>
      </x:c>
      <x:c r="H200" s="8" t="n">
        <x:f>IF(E200="","",ROUND(IF('01_Ustawienia'!$B$5="BRUTTO",F200,E200)*(1-G200),0))</x:f>
        <x:v>1902</x:v>
      </x:c>
      <x:c r="I200" s="7" t="n">
        <x:f>IFERROR(IFERROR(INDEX('01_Ustawienia'!$B$15:$B$33,MATCH(B200,'01_Ustawienia'!$A$15:$A$33,0)),0.45),0.45)</x:f>
        <x:v>0.45</x:v>
      </x:c>
      <x:c r="J200" s="8" t="n">
        <x:f>IF(H200="","",ROUND(H200*(1+I200),0))</x:f>
        <x:v>2758</x:v>
      </x:c>
      <x:c r="K200" s="8" t="n">
        <x:f>0</x:f>
        <x:v>0</x:v>
      </x:c>
      <x:c r="L200" s="8" t="n">
        <x:f>IFERROR(IFERROR(INDEX(EG_Cennik_uslug!$AC:$AC,MATCH($A200,EG_Cennik_uslug!$A:$A,0)),0),0)</x:f>
        <x:v>150</x:v>
      </x:c>
      <x:c r="M200" s="7" t="n">
        <x:f>IF('01_Ustawienia'!$B$4="ZWOLNIONY",0,'01_Ustawienia'!$B$7)</x:f>
        <x:v>0.08</x:v>
      </x:c>
      <x:c r="N200" s="8" t="n">
        <x:f>IF(J200="","",ROUND((J200+K200)*(1+M200),0))</x:f>
        <x:v>2979</x:v>
      </x:c>
      <x:c r="O200" s="8" t="n">
        <x:f>IF(J200="","",J200+K200-H200-L200)</x:f>
        <x:v>706</x:v>
      </x:c>
      <x:c r="P200" s="7" t="n">
        <x:f>IFERROR(O200/(J200+K200),"")</x:f>
        <x:v>0.25598259608411894</x:v>
      </x:c>
      <x:c r="Q200" s="6" t="inlineStr">
        <x:is>
          <x:t xml:space="preserve">RAW_ZP J/K</x:t>
        </x:is>
      </x:c>
      <x:c r="R200" s="6" t="inlineStr">
        <x:is>
          <x:t xml:space="preserve">ROLETY BOCZNE</x:t>
        </x:is>
      </x:c>
      <x:c r="S200" s="6" t="inlineStr">
        <x:is>
          <x:t xml:space="preserve">website+crm</x:t>
        </x:is>
      </x:c>
      <x:c r="T200" s="6" t="inlineStr">
        <x:is>
          <x:t xml:space="preserve">Używana dla lewej i prawej</x:t>
        </x:is>
      </x:c>
    </x:row>
    <x:row r="201">
      <x:c r="A201" s="6" t="inlineStr">
        <x:is>
          <x:t xml:space="preserve">350 x 306 cm</x:t>
        </x:is>
      </x:c>
      <x:c r="B201" s="6" t="inlineStr">
        <x:is>
          <x:t xml:space="preserve">RP</x:t>
        </x:is>
      </x:c>
      <x:c r="C201" s="6" t="inlineStr">
        <x:is>
          <x:t xml:space="preserve">Roleta przednia ZIP</x:t>
        </x:is>
      </x:c>
      <x:c r="D201" s="6" t="inlineStr">
        <x:is>
          <x:t xml:space="preserve">ROLETA PRZÓD</x:t>
        </x:is>
      </x:c>
      <x:c r="E201" s="8" t="n">
        <x:f>IFERROR(INDEX('02_RAW_INDEX'!$L:$L,MATCH($A201,'02_RAW_INDEX'!$A:$A,0)),"")</x:f>
        <x:v>1740</x:v>
      </x:c>
      <x:c r="F201" s="8" t="n">
        <x:f>IFERROR(INDEX('02_RAW_INDEX'!$K:$K,MATCH($A201,'02_RAW_INDEX'!$A:$A,0)),"")</x:f>
        <x:v>2140</x:v>
      </x:c>
      <x:c r="G201" s="7" t="n">
        <x:f>'01_Ustawienia'!$B$6</x:f>
        <x:v>0</x:v>
      </x:c>
      <x:c r="H201" s="8" t="n">
        <x:f>IF(E201="","",ROUND(IF('01_Ustawienia'!$B$5="BRUTTO",F201,E201)*(1-G201),0))</x:f>
        <x:v>1740</x:v>
      </x:c>
      <x:c r="I201" s="7" t="n">
        <x:f>IFERROR(IFERROR(INDEX('01_Ustawienia'!$B$15:$B$33,MATCH(B201,'01_Ustawienia'!$A$15:$A$33,0)),0.45),0.45)</x:f>
        <x:v>0.45</x:v>
      </x:c>
      <x:c r="J201" s="8" t="n">
        <x:f>IF(H201="","",ROUND(H201*(1+I201),0))</x:f>
        <x:v>2523</x:v>
      </x:c>
      <x:c r="K201" s="8" t="n">
        <x:f>0</x:f>
        <x:v>0</x:v>
      </x:c>
      <x:c r="L201" s="8" t="n">
        <x:f>IFERROR(IFERROR(INDEX(EG_Cennik_uslug!$AJ:$AJ,MATCH($A201,EG_Cennik_uslug!$A:$A,0)),0),0)</x:f>
        <x:v>150</x:v>
      </x:c>
      <x:c r="M201" s="7" t="n">
        <x:f>IF('01_Ustawienia'!$B$4="ZWOLNIONY",0,'01_Ustawienia'!$B$7)</x:f>
        <x:v>0.08</x:v>
      </x:c>
      <x:c r="N201" s="8" t="n">
        <x:f>IF(J201="","",ROUND((J201+K201)*(1+M201),0))</x:f>
        <x:v>2725</x:v>
      </x:c>
      <x:c r="O201" s="8" t="n">
        <x:f>IF(J201="","",J201+K201-H201-L201)</x:f>
        <x:v>633</x:v>
      </x:c>
      <x:c r="P201" s="7" t="n">
        <x:f>IFERROR(O201/(J201+K201),"")</x:f>
        <x:v>0.25089179548156954</x:v>
      </x:c>
      <x:c r="Q201" s="6" t="inlineStr">
        <x:is>
          <x:t xml:space="preserve">RAW_ZP N/O</x:t>
        </x:is>
      </x:c>
      <x:c r="R201" s="6" t="inlineStr">
        <x:is>
          <x:t xml:space="preserve">ROLETY BOCZNE</x:t>
        </x:is>
      </x:c>
      <x:c r="S201" s="6" t="inlineStr">
        <x:is>
          <x:t xml:space="preserve">website+crm</x:t>
        </x:is>
      </x:c>
      <x:c r="T201" s="6" t="n"/>
    </x:row>
    <x:row r="202">
      <x:c r="A202" s="6" t="inlineStr">
        <x:is>
          <x:t xml:space="preserve">350 x 306 cm</x:t>
        </x:is>
      </x:c>
      <x:c r="B202" s="6" t="inlineStr">
        <x:is>
          <x:t xml:space="preserve">M</x:t>
        </x:is>
      </x:c>
      <x:c r="C202" s="6" t="inlineStr">
        <x:is>
          <x:t xml:space="preserve">Markiza dachowa</x:t>
        </x:is>
      </x:c>
      <x:c r="D202" s="6" t="inlineStr">
        <x:is>
          <x:t xml:space="preserve">MARKIZA</x:t>
        </x:is>
      </x:c>
      <x:c r="E202" s="8" t="n">
        <x:f>IFERROR(INDEX('02_RAW_INDEX'!$H:$H,MATCH($A202,'02_RAW_INDEX'!$A:$A,0)),"")</x:f>
        <x:v>3236</x:v>
      </x:c>
      <x:c r="F202" s="8" t="n">
        <x:f>IFERROR(INDEX('02_RAW_INDEX'!$G:$G,MATCH($A202,'02_RAW_INDEX'!$A:$A,0)),"")</x:f>
        <x:v>3980</x:v>
      </x:c>
      <x:c r="G202" s="7" t="n">
        <x:f>'01_Ustawienia'!$B$6</x:f>
        <x:v>0</x:v>
      </x:c>
      <x:c r="H202" s="8" t="n">
        <x:f>IF(E202="","",ROUND(IF('01_Ustawienia'!$B$5="BRUTTO",F202,E202)*(1-G202),0))</x:f>
        <x:v>3236</x:v>
      </x:c>
      <x:c r="I202" s="7" t="n">
        <x:f>IFERROR(IFERROR(INDEX('01_Ustawienia'!$B$15:$B$33,MATCH(B202,'01_Ustawienia'!$A$15:$A$33,0)),0.45),0.45)</x:f>
        <x:v>0.45</x:v>
      </x:c>
      <x:c r="J202" s="8" t="n">
        <x:f>IF(H202="","",ROUND(H202*(1+I202),0))</x:f>
        <x:v>4692</x:v>
      </x:c>
      <x:c r="K202" s="8" t="n">
        <x:f>0</x:f>
        <x:v>0</x:v>
      </x:c>
      <x:c r="L202" s="8" t="n">
        <x:f>IFERROR(IFERROR(INDEX(EG_Cennik_uslug!$AQ:$AQ,MATCH($A202,EG_Cennik_uslug!$A:$A,0)),0),0)</x:f>
        <x:v>200</x:v>
      </x:c>
      <x:c r="M202" s="7" t="n">
        <x:f>IF('01_Ustawienia'!$B$4="ZWOLNIONY",0,'01_Ustawienia'!$B$7)</x:f>
        <x:v>0.08</x:v>
      </x:c>
      <x:c r="N202" s="8" t="n">
        <x:f>IF(J202="","",ROUND((J202+K202)*(1+M202),0))</x:f>
        <x:v>5067</x:v>
      </x:c>
      <x:c r="O202" s="8" t="n">
        <x:f>IF(J202="","",J202+K202-H202-L202)</x:f>
        <x:v>1256</x:v>
      </x:c>
      <x:c r="P202" s="7" t="n">
        <x:f>IFERROR(O202/(J202+K202),"")</x:f>
        <x:v>0.26768968456947995</x:v>
      </x:c>
      <x:c r="Q202" s="6" t="inlineStr">
        <x:is>
          <x:t xml:space="preserve">RAW_ZP H/I</x:t>
        </x:is>
      </x:c>
      <x:c r="R202" s="6" t="inlineStr">
        <x:is>
          <x:t xml:space="preserve">MARKIZA</x:t>
        </x:is>
      </x:c>
      <x:c r="S202" s="6" t="inlineStr">
        <x:is>
          <x:t xml:space="preserve">website+crm</x:t>
        </x:is>
      </x:c>
      <x:c r="T202" s="6" t="n"/>
    </x:row>
    <x:row r="203">
      <x:c r="A203" s="6" t="inlineStr">
        <x:is>
          <x:t xml:space="preserve">350 x 306 cm</x:t>
        </x:is>
      </x:c>
      <x:c r="B203" s="6" t="inlineStr">
        <x:is>
          <x:t xml:space="preserve">PDWP</x:t>
        </x:is>
      </x:c>
      <x:c r="C203" s="6" t="inlineStr">
        <x:is>
          <x:t xml:space="preserve">Fundament/profile</x:t>
        </x:is>
      </x:c>
      <x:c r="D203" s="6" t="inlineStr">
        <x:is>
          <x:t xml:space="preserve">FUNDAMENT / PROFILE</x:t>
        </x:is>
      </x:c>
      <x:c r="E203" s="8" t="n">
        <x:f>IFERROR(INDEX('02_RAW_INDEX'!$AH:$AH,MATCH($A203,'02_RAW_INDEX'!$A:$A,0)),"")</x:f>
        <x:v>724</x:v>
      </x:c>
      <x:c r="F203" s="8" t="n">
        <x:f>IFERROR(INDEX('02_RAW_INDEX'!$AG:$AG,MATCH($A203,'02_RAW_INDEX'!$A:$A,0)),"")</x:f>
        <x:v>890</x:v>
      </x:c>
      <x:c r="G203" s="7" t="n">
        <x:f>'01_Ustawienia'!$B$6</x:f>
        <x:v>0</x:v>
      </x:c>
      <x:c r="H203" s="8" t="n">
        <x:f>IF(E203="","",ROUND(IF('01_Ustawienia'!$B$5="BRUTTO",F203,E203)*(1-G203),0))</x:f>
        <x:v>724</x:v>
      </x:c>
      <x:c r="I203" s="7" t="n">
        <x:f>IFERROR(IFERROR(INDEX('01_Ustawienia'!$B$15:$B$33,MATCH(B203,'01_Ustawienia'!$A$15:$A$33,0)),0.45),0.45)</x:f>
        <x:v>1.2</x:v>
      </x:c>
      <x:c r="J203" s="8" t="n">
        <x:f>IF(H203="","",ROUND(H203*(1+I203),0))</x:f>
        <x:v>1593</x:v>
      </x:c>
      <x:c r="K203" s="8" t="n">
        <x:f>0</x:f>
        <x:v>0</x:v>
      </x:c>
      <x:c r="L203" s="8" t="n">
        <x:f>IFERROR(IFERROR(INDEX(EG_Cennik_uslug!$BT:$BT,MATCH($A203,EG_Cennik_uslug!$A:$A,0)),0),0)</x:f>
        <x:v>340</x:v>
      </x:c>
      <x:c r="M203" s="7" t="n">
        <x:f>IF('01_Ustawienia'!$B$4="ZWOLNIONY",0,'01_Ustawienia'!$B$7)</x:f>
        <x:v>0.08</x:v>
      </x:c>
      <x:c r="N203" s="8" t="n">
        <x:f>IF(J203="","",ROUND((J203+K203)*(1+M203),0))</x:f>
        <x:v>1720</x:v>
      </x:c>
      <x:c r="O203" s="8" t="n">
        <x:f>IF(J203="","",J203+K203-H203-L203)</x:f>
        <x:v>529</x:v>
      </x:c>
      <x:c r="P203" s="7" t="n">
        <x:f>IFERROR(O203/(J203+K203),"")</x:f>
        <x:v>0.33207784055241685</x:v>
      </x:c>
      <x:c r="Q203" s="6" t="inlineStr">
        <x:is>
          <x:t xml:space="preserve">RAW_OP AB/AC</x:t>
        </x:is>
      </x:c>
      <x:c r="R203" s="6" t="inlineStr">
        <x:is>
          <x:t xml:space="preserve">FUNDAMENT (PROFILE)</x:t>
        </x:is>
      </x:c>
      <x:c r="S203" s="6" t="inlineStr">
        <x:is>
          <x:t xml:space="preserve">website+crm</x:t>
        </x:is>
      </x:c>
      <x:c r="T203" s="6" t="n"/>
    </x:row>
    <x:row r="204" s="655" customFormat="1" ht="30" customHeight="1">
      <x:c r="A204" s="6" t="inlineStr">
        <x:is>
          <x:t xml:space="preserve">350 x 306 cm</x:t>
        </x:is>
      </x:c>
      <x:c r="B204" s="6" t="inlineStr">
        <x:is>
          <x:t xml:space="preserve">ZAB</x:t>
        </x:is>
      </x:c>
      <x:c r="C204" s="6" t="inlineStr">
        <x:is>
          <x:t xml:space="preserve">Zabieraki do ścian przesuwnych</x:t>
        </x:is>
      </x:c>
      <x:c r="D204" s="6" t="inlineStr">
        <x:is>
          <x:t xml:space="preserve">DODATKI</x:t>
        </x:is>
      </x:c>
      <x:c r="E204" s="8" t="n">
        <x:f>IFERROR(INDEX('02_RAW_INDEX'!$AJ:$AJ,MATCH($A204,'02_RAW_INDEX'!$A:$A,0)),"")</x:f>
        <x:v>260</x:v>
      </x:c>
      <x:c r="F204" s="8" t="n">
        <x:f>IFERROR(INDEX('02_RAW_INDEX'!$AI:$AI,MATCH($A204,'02_RAW_INDEX'!$A:$A,0)),"")</x:f>
        <x:v>320</x:v>
      </x:c>
      <x:c r="G204" s="7" t="n">
        <x:f>'01_Ustawienia'!$B$6</x:f>
        <x:v>0</x:v>
      </x:c>
      <x:c r="H204" s="8" t="n">
        <x:f>IF(E204="","",ROUND(IF('01_Ustawienia'!$B$5="BRUTTO",F204,E204)*(1-G204),0))</x:f>
        <x:v>260</x:v>
      </x:c>
      <x:c r="I204" s="7" t="n">
        <x:f>IFERROR(IFERROR(INDEX('01_Ustawienia'!$B$15:$B$33,MATCH(B204,'01_Ustawienia'!$A$15:$A$33,0)),0.45),0.45)</x:f>
        <x:v>0.45</x:v>
      </x:c>
      <x:c r="J204" s="8" t="n">
        <x:f>IF(H204="","",ROUND(H204*(1+I204),0))</x:f>
        <x:v>377</x:v>
      </x:c>
      <x:c r="K204" s="8" t="n">
        <x:f>0</x:f>
        <x:v>0</x:v>
      </x:c>
      <x:c r="L204" s="8" t="n">
        <x:f>0</x:f>
        <x:v>0</x:v>
      </x:c>
      <x:c r="M204" s="7" t="n">
        <x:f>IF('01_Ustawienia'!$B$4="ZWOLNIONY",0,'01_Ustawienia'!$B$7)</x:f>
        <x:v>0.08</x:v>
      </x:c>
      <x:c r="N204" s="8" t="n">
        <x:f>IF(J204="","",ROUND((J204+K204)*(1+M204),0))</x:f>
        <x:v>407</x:v>
      </x:c>
      <x:c r="O204" s="8" t="n">
        <x:f>IF(J204="","",J204+K204-H204-L204)</x:f>
        <x:v>117</x:v>
      </x:c>
      <x:c r="P204" s="7" t="n">
        <x:f>IFERROR(O204/(J204+K204),"")</x:f>
        <x:v>0.3103448275862069</x:v>
      </x:c>
      <x:c r="Q204" s="6" t="inlineStr">
        <x:is>
          <x:t xml:space="preserve">RAW_OP AD/AE</x:t>
        </x:is>
      </x:c>
      <x:c r="R204" s="6" t="inlineStr">
        <x:is>
          <x:t xml:space="preserve">DODATKI</x:t>
        </x:is>
      </x:c>
      <x:c r="S204" s="6" t="inlineStr">
        <x:is>
          <x:t xml:space="preserve">crm_only</x:t>
        </x:is>
      </x:c>
      <x:c r="T204" s="6" t="n"/>
    </x:row>
    <x:row r="205">
      <x:c r="A205" s="6" t="inlineStr">
        <x:is>
          <x:t xml:space="preserve">350 x 306 cm</x:t>
        </x:is>
      </x:c>
      <x:c r="B205" s="6" t="inlineStr">
        <x:is>
          <x:t xml:space="preserve">S</x:t>
        </x:is>
      </x:c>
      <x:c r="C205" s="6" t="inlineStr">
        <x:is>
          <x:t xml:space="preserve">Szczotki przeciwkurzowe</x:t>
        </x:is>
      </x:c>
      <x:c r="D205" s="6" t="inlineStr">
        <x:is>
          <x:t xml:space="preserve">SZCZOTKI</x:t>
        </x:is>
      </x:c>
      <x:c r="E205" s="8" t="n">
        <x:f>IFERROR(INDEX('02_RAW_INDEX'!$AD:$AD,MATCH($A205,'02_RAW_INDEX'!$A:$A,0)),"")</x:f>
        <x:v>341</x:v>
      </x:c>
      <x:c r="F205" s="8" t="n">
        <x:f>IFERROR(INDEX('02_RAW_INDEX'!$AC:$AC,MATCH($A205,'02_RAW_INDEX'!$A:$A,0)),"")</x:f>
        <x:v>420</x:v>
      </x:c>
      <x:c r="G205" s="7" t="n">
        <x:f>'01_Ustawienia'!$B$6</x:f>
        <x:v>0</x:v>
      </x:c>
      <x:c r="H205" s="8" t="n">
        <x:f>IF(E205="","",ROUND(IF('01_Ustawienia'!$B$5="BRUTTO",F205,E205)*(1-G205),0))</x:f>
        <x:v>341</x:v>
      </x:c>
      <x:c r="I205" s="7" t="n">
        <x:f>IFERROR(IFERROR(INDEX('01_Ustawienia'!$B$15:$B$33,MATCH(B205,'01_Ustawienia'!$A$15:$A$33,0)),0.45),0.45)</x:f>
        <x:v>0.45</x:v>
      </x:c>
      <x:c r="J205" s="8" t="n">
        <x:f>IF(H205="","",ROUND(H205*(1+I205),0))</x:f>
        <x:v>494</x:v>
      </x:c>
      <x:c r="K205" s="8" t="n">
        <x:f>0</x:f>
        <x:v>0</x:v>
      </x:c>
      <x:c r="L205" s="8" t="n">
        <x:f>IFERROR(IFERROR(INDEX(EG_Cennik_uslug!$CA:$CA,MATCH($A205,EG_Cennik_uslug!$A:$A,0)),0),0)</x:f>
        <x:v>0</x:v>
      </x:c>
      <x:c r="M205" s="7" t="n">
        <x:f>IF('01_Ustawienia'!$B$4="ZWOLNIONY",0,'01_Ustawienia'!$B$7)</x:f>
        <x:v>0.08</x:v>
      </x:c>
      <x:c r="N205" s="8" t="n">
        <x:f>IF(J205="","",ROUND((J205+K205)*(1+M205),0))</x:f>
        <x:v>534</x:v>
      </x:c>
      <x:c r="O205" s="8" t="n">
        <x:f>IF(J205="","",J205+K205-H205-L205)</x:f>
        <x:v>153</x:v>
      </x:c>
      <x:c r="P205" s="7" t="n">
        <x:f>IFERROR(O205/(J205+K205),"")</x:f>
        <x:v>0.3097165991902834</x:v>
      </x:c>
      <x:c r="Q205" s="6" t="inlineStr">
        <x:is>
          <x:t xml:space="preserve">RAW_OP L/M</x:t>
        </x:is>
      </x:c>
      <x:c r="R205" s="6" t="inlineStr">
        <x:is>
          <x:t xml:space="preserve">DODATKI</x:t>
        </x:is>
      </x:c>
      <x:c r="S205" s="6" t="inlineStr">
        <x:is>
          <x:t xml:space="preserve">website+crm</x:t>
        </x:is>
      </x:c>
      <x:c r="T205" s="6" t="n"/>
    </x:row>
    <x:row r="206">
      <x:c r="A206" s="6" t="inlineStr">
        <x:is>
          <x:t xml:space="preserve">350 x 306 cm</x:t>
        </x:is>
      </x:c>
      <x:c r="B206" s="6" t="inlineStr">
        <x:is>
          <x:t xml:space="preserve">U</x:t>
        </x:is>
      </x:c>
      <x:c r="C206" s="6" t="inlineStr">
        <x:is>
          <x:t xml:space="preserve">Uchwyty na szkło ścienne</x:t>
        </x:is>
      </x:c>
      <x:c r="D206" s="6" t="inlineStr">
        <x:is>
          <x:t xml:space="preserve">UCHWYTY</x:t>
        </x:is>
      </x:c>
      <x:c r="E206" s="8" t="n">
        <x:f>IFERROR(INDEX('02_RAW_INDEX'!$AF:$AF,MATCH($A206,'02_RAW_INDEX'!$A:$A,0)),"")</x:f>
        <x:v>309</x:v>
      </x:c>
      <x:c r="F206" s="8" t="n">
        <x:f>IFERROR(INDEX('02_RAW_INDEX'!$AE:$AE,MATCH($A206,'02_RAW_INDEX'!$A:$A,0)),"")</x:f>
        <x:v>380</x:v>
      </x:c>
      <x:c r="G206" s="7" t="n">
        <x:f>'01_Ustawienia'!$B$6</x:f>
        <x:v>0</x:v>
      </x:c>
      <x:c r="H206" s="8" t="n">
        <x:f>IF(E206="","",ROUND(IF('01_Ustawienia'!$B$5="BRUTTO",F206,E206)*(1-G206),0))</x:f>
        <x:v>309</x:v>
      </x:c>
      <x:c r="I206" s="7" t="n">
        <x:f>IFERROR(IFERROR(INDEX('01_Ustawienia'!$B$15:$B$33,MATCH(B206,'01_Ustawienia'!$A$15:$A$33,0)),0.45),0.45)</x:f>
        <x:v>0.45</x:v>
      </x:c>
      <x:c r="J206" s="8" t="n">
        <x:f>IF(H206="","",ROUND(H206*(1+I206),0))</x:f>
        <x:v>448</x:v>
      </x:c>
      <x:c r="K206" s="8" t="n">
        <x:f>0</x:f>
        <x:v>0</x:v>
      </x:c>
      <x:c r="L206" s="8" t="n">
        <x:f>IFERROR(IFERROR(INDEX(EG_Cennik_uslug!$CH:$CH,MATCH($A206,EG_Cennik_uslug!$A:$A,0)),0),0)</x:f>
        <x:v>0</x:v>
      </x:c>
      <x:c r="M206" s="7" t="n">
        <x:f>IF('01_Ustawienia'!$B$4="ZWOLNIONY",0,'01_Ustawienia'!$B$7)</x:f>
        <x:v>0.08</x:v>
      </x:c>
      <x:c r="N206" s="8" t="n">
        <x:f>IF(J206="","",ROUND((J206+K206)*(1+M206),0))</x:f>
        <x:v>484</x:v>
      </x:c>
      <x:c r="O206" s="8" t="n">
        <x:f>IF(J206="","",J206+K206-H206-L206)</x:f>
        <x:v>139</x:v>
      </x:c>
      <x:c r="P206" s="7" t="n">
        <x:f>IFERROR(O206/(J206+K206),"")</x:f>
        <x:v>0.31026785714285715</x:v>
      </x:c>
      <x:c r="Q206" s="6" t="inlineStr">
        <x:is>
          <x:t xml:space="preserve">RAW_OP N/O</x:t>
        </x:is>
      </x:c>
      <x:c r="R206" s="6" t="inlineStr">
        <x:is>
          <x:t xml:space="preserve">DODATKI</x:t>
        </x:is>
      </x:c>
      <x:c r="S206" s="6" t="inlineStr">
        <x:is>
          <x:t xml:space="preserve">website+crm</x:t>
        </x:is>
      </x:c>
      <x:c r="T206" s="6" t="n"/>
    </x:row>
    <x:row r="207">
      <x:c r="A207" s="6" t="inlineStr">
        <x:is>
          <x:t xml:space="preserve">350 x 306 cm</x:t>
        </x:is>
      </x:c>
      <x:c r="B207" s="6" t="inlineStr">
        <x:is>
          <x:t xml:space="preserve">LED2</x:t>
        </x:is>
      </x:c>
      <x:c r="C207" s="6" t="inlineStr">
        <x:is>
          <x:t xml:space="preserve">Oświetlenie LED 2 punkty</x:t>
        </x:is>
      </x:c>
      <x:c r="D207" s="6" t="inlineStr">
        <x:is>
          <x:t xml:space="preserve">LED 2 PKT</x:t>
        </x:is>
      </x:c>
      <x:c r="E207" s="8" t="n">
        <x:f>IFERROR(INDEX('02_RAW_INDEX'!$N:$N,MATCH($A207,'02_RAW_INDEX'!$A:$A,0)),"")</x:f>
        <x:v>341</x:v>
      </x:c>
      <x:c r="F207" s="8" t="n">
        <x:f>IFERROR(INDEX('02_RAW_INDEX'!$M:$M,MATCH($A207,'02_RAW_INDEX'!$A:$A,0)),"")</x:f>
        <x:v>420</x:v>
      </x:c>
      <x:c r="G207" s="7" t="n">
        <x:f>'01_Ustawienia'!$B$6</x:f>
        <x:v>0</x:v>
      </x:c>
      <x:c r="H207" s="8" t="n">
        <x:f>IF(E207="","",ROUND(IF('01_Ustawienia'!$B$5="BRUTTO",F207,E207)*(1-G207),0))</x:f>
        <x:v>341</x:v>
      </x:c>
      <x:c r="I207" s="7" t="n">
        <x:f>IFERROR(IFERROR(INDEX('01_Ustawienia'!$B$15:$B$33,MATCH(B207,'01_Ustawienia'!$A$15:$A$33,0)),0.45),0.45)</x:f>
        <x:v>0.45</x:v>
      </x:c>
      <x:c r="J207" s="8" t="n">
        <x:f>IF(H207="","",ROUND(H207*(1+I207),0))</x:f>
        <x:v>494</x:v>
      </x:c>
      <x:c r="K207" s="8" t="n">
        <x:f>0</x:f>
        <x:v>0</x:v>
      </x:c>
      <x:c r="L207" s="8" t="n">
        <x:f>IFERROR(IFERROR(INDEX(EG_Cennik_uslug!$CO:$CO,MATCH($A207,EG_Cennik_uslug!$A:$A,0)),0),0)</x:f>
        <x:v>0</x:v>
      </x:c>
      <x:c r="M207" s="7" t="n">
        <x:f>IF('01_Ustawienia'!$B$4="ZWOLNIONY",0,'01_Ustawienia'!$B$7)</x:f>
        <x:v>0.08</x:v>
      </x:c>
      <x:c r="N207" s="8" t="n">
        <x:f>IF(J207="","",ROUND((J207+K207)*(1+M207),0))</x:f>
        <x:v>534</x:v>
      </x:c>
      <x:c r="O207" s="8" t="n">
        <x:f>IF(J207="","",J207+K207-H207-L207)</x:f>
        <x:v>153</x:v>
      </x:c>
      <x:c r="P207" s="7" t="n">
        <x:f>IFERROR(O207/(J207+K207),"")</x:f>
        <x:v>0.3097165991902834</x:v>
      </x:c>
      <x:c r="Q207" s="6" t="inlineStr">
        <x:is>
          <x:t xml:space="preserve">RAW_ZP P/Q</x:t>
        </x:is>
      </x:c>
      <x:c r="R207" s="6" t="inlineStr">
        <x:is>
          <x:t xml:space="preserve">OŚWIETLENIE</x:t>
        </x:is>
      </x:c>
      <x:c r="S207" s="6" t="inlineStr">
        <x:is>
          <x:t xml:space="preserve">website+crm</x:t>
        </x:is>
      </x:c>
      <x:c r="T207" s="6" t="n"/>
    </x:row>
    <x:row r="208">
      <x:c r="A208" s="6" t="inlineStr">
        <x:is>
          <x:t xml:space="preserve">350 x 306 cm</x:t>
        </x:is>
      </x:c>
      <x:c r="B208" s="6" t="inlineStr">
        <x:is>
          <x:t xml:space="preserve">LED3</x:t>
        </x:is>
      </x:c>
      <x:c r="C208" s="6" t="inlineStr">
        <x:is>
          <x:t xml:space="preserve">Oświetlenie LED 3 punkty</x:t>
        </x:is>
      </x:c>
      <x:c r="D208" s="6" t="inlineStr">
        <x:is>
          <x:t xml:space="preserve">LED 3 PKT</x:t>
        </x:is>
      </x:c>
      <x:c r="E208" s="8" t="n">
        <x:f>IFERROR(INDEX('02_RAW_INDEX'!$P:$P,MATCH($A208,'02_RAW_INDEX'!$A:$A,0)),"")</x:f>
        <x:v>520</x:v>
      </x:c>
      <x:c r="F208" s="8" t="n">
        <x:f>IFERROR(INDEX('02_RAW_INDEX'!$O:$O,MATCH($A208,'02_RAW_INDEX'!$A:$A,0)),"")</x:f>
        <x:v>640</x:v>
      </x:c>
      <x:c r="G208" s="7" t="n">
        <x:f>'01_Ustawienia'!$B$6</x:f>
        <x:v>0</x:v>
      </x:c>
      <x:c r="H208" s="8" t="n">
        <x:f>IF(E208="","",ROUND(IF('01_Ustawienia'!$B$5="BRUTTO",F208,E208)*(1-G208),0))</x:f>
        <x:v>520</x:v>
      </x:c>
      <x:c r="I208" s="7" t="n">
        <x:f>IFERROR(IFERROR(INDEX('01_Ustawienia'!$B$15:$B$33,MATCH(B208,'01_Ustawienia'!$A$15:$A$33,0)),0.45),0.45)</x:f>
        <x:v>0.45</x:v>
      </x:c>
      <x:c r="J208" s="8" t="n">
        <x:f>IF(H208="","",ROUND(H208*(1+I208),0))</x:f>
        <x:v>754</x:v>
      </x:c>
      <x:c r="K208" s="8" t="n">
        <x:f>0</x:f>
        <x:v>0</x:v>
      </x:c>
      <x:c r="L208" s="8" t="n">
        <x:f>IFERROR(IFERROR(INDEX(EG_Cennik_uslug!$CV:$CV,MATCH($A208,EG_Cennik_uslug!$A:$A,0)),0),0)</x:f>
        <x:v>0</x:v>
      </x:c>
      <x:c r="M208" s="7" t="n">
        <x:f>IF('01_Ustawienia'!$B$4="ZWOLNIONY",0,'01_Ustawienia'!$B$7)</x:f>
        <x:v>0.08</x:v>
      </x:c>
      <x:c r="N208" s="8" t="n">
        <x:f>IF(J208="","",ROUND((J208+K208)*(1+M208),0))</x:f>
        <x:v>814</x:v>
      </x:c>
      <x:c r="O208" s="8" t="n">
        <x:f>IF(J208="","",J208+K208-H208-L208)</x:f>
        <x:v>234</x:v>
      </x:c>
      <x:c r="P208" s="7" t="n">
        <x:f>IFERROR(O208/(J208+K208),"")</x:f>
        <x:v>0.3103448275862069</x:v>
      </x:c>
      <x:c r="Q208" s="6" t="inlineStr">
        <x:is>
          <x:t xml:space="preserve">RAW_ZP R/S</x:t>
        </x:is>
      </x:c>
      <x:c r="R208" s="6" t="inlineStr">
        <x:is>
          <x:t xml:space="preserve">OŚWIETLENIE</x:t>
        </x:is>
      </x:c>
      <x:c r="S208" s="6" t="inlineStr">
        <x:is>
          <x:t xml:space="preserve">website+crm</x:t>
        </x:is>
      </x:c>
      <x:c r="T208" s="6" t="inlineStr">
        <x:is>
          <x:t xml:space="preserve">Nazwa do potwierdzenia</x:t>
        </x:is>
      </x:c>
    </x:row>
    <x:row r="209">
      <x:c r="A209" s="6" t="inlineStr">
        <x:is>
          <x:t xml:space="preserve">350 x 306 cm</x:t>
        </x:is>
      </x:c>
      <x:c r="B209" s="6" t="inlineStr">
        <x:is>
          <x:t xml:space="preserve">LEDCCT</x:t>
        </x:is>
      </x:c>
      <x:c r="C209" s="6" t="inlineStr">
        <x:is>
          <x:t xml:space="preserve">Oświetlenie LED CCT</x:t>
        </x:is>
      </x:c>
      <x:c r="D209" s="6" t="inlineStr">
        <x:is>
          <x:t xml:space="preserve">OŚWIETLENIE</x:t>
        </x:is>
      </x:c>
      <x:c r="E209" s="8" t="n">
        <x:f>IFERROR(INDEX('02_RAW_INDEX'!$R:$R,MATCH($A209,'02_RAW_INDEX'!$A:$A,0)),"")</x:f>
        <x:v>820</x:v>
      </x:c>
      <x:c r="F209" s="8" t="n">
        <x:f>IFERROR(INDEX('02_RAW_INDEX'!$Q:$Q,MATCH($A209,'02_RAW_INDEX'!$A:$A,0)),"")</x:f>
        <x:v>1009</x:v>
      </x:c>
      <x:c r="G209" s="7" t="n">
        <x:f>'01_Ustawienia'!$B$6</x:f>
        <x:v>0</x:v>
      </x:c>
      <x:c r="H209" s="8" t="n">
        <x:f>IF(E209="","",ROUND(IF('01_Ustawienia'!$B$5="BRUTTO",F209,E209)*(1-G209),0))</x:f>
        <x:v>820</x:v>
      </x:c>
      <x:c r="I209" s="7" t="n">
        <x:f>IFERROR(IFERROR(INDEX('01_Ustawienia'!$B$15:$B$33,MATCH(B209,'01_Ustawienia'!$A$15:$A$33,0)),0.45),0.45)</x:f>
        <x:v>0.45</x:v>
      </x:c>
      <x:c r="J209" s="8" t="n">
        <x:f>IF(H209="","",ROUND(H209*(1+I209),0))</x:f>
        <x:v>1189</x:v>
      </x:c>
      <x:c r="K209" s="8" t="n">
        <x:f>0</x:f>
        <x:v>0</x:v>
      </x:c>
      <x:c r="L209" s="8" t="n">
        <x:f>0</x:f>
        <x:v>0</x:v>
      </x:c>
      <x:c r="M209" s="7" t="n">
        <x:f>IF('01_Ustawienia'!$B$4="ZWOLNIONY",0,'01_Ustawienia'!$B$7)</x:f>
        <x:v>0.08</x:v>
      </x:c>
      <x:c r="N209" s="8" t="n">
        <x:f>IF(J209="","",ROUND((J209+K209)*(1+M209),0))</x:f>
        <x:v>1284</x:v>
      </x:c>
      <x:c r="O209" s="8" t="n">
        <x:f>IF(J209="","",J209+K209-H209-L209)</x:f>
        <x:v>369</x:v>
      </x:c>
      <x:c r="P209" s="7" t="n">
        <x:f>IFERROR(O209/(J209+K209),"")</x:f>
        <x:v>0.3103448275862069</x:v>
      </x:c>
      <x:c r="Q209" s="6" t="inlineStr">
        <x:is>
          <x:t xml:space="preserve">RAW_ZP T/U</x:t>
        </x:is>
      </x:c>
      <x:c r="R209" s="6" t="inlineStr">
        <x:is>
          <x:t xml:space="preserve">OŚWIETLENIE</x:t>
        </x:is>
      </x:c>
      <x:c r="S209" s="6" t="inlineStr">
        <x:is>
          <x:t xml:space="preserve">website+crm</x:t>
        </x:is>
      </x:c>
      <x:c r="T209" s="6" t="inlineStr">
        <x:is>
          <x:t xml:space="preserve">Opcja dodatkowa | FIX17: opcja LED dostępna dla strony; ceny 450-600 wg modelu FIX15.</x:t>
        </x:is>
      </x:c>
    </x:row>
    <x:row r="210">
      <x:c r="A210" s="6" t="inlineStr">
        <x:is>
          <x:t xml:space="preserve">350 x 306 cm</x:t>
        </x:is>
      </x:c>
      <x:c r="B210" s="6" t="inlineStr">
        <x:is>
          <x:t xml:space="preserve">LEDRGBCCT</x:t>
        </x:is>
      </x:c>
      <x:c r="C210" s="6" t="inlineStr">
        <x:is>
          <x:t xml:space="preserve">Oświetlenie LED RGB CCT</x:t>
        </x:is>
      </x:c>
      <x:c r="D210" s="6" t="inlineStr">
        <x:is>
          <x:t xml:space="preserve">OŚWIETLENIE</x:t>
        </x:is>
      </x:c>
      <x:c r="E210" s="8" t="n">
        <x:f>IFERROR(INDEX('02_RAW_INDEX'!$T:$T,MATCH($A210,'02_RAW_INDEX'!$A:$A,0)),"")</x:f>
        <x:v>1040</x:v>
      </x:c>
      <x:c r="F210" s="8" t="n">
        <x:f>IFERROR(INDEX('02_RAW_INDEX'!$S:$S,MATCH($A210,'02_RAW_INDEX'!$A:$A,0)),"")</x:f>
        <x:v>1279</x:v>
      </x:c>
      <x:c r="G210" s="7" t="n">
        <x:f>'01_Ustawienia'!$B$6</x:f>
        <x:v>0</x:v>
      </x:c>
      <x:c r="H210" s="8" t="n">
        <x:f>IF(E210="","",ROUND(IF('01_Ustawienia'!$B$5="BRUTTO",F210,E210)*(1-G210),0))</x:f>
        <x:v>1040</x:v>
      </x:c>
      <x:c r="I210" s="7" t="n">
        <x:f>IFERROR(IFERROR(INDEX('01_Ustawienia'!$B$15:$B$33,MATCH(B210,'01_Ustawienia'!$A$15:$A$33,0)),0.45),0.45)</x:f>
        <x:v>0.45</x:v>
      </x:c>
      <x:c r="J210" s="8" t="n">
        <x:f>IF(H210="","",ROUND(H210*(1+I210),0))</x:f>
        <x:v>1508</x:v>
      </x:c>
      <x:c r="K210" s="8" t="n">
        <x:f>0</x:f>
        <x:v>0</x:v>
      </x:c>
      <x:c r="L210" s="8" t="n">
        <x:f>0</x:f>
        <x:v>0</x:v>
      </x:c>
      <x:c r="M210" s="7" t="n">
        <x:f>IF('01_Ustawienia'!$B$4="ZWOLNIONY",0,'01_Ustawienia'!$B$7)</x:f>
        <x:v>0.08</x:v>
      </x:c>
      <x:c r="N210" s="8" t="n">
        <x:f>IF(J210="","",ROUND((J210+K210)*(1+M210),0))</x:f>
        <x:v>1629</x:v>
      </x:c>
      <x:c r="O210" s="8" t="n">
        <x:f>IF(J210="","",J210+K210-H210-L210)</x:f>
        <x:v>468</x:v>
      </x:c>
      <x:c r="P210" s="7" t="n">
        <x:f>IFERROR(O210/(J210+K210),"")</x:f>
        <x:v>0.3103448275862069</x:v>
      </x:c>
      <x:c r="Q210" s="6" t="inlineStr">
        <x:is>
          <x:t xml:space="preserve">RAW_ZP V/W</x:t>
        </x:is>
      </x:c>
      <x:c r="R210" s="6" t="inlineStr">
        <x:is>
          <x:t xml:space="preserve">OŚWIETLENIE</x:t>
        </x:is>
      </x:c>
      <x:c r="S210" s="6" t="inlineStr">
        <x:is>
          <x:t xml:space="preserve">crm_only</x:t>
        </x:is>
      </x:c>
      <x:c r="T210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211" s="655" customFormat="1" ht="30" customHeight="1">
      <x:c r="A211" s="6" t="inlineStr">
        <x:is>
          <x:t xml:space="preserve">350 x 406 cm</x:t>
        </x:is>
      </x:c>
      <x:c r="B211" s="6" t="inlineStr">
        <x:is>
          <x:t xml:space="preserve">ZP</x:t>
        </x:is>
      </x:c>
      <x:c r="C211" s="6" t="inlineStr">
        <x:is>
          <x:t xml:space="preserve">Zadaszenie poliwęglan - baza</x:t>
        </x:is>
      </x:c>
      <x:c r="D211" s="6" t="inlineStr">
        <x:is>
          <x:t xml:space="preserve">ZADASZENIE POLIWĘGLAN</x:t>
        </x:is>
      </x:c>
      <x:c r="E211" s="8" t="n">
        <x:f>IFERROR(INDEX('02_RAW_INDEX'!$D:$D,MATCH($A211,'02_RAW_INDEX'!$A:$A,0)),"")</x:f>
        <x:v>4634</x:v>
      </x:c>
      <x:c r="F211" s="8" t="n">
        <x:f>IFERROR(INDEX('02_RAW_INDEX'!$C:$C,MATCH($A211,'02_RAW_INDEX'!$A:$A,0)),"")</x:f>
        <x:v>5700</x:v>
      </x:c>
      <x:c r="G211" s="7" t="n">
        <x:f>'01_Ustawienia'!$B$6</x:f>
        <x:v>0</x:v>
      </x:c>
      <x:c r="H211" s="8" t="n">
        <x:f>IF(E211="","",ROUND(IF('01_Ustawienia'!$B$5="BRUTTO",F211,E211)*(1-G211),0))</x:f>
        <x:v>4634</x:v>
      </x:c>
      <x:c r="I211" s="7" t="n">
        <x:f>IFERROR(IFERROR(INDEX('01_Ustawienia'!$B$15:$B$33,MATCH(B211,'01_Ustawienia'!$A$15:$A$33,0)),0.45),0.45)</x:f>
        <x:v>0.45</x:v>
      </x:c>
      <x:c r="J211" s="8" t="n">
        <x:f>IF(H211="","",ROUND(H211*(1+I211),0))</x:f>
        <x:v>6719</x:v>
      </x:c>
      <x:c r="K211" s="8" t="n">
        <x:f>IFERROR(IFERROR(INDEX(EG_Cennik_uslug!$F:$F,MATCH($A211,EG_Cennik_uslug!$A:$A,0)),0),0)</x:f>
        <x:v>2970</x:v>
      </x:c>
      <x:c r="L211" s="8" t="n">
        <x:f>IFERROR(IFERROR(INDEX(EG_Cennik_uslug!$G:$G,MATCH($A211,EG_Cennik_uslug!$A:$A,0)),0),0)</x:f>
        <x:v>930</x:v>
      </x:c>
      <x:c r="M211" s="7" t="n">
        <x:f>IF('01_Ustawienia'!$B$4="ZWOLNIONY",0,'01_Ustawienia'!$B$7)</x:f>
        <x:v>0.08</x:v>
      </x:c>
      <x:c r="N211" s="8" t="n">
        <x:f>IF(J211="","",ROUND((J211+K211)*(1+M211),0))</x:f>
        <x:v>10464</x:v>
      </x:c>
      <x:c r="O211" s="8" t="n">
        <x:f>IF(J211="","",J211+K211-H211-L211)</x:f>
        <x:v>4125</x:v>
      </x:c>
      <x:c r="P211" s="7" t="n">
        <x:f>IFERROR(O211/(J211+K211),"")</x:f>
        <x:v>0.42574053049850347</x:v>
      </x:c>
      <x:c r="Q211" s="6" t="inlineStr">
        <x:is>
          <x:t xml:space="preserve">RAW_ZP B/C</x:t>
        </x:is>
      </x:c>
      <x:c r="R211" s="6" t="inlineStr">
        <x:is>
          <x:t xml:space="preserve">ZADASZENIE TARASU KONSTRUKCJA</x:t>
        </x:is>
      </x:c>
      <x:c r="S211" s="6" t="inlineStr">
        <x:is>
          <x:t xml:space="preserve">website+crm</x:t>
        </x:is>
      </x:c>
      <x:c r="T211" s="6" t="inlineStr">
        <x:is>
          <x:t xml:space="preserve">Baza dla kalkulatora</x:t>
        </x:is>
      </x:c>
    </x:row>
    <x:row r="212" s="655" customFormat="1" ht="30" customHeight="1">
      <x:c r="A212" s="6" t="inlineStr">
        <x:is>
          <x:t xml:space="preserve">350 x 406 cm</x:t>
        </x:is>
      </x:c>
      <x:c r="B212" s="6" t="inlineStr">
        <x:is>
          <x:t xml:space="preserve">ZS</x:t>
        </x:is>
      </x:c>
      <x:c r="C212" s="6" t="inlineStr">
        <x:is>
          <x:t xml:space="preserve">Zadaszenie szkło - pełna konstrukcja</x:t>
        </x:is>
      </x:c>
      <x:c r="D212" s="6" t="inlineStr">
        <x:is>
          <x:t xml:space="preserve">ZADASZENIE SZKŁO</x:t>
        </x:is>
      </x:c>
      <x:c r="E212" s="8" t="n">
        <x:f>IFERROR(INDEX('02_RAW_INDEX'!$V:$V,MATCH($A212,'02_RAW_INDEX'!$A:$A,0)),"")</x:f>
        <x:v>7114</x:v>
      </x:c>
      <x:c r="F212" s="8" t="n">
        <x:f>IFERROR(INDEX('02_RAW_INDEX'!$U:$U,MATCH($A212,'02_RAW_INDEX'!$A:$A,0)),"")</x:f>
        <x:v>8750</x:v>
      </x:c>
      <x:c r="G212" s="7" t="n">
        <x:f>'01_Ustawienia'!$B$6</x:f>
        <x:v>0</x:v>
      </x:c>
      <x:c r="H212" s="8" t="n">
        <x:f>IF(E212="","",ROUND(IF('01_Ustawienia'!$B$5="BRUTTO",F212,E212)*(1-G212),0))</x:f>
        <x:v>7114</x:v>
      </x:c>
      <x:c r="I212" s="7" t="n">
        <x:f>IFERROR(IFERROR(INDEX('01_Ustawienia'!$B$15:$B$33,MATCH(B212,'01_Ustawienia'!$A$15:$A$33,0)),0.45),0.45)</x:f>
        <x:v>0.45</x:v>
      </x:c>
      <x:c r="J212" s="8" t="n">
        <x:f>IF(H212="","",ROUND(H212*(1+I212),0))</x:f>
        <x:v>10315</x:v>
      </x:c>
      <x:c r="K212" s="8" t="n">
        <x:f>IFERROR(IFERROR(INDEX(EG_Cennik_uslug!$F:$F,MATCH($A212,EG_Cennik_uslug!$A:$A,0)),0),0)</x:f>
        <x:v>2970</x:v>
      </x:c>
      <x:c r="L212" s="8" t="n">
        <x:f>IFERROR(IFERROR(INDEX(EG_Cennik_uslug!$G:$G,MATCH($A212,EG_Cennik_uslug!$A:$A,0)),0),0)</x:f>
        <x:v>930</x:v>
      </x:c>
      <x:c r="M212" s="7" t="n">
        <x:f>IF('01_Ustawienia'!$B$4="ZWOLNIONY",0,'01_Ustawienia'!$B$7)</x:f>
        <x:v>0.08</x:v>
      </x:c>
      <x:c r="N212" s="8" t="n">
        <x:f>IF(J212="","",ROUND((J212+K212)*(1+M212),0))</x:f>
        <x:v>14348</x:v>
      </x:c>
      <x:c r="O212" s="8" t="n">
        <x:f>IF(J212="","",J212+K212-H212-L212)</x:f>
        <x:v>5241</x:v>
      </x:c>
      <x:c r="P212" s="7" t="n">
        <x:f>IFERROR(O212/(J212+K212),"")</x:f>
        <x:v>0.3945050809183289</x:v>
      </x:c>
      <x:c r="Q212" s="6" t="inlineStr">
        <x:is>
          <x:t xml:space="preserve">RAW_ZS B/C</x:t>
        </x:is>
      </x:c>
      <x:c r="R212" s="6" t="inlineStr">
        <x:is>
          <x:t xml:space="preserve">ZADASZENIE TARASU KONSTRUKCJA</x:t>
        </x:is>
      </x:c>
      <x:c r="S212" s="6" t="inlineStr">
        <x:is>
          <x:t xml:space="preserve">crm_only</x:t>
        </x:is>
      </x:c>
      <x:c r="T212" s="6" t="inlineStr">
        <x:is>
          <x:t xml:space="preserve">Referencyjne/full; strona zwykle używa ZP + PDS</x:t>
        </x:is>
      </x:c>
    </x:row>
    <x:row r="213" s="655" customFormat="1" ht="30" customHeight="1">
      <x:c r="A213" s="6" t="inlineStr">
        <x:is>
          <x:t xml:space="preserve">350 x 406 cm</x:t>
        </x:is>
      </x:c>
      <x:c r="B213" s="6" t="inlineStr">
        <x:is>
          <x:t xml:space="preserve">OP</x:t>
        </x:is>
      </x:c>
      <x:c r="C213" s="6" t="inlineStr">
        <x:is>
          <x:t xml:space="preserve">Ogród zimowy poliwęglan - baza</x:t>
        </x:is>
      </x:c>
      <x:c r="D213" s="6" t="inlineStr">
        <x:is>
          <x:t xml:space="preserve">OGRODY POLIWĘGLAN</x:t>
        </x:is>
      </x:c>
      <x:c r="E213" s="8" t="n">
        <x:f>IFERROR(INDEX('02_RAW_INDEX'!$Z:$Z,MATCH($A213,'02_RAW_INDEX'!$A:$A,0)),"")</x:f>
        <x:v>15276</x:v>
      </x:c>
      <x:c r="F213" s="8" t="n">
        <x:f>IFERROR(INDEX('02_RAW_INDEX'!$Y:$Y,MATCH($A213,'02_RAW_INDEX'!$A:$A,0)),"")</x:f>
        <x:v>18790</x:v>
      </x:c>
      <x:c r="G213" s="7" t="n">
        <x:f>'01_Ustawienia'!$B$6</x:f>
        <x:v>0</x:v>
      </x:c>
      <x:c r="H213" s="8" t="n">
        <x:f>IF(E213="","",ROUND(IF('01_Ustawienia'!$B$5="BRUTTO",F213,E213)*(1-G213),0))</x:f>
        <x:v>15276</x:v>
      </x:c>
      <x:c r="I213" s="7" t="n">
        <x:f>IFERROR(IFERROR(INDEX('01_Ustawienia'!$B$15:$B$33,MATCH(B213,'01_Ustawienia'!$A$15:$A$33,0)),0.45),0.45)</x:f>
        <x:v>0.45</x:v>
      </x:c>
      <x:c r="J213" s="8" t="n">
        <x:f>IF(H213="","",ROUND(H213*(1+I213),0))</x:f>
        <x:v>22150</x:v>
      </x:c>
      <x:c r="K213" s="8" t="n">
        <x:f>IFERROR(IFERROR(INDEX(EG_Cennik_uslug!$N:$N,MATCH($A213,EG_Cennik_uslug!$A:$A,0)),0),0)</x:f>
        <x:v>4090</x:v>
      </x:c>
      <x:c r="L213" s="8" t="n">
        <x:f>IFERROR(IFERROR(INDEX(EG_Cennik_uslug!$O:$O,MATCH($A213,EG_Cennik_uslug!$A:$A,0)),0),0)</x:f>
        <x:v>1300</x:v>
      </x:c>
      <x:c r="M213" s="7" t="n">
        <x:f>IF('01_Ustawienia'!$B$4="ZWOLNIONY",0,'01_Ustawienia'!$B$7)</x:f>
        <x:v>0.08</x:v>
      </x:c>
      <x:c r="N213" s="8" t="n">
        <x:f>IF(J213="","",ROUND((J213+K213)*(1+M213),0))</x:f>
        <x:v>28339</x:v>
      </x:c>
      <x:c r="O213" s="8" t="n">
        <x:f>IF(J213="","",J213+K213-H213-L213)</x:f>
        <x:v>9664</x:v>
      </x:c>
      <x:c r="P213" s="7" t="n">
        <x:f>IFERROR(O213/(J213+K213),"")</x:f>
        <x:v>0.36829268292682926</x:v>
      </x:c>
      <x:c r="Q213" s="6" t="inlineStr">
        <x:is>
          <x:t xml:space="preserve">RAW_OP B/C</x:t>
        </x:is>
      </x:c>
      <x:c r="R213" s="6" t="inlineStr">
        <x:is>
          <x:t xml:space="preserve">OGRÓD ZIMOWY (KONSTRUKCJA)</x:t>
        </x:is>
      </x:c>
      <x:c r="S213" s="6" t="inlineStr">
        <x:is>
          <x:t xml:space="preserve">website+crm</x:t>
        </x:is>
      </x:c>
      <x:c r="T213" s="6" t="inlineStr">
        <x:is>
          <x:t xml:space="preserve">Do wyliczenia dopłaty za ściany</x:t>
        </x:is>
      </x:c>
    </x:row>
    <x:row r="214" s="655" customFormat="1" ht="30" customHeight="1">
      <x:c r="A214" s="6" t="inlineStr">
        <x:is>
          <x:t xml:space="preserve">350 x 406 cm</x:t>
        </x:is>
      </x:c>
      <x:c r="B214" s="6" t="inlineStr">
        <x:is>
          <x:t xml:space="preserve">OS</x:t>
        </x:is>
      </x:c>
      <x:c r="C214" s="6" t="inlineStr">
        <x:is>
          <x:t xml:space="preserve">Ogród zimowy szkło - pełna konstrukcja</x:t>
        </x:is>
      </x:c>
      <x:c r="D214" s="6" t="inlineStr">
        <x:is>
          <x:t xml:space="preserve">OGRODY SZKŁO</x:t>
        </x:is>
      </x:c>
      <x:c r="E214" s="8" t="n">
        <x:f>IFERROR(INDEX('02_RAW_INDEX'!$AL:$AL,MATCH($A214,'02_RAW_INDEX'!$A:$A,0)),"")</x:f>
        <x:v>17756</x:v>
      </x:c>
      <x:c r="F214" s="8" t="n">
        <x:f>IFERROR(INDEX('02_RAW_INDEX'!$AK:$AK,MATCH($A214,'02_RAW_INDEX'!$A:$A,0)),"")</x:f>
        <x:v>21840</x:v>
      </x:c>
      <x:c r="G214" s="7" t="n">
        <x:f>'01_Ustawienia'!$B$6</x:f>
        <x:v>0</x:v>
      </x:c>
      <x:c r="H214" s="8" t="n">
        <x:f>IF(E214="","",ROUND(IF('01_Ustawienia'!$B$5="BRUTTO",F214,E214)*(1-G214),0))</x:f>
        <x:v>17756</x:v>
      </x:c>
      <x:c r="I214" s="7" t="n">
        <x:f>IFERROR(IFERROR(INDEX('01_Ustawienia'!$B$15:$B$33,MATCH(B214,'01_Ustawienia'!$A$15:$A$33,0)),0.45),0.45)</x:f>
        <x:v>0.45</x:v>
      </x:c>
      <x:c r="J214" s="8" t="n">
        <x:f>IF(H214="","",ROUND(H214*(1+I214),0))</x:f>
        <x:v>25746</x:v>
      </x:c>
      <x:c r="K214" s="8" t="n">
        <x:f>IFERROR(IFERROR(INDEX(EG_Cennik_uslug!$N:$N,MATCH($A214,EG_Cennik_uslug!$A:$A,0)),0),0)</x:f>
        <x:v>4090</x:v>
      </x:c>
      <x:c r="L214" s="8" t="n">
        <x:f>IFERROR(IFERROR(INDEX(EG_Cennik_uslug!$O:$O,MATCH($A214,EG_Cennik_uslug!$A:$A,0)),0),0)</x:f>
        <x:v>1300</x:v>
      </x:c>
      <x:c r="M214" s="7" t="n">
        <x:f>IF('01_Ustawienia'!$B$4="ZWOLNIONY",0,'01_Ustawienia'!$B$7)</x:f>
        <x:v>0.08</x:v>
      </x:c>
      <x:c r="N214" s="8" t="n">
        <x:f>IF(J214="","",ROUND((J214+K214)*(1+M214),0))</x:f>
        <x:v>32223</x:v>
      </x:c>
      <x:c r="O214" s="8" t="n">
        <x:f>IF(J214="","",J214+K214-H214-L214)</x:f>
        <x:v>10780</x:v>
      </x:c>
      <x:c r="P214" s="7" t="n">
        <x:f>IFERROR(O214/(J214+K214),"")</x:f>
        <x:v>0.3613084863922778</x:v>
      </x:c>
      <x:c r="Q214" s="6" t="inlineStr">
        <x:is>
          <x:t xml:space="preserve">RAW_OS B/C</x:t>
        </x:is>
      </x:c>
      <x:c r="R214" s="6" t="inlineStr">
        <x:is>
          <x:t xml:space="preserve">OGRÓD ZIMOWY (KONSTRUKCJA)</x:t>
        </x:is>
      </x:c>
      <x:c r="S214" s="6" t="inlineStr">
        <x:is>
          <x:t xml:space="preserve">crm_only</x:t>
        </x:is>
      </x:c>
      <x:c r="T214" s="6" t="inlineStr">
        <x:is>
          <x:t xml:space="preserve">Referencyjne/full</x:t>
        </x:is>
      </x:c>
    </x:row>
    <x:row r="215" s="655" customFormat="1" ht="30" customHeight="1">
      <x:c r="A215" s="6" t="inlineStr">
        <x:is>
          <x:t xml:space="preserve">350 x 406 cm</x:t>
        </x:is>
      </x:c>
      <x:c r="B215" s="6" t="inlineStr">
        <x:is>
          <x:t xml:space="preserve">PDS</x:t>
        </x:is>
      </x:c>
      <x:c r="C215" s="6" t="inlineStr">
        <x:is>
          <x:t xml:space="preserve">Dopłata dach szkło przezroczyste</x:t>
        </x:is>
      </x:c>
      <x:c r="D215" s="6" t="inlineStr">
        <x:is>
          <x:t xml:space="preserve">POKRYCIE DACHU SZKŁO</x:t>
        </x:is>
      </x:c>
      <x:c r="E215" s="8" t="n">
        <x:f>IFERROR(IFERROR(INDEX('02_RAW_INDEX'!$V:$V,MATCH($A215,'02_RAW_INDEX'!$A:$A,0)),"")-IFERROR(INDEX('02_RAW_INDEX'!$D:$D,MATCH($A215,'02_RAW_INDEX'!$A:$A,0)),""),"")</x:f>
        <x:v>2480</x:v>
      </x:c>
      <x:c r="F215" s="8" t="n">
        <x:f>IFERROR(IFERROR(INDEX('02_RAW_INDEX'!$U:$U,MATCH($A215,'02_RAW_INDEX'!$A:$A,0)),"")-IFERROR(INDEX('02_RAW_INDEX'!$C:$C,MATCH($A215,'02_RAW_INDEX'!$A:$A,0)),""),"")</x:f>
        <x:v>3050</x:v>
      </x:c>
      <x:c r="G215" s="7" t="n">
        <x:f>'01_Ustawienia'!$B$6</x:f>
        <x:v>0</x:v>
      </x:c>
      <x:c r="H215" s="8" t="n">
        <x:f>IF(E215="","",ROUND(IF('01_Ustawienia'!$B$5="BRUTTO",F215,E215)*(1-G215),0))</x:f>
        <x:v>2480</x:v>
      </x:c>
      <x:c r="I215" s="7" t="n">
        <x:f>IFERROR(IFERROR(INDEX('01_Ustawienia'!$B$15:$B$33,MATCH(B215,'01_Ustawienia'!$A$15:$A$33,0)),0.45),0.45)</x:f>
        <x:v>0.45</x:v>
      </x:c>
      <x:c r="J215" s="8" t="n">
        <x:f>IF(H215="","",ROUND(H215*(1+I215),0))</x:f>
        <x:v>3596</x:v>
      </x:c>
      <x:c r="K215" s="8" t="n">
        <x:f>0</x:f>
        <x:v>0</x:v>
      </x:c>
      <x:c r="L215" s="8" t="n">
        <x:v>0</x:v>
      </x:c>
      <x:c r="M215" s="7" t="n">
        <x:f>IF('01_Ustawienia'!$B$4="ZWOLNIONY",0,'01_Ustawienia'!$B$7)</x:f>
        <x:v>0.08</x:v>
      </x:c>
      <x:c r="N215" s="8" t="n">
        <x:f>IF(J215="","",ROUND((J215+K215)*(1+M215),0))</x:f>
        <x:v>3884</x:v>
      </x:c>
      <x:c r="O215" s="8" t="n">
        <x:f>IF(J215="","",J215+K215-H215-L215)</x:f>
        <x:v>1116</x:v>
      </x:c>
      <x:c r="P215" s="7" t="n">
        <x:f>IFERROR(O215/(J215+K215),"")</x:f>
        <x:v>0.3103448275862069</x:v>
      </x:c>
      <x:c r="Q215" s="6" t="inlineStr">
        <x:is>
          <x:t xml:space="preserve">RAW_ZS - RAW_ZP</x:t>
        </x:is>
      </x:c>
      <x:c r="R215" s="6" t="inlineStr">
        <x:is>
          <x:t xml:space="preserve">POKRYCIE DACHU</x:t>
        </x:is>
      </x:c>
      <x:c r="S215" s="6" t="inlineStr">
        <x:is>
          <x:t xml:space="preserve">website+crm</x:t>
        </x:is>
      </x:c>
      <x:c r="T215" s="6" t="inlineStr">
        <x:is>
          <x:t xml:space="preserve">Dopłata do bazowego dachu poliwęglan | FIX17: Wynagr.+koszty = 0 dla dopłaty; nie jest osobnym montażem ekipy.</x:t>
        </x:is>
      </x:c>
    </x:row>
    <x:row r="216" s="655" customFormat="1" ht="30" customHeight="1">
      <x:c r="A216" s="6" t="inlineStr">
        <x:is>
          <x:t xml:space="preserve">350 x 406 cm</x:t>
        </x:is>
      </x:c>
      <x:c r="B216" s="6" t="inlineStr">
        <x:is>
          <x:t xml:space="preserve">PDSB</x:t>
        </x:is>
      </x:c>
      <x:c r="C216" s="6" t="inlineStr">
        <x:is>
          <x:t xml:space="preserve">Dopłata dach szkło barwione/mleczne</x:t>
        </x:is>
      </x:c>
      <x:c r="D216" s="6" t="inlineStr">
        <x:is>
          <x:t xml:space="preserve">POKRYCIE DACHU SZKŁO BARWIONE</x:t>
        </x:is>
      </x:c>
      <x:c r="E216" s="8" t="n">
        <x:f>IFERROR(INDEX('02_RAW_INDEX'!$X:$X,MATCH($A216,'02_RAW_INDEX'!$A:$A,0)),"")</x:f>
        <x:v>366</x:v>
      </x:c>
      <x:c r="F216" s="8" t="n">
        <x:f>IFERROR(INDEX('02_RAW_INDEX'!$W:$W,MATCH($A216,'02_RAW_INDEX'!$A:$A,0)),"")</x:f>
        <x:v>450</x:v>
      </x:c>
      <x:c r="G216" s="7" t="n">
        <x:f>'01_Ustawienia'!$B$6</x:f>
        <x:v>0</x:v>
      </x:c>
      <x:c r="H216" s="8" t="n">
        <x:f>IF(E216="","",ROUND(IF('01_Ustawienia'!$B$5="BRUTTO",F216,E216)*(1-G216),0))</x:f>
        <x:v>366</x:v>
      </x:c>
      <x:c r="I216" s="7" t="n">
        <x:f>IFERROR(IFERROR(INDEX('01_Ustawienia'!$B$15:$B$33,MATCH(B216,'01_Ustawienia'!$A$15:$A$33,0)),0.45),0.45)</x:f>
        <x:v>0.45</x:v>
      </x:c>
      <x:c r="J216" s="8" t="n">
        <x:f>IF(H216="","",ROUND(H216*(1+I216),0))</x:f>
        <x:v>531</x:v>
      </x:c>
      <x:c r="K216" s="8" t="n">
        <x:f>0</x:f>
        <x:v>0</x:v>
      </x:c>
      <x:c r="L216" s="8" t="n">
        <x:v>0</x:v>
      </x:c>
      <x:c r="M216" s="7" t="n">
        <x:f>IF('01_Ustawienia'!$B$4="ZWOLNIONY",0,'01_Ustawienia'!$B$7)</x:f>
        <x:v>0.08</x:v>
      </x:c>
      <x:c r="N216" s="8" t="n">
        <x:f>IF(J216="","",ROUND((J216+K216)*(1+M216),0))</x:f>
        <x:v>573</x:v>
      </x:c>
      <x:c r="O216" s="8" t="n">
        <x:f>IF(J216="","",J216+K216-H216-L216)</x:f>
        <x:v>165</x:v>
      </x:c>
      <x:c r="P216" s="7" t="n">
        <x:f>IFERROR(O216/(J216+K216),"")</x:f>
        <x:v>0.3107344632768362</x:v>
      </x:c>
      <x:c r="Q216" s="6" t="inlineStr">
        <x:is>
          <x:t xml:space="preserve">RAW_ZS D/E</x:t>
        </x:is>
      </x:c>
      <x:c r="R216" s="6" t="inlineStr">
        <x:is>
          <x:t xml:space="preserve">POKRYCIE DACHU</x:t>
        </x:is>
      </x:c>
      <x:c r="S216" s="6" t="inlineStr">
        <x:is>
          <x:t xml:space="preserve">website+crm</x:t>
        </x:is>
      </x:c>
      <x:c r="T216" s="6" t="inlineStr">
        <x:is>
          <x:t xml:space="preserve">Dodawane do PDS | FIX17: Wynagr.+koszty = 0 dla dopłaty; nie jest osobnym montażem ekipy.</x:t>
        </x:is>
      </x:c>
    </x:row>
    <x:row r="217" s="655" customFormat="1" ht="30" customHeight="1">
      <x:c r="A217" s="6" t="inlineStr">
        <x:is>
          <x:t xml:space="preserve">350 x 406 cm</x:t>
        </x:is>
      </x:c>
      <x:c r="B217" s="6" t="inlineStr">
        <x:is>
          <x:t xml:space="preserve">PDPB</x:t>
        </x:is>
      </x:c>
      <x:c r="C217" s="6" t="inlineStr">
        <x:is>
          <x:t xml:space="preserve">Dopłata poliwęglan barwiony</x:t>
        </x:is>
      </x:c>
      <x:c r="D217" s="6" t="inlineStr">
        <x:is>
          <x:t xml:space="preserve">POKRYCIE DACHU POLIWĘGLAN BARWIONY</x:t>
        </x:is>
      </x:c>
      <x:c r="E217" s="8" t="n">
        <x:f>IFERROR(INDEX('02_RAW_INDEX'!$F:$F,MATCH($A217,'02_RAW_INDEX'!$A:$A,0)),"")</x:f>
        <x:v>163</x:v>
      </x:c>
      <x:c r="F217" s="8" t="n">
        <x:f>IFERROR(INDEX('02_RAW_INDEX'!$E:$E,MATCH($A217,'02_RAW_INDEX'!$A:$A,0)),"")</x:f>
        <x:v>200</x:v>
      </x:c>
      <x:c r="G217" s="7" t="n">
        <x:f>'01_Ustawienia'!$B$6</x:f>
        <x:v>0</x:v>
      </x:c>
      <x:c r="H217" s="8" t="n">
        <x:f>IF(E217="","",ROUND(IF('01_Ustawienia'!$B$5="BRUTTO",F217,E217)*(1-G217),0))</x:f>
        <x:v>163</x:v>
      </x:c>
      <x:c r="I217" s="7" t="n">
        <x:f>IFERROR(IFERROR(INDEX('01_Ustawienia'!$B$15:$B$33,MATCH(B217,'01_Ustawienia'!$A$15:$A$33,0)),0.45),0.45)</x:f>
        <x:v>0.45</x:v>
      </x:c>
      <x:c r="J217" s="8" t="n">
        <x:f>IF(H217="","",ROUND(H217*(1+I217),0))</x:f>
        <x:v>236</x:v>
      </x:c>
      <x:c r="K217" s="8" t="n">
        <x:f>0</x:f>
        <x:v>0</x:v>
      </x:c>
      <x:c r="L217" s="8" t="n">
        <x:v>0</x:v>
      </x:c>
      <x:c r="M217" s="7" t="n">
        <x:f>IF('01_Ustawienia'!$B$4="ZWOLNIONY",0,'01_Ustawienia'!$B$7)</x:f>
        <x:v>0.08</x:v>
      </x:c>
      <x:c r="N217" s="8" t="n">
        <x:f>IF(J217="","",ROUND((J217+K217)*(1+M217),0))</x:f>
        <x:v>255</x:v>
      </x:c>
      <x:c r="O217" s="8" t="n">
        <x:f>IF(J217="","",J217+K217-H217-L217)</x:f>
        <x:v>73</x:v>
      </x:c>
      <x:c r="P217" s="7" t="n">
        <x:f>IFERROR(O217/(J217+K217),"")</x:f>
        <x:v>0.3093220338983051</x:v>
      </x:c>
      <x:c r="Q217" s="6" t="inlineStr">
        <x:is>
          <x:t xml:space="preserve">RAW_ZP D/E</x:t>
        </x:is>
      </x:c>
      <x:c r="R217" s="6" t="inlineStr">
        <x:is>
          <x:t xml:space="preserve">POKRYCIE DACHU</x:t>
        </x:is>
      </x:c>
      <x:c r="S217" s="6" t="inlineStr">
        <x:is>
          <x:t xml:space="preserve">website+crm</x:t>
        </x:is>
      </x:c>
      <x:c r="T217" s="6" t="inlineStr">
        <x:is>
          <x:t xml:space="preserve">FIX17: Wynagr.+koszty = 0 dla dopłaty; nie jest osobnym montażem ekipy.</x:t>
        </x:is>
      </x:c>
    </x:row>
    <x:row r="218" s="655" customFormat="1" ht="30" customHeight="1">
      <x:c r="A218" s="6" t="inlineStr">
        <x:is>
          <x:t xml:space="preserve">350 x 406 cm</x:t>
        </x:is>
      </x:c>
      <x:c r="B218" s="6" t="inlineStr">
        <x:is>
          <x:t xml:space="preserve">SBB</x:t>
        </x:is>
      </x:c>
      <x:c r="C218" s="6" t="inlineStr">
        <x:is>
          <x:t xml:space="preserve">Dopłata szkło boczne przyciemniane</x:t>
        </x:is>
      </x:c>
      <x:c r="D218" s="6" t="inlineStr">
        <x:is>
          <x:t xml:space="preserve">SZKŁO BOCZNE BARWIONE</x:t>
        </x:is>
      </x:c>
      <x:c r="E218" s="8" t="n">
        <x:f>IFERROR(INDEX('02_RAW_INDEX'!$AB:$AB,MATCH($A218,'02_RAW_INDEX'!$A:$A,0)),"")</x:f>
        <x:v>1171</x:v>
      </x:c>
      <x:c r="F218" s="8" t="n">
        <x:f>IFERROR(INDEX('02_RAW_INDEX'!$AA:$AA,MATCH($A218,'02_RAW_INDEX'!$A:$A,0)),"")</x:f>
        <x:v>1440</x:v>
      </x:c>
      <x:c r="G218" s="7" t="n">
        <x:f>'01_Ustawienia'!$B$6</x:f>
        <x:v>0</x:v>
      </x:c>
      <x:c r="H218" s="8" t="n">
        <x:f>IF(E218="","",ROUND(IF('01_Ustawienia'!$B$5="BRUTTO",F218,E218)*(1-G218),0))</x:f>
        <x:v>1171</x:v>
      </x:c>
      <x:c r="I218" s="7" t="n">
        <x:f>IFERROR(IFERROR(INDEX('01_Ustawienia'!$B$15:$B$33,MATCH(B218,'01_Ustawienia'!$A$15:$A$33,0)),0.45),0.45)</x:f>
        <x:v>0.45</x:v>
      </x:c>
      <x:c r="J218" s="8" t="n">
        <x:f>IF(H218="","",ROUND(H218*(1+I218),0))</x:f>
        <x:v>1698</x:v>
      </x:c>
      <x:c r="K218" s="8" t="n">
        <x:f>0</x:f>
        <x:v>0</x:v>
      </x:c>
      <x:c r="L218" s="8" t="n">
        <x:v>0</x:v>
      </x:c>
      <x:c r="M218" s="7" t="n">
        <x:f>IF('01_Ustawienia'!$B$4="ZWOLNIONY",0,'01_Ustawienia'!$B$7)</x:f>
        <x:v>0.08</x:v>
      </x:c>
      <x:c r="N218" s="8" t="n">
        <x:f>IF(J218="","",ROUND((J218+K218)*(1+M218),0))</x:f>
        <x:v>1834</x:v>
      </x:c>
      <x:c r="O218" s="8" t="n">
        <x:f>IF(J218="","",J218+K218-H218-L218)</x:f>
        <x:v>527</x:v>
      </x:c>
      <x:c r="P218" s="7" t="n">
        <x:f>IFERROR(O218/(J218+K218),"")</x:f>
        <x:v>0.31036513545347466</x:v>
      </x:c>
      <x:c r="Q218" s="6" t="inlineStr">
        <x:is>
          <x:t xml:space="preserve">RAW_OP H/I</x:t>
        </x:is>
      </x:c>
      <x:c r="R218" s="6" t="inlineStr">
        <x:is>
          <x:t xml:space="preserve">SZYBY BOCZNE</x:t>
        </x:is>
      </x:c>
      <x:c r="S218" s="6" t="inlineStr">
        <x:is>
          <x:t xml:space="preserve">website+crm</x:t>
        </x:is>
      </x:c>
      <x:c r="T218" s="6" t="inlineStr">
        <x:is>
          <x:t xml:space="preserve">Dodawane do ścian przezroczystych | FIX17: Wynagr.+koszty = 0 dla dopłaty; nie jest osobnym montażem ekipy.</x:t>
        </x:is>
      </x:c>
    </x:row>
    <x:row r="219">
      <x:c r="A219" s="6" t="inlineStr">
        <x:is>
          <x:t xml:space="preserve">350 x 406 cm</x:t>
        </x:is>
      </x:c>
      <x:c r="B219" s="6" t="inlineStr">
        <x:is>
          <x:t xml:space="preserve">RB</x:t>
        </x:is>
      </x:c>
      <x:c r="C219" s="6" t="inlineStr">
        <x:is>
          <x:t xml:space="preserve">Roleta boczna ZIP</x:t>
        </x:is>
      </x:c>
      <x:c r="D219" s="6" t="inlineStr">
        <x:is>
          <x:t xml:space="preserve">ROLETA BOCZNA</x:t>
        </x:is>
      </x:c>
      <x:c r="E219" s="8" t="n">
        <x:f>IFERROR(INDEX('02_RAW_INDEX'!$J:$J,MATCH($A219,'02_RAW_INDEX'!$A:$A,0)),"")</x:f>
        <x:v>1902</x:v>
      </x:c>
      <x:c r="F219" s="8" t="n">
        <x:f>IFERROR(INDEX('02_RAW_INDEX'!$I:$I,MATCH($A219,'02_RAW_INDEX'!$A:$A,0)),"")</x:f>
        <x:v>2340</x:v>
      </x:c>
      <x:c r="G219" s="7" t="n">
        <x:f>'01_Ustawienia'!$B$6</x:f>
        <x:v>0</x:v>
      </x:c>
      <x:c r="H219" s="8" t="n">
        <x:f>IF(E219="","",ROUND(IF('01_Ustawienia'!$B$5="BRUTTO",F219,E219)*(1-G219),0))</x:f>
        <x:v>1902</x:v>
      </x:c>
      <x:c r="I219" s="7" t="n">
        <x:f>IFERROR(IFERROR(INDEX('01_Ustawienia'!$B$15:$B$33,MATCH(B219,'01_Ustawienia'!$A$15:$A$33,0)),0.45),0.45)</x:f>
        <x:v>0.45</x:v>
      </x:c>
      <x:c r="J219" s="8" t="n">
        <x:f>IF(H219="","",ROUND(H219*(1+I219),0))</x:f>
        <x:v>2758</x:v>
      </x:c>
      <x:c r="K219" s="8" t="n">
        <x:f>0</x:f>
        <x:v>0</x:v>
      </x:c>
      <x:c r="L219" s="8" t="n">
        <x:f>IFERROR(IFERROR(INDEX(EG_Cennik_uslug!$AC:$AC,MATCH($A219,EG_Cennik_uslug!$A:$A,0)),0),0)</x:f>
        <x:v>150</x:v>
      </x:c>
      <x:c r="M219" s="7" t="n">
        <x:f>IF('01_Ustawienia'!$B$4="ZWOLNIONY",0,'01_Ustawienia'!$B$7)</x:f>
        <x:v>0.08</x:v>
      </x:c>
      <x:c r="N219" s="8" t="n">
        <x:f>IF(J219="","",ROUND((J219+K219)*(1+M219),0))</x:f>
        <x:v>2979</x:v>
      </x:c>
      <x:c r="O219" s="8" t="n">
        <x:f>IF(J219="","",J219+K219-H219-L219)</x:f>
        <x:v>706</x:v>
      </x:c>
      <x:c r="P219" s="7" t="n">
        <x:f>IFERROR(O219/(J219+K219),"")</x:f>
        <x:v>0.25598259608411894</x:v>
      </x:c>
      <x:c r="Q219" s="6" t="inlineStr">
        <x:is>
          <x:t xml:space="preserve">RAW_ZP J/K</x:t>
        </x:is>
      </x:c>
      <x:c r="R219" s="6" t="inlineStr">
        <x:is>
          <x:t xml:space="preserve">ROLETY BOCZNE</x:t>
        </x:is>
      </x:c>
      <x:c r="S219" s="6" t="inlineStr">
        <x:is>
          <x:t xml:space="preserve">website+crm</x:t>
        </x:is>
      </x:c>
      <x:c r="T219" s="6" t="inlineStr">
        <x:is>
          <x:t xml:space="preserve">Używana dla lewej i prawej</x:t>
        </x:is>
      </x:c>
    </x:row>
    <x:row r="220">
      <x:c r="A220" s="6" t="inlineStr">
        <x:is>
          <x:t xml:space="preserve">350 x 406 cm</x:t>
        </x:is>
      </x:c>
      <x:c r="B220" s="6" t="inlineStr">
        <x:is>
          <x:t xml:space="preserve">RP</x:t>
        </x:is>
      </x:c>
      <x:c r="C220" s="6" t="inlineStr">
        <x:is>
          <x:t xml:space="preserve">Roleta przednia ZIP</x:t>
        </x:is>
      </x:c>
      <x:c r="D220" s="6" t="inlineStr">
        <x:is>
          <x:t xml:space="preserve">ROLETA PRZÓD</x:t>
        </x:is>
      </x:c>
      <x:c r="E220" s="8" t="n">
        <x:f>IFERROR(INDEX('02_RAW_INDEX'!$L:$L,MATCH($A220,'02_RAW_INDEX'!$A:$A,0)),"")</x:f>
        <x:v>2146</x:v>
      </x:c>
      <x:c r="F220" s="8" t="n">
        <x:f>IFERROR(INDEX('02_RAW_INDEX'!$K:$K,MATCH($A220,'02_RAW_INDEX'!$A:$A,0)),"")</x:f>
        <x:v>2640</x:v>
      </x:c>
      <x:c r="G220" s="7" t="n">
        <x:f>'01_Ustawienia'!$B$6</x:f>
        <x:v>0</x:v>
      </x:c>
      <x:c r="H220" s="8" t="n">
        <x:f>IF(E220="","",ROUND(IF('01_Ustawienia'!$B$5="BRUTTO",F220,E220)*(1-G220),0))</x:f>
        <x:v>2146</x:v>
      </x:c>
      <x:c r="I220" s="7" t="n">
        <x:f>IFERROR(IFERROR(INDEX('01_Ustawienia'!$B$15:$B$33,MATCH(B220,'01_Ustawienia'!$A$15:$A$33,0)),0.45),0.45)</x:f>
        <x:v>0.45</x:v>
      </x:c>
      <x:c r="J220" s="8" t="n">
        <x:f>IF(H220="","",ROUND(H220*(1+I220),0))</x:f>
        <x:v>3112</x:v>
      </x:c>
      <x:c r="K220" s="8" t="n">
        <x:f>0</x:f>
        <x:v>0</x:v>
      </x:c>
      <x:c r="L220" s="8" t="n">
        <x:f>IFERROR(IFERROR(INDEX(EG_Cennik_uslug!$AJ:$AJ,MATCH($A220,EG_Cennik_uslug!$A:$A,0)),0),0)</x:f>
        <x:v>150</x:v>
      </x:c>
      <x:c r="M220" s="7" t="n">
        <x:f>IF('01_Ustawienia'!$B$4="ZWOLNIONY",0,'01_Ustawienia'!$B$7)</x:f>
        <x:v>0.08</x:v>
      </x:c>
      <x:c r="N220" s="8" t="n">
        <x:f>IF(J220="","",ROUND((J220+K220)*(1+M220),0))</x:f>
        <x:v>3361</x:v>
      </x:c>
      <x:c r="O220" s="8" t="n">
        <x:f>IF(J220="","",J220+K220-H220-L220)</x:f>
        <x:v>816</x:v>
      </x:c>
      <x:c r="P220" s="7" t="n">
        <x:f>IFERROR(O220/(J220+K220),"")</x:f>
        <x:v>0.2622107969151671</x:v>
      </x:c>
      <x:c r="Q220" s="6" t="inlineStr">
        <x:is>
          <x:t xml:space="preserve">RAW_ZP N/O</x:t>
        </x:is>
      </x:c>
      <x:c r="R220" s="6" t="inlineStr">
        <x:is>
          <x:t xml:space="preserve">ROLETY BOCZNE</x:t>
        </x:is>
      </x:c>
      <x:c r="S220" s="6" t="inlineStr">
        <x:is>
          <x:t xml:space="preserve">website+crm</x:t>
        </x:is>
      </x:c>
      <x:c r="T220" s="6" t="n"/>
    </x:row>
    <x:row r="221">
      <x:c r="A221" s="6" t="inlineStr">
        <x:is>
          <x:t xml:space="preserve">350 x 406 cm</x:t>
        </x:is>
      </x:c>
      <x:c r="B221" s="6" t="inlineStr">
        <x:is>
          <x:t xml:space="preserve">M</x:t>
        </x:is>
      </x:c>
      <x:c r="C221" s="6" t="inlineStr">
        <x:is>
          <x:t xml:space="preserve">Markiza dachowa</x:t>
        </x:is>
      </x:c>
      <x:c r="D221" s="6" t="inlineStr">
        <x:is>
          <x:t xml:space="preserve">MARKIZA</x:t>
        </x:is>
      </x:c>
      <x:c r="E221" s="8" t="n">
        <x:f>IFERROR(INDEX('02_RAW_INDEX'!$H:$H,MATCH($A221,'02_RAW_INDEX'!$A:$A,0)),"")</x:f>
        <x:v>3659</x:v>
      </x:c>
      <x:c r="F221" s="8" t="n">
        <x:f>IFERROR(INDEX('02_RAW_INDEX'!$G:$G,MATCH($A221,'02_RAW_INDEX'!$A:$A,0)),"")</x:f>
        <x:v>4500</x:v>
      </x:c>
      <x:c r="G221" s="7" t="n">
        <x:f>'01_Ustawienia'!$B$6</x:f>
        <x:v>0</x:v>
      </x:c>
      <x:c r="H221" s="8" t="n">
        <x:f>IF(E221="","",ROUND(IF('01_Ustawienia'!$B$5="BRUTTO",F221,E221)*(1-G221),0))</x:f>
        <x:v>3659</x:v>
      </x:c>
      <x:c r="I221" s="7" t="n">
        <x:f>IFERROR(IFERROR(INDEX('01_Ustawienia'!$B$15:$B$33,MATCH(B221,'01_Ustawienia'!$A$15:$A$33,0)),0.45),0.45)</x:f>
        <x:v>0.45</x:v>
      </x:c>
      <x:c r="J221" s="8" t="n">
        <x:f>IF(H221="","",ROUND(H221*(1+I221),0))</x:f>
        <x:v>5306</x:v>
      </x:c>
      <x:c r="K221" s="8" t="n">
        <x:f>0</x:f>
        <x:v>0</x:v>
      </x:c>
      <x:c r="L221" s="8" t="n">
        <x:f>IFERROR(IFERROR(INDEX(EG_Cennik_uslug!$AQ:$AQ,MATCH($A221,EG_Cennik_uslug!$A:$A,0)),0),0)</x:f>
        <x:v>250</x:v>
      </x:c>
      <x:c r="M221" s="7" t="n">
        <x:f>IF('01_Ustawienia'!$B$4="ZWOLNIONY",0,'01_Ustawienia'!$B$7)</x:f>
        <x:v>0.08</x:v>
      </x:c>
      <x:c r="N221" s="8" t="n">
        <x:f>IF(J221="","",ROUND((J221+K221)*(1+M221),0))</x:f>
        <x:v>5730</x:v>
      </x:c>
      <x:c r="O221" s="8" t="n">
        <x:f>IF(J221="","",J221+K221-H221-L221)</x:f>
        <x:v>1397</x:v>
      </x:c>
      <x:c r="P221" s="7" t="n">
        <x:f>IFERROR(O221/(J221+K221),"")</x:f>
        <x:v>0.26328684508104033</x:v>
      </x:c>
      <x:c r="Q221" s="6" t="inlineStr">
        <x:is>
          <x:t xml:space="preserve">RAW_ZP H/I</x:t>
        </x:is>
      </x:c>
      <x:c r="R221" s="6" t="inlineStr">
        <x:is>
          <x:t xml:space="preserve">MARKIZA</x:t>
        </x:is>
      </x:c>
      <x:c r="S221" s="6" t="inlineStr">
        <x:is>
          <x:t xml:space="preserve">website+crm</x:t>
        </x:is>
      </x:c>
      <x:c r="T221" s="6" t="n"/>
    </x:row>
    <x:row r="222">
      <x:c r="A222" s="6" t="inlineStr">
        <x:is>
          <x:t xml:space="preserve">350 x 406 cm</x:t>
        </x:is>
      </x:c>
      <x:c r="B222" s="6" t="inlineStr">
        <x:is>
          <x:t xml:space="preserve">PDWP</x:t>
        </x:is>
      </x:c>
      <x:c r="C222" s="6" t="inlineStr">
        <x:is>
          <x:t xml:space="preserve">Fundament/profile</x:t>
        </x:is>
      </x:c>
      <x:c r="D222" s="6" t="inlineStr">
        <x:is>
          <x:t xml:space="preserve">FUNDAMENT / PROFILE</x:t>
        </x:is>
      </x:c>
      <x:c r="E222" s="8" t="n">
        <x:f>IFERROR(INDEX('02_RAW_INDEX'!$AH:$AH,MATCH($A222,'02_RAW_INDEX'!$A:$A,0)),"")</x:f>
        <x:v>813</x:v>
      </x:c>
      <x:c r="F222" s="8" t="n">
        <x:f>IFERROR(INDEX('02_RAW_INDEX'!$AG:$AG,MATCH($A222,'02_RAW_INDEX'!$A:$A,0)),"")</x:f>
        <x:v>1000</x:v>
      </x:c>
      <x:c r="G222" s="7" t="n">
        <x:f>'01_Ustawienia'!$B$6</x:f>
        <x:v>0</x:v>
      </x:c>
      <x:c r="H222" s="8" t="n">
        <x:f>IF(E222="","",ROUND(IF('01_Ustawienia'!$B$5="BRUTTO",F222,E222)*(1-G222),0))</x:f>
        <x:v>813</x:v>
      </x:c>
      <x:c r="I222" s="7" t="n">
        <x:f>IFERROR(IFERROR(INDEX('01_Ustawienia'!$B$15:$B$33,MATCH(B222,'01_Ustawienia'!$A$15:$A$33,0)),0.45),0.45)</x:f>
        <x:v>1.2</x:v>
      </x:c>
      <x:c r="J222" s="8" t="n">
        <x:f>IF(H222="","",ROUND(H222*(1+I222),0))</x:f>
        <x:v>1789</x:v>
      </x:c>
      <x:c r="K222" s="8" t="n">
        <x:f>0</x:f>
        <x:v>0</x:v>
      </x:c>
      <x:c r="L222" s="8" t="n">
        <x:f>IFERROR(IFERROR(INDEX(EG_Cennik_uslug!$BT:$BT,MATCH($A222,EG_Cennik_uslug!$A:$A,0)),0),0)</x:f>
        <x:v>380</x:v>
      </x:c>
      <x:c r="M222" s="7" t="n">
        <x:f>IF('01_Ustawienia'!$B$4="ZWOLNIONY",0,'01_Ustawienia'!$B$7)</x:f>
        <x:v>0.08</x:v>
      </x:c>
      <x:c r="N222" s="8" t="n">
        <x:f>IF(J222="","",ROUND((J222+K222)*(1+M222),0))</x:f>
        <x:v>1932</x:v>
      </x:c>
      <x:c r="O222" s="8" t="n">
        <x:f>IF(J222="","",J222+K222-H222-L222)</x:f>
        <x:v>596</x:v>
      </x:c>
      <x:c r="P222" s="7" t="n">
        <x:f>IFERROR(O222/(J222+K222),"")</x:f>
        <x:v>0.33314700950251536</x:v>
      </x:c>
      <x:c r="Q222" s="6" t="inlineStr">
        <x:is>
          <x:t xml:space="preserve">RAW_OP AB/AC</x:t>
        </x:is>
      </x:c>
      <x:c r="R222" s="6" t="inlineStr">
        <x:is>
          <x:t xml:space="preserve">FUNDAMENT (PROFILE)</x:t>
        </x:is>
      </x:c>
      <x:c r="S222" s="6" t="inlineStr">
        <x:is>
          <x:t xml:space="preserve">website+crm</x:t>
        </x:is>
      </x:c>
      <x:c r="T222" s="6" t="n"/>
    </x:row>
    <x:row r="223" s="655" customFormat="1" ht="30" customHeight="1">
      <x:c r="A223" s="6" t="inlineStr">
        <x:is>
          <x:t xml:space="preserve">350 x 406 cm</x:t>
        </x:is>
      </x:c>
      <x:c r="B223" s="6" t="inlineStr">
        <x:is>
          <x:t xml:space="preserve">ZAB</x:t>
        </x:is>
      </x:c>
      <x:c r="C223" s="6" t="inlineStr">
        <x:is>
          <x:t xml:space="preserve">Zabieraki do ścian przesuwnych</x:t>
        </x:is>
      </x:c>
      <x:c r="D223" s="6" t="inlineStr">
        <x:is>
          <x:t xml:space="preserve">DODATKI</x:t>
        </x:is>
      </x:c>
      <x:c r="E223" s="8" t="n">
        <x:f>IFERROR(INDEX('02_RAW_INDEX'!$AJ:$AJ,MATCH($A223,'02_RAW_INDEX'!$A:$A,0)),"")</x:f>
        <x:v>293</x:v>
      </x:c>
      <x:c r="F223" s="8" t="n">
        <x:f>IFERROR(INDEX('02_RAW_INDEX'!$AI:$AI,MATCH($A223,'02_RAW_INDEX'!$A:$A,0)),"")</x:f>
        <x:v>360</x:v>
      </x:c>
      <x:c r="G223" s="7" t="n">
        <x:f>'01_Ustawienia'!$B$6</x:f>
        <x:v>0</x:v>
      </x:c>
      <x:c r="H223" s="8" t="n">
        <x:f>IF(E223="","",ROUND(IF('01_Ustawienia'!$B$5="BRUTTO",F223,E223)*(1-G223),0))</x:f>
        <x:v>293</x:v>
      </x:c>
      <x:c r="I223" s="7" t="n">
        <x:f>IFERROR(IFERROR(INDEX('01_Ustawienia'!$B$15:$B$33,MATCH(B223,'01_Ustawienia'!$A$15:$A$33,0)),0.45),0.45)</x:f>
        <x:v>0.45</x:v>
      </x:c>
      <x:c r="J223" s="8" t="n">
        <x:f>IF(H223="","",ROUND(H223*(1+I223),0))</x:f>
        <x:v>425</x:v>
      </x:c>
      <x:c r="K223" s="8" t="n">
        <x:f>0</x:f>
        <x:v>0</x:v>
      </x:c>
      <x:c r="L223" s="8" t="n">
        <x:f>0</x:f>
        <x:v>0</x:v>
      </x:c>
      <x:c r="M223" s="7" t="n">
        <x:f>IF('01_Ustawienia'!$B$4="ZWOLNIONY",0,'01_Ustawienia'!$B$7)</x:f>
        <x:v>0.08</x:v>
      </x:c>
      <x:c r="N223" s="8" t="n">
        <x:f>IF(J223="","",ROUND((J223+K223)*(1+M223),0))</x:f>
        <x:v>459</x:v>
      </x:c>
      <x:c r="O223" s="8" t="n">
        <x:f>IF(J223="","",J223+K223-H223-L223)</x:f>
        <x:v>132</x:v>
      </x:c>
      <x:c r="P223" s="7" t="n">
        <x:f>IFERROR(O223/(J223+K223),"")</x:f>
        <x:v>0.31058823529411766</x:v>
      </x:c>
      <x:c r="Q223" s="6" t="inlineStr">
        <x:is>
          <x:t xml:space="preserve">RAW_OP AD/AE</x:t>
        </x:is>
      </x:c>
      <x:c r="R223" s="6" t="inlineStr">
        <x:is>
          <x:t xml:space="preserve">DODATKI</x:t>
        </x:is>
      </x:c>
      <x:c r="S223" s="6" t="inlineStr">
        <x:is>
          <x:t xml:space="preserve">crm_only</x:t>
        </x:is>
      </x:c>
      <x:c r="T223" s="6" t="n"/>
    </x:row>
    <x:row r="224">
      <x:c r="A224" s="6" t="inlineStr">
        <x:is>
          <x:t xml:space="preserve">350 x 406 cm</x:t>
        </x:is>
      </x:c>
      <x:c r="B224" s="6" t="inlineStr">
        <x:is>
          <x:t xml:space="preserve">S</x:t>
        </x:is>
      </x:c>
      <x:c r="C224" s="6" t="inlineStr">
        <x:is>
          <x:t xml:space="preserve">Szczotki przeciwkurzowe</x:t>
        </x:is>
      </x:c>
      <x:c r="D224" s="6" t="inlineStr">
        <x:is>
          <x:t xml:space="preserve">SZCZOTKI</x:t>
        </x:is>
      </x:c>
      <x:c r="E224" s="8" t="n">
        <x:f>IFERROR(INDEX('02_RAW_INDEX'!$AD:$AD,MATCH($A224,'02_RAW_INDEX'!$A:$A,0)),"")</x:f>
        <x:v>374</x:v>
      </x:c>
      <x:c r="F224" s="8" t="n">
        <x:f>IFERROR(INDEX('02_RAW_INDEX'!$AC:$AC,MATCH($A224,'02_RAW_INDEX'!$A:$A,0)),"")</x:f>
        <x:v>460</x:v>
      </x:c>
      <x:c r="G224" s="7" t="n">
        <x:f>'01_Ustawienia'!$B$6</x:f>
        <x:v>0</x:v>
      </x:c>
      <x:c r="H224" s="8" t="n">
        <x:f>IF(E224="","",ROUND(IF('01_Ustawienia'!$B$5="BRUTTO",F224,E224)*(1-G224),0))</x:f>
        <x:v>374</x:v>
      </x:c>
      <x:c r="I224" s="7" t="n">
        <x:f>IFERROR(IFERROR(INDEX('01_Ustawienia'!$B$15:$B$33,MATCH(B224,'01_Ustawienia'!$A$15:$A$33,0)),0.45),0.45)</x:f>
        <x:v>0.45</x:v>
      </x:c>
      <x:c r="J224" s="8" t="n">
        <x:f>IF(H224="","",ROUND(H224*(1+I224),0))</x:f>
        <x:v>542</x:v>
      </x:c>
      <x:c r="K224" s="8" t="n">
        <x:f>0</x:f>
        <x:v>0</x:v>
      </x:c>
      <x:c r="L224" s="8" t="n">
        <x:f>IFERROR(IFERROR(INDEX(EG_Cennik_uslug!$CA:$CA,MATCH($A224,EG_Cennik_uslug!$A:$A,0)),0),0)</x:f>
        <x:v>0</x:v>
      </x:c>
      <x:c r="M224" s="7" t="n">
        <x:f>IF('01_Ustawienia'!$B$4="ZWOLNIONY",0,'01_Ustawienia'!$B$7)</x:f>
        <x:v>0.08</x:v>
      </x:c>
      <x:c r="N224" s="8" t="n">
        <x:f>IF(J224="","",ROUND((J224+K224)*(1+M224),0))</x:f>
        <x:v>585</x:v>
      </x:c>
      <x:c r="O224" s="8" t="n">
        <x:f>IF(J224="","",J224+K224-H224-L224)</x:f>
        <x:v>168</x:v>
      </x:c>
      <x:c r="P224" s="7" t="n">
        <x:f>IFERROR(O224/(J224+K224),"")</x:f>
        <x:v>0.30996309963099633</x:v>
      </x:c>
      <x:c r="Q224" s="6" t="inlineStr">
        <x:is>
          <x:t xml:space="preserve">RAW_OP L/M</x:t>
        </x:is>
      </x:c>
      <x:c r="R224" s="6" t="inlineStr">
        <x:is>
          <x:t xml:space="preserve">DODATKI</x:t>
        </x:is>
      </x:c>
      <x:c r="S224" s="6" t="inlineStr">
        <x:is>
          <x:t xml:space="preserve">website+crm</x:t>
        </x:is>
      </x:c>
      <x:c r="T224" s="6" t="n"/>
    </x:row>
    <x:row r="225">
      <x:c r="A225" s="6" t="inlineStr">
        <x:is>
          <x:t xml:space="preserve">350 x 406 cm</x:t>
        </x:is>
      </x:c>
      <x:c r="B225" s="6" t="inlineStr">
        <x:is>
          <x:t xml:space="preserve">U</x:t>
        </x:is>
      </x:c>
      <x:c r="C225" s="6" t="inlineStr">
        <x:is>
          <x:t xml:space="preserve">Uchwyty na szkło ścienne</x:t>
        </x:is>
      </x:c>
      <x:c r="D225" s="6" t="inlineStr">
        <x:is>
          <x:t xml:space="preserve">UCHWYTY</x:t>
        </x:is>
      </x:c>
      <x:c r="E225" s="8" t="n">
        <x:f>IFERROR(INDEX('02_RAW_INDEX'!$AF:$AF,MATCH($A225,'02_RAW_INDEX'!$A:$A,0)),"")</x:f>
        <x:v>333</x:v>
      </x:c>
      <x:c r="F225" s="8" t="n">
        <x:f>IFERROR(INDEX('02_RAW_INDEX'!$AE:$AE,MATCH($A225,'02_RAW_INDEX'!$A:$A,0)),"")</x:f>
        <x:v>410</x:v>
      </x:c>
      <x:c r="G225" s="7" t="n">
        <x:f>'01_Ustawienia'!$B$6</x:f>
        <x:v>0</x:v>
      </x:c>
      <x:c r="H225" s="8" t="n">
        <x:f>IF(E225="","",ROUND(IF('01_Ustawienia'!$B$5="BRUTTO",F225,E225)*(1-G225),0))</x:f>
        <x:v>333</x:v>
      </x:c>
      <x:c r="I225" s="7" t="n">
        <x:f>IFERROR(IFERROR(INDEX('01_Ustawienia'!$B$15:$B$33,MATCH(B225,'01_Ustawienia'!$A$15:$A$33,0)),0.45),0.45)</x:f>
        <x:v>0.45</x:v>
      </x:c>
      <x:c r="J225" s="8" t="n">
        <x:f>IF(H225="","",ROUND(H225*(1+I225),0))</x:f>
        <x:v>483</x:v>
      </x:c>
      <x:c r="K225" s="8" t="n">
        <x:f>0</x:f>
        <x:v>0</x:v>
      </x:c>
      <x:c r="L225" s="8" t="n">
        <x:f>IFERROR(IFERROR(INDEX(EG_Cennik_uslug!$CH:$CH,MATCH($A225,EG_Cennik_uslug!$A:$A,0)),0),0)</x:f>
        <x:v>0</x:v>
      </x:c>
      <x:c r="M225" s="7" t="n">
        <x:f>IF('01_Ustawienia'!$B$4="ZWOLNIONY",0,'01_Ustawienia'!$B$7)</x:f>
        <x:v>0.08</x:v>
      </x:c>
      <x:c r="N225" s="8" t="n">
        <x:f>IF(J225="","",ROUND((J225+K225)*(1+M225),0))</x:f>
        <x:v>522</x:v>
      </x:c>
      <x:c r="O225" s="8" t="n">
        <x:f>IF(J225="","",J225+K225-H225-L225)</x:f>
        <x:v>150</x:v>
      </x:c>
      <x:c r="P225" s="7" t="n">
        <x:f>IFERROR(O225/(J225+K225),"")</x:f>
        <x:v>0.3105590062111801</x:v>
      </x:c>
      <x:c r="Q225" s="6" t="inlineStr">
        <x:is>
          <x:t xml:space="preserve">RAW_OP N/O</x:t>
        </x:is>
      </x:c>
      <x:c r="R225" s="6" t="inlineStr">
        <x:is>
          <x:t xml:space="preserve">DODATKI</x:t>
        </x:is>
      </x:c>
      <x:c r="S225" s="6" t="inlineStr">
        <x:is>
          <x:t xml:space="preserve">website+crm</x:t>
        </x:is>
      </x:c>
      <x:c r="T225" s="6" t="n"/>
    </x:row>
    <x:row r="226">
      <x:c r="A226" s="6" t="inlineStr">
        <x:is>
          <x:t xml:space="preserve">350 x 406 cm</x:t>
        </x:is>
      </x:c>
      <x:c r="B226" s="6" t="inlineStr">
        <x:is>
          <x:t xml:space="preserve">LED2</x:t>
        </x:is>
      </x:c>
      <x:c r="C226" s="6" t="inlineStr">
        <x:is>
          <x:t xml:space="preserve">Oświetlenie LED 2 punkty</x:t>
        </x:is>
      </x:c>
      <x:c r="D226" s="6" t="inlineStr">
        <x:is>
          <x:t xml:space="preserve">LED 2 PKT</x:t>
        </x:is>
      </x:c>
      <x:c r="E226" s="8" t="n">
        <x:f>IFERROR(INDEX('02_RAW_INDEX'!$N:$N,MATCH($A226,'02_RAW_INDEX'!$A:$A,0)),"")</x:f>
        <x:v>415</x:v>
      </x:c>
      <x:c r="F226" s="8" t="n">
        <x:f>IFERROR(INDEX('02_RAW_INDEX'!$M:$M,MATCH($A226,'02_RAW_INDEX'!$A:$A,0)),"")</x:f>
        <x:v>510</x:v>
      </x:c>
      <x:c r="G226" s="7" t="n">
        <x:f>'01_Ustawienia'!$B$6</x:f>
        <x:v>0</x:v>
      </x:c>
      <x:c r="H226" s="8" t="n">
        <x:f>IF(E226="","",ROUND(IF('01_Ustawienia'!$B$5="BRUTTO",F226,E226)*(1-G226),0))</x:f>
        <x:v>415</x:v>
      </x:c>
      <x:c r="I226" s="7" t="n">
        <x:f>IFERROR(IFERROR(INDEX('01_Ustawienia'!$B$15:$B$33,MATCH(B226,'01_Ustawienia'!$A$15:$A$33,0)),0.45),0.45)</x:f>
        <x:v>0.45</x:v>
      </x:c>
      <x:c r="J226" s="8" t="n">
        <x:f>IF(H226="","",ROUND(H226*(1+I226),0))</x:f>
        <x:v>602</x:v>
      </x:c>
      <x:c r="K226" s="8" t="n">
        <x:f>0</x:f>
        <x:v>0</x:v>
      </x:c>
      <x:c r="L226" s="8" t="n">
        <x:f>IFERROR(IFERROR(INDEX(EG_Cennik_uslug!$CO:$CO,MATCH($A226,EG_Cennik_uslug!$A:$A,0)),0),0)</x:f>
        <x:v>0</x:v>
      </x:c>
      <x:c r="M226" s="7" t="n">
        <x:f>IF('01_Ustawienia'!$B$4="ZWOLNIONY",0,'01_Ustawienia'!$B$7)</x:f>
        <x:v>0.08</x:v>
      </x:c>
      <x:c r="N226" s="8" t="n">
        <x:f>IF(J226="","",ROUND((J226+K226)*(1+M226),0))</x:f>
        <x:v>650</x:v>
      </x:c>
      <x:c r="O226" s="8" t="n">
        <x:f>IF(J226="","",J226+K226-H226-L226)</x:f>
        <x:v>187</x:v>
      </x:c>
      <x:c r="P226" s="7" t="n">
        <x:f>IFERROR(O226/(J226+K226),"")</x:f>
        <x:v>0.3106312292358804</x:v>
      </x:c>
      <x:c r="Q226" s="6" t="inlineStr">
        <x:is>
          <x:t xml:space="preserve">RAW_ZP P/Q</x:t>
        </x:is>
      </x:c>
      <x:c r="R226" s="6" t="inlineStr">
        <x:is>
          <x:t xml:space="preserve">OŚWIETLENIE</x:t>
        </x:is>
      </x:c>
      <x:c r="S226" s="6" t="inlineStr">
        <x:is>
          <x:t xml:space="preserve">website+crm</x:t>
        </x:is>
      </x:c>
      <x:c r="T226" s="6" t="n"/>
    </x:row>
    <x:row r="227">
      <x:c r="A227" s="6" t="inlineStr">
        <x:is>
          <x:t xml:space="preserve">350 x 406 cm</x:t>
        </x:is>
      </x:c>
      <x:c r="B227" s="6" t="inlineStr">
        <x:is>
          <x:t xml:space="preserve">LED3</x:t>
        </x:is>
      </x:c>
      <x:c r="C227" s="6" t="inlineStr">
        <x:is>
          <x:t xml:space="preserve">Oświetlenie LED 3 punkty</x:t>
        </x:is>
      </x:c>
      <x:c r="D227" s="6" t="inlineStr">
        <x:is>
          <x:t xml:space="preserve">LED 3 PKT</x:t>
        </x:is>
      </x:c>
      <x:c r="E227" s="8" t="n">
        <x:f>IFERROR(INDEX('02_RAW_INDEX'!$P:$P,MATCH($A227,'02_RAW_INDEX'!$A:$A,0)),"")</x:f>
        <x:v>602</x:v>
      </x:c>
      <x:c r="F227" s="8" t="n">
        <x:f>IFERROR(INDEX('02_RAW_INDEX'!$O:$O,MATCH($A227,'02_RAW_INDEX'!$A:$A,0)),"")</x:f>
        <x:v>740</x:v>
      </x:c>
      <x:c r="G227" s="7" t="n">
        <x:f>'01_Ustawienia'!$B$6</x:f>
        <x:v>0</x:v>
      </x:c>
      <x:c r="H227" s="8" t="n">
        <x:f>IF(E227="","",ROUND(IF('01_Ustawienia'!$B$5="BRUTTO",F227,E227)*(1-G227),0))</x:f>
        <x:v>602</x:v>
      </x:c>
      <x:c r="I227" s="7" t="n">
        <x:f>IFERROR(IFERROR(INDEX('01_Ustawienia'!$B$15:$B$33,MATCH(B227,'01_Ustawienia'!$A$15:$A$33,0)),0.45),0.45)</x:f>
        <x:v>0.45</x:v>
      </x:c>
      <x:c r="J227" s="8" t="n">
        <x:f>IF(H227="","",ROUND(H227*(1+I227),0))</x:f>
        <x:v>873</x:v>
      </x:c>
      <x:c r="K227" s="8" t="n">
        <x:f>0</x:f>
        <x:v>0</x:v>
      </x:c>
      <x:c r="L227" s="8" t="n">
        <x:f>IFERROR(IFERROR(INDEX(EG_Cennik_uslug!$CV:$CV,MATCH($A227,EG_Cennik_uslug!$A:$A,0)),0),0)</x:f>
        <x:v>0</x:v>
      </x:c>
      <x:c r="M227" s="7" t="n">
        <x:f>IF('01_Ustawienia'!$B$4="ZWOLNIONY",0,'01_Ustawienia'!$B$7)</x:f>
        <x:v>0.08</x:v>
      </x:c>
      <x:c r="N227" s="8" t="n">
        <x:f>IF(J227="","",ROUND((J227+K227)*(1+M227),0))</x:f>
        <x:v>943</x:v>
      </x:c>
      <x:c r="O227" s="8" t="n">
        <x:f>IF(J227="","",J227+K227-H227-L227)</x:f>
        <x:v>271</x:v>
      </x:c>
      <x:c r="P227" s="7" t="n">
        <x:f>IFERROR(O227/(J227+K227),"")</x:f>
        <x:v>0.3104238258877434</x:v>
      </x:c>
      <x:c r="Q227" s="6" t="inlineStr">
        <x:is>
          <x:t xml:space="preserve">RAW_ZP R/S</x:t>
        </x:is>
      </x:c>
      <x:c r="R227" s="6" t="inlineStr">
        <x:is>
          <x:t xml:space="preserve">OŚWIETLENIE</x:t>
        </x:is>
      </x:c>
      <x:c r="S227" s="6" t="inlineStr">
        <x:is>
          <x:t xml:space="preserve">website+crm</x:t>
        </x:is>
      </x:c>
      <x:c r="T227" s="6" t="inlineStr">
        <x:is>
          <x:t xml:space="preserve">Nazwa do potwierdzenia</x:t>
        </x:is>
      </x:c>
    </x:row>
    <x:row r="228">
      <x:c r="A228" s="6" t="inlineStr">
        <x:is>
          <x:t xml:space="preserve">350 x 406 cm</x:t>
        </x:is>
      </x:c>
      <x:c r="B228" s="6" t="inlineStr">
        <x:is>
          <x:t xml:space="preserve">LEDCCT</x:t>
        </x:is>
      </x:c>
      <x:c r="C228" s="6" t="inlineStr">
        <x:is>
          <x:t xml:space="preserve">Oświetlenie LED CCT</x:t>
        </x:is>
      </x:c>
      <x:c r="D228" s="6" t="inlineStr">
        <x:is>
          <x:t xml:space="preserve">OŚWIETLENIE</x:t>
        </x:is>
      </x:c>
      <x:c r="E228" s="8" t="n">
        <x:f>IFERROR(INDEX('02_RAW_INDEX'!$R:$R,MATCH($A228,'02_RAW_INDEX'!$A:$A,0)),"")</x:f>
        <x:v>980</x:v>
      </x:c>
      <x:c r="F228" s="8" t="n">
        <x:f>IFERROR(INDEX('02_RAW_INDEX'!$Q:$Q,MATCH($A228,'02_RAW_INDEX'!$A:$A,0)),"")</x:f>
        <x:v>1205</x:v>
      </x:c>
      <x:c r="G228" s="7" t="n">
        <x:f>'01_Ustawienia'!$B$6</x:f>
        <x:v>0</x:v>
      </x:c>
      <x:c r="H228" s="8" t="n">
        <x:f>IF(E228="","",ROUND(IF('01_Ustawienia'!$B$5="BRUTTO",F228,E228)*(1-G228),0))</x:f>
        <x:v>980</x:v>
      </x:c>
      <x:c r="I228" s="7" t="n">
        <x:f>IFERROR(IFERROR(INDEX('01_Ustawienia'!$B$15:$B$33,MATCH(B228,'01_Ustawienia'!$A$15:$A$33,0)),0.45),0.45)</x:f>
        <x:v>0.45</x:v>
      </x:c>
      <x:c r="J228" s="8" t="n">
        <x:f>IF(H228="","",ROUND(H228*(1+I228),0))</x:f>
        <x:v>1421</x:v>
      </x:c>
      <x:c r="K228" s="8" t="n">
        <x:f>0</x:f>
        <x:v>0</x:v>
      </x:c>
      <x:c r="L228" s="8" t="n">
        <x:f>0</x:f>
        <x:v>0</x:v>
      </x:c>
      <x:c r="M228" s="7" t="n">
        <x:f>IF('01_Ustawienia'!$B$4="ZWOLNIONY",0,'01_Ustawienia'!$B$7)</x:f>
        <x:v>0.08</x:v>
      </x:c>
      <x:c r="N228" s="8" t="n">
        <x:f>IF(J228="","",ROUND((J228+K228)*(1+M228),0))</x:f>
        <x:v>1535</x:v>
      </x:c>
      <x:c r="O228" s="8" t="n">
        <x:f>IF(J228="","",J228+K228-H228-L228)</x:f>
        <x:v>441</x:v>
      </x:c>
      <x:c r="P228" s="7" t="n">
        <x:f>IFERROR(O228/(J228+K228),"")</x:f>
        <x:v>0.3103448275862069</x:v>
      </x:c>
      <x:c r="Q228" s="6" t="inlineStr">
        <x:is>
          <x:t xml:space="preserve">RAW_ZP T/U</x:t>
        </x:is>
      </x:c>
      <x:c r="R228" s="6" t="inlineStr">
        <x:is>
          <x:t xml:space="preserve">OŚWIETLENIE</x:t>
        </x:is>
      </x:c>
      <x:c r="S228" s="6" t="inlineStr">
        <x:is>
          <x:t xml:space="preserve">website+crm</x:t>
        </x:is>
      </x:c>
      <x:c r="T228" s="6" t="inlineStr">
        <x:is>
          <x:t xml:space="preserve">Opcja dodatkowa | FIX17: opcja LED dostępna dla strony; ceny 450-600 wg modelu FIX15.</x:t>
        </x:is>
      </x:c>
    </x:row>
    <x:row r="229">
      <x:c r="A229" s="6" t="inlineStr">
        <x:is>
          <x:t xml:space="preserve">350 x 406 cm</x:t>
        </x:is>
      </x:c>
      <x:c r="B229" s="6" t="inlineStr">
        <x:is>
          <x:t xml:space="preserve">LEDRGBCCT</x:t>
        </x:is>
      </x:c>
      <x:c r="C229" s="6" t="inlineStr">
        <x:is>
          <x:t xml:space="preserve">Oświetlenie LED RGB CCT</x:t>
        </x:is>
      </x:c>
      <x:c r="D229" s="6" t="inlineStr">
        <x:is>
          <x:t xml:space="preserve">OŚWIETLENIE</x:t>
        </x:is>
      </x:c>
      <x:c r="E229" s="8" t="n">
        <x:f>IFERROR(INDEX('02_RAW_INDEX'!$T:$T,MATCH($A229,'02_RAW_INDEX'!$A:$A,0)),"")</x:f>
        <x:v>1300</x:v>
      </x:c>
      <x:c r="F229" s="8" t="n">
        <x:f>IFERROR(INDEX('02_RAW_INDEX'!$S:$S,MATCH($A229,'02_RAW_INDEX'!$A:$A,0)),"")</x:f>
        <x:v>1599</x:v>
      </x:c>
      <x:c r="G229" s="7" t="n">
        <x:f>'01_Ustawienia'!$B$6</x:f>
        <x:v>0</x:v>
      </x:c>
      <x:c r="H229" s="8" t="n">
        <x:f>IF(E229="","",ROUND(IF('01_Ustawienia'!$B$5="BRUTTO",F229,E229)*(1-G229),0))</x:f>
        <x:v>1300</x:v>
      </x:c>
      <x:c r="I229" s="7" t="n">
        <x:f>IFERROR(IFERROR(INDEX('01_Ustawienia'!$B$15:$B$33,MATCH(B229,'01_Ustawienia'!$A$15:$A$33,0)),0.45),0.45)</x:f>
        <x:v>0.45</x:v>
      </x:c>
      <x:c r="J229" s="8" t="n">
        <x:f>IF(H229="","",ROUND(H229*(1+I229),0))</x:f>
        <x:v>1885</x:v>
      </x:c>
      <x:c r="K229" s="8" t="n">
        <x:f>0</x:f>
        <x:v>0</x:v>
      </x:c>
      <x:c r="L229" s="8" t="n">
        <x:f>0</x:f>
        <x:v>0</x:v>
      </x:c>
      <x:c r="M229" s="7" t="n">
        <x:f>IF('01_Ustawienia'!$B$4="ZWOLNIONY",0,'01_Ustawienia'!$B$7)</x:f>
        <x:v>0.08</x:v>
      </x:c>
      <x:c r="N229" s="8" t="n">
        <x:f>IF(J229="","",ROUND((J229+K229)*(1+M229),0))</x:f>
        <x:v>2036</x:v>
      </x:c>
      <x:c r="O229" s="8" t="n">
        <x:f>IF(J229="","",J229+K229-H229-L229)</x:f>
        <x:v>585</x:v>
      </x:c>
      <x:c r="P229" s="7" t="n">
        <x:f>IFERROR(O229/(J229+K229),"")</x:f>
        <x:v>0.3103448275862069</x:v>
      </x:c>
      <x:c r="Q229" s="6" t="inlineStr">
        <x:is>
          <x:t xml:space="preserve">RAW_ZP V/W</x:t>
        </x:is>
      </x:c>
      <x:c r="R229" s="6" t="inlineStr">
        <x:is>
          <x:t xml:space="preserve">OŚWIETLENIE</x:t>
        </x:is>
      </x:c>
      <x:c r="S229" s="6" t="inlineStr">
        <x:is>
          <x:t xml:space="preserve">crm_only</x:t>
        </x:is>
      </x:c>
      <x:c r="T229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230" s="655" customFormat="1" ht="30" customHeight="1">
      <x:c r="A230" s="6" t="inlineStr">
        <x:is>
          <x:t xml:space="preserve">350 x 506 cm</x:t>
        </x:is>
      </x:c>
      <x:c r="B230" s="6" t="inlineStr">
        <x:is>
          <x:t xml:space="preserve">ZP</x:t>
        </x:is>
      </x:c>
      <x:c r="C230" s="6" t="inlineStr">
        <x:is>
          <x:t xml:space="preserve">Zadaszenie poliwęglan - baza</x:t>
        </x:is>
      </x:c>
      <x:c r="D230" s="6" t="inlineStr">
        <x:is>
          <x:t xml:space="preserve">ZADASZENIE POLIWĘGLAN</x:t>
        </x:is>
      </x:c>
      <x:c r="E230" s="8" t="n">
        <x:f>IFERROR(INDEX('02_RAW_INDEX'!$D:$D,MATCH($A230,'02_RAW_INDEX'!$A:$A,0)),"")</x:f>
        <x:v>5772</x:v>
      </x:c>
      <x:c r="F230" s="8" t="n">
        <x:f>IFERROR(INDEX('02_RAW_INDEX'!$C:$C,MATCH($A230,'02_RAW_INDEX'!$A:$A,0)),"")</x:f>
        <x:v>7100</x:v>
      </x:c>
      <x:c r="G230" s="7" t="n">
        <x:f>'01_Ustawienia'!$B$6</x:f>
        <x:v>0</x:v>
      </x:c>
      <x:c r="H230" s="8" t="n">
        <x:f>IF(E230="","",ROUND(IF('01_Ustawienia'!$B$5="BRUTTO",F230,E230)*(1-G230),0))</x:f>
        <x:v>5772</x:v>
      </x:c>
      <x:c r="I230" s="7" t="n">
        <x:f>IFERROR(IFERROR(INDEX('01_Ustawienia'!$B$15:$B$33,MATCH(B230,'01_Ustawienia'!$A$15:$A$33,0)),0.45),0.45)</x:f>
        <x:v>0.45</x:v>
      </x:c>
      <x:c r="J230" s="8" t="n">
        <x:f>IF(H230="","",ROUND(H230*(1+I230),0))</x:f>
        <x:v>8369</x:v>
      </x:c>
      <x:c r="K230" s="8" t="n">
        <x:f>IFERROR(IFERROR(INDEX(EG_Cennik_uslug!$F:$F,MATCH($A230,EG_Cennik_uslug!$A:$A,0)),0),0)</x:f>
        <x:v>3300</x:v>
      </x:c>
      <x:c r="L230" s="8" t="n">
        <x:f>IFERROR(IFERROR(INDEX(EG_Cennik_uslug!$G:$G,MATCH($A230,EG_Cennik_uslug!$A:$A,0)),0),0)</x:f>
        <x:v>1080</x:v>
      </x:c>
      <x:c r="M230" s="7" t="n">
        <x:f>IF('01_Ustawienia'!$B$4="ZWOLNIONY",0,'01_Ustawienia'!$B$7)</x:f>
        <x:v>0.08</x:v>
      </x:c>
      <x:c r="N230" s="8" t="n">
        <x:f>IF(J230="","",ROUND((J230+K230)*(1+M230),0))</x:f>
        <x:v>12603</x:v>
      </x:c>
      <x:c r="O230" s="8" t="n">
        <x:f>IF(J230="","",J230+K230-H230-L230)</x:f>
        <x:v>4817</x:v>
      </x:c>
      <x:c r="P230" s="7" t="n">
        <x:f>IFERROR(O230/(J230+K230),"")</x:f>
        <x:v>0.41280315365498327</x:v>
      </x:c>
      <x:c r="Q230" s="6" t="inlineStr">
        <x:is>
          <x:t xml:space="preserve">RAW_ZP B/C</x:t>
        </x:is>
      </x:c>
      <x:c r="R230" s="6" t="inlineStr">
        <x:is>
          <x:t xml:space="preserve">ZADASZENIE TARASU KONSTRUKCJA</x:t>
        </x:is>
      </x:c>
      <x:c r="S230" s="6" t="inlineStr">
        <x:is>
          <x:t xml:space="preserve">website+crm</x:t>
        </x:is>
      </x:c>
      <x:c r="T230" s="6" t="inlineStr">
        <x:is>
          <x:t xml:space="preserve">Baza dla kalkulatora</x:t>
        </x:is>
      </x:c>
    </x:row>
    <x:row r="231" s="655" customFormat="1" ht="30" customHeight="1">
      <x:c r="A231" s="6" t="inlineStr">
        <x:is>
          <x:t xml:space="preserve">350 x 506 cm</x:t>
        </x:is>
      </x:c>
      <x:c r="B231" s="6" t="inlineStr">
        <x:is>
          <x:t xml:space="preserve">ZS</x:t>
        </x:is>
      </x:c>
      <x:c r="C231" s="6" t="inlineStr">
        <x:is>
          <x:t xml:space="preserve">Zadaszenie szkło - pełna konstrukcja</x:t>
        </x:is>
      </x:c>
      <x:c r="D231" s="6" t="inlineStr">
        <x:is>
          <x:t xml:space="preserve">ZADASZENIE SZKŁO</x:t>
        </x:is>
      </x:c>
      <x:c r="E231" s="8" t="n">
        <x:f>IFERROR(INDEX('02_RAW_INDEX'!$V:$V,MATCH($A231,'02_RAW_INDEX'!$A:$A,0)),"")</x:f>
        <x:v>8951</x:v>
      </x:c>
      <x:c r="F231" s="8" t="n">
        <x:f>IFERROR(INDEX('02_RAW_INDEX'!$U:$U,MATCH($A231,'02_RAW_INDEX'!$A:$A,0)),"")</x:f>
        <x:v>11010</x:v>
      </x:c>
      <x:c r="G231" s="7" t="n">
        <x:f>'01_Ustawienia'!$B$6</x:f>
        <x:v>0</x:v>
      </x:c>
      <x:c r="H231" s="8" t="n">
        <x:f>IF(E231="","",ROUND(IF('01_Ustawienia'!$B$5="BRUTTO",F231,E231)*(1-G231),0))</x:f>
        <x:v>8951</x:v>
      </x:c>
      <x:c r="I231" s="7" t="n">
        <x:f>IFERROR(IFERROR(INDEX('01_Ustawienia'!$B$15:$B$33,MATCH(B231,'01_Ustawienia'!$A$15:$A$33,0)),0.45),0.45)</x:f>
        <x:v>0.45</x:v>
      </x:c>
      <x:c r="J231" s="8" t="n">
        <x:f>IF(H231="","",ROUND(H231*(1+I231),0))</x:f>
        <x:v>12979</x:v>
      </x:c>
      <x:c r="K231" s="8" t="n">
        <x:f>IFERROR(IFERROR(INDEX(EG_Cennik_uslug!$F:$F,MATCH($A231,EG_Cennik_uslug!$A:$A,0)),0),0)</x:f>
        <x:v>3300</x:v>
      </x:c>
      <x:c r="L231" s="8" t="n">
        <x:f>IFERROR(IFERROR(INDEX(EG_Cennik_uslug!$G:$G,MATCH($A231,EG_Cennik_uslug!$A:$A,0)),0),0)</x:f>
        <x:v>1080</x:v>
      </x:c>
      <x:c r="M231" s="7" t="n">
        <x:f>IF('01_Ustawienia'!$B$4="ZWOLNIONY",0,'01_Ustawienia'!$B$7)</x:f>
        <x:v>0.08</x:v>
      </x:c>
      <x:c r="N231" s="8" t="n">
        <x:f>IF(J231="","",ROUND((J231+K231)*(1+M231),0))</x:f>
        <x:v>17581</x:v>
      </x:c>
      <x:c r="O231" s="8" t="n">
        <x:f>IF(J231="","",J231+K231-H231-L231)</x:f>
        <x:v>6248</x:v>
      </x:c>
      <x:c r="P231" s="7" t="n">
        <x:f>IFERROR(O231/(J231+K231),"")</x:f>
        <x:v>0.38380735917439646</x:v>
      </x:c>
      <x:c r="Q231" s="6" t="inlineStr">
        <x:is>
          <x:t xml:space="preserve">RAW_ZS B/C</x:t>
        </x:is>
      </x:c>
      <x:c r="R231" s="6" t="inlineStr">
        <x:is>
          <x:t xml:space="preserve">ZADASZENIE TARASU KONSTRUKCJA</x:t>
        </x:is>
      </x:c>
      <x:c r="S231" s="6" t="inlineStr">
        <x:is>
          <x:t xml:space="preserve">crm_only</x:t>
        </x:is>
      </x:c>
      <x:c r="T231" s="6" t="inlineStr">
        <x:is>
          <x:t xml:space="preserve">Referencyjne/full; strona zwykle używa ZP + PDS</x:t>
        </x:is>
      </x:c>
    </x:row>
    <x:row r="232" s="655" customFormat="1" ht="30" customHeight="1">
      <x:c r="A232" s="6" t="inlineStr">
        <x:is>
          <x:t xml:space="preserve">350 x 506 cm</x:t>
        </x:is>
      </x:c>
      <x:c r="B232" s="6" t="inlineStr">
        <x:is>
          <x:t xml:space="preserve">OP</x:t>
        </x:is>
      </x:c>
      <x:c r="C232" s="6" t="inlineStr">
        <x:is>
          <x:t xml:space="preserve">Ogród zimowy poliwęglan - baza</x:t>
        </x:is>
      </x:c>
      <x:c r="D232" s="6" t="inlineStr">
        <x:is>
          <x:t xml:space="preserve">OGRODY POLIWĘGLAN</x:t>
        </x:is>
      </x:c>
      <x:c r="E232" s="8" t="n">
        <x:f>IFERROR(INDEX('02_RAW_INDEX'!$Z:$Z,MATCH($A232,'02_RAW_INDEX'!$A:$A,0)),"")</x:f>
        <x:v>17350</x:v>
      </x:c>
      <x:c r="F232" s="8" t="n">
        <x:f>IFERROR(INDEX('02_RAW_INDEX'!$Y:$Y,MATCH($A232,'02_RAW_INDEX'!$A:$A,0)),"")</x:f>
        <x:v>21340</x:v>
      </x:c>
      <x:c r="G232" s="7" t="n">
        <x:f>'01_Ustawienia'!$B$6</x:f>
        <x:v>0</x:v>
      </x:c>
      <x:c r="H232" s="8" t="n">
        <x:f>IF(E232="","",ROUND(IF('01_Ustawienia'!$B$5="BRUTTO",F232,E232)*(1-G232),0))</x:f>
        <x:v>17350</x:v>
      </x:c>
      <x:c r="I232" s="7" t="n">
        <x:f>IFERROR(IFERROR(INDEX('01_Ustawienia'!$B$15:$B$33,MATCH(B232,'01_Ustawienia'!$A$15:$A$33,0)),0.45),0.45)</x:f>
        <x:v>0.45</x:v>
      </x:c>
      <x:c r="J232" s="8" t="n">
        <x:f>IF(H232="","",ROUND(H232*(1+I232),0))</x:f>
        <x:v>25158</x:v>
      </x:c>
      <x:c r="K232" s="8" t="n">
        <x:f>IFERROR(IFERROR(INDEX(EG_Cennik_uslug!$N:$N,MATCH($A232,EG_Cennik_uslug!$A:$A,0)),0),0)</x:f>
        <x:v>4680</x:v>
      </x:c>
      <x:c r="L232" s="8" t="n">
        <x:f>IFERROR(IFERROR(INDEX(EG_Cennik_uslug!$O:$O,MATCH($A232,EG_Cennik_uslug!$A:$A,0)),0),0)</x:f>
        <x:v>1510</x:v>
      </x:c>
      <x:c r="M232" s="7" t="n">
        <x:f>IF('01_Ustawienia'!$B$4="ZWOLNIONY",0,'01_Ustawienia'!$B$7)</x:f>
        <x:v>0.08</x:v>
      </x:c>
      <x:c r="N232" s="8" t="n">
        <x:f>IF(J232="","",ROUND((J232+K232)*(1+M232),0))</x:f>
        <x:v>32225</x:v>
      </x:c>
      <x:c r="O232" s="8" t="n">
        <x:f>IF(J232="","",J232+K232-H232-L232)</x:f>
        <x:v>10978</x:v>
      </x:c>
      <x:c r="P232" s="7" t="n">
        <x:f>IFERROR(O232/(J232+K232),"")</x:f>
        <x:v>0.36792010188350427</x:v>
      </x:c>
      <x:c r="Q232" s="6" t="inlineStr">
        <x:is>
          <x:t xml:space="preserve">RAW_OP B/C</x:t>
        </x:is>
      </x:c>
      <x:c r="R232" s="6" t="inlineStr">
        <x:is>
          <x:t xml:space="preserve">OGRÓD ZIMOWY (KONSTRUKCJA)</x:t>
        </x:is>
      </x:c>
      <x:c r="S232" s="6" t="inlineStr">
        <x:is>
          <x:t xml:space="preserve">website+crm</x:t>
        </x:is>
      </x:c>
      <x:c r="T232" s="6" t="inlineStr">
        <x:is>
          <x:t xml:space="preserve">Do wyliczenia dopłaty za ściany</x:t>
        </x:is>
      </x:c>
    </x:row>
    <x:row r="233" s="655" customFormat="1" ht="30" customHeight="1">
      <x:c r="A233" s="6" t="inlineStr">
        <x:is>
          <x:t xml:space="preserve">350 x 506 cm</x:t>
        </x:is>
      </x:c>
      <x:c r="B233" s="6" t="inlineStr">
        <x:is>
          <x:t xml:space="preserve">OS</x:t>
        </x:is>
      </x:c>
      <x:c r="C233" s="6" t="inlineStr">
        <x:is>
          <x:t xml:space="preserve">Ogród zimowy szkło - pełna konstrukcja</x:t>
        </x:is>
      </x:c>
      <x:c r="D233" s="6" t="inlineStr">
        <x:is>
          <x:t xml:space="preserve">OGRODY SZKŁO</x:t>
        </x:is>
      </x:c>
      <x:c r="E233" s="8" t="n">
        <x:f>IFERROR(INDEX('02_RAW_INDEX'!$AL:$AL,MATCH($A233,'02_RAW_INDEX'!$A:$A,0)),"")</x:f>
        <x:v>20528</x:v>
      </x:c>
      <x:c r="F233" s="8" t="n">
        <x:f>IFERROR(INDEX('02_RAW_INDEX'!$AK:$AK,MATCH($A233,'02_RAW_INDEX'!$A:$A,0)),"")</x:f>
        <x:v>25250</x:v>
      </x:c>
      <x:c r="G233" s="7" t="n">
        <x:f>'01_Ustawienia'!$B$6</x:f>
        <x:v>0</x:v>
      </x:c>
      <x:c r="H233" s="8" t="n">
        <x:f>IF(E233="","",ROUND(IF('01_Ustawienia'!$B$5="BRUTTO",F233,E233)*(1-G233),0))</x:f>
        <x:v>20528</x:v>
      </x:c>
      <x:c r="I233" s="7" t="n">
        <x:f>IFERROR(IFERROR(INDEX('01_Ustawienia'!$B$15:$B$33,MATCH(B233,'01_Ustawienia'!$A$15:$A$33,0)),0.45),0.45)</x:f>
        <x:v>0.45</x:v>
      </x:c>
      <x:c r="J233" s="8" t="n">
        <x:f>IF(H233="","",ROUND(H233*(1+I233),0))</x:f>
        <x:v>29766</x:v>
      </x:c>
      <x:c r="K233" s="8" t="n">
        <x:f>IFERROR(IFERROR(INDEX(EG_Cennik_uslug!$N:$N,MATCH($A233,EG_Cennik_uslug!$A:$A,0)),0),0)</x:f>
        <x:v>4680</x:v>
      </x:c>
      <x:c r="L233" s="8" t="n">
        <x:f>IFERROR(IFERROR(INDEX(EG_Cennik_uslug!$O:$O,MATCH($A233,EG_Cennik_uslug!$A:$A,0)),0),0)</x:f>
        <x:v>1510</x:v>
      </x:c>
      <x:c r="M233" s="7" t="n">
        <x:f>IF('01_Ustawienia'!$B$4="ZWOLNIONY",0,'01_Ustawienia'!$B$7)</x:f>
        <x:v>0.08</x:v>
      </x:c>
      <x:c r="N233" s="8" t="n">
        <x:f>IF(J233="","",ROUND((J233+K233)*(1+M233),0))</x:f>
        <x:v>37202</x:v>
      </x:c>
      <x:c r="O233" s="8" t="n">
        <x:f>IF(J233="","",J233+K233-H233-L233)</x:f>
        <x:v>12408</x:v>
      </x:c>
      <x:c r="P233" s="7" t="n">
        <x:f>IFERROR(O233/(J233+K233),"")</x:f>
        <x:v>0.3602159902456018</x:v>
      </x:c>
      <x:c r="Q233" s="6" t="inlineStr">
        <x:is>
          <x:t xml:space="preserve">RAW_OS B/C</x:t>
        </x:is>
      </x:c>
      <x:c r="R233" s="6" t="inlineStr">
        <x:is>
          <x:t xml:space="preserve">OGRÓD ZIMOWY (KONSTRUKCJA)</x:t>
        </x:is>
      </x:c>
      <x:c r="S233" s="6" t="inlineStr">
        <x:is>
          <x:t xml:space="preserve">crm_only</x:t>
        </x:is>
      </x:c>
      <x:c r="T233" s="6" t="inlineStr">
        <x:is>
          <x:t xml:space="preserve">Referencyjne/full</x:t>
        </x:is>
      </x:c>
    </x:row>
    <x:row r="234" s="655" customFormat="1" ht="30" customHeight="1">
      <x:c r="A234" s="6" t="inlineStr">
        <x:is>
          <x:t xml:space="preserve">350 x 506 cm</x:t>
        </x:is>
      </x:c>
      <x:c r="B234" s="6" t="inlineStr">
        <x:is>
          <x:t xml:space="preserve">PDS</x:t>
        </x:is>
      </x:c>
      <x:c r="C234" s="6" t="inlineStr">
        <x:is>
          <x:t xml:space="preserve">Dopłata dach szkło przezroczyste</x:t>
        </x:is>
      </x:c>
      <x:c r="D234" s="6" t="inlineStr">
        <x:is>
          <x:t xml:space="preserve">POKRYCIE DACHU SZKŁO</x:t>
        </x:is>
      </x:c>
      <x:c r="E234" s="8" t="n">
        <x:f>IFERROR(IFERROR(INDEX('02_RAW_INDEX'!$V:$V,MATCH($A234,'02_RAW_INDEX'!$A:$A,0)),"")-IFERROR(INDEX('02_RAW_INDEX'!$D:$D,MATCH($A234,'02_RAW_INDEX'!$A:$A,0)),""),"")</x:f>
        <x:v>3179</x:v>
      </x:c>
      <x:c r="F234" s="8" t="n">
        <x:f>IFERROR(IFERROR(INDEX('02_RAW_INDEX'!$U:$U,MATCH($A234,'02_RAW_INDEX'!$A:$A,0)),"")-IFERROR(INDEX('02_RAW_INDEX'!$C:$C,MATCH($A234,'02_RAW_INDEX'!$A:$A,0)),""),"")</x:f>
        <x:v>3910</x:v>
      </x:c>
      <x:c r="G234" s="7" t="n">
        <x:f>'01_Ustawienia'!$B$6</x:f>
        <x:v>0</x:v>
      </x:c>
      <x:c r="H234" s="8" t="n">
        <x:f>IF(E234="","",ROUND(IF('01_Ustawienia'!$B$5="BRUTTO",F234,E234)*(1-G234),0))</x:f>
        <x:v>3179</x:v>
      </x:c>
      <x:c r="I234" s="7" t="n">
        <x:f>IFERROR(IFERROR(INDEX('01_Ustawienia'!$B$15:$B$33,MATCH(B234,'01_Ustawienia'!$A$15:$A$33,0)),0.45),0.45)</x:f>
        <x:v>0.45</x:v>
      </x:c>
      <x:c r="J234" s="8" t="n">
        <x:f>IF(H234="","",ROUND(H234*(1+I234),0))</x:f>
        <x:v>4610</x:v>
      </x:c>
      <x:c r="K234" s="8" t="n">
        <x:f>0</x:f>
        <x:v>0</x:v>
      </x:c>
      <x:c r="L234" s="8" t="n">
        <x:v>0</x:v>
      </x:c>
      <x:c r="M234" s="7" t="n">
        <x:f>IF('01_Ustawienia'!$B$4="ZWOLNIONY",0,'01_Ustawienia'!$B$7)</x:f>
        <x:v>0.08</x:v>
      </x:c>
      <x:c r="N234" s="8" t="n">
        <x:f>IF(J234="","",ROUND((J234+K234)*(1+M234),0))</x:f>
        <x:v>4979</x:v>
      </x:c>
      <x:c r="O234" s="8" t="n">
        <x:f>IF(J234="","",J234+K234-H234-L234)</x:f>
        <x:v>1431</x:v>
      </x:c>
      <x:c r="P234" s="7" t="n">
        <x:f>IFERROR(O234/(J234+K234),"")</x:f>
        <x:v>0.310412147505423</x:v>
      </x:c>
      <x:c r="Q234" s="6" t="inlineStr">
        <x:is>
          <x:t xml:space="preserve">RAW_ZS - RAW_ZP</x:t>
        </x:is>
      </x:c>
      <x:c r="R234" s="6" t="inlineStr">
        <x:is>
          <x:t xml:space="preserve">POKRYCIE DACHU</x:t>
        </x:is>
      </x:c>
      <x:c r="S234" s="6" t="inlineStr">
        <x:is>
          <x:t xml:space="preserve">website+crm</x:t>
        </x:is>
      </x:c>
      <x:c r="T234" s="6" t="inlineStr">
        <x:is>
          <x:t xml:space="preserve">Dopłata do bazowego dachu poliwęglan | FIX17: Wynagr.+koszty = 0 dla dopłaty; nie jest osobnym montażem ekipy.</x:t>
        </x:is>
      </x:c>
    </x:row>
    <x:row r="235" s="655" customFormat="1" ht="30" customHeight="1">
      <x:c r="A235" s="6" t="inlineStr">
        <x:is>
          <x:t xml:space="preserve">350 x 506 cm</x:t>
        </x:is>
      </x:c>
      <x:c r="B235" s="6" t="inlineStr">
        <x:is>
          <x:t xml:space="preserve">PDSB</x:t>
        </x:is>
      </x:c>
      <x:c r="C235" s="6" t="inlineStr">
        <x:is>
          <x:t xml:space="preserve">Dopłata dach szkło barwione/mleczne</x:t>
        </x:is>
      </x:c>
      <x:c r="D235" s="6" t="inlineStr">
        <x:is>
          <x:t xml:space="preserve">POKRYCIE DACHU SZKŁO BARWIONE</x:t>
        </x:is>
      </x:c>
      <x:c r="E235" s="8" t="n">
        <x:f>IFERROR(INDEX('02_RAW_INDEX'!$X:$X,MATCH($A235,'02_RAW_INDEX'!$A:$A,0)),"")</x:f>
        <x:v>463</x:v>
      </x:c>
      <x:c r="F235" s="8" t="n">
        <x:f>IFERROR(INDEX('02_RAW_INDEX'!$W:$W,MATCH($A235,'02_RAW_INDEX'!$A:$A,0)),"")</x:f>
        <x:v>570</x:v>
      </x:c>
      <x:c r="G235" s="7" t="n">
        <x:f>'01_Ustawienia'!$B$6</x:f>
        <x:v>0</x:v>
      </x:c>
      <x:c r="H235" s="8" t="n">
        <x:f>IF(E235="","",ROUND(IF('01_Ustawienia'!$B$5="BRUTTO",F235,E235)*(1-G235),0))</x:f>
        <x:v>463</x:v>
      </x:c>
      <x:c r="I235" s="7" t="n">
        <x:f>IFERROR(IFERROR(INDEX('01_Ustawienia'!$B$15:$B$33,MATCH(B235,'01_Ustawienia'!$A$15:$A$33,0)),0.45),0.45)</x:f>
        <x:v>0.45</x:v>
      </x:c>
      <x:c r="J235" s="8" t="n">
        <x:f>IF(H235="","",ROUND(H235*(1+I235),0))</x:f>
        <x:v>671</x:v>
      </x:c>
      <x:c r="K235" s="8" t="n">
        <x:f>0</x:f>
        <x:v>0</x:v>
      </x:c>
      <x:c r="L235" s="8" t="n">
        <x:v>0</x:v>
      </x:c>
      <x:c r="M235" s="7" t="n">
        <x:f>IF('01_Ustawienia'!$B$4="ZWOLNIONY",0,'01_Ustawienia'!$B$7)</x:f>
        <x:v>0.08</x:v>
      </x:c>
      <x:c r="N235" s="8" t="n">
        <x:f>IF(J235="","",ROUND((J235+K235)*(1+M235),0))</x:f>
        <x:v>725</x:v>
      </x:c>
      <x:c r="O235" s="8" t="n">
        <x:f>IF(J235="","",J235+K235-H235-L235)</x:f>
        <x:v>208</x:v>
      </x:c>
      <x:c r="P235" s="7" t="n">
        <x:f>IFERROR(O235/(J235+K235),"")</x:f>
        <x:v>0.30998509687034276</x:v>
      </x:c>
      <x:c r="Q235" s="6" t="inlineStr">
        <x:is>
          <x:t xml:space="preserve">RAW_ZS D/E</x:t>
        </x:is>
      </x:c>
      <x:c r="R235" s="6" t="inlineStr">
        <x:is>
          <x:t xml:space="preserve">POKRYCIE DACHU</x:t>
        </x:is>
      </x:c>
      <x:c r="S235" s="6" t="inlineStr">
        <x:is>
          <x:t xml:space="preserve">website+crm</x:t>
        </x:is>
      </x:c>
      <x:c r="T235" s="6" t="inlineStr">
        <x:is>
          <x:t xml:space="preserve">Dodawane do PDS | FIX17: Wynagr.+koszty = 0 dla dopłaty; nie jest osobnym montażem ekipy.</x:t>
        </x:is>
      </x:c>
    </x:row>
    <x:row r="236" s="655" customFormat="1" ht="30" customHeight="1">
      <x:c r="A236" s="6" t="inlineStr">
        <x:is>
          <x:t xml:space="preserve">350 x 506 cm</x:t>
        </x:is>
      </x:c>
      <x:c r="B236" s="6" t="inlineStr">
        <x:is>
          <x:t xml:space="preserve">PDPB</x:t>
        </x:is>
      </x:c>
      <x:c r="C236" s="6" t="inlineStr">
        <x:is>
          <x:t xml:space="preserve">Dopłata poliwęglan barwiony</x:t>
        </x:is>
      </x:c>
      <x:c r="D236" s="6" t="inlineStr">
        <x:is>
          <x:t xml:space="preserve">POKRYCIE DACHU POLIWĘGLAN BARWIONY</x:t>
        </x:is>
      </x:c>
      <x:c r="E236" s="8" t="n">
        <x:f>IFERROR(INDEX('02_RAW_INDEX'!$F:$F,MATCH($A236,'02_RAW_INDEX'!$A:$A,0)),"")</x:f>
        <x:v>203</x:v>
      </x:c>
      <x:c r="F236" s="8" t="n">
        <x:f>IFERROR(INDEX('02_RAW_INDEX'!$E:$E,MATCH($A236,'02_RAW_INDEX'!$A:$A,0)),"")</x:f>
        <x:v>250</x:v>
      </x:c>
      <x:c r="G236" s="7" t="n">
        <x:f>'01_Ustawienia'!$B$6</x:f>
        <x:v>0</x:v>
      </x:c>
      <x:c r="H236" s="8" t="n">
        <x:f>IF(E236="","",ROUND(IF('01_Ustawienia'!$B$5="BRUTTO",F236,E236)*(1-G236),0))</x:f>
        <x:v>203</x:v>
      </x:c>
      <x:c r="I236" s="7" t="n">
        <x:f>IFERROR(IFERROR(INDEX('01_Ustawienia'!$B$15:$B$33,MATCH(B236,'01_Ustawienia'!$A$15:$A$33,0)),0.45),0.45)</x:f>
        <x:v>0.45</x:v>
      </x:c>
      <x:c r="J236" s="8" t="n">
        <x:f>IF(H236="","",ROUND(H236*(1+I236),0))</x:f>
        <x:v>294</x:v>
      </x:c>
      <x:c r="K236" s="8" t="n">
        <x:f>0</x:f>
        <x:v>0</x:v>
      </x:c>
      <x:c r="L236" s="8" t="n">
        <x:v>0</x:v>
      </x:c>
      <x:c r="M236" s="7" t="n">
        <x:f>IF('01_Ustawienia'!$B$4="ZWOLNIONY",0,'01_Ustawienia'!$B$7)</x:f>
        <x:v>0.08</x:v>
      </x:c>
      <x:c r="N236" s="8" t="n">
        <x:f>IF(J236="","",ROUND((J236+K236)*(1+M236),0))</x:f>
        <x:v>318</x:v>
      </x:c>
      <x:c r="O236" s="8" t="n">
        <x:f>IF(J236="","",J236+K236-H236-L236)</x:f>
        <x:v>91</x:v>
      </x:c>
      <x:c r="P236" s="7" t="n">
        <x:f>IFERROR(O236/(J236+K236),"")</x:f>
        <x:v>0.30952380952380953</x:v>
      </x:c>
      <x:c r="Q236" s="6" t="inlineStr">
        <x:is>
          <x:t xml:space="preserve">RAW_ZP D/E</x:t>
        </x:is>
      </x:c>
      <x:c r="R236" s="6" t="inlineStr">
        <x:is>
          <x:t xml:space="preserve">POKRYCIE DACHU</x:t>
        </x:is>
      </x:c>
      <x:c r="S236" s="6" t="inlineStr">
        <x:is>
          <x:t xml:space="preserve">website+crm</x:t>
        </x:is>
      </x:c>
      <x:c r="T236" s="6" t="inlineStr">
        <x:is>
          <x:t xml:space="preserve">FIX17: Wynagr.+koszty = 0 dla dopłaty; nie jest osobnym montażem ekipy.</x:t>
        </x:is>
      </x:c>
    </x:row>
    <x:row r="237" s="655" customFormat="1" ht="30" customHeight="1">
      <x:c r="A237" s="6" t="inlineStr">
        <x:is>
          <x:t xml:space="preserve">350 x 506 cm</x:t>
        </x:is>
      </x:c>
      <x:c r="B237" s="6" t="inlineStr">
        <x:is>
          <x:t xml:space="preserve">SBB</x:t>
        </x:is>
      </x:c>
      <x:c r="C237" s="6" t="inlineStr">
        <x:is>
          <x:t xml:space="preserve">Dopłata szkło boczne przyciemniane</x:t>
        </x:is>
      </x:c>
      <x:c r="D237" s="6" t="inlineStr">
        <x:is>
          <x:t xml:space="preserve">SZKŁO BOCZNE BARWIONE</x:t>
        </x:is>
      </x:c>
      <x:c r="E237" s="8" t="n">
        <x:f>IFERROR(INDEX('02_RAW_INDEX'!$AB:$AB,MATCH($A237,'02_RAW_INDEX'!$A:$A,0)),"")</x:f>
        <x:v>1268</x:v>
      </x:c>
      <x:c r="F237" s="8" t="n">
        <x:f>IFERROR(INDEX('02_RAW_INDEX'!$AA:$AA,MATCH($A237,'02_RAW_INDEX'!$A:$A,0)),"")</x:f>
        <x:v>1560</x:v>
      </x:c>
      <x:c r="G237" s="7" t="n">
        <x:f>'01_Ustawienia'!$B$6</x:f>
        <x:v>0</x:v>
      </x:c>
      <x:c r="H237" s="8" t="n">
        <x:f>IF(E237="","",ROUND(IF('01_Ustawienia'!$B$5="BRUTTO",F237,E237)*(1-G237),0))</x:f>
        <x:v>1268</x:v>
      </x:c>
      <x:c r="I237" s="7" t="n">
        <x:f>IFERROR(IFERROR(INDEX('01_Ustawienia'!$B$15:$B$33,MATCH(B237,'01_Ustawienia'!$A$15:$A$33,0)),0.45),0.45)</x:f>
        <x:v>0.45</x:v>
      </x:c>
      <x:c r="J237" s="8" t="n">
        <x:f>IF(H237="","",ROUND(H237*(1+I237),0))</x:f>
        <x:v>1839</x:v>
      </x:c>
      <x:c r="K237" s="8" t="n">
        <x:f>0</x:f>
        <x:v>0</x:v>
      </x:c>
      <x:c r="L237" s="8" t="n">
        <x:v>0</x:v>
      </x:c>
      <x:c r="M237" s="7" t="n">
        <x:f>IF('01_Ustawienia'!$B$4="ZWOLNIONY",0,'01_Ustawienia'!$B$7)</x:f>
        <x:v>0.08</x:v>
      </x:c>
      <x:c r="N237" s="8" t="n">
        <x:f>IF(J237="","",ROUND((J237+K237)*(1+M237),0))</x:f>
        <x:v>1986</x:v>
      </x:c>
      <x:c r="O237" s="8" t="n">
        <x:f>IF(J237="","",J237+K237-H237-L237)</x:f>
        <x:v>571</x:v>
      </x:c>
      <x:c r="P237" s="7" t="n">
        <x:f>IFERROR(O237/(J237+K237),"")</x:f>
        <x:v>0.31049483414899404</x:v>
      </x:c>
      <x:c r="Q237" s="6" t="inlineStr">
        <x:is>
          <x:t xml:space="preserve">RAW_OP H/I</x:t>
        </x:is>
      </x:c>
      <x:c r="R237" s="6" t="inlineStr">
        <x:is>
          <x:t xml:space="preserve">SZYBY BOCZNE</x:t>
        </x:is>
      </x:c>
      <x:c r="S237" s="6" t="inlineStr">
        <x:is>
          <x:t xml:space="preserve">website+crm</x:t>
        </x:is>
      </x:c>
      <x:c r="T237" s="6" t="inlineStr">
        <x:is>
          <x:t xml:space="preserve">Dodawane do ścian przezroczystych | FIX17: Wynagr.+koszty = 0 dla dopłaty; nie jest osobnym montażem ekipy.</x:t>
        </x:is>
      </x:c>
    </x:row>
    <x:row r="238">
      <x:c r="A238" s="6" t="inlineStr">
        <x:is>
          <x:t xml:space="preserve">350 x 506 cm</x:t>
        </x:is>
      </x:c>
      <x:c r="B238" s="6" t="inlineStr">
        <x:is>
          <x:t xml:space="preserve">RB</x:t>
        </x:is>
      </x:c>
      <x:c r="C238" s="6" t="inlineStr">
        <x:is>
          <x:t xml:space="preserve">Roleta boczna ZIP</x:t>
        </x:is>
      </x:c>
      <x:c r="D238" s="6" t="inlineStr">
        <x:is>
          <x:t xml:space="preserve">ROLETA BOCZNA</x:t>
        </x:is>
      </x:c>
      <x:c r="E238" s="8" t="n">
        <x:f>IFERROR(INDEX('02_RAW_INDEX'!$J:$J,MATCH($A238,'02_RAW_INDEX'!$A:$A,0)),"")</x:f>
        <x:v>1902</x:v>
      </x:c>
      <x:c r="F238" s="8" t="n">
        <x:f>IFERROR(INDEX('02_RAW_INDEX'!$I:$I,MATCH($A238,'02_RAW_INDEX'!$A:$A,0)),"")</x:f>
        <x:v>2340</x:v>
      </x:c>
      <x:c r="G238" s="7" t="n">
        <x:f>'01_Ustawienia'!$B$6</x:f>
        <x:v>0</x:v>
      </x:c>
      <x:c r="H238" s="8" t="n">
        <x:f>IF(E238="","",ROUND(IF('01_Ustawienia'!$B$5="BRUTTO",F238,E238)*(1-G238),0))</x:f>
        <x:v>1902</x:v>
      </x:c>
      <x:c r="I238" s="7" t="n">
        <x:f>IFERROR(IFERROR(INDEX('01_Ustawienia'!$B$15:$B$33,MATCH(B238,'01_Ustawienia'!$A$15:$A$33,0)),0.45),0.45)</x:f>
        <x:v>0.45</x:v>
      </x:c>
      <x:c r="J238" s="8" t="n">
        <x:f>IF(H238="","",ROUND(H238*(1+I238),0))</x:f>
        <x:v>2758</x:v>
      </x:c>
      <x:c r="K238" s="8" t="n">
        <x:f>0</x:f>
        <x:v>0</x:v>
      </x:c>
      <x:c r="L238" s="8" t="n">
        <x:f>IFERROR(IFERROR(INDEX(EG_Cennik_uslug!$AC:$AC,MATCH($A238,EG_Cennik_uslug!$A:$A,0)),0),0)</x:f>
        <x:v>150</x:v>
      </x:c>
      <x:c r="M238" s="7" t="n">
        <x:f>IF('01_Ustawienia'!$B$4="ZWOLNIONY",0,'01_Ustawienia'!$B$7)</x:f>
        <x:v>0.08</x:v>
      </x:c>
      <x:c r="N238" s="8" t="n">
        <x:f>IF(J238="","",ROUND((J238+K238)*(1+M238),0))</x:f>
        <x:v>2979</x:v>
      </x:c>
      <x:c r="O238" s="8" t="n">
        <x:f>IF(J238="","",J238+K238-H238-L238)</x:f>
        <x:v>706</x:v>
      </x:c>
      <x:c r="P238" s="7" t="n">
        <x:f>IFERROR(O238/(J238+K238),"")</x:f>
        <x:v>0.25598259608411894</x:v>
      </x:c>
      <x:c r="Q238" s="6" t="inlineStr">
        <x:is>
          <x:t xml:space="preserve">RAW_ZP J/K</x:t>
        </x:is>
      </x:c>
      <x:c r="R238" s="6" t="inlineStr">
        <x:is>
          <x:t xml:space="preserve">ROLETY BOCZNE</x:t>
        </x:is>
      </x:c>
      <x:c r="S238" s="6" t="inlineStr">
        <x:is>
          <x:t xml:space="preserve">website+crm</x:t>
        </x:is>
      </x:c>
      <x:c r="T238" s="6" t="inlineStr">
        <x:is>
          <x:t xml:space="preserve">Używana dla lewej i prawej</x:t>
        </x:is>
      </x:c>
    </x:row>
    <x:row r="239">
      <x:c r="A239" s="6" t="inlineStr">
        <x:is>
          <x:t xml:space="preserve">350 x 506 cm</x:t>
        </x:is>
      </x:c>
      <x:c r="B239" s="6" t="inlineStr">
        <x:is>
          <x:t xml:space="preserve">RP</x:t>
        </x:is>
      </x:c>
      <x:c r="C239" s="6" t="inlineStr">
        <x:is>
          <x:t xml:space="preserve">Roleta przednia ZIP</x:t>
        </x:is>
      </x:c>
      <x:c r="D239" s="6" t="inlineStr">
        <x:is>
          <x:t xml:space="preserve">ROLETA PRZÓD</x:t>
        </x:is>
      </x:c>
      <x:c r="E239" s="8" t="n">
        <x:f>IFERROR(INDEX('02_RAW_INDEX'!$L:$L,MATCH($A239,'02_RAW_INDEX'!$A:$A,0)),"")</x:f>
        <x:v>3008</x:v>
      </x:c>
      <x:c r="F239" s="8" t="n">
        <x:f>IFERROR(INDEX('02_RAW_INDEX'!$K:$K,MATCH($A239,'02_RAW_INDEX'!$A:$A,0)),"")</x:f>
        <x:v>3700</x:v>
      </x:c>
      <x:c r="G239" s="7" t="n">
        <x:f>'01_Ustawienia'!$B$6</x:f>
        <x:v>0</x:v>
      </x:c>
      <x:c r="H239" s="8" t="n">
        <x:f>IF(E239="","",ROUND(IF('01_Ustawienia'!$B$5="BRUTTO",F239,E239)*(1-G239),0))</x:f>
        <x:v>3008</x:v>
      </x:c>
      <x:c r="I239" s="7" t="n">
        <x:f>IFERROR(IFERROR(INDEX('01_Ustawienia'!$B$15:$B$33,MATCH(B239,'01_Ustawienia'!$A$15:$A$33,0)),0.45),0.45)</x:f>
        <x:v>0.45</x:v>
      </x:c>
      <x:c r="J239" s="8" t="n">
        <x:f>IF(H239="","",ROUND(H239*(1+I239),0))</x:f>
        <x:v>4362</x:v>
      </x:c>
      <x:c r="K239" s="8" t="n">
        <x:f>0</x:f>
        <x:v>0</x:v>
      </x:c>
      <x:c r="L239" s="8" t="n">
        <x:f>IFERROR(IFERROR(INDEX(EG_Cennik_uslug!$AJ:$AJ,MATCH($A239,EG_Cennik_uslug!$A:$A,0)),0),0)</x:f>
        <x:v>300</x:v>
      </x:c>
      <x:c r="M239" s="7" t="n">
        <x:f>IF('01_Ustawienia'!$B$4="ZWOLNIONY",0,'01_Ustawienia'!$B$7)</x:f>
        <x:v>0.08</x:v>
      </x:c>
      <x:c r="N239" s="8" t="n">
        <x:f>IF(J239="","",ROUND((J239+K239)*(1+M239),0))</x:f>
        <x:v>4711</x:v>
      </x:c>
      <x:c r="O239" s="8" t="n">
        <x:f>IF(J239="","",J239+K239-H239-L239)</x:f>
        <x:v>1054</x:v>
      </x:c>
      <x:c r="P239" s="7" t="n">
        <x:f>IFERROR(O239/(J239+K239),"")</x:f>
        <x:v>0.24163227877120586</x:v>
      </x:c>
      <x:c r="Q239" s="6" t="inlineStr">
        <x:is>
          <x:t xml:space="preserve">RAW_ZP N/O</x:t>
        </x:is>
      </x:c>
      <x:c r="R239" s="6" t="inlineStr">
        <x:is>
          <x:t xml:space="preserve">ROLETY BOCZNE</x:t>
        </x:is>
      </x:c>
      <x:c r="S239" s="6" t="inlineStr">
        <x:is>
          <x:t xml:space="preserve">website+crm</x:t>
        </x:is>
      </x:c>
      <x:c r="T239" s="6" t="n"/>
    </x:row>
    <x:row r="240">
      <x:c r="A240" s="6" t="inlineStr">
        <x:is>
          <x:t xml:space="preserve">350 x 506 cm</x:t>
        </x:is>
      </x:c>
      <x:c r="B240" s="6" t="inlineStr">
        <x:is>
          <x:t xml:space="preserve">M</x:t>
        </x:is>
      </x:c>
      <x:c r="C240" s="6" t="inlineStr">
        <x:is>
          <x:t xml:space="preserve">Markiza dachowa</x:t>
        </x:is>
      </x:c>
      <x:c r="D240" s="6" t="inlineStr">
        <x:is>
          <x:t xml:space="preserve">MARKIZA</x:t>
        </x:is>
      </x:c>
      <x:c r="E240" s="8" t="n">
        <x:f>IFERROR(INDEX('02_RAW_INDEX'!$H:$H,MATCH($A240,'02_RAW_INDEX'!$A:$A,0)),"")</x:f>
        <x:v>4228</x:v>
      </x:c>
      <x:c r="F240" s="8" t="n">
        <x:f>IFERROR(INDEX('02_RAW_INDEX'!$G:$G,MATCH($A240,'02_RAW_INDEX'!$A:$A,0)),"")</x:f>
        <x:v>5200</x:v>
      </x:c>
      <x:c r="G240" s="7" t="n">
        <x:f>'01_Ustawienia'!$B$6</x:f>
        <x:v>0</x:v>
      </x:c>
      <x:c r="H240" s="8" t="n">
        <x:f>IF(E240="","",ROUND(IF('01_Ustawienia'!$B$5="BRUTTO",F240,E240)*(1-G240),0))</x:f>
        <x:v>4228</x:v>
      </x:c>
      <x:c r="I240" s="7" t="n">
        <x:f>IFERROR(IFERROR(INDEX('01_Ustawienia'!$B$15:$B$33,MATCH(B240,'01_Ustawienia'!$A$15:$A$33,0)),0.45),0.45)</x:f>
        <x:v>0.45</x:v>
      </x:c>
      <x:c r="J240" s="8" t="n">
        <x:f>IF(H240="","",ROUND(H240*(1+I240),0))</x:f>
        <x:v>6131</x:v>
      </x:c>
      <x:c r="K240" s="8" t="n">
        <x:f>0</x:f>
        <x:v>0</x:v>
      </x:c>
      <x:c r="L240" s="8" t="n">
        <x:f>IFERROR(IFERROR(INDEX(EG_Cennik_uslug!$AQ:$AQ,MATCH($A240,EG_Cennik_uslug!$A:$A,0)),0),0)</x:f>
        <x:v>300</x:v>
      </x:c>
      <x:c r="M240" s="7" t="n">
        <x:f>IF('01_Ustawienia'!$B$4="ZWOLNIONY",0,'01_Ustawienia'!$B$7)</x:f>
        <x:v>0.08</x:v>
      </x:c>
      <x:c r="N240" s="8" t="n">
        <x:f>IF(J240="","",ROUND((J240+K240)*(1+M240),0))</x:f>
        <x:v>6621</x:v>
      </x:c>
      <x:c r="O240" s="8" t="n">
        <x:f>IF(J240="","",J240+K240-H240-L240)</x:f>
        <x:v>1603</x:v>
      </x:c>
      <x:c r="P240" s="7" t="n">
        <x:f>IFERROR(O240/(J240+K240),"")</x:f>
        <x:v>0.26145816343174033</x:v>
      </x:c>
      <x:c r="Q240" s="6" t="inlineStr">
        <x:is>
          <x:t xml:space="preserve">RAW_ZP H/I</x:t>
        </x:is>
      </x:c>
      <x:c r="R240" s="6" t="inlineStr">
        <x:is>
          <x:t xml:space="preserve">MARKIZA</x:t>
        </x:is>
      </x:c>
      <x:c r="S240" s="6" t="inlineStr">
        <x:is>
          <x:t xml:space="preserve">website+crm</x:t>
        </x:is>
      </x:c>
      <x:c r="T240" s="6" t="n"/>
    </x:row>
    <x:row r="241">
      <x:c r="A241" s="6" t="inlineStr">
        <x:is>
          <x:t xml:space="preserve">350 x 506 cm</x:t>
        </x:is>
      </x:c>
      <x:c r="B241" s="6" t="inlineStr">
        <x:is>
          <x:t xml:space="preserve">PDWP</x:t>
        </x:is>
      </x:c>
      <x:c r="C241" s="6" t="inlineStr">
        <x:is>
          <x:t xml:space="preserve">Fundament/profile</x:t>
        </x:is>
      </x:c>
      <x:c r="D241" s="6" t="inlineStr">
        <x:is>
          <x:t xml:space="preserve">FUNDAMENT / PROFILE</x:t>
        </x:is>
      </x:c>
      <x:c r="E241" s="8" t="n">
        <x:f>IFERROR(INDEX('02_RAW_INDEX'!$AH:$AH,MATCH($A241,'02_RAW_INDEX'!$A:$A,0)),"")</x:f>
        <x:v>927</x:v>
      </x:c>
      <x:c r="F241" s="8" t="n">
        <x:f>IFERROR(INDEX('02_RAW_INDEX'!$AG:$AG,MATCH($A241,'02_RAW_INDEX'!$A:$A,0)),"")</x:f>
        <x:v>1140</x:v>
      </x:c>
      <x:c r="G241" s="7" t="n">
        <x:f>'01_Ustawienia'!$B$6</x:f>
        <x:v>0</x:v>
      </x:c>
      <x:c r="H241" s="8" t="n">
        <x:f>IF(E241="","",ROUND(IF('01_Ustawienia'!$B$5="BRUTTO",F241,E241)*(1-G241),0))</x:f>
        <x:v>927</x:v>
      </x:c>
      <x:c r="I241" s="7" t="n">
        <x:f>IFERROR(IFERROR(INDEX('01_Ustawienia'!$B$15:$B$33,MATCH(B241,'01_Ustawienia'!$A$15:$A$33,0)),0.45),0.45)</x:f>
        <x:v>1.2</x:v>
      </x:c>
      <x:c r="J241" s="8" t="n">
        <x:f>IF(H241="","",ROUND(H241*(1+I241),0))</x:f>
        <x:v>2039</x:v>
      </x:c>
      <x:c r="K241" s="8" t="n">
        <x:f>0</x:f>
        <x:v>0</x:v>
      </x:c>
      <x:c r="L241" s="8" t="n">
        <x:f>IFERROR(IFERROR(INDEX(EG_Cennik_uslug!$BT:$BT,MATCH($A241,EG_Cennik_uslug!$A:$A,0)),0),0)</x:f>
        <x:v>440</x:v>
      </x:c>
      <x:c r="M241" s="7" t="n">
        <x:f>IF('01_Ustawienia'!$B$4="ZWOLNIONY",0,'01_Ustawienia'!$B$7)</x:f>
        <x:v>0.08</x:v>
      </x:c>
      <x:c r="N241" s="8" t="n">
        <x:f>IF(J241="","",ROUND((J241+K241)*(1+M241),0))</x:f>
        <x:v>2202</x:v>
      </x:c>
      <x:c r="O241" s="8" t="n">
        <x:f>IF(J241="","",J241+K241-H241-L241)</x:f>
        <x:v>672</x:v>
      </x:c>
      <x:c r="P241" s="7" t="n">
        <x:f>IFERROR(O241/(J241+K241),"")</x:f>
        <x:v>0.32957332025502695</x:v>
      </x:c>
      <x:c r="Q241" s="6" t="inlineStr">
        <x:is>
          <x:t xml:space="preserve">RAW_OP AB/AC</x:t>
        </x:is>
      </x:c>
      <x:c r="R241" s="6" t="inlineStr">
        <x:is>
          <x:t xml:space="preserve">FUNDAMENT (PROFILE)</x:t>
        </x:is>
      </x:c>
      <x:c r="S241" s="6" t="inlineStr">
        <x:is>
          <x:t xml:space="preserve">website+crm</x:t>
        </x:is>
      </x:c>
      <x:c r="T241" s="6" t="n"/>
    </x:row>
    <x:row r="242" s="655" customFormat="1" ht="30" customHeight="1">
      <x:c r="A242" s="6" t="inlineStr">
        <x:is>
          <x:t xml:space="preserve">350 x 506 cm</x:t>
        </x:is>
      </x:c>
      <x:c r="B242" s="6" t="inlineStr">
        <x:is>
          <x:t xml:space="preserve">ZAB</x:t>
        </x:is>
      </x:c>
      <x:c r="C242" s="6" t="inlineStr">
        <x:is>
          <x:t xml:space="preserve">Zabieraki do ścian przesuwnych</x:t>
        </x:is>
      </x:c>
      <x:c r="D242" s="6" t="inlineStr">
        <x:is>
          <x:t xml:space="preserve">DODATKI</x:t>
        </x:is>
      </x:c>
      <x:c r="E242" s="8" t="n">
        <x:f>IFERROR(INDEX('02_RAW_INDEX'!$AJ:$AJ,MATCH($A242,'02_RAW_INDEX'!$A:$A,0)),"")</x:f>
        <x:v>293</x:v>
      </x:c>
      <x:c r="F242" s="8" t="n">
        <x:f>IFERROR(INDEX('02_RAW_INDEX'!$AI:$AI,MATCH($A242,'02_RAW_INDEX'!$A:$A,0)),"")</x:f>
        <x:v>360</x:v>
      </x:c>
      <x:c r="G242" s="7" t="n">
        <x:f>'01_Ustawienia'!$B$6</x:f>
        <x:v>0</x:v>
      </x:c>
      <x:c r="H242" s="8" t="n">
        <x:f>IF(E242="","",ROUND(IF('01_Ustawienia'!$B$5="BRUTTO",F242,E242)*(1-G242),0))</x:f>
        <x:v>293</x:v>
      </x:c>
      <x:c r="I242" s="7" t="n">
        <x:f>IFERROR(IFERROR(INDEX('01_Ustawienia'!$B$15:$B$33,MATCH(B242,'01_Ustawienia'!$A$15:$A$33,0)),0.45),0.45)</x:f>
        <x:v>0.45</x:v>
      </x:c>
      <x:c r="J242" s="8" t="n">
        <x:f>IF(H242="","",ROUND(H242*(1+I242),0))</x:f>
        <x:v>425</x:v>
      </x:c>
      <x:c r="K242" s="8" t="n">
        <x:f>0</x:f>
        <x:v>0</x:v>
      </x:c>
      <x:c r="L242" s="8" t="n">
        <x:f>0</x:f>
        <x:v>0</x:v>
      </x:c>
      <x:c r="M242" s="7" t="n">
        <x:f>IF('01_Ustawienia'!$B$4="ZWOLNIONY",0,'01_Ustawienia'!$B$7)</x:f>
        <x:v>0.08</x:v>
      </x:c>
      <x:c r="N242" s="8" t="n">
        <x:f>IF(J242="","",ROUND((J242+K242)*(1+M242),0))</x:f>
        <x:v>459</x:v>
      </x:c>
      <x:c r="O242" s="8" t="n">
        <x:f>IF(J242="","",J242+K242-H242-L242)</x:f>
        <x:v>132</x:v>
      </x:c>
      <x:c r="P242" s="7" t="n">
        <x:f>IFERROR(O242/(J242+K242),"")</x:f>
        <x:v>0.31058823529411766</x:v>
      </x:c>
      <x:c r="Q242" s="6" t="inlineStr">
        <x:is>
          <x:t xml:space="preserve">RAW_OP AD/AE</x:t>
        </x:is>
      </x:c>
      <x:c r="R242" s="6" t="inlineStr">
        <x:is>
          <x:t xml:space="preserve">DODATKI</x:t>
        </x:is>
      </x:c>
      <x:c r="S242" s="6" t="inlineStr">
        <x:is>
          <x:t xml:space="preserve">crm_only</x:t>
        </x:is>
      </x:c>
      <x:c r="T242" s="6" t="n"/>
    </x:row>
    <x:row r="243">
      <x:c r="A243" s="6" t="inlineStr">
        <x:is>
          <x:t xml:space="preserve">350 x 506 cm</x:t>
        </x:is>
      </x:c>
      <x:c r="B243" s="6" t="inlineStr">
        <x:is>
          <x:t xml:space="preserve">S</x:t>
        </x:is>
      </x:c>
      <x:c r="C243" s="6" t="inlineStr">
        <x:is>
          <x:t xml:space="preserve">Szczotki przeciwkurzowe</x:t>
        </x:is>
      </x:c>
      <x:c r="D243" s="6" t="inlineStr">
        <x:is>
          <x:t xml:space="preserve">SZCZOTKI</x:t>
        </x:is>
      </x:c>
      <x:c r="E243" s="8" t="n">
        <x:f>IFERROR(INDEX('02_RAW_INDEX'!$AD:$AD,MATCH($A243,'02_RAW_INDEX'!$A:$A,0)),"")</x:f>
        <x:v>407</x:v>
      </x:c>
      <x:c r="F243" s="8" t="n">
        <x:f>IFERROR(INDEX('02_RAW_INDEX'!$AC:$AC,MATCH($A243,'02_RAW_INDEX'!$A:$A,0)),"")</x:f>
        <x:v>500</x:v>
      </x:c>
      <x:c r="G243" s="7" t="n">
        <x:f>'01_Ustawienia'!$B$6</x:f>
        <x:v>0</x:v>
      </x:c>
      <x:c r="H243" s="8" t="n">
        <x:f>IF(E243="","",ROUND(IF('01_Ustawienia'!$B$5="BRUTTO",F243,E243)*(1-G243),0))</x:f>
        <x:v>407</x:v>
      </x:c>
      <x:c r="I243" s="7" t="n">
        <x:f>IFERROR(IFERROR(INDEX('01_Ustawienia'!$B$15:$B$33,MATCH(B243,'01_Ustawienia'!$A$15:$A$33,0)),0.45),0.45)</x:f>
        <x:v>0.45</x:v>
      </x:c>
      <x:c r="J243" s="8" t="n">
        <x:f>IF(H243="","",ROUND(H243*(1+I243),0))</x:f>
        <x:v>590</x:v>
      </x:c>
      <x:c r="K243" s="8" t="n">
        <x:f>0</x:f>
        <x:v>0</x:v>
      </x:c>
      <x:c r="L243" s="8" t="n">
        <x:f>IFERROR(IFERROR(INDEX(EG_Cennik_uslug!$CA:$CA,MATCH($A243,EG_Cennik_uslug!$A:$A,0)),0),0)</x:f>
        <x:v>0</x:v>
      </x:c>
      <x:c r="M243" s="7" t="n">
        <x:f>IF('01_Ustawienia'!$B$4="ZWOLNIONY",0,'01_Ustawienia'!$B$7)</x:f>
        <x:v>0.08</x:v>
      </x:c>
      <x:c r="N243" s="8" t="n">
        <x:f>IF(J243="","",ROUND((J243+K243)*(1+M243),0))</x:f>
        <x:v>637</x:v>
      </x:c>
      <x:c r="O243" s="8" t="n">
        <x:f>IF(J243="","",J243+K243-H243-L243)</x:f>
        <x:v>183</x:v>
      </x:c>
      <x:c r="P243" s="7" t="n">
        <x:f>IFERROR(O243/(J243+K243),"")</x:f>
        <x:v>0.3101694915254237</x:v>
      </x:c>
      <x:c r="Q243" s="6" t="inlineStr">
        <x:is>
          <x:t xml:space="preserve">RAW_OP L/M</x:t>
        </x:is>
      </x:c>
      <x:c r="R243" s="6" t="inlineStr">
        <x:is>
          <x:t xml:space="preserve">DODATKI</x:t>
        </x:is>
      </x:c>
      <x:c r="S243" s="6" t="inlineStr">
        <x:is>
          <x:t xml:space="preserve">website+crm</x:t>
        </x:is>
      </x:c>
      <x:c r="T243" s="6" t="n"/>
    </x:row>
    <x:row r="244">
      <x:c r="A244" s="6" t="inlineStr">
        <x:is>
          <x:t xml:space="preserve">350 x 506 cm</x:t>
        </x:is>
      </x:c>
      <x:c r="B244" s="6" t="inlineStr">
        <x:is>
          <x:t xml:space="preserve">U</x:t>
        </x:is>
      </x:c>
      <x:c r="C244" s="6" t="inlineStr">
        <x:is>
          <x:t xml:space="preserve">Uchwyty na szkło ścienne</x:t>
        </x:is>
      </x:c>
      <x:c r="D244" s="6" t="inlineStr">
        <x:is>
          <x:t xml:space="preserve">UCHWYTY</x:t>
        </x:is>
      </x:c>
      <x:c r="E244" s="8" t="n">
        <x:f>IFERROR(INDEX('02_RAW_INDEX'!$AF:$AF,MATCH($A244,'02_RAW_INDEX'!$A:$A,0)),"")</x:f>
        <x:v>366</x:v>
      </x:c>
      <x:c r="F244" s="8" t="n">
        <x:f>IFERROR(INDEX('02_RAW_INDEX'!$AE:$AE,MATCH($A244,'02_RAW_INDEX'!$A:$A,0)),"")</x:f>
        <x:v>450</x:v>
      </x:c>
      <x:c r="G244" s="7" t="n">
        <x:f>'01_Ustawienia'!$B$6</x:f>
        <x:v>0</x:v>
      </x:c>
      <x:c r="H244" s="8" t="n">
        <x:f>IF(E244="","",ROUND(IF('01_Ustawienia'!$B$5="BRUTTO",F244,E244)*(1-G244),0))</x:f>
        <x:v>366</x:v>
      </x:c>
      <x:c r="I244" s="7" t="n">
        <x:f>IFERROR(IFERROR(INDEX('01_Ustawienia'!$B$15:$B$33,MATCH(B244,'01_Ustawienia'!$A$15:$A$33,0)),0.45),0.45)</x:f>
        <x:v>0.45</x:v>
      </x:c>
      <x:c r="J244" s="8" t="n">
        <x:f>IF(H244="","",ROUND(H244*(1+I244),0))</x:f>
        <x:v>531</x:v>
      </x:c>
      <x:c r="K244" s="8" t="n">
        <x:f>0</x:f>
        <x:v>0</x:v>
      </x:c>
      <x:c r="L244" s="8" t="n">
        <x:f>IFERROR(IFERROR(INDEX(EG_Cennik_uslug!$CH:$CH,MATCH($A244,EG_Cennik_uslug!$A:$A,0)),0),0)</x:f>
        <x:v>0</x:v>
      </x:c>
      <x:c r="M244" s="7" t="n">
        <x:f>IF('01_Ustawienia'!$B$4="ZWOLNIONY",0,'01_Ustawienia'!$B$7)</x:f>
        <x:v>0.08</x:v>
      </x:c>
      <x:c r="N244" s="8" t="n">
        <x:f>IF(J244="","",ROUND((J244+K244)*(1+M244),0))</x:f>
        <x:v>573</x:v>
      </x:c>
      <x:c r="O244" s="8" t="n">
        <x:f>IF(J244="","",J244+K244-H244-L244)</x:f>
        <x:v>165</x:v>
      </x:c>
      <x:c r="P244" s="7" t="n">
        <x:f>IFERROR(O244/(J244+K244),"")</x:f>
        <x:v>0.3107344632768362</x:v>
      </x:c>
      <x:c r="Q244" s="6" t="inlineStr">
        <x:is>
          <x:t xml:space="preserve">RAW_OP N/O</x:t>
        </x:is>
      </x:c>
      <x:c r="R244" s="6" t="inlineStr">
        <x:is>
          <x:t xml:space="preserve">DODATKI</x:t>
        </x:is>
      </x:c>
      <x:c r="S244" s="6" t="inlineStr">
        <x:is>
          <x:t xml:space="preserve">website+crm</x:t>
        </x:is>
      </x:c>
      <x:c r="T244" s="6" t="n"/>
    </x:row>
    <x:row r="245">
      <x:c r="A245" s="6" t="inlineStr">
        <x:is>
          <x:t xml:space="preserve">350 x 506 cm</x:t>
        </x:is>
      </x:c>
      <x:c r="B245" s="6" t="inlineStr">
        <x:is>
          <x:t xml:space="preserve">LED2</x:t>
        </x:is>
      </x:c>
      <x:c r="C245" s="6" t="inlineStr">
        <x:is>
          <x:t xml:space="preserve">Oświetlenie LED 2 punkty</x:t>
        </x:is>
      </x:c>
      <x:c r="D245" s="6" t="inlineStr">
        <x:is>
          <x:t xml:space="preserve">LED 2 PKT</x:t>
        </x:is>
      </x:c>
      <x:c r="E245" s="8" t="n">
        <x:f>IFERROR(INDEX('02_RAW_INDEX'!$N:$N,MATCH($A245,'02_RAW_INDEX'!$A:$A,0)),"")</x:f>
        <x:v>488</x:v>
      </x:c>
      <x:c r="F245" s="8" t="n">
        <x:f>IFERROR(INDEX('02_RAW_INDEX'!$M:$M,MATCH($A245,'02_RAW_INDEX'!$A:$A,0)),"")</x:f>
        <x:v>600</x:v>
      </x:c>
      <x:c r="G245" s="7" t="n">
        <x:f>'01_Ustawienia'!$B$6</x:f>
        <x:v>0</x:v>
      </x:c>
      <x:c r="H245" s="8" t="n">
        <x:f>IF(E245="","",ROUND(IF('01_Ustawienia'!$B$5="BRUTTO",F245,E245)*(1-G245),0))</x:f>
        <x:v>488</x:v>
      </x:c>
      <x:c r="I245" s="7" t="n">
        <x:f>IFERROR(IFERROR(INDEX('01_Ustawienia'!$B$15:$B$33,MATCH(B245,'01_Ustawienia'!$A$15:$A$33,0)),0.45),0.45)</x:f>
        <x:v>0.45</x:v>
      </x:c>
      <x:c r="J245" s="8" t="n">
        <x:f>IF(H245="","",ROUND(H245*(1+I245),0))</x:f>
        <x:v>708</x:v>
      </x:c>
      <x:c r="K245" s="8" t="n">
        <x:f>0</x:f>
        <x:v>0</x:v>
      </x:c>
      <x:c r="L245" s="8" t="n">
        <x:f>IFERROR(IFERROR(INDEX(EG_Cennik_uslug!$CO:$CO,MATCH($A245,EG_Cennik_uslug!$A:$A,0)),0),0)</x:f>
        <x:v>0</x:v>
      </x:c>
      <x:c r="M245" s="7" t="n">
        <x:f>IF('01_Ustawienia'!$B$4="ZWOLNIONY",0,'01_Ustawienia'!$B$7)</x:f>
        <x:v>0.08</x:v>
      </x:c>
      <x:c r="N245" s="8" t="n">
        <x:f>IF(J245="","",ROUND((J245+K245)*(1+M245),0))</x:f>
        <x:v>765</x:v>
      </x:c>
      <x:c r="O245" s="8" t="n">
        <x:f>IF(J245="","",J245+K245-H245-L245)</x:f>
        <x:v>220</x:v>
      </x:c>
      <x:c r="P245" s="7" t="n">
        <x:f>IFERROR(O245/(J245+K245),"")</x:f>
        <x:v>0.3107344632768362</x:v>
      </x:c>
      <x:c r="Q245" s="6" t="inlineStr">
        <x:is>
          <x:t xml:space="preserve">RAW_ZP P/Q</x:t>
        </x:is>
      </x:c>
      <x:c r="R245" s="6" t="inlineStr">
        <x:is>
          <x:t xml:space="preserve">OŚWIETLENIE</x:t>
        </x:is>
      </x:c>
      <x:c r="S245" s="6" t="inlineStr">
        <x:is>
          <x:t xml:space="preserve">website+crm</x:t>
        </x:is>
      </x:c>
      <x:c r="T245" s="6" t="n"/>
    </x:row>
    <x:row r="246">
      <x:c r="A246" s="6" t="inlineStr">
        <x:is>
          <x:t xml:space="preserve">350 x 506 cm</x:t>
        </x:is>
      </x:c>
      <x:c r="B246" s="6" t="inlineStr">
        <x:is>
          <x:t xml:space="preserve">LED3</x:t>
        </x:is>
      </x:c>
      <x:c r="C246" s="6" t="inlineStr">
        <x:is>
          <x:t xml:space="preserve">Oświetlenie LED 3 punkty</x:t>
        </x:is>
      </x:c>
      <x:c r="D246" s="6" t="inlineStr">
        <x:is>
          <x:t xml:space="preserve">LED 3 PKT</x:t>
        </x:is>
      </x:c>
      <x:c r="E246" s="8" t="n">
        <x:f>IFERROR(INDEX('02_RAW_INDEX'!$P:$P,MATCH($A246,'02_RAW_INDEX'!$A:$A,0)),"")</x:f>
        <x:v>780</x:v>
      </x:c>
      <x:c r="F246" s="8" t="n">
        <x:f>IFERROR(INDEX('02_RAW_INDEX'!$O:$O,MATCH($A246,'02_RAW_INDEX'!$A:$A,0)),"")</x:f>
        <x:v>960</x:v>
      </x:c>
      <x:c r="G246" s="7" t="n">
        <x:f>'01_Ustawienia'!$B$6</x:f>
        <x:v>0</x:v>
      </x:c>
      <x:c r="H246" s="8" t="n">
        <x:f>IF(E246="","",ROUND(IF('01_Ustawienia'!$B$5="BRUTTO",F246,E246)*(1-G246),0))</x:f>
        <x:v>780</x:v>
      </x:c>
      <x:c r="I246" s="7" t="n">
        <x:f>IFERROR(IFERROR(INDEX('01_Ustawienia'!$B$15:$B$33,MATCH(B246,'01_Ustawienia'!$A$15:$A$33,0)),0.45),0.45)</x:f>
        <x:v>0.45</x:v>
      </x:c>
      <x:c r="J246" s="8" t="n">
        <x:f>IF(H246="","",ROUND(H246*(1+I246),0))</x:f>
        <x:v>1131</x:v>
      </x:c>
      <x:c r="K246" s="8" t="n">
        <x:f>0</x:f>
        <x:v>0</x:v>
      </x:c>
      <x:c r="L246" s="8" t="n">
        <x:f>IFERROR(IFERROR(INDEX(EG_Cennik_uslug!$CV:$CV,MATCH($A246,EG_Cennik_uslug!$A:$A,0)),0),0)</x:f>
        <x:v>0</x:v>
      </x:c>
      <x:c r="M246" s="7" t="n">
        <x:f>IF('01_Ustawienia'!$B$4="ZWOLNIONY",0,'01_Ustawienia'!$B$7)</x:f>
        <x:v>0.08</x:v>
      </x:c>
      <x:c r="N246" s="8" t="n">
        <x:f>IF(J246="","",ROUND((J246+K246)*(1+M246),0))</x:f>
        <x:v>1221</x:v>
      </x:c>
      <x:c r="O246" s="8" t="n">
        <x:f>IF(J246="","",J246+K246-H246-L246)</x:f>
        <x:v>351</x:v>
      </x:c>
      <x:c r="P246" s="7" t="n">
        <x:f>IFERROR(O246/(J246+K246),"")</x:f>
        <x:v>0.3103448275862069</x:v>
      </x:c>
      <x:c r="Q246" s="6" t="inlineStr">
        <x:is>
          <x:t xml:space="preserve">RAW_ZP R/S</x:t>
        </x:is>
      </x:c>
      <x:c r="R246" s="6" t="inlineStr">
        <x:is>
          <x:t xml:space="preserve">OŚWIETLENIE</x:t>
        </x:is>
      </x:c>
      <x:c r="S246" s="6" t="inlineStr">
        <x:is>
          <x:t xml:space="preserve">website+crm</x:t>
        </x:is>
      </x:c>
      <x:c r="T246" s="6" t="inlineStr">
        <x:is>
          <x:t xml:space="preserve">Nazwa do potwierdzenia</x:t>
        </x:is>
      </x:c>
    </x:row>
    <x:row r="247">
      <x:c r="A247" s="6" t="inlineStr">
        <x:is>
          <x:t xml:space="preserve">350 x 506 cm</x:t>
        </x:is>
      </x:c>
      <x:c r="B247" s="6" t="inlineStr">
        <x:is>
          <x:t xml:space="preserve">LEDCCT</x:t>
        </x:is>
      </x:c>
      <x:c r="C247" s="6" t="inlineStr">
        <x:is>
          <x:t xml:space="preserve">Oświetlenie LED CCT</x:t>
        </x:is>
      </x:c>
      <x:c r="D247" s="6" t="inlineStr">
        <x:is>
          <x:t xml:space="preserve">OŚWIETLENIE</x:t>
        </x:is>
      </x:c>
      <x:c r="E247" s="8" t="n">
        <x:f>IFERROR(INDEX('02_RAW_INDEX'!$R:$R,MATCH($A247,'02_RAW_INDEX'!$A:$A,0)),"")</x:f>
        <x:v>1130</x:v>
      </x:c>
      <x:c r="F247" s="8" t="n">
        <x:f>IFERROR(INDEX('02_RAW_INDEX'!$Q:$Q,MATCH($A247,'02_RAW_INDEX'!$A:$A,0)),"")</x:f>
        <x:v>1390</x:v>
      </x:c>
      <x:c r="G247" s="7" t="n">
        <x:f>'01_Ustawienia'!$B$6</x:f>
        <x:v>0</x:v>
      </x:c>
      <x:c r="H247" s="8" t="n">
        <x:f>IF(E247="","",ROUND(IF('01_Ustawienia'!$B$5="BRUTTO",F247,E247)*(1-G247),0))</x:f>
        <x:v>1130</x:v>
      </x:c>
      <x:c r="I247" s="7" t="n">
        <x:f>IFERROR(IFERROR(INDEX('01_Ustawienia'!$B$15:$B$33,MATCH(B247,'01_Ustawienia'!$A$15:$A$33,0)),0.45),0.45)</x:f>
        <x:v>0.45</x:v>
      </x:c>
      <x:c r="J247" s="8" t="n">
        <x:f>IF(H247="","",ROUND(H247*(1+I247),0))</x:f>
        <x:v>1639</x:v>
      </x:c>
      <x:c r="K247" s="8" t="n">
        <x:f>0</x:f>
        <x:v>0</x:v>
      </x:c>
      <x:c r="L247" s="8" t="n">
        <x:f>0</x:f>
        <x:v>0</x:v>
      </x:c>
      <x:c r="M247" s="7" t="n">
        <x:f>IF('01_Ustawienia'!$B$4="ZWOLNIONY",0,'01_Ustawienia'!$B$7)</x:f>
        <x:v>0.08</x:v>
      </x:c>
      <x:c r="N247" s="8" t="n">
        <x:f>IF(J247="","",ROUND((J247+K247)*(1+M247),0))</x:f>
        <x:v>1770</x:v>
      </x:c>
      <x:c r="O247" s="8" t="n">
        <x:f>IF(J247="","",J247+K247-H247-L247)</x:f>
        <x:v>509</x:v>
      </x:c>
      <x:c r="P247" s="7" t="n">
        <x:f>IFERROR(O247/(J247+K247),"")</x:f>
        <x:v>0.3105552165954851</x:v>
      </x:c>
      <x:c r="Q247" s="6" t="inlineStr">
        <x:is>
          <x:t xml:space="preserve">RAW_ZP T/U</x:t>
        </x:is>
      </x:c>
      <x:c r="R247" s="6" t="inlineStr">
        <x:is>
          <x:t xml:space="preserve">OŚWIETLENIE</x:t>
        </x:is>
      </x:c>
      <x:c r="S247" s="6" t="inlineStr">
        <x:is>
          <x:t xml:space="preserve">website+crm</x:t>
        </x:is>
      </x:c>
      <x:c r="T247" s="6" t="inlineStr">
        <x:is>
          <x:t xml:space="preserve">Opcja dodatkowa | FIX17: opcja LED dostępna dla strony; ceny 450-600 wg modelu FIX15.</x:t>
        </x:is>
      </x:c>
    </x:row>
    <x:row r="248">
      <x:c r="A248" s="6" t="inlineStr">
        <x:is>
          <x:t xml:space="preserve">350 x 506 cm</x:t>
        </x:is>
      </x:c>
      <x:c r="B248" s="6" t="inlineStr">
        <x:is>
          <x:t xml:space="preserve">LEDRGBCCT</x:t>
        </x:is>
      </x:c>
      <x:c r="C248" s="6" t="inlineStr">
        <x:is>
          <x:t xml:space="preserve">Oświetlenie LED RGB CCT</x:t>
        </x:is>
      </x:c>
      <x:c r="D248" s="6" t="inlineStr">
        <x:is>
          <x:t xml:space="preserve">OŚWIETLENIE</x:t>
        </x:is>
      </x:c>
      <x:c r="E248" s="8" t="n">
        <x:f>IFERROR(INDEX('02_RAW_INDEX'!$T:$T,MATCH($A248,'02_RAW_INDEX'!$A:$A,0)),"")</x:f>
        <x:v>1550</x:v>
      </x:c>
      <x:c r="F248" s="8" t="n">
        <x:f>IFERROR(INDEX('02_RAW_INDEX'!$S:$S,MATCH($A248,'02_RAW_INDEX'!$A:$A,0)),"")</x:f>
        <x:v>1907</x:v>
      </x:c>
      <x:c r="G248" s="7" t="n">
        <x:f>'01_Ustawienia'!$B$6</x:f>
        <x:v>0</x:v>
      </x:c>
      <x:c r="H248" s="8" t="n">
        <x:f>IF(E248="","",ROUND(IF('01_Ustawienia'!$B$5="BRUTTO",F248,E248)*(1-G248),0))</x:f>
        <x:v>1550</x:v>
      </x:c>
      <x:c r="I248" s="7" t="n">
        <x:f>IFERROR(IFERROR(INDEX('01_Ustawienia'!$B$15:$B$33,MATCH(B248,'01_Ustawienia'!$A$15:$A$33,0)),0.45),0.45)</x:f>
        <x:v>0.45</x:v>
      </x:c>
      <x:c r="J248" s="8" t="n">
        <x:f>IF(H248="","",ROUND(H248*(1+I248),0))</x:f>
        <x:v>2248</x:v>
      </x:c>
      <x:c r="K248" s="8" t="n">
        <x:f>0</x:f>
        <x:v>0</x:v>
      </x:c>
      <x:c r="L248" s="8" t="n">
        <x:f>0</x:f>
        <x:v>0</x:v>
      </x:c>
      <x:c r="M248" s="7" t="n">
        <x:f>IF('01_Ustawienia'!$B$4="ZWOLNIONY",0,'01_Ustawienia'!$B$7)</x:f>
        <x:v>0.08</x:v>
      </x:c>
      <x:c r="N248" s="8" t="n">
        <x:f>IF(J248="","",ROUND((J248+K248)*(1+M248),0))</x:f>
        <x:v>2428</x:v>
      </x:c>
      <x:c r="O248" s="8" t="n">
        <x:f>IF(J248="","",J248+K248-H248-L248)</x:f>
        <x:v>698</x:v>
      </x:c>
      <x:c r="P248" s="7" t="n">
        <x:f>IFERROR(O248/(J248+K248),"")</x:f>
        <x:v>0.3104982206405694</x:v>
      </x:c>
      <x:c r="Q248" s="6" t="inlineStr">
        <x:is>
          <x:t xml:space="preserve">RAW_ZP V/W</x:t>
        </x:is>
      </x:c>
      <x:c r="R248" s="6" t="inlineStr">
        <x:is>
          <x:t xml:space="preserve">OŚWIETLENIE</x:t>
        </x:is>
      </x:c>
      <x:c r="S248" s="6" t="inlineStr">
        <x:is>
          <x:t xml:space="preserve">crm_only</x:t>
        </x:is>
      </x:c>
      <x:c r="T248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249" s="655" customFormat="1" ht="30" customHeight="1">
      <x:c r="A249" s="6" t="inlineStr">
        <x:is>
          <x:t xml:space="preserve">350 x 606 cm</x:t>
        </x:is>
      </x:c>
      <x:c r="B249" s="6" t="inlineStr">
        <x:is>
          <x:t xml:space="preserve">ZP</x:t>
        </x:is>
      </x:c>
      <x:c r="C249" s="6" t="inlineStr">
        <x:is>
          <x:t xml:space="preserve">Zadaszenie poliwęglan - baza</x:t>
        </x:is>
      </x:c>
      <x:c r="D249" s="6" t="inlineStr">
        <x:is>
          <x:t xml:space="preserve">ZADASZENIE POLIWĘGLAN</x:t>
        </x:is>
      </x:c>
      <x:c r="E249" s="8" t="n">
        <x:f>IFERROR(INDEX('02_RAW_INDEX'!$D:$D,MATCH($A249,'02_RAW_INDEX'!$A:$A,0)),"")</x:f>
        <x:v>6610</x:v>
      </x:c>
      <x:c r="F249" s="8" t="n">
        <x:f>IFERROR(INDEX('02_RAW_INDEX'!$C:$C,MATCH($A249,'02_RAW_INDEX'!$A:$A,0)),"")</x:f>
        <x:v>8130</x:v>
      </x:c>
      <x:c r="G249" s="7" t="n">
        <x:f>'01_Ustawienia'!$B$6</x:f>
        <x:v>0</x:v>
      </x:c>
      <x:c r="H249" s="8" t="n">
        <x:f>IF(E249="","",ROUND(IF('01_Ustawienia'!$B$5="BRUTTO",F249,E249)*(1-G249),0))</x:f>
        <x:v>6610</x:v>
      </x:c>
      <x:c r="I249" s="7" t="n">
        <x:f>IFERROR(IFERROR(INDEX('01_Ustawienia'!$B$15:$B$33,MATCH(B249,'01_Ustawienia'!$A$15:$A$33,0)),0.45),0.45)</x:f>
        <x:v>0.45</x:v>
      </x:c>
      <x:c r="J249" s="8" t="n">
        <x:f>IF(H249="","",ROUND(H249*(1+I249),0))</x:f>
        <x:v>9585</x:v>
      </x:c>
      <x:c r="K249" s="8" t="n">
        <x:f>IFERROR(IFERROR(INDEX(EG_Cennik_uslug!$F:$F,MATCH($A249,EG_Cennik_uslug!$A:$A,0)),0),0)</x:f>
        <x:v>3620</x:v>
      </x:c>
      <x:c r="L249" s="8" t="n">
        <x:f>IFERROR(IFERROR(INDEX(EG_Cennik_uslug!$G:$G,MATCH($A249,EG_Cennik_uslug!$A:$A,0)),0),0)</x:f>
        <x:v>1240</x:v>
      </x:c>
      <x:c r="M249" s="7" t="n">
        <x:f>IF('01_Ustawienia'!$B$4="ZWOLNIONY",0,'01_Ustawienia'!$B$7)</x:f>
        <x:v>0.08</x:v>
      </x:c>
      <x:c r="N249" s="8" t="n">
        <x:f>IF(J249="","",ROUND((J249+K249)*(1+M249),0))</x:f>
        <x:v>14261</x:v>
      </x:c>
      <x:c r="O249" s="8" t="n">
        <x:f>IF(J249="","",J249+K249-H249-L249)</x:f>
        <x:v>5355</x:v>
      </x:c>
      <x:c r="P249" s="7" t="n">
        <x:f>IFERROR(O249/(J249+K249),"")</x:f>
        <x:v>0.405528209011738</x:v>
      </x:c>
      <x:c r="Q249" s="6" t="inlineStr">
        <x:is>
          <x:t xml:space="preserve">RAW_ZP B/C</x:t>
        </x:is>
      </x:c>
      <x:c r="R249" s="6" t="inlineStr">
        <x:is>
          <x:t xml:space="preserve">ZADASZENIE TARASU KONSTRUKCJA</x:t>
        </x:is>
      </x:c>
      <x:c r="S249" s="6" t="inlineStr">
        <x:is>
          <x:t xml:space="preserve">website+crm</x:t>
        </x:is>
      </x:c>
      <x:c r="T249" s="6" t="inlineStr">
        <x:is>
          <x:t xml:space="preserve">Baza dla kalkulatora</x:t>
        </x:is>
      </x:c>
    </x:row>
    <x:row r="250" s="655" customFormat="1" ht="30" customHeight="1">
      <x:c r="A250" s="6" t="inlineStr">
        <x:is>
          <x:t xml:space="preserve">350 x 606 cm</x:t>
        </x:is>
      </x:c>
      <x:c r="B250" s="6" t="inlineStr">
        <x:is>
          <x:t xml:space="preserve">ZS</x:t>
        </x:is>
      </x:c>
      <x:c r="C250" s="6" t="inlineStr">
        <x:is>
          <x:t xml:space="preserve">Zadaszenie szkło - pełna konstrukcja</x:t>
        </x:is>
      </x:c>
      <x:c r="D250" s="6" t="inlineStr">
        <x:is>
          <x:t xml:space="preserve">ZADASZENIE SZKŁO</x:t>
        </x:is>
      </x:c>
      <x:c r="E250" s="8" t="n">
        <x:f>IFERROR(INDEX('02_RAW_INDEX'!$V:$V,MATCH($A250,'02_RAW_INDEX'!$A:$A,0)),"")</x:f>
        <x:v>10423</x:v>
      </x:c>
      <x:c r="F250" s="8" t="n">
        <x:f>IFERROR(INDEX('02_RAW_INDEX'!$U:$U,MATCH($A250,'02_RAW_INDEX'!$A:$A,0)),"")</x:f>
        <x:v>12820</x:v>
      </x:c>
      <x:c r="G250" s="7" t="n">
        <x:f>'01_Ustawienia'!$B$6</x:f>
        <x:v>0</x:v>
      </x:c>
      <x:c r="H250" s="8" t="n">
        <x:f>IF(E250="","",ROUND(IF('01_Ustawienia'!$B$5="BRUTTO",F250,E250)*(1-G250),0))</x:f>
        <x:v>10423</x:v>
      </x:c>
      <x:c r="I250" s="7" t="n">
        <x:f>IFERROR(IFERROR(INDEX('01_Ustawienia'!$B$15:$B$33,MATCH(B250,'01_Ustawienia'!$A$15:$A$33,0)),0.45),0.45)</x:f>
        <x:v>0.45</x:v>
      </x:c>
      <x:c r="J250" s="8" t="n">
        <x:f>IF(H250="","",ROUND(H250*(1+I250),0))</x:f>
        <x:v>15113</x:v>
      </x:c>
      <x:c r="K250" s="8" t="n">
        <x:f>IFERROR(IFERROR(INDEX(EG_Cennik_uslug!$F:$F,MATCH($A250,EG_Cennik_uslug!$A:$A,0)),0),0)</x:f>
        <x:v>3620</x:v>
      </x:c>
      <x:c r="L250" s="8" t="n">
        <x:f>IFERROR(IFERROR(INDEX(EG_Cennik_uslug!$G:$G,MATCH($A250,EG_Cennik_uslug!$A:$A,0)),0),0)</x:f>
        <x:v>1240</x:v>
      </x:c>
      <x:c r="M250" s="7" t="n">
        <x:f>IF('01_Ustawienia'!$B$4="ZWOLNIONY",0,'01_Ustawienia'!$B$7)</x:f>
        <x:v>0.08</x:v>
      </x:c>
      <x:c r="N250" s="8" t="n">
        <x:f>IF(J250="","",ROUND((J250+K250)*(1+M250),0))</x:f>
        <x:v>20232</x:v>
      </x:c>
      <x:c r="O250" s="8" t="n">
        <x:f>IF(J250="","",J250+K250-H250-L250)</x:f>
        <x:v>7070</x:v>
      </x:c>
      <x:c r="P250" s="7" t="n">
        <x:f>IFERROR(O250/(J250+K250),"")</x:f>
        <x:v>0.37740885069129343</x:v>
      </x:c>
      <x:c r="Q250" s="6" t="inlineStr">
        <x:is>
          <x:t xml:space="preserve">RAW_ZS B/C</x:t>
        </x:is>
      </x:c>
      <x:c r="R250" s="6" t="inlineStr">
        <x:is>
          <x:t xml:space="preserve">ZADASZENIE TARASU KONSTRUKCJA</x:t>
        </x:is>
      </x:c>
      <x:c r="S250" s="6" t="inlineStr">
        <x:is>
          <x:t xml:space="preserve">crm_only</x:t>
        </x:is>
      </x:c>
      <x:c r="T250" s="6" t="inlineStr">
        <x:is>
          <x:t xml:space="preserve">Referencyjne/full; strona zwykle używa ZP + PDS</x:t>
        </x:is>
      </x:c>
    </x:row>
    <x:row r="251" s="655" customFormat="1" ht="30" customHeight="1">
      <x:c r="A251" s="6" t="inlineStr">
        <x:is>
          <x:t xml:space="preserve">350 x 606 cm</x:t>
        </x:is>
      </x:c>
      <x:c r="B251" s="6" t="inlineStr">
        <x:is>
          <x:t xml:space="preserve">OP</x:t>
        </x:is>
      </x:c>
      <x:c r="C251" s="6" t="inlineStr">
        <x:is>
          <x:t xml:space="preserve">Ogród zimowy poliwęglan - baza</x:t>
        </x:is>
      </x:c>
      <x:c r="D251" s="6" t="inlineStr">
        <x:is>
          <x:t xml:space="preserve">OGRODY POLIWĘGLAN</x:t>
        </x:is>
      </x:c>
      <x:c r="E251" s="8" t="n">
        <x:f>IFERROR(INDEX('02_RAW_INDEX'!$Z:$Z,MATCH($A251,'02_RAW_INDEX'!$A:$A,0)),"")</x:f>
        <x:v>19187</x:v>
      </x:c>
      <x:c r="F251" s="8" t="n">
        <x:f>IFERROR(INDEX('02_RAW_INDEX'!$Y:$Y,MATCH($A251,'02_RAW_INDEX'!$A:$A,0)),"")</x:f>
        <x:v>23600</x:v>
      </x:c>
      <x:c r="G251" s="7" t="n">
        <x:f>'01_Ustawienia'!$B$6</x:f>
        <x:v>0</x:v>
      </x:c>
      <x:c r="H251" s="8" t="n">
        <x:f>IF(E251="","",ROUND(IF('01_Ustawienia'!$B$5="BRUTTO",F251,E251)*(1-G251),0))</x:f>
        <x:v>19187</x:v>
      </x:c>
      <x:c r="I251" s="7" t="n">
        <x:f>IFERROR(IFERROR(INDEX('01_Ustawienia'!$B$15:$B$33,MATCH(B251,'01_Ustawienia'!$A$15:$A$33,0)),0.45),0.45)</x:f>
        <x:v>0.45</x:v>
      </x:c>
      <x:c r="J251" s="8" t="n">
        <x:f>IF(H251="","",ROUND(H251*(1+I251),0))</x:f>
        <x:v>27821</x:v>
      </x:c>
      <x:c r="K251" s="8" t="n">
        <x:f>IFERROR(IFERROR(INDEX(EG_Cennik_uslug!$N:$N,MATCH($A251,EG_Cennik_uslug!$A:$A,0)),0),0)</x:f>
        <x:v>4900</x:v>
      </x:c>
      <x:c r="L251" s="8" t="n">
        <x:f>IFERROR(IFERROR(INDEX(EG_Cennik_uslug!$O:$O,MATCH($A251,EG_Cennik_uslug!$A:$A,0)),0),0)</x:f>
        <x:v>1730</x:v>
      </x:c>
      <x:c r="M251" s="7" t="n">
        <x:f>IF('01_Ustawienia'!$B$4="ZWOLNIONY",0,'01_Ustawienia'!$B$7)</x:f>
        <x:v>0.08</x:v>
      </x:c>
      <x:c r="N251" s="8" t="n">
        <x:f>IF(J251="","",ROUND((J251+K251)*(1+M251),0))</x:f>
        <x:v>35339</x:v>
      </x:c>
      <x:c r="O251" s="8" t="n">
        <x:f>IF(J251="","",J251+K251-H251-L251)</x:f>
        <x:v>11804</x:v>
      </x:c>
      <x:c r="P251" s="7" t="n">
        <x:f>IFERROR(O251/(J251+K251),"")</x:f>
        <x:v>0.36074692093762417</x:v>
      </x:c>
      <x:c r="Q251" s="6" t="inlineStr">
        <x:is>
          <x:t xml:space="preserve">RAW_OP B/C</x:t>
        </x:is>
      </x:c>
      <x:c r="R251" s="6" t="inlineStr">
        <x:is>
          <x:t xml:space="preserve">OGRÓD ZIMOWY (KONSTRUKCJA)</x:t>
        </x:is>
      </x:c>
      <x:c r="S251" s="6" t="inlineStr">
        <x:is>
          <x:t xml:space="preserve">website+crm</x:t>
        </x:is>
      </x:c>
      <x:c r="T251" s="6" t="inlineStr">
        <x:is>
          <x:t xml:space="preserve">Do wyliczenia dopłaty za ściany</x:t>
        </x:is>
      </x:c>
    </x:row>
    <x:row r="252" s="655" customFormat="1" ht="30" customHeight="1">
      <x:c r="A252" s="6" t="inlineStr">
        <x:is>
          <x:t xml:space="preserve">350 x 606 cm</x:t>
        </x:is>
      </x:c>
      <x:c r="B252" s="6" t="inlineStr">
        <x:is>
          <x:t xml:space="preserve">OS</x:t>
        </x:is>
      </x:c>
      <x:c r="C252" s="6" t="inlineStr">
        <x:is>
          <x:t xml:space="preserve">Ogród zimowy szkło - pełna konstrukcja</x:t>
        </x:is>
      </x:c>
      <x:c r="D252" s="6" t="inlineStr">
        <x:is>
          <x:t xml:space="preserve">OGRODY SZKŁO</x:t>
        </x:is>
      </x:c>
      <x:c r="E252" s="8" t="n">
        <x:f>IFERROR(INDEX('02_RAW_INDEX'!$AL:$AL,MATCH($A252,'02_RAW_INDEX'!$A:$A,0)),"")</x:f>
        <x:v>23000</x:v>
      </x:c>
      <x:c r="F252" s="8" t="n">
        <x:f>IFERROR(INDEX('02_RAW_INDEX'!$AK:$AK,MATCH($A252,'02_RAW_INDEX'!$A:$A,0)),"")</x:f>
        <x:v>28290</x:v>
      </x:c>
      <x:c r="G252" s="7" t="n">
        <x:f>'01_Ustawienia'!$B$6</x:f>
        <x:v>0</x:v>
      </x:c>
      <x:c r="H252" s="8" t="n">
        <x:f>IF(E252="","",ROUND(IF('01_Ustawienia'!$B$5="BRUTTO",F252,E252)*(1-G252),0))</x:f>
        <x:v>23000</x:v>
      </x:c>
      <x:c r="I252" s="7" t="n">
        <x:f>IFERROR(IFERROR(INDEX('01_Ustawienia'!$B$15:$B$33,MATCH(B252,'01_Ustawienia'!$A$15:$A$33,0)),0.45),0.45)</x:f>
        <x:v>0.45</x:v>
      </x:c>
      <x:c r="J252" s="8" t="n">
        <x:f>IF(H252="","",ROUND(H252*(1+I252),0))</x:f>
        <x:v>33350</x:v>
      </x:c>
      <x:c r="K252" s="8" t="n">
        <x:f>IFERROR(IFERROR(INDEX(EG_Cennik_uslug!$N:$N,MATCH($A252,EG_Cennik_uslug!$A:$A,0)),0),0)</x:f>
        <x:v>4900</x:v>
      </x:c>
      <x:c r="L252" s="8" t="n">
        <x:f>IFERROR(IFERROR(INDEX(EG_Cennik_uslug!$O:$O,MATCH($A252,EG_Cennik_uslug!$A:$A,0)),0),0)</x:f>
        <x:v>1730</x:v>
      </x:c>
      <x:c r="M252" s="7" t="n">
        <x:f>IF('01_Ustawienia'!$B$4="ZWOLNIONY",0,'01_Ustawienia'!$B$7)</x:f>
        <x:v>0.08</x:v>
      </x:c>
      <x:c r="N252" s="8" t="n">
        <x:f>IF(J252="","",ROUND((J252+K252)*(1+M252),0))</x:f>
        <x:v>41310</x:v>
      </x:c>
      <x:c r="O252" s="8" t="n">
        <x:f>IF(J252="","",J252+K252-H252-L252)</x:f>
        <x:v>13520</x:v>
      </x:c>
      <x:c r="P252" s="7" t="n">
        <x:f>IFERROR(O252/(J252+K252),"")</x:f>
        <x:v>0.3534640522875817</x:v>
      </x:c>
      <x:c r="Q252" s="6" t="inlineStr">
        <x:is>
          <x:t xml:space="preserve">RAW_OS B/C</x:t>
        </x:is>
      </x:c>
      <x:c r="R252" s="6" t="inlineStr">
        <x:is>
          <x:t xml:space="preserve">OGRÓD ZIMOWY (KONSTRUKCJA)</x:t>
        </x:is>
      </x:c>
      <x:c r="S252" s="6" t="inlineStr">
        <x:is>
          <x:t xml:space="preserve">crm_only</x:t>
        </x:is>
      </x:c>
      <x:c r="T252" s="6" t="inlineStr">
        <x:is>
          <x:t xml:space="preserve">Referencyjne/full</x:t>
        </x:is>
      </x:c>
    </x:row>
    <x:row r="253" s="655" customFormat="1" ht="30" customHeight="1">
      <x:c r="A253" s="6" t="inlineStr">
        <x:is>
          <x:t xml:space="preserve">350 x 606 cm</x:t>
        </x:is>
      </x:c>
      <x:c r="B253" s="6" t="inlineStr">
        <x:is>
          <x:t xml:space="preserve">PDS</x:t>
        </x:is>
      </x:c>
      <x:c r="C253" s="6" t="inlineStr">
        <x:is>
          <x:t xml:space="preserve">Dopłata dach szkło przezroczyste</x:t>
        </x:is>
      </x:c>
      <x:c r="D253" s="6" t="inlineStr">
        <x:is>
          <x:t xml:space="preserve">POKRYCIE DACHU SZKŁO</x:t>
        </x:is>
      </x:c>
      <x:c r="E253" s="8" t="n">
        <x:f>IFERROR(IFERROR(INDEX('02_RAW_INDEX'!$V:$V,MATCH($A253,'02_RAW_INDEX'!$A:$A,0)),"")-IFERROR(INDEX('02_RAW_INDEX'!$D:$D,MATCH($A253,'02_RAW_INDEX'!$A:$A,0)),""),"")</x:f>
        <x:v>3813</x:v>
      </x:c>
      <x:c r="F253" s="8" t="n">
        <x:f>IFERROR(IFERROR(INDEX('02_RAW_INDEX'!$U:$U,MATCH($A253,'02_RAW_INDEX'!$A:$A,0)),"")-IFERROR(INDEX('02_RAW_INDEX'!$C:$C,MATCH($A253,'02_RAW_INDEX'!$A:$A,0)),""),"")</x:f>
        <x:v>4690</x:v>
      </x:c>
      <x:c r="G253" s="7" t="n">
        <x:f>'01_Ustawienia'!$B$6</x:f>
        <x:v>0</x:v>
      </x:c>
      <x:c r="H253" s="8" t="n">
        <x:f>IF(E253="","",ROUND(IF('01_Ustawienia'!$B$5="BRUTTO",F253,E253)*(1-G253),0))</x:f>
        <x:v>3813</x:v>
      </x:c>
      <x:c r="I253" s="7" t="n">
        <x:f>IFERROR(IFERROR(INDEX('01_Ustawienia'!$B$15:$B$33,MATCH(B253,'01_Ustawienia'!$A$15:$A$33,0)),0.45),0.45)</x:f>
        <x:v>0.45</x:v>
      </x:c>
      <x:c r="J253" s="8" t="n">
        <x:f>IF(H253="","",ROUND(H253*(1+I253),0))</x:f>
        <x:v>5529</x:v>
      </x:c>
      <x:c r="K253" s="8" t="n">
        <x:f>0</x:f>
        <x:v>0</x:v>
      </x:c>
      <x:c r="L253" s="8" t="n">
        <x:v>0</x:v>
      </x:c>
      <x:c r="M253" s="7" t="n">
        <x:f>IF('01_Ustawienia'!$B$4="ZWOLNIONY",0,'01_Ustawienia'!$B$7)</x:f>
        <x:v>0.08</x:v>
      </x:c>
      <x:c r="N253" s="8" t="n">
        <x:f>IF(J253="","",ROUND((J253+K253)*(1+M253),0))</x:f>
        <x:v>5971</x:v>
      </x:c>
      <x:c r="O253" s="8" t="n">
        <x:f>IF(J253="","",J253+K253-H253-L253)</x:f>
        <x:v>1716</x:v>
      </x:c>
      <x:c r="P253" s="7" t="n">
        <x:f>IFERROR(O253/(J253+K253),"")</x:f>
        <x:v>0.31036353771025504</x:v>
      </x:c>
      <x:c r="Q253" s="6" t="inlineStr">
        <x:is>
          <x:t xml:space="preserve">RAW_ZS - RAW_ZP</x:t>
        </x:is>
      </x:c>
      <x:c r="R253" s="6" t="inlineStr">
        <x:is>
          <x:t xml:space="preserve">POKRYCIE DACHU</x:t>
        </x:is>
      </x:c>
      <x:c r="S253" s="6" t="inlineStr">
        <x:is>
          <x:t xml:space="preserve">website+crm</x:t>
        </x:is>
      </x:c>
      <x:c r="T253" s="6" t="inlineStr">
        <x:is>
          <x:t xml:space="preserve">Dopłata do bazowego dachu poliwęglan | FIX17: Wynagr.+koszty = 0 dla dopłaty; nie jest osobnym montażem ekipy.</x:t>
        </x:is>
      </x:c>
    </x:row>
    <x:row r="254" s="655" customFormat="1" ht="30" customHeight="1">
      <x:c r="A254" s="6" t="inlineStr">
        <x:is>
          <x:t xml:space="preserve">350 x 606 cm</x:t>
        </x:is>
      </x:c>
      <x:c r="B254" s="6" t="inlineStr">
        <x:is>
          <x:t xml:space="preserve">PDSB</x:t>
        </x:is>
      </x:c>
      <x:c r="C254" s="6" t="inlineStr">
        <x:is>
          <x:t xml:space="preserve">Dopłata dach szkło barwione/mleczne</x:t>
        </x:is>
      </x:c>
      <x:c r="D254" s="6" t="inlineStr">
        <x:is>
          <x:t xml:space="preserve">POKRYCIE DACHU SZKŁO BARWIONE</x:t>
        </x:is>
      </x:c>
      <x:c r="E254" s="8" t="n">
        <x:f>IFERROR(INDEX('02_RAW_INDEX'!$X:$X,MATCH($A254,'02_RAW_INDEX'!$A:$A,0)),"")</x:f>
        <x:v>561</x:v>
      </x:c>
      <x:c r="F254" s="8" t="n">
        <x:f>IFERROR(INDEX('02_RAW_INDEX'!$W:$W,MATCH($A254,'02_RAW_INDEX'!$A:$A,0)),"")</x:f>
        <x:v>690</x:v>
      </x:c>
      <x:c r="G254" s="7" t="n">
        <x:f>'01_Ustawienia'!$B$6</x:f>
        <x:v>0</x:v>
      </x:c>
      <x:c r="H254" s="8" t="n">
        <x:f>IF(E254="","",ROUND(IF('01_Ustawienia'!$B$5="BRUTTO",F254,E254)*(1-G254),0))</x:f>
        <x:v>561</x:v>
      </x:c>
      <x:c r="I254" s="7" t="n">
        <x:f>IFERROR(IFERROR(INDEX('01_Ustawienia'!$B$15:$B$33,MATCH(B254,'01_Ustawienia'!$A$15:$A$33,0)),0.45),0.45)</x:f>
        <x:v>0.45</x:v>
      </x:c>
      <x:c r="J254" s="8" t="n">
        <x:f>IF(H254="","",ROUND(H254*(1+I254),0))</x:f>
        <x:v>813</x:v>
      </x:c>
      <x:c r="K254" s="8" t="n">
        <x:f>0</x:f>
        <x:v>0</x:v>
      </x:c>
      <x:c r="L254" s="8" t="n">
        <x:v>0</x:v>
      </x:c>
      <x:c r="M254" s="7" t="n">
        <x:f>IF('01_Ustawienia'!$B$4="ZWOLNIONY",0,'01_Ustawienia'!$B$7)</x:f>
        <x:v>0.08</x:v>
      </x:c>
      <x:c r="N254" s="8" t="n">
        <x:f>IF(J254="","",ROUND((J254+K254)*(1+M254),0))</x:f>
        <x:v>878</x:v>
      </x:c>
      <x:c r="O254" s="8" t="n">
        <x:f>IF(J254="","",J254+K254-H254-L254)</x:f>
        <x:v>252</x:v>
      </x:c>
      <x:c r="P254" s="7" t="n">
        <x:f>IFERROR(O254/(J254+K254),"")</x:f>
        <x:v>0.30996309963099633</x:v>
      </x:c>
      <x:c r="Q254" s="6" t="inlineStr">
        <x:is>
          <x:t xml:space="preserve">RAW_ZS D/E</x:t>
        </x:is>
      </x:c>
      <x:c r="R254" s="6" t="inlineStr">
        <x:is>
          <x:t xml:space="preserve">POKRYCIE DACHU</x:t>
        </x:is>
      </x:c>
      <x:c r="S254" s="6" t="inlineStr">
        <x:is>
          <x:t xml:space="preserve">website+crm</x:t>
        </x:is>
      </x:c>
      <x:c r="T254" s="6" t="inlineStr">
        <x:is>
          <x:t xml:space="preserve">Dodawane do PDS | FIX17: Wynagr.+koszty = 0 dla dopłaty; nie jest osobnym montażem ekipy.</x:t>
        </x:is>
      </x:c>
    </x:row>
    <x:row r="255" s="655" customFormat="1" ht="30" customHeight="1">
      <x:c r="A255" s="6" t="inlineStr">
        <x:is>
          <x:t xml:space="preserve">350 x 606 cm</x:t>
        </x:is>
      </x:c>
      <x:c r="B255" s="6" t="inlineStr">
        <x:is>
          <x:t xml:space="preserve">PDPB</x:t>
        </x:is>
      </x:c>
      <x:c r="C255" s="6" t="inlineStr">
        <x:is>
          <x:t xml:space="preserve">Dopłata poliwęglan barwiony</x:t>
        </x:is>
      </x:c>
      <x:c r="D255" s="6" t="inlineStr">
        <x:is>
          <x:t xml:space="preserve">POKRYCIE DACHU POLIWĘGLAN BARWIONY</x:t>
        </x:is>
      </x:c>
      <x:c r="E255" s="8" t="n">
        <x:f>IFERROR(INDEX('02_RAW_INDEX'!$F:$F,MATCH($A255,'02_RAW_INDEX'!$A:$A,0)),"")</x:f>
        <x:v>244</x:v>
      </x:c>
      <x:c r="F255" s="8" t="n">
        <x:f>IFERROR(INDEX('02_RAW_INDEX'!$E:$E,MATCH($A255,'02_RAW_INDEX'!$A:$A,0)),"")</x:f>
        <x:v>300</x:v>
      </x:c>
      <x:c r="G255" s="7" t="n">
        <x:f>'01_Ustawienia'!$B$6</x:f>
        <x:v>0</x:v>
      </x:c>
      <x:c r="H255" s="8" t="n">
        <x:f>IF(E255="","",ROUND(IF('01_Ustawienia'!$B$5="BRUTTO",F255,E255)*(1-G255),0))</x:f>
        <x:v>244</x:v>
      </x:c>
      <x:c r="I255" s="7" t="n">
        <x:f>IFERROR(IFERROR(INDEX('01_Ustawienia'!$B$15:$B$33,MATCH(B255,'01_Ustawienia'!$A$15:$A$33,0)),0.45),0.45)</x:f>
        <x:v>0.45</x:v>
      </x:c>
      <x:c r="J255" s="8" t="n">
        <x:f>IF(H255="","",ROUND(H255*(1+I255),0))</x:f>
        <x:v>354</x:v>
      </x:c>
      <x:c r="K255" s="8" t="n">
        <x:f>0</x:f>
        <x:v>0</x:v>
      </x:c>
      <x:c r="L255" s="8" t="n">
        <x:v>0</x:v>
      </x:c>
      <x:c r="M255" s="7" t="n">
        <x:f>IF('01_Ustawienia'!$B$4="ZWOLNIONY",0,'01_Ustawienia'!$B$7)</x:f>
        <x:v>0.08</x:v>
      </x:c>
      <x:c r="N255" s="8" t="n">
        <x:f>IF(J255="","",ROUND((J255+K255)*(1+M255),0))</x:f>
        <x:v>382</x:v>
      </x:c>
      <x:c r="O255" s="8" t="n">
        <x:f>IF(J255="","",J255+K255-H255-L255)</x:f>
        <x:v>110</x:v>
      </x:c>
      <x:c r="P255" s="7" t="n">
        <x:f>IFERROR(O255/(J255+K255),"")</x:f>
        <x:v>0.3107344632768362</x:v>
      </x:c>
      <x:c r="Q255" s="6" t="inlineStr">
        <x:is>
          <x:t xml:space="preserve">RAW_ZP D/E</x:t>
        </x:is>
      </x:c>
      <x:c r="R255" s="6" t="inlineStr">
        <x:is>
          <x:t xml:space="preserve">POKRYCIE DACHU</x:t>
        </x:is>
      </x:c>
      <x:c r="S255" s="6" t="inlineStr">
        <x:is>
          <x:t xml:space="preserve">website+crm</x:t>
        </x:is>
      </x:c>
      <x:c r="T255" s="6" t="inlineStr">
        <x:is>
          <x:t xml:space="preserve">FIX17: Wynagr.+koszty = 0 dla dopłaty; nie jest osobnym montażem ekipy.</x:t>
        </x:is>
      </x:c>
    </x:row>
    <x:row r="256" s="655" customFormat="1" ht="30" customHeight="1">
      <x:c r="A256" s="6" t="inlineStr">
        <x:is>
          <x:t xml:space="preserve">350 x 606 cm</x:t>
        </x:is>
      </x:c>
      <x:c r="B256" s="6" t="inlineStr">
        <x:is>
          <x:t xml:space="preserve">SBB</x:t>
        </x:is>
      </x:c>
      <x:c r="C256" s="6" t="inlineStr">
        <x:is>
          <x:t xml:space="preserve">Dopłata szkło boczne przyciemniane</x:t>
        </x:is>
      </x:c>
      <x:c r="D256" s="6" t="inlineStr">
        <x:is>
          <x:t xml:space="preserve">SZKŁO BOCZNE BARWIONE</x:t>
        </x:is>
      </x:c>
      <x:c r="E256" s="8" t="n">
        <x:f>IFERROR(INDEX('02_RAW_INDEX'!$AB:$AB,MATCH($A256,'02_RAW_INDEX'!$A:$A,0)),"")</x:f>
        <x:v>1366</x:v>
      </x:c>
      <x:c r="F256" s="8" t="n">
        <x:f>IFERROR(INDEX('02_RAW_INDEX'!$AA:$AA,MATCH($A256,'02_RAW_INDEX'!$A:$A,0)),"")</x:f>
        <x:v>1680</x:v>
      </x:c>
      <x:c r="G256" s="7" t="n">
        <x:f>'01_Ustawienia'!$B$6</x:f>
        <x:v>0</x:v>
      </x:c>
      <x:c r="H256" s="8" t="n">
        <x:f>IF(E256="","",ROUND(IF('01_Ustawienia'!$B$5="BRUTTO",F256,E256)*(1-G256),0))</x:f>
        <x:v>1366</x:v>
      </x:c>
      <x:c r="I256" s="7" t="n">
        <x:f>IFERROR(IFERROR(INDEX('01_Ustawienia'!$B$15:$B$33,MATCH(B256,'01_Ustawienia'!$A$15:$A$33,0)),0.45),0.45)</x:f>
        <x:v>0.45</x:v>
      </x:c>
      <x:c r="J256" s="8" t="n">
        <x:f>IF(H256="","",ROUND(H256*(1+I256),0))</x:f>
        <x:v>1981</x:v>
      </x:c>
      <x:c r="K256" s="8" t="n">
        <x:f>0</x:f>
        <x:v>0</x:v>
      </x:c>
      <x:c r="L256" s="8" t="n">
        <x:v>0</x:v>
      </x:c>
      <x:c r="M256" s="7" t="n">
        <x:f>IF('01_Ustawienia'!$B$4="ZWOLNIONY",0,'01_Ustawienia'!$B$7)</x:f>
        <x:v>0.08</x:v>
      </x:c>
      <x:c r="N256" s="8" t="n">
        <x:f>IF(J256="","",ROUND((J256+K256)*(1+M256),0))</x:f>
        <x:v>2139</x:v>
      </x:c>
      <x:c r="O256" s="8" t="n">
        <x:f>IF(J256="","",J256+K256-H256-L256)</x:f>
        <x:v>615</x:v>
      </x:c>
      <x:c r="P256" s="7" t="n">
        <x:f>IFERROR(O256/(J256+K256),"")</x:f>
        <x:v>0.3104492680464412</x:v>
      </x:c>
      <x:c r="Q256" s="6" t="inlineStr">
        <x:is>
          <x:t xml:space="preserve">RAW_OP H/I</x:t>
        </x:is>
      </x:c>
      <x:c r="R256" s="6" t="inlineStr">
        <x:is>
          <x:t xml:space="preserve">SZYBY BOCZNE</x:t>
        </x:is>
      </x:c>
      <x:c r="S256" s="6" t="inlineStr">
        <x:is>
          <x:t xml:space="preserve">website+crm</x:t>
        </x:is>
      </x:c>
      <x:c r="T256" s="6" t="inlineStr">
        <x:is>
          <x:t xml:space="preserve">Dodawane do ścian przezroczystych | FIX17: Wynagr.+koszty = 0 dla dopłaty; nie jest osobnym montażem ekipy.</x:t>
        </x:is>
      </x:c>
    </x:row>
    <x:row r="257">
      <x:c r="A257" s="6" t="inlineStr">
        <x:is>
          <x:t xml:space="preserve">350 x 606 cm</x:t>
        </x:is>
      </x:c>
      <x:c r="B257" s="6" t="inlineStr">
        <x:is>
          <x:t xml:space="preserve">RB</x:t>
        </x:is>
      </x:c>
      <x:c r="C257" s="6" t="inlineStr">
        <x:is>
          <x:t xml:space="preserve">Roleta boczna ZIP</x:t>
        </x:is>
      </x:c>
      <x:c r="D257" s="6" t="inlineStr">
        <x:is>
          <x:t xml:space="preserve">ROLETA BOCZNA</x:t>
        </x:is>
      </x:c>
      <x:c r="E257" s="8" t="n">
        <x:f>IFERROR(INDEX('02_RAW_INDEX'!$J:$J,MATCH($A257,'02_RAW_INDEX'!$A:$A,0)),"")</x:f>
        <x:v>1902</x:v>
      </x:c>
      <x:c r="F257" s="8" t="n">
        <x:f>IFERROR(INDEX('02_RAW_INDEX'!$I:$I,MATCH($A257,'02_RAW_INDEX'!$A:$A,0)),"")</x:f>
        <x:v>2340</x:v>
      </x:c>
      <x:c r="G257" s="7" t="n">
        <x:f>'01_Ustawienia'!$B$6</x:f>
        <x:v>0</x:v>
      </x:c>
      <x:c r="H257" s="8" t="n">
        <x:f>IF(E257="","",ROUND(IF('01_Ustawienia'!$B$5="BRUTTO",F257,E257)*(1-G257),0))</x:f>
        <x:v>1902</x:v>
      </x:c>
      <x:c r="I257" s="7" t="n">
        <x:f>IFERROR(IFERROR(INDEX('01_Ustawienia'!$B$15:$B$33,MATCH(B257,'01_Ustawienia'!$A$15:$A$33,0)),0.45),0.45)</x:f>
        <x:v>0.45</x:v>
      </x:c>
      <x:c r="J257" s="8" t="n">
        <x:f>IF(H257="","",ROUND(H257*(1+I257),0))</x:f>
        <x:v>2758</x:v>
      </x:c>
      <x:c r="K257" s="8" t="n">
        <x:f>0</x:f>
        <x:v>0</x:v>
      </x:c>
      <x:c r="L257" s="8" t="n">
        <x:f>IFERROR(IFERROR(INDEX(EG_Cennik_uslug!$AC:$AC,MATCH($A257,EG_Cennik_uslug!$A:$A,0)),0),0)</x:f>
        <x:v>150</x:v>
      </x:c>
      <x:c r="M257" s="7" t="n">
        <x:f>IF('01_Ustawienia'!$B$4="ZWOLNIONY",0,'01_Ustawienia'!$B$7)</x:f>
        <x:v>0.08</x:v>
      </x:c>
      <x:c r="N257" s="8" t="n">
        <x:f>IF(J257="","",ROUND((J257+K257)*(1+M257),0))</x:f>
        <x:v>2979</x:v>
      </x:c>
      <x:c r="O257" s="8" t="n">
        <x:f>IF(J257="","",J257+K257-H257-L257)</x:f>
        <x:v>706</x:v>
      </x:c>
      <x:c r="P257" s="7" t="n">
        <x:f>IFERROR(O257/(J257+K257),"")</x:f>
        <x:v>0.25598259608411894</x:v>
      </x:c>
      <x:c r="Q257" s="6" t="inlineStr">
        <x:is>
          <x:t xml:space="preserve">RAW_ZP J/K</x:t>
        </x:is>
      </x:c>
      <x:c r="R257" s="6" t="inlineStr">
        <x:is>
          <x:t xml:space="preserve">ROLETY BOCZNE</x:t>
        </x:is>
      </x:c>
      <x:c r="S257" s="6" t="inlineStr">
        <x:is>
          <x:t xml:space="preserve">website+crm</x:t>
        </x:is>
      </x:c>
      <x:c r="T257" s="6" t="inlineStr">
        <x:is>
          <x:t xml:space="preserve">Używana dla lewej i prawej</x:t>
        </x:is>
      </x:c>
    </x:row>
    <x:row r="258">
      <x:c r="A258" s="6" t="inlineStr">
        <x:is>
          <x:t xml:space="preserve">350 x 606 cm</x:t>
        </x:is>
      </x:c>
      <x:c r="B258" s="6" t="inlineStr">
        <x:is>
          <x:t xml:space="preserve">RP</x:t>
        </x:is>
      </x:c>
      <x:c r="C258" s="6" t="inlineStr">
        <x:is>
          <x:t xml:space="preserve">Roleta przednia ZIP</x:t>
        </x:is>
      </x:c>
      <x:c r="D258" s="6" t="inlineStr">
        <x:is>
          <x:t xml:space="preserve">ROLETA PRZÓD</x:t>
        </x:is>
      </x:c>
      <x:c r="E258" s="8" t="n">
        <x:f>IFERROR(INDEX('02_RAW_INDEX'!$L:$L,MATCH($A258,'02_RAW_INDEX'!$A:$A,0)),"")</x:f>
        <x:v>3472</x:v>
      </x:c>
      <x:c r="F258" s="8" t="n">
        <x:f>IFERROR(INDEX('02_RAW_INDEX'!$K:$K,MATCH($A258,'02_RAW_INDEX'!$A:$A,0)),"")</x:f>
        <x:v>4270</x:v>
      </x:c>
      <x:c r="G258" s="7" t="n">
        <x:f>'01_Ustawienia'!$B$6</x:f>
        <x:v>0</x:v>
      </x:c>
      <x:c r="H258" s="8" t="n">
        <x:f>IF(E258="","",ROUND(IF('01_Ustawienia'!$B$5="BRUTTO",F258,E258)*(1-G258),0))</x:f>
        <x:v>3472</x:v>
      </x:c>
      <x:c r="I258" s="7" t="n">
        <x:f>IFERROR(IFERROR(INDEX('01_Ustawienia'!$B$15:$B$33,MATCH(B258,'01_Ustawienia'!$A$15:$A$33,0)),0.45),0.45)</x:f>
        <x:v>0.45</x:v>
      </x:c>
      <x:c r="J258" s="8" t="n">
        <x:f>IF(H258="","",ROUND(H258*(1+I258),0))</x:f>
        <x:v>5034</x:v>
      </x:c>
      <x:c r="K258" s="8" t="n">
        <x:f>0</x:f>
        <x:v>0</x:v>
      </x:c>
      <x:c r="L258" s="8" t="n">
        <x:f>IFERROR(IFERROR(INDEX(EG_Cennik_uslug!$AJ:$AJ,MATCH($A258,EG_Cennik_uslug!$A:$A,0)),0),0)</x:f>
        <x:v>300</x:v>
      </x:c>
      <x:c r="M258" s="7" t="n">
        <x:f>IF('01_Ustawienia'!$B$4="ZWOLNIONY",0,'01_Ustawienia'!$B$7)</x:f>
        <x:v>0.08</x:v>
      </x:c>
      <x:c r="N258" s="8" t="n">
        <x:f>IF(J258="","",ROUND((J258+K258)*(1+M258),0))</x:f>
        <x:v>5437</x:v>
      </x:c>
      <x:c r="O258" s="8" t="n">
        <x:f>IF(J258="","",J258+K258-H258-L258)</x:f>
        <x:v>1262</x:v>
      </x:c>
      <x:c r="P258" s="7" t="n">
        <x:f>IFERROR(O258/(J258+K258),"")</x:f>
        <x:v>0.2506952721493842</x:v>
      </x:c>
      <x:c r="Q258" s="6" t="inlineStr">
        <x:is>
          <x:t xml:space="preserve">RAW_ZP N/O</x:t>
        </x:is>
      </x:c>
      <x:c r="R258" s="6" t="inlineStr">
        <x:is>
          <x:t xml:space="preserve">ROLETY BOCZNE</x:t>
        </x:is>
      </x:c>
      <x:c r="S258" s="6" t="inlineStr">
        <x:is>
          <x:t xml:space="preserve">website+crm</x:t>
        </x:is>
      </x:c>
      <x:c r="T258" s="6" t="n"/>
    </x:row>
    <x:row r="259">
      <x:c r="A259" s="6" t="inlineStr">
        <x:is>
          <x:t xml:space="preserve">350 x 606 cm</x:t>
        </x:is>
      </x:c>
      <x:c r="B259" s="6" t="inlineStr">
        <x:is>
          <x:t xml:space="preserve">M</x:t>
        </x:is>
      </x:c>
      <x:c r="C259" s="6" t="inlineStr">
        <x:is>
          <x:t xml:space="preserve">Markiza dachowa</x:t>
        </x:is>
      </x:c>
      <x:c r="D259" s="6" t="inlineStr">
        <x:is>
          <x:t xml:space="preserve">MARKIZA</x:t>
        </x:is>
      </x:c>
      <x:c r="E259" s="8" t="n">
        <x:f>IFERROR(INDEX('02_RAW_INDEX'!$H:$H,MATCH($A259,'02_RAW_INDEX'!$A:$A,0)),"")</x:f>
        <x:v>6472</x:v>
      </x:c>
      <x:c r="F259" s="8" t="n">
        <x:f>IFERROR(INDEX('02_RAW_INDEX'!$G:$G,MATCH($A259,'02_RAW_INDEX'!$A:$A,0)),"")</x:f>
        <x:v>7960</x:v>
      </x:c>
      <x:c r="G259" s="7" t="n">
        <x:f>'01_Ustawienia'!$B$6</x:f>
        <x:v>0</x:v>
      </x:c>
      <x:c r="H259" s="8" t="n">
        <x:f>IF(E259="","",ROUND(IF('01_Ustawienia'!$B$5="BRUTTO",F259,E259)*(1-G259),0))</x:f>
        <x:v>6472</x:v>
      </x:c>
      <x:c r="I259" s="7" t="n">
        <x:f>IFERROR(IFERROR(INDEX('01_Ustawienia'!$B$15:$B$33,MATCH(B259,'01_Ustawienia'!$A$15:$A$33,0)),0.45),0.45)</x:f>
        <x:v>0.45</x:v>
      </x:c>
      <x:c r="J259" s="8" t="n">
        <x:f>IF(H259="","",ROUND(H259*(1+I259),0))</x:f>
        <x:v>9384</x:v>
      </x:c>
      <x:c r="K259" s="8" t="n">
        <x:f>0</x:f>
        <x:v>0</x:v>
      </x:c>
      <x:c r="L259" s="8" t="n">
        <x:f>IFERROR(IFERROR(INDEX(EG_Cennik_uslug!$AQ:$AQ,MATCH($A259,EG_Cennik_uslug!$A:$A,0)),0),0)</x:f>
        <x:v>350</x:v>
      </x:c>
      <x:c r="M259" s="7" t="n">
        <x:f>IF('01_Ustawienia'!$B$4="ZWOLNIONY",0,'01_Ustawienia'!$B$7)</x:f>
        <x:v>0.08</x:v>
      </x:c>
      <x:c r="N259" s="8" t="n">
        <x:f>IF(J259="","",ROUND((J259+K259)*(1+M259),0))</x:f>
        <x:v>10135</x:v>
      </x:c>
      <x:c r="O259" s="8" t="n">
        <x:f>IF(J259="","",J259+K259-H259-L259)</x:f>
        <x:v>2562</x:v>
      </x:c>
      <x:c r="P259" s="7" t="n">
        <x:f>IFERROR(O259/(J259+K259),"")</x:f>
        <x:v>0.27301790281329924</x:v>
      </x:c>
      <x:c r="Q259" s="6" t="inlineStr">
        <x:is>
          <x:t xml:space="preserve">RAW_ZP H/I</x:t>
        </x:is>
      </x:c>
      <x:c r="R259" s="6" t="inlineStr">
        <x:is>
          <x:t xml:space="preserve">MARKIZA</x:t>
        </x:is>
      </x:c>
      <x:c r="S259" s="6" t="inlineStr">
        <x:is>
          <x:t xml:space="preserve">website+crm</x:t>
        </x:is>
      </x:c>
      <x:c r="T259" s="6" t="n"/>
    </x:row>
    <x:row r="260">
      <x:c r="A260" s="6" t="inlineStr">
        <x:is>
          <x:t xml:space="preserve">350 x 606 cm</x:t>
        </x:is>
      </x:c>
      <x:c r="B260" s="6" t="inlineStr">
        <x:is>
          <x:t xml:space="preserve">PDWP</x:t>
        </x:is>
      </x:c>
      <x:c r="C260" s="6" t="inlineStr">
        <x:is>
          <x:t xml:space="preserve">Fundament/profile</x:t>
        </x:is>
      </x:c>
      <x:c r="D260" s="6" t="inlineStr">
        <x:is>
          <x:t xml:space="preserve">FUNDAMENT / PROFILE</x:t>
        </x:is>
      </x:c>
      <x:c r="E260" s="8" t="n">
        <x:f>IFERROR(INDEX('02_RAW_INDEX'!$AH:$AH,MATCH($A260,'02_RAW_INDEX'!$A:$A,0)),"")</x:f>
        <x:v>1154</x:v>
      </x:c>
      <x:c r="F260" s="8" t="n">
        <x:f>IFERROR(INDEX('02_RAW_INDEX'!$AG:$AG,MATCH($A260,'02_RAW_INDEX'!$A:$A,0)),"")</x:f>
        <x:v>1420</x:v>
      </x:c>
      <x:c r="G260" s="7" t="n">
        <x:f>'01_Ustawienia'!$B$6</x:f>
        <x:v>0</x:v>
      </x:c>
      <x:c r="H260" s="8" t="n">
        <x:f>IF(E260="","",ROUND(IF('01_Ustawienia'!$B$5="BRUTTO",F260,E260)*(1-G260),0))</x:f>
        <x:v>1154</x:v>
      </x:c>
      <x:c r="I260" s="7" t="n">
        <x:f>IFERROR(IFERROR(INDEX('01_Ustawienia'!$B$15:$B$33,MATCH(B260,'01_Ustawienia'!$A$15:$A$33,0)),0.45),0.45)</x:f>
        <x:v>1.2</x:v>
      </x:c>
      <x:c r="J260" s="8" t="n">
        <x:f>IF(H260="","",ROUND(H260*(1+I260),0))</x:f>
        <x:v>2539</x:v>
      </x:c>
      <x:c r="K260" s="8" t="n">
        <x:f>0</x:f>
        <x:v>0</x:v>
      </x:c>
      <x:c r="L260" s="8" t="n">
        <x:f>IFERROR(IFERROR(INDEX(EG_Cennik_uslug!$BT:$BT,MATCH($A260,EG_Cennik_uslug!$A:$A,0)),0),0)</x:f>
        <x:v>540</x:v>
      </x:c>
      <x:c r="M260" s="7" t="n">
        <x:f>IF('01_Ustawienia'!$B$4="ZWOLNIONY",0,'01_Ustawienia'!$B$7)</x:f>
        <x:v>0.08</x:v>
      </x:c>
      <x:c r="N260" s="8" t="n">
        <x:f>IF(J260="","",ROUND((J260+K260)*(1+M260),0))</x:f>
        <x:v>2742</x:v>
      </x:c>
      <x:c r="O260" s="8" t="n">
        <x:f>IF(J260="","",J260+K260-H260-L260)</x:f>
        <x:v>845</x:v>
      </x:c>
      <x:c r="P260" s="7" t="n">
        <x:f>IFERROR(O260/(J260+K260),"")</x:f>
        <x:v>0.3328081922016542</x:v>
      </x:c>
      <x:c r="Q260" s="6" t="inlineStr">
        <x:is>
          <x:t xml:space="preserve">RAW_OP AB/AC</x:t>
        </x:is>
      </x:c>
      <x:c r="R260" s="6" t="inlineStr">
        <x:is>
          <x:t xml:space="preserve">FUNDAMENT (PROFILE)</x:t>
        </x:is>
      </x:c>
      <x:c r="S260" s="6" t="inlineStr">
        <x:is>
          <x:t xml:space="preserve">website+crm</x:t>
        </x:is>
      </x:c>
      <x:c r="T260" s="6" t="n"/>
    </x:row>
    <x:row r="261" s="655" customFormat="1" ht="30" customHeight="1">
      <x:c r="A261" s="6" t="inlineStr">
        <x:is>
          <x:t xml:space="preserve">350 x 606 cm</x:t>
        </x:is>
      </x:c>
      <x:c r="B261" s="6" t="inlineStr">
        <x:is>
          <x:t xml:space="preserve">ZAB</x:t>
        </x:is>
      </x:c>
      <x:c r="C261" s="6" t="inlineStr">
        <x:is>
          <x:t xml:space="preserve">Zabieraki do ścian przesuwnych</x:t>
        </x:is>
      </x:c>
      <x:c r="D261" s="6" t="inlineStr">
        <x:is>
          <x:t xml:space="preserve">DODATKI</x:t>
        </x:is>
      </x:c>
      <x:c r="E261" s="8" t="n">
        <x:f>IFERROR(INDEX('02_RAW_INDEX'!$AJ:$AJ,MATCH($A261,'02_RAW_INDEX'!$A:$A,0)),"")</x:f>
        <x:v>325</x:v>
      </x:c>
      <x:c r="F261" s="8" t="n">
        <x:f>IFERROR(INDEX('02_RAW_INDEX'!$AI:$AI,MATCH($A261,'02_RAW_INDEX'!$A:$A,0)),"")</x:f>
        <x:v>400</x:v>
      </x:c>
      <x:c r="G261" s="7" t="n">
        <x:f>'01_Ustawienia'!$B$6</x:f>
        <x:v>0</x:v>
      </x:c>
      <x:c r="H261" s="8" t="n">
        <x:f>IF(E261="","",ROUND(IF('01_Ustawienia'!$B$5="BRUTTO",F261,E261)*(1-G261),0))</x:f>
        <x:v>325</x:v>
      </x:c>
      <x:c r="I261" s="7" t="n">
        <x:f>IFERROR(IFERROR(INDEX('01_Ustawienia'!$B$15:$B$33,MATCH(B261,'01_Ustawienia'!$A$15:$A$33,0)),0.45),0.45)</x:f>
        <x:v>0.45</x:v>
      </x:c>
      <x:c r="J261" s="8" t="n">
        <x:f>IF(H261="","",ROUND(H261*(1+I261),0))</x:f>
        <x:v>471</x:v>
      </x:c>
      <x:c r="K261" s="8" t="n">
        <x:f>0</x:f>
        <x:v>0</x:v>
      </x:c>
      <x:c r="L261" s="8" t="n">
        <x:f>0</x:f>
        <x:v>0</x:v>
      </x:c>
      <x:c r="M261" s="7" t="n">
        <x:f>IF('01_Ustawienia'!$B$4="ZWOLNIONY",0,'01_Ustawienia'!$B$7)</x:f>
        <x:v>0.08</x:v>
      </x:c>
      <x:c r="N261" s="8" t="n">
        <x:f>IF(J261="","",ROUND((J261+K261)*(1+M261),0))</x:f>
        <x:v>509</x:v>
      </x:c>
      <x:c r="O261" s="8" t="n">
        <x:f>IF(J261="","",J261+K261-H261-L261)</x:f>
        <x:v>146</x:v>
      </x:c>
      <x:c r="P261" s="7" t="n">
        <x:f>IFERROR(O261/(J261+K261),"")</x:f>
        <x:v>0.3099787685774947</x:v>
      </x:c>
      <x:c r="Q261" s="6" t="inlineStr">
        <x:is>
          <x:t xml:space="preserve">RAW_OP AD/AE</x:t>
        </x:is>
      </x:c>
      <x:c r="R261" s="6" t="inlineStr">
        <x:is>
          <x:t xml:space="preserve">DODATKI</x:t>
        </x:is>
      </x:c>
      <x:c r="S261" s="6" t="inlineStr">
        <x:is>
          <x:t xml:space="preserve">crm_only</x:t>
        </x:is>
      </x:c>
      <x:c r="T261" s="6" t="n"/>
    </x:row>
    <x:row r="262">
      <x:c r="A262" s="6" t="inlineStr">
        <x:is>
          <x:t xml:space="preserve">350 x 606 cm</x:t>
        </x:is>
      </x:c>
      <x:c r="B262" s="6" t="inlineStr">
        <x:is>
          <x:t xml:space="preserve">S</x:t>
        </x:is>
      </x:c>
      <x:c r="C262" s="6" t="inlineStr">
        <x:is>
          <x:t xml:space="preserve">Szczotki przeciwkurzowe</x:t>
        </x:is>
      </x:c>
      <x:c r="D262" s="6" t="inlineStr">
        <x:is>
          <x:t xml:space="preserve">SZCZOTKI</x:t>
        </x:is>
      </x:c>
      <x:c r="E262" s="8" t="n">
        <x:f>IFERROR(INDEX('02_RAW_INDEX'!$AD:$AD,MATCH($A262,'02_RAW_INDEX'!$A:$A,0)),"")</x:f>
        <x:v>431</x:v>
      </x:c>
      <x:c r="F262" s="8" t="n">
        <x:f>IFERROR(INDEX('02_RAW_INDEX'!$AC:$AC,MATCH($A262,'02_RAW_INDEX'!$A:$A,0)),"")</x:f>
        <x:v>530</x:v>
      </x:c>
      <x:c r="G262" s="7" t="n">
        <x:f>'01_Ustawienia'!$B$6</x:f>
        <x:v>0</x:v>
      </x:c>
      <x:c r="H262" s="8" t="n">
        <x:f>IF(E262="","",ROUND(IF('01_Ustawienia'!$B$5="BRUTTO",F262,E262)*(1-G262),0))</x:f>
        <x:v>431</x:v>
      </x:c>
      <x:c r="I262" s="7" t="n">
        <x:f>IFERROR(IFERROR(INDEX('01_Ustawienia'!$B$15:$B$33,MATCH(B262,'01_Ustawienia'!$A$15:$A$33,0)),0.45),0.45)</x:f>
        <x:v>0.45</x:v>
      </x:c>
      <x:c r="J262" s="8" t="n">
        <x:f>IF(H262="","",ROUND(H262*(1+I262),0))</x:f>
        <x:v>625</x:v>
      </x:c>
      <x:c r="K262" s="8" t="n">
        <x:f>0</x:f>
        <x:v>0</x:v>
      </x:c>
      <x:c r="L262" s="8" t="n">
        <x:f>IFERROR(IFERROR(INDEX(EG_Cennik_uslug!$CA:$CA,MATCH($A262,EG_Cennik_uslug!$A:$A,0)),0),0)</x:f>
        <x:v>0</x:v>
      </x:c>
      <x:c r="M262" s="7" t="n">
        <x:f>IF('01_Ustawienia'!$B$4="ZWOLNIONY",0,'01_Ustawienia'!$B$7)</x:f>
        <x:v>0.08</x:v>
      </x:c>
      <x:c r="N262" s="8" t="n">
        <x:f>IF(J262="","",ROUND((J262+K262)*(1+M262),0))</x:f>
        <x:v>675</x:v>
      </x:c>
      <x:c r="O262" s="8" t="n">
        <x:f>IF(J262="","",J262+K262-H262-L262)</x:f>
        <x:v>194</x:v>
      </x:c>
      <x:c r="P262" s="7" t="n">
        <x:f>IFERROR(O262/(J262+K262),"")</x:f>
        <x:v>0.3104</x:v>
      </x:c>
      <x:c r="Q262" s="6" t="inlineStr">
        <x:is>
          <x:t xml:space="preserve">RAW_OP L/M</x:t>
        </x:is>
      </x:c>
      <x:c r="R262" s="6" t="inlineStr">
        <x:is>
          <x:t xml:space="preserve">DODATKI</x:t>
        </x:is>
      </x:c>
      <x:c r="S262" s="6" t="inlineStr">
        <x:is>
          <x:t xml:space="preserve">website+crm</x:t>
        </x:is>
      </x:c>
      <x:c r="T262" s="6" t="n"/>
    </x:row>
    <x:row r="263">
      <x:c r="A263" s="6" t="inlineStr">
        <x:is>
          <x:t xml:space="preserve">350 x 606 cm</x:t>
        </x:is>
      </x:c>
      <x:c r="B263" s="6" t="inlineStr">
        <x:is>
          <x:t xml:space="preserve">U</x:t>
        </x:is>
      </x:c>
      <x:c r="C263" s="6" t="inlineStr">
        <x:is>
          <x:t xml:space="preserve">Uchwyty na szkło ścienne</x:t>
        </x:is>
      </x:c>
      <x:c r="D263" s="6" t="inlineStr">
        <x:is>
          <x:t xml:space="preserve">UCHWYTY</x:t>
        </x:is>
      </x:c>
      <x:c r="E263" s="8" t="n">
        <x:f>IFERROR(INDEX('02_RAW_INDEX'!$AF:$AF,MATCH($A263,'02_RAW_INDEX'!$A:$A,0)),"")</x:f>
        <x:v>390</x:v>
      </x:c>
      <x:c r="F263" s="8" t="n">
        <x:f>IFERROR(INDEX('02_RAW_INDEX'!$AE:$AE,MATCH($A263,'02_RAW_INDEX'!$A:$A,0)),"")</x:f>
        <x:v>480</x:v>
      </x:c>
      <x:c r="G263" s="7" t="n">
        <x:f>'01_Ustawienia'!$B$6</x:f>
        <x:v>0</x:v>
      </x:c>
      <x:c r="H263" s="8" t="n">
        <x:f>IF(E263="","",ROUND(IF('01_Ustawienia'!$B$5="BRUTTO",F263,E263)*(1-G263),0))</x:f>
        <x:v>390</x:v>
      </x:c>
      <x:c r="I263" s="7" t="n">
        <x:f>IFERROR(IFERROR(INDEX('01_Ustawienia'!$B$15:$B$33,MATCH(B263,'01_Ustawienia'!$A$15:$A$33,0)),0.45),0.45)</x:f>
        <x:v>0.45</x:v>
      </x:c>
      <x:c r="J263" s="8" t="n">
        <x:f>IF(H263="","",ROUND(H263*(1+I263),0))</x:f>
        <x:v>566</x:v>
      </x:c>
      <x:c r="K263" s="8" t="n">
        <x:f>0</x:f>
        <x:v>0</x:v>
      </x:c>
      <x:c r="L263" s="8" t="n">
        <x:f>IFERROR(IFERROR(INDEX(EG_Cennik_uslug!$CH:$CH,MATCH($A263,EG_Cennik_uslug!$A:$A,0)),0),0)</x:f>
        <x:v>0</x:v>
      </x:c>
      <x:c r="M263" s="7" t="n">
        <x:f>IF('01_Ustawienia'!$B$4="ZWOLNIONY",0,'01_Ustawienia'!$B$7)</x:f>
        <x:v>0.08</x:v>
      </x:c>
      <x:c r="N263" s="8" t="n">
        <x:f>IF(J263="","",ROUND((J263+K263)*(1+M263),0))</x:f>
        <x:v>611</x:v>
      </x:c>
      <x:c r="O263" s="8" t="n">
        <x:f>IF(J263="","",J263+K263-H263-L263)</x:f>
        <x:v>176</x:v>
      </x:c>
      <x:c r="P263" s="7" t="n">
        <x:f>IFERROR(O263/(J263+K263),"")</x:f>
        <x:v>0.31095406360424027</x:v>
      </x:c>
      <x:c r="Q263" s="6" t="inlineStr">
        <x:is>
          <x:t xml:space="preserve">RAW_OP N/O</x:t>
        </x:is>
      </x:c>
      <x:c r="R263" s="6" t="inlineStr">
        <x:is>
          <x:t xml:space="preserve">DODATKI</x:t>
        </x:is>
      </x:c>
      <x:c r="S263" s="6" t="inlineStr">
        <x:is>
          <x:t xml:space="preserve">website+crm</x:t>
        </x:is>
      </x:c>
      <x:c r="T263" s="6" t="n"/>
    </x:row>
    <x:row r="264">
      <x:c r="A264" s="6" t="inlineStr">
        <x:is>
          <x:t xml:space="preserve">350 x 606 cm</x:t>
        </x:is>
      </x:c>
      <x:c r="B264" s="6" t="inlineStr">
        <x:is>
          <x:t xml:space="preserve">LED2</x:t>
        </x:is>
      </x:c>
      <x:c r="C264" s="6" t="inlineStr">
        <x:is>
          <x:t xml:space="preserve">Oświetlenie LED 2 punkty</x:t>
        </x:is>
      </x:c>
      <x:c r="D264" s="6" t="inlineStr">
        <x:is>
          <x:t xml:space="preserve">LED 2 PKT</x:t>
        </x:is>
      </x:c>
      <x:c r="E264" s="8" t="n">
        <x:f>IFERROR(INDEX('02_RAW_INDEX'!$N:$N,MATCH($A264,'02_RAW_INDEX'!$A:$A,0)),"")</x:f>
        <x:v>642</x:v>
      </x:c>
      <x:c r="F264" s="8" t="n">
        <x:f>IFERROR(INDEX('02_RAW_INDEX'!$M:$M,MATCH($A264,'02_RAW_INDEX'!$A:$A,0)),"")</x:f>
        <x:v>790</x:v>
      </x:c>
      <x:c r="G264" s="7" t="n">
        <x:f>'01_Ustawienia'!$B$6</x:f>
        <x:v>0</x:v>
      </x:c>
      <x:c r="H264" s="8" t="n">
        <x:f>IF(E264="","",ROUND(IF('01_Ustawienia'!$B$5="BRUTTO",F264,E264)*(1-G264),0))</x:f>
        <x:v>642</x:v>
      </x:c>
      <x:c r="I264" s="7" t="n">
        <x:f>IFERROR(IFERROR(INDEX('01_Ustawienia'!$B$15:$B$33,MATCH(B264,'01_Ustawienia'!$A$15:$A$33,0)),0.45),0.45)</x:f>
        <x:v>0.45</x:v>
      </x:c>
      <x:c r="J264" s="8" t="n">
        <x:f>IF(H264="","",ROUND(H264*(1+I264),0))</x:f>
        <x:v>931</x:v>
      </x:c>
      <x:c r="K264" s="8" t="n">
        <x:f>0</x:f>
        <x:v>0</x:v>
      </x:c>
      <x:c r="L264" s="8" t="n">
        <x:f>IFERROR(IFERROR(INDEX(EG_Cennik_uslug!$CO:$CO,MATCH($A264,EG_Cennik_uslug!$A:$A,0)),0),0)</x:f>
        <x:v>0</x:v>
      </x:c>
      <x:c r="M264" s="7" t="n">
        <x:f>IF('01_Ustawienia'!$B$4="ZWOLNIONY",0,'01_Ustawienia'!$B$7)</x:f>
        <x:v>0.08</x:v>
      </x:c>
      <x:c r="N264" s="8" t="n">
        <x:f>IF(J264="","",ROUND((J264+K264)*(1+M264),0))</x:f>
        <x:v>1005</x:v>
      </x:c>
      <x:c r="O264" s="8" t="n">
        <x:f>IF(J264="","",J264+K264-H264-L264)</x:f>
        <x:v>289</x:v>
      </x:c>
      <x:c r="P264" s="7" t="n">
        <x:f>IFERROR(O264/(J264+K264),"")</x:f>
        <x:v>0.3104189044038668</x:v>
      </x:c>
      <x:c r="Q264" s="6" t="inlineStr">
        <x:is>
          <x:t xml:space="preserve">RAW_ZP P/Q</x:t>
        </x:is>
      </x:c>
      <x:c r="R264" s="6" t="inlineStr">
        <x:is>
          <x:t xml:space="preserve">OŚWIETLENIE</x:t>
        </x:is>
      </x:c>
      <x:c r="S264" s="6" t="inlineStr">
        <x:is>
          <x:t xml:space="preserve">website+crm</x:t>
        </x:is>
      </x:c>
      <x:c r="T264" s="6" t="n"/>
    </x:row>
    <x:row r="265">
      <x:c r="A265" s="6" t="inlineStr">
        <x:is>
          <x:t xml:space="preserve">350 x 606 cm</x:t>
        </x:is>
      </x:c>
      <x:c r="B265" s="6" t="inlineStr">
        <x:is>
          <x:t xml:space="preserve">LED3</x:t>
        </x:is>
      </x:c>
      <x:c r="C265" s="6" t="inlineStr">
        <x:is>
          <x:t xml:space="preserve">Oświetlenie LED 3 punkty</x:t>
        </x:is>
      </x:c>
      <x:c r="D265" s="6" t="inlineStr">
        <x:is>
          <x:t xml:space="preserve">LED 3 PKT</x:t>
        </x:is>
      </x:c>
      <x:c r="E265" s="8" t="n">
        <x:f>IFERROR(INDEX('02_RAW_INDEX'!$P:$P,MATCH($A265,'02_RAW_INDEX'!$A:$A,0)),"")</x:f>
        <x:v>886</x:v>
      </x:c>
      <x:c r="F265" s="8" t="n">
        <x:f>IFERROR(INDEX('02_RAW_INDEX'!$O:$O,MATCH($A265,'02_RAW_INDEX'!$A:$A,0)),"")</x:f>
        <x:v>1090</x:v>
      </x:c>
      <x:c r="G265" s="7" t="n">
        <x:f>'01_Ustawienia'!$B$6</x:f>
        <x:v>0</x:v>
      </x:c>
      <x:c r="H265" s="8" t="n">
        <x:f>IF(E265="","",ROUND(IF('01_Ustawienia'!$B$5="BRUTTO",F265,E265)*(1-G265),0))</x:f>
        <x:v>886</x:v>
      </x:c>
      <x:c r="I265" s="7" t="n">
        <x:f>IFERROR(IFERROR(INDEX('01_Ustawienia'!$B$15:$B$33,MATCH(B265,'01_Ustawienia'!$A$15:$A$33,0)),0.45),0.45)</x:f>
        <x:v>0.45</x:v>
      </x:c>
      <x:c r="J265" s="8" t="n">
        <x:f>IF(H265="","",ROUND(H265*(1+I265),0))</x:f>
        <x:v>1285</x:v>
      </x:c>
      <x:c r="K265" s="8" t="n">
        <x:f>0</x:f>
        <x:v>0</x:v>
      </x:c>
      <x:c r="L265" s="8" t="n">
        <x:f>IFERROR(IFERROR(INDEX(EG_Cennik_uslug!$CV:$CV,MATCH($A265,EG_Cennik_uslug!$A:$A,0)),0),0)</x:f>
        <x:v>0</x:v>
      </x:c>
      <x:c r="M265" s="7" t="n">
        <x:f>IF('01_Ustawienia'!$B$4="ZWOLNIONY",0,'01_Ustawienia'!$B$7)</x:f>
        <x:v>0.08</x:v>
      </x:c>
      <x:c r="N265" s="8" t="n">
        <x:f>IF(J265="","",ROUND((J265+K265)*(1+M265),0))</x:f>
        <x:v>1388</x:v>
      </x:c>
      <x:c r="O265" s="8" t="n">
        <x:f>IF(J265="","",J265+K265-H265-L265)</x:f>
        <x:v>399</x:v>
      </x:c>
      <x:c r="P265" s="7" t="n">
        <x:f>IFERROR(O265/(J265+K265),"")</x:f>
        <x:v>0.3105058365758755</x:v>
      </x:c>
      <x:c r="Q265" s="6" t="inlineStr">
        <x:is>
          <x:t xml:space="preserve">RAW_ZP R/S</x:t>
        </x:is>
      </x:c>
      <x:c r="R265" s="6" t="inlineStr">
        <x:is>
          <x:t xml:space="preserve">OŚWIETLENIE</x:t>
        </x:is>
      </x:c>
      <x:c r="S265" s="6" t="inlineStr">
        <x:is>
          <x:t xml:space="preserve">website+crm</x:t>
        </x:is>
      </x:c>
      <x:c r="T265" s="6" t="inlineStr">
        <x:is>
          <x:t xml:space="preserve">Nazwa do potwierdzenia</x:t>
        </x:is>
      </x:c>
    </x:row>
    <x:row r="266">
      <x:c r="A266" s="6" t="inlineStr">
        <x:is>
          <x:t xml:space="preserve">350 x 606 cm</x:t>
        </x:is>
      </x:c>
      <x:c r="B266" s="6" t="inlineStr">
        <x:is>
          <x:t xml:space="preserve">LEDCCT</x:t>
        </x:is>
      </x:c>
      <x:c r="C266" s="6" t="inlineStr">
        <x:is>
          <x:t xml:space="preserve">Oświetlenie LED CCT</x:t>
        </x:is>
      </x:c>
      <x:c r="D266" s="6" t="inlineStr">
        <x:is>
          <x:t xml:space="preserve">OŚWIETLENIE</x:t>
        </x:is>
      </x:c>
      <x:c r="E266" s="8" t="n">
        <x:f>IFERROR(INDEX('02_RAW_INDEX'!$R:$R,MATCH($A266,'02_RAW_INDEX'!$A:$A,0)),"")</x:f>
        <x:v>1290</x:v>
      </x:c>
      <x:c r="F266" s="8" t="n">
        <x:f>IFERROR(INDEX('02_RAW_INDEX'!$Q:$Q,MATCH($A266,'02_RAW_INDEX'!$A:$A,0)),"")</x:f>
        <x:v>1587</x:v>
      </x:c>
      <x:c r="G266" s="7" t="n">
        <x:f>'01_Ustawienia'!$B$6</x:f>
        <x:v>0</x:v>
      </x:c>
      <x:c r="H266" s="8" t="n">
        <x:f>IF(E266="","",ROUND(IF('01_Ustawienia'!$B$5="BRUTTO",F266,E266)*(1-G266),0))</x:f>
        <x:v>1290</x:v>
      </x:c>
      <x:c r="I266" s="7" t="n">
        <x:f>IFERROR(IFERROR(INDEX('01_Ustawienia'!$B$15:$B$33,MATCH(B266,'01_Ustawienia'!$A$15:$A$33,0)),0.45),0.45)</x:f>
        <x:v>0.45</x:v>
      </x:c>
      <x:c r="J266" s="8" t="n">
        <x:f>IF(H266="","",ROUND(H266*(1+I266),0))</x:f>
        <x:v>1871</x:v>
      </x:c>
      <x:c r="K266" s="8" t="n">
        <x:f>0</x:f>
        <x:v>0</x:v>
      </x:c>
      <x:c r="L266" s="8" t="n">
        <x:f>0</x:f>
        <x:v>0</x:v>
      </x:c>
      <x:c r="M266" s="7" t="n">
        <x:f>IF('01_Ustawienia'!$B$4="ZWOLNIONY",0,'01_Ustawienia'!$B$7)</x:f>
        <x:v>0.08</x:v>
      </x:c>
      <x:c r="N266" s="8" t="n">
        <x:f>IF(J266="","",ROUND((J266+K266)*(1+M266),0))</x:f>
        <x:v>2021</x:v>
      </x:c>
      <x:c r="O266" s="8" t="n">
        <x:f>IF(J266="","",J266+K266-H266-L266)</x:f>
        <x:v>581</x:v>
      </x:c>
      <x:c r="P266" s="7" t="n">
        <x:f>IFERROR(O266/(J266+K266),"")</x:f>
        <x:v>0.310529128808124</x:v>
      </x:c>
      <x:c r="Q266" s="6" t="inlineStr">
        <x:is>
          <x:t xml:space="preserve">RAW_ZP T/U</x:t>
        </x:is>
      </x:c>
      <x:c r="R266" s="6" t="inlineStr">
        <x:is>
          <x:t xml:space="preserve">OŚWIETLENIE</x:t>
        </x:is>
      </x:c>
      <x:c r="S266" s="6" t="inlineStr">
        <x:is>
          <x:t xml:space="preserve">website+crm</x:t>
        </x:is>
      </x:c>
      <x:c r="T266" s="6" t="inlineStr">
        <x:is>
          <x:t xml:space="preserve">Opcja dodatkowa | FIX17: opcja LED dostępna dla strony; ceny 450-600 wg modelu FIX15.</x:t>
        </x:is>
      </x:c>
    </x:row>
    <x:row r="267">
      <x:c r="A267" s="6" t="inlineStr">
        <x:is>
          <x:t xml:space="preserve">350 x 606 cm</x:t>
        </x:is>
      </x:c>
      <x:c r="B267" s="6" t="inlineStr">
        <x:is>
          <x:t xml:space="preserve">LEDRGBCCT</x:t>
        </x:is>
      </x:c>
      <x:c r="C267" s="6" t="inlineStr">
        <x:is>
          <x:t xml:space="preserve">Oświetlenie LED RGB CCT</x:t>
        </x:is>
      </x:c>
      <x:c r="D267" s="6" t="inlineStr">
        <x:is>
          <x:t xml:space="preserve">OŚWIETLENIE</x:t>
        </x:is>
      </x:c>
      <x:c r="E267" s="8" t="n">
        <x:f>IFERROR(INDEX('02_RAW_INDEX'!$T:$T,MATCH($A267,'02_RAW_INDEX'!$A:$A,0)),"")</x:f>
        <x:v>1820</x:v>
      </x:c>
      <x:c r="F267" s="8" t="n">
        <x:f>IFERROR(INDEX('02_RAW_INDEX'!$S:$S,MATCH($A267,'02_RAW_INDEX'!$A:$A,0)),"")</x:f>
        <x:v>2239</x:v>
      </x:c>
      <x:c r="G267" s="7" t="n">
        <x:f>'01_Ustawienia'!$B$6</x:f>
        <x:v>0</x:v>
      </x:c>
      <x:c r="H267" s="8" t="n">
        <x:f>IF(E267="","",ROUND(IF('01_Ustawienia'!$B$5="BRUTTO",F267,E267)*(1-G267),0))</x:f>
        <x:v>1820</x:v>
      </x:c>
      <x:c r="I267" s="7" t="n">
        <x:f>IFERROR(IFERROR(INDEX('01_Ustawienia'!$B$15:$B$33,MATCH(B267,'01_Ustawienia'!$A$15:$A$33,0)),0.45),0.45)</x:f>
        <x:v>0.45</x:v>
      </x:c>
      <x:c r="J267" s="8" t="n">
        <x:f>IF(H267="","",ROUND(H267*(1+I267),0))</x:f>
        <x:v>2639</x:v>
      </x:c>
      <x:c r="K267" s="8" t="n">
        <x:f>0</x:f>
        <x:v>0</x:v>
      </x:c>
      <x:c r="L267" s="8" t="n">
        <x:f>0</x:f>
        <x:v>0</x:v>
      </x:c>
      <x:c r="M267" s="7" t="n">
        <x:f>IF('01_Ustawienia'!$B$4="ZWOLNIONY",0,'01_Ustawienia'!$B$7)</x:f>
        <x:v>0.08</x:v>
      </x:c>
      <x:c r="N267" s="8" t="n">
        <x:f>IF(J267="","",ROUND((J267+K267)*(1+M267),0))</x:f>
        <x:v>2850</x:v>
      </x:c>
      <x:c r="O267" s="8" t="n">
        <x:f>IF(J267="","",J267+K267-H267-L267)</x:f>
        <x:v>819</x:v>
      </x:c>
      <x:c r="P267" s="7" t="n">
        <x:f>IFERROR(O267/(J267+K267),"")</x:f>
        <x:v>0.3103448275862069</x:v>
      </x:c>
      <x:c r="Q267" s="6" t="inlineStr">
        <x:is>
          <x:t xml:space="preserve">RAW_ZP V/W</x:t>
        </x:is>
      </x:c>
      <x:c r="R267" s="6" t="inlineStr">
        <x:is>
          <x:t xml:space="preserve">OŚWIETLENIE</x:t>
        </x:is>
      </x:c>
      <x:c r="S267" s="6" t="inlineStr">
        <x:is>
          <x:t xml:space="preserve">crm_only</x:t>
        </x:is>
      </x:c>
      <x:c r="T267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268" s="655" customFormat="1" ht="30" customHeight="1">
      <x:c r="A268" s="6" t="inlineStr">
        <x:is>
          <x:t xml:space="preserve">350 x 706 cm</x:t>
        </x:is>
      </x:c>
      <x:c r="B268" s="6" t="inlineStr">
        <x:is>
          <x:t xml:space="preserve">ZP</x:t>
        </x:is>
      </x:c>
      <x:c r="C268" s="6" t="inlineStr">
        <x:is>
          <x:t xml:space="preserve">Zadaszenie poliwęglan - baza</x:t>
        </x:is>
      </x:c>
      <x:c r="D268" s="6" t="inlineStr">
        <x:is>
          <x:t xml:space="preserve">ZADASZENIE POLIWĘGLAN</x:t>
        </x:is>
      </x:c>
      <x:c r="E268" s="8" t="n">
        <x:f>IFERROR(INDEX('02_RAW_INDEX'!$D:$D,MATCH($A268,'02_RAW_INDEX'!$A:$A,0)),"")</x:f>
        <x:v>7675</x:v>
      </x:c>
      <x:c r="F268" s="8" t="n">
        <x:f>IFERROR(INDEX('02_RAW_INDEX'!$C:$C,MATCH($A268,'02_RAW_INDEX'!$A:$A,0)),"")</x:f>
        <x:v>9440</x:v>
      </x:c>
      <x:c r="G268" s="7" t="n">
        <x:f>'01_Ustawienia'!$B$6</x:f>
        <x:v>0</x:v>
      </x:c>
      <x:c r="H268" s="8" t="n">
        <x:f>IF(E268="","",ROUND(IF('01_Ustawienia'!$B$5="BRUTTO",F268,E268)*(1-G268),0))</x:f>
        <x:v>7675</x:v>
      </x:c>
      <x:c r="I268" s="7" t="n">
        <x:f>IFERROR(IFERROR(INDEX('01_Ustawienia'!$B$15:$B$33,MATCH(B268,'01_Ustawienia'!$A$15:$A$33,0)),0.45),0.45)</x:f>
        <x:v>0.45</x:v>
      </x:c>
      <x:c r="J268" s="8" t="n">
        <x:f>IF(H268="","",ROUND(H268*(1+I268),0))</x:f>
        <x:v>11129</x:v>
      </x:c>
      <x:c r="K268" s="8" t="n">
        <x:f>IFERROR(IFERROR(INDEX(EG_Cennik_uslug!$F:$F,MATCH($A268,EG_Cennik_uslug!$A:$A,0)),0),0)</x:f>
        <x:v>3840</x:v>
      </x:c>
      <x:c r="L268" s="8" t="n">
        <x:f>IFERROR(IFERROR(INDEX(EG_Cennik_uslug!$G:$G,MATCH($A268,EG_Cennik_uslug!$A:$A,0)),0),0)</x:f>
        <x:v>1340</x:v>
      </x:c>
      <x:c r="M268" s="7" t="n">
        <x:f>IF('01_Ustawienia'!$B$4="ZWOLNIONY",0,'01_Ustawienia'!$B$7)</x:f>
        <x:v>0.08</x:v>
      </x:c>
      <x:c r="N268" s="8" t="n">
        <x:f>IF(J268="","",ROUND((J268+K268)*(1+M268),0))</x:f>
        <x:v>16167</x:v>
      </x:c>
      <x:c r="O268" s="8" t="n">
        <x:f>IF(J268="","",J268+K268-H268-L268)</x:f>
        <x:v>5954</x:v>
      </x:c>
      <x:c r="P268" s="7" t="n">
        <x:f>IFERROR(O268/(J268+K268),"")</x:f>
        <x:v>0.39775536107956444</x:v>
      </x:c>
      <x:c r="Q268" s="6" t="inlineStr">
        <x:is>
          <x:t xml:space="preserve">RAW_ZP B/C</x:t>
        </x:is>
      </x:c>
      <x:c r="R268" s="6" t="inlineStr">
        <x:is>
          <x:t xml:space="preserve">ZADASZENIE TARASU KONSTRUKCJA</x:t>
        </x:is>
      </x:c>
      <x:c r="S268" s="6" t="inlineStr">
        <x:is>
          <x:t xml:space="preserve">website+crm</x:t>
        </x:is>
      </x:c>
      <x:c r="T268" s="6" t="inlineStr">
        <x:is>
          <x:t xml:space="preserve">Baza dla kalkulatora</x:t>
        </x:is>
      </x:c>
    </x:row>
    <x:row r="269" s="655" customFormat="1" ht="30" customHeight="1">
      <x:c r="A269" s="6" t="inlineStr">
        <x:is>
          <x:t xml:space="preserve">350 x 706 cm</x:t>
        </x:is>
      </x:c>
      <x:c r="B269" s="6" t="inlineStr">
        <x:is>
          <x:t xml:space="preserve">ZS</x:t>
        </x:is>
      </x:c>
      <x:c r="C269" s="6" t="inlineStr">
        <x:is>
          <x:t xml:space="preserve">Zadaszenie szkło - pełna konstrukcja</x:t>
        </x:is>
      </x:c>
      <x:c r="D269" s="6" t="inlineStr">
        <x:is>
          <x:t xml:space="preserve">ZADASZENIE SZKŁO</x:t>
        </x:is>
      </x:c>
      <x:c r="E269" s="8" t="n">
        <x:f>IFERROR(INDEX('02_RAW_INDEX'!$V:$V,MATCH($A269,'02_RAW_INDEX'!$A:$A,0)),"")</x:f>
        <x:v>12049</x:v>
      </x:c>
      <x:c r="F269" s="8" t="n">
        <x:f>IFERROR(INDEX('02_RAW_INDEX'!$U:$U,MATCH($A269,'02_RAW_INDEX'!$A:$A,0)),"")</x:f>
        <x:v>14820</x:v>
      </x:c>
      <x:c r="G269" s="7" t="n">
        <x:f>'01_Ustawienia'!$B$6</x:f>
        <x:v>0</x:v>
      </x:c>
      <x:c r="H269" s="8" t="n">
        <x:f>IF(E269="","",ROUND(IF('01_Ustawienia'!$B$5="BRUTTO",F269,E269)*(1-G269),0))</x:f>
        <x:v>12049</x:v>
      </x:c>
      <x:c r="I269" s="7" t="n">
        <x:f>IFERROR(IFERROR(INDEX('01_Ustawienia'!$B$15:$B$33,MATCH(B269,'01_Ustawienia'!$A$15:$A$33,0)),0.45),0.45)</x:f>
        <x:v>0.45</x:v>
      </x:c>
      <x:c r="J269" s="8" t="n">
        <x:f>IF(H269="","",ROUND(H269*(1+I269),0))</x:f>
        <x:v>17471</x:v>
      </x:c>
      <x:c r="K269" s="8" t="n">
        <x:f>IFERROR(IFERROR(INDEX(EG_Cennik_uslug!$F:$F,MATCH($A269,EG_Cennik_uslug!$A:$A,0)),0),0)</x:f>
        <x:v>3840</x:v>
      </x:c>
      <x:c r="L269" s="8" t="n">
        <x:f>IFERROR(IFERROR(INDEX(EG_Cennik_uslug!$G:$G,MATCH($A269,EG_Cennik_uslug!$A:$A,0)),0),0)</x:f>
        <x:v>1340</x:v>
      </x:c>
      <x:c r="M269" s="7" t="n">
        <x:f>IF('01_Ustawienia'!$B$4="ZWOLNIONY",0,'01_Ustawienia'!$B$7)</x:f>
        <x:v>0.08</x:v>
      </x:c>
      <x:c r="N269" s="8" t="n">
        <x:f>IF(J269="","",ROUND((J269+K269)*(1+M269),0))</x:f>
        <x:v>23016</x:v>
      </x:c>
      <x:c r="O269" s="8" t="n">
        <x:f>IF(J269="","",J269+K269-H269-L269)</x:f>
        <x:v>7922</x:v>
      </x:c>
      <x:c r="P269" s="7" t="n">
        <x:f>IFERROR(O269/(J269+K269),"")</x:f>
        <x:v>0.3717329078879452</x:v>
      </x:c>
      <x:c r="Q269" s="6" t="inlineStr">
        <x:is>
          <x:t xml:space="preserve">RAW_ZS B/C</x:t>
        </x:is>
      </x:c>
      <x:c r="R269" s="6" t="inlineStr">
        <x:is>
          <x:t xml:space="preserve">ZADASZENIE TARASU KONSTRUKCJA</x:t>
        </x:is>
      </x:c>
      <x:c r="S269" s="6" t="inlineStr">
        <x:is>
          <x:t xml:space="preserve">crm_only</x:t>
        </x:is>
      </x:c>
      <x:c r="T269" s="6" t="inlineStr">
        <x:is>
          <x:t xml:space="preserve">Referencyjne/full; strona zwykle używa ZP + PDS</x:t>
        </x:is>
      </x:c>
    </x:row>
    <x:row r="270" s="655" customFormat="1" ht="30" customHeight="1">
      <x:c r="A270" s="6" t="inlineStr">
        <x:is>
          <x:t xml:space="preserve">350 x 706 cm</x:t>
        </x:is>
      </x:c>
      <x:c r="B270" s="6" t="inlineStr">
        <x:is>
          <x:t xml:space="preserve">OP</x:t>
        </x:is>
      </x:c>
      <x:c r="C270" s="6" t="inlineStr">
        <x:is>
          <x:t xml:space="preserve">Ogród zimowy poliwęglan - baza</x:t>
        </x:is>
      </x:c>
      <x:c r="D270" s="6" t="inlineStr">
        <x:is>
          <x:t xml:space="preserve">OGRODY POLIWĘGLAN</x:t>
        </x:is>
      </x:c>
      <x:c r="E270" s="8" t="n">
        <x:f>IFERROR(INDEX('02_RAW_INDEX'!$Z:$Z,MATCH($A270,'02_RAW_INDEX'!$A:$A,0)),"")</x:f>
        <x:v>20325</x:v>
      </x:c>
      <x:c r="F270" s="8" t="n">
        <x:f>IFERROR(INDEX('02_RAW_INDEX'!$Y:$Y,MATCH($A270,'02_RAW_INDEX'!$A:$A,0)),"")</x:f>
        <x:v>25000</x:v>
      </x:c>
      <x:c r="G270" s="7" t="n">
        <x:f>'01_Ustawienia'!$B$6</x:f>
        <x:v>0</x:v>
      </x:c>
      <x:c r="H270" s="8" t="n">
        <x:f>IF(E270="","",ROUND(IF('01_Ustawienia'!$B$5="BRUTTO",F270,E270)*(1-G270),0))</x:f>
        <x:v>20325</x:v>
      </x:c>
      <x:c r="I270" s="7" t="n">
        <x:f>IFERROR(IFERROR(INDEX('01_Ustawienia'!$B$15:$B$33,MATCH(B270,'01_Ustawienia'!$A$15:$A$33,0)),0.45),0.45)</x:f>
        <x:v>0.45</x:v>
      </x:c>
      <x:c r="J270" s="8" t="n">
        <x:f>IF(H270="","",ROUND(H270*(1+I270),0))</x:f>
        <x:v>29471</x:v>
      </x:c>
      <x:c r="K270" s="8" t="n">
        <x:f>IFERROR(IFERROR(INDEX(EG_Cennik_uslug!$N:$N,MATCH($A270,EG_Cennik_uslug!$A:$A,0)),0),0)</x:f>
        <x:v>5170</x:v>
      </x:c>
      <x:c r="L270" s="8" t="n">
        <x:f>IFERROR(IFERROR(INDEX(EG_Cennik_uslug!$O:$O,MATCH($A270,EG_Cennik_uslug!$A:$A,0)),0),0)</x:f>
        <x:v>1870</x:v>
      </x:c>
      <x:c r="M270" s="7" t="n">
        <x:f>IF('01_Ustawienia'!$B$4="ZWOLNIONY",0,'01_Ustawienia'!$B$7)</x:f>
        <x:v>0.08</x:v>
      </x:c>
      <x:c r="N270" s="8" t="n">
        <x:f>IF(J270="","",ROUND((J270+K270)*(1+M270),0))</x:f>
        <x:v>37412</x:v>
      </x:c>
      <x:c r="O270" s="8" t="n">
        <x:f>IF(J270="","",J270+K270-H270-L270)</x:f>
        <x:v>12446</x:v>
      </x:c>
      <x:c r="P270" s="7" t="n">
        <x:f>IFERROR(O270/(J270+K270),"")</x:f>
        <x:v>0.35928524003348633</x:v>
      </x:c>
      <x:c r="Q270" s="6" t="inlineStr">
        <x:is>
          <x:t xml:space="preserve">RAW_OP B/C</x:t>
        </x:is>
      </x:c>
      <x:c r="R270" s="6" t="inlineStr">
        <x:is>
          <x:t xml:space="preserve">OGRÓD ZIMOWY (KONSTRUKCJA)</x:t>
        </x:is>
      </x:c>
      <x:c r="S270" s="6" t="inlineStr">
        <x:is>
          <x:t xml:space="preserve">website+crm</x:t>
        </x:is>
      </x:c>
      <x:c r="T270" s="6" t="inlineStr">
        <x:is>
          <x:t xml:space="preserve">Do wyliczenia dopłaty za ściany</x:t>
        </x:is>
      </x:c>
    </x:row>
    <x:row r="271" s="655" customFormat="1" ht="30" customHeight="1">
      <x:c r="A271" s="6" t="inlineStr">
        <x:is>
          <x:t xml:space="preserve">350 x 706 cm</x:t>
        </x:is>
      </x:c>
      <x:c r="B271" s="6" t="inlineStr">
        <x:is>
          <x:t xml:space="preserve">OS</x:t>
        </x:is>
      </x:c>
      <x:c r="C271" s="6" t="inlineStr">
        <x:is>
          <x:t xml:space="preserve">Ogród zimowy szkło - pełna konstrukcja</x:t>
        </x:is>
      </x:c>
      <x:c r="D271" s="6" t="inlineStr">
        <x:is>
          <x:t xml:space="preserve">OGRODY SZKŁO</x:t>
        </x:is>
      </x:c>
      <x:c r="E271" s="8" t="n">
        <x:f>IFERROR(INDEX('02_RAW_INDEX'!$AL:$AL,MATCH($A271,'02_RAW_INDEX'!$A:$A,0)),"")</x:f>
        <x:v>24699</x:v>
      </x:c>
      <x:c r="F271" s="8" t="n">
        <x:f>IFERROR(INDEX('02_RAW_INDEX'!$AK:$AK,MATCH($A271,'02_RAW_INDEX'!$A:$A,0)),"")</x:f>
        <x:v>30380</x:v>
      </x:c>
      <x:c r="G271" s="7" t="n">
        <x:f>'01_Ustawienia'!$B$6</x:f>
        <x:v>0</x:v>
      </x:c>
      <x:c r="H271" s="8" t="n">
        <x:f>IF(E271="","",ROUND(IF('01_Ustawienia'!$B$5="BRUTTO",F271,E271)*(1-G271),0))</x:f>
        <x:v>24699</x:v>
      </x:c>
      <x:c r="I271" s="7" t="n">
        <x:f>IFERROR(IFERROR(INDEX('01_Ustawienia'!$B$15:$B$33,MATCH(B271,'01_Ustawienia'!$A$15:$A$33,0)),0.45),0.45)</x:f>
        <x:v>0.45</x:v>
      </x:c>
      <x:c r="J271" s="8" t="n">
        <x:f>IF(H271="","",ROUND(H271*(1+I271),0))</x:f>
        <x:v>35814</x:v>
      </x:c>
      <x:c r="K271" s="8" t="n">
        <x:f>IFERROR(IFERROR(INDEX(EG_Cennik_uslug!$N:$N,MATCH($A271,EG_Cennik_uslug!$A:$A,0)),0),0)</x:f>
        <x:v>5170</x:v>
      </x:c>
      <x:c r="L271" s="8" t="n">
        <x:f>IFERROR(IFERROR(INDEX(EG_Cennik_uslug!$O:$O,MATCH($A271,EG_Cennik_uslug!$A:$A,0)),0),0)</x:f>
        <x:v>1870</x:v>
      </x:c>
      <x:c r="M271" s="7" t="n">
        <x:f>IF('01_Ustawienia'!$B$4="ZWOLNIONY",0,'01_Ustawienia'!$B$7)</x:f>
        <x:v>0.08</x:v>
      </x:c>
      <x:c r="N271" s="8" t="n">
        <x:f>IF(J271="","",ROUND((J271+K271)*(1+M271),0))</x:f>
        <x:v>44263</x:v>
      </x:c>
      <x:c r="O271" s="8" t="n">
        <x:f>IF(J271="","",J271+K271-H271-L271)</x:f>
        <x:v>14415</x:v>
      </x:c>
      <x:c r="P271" s="7" t="n">
        <x:f>IFERROR(O271/(J271+K271),"")</x:f>
        <x:v>0.35172262346281474</x:v>
      </x:c>
      <x:c r="Q271" s="6" t="inlineStr">
        <x:is>
          <x:t xml:space="preserve">RAW_OS B/C</x:t>
        </x:is>
      </x:c>
      <x:c r="R271" s="6" t="inlineStr">
        <x:is>
          <x:t xml:space="preserve">OGRÓD ZIMOWY (KONSTRUKCJA)</x:t>
        </x:is>
      </x:c>
      <x:c r="S271" s="6" t="inlineStr">
        <x:is>
          <x:t xml:space="preserve">crm_only</x:t>
        </x:is>
      </x:c>
      <x:c r="T271" s="6" t="inlineStr">
        <x:is>
          <x:t xml:space="preserve">Referencyjne/full</x:t>
        </x:is>
      </x:c>
    </x:row>
    <x:row r="272" s="655" customFormat="1" ht="30" customHeight="1">
      <x:c r="A272" s="6" t="inlineStr">
        <x:is>
          <x:t xml:space="preserve">350 x 706 cm</x:t>
        </x:is>
      </x:c>
      <x:c r="B272" s="6" t="inlineStr">
        <x:is>
          <x:t xml:space="preserve">PDS</x:t>
        </x:is>
      </x:c>
      <x:c r="C272" s="6" t="inlineStr">
        <x:is>
          <x:t xml:space="preserve">Dopłata dach szkło przezroczyste</x:t>
        </x:is>
      </x:c>
      <x:c r="D272" s="6" t="inlineStr">
        <x:is>
          <x:t xml:space="preserve">POKRYCIE DACHU SZKŁO</x:t>
        </x:is>
      </x:c>
      <x:c r="E272" s="8" t="n">
        <x:f>IFERROR(IFERROR(INDEX('02_RAW_INDEX'!$V:$V,MATCH($A272,'02_RAW_INDEX'!$A:$A,0)),"")-IFERROR(INDEX('02_RAW_INDEX'!$D:$D,MATCH($A272,'02_RAW_INDEX'!$A:$A,0)),""),"")</x:f>
        <x:v>4374</x:v>
      </x:c>
      <x:c r="F272" s="8" t="n">
        <x:f>IFERROR(IFERROR(INDEX('02_RAW_INDEX'!$U:$U,MATCH($A272,'02_RAW_INDEX'!$A:$A,0)),"")-IFERROR(INDEX('02_RAW_INDEX'!$C:$C,MATCH($A272,'02_RAW_INDEX'!$A:$A,0)),""),"")</x:f>
        <x:v>5380</x:v>
      </x:c>
      <x:c r="G272" s="7" t="n">
        <x:f>'01_Ustawienia'!$B$6</x:f>
        <x:v>0</x:v>
      </x:c>
      <x:c r="H272" s="8" t="n">
        <x:f>IF(E272="","",ROUND(IF('01_Ustawienia'!$B$5="BRUTTO",F272,E272)*(1-G272),0))</x:f>
        <x:v>4374</x:v>
      </x:c>
      <x:c r="I272" s="7" t="n">
        <x:f>IFERROR(IFERROR(INDEX('01_Ustawienia'!$B$15:$B$33,MATCH(B272,'01_Ustawienia'!$A$15:$A$33,0)),0.45),0.45)</x:f>
        <x:v>0.45</x:v>
      </x:c>
      <x:c r="J272" s="8" t="n">
        <x:f>IF(H272="","",ROUND(H272*(1+I272),0))</x:f>
        <x:v>6342</x:v>
      </x:c>
      <x:c r="K272" s="8" t="n">
        <x:f>0</x:f>
        <x:v>0</x:v>
      </x:c>
      <x:c r="L272" s="8" t="n">
        <x:v>0</x:v>
      </x:c>
      <x:c r="M272" s="7" t="n">
        <x:f>IF('01_Ustawienia'!$B$4="ZWOLNIONY",0,'01_Ustawienia'!$B$7)</x:f>
        <x:v>0.08</x:v>
      </x:c>
      <x:c r="N272" s="8" t="n">
        <x:f>IF(J272="","",ROUND((J272+K272)*(1+M272),0))</x:f>
        <x:v>6849</x:v>
      </x:c>
      <x:c r="O272" s="8" t="n">
        <x:f>IF(J272="","",J272+K272-H272-L272)</x:f>
        <x:v>1968</x:v>
      </x:c>
      <x:c r="P272" s="7" t="n">
        <x:f>IFERROR(O272/(J272+K272),"")</x:f>
        <x:v>0.31031220435193946</x:v>
      </x:c>
      <x:c r="Q272" s="6" t="inlineStr">
        <x:is>
          <x:t xml:space="preserve">RAW_ZS - RAW_ZP</x:t>
        </x:is>
      </x:c>
      <x:c r="R272" s="6" t="inlineStr">
        <x:is>
          <x:t xml:space="preserve">POKRYCIE DACHU</x:t>
        </x:is>
      </x:c>
      <x:c r="S272" s="6" t="inlineStr">
        <x:is>
          <x:t xml:space="preserve">website+crm</x:t>
        </x:is>
      </x:c>
      <x:c r="T272" s="6" t="inlineStr">
        <x:is>
          <x:t xml:space="preserve">Dopłata do bazowego dachu poliwęglan | FIX17: Wynagr.+koszty = 0 dla dopłaty; nie jest osobnym montażem ekipy.</x:t>
        </x:is>
      </x:c>
    </x:row>
    <x:row r="273" s="655" customFormat="1" ht="30" customHeight="1">
      <x:c r="A273" s="6" t="inlineStr">
        <x:is>
          <x:t xml:space="preserve">350 x 706 cm</x:t>
        </x:is>
      </x:c>
      <x:c r="B273" s="6" t="inlineStr">
        <x:is>
          <x:t xml:space="preserve">PDSB</x:t>
        </x:is>
      </x:c>
      <x:c r="C273" s="6" t="inlineStr">
        <x:is>
          <x:t xml:space="preserve">Dopłata dach szkło barwione/mleczne</x:t>
        </x:is>
      </x:c>
      <x:c r="D273" s="6" t="inlineStr">
        <x:is>
          <x:t xml:space="preserve">POKRYCIE DACHU SZKŁO BARWIONE</x:t>
        </x:is>
      </x:c>
      <x:c r="E273" s="8" t="n">
        <x:f>IFERROR(INDEX('02_RAW_INDEX'!$X:$X,MATCH($A273,'02_RAW_INDEX'!$A:$A,0)),"")</x:f>
        <x:v>650</x:v>
      </x:c>
      <x:c r="F273" s="8" t="n">
        <x:f>IFERROR(INDEX('02_RAW_INDEX'!$W:$W,MATCH($A273,'02_RAW_INDEX'!$A:$A,0)),"")</x:f>
        <x:v>800</x:v>
      </x:c>
      <x:c r="G273" s="7" t="n">
        <x:f>'01_Ustawienia'!$B$6</x:f>
        <x:v>0</x:v>
      </x:c>
      <x:c r="H273" s="8" t="n">
        <x:f>IF(E273="","",ROUND(IF('01_Ustawienia'!$B$5="BRUTTO",F273,E273)*(1-G273),0))</x:f>
        <x:v>650</x:v>
      </x:c>
      <x:c r="I273" s="7" t="n">
        <x:f>IFERROR(IFERROR(INDEX('01_Ustawienia'!$B$15:$B$33,MATCH(B273,'01_Ustawienia'!$A$15:$A$33,0)),0.45),0.45)</x:f>
        <x:v>0.45</x:v>
      </x:c>
      <x:c r="J273" s="8" t="n">
        <x:f>IF(H273="","",ROUND(H273*(1+I273),0))</x:f>
        <x:v>943</x:v>
      </x:c>
      <x:c r="K273" s="8" t="n">
        <x:f>0</x:f>
        <x:v>0</x:v>
      </x:c>
      <x:c r="L273" s="8" t="n">
        <x:v>0</x:v>
      </x:c>
      <x:c r="M273" s="7" t="n">
        <x:f>IF('01_Ustawienia'!$B$4="ZWOLNIONY",0,'01_Ustawienia'!$B$7)</x:f>
        <x:v>0.08</x:v>
      </x:c>
      <x:c r="N273" s="8" t="n">
        <x:f>IF(J273="","",ROUND((J273+K273)*(1+M273),0))</x:f>
        <x:v>1018</x:v>
      </x:c>
      <x:c r="O273" s="8" t="n">
        <x:f>IF(J273="","",J273+K273-H273-L273)</x:f>
        <x:v>293</x:v>
      </x:c>
      <x:c r="P273" s="7" t="n">
        <x:f>IFERROR(O273/(J273+K273),"")</x:f>
        <x:v>0.3107104984093319</x:v>
      </x:c>
      <x:c r="Q273" s="6" t="inlineStr">
        <x:is>
          <x:t xml:space="preserve">RAW_ZS D/E</x:t>
        </x:is>
      </x:c>
      <x:c r="R273" s="6" t="inlineStr">
        <x:is>
          <x:t xml:space="preserve">POKRYCIE DACHU</x:t>
        </x:is>
      </x:c>
      <x:c r="S273" s="6" t="inlineStr">
        <x:is>
          <x:t xml:space="preserve">website+crm</x:t>
        </x:is>
      </x:c>
      <x:c r="T273" s="6" t="inlineStr">
        <x:is>
          <x:t xml:space="preserve">Dodawane do PDS | FIX17: Wynagr.+koszty = 0 dla dopłaty; nie jest osobnym montażem ekipy.</x:t>
        </x:is>
      </x:c>
    </x:row>
    <x:row r="274" s="655" customFormat="1" ht="30" customHeight="1">
      <x:c r="A274" s="6" t="inlineStr">
        <x:is>
          <x:t xml:space="preserve">350 x 706 cm</x:t>
        </x:is>
      </x:c>
      <x:c r="B274" s="6" t="inlineStr">
        <x:is>
          <x:t xml:space="preserve">PDPB</x:t>
        </x:is>
      </x:c>
      <x:c r="C274" s="6" t="inlineStr">
        <x:is>
          <x:t xml:space="preserve">Dopłata poliwęglan barwiony</x:t>
        </x:is>
      </x:c>
      <x:c r="D274" s="6" t="inlineStr">
        <x:is>
          <x:t xml:space="preserve">POKRYCIE DACHU POLIWĘGLAN BARWIONY</x:t>
        </x:is>
      </x:c>
      <x:c r="E274" s="8" t="n">
        <x:f>IFERROR(INDEX('02_RAW_INDEX'!$F:$F,MATCH($A274,'02_RAW_INDEX'!$A:$A,0)),"")</x:f>
        <x:v>285</x:v>
      </x:c>
      <x:c r="F274" s="8" t="n">
        <x:f>IFERROR(INDEX('02_RAW_INDEX'!$E:$E,MATCH($A274,'02_RAW_INDEX'!$A:$A,0)),"")</x:f>
        <x:v>350</x:v>
      </x:c>
      <x:c r="G274" s="7" t="n">
        <x:f>'01_Ustawienia'!$B$6</x:f>
        <x:v>0</x:v>
      </x:c>
      <x:c r="H274" s="8" t="n">
        <x:f>IF(E274="","",ROUND(IF('01_Ustawienia'!$B$5="BRUTTO",F274,E274)*(1-G274),0))</x:f>
        <x:v>285</x:v>
      </x:c>
      <x:c r="I274" s="7" t="n">
        <x:f>IFERROR(IFERROR(INDEX('01_Ustawienia'!$B$15:$B$33,MATCH(B274,'01_Ustawienia'!$A$15:$A$33,0)),0.45),0.45)</x:f>
        <x:v>0.45</x:v>
      </x:c>
      <x:c r="J274" s="8" t="n">
        <x:f>IF(H274="","",ROUND(H274*(1+I274),0))</x:f>
        <x:v>413</x:v>
      </x:c>
      <x:c r="K274" s="8" t="n">
        <x:f>0</x:f>
        <x:v>0</x:v>
      </x:c>
      <x:c r="L274" s="8" t="n">
        <x:v>0</x:v>
      </x:c>
      <x:c r="M274" s="7" t="n">
        <x:f>IF('01_Ustawienia'!$B$4="ZWOLNIONY",0,'01_Ustawienia'!$B$7)</x:f>
        <x:v>0.08</x:v>
      </x:c>
      <x:c r="N274" s="8" t="n">
        <x:f>IF(J274="","",ROUND((J274+K274)*(1+M274),0))</x:f>
        <x:v>446</x:v>
      </x:c>
      <x:c r="O274" s="8" t="n">
        <x:f>IF(J274="","",J274+K274-H274-L274)</x:f>
        <x:v>128</x:v>
      </x:c>
      <x:c r="P274" s="7" t="n">
        <x:f>IFERROR(O274/(J274+K274),"")</x:f>
        <x:v>0.3099273607748184</x:v>
      </x:c>
      <x:c r="Q274" s="6" t="inlineStr">
        <x:is>
          <x:t xml:space="preserve">RAW_ZP D/E</x:t>
        </x:is>
      </x:c>
      <x:c r="R274" s="6" t="inlineStr">
        <x:is>
          <x:t xml:space="preserve">POKRYCIE DACHU</x:t>
        </x:is>
      </x:c>
      <x:c r="S274" s="6" t="inlineStr">
        <x:is>
          <x:t xml:space="preserve">website+crm</x:t>
        </x:is>
      </x:c>
      <x:c r="T274" s="6" t="inlineStr">
        <x:is>
          <x:t xml:space="preserve">FIX17: Wynagr.+koszty = 0 dla dopłaty; nie jest osobnym montażem ekipy.</x:t>
        </x:is>
      </x:c>
    </x:row>
    <x:row r="275" s="655" customFormat="1" ht="30" customHeight="1">
      <x:c r="A275" s="6" t="inlineStr">
        <x:is>
          <x:t xml:space="preserve">350 x 706 cm</x:t>
        </x:is>
      </x:c>
      <x:c r="B275" s="6" t="inlineStr">
        <x:is>
          <x:t xml:space="preserve">SBB</x:t>
        </x:is>
      </x:c>
      <x:c r="C275" s="6" t="inlineStr">
        <x:is>
          <x:t xml:space="preserve">Dopłata szkło boczne przyciemniane</x:t>
        </x:is>
      </x:c>
      <x:c r="D275" s="6" t="inlineStr">
        <x:is>
          <x:t xml:space="preserve">SZKŁO BOCZNE BARWIONE</x:t>
        </x:is>
      </x:c>
      <x:c r="E275" s="8" t="n">
        <x:f>IFERROR(INDEX('02_RAW_INDEX'!$AB:$AB,MATCH($A275,'02_RAW_INDEX'!$A:$A,0)),"")</x:f>
        <x:v>1463</x:v>
      </x:c>
      <x:c r="F275" s="8" t="n">
        <x:f>IFERROR(INDEX('02_RAW_INDEX'!$AA:$AA,MATCH($A275,'02_RAW_INDEX'!$A:$A,0)),"")</x:f>
        <x:v>1800</x:v>
      </x:c>
      <x:c r="G275" s="7" t="n">
        <x:f>'01_Ustawienia'!$B$6</x:f>
        <x:v>0</x:v>
      </x:c>
      <x:c r="H275" s="8" t="n">
        <x:f>IF(E275="","",ROUND(IF('01_Ustawienia'!$B$5="BRUTTO",F275,E275)*(1-G275),0))</x:f>
        <x:v>1463</x:v>
      </x:c>
      <x:c r="I275" s="7" t="n">
        <x:f>IFERROR(IFERROR(INDEX('01_Ustawienia'!$B$15:$B$33,MATCH(B275,'01_Ustawienia'!$A$15:$A$33,0)),0.45),0.45)</x:f>
        <x:v>0.45</x:v>
      </x:c>
      <x:c r="J275" s="8" t="n">
        <x:f>IF(H275="","",ROUND(H275*(1+I275),0))</x:f>
        <x:v>2121</x:v>
      </x:c>
      <x:c r="K275" s="8" t="n">
        <x:f>0</x:f>
        <x:v>0</x:v>
      </x:c>
      <x:c r="L275" s="8" t="n">
        <x:v>0</x:v>
      </x:c>
      <x:c r="M275" s="7" t="n">
        <x:f>IF('01_Ustawienia'!$B$4="ZWOLNIONY",0,'01_Ustawienia'!$B$7)</x:f>
        <x:v>0.08</x:v>
      </x:c>
      <x:c r="N275" s="8" t="n">
        <x:f>IF(J275="","",ROUND((J275+K275)*(1+M275),0))</x:f>
        <x:v>2291</x:v>
      </x:c>
      <x:c r="O275" s="8" t="n">
        <x:f>IF(J275="","",J275+K275-H275-L275)</x:f>
        <x:v>658</x:v>
      </x:c>
      <x:c r="P275" s="7" t="n">
        <x:f>IFERROR(O275/(J275+K275),"")</x:f>
        <x:v>0.3102310231023102</x:v>
      </x:c>
      <x:c r="Q275" s="6" t="inlineStr">
        <x:is>
          <x:t xml:space="preserve">RAW_OP H/I</x:t>
        </x:is>
      </x:c>
      <x:c r="R275" s="6" t="inlineStr">
        <x:is>
          <x:t xml:space="preserve">SZYBY BOCZNE</x:t>
        </x:is>
      </x:c>
      <x:c r="S275" s="6" t="inlineStr">
        <x:is>
          <x:t xml:space="preserve">website+crm</x:t>
        </x:is>
      </x:c>
      <x:c r="T275" s="6" t="inlineStr">
        <x:is>
          <x:t xml:space="preserve">Dodawane do ścian przezroczystych | FIX17: Wynagr.+koszty = 0 dla dopłaty; nie jest osobnym montażem ekipy.</x:t>
        </x:is>
      </x:c>
    </x:row>
    <x:row r="276">
      <x:c r="A276" s="6" t="inlineStr">
        <x:is>
          <x:t xml:space="preserve">350 x 706 cm</x:t>
        </x:is>
      </x:c>
      <x:c r="B276" s="6" t="inlineStr">
        <x:is>
          <x:t xml:space="preserve">RB</x:t>
        </x:is>
      </x:c>
      <x:c r="C276" s="6" t="inlineStr">
        <x:is>
          <x:t xml:space="preserve">Roleta boczna ZIP</x:t>
        </x:is>
      </x:c>
      <x:c r="D276" s="6" t="inlineStr">
        <x:is>
          <x:t xml:space="preserve">ROLETA BOCZNA</x:t>
        </x:is>
      </x:c>
      <x:c r="E276" s="8" t="n">
        <x:f>IFERROR(INDEX('02_RAW_INDEX'!$J:$J,MATCH($A276,'02_RAW_INDEX'!$A:$A,0)),"")</x:f>
        <x:v>1902</x:v>
      </x:c>
      <x:c r="F276" s="8" t="n">
        <x:f>IFERROR(INDEX('02_RAW_INDEX'!$I:$I,MATCH($A276,'02_RAW_INDEX'!$A:$A,0)),"")</x:f>
        <x:v>2340</x:v>
      </x:c>
      <x:c r="G276" s="7" t="n">
        <x:f>'01_Ustawienia'!$B$6</x:f>
        <x:v>0</x:v>
      </x:c>
      <x:c r="H276" s="8" t="n">
        <x:f>IF(E276="","",ROUND(IF('01_Ustawienia'!$B$5="BRUTTO",F276,E276)*(1-G276),0))</x:f>
        <x:v>1902</x:v>
      </x:c>
      <x:c r="I276" s="7" t="n">
        <x:f>IFERROR(IFERROR(INDEX('01_Ustawienia'!$B$15:$B$33,MATCH(B276,'01_Ustawienia'!$A$15:$A$33,0)),0.45),0.45)</x:f>
        <x:v>0.45</x:v>
      </x:c>
      <x:c r="J276" s="8" t="n">
        <x:f>IF(H276="","",ROUND(H276*(1+I276),0))</x:f>
        <x:v>2758</x:v>
      </x:c>
      <x:c r="K276" s="8" t="n">
        <x:f>0</x:f>
        <x:v>0</x:v>
      </x:c>
      <x:c r="L276" s="8" t="n">
        <x:f>IFERROR(IFERROR(INDEX(EG_Cennik_uslug!$AC:$AC,MATCH($A276,EG_Cennik_uslug!$A:$A,0)),0),0)</x:f>
        <x:v>150</x:v>
      </x:c>
      <x:c r="M276" s="7" t="n">
        <x:f>IF('01_Ustawienia'!$B$4="ZWOLNIONY",0,'01_Ustawienia'!$B$7)</x:f>
        <x:v>0.08</x:v>
      </x:c>
      <x:c r="N276" s="8" t="n">
        <x:f>IF(J276="","",ROUND((J276+K276)*(1+M276),0))</x:f>
        <x:v>2979</x:v>
      </x:c>
      <x:c r="O276" s="8" t="n">
        <x:f>IF(J276="","",J276+K276-H276-L276)</x:f>
        <x:v>706</x:v>
      </x:c>
      <x:c r="P276" s="7" t="n">
        <x:f>IFERROR(O276/(J276+K276),"")</x:f>
        <x:v>0.25598259608411894</x:v>
      </x:c>
      <x:c r="Q276" s="6" t="inlineStr">
        <x:is>
          <x:t xml:space="preserve">RAW_ZP J/K</x:t>
        </x:is>
      </x:c>
      <x:c r="R276" s="6" t="inlineStr">
        <x:is>
          <x:t xml:space="preserve">ROLETY BOCZNE</x:t>
        </x:is>
      </x:c>
      <x:c r="S276" s="6" t="inlineStr">
        <x:is>
          <x:t xml:space="preserve">website+crm</x:t>
        </x:is>
      </x:c>
      <x:c r="T276" s="6" t="inlineStr">
        <x:is>
          <x:t xml:space="preserve">Używana dla lewej i prawej</x:t>
        </x:is>
      </x:c>
    </x:row>
    <x:row r="277">
      <x:c r="A277" s="6" t="inlineStr">
        <x:is>
          <x:t xml:space="preserve">350 x 706 cm</x:t>
        </x:is>
      </x:c>
      <x:c r="B277" s="6" t="inlineStr">
        <x:is>
          <x:t xml:space="preserve">RP</x:t>
        </x:is>
      </x:c>
      <x:c r="C277" s="6" t="inlineStr">
        <x:is>
          <x:t xml:space="preserve">Roleta przednia ZIP</x:t>
        </x:is>
      </x:c>
      <x:c r="D277" s="6" t="inlineStr">
        <x:is>
          <x:t xml:space="preserve">ROLETA PRZÓD</x:t>
        </x:is>
      </x:c>
      <x:c r="E277" s="8" t="n">
        <x:f>IFERROR(INDEX('02_RAW_INDEX'!$L:$L,MATCH($A277,'02_RAW_INDEX'!$A:$A,0)),"")</x:f>
        <x:v>3886</x:v>
      </x:c>
      <x:c r="F277" s="8" t="n">
        <x:f>IFERROR(INDEX('02_RAW_INDEX'!$K:$K,MATCH($A277,'02_RAW_INDEX'!$A:$A,0)),"")</x:f>
        <x:v>4780</x:v>
      </x:c>
      <x:c r="G277" s="7" t="n">
        <x:f>'01_Ustawienia'!$B$6</x:f>
        <x:v>0</x:v>
      </x:c>
      <x:c r="H277" s="8" t="n">
        <x:f>IF(E277="","",ROUND(IF('01_Ustawienia'!$B$5="BRUTTO",F277,E277)*(1-G277),0))</x:f>
        <x:v>3886</x:v>
      </x:c>
      <x:c r="I277" s="7" t="n">
        <x:f>IFERROR(IFERROR(INDEX('01_Ustawienia'!$B$15:$B$33,MATCH(B277,'01_Ustawienia'!$A$15:$A$33,0)),0.45),0.45)</x:f>
        <x:v>0.45</x:v>
      </x:c>
      <x:c r="J277" s="8" t="n">
        <x:f>IF(H277="","",ROUND(H277*(1+I277),0))</x:f>
        <x:v>5635</x:v>
      </x:c>
      <x:c r="K277" s="8" t="n">
        <x:f>0</x:f>
        <x:v>0</x:v>
      </x:c>
      <x:c r="L277" s="8" t="n">
        <x:f>IFERROR(IFERROR(INDEX(EG_Cennik_uslug!$AJ:$AJ,MATCH($A277,EG_Cennik_uslug!$A:$A,0)),0),0)</x:f>
        <x:v>300</x:v>
      </x:c>
      <x:c r="M277" s="7" t="n">
        <x:f>IF('01_Ustawienia'!$B$4="ZWOLNIONY",0,'01_Ustawienia'!$B$7)</x:f>
        <x:v>0.08</x:v>
      </x:c>
      <x:c r="N277" s="8" t="n">
        <x:f>IF(J277="","",ROUND((J277+K277)*(1+M277),0))</x:f>
        <x:v>6086</x:v>
      </x:c>
      <x:c r="O277" s="8" t="n">
        <x:f>IF(J277="","",J277+K277-H277-L277)</x:f>
        <x:v>1449</x:v>
      </x:c>
      <x:c r="P277" s="7" t="n">
        <x:f>IFERROR(O277/(J277+K277),"")</x:f>
        <x:v>0.2571428571428571</x:v>
      </x:c>
      <x:c r="Q277" s="6" t="inlineStr">
        <x:is>
          <x:t xml:space="preserve">RAW_ZP N/O</x:t>
        </x:is>
      </x:c>
      <x:c r="R277" s="6" t="inlineStr">
        <x:is>
          <x:t xml:space="preserve">ROLETY BOCZNE</x:t>
        </x:is>
      </x:c>
      <x:c r="S277" s="6" t="inlineStr">
        <x:is>
          <x:t xml:space="preserve">website+crm</x:t>
        </x:is>
      </x:c>
      <x:c r="T277" s="6" t="n"/>
    </x:row>
    <x:row r="278">
      <x:c r="A278" s="6" t="inlineStr">
        <x:is>
          <x:t xml:space="preserve">350 x 706 cm</x:t>
        </x:is>
      </x:c>
      <x:c r="B278" s="6" t="inlineStr">
        <x:is>
          <x:t xml:space="preserve">M</x:t>
        </x:is>
      </x:c>
      <x:c r="C278" s="6" t="inlineStr">
        <x:is>
          <x:t xml:space="preserve">Markiza dachowa</x:t>
        </x:is>
      </x:c>
      <x:c r="D278" s="6" t="inlineStr">
        <x:is>
          <x:t xml:space="preserve">MARKIZA</x:t>
        </x:is>
      </x:c>
      <x:c r="E278" s="8" t="n">
        <x:f>IFERROR(INDEX('02_RAW_INDEX'!$H:$H,MATCH($A278,'02_RAW_INDEX'!$A:$A,0)),"")</x:f>
        <x:v>6894</x:v>
      </x:c>
      <x:c r="F278" s="8" t="n">
        <x:f>IFERROR(INDEX('02_RAW_INDEX'!$G:$G,MATCH($A278,'02_RAW_INDEX'!$A:$A,0)),"")</x:f>
        <x:v>8480</x:v>
      </x:c>
      <x:c r="G278" s="7" t="n">
        <x:f>'01_Ustawienia'!$B$6</x:f>
        <x:v>0</x:v>
      </x:c>
      <x:c r="H278" s="8" t="n">
        <x:f>IF(E278="","",ROUND(IF('01_Ustawienia'!$B$5="BRUTTO",F278,E278)*(1-G278),0))</x:f>
        <x:v>6894</x:v>
      </x:c>
      <x:c r="I278" s="7" t="n">
        <x:f>IFERROR(IFERROR(INDEX('01_Ustawienia'!$B$15:$B$33,MATCH(B278,'01_Ustawienia'!$A$15:$A$33,0)),0.45),0.45)</x:f>
        <x:v>0.45</x:v>
      </x:c>
      <x:c r="J278" s="8" t="n">
        <x:f>IF(H278="","",ROUND(H278*(1+I278),0))</x:f>
        <x:v>9996</x:v>
      </x:c>
      <x:c r="K278" s="8" t="n">
        <x:f>0</x:f>
        <x:v>0</x:v>
      </x:c>
      <x:c r="L278" s="8" t="n">
        <x:f>IFERROR(IFERROR(INDEX(EG_Cennik_uslug!$AQ:$AQ,MATCH($A278,EG_Cennik_uslug!$A:$A,0)),0),0)</x:f>
        <x:v>450</x:v>
      </x:c>
      <x:c r="M278" s="7" t="n">
        <x:f>IF('01_Ustawienia'!$B$4="ZWOLNIONY",0,'01_Ustawienia'!$B$7)</x:f>
        <x:v>0.08</x:v>
      </x:c>
      <x:c r="N278" s="8" t="n">
        <x:f>IF(J278="","",ROUND((J278+K278)*(1+M278),0))</x:f>
        <x:v>10796</x:v>
      </x:c>
      <x:c r="O278" s="8" t="n">
        <x:f>IF(J278="","",J278+K278-H278-L278)</x:f>
        <x:v>2652</x:v>
      </x:c>
      <x:c r="P278" s="7" t="n">
        <x:f>IFERROR(O278/(J278+K278),"")</x:f>
        <x:v>0.2653061224489796</x:v>
      </x:c>
      <x:c r="Q278" s="6" t="inlineStr">
        <x:is>
          <x:t xml:space="preserve">RAW_ZP H/I</x:t>
        </x:is>
      </x:c>
      <x:c r="R278" s="6" t="inlineStr">
        <x:is>
          <x:t xml:space="preserve">MARKIZA</x:t>
        </x:is>
      </x:c>
      <x:c r="S278" s="6" t="inlineStr">
        <x:is>
          <x:t xml:space="preserve">website+crm</x:t>
        </x:is>
      </x:c>
      <x:c r="T278" s="6" t="n"/>
    </x:row>
    <x:row r="279">
      <x:c r="A279" s="6" t="inlineStr">
        <x:is>
          <x:t xml:space="preserve">350 x 706 cm</x:t>
        </x:is>
      </x:c>
      <x:c r="B279" s="6" t="inlineStr">
        <x:is>
          <x:t xml:space="preserve">PDWP</x:t>
        </x:is>
      </x:c>
      <x:c r="C279" s="6" t="inlineStr">
        <x:is>
          <x:t xml:space="preserve">Fundament/profile</x:t>
        </x:is>
      </x:c>
      <x:c r="D279" s="6" t="inlineStr">
        <x:is>
          <x:t xml:space="preserve">FUNDAMENT / PROFILE</x:t>
        </x:is>
      </x:c>
      <x:c r="E279" s="8" t="n">
        <x:f>IFERROR(INDEX('02_RAW_INDEX'!$AH:$AH,MATCH($A279,'02_RAW_INDEX'!$A:$A,0)),"")</x:f>
        <x:v>992</x:v>
      </x:c>
      <x:c r="F279" s="8" t="n">
        <x:f>IFERROR(INDEX('02_RAW_INDEX'!$AG:$AG,MATCH($A279,'02_RAW_INDEX'!$A:$A,0)),"")</x:f>
        <x:v>1220</x:v>
      </x:c>
      <x:c r="G279" s="7" t="n">
        <x:f>'01_Ustawienia'!$B$6</x:f>
        <x:v>0</x:v>
      </x:c>
      <x:c r="H279" s="8" t="n">
        <x:f>IF(E279="","",ROUND(IF('01_Ustawienia'!$B$5="BRUTTO",F279,E279)*(1-G279),0))</x:f>
        <x:v>992</x:v>
      </x:c>
      <x:c r="I279" s="7" t="n">
        <x:f>IFERROR(IFERROR(INDEX('01_Ustawienia'!$B$15:$B$33,MATCH(B279,'01_Ustawienia'!$A$15:$A$33,0)),0.45),0.45)</x:f>
        <x:v>1.2</x:v>
      </x:c>
      <x:c r="J279" s="8" t="n">
        <x:f>IF(H279="","",ROUND(H279*(1+I279),0))</x:f>
        <x:v>2182</x:v>
      </x:c>
      <x:c r="K279" s="8" t="n">
        <x:f>0</x:f>
        <x:v>0</x:v>
      </x:c>
      <x:c r="L279" s="8" t="n">
        <x:f>IFERROR(IFERROR(INDEX(EG_Cennik_uslug!$BT:$BT,MATCH($A279,EG_Cennik_uslug!$A:$A,0)),0),0)</x:f>
        <x:v>460</x:v>
      </x:c>
      <x:c r="M279" s="7" t="n">
        <x:f>IF('01_Ustawienia'!$B$4="ZWOLNIONY",0,'01_Ustawienia'!$B$7)</x:f>
        <x:v>0.08</x:v>
      </x:c>
      <x:c r="N279" s="8" t="n">
        <x:f>IF(J279="","",ROUND((J279+K279)*(1+M279),0))</x:f>
        <x:v>2357</x:v>
      </x:c>
      <x:c r="O279" s="8" t="n">
        <x:f>IF(J279="","",J279+K279-H279-L279)</x:f>
        <x:v>730</x:v>
      </x:c>
      <x:c r="P279" s="7" t="n">
        <x:f>IFERROR(O279/(J279+K279),"")</x:f>
        <x:v>0.33455545371219064</x:v>
      </x:c>
      <x:c r="Q279" s="6" t="inlineStr">
        <x:is>
          <x:t xml:space="preserve">RAW_OP AB/AC</x:t>
        </x:is>
      </x:c>
      <x:c r="R279" s="6" t="inlineStr">
        <x:is>
          <x:t xml:space="preserve">FUNDAMENT (PROFILE)</x:t>
        </x:is>
      </x:c>
      <x:c r="S279" s="6" t="inlineStr">
        <x:is>
          <x:t xml:space="preserve">website+crm</x:t>
        </x:is>
      </x:c>
      <x:c r="T279" s="6" t="n"/>
    </x:row>
    <x:row r="280" s="655" customFormat="1" ht="30" customHeight="1">
      <x:c r="A280" s="6" t="inlineStr">
        <x:is>
          <x:t xml:space="preserve">350 x 706 cm</x:t>
        </x:is>
      </x:c>
      <x:c r="B280" s="6" t="inlineStr">
        <x:is>
          <x:t xml:space="preserve">ZAB</x:t>
        </x:is>
      </x:c>
      <x:c r="C280" s="6" t="inlineStr">
        <x:is>
          <x:t xml:space="preserve">Zabieraki do ścian przesuwnych</x:t>
        </x:is>
      </x:c>
      <x:c r="D280" s="6" t="inlineStr">
        <x:is>
          <x:t xml:space="preserve">DODATKI</x:t>
        </x:is>
      </x:c>
      <x:c r="E280" s="8" t="n">
        <x:f>IFERROR(INDEX('02_RAW_INDEX'!$AJ:$AJ,MATCH($A280,'02_RAW_INDEX'!$A:$A,0)),"")</x:f>
        <x:v>358</x:v>
      </x:c>
      <x:c r="F280" s="8" t="n">
        <x:f>IFERROR(INDEX('02_RAW_INDEX'!$AI:$AI,MATCH($A280,'02_RAW_INDEX'!$A:$A,0)),"")</x:f>
        <x:v>440</x:v>
      </x:c>
      <x:c r="G280" s="7" t="n">
        <x:f>'01_Ustawienia'!$B$6</x:f>
        <x:v>0</x:v>
      </x:c>
      <x:c r="H280" s="8" t="n">
        <x:f>IF(E280="","",ROUND(IF('01_Ustawienia'!$B$5="BRUTTO",F280,E280)*(1-G280),0))</x:f>
        <x:v>358</x:v>
      </x:c>
      <x:c r="I280" s="7" t="n">
        <x:f>IFERROR(IFERROR(INDEX('01_Ustawienia'!$B$15:$B$33,MATCH(B280,'01_Ustawienia'!$A$15:$A$33,0)),0.45),0.45)</x:f>
        <x:v>0.45</x:v>
      </x:c>
      <x:c r="J280" s="8" t="n">
        <x:f>IF(H280="","",ROUND(H280*(1+I280),0))</x:f>
        <x:v>519</x:v>
      </x:c>
      <x:c r="K280" s="8" t="n">
        <x:f>0</x:f>
        <x:v>0</x:v>
      </x:c>
      <x:c r="L280" s="8" t="n">
        <x:f>0</x:f>
        <x:v>0</x:v>
      </x:c>
      <x:c r="M280" s="7" t="n">
        <x:f>IF('01_Ustawienia'!$B$4="ZWOLNIONY",0,'01_Ustawienia'!$B$7)</x:f>
        <x:v>0.08</x:v>
      </x:c>
      <x:c r="N280" s="8" t="n">
        <x:f>IF(J280="","",ROUND((J280+K280)*(1+M280),0))</x:f>
        <x:v>561</x:v>
      </x:c>
      <x:c r="O280" s="8" t="n">
        <x:f>IF(J280="","",J280+K280-H280-L280)</x:f>
        <x:v>161</x:v>
      </x:c>
      <x:c r="P280" s="7" t="n">
        <x:f>IFERROR(O280/(J280+K280),"")</x:f>
        <x:v>0.31021194605009633</x:v>
      </x:c>
      <x:c r="Q280" s="6" t="inlineStr">
        <x:is>
          <x:t xml:space="preserve">RAW_OP AD/AE</x:t>
        </x:is>
      </x:c>
      <x:c r="R280" s="6" t="inlineStr">
        <x:is>
          <x:t xml:space="preserve">DODATKI</x:t>
        </x:is>
      </x:c>
      <x:c r="S280" s="6" t="inlineStr">
        <x:is>
          <x:t xml:space="preserve">crm_only</x:t>
        </x:is>
      </x:c>
      <x:c r="T280" s="6" t="n"/>
    </x:row>
    <x:row r="281">
      <x:c r="A281" s="6" t="inlineStr">
        <x:is>
          <x:t xml:space="preserve">350 x 706 cm</x:t>
        </x:is>
      </x:c>
      <x:c r="B281" s="6" t="inlineStr">
        <x:is>
          <x:t xml:space="preserve">S</x:t>
        </x:is>
      </x:c>
      <x:c r="C281" s="6" t="inlineStr">
        <x:is>
          <x:t xml:space="preserve">Szczotki przeciwkurzowe</x:t>
        </x:is>
      </x:c>
      <x:c r="D281" s="6" t="inlineStr">
        <x:is>
          <x:t xml:space="preserve">SZCZOTKI</x:t>
        </x:is>
      </x:c>
      <x:c r="E281" s="8" t="n">
        <x:f>IFERROR(INDEX('02_RAW_INDEX'!$AD:$AD,MATCH($A281,'02_RAW_INDEX'!$A:$A,0)),"")</x:f>
        <x:v>463</x:v>
      </x:c>
      <x:c r="F281" s="8" t="n">
        <x:f>IFERROR(INDEX('02_RAW_INDEX'!$AC:$AC,MATCH($A281,'02_RAW_INDEX'!$A:$A,0)),"")</x:f>
        <x:v>570</x:v>
      </x:c>
      <x:c r="G281" s="7" t="n">
        <x:f>'01_Ustawienia'!$B$6</x:f>
        <x:v>0</x:v>
      </x:c>
      <x:c r="H281" s="8" t="n">
        <x:f>IF(E281="","",ROUND(IF('01_Ustawienia'!$B$5="BRUTTO",F281,E281)*(1-G281),0))</x:f>
        <x:v>463</x:v>
      </x:c>
      <x:c r="I281" s="7" t="n">
        <x:f>IFERROR(IFERROR(INDEX('01_Ustawienia'!$B$15:$B$33,MATCH(B281,'01_Ustawienia'!$A$15:$A$33,0)),0.45),0.45)</x:f>
        <x:v>0.45</x:v>
      </x:c>
      <x:c r="J281" s="8" t="n">
        <x:f>IF(H281="","",ROUND(H281*(1+I281),0))</x:f>
        <x:v>671</x:v>
      </x:c>
      <x:c r="K281" s="8" t="n">
        <x:f>0</x:f>
        <x:v>0</x:v>
      </x:c>
      <x:c r="L281" s="8" t="n">
        <x:f>IFERROR(IFERROR(INDEX(EG_Cennik_uslug!$CA:$CA,MATCH($A281,EG_Cennik_uslug!$A:$A,0)),0),0)</x:f>
        <x:v>0</x:v>
      </x:c>
      <x:c r="M281" s="7" t="n">
        <x:f>IF('01_Ustawienia'!$B$4="ZWOLNIONY",0,'01_Ustawienia'!$B$7)</x:f>
        <x:v>0.08</x:v>
      </x:c>
      <x:c r="N281" s="8" t="n">
        <x:f>IF(J281="","",ROUND((J281+K281)*(1+M281),0))</x:f>
        <x:v>725</x:v>
      </x:c>
      <x:c r="O281" s="8" t="n">
        <x:f>IF(J281="","",J281+K281-H281-L281)</x:f>
        <x:v>208</x:v>
      </x:c>
      <x:c r="P281" s="7" t="n">
        <x:f>IFERROR(O281/(J281+K281),"")</x:f>
        <x:v>0.30998509687034276</x:v>
      </x:c>
      <x:c r="Q281" s="6" t="inlineStr">
        <x:is>
          <x:t xml:space="preserve">RAW_OP L/M</x:t>
        </x:is>
      </x:c>
      <x:c r="R281" s="6" t="inlineStr">
        <x:is>
          <x:t xml:space="preserve">DODATKI</x:t>
        </x:is>
      </x:c>
      <x:c r="S281" s="6" t="inlineStr">
        <x:is>
          <x:t xml:space="preserve">website+crm</x:t>
        </x:is>
      </x:c>
      <x:c r="T281" s="6" t="n"/>
    </x:row>
    <x:row r="282">
      <x:c r="A282" s="6" t="inlineStr">
        <x:is>
          <x:t xml:space="preserve">350 x 706 cm</x:t>
        </x:is>
      </x:c>
      <x:c r="B282" s="6" t="inlineStr">
        <x:is>
          <x:t xml:space="preserve">U</x:t>
        </x:is>
      </x:c>
      <x:c r="C282" s="6" t="inlineStr">
        <x:is>
          <x:t xml:space="preserve">Uchwyty na szkło ścienne</x:t>
        </x:is>
      </x:c>
      <x:c r="D282" s="6" t="inlineStr">
        <x:is>
          <x:t xml:space="preserve">UCHWYTY</x:t>
        </x:is>
      </x:c>
      <x:c r="E282" s="8" t="n">
        <x:f>IFERROR(INDEX('02_RAW_INDEX'!$AF:$AF,MATCH($A282,'02_RAW_INDEX'!$A:$A,0)),"")</x:f>
        <x:v>423</x:v>
      </x:c>
      <x:c r="F282" s="8" t="n">
        <x:f>IFERROR(INDEX('02_RAW_INDEX'!$AE:$AE,MATCH($A282,'02_RAW_INDEX'!$A:$A,0)),"")</x:f>
        <x:v>520</x:v>
      </x:c>
      <x:c r="G282" s="7" t="n">
        <x:f>'01_Ustawienia'!$B$6</x:f>
        <x:v>0</x:v>
      </x:c>
      <x:c r="H282" s="8" t="n">
        <x:f>IF(E282="","",ROUND(IF('01_Ustawienia'!$B$5="BRUTTO",F282,E282)*(1-G282),0))</x:f>
        <x:v>423</x:v>
      </x:c>
      <x:c r="I282" s="7" t="n">
        <x:f>IFERROR(IFERROR(INDEX('01_Ustawienia'!$B$15:$B$33,MATCH(B282,'01_Ustawienia'!$A$15:$A$33,0)),0.45),0.45)</x:f>
        <x:v>0.45</x:v>
      </x:c>
      <x:c r="J282" s="8" t="n">
        <x:f>IF(H282="","",ROUND(H282*(1+I282),0))</x:f>
        <x:v>613</x:v>
      </x:c>
      <x:c r="K282" s="8" t="n">
        <x:f>0</x:f>
        <x:v>0</x:v>
      </x:c>
      <x:c r="L282" s="8" t="n">
        <x:f>IFERROR(IFERROR(INDEX(EG_Cennik_uslug!$CH:$CH,MATCH($A282,EG_Cennik_uslug!$A:$A,0)),0),0)</x:f>
        <x:v>0</x:v>
      </x:c>
      <x:c r="M282" s="7" t="n">
        <x:f>IF('01_Ustawienia'!$B$4="ZWOLNIONY",0,'01_Ustawienia'!$B$7)</x:f>
        <x:v>0.08</x:v>
      </x:c>
      <x:c r="N282" s="8" t="n">
        <x:f>IF(J282="","",ROUND((J282+K282)*(1+M282),0))</x:f>
        <x:v>662</x:v>
      </x:c>
      <x:c r="O282" s="8" t="n">
        <x:f>IF(J282="","",J282+K282-H282-L282)</x:f>
        <x:v>190</x:v>
      </x:c>
      <x:c r="P282" s="7" t="n">
        <x:f>IFERROR(O282/(J282+K282),"")</x:f>
        <x:v>0.3099510603588907</x:v>
      </x:c>
      <x:c r="Q282" s="6" t="inlineStr">
        <x:is>
          <x:t xml:space="preserve">RAW_OP N/O</x:t>
        </x:is>
      </x:c>
      <x:c r="R282" s="6" t="inlineStr">
        <x:is>
          <x:t xml:space="preserve">DODATKI</x:t>
        </x:is>
      </x:c>
      <x:c r="S282" s="6" t="inlineStr">
        <x:is>
          <x:t xml:space="preserve">website+crm</x:t>
        </x:is>
      </x:c>
      <x:c r="T282" s="6" t="n"/>
    </x:row>
    <x:row r="283">
      <x:c r="A283" s="6" t="inlineStr">
        <x:is>
          <x:t xml:space="preserve">350 x 706 cm</x:t>
        </x:is>
      </x:c>
      <x:c r="B283" s="6" t="inlineStr">
        <x:is>
          <x:t xml:space="preserve">LED2</x:t>
        </x:is>
      </x:c>
      <x:c r="C283" s="6" t="inlineStr">
        <x:is>
          <x:t xml:space="preserve">Oświetlenie LED 2 punkty</x:t>
        </x:is>
      </x:c>
      <x:c r="D283" s="6" t="inlineStr">
        <x:is>
          <x:t xml:space="preserve">LED 2 PKT</x:t>
        </x:is>
      </x:c>
      <x:c r="E283" s="8" t="n">
        <x:f>IFERROR(INDEX('02_RAW_INDEX'!$N:$N,MATCH($A283,'02_RAW_INDEX'!$A:$A,0)),"")</x:f>
        <x:v>707</x:v>
      </x:c>
      <x:c r="F283" s="8" t="n">
        <x:f>IFERROR(INDEX('02_RAW_INDEX'!$M:$M,MATCH($A283,'02_RAW_INDEX'!$A:$A,0)),"")</x:f>
        <x:v>870</x:v>
      </x:c>
      <x:c r="G283" s="7" t="n">
        <x:f>'01_Ustawienia'!$B$6</x:f>
        <x:v>0</x:v>
      </x:c>
      <x:c r="H283" s="8" t="n">
        <x:f>IF(E283="","",ROUND(IF('01_Ustawienia'!$B$5="BRUTTO",F283,E283)*(1-G283),0))</x:f>
        <x:v>707</x:v>
      </x:c>
      <x:c r="I283" s="7" t="n">
        <x:f>IFERROR(IFERROR(INDEX('01_Ustawienia'!$B$15:$B$33,MATCH(B283,'01_Ustawienia'!$A$15:$A$33,0)),0.45),0.45)</x:f>
        <x:v>0.45</x:v>
      </x:c>
      <x:c r="J283" s="8" t="n">
        <x:f>IF(H283="","",ROUND(H283*(1+I283),0))</x:f>
        <x:v>1025</x:v>
      </x:c>
      <x:c r="K283" s="8" t="n">
        <x:f>0</x:f>
        <x:v>0</x:v>
      </x:c>
      <x:c r="L283" s="8" t="n">
        <x:f>IFERROR(IFERROR(INDEX(EG_Cennik_uslug!$CO:$CO,MATCH($A283,EG_Cennik_uslug!$A:$A,0)),0),0)</x:f>
        <x:v>0</x:v>
      </x:c>
      <x:c r="M283" s="7" t="n">
        <x:f>IF('01_Ustawienia'!$B$4="ZWOLNIONY",0,'01_Ustawienia'!$B$7)</x:f>
        <x:v>0.08</x:v>
      </x:c>
      <x:c r="N283" s="8" t="n">
        <x:f>IF(J283="","",ROUND((J283+K283)*(1+M283),0))</x:f>
        <x:v>1107</x:v>
      </x:c>
      <x:c r="O283" s="8" t="n">
        <x:f>IF(J283="","",J283+K283-H283-L283)</x:f>
        <x:v>318</x:v>
      </x:c>
      <x:c r="P283" s="7" t="n">
        <x:f>IFERROR(O283/(J283+K283),"")</x:f>
        <x:v>0.3102439024390244</x:v>
      </x:c>
      <x:c r="Q283" s="6" t="inlineStr">
        <x:is>
          <x:t xml:space="preserve">RAW_ZP P/Q</x:t>
        </x:is>
      </x:c>
      <x:c r="R283" s="6" t="inlineStr">
        <x:is>
          <x:t xml:space="preserve">OŚWIETLENIE</x:t>
        </x:is>
      </x:c>
      <x:c r="S283" s="6" t="inlineStr">
        <x:is>
          <x:t xml:space="preserve">website+crm</x:t>
        </x:is>
      </x:c>
      <x:c r="T283" s="6" t="n"/>
    </x:row>
    <x:row r="284">
      <x:c r="A284" s="6" t="inlineStr">
        <x:is>
          <x:t xml:space="preserve">350 x 706 cm</x:t>
        </x:is>
      </x:c>
      <x:c r="B284" s="6" t="inlineStr">
        <x:is>
          <x:t xml:space="preserve">LED3</x:t>
        </x:is>
      </x:c>
      <x:c r="C284" s="6" t="inlineStr">
        <x:is>
          <x:t xml:space="preserve">Oświetlenie LED 3 punkty</x:t>
        </x:is>
      </x:c>
      <x:c r="D284" s="6" t="inlineStr">
        <x:is>
          <x:t xml:space="preserve">LED 3 PKT</x:t>
        </x:is>
      </x:c>
      <x:c r="E284" s="8" t="n">
        <x:f>IFERROR(INDEX('02_RAW_INDEX'!$P:$P,MATCH($A284,'02_RAW_INDEX'!$A:$A,0)),"")</x:f>
        <x:v>984</x:v>
      </x:c>
      <x:c r="F284" s="8" t="n">
        <x:f>IFERROR(INDEX('02_RAW_INDEX'!$O:$O,MATCH($A284,'02_RAW_INDEX'!$A:$A,0)),"")</x:f>
        <x:v>1210</x:v>
      </x:c>
      <x:c r="G284" s="7" t="n">
        <x:f>'01_Ustawienia'!$B$6</x:f>
        <x:v>0</x:v>
      </x:c>
      <x:c r="H284" s="8" t="n">
        <x:f>IF(E284="","",ROUND(IF('01_Ustawienia'!$B$5="BRUTTO",F284,E284)*(1-G284),0))</x:f>
        <x:v>984</x:v>
      </x:c>
      <x:c r="I284" s="7" t="n">
        <x:f>IFERROR(IFERROR(INDEX('01_Ustawienia'!$B$15:$B$33,MATCH(B284,'01_Ustawienia'!$A$15:$A$33,0)),0.45),0.45)</x:f>
        <x:v>0.45</x:v>
      </x:c>
      <x:c r="J284" s="8" t="n">
        <x:f>IF(H284="","",ROUND(H284*(1+I284),0))</x:f>
        <x:v>1427</x:v>
      </x:c>
      <x:c r="K284" s="8" t="n">
        <x:f>0</x:f>
        <x:v>0</x:v>
      </x:c>
      <x:c r="L284" s="8" t="n">
        <x:f>IFERROR(IFERROR(INDEX(EG_Cennik_uslug!$CV:$CV,MATCH($A284,EG_Cennik_uslug!$A:$A,0)),0),0)</x:f>
        <x:v>0</x:v>
      </x:c>
      <x:c r="M284" s="7" t="n">
        <x:f>IF('01_Ustawienia'!$B$4="ZWOLNIONY",0,'01_Ustawienia'!$B$7)</x:f>
        <x:v>0.08</x:v>
      </x:c>
      <x:c r="N284" s="8" t="n">
        <x:f>IF(J284="","",ROUND((J284+K284)*(1+M284),0))</x:f>
        <x:v>1541</x:v>
      </x:c>
      <x:c r="O284" s="8" t="n">
        <x:f>IF(J284="","",J284+K284-H284-L284)</x:f>
        <x:v>443</x:v>
      </x:c>
      <x:c r="P284" s="7" t="n">
        <x:f>IFERROR(O284/(J284+K284),"")</x:f>
        <x:v>0.3104414856341976</x:v>
      </x:c>
      <x:c r="Q284" s="6" t="inlineStr">
        <x:is>
          <x:t xml:space="preserve">RAW_ZP R/S</x:t>
        </x:is>
      </x:c>
      <x:c r="R284" s="6" t="inlineStr">
        <x:is>
          <x:t xml:space="preserve">OŚWIETLENIE</x:t>
        </x:is>
      </x:c>
      <x:c r="S284" s="6" t="inlineStr">
        <x:is>
          <x:t xml:space="preserve">website+crm</x:t>
        </x:is>
      </x:c>
      <x:c r="T284" s="6" t="inlineStr">
        <x:is>
          <x:t xml:space="preserve">Nazwa do potwierdzenia</x:t>
        </x:is>
      </x:c>
    </x:row>
    <x:row r="285">
      <x:c r="A285" s="6" t="inlineStr">
        <x:is>
          <x:t xml:space="preserve">350 x 706 cm</x:t>
        </x:is>
      </x:c>
      <x:c r="B285" s="6" t="inlineStr">
        <x:is>
          <x:t xml:space="preserve">LEDCCT</x:t>
        </x:is>
      </x:c>
      <x:c r="C285" s="6" t="inlineStr">
        <x:is>
          <x:t xml:space="preserve">Oświetlenie LED CCT</x:t>
        </x:is>
      </x:c>
      <x:c r="D285" s="6" t="inlineStr">
        <x:is>
          <x:t xml:space="preserve">OŚWIETLENIE</x:t>
        </x:is>
      </x:c>
      <x:c r="E285" s="8" t="n">
        <x:f>IFERROR(INDEX('02_RAW_INDEX'!$R:$R,MATCH($A285,'02_RAW_INDEX'!$A:$A,0)),"")</x:f>
        <x:v>1450</x:v>
      </x:c>
      <x:c r="F285" s="8" t="n">
        <x:f>IFERROR(INDEX('02_RAW_INDEX'!$Q:$Q,MATCH($A285,'02_RAW_INDEX'!$A:$A,0)),"")</x:f>
        <x:v>1784</x:v>
      </x:c>
      <x:c r="G285" s="7" t="n">
        <x:f>'01_Ustawienia'!$B$6</x:f>
        <x:v>0</x:v>
      </x:c>
      <x:c r="H285" s="8" t="n">
        <x:f>IF(E285="","",ROUND(IF('01_Ustawienia'!$B$5="BRUTTO",F285,E285)*(1-G285),0))</x:f>
        <x:v>1450</x:v>
      </x:c>
      <x:c r="I285" s="7" t="n">
        <x:f>IFERROR(IFERROR(INDEX('01_Ustawienia'!$B$15:$B$33,MATCH(B285,'01_Ustawienia'!$A$15:$A$33,0)),0.45),0.45)</x:f>
        <x:v>0.45</x:v>
      </x:c>
      <x:c r="J285" s="8" t="n">
        <x:f>IF(H285="","",ROUND(H285*(1+I285),0))</x:f>
        <x:v>2103</x:v>
      </x:c>
      <x:c r="K285" s="8" t="n">
        <x:f>0</x:f>
        <x:v>0</x:v>
      </x:c>
      <x:c r="L285" s="8" t="n">
        <x:f>0</x:f>
        <x:v>0</x:v>
      </x:c>
      <x:c r="M285" s="7" t="n">
        <x:f>IF('01_Ustawienia'!$B$4="ZWOLNIONY",0,'01_Ustawienia'!$B$7)</x:f>
        <x:v>0.08</x:v>
      </x:c>
      <x:c r="N285" s="8" t="n">
        <x:f>IF(J285="","",ROUND((J285+K285)*(1+M285),0))</x:f>
        <x:v>2271</x:v>
      </x:c>
      <x:c r="O285" s="8" t="n">
        <x:f>IF(J285="","",J285+K285-H285-L285)</x:f>
        <x:v>653</x:v>
      </x:c>
      <x:c r="P285" s="7" t="n">
        <x:f>IFERROR(O285/(J285+K285),"")</x:f>
        <x:v>0.3105087969567285</x:v>
      </x:c>
      <x:c r="Q285" s="6" t="inlineStr">
        <x:is>
          <x:t xml:space="preserve">RAW_ZP T/U</x:t>
        </x:is>
      </x:c>
      <x:c r="R285" s="6" t="inlineStr">
        <x:is>
          <x:t xml:space="preserve">OŚWIETLENIE</x:t>
        </x:is>
      </x:c>
      <x:c r="S285" s="6" t="inlineStr">
        <x:is>
          <x:t xml:space="preserve">website+crm</x:t>
        </x:is>
      </x:c>
      <x:c r="T285" s="6" t="inlineStr">
        <x:is>
          <x:t xml:space="preserve">Opcja dodatkowa | FIX17: opcja LED dostępna dla strony; ceny 450-600 wg modelu FIX15.</x:t>
        </x:is>
      </x:c>
    </x:row>
    <x:row r="286">
      <x:c r="A286" s="6" t="inlineStr">
        <x:is>
          <x:t xml:space="preserve">350 x 706 cm</x:t>
        </x:is>
      </x:c>
      <x:c r="B286" s="6" t="inlineStr">
        <x:is>
          <x:t xml:space="preserve">LEDRGBCCT</x:t>
        </x:is>
      </x:c>
      <x:c r="C286" s="6" t="inlineStr">
        <x:is>
          <x:t xml:space="preserve">Oświetlenie LED RGB CCT</x:t>
        </x:is>
      </x:c>
      <x:c r="D286" s="6" t="inlineStr">
        <x:is>
          <x:t xml:space="preserve">OŚWIETLENIE</x:t>
        </x:is>
      </x:c>
      <x:c r="E286" s="8" t="n">
        <x:f>IFERROR(INDEX('02_RAW_INDEX'!$T:$T,MATCH($A286,'02_RAW_INDEX'!$A:$A,0)),"")</x:f>
        <x:v>2090</x:v>
      </x:c>
      <x:c r="F286" s="8" t="n">
        <x:f>IFERROR(INDEX('02_RAW_INDEX'!$S:$S,MATCH($A286,'02_RAW_INDEX'!$A:$A,0)),"")</x:f>
        <x:v>2571</x:v>
      </x:c>
      <x:c r="G286" s="7" t="n">
        <x:f>'01_Ustawienia'!$B$6</x:f>
        <x:v>0</x:v>
      </x:c>
      <x:c r="H286" s="8" t="n">
        <x:f>IF(E286="","",ROUND(IF('01_Ustawienia'!$B$5="BRUTTO",F286,E286)*(1-G286),0))</x:f>
        <x:v>2090</x:v>
      </x:c>
      <x:c r="I286" s="7" t="n">
        <x:f>IFERROR(IFERROR(INDEX('01_Ustawienia'!$B$15:$B$33,MATCH(B286,'01_Ustawienia'!$A$15:$A$33,0)),0.45),0.45)</x:f>
        <x:v>0.45</x:v>
      </x:c>
      <x:c r="J286" s="8" t="n">
        <x:f>IF(H286="","",ROUND(H286*(1+I286),0))</x:f>
        <x:v>3031</x:v>
      </x:c>
      <x:c r="K286" s="8" t="n">
        <x:f>0</x:f>
        <x:v>0</x:v>
      </x:c>
      <x:c r="L286" s="8" t="n">
        <x:f>0</x:f>
        <x:v>0</x:v>
      </x:c>
      <x:c r="M286" s="7" t="n">
        <x:f>IF('01_Ustawienia'!$B$4="ZWOLNIONY",0,'01_Ustawienia'!$B$7)</x:f>
        <x:v>0.08</x:v>
      </x:c>
      <x:c r="N286" s="8" t="n">
        <x:f>IF(J286="","",ROUND((J286+K286)*(1+M286),0))</x:f>
        <x:v>3273</x:v>
      </x:c>
      <x:c r="O286" s="8" t="n">
        <x:f>IF(J286="","",J286+K286-H286-L286)</x:f>
        <x:v>941</x:v>
      </x:c>
      <x:c r="P286" s="7" t="n">
        <x:f>IFERROR(O286/(J286+K286),"")</x:f>
        <x:v>0.31045859452325963</x:v>
      </x:c>
      <x:c r="Q286" s="6" t="inlineStr">
        <x:is>
          <x:t xml:space="preserve">RAW_ZP V/W</x:t>
        </x:is>
      </x:c>
      <x:c r="R286" s="6" t="inlineStr">
        <x:is>
          <x:t xml:space="preserve">OŚWIETLENIE</x:t>
        </x:is>
      </x:c>
      <x:c r="S286" s="6" t="inlineStr">
        <x:is>
          <x:t xml:space="preserve">crm_only</x:t>
        </x:is>
      </x:c>
      <x:c r="T286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287" s="655" customFormat="1" ht="30" customHeight="1">
      <x:c r="A287" s="6" t="inlineStr">
        <x:is>
          <x:t xml:space="preserve">350 x 806 cm</x:t>
        </x:is>
      </x:c>
      <x:c r="B287" s="6" t="inlineStr">
        <x:is>
          <x:t xml:space="preserve">ZP</x:t>
        </x:is>
      </x:c>
      <x:c r="C287" s="6" t="inlineStr">
        <x:is>
          <x:t xml:space="preserve">Zadaszenie poliwęglan - baza</x:t>
        </x:is>
      </x:c>
      <x:c r="D287" s="6" t="inlineStr">
        <x:is>
          <x:t xml:space="preserve">ZADASZENIE POLIWĘGLAN</x:t>
        </x:is>
      </x:c>
      <x:c r="E287" s="8" t="n">
        <x:f>IFERROR(INDEX('02_RAW_INDEX'!$D:$D,MATCH($A287,'02_RAW_INDEX'!$A:$A,0)),"")</x:f>
        <x:v>9268</x:v>
      </x:c>
      <x:c r="F287" s="8" t="n">
        <x:f>IFERROR(INDEX('02_RAW_INDEX'!$C:$C,MATCH($A287,'02_RAW_INDEX'!$A:$A,0)),"")</x:f>
        <x:v>11400</x:v>
      </x:c>
      <x:c r="G287" s="7" t="n">
        <x:f>'01_Ustawienia'!$B$6</x:f>
        <x:v>0</x:v>
      </x:c>
      <x:c r="H287" s="8" t="n">
        <x:f>IF(E287="","",ROUND(IF('01_Ustawienia'!$B$5="BRUTTO",F287,E287)*(1-G287),0))</x:f>
        <x:v>9268</x:v>
      </x:c>
      <x:c r="I287" s="7" t="n">
        <x:f>IFERROR(IFERROR(INDEX('01_Ustawienia'!$B$15:$B$33,MATCH(B287,'01_Ustawienia'!$A$15:$A$33,0)),0.45),0.45)</x:f>
        <x:v>0.45</x:v>
      </x:c>
      <x:c r="J287" s="8" t="n">
        <x:f>IF(H287="","",ROUND(H287*(1+I287),0))</x:f>
        <x:v>13439</x:v>
      </x:c>
      <x:c r="K287" s="8" t="n">
        <x:f>IFERROR(IFERROR(INDEX(EG_Cennik_uslug!$F:$F,MATCH($A287,EG_Cennik_uslug!$A:$A,0)),0),0)</x:f>
        <x:v>4040</x:v>
      </x:c>
      <x:c r="L287" s="8" t="n">
        <x:f>IFERROR(IFERROR(INDEX(EG_Cennik_uslug!$G:$G,MATCH($A287,EG_Cennik_uslug!$A:$A,0)),0),0)</x:f>
        <x:v>1430</x:v>
      </x:c>
      <x:c r="M287" s="7" t="n">
        <x:f>IF('01_Ustawienia'!$B$4="ZWOLNIONY",0,'01_Ustawienia'!$B$7)</x:f>
        <x:v>0.08</x:v>
      </x:c>
      <x:c r="N287" s="8" t="n">
        <x:f>IF(J287="","",ROUND((J287+K287)*(1+M287),0))</x:f>
        <x:v>18877</x:v>
      </x:c>
      <x:c r="O287" s="8" t="n">
        <x:f>IF(J287="","",J287+K287-H287-L287)</x:f>
        <x:v>6781</x:v>
      </x:c>
      <x:c r="P287" s="7" t="n">
        <x:f>IFERROR(O287/(J287+K287),"")</x:f>
        <x:v>0.3879512557926655</x:v>
      </x:c>
      <x:c r="Q287" s="6" t="inlineStr">
        <x:is>
          <x:t xml:space="preserve">RAW_ZP B/C</x:t>
        </x:is>
      </x:c>
      <x:c r="R287" s="6" t="inlineStr">
        <x:is>
          <x:t xml:space="preserve">ZADASZENIE TARASU KONSTRUKCJA</x:t>
        </x:is>
      </x:c>
      <x:c r="S287" s="6" t="inlineStr">
        <x:is>
          <x:t xml:space="preserve">website+crm</x:t>
        </x:is>
      </x:c>
      <x:c r="T287" s="6" t="inlineStr">
        <x:is>
          <x:t xml:space="preserve">Baza dla kalkulatora</x:t>
        </x:is>
      </x:c>
    </x:row>
    <x:row r="288" s="655" customFormat="1" ht="30" customHeight="1">
      <x:c r="A288" s="6" t="inlineStr">
        <x:is>
          <x:t xml:space="preserve">350 x 806 cm</x:t>
        </x:is>
      </x:c>
      <x:c r="B288" s="6" t="inlineStr">
        <x:is>
          <x:t xml:space="preserve">ZS</x:t>
        </x:is>
      </x:c>
      <x:c r="C288" s="6" t="inlineStr">
        <x:is>
          <x:t xml:space="preserve">Zadaszenie szkło - pełna konstrukcja</x:t>
        </x:is>
      </x:c>
      <x:c r="D288" s="6" t="inlineStr">
        <x:is>
          <x:t xml:space="preserve">ZADASZENIE SZKŁO</x:t>
        </x:is>
      </x:c>
      <x:c r="E288" s="8" t="n">
        <x:f>IFERROR(INDEX('02_RAW_INDEX'!$V:$V,MATCH($A288,'02_RAW_INDEX'!$A:$A,0)),"")</x:f>
        <x:v>14504</x:v>
      </x:c>
      <x:c r="F288" s="8" t="n">
        <x:f>IFERROR(INDEX('02_RAW_INDEX'!$U:$U,MATCH($A288,'02_RAW_INDEX'!$A:$A,0)),"")</x:f>
        <x:v>17840</x:v>
      </x:c>
      <x:c r="G288" s="7" t="n">
        <x:f>'01_Ustawienia'!$B$6</x:f>
        <x:v>0</x:v>
      </x:c>
      <x:c r="H288" s="8" t="n">
        <x:f>IF(E288="","",ROUND(IF('01_Ustawienia'!$B$5="BRUTTO",F288,E288)*(1-G288),0))</x:f>
        <x:v>14504</x:v>
      </x:c>
      <x:c r="I288" s="7" t="n">
        <x:f>IFERROR(IFERROR(INDEX('01_Ustawienia'!$B$15:$B$33,MATCH(B288,'01_Ustawienia'!$A$15:$A$33,0)),0.45),0.45)</x:f>
        <x:v>0.45</x:v>
      </x:c>
      <x:c r="J288" s="8" t="n">
        <x:f>IF(H288="","",ROUND(H288*(1+I288),0))</x:f>
        <x:v>21031</x:v>
      </x:c>
      <x:c r="K288" s="8" t="n">
        <x:f>IFERROR(IFERROR(INDEX(EG_Cennik_uslug!$F:$F,MATCH($A288,EG_Cennik_uslug!$A:$A,0)),0),0)</x:f>
        <x:v>4040</x:v>
      </x:c>
      <x:c r="L288" s="8" t="n">
        <x:f>IFERROR(IFERROR(INDEX(EG_Cennik_uslug!$G:$G,MATCH($A288,EG_Cennik_uslug!$A:$A,0)),0),0)</x:f>
        <x:v>1430</x:v>
      </x:c>
      <x:c r="M288" s="7" t="n">
        <x:f>IF('01_Ustawienia'!$B$4="ZWOLNIONY",0,'01_Ustawienia'!$B$7)</x:f>
        <x:v>0.08</x:v>
      </x:c>
      <x:c r="N288" s="8" t="n">
        <x:f>IF(J288="","",ROUND((J288+K288)*(1+M288),0))</x:f>
        <x:v>27077</x:v>
      </x:c>
      <x:c r="O288" s="8" t="n">
        <x:f>IF(J288="","",J288+K288-H288-L288)</x:f>
        <x:v>9137</x:v>
      </x:c>
      <x:c r="P288" s="7" t="n">
        <x:f>IFERROR(O288/(J288+K288),"")</x:f>
        <x:v>0.3644449762674006</x:v>
      </x:c>
      <x:c r="Q288" s="6" t="inlineStr">
        <x:is>
          <x:t xml:space="preserve">RAW_ZS B/C</x:t>
        </x:is>
      </x:c>
      <x:c r="R288" s="6" t="inlineStr">
        <x:is>
          <x:t xml:space="preserve">ZADASZENIE TARASU KONSTRUKCJA</x:t>
        </x:is>
      </x:c>
      <x:c r="S288" s="6" t="inlineStr">
        <x:is>
          <x:t xml:space="preserve">crm_only</x:t>
        </x:is>
      </x:c>
      <x:c r="T288" s="6" t="inlineStr">
        <x:is>
          <x:t xml:space="preserve">Referencyjne/full; strona zwykle używa ZP + PDS</x:t>
        </x:is>
      </x:c>
    </x:row>
    <x:row r="289" s="655" customFormat="1" ht="30" customHeight="1">
      <x:c r="A289" s="6" t="inlineStr">
        <x:is>
          <x:t xml:space="preserve">350 x 806 cm</x:t>
        </x:is>
      </x:c>
      <x:c r="B289" s="6" t="inlineStr">
        <x:is>
          <x:t xml:space="preserve">OP</x:t>
        </x:is>
      </x:c>
      <x:c r="C289" s="6" t="inlineStr">
        <x:is>
          <x:t xml:space="preserve">Ogród zimowy poliwęglan - baza</x:t>
        </x:is>
      </x:c>
      <x:c r="D289" s="6" t="inlineStr">
        <x:is>
          <x:t xml:space="preserve">OGRODY POLIWĘGLAN</x:t>
        </x:is>
      </x:c>
      <x:c r="E289" s="8" t="n">
        <x:f>IFERROR(INDEX('02_RAW_INDEX'!$Z:$Z,MATCH($A289,'02_RAW_INDEX'!$A:$A,0)),"")</x:f>
        <x:v>22626</x:v>
      </x:c>
      <x:c r="F289" s="8" t="n">
        <x:f>IFERROR(INDEX('02_RAW_INDEX'!$Y:$Y,MATCH($A289,'02_RAW_INDEX'!$A:$A,0)),"")</x:f>
        <x:v>27830</x:v>
      </x:c>
      <x:c r="G289" s="7" t="n">
        <x:f>'01_Ustawienia'!$B$6</x:f>
        <x:v>0</x:v>
      </x:c>
      <x:c r="H289" s="8" t="n">
        <x:f>IF(E289="","",ROUND(IF('01_Ustawienia'!$B$5="BRUTTO",F289,E289)*(1-G289),0))</x:f>
        <x:v>22626</x:v>
      </x:c>
      <x:c r="I289" s="7" t="n">
        <x:f>IFERROR(IFERROR(INDEX('01_Ustawienia'!$B$15:$B$33,MATCH(B289,'01_Ustawienia'!$A$15:$A$33,0)),0.45),0.45)</x:f>
        <x:v>0.45</x:v>
      </x:c>
      <x:c r="J289" s="8" t="n">
        <x:f>IF(H289="","",ROUND(H289*(1+I289),0))</x:f>
        <x:v>32808</x:v>
      </x:c>
      <x:c r="K289" s="8" t="n">
        <x:f>IFERROR(IFERROR(INDEX(EG_Cennik_uslug!$N:$N,MATCH($A289,EG_Cennik_uslug!$A:$A,0)),0),0)</x:f>
        <x:v>5400</x:v>
      </x:c>
      <x:c r="L289" s="8" t="n">
        <x:f>IFERROR(IFERROR(INDEX(EG_Cennik_uslug!$O:$O,MATCH($A289,EG_Cennik_uslug!$A:$A,0)),0),0)</x:f>
        <x:v>2000</x:v>
      </x:c>
      <x:c r="M289" s="7" t="n">
        <x:f>IF('01_Ustawienia'!$B$4="ZWOLNIONY",0,'01_Ustawienia'!$B$7)</x:f>
        <x:v>0.08</x:v>
      </x:c>
      <x:c r="N289" s="8" t="n">
        <x:f>IF(J289="","",ROUND((J289+K289)*(1+M289),0))</x:f>
        <x:v>41265</x:v>
      </x:c>
      <x:c r="O289" s="8" t="n">
        <x:f>IF(J289="","",J289+K289-H289-L289)</x:f>
        <x:v>13582</x:v>
      </x:c>
      <x:c r="P289" s="7" t="n">
        <x:f>IFERROR(O289/(J289+K289),"")</x:f>
        <x:v>0.3554752931323283</x:v>
      </x:c>
      <x:c r="Q289" s="6" t="inlineStr">
        <x:is>
          <x:t xml:space="preserve">RAW_OP B/C</x:t>
        </x:is>
      </x:c>
      <x:c r="R289" s="6" t="inlineStr">
        <x:is>
          <x:t xml:space="preserve">OGRÓD ZIMOWY (KONSTRUKCJA)</x:t>
        </x:is>
      </x:c>
      <x:c r="S289" s="6" t="inlineStr">
        <x:is>
          <x:t xml:space="preserve">website+crm</x:t>
        </x:is>
      </x:c>
      <x:c r="T289" s="6" t="inlineStr">
        <x:is>
          <x:t xml:space="preserve">Do wyliczenia dopłaty za ściany</x:t>
        </x:is>
      </x:c>
    </x:row>
    <x:row r="290" s="655" customFormat="1" ht="30" customHeight="1">
      <x:c r="A290" s="6" t="inlineStr">
        <x:is>
          <x:t xml:space="preserve">350 x 806 cm</x:t>
        </x:is>
      </x:c>
      <x:c r="B290" s="6" t="inlineStr">
        <x:is>
          <x:t xml:space="preserve">OS</x:t>
        </x:is>
      </x:c>
      <x:c r="C290" s="6" t="inlineStr">
        <x:is>
          <x:t xml:space="preserve">Ogród zimowy szkło - pełna konstrukcja</x:t>
        </x:is>
      </x:c>
      <x:c r="D290" s="6" t="inlineStr">
        <x:is>
          <x:t xml:space="preserve">OGRODY SZKŁO</x:t>
        </x:is>
      </x:c>
      <x:c r="E290" s="8" t="n">
        <x:f>IFERROR(INDEX('02_RAW_INDEX'!$AL:$AL,MATCH($A290,'02_RAW_INDEX'!$A:$A,0)),"")</x:f>
        <x:v>27862</x:v>
      </x:c>
      <x:c r="F290" s="8" t="n">
        <x:f>IFERROR(INDEX('02_RAW_INDEX'!$AK:$AK,MATCH($A290,'02_RAW_INDEX'!$A:$A,0)),"")</x:f>
        <x:v>34270</x:v>
      </x:c>
      <x:c r="G290" s="7" t="n">
        <x:f>'01_Ustawienia'!$B$6</x:f>
        <x:v>0</x:v>
      </x:c>
      <x:c r="H290" s="8" t="n">
        <x:f>IF(E290="","",ROUND(IF('01_Ustawienia'!$B$5="BRUTTO",F290,E290)*(1-G290),0))</x:f>
        <x:v>27862</x:v>
      </x:c>
      <x:c r="I290" s="7" t="n">
        <x:f>IFERROR(IFERROR(INDEX('01_Ustawienia'!$B$15:$B$33,MATCH(B290,'01_Ustawienia'!$A$15:$A$33,0)),0.45),0.45)</x:f>
        <x:v>0.45</x:v>
      </x:c>
      <x:c r="J290" s="8" t="n">
        <x:f>IF(H290="","",ROUND(H290*(1+I290),0))</x:f>
        <x:v>40400</x:v>
      </x:c>
      <x:c r="K290" s="8" t="n">
        <x:f>IFERROR(IFERROR(INDEX(EG_Cennik_uslug!$N:$N,MATCH($A290,EG_Cennik_uslug!$A:$A,0)),0),0)</x:f>
        <x:v>5400</x:v>
      </x:c>
      <x:c r="L290" s="8" t="n">
        <x:f>IFERROR(IFERROR(INDEX(EG_Cennik_uslug!$O:$O,MATCH($A290,EG_Cennik_uslug!$A:$A,0)),0),0)</x:f>
        <x:v>2000</x:v>
      </x:c>
      <x:c r="M290" s="7" t="n">
        <x:f>IF('01_Ustawienia'!$B$4="ZWOLNIONY",0,'01_Ustawienia'!$B$7)</x:f>
        <x:v>0.08</x:v>
      </x:c>
      <x:c r="N290" s="8" t="n">
        <x:f>IF(J290="","",ROUND((J290+K290)*(1+M290),0))</x:f>
        <x:v>49464</x:v>
      </x:c>
      <x:c r="O290" s="8" t="n">
        <x:f>IF(J290="","",J290+K290-H290-L290)</x:f>
        <x:v>15938</x:v>
      </x:c>
      <x:c r="P290" s="7" t="n">
        <x:f>IFERROR(O290/(J290+K290),"")</x:f>
        <x:v>0.34799126637554584</x:v>
      </x:c>
      <x:c r="Q290" s="6" t="inlineStr">
        <x:is>
          <x:t xml:space="preserve">RAW_OS B/C</x:t>
        </x:is>
      </x:c>
      <x:c r="R290" s="6" t="inlineStr">
        <x:is>
          <x:t xml:space="preserve">OGRÓD ZIMOWY (KONSTRUKCJA)</x:t>
        </x:is>
      </x:c>
      <x:c r="S290" s="6" t="inlineStr">
        <x:is>
          <x:t xml:space="preserve">crm_only</x:t>
        </x:is>
      </x:c>
      <x:c r="T290" s="6" t="inlineStr">
        <x:is>
          <x:t xml:space="preserve">Referencyjne/full</x:t>
        </x:is>
      </x:c>
    </x:row>
    <x:row r="291" s="655" customFormat="1" ht="30" customHeight="1">
      <x:c r="A291" s="6" t="inlineStr">
        <x:is>
          <x:t xml:space="preserve">350 x 806 cm</x:t>
        </x:is>
      </x:c>
      <x:c r="B291" s="6" t="inlineStr">
        <x:is>
          <x:t xml:space="preserve">PDS</x:t>
        </x:is>
      </x:c>
      <x:c r="C291" s="6" t="inlineStr">
        <x:is>
          <x:t xml:space="preserve">Dopłata dach szkło przezroczyste</x:t>
        </x:is>
      </x:c>
      <x:c r="D291" s="6" t="inlineStr">
        <x:is>
          <x:t xml:space="preserve">POKRYCIE DACHU SZKŁO</x:t>
        </x:is>
      </x:c>
      <x:c r="E291" s="8" t="n">
        <x:f>IFERROR(IFERROR(INDEX('02_RAW_INDEX'!$V:$V,MATCH($A291,'02_RAW_INDEX'!$A:$A,0)),"")-IFERROR(INDEX('02_RAW_INDEX'!$D:$D,MATCH($A291,'02_RAW_INDEX'!$A:$A,0)),""),"")</x:f>
        <x:v>5236</x:v>
      </x:c>
      <x:c r="F291" s="8" t="n">
        <x:f>IFERROR(IFERROR(INDEX('02_RAW_INDEX'!$U:$U,MATCH($A291,'02_RAW_INDEX'!$A:$A,0)),"")-IFERROR(INDEX('02_RAW_INDEX'!$C:$C,MATCH($A291,'02_RAW_INDEX'!$A:$A,0)),""),"")</x:f>
        <x:v>6440</x:v>
      </x:c>
      <x:c r="G291" s="7" t="n">
        <x:f>'01_Ustawienia'!$B$6</x:f>
        <x:v>0</x:v>
      </x:c>
      <x:c r="H291" s="8" t="n">
        <x:f>IF(E291="","",ROUND(IF('01_Ustawienia'!$B$5="BRUTTO",F291,E291)*(1-G291),0))</x:f>
        <x:v>5236</x:v>
      </x:c>
      <x:c r="I291" s="7" t="n">
        <x:f>IFERROR(IFERROR(INDEX('01_Ustawienia'!$B$15:$B$33,MATCH(B291,'01_Ustawienia'!$A$15:$A$33,0)),0.45),0.45)</x:f>
        <x:v>0.45</x:v>
      </x:c>
      <x:c r="J291" s="8" t="n">
        <x:f>IF(H291="","",ROUND(H291*(1+I291),0))</x:f>
        <x:v>7592</x:v>
      </x:c>
      <x:c r="K291" s="8" t="n">
        <x:f>0</x:f>
        <x:v>0</x:v>
      </x:c>
      <x:c r="L291" s="8" t="n">
        <x:v>0</x:v>
      </x:c>
      <x:c r="M291" s="7" t="n">
        <x:f>IF('01_Ustawienia'!$B$4="ZWOLNIONY",0,'01_Ustawienia'!$B$7)</x:f>
        <x:v>0.08</x:v>
      </x:c>
      <x:c r="N291" s="8" t="n">
        <x:f>IF(J291="","",ROUND((J291+K291)*(1+M291),0))</x:f>
        <x:v>8199</x:v>
      </x:c>
      <x:c r="O291" s="8" t="n">
        <x:f>IF(J291="","",J291+K291-H291-L291)</x:f>
        <x:v>2356</x:v>
      </x:c>
      <x:c r="P291" s="7" t="n">
        <x:f>IFERROR(O291/(J291+K291),"")</x:f>
        <x:v>0.3103266596417281</x:v>
      </x:c>
      <x:c r="Q291" s="6" t="inlineStr">
        <x:is>
          <x:t xml:space="preserve">RAW_ZS - RAW_ZP</x:t>
        </x:is>
      </x:c>
      <x:c r="R291" s="6" t="inlineStr">
        <x:is>
          <x:t xml:space="preserve">POKRYCIE DACHU</x:t>
        </x:is>
      </x:c>
      <x:c r="S291" s="6" t="inlineStr">
        <x:is>
          <x:t xml:space="preserve">website+crm</x:t>
        </x:is>
      </x:c>
      <x:c r="T291" s="6" t="inlineStr">
        <x:is>
          <x:t xml:space="preserve">Dopłata do bazowego dachu poliwęglan | FIX17: Wynagr.+koszty = 0 dla dopłaty; nie jest osobnym montażem ekipy.</x:t>
        </x:is>
      </x:c>
    </x:row>
    <x:row r="292" s="655" customFormat="1" ht="30" customHeight="1">
      <x:c r="A292" s="6" t="inlineStr">
        <x:is>
          <x:t xml:space="preserve">350 x 806 cm</x:t>
        </x:is>
      </x:c>
      <x:c r="B292" s="6" t="inlineStr">
        <x:is>
          <x:t xml:space="preserve">PDSB</x:t>
        </x:is>
      </x:c>
      <x:c r="C292" s="6" t="inlineStr">
        <x:is>
          <x:t xml:space="preserve">Dopłata dach szkło barwione/mleczne</x:t>
        </x:is>
      </x:c>
      <x:c r="D292" s="6" t="inlineStr">
        <x:is>
          <x:t xml:space="preserve">POKRYCIE DACHU SZKŁO BARWIONE</x:t>
        </x:is>
      </x:c>
      <x:c r="E292" s="8" t="n">
        <x:f>IFERROR(INDEX('02_RAW_INDEX'!$X:$X,MATCH($A292,'02_RAW_INDEX'!$A:$A,0)),"")</x:f>
        <x:v>740</x:v>
      </x:c>
      <x:c r="F292" s="8" t="n">
        <x:f>IFERROR(INDEX('02_RAW_INDEX'!$W:$W,MATCH($A292,'02_RAW_INDEX'!$A:$A,0)),"")</x:f>
        <x:v>910</x:v>
      </x:c>
      <x:c r="G292" s="7" t="n">
        <x:f>'01_Ustawienia'!$B$6</x:f>
        <x:v>0</x:v>
      </x:c>
      <x:c r="H292" s="8" t="n">
        <x:f>IF(E292="","",ROUND(IF('01_Ustawienia'!$B$5="BRUTTO",F292,E292)*(1-G292),0))</x:f>
        <x:v>740</x:v>
      </x:c>
      <x:c r="I292" s="7" t="n">
        <x:f>IFERROR(IFERROR(INDEX('01_Ustawienia'!$B$15:$B$33,MATCH(B292,'01_Ustawienia'!$A$15:$A$33,0)),0.45),0.45)</x:f>
        <x:v>0.45</x:v>
      </x:c>
      <x:c r="J292" s="8" t="n">
        <x:f>IF(H292="","",ROUND(H292*(1+I292),0))</x:f>
        <x:v>1073</x:v>
      </x:c>
      <x:c r="K292" s="8" t="n">
        <x:f>0</x:f>
        <x:v>0</x:v>
      </x:c>
      <x:c r="L292" s="8" t="n">
        <x:v>0</x:v>
      </x:c>
      <x:c r="M292" s="7" t="n">
        <x:f>IF('01_Ustawienia'!$B$4="ZWOLNIONY",0,'01_Ustawienia'!$B$7)</x:f>
        <x:v>0.08</x:v>
      </x:c>
      <x:c r="N292" s="8" t="n">
        <x:f>IF(J292="","",ROUND((J292+K292)*(1+M292),0))</x:f>
        <x:v>1159</x:v>
      </x:c>
      <x:c r="O292" s="8" t="n">
        <x:f>IF(J292="","",J292+K292-H292-L292)</x:f>
        <x:v>333</x:v>
      </x:c>
      <x:c r="P292" s="7" t="n">
        <x:f>IFERROR(O292/(J292+K292),"")</x:f>
        <x:v>0.3103448275862069</x:v>
      </x:c>
      <x:c r="Q292" s="6" t="inlineStr">
        <x:is>
          <x:t xml:space="preserve">RAW_ZS D/E</x:t>
        </x:is>
      </x:c>
      <x:c r="R292" s="6" t="inlineStr">
        <x:is>
          <x:t xml:space="preserve">POKRYCIE DACHU</x:t>
        </x:is>
      </x:c>
      <x:c r="S292" s="6" t="inlineStr">
        <x:is>
          <x:t xml:space="preserve">website+crm</x:t>
        </x:is>
      </x:c>
      <x:c r="T292" s="6" t="inlineStr">
        <x:is>
          <x:t xml:space="preserve">Dodawane do PDS | FIX17: Wynagr.+koszty = 0 dla dopłaty; nie jest osobnym montażem ekipy.</x:t>
        </x:is>
      </x:c>
    </x:row>
    <x:row r="293" s="655" customFormat="1" ht="30" customHeight="1">
      <x:c r="A293" s="6" t="inlineStr">
        <x:is>
          <x:t xml:space="preserve">350 x 806 cm</x:t>
        </x:is>
      </x:c>
      <x:c r="B293" s="6" t="inlineStr">
        <x:is>
          <x:t xml:space="preserve">PDPB</x:t>
        </x:is>
      </x:c>
      <x:c r="C293" s="6" t="inlineStr">
        <x:is>
          <x:t xml:space="preserve">Dopłata poliwęglan barwiony</x:t>
        </x:is>
      </x:c>
      <x:c r="D293" s="6" t="inlineStr">
        <x:is>
          <x:t xml:space="preserve">POKRYCIE DACHU POLIWĘGLAN BARWIONY</x:t>
        </x:is>
      </x:c>
      <x:c r="E293" s="8" t="n">
        <x:f>IFERROR(INDEX('02_RAW_INDEX'!$F:$F,MATCH($A293,'02_RAW_INDEX'!$A:$A,0)),"")</x:f>
        <x:v>325</x:v>
      </x:c>
      <x:c r="F293" s="8" t="n">
        <x:f>IFERROR(INDEX('02_RAW_INDEX'!$E:$E,MATCH($A293,'02_RAW_INDEX'!$A:$A,0)),"")</x:f>
        <x:v>400</x:v>
      </x:c>
      <x:c r="G293" s="7" t="n">
        <x:f>'01_Ustawienia'!$B$6</x:f>
        <x:v>0</x:v>
      </x:c>
      <x:c r="H293" s="8" t="n">
        <x:f>IF(E293="","",ROUND(IF('01_Ustawienia'!$B$5="BRUTTO",F293,E293)*(1-G293),0))</x:f>
        <x:v>325</x:v>
      </x:c>
      <x:c r="I293" s="7" t="n">
        <x:f>IFERROR(IFERROR(INDEX('01_Ustawienia'!$B$15:$B$33,MATCH(B293,'01_Ustawienia'!$A$15:$A$33,0)),0.45),0.45)</x:f>
        <x:v>0.45</x:v>
      </x:c>
      <x:c r="J293" s="8" t="n">
        <x:f>IF(H293="","",ROUND(H293*(1+I293),0))</x:f>
        <x:v>471</x:v>
      </x:c>
      <x:c r="K293" s="8" t="n">
        <x:f>0</x:f>
        <x:v>0</x:v>
      </x:c>
      <x:c r="L293" s="8" t="n">
        <x:v>0</x:v>
      </x:c>
      <x:c r="M293" s="7" t="n">
        <x:f>IF('01_Ustawienia'!$B$4="ZWOLNIONY",0,'01_Ustawienia'!$B$7)</x:f>
        <x:v>0.08</x:v>
      </x:c>
      <x:c r="N293" s="8" t="n">
        <x:f>IF(J293="","",ROUND((J293+K293)*(1+M293),0))</x:f>
        <x:v>509</x:v>
      </x:c>
      <x:c r="O293" s="8" t="n">
        <x:f>IF(J293="","",J293+K293-H293-L293)</x:f>
        <x:v>146</x:v>
      </x:c>
      <x:c r="P293" s="7" t="n">
        <x:f>IFERROR(O293/(J293+K293),"")</x:f>
        <x:v>0.3099787685774947</x:v>
      </x:c>
      <x:c r="Q293" s="6" t="inlineStr">
        <x:is>
          <x:t xml:space="preserve">RAW_ZP D/E</x:t>
        </x:is>
      </x:c>
      <x:c r="R293" s="6" t="inlineStr">
        <x:is>
          <x:t xml:space="preserve">POKRYCIE DACHU</x:t>
        </x:is>
      </x:c>
      <x:c r="S293" s="6" t="inlineStr">
        <x:is>
          <x:t xml:space="preserve">website+crm</x:t>
        </x:is>
      </x:c>
      <x:c r="T293" s="6" t="inlineStr">
        <x:is>
          <x:t xml:space="preserve">FIX17: Wynagr.+koszty = 0 dla dopłaty; nie jest osobnym montażem ekipy.</x:t>
        </x:is>
      </x:c>
    </x:row>
    <x:row r="294" s="655" customFormat="1" ht="30" customHeight="1">
      <x:c r="A294" s="6" t="inlineStr">
        <x:is>
          <x:t xml:space="preserve">350 x 806 cm</x:t>
        </x:is>
      </x:c>
      <x:c r="B294" s="6" t="inlineStr">
        <x:is>
          <x:t xml:space="preserve">SBB</x:t>
        </x:is>
      </x:c>
      <x:c r="C294" s="6" t="inlineStr">
        <x:is>
          <x:t xml:space="preserve">Dopłata szkło boczne przyciemniane</x:t>
        </x:is>
      </x:c>
      <x:c r="D294" s="6" t="inlineStr">
        <x:is>
          <x:t xml:space="preserve">SZKŁO BOCZNE BARWIONE</x:t>
        </x:is>
      </x:c>
      <x:c r="E294" s="8" t="n">
        <x:f>IFERROR(INDEX('02_RAW_INDEX'!$AB:$AB,MATCH($A294,'02_RAW_INDEX'!$A:$A,0)),"")</x:f>
        <x:v>1561</x:v>
      </x:c>
      <x:c r="F294" s="8" t="n">
        <x:f>IFERROR(INDEX('02_RAW_INDEX'!$AA:$AA,MATCH($A294,'02_RAW_INDEX'!$A:$A,0)),"")</x:f>
        <x:v>1920</x:v>
      </x:c>
      <x:c r="G294" s="7" t="n">
        <x:f>'01_Ustawienia'!$B$6</x:f>
        <x:v>0</x:v>
      </x:c>
      <x:c r="H294" s="8" t="n">
        <x:f>IF(E294="","",ROUND(IF('01_Ustawienia'!$B$5="BRUTTO",F294,E294)*(1-G294),0))</x:f>
        <x:v>1561</x:v>
      </x:c>
      <x:c r="I294" s="7" t="n">
        <x:f>IFERROR(IFERROR(INDEX('01_Ustawienia'!$B$15:$B$33,MATCH(B294,'01_Ustawienia'!$A$15:$A$33,0)),0.45),0.45)</x:f>
        <x:v>0.45</x:v>
      </x:c>
      <x:c r="J294" s="8" t="n">
        <x:f>IF(H294="","",ROUND(H294*(1+I294),0))</x:f>
        <x:v>2263</x:v>
      </x:c>
      <x:c r="K294" s="8" t="n">
        <x:f>0</x:f>
        <x:v>0</x:v>
      </x:c>
      <x:c r="L294" s="8" t="n">
        <x:v>0</x:v>
      </x:c>
      <x:c r="M294" s="7" t="n">
        <x:f>IF('01_Ustawienia'!$B$4="ZWOLNIONY",0,'01_Ustawienia'!$B$7)</x:f>
        <x:v>0.08</x:v>
      </x:c>
      <x:c r="N294" s="8" t="n">
        <x:f>IF(J294="","",ROUND((J294+K294)*(1+M294),0))</x:f>
        <x:v>2444</x:v>
      </x:c>
      <x:c r="O294" s="8" t="n">
        <x:f>IF(J294="","",J294+K294-H294-L294)</x:f>
        <x:v>702</x:v>
      </x:c>
      <x:c r="P294" s="7" t="n">
        <x:f>IFERROR(O294/(J294+K294),"")</x:f>
        <x:v>0.3102076889085285</x:v>
      </x:c>
      <x:c r="Q294" s="6" t="inlineStr">
        <x:is>
          <x:t xml:space="preserve">RAW_OP H/I</x:t>
        </x:is>
      </x:c>
      <x:c r="R294" s="6" t="inlineStr">
        <x:is>
          <x:t xml:space="preserve">SZYBY BOCZNE</x:t>
        </x:is>
      </x:c>
      <x:c r="S294" s="6" t="inlineStr">
        <x:is>
          <x:t xml:space="preserve">website+crm</x:t>
        </x:is>
      </x:c>
      <x:c r="T294" s="6" t="inlineStr">
        <x:is>
          <x:t xml:space="preserve">Dodawane do ścian przezroczystych | FIX17: Wynagr.+koszty = 0 dla dopłaty; nie jest osobnym montażem ekipy.</x:t>
        </x:is>
      </x:c>
    </x:row>
    <x:row r="295">
      <x:c r="A295" s="6" t="inlineStr">
        <x:is>
          <x:t xml:space="preserve">350 x 806 cm</x:t>
        </x:is>
      </x:c>
      <x:c r="B295" s="6" t="inlineStr">
        <x:is>
          <x:t xml:space="preserve">RB</x:t>
        </x:is>
      </x:c>
      <x:c r="C295" s="6" t="inlineStr">
        <x:is>
          <x:t xml:space="preserve">Roleta boczna ZIP</x:t>
        </x:is>
      </x:c>
      <x:c r="D295" s="6" t="inlineStr">
        <x:is>
          <x:t xml:space="preserve">ROLETA BOCZNA</x:t>
        </x:is>
      </x:c>
      <x:c r="E295" s="8" t="n">
        <x:f>IFERROR(INDEX('02_RAW_INDEX'!$J:$J,MATCH($A295,'02_RAW_INDEX'!$A:$A,0)),"")</x:f>
        <x:v>1902</x:v>
      </x:c>
      <x:c r="F295" s="8" t="n">
        <x:f>IFERROR(INDEX('02_RAW_INDEX'!$I:$I,MATCH($A295,'02_RAW_INDEX'!$A:$A,0)),"")</x:f>
        <x:v>2340</x:v>
      </x:c>
      <x:c r="G295" s="7" t="n">
        <x:f>'01_Ustawienia'!$B$6</x:f>
        <x:v>0</x:v>
      </x:c>
      <x:c r="H295" s="8" t="n">
        <x:f>IF(E295="","",ROUND(IF('01_Ustawienia'!$B$5="BRUTTO",F295,E295)*(1-G295),0))</x:f>
        <x:v>1902</x:v>
      </x:c>
      <x:c r="I295" s="7" t="n">
        <x:f>IFERROR(IFERROR(INDEX('01_Ustawienia'!$B$15:$B$33,MATCH(B295,'01_Ustawienia'!$A$15:$A$33,0)),0.45),0.45)</x:f>
        <x:v>0.45</x:v>
      </x:c>
      <x:c r="J295" s="8" t="n">
        <x:f>IF(H295="","",ROUND(H295*(1+I295),0))</x:f>
        <x:v>2758</x:v>
      </x:c>
      <x:c r="K295" s="8" t="n">
        <x:f>0</x:f>
        <x:v>0</x:v>
      </x:c>
      <x:c r="L295" s="8" t="n">
        <x:f>IFERROR(IFERROR(INDEX(EG_Cennik_uslug!$AC:$AC,MATCH($A295,EG_Cennik_uslug!$A:$A,0)),0),0)</x:f>
        <x:v>150</x:v>
      </x:c>
      <x:c r="M295" s="7" t="n">
        <x:f>IF('01_Ustawienia'!$B$4="ZWOLNIONY",0,'01_Ustawienia'!$B$7)</x:f>
        <x:v>0.08</x:v>
      </x:c>
      <x:c r="N295" s="8" t="n">
        <x:f>IF(J295="","",ROUND((J295+K295)*(1+M295),0))</x:f>
        <x:v>2979</x:v>
      </x:c>
      <x:c r="O295" s="8" t="n">
        <x:f>IF(J295="","",J295+K295-H295-L295)</x:f>
        <x:v>706</x:v>
      </x:c>
      <x:c r="P295" s="7" t="n">
        <x:f>IFERROR(O295/(J295+K295),"")</x:f>
        <x:v>0.25598259608411894</x:v>
      </x:c>
      <x:c r="Q295" s="6" t="inlineStr">
        <x:is>
          <x:t xml:space="preserve">RAW_ZP J/K</x:t>
        </x:is>
      </x:c>
      <x:c r="R295" s="6" t="inlineStr">
        <x:is>
          <x:t xml:space="preserve">ROLETY BOCZNE</x:t>
        </x:is>
      </x:c>
      <x:c r="S295" s="6" t="inlineStr">
        <x:is>
          <x:t xml:space="preserve">website+crm</x:t>
        </x:is>
      </x:c>
      <x:c r="T295" s="6" t="inlineStr">
        <x:is>
          <x:t xml:space="preserve">Używana dla lewej i prawej</x:t>
        </x:is>
      </x:c>
    </x:row>
    <x:row r="296">
      <x:c r="A296" s="6" t="inlineStr">
        <x:is>
          <x:t xml:space="preserve">350 x 806 cm</x:t>
        </x:is>
      </x:c>
      <x:c r="B296" s="6" t="inlineStr">
        <x:is>
          <x:t xml:space="preserve">RP</x:t>
        </x:is>
      </x:c>
      <x:c r="C296" s="6" t="inlineStr">
        <x:is>
          <x:t xml:space="preserve">Roleta przednia ZIP</x:t>
        </x:is>
      </x:c>
      <x:c r="D296" s="6" t="inlineStr">
        <x:is>
          <x:t xml:space="preserve">ROLETA PRZÓD</x:t>
        </x:is>
      </x:c>
      <x:c r="E296" s="8" t="n">
        <x:f>IFERROR(INDEX('02_RAW_INDEX'!$L:$L,MATCH($A296,'02_RAW_INDEX'!$A:$A,0)),"")</x:f>
        <x:v>4293</x:v>
      </x:c>
      <x:c r="F296" s="8" t="n">
        <x:f>IFERROR(INDEX('02_RAW_INDEX'!$K:$K,MATCH($A296,'02_RAW_INDEX'!$A:$A,0)),"")</x:f>
        <x:v>5280</x:v>
      </x:c>
      <x:c r="G296" s="7" t="n">
        <x:f>'01_Ustawienia'!$B$6</x:f>
        <x:v>0</x:v>
      </x:c>
      <x:c r="H296" s="8" t="n">
        <x:f>IF(E296="","",ROUND(IF('01_Ustawienia'!$B$5="BRUTTO",F296,E296)*(1-G296),0))</x:f>
        <x:v>4293</x:v>
      </x:c>
      <x:c r="I296" s="7" t="n">
        <x:f>IFERROR(IFERROR(INDEX('01_Ustawienia'!$B$15:$B$33,MATCH(B296,'01_Ustawienia'!$A$15:$A$33,0)),0.45),0.45)</x:f>
        <x:v>0.45</x:v>
      </x:c>
      <x:c r="J296" s="8" t="n">
        <x:f>IF(H296="","",ROUND(H296*(1+I296),0))</x:f>
        <x:v>6225</x:v>
      </x:c>
      <x:c r="K296" s="8" t="n">
        <x:f>0</x:f>
        <x:v>0</x:v>
      </x:c>
      <x:c r="L296" s="8" t="n">
        <x:f>IFERROR(IFERROR(INDEX(EG_Cennik_uslug!$AJ:$AJ,MATCH($A296,EG_Cennik_uslug!$A:$A,0)),0),0)</x:f>
        <x:v>300</x:v>
      </x:c>
      <x:c r="M296" s="7" t="n">
        <x:f>IF('01_Ustawienia'!$B$4="ZWOLNIONY",0,'01_Ustawienia'!$B$7)</x:f>
        <x:v>0.08</x:v>
      </x:c>
      <x:c r="N296" s="8" t="n">
        <x:f>IF(J296="","",ROUND((J296+K296)*(1+M296),0))</x:f>
        <x:v>6723</x:v>
      </x:c>
      <x:c r="O296" s="8" t="n">
        <x:f>IF(J296="","",J296+K296-H296-L296)</x:f>
        <x:v>1632</x:v>
      </x:c>
      <x:c r="P296" s="7" t="n">
        <x:f>IFERROR(O296/(J296+K296),"")</x:f>
        <x:v>0.2621686746987952</x:v>
      </x:c>
      <x:c r="Q296" s="6" t="inlineStr">
        <x:is>
          <x:t xml:space="preserve">RAW_ZP N/O</x:t>
        </x:is>
      </x:c>
      <x:c r="R296" s="6" t="inlineStr">
        <x:is>
          <x:t xml:space="preserve">ROLETY BOCZNE</x:t>
        </x:is>
      </x:c>
      <x:c r="S296" s="6" t="inlineStr">
        <x:is>
          <x:t xml:space="preserve">website+crm</x:t>
        </x:is>
      </x:c>
      <x:c r="T296" s="6" t="n"/>
    </x:row>
    <x:row r="297">
      <x:c r="A297" s="6" t="inlineStr">
        <x:is>
          <x:t xml:space="preserve">350 x 806 cm</x:t>
        </x:is>
      </x:c>
      <x:c r="B297" s="6" t="inlineStr">
        <x:is>
          <x:t xml:space="preserve">M</x:t>
        </x:is>
      </x:c>
      <x:c r="C297" s="6" t="inlineStr">
        <x:is>
          <x:t xml:space="preserve">Markiza dachowa</x:t>
        </x:is>
      </x:c>
      <x:c r="D297" s="6" t="inlineStr">
        <x:is>
          <x:t xml:space="preserve">MARKIZA</x:t>
        </x:is>
      </x:c>
      <x:c r="E297" s="8" t="n">
        <x:f>IFERROR(INDEX('02_RAW_INDEX'!$H:$H,MATCH($A297,'02_RAW_INDEX'!$A:$A,0)),"")</x:f>
        <x:v>7309</x:v>
      </x:c>
      <x:c r="F297" s="8" t="n">
        <x:f>IFERROR(INDEX('02_RAW_INDEX'!$G:$G,MATCH($A297,'02_RAW_INDEX'!$A:$A,0)),"")</x:f>
        <x:v>8990</x:v>
      </x:c>
      <x:c r="G297" s="7" t="n">
        <x:f>'01_Ustawienia'!$B$6</x:f>
        <x:v>0</x:v>
      </x:c>
      <x:c r="H297" s="8" t="n">
        <x:f>IF(E297="","",ROUND(IF('01_Ustawienia'!$B$5="BRUTTO",F297,E297)*(1-G297),0))</x:f>
        <x:v>7309</x:v>
      </x:c>
      <x:c r="I297" s="7" t="n">
        <x:f>IFERROR(IFERROR(INDEX('01_Ustawienia'!$B$15:$B$33,MATCH(B297,'01_Ustawienia'!$A$15:$A$33,0)),0.45),0.45)</x:f>
        <x:v>0.45</x:v>
      </x:c>
      <x:c r="J297" s="8" t="n">
        <x:f>IF(H297="","",ROUND(H297*(1+I297),0))</x:f>
        <x:v>10598</x:v>
      </x:c>
      <x:c r="K297" s="8" t="n">
        <x:f>0</x:f>
        <x:v>0</x:v>
      </x:c>
      <x:c r="L297" s="8" t="n">
        <x:f>IFERROR(IFERROR(INDEX(EG_Cennik_uslug!$AQ:$AQ,MATCH($A297,EG_Cennik_uslug!$A:$A,0)),0),0)</x:f>
        <x:v>500</x:v>
      </x:c>
      <x:c r="M297" s="7" t="n">
        <x:f>IF('01_Ustawienia'!$B$4="ZWOLNIONY",0,'01_Ustawienia'!$B$7)</x:f>
        <x:v>0.08</x:v>
      </x:c>
      <x:c r="N297" s="8" t="n">
        <x:f>IF(J297="","",ROUND((J297+K297)*(1+M297),0))</x:f>
        <x:v>11446</x:v>
      </x:c>
      <x:c r="O297" s="8" t="n">
        <x:f>IF(J297="","",J297+K297-H297-L297)</x:f>
        <x:v>2789</x:v>
      </x:c>
      <x:c r="P297" s="7" t="n">
        <x:f>IFERROR(O297/(J297+K297),"")</x:f>
        <x:v>0.2631628609171542</x:v>
      </x:c>
      <x:c r="Q297" s="6" t="inlineStr">
        <x:is>
          <x:t xml:space="preserve">RAW_ZP H/I</x:t>
        </x:is>
      </x:c>
      <x:c r="R297" s="6" t="inlineStr">
        <x:is>
          <x:t xml:space="preserve">MARKIZA</x:t>
        </x:is>
      </x:c>
      <x:c r="S297" s="6" t="inlineStr">
        <x:is>
          <x:t xml:space="preserve">website+crm</x:t>
        </x:is>
      </x:c>
      <x:c r="T297" s="6" t="n"/>
    </x:row>
    <x:row r="298">
      <x:c r="A298" s="6" t="inlineStr">
        <x:is>
          <x:t xml:space="preserve">350 x 806 cm</x:t>
        </x:is>
      </x:c>
      <x:c r="B298" s="6" t="inlineStr">
        <x:is>
          <x:t xml:space="preserve">PDWP</x:t>
        </x:is>
      </x:c>
      <x:c r="C298" s="6" t="inlineStr">
        <x:is>
          <x:t xml:space="preserve">Fundament/profile</x:t>
        </x:is>
      </x:c>
      <x:c r="D298" s="6" t="inlineStr">
        <x:is>
          <x:t xml:space="preserve">FUNDAMENT / PROFILE</x:t>
        </x:is>
      </x:c>
      <x:c r="E298" s="8" t="n">
        <x:f>IFERROR(INDEX('02_RAW_INDEX'!$AH:$AH,MATCH($A298,'02_RAW_INDEX'!$A:$A,0)),"")</x:f>
        <x:v>1081</x:v>
      </x:c>
      <x:c r="F298" s="8" t="n">
        <x:f>IFERROR(INDEX('02_RAW_INDEX'!$AG:$AG,MATCH($A298,'02_RAW_INDEX'!$A:$A,0)),"")</x:f>
        <x:v>1330</x:v>
      </x:c>
      <x:c r="G298" s="7" t="n">
        <x:f>'01_Ustawienia'!$B$6</x:f>
        <x:v>0</x:v>
      </x:c>
      <x:c r="H298" s="8" t="n">
        <x:f>IF(E298="","",ROUND(IF('01_Ustawienia'!$B$5="BRUTTO",F298,E298)*(1-G298),0))</x:f>
        <x:v>1081</x:v>
      </x:c>
      <x:c r="I298" s="7" t="n">
        <x:f>IFERROR(IFERROR(INDEX('01_Ustawienia'!$B$15:$B$33,MATCH(B298,'01_Ustawienia'!$A$15:$A$33,0)),0.45),0.45)</x:f>
        <x:v>1.2</x:v>
      </x:c>
      <x:c r="J298" s="8" t="n">
        <x:f>IF(H298="","",ROUND(H298*(1+I298),0))</x:f>
        <x:v>2378</x:v>
      </x:c>
      <x:c r="K298" s="8" t="n">
        <x:f>0</x:f>
        <x:v>0</x:v>
      </x:c>
      <x:c r="L298" s="8" t="n">
        <x:f>IFERROR(IFERROR(INDEX(EG_Cennik_uslug!$BT:$BT,MATCH($A298,EG_Cennik_uslug!$A:$A,0)),0),0)</x:f>
        <x:v>510</x:v>
      </x:c>
      <x:c r="M298" s="7" t="n">
        <x:f>IF('01_Ustawienia'!$B$4="ZWOLNIONY",0,'01_Ustawienia'!$B$7)</x:f>
        <x:v>0.08</x:v>
      </x:c>
      <x:c r="N298" s="8" t="n">
        <x:f>IF(J298="","",ROUND((J298+K298)*(1+M298),0))</x:f>
        <x:v>2568</x:v>
      </x:c>
      <x:c r="O298" s="8" t="n">
        <x:f>IF(J298="","",J298+K298-H298-L298)</x:f>
        <x:v>787</x:v>
      </x:c>
      <x:c r="P298" s="7" t="n">
        <x:f>IFERROR(O298/(J298+K298),"")</x:f>
        <x:v>0.3309503784693019</x:v>
      </x:c>
      <x:c r="Q298" s="6" t="inlineStr">
        <x:is>
          <x:t xml:space="preserve">RAW_OP AB/AC</x:t>
        </x:is>
      </x:c>
      <x:c r="R298" s="6" t="inlineStr">
        <x:is>
          <x:t xml:space="preserve">FUNDAMENT (PROFILE)</x:t>
        </x:is>
      </x:c>
      <x:c r="S298" s="6" t="inlineStr">
        <x:is>
          <x:t xml:space="preserve">website+crm</x:t>
        </x:is>
      </x:c>
      <x:c r="T298" s="6" t="n"/>
    </x:row>
    <x:row r="299" s="655" customFormat="1" ht="30" customHeight="1">
      <x:c r="A299" s="6" t="inlineStr">
        <x:is>
          <x:t xml:space="preserve">350 x 806 cm</x:t>
        </x:is>
      </x:c>
      <x:c r="B299" s="6" t="inlineStr">
        <x:is>
          <x:t xml:space="preserve">ZAB</x:t>
        </x:is>
      </x:c>
      <x:c r="C299" s="6" t="inlineStr">
        <x:is>
          <x:t xml:space="preserve">Zabieraki do ścian przesuwnych</x:t>
        </x:is>
      </x:c>
      <x:c r="D299" s="6" t="inlineStr">
        <x:is>
          <x:t xml:space="preserve">DODATKI</x:t>
        </x:is>
      </x:c>
      <x:c r="E299" s="8" t="n">
        <x:f>IFERROR(INDEX('02_RAW_INDEX'!$AJ:$AJ,MATCH($A299,'02_RAW_INDEX'!$A:$A,0)),"")</x:f>
        <x:v>390</x:v>
      </x:c>
      <x:c r="F299" s="8" t="n">
        <x:f>IFERROR(INDEX('02_RAW_INDEX'!$AI:$AI,MATCH($A299,'02_RAW_INDEX'!$A:$A,0)),"")</x:f>
        <x:v>480</x:v>
      </x:c>
      <x:c r="G299" s="7" t="n">
        <x:f>'01_Ustawienia'!$B$6</x:f>
        <x:v>0</x:v>
      </x:c>
      <x:c r="H299" s="8" t="n">
        <x:f>IF(E299="","",ROUND(IF('01_Ustawienia'!$B$5="BRUTTO",F299,E299)*(1-G299),0))</x:f>
        <x:v>390</x:v>
      </x:c>
      <x:c r="I299" s="7" t="n">
        <x:f>IFERROR(IFERROR(INDEX('01_Ustawienia'!$B$15:$B$33,MATCH(B299,'01_Ustawienia'!$A$15:$A$33,0)),0.45),0.45)</x:f>
        <x:v>0.45</x:v>
      </x:c>
      <x:c r="J299" s="8" t="n">
        <x:f>IF(H299="","",ROUND(H299*(1+I299),0))</x:f>
        <x:v>566</x:v>
      </x:c>
      <x:c r="K299" s="8" t="n">
        <x:f>0</x:f>
        <x:v>0</x:v>
      </x:c>
      <x:c r="L299" s="8" t="n">
        <x:f>0</x:f>
        <x:v>0</x:v>
      </x:c>
      <x:c r="M299" s="7" t="n">
        <x:f>IF('01_Ustawienia'!$B$4="ZWOLNIONY",0,'01_Ustawienia'!$B$7)</x:f>
        <x:v>0.08</x:v>
      </x:c>
      <x:c r="N299" s="8" t="n">
        <x:f>IF(J299="","",ROUND((J299+K299)*(1+M299),0))</x:f>
        <x:v>611</x:v>
      </x:c>
      <x:c r="O299" s="8" t="n">
        <x:f>IF(J299="","",J299+K299-H299-L299)</x:f>
        <x:v>176</x:v>
      </x:c>
      <x:c r="P299" s="7" t="n">
        <x:f>IFERROR(O299/(J299+K299),"")</x:f>
        <x:v>0.31095406360424027</x:v>
      </x:c>
      <x:c r="Q299" s="6" t="inlineStr">
        <x:is>
          <x:t xml:space="preserve">RAW_OP AD/AE</x:t>
        </x:is>
      </x:c>
      <x:c r="R299" s="6" t="inlineStr">
        <x:is>
          <x:t xml:space="preserve">DODATKI</x:t>
        </x:is>
      </x:c>
      <x:c r="S299" s="6" t="inlineStr">
        <x:is>
          <x:t xml:space="preserve">crm_only</x:t>
        </x:is>
      </x:c>
      <x:c r="T299" s="6" t="n"/>
    </x:row>
    <x:row r="300">
      <x:c r="A300" s="6" t="inlineStr">
        <x:is>
          <x:t xml:space="preserve">350 x 806 cm</x:t>
        </x:is>
      </x:c>
      <x:c r="B300" s="6" t="inlineStr">
        <x:is>
          <x:t xml:space="preserve">S</x:t>
        </x:is>
      </x:c>
      <x:c r="C300" s="6" t="inlineStr">
        <x:is>
          <x:t xml:space="preserve">Szczotki przeciwkurzowe</x:t>
        </x:is>
      </x:c>
      <x:c r="D300" s="6" t="inlineStr">
        <x:is>
          <x:t xml:space="preserve">SZCZOTKI</x:t>
        </x:is>
      </x:c>
      <x:c r="E300" s="8" t="n">
        <x:f>IFERROR(INDEX('02_RAW_INDEX'!$AD:$AD,MATCH($A300,'02_RAW_INDEX'!$A:$A,0)),"")</x:f>
        <x:v>496</x:v>
      </x:c>
      <x:c r="F300" s="8" t="n">
        <x:f>IFERROR(INDEX('02_RAW_INDEX'!$AC:$AC,MATCH($A300,'02_RAW_INDEX'!$A:$A,0)),"")</x:f>
        <x:v>610</x:v>
      </x:c>
      <x:c r="G300" s="7" t="n">
        <x:f>'01_Ustawienia'!$B$6</x:f>
        <x:v>0</x:v>
      </x:c>
      <x:c r="H300" s="8" t="n">
        <x:f>IF(E300="","",ROUND(IF('01_Ustawienia'!$B$5="BRUTTO",F300,E300)*(1-G300),0))</x:f>
        <x:v>496</x:v>
      </x:c>
      <x:c r="I300" s="7" t="n">
        <x:f>IFERROR(IFERROR(INDEX('01_Ustawienia'!$B$15:$B$33,MATCH(B300,'01_Ustawienia'!$A$15:$A$33,0)),0.45),0.45)</x:f>
        <x:v>0.45</x:v>
      </x:c>
      <x:c r="J300" s="8" t="n">
        <x:f>IF(H300="","",ROUND(H300*(1+I300),0))</x:f>
        <x:v>719</x:v>
      </x:c>
      <x:c r="K300" s="8" t="n">
        <x:f>0</x:f>
        <x:v>0</x:v>
      </x:c>
      <x:c r="L300" s="8" t="n">
        <x:f>IFERROR(IFERROR(INDEX(EG_Cennik_uslug!$CA:$CA,MATCH($A300,EG_Cennik_uslug!$A:$A,0)),0),0)</x:f>
        <x:v>0</x:v>
      </x:c>
      <x:c r="M300" s="7" t="n">
        <x:f>IF('01_Ustawienia'!$B$4="ZWOLNIONY",0,'01_Ustawienia'!$B$7)</x:f>
        <x:v>0.08</x:v>
      </x:c>
      <x:c r="N300" s="8" t="n">
        <x:f>IF(J300="","",ROUND((J300+K300)*(1+M300),0))</x:f>
        <x:v>777</x:v>
      </x:c>
      <x:c r="O300" s="8" t="n">
        <x:f>IF(J300="","",J300+K300-H300-L300)</x:f>
        <x:v>223</x:v>
      </x:c>
      <x:c r="P300" s="7" t="n">
        <x:f>IFERROR(O300/(J300+K300),"")</x:f>
        <x:v>0.3101529902642559</x:v>
      </x:c>
      <x:c r="Q300" s="6" t="inlineStr">
        <x:is>
          <x:t xml:space="preserve">RAW_OP L/M</x:t>
        </x:is>
      </x:c>
      <x:c r="R300" s="6" t="inlineStr">
        <x:is>
          <x:t xml:space="preserve">DODATKI</x:t>
        </x:is>
      </x:c>
      <x:c r="S300" s="6" t="inlineStr">
        <x:is>
          <x:t xml:space="preserve">website+crm</x:t>
        </x:is>
      </x:c>
      <x:c r="T300" s="6" t="n"/>
    </x:row>
    <x:row r="301">
      <x:c r="A301" s="6" t="inlineStr">
        <x:is>
          <x:t xml:space="preserve">350 x 806 cm</x:t>
        </x:is>
      </x:c>
      <x:c r="B301" s="6" t="inlineStr">
        <x:is>
          <x:t xml:space="preserve">U</x:t>
        </x:is>
      </x:c>
      <x:c r="C301" s="6" t="inlineStr">
        <x:is>
          <x:t xml:space="preserve">Uchwyty na szkło ścienne</x:t>
        </x:is>
      </x:c>
      <x:c r="D301" s="6" t="inlineStr">
        <x:is>
          <x:t xml:space="preserve">UCHWYTY</x:t>
        </x:is>
      </x:c>
      <x:c r="E301" s="8" t="n">
        <x:f>IFERROR(INDEX('02_RAW_INDEX'!$AF:$AF,MATCH($A301,'02_RAW_INDEX'!$A:$A,0)),"")</x:f>
        <x:v>447</x:v>
      </x:c>
      <x:c r="F301" s="8" t="n">
        <x:f>IFERROR(INDEX('02_RAW_INDEX'!$AE:$AE,MATCH($A301,'02_RAW_INDEX'!$A:$A,0)),"")</x:f>
        <x:v>550</x:v>
      </x:c>
      <x:c r="G301" s="7" t="n">
        <x:f>'01_Ustawienia'!$B$6</x:f>
        <x:v>0</x:v>
      </x:c>
      <x:c r="H301" s="8" t="n">
        <x:f>IF(E301="","",ROUND(IF('01_Ustawienia'!$B$5="BRUTTO",F301,E301)*(1-G301),0))</x:f>
        <x:v>447</x:v>
      </x:c>
      <x:c r="I301" s="7" t="n">
        <x:f>IFERROR(IFERROR(INDEX('01_Ustawienia'!$B$15:$B$33,MATCH(B301,'01_Ustawienia'!$A$15:$A$33,0)),0.45),0.45)</x:f>
        <x:v>0.45</x:v>
      </x:c>
      <x:c r="J301" s="8" t="n">
        <x:f>IF(H301="","",ROUND(H301*(1+I301),0))</x:f>
        <x:v>648</x:v>
      </x:c>
      <x:c r="K301" s="8" t="n">
        <x:f>0</x:f>
        <x:v>0</x:v>
      </x:c>
      <x:c r="L301" s="8" t="n">
        <x:f>IFERROR(IFERROR(INDEX(EG_Cennik_uslug!$CH:$CH,MATCH($A301,EG_Cennik_uslug!$A:$A,0)),0),0)</x:f>
        <x:v>0</x:v>
      </x:c>
      <x:c r="M301" s="7" t="n">
        <x:f>IF('01_Ustawienia'!$B$4="ZWOLNIONY",0,'01_Ustawienia'!$B$7)</x:f>
        <x:v>0.08</x:v>
      </x:c>
      <x:c r="N301" s="8" t="n">
        <x:f>IF(J301="","",ROUND((J301+K301)*(1+M301),0))</x:f>
        <x:v>700</x:v>
      </x:c>
      <x:c r="O301" s="8" t="n">
        <x:f>IF(J301="","",J301+K301-H301-L301)</x:f>
        <x:v>201</x:v>
      </x:c>
      <x:c r="P301" s="7" t="n">
        <x:f>IFERROR(O301/(J301+K301),"")</x:f>
        <x:v>0.3101851851851852</x:v>
      </x:c>
      <x:c r="Q301" s="6" t="inlineStr">
        <x:is>
          <x:t xml:space="preserve">RAW_OP N/O</x:t>
        </x:is>
      </x:c>
      <x:c r="R301" s="6" t="inlineStr">
        <x:is>
          <x:t xml:space="preserve">DODATKI</x:t>
        </x:is>
      </x:c>
      <x:c r="S301" s="6" t="inlineStr">
        <x:is>
          <x:t xml:space="preserve">website+crm</x:t>
        </x:is>
      </x:c>
      <x:c r="T301" s="6" t="n"/>
    </x:row>
    <x:row r="302">
      <x:c r="A302" s="6" t="inlineStr">
        <x:is>
          <x:t xml:space="preserve">350 x 806 cm</x:t>
        </x:is>
      </x:c>
      <x:c r="B302" s="6" t="inlineStr">
        <x:is>
          <x:t xml:space="preserve">LED2</x:t>
        </x:is>
      </x:c>
      <x:c r="C302" s="6" t="inlineStr">
        <x:is>
          <x:t xml:space="preserve">Oświetlenie LED 2 punkty</x:t>
        </x:is>
      </x:c>
      <x:c r="D302" s="6" t="inlineStr">
        <x:is>
          <x:t xml:space="preserve">LED 2 PKT</x:t>
        </x:is>
      </x:c>
      <x:c r="E302" s="8" t="n">
        <x:f>IFERROR(INDEX('02_RAW_INDEX'!$N:$N,MATCH($A302,'02_RAW_INDEX'!$A:$A,0)),"")</x:f>
        <x:v>780</x:v>
      </x:c>
      <x:c r="F302" s="8" t="n">
        <x:f>IFERROR(INDEX('02_RAW_INDEX'!$M:$M,MATCH($A302,'02_RAW_INDEX'!$A:$A,0)),"")</x:f>
        <x:v>960</x:v>
      </x:c>
      <x:c r="G302" s="7" t="n">
        <x:f>'01_Ustawienia'!$B$6</x:f>
        <x:v>0</x:v>
      </x:c>
      <x:c r="H302" s="8" t="n">
        <x:f>IF(E302="","",ROUND(IF('01_Ustawienia'!$B$5="BRUTTO",F302,E302)*(1-G302),0))</x:f>
        <x:v>780</x:v>
      </x:c>
      <x:c r="I302" s="7" t="n">
        <x:f>IFERROR(IFERROR(INDEX('01_Ustawienia'!$B$15:$B$33,MATCH(B302,'01_Ustawienia'!$A$15:$A$33,0)),0.45),0.45)</x:f>
        <x:v>0.45</x:v>
      </x:c>
      <x:c r="J302" s="8" t="n">
        <x:f>IF(H302="","",ROUND(H302*(1+I302),0))</x:f>
        <x:v>1131</x:v>
      </x:c>
      <x:c r="K302" s="8" t="n">
        <x:f>0</x:f>
        <x:v>0</x:v>
      </x:c>
      <x:c r="L302" s="8" t="n">
        <x:f>IFERROR(IFERROR(INDEX(EG_Cennik_uslug!$CO:$CO,MATCH($A302,EG_Cennik_uslug!$A:$A,0)),0),0)</x:f>
        <x:v>0</x:v>
      </x:c>
      <x:c r="M302" s="7" t="n">
        <x:f>IF('01_Ustawienia'!$B$4="ZWOLNIONY",0,'01_Ustawienia'!$B$7)</x:f>
        <x:v>0.08</x:v>
      </x:c>
      <x:c r="N302" s="8" t="n">
        <x:f>IF(J302="","",ROUND((J302+K302)*(1+M302),0))</x:f>
        <x:v>1221</x:v>
      </x:c>
      <x:c r="O302" s="8" t="n">
        <x:f>IF(J302="","",J302+K302-H302-L302)</x:f>
        <x:v>351</x:v>
      </x:c>
      <x:c r="P302" s="7" t="n">
        <x:f>IFERROR(O302/(J302+K302),"")</x:f>
        <x:v>0.3103448275862069</x:v>
      </x:c>
      <x:c r="Q302" s="6" t="inlineStr">
        <x:is>
          <x:t xml:space="preserve">RAW_ZP P/Q</x:t>
        </x:is>
      </x:c>
      <x:c r="R302" s="6" t="inlineStr">
        <x:is>
          <x:t xml:space="preserve">OŚWIETLENIE</x:t>
        </x:is>
      </x:c>
      <x:c r="S302" s="6" t="inlineStr">
        <x:is>
          <x:t xml:space="preserve">website+crm</x:t>
        </x:is>
      </x:c>
      <x:c r="T302" s="6" t="n"/>
    </x:row>
    <x:row r="303">
      <x:c r="A303" s="6" t="inlineStr">
        <x:is>
          <x:t xml:space="preserve">350 x 806 cm</x:t>
        </x:is>
      </x:c>
      <x:c r="B303" s="6" t="inlineStr">
        <x:is>
          <x:t xml:space="preserve">LED3</x:t>
        </x:is>
      </x:c>
      <x:c r="C303" s="6" t="inlineStr">
        <x:is>
          <x:t xml:space="preserve">Oświetlenie LED 3 punkty</x:t>
        </x:is>
      </x:c>
      <x:c r="D303" s="6" t="inlineStr">
        <x:is>
          <x:t xml:space="preserve">LED 3 PKT</x:t>
        </x:is>
      </x:c>
      <x:c r="E303" s="8" t="n">
        <x:f>IFERROR(INDEX('02_RAW_INDEX'!$P:$P,MATCH($A303,'02_RAW_INDEX'!$A:$A,0)),"")</x:f>
        <x:v>1171</x:v>
      </x:c>
      <x:c r="F303" s="8" t="n">
        <x:f>IFERROR(INDEX('02_RAW_INDEX'!$O:$O,MATCH($A303,'02_RAW_INDEX'!$A:$A,0)),"")</x:f>
        <x:v>1440</x:v>
      </x:c>
      <x:c r="G303" s="7" t="n">
        <x:f>'01_Ustawienia'!$B$6</x:f>
        <x:v>0</x:v>
      </x:c>
      <x:c r="H303" s="8" t="n">
        <x:f>IF(E303="","",ROUND(IF('01_Ustawienia'!$B$5="BRUTTO",F303,E303)*(1-G303),0))</x:f>
        <x:v>1171</x:v>
      </x:c>
      <x:c r="I303" s="7" t="n">
        <x:f>IFERROR(IFERROR(INDEX('01_Ustawienia'!$B$15:$B$33,MATCH(B303,'01_Ustawienia'!$A$15:$A$33,0)),0.45),0.45)</x:f>
        <x:v>0.45</x:v>
      </x:c>
      <x:c r="J303" s="8" t="n">
        <x:f>IF(H303="","",ROUND(H303*(1+I303),0))</x:f>
        <x:v>1698</x:v>
      </x:c>
      <x:c r="K303" s="8" t="n">
        <x:f>0</x:f>
        <x:v>0</x:v>
      </x:c>
      <x:c r="L303" s="8" t="n">
        <x:f>IFERROR(IFERROR(INDEX(EG_Cennik_uslug!$CV:$CV,MATCH($A303,EG_Cennik_uslug!$A:$A,0)),0),0)</x:f>
        <x:v>0</x:v>
      </x:c>
      <x:c r="M303" s="7" t="n">
        <x:f>IF('01_Ustawienia'!$B$4="ZWOLNIONY",0,'01_Ustawienia'!$B$7)</x:f>
        <x:v>0.08</x:v>
      </x:c>
      <x:c r="N303" s="8" t="n">
        <x:f>IF(J303="","",ROUND((J303+K303)*(1+M303),0))</x:f>
        <x:v>1834</x:v>
      </x:c>
      <x:c r="O303" s="8" t="n">
        <x:f>IF(J303="","",J303+K303-H303-L303)</x:f>
        <x:v>527</x:v>
      </x:c>
      <x:c r="P303" s="7" t="n">
        <x:f>IFERROR(O303/(J303+K303),"")</x:f>
        <x:v>0.31036513545347466</x:v>
      </x:c>
      <x:c r="Q303" s="6" t="inlineStr">
        <x:is>
          <x:t xml:space="preserve">RAW_ZP R/S</x:t>
        </x:is>
      </x:c>
      <x:c r="R303" s="6" t="inlineStr">
        <x:is>
          <x:t xml:space="preserve">OŚWIETLENIE</x:t>
        </x:is>
      </x:c>
      <x:c r="S303" s="6" t="inlineStr">
        <x:is>
          <x:t xml:space="preserve">website+crm</x:t>
        </x:is>
      </x:c>
      <x:c r="T303" s="6" t="inlineStr">
        <x:is>
          <x:t xml:space="preserve">Nazwa do potwierdzenia</x:t>
        </x:is>
      </x:c>
    </x:row>
    <x:row r="304">
      <x:c r="A304" s="6" t="inlineStr">
        <x:is>
          <x:t xml:space="preserve">350 x 806 cm</x:t>
        </x:is>
      </x:c>
      <x:c r="B304" s="6" t="inlineStr">
        <x:is>
          <x:t xml:space="preserve">LEDCCT</x:t>
        </x:is>
      </x:c>
      <x:c r="C304" s="6" t="inlineStr">
        <x:is>
          <x:t xml:space="preserve">Oświetlenie LED CCT</x:t>
        </x:is>
      </x:c>
      <x:c r="D304" s="6" t="inlineStr">
        <x:is>
          <x:t xml:space="preserve">OŚWIETLENIE</x:t>
        </x:is>
      </x:c>
      <x:c r="E304" s="8" t="n">
        <x:f>IFERROR(INDEX('02_RAW_INDEX'!$R:$R,MATCH($A304,'02_RAW_INDEX'!$A:$A,0)),"")</x:f>
        <x:v>1620</x:v>
      </x:c>
      <x:c r="F304" s="8" t="n">
        <x:f>IFERROR(INDEX('02_RAW_INDEX'!$Q:$Q,MATCH($A304,'02_RAW_INDEX'!$A:$A,0)),"")</x:f>
        <x:v>1993</x:v>
      </x:c>
      <x:c r="G304" s="7" t="n">
        <x:f>'01_Ustawienia'!$B$6</x:f>
        <x:v>0</x:v>
      </x:c>
      <x:c r="H304" s="8" t="n">
        <x:f>IF(E304="","",ROUND(IF('01_Ustawienia'!$B$5="BRUTTO",F304,E304)*(1-G304),0))</x:f>
        <x:v>1620</x:v>
      </x:c>
      <x:c r="I304" s="7" t="n">
        <x:f>IFERROR(IFERROR(INDEX('01_Ustawienia'!$B$15:$B$33,MATCH(B304,'01_Ustawienia'!$A$15:$A$33,0)),0.45),0.45)</x:f>
        <x:v>0.45</x:v>
      </x:c>
      <x:c r="J304" s="8" t="n">
        <x:f>IF(H304="","",ROUND(H304*(1+I304),0))</x:f>
        <x:v>2349</x:v>
      </x:c>
      <x:c r="K304" s="8" t="n">
        <x:f>0</x:f>
        <x:v>0</x:v>
      </x:c>
      <x:c r="L304" s="8" t="n">
        <x:f>0</x:f>
        <x:v>0</x:v>
      </x:c>
      <x:c r="M304" s="7" t="n">
        <x:f>IF('01_Ustawienia'!$B$4="ZWOLNIONY",0,'01_Ustawienia'!$B$7)</x:f>
        <x:v>0.08</x:v>
      </x:c>
      <x:c r="N304" s="8" t="n">
        <x:f>IF(J304="","",ROUND((J304+K304)*(1+M304),0))</x:f>
        <x:v>2537</x:v>
      </x:c>
      <x:c r="O304" s="8" t="n">
        <x:f>IF(J304="","",J304+K304-H304-L304)</x:f>
        <x:v>729</x:v>
      </x:c>
      <x:c r="P304" s="7" t="n">
        <x:f>IFERROR(O304/(J304+K304),"")</x:f>
        <x:v>0.3103448275862069</x:v>
      </x:c>
      <x:c r="Q304" s="6" t="inlineStr">
        <x:is>
          <x:t xml:space="preserve">RAW_ZP T/U</x:t>
        </x:is>
      </x:c>
      <x:c r="R304" s="6" t="inlineStr">
        <x:is>
          <x:t xml:space="preserve">OŚWIETLENIE</x:t>
        </x:is>
      </x:c>
      <x:c r="S304" s="6" t="inlineStr">
        <x:is>
          <x:t xml:space="preserve">website+crm</x:t>
        </x:is>
      </x:c>
      <x:c r="T304" s="6" t="inlineStr">
        <x:is>
          <x:t xml:space="preserve">Opcja dodatkowa | FIX17: opcja LED dostępna dla strony; ceny 450-600 wg modelu FIX15.</x:t>
        </x:is>
      </x:c>
    </x:row>
    <x:row r="305">
      <x:c r="A305" s="6" t="inlineStr">
        <x:is>
          <x:t xml:space="preserve">350 x 806 cm</x:t>
        </x:is>
      </x:c>
      <x:c r="B305" s="6" t="inlineStr">
        <x:is>
          <x:t xml:space="preserve">LEDRGBCCT</x:t>
        </x:is>
      </x:c>
      <x:c r="C305" s="6" t="inlineStr">
        <x:is>
          <x:t xml:space="preserve">Oświetlenie LED RGB CCT</x:t>
        </x:is>
      </x:c>
      <x:c r="D305" s="6" t="inlineStr">
        <x:is>
          <x:t xml:space="preserve">OŚWIETLENIE</x:t>
        </x:is>
      </x:c>
      <x:c r="E305" s="8" t="n">
        <x:f>IFERROR(INDEX('02_RAW_INDEX'!$T:$T,MATCH($A305,'02_RAW_INDEX'!$A:$A,0)),"")</x:f>
        <x:v>2350</x:v>
      </x:c>
      <x:c r="F305" s="8" t="n">
        <x:f>IFERROR(INDEX('02_RAW_INDEX'!$S:$S,MATCH($A305,'02_RAW_INDEX'!$A:$A,0)),"")</x:f>
        <x:v>2891</x:v>
      </x:c>
      <x:c r="G305" s="7" t="n">
        <x:f>'01_Ustawienia'!$B$6</x:f>
        <x:v>0</x:v>
      </x:c>
      <x:c r="H305" s="8" t="n">
        <x:f>IF(E305="","",ROUND(IF('01_Ustawienia'!$B$5="BRUTTO",F305,E305)*(1-G305),0))</x:f>
        <x:v>2350</x:v>
      </x:c>
      <x:c r="I305" s="7" t="n">
        <x:f>IFERROR(IFERROR(INDEX('01_Ustawienia'!$B$15:$B$33,MATCH(B305,'01_Ustawienia'!$A$15:$A$33,0)),0.45),0.45)</x:f>
        <x:v>0.45</x:v>
      </x:c>
      <x:c r="J305" s="8" t="n">
        <x:f>IF(H305="","",ROUND(H305*(1+I305),0))</x:f>
        <x:v>3408</x:v>
      </x:c>
      <x:c r="K305" s="8" t="n">
        <x:f>0</x:f>
        <x:v>0</x:v>
      </x:c>
      <x:c r="L305" s="8" t="n">
        <x:f>0</x:f>
        <x:v>0</x:v>
      </x:c>
      <x:c r="M305" s="7" t="n">
        <x:f>IF('01_Ustawienia'!$B$4="ZWOLNIONY",0,'01_Ustawienia'!$B$7)</x:f>
        <x:v>0.08</x:v>
      </x:c>
      <x:c r="N305" s="8" t="n">
        <x:f>IF(J305="","",ROUND((J305+K305)*(1+M305),0))</x:f>
        <x:v>3681</x:v>
      </x:c>
      <x:c r="O305" s="8" t="n">
        <x:f>IF(J305="","",J305+K305-H305-L305)</x:f>
        <x:v>1058</x:v>
      </x:c>
      <x:c r="P305" s="7" t="n">
        <x:f>IFERROR(O305/(J305+K305),"")</x:f>
        <x:v>0.3104460093896714</x:v>
      </x:c>
      <x:c r="Q305" s="6" t="inlineStr">
        <x:is>
          <x:t xml:space="preserve">RAW_ZP V/W</x:t>
        </x:is>
      </x:c>
      <x:c r="R305" s="6" t="inlineStr">
        <x:is>
          <x:t xml:space="preserve">OŚWIETLENIE</x:t>
        </x:is>
      </x:c>
      <x:c r="S305" s="6" t="inlineStr">
        <x:is>
          <x:t xml:space="preserve">crm_only</x:t>
        </x:is>
      </x:c>
      <x:c r="T305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306" s="655" customFormat="1" ht="30" customHeight="1">
      <x:c r="A306" s="6" t="inlineStr">
        <x:is>
          <x:t xml:space="preserve">350 x 906 cm</x:t>
        </x:is>
      </x:c>
      <x:c r="B306" s="6" t="inlineStr">
        <x:is>
          <x:t xml:space="preserve">ZP</x:t>
        </x:is>
      </x:c>
      <x:c r="C306" s="6" t="inlineStr">
        <x:is>
          <x:t xml:space="preserve">Zadaszenie poliwęglan - baza</x:t>
        </x:is>
      </x:c>
      <x:c r="D306" s="6" t="inlineStr">
        <x:is>
          <x:t xml:space="preserve">ZADASZENIE POLIWĘGLAN</x:t>
        </x:is>
      </x:c>
      <x:c r="E306" s="8" t="n">
        <x:f>IFERROR(INDEX('02_RAW_INDEX'!$D:$D,MATCH($A306,'02_RAW_INDEX'!$A:$A,0)),"")</x:f>
        <x:v>10407</x:v>
      </x:c>
      <x:c r="F306" s="8" t="n">
        <x:f>IFERROR(INDEX('02_RAW_INDEX'!$C:$C,MATCH($A306,'02_RAW_INDEX'!$A:$A,0)),"")</x:f>
        <x:v>12800</x:v>
      </x:c>
      <x:c r="G306" s="7" t="n">
        <x:f>'01_Ustawienia'!$B$6</x:f>
        <x:v>0</x:v>
      </x:c>
      <x:c r="H306" s="8" t="n">
        <x:f>IF(E306="","",ROUND(IF('01_Ustawienia'!$B$5="BRUTTO",F306,E306)*(1-G306),0))</x:f>
        <x:v>10407</x:v>
      </x:c>
      <x:c r="I306" s="7" t="n">
        <x:f>IFERROR(IFERROR(INDEX('01_Ustawienia'!$B$15:$B$33,MATCH(B306,'01_Ustawienia'!$A$15:$A$33,0)),0.45),0.45)</x:f>
        <x:v>0.45</x:v>
      </x:c>
      <x:c r="J306" s="8" t="n">
        <x:f>IF(H306="","",ROUND(H306*(1+I306),0))</x:f>
        <x:v>15090</x:v>
      </x:c>
      <x:c r="K306" s="8" t="n">
        <x:f>IFERROR(IFERROR(INDEX(EG_Cennik_uslug!$F:$F,MATCH($A306,EG_Cennik_uslug!$A:$A,0)),0),0)</x:f>
        <x:v>4360</x:v>
      </x:c>
      <x:c r="L306" s="8" t="n">
        <x:f>IFERROR(IFERROR(INDEX(EG_Cennik_uslug!$G:$G,MATCH($A306,EG_Cennik_uslug!$A:$A,0)),0),0)</x:f>
        <x:v>1580</x:v>
      </x:c>
      <x:c r="M306" s="7" t="n">
        <x:f>IF('01_Ustawienia'!$B$4="ZWOLNIONY",0,'01_Ustawienia'!$B$7)</x:f>
        <x:v>0.08</x:v>
      </x:c>
      <x:c r="N306" s="8" t="n">
        <x:f>IF(J306="","",ROUND((J306+K306)*(1+M306),0))</x:f>
        <x:v>21006</x:v>
      </x:c>
      <x:c r="O306" s="8" t="n">
        <x:f>IF(J306="","",J306+K306-H306-L306)</x:f>
        <x:v>7463</x:v>
      </x:c>
      <x:c r="P306" s="7" t="n">
        <x:f>IFERROR(O306/(J306+K306),"")</x:f>
        <x:v>0.3837017994858612</x:v>
      </x:c>
      <x:c r="Q306" s="6" t="inlineStr">
        <x:is>
          <x:t xml:space="preserve">RAW_ZP B/C</x:t>
        </x:is>
      </x:c>
      <x:c r="R306" s="6" t="inlineStr">
        <x:is>
          <x:t xml:space="preserve">ZADASZENIE TARASU KONSTRUKCJA</x:t>
        </x:is>
      </x:c>
      <x:c r="S306" s="6" t="inlineStr">
        <x:is>
          <x:t xml:space="preserve">website+crm</x:t>
        </x:is>
      </x:c>
      <x:c r="T306" s="6" t="inlineStr">
        <x:is>
          <x:t xml:space="preserve">Baza dla kalkulatora</x:t>
        </x:is>
      </x:c>
    </x:row>
    <x:row r="307" s="655" customFormat="1" ht="30" customHeight="1">
      <x:c r="A307" s="6" t="inlineStr">
        <x:is>
          <x:t xml:space="preserve">350 x 906 cm</x:t>
        </x:is>
      </x:c>
      <x:c r="B307" s="6" t="inlineStr">
        <x:is>
          <x:t xml:space="preserve">ZS</x:t>
        </x:is>
      </x:c>
      <x:c r="C307" s="6" t="inlineStr">
        <x:is>
          <x:t xml:space="preserve">Zadaszenie szkło - pełna konstrukcja</x:t>
        </x:is>
      </x:c>
      <x:c r="D307" s="6" t="inlineStr">
        <x:is>
          <x:t xml:space="preserve">ZADASZENIE SZKŁO</x:t>
        </x:is>
      </x:c>
      <x:c r="E307" s="8" t="n">
        <x:f>IFERROR(INDEX('02_RAW_INDEX'!$V:$V,MATCH($A307,'02_RAW_INDEX'!$A:$A,0)),"")</x:f>
        <x:v>16350</x:v>
      </x:c>
      <x:c r="F307" s="8" t="n">
        <x:f>IFERROR(INDEX('02_RAW_INDEX'!$U:$U,MATCH($A307,'02_RAW_INDEX'!$A:$A,0)),"")</x:f>
        <x:v>20110</x:v>
      </x:c>
      <x:c r="G307" s="7" t="n">
        <x:f>'01_Ustawienia'!$B$6</x:f>
        <x:v>0</x:v>
      </x:c>
      <x:c r="H307" s="8" t="n">
        <x:f>IF(E307="","",ROUND(IF('01_Ustawienia'!$B$5="BRUTTO",F307,E307)*(1-G307),0))</x:f>
        <x:v>16350</x:v>
      </x:c>
      <x:c r="I307" s="7" t="n">
        <x:f>IFERROR(IFERROR(INDEX('01_Ustawienia'!$B$15:$B$33,MATCH(B307,'01_Ustawienia'!$A$15:$A$33,0)),0.45),0.45)</x:f>
        <x:v>0.45</x:v>
      </x:c>
      <x:c r="J307" s="8" t="n">
        <x:f>IF(H307="","",ROUND(H307*(1+I307),0))</x:f>
        <x:v>23708</x:v>
      </x:c>
      <x:c r="K307" s="8" t="n">
        <x:f>IFERROR(IFERROR(INDEX(EG_Cennik_uslug!$F:$F,MATCH($A307,EG_Cennik_uslug!$A:$A,0)),0),0)</x:f>
        <x:v>4360</x:v>
      </x:c>
      <x:c r="L307" s="8" t="n">
        <x:f>IFERROR(IFERROR(INDEX(EG_Cennik_uslug!$G:$G,MATCH($A307,EG_Cennik_uslug!$A:$A,0)),0),0)</x:f>
        <x:v>1580</x:v>
      </x:c>
      <x:c r="M307" s="7" t="n">
        <x:f>IF('01_Ustawienia'!$B$4="ZWOLNIONY",0,'01_Ustawienia'!$B$7)</x:f>
        <x:v>0.08</x:v>
      </x:c>
      <x:c r="N307" s="8" t="n">
        <x:f>IF(J307="","",ROUND((J307+K307)*(1+M307),0))</x:f>
        <x:v>30313</x:v>
      </x:c>
      <x:c r="O307" s="8" t="n">
        <x:f>IF(J307="","",J307+K307-H307-L307)</x:f>
        <x:v>10138</x:v>
      </x:c>
      <x:c r="P307" s="7" t="n">
        <x:f>IFERROR(O307/(J307+K307),"")</x:f>
        <x:v>0.3611942425537979</x:v>
      </x:c>
      <x:c r="Q307" s="6" t="inlineStr">
        <x:is>
          <x:t xml:space="preserve">RAW_ZS B/C</x:t>
        </x:is>
      </x:c>
      <x:c r="R307" s="6" t="inlineStr">
        <x:is>
          <x:t xml:space="preserve">ZADASZENIE TARASU KONSTRUKCJA</x:t>
        </x:is>
      </x:c>
      <x:c r="S307" s="6" t="inlineStr">
        <x:is>
          <x:t xml:space="preserve">crm_only</x:t>
        </x:is>
      </x:c>
      <x:c r="T307" s="6" t="inlineStr">
        <x:is>
          <x:t xml:space="preserve">Referencyjne/full; strona zwykle używa ZP + PDS</x:t>
        </x:is>
      </x:c>
    </x:row>
    <x:row r="308" s="655" customFormat="1" ht="30" customHeight="1">
      <x:c r="A308" s="6" t="inlineStr">
        <x:is>
          <x:t xml:space="preserve">350 x 906 cm</x:t>
        </x:is>
      </x:c>
      <x:c r="B308" s="6" t="inlineStr">
        <x:is>
          <x:t xml:space="preserve">OP</x:t>
        </x:is>
      </x:c>
      <x:c r="C308" s="6" t="inlineStr">
        <x:is>
          <x:t xml:space="preserve">Ogród zimowy poliwęglan - baza</x:t>
        </x:is>
      </x:c>
      <x:c r="D308" s="6" t="inlineStr">
        <x:is>
          <x:t xml:space="preserve">OGRODY POLIWĘGLAN</x:t>
        </x:is>
      </x:c>
      <x:c r="E308" s="8" t="n">
        <x:f>IFERROR(INDEX('02_RAW_INDEX'!$Z:$Z,MATCH($A308,'02_RAW_INDEX'!$A:$A,0)),"")</x:f>
        <x:v>24699</x:v>
      </x:c>
      <x:c r="F308" s="8" t="n">
        <x:f>IFERROR(INDEX('02_RAW_INDEX'!$Y:$Y,MATCH($A308,'02_RAW_INDEX'!$A:$A,0)),"")</x:f>
        <x:v>30380</x:v>
      </x:c>
      <x:c r="G308" s="7" t="n">
        <x:f>'01_Ustawienia'!$B$6</x:f>
        <x:v>0</x:v>
      </x:c>
      <x:c r="H308" s="8" t="n">
        <x:f>IF(E308="","",ROUND(IF('01_Ustawienia'!$B$5="BRUTTO",F308,E308)*(1-G308),0))</x:f>
        <x:v>24699</x:v>
      </x:c>
      <x:c r="I308" s="7" t="n">
        <x:f>IFERROR(IFERROR(INDEX('01_Ustawienia'!$B$15:$B$33,MATCH(B308,'01_Ustawienia'!$A$15:$A$33,0)),0.45),0.45)</x:f>
        <x:v>0.45</x:v>
      </x:c>
      <x:c r="J308" s="8" t="n">
        <x:f>IF(H308="","",ROUND(H308*(1+I308),0))</x:f>
        <x:v>35814</x:v>
      </x:c>
      <x:c r="K308" s="8" t="n">
        <x:f>IFERROR(IFERROR(INDEX(EG_Cennik_uslug!$N:$N,MATCH($A308,EG_Cennik_uslug!$A:$A,0)),0),0)</x:f>
        <x:v>5760</x:v>
      </x:c>
      <x:c r="L308" s="8" t="n">
        <x:f>IFERROR(IFERROR(INDEX(EG_Cennik_uslug!$O:$O,MATCH($A308,EG_Cennik_uslug!$A:$A,0)),0),0)</x:f>
        <x:v>2210</x:v>
      </x:c>
      <x:c r="M308" s="7" t="n">
        <x:f>IF('01_Ustawienia'!$B$4="ZWOLNIONY",0,'01_Ustawienia'!$B$7)</x:f>
        <x:v>0.08</x:v>
      </x:c>
      <x:c r="N308" s="8" t="n">
        <x:f>IF(J308="","",ROUND((J308+K308)*(1+M308),0))</x:f>
        <x:v>44900</x:v>
      </x:c>
      <x:c r="O308" s="8" t="n">
        <x:f>IF(J308="","",J308+K308-H308-L308)</x:f>
        <x:v>14665</x:v>
      </x:c>
      <x:c r="P308" s="7" t="n">
        <x:f>IFERROR(O308/(J308+K308),"")</x:f>
        <x:v>0.3527445037763987</x:v>
      </x:c>
      <x:c r="Q308" s="6" t="inlineStr">
        <x:is>
          <x:t xml:space="preserve">RAW_OP B/C</x:t>
        </x:is>
      </x:c>
      <x:c r="R308" s="6" t="inlineStr">
        <x:is>
          <x:t xml:space="preserve">OGRÓD ZIMOWY (KONSTRUKCJA)</x:t>
        </x:is>
      </x:c>
      <x:c r="S308" s="6" t="inlineStr">
        <x:is>
          <x:t xml:space="preserve">website+crm</x:t>
        </x:is>
      </x:c>
      <x:c r="T308" s="6" t="inlineStr">
        <x:is>
          <x:t xml:space="preserve">Do wyliczenia dopłaty za ściany</x:t>
        </x:is>
      </x:c>
    </x:row>
    <x:row r="309" s="655" customFormat="1" ht="30" customHeight="1">
      <x:c r="A309" s="6" t="inlineStr">
        <x:is>
          <x:t xml:space="preserve">350 x 906 cm</x:t>
        </x:is>
      </x:c>
      <x:c r="B309" s="6" t="inlineStr">
        <x:is>
          <x:t xml:space="preserve">OS</x:t>
        </x:is>
      </x:c>
      <x:c r="C309" s="6" t="inlineStr">
        <x:is>
          <x:t xml:space="preserve">Ogród zimowy szkło - pełna konstrukcja</x:t>
        </x:is>
      </x:c>
      <x:c r="D309" s="6" t="inlineStr">
        <x:is>
          <x:t xml:space="preserve">OGRODY SZKŁO</x:t>
        </x:is>
      </x:c>
      <x:c r="E309" s="8" t="n">
        <x:f>IFERROR(INDEX('02_RAW_INDEX'!$AL:$AL,MATCH($A309,'02_RAW_INDEX'!$A:$A,0)),"")</x:f>
        <x:v>30642</x:v>
      </x:c>
      <x:c r="F309" s="8" t="n">
        <x:f>IFERROR(INDEX('02_RAW_INDEX'!$AK:$AK,MATCH($A309,'02_RAW_INDEX'!$A:$A,0)),"")</x:f>
        <x:v>37690</x:v>
      </x:c>
      <x:c r="G309" s="7" t="n">
        <x:f>'01_Ustawienia'!$B$6</x:f>
        <x:v>0</x:v>
      </x:c>
      <x:c r="H309" s="8" t="n">
        <x:f>IF(E309="","",ROUND(IF('01_Ustawienia'!$B$5="BRUTTO",F309,E309)*(1-G309),0))</x:f>
        <x:v>30642</x:v>
      </x:c>
      <x:c r="I309" s="7" t="n">
        <x:f>IFERROR(IFERROR(INDEX('01_Ustawienia'!$B$15:$B$33,MATCH(B309,'01_Ustawienia'!$A$15:$A$33,0)),0.45),0.45)</x:f>
        <x:v>0.45</x:v>
      </x:c>
      <x:c r="J309" s="8" t="n">
        <x:f>IF(H309="","",ROUND(H309*(1+I309),0))</x:f>
        <x:v>44431</x:v>
      </x:c>
      <x:c r="K309" s="8" t="n">
        <x:f>IFERROR(IFERROR(INDEX(EG_Cennik_uslug!$N:$N,MATCH($A309,EG_Cennik_uslug!$A:$A,0)),0),0)</x:f>
        <x:v>5760</x:v>
      </x:c>
      <x:c r="L309" s="8" t="n">
        <x:f>IFERROR(IFERROR(INDEX(EG_Cennik_uslug!$O:$O,MATCH($A309,EG_Cennik_uslug!$A:$A,0)),0),0)</x:f>
        <x:v>2210</x:v>
      </x:c>
      <x:c r="M309" s="7" t="n">
        <x:f>IF('01_Ustawienia'!$B$4="ZWOLNIONY",0,'01_Ustawienia'!$B$7)</x:f>
        <x:v>0.08</x:v>
      </x:c>
      <x:c r="N309" s="8" t="n">
        <x:f>IF(J309="","",ROUND((J309+K309)*(1+M309),0))</x:f>
        <x:v>54206</x:v>
      </x:c>
      <x:c r="O309" s="8" t="n">
        <x:f>IF(J309="","",J309+K309-H309-L309)</x:f>
        <x:v>17339</x:v>
      </x:c>
      <x:c r="P309" s="7" t="n">
        <x:f>IFERROR(O309/(J309+K309),"")</x:f>
        <x:v>0.34546034149548727</x:v>
      </x:c>
      <x:c r="Q309" s="6" t="inlineStr">
        <x:is>
          <x:t xml:space="preserve">RAW_OS B/C</x:t>
        </x:is>
      </x:c>
      <x:c r="R309" s="6" t="inlineStr">
        <x:is>
          <x:t xml:space="preserve">OGRÓD ZIMOWY (KONSTRUKCJA)</x:t>
        </x:is>
      </x:c>
      <x:c r="S309" s="6" t="inlineStr">
        <x:is>
          <x:t xml:space="preserve">crm_only</x:t>
        </x:is>
      </x:c>
      <x:c r="T309" s="6" t="inlineStr">
        <x:is>
          <x:t xml:space="preserve">Referencyjne/full</x:t>
        </x:is>
      </x:c>
    </x:row>
    <x:row r="310" s="655" customFormat="1" ht="30" customHeight="1">
      <x:c r="A310" s="6" t="inlineStr">
        <x:is>
          <x:t xml:space="preserve">350 x 906 cm</x:t>
        </x:is>
      </x:c>
      <x:c r="B310" s="6" t="inlineStr">
        <x:is>
          <x:t xml:space="preserve">PDS</x:t>
        </x:is>
      </x:c>
      <x:c r="C310" s="6" t="inlineStr">
        <x:is>
          <x:t xml:space="preserve">Dopłata dach szkło przezroczyste</x:t>
        </x:is>
      </x:c>
      <x:c r="D310" s="6" t="inlineStr">
        <x:is>
          <x:t xml:space="preserve">POKRYCIE DACHU SZKŁO</x:t>
        </x:is>
      </x:c>
      <x:c r="E310" s="8" t="n">
        <x:f>IFERROR(IFERROR(INDEX('02_RAW_INDEX'!$V:$V,MATCH($A310,'02_RAW_INDEX'!$A:$A,0)),"")-IFERROR(INDEX('02_RAW_INDEX'!$D:$D,MATCH($A310,'02_RAW_INDEX'!$A:$A,0)),""),"")</x:f>
        <x:v>5943</x:v>
      </x:c>
      <x:c r="F310" s="8" t="n">
        <x:f>IFERROR(IFERROR(INDEX('02_RAW_INDEX'!$U:$U,MATCH($A310,'02_RAW_INDEX'!$A:$A,0)),"")-IFERROR(INDEX('02_RAW_INDEX'!$C:$C,MATCH($A310,'02_RAW_INDEX'!$A:$A,0)),""),"")</x:f>
        <x:v>7310</x:v>
      </x:c>
      <x:c r="G310" s="7" t="n">
        <x:f>'01_Ustawienia'!$B$6</x:f>
        <x:v>0</x:v>
      </x:c>
      <x:c r="H310" s="8" t="n">
        <x:f>IF(E310="","",ROUND(IF('01_Ustawienia'!$B$5="BRUTTO",F310,E310)*(1-G310),0))</x:f>
        <x:v>5943</x:v>
      </x:c>
      <x:c r="I310" s="7" t="n">
        <x:f>IFERROR(IFERROR(INDEX('01_Ustawienia'!$B$15:$B$33,MATCH(B310,'01_Ustawienia'!$A$15:$A$33,0)),0.45),0.45)</x:f>
        <x:v>0.45</x:v>
      </x:c>
      <x:c r="J310" s="8" t="n">
        <x:f>IF(H310="","",ROUND(H310*(1+I310),0))</x:f>
        <x:v>8617</x:v>
      </x:c>
      <x:c r="K310" s="8" t="n">
        <x:f>0</x:f>
        <x:v>0</x:v>
      </x:c>
      <x:c r="L310" s="8" t="n">
        <x:v>0</x:v>
      </x:c>
      <x:c r="M310" s="7" t="n">
        <x:f>IF('01_Ustawienia'!$B$4="ZWOLNIONY",0,'01_Ustawienia'!$B$7)</x:f>
        <x:v>0.08</x:v>
      </x:c>
      <x:c r="N310" s="8" t="n">
        <x:f>IF(J310="","",ROUND((J310+K310)*(1+M310),0))</x:f>
        <x:v>9306</x:v>
      </x:c>
      <x:c r="O310" s="8" t="n">
        <x:f>IF(J310="","",J310+K310-H310-L310)</x:f>
        <x:v>2674</x:v>
      </x:c>
      <x:c r="P310" s="7" t="n">
        <x:f>IFERROR(O310/(J310+K310),"")</x:f>
        <x:v>0.3103168155970755</x:v>
      </x:c>
      <x:c r="Q310" s="6" t="inlineStr">
        <x:is>
          <x:t xml:space="preserve">RAW_ZS - RAW_ZP</x:t>
        </x:is>
      </x:c>
      <x:c r="R310" s="6" t="inlineStr">
        <x:is>
          <x:t xml:space="preserve">POKRYCIE DACHU</x:t>
        </x:is>
      </x:c>
      <x:c r="S310" s="6" t="inlineStr">
        <x:is>
          <x:t xml:space="preserve">website+crm</x:t>
        </x:is>
      </x:c>
      <x:c r="T310" s="6" t="inlineStr">
        <x:is>
          <x:t xml:space="preserve">Dopłata do bazowego dachu poliwęglan | FIX17: Wynagr.+koszty = 0 dla dopłaty; nie jest osobnym montażem ekipy.</x:t>
        </x:is>
      </x:c>
    </x:row>
    <x:row r="311" s="655" customFormat="1" ht="30" customHeight="1">
      <x:c r="A311" s="6" t="inlineStr">
        <x:is>
          <x:t xml:space="preserve">350 x 906 cm</x:t>
        </x:is>
      </x:c>
      <x:c r="B311" s="6" t="inlineStr">
        <x:is>
          <x:t xml:space="preserve">PDSB</x:t>
        </x:is>
      </x:c>
      <x:c r="C311" s="6" t="inlineStr">
        <x:is>
          <x:t xml:space="preserve">Dopłata dach szkło barwione/mleczne</x:t>
        </x:is>
      </x:c>
      <x:c r="D311" s="6" t="inlineStr">
        <x:is>
          <x:t xml:space="preserve">POKRYCIE DACHU SZKŁO BARWIONE</x:t>
        </x:is>
      </x:c>
      <x:c r="E311" s="8" t="n">
        <x:f>IFERROR(INDEX('02_RAW_INDEX'!$X:$X,MATCH($A311,'02_RAW_INDEX'!$A:$A,0)),"")</x:f>
        <x:v>829</x:v>
      </x:c>
      <x:c r="F311" s="8" t="n">
        <x:f>IFERROR(INDEX('02_RAW_INDEX'!$W:$W,MATCH($A311,'02_RAW_INDEX'!$A:$A,0)),"")</x:f>
        <x:v>1020</x:v>
      </x:c>
      <x:c r="G311" s="7" t="n">
        <x:f>'01_Ustawienia'!$B$6</x:f>
        <x:v>0</x:v>
      </x:c>
      <x:c r="H311" s="8" t="n">
        <x:f>IF(E311="","",ROUND(IF('01_Ustawienia'!$B$5="BRUTTO",F311,E311)*(1-G311),0))</x:f>
        <x:v>829</x:v>
      </x:c>
      <x:c r="I311" s="7" t="n">
        <x:f>IFERROR(IFERROR(INDEX('01_Ustawienia'!$B$15:$B$33,MATCH(B311,'01_Ustawienia'!$A$15:$A$33,0)),0.45),0.45)</x:f>
        <x:v>0.45</x:v>
      </x:c>
      <x:c r="J311" s="8" t="n">
        <x:f>IF(H311="","",ROUND(H311*(1+I311),0))</x:f>
        <x:v>1202</x:v>
      </x:c>
      <x:c r="K311" s="8" t="n">
        <x:f>0</x:f>
        <x:v>0</x:v>
      </x:c>
      <x:c r="L311" s="8" t="n">
        <x:v>0</x:v>
      </x:c>
      <x:c r="M311" s="7" t="n">
        <x:f>IF('01_Ustawienia'!$B$4="ZWOLNIONY",0,'01_Ustawienia'!$B$7)</x:f>
        <x:v>0.08</x:v>
      </x:c>
      <x:c r="N311" s="8" t="n">
        <x:f>IF(J311="","",ROUND((J311+K311)*(1+M311),0))</x:f>
        <x:v>1298</x:v>
      </x:c>
      <x:c r="O311" s="8" t="n">
        <x:f>IF(J311="","",J311+K311-H311-L311)</x:f>
        <x:v>373</x:v>
      </x:c>
      <x:c r="P311" s="7" t="n">
        <x:f>IFERROR(O311/(J311+K311),"")</x:f>
        <x:v>0.3103161397670549</x:v>
      </x:c>
      <x:c r="Q311" s="6" t="inlineStr">
        <x:is>
          <x:t xml:space="preserve">RAW_ZS D/E</x:t>
        </x:is>
      </x:c>
      <x:c r="R311" s="6" t="inlineStr">
        <x:is>
          <x:t xml:space="preserve">POKRYCIE DACHU</x:t>
        </x:is>
      </x:c>
      <x:c r="S311" s="6" t="inlineStr">
        <x:is>
          <x:t xml:space="preserve">website+crm</x:t>
        </x:is>
      </x:c>
      <x:c r="T311" s="6" t="inlineStr">
        <x:is>
          <x:t xml:space="preserve">Dodawane do PDS | FIX17: Wynagr.+koszty = 0 dla dopłaty; nie jest osobnym montażem ekipy.</x:t>
        </x:is>
      </x:c>
    </x:row>
    <x:row r="312" s="655" customFormat="1" ht="30" customHeight="1">
      <x:c r="A312" s="6" t="inlineStr">
        <x:is>
          <x:t xml:space="preserve">350 x 906 cm</x:t>
        </x:is>
      </x:c>
      <x:c r="B312" s="6" t="inlineStr">
        <x:is>
          <x:t xml:space="preserve">PDPB</x:t>
        </x:is>
      </x:c>
      <x:c r="C312" s="6" t="inlineStr">
        <x:is>
          <x:t xml:space="preserve">Dopłata poliwęglan barwiony</x:t>
        </x:is>
      </x:c>
      <x:c r="D312" s="6" t="inlineStr">
        <x:is>
          <x:t xml:space="preserve">POKRYCIE DACHU POLIWĘGLAN BARWIONY</x:t>
        </x:is>
      </x:c>
      <x:c r="E312" s="8" t="n">
        <x:f>IFERROR(INDEX('02_RAW_INDEX'!$F:$F,MATCH($A312,'02_RAW_INDEX'!$A:$A,0)),"")</x:f>
        <x:v>366</x:v>
      </x:c>
      <x:c r="F312" s="8" t="n">
        <x:f>IFERROR(INDEX('02_RAW_INDEX'!$E:$E,MATCH($A312,'02_RAW_INDEX'!$A:$A,0)),"")</x:f>
        <x:v>450</x:v>
      </x:c>
      <x:c r="G312" s="7" t="n">
        <x:f>'01_Ustawienia'!$B$6</x:f>
        <x:v>0</x:v>
      </x:c>
      <x:c r="H312" s="8" t="n">
        <x:f>IF(E312="","",ROUND(IF('01_Ustawienia'!$B$5="BRUTTO",F312,E312)*(1-G312),0))</x:f>
        <x:v>366</x:v>
      </x:c>
      <x:c r="I312" s="7" t="n">
        <x:f>IFERROR(IFERROR(INDEX('01_Ustawienia'!$B$15:$B$33,MATCH(B312,'01_Ustawienia'!$A$15:$A$33,0)),0.45),0.45)</x:f>
        <x:v>0.45</x:v>
      </x:c>
      <x:c r="J312" s="8" t="n">
        <x:f>IF(H312="","",ROUND(H312*(1+I312),0))</x:f>
        <x:v>531</x:v>
      </x:c>
      <x:c r="K312" s="8" t="n">
        <x:f>0</x:f>
        <x:v>0</x:v>
      </x:c>
      <x:c r="L312" s="8" t="n">
        <x:v>0</x:v>
      </x:c>
      <x:c r="M312" s="7" t="n">
        <x:f>IF('01_Ustawienia'!$B$4="ZWOLNIONY",0,'01_Ustawienia'!$B$7)</x:f>
        <x:v>0.08</x:v>
      </x:c>
      <x:c r="N312" s="8" t="n">
        <x:f>IF(J312="","",ROUND((J312+K312)*(1+M312),0))</x:f>
        <x:v>573</x:v>
      </x:c>
      <x:c r="O312" s="8" t="n">
        <x:f>IF(J312="","",J312+K312-H312-L312)</x:f>
        <x:v>165</x:v>
      </x:c>
      <x:c r="P312" s="7" t="n">
        <x:f>IFERROR(O312/(J312+K312),"")</x:f>
        <x:v>0.3107344632768362</x:v>
      </x:c>
      <x:c r="Q312" s="6" t="inlineStr">
        <x:is>
          <x:t xml:space="preserve">RAW_ZP D/E</x:t>
        </x:is>
      </x:c>
      <x:c r="R312" s="6" t="inlineStr">
        <x:is>
          <x:t xml:space="preserve">POKRYCIE DACHU</x:t>
        </x:is>
      </x:c>
      <x:c r="S312" s="6" t="inlineStr">
        <x:is>
          <x:t xml:space="preserve">website+crm</x:t>
        </x:is>
      </x:c>
      <x:c r="T312" s="6" t="inlineStr">
        <x:is>
          <x:t xml:space="preserve">FIX17: Wynagr.+koszty = 0 dla dopłaty; nie jest osobnym montażem ekipy.</x:t>
        </x:is>
      </x:c>
    </x:row>
    <x:row r="313" s="655" customFormat="1" ht="30" customHeight="1">
      <x:c r="A313" s="6" t="inlineStr">
        <x:is>
          <x:t xml:space="preserve">350 x 906 cm</x:t>
        </x:is>
      </x:c>
      <x:c r="B313" s="6" t="inlineStr">
        <x:is>
          <x:t xml:space="preserve">SBB</x:t>
        </x:is>
      </x:c>
      <x:c r="C313" s="6" t="inlineStr">
        <x:is>
          <x:t xml:space="preserve">Dopłata szkło boczne przyciemniane</x:t>
        </x:is>
      </x:c>
      <x:c r="D313" s="6" t="inlineStr">
        <x:is>
          <x:t xml:space="preserve">SZKŁO BOCZNE BARWIONE</x:t>
        </x:is>
      </x:c>
      <x:c r="E313" s="8" t="n">
        <x:f>IFERROR(INDEX('02_RAW_INDEX'!$AB:$AB,MATCH($A313,'02_RAW_INDEX'!$A:$A,0)),"")</x:f>
        <x:v>1659</x:v>
      </x:c>
      <x:c r="F313" s="8" t="n">
        <x:f>IFERROR(INDEX('02_RAW_INDEX'!$AA:$AA,MATCH($A313,'02_RAW_INDEX'!$A:$A,0)),"")</x:f>
        <x:v>2040</x:v>
      </x:c>
      <x:c r="G313" s="7" t="n">
        <x:f>'01_Ustawienia'!$B$6</x:f>
        <x:v>0</x:v>
      </x:c>
      <x:c r="H313" s="8" t="n">
        <x:f>IF(E313="","",ROUND(IF('01_Ustawienia'!$B$5="BRUTTO",F313,E313)*(1-G313),0))</x:f>
        <x:v>1659</x:v>
      </x:c>
      <x:c r="I313" s="7" t="n">
        <x:f>IFERROR(IFERROR(INDEX('01_Ustawienia'!$B$15:$B$33,MATCH(B313,'01_Ustawienia'!$A$15:$A$33,0)),0.45),0.45)</x:f>
        <x:v>0.45</x:v>
      </x:c>
      <x:c r="J313" s="8" t="n">
        <x:f>IF(H313="","",ROUND(H313*(1+I313),0))</x:f>
        <x:v>2406</x:v>
      </x:c>
      <x:c r="K313" s="8" t="n">
        <x:f>0</x:f>
        <x:v>0</x:v>
      </x:c>
      <x:c r="L313" s="8" t="n">
        <x:v>0</x:v>
      </x:c>
      <x:c r="M313" s="7" t="n">
        <x:f>IF('01_Ustawienia'!$B$4="ZWOLNIONY",0,'01_Ustawienia'!$B$7)</x:f>
        <x:v>0.08</x:v>
      </x:c>
      <x:c r="N313" s="8" t="n">
        <x:f>IF(J313="","",ROUND((J313+K313)*(1+M313),0))</x:f>
        <x:v>2598</x:v>
      </x:c>
      <x:c r="O313" s="8" t="n">
        <x:f>IF(J313="","",J313+K313-H313-L313)</x:f>
        <x:v>747</x:v>
      </x:c>
      <x:c r="P313" s="7" t="n">
        <x:f>IFERROR(O313/(J313+K313),"")</x:f>
        <x:v>0.3104738154613466</x:v>
      </x:c>
      <x:c r="Q313" s="6" t="inlineStr">
        <x:is>
          <x:t xml:space="preserve">RAW_OP H/I</x:t>
        </x:is>
      </x:c>
      <x:c r="R313" s="6" t="inlineStr">
        <x:is>
          <x:t xml:space="preserve">SZYBY BOCZNE</x:t>
        </x:is>
      </x:c>
      <x:c r="S313" s="6" t="inlineStr">
        <x:is>
          <x:t xml:space="preserve">website+crm</x:t>
        </x:is>
      </x:c>
      <x:c r="T313" s="6" t="inlineStr">
        <x:is>
          <x:t xml:space="preserve">Dodawane do ścian przezroczystych | FIX17: Wynagr.+koszty = 0 dla dopłaty; nie jest osobnym montażem ekipy.</x:t>
        </x:is>
      </x:c>
    </x:row>
    <x:row r="314">
      <x:c r="A314" s="6" t="inlineStr">
        <x:is>
          <x:t xml:space="preserve">350 x 906 cm</x:t>
        </x:is>
      </x:c>
      <x:c r="B314" s="6" t="inlineStr">
        <x:is>
          <x:t xml:space="preserve">RB</x:t>
        </x:is>
      </x:c>
      <x:c r="C314" s="6" t="inlineStr">
        <x:is>
          <x:t xml:space="preserve">Roleta boczna ZIP</x:t>
        </x:is>
      </x:c>
      <x:c r="D314" s="6" t="inlineStr">
        <x:is>
          <x:t xml:space="preserve">ROLETA BOCZNA</x:t>
        </x:is>
      </x:c>
      <x:c r="E314" s="8" t="n">
        <x:f>IFERROR(INDEX('02_RAW_INDEX'!$J:$J,MATCH($A314,'02_RAW_INDEX'!$A:$A,0)),"")</x:f>
        <x:v>1902</x:v>
      </x:c>
      <x:c r="F314" s="8" t="n">
        <x:f>IFERROR(INDEX('02_RAW_INDEX'!$I:$I,MATCH($A314,'02_RAW_INDEX'!$A:$A,0)),"")</x:f>
        <x:v>2340</x:v>
      </x:c>
      <x:c r="G314" s="7" t="n">
        <x:f>'01_Ustawienia'!$B$6</x:f>
        <x:v>0</x:v>
      </x:c>
      <x:c r="H314" s="8" t="n">
        <x:f>IF(E314="","",ROUND(IF('01_Ustawienia'!$B$5="BRUTTO",F314,E314)*(1-G314),0))</x:f>
        <x:v>1902</x:v>
      </x:c>
      <x:c r="I314" s="7" t="n">
        <x:f>IFERROR(IFERROR(INDEX('01_Ustawienia'!$B$15:$B$33,MATCH(B314,'01_Ustawienia'!$A$15:$A$33,0)),0.45),0.45)</x:f>
        <x:v>0.45</x:v>
      </x:c>
      <x:c r="J314" s="8" t="n">
        <x:f>IF(H314="","",ROUND(H314*(1+I314),0))</x:f>
        <x:v>2758</x:v>
      </x:c>
      <x:c r="K314" s="8" t="n">
        <x:f>0</x:f>
        <x:v>0</x:v>
      </x:c>
      <x:c r="L314" s="8" t="n">
        <x:f>IFERROR(IFERROR(INDEX(EG_Cennik_uslug!$AC:$AC,MATCH($A314,EG_Cennik_uslug!$A:$A,0)),0),0)</x:f>
        <x:v>150</x:v>
      </x:c>
      <x:c r="M314" s="7" t="n">
        <x:f>IF('01_Ustawienia'!$B$4="ZWOLNIONY",0,'01_Ustawienia'!$B$7)</x:f>
        <x:v>0.08</x:v>
      </x:c>
      <x:c r="N314" s="8" t="n">
        <x:f>IF(J314="","",ROUND((J314+K314)*(1+M314),0))</x:f>
        <x:v>2979</x:v>
      </x:c>
      <x:c r="O314" s="8" t="n">
        <x:f>IF(J314="","",J314+K314-H314-L314)</x:f>
        <x:v>706</x:v>
      </x:c>
      <x:c r="P314" s="7" t="n">
        <x:f>IFERROR(O314/(J314+K314),"")</x:f>
        <x:v>0.25598259608411894</x:v>
      </x:c>
      <x:c r="Q314" s="6" t="inlineStr">
        <x:is>
          <x:t xml:space="preserve">RAW_ZP J/K</x:t>
        </x:is>
      </x:c>
      <x:c r="R314" s="6" t="inlineStr">
        <x:is>
          <x:t xml:space="preserve">ROLETY BOCZNE</x:t>
        </x:is>
      </x:c>
      <x:c r="S314" s="6" t="inlineStr">
        <x:is>
          <x:t xml:space="preserve">website+crm</x:t>
        </x:is>
      </x:c>
      <x:c r="T314" s="6" t="inlineStr">
        <x:is>
          <x:t xml:space="preserve">Używana dla lewej i prawej</x:t>
        </x:is>
      </x:c>
    </x:row>
    <x:row r="315">
      <x:c r="A315" s="6" t="inlineStr">
        <x:is>
          <x:t xml:space="preserve">350 x 906 cm</x:t>
        </x:is>
      </x:c>
      <x:c r="B315" s="6" t="inlineStr">
        <x:is>
          <x:t xml:space="preserve">RP</x:t>
        </x:is>
      </x:c>
      <x:c r="C315" s="6" t="inlineStr">
        <x:is>
          <x:t xml:space="preserve">Roleta przednia ZIP</x:t>
        </x:is>
      </x:c>
      <x:c r="D315" s="6" t="inlineStr">
        <x:is>
          <x:t xml:space="preserve">ROLETA PRZÓD</x:t>
        </x:is>
      </x:c>
      <x:c r="E315" s="8" t="n">
        <x:f>IFERROR(INDEX('02_RAW_INDEX'!$L:$L,MATCH($A315,'02_RAW_INDEX'!$A:$A,0)),"")</x:f>
        <x:v>5203</x:v>
      </x:c>
      <x:c r="F315" s="8" t="n">
        <x:f>IFERROR(INDEX('02_RAW_INDEX'!$K:$K,MATCH($A315,'02_RAW_INDEX'!$A:$A,0)),"")</x:f>
        <x:v>6400</x:v>
      </x:c>
      <x:c r="G315" s="7" t="n">
        <x:f>'01_Ustawienia'!$B$6</x:f>
        <x:v>0</x:v>
      </x:c>
      <x:c r="H315" s="8" t="n">
        <x:f>IF(E315="","",ROUND(IF('01_Ustawienia'!$B$5="BRUTTO",F315,E315)*(1-G315),0))</x:f>
        <x:v>5203</x:v>
      </x:c>
      <x:c r="I315" s="7" t="n">
        <x:f>IFERROR(IFERROR(INDEX('01_Ustawienia'!$B$15:$B$33,MATCH(B315,'01_Ustawienia'!$A$15:$A$33,0)),0.45),0.45)</x:f>
        <x:v>0.45</x:v>
      </x:c>
      <x:c r="J315" s="8" t="n">
        <x:f>IF(H315="","",ROUND(H315*(1+I315),0))</x:f>
        <x:v>7544</x:v>
      </x:c>
      <x:c r="K315" s="8" t="n">
        <x:f>0</x:f>
        <x:v>0</x:v>
      </x:c>
      <x:c r="L315" s="8" t="n">
        <x:f>IFERROR(IFERROR(INDEX(EG_Cennik_uslug!$AJ:$AJ,MATCH($A315,EG_Cennik_uslug!$A:$A,0)),0),0)</x:f>
        <x:v>450</x:v>
      </x:c>
      <x:c r="M315" s="7" t="n">
        <x:f>IF('01_Ustawienia'!$B$4="ZWOLNIONY",0,'01_Ustawienia'!$B$7)</x:f>
        <x:v>0.08</x:v>
      </x:c>
      <x:c r="N315" s="8" t="n">
        <x:f>IF(J315="","",ROUND((J315+K315)*(1+M315),0))</x:f>
        <x:v>8148</x:v>
      </x:c>
      <x:c r="O315" s="8" t="n">
        <x:f>IF(J315="","",J315+K315-H315-L315)</x:f>
        <x:v>1891</x:v>
      </x:c>
      <x:c r="P315" s="7" t="n">
        <x:f>IFERROR(O315/(J315+K315),"")</x:f>
        <x:v>0.2506627783669141</x:v>
      </x:c>
      <x:c r="Q315" s="6" t="inlineStr">
        <x:is>
          <x:t xml:space="preserve">RAW_ZP N/O</x:t>
        </x:is>
      </x:c>
      <x:c r="R315" s="6" t="inlineStr">
        <x:is>
          <x:t xml:space="preserve">ROLETY BOCZNE</x:t>
        </x:is>
      </x:c>
      <x:c r="S315" s="6" t="inlineStr">
        <x:is>
          <x:t xml:space="preserve">website+crm</x:t>
        </x:is>
      </x:c>
      <x:c r="T315" s="6" t="n"/>
    </x:row>
    <x:row r="316">
      <x:c r="A316" s="6" t="inlineStr">
        <x:is>
          <x:t xml:space="preserve">350 x 906 cm</x:t>
        </x:is>
      </x:c>
      <x:c r="B316" s="6" t="inlineStr">
        <x:is>
          <x:t xml:space="preserve">M</x:t>
        </x:is>
      </x:c>
      <x:c r="C316" s="6" t="inlineStr">
        <x:is>
          <x:t xml:space="preserve">Markiza dachowa</x:t>
        </x:is>
      </x:c>
      <x:c r="D316" s="6" t="inlineStr">
        <x:is>
          <x:t xml:space="preserve">MARKIZA</x:t>
        </x:is>
      </x:c>
      <x:c r="E316" s="8" t="n">
        <x:f>IFERROR(INDEX('02_RAW_INDEX'!$H:$H,MATCH($A316,'02_RAW_INDEX'!$A:$A,0)),"")</x:f>
        <x:v>7886</x:v>
      </x:c>
      <x:c r="F316" s="8" t="n">
        <x:f>IFERROR(INDEX('02_RAW_INDEX'!$G:$G,MATCH($A316,'02_RAW_INDEX'!$A:$A,0)),"")</x:f>
        <x:v>9700</x:v>
      </x:c>
      <x:c r="G316" s="7" t="n">
        <x:f>'01_Ustawienia'!$B$6</x:f>
        <x:v>0</x:v>
      </x:c>
      <x:c r="H316" s="8" t="n">
        <x:f>IF(E316="","",ROUND(IF('01_Ustawienia'!$B$5="BRUTTO",F316,E316)*(1-G316),0))</x:f>
        <x:v>7886</x:v>
      </x:c>
      <x:c r="I316" s="7" t="n">
        <x:f>IFERROR(IFERROR(INDEX('01_Ustawienia'!$B$15:$B$33,MATCH(B316,'01_Ustawienia'!$A$15:$A$33,0)),0.45),0.45)</x:f>
        <x:v>0.45</x:v>
      </x:c>
      <x:c r="J316" s="8" t="n">
        <x:f>IF(H316="","",ROUND(H316*(1+I316),0))</x:f>
        <x:v>11435</x:v>
      </x:c>
      <x:c r="K316" s="8" t="n">
        <x:f>0</x:f>
        <x:v>0</x:v>
      </x:c>
      <x:c r="L316" s="8" t="n">
        <x:f>IFERROR(IFERROR(INDEX(EG_Cennik_uslug!$AQ:$AQ,MATCH($A316,EG_Cennik_uslug!$A:$A,0)),0),0)</x:f>
        <x:v>550</x:v>
      </x:c>
      <x:c r="M316" s="7" t="n">
        <x:f>IF('01_Ustawienia'!$B$4="ZWOLNIONY",0,'01_Ustawienia'!$B$7)</x:f>
        <x:v>0.08</x:v>
      </x:c>
      <x:c r="N316" s="8" t="n">
        <x:f>IF(J316="","",ROUND((J316+K316)*(1+M316),0))</x:f>
        <x:v>12350</x:v>
      </x:c>
      <x:c r="O316" s="8" t="n">
        <x:f>IF(J316="","",J316+K316-H316-L316)</x:f>
        <x:v>2999</x:v>
      </x:c>
      <x:c r="P316" s="7" t="n">
        <x:f>IFERROR(O316/(J316+K316),"")</x:f>
        <x:v>0.26226497595102755</x:v>
      </x:c>
      <x:c r="Q316" s="6" t="inlineStr">
        <x:is>
          <x:t xml:space="preserve">RAW_ZP H/I</x:t>
        </x:is>
      </x:c>
      <x:c r="R316" s="6" t="inlineStr">
        <x:is>
          <x:t xml:space="preserve">MARKIZA</x:t>
        </x:is>
      </x:c>
      <x:c r="S316" s="6" t="inlineStr">
        <x:is>
          <x:t xml:space="preserve">website+crm</x:t>
        </x:is>
      </x:c>
      <x:c r="T316" s="6" t="n"/>
    </x:row>
    <x:row r="317">
      <x:c r="A317" s="6" t="inlineStr">
        <x:is>
          <x:t xml:space="preserve">350 x 906 cm</x:t>
        </x:is>
      </x:c>
      <x:c r="B317" s="6" t="inlineStr">
        <x:is>
          <x:t xml:space="preserve">PDWP</x:t>
        </x:is>
      </x:c>
      <x:c r="C317" s="6" t="inlineStr">
        <x:is>
          <x:t xml:space="preserve">Fundament/profile</x:t>
        </x:is>
      </x:c>
      <x:c r="D317" s="6" t="inlineStr">
        <x:is>
          <x:t xml:space="preserve">FUNDAMENT / PROFILE</x:t>
        </x:is>
      </x:c>
      <x:c r="E317" s="8" t="n">
        <x:f>IFERROR(INDEX('02_RAW_INDEX'!$AH:$AH,MATCH($A317,'02_RAW_INDEX'!$A:$A,0)),"")</x:f>
        <x:v>1195</x:v>
      </x:c>
      <x:c r="F317" s="8" t="n">
        <x:f>IFERROR(INDEX('02_RAW_INDEX'!$AG:$AG,MATCH($A317,'02_RAW_INDEX'!$A:$A,0)),"")</x:f>
        <x:v>1470</x:v>
      </x:c>
      <x:c r="G317" s="7" t="n">
        <x:f>'01_Ustawienia'!$B$6</x:f>
        <x:v>0</x:v>
      </x:c>
      <x:c r="H317" s="8" t="n">
        <x:f>IF(E317="","",ROUND(IF('01_Ustawienia'!$B$5="BRUTTO",F317,E317)*(1-G317),0))</x:f>
        <x:v>1195</x:v>
      </x:c>
      <x:c r="I317" s="7" t="n">
        <x:f>IFERROR(IFERROR(INDEX('01_Ustawienia'!$B$15:$B$33,MATCH(B317,'01_Ustawienia'!$A$15:$A$33,0)),0.45),0.45)</x:f>
        <x:v>1.2</x:v>
      </x:c>
      <x:c r="J317" s="8" t="n">
        <x:f>IF(H317="","",ROUND(H317*(1+I317),0))</x:f>
        <x:v>2629</x:v>
      </x:c>
      <x:c r="K317" s="8" t="n">
        <x:f>0</x:f>
        <x:v>0</x:v>
      </x:c>
      <x:c r="L317" s="8" t="n">
        <x:f>IFERROR(IFERROR(INDEX(EG_Cennik_uslug!$BT:$BT,MATCH($A317,EG_Cennik_uslug!$A:$A,0)),0),0)</x:f>
        <x:v>560</x:v>
      </x:c>
      <x:c r="M317" s="7" t="n">
        <x:f>IF('01_Ustawienia'!$B$4="ZWOLNIONY",0,'01_Ustawienia'!$B$7)</x:f>
        <x:v>0.08</x:v>
      </x:c>
      <x:c r="N317" s="8" t="n">
        <x:f>IF(J317="","",ROUND((J317+K317)*(1+M317),0))</x:f>
        <x:v>2839</x:v>
      </x:c>
      <x:c r="O317" s="8" t="n">
        <x:f>IF(J317="","",J317+K317-H317-L317)</x:f>
        <x:v>874</x:v>
      </x:c>
      <x:c r="P317" s="7" t="n">
        <x:f>IFERROR(O317/(J317+K317),"")</x:f>
        <x:v>0.33244579688094333</x:v>
      </x:c>
      <x:c r="Q317" s="6" t="inlineStr">
        <x:is>
          <x:t xml:space="preserve">RAW_OP AB/AC</x:t>
        </x:is>
      </x:c>
      <x:c r="R317" s="6" t="inlineStr">
        <x:is>
          <x:t xml:space="preserve">FUNDAMENT (PROFILE)</x:t>
        </x:is>
      </x:c>
      <x:c r="S317" s="6" t="inlineStr">
        <x:is>
          <x:t xml:space="preserve">website+crm</x:t>
        </x:is>
      </x:c>
      <x:c r="T317" s="6" t="n"/>
    </x:row>
    <x:row r="318" s="655" customFormat="1" ht="30" customHeight="1">
      <x:c r="A318" s="6" t="inlineStr">
        <x:is>
          <x:t xml:space="preserve">350 x 906 cm</x:t>
        </x:is>
      </x:c>
      <x:c r="B318" s="6" t="inlineStr">
        <x:is>
          <x:t xml:space="preserve">ZAB</x:t>
        </x:is>
      </x:c>
      <x:c r="C318" s="6" t="inlineStr">
        <x:is>
          <x:t xml:space="preserve">Zabieraki do ścian przesuwnych</x:t>
        </x:is>
      </x:c>
      <x:c r="D318" s="6" t="inlineStr">
        <x:is>
          <x:t xml:space="preserve">DODATKI</x:t>
        </x:is>
      </x:c>
      <x:c r="E318" s="8" t="n">
        <x:f>IFERROR(INDEX('02_RAW_INDEX'!$AJ:$AJ,MATCH($A318,'02_RAW_INDEX'!$A:$A,0)),"")</x:f>
        <x:v>390</x:v>
      </x:c>
      <x:c r="F318" s="8" t="n">
        <x:f>IFERROR(INDEX('02_RAW_INDEX'!$AI:$AI,MATCH($A318,'02_RAW_INDEX'!$A:$A,0)),"")</x:f>
        <x:v>480</x:v>
      </x:c>
      <x:c r="G318" s="7" t="n">
        <x:f>'01_Ustawienia'!$B$6</x:f>
        <x:v>0</x:v>
      </x:c>
      <x:c r="H318" s="8" t="n">
        <x:f>IF(E318="","",ROUND(IF('01_Ustawienia'!$B$5="BRUTTO",F318,E318)*(1-G318),0))</x:f>
        <x:v>390</x:v>
      </x:c>
      <x:c r="I318" s="7" t="n">
        <x:f>IFERROR(IFERROR(INDEX('01_Ustawienia'!$B$15:$B$33,MATCH(B318,'01_Ustawienia'!$A$15:$A$33,0)),0.45),0.45)</x:f>
        <x:v>0.45</x:v>
      </x:c>
      <x:c r="J318" s="8" t="n">
        <x:f>IF(H318="","",ROUND(H318*(1+I318),0))</x:f>
        <x:v>566</x:v>
      </x:c>
      <x:c r="K318" s="8" t="n">
        <x:f>0</x:f>
        <x:v>0</x:v>
      </x:c>
      <x:c r="L318" s="8" t="n">
        <x:f>0</x:f>
        <x:v>0</x:v>
      </x:c>
      <x:c r="M318" s="7" t="n">
        <x:f>IF('01_Ustawienia'!$B$4="ZWOLNIONY",0,'01_Ustawienia'!$B$7)</x:f>
        <x:v>0.08</x:v>
      </x:c>
      <x:c r="N318" s="8" t="n">
        <x:f>IF(J318="","",ROUND((J318+K318)*(1+M318),0))</x:f>
        <x:v>611</x:v>
      </x:c>
      <x:c r="O318" s="8" t="n">
        <x:f>IF(J318="","",J318+K318-H318-L318)</x:f>
        <x:v>176</x:v>
      </x:c>
      <x:c r="P318" s="7" t="n">
        <x:f>IFERROR(O318/(J318+K318),"")</x:f>
        <x:v>0.31095406360424027</x:v>
      </x:c>
      <x:c r="Q318" s="6" t="inlineStr">
        <x:is>
          <x:t xml:space="preserve">RAW_OP AD/AE</x:t>
        </x:is>
      </x:c>
      <x:c r="R318" s="6" t="inlineStr">
        <x:is>
          <x:t xml:space="preserve">DODATKI</x:t>
        </x:is>
      </x:c>
      <x:c r="S318" s="6" t="inlineStr">
        <x:is>
          <x:t xml:space="preserve">crm_only</x:t>
        </x:is>
      </x:c>
      <x:c r="T318" s="6" t="n"/>
    </x:row>
    <x:row r="319">
      <x:c r="A319" s="6" t="inlineStr">
        <x:is>
          <x:t xml:space="preserve">350 x 906 cm</x:t>
        </x:is>
      </x:c>
      <x:c r="B319" s="6" t="inlineStr">
        <x:is>
          <x:t xml:space="preserve">S</x:t>
        </x:is>
      </x:c>
      <x:c r="C319" s="6" t="inlineStr">
        <x:is>
          <x:t xml:space="preserve">Szczotki przeciwkurzowe</x:t>
        </x:is>
      </x:c>
      <x:c r="D319" s="6" t="inlineStr">
        <x:is>
          <x:t xml:space="preserve">SZCZOTKI</x:t>
        </x:is>
      </x:c>
      <x:c r="E319" s="8" t="n">
        <x:f>IFERROR(INDEX('02_RAW_INDEX'!$AD:$AD,MATCH($A319,'02_RAW_INDEX'!$A:$A,0)),"")</x:f>
        <x:v>528</x:v>
      </x:c>
      <x:c r="F319" s="8" t="n">
        <x:f>IFERROR(INDEX('02_RAW_INDEX'!$AC:$AC,MATCH($A319,'02_RAW_INDEX'!$A:$A,0)),"")</x:f>
        <x:v>650</x:v>
      </x:c>
      <x:c r="G319" s="7" t="n">
        <x:f>'01_Ustawienia'!$B$6</x:f>
        <x:v>0</x:v>
      </x:c>
      <x:c r="H319" s="8" t="n">
        <x:f>IF(E319="","",ROUND(IF('01_Ustawienia'!$B$5="BRUTTO",F319,E319)*(1-G319),0))</x:f>
        <x:v>528</x:v>
      </x:c>
      <x:c r="I319" s="7" t="n">
        <x:f>IFERROR(IFERROR(INDEX('01_Ustawienia'!$B$15:$B$33,MATCH(B319,'01_Ustawienia'!$A$15:$A$33,0)),0.45),0.45)</x:f>
        <x:v>0.45</x:v>
      </x:c>
      <x:c r="J319" s="8" t="n">
        <x:f>IF(H319="","",ROUND(H319*(1+I319),0))</x:f>
        <x:v>766</x:v>
      </x:c>
      <x:c r="K319" s="8" t="n">
        <x:f>0</x:f>
        <x:v>0</x:v>
      </x:c>
      <x:c r="L319" s="8" t="n">
        <x:f>IFERROR(IFERROR(INDEX(EG_Cennik_uslug!$CA:$CA,MATCH($A319,EG_Cennik_uslug!$A:$A,0)),0),0)</x:f>
        <x:v>0</x:v>
      </x:c>
      <x:c r="M319" s="7" t="n">
        <x:f>IF('01_Ustawienia'!$B$4="ZWOLNIONY",0,'01_Ustawienia'!$B$7)</x:f>
        <x:v>0.08</x:v>
      </x:c>
      <x:c r="N319" s="8" t="n">
        <x:f>IF(J319="","",ROUND((J319+K319)*(1+M319),0))</x:f>
        <x:v>827</x:v>
      </x:c>
      <x:c r="O319" s="8" t="n">
        <x:f>IF(J319="","",J319+K319-H319-L319)</x:f>
        <x:v>238</x:v>
      </x:c>
      <x:c r="P319" s="7" t="n">
        <x:f>IFERROR(O319/(J319+K319),"")</x:f>
        <x:v>0.31070496083550914</x:v>
      </x:c>
      <x:c r="Q319" s="6" t="inlineStr">
        <x:is>
          <x:t xml:space="preserve">RAW_OP L/M</x:t>
        </x:is>
      </x:c>
      <x:c r="R319" s="6" t="inlineStr">
        <x:is>
          <x:t xml:space="preserve">DODATKI</x:t>
        </x:is>
      </x:c>
      <x:c r="S319" s="6" t="inlineStr">
        <x:is>
          <x:t xml:space="preserve">website+crm</x:t>
        </x:is>
      </x:c>
      <x:c r="T319" s="6" t="n"/>
    </x:row>
    <x:row r="320">
      <x:c r="A320" s="6" t="inlineStr">
        <x:is>
          <x:t xml:space="preserve">350 x 906 cm</x:t>
        </x:is>
      </x:c>
      <x:c r="B320" s="6" t="inlineStr">
        <x:is>
          <x:t xml:space="preserve">U</x:t>
        </x:is>
      </x:c>
      <x:c r="C320" s="6" t="inlineStr">
        <x:is>
          <x:t xml:space="preserve">Uchwyty na szkło ścienne</x:t>
        </x:is>
      </x:c>
      <x:c r="D320" s="6" t="inlineStr">
        <x:is>
          <x:t xml:space="preserve">UCHWYTY</x:t>
        </x:is>
      </x:c>
      <x:c r="E320" s="8" t="n">
        <x:f>IFERROR(INDEX('02_RAW_INDEX'!$AF:$AF,MATCH($A320,'02_RAW_INDEX'!$A:$A,0)),"")</x:f>
        <x:v>480</x:v>
      </x:c>
      <x:c r="F320" s="8" t="n">
        <x:f>IFERROR(INDEX('02_RAW_INDEX'!$AE:$AE,MATCH($A320,'02_RAW_INDEX'!$A:$A,0)),"")</x:f>
        <x:v>590</x:v>
      </x:c>
      <x:c r="G320" s="7" t="n">
        <x:f>'01_Ustawienia'!$B$6</x:f>
        <x:v>0</x:v>
      </x:c>
      <x:c r="H320" s="8" t="n">
        <x:f>IF(E320="","",ROUND(IF('01_Ustawienia'!$B$5="BRUTTO",F320,E320)*(1-G320),0))</x:f>
        <x:v>480</x:v>
      </x:c>
      <x:c r="I320" s="7" t="n">
        <x:f>IFERROR(IFERROR(INDEX('01_Ustawienia'!$B$15:$B$33,MATCH(B320,'01_Ustawienia'!$A$15:$A$33,0)),0.45),0.45)</x:f>
        <x:v>0.45</x:v>
      </x:c>
      <x:c r="J320" s="8" t="n">
        <x:f>IF(H320="","",ROUND(H320*(1+I320),0))</x:f>
        <x:v>696</x:v>
      </x:c>
      <x:c r="K320" s="8" t="n">
        <x:f>0</x:f>
        <x:v>0</x:v>
      </x:c>
      <x:c r="L320" s="8" t="n">
        <x:f>IFERROR(IFERROR(INDEX(EG_Cennik_uslug!$CH:$CH,MATCH($A320,EG_Cennik_uslug!$A:$A,0)),0),0)</x:f>
        <x:v>0</x:v>
      </x:c>
      <x:c r="M320" s="7" t="n">
        <x:f>IF('01_Ustawienia'!$B$4="ZWOLNIONY",0,'01_Ustawienia'!$B$7)</x:f>
        <x:v>0.08</x:v>
      </x:c>
      <x:c r="N320" s="8" t="n">
        <x:f>IF(J320="","",ROUND((J320+K320)*(1+M320),0))</x:f>
        <x:v>752</x:v>
      </x:c>
      <x:c r="O320" s="8" t="n">
        <x:f>IF(J320="","",J320+K320-H320-L320)</x:f>
        <x:v>216</x:v>
      </x:c>
      <x:c r="P320" s="7" t="n">
        <x:f>IFERROR(O320/(J320+K320),"")</x:f>
        <x:v>0.3103448275862069</x:v>
      </x:c>
      <x:c r="Q320" s="6" t="inlineStr">
        <x:is>
          <x:t xml:space="preserve">RAW_OP N/O</x:t>
        </x:is>
      </x:c>
      <x:c r="R320" s="6" t="inlineStr">
        <x:is>
          <x:t xml:space="preserve">DODATKI</x:t>
        </x:is>
      </x:c>
      <x:c r="S320" s="6" t="inlineStr">
        <x:is>
          <x:t xml:space="preserve">website+crm</x:t>
        </x:is>
      </x:c>
      <x:c r="T320" s="6" t="n"/>
    </x:row>
    <x:row r="321">
      <x:c r="A321" s="6" t="inlineStr">
        <x:is>
          <x:t xml:space="preserve">350 x 906 cm</x:t>
        </x:is>
      </x:c>
      <x:c r="B321" s="6" t="inlineStr">
        <x:is>
          <x:t xml:space="preserve">LED2</x:t>
        </x:is>
      </x:c>
      <x:c r="C321" s="6" t="inlineStr">
        <x:is>
          <x:t xml:space="preserve">Oświetlenie LED 2 punkty</x:t>
        </x:is>
      </x:c>
      <x:c r="D321" s="6" t="inlineStr">
        <x:is>
          <x:t xml:space="preserve">LED 2 PKT</x:t>
        </x:is>
      </x:c>
      <x:c r="E321" s="8" t="n">
        <x:f>IFERROR(INDEX('02_RAW_INDEX'!$N:$N,MATCH($A321,'02_RAW_INDEX'!$A:$A,0)),"")</x:f>
        <x:v>846</x:v>
      </x:c>
      <x:c r="F321" s="8" t="n">
        <x:f>IFERROR(INDEX('02_RAW_INDEX'!$M:$M,MATCH($A321,'02_RAW_INDEX'!$A:$A,0)),"")</x:f>
        <x:v>1040</x:v>
      </x:c>
      <x:c r="G321" s="7" t="n">
        <x:f>'01_Ustawienia'!$B$6</x:f>
        <x:v>0</x:v>
      </x:c>
      <x:c r="H321" s="8" t="n">
        <x:f>IF(E321="","",ROUND(IF('01_Ustawienia'!$B$5="BRUTTO",F321,E321)*(1-G321),0))</x:f>
        <x:v>846</x:v>
      </x:c>
      <x:c r="I321" s="7" t="n">
        <x:f>IFERROR(IFERROR(INDEX('01_Ustawienia'!$B$15:$B$33,MATCH(B321,'01_Ustawienia'!$A$15:$A$33,0)),0.45),0.45)</x:f>
        <x:v>0.45</x:v>
      </x:c>
      <x:c r="J321" s="8" t="n">
        <x:f>IF(H321="","",ROUND(H321*(1+I321),0))</x:f>
        <x:v>1227</x:v>
      </x:c>
      <x:c r="K321" s="8" t="n">
        <x:f>0</x:f>
        <x:v>0</x:v>
      </x:c>
      <x:c r="L321" s="8" t="n">
        <x:f>IFERROR(IFERROR(INDEX(EG_Cennik_uslug!$CO:$CO,MATCH($A321,EG_Cennik_uslug!$A:$A,0)),0),0)</x:f>
        <x:v>0</x:v>
      </x:c>
      <x:c r="M321" s="7" t="n">
        <x:f>IF('01_Ustawienia'!$B$4="ZWOLNIONY",0,'01_Ustawienia'!$B$7)</x:f>
        <x:v>0.08</x:v>
      </x:c>
      <x:c r="N321" s="8" t="n">
        <x:f>IF(J321="","",ROUND((J321+K321)*(1+M321),0))</x:f>
        <x:v>1325</x:v>
      </x:c>
      <x:c r="O321" s="8" t="n">
        <x:f>IF(J321="","",J321+K321-H321-L321)</x:f>
        <x:v>381</x:v>
      </x:c>
      <x:c r="P321" s="7" t="n">
        <x:f>IFERROR(O321/(J321+K321),"")</x:f>
        <x:v>0.3105134474327628</x:v>
      </x:c>
      <x:c r="Q321" s="6" t="inlineStr">
        <x:is>
          <x:t xml:space="preserve">RAW_ZP P/Q</x:t>
        </x:is>
      </x:c>
      <x:c r="R321" s="6" t="inlineStr">
        <x:is>
          <x:t xml:space="preserve">OŚWIETLENIE</x:t>
        </x:is>
      </x:c>
      <x:c r="S321" s="6" t="inlineStr">
        <x:is>
          <x:t xml:space="preserve">website+crm</x:t>
        </x:is>
      </x:c>
      <x:c r="T321" s="6" t="n"/>
    </x:row>
    <x:row r="322">
      <x:c r="A322" s="6" t="inlineStr">
        <x:is>
          <x:t xml:space="preserve">350 x 906 cm</x:t>
        </x:is>
      </x:c>
      <x:c r="B322" s="6" t="inlineStr">
        <x:is>
          <x:t xml:space="preserve">LED3</x:t>
        </x:is>
      </x:c>
      <x:c r="C322" s="6" t="inlineStr">
        <x:is>
          <x:t xml:space="preserve">Oświetlenie LED 3 punkty</x:t>
        </x:is>
      </x:c>
      <x:c r="D322" s="6" t="inlineStr">
        <x:is>
          <x:t xml:space="preserve">LED 3 PKT</x:t>
        </x:is>
      </x:c>
      <x:c r="E322" s="8" t="n">
        <x:f>IFERROR(INDEX('02_RAW_INDEX'!$P:$P,MATCH($A322,'02_RAW_INDEX'!$A:$A,0)),"")</x:f>
        <x:v>1268</x:v>
      </x:c>
      <x:c r="F322" s="8" t="n">
        <x:f>IFERROR(INDEX('02_RAW_INDEX'!$O:$O,MATCH($A322,'02_RAW_INDEX'!$A:$A,0)),"")</x:f>
        <x:v>1560</x:v>
      </x:c>
      <x:c r="G322" s="7" t="n">
        <x:f>'01_Ustawienia'!$B$6</x:f>
        <x:v>0</x:v>
      </x:c>
      <x:c r="H322" s="8" t="n">
        <x:f>IF(E322="","",ROUND(IF('01_Ustawienia'!$B$5="BRUTTO",F322,E322)*(1-G322),0))</x:f>
        <x:v>1268</x:v>
      </x:c>
      <x:c r="I322" s="7" t="n">
        <x:f>IFERROR(IFERROR(INDEX('01_Ustawienia'!$B$15:$B$33,MATCH(B322,'01_Ustawienia'!$A$15:$A$33,0)),0.45),0.45)</x:f>
        <x:v>0.45</x:v>
      </x:c>
      <x:c r="J322" s="8" t="n">
        <x:f>IF(H322="","",ROUND(H322*(1+I322),0))</x:f>
        <x:v>1839</x:v>
      </x:c>
      <x:c r="K322" s="8" t="n">
        <x:f>0</x:f>
        <x:v>0</x:v>
      </x:c>
      <x:c r="L322" s="8" t="n">
        <x:f>IFERROR(IFERROR(INDEX(EG_Cennik_uslug!$CV:$CV,MATCH($A322,EG_Cennik_uslug!$A:$A,0)),0),0)</x:f>
        <x:v>0</x:v>
      </x:c>
      <x:c r="M322" s="7" t="n">
        <x:f>IF('01_Ustawienia'!$B$4="ZWOLNIONY",0,'01_Ustawienia'!$B$7)</x:f>
        <x:v>0.08</x:v>
      </x:c>
      <x:c r="N322" s="8" t="n">
        <x:f>IF(J322="","",ROUND((J322+K322)*(1+M322),0))</x:f>
        <x:v>1986</x:v>
      </x:c>
      <x:c r="O322" s="8" t="n">
        <x:f>IF(J322="","",J322+K322-H322-L322)</x:f>
        <x:v>571</x:v>
      </x:c>
      <x:c r="P322" s="7" t="n">
        <x:f>IFERROR(O322/(J322+K322),"")</x:f>
        <x:v>0.31049483414899404</x:v>
      </x:c>
      <x:c r="Q322" s="6" t="inlineStr">
        <x:is>
          <x:t xml:space="preserve">RAW_ZP R/S</x:t>
        </x:is>
      </x:c>
      <x:c r="R322" s="6" t="inlineStr">
        <x:is>
          <x:t xml:space="preserve">OŚWIETLENIE</x:t>
        </x:is>
      </x:c>
      <x:c r="S322" s="6" t="inlineStr">
        <x:is>
          <x:t xml:space="preserve">website+crm</x:t>
        </x:is>
      </x:c>
      <x:c r="T322" s="6" t="inlineStr">
        <x:is>
          <x:t xml:space="preserve">Nazwa do potwierdzenia</x:t>
        </x:is>
      </x:c>
    </x:row>
    <x:row r="323">
      <x:c r="A323" s="6" t="inlineStr">
        <x:is>
          <x:t xml:space="preserve">350 x 906 cm</x:t>
        </x:is>
      </x:c>
      <x:c r="B323" s="6" t="inlineStr">
        <x:is>
          <x:t xml:space="preserve">LEDCCT</x:t>
        </x:is>
      </x:c>
      <x:c r="C323" s="6" t="inlineStr">
        <x:is>
          <x:t xml:space="preserve">Oświetlenie LED CCT</x:t>
        </x:is>
      </x:c>
      <x:c r="D323" s="6" t="inlineStr">
        <x:is>
          <x:t xml:space="preserve">OŚWIETLENIE</x:t>
        </x:is>
      </x:c>
      <x:c r="E323" s="8" t="n">
        <x:f>IFERROR(INDEX('02_RAW_INDEX'!$R:$R,MATCH($A323,'02_RAW_INDEX'!$A:$A,0)),"")</x:f>
        <x:v>1780</x:v>
      </x:c>
      <x:c r="F323" s="8" t="n">
        <x:f>IFERROR(INDEX('02_RAW_INDEX'!$Q:$Q,MATCH($A323,'02_RAW_INDEX'!$A:$A,0)),"")</x:f>
        <x:v>2189</x:v>
      </x:c>
      <x:c r="G323" s="7" t="n">
        <x:f>'01_Ustawienia'!$B$6</x:f>
        <x:v>0</x:v>
      </x:c>
      <x:c r="H323" s="8" t="n">
        <x:f>IF(E323="","",ROUND(IF('01_Ustawienia'!$B$5="BRUTTO",F323,E323)*(1-G323),0))</x:f>
        <x:v>1780</x:v>
      </x:c>
      <x:c r="I323" s="7" t="n">
        <x:f>IFERROR(IFERROR(INDEX('01_Ustawienia'!$B$15:$B$33,MATCH(B323,'01_Ustawienia'!$A$15:$A$33,0)),0.45),0.45)</x:f>
        <x:v>0.45</x:v>
      </x:c>
      <x:c r="J323" s="8" t="n">
        <x:f>IF(H323="","",ROUND(H323*(1+I323),0))</x:f>
        <x:v>2581</x:v>
      </x:c>
      <x:c r="K323" s="8" t="n">
        <x:f>0</x:f>
        <x:v>0</x:v>
      </x:c>
      <x:c r="L323" s="8" t="n">
        <x:f>0</x:f>
        <x:v>0</x:v>
      </x:c>
      <x:c r="M323" s="7" t="n">
        <x:f>IF('01_Ustawienia'!$B$4="ZWOLNIONY",0,'01_Ustawienia'!$B$7)</x:f>
        <x:v>0.08</x:v>
      </x:c>
      <x:c r="N323" s="8" t="n">
        <x:f>IF(J323="","",ROUND((J323+K323)*(1+M323),0))</x:f>
        <x:v>2787</x:v>
      </x:c>
      <x:c r="O323" s="8" t="n">
        <x:f>IF(J323="","",J323+K323-H323-L323)</x:f>
        <x:v>801</x:v>
      </x:c>
      <x:c r="P323" s="7" t="n">
        <x:f>IFERROR(O323/(J323+K323),"")</x:f>
        <x:v>0.3103448275862069</x:v>
      </x:c>
      <x:c r="Q323" s="6" t="inlineStr">
        <x:is>
          <x:t xml:space="preserve">RAW_ZP T/U</x:t>
        </x:is>
      </x:c>
      <x:c r="R323" s="6" t="inlineStr">
        <x:is>
          <x:t xml:space="preserve">OŚWIETLENIE</x:t>
        </x:is>
      </x:c>
      <x:c r="S323" s="6" t="inlineStr">
        <x:is>
          <x:t xml:space="preserve">website+crm</x:t>
        </x:is>
      </x:c>
      <x:c r="T323" s="6" t="inlineStr">
        <x:is>
          <x:t xml:space="preserve">Opcja dodatkowa | FIX17: opcja LED dostępna dla strony; ceny 450-600 wg modelu FIX15.</x:t>
        </x:is>
      </x:c>
    </x:row>
    <x:row r="324">
      <x:c r="A324" s="6" t="inlineStr">
        <x:is>
          <x:t xml:space="preserve">350 x 906 cm</x:t>
        </x:is>
      </x:c>
      <x:c r="B324" s="6" t="inlineStr">
        <x:is>
          <x:t xml:space="preserve">LEDRGBCCT</x:t>
        </x:is>
      </x:c>
      <x:c r="C324" s="6" t="inlineStr">
        <x:is>
          <x:t xml:space="preserve">Oświetlenie LED RGB CCT</x:t>
        </x:is>
      </x:c>
      <x:c r="D324" s="6" t="inlineStr">
        <x:is>
          <x:t xml:space="preserve">OŚWIETLENIE</x:t>
        </x:is>
      </x:c>
      <x:c r="E324" s="8" t="n">
        <x:f>IFERROR(INDEX('02_RAW_INDEX'!$T:$T,MATCH($A324,'02_RAW_INDEX'!$A:$A,0)),"")</x:f>
        <x:v>2620</x:v>
      </x:c>
      <x:c r="F324" s="8" t="n">
        <x:f>IFERROR(INDEX('02_RAW_INDEX'!$S:$S,MATCH($A324,'02_RAW_INDEX'!$A:$A,0)),"")</x:f>
        <x:v>3223</x:v>
      </x:c>
      <x:c r="G324" s="7" t="n">
        <x:f>'01_Ustawienia'!$B$6</x:f>
        <x:v>0</x:v>
      </x:c>
      <x:c r="H324" s="8" t="n">
        <x:f>IF(E324="","",ROUND(IF('01_Ustawienia'!$B$5="BRUTTO",F324,E324)*(1-G324),0))</x:f>
        <x:v>2620</x:v>
      </x:c>
      <x:c r="I324" s="7" t="n">
        <x:f>IFERROR(IFERROR(INDEX('01_Ustawienia'!$B$15:$B$33,MATCH(B324,'01_Ustawienia'!$A$15:$A$33,0)),0.45),0.45)</x:f>
        <x:v>0.45</x:v>
      </x:c>
      <x:c r="J324" s="8" t="n">
        <x:f>IF(H324="","",ROUND(H324*(1+I324),0))</x:f>
        <x:v>3799</x:v>
      </x:c>
      <x:c r="K324" s="8" t="n">
        <x:f>0</x:f>
        <x:v>0</x:v>
      </x:c>
      <x:c r="L324" s="8" t="n">
        <x:f>0</x:f>
        <x:v>0</x:v>
      </x:c>
      <x:c r="M324" s="7" t="n">
        <x:f>IF('01_Ustawienia'!$B$4="ZWOLNIONY",0,'01_Ustawienia'!$B$7)</x:f>
        <x:v>0.08</x:v>
      </x:c>
      <x:c r="N324" s="8" t="n">
        <x:f>IF(J324="","",ROUND((J324+K324)*(1+M324),0))</x:f>
        <x:v>4103</x:v>
      </x:c>
      <x:c r="O324" s="8" t="n">
        <x:f>IF(J324="","",J324+K324-H324-L324)</x:f>
        <x:v>1179</x:v>
      </x:c>
      <x:c r="P324" s="7" t="n">
        <x:f>IFERROR(O324/(J324+K324),"")</x:f>
        <x:v>0.3103448275862069</x:v>
      </x:c>
      <x:c r="Q324" s="6" t="inlineStr">
        <x:is>
          <x:t xml:space="preserve">RAW_ZP V/W</x:t>
        </x:is>
      </x:c>
      <x:c r="R324" s="6" t="inlineStr">
        <x:is>
          <x:t xml:space="preserve">OŚWIETLENIE</x:t>
        </x:is>
      </x:c>
      <x:c r="S324" s="6" t="inlineStr">
        <x:is>
          <x:t xml:space="preserve">crm_only</x:t>
        </x:is>
      </x:c>
      <x:c r="T324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325" s="655" customFormat="1" ht="30" customHeight="1">
      <x:c r="A325" s="6" t="inlineStr">
        <x:is>
          <x:t xml:space="preserve">350 x 1006 cm</x:t>
        </x:is>
      </x:c>
      <x:c r="B325" s="6" t="inlineStr">
        <x:is>
          <x:t xml:space="preserve">ZP</x:t>
        </x:is>
      </x:c>
      <x:c r="C325" s="6" t="inlineStr">
        <x:is>
          <x:t xml:space="preserve">Zadaszenie poliwęglan - baza</x:t>
        </x:is>
      </x:c>
      <x:c r="D325" s="6" t="inlineStr">
        <x:is>
          <x:t xml:space="preserve">ZADASZENIE POLIWĘGLAN</x:t>
        </x:is>
      </x:c>
      <x:c r="E325" s="8" t="n">
        <x:f>IFERROR(INDEX('02_RAW_INDEX'!$D:$D,MATCH($A325,'02_RAW_INDEX'!$A:$A,0)),"")</x:f>
        <x:v>11545</x:v>
      </x:c>
      <x:c r="F325" s="8" t="n">
        <x:f>IFERROR(INDEX('02_RAW_INDEX'!$C:$C,MATCH($A325,'02_RAW_INDEX'!$A:$A,0)),"")</x:f>
        <x:v>14200</x:v>
      </x:c>
      <x:c r="G325" s="7" t="n">
        <x:f>'01_Ustawienia'!$B$6</x:f>
        <x:v>0</x:v>
      </x:c>
      <x:c r="H325" s="8" t="n">
        <x:f>IF(E325="","",ROUND(IF('01_Ustawienia'!$B$5="BRUTTO",F325,E325)*(1-G325),0))</x:f>
        <x:v>11545</x:v>
      </x:c>
      <x:c r="I325" s="7" t="n">
        <x:f>IFERROR(IFERROR(INDEX('01_Ustawienia'!$B$15:$B$33,MATCH(B325,'01_Ustawienia'!$A$15:$A$33,0)),0.45),0.45)</x:f>
        <x:v>0.45</x:v>
      </x:c>
      <x:c r="J325" s="8" t="n">
        <x:f>IF(H325="","",ROUND(H325*(1+I325),0))</x:f>
        <x:v>16740</x:v>
      </x:c>
      <x:c r="K325" s="8" t="n">
        <x:f>IFERROR(IFERROR(INDEX(EG_Cennik_uslug!$F:$F,MATCH($A325,EG_Cennik_uslug!$A:$A,0)),0),0)</x:f>
        <x:v>4680</x:v>
      </x:c>
      <x:c r="L325" s="8" t="n">
        <x:f>IFERROR(IFERROR(INDEX(EG_Cennik_uslug!$G:$G,MATCH($A325,EG_Cennik_uslug!$A:$A,0)),0),0)</x:f>
        <x:v>1730</x:v>
      </x:c>
      <x:c r="M325" s="7" t="n">
        <x:f>IF('01_Ustawienia'!$B$4="ZWOLNIONY",0,'01_Ustawienia'!$B$7)</x:f>
        <x:v>0.08</x:v>
      </x:c>
      <x:c r="N325" s="8" t="n">
        <x:f>IF(J325="","",ROUND((J325+K325)*(1+M325),0))</x:f>
        <x:v>23134</x:v>
      </x:c>
      <x:c r="O325" s="8" t="n">
        <x:f>IF(J325="","",J325+K325-H325-L325)</x:f>
        <x:v>8145</x:v>
      </x:c>
      <x:c r="P325" s="7" t="n">
        <x:f>IFERROR(O325/(J325+K325),"")</x:f>
        <x:v>0.3802521008403361</x:v>
      </x:c>
      <x:c r="Q325" s="6" t="inlineStr">
        <x:is>
          <x:t xml:space="preserve">RAW_ZP B/C</x:t>
        </x:is>
      </x:c>
      <x:c r="R325" s="6" t="inlineStr">
        <x:is>
          <x:t xml:space="preserve">ZADASZENIE TARASU KONSTRUKCJA</x:t>
        </x:is>
      </x:c>
      <x:c r="S325" s="6" t="inlineStr">
        <x:is>
          <x:t xml:space="preserve">website+crm</x:t>
        </x:is>
      </x:c>
      <x:c r="T325" s="6" t="inlineStr">
        <x:is>
          <x:t xml:space="preserve">Baza dla kalkulatora</x:t>
        </x:is>
      </x:c>
    </x:row>
    <x:row r="326" s="655" customFormat="1" ht="30" customHeight="1">
      <x:c r="A326" s="6" t="inlineStr">
        <x:is>
          <x:t xml:space="preserve">350 x 1006 cm</x:t>
        </x:is>
      </x:c>
      <x:c r="B326" s="6" t="inlineStr">
        <x:is>
          <x:t xml:space="preserve">ZS</x:t>
        </x:is>
      </x:c>
      <x:c r="C326" s="6" t="inlineStr">
        <x:is>
          <x:t xml:space="preserve">Zadaszenie szkło - pełna konstrukcja</x:t>
        </x:is>
      </x:c>
      <x:c r="D326" s="6" t="inlineStr">
        <x:is>
          <x:t xml:space="preserve">ZADASZENIE SZKŁO</x:t>
        </x:is>
      </x:c>
      <x:c r="E326" s="8" t="n">
        <x:f>IFERROR(INDEX('02_RAW_INDEX'!$V:$V,MATCH($A326,'02_RAW_INDEX'!$A:$A,0)),"")</x:f>
        <x:v>18163</x:v>
      </x:c>
      <x:c r="F326" s="8" t="n">
        <x:f>IFERROR(INDEX('02_RAW_INDEX'!$U:$U,MATCH($A326,'02_RAW_INDEX'!$A:$A,0)),"")</x:f>
        <x:v>22340</x:v>
      </x:c>
      <x:c r="G326" s="7" t="n">
        <x:f>'01_Ustawienia'!$B$6</x:f>
        <x:v>0</x:v>
      </x:c>
      <x:c r="H326" s="8" t="n">
        <x:f>IF(E326="","",ROUND(IF('01_Ustawienia'!$B$5="BRUTTO",F326,E326)*(1-G326),0))</x:f>
        <x:v>18163</x:v>
      </x:c>
      <x:c r="I326" s="7" t="n">
        <x:f>IFERROR(IFERROR(INDEX('01_Ustawienia'!$B$15:$B$33,MATCH(B326,'01_Ustawienia'!$A$15:$A$33,0)),0.45),0.45)</x:f>
        <x:v>0.45</x:v>
      </x:c>
      <x:c r="J326" s="8" t="n">
        <x:f>IF(H326="","",ROUND(H326*(1+I326),0))</x:f>
        <x:v>26336</x:v>
      </x:c>
      <x:c r="K326" s="8" t="n">
        <x:f>IFERROR(IFERROR(INDEX(EG_Cennik_uslug!$F:$F,MATCH($A326,EG_Cennik_uslug!$A:$A,0)),0),0)</x:f>
        <x:v>4680</x:v>
      </x:c>
      <x:c r="L326" s="8" t="n">
        <x:f>IFERROR(IFERROR(INDEX(EG_Cennik_uslug!$G:$G,MATCH($A326,EG_Cennik_uslug!$A:$A,0)),0),0)</x:f>
        <x:v>1730</x:v>
      </x:c>
      <x:c r="M326" s="7" t="n">
        <x:f>IF('01_Ustawienia'!$B$4="ZWOLNIONY",0,'01_Ustawienia'!$B$7)</x:f>
        <x:v>0.08</x:v>
      </x:c>
      <x:c r="N326" s="8" t="n">
        <x:f>IF(J326="","",ROUND((J326+K326)*(1+M326),0))</x:f>
        <x:v>33497</x:v>
      </x:c>
      <x:c r="O326" s="8" t="n">
        <x:f>IF(J326="","",J326+K326-H326-L326)</x:f>
        <x:v>11123</x:v>
      </x:c>
      <x:c r="P326" s="7" t="n">
        <x:f>IFERROR(O326/(J326+K326),"")</x:f>
        <x:v>0.3586213567191127</x:v>
      </x:c>
      <x:c r="Q326" s="6" t="inlineStr">
        <x:is>
          <x:t xml:space="preserve">RAW_ZS B/C</x:t>
        </x:is>
      </x:c>
      <x:c r="R326" s="6" t="inlineStr">
        <x:is>
          <x:t xml:space="preserve">ZADASZENIE TARASU KONSTRUKCJA</x:t>
        </x:is>
      </x:c>
      <x:c r="S326" s="6" t="inlineStr">
        <x:is>
          <x:t xml:space="preserve">crm_only</x:t>
        </x:is>
      </x:c>
      <x:c r="T326" s="6" t="inlineStr">
        <x:is>
          <x:t xml:space="preserve">Referencyjne/full; strona zwykle używa ZP + PDS</x:t>
        </x:is>
      </x:c>
    </x:row>
    <x:row r="327" s="655" customFormat="1" ht="30" customHeight="1">
      <x:c r="A327" s="6" t="inlineStr">
        <x:is>
          <x:t xml:space="preserve">350 x 1006 cm</x:t>
        </x:is>
      </x:c>
      <x:c r="B327" s="6" t="inlineStr">
        <x:is>
          <x:t xml:space="preserve">OP</x:t>
        </x:is>
      </x:c>
      <x:c r="C327" s="6" t="inlineStr">
        <x:is>
          <x:t xml:space="preserve">Ogród zimowy poliwęglan - baza</x:t>
        </x:is>
      </x:c>
      <x:c r="D327" s="6" t="inlineStr">
        <x:is>
          <x:t xml:space="preserve">OGRODY POLIWĘGLAN</x:t>
        </x:is>
      </x:c>
      <x:c r="E327" s="8" t="n">
        <x:f>IFERROR(INDEX('02_RAW_INDEX'!$Z:$Z,MATCH($A327,'02_RAW_INDEX'!$A:$A,0)),"")</x:f>
        <x:v>26780</x:v>
      </x:c>
      <x:c r="F327" s="8" t="n">
        <x:f>IFERROR(INDEX('02_RAW_INDEX'!$Y:$Y,MATCH($A327,'02_RAW_INDEX'!$A:$A,0)),"")</x:f>
        <x:v>32940</x:v>
      </x:c>
      <x:c r="G327" s="7" t="n">
        <x:f>'01_Ustawienia'!$B$6</x:f>
        <x:v>0</x:v>
      </x:c>
      <x:c r="H327" s="8" t="n">
        <x:f>IF(E327="","",ROUND(IF('01_Ustawienia'!$B$5="BRUTTO",F327,E327)*(1-G327),0))</x:f>
        <x:v>26780</x:v>
      </x:c>
      <x:c r="I327" s="7" t="n">
        <x:f>IFERROR(IFERROR(INDEX('01_Ustawienia'!$B$15:$B$33,MATCH(B327,'01_Ustawienia'!$A$15:$A$33,0)),0.45),0.45)</x:f>
        <x:v>0.45</x:v>
      </x:c>
      <x:c r="J327" s="8" t="n">
        <x:f>IF(H327="","",ROUND(H327*(1+I327),0))</x:f>
        <x:v>38831</x:v>
      </x:c>
      <x:c r="K327" s="8" t="n">
        <x:f>IFERROR(IFERROR(INDEX(EG_Cennik_uslug!$N:$N,MATCH($A327,EG_Cennik_uslug!$A:$A,0)),0),0)</x:f>
        <x:v>6120</x:v>
      </x:c>
      <x:c r="L327" s="8" t="n">
        <x:f>IFERROR(IFERROR(INDEX(EG_Cennik_uslug!$O:$O,MATCH($A327,EG_Cennik_uslug!$A:$A,0)),0),0)</x:f>
        <x:v>2420</x:v>
      </x:c>
      <x:c r="M327" s="7" t="n">
        <x:f>IF('01_Ustawienia'!$B$4="ZWOLNIONY",0,'01_Ustawienia'!$B$7)</x:f>
        <x:v>0.08</x:v>
      </x:c>
      <x:c r="N327" s="8" t="n">
        <x:f>IF(J327="","",ROUND((J327+K327)*(1+M327),0))</x:f>
        <x:v>48547</x:v>
      </x:c>
      <x:c r="O327" s="8" t="n">
        <x:f>IF(J327="","",J327+K327-H327-L327)</x:f>
        <x:v>15751</x:v>
      </x:c>
      <x:c r="P327" s="7" t="n">
        <x:f>IFERROR(O327/(J327+K327),"")</x:f>
        <x:v>0.35040377299726366</x:v>
      </x:c>
      <x:c r="Q327" s="6" t="inlineStr">
        <x:is>
          <x:t xml:space="preserve">RAW_OP B/C</x:t>
        </x:is>
      </x:c>
      <x:c r="R327" s="6" t="inlineStr">
        <x:is>
          <x:t xml:space="preserve">OGRÓD ZIMOWY (KONSTRUKCJA)</x:t>
        </x:is>
      </x:c>
      <x:c r="S327" s="6" t="inlineStr">
        <x:is>
          <x:t xml:space="preserve">website+crm</x:t>
        </x:is>
      </x:c>
      <x:c r="T327" s="6" t="inlineStr">
        <x:is>
          <x:t xml:space="preserve">Do wyliczenia dopłaty za ściany</x:t>
        </x:is>
      </x:c>
    </x:row>
    <x:row r="328" s="655" customFormat="1" ht="30" customHeight="1">
      <x:c r="A328" s="6" t="inlineStr">
        <x:is>
          <x:t xml:space="preserve">350 x 1006 cm</x:t>
        </x:is>
      </x:c>
      <x:c r="B328" s="6" t="inlineStr">
        <x:is>
          <x:t xml:space="preserve">OS</x:t>
        </x:is>
      </x:c>
      <x:c r="C328" s="6" t="inlineStr">
        <x:is>
          <x:t xml:space="preserve">Ogród zimowy szkło - pełna konstrukcja</x:t>
        </x:is>
      </x:c>
      <x:c r="D328" s="6" t="inlineStr">
        <x:is>
          <x:t xml:space="preserve">OGRODY SZKŁO</x:t>
        </x:is>
      </x:c>
      <x:c r="E328" s="8" t="n">
        <x:f>IFERROR(INDEX('02_RAW_INDEX'!$AL:$AL,MATCH($A328,'02_RAW_INDEX'!$A:$A,0)),"")</x:f>
        <x:v>33398</x:v>
      </x:c>
      <x:c r="F328" s="8" t="n">
        <x:f>IFERROR(INDEX('02_RAW_INDEX'!$AK:$AK,MATCH($A328,'02_RAW_INDEX'!$A:$A,0)),"")</x:f>
        <x:v>41080</x:v>
      </x:c>
      <x:c r="G328" s="7" t="n">
        <x:f>'01_Ustawienia'!$B$6</x:f>
        <x:v>0</x:v>
      </x:c>
      <x:c r="H328" s="8" t="n">
        <x:f>IF(E328="","",ROUND(IF('01_Ustawienia'!$B$5="BRUTTO",F328,E328)*(1-G328),0))</x:f>
        <x:v>33398</x:v>
      </x:c>
      <x:c r="I328" s="7" t="n">
        <x:f>IFERROR(IFERROR(INDEX('01_Ustawienia'!$B$15:$B$33,MATCH(B328,'01_Ustawienia'!$A$15:$A$33,0)),0.45),0.45)</x:f>
        <x:v>0.45</x:v>
      </x:c>
      <x:c r="J328" s="8" t="n">
        <x:f>IF(H328="","",ROUND(H328*(1+I328),0))</x:f>
        <x:v>48427</x:v>
      </x:c>
      <x:c r="K328" s="8" t="n">
        <x:f>IFERROR(IFERROR(INDEX(EG_Cennik_uslug!$N:$N,MATCH($A328,EG_Cennik_uslug!$A:$A,0)),0),0)</x:f>
        <x:v>6120</x:v>
      </x:c>
      <x:c r="L328" s="8" t="n">
        <x:f>IFERROR(IFERROR(INDEX(EG_Cennik_uslug!$O:$O,MATCH($A328,EG_Cennik_uslug!$A:$A,0)),0),0)</x:f>
        <x:v>2420</x:v>
      </x:c>
      <x:c r="M328" s="7" t="n">
        <x:f>IF('01_Ustawienia'!$B$4="ZWOLNIONY",0,'01_Ustawienia'!$B$7)</x:f>
        <x:v>0.08</x:v>
      </x:c>
      <x:c r="N328" s="8" t="n">
        <x:f>IF(J328="","",ROUND((J328+K328)*(1+M328),0))</x:f>
        <x:v>58911</x:v>
      </x:c>
      <x:c r="O328" s="8" t="n">
        <x:f>IF(J328="","",J328+K328-H328-L328)</x:f>
        <x:v>18729</x:v>
      </x:c>
      <x:c r="P328" s="7" t="n">
        <x:f>IFERROR(O328/(J328+K328),"")</x:f>
        <x:v>0.343355271600638</x:v>
      </x:c>
      <x:c r="Q328" s="6" t="inlineStr">
        <x:is>
          <x:t xml:space="preserve">RAW_OS B/C</x:t>
        </x:is>
      </x:c>
      <x:c r="R328" s="6" t="inlineStr">
        <x:is>
          <x:t xml:space="preserve">OGRÓD ZIMOWY (KONSTRUKCJA)</x:t>
        </x:is>
      </x:c>
      <x:c r="S328" s="6" t="inlineStr">
        <x:is>
          <x:t xml:space="preserve">crm_only</x:t>
        </x:is>
      </x:c>
      <x:c r="T328" s="6" t="inlineStr">
        <x:is>
          <x:t xml:space="preserve">Referencyjne/full</x:t>
        </x:is>
      </x:c>
    </x:row>
    <x:row r="329" s="655" customFormat="1" ht="30" customHeight="1">
      <x:c r="A329" s="6" t="inlineStr">
        <x:is>
          <x:t xml:space="preserve">350 x 1006 cm</x:t>
        </x:is>
      </x:c>
      <x:c r="B329" s="6" t="inlineStr">
        <x:is>
          <x:t xml:space="preserve">PDS</x:t>
        </x:is>
      </x:c>
      <x:c r="C329" s="6" t="inlineStr">
        <x:is>
          <x:t xml:space="preserve">Dopłata dach szkło przezroczyste</x:t>
        </x:is>
      </x:c>
      <x:c r="D329" s="6" t="inlineStr">
        <x:is>
          <x:t xml:space="preserve">POKRYCIE DACHU SZKŁO</x:t>
        </x:is>
      </x:c>
      <x:c r="E329" s="8" t="n">
        <x:f>IFERROR(IFERROR(INDEX('02_RAW_INDEX'!$V:$V,MATCH($A329,'02_RAW_INDEX'!$A:$A,0)),"")-IFERROR(INDEX('02_RAW_INDEX'!$D:$D,MATCH($A329,'02_RAW_INDEX'!$A:$A,0)),""),"")</x:f>
        <x:v>6618</x:v>
      </x:c>
      <x:c r="F329" s="8" t="n">
        <x:f>IFERROR(IFERROR(INDEX('02_RAW_INDEX'!$U:$U,MATCH($A329,'02_RAW_INDEX'!$A:$A,0)),"")-IFERROR(INDEX('02_RAW_INDEX'!$C:$C,MATCH($A329,'02_RAW_INDEX'!$A:$A,0)),""),"")</x:f>
        <x:v>8140</x:v>
      </x:c>
      <x:c r="G329" s="7" t="n">
        <x:f>'01_Ustawienia'!$B$6</x:f>
        <x:v>0</x:v>
      </x:c>
      <x:c r="H329" s="8" t="n">
        <x:f>IF(E329="","",ROUND(IF('01_Ustawienia'!$B$5="BRUTTO",F329,E329)*(1-G329),0))</x:f>
        <x:v>6618</x:v>
      </x:c>
      <x:c r="I329" s="7" t="n">
        <x:f>IFERROR(IFERROR(INDEX('01_Ustawienia'!$B$15:$B$33,MATCH(B329,'01_Ustawienia'!$A$15:$A$33,0)),0.45),0.45)</x:f>
        <x:v>0.45</x:v>
      </x:c>
      <x:c r="J329" s="8" t="n">
        <x:f>IF(H329="","",ROUND(H329*(1+I329),0))</x:f>
        <x:v>9596</x:v>
      </x:c>
      <x:c r="K329" s="8" t="n">
        <x:f>0</x:f>
        <x:v>0</x:v>
      </x:c>
      <x:c r="L329" s="8" t="n">
        <x:v>0</x:v>
      </x:c>
      <x:c r="M329" s="7" t="n">
        <x:f>IF('01_Ustawienia'!$B$4="ZWOLNIONY",0,'01_Ustawienia'!$B$7)</x:f>
        <x:v>0.08</x:v>
      </x:c>
      <x:c r="N329" s="8" t="n">
        <x:f>IF(J329="","",ROUND((J329+K329)*(1+M329),0))</x:f>
        <x:v>10364</x:v>
      </x:c>
      <x:c r="O329" s="8" t="n">
        <x:f>IF(J329="","",J329+K329-H329-L329)</x:f>
        <x:v>2978</x:v>
      </x:c>
      <x:c r="P329" s="7" t="n">
        <x:f>IFERROR(O329/(J329+K329),"")</x:f>
        <x:v>0.3103376406836182</x:v>
      </x:c>
      <x:c r="Q329" s="6" t="inlineStr">
        <x:is>
          <x:t xml:space="preserve">RAW_ZS - RAW_ZP</x:t>
        </x:is>
      </x:c>
      <x:c r="R329" s="6" t="inlineStr">
        <x:is>
          <x:t xml:space="preserve">POKRYCIE DACHU</x:t>
        </x:is>
      </x:c>
      <x:c r="S329" s="6" t="inlineStr">
        <x:is>
          <x:t xml:space="preserve">website+crm</x:t>
        </x:is>
      </x:c>
      <x:c r="T329" s="6" t="inlineStr">
        <x:is>
          <x:t xml:space="preserve">Dopłata do bazowego dachu poliwęglan | FIX17: Wynagr.+koszty = 0 dla dopłaty; nie jest osobnym montażem ekipy.</x:t>
        </x:is>
      </x:c>
    </x:row>
    <x:row r="330" s="655" customFormat="1" ht="30" customHeight="1">
      <x:c r="A330" s="6" t="inlineStr">
        <x:is>
          <x:t xml:space="preserve">350 x 1006 cm</x:t>
        </x:is>
      </x:c>
      <x:c r="B330" s="6" t="inlineStr">
        <x:is>
          <x:t xml:space="preserve">PDSB</x:t>
        </x:is>
      </x:c>
      <x:c r="C330" s="6" t="inlineStr">
        <x:is>
          <x:t xml:space="preserve">Dopłata dach szkło barwione/mleczne</x:t>
        </x:is>
      </x:c>
      <x:c r="D330" s="6" t="inlineStr">
        <x:is>
          <x:t xml:space="preserve">POKRYCIE DACHU SZKŁO BARWIONE</x:t>
        </x:is>
      </x:c>
      <x:c r="E330" s="8" t="n">
        <x:f>IFERROR(INDEX('02_RAW_INDEX'!$X:$X,MATCH($A330,'02_RAW_INDEX'!$A:$A,0)),"")</x:f>
        <x:v>927</x:v>
      </x:c>
      <x:c r="F330" s="8" t="n">
        <x:f>IFERROR(INDEX('02_RAW_INDEX'!$W:$W,MATCH($A330,'02_RAW_INDEX'!$A:$A,0)),"")</x:f>
        <x:v>1140</x:v>
      </x:c>
      <x:c r="G330" s="7" t="n">
        <x:f>'01_Ustawienia'!$B$6</x:f>
        <x:v>0</x:v>
      </x:c>
      <x:c r="H330" s="8" t="n">
        <x:f>IF(E330="","",ROUND(IF('01_Ustawienia'!$B$5="BRUTTO",F330,E330)*(1-G330),0))</x:f>
        <x:v>927</x:v>
      </x:c>
      <x:c r="I330" s="7" t="n">
        <x:f>IFERROR(IFERROR(INDEX('01_Ustawienia'!$B$15:$B$33,MATCH(B330,'01_Ustawienia'!$A$15:$A$33,0)),0.45),0.45)</x:f>
        <x:v>0.45</x:v>
      </x:c>
      <x:c r="J330" s="8" t="n">
        <x:f>IF(H330="","",ROUND(H330*(1+I330),0))</x:f>
        <x:v>1344</x:v>
      </x:c>
      <x:c r="K330" s="8" t="n">
        <x:f>0</x:f>
        <x:v>0</x:v>
      </x:c>
      <x:c r="L330" s="8" t="n">
        <x:v>0</x:v>
      </x:c>
      <x:c r="M330" s="7" t="n">
        <x:f>IF('01_Ustawienia'!$B$4="ZWOLNIONY",0,'01_Ustawienia'!$B$7)</x:f>
        <x:v>0.08</x:v>
      </x:c>
      <x:c r="N330" s="8" t="n">
        <x:f>IF(J330="","",ROUND((J330+K330)*(1+M330),0))</x:f>
        <x:v>1452</x:v>
      </x:c>
      <x:c r="O330" s="8" t="n">
        <x:f>IF(J330="","",J330+K330-H330-L330)</x:f>
        <x:v>417</x:v>
      </x:c>
      <x:c r="P330" s="7" t="n">
        <x:f>IFERROR(O330/(J330+K330),"")</x:f>
        <x:v>0.31026785714285715</x:v>
      </x:c>
      <x:c r="Q330" s="6" t="inlineStr">
        <x:is>
          <x:t xml:space="preserve">RAW_ZS D/E</x:t>
        </x:is>
      </x:c>
      <x:c r="R330" s="6" t="inlineStr">
        <x:is>
          <x:t xml:space="preserve">POKRYCIE DACHU</x:t>
        </x:is>
      </x:c>
      <x:c r="S330" s="6" t="inlineStr">
        <x:is>
          <x:t xml:space="preserve">website+crm</x:t>
        </x:is>
      </x:c>
      <x:c r="T330" s="6" t="inlineStr">
        <x:is>
          <x:t xml:space="preserve">Dodawane do PDS | FIX17: Wynagr.+koszty = 0 dla dopłaty; nie jest osobnym montażem ekipy.</x:t>
        </x:is>
      </x:c>
    </x:row>
    <x:row r="331" s="655" customFormat="1" ht="30" customHeight="1">
      <x:c r="A331" s="6" t="inlineStr">
        <x:is>
          <x:t xml:space="preserve">350 x 1006 cm</x:t>
        </x:is>
      </x:c>
      <x:c r="B331" s="6" t="inlineStr">
        <x:is>
          <x:t xml:space="preserve">PDPB</x:t>
        </x:is>
      </x:c>
      <x:c r="C331" s="6" t="inlineStr">
        <x:is>
          <x:t xml:space="preserve">Dopłata poliwęglan barwiony</x:t>
        </x:is>
      </x:c>
      <x:c r="D331" s="6" t="inlineStr">
        <x:is>
          <x:t xml:space="preserve">POKRYCIE DACHU POLIWĘGLAN BARWIONY</x:t>
        </x:is>
      </x:c>
      <x:c r="E331" s="8" t="n">
        <x:f>IFERROR(INDEX('02_RAW_INDEX'!$F:$F,MATCH($A331,'02_RAW_INDEX'!$A:$A,0)),"")</x:f>
        <x:v>407</x:v>
      </x:c>
      <x:c r="F331" s="8" t="n">
        <x:f>IFERROR(INDEX('02_RAW_INDEX'!$E:$E,MATCH($A331,'02_RAW_INDEX'!$A:$A,0)),"")</x:f>
        <x:v>500</x:v>
      </x:c>
      <x:c r="G331" s="7" t="n">
        <x:f>'01_Ustawienia'!$B$6</x:f>
        <x:v>0</x:v>
      </x:c>
      <x:c r="H331" s="8" t="n">
        <x:f>IF(E331="","",ROUND(IF('01_Ustawienia'!$B$5="BRUTTO",F331,E331)*(1-G331),0))</x:f>
        <x:v>407</x:v>
      </x:c>
      <x:c r="I331" s="7" t="n">
        <x:f>IFERROR(IFERROR(INDEX('01_Ustawienia'!$B$15:$B$33,MATCH(B331,'01_Ustawienia'!$A$15:$A$33,0)),0.45),0.45)</x:f>
        <x:v>0.45</x:v>
      </x:c>
      <x:c r="J331" s="8" t="n">
        <x:f>IF(H331="","",ROUND(H331*(1+I331),0))</x:f>
        <x:v>590</x:v>
      </x:c>
      <x:c r="K331" s="8" t="n">
        <x:f>0</x:f>
        <x:v>0</x:v>
      </x:c>
      <x:c r="L331" s="8" t="n">
        <x:v>0</x:v>
      </x:c>
      <x:c r="M331" s="7" t="n">
        <x:f>IF('01_Ustawienia'!$B$4="ZWOLNIONY",0,'01_Ustawienia'!$B$7)</x:f>
        <x:v>0.08</x:v>
      </x:c>
      <x:c r="N331" s="8" t="n">
        <x:f>IF(J331="","",ROUND((J331+K331)*(1+M331),0))</x:f>
        <x:v>637</x:v>
      </x:c>
      <x:c r="O331" s="8" t="n">
        <x:f>IF(J331="","",J331+K331-H331-L331)</x:f>
        <x:v>183</x:v>
      </x:c>
      <x:c r="P331" s="7" t="n">
        <x:f>IFERROR(O331/(J331+K331),"")</x:f>
        <x:v>0.3101694915254237</x:v>
      </x:c>
      <x:c r="Q331" s="6" t="inlineStr">
        <x:is>
          <x:t xml:space="preserve">RAW_ZP D/E</x:t>
        </x:is>
      </x:c>
      <x:c r="R331" s="6" t="inlineStr">
        <x:is>
          <x:t xml:space="preserve">POKRYCIE DACHU</x:t>
        </x:is>
      </x:c>
      <x:c r="S331" s="6" t="inlineStr">
        <x:is>
          <x:t xml:space="preserve">website+crm</x:t>
        </x:is>
      </x:c>
      <x:c r="T331" s="6" t="inlineStr">
        <x:is>
          <x:t xml:space="preserve">FIX17: Wynagr.+koszty = 0 dla dopłaty; nie jest osobnym montażem ekipy.</x:t>
        </x:is>
      </x:c>
    </x:row>
    <x:row r="332" s="655" customFormat="1" ht="30" customHeight="1">
      <x:c r="A332" s="6" t="inlineStr">
        <x:is>
          <x:t xml:space="preserve">350 x 1006 cm</x:t>
        </x:is>
      </x:c>
      <x:c r="B332" s="6" t="inlineStr">
        <x:is>
          <x:t xml:space="preserve">SBB</x:t>
        </x:is>
      </x:c>
      <x:c r="C332" s="6" t="inlineStr">
        <x:is>
          <x:t xml:space="preserve">Dopłata szkło boczne przyciemniane</x:t>
        </x:is>
      </x:c>
      <x:c r="D332" s="6" t="inlineStr">
        <x:is>
          <x:t xml:space="preserve">SZKŁO BOCZNE BARWIONE</x:t>
        </x:is>
      </x:c>
      <x:c r="E332" s="8" t="n">
        <x:f>IFERROR(INDEX('02_RAW_INDEX'!$AB:$AB,MATCH($A332,'02_RAW_INDEX'!$A:$A,0)),"")</x:f>
        <x:v>1756</x:v>
      </x:c>
      <x:c r="F332" s="8" t="n">
        <x:f>IFERROR(INDEX('02_RAW_INDEX'!$AA:$AA,MATCH($A332,'02_RAW_INDEX'!$A:$A,0)),"")</x:f>
        <x:v>2160</x:v>
      </x:c>
      <x:c r="G332" s="7" t="n">
        <x:f>'01_Ustawienia'!$B$6</x:f>
        <x:v>0</x:v>
      </x:c>
      <x:c r="H332" s="8" t="n">
        <x:f>IF(E332="","",ROUND(IF('01_Ustawienia'!$B$5="BRUTTO",F332,E332)*(1-G332),0))</x:f>
        <x:v>1756</x:v>
      </x:c>
      <x:c r="I332" s="7" t="n">
        <x:f>IFERROR(IFERROR(INDEX('01_Ustawienia'!$B$15:$B$33,MATCH(B332,'01_Ustawienia'!$A$15:$A$33,0)),0.45),0.45)</x:f>
        <x:v>0.45</x:v>
      </x:c>
      <x:c r="J332" s="8" t="n">
        <x:f>IF(H332="","",ROUND(H332*(1+I332),0))</x:f>
        <x:v>2546</x:v>
      </x:c>
      <x:c r="K332" s="8" t="n">
        <x:f>0</x:f>
        <x:v>0</x:v>
      </x:c>
      <x:c r="L332" s="8" t="n">
        <x:v>0</x:v>
      </x:c>
      <x:c r="M332" s="7" t="n">
        <x:f>IF('01_Ustawienia'!$B$4="ZWOLNIONY",0,'01_Ustawienia'!$B$7)</x:f>
        <x:v>0.08</x:v>
      </x:c>
      <x:c r="N332" s="8" t="n">
        <x:f>IF(J332="","",ROUND((J332+K332)*(1+M332),0))</x:f>
        <x:v>2750</x:v>
      </x:c>
      <x:c r="O332" s="8" t="n">
        <x:f>IF(J332="","",J332+K332-H332-L332)</x:f>
        <x:v>790</x:v>
      </x:c>
      <x:c r="P332" s="7" t="n">
        <x:f>IFERROR(O332/(J332+K332),"")</x:f>
        <x:v>0.3102906520031422</x:v>
      </x:c>
      <x:c r="Q332" s="6" t="inlineStr">
        <x:is>
          <x:t xml:space="preserve">RAW_OP H/I</x:t>
        </x:is>
      </x:c>
      <x:c r="R332" s="6" t="inlineStr">
        <x:is>
          <x:t xml:space="preserve">SZYBY BOCZNE</x:t>
        </x:is>
      </x:c>
      <x:c r="S332" s="6" t="inlineStr">
        <x:is>
          <x:t xml:space="preserve">website+crm</x:t>
        </x:is>
      </x:c>
      <x:c r="T332" s="6" t="inlineStr">
        <x:is>
          <x:t xml:space="preserve">Dodawane do ścian przezroczystych | FIX17: Wynagr.+koszty = 0 dla dopłaty; nie jest osobnym montażem ekipy.</x:t>
        </x:is>
      </x:c>
    </x:row>
    <x:row r="333">
      <x:c r="A333" s="6" t="inlineStr">
        <x:is>
          <x:t xml:space="preserve">350 x 1006 cm</x:t>
        </x:is>
      </x:c>
      <x:c r="B333" s="6" t="inlineStr">
        <x:is>
          <x:t xml:space="preserve">RB</x:t>
        </x:is>
      </x:c>
      <x:c r="C333" s="6" t="inlineStr">
        <x:is>
          <x:t xml:space="preserve">Roleta boczna ZIP</x:t>
        </x:is>
      </x:c>
      <x:c r="D333" s="6" t="inlineStr">
        <x:is>
          <x:t xml:space="preserve">ROLETA BOCZNA</x:t>
        </x:is>
      </x:c>
      <x:c r="E333" s="8" t="n">
        <x:f>IFERROR(INDEX('02_RAW_INDEX'!$J:$J,MATCH($A333,'02_RAW_INDEX'!$A:$A,0)),"")</x:f>
        <x:v>1902</x:v>
      </x:c>
      <x:c r="F333" s="8" t="n">
        <x:f>IFERROR(INDEX('02_RAW_INDEX'!$I:$I,MATCH($A333,'02_RAW_INDEX'!$A:$A,0)),"")</x:f>
        <x:v>2340</x:v>
      </x:c>
      <x:c r="G333" s="7" t="n">
        <x:f>'01_Ustawienia'!$B$6</x:f>
        <x:v>0</x:v>
      </x:c>
      <x:c r="H333" s="8" t="n">
        <x:f>IF(E333="","",ROUND(IF('01_Ustawienia'!$B$5="BRUTTO",F333,E333)*(1-G333),0))</x:f>
        <x:v>1902</x:v>
      </x:c>
      <x:c r="I333" s="7" t="n">
        <x:f>IFERROR(IFERROR(INDEX('01_Ustawienia'!$B$15:$B$33,MATCH(B333,'01_Ustawienia'!$A$15:$A$33,0)),0.45),0.45)</x:f>
        <x:v>0.45</x:v>
      </x:c>
      <x:c r="J333" s="8" t="n">
        <x:f>IF(H333="","",ROUND(H333*(1+I333),0))</x:f>
        <x:v>2758</x:v>
      </x:c>
      <x:c r="K333" s="8" t="n">
        <x:f>0</x:f>
        <x:v>0</x:v>
      </x:c>
      <x:c r="L333" s="8" t="n">
        <x:f>IFERROR(IFERROR(INDEX(EG_Cennik_uslug!$AC:$AC,MATCH($A333,EG_Cennik_uslug!$A:$A,0)),0),0)</x:f>
        <x:v>150</x:v>
      </x:c>
      <x:c r="M333" s="7" t="n">
        <x:f>IF('01_Ustawienia'!$B$4="ZWOLNIONY",0,'01_Ustawienia'!$B$7)</x:f>
        <x:v>0.08</x:v>
      </x:c>
      <x:c r="N333" s="8" t="n">
        <x:f>IF(J333="","",ROUND((J333+K333)*(1+M333),0))</x:f>
        <x:v>2979</x:v>
      </x:c>
      <x:c r="O333" s="8" t="n">
        <x:f>IF(J333="","",J333+K333-H333-L333)</x:f>
        <x:v>706</x:v>
      </x:c>
      <x:c r="P333" s="7" t="n">
        <x:f>IFERROR(O333/(J333+K333),"")</x:f>
        <x:v>0.25598259608411894</x:v>
      </x:c>
      <x:c r="Q333" s="6" t="inlineStr">
        <x:is>
          <x:t xml:space="preserve">RAW_ZP J/K</x:t>
        </x:is>
      </x:c>
      <x:c r="R333" s="6" t="inlineStr">
        <x:is>
          <x:t xml:space="preserve">ROLETY BOCZNE</x:t>
        </x:is>
      </x:c>
      <x:c r="S333" s="6" t="inlineStr">
        <x:is>
          <x:t xml:space="preserve">website+crm</x:t>
        </x:is>
      </x:c>
      <x:c r="T333" s="6" t="inlineStr">
        <x:is>
          <x:t xml:space="preserve">Używana dla lewej i prawej</x:t>
        </x:is>
      </x:c>
    </x:row>
    <x:row r="334">
      <x:c r="A334" s="6" t="inlineStr">
        <x:is>
          <x:t xml:space="preserve">350 x 1006 cm</x:t>
        </x:is>
      </x:c>
      <x:c r="B334" s="6" t="inlineStr">
        <x:is>
          <x:t xml:space="preserve">RP</x:t>
        </x:is>
      </x:c>
      <x:c r="C334" s="6" t="inlineStr">
        <x:is>
          <x:t xml:space="preserve">Roleta przednia ZIP</x:t>
        </x:is>
      </x:c>
      <x:c r="D334" s="6" t="inlineStr">
        <x:is>
          <x:t xml:space="preserve">ROLETA PRZÓD</x:t>
        </x:is>
      </x:c>
      <x:c r="E334" s="8" t="n">
        <x:f>IFERROR(INDEX('02_RAW_INDEX'!$L:$L,MATCH($A334,'02_RAW_INDEX'!$A:$A,0)),"")</x:f>
        <x:v>5618</x:v>
      </x:c>
      <x:c r="F334" s="8" t="n">
        <x:f>IFERROR(INDEX('02_RAW_INDEX'!$K:$K,MATCH($A334,'02_RAW_INDEX'!$A:$A,0)),"")</x:f>
        <x:v>6910</x:v>
      </x:c>
      <x:c r="G334" s="7" t="n">
        <x:f>'01_Ustawienia'!$B$6</x:f>
        <x:v>0</x:v>
      </x:c>
      <x:c r="H334" s="8" t="n">
        <x:f>IF(E334="","",ROUND(IF('01_Ustawienia'!$B$5="BRUTTO",F334,E334)*(1-G334),0))</x:f>
        <x:v>5618</x:v>
      </x:c>
      <x:c r="I334" s="7" t="n">
        <x:f>IFERROR(IFERROR(INDEX('01_Ustawienia'!$B$15:$B$33,MATCH(B334,'01_Ustawienia'!$A$15:$A$33,0)),0.45),0.45)</x:f>
        <x:v>0.45</x:v>
      </x:c>
      <x:c r="J334" s="8" t="n">
        <x:f>IF(H334="","",ROUND(H334*(1+I334),0))</x:f>
        <x:v>8146</x:v>
      </x:c>
      <x:c r="K334" s="8" t="n">
        <x:f>0</x:f>
        <x:v>0</x:v>
      </x:c>
      <x:c r="L334" s="8" t="n">
        <x:f>IFERROR(IFERROR(INDEX(EG_Cennik_uslug!$AJ:$AJ,MATCH($A334,EG_Cennik_uslug!$A:$A,0)),0),0)</x:f>
        <x:v>450</x:v>
      </x:c>
      <x:c r="M334" s="7" t="n">
        <x:f>IF('01_Ustawienia'!$B$4="ZWOLNIONY",0,'01_Ustawienia'!$B$7)</x:f>
        <x:v>0.08</x:v>
      </x:c>
      <x:c r="N334" s="8" t="n">
        <x:f>IF(J334="","",ROUND((J334+K334)*(1+M334),0))</x:f>
        <x:v>8798</x:v>
      </x:c>
      <x:c r="O334" s="8" t="n">
        <x:f>IF(J334="","",J334+K334-H334-L334)</x:f>
        <x:v>2078</x:v>
      </x:c>
      <x:c r="P334" s="7" t="n">
        <x:f>IFERROR(O334/(J334+K334),"")</x:f>
        <x:v>0.25509452492020623</x:v>
      </x:c>
      <x:c r="Q334" s="6" t="inlineStr">
        <x:is>
          <x:t xml:space="preserve">RAW_ZP N/O</x:t>
        </x:is>
      </x:c>
      <x:c r="R334" s="6" t="inlineStr">
        <x:is>
          <x:t xml:space="preserve">ROLETY BOCZNE</x:t>
        </x:is>
      </x:c>
      <x:c r="S334" s="6" t="inlineStr">
        <x:is>
          <x:t xml:space="preserve">website+crm</x:t>
        </x:is>
      </x:c>
      <x:c r="T334" s="6" t="n"/>
    </x:row>
    <x:row r="335">
      <x:c r="A335" s="6" t="inlineStr">
        <x:is>
          <x:t xml:space="preserve">350 x 1006 cm</x:t>
        </x:is>
      </x:c>
      <x:c r="B335" s="6" t="inlineStr">
        <x:is>
          <x:t xml:space="preserve">M</x:t>
        </x:is>
      </x:c>
      <x:c r="C335" s="6" t="inlineStr">
        <x:is>
          <x:t xml:space="preserve">Markiza dachowa</x:t>
        </x:is>
      </x:c>
      <x:c r="D335" s="6" t="inlineStr">
        <x:is>
          <x:t xml:space="preserve">MARKIZA</x:t>
        </x:is>
      </x:c>
      <x:c r="E335" s="8" t="n">
        <x:f>IFERROR(INDEX('02_RAW_INDEX'!$H:$H,MATCH($A335,'02_RAW_INDEX'!$A:$A,0)),"")</x:f>
        <x:v>8455</x:v>
      </x:c>
      <x:c r="F335" s="8" t="n">
        <x:f>IFERROR(INDEX('02_RAW_INDEX'!$G:$G,MATCH($A335,'02_RAW_INDEX'!$A:$A,0)),"")</x:f>
        <x:v>10400</x:v>
      </x:c>
      <x:c r="G335" s="7" t="n">
        <x:f>'01_Ustawienia'!$B$6</x:f>
        <x:v>0</x:v>
      </x:c>
      <x:c r="H335" s="8" t="n">
        <x:f>IF(E335="","",ROUND(IF('01_Ustawienia'!$B$5="BRUTTO",F335,E335)*(1-G335),0))</x:f>
        <x:v>8455</x:v>
      </x:c>
      <x:c r="I335" s="7" t="n">
        <x:f>IFERROR(IFERROR(INDEX('01_Ustawienia'!$B$15:$B$33,MATCH(B335,'01_Ustawienia'!$A$15:$A$33,0)),0.45),0.45)</x:f>
        <x:v>0.45</x:v>
      </x:c>
      <x:c r="J335" s="8" t="n">
        <x:f>IF(H335="","",ROUND(H335*(1+I335),0))</x:f>
        <x:v>12260</x:v>
      </x:c>
      <x:c r="K335" s="8" t="n">
        <x:f>0</x:f>
        <x:v>0</x:v>
      </x:c>
      <x:c r="L335" s="8" t="n">
        <x:f>IFERROR(IFERROR(INDEX(EG_Cennik_uslug!$AQ:$AQ,MATCH($A335,EG_Cennik_uslug!$A:$A,0)),0),0)</x:f>
        <x:v>600</x:v>
      </x:c>
      <x:c r="M335" s="7" t="n">
        <x:f>IF('01_Ustawienia'!$B$4="ZWOLNIONY",0,'01_Ustawienia'!$B$7)</x:f>
        <x:v>0.08</x:v>
      </x:c>
      <x:c r="N335" s="8" t="n">
        <x:f>IF(J335="","",ROUND((J335+K335)*(1+M335),0))</x:f>
        <x:v>13241</x:v>
      </x:c>
      <x:c r="O335" s="8" t="n">
        <x:f>IF(J335="","",J335+K335-H335-L335)</x:f>
        <x:v>3205</x:v>
      </x:c>
      <x:c r="P335" s="7" t="n">
        <x:f>IFERROR(O335/(J335+K335),"")</x:f>
        <x:v>0.26141924959216967</x:v>
      </x:c>
      <x:c r="Q335" s="6" t="inlineStr">
        <x:is>
          <x:t xml:space="preserve">RAW_ZP H/I</x:t>
        </x:is>
      </x:c>
      <x:c r="R335" s="6" t="inlineStr">
        <x:is>
          <x:t xml:space="preserve">MARKIZA</x:t>
        </x:is>
      </x:c>
      <x:c r="S335" s="6" t="inlineStr">
        <x:is>
          <x:t xml:space="preserve">website+crm</x:t>
        </x:is>
      </x:c>
      <x:c r="T335" s="6" t="n"/>
    </x:row>
    <x:row r="336">
      <x:c r="A336" s="6" t="inlineStr">
        <x:is>
          <x:t xml:space="preserve">350 x 1006 cm</x:t>
        </x:is>
      </x:c>
      <x:c r="B336" s="6" t="inlineStr">
        <x:is>
          <x:t xml:space="preserve">PDWP</x:t>
        </x:is>
      </x:c>
      <x:c r="C336" s="6" t="inlineStr">
        <x:is>
          <x:t xml:space="preserve">Fundament/profile</x:t>
        </x:is>
      </x:c>
      <x:c r="D336" s="6" t="inlineStr">
        <x:is>
          <x:t xml:space="preserve">FUNDAMENT / PROFILE</x:t>
        </x:is>
      </x:c>
      <x:c r="E336" s="8" t="n">
        <x:f>IFERROR(INDEX('02_RAW_INDEX'!$AH:$AH,MATCH($A336,'02_RAW_INDEX'!$A:$A,0)),"")</x:f>
        <x:v>1309</x:v>
      </x:c>
      <x:c r="F336" s="8" t="n">
        <x:f>IFERROR(INDEX('02_RAW_INDEX'!$AG:$AG,MATCH($A336,'02_RAW_INDEX'!$A:$A,0)),"")</x:f>
        <x:v>1610</x:v>
      </x:c>
      <x:c r="G336" s="7" t="n">
        <x:f>'01_Ustawienia'!$B$6</x:f>
        <x:v>0</x:v>
      </x:c>
      <x:c r="H336" s="8" t="n">
        <x:f>IF(E336="","",ROUND(IF('01_Ustawienia'!$B$5="BRUTTO",F336,E336)*(1-G336),0))</x:f>
        <x:v>1309</x:v>
      </x:c>
      <x:c r="I336" s="7" t="n">
        <x:f>IFERROR(IFERROR(INDEX('01_Ustawienia'!$B$15:$B$33,MATCH(B336,'01_Ustawienia'!$A$15:$A$33,0)),0.45),0.45)</x:f>
        <x:v>1.2</x:v>
      </x:c>
      <x:c r="J336" s="8" t="n">
        <x:f>IF(H336="","",ROUND(H336*(1+I336),0))</x:f>
        <x:v>2880</x:v>
      </x:c>
      <x:c r="K336" s="8" t="n">
        <x:f>0</x:f>
        <x:v>0</x:v>
      </x:c>
      <x:c r="L336" s="8" t="n">
        <x:f>IFERROR(IFERROR(INDEX(EG_Cennik_uslug!$BT:$BT,MATCH($A336,EG_Cennik_uslug!$A:$A,0)),0),0)</x:f>
        <x:v>610</x:v>
      </x:c>
      <x:c r="M336" s="7" t="n">
        <x:f>IF('01_Ustawienia'!$B$4="ZWOLNIONY",0,'01_Ustawienia'!$B$7)</x:f>
        <x:v>0.08</x:v>
      </x:c>
      <x:c r="N336" s="8" t="n">
        <x:f>IF(J336="","",ROUND((J336+K336)*(1+M336),0))</x:f>
        <x:v>3110</x:v>
      </x:c>
      <x:c r="O336" s="8" t="n">
        <x:f>IF(J336="","",J336+K336-H336-L336)</x:f>
        <x:v>961</x:v>
      </x:c>
      <x:c r="P336" s="7" t="n">
        <x:f>IFERROR(O336/(J336+K336),"")</x:f>
        <x:v>0.33368055555555554</x:v>
      </x:c>
      <x:c r="Q336" s="6" t="inlineStr">
        <x:is>
          <x:t xml:space="preserve">RAW_OP AB/AC</x:t>
        </x:is>
      </x:c>
      <x:c r="R336" s="6" t="inlineStr">
        <x:is>
          <x:t xml:space="preserve">FUNDAMENT (PROFILE)</x:t>
        </x:is>
      </x:c>
      <x:c r="S336" s="6" t="inlineStr">
        <x:is>
          <x:t xml:space="preserve">website+crm</x:t>
        </x:is>
      </x:c>
      <x:c r="T336" s="6" t="n"/>
    </x:row>
    <x:row r="337" s="655" customFormat="1" ht="30" customHeight="1">
      <x:c r="A337" s="6" t="inlineStr">
        <x:is>
          <x:t xml:space="preserve">350 x 1006 cm</x:t>
        </x:is>
      </x:c>
      <x:c r="B337" s="6" t="inlineStr">
        <x:is>
          <x:t xml:space="preserve">ZAB</x:t>
        </x:is>
      </x:c>
      <x:c r="C337" s="6" t="inlineStr">
        <x:is>
          <x:t xml:space="preserve">Zabieraki do ścian przesuwnych</x:t>
        </x:is>
      </x:c>
      <x:c r="D337" s="6" t="inlineStr">
        <x:is>
          <x:t xml:space="preserve">DODATKI</x:t>
        </x:is>
      </x:c>
      <x:c r="E337" s="8" t="n">
        <x:f>IFERROR(INDEX('02_RAW_INDEX'!$AJ:$AJ,MATCH($A337,'02_RAW_INDEX'!$A:$A,0)),"")</x:f>
        <x:v>423</x:v>
      </x:c>
      <x:c r="F337" s="8" t="n">
        <x:f>IFERROR(INDEX('02_RAW_INDEX'!$AI:$AI,MATCH($A337,'02_RAW_INDEX'!$A:$A,0)),"")</x:f>
        <x:v>520</x:v>
      </x:c>
      <x:c r="G337" s="7" t="n">
        <x:f>'01_Ustawienia'!$B$6</x:f>
        <x:v>0</x:v>
      </x:c>
      <x:c r="H337" s="8" t="n">
        <x:f>IF(E337="","",ROUND(IF('01_Ustawienia'!$B$5="BRUTTO",F337,E337)*(1-G337),0))</x:f>
        <x:v>423</x:v>
      </x:c>
      <x:c r="I337" s="7" t="n">
        <x:f>IFERROR(IFERROR(INDEX('01_Ustawienia'!$B$15:$B$33,MATCH(B337,'01_Ustawienia'!$A$15:$A$33,0)),0.45),0.45)</x:f>
        <x:v>0.45</x:v>
      </x:c>
      <x:c r="J337" s="8" t="n">
        <x:f>IF(H337="","",ROUND(H337*(1+I337),0))</x:f>
        <x:v>613</x:v>
      </x:c>
      <x:c r="K337" s="8" t="n">
        <x:f>0</x:f>
        <x:v>0</x:v>
      </x:c>
      <x:c r="L337" s="8" t="n">
        <x:f>0</x:f>
        <x:v>0</x:v>
      </x:c>
      <x:c r="M337" s="7" t="n">
        <x:f>IF('01_Ustawienia'!$B$4="ZWOLNIONY",0,'01_Ustawienia'!$B$7)</x:f>
        <x:v>0.08</x:v>
      </x:c>
      <x:c r="N337" s="8" t="n">
        <x:f>IF(J337="","",ROUND((J337+K337)*(1+M337),0))</x:f>
        <x:v>662</x:v>
      </x:c>
      <x:c r="O337" s="8" t="n">
        <x:f>IF(J337="","",J337+K337-H337-L337)</x:f>
        <x:v>190</x:v>
      </x:c>
      <x:c r="P337" s="7" t="n">
        <x:f>IFERROR(O337/(J337+K337),"")</x:f>
        <x:v>0.3099510603588907</x:v>
      </x:c>
      <x:c r="Q337" s="6" t="inlineStr">
        <x:is>
          <x:t xml:space="preserve">RAW_OP AD/AE</x:t>
        </x:is>
      </x:c>
      <x:c r="R337" s="6" t="inlineStr">
        <x:is>
          <x:t xml:space="preserve">DODATKI</x:t>
        </x:is>
      </x:c>
      <x:c r="S337" s="6" t="inlineStr">
        <x:is>
          <x:t xml:space="preserve">crm_only</x:t>
        </x:is>
      </x:c>
      <x:c r="T337" s="6" t="n"/>
    </x:row>
    <x:row r="338">
      <x:c r="A338" s="6" t="inlineStr">
        <x:is>
          <x:t xml:space="preserve">350 x 1006 cm</x:t>
        </x:is>
      </x:c>
      <x:c r="B338" s="6" t="inlineStr">
        <x:is>
          <x:t xml:space="preserve">S</x:t>
        </x:is>
      </x:c>
      <x:c r="C338" s="6" t="inlineStr">
        <x:is>
          <x:t xml:space="preserve">Szczotki przeciwkurzowe</x:t>
        </x:is>
      </x:c>
      <x:c r="D338" s="6" t="inlineStr">
        <x:is>
          <x:t xml:space="preserve">SZCZOTKI</x:t>
        </x:is>
      </x:c>
      <x:c r="E338" s="8" t="n">
        <x:f>IFERROR(INDEX('02_RAW_INDEX'!$AD:$AD,MATCH($A338,'02_RAW_INDEX'!$A:$A,0)),"")</x:f>
        <x:v>561</x:v>
      </x:c>
      <x:c r="F338" s="8" t="n">
        <x:f>IFERROR(INDEX('02_RAW_INDEX'!$AC:$AC,MATCH($A338,'02_RAW_INDEX'!$A:$A,0)),"")</x:f>
        <x:v>690</x:v>
      </x:c>
      <x:c r="G338" s="7" t="n">
        <x:f>'01_Ustawienia'!$B$6</x:f>
        <x:v>0</x:v>
      </x:c>
      <x:c r="H338" s="8" t="n">
        <x:f>IF(E338="","",ROUND(IF('01_Ustawienia'!$B$5="BRUTTO",F338,E338)*(1-G338),0))</x:f>
        <x:v>561</x:v>
      </x:c>
      <x:c r="I338" s="7" t="n">
        <x:f>IFERROR(IFERROR(INDEX('01_Ustawienia'!$B$15:$B$33,MATCH(B338,'01_Ustawienia'!$A$15:$A$33,0)),0.45),0.45)</x:f>
        <x:v>0.45</x:v>
      </x:c>
      <x:c r="J338" s="8" t="n">
        <x:f>IF(H338="","",ROUND(H338*(1+I338),0))</x:f>
        <x:v>813</x:v>
      </x:c>
      <x:c r="K338" s="8" t="n">
        <x:f>0</x:f>
        <x:v>0</x:v>
      </x:c>
      <x:c r="L338" s="8" t="n">
        <x:f>IFERROR(IFERROR(INDEX(EG_Cennik_uslug!$CA:$CA,MATCH($A338,EG_Cennik_uslug!$A:$A,0)),0),0)</x:f>
        <x:v>0</x:v>
      </x:c>
      <x:c r="M338" s="7" t="n">
        <x:f>IF('01_Ustawienia'!$B$4="ZWOLNIONY",0,'01_Ustawienia'!$B$7)</x:f>
        <x:v>0.08</x:v>
      </x:c>
      <x:c r="N338" s="8" t="n">
        <x:f>IF(J338="","",ROUND((J338+K338)*(1+M338),0))</x:f>
        <x:v>878</x:v>
      </x:c>
      <x:c r="O338" s="8" t="n">
        <x:f>IF(J338="","",J338+K338-H338-L338)</x:f>
        <x:v>252</x:v>
      </x:c>
      <x:c r="P338" s="7" t="n">
        <x:f>IFERROR(O338/(J338+K338),"")</x:f>
        <x:v>0.30996309963099633</x:v>
      </x:c>
      <x:c r="Q338" s="6" t="inlineStr">
        <x:is>
          <x:t xml:space="preserve">RAW_OP L/M</x:t>
        </x:is>
      </x:c>
      <x:c r="R338" s="6" t="inlineStr">
        <x:is>
          <x:t xml:space="preserve">DODATKI</x:t>
        </x:is>
      </x:c>
      <x:c r="S338" s="6" t="inlineStr">
        <x:is>
          <x:t xml:space="preserve">website+crm</x:t>
        </x:is>
      </x:c>
      <x:c r="T338" s="6" t="n"/>
    </x:row>
    <x:row r="339">
      <x:c r="A339" s="6" t="inlineStr">
        <x:is>
          <x:t xml:space="preserve">350 x 1006 cm</x:t>
        </x:is>
      </x:c>
      <x:c r="B339" s="6" t="inlineStr">
        <x:is>
          <x:t xml:space="preserve">U</x:t>
        </x:is>
      </x:c>
      <x:c r="C339" s="6" t="inlineStr">
        <x:is>
          <x:t xml:space="preserve">Uchwyty na szkło ścienne</x:t>
        </x:is>
      </x:c>
      <x:c r="D339" s="6" t="inlineStr">
        <x:is>
          <x:t xml:space="preserve">UCHWYTY</x:t>
        </x:is>
      </x:c>
      <x:c r="E339" s="8" t="n">
        <x:f>IFERROR(INDEX('02_RAW_INDEX'!$AF:$AF,MATCH($A339,'02_RAW_INDEX'!$A:$A,0)),"")</x:f>
        <x:v>504</x:v>
      </x:c>
      <x:c r="F339" s="8" t="n">
        <x:f>IFERROR(INDEX('02_RAW_INDEX'!$AE:$AE,MATCH($A339,'02_RAW_INDEX'!$A:$A,0)),"")</x:f>
        <x:v>620</x:v>
      </x:c>
      <x:c r="G339" s="7" t="n">
        <x:f>'01_Ustawienia'!$B$6</x:f>
        <x:v>0</x:v>
      </x:c>
      <x:c r="H339" s="8" t="n">
        <x:f>IF(E339="","",ROUND(IF('01_Ustawienia'!$B$5="BRUTTO",F339,E339)*(1-G339),0))</x:f>
        <x:v>504</x:v>
      </x:c>
      <x:c r="I339" s="7" t="n">
        <x:f>IFERROR(IFERROR(INDEX('01_Ustawienia'!$B$15:$B$33,MATCH(B339,'01_Ustawienia'!$A$15:$A$33,0)),0.45),0.45)</x:f>
        <x:v>0.45</x:v>
      </x:c>
      <x:c r="J339" s="8" t="n">
        <x:f>IF(H339="","",ROUND(H339*(1+I339),0))</x:f>
        <x:v>731</x:v>
      </x:c>
      <x:c r="K339" s="8" t="n">
        <x:f>0</x:f>
        <x:v>0</x:v>
      </x:c>
      <x:c r="L339" s="8" t="n">
        <x:f>IFERROR(IFERROR(INDEX(EG_Cennik_uslug!$CH:$CH,MATCH($A339,EG_Cennik_uslug!$A:$A,0)),0),0)</x:f>
        <x:v>0</x:v>
      </x:c>
      <x:c r="M339" s="7" t="n">
        <x:f>IF('01_Ustawienia'!$B$4="ZWOLNIONY",0,'01_Ustawienia'!$B$7)</x:f>
        <x:v>0.08</x:v>
      </x:c>
      <x:c r="N339" s="8" t="n">
        <x:f>IF(J339="","",ROUND((J339+K339)*(1+M339),0))</x:f>
        <x:v>789</x:v>
      </x:c>
      <x:c r="O339" s="8" t="n">
        <x:f>IF(J339="","",J339+K339-H339-L339)</x:f>
        <x:v>227</x:v>
      </x:c>
      <x:c r="P339" s="7" t="n">
        <x:f>IFERROR(O339/(J339+K339),"")</x:f>
        <x:v>0.31053351573187415</x:v>
      </x:c>
      <x:c r="Q339" s="6" t="inlineStr">
        <x:is>
          <x:t xml:space="preserve">RAW_OP N/O</x:t>
        </x:is>
      </x:c>
      <x:c r="R339" s="6" t="inlineStr">
        <x:is>
          <x:t xml:space="preserve">DODATKI</x:t>
        </x:is>
      </x:c>
      <x:c r="S339" s="6" t="inlineStr">
        <x:is>
          <x:t xml:space="preserve">website+crm</x:t>
        </x:is>
      </x:c>
      <x:c r="T339" s="6" t="n"/>
    </x:row>
    <x:row r="340">
      <x:c r="A340" s="6" t="inlineStr">
        <x:is>
          <x:t xml:space="preserve">350 x 1006 cm</x:t>
        </x:is>
      </x:c>
      <x:c r="B340" s="6" t="inlineStr">
        <x:is>
          <x:t xml:space="preserve">LED2</x:t>
        </x:is>
      </x:c>
      <x:c r="C340" s="6" t="inlineStr">
        <x:is>
          <x:t xml:space="preserve">Oświetlenie LED 2 punkty</x:t>
        </x:is>
      </x:c>
      <x:c r="D340" s="6" t="inlineStr">
        <x:is>
          <x:t xml:space="preserve">LED 2 PKT</x:t>
        </x:is>
      </x:c>
      <x:c r="E340" s="8" t="n">
        <x:f>IFERROR(INDEX('02_RAW_INDEX'!$N:$N,MATCH($A340,'02_RAW_INDEX'!$A:$A,0)),"")</x:f>
        <x:v>1000</x:v>
      </x:c>
      <x:c r="F340" s="8" t="n">
        <x:f>IFERROR(INDEX('02_RAW_INDEX'!$M:$M,MATCH($A340,'02_RAW_INDEX'!$A:$A,0)),"")</x:f>
        <x:v>1230</x:v>
      </x:c>
      <x:c r="G340" s="7" t="n">
        <x:f>'01_Ustawienia'!$B$6</x:f>
        <x:v>0</x:v>
      </x:c>
      <x:c r="H340" s="8" t="n">
        <x:f>IF(E340="","",ROUND(IF('01_Ustawienia'!$B$5="BRUTTO",F340,E340)*(1-G340),0))</x:f>
        <x:v>1000</x:v>
      </x:c>
      <x:c r="I340" s="7" t="n">
        <x:f>IFERROR(IFERROR(INDEX('01_Ustawienia'!$B$15:$B$33,MATCH(B340,'01_Ustawienia'!$A$15:$A$33,0)),0.45),0.45)</x:f>
        <x:v>0.45</x:v>
      </x:c>
      <x:c r="J340" s="8" t="n">
        <x:f>IF(H340="","",ROUND(H340*(1+I340),0))</x:f>
        <x:v>1450</x:v>
      </x:c>
      <x:c r="K340" s="8" t="n">
        <x:f>0</x:f>
        <x:v>0</x:v>
      </x:c>
      <x:c r="L340" s="8" t="n">
        <x:f>IFERROR(IFERROR(INDEX(EG_Cennik_uslug!$CO:$CO,MATCH($A340,EG_Cennik_uslug!$A:$A,0)),0),0)</x:f>
        <x:v>0</x:v>
      </x:c>
      <x:c r="M340" s="7" t="n">
        <x:f>IF('01_Ustawienia'!$B$4="ZWOLNIONY",0,'01_Ustawienia'!$B$7)</x:f>
        <x:v>0.08</x:v>
      </x:c>
      <x:c r="N340" s="8" t="n">
        <x:f>IF(J340="","",ROUND((J340+K340)*(1+M340),0))</x:f>
        <x:v>1566</x:v>
      </x:c>
      <x:c r="O340" s="8" t="n">
        <x:f>IF(J340="","",J340+K340-H340-L340)</x:f>
        <x:v>450</x:v>
      </x:c>
      <x:c r="P340" s="7" t="n">
        <x:f>IFERROR(O340/(J340+K340),"")</x:f>
        <x:v>0.3103448275862069</x:v>
      </x:c>
      <x:c r="Q340" s="6" t="inlineStr">
        <x:is>
          <x:t xml:space="preserve">RAW_ZP P/Q</x:t>
        </x:is>
      </x:c>
      <x:c r="R340" s="6" t="inlineStr">
        <x:is>
          <x:t xml:space="preserve">OŚWIETLENIE</x:t>
        </x:is>
      </x:c>
      <x:c r="S340" s="6" t="inlineStr">
        <x:is>
          <x:t xml:space="preserve">website+crm</x:t>
        </x:is>
      </x:c>
      <x:c r="T340" s="6" t="n"/>
    </x:row>
    <x:row r="341">
      <x:c r="A341" s="6" t="inlineStr">
        <x:is>
          <x:t xml:space="preserve">350 x 1006 cm</x:t>
        </x:is>
      </x:c>
      <x:c r="B341" s="6" t="inlineStr">
        <x:is>
          <x:t xml:space="preserve">LED3</x:t>
        </x:is>
      </x:c>
      <x:c r="C341" s="6" t="inlineStr">
        <x:is>
          <x:t xml:space="preserve">Oświetlenie LED 3 punkty</x:t>
        </x:is>
      </x:c>
      <x:c r="D341" s="6" t="inlineStr">
        <x:is>
          <x:t xml:space="preserve">LED 3 PKT</x:t>
        </x:is>
      </x:c>
      <x:c r="E341" s="8" t="n">
        <x:f>IFERROR(INDEX('02_RAW_INDEX'!$P:$P,MATCH($A341,'02_RAW_INDEX'!$A:$A,0)),"")</x:f>
        <x:v>1341</x:v>
      </x:c>
      <x:c r="F341" s="8" t="n">
        <x:f>IFERROR(INDEX('02_RAW_INDEX'!$O:$O,MATCH($A341,'02_RAW_INDEX'!$A:$A,0)),"")</x:f>
        <x:v>1650</x:v>
      </x:c>
      <x:c r="G341" s="7" t="n">
        <x:f>'01_Ustawienia'!$B$6</x:f>
        <x:v>0</x:v>
      </x:c>
      <x:c r="H341" s="8" t="n">
        <x:f>IF(E341="","",ROUND(IF('01_Ustawienia'!$B$5="BRUTTO",F341,E341)*(1-G341),0))</x:f>
        <x:v>1341</x:v>
      </x:c>
      <x:c r="I341" s="7" t="n">
        <x:f>IFERROR(IFERROR(INDEX('01_Ustawienia'!$B$15:$B$33,MATCH(B341,'01_Ustawienia'!$A$15:$A$33,0)),0.45),0.45)</x:f>
        <x:v>0.45</x:v>
      </x:c>
      <x:c r="J341" s="8" t="n">
        <x:f>IF(H341="","",ROUND(H341*(1+I341),0))</x:f>
        <x:v>1944</x:v>
      </x:c>
      <x:c r="K341" s="8" t="n">
        <x:f>0</x:f>
        <x:v>0</x:v>
      </x:c>
      <x:c r="L341" s="8" t="n">
        <x:f>IFERROR(IFERROR(INDEX(EG_Cennik_uslug!$CV:$CV,MATCH($A341,EG_Cennik_uslug!$A:$A,0)),0),0)</x:f>
        <x:v>0</x:v>
      </x:c>
      <x:c r="M341" s="7" t="n">
        <x:f>IF('01_Ustawienia'!$B$4="ZWOLNIONY",0,'01_Ustawienia'!$B$7)</x:f>
        <x:v>0.08</x:v>
      </x:c>
      <x:c r="N341" s="8" t="n">
        <x:f>IF(J341="","",ROUND((J341+K341)*(1+M341),0))</x:f>
        <x:v>2100</x:v>
      </x:c>
      <x:c r="O341" s="8" t="n">
        <x:f>IF(J341="","",J341+K341-H341-L341)</x:f>
        <x:v>603</x:v>
      </x:c>
      <x:c r="P341" s="7" t="n">
        <x:f>IFERROR(O341/(J341+K341),"")</x:f>
        <x:v>0.3101851851851852</x:v>
      </x:c>
      <x:c r="Q341" s="6" t="inlineStr">
        <x:is>
          <x:t xml:space="preserve">RAW_ZP R/S</x:t>
        </x:is>
      </x:c>
      <x:c r="R341" s="6" t="inlineStr">
        <x:is>
          <x:t xml:space="preserve">OŚWIETLENIE</x:t>
        </x:is>
      </x:c>
      <x:c r="S341" s="6" t="inlineStr">
        <x:is>
          <x:t xml:space="preserve">website+crm</x:t>
        </x:is>
      </x:c>
      <x:c r="T341" s="6" t="inlineStr">
        <x:is>
          <x:t xml:space="preserve">Nazwa do potwierdzenia</x:t>
        </x:is>
      </x:c>
    </x:row>
    <x:row r="342">
      <x:c r="A342" s="6" t="inlineStr">
        <x:is>
          <x:t xml:space="preserve">350 x 1006 cm</x:t>
        </x:is>
      </x:c>
      <x:c r="B342" s="6" t="inlineStr">
        <x:is>
          <x:t xml:space="preserve">LEDCCT</x:t>
        </x:is>
      </x:c>
      <x:c r="C342" s="6" t="inlineStr">
        <x:is>
          <x:t xml:space="preserve">Oświetlenie LED CCT</x:t>
        </x:is>
      </x:c>
      <x:c r="D342" s="6" t="inlineStr">
        <x:is>
          <x:t xml:space="preserve">OŚWIETLENIE</x:t>
        </x:is>
      </x:c>
      <x:c r="E342" s="8" t="n">
        <x:f>IFERROR(INDEX('02_RAW_INDEX'!$R:$R,MATCH($A342,'02_RAW_INDEX'!$A:$A,0)),"")</x:f>
        <x:v>1950</x:v>
      </x:c>
      <x:c r="F342" s="8" t="n">
        <x:f>IFERROR(INDEX('02_RAW_INDEX'!$Q:$Q,MATCH($A342,'02_RAW_INDEX'!$A:$A,0)),"")</x:f>
        <x:v>2399</x:v>
      </x:c>
      <x:c r="G342" s="7" t="n">
        <x:f>'01_Ustawienia'!$B$6</x:f>
        <x:v>0</x:v>
      </x:c>
      <x:c r="H342" s="8" t="n">
        <x:f>IF(E342="","",ROUND(IF('01_Ustawienia'!$B$5="BRUTTO",F342,E342)*(1-G342),0))</x:f>
        <x:v>1950</x:v>
      </x:c>
      <x:c r="I342" s="7" t="n">
        <x:f>IFERROR(IFERROR(INDEX('01_Ustawienia'!$B$15:$B$33,MATCH(B342,'01_Ustawienia'!$A$15:$A$33,0)),0.45),0.45)</x:f>
        <x:v>0.45</x:v>
      </x:c>
      <x:c r="J342" s="8" t="n">
        <x:f>IF(H342="","",ROUND(H342*(1+I342),0))</x:f>
        <x:v>2828</x:v>
      </x:c>
      <x:c r="K342" s="8" t="n">
        <x:f>0</x:f>
        <x:v>0</x:v>
      </x:c>
      <x:c r="L342" s="8" t="n">
        <x:f>0</x:f>
        <x:v>0</x:v>
      </x:c>
      <x:c r="M342" s="7" t="n">
        <x:f>IF('01_Ustawienia'!$B$4="ZWOLNIONY",0,'01_Ustawienia'!$B$7)</x:f>
        <x:v>0.08</x:v>
      </x:c>
      <x:c r="N342" s="8" t="n">
        <x:f>IF(J342="","",ROUND((J342+K342)*(1+M342),0))</x:f>
        <x:v>3054</x:v>
      </x:c>
      <x:c r="O342" s="8" t="n">
        <x:f>IF(J342="","",J342+K342-H342-L342)</x:f>
        <x:v>878</x:v>
      </x:c>
      <x:c r="P342" s="7" t="n">
        <x:f>IFERROR(O342/(J342+K342),"")</x:f>
        <x:v>0.3104667609618105</x:v>
      </x:c>
      <x:c r="Q342" s="6" t="inlineStr">
        <x:is>
          <x:t xml:space="preserve">RAW_ZP T/U</x:t>
        </x:is>
      </x:c>
      <x:c r="R342" s="6" t="inlineStr">
        <x:is>
          <x:t xml:space="preserve">OŚWIETLENIE</x:t>
        </x:is>
      </x:c>
      <x:c r="S342" s="6" t="inlineStr">
        <x:is>
          <x:t xml:space="preserve">website+crm</x:t>
        </x:is>
      </x:c>
      <x:c r="T342" s="6" t="inlineStr">
        <x:is>
          <x:t xml:space="preserve">Opcja dodatkowa | FIX17: opcja LED dostępna dla strony; ceny 450-600 wg modelu FIX15.</x:t>
        </x:is>
      </x:c>
    </x:row>
    <x:row r="343">
      <x:c r="A343" s="6" t="inlineStr">
        <x:is>
          <x:t xml:space="preserve">350 x 1006 cm</x:t>
        </x:is>
      </x:c>
      <x:c r="B343" s="6" t="inlineStr">
        <x:is>
          <x:t xml:space="preserve">LEDRGBCCT</x:t>
        </x:is>
      </x:c>
      <x:c r="C343" s="6" t="inlineStr">
        <x:is>
          <x:t xml:space="preserve">Oświetlenie LED RGB CCT</x:t>
        </x:is>
      </x:c>
      <x:c r="D343" s="6" t="inlineStr">
        <x:is>
          <x:t xml:space="preserve">OŚWIETLENIE</x:t>
        </x:is>
      </x:c>
      <x:c r="E343" s="8" t="n">
        <x:f>IFERROR(INDEX('02_RAW_INDEX'!$T:$T,MATCH($A343,'02_RAW_INDEX'!$A:$A,0)),"")</x:f>
        <x:v>2890</x:v>
      </x:c>
      <x:c r="F343" s="8" t="n">
        <x:f>IFERROR(INDEX('02_RAW_INDEX'!$S:$S,MATCH($A343,'02_RAW_INDEX'!$A:$A,0)),"")</x:f>
        <x:v>3555</x:v>
      </x:c>
      <x:c r="G343" s="7" t="n">
        <x:f>'01_Ustawienia'!$B$6</x:f>
        <x:v>0</x:v>
      </x:c>
      <x:c r="H343" s="8" t="n">
        <x:f>IF(E343="","",ROUND(IF('01_Ustawienia'!$B$5="BRUTTO",F343,E343)*(1-G343),0))</x:f>
        <x:v>2890</x:v>
      </x:c>
      <x:c r="I343" s="7" t="n">
        <x:f>IFERROR(IFERROR(INDEX('01_Ustawienia'!$B$15:$B$33,MATCH(B343,'01_Ustawienia'!$A$15:$A$33,0)),0.45),0.45)</x:f>
        <x:v>0.45</x:v>
      </x:c>
      <x:c r="J343" s="8" t="n">
        <x:f>IF(H343="","",ROUND(H343*(1+I343),0))</x:f>
        <x:v>4191</x:v>
      </x:c>
      <x:c r="K343" s="8" t="n">
        <x:f>0</x:f>
        <x:v>0</x:v>
      </x:c>
      <x:c r="L343" s="8" t="n">
        <x:f>0</x:f>
        <x:v>0</x:v>
      </x:c>
      <x:c r="M343" s="7" t="n">
        <x:f>IF('01_Ustawienia'!$B$4="ZWOLNIONY",0,'01_Ustawienia'!$B$7)</x:f>
        <x:v>0.08</x:v>
      </x:c>
      <x:c r="N343" s="8" t="n">
        <x:f>IF(J343="","",ROUND((J343+K343)*(1+M343),0))</x:f>
        <x:v>4526</x:v>
      </x:c>
      <x:c r="O343" s="8" t="n">
        <x:f>IF(J343="","",J343+K343-H343-L343)</x:f>
        <x:v>1301</x:v>
      </x:c>
      <x:c r="P343" s="7" t="n">
        <x:f>IFERROR(O343/(J343+K343),"")</x:f>
        <x:v>0.31042710570269627</x:v>
      </x:c>
      <x:c r="Q343" s="6" t="inlineStr">
        <x:is>
          <x:t xml:space="preserve">RAW_ZP V/W</x:t>
        </x:is>
      </x:c>
      <x:c r="R343" s="6" t="inlineStr">
        <x:is>
          <x:t xml:space="preserve">OŚWIETLENIE</x:t>
        </x:is>
      </x:c>
      <x:c r="S343" s="6" t="inlineStr">
        <x:is>
          <x:t xml:space="preserve">crm_only</x:t>
        </x:is>
      </x:c>
      <x:c r="T343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344" s="655" customFormat="1" ht="30" customHeight="1">
      <x:c r="A344" s="6" t="inlineStr">
        <x:is>
          <x:t xml:space="preserve">350 x 1106 cm</x:t>
        </x:is>
      </x:c>
      <x:c r="B344" s="6" t="inlineStr">
        <x:is>
          <x:t xml:space="preserve">ZP</x:t>
        </x:is>
      </x:c>
      <x:c r="C344" s="6" t="inlineStr">
        <x:is>
          <x:t xml:space="preserve">Zadaszenie poliwęglan - baza</x:t>
        </x:is>
      </x:c>
      <x:c r="D344" s="6" t="inlineStr">
        <x:is>
          <x:t xml:space="preserve">ZADASZENIE POLIWĘGLAN</x:t>
        </x:is>
      </x:c>
      <x:c r="E344" s="8" t="n">
        <x:f>IFERROR(INDEX('02_RAW_INDEX'!$D:$D,MATCH($A344,'02_RAW_INDEX'!$A:$A,0)),"")</x:f>
        <x:v>12382</x:v>
      </x:c>
      <x:c r="F344" s="8" t="n">
        <x:f>IFERROR(INDEX('02_RAW_INDEX'!$C:$C,MATCH($A344,'02_RAW_INDEX'!$A:$A,0)),"")</x:f>
        <x:v>15230</x:v>
      </x:c>
      <x:c r="G344" s="7" t="n">
        <x:f>'01_Ustawienia'!$B$6</x:f>
        <x:v>0</x:v>
      </x:c>
      <x:c r="H344" s="8" t="n">
        <x:f>IF(E344="","",ROUND(IF('01_Ustawienia'!$B$5="BRUTTO",F344,E344)*(1-G344),0))</x:f>
        <x:v>12382</x:v>
      </x:c>
      <x:c r="I344" s="7" t="n">
        <x:f>IFERROR(IFERROR(INDEX('01_Ustawienia'!$B$15:$B$33,MATCH(B344,'01_Ustawienia'!$A$15:$A$33,0)),0.45),0.45)</x:f>
        <x:v>0.45</x:v>
      </x:c>
      <x:c r="J344" s="8" t="n">
        <x:f>IF(H344="","",ROUND(H344*(1+I344),0))</x:f>
        <x:v>17954</x:v>
      </x:c>
      <x:c r="K344" s="8" t="n">
        <x:f>IFERROR(IFERROR(INDEX(EG_Cennik_uslug!$F:$F,MATCH($A344,EG_Cennik_uslug!$A:$A,0)),0),0)</x:f>
        <x:v>5000</x:v>
      </x:c>
      <x:c r="L344" s="8" t="n">
        <x:f>IFERROR(IFERROR(INDEX(EG_Cennik_uslug!$G:$G,MATCH($A344,EG_Cennik_uslug!$A:$A,0)),0),0)</x:f>
        <x:v>1880</x:v>
      </x:c>
      <x:c r="M344" s="7" t="n">
        <x:f>IF('01_Ustawienia'!$B$4="ZWOLNIONY",0,'01_Ustawienia'!$B$7)</x:f>
        <x:v>0.08</x:v>
      </x:c>
      <x:c r="N344" s="8" t="n">
        <x:f>IF(J344="","",ROUND((J344+K344)*(1+M344),0))</x:f>
        <x:v>24790</x:v>
      </x:c>
      <x:c r="O344" s="8" t="n">
        <x:f>IF(J344="","",J344+K344-H344-L344)</x:f>
        <x:v>8692</x:v>
      </x:c>
      <x:c r="P344" s="7" t="n">
        <x:f>IFERROR(O344/(J344+K344),"")</x:f>
        <x:v>0.37867038424675437</x:v>
      </x:c>
      <x:c r="Q344" s="6" t="inlineStr">
        <x:is>
          <x:t xml:space="preserve">RAW_ZP B/C</x:t>
        </x:is>
      </x:c>
      <x:c r="R344" s="6" t="inlineStr">
        <x:is>
          <x:t xml:space="preserve">ZADASZENIE TARASU KONSTRUKCJA</x:t>
        </x:is>
      </x:c>
      <x:c r="S344" s="6" t="inlineStr">
        <x:is>
          <x:t xml:space="preserve">website+crm</x:t>
        </x:is>
      </x:c>
      <x:c r="T344" s="6" t="inlineStr">
        <x:is>
          <x:t xml:space="preserve">Baza dla kalkulatora</x:t>
        </x:is>
      </x:c>
    </x:row>
    <x:row r="345" s="655" customFormat="1" ht="30" customHeight="1">
      <x:c r="A345" s="6" t="inlineStr">
        <x:is>
          <x:t xml:space="preserve">350 x 1106 cm</x:t>
        </x:is>
      </x:c>
      <x:c r="B345" s="6" t="inlineStr">
        <x:is>
          <x:t xml:space="preserve">ZS</x:t>
        </x:is>
      </x:c>
      <x:c r="C345" s="6" t="inlineStr">
        <x:is>
          <x:t xml:space="preserve">Zadaszenie szkło - pełna konstrukcja</x:t>
        </x:is>
      </x:c>
      <x:c r="D345" s="6" t="inlineStr">
        <x:is>
          <x:t xml:space="preserve">ZADASZENIE SZKŁO</x:t>
        </x:is>
      </x:c>
      <x:c r="E345" s="8" t="n">
        <x:f>IFERROR(INDEX('02_RAW_INDEX'!$V:$V,MATCH($A345,'02_RAW_INDEX'!$A:$A,0)),"")</x:f>
        <x:v>19650</x:v>
      </x:c>
      <x:c r="F345" s="8" t="n">
        <x:f>IFERROR(INDEX('02_RAW_INDEX'!$U:$U,MATCH($A345,'02_RAW_INDEX'!$A:$A,0)),"")</x:f>
        <x:v>24170</x:v>
      </x:c>
      <x:c r="G345" s="7" t="n">
        <x:f>'01_Ustawienia'!$B$6</x:f>
        <x:v>0</x:v>
      </x:c>
      <x:c r="H345" s="8" t="n">
        <x:f>IF(E345="","",ROUND(IF('01_Ustawienia'!$B$5="BRUTTO",F345,E345)*(1-G345),0))</x:f>
        <x:v>19650</x:v>
      </x:c>
      <x:c r="I345" s="7" t="n">
        <x:f>IFERROR(IFERROR(INDEX('01_Ustawienia'!$B$15:$B$33,MATCH(B345,'01_Ustawienia'!$A$15:$A$33,0)),0.45),0.45)</x:f>
        <x:v>0.45</x:v>
      </x:c>
      <x:c r="J345" s="8" t="n">
        <x:f>IF(H345="","",ROUND(H345*(1+I345),0))</x:f>
        <x:v>28493</x:v>
      </x:c>
      <x:c r="K345" s="8" t="n">
        <x:f>IFERROR(IFERROR(INDEX(EG_Cennik_uslug!$F:$F,MATCH($A345,EG_Cennik_uslug!$A:$A,0)),0),0)</x:f>
        <x:v>5000</x:v>
      </x:c>
      <x:c r="L345" s="8" t="n">
        <x:f>IFERROR(IFERROR(INDEX(EG_Cennik_uslug!$G:$G,MATCH($A345,EG_Cennik_uslug!$A:$A,0)),0),0)</x:f>
        <x:v>1880</x:v>
      </x:c>
      <x:c r="M345" s="7" t="n">
        <x:f>IF('01_Ustawienia'!$B$4="ZWOLNIONY",0,'01_Ustawienia'!$B$7)</x:f>
        <x:v>0.08</x:v>
      </x:c>
      <x:c r="N345" s="8" t="n">
        <x:f>IF(J345="","",ROUND((J345+K345)*(1+M345),0))</x:f>
        <x:v>36172</x:v>
      </x:c>
      <x:c r="O345" s="8" t="n">
        <x:f>IF(J345="","",J345+K345-H345-L345)</x:f>
        <x:v>11963</x:v>
      </x:c>
      <x:c r="P345" s="7" t="n">
        <x:f>IFERROR(O345/(J345+K345),"")</x:f>
        <x:v>0.35717911205326486</x:v>
      </x:c>
      <x:c r="Q345" s="6" t="inlineStr">
        <x:is>
          <x:t xml:space="preserve">RAW_ZS B/C</x:t>
        </x:is>
      </x:c>
      <x:c r="R345" s="6" t="inlineStr">
        <x:is>
          <x:t xml:space="preserve">ZADASZENIE TARASU KONSTRUKCJA</x:t>
        </x:is>
      </x:c>
      <x:c r="S345" s="6" t="inlineStr">
        <x:is>
          <x:t xml:space="preserve">crm_only</x:t>
        </x:is>
      </x:c>
      <x:c r="T345" s="6" t="inlineStr">
        <x:is>
          <x:t xml:space="preserve">Referencyjne/full; strona zwykle używa ZP + PDS</x:t>
        </x:is>
      </x:c>
    </x:row>
    <x:row r="346" s="655" customFormat="1" ht="30" customHeight="1">
      <x:c r="A346" s="6" t="inlineStr">
        <x:is>
          <x:t xml:space="preserve">350 x 1106 cm</x:t>
        </x:is>
      </x:c>
      <x:c r="B346" s="6" t="inlineStr">
        <x:is>
          <x:t xml:space="preserve">OP</x:t>
        </x:is>
      </x:c>
      <x:c r="C346" s="6" t="inlineStr">
        <x:is>
          <x:t xml:space="preserve">Ogród zimowy poliwęglan - baza</x:t>
        </x:is>
      </x:c>
      <x:c r="D346" s="6" t="inlineStr">
        <x:is>
          <x:t xml:space="preserve">OGRODY POLIWĘGLAN</x:t>
        </x:is>
      </x:c>
      <x:c r="E346" s="8" t="n">
        <x:f>IFERROR(INDEX('02_RAW_INDEX'!$Z:$Z,MATCH($A346,'02_RAW_INDEX'!$A:$A,0)),"")</x:f>
        <x:v>28618</x:v>
      </x:c>
      <x:c r="F346" s="8" t="n">
        <x:f>IFERROR(INDEX('02_RAW_INDEX'!$Y:$Y,MATCH($A346,'02_RAW_INDEX'!$A:$A,0)),"")</x:f>
        <x:v>35200</x:v>
      </x:c>
      <x:c r="G346" s="7" t="n">
        <x:f>'01_Ustawienia'!$B$6</x:f>
        <x:v>0</x:v>
      </x:c>
      <x:c r="H346" s="8" t="n">
        <x:f>IF(E346="","",ROUND(IF('01_Ustawienia'!$B$5="BRUTTO",F346,E346)*(1-G346),0))</x:f>
        <x:v>28618</x:v>
      </x:c>
      <x:c r="I346" s="7" t="n">
        <x:f>IFERROR(IFERROR(INDEX('01_Ustawienia'!$B$15:$B$33,MATCH(B346,'01_Ustawienia'!$A$15:$A$33,0)),0.45),0.45)</x:f>
        <x:v>0.45</x:v>
      </x:c>
      <x:c r="J346" s="8" t="n">
        <x:f>IF(H346="","",ROUND(H346*(1+I346),0))</x:f>
        <x:v>41496</x:v>
      </x:c>
      <x:c r="K346" s="8" t="n">
        <x:f>IFERROR(IFERROR(INDEX(EG_Cennik_uslug!$N:$N,MATCH($A346,EG_Cennik_uslug!$A:$A,0)),0),0)</x:f>
        <x:v>6490</x:v>
      </x:c>
      <x:c r="L346" s="8" t="n">
        <x:f>IFERROR(IFERROR(INDEX(EG_Cennik_uslug!$O:$O,MATCH($A346,EG_Cennik_uslug!$A:$A,0)),0),0)</x:f>
        <x:v>2630</x:v>
      </x:c>
      <x:c r="M346" s="7" t="n">
        <x:f>IF('01_Ustawienia'!$B$4="ZWOLNIONY",0,'01_Ustawienia'!$B$7)</x:f>
        <x:v>0.08</x:v>
      </x:c>
      <x:c r="N346" s="8" t="n">
        <x:f>IF(J346="","",ROUND((J346+K346)*(1+M346),0))</x:f>
        <x:v>51825</x:v>
      </x:c>
      <x:c r="O346" s="8" t="n">
        <x:f>IF(J346="","",J346+K346-H346-L346)</x:f>
        <x:v>16738</x:v>
      </x:c>
      <x:c r="P346" s="7" t="n">
        <x:f>IFERROR(O346/(J346+K346),"")</x:f>
        <x:v>0.3488100696036344</x:v>
      </x:c>
      <x:c r="Q346" s="6" t="inlineStr">
        <x:is>
          <x:t xml:space="preserve">RAW_OP B/C</x:t>
        </x:is>
      </x:c>
      <x:c r="R346" s="6" t="inlineStr">
        <x:is>
          <x:t xml:space="preserve">OGRÓD ZIMOWY (KONSTRUKCJA)</x:t>
        </x:is>
      </x:c>
      <x:c r="S346" s="6" t="inlineStr">
        <x:is>
          <x:t xml:space="preserve">website+crm</x:t>
        </x:is>
      </x:c>
      <x:c r="T346" s="6" t="inlineStr">
        <x:is>
          <x:t xml:space="preserve">Do wyliczenia dopłaty za ściany</x:t>
        </x:is>
      </x:c>
    </x:row>
    <x:row r="347" s="655" customFormat="1" ht="30" customHeight="1">
      <x:c r="A347" s="6" t="inlineStr">
        <x:is>
          <x:t xml:space="preserve">350 x 1106 cm</x:t>
        </x:is>
      </x:c>
      <x:c r="B347" s="6" t="inlineStr">
        <x:is>
          <x:t xml:space="preserve">OS</x:t>
        </x:is>
      </x:c>
      <x:c r="C347" s="6" t="inlineStr">
        <x:is>
          <x:t xml:space="preserve">Ogród zimowy szkło - pełna konstrukcja</x:t>
        </x:is>
      </x:c>
      <x:c r="D347" s="6" t="inlineStr">
        <x:is>
          <x:t xml:space="preserve">OGRODY SZKŁO</x:t>
        </x:is>
      </x:c>
      <x:c r="E347" s="8" t="n">
        <x:f>IFERROR(INDEX('02_RAW_INDEX'!$AL:$AL,MATCH($A347,'02_RAW_INDEX'!$A:$A,0)),"")</x:f>
        <x:v>35886</x:v>
      </x:c>
      <x:c r="F347" s="8" t="n">
        <x:f>IFERROR(INDEX('02_RAW_INDEX'!$AK:$AK,MATCH($A347,'02_RAW_INDEX'!$A:$A,0)),"")</x:f>
        <x:v>44140</x:v>
      </x:c>
      <x:c r="G347" s="7" t="n">
        <x:f>'01_Ustawienia'!$B$6</x:f>
        <x:v>0</x:v>
      </x:c>
      <x:c r="H347" s="8" t="n">
        <x:f>IF(E347="","",ROUND(IF('01_Ustawienia'!$B$5="BRUTTO",F347,E347)*(1-G347),0))</x:f>
        <x:v>35886</x:v>
      </x:c>
      <x:c r="I347" s="7" t="n">
        <x:f>IFERROR(IFERROR(INDEX('01_Ustawienia'!$B$15:$B$33,MATCH(B347,'01_Ustawienia'!$A$15:$A$33,0)),0.45),0.45)</x:f>
        <x:v>0.45</x:v>
      </x:c>
      <x:c r="J347" s="8" t="n">
        <x:f>IF(H347="","",ROUND(H347*(1+I347),0))</x:f>
        <x:v>52035</x:v>
      </x:c>
      <x:c r="K347" s="8" t="n">
        <x:f>IFERROR(IFERROR(INDEX(EG_Cennik_uslug!$N:$N,MATCH($A347,EG_Cennik_uslug!$A:$A,0)),0),0)</x:f>
        <x:v>6490</x:v>
      </x:c>
      <x:c r="L347" s="8" t="n">
        <x:f>IFERROR(IFERROR(INDEX(EG_Cennik_uslug!$O:$O,MATCH($A347,EG_Cennik_uslug!$A:$A,0)),0),0)</x:f>
        <x:v>2630</x:v>
      </x:c>
      <x:c r="M347" s="7" t="n">
        <x:f>IF('01_Ustawienia'!$B$4="ZWOLNIONY",0,'01_Ustawienia'!$B$7)</x:f>
        <x:v>0.08</x:v>
      </x:c>
      <x:c r="N347" s="8" t="n">
        <x:f>IF(J347="","",ROUND((J347+K347)*(1+M347),0))</x:f>
        <x:v>63207</x:v>
      </x:c>
      <x:c r="O347" s="8" t="n">
        <x:f>IF(J347="","",J347+K347-H347-L347)</x:f>
        <x:v>20009</x:v>
      </x:c>
      <x:c r="P347" s="7" t="n">
        <x:f>IFERROR(O347/(J347+K347),"")</x:f>
        <x:v>0.3418880820162324</x:v>
      </x:c>
      <x:c r="Q347" s="6" t="inlineStr">
        <x:is>
          <x:t xml:space="preserve">RAW_OS B/C</x:t>
        </x:is>
      </x:c>
      <x:c r="R347" s="6" t="inlineStr">
        <x:is>
          <x:t xml:space="preserve">OGRÓD ZIMOWY (KONSTRUKCJA)</x:t>
        </x:is>
      </x:c>
      <x:c r="S347" s="6" t="inlineStr">
        <x:is>
          <x:t xml:space="preserve">crm_only</x:t>
        </x:is>
      </x:c>
      <x:c r="T347" s="6" t="inlineStr">
        <x:is>
          <x:t xml:space="preserve">Referencyjne/full</x:t>
        </x:is>
      </x:c>
    </x:row>
    <x:row r="348" s="655" customFormat="1" ht="30" customHeight="1">
      <x:c r="A348" s="6" t="inlineStr">
        <x:is>
          <x:t xml:space="preserve">350 x 1106 cm</x:t>
        </x:is>
      </x:c>
      <x:c r="B348" s="6" t="inlineStr">
        <x:is>
          <x:t xml:space="preserve">PDS</x:t>
        </x:is>
      </x:c>
      <x:c r="C348" s="6" t="inlineStr">
        <x:is>
          <x:t xml:space="preserve">Dopłata dach szkło przezroczyste</x:t>
        </x:is>
      </x:c>
      <x:c r="D348" s="6" t="inlineStr">
        <x:is>
          <x:t xml:space="preserve">POKRYCIE DACHU SZKŁO</x:t>
        </x:is>
      </x:c>
      <x:c r="E348" s="8" t="n">
        <x:f>IFERROR(IFERROR(INDEX('02_RAW_INDEX'!$V:$V,MATCH($A348,'02_RAW_INDEX'!$A:$A,0)),"")-IFERROR(INDEX('02_RAW_INDEX'!$D:$D,MATCH($A348,'02_RAW_INDEX'!$A:$A,0)),""),"")</x:f>
        <x:v>7268</x:v>
      </x:c>
      <x:c r="F348" s="8" t="n">
        <x:f>IFERROR(IFERROR(INDEX('02_RAW_INDEX'!$U:$U,MATCH($A348,'02_RAW_INDEX'!$A:$A,0)),"")-IFERROR(INDEX('02_RAW_INDEX'!$C:$C,MATCH($A348,'02_RAW_INDEX'!$A:$A,0)),""),"")</x:f>
        <x:v>8940</x:v>
      </x:c>
      <x:c r="G348" s="7" t="n">
        <x:f>'01_Ustawienia'!$B$6</x:f>
        <x:v>0</x:v>
      </x:c>
      <x:c r="H348" s="8" t="n">
        <x:f>IF(E348="","",ROUND(IF('01_Ustawienia'!$B$5="BRUTTO",F348,E348)*(1-G348),0))</x:f>
        <x:v>7268</x:v>
      </x:c>
      <x:c r="I348" s="7" t="n">
        <x:f>IFERROR(IFERROR(INDEX('01_Ustawienia'!$B$15:$B$33,MATCH(B348,'01_Ustawienia'!$A$15:$A$33,0)),0.45),0.45)</x:f>
        <x:v>0.45</x:v>
      </x:c>
      <x:c r="J348" s="8" t="n">
        <x:f>IF(H348="","",ROUND(H348*(1+I348),0))</x:f>
        <x:v>10539</x:v>
      </x:c>
      <x:c r="K348" s="8" t="n">
        <x:f>0</x:f>
        <x:v>0</x:v>
      </x:c>
      <x:c r="L348" s="8" t="n">
        <x:v>0</x:v>
      </x:c>
      <x:c r="M348" s="7" t="n">
        <x:f>IF('01_Ustawienia'!$B$4="ZWOLNIONY",0,'01_Ustawienia'!$B$7)</x:f>
        <x:v>0.08</x:v>
      </x:c>
      <x:c r="N348" s="8" t="n">
        <x:f>IF(J348="","",ROUND((J348+K348)*(1+M348),0))</x:f>
        <x:v>11382</x:v>
      </x:c>
      <x:c r="O348" s="8" t="n">
        <x:f>IF(J348="","",J348+K348-H348-L348)</x:f>
        <x:v>3271</x:v>
      </x:c>
      <x:c r="P348" s="7" t="n">
        <x:f>IFERROR(O348/(J348+K348),"")</x:f>
        <x:v>0.31037100294145553</x:v>
      </x:c>
      <x:c r="Q348" s="6" t="inlineStr">
        <x:is>
          <x:t xml:space="preserve">RAW_ZS - RAW_ZP</x:t>
        </x:is>
      </x:c>
      <x:c r="R348" s="6" t="inlineStr">
        <x:is>
          <x:t xml:space="preserve">POKRYCIE DACHU</x:t>
        </x:is>
      </x:c>
      <x:c r="S348" s="6" t="inlineStr">
        <x:is>
          <x:t xml:space="preserve">website+crm</x:t>
        </x:is>
      </x:c>
      <x:c r="T348" s="6" t="inlineStr">
        <x:is>
          <x:t xml:space="preserve">Dopłata do bazowego dachu poliwęglan | FIX17: Wynagr.+koszty = 0 dla dopłaty; nie jest osobnym montażem ekipy.</x:t>
        </x:is>
      </x:c>
    </x:row>
    <x:row r="349" s="655" customFormat="1" ht="30" customHeight="1">
      <x:c r="A349" s="6" t="inlineStr">
        <x:is>
          <x:t xml:space="preserve">350 x 1106 cm</x:t>
        </x:is>
      </x:c>
      <x:c r="B349" s="6" t="inlineStr">
        <x:is>
          <x:t xml:space="preserve">PDSB</x:t>
        </x:is>
      </x:c>
      <x:c r="C349" s="6" t="inlineStr">
        <x:is>
          <x:t xml:space="preserve">Dopłata dach szkło barwione/mleczne</x:t>
        </x:is>
      </x:c>
      <x:c r="D349" s="6" t="inlineStr">
        <x:is>
          <x:t xml:space="preserve">POKRYCIE DACHU SZKŁO BARWIONE</x:t>
        </x:is>
      </x:c>
      <x:c r="E349" s="8" t="n">
        <x:f>IFERROR(INDEX('02_RAW_INDEX'!$X:$X,MATCH($A349,'02_RAW_INDEX'!$A:$A,0)),"")</x:f>
        <x:v>1024</x:v>
      </x:c>
      <x:c r="F349" s="8" t="n">
        <x:f>IFERROR(INDEX('02_RAW_INDEX'!$W:$W,MATCH($A349,'02_RAW_INDEX'!$A:$A,0)),"")</x:f>
        <x:v>1260</x:v>
      </x:c>
      <x:c r="G349" s="7" t="n">
        <x:f>'01_Ustawienia'!$B$6</x:f>
        <x:v>0</x:v>
      </x:c>
      <x:c r="H349" s="8" t="n">
        <x:f>IF(E349="","",ROUND(IF('01_Ustawienia'!$B$5="BRUTTO",F349,E349)*(1-G349),0))</x:f>
        <x:v>1024</x:v>
      </x:c>
      <x:c r="I349" s="7" t="n">
        <x:f>IFERROR(IFERROR(INDEX('01_Ustawienia'!$B$15:$B$33,MATCH(B349,'01_Ustawienia'!$A$15:$A$33,0)),0.45),0.45)</x:f>
        <x:v>0.45</x:v>
      </x:c>
      <x:c r="J349" s="8" t="n">
        <x:f>IF(H349="","",ROUND(H349*(1+I349),0))</x:f>
        <x:v>1485</x:v>
      </x:c>
      <x:c r="K349" s="8" t="n">
        <x:f>0</x:f>
        <x:v>0</x:v>
      </x:c>
      <x:c r="L349" s="8" t="n">
        <x:v>0</x:v>
      </x:c>
      <x:c r="M349" s="7" t="n">
        <x:f>IF('01_Ustawienia'!$B$4="ZWOLNIONY",0,'01_Ustawienia'!$B$7)</x:f>
        <x:v>0.08</x:v>
      </x:c>
      <x:c r="N349" s="8" t="n">
        <x:f>IF(J349="","",ROUND((J349+K349)*(1+M349),0))</x:f>
        <x:v>1604</x:v>
      </x:c>
      <x:c r="O349" s="8" t="n">
        <x:f>IF(J349="","",J349+K349-H349-L349)</x:f>
        <x:v>461</x:v>
      </x:c>
      <x:c r="P349" s="7" t="n">
        <x:f>IFERROR(O349/(J349+K349),"")</x:f>
        <x:v>0.31043771043771046</x:v>
      </x:c>
      <x:c r="Q349" s="6" t="inlineStr">
        <x:is>
          <x:t xml:space="preserve">RAW_ZS D/E</x:t>
        </x:is>
      </x:c>
      <x:c r="R349" s="6" t="inlineStr">
        <x:is>
          <x:t xml:space="preserve">POKRYCIE DACHU</x:t>
        </x:is>
      </x:c>
      <x:c r="S349" s="6" t="inlineStr">
        <x:is>
          <x:t xml:space="preserve">website+crm</x:t>
        </x:is>
      </x:c>
      <x:c r="T349" s="6" t="inlineStr">
        <x:is>
          <x:t xml:space="preserve">Dodawane do PDS | FIX17: Wynagr.+koszty = 0 dla dopłaty; nie jest osobnym montażem ekipy.</x:t>
        </x:is>
      </x:c>
    </x:row>
    <x:row r="350" s="655" customFormat="1" ht="30" customHeight="1">
      <x:c r="A350" s="6" t="inlineStr">
        <x:is>
          <x:t xml:space="preserve">350 x 1106 cm</x:t>
        </x:is>
      </x:c>
      <x:c r="B350" s="6" t="inlineStr">
        <x:is>
          <x:t xml:space="preserve">PDPB</x:t>
        </x:is>
      </x:c>
      <x:c r="C350" s="6" t="inlineStr">
        <x:is>
          <x:t xml:space="preserve">Dopłata poliwęglan barwiony</x:t>
        </x:is>
      </x:c>
      <x:c r="D350" s="6" t="inlineStr">
        <x:is>
          <x:t xml:space="preserve">POKRYCIE DACHU POLIWĘGLAN BARWIONY</x:t>
        </x:is>
      </x:c>
      <x:c r="E350" s="8" t="n">
        <x:f>IFERROR(INDEX('02_RAW_INDEX'!$F:$F,MATCH($A350,'02_RAW_INDEX'!$A:$A,0)),"")</x:f>
        <x:v>447</x:v>
      </x:c>
      <x:c r="F350" s="8" t="n">
        <x:f>IFERROR(INDEX('02_RAW_INDEX'!$E:$E,MATCH($A350,'02_RAW_INDEX'!$A:$A,0)),"")</x:f>
        <x:v>550</x:v>
      </x:c>
      <x:c r="G350" s="7" t="n">
        <x:f>'01_Ustawienia'!$B$6</x:f>
        <x:v>0</x:v>
      </x:c>
      <x:c r="H350" s="8" t="n">
        <x:f>IF(E350="","",ROUND(IF('01_Ustawienia'!$B$5="BRUTTO",F350,E350)*(1-G350),0))</x:f>
        <x:v>447</x:v>
      </x:c>
      <x:c r="I350" s="7" t="n">
        <x:f>IFERROR(IFERROR(INDEX('01_Ustawienia'!$B$15:$B$33,MATCH(B350,'01_Ustawienia'!$A$15:$A$33,0)),0.45),0.45)</x:f>
        <x:v>0.45</x:v>
      </x:c>
      <x:c r="J350" s="8" t="n">
        <x:f>IF(H350="","",ROUND(H350*(1+I350),0))</x:f>
        <x:v>648</x:v>
      </x:c>
      <x:c r="K350" s="8" t="n">
        <x:f>0</x:f>
        <x:v>0</x:v>
      </x:c>
      <x:c r="L350" s="8" t="n">
        <x:v>0</x:v>
      </x:c>
      <x:c r="M350" s="7" t="n">
        <x:f>IF('01_Ustawienia'!$B$4="ZWOLNIONY",0,'01_Ustawienia'!$B$7)</x:f>
        <x:v>0.08</x:v>
      </x:c>
      <x:c r="N350" s="8" t="n">
        <x:f>IF(J350="","",ROUND((J350+K350)*(1+M350),0))</x:f>
        <x:v>700</x:v>
      </x:c>
      <x:c r="O350" s="8" t="n">
        <x:f>IF(J350="","",J350+K350-H350-L350)</x:f>
        <x:v>201</x:v>
      </x:c>
      <x:c r="P350" s="7" t="n">
        <x:f>IFERROR(O350/(J350+K350),"")</x:f>
        <x:v>0.3101851851851852</x:v>
      </x:c>
      <x:c r="Q350" s="6" t="inlineStr">
        <x:is>
          <x:t xml:space="preserve">RAW_ZP D/E</x:t>
        </x:is>
      </x:c>
      <x:c r="R350" s="6" t="inlineStr">
        <x:is>
          <x:t xml:space="preserve">POKRYCIE DACHU</x:t>
        </x:is>
      </x:c>
      <x:c r="S350" s="6" t="inlineStr">
        <x:is>
          <x:t xml:space="preserve">website+crm</x:t>
        </x:is>
      </x:c>
      <x:c r="T350" s="6" t="inlineStr">
        <x:is>
          <x:t xml:space="preserve">FIX17: Wynagr.+koszty = 0 dla dopłaty; nie jest osobnym montażem ekipy.</x:t>
        </x:is>
      </x:c>
    </x:row>
    <x:row r="351" s="655" customFormat="1" ht="30" customHeight="1">
      <x:c r="A351" s="6" t="inlineStr">
        <x:is>
          <x:t xml:space="preserve">350 x 1106 cm</x:t>
        </x:is>
      </x:c>
      <x:c r="B351" s="6" t="inlineStr">
        <x:is>
          <x:t xml:space="preserve">SBB</x:t>
        </x:is>
      </x:c>
      <x:c r="C351" s="6" t="inlineStr">
        <x:is>
          <x:t xml:space="preserve">Dopłata szkło boczne przyciemniane</x:t>
        </x:is>
      </x:c>
      <x:c r="D351" s="6" t="inlineStr">
        <x:is>
          <x:t xml:space="preserve">SZKŁO BOCZNE BARWIONE</x:t>
        </x:is>
      </x:c>
      <x:c r="E351" s="8" t="n">
        <x:f>IFERROR(INDEX('02_RAW_INDEX'!$AB:$AB,MATCH($A351,'02_RAW_INDEX'!$A:$A,0)),"")</x:f>
        <x:v>1854</x:v>
      </x:c>
      <x:c r="F351" s="8" t="n">
        <x:f>IFERROR(INDEX('02_RAW_INDEX'!$AA:$AA,MATCH($A351,'02_RAW_INDEX'!$A:$A,0)),"")</x:f>
        <x:v>2280</x:v>
      </x:c>
      <x:c r="G351" s="7" t="n">
        <x:f>'01_Ustawienia'!$B$6</x:f>
        <x:v>0</x:v>
      </x:c>
      <x:c r="H351" s="8" t="n">
        <x:f>IF(E351="","",ROUND(IF('01_Ustawienia'!$B$5="BRUTTO",F351,E351)*(1-G351),0))</x:f>
        <x:v>1854</x:v>
      </x:c>
      <x:c r="I351" s="7" t="n">
        <x:f>IFERROR(IFERROR(INDEX('01_Ustawienia'!$B$15:$B$33,MATCH(B351,'01_Ustawienia'!$A$15:$A$33,0)),0.45),0.45)</x:f>
        <x:v>0.45</x:v>
      </x:c>
      <x:c r="J351" s="8" t="n">
        <x:f>IF(H351="","",ROUND(H351*(1+I351),0))</x:f>
        <x:v>2688</x:v>
      </x:c>
      <x:c r="K351" s="8" t="n">
        <x:f>0</x:f>
        <x:v>0</x:v>
      </x:c>
      <x:c r="L351" s="8" t="n">
        <x:v>0</x:v>
      </x:c>
      <x:c r="M351" s="7" t="n">
        <x:f>IF('01_Ustawienia'!$B$4="ZWOLNIONY",0,'01_Ustawienia'!$B$7)</x:f>
        <x:v>0.08</x:v>
      </x:c>
      <x:c r="N351" s="8" t="n">
        <x:f>IF(J351="","",ROUND((J351+K351)*(1+M351),0))</x:f>
        <x:v>2903</x:v>
      </x:c>
      <x:c r="O351" s="8" t="n">
        <x:f>IF(J351="","",J351+K351-H351-L351)</x:f>
        <x:v>834</x:v>
      </x:c>
      <x:c r="P351" s="7" t="n">
        <x:f>IFERROR(O351/(J351+K351),"")</x:f>
        <x:v>0.31026785714285715</x:v>
      </x:c>
      <x:c r="Q351" s="6" t="inlineStr">
        <x:is>
          <x:t xml:space="preserve">RAW_OP H/I</x:t>
        </x:is>
      </x:c>
      <x:c r="R351" s="6" t="inlineStr">
        <x:is>
          <x:t xml:space="preserve">SZYBY BOCZNE</x:t>
        </x:is>
      </x:c>
      <x:c r="S351" s="6" t="inlineStr">
        <x:is>
          <x:t xml:space="preserve">website+crm</x:t>
        </x:is>
      </x:c>
      <x:c r="T351" s="6" t="inlineStr">
        <x:is>
          <x:t xml:space="preserve">Dodawane do ścian przezroczystych | FIX17: Wynagr.+koszty = 0 dla dopłaty; nie jest osobnym montażem ekipy.</x:t>
        </x:is>
      </x:c>
    </x:row>
    <x:row r="352">
      <x:c r="A352" s="6" t="inlineStr">
        <x:is>
          <x:t xml:space="preserve">350 x 1106 cm</x:t>
        </x:is>
      </x:c>
      <x:c r="B352" s="6" t="inlineStr">
        <x:is>
          <x:t xml:space="preserve">RB</x:t>
        </x:is>
      </x:c>
      <x:c r="C352" s="6" t="inlineStr">
        <x:is>
          <x:t xml:space="preserve">Roleta boczna ZIP</x:t>
        </x:is>
      </x:c>
      <x:c r="D352" s="6" t="inlineStr">
        <x:is>
          <x:t xml:space="preserve">ROLETA BOCZNA</x:t>
        </x:is>
      </x:c>
      <x:c r="E352" s="8" t="n">
        <x:f>IFERROR(INDEX('02_RAW_INDEX'!$J:$J,MATCH($A352,'02_RAW_INDEX'!$A:$A,0)),"")</x:f>
        <x:v>1902</x:v>
      </x:c>
      <x:c r="F352" s="8" t="n">
        <x:f>IFERROR(INDEX('02_RAW_INDEX'!$I:$I,MATCH($A352,'02_RAW_INDEX'!$A:$A,0)),"")</x:f>
        <x:v>2340</x:v>
      </x:c>
      <x:c r="G352" s="7" t="n">
        <x:f>'01_Ustawienia'!$B$6</x:f>
        <x:v>0</x:v>
      </x:c>
      <x:c r="H352" s="8" t="n">
        <x:f>IF(E352="","",ROUND(IF('01_Ustawienia'!$B$5="BRUTTO",F352,E352)*(1-G352),0))</x:f>
        <x:v>1902</x:v>
      </x:c>
      <x:c r="I352" s="7" t="n">
        <x:f>IFERROR(IFERROR(INDEX('01_Ustawienia'!$B$15:$B$33,MATCH(B352,'01_Ustawienia'!$A$15:$A$33,0)),0.45),0.45)</x:f>
        <x:v>0.45</x:v>
      </x:c>
      <x:c r="J352" s="8" t="n">
        <x:f>IF(H352="","",ROUND(H352*(1+I352),0))</x:f>
        <x:v>2758</x:v>
      </x:c>
      <x:c r="K352" s="8" t="n">
        <x:f>0</x:f>
        <x:v>0</x:v>
      </x:c>
      <x:c r="L352" s="8" t="n">
        <x:f>IFERROR(IFERROR(INDEX(EG_Cennik_uslug!$AC:$AC,MATCH($A352,EG_Cennik_uslug!$A:$A,0)),0),0)</x:f>
        <x:v>150</x:v>
      </x:c>
      <x:c r="M352" s="7" t="n">
        <x:f>IF('01_Ustawienia'!$B$4="ZWOLNIONY",0,'01_Ustawienia'!$B$7)</x:f>
        <x:v>0.08</x:v>
      </x:c>
      <x:c r="N352" s="8" t="n">
        <x:f>IF(J352="","",ROUND((J352+K352)*(1+M352),0))</x:f>
        <x:v>2979</x:v>
      </x:c>
      <x:c r="O352" s="8" t="n">
        <x:f>IF(J352="","",J352+K352-H352-L352)</x:f>
        <x:v>706</x:v>
      </x:c>
      <x:c r="P352" s="7" t="n">
        <x:f>IFERROR(O352/(J352+K352),"")</x:f>
        <x:v>0.25598259608411894</x:v>
      </x:c>
      <x:c r="Q352" s="6" t="inlineStr">
        <x:is>
          <x:t xml:space="preserve">RAW_ZP J/K</x:t>
        </x:is>
      </x:c>
      <x:c r="R352" s="6" t="inlineStr">
        <x:is>
          <x:t xml:space="preserve">ROLETY BOCZNE</x:t>
        </x:is>
      </x:c>
      <x:c r="S352" s="6" t="inlineStr">
        <x:is>
          <x:t xml:space="preserve">website+crm</x:t>
        </x:is>
      </x:c>
      <x:c r="T352" s="6" t="inlineStr">
        <x:is>
          <x:t xml:space="preserve">Używana dla lewej i prawej</x:t>
        </x:is>
      </x:c>
    </x:row>
    <x:row r="353">
      <x:c r="A353" s="6" t="inlineStr">
        <x:is>
          <x:t xml:space="preserve">350 x 1106 cm</x:t>
        </x:is>
      </x:c>
      <x:c r="B353" s="6" t="inlineStr">
        <x:is>
          <x:t xml:space="preserve">RP</x:t>
        </x:is>
      </x:c>
      <x:c r="C353" s="6" t="inlineStr">
        <x:is>
          <x:t xml:space="preserve">Roleta przednia ZIP</x:t>
        </x:is>
      </x:c>
      <x:c r="D353" s="6" t="inlineStr">
        <x:is>
          <x:t xml:space="preserve">ROLETA PRZÓD</x:t>
        </x:is>
      </x:c>
      <x:c r="E353" s="8" t="n">
        <x:f>IFERROR(INDEX('02_RAW_INDEX'!$L:$L,MATCH($A353,'02_RAW_INDEX'!$A:$A,0)),"")</x:f>
        <x:v>6033</x:v>
      </x:c>
      <x:c r="F353" s="8" t="n">
        <x:f>IFERROR(INDEX('02_RAW_INDEX'!$K:$K,MATCH($A353,'02_RAW_INDEX'!$A:$A,0)),"")</x:f>
        <x:v>7420</x:v>
      </x:c>
      <x:c r="G353" s="7" t="n">
        <x:f>'01_Ustawienia'!$B$6</x:f>
        <x:v>0</x:v>
      </x:c>
      <x:c r="H353" s="8" t="n">
        <x:f>IF(E353="","",ROUND(IF('01_Ustawienia'!$B$5="BRUTTO",F353,E353)*(1-G353),0))</x:f>
        <x:v>6033</x:v>
      </x:c>
      <x:c r="I353" s="7" t="n">
        <x:f>IFERROR(IFERROR(INDEX('01_Ustawienia'!$B$15:$B$33,MATCH(B353,'01_Ustawienia'!$A$15:$A$33,0)),0.45),0.45)</x:f>
        <x:v>0.45</x:v>
      </x:c>
      <x:c r="J353" s="8" t="n">
        <x:f>IF(H353="","",ROUND(H353*(1+I353),0))</x:f>
        <x:v>8748</x:v>
      </x:c>
      <x:c r="K353" s="8" t="n">
        <x:f>0</x:f>
        <x:v>0</x:v>
      </x:c>
      <x:c r="L353" s="8" t="n">
        <x:f>IFERROR(IFERROR(INDEX(EG_Cennik_uslug!$AJ:$AJ,MATCH($A353,EG_Cennik_uslug!$A:$A,0)),0),0)</x:f>
        <x:v>450</x:v>
      </x:c>
      <x:c r="M353" s="7" t="n">
        <x:f>IF('01_Ustawienia'!$B$4="ZWOLNIONY",0,'01_Ustawienia'!$B$7)</x:f>
        <x:v>0.08</x:v>
      </x:c>
      <x:c r="N353" s="8" t="n">
        <x:f>IF(J353="","",ROUND((J353+K353)*(1+M353),0))</x:f>
        <x:v>9448</x:v>
      </x:c>
      <x:c r="O353" s="8" t="n">
        <x:f>IF(J353="","",J353+K353-H353-L353)</x:f>
        <x:v>2265</x:v>
      </x:c>
      <x:c r="P353" s="7" t="n">
        <x:f>IFERROR(O353/(J353+K353),"")</x:f>
        <x:v>0.25891632373113854</x:v>
      </x:c>
      <x:c r="Q353" s="6" t="inlineStr">
        <x:is>
          <x:t xml:space="preserve">RAW_ZP N/O</x:t>
        </x:is>
      </x:c>
      <x:c r="R353" s="6" t="inlineStr">
        <x:is>
          <x:t xml:space="preserve">ROLETY BOCZNE</x:t>
        </x:is>
      </x:c>
      <x:c r="S353" s="6" t="inlineStr">
        <x:is>
          <x:t xml:space="preserve">website+crm</x:t>
        </x:is>
      </x:c>
      <x:c r="T353" s="6" t="n"/>
    </x:row>
    <x:row r="354">
      <x:c r="A354" s="6" t="inlineStr">
        <x:is>
          <x:t xml:space="preserve">350 x 1106 cm</x:t>
        </x:is>
      </x:c>
      <x:c r="B354" s="6" t="inlineStr">
        <x:is>
          <x:t xml:space="preserve">M</x:t>
        </x:is>
      </x:c>
      <x:c r="C354" s="6" t="inlineStr">
        <x:is>
          <x:t xml:space="preserve">Markiza dachowa</x:t>
        </x:is>
      </x:c>
      <x:c r="D354" s="6" t="inlineStr">
        <x:is>
          <x:t xml:space="preserve">MARKIZA</x:t>
        </x:is>
      </x:c>
      <x:c r="E354" s="8" t="n">
        <x:f>IFERROR(INDEX('02_RAW_INDEX'!$H:$H,MATCH($A354,'02_RAW_INDEX'!$A:$A,0)),"")</x:f>
        <x:v>10553</x:v>
      </x:c>
      <x:c r="F354" s="8" t="n">
        <x:f>IFERROR(INDEX('02_RAW_INDEX'!$G:$G,MATCH($A354,'02_RAW_INDEX'!$A:$A,0)),"")</x:f>
        <x:v>12980</x:v>
      </x:c>
      <x:c r="G354" s="7" t="n">
        <x:f>'01_Ustawienia'!$B$6</x:f>
        <x:v>0</x:v>
      </x:c>
      <x:c r="H354" s="8" t="n">
        <x:f>IF(E354="","",ROUND(IF('01_Ustawienia'!$B$5="BRUTTO",F354,E354)*(1-G354),0))</x:f>
        <x:v>10553</x:v>
      </x:c>
      <x:c r="I354" s="7" t="n">
        <x:f>IFERROR(IFERROR(INDEX('01_Ustawienia'!$B$15:$B$33,MATCH(B354,'01_Ustawienia'!$A$15:$A$33,0)),0.45),0.45)</x:f>
        <x:v>0.45</x:v>
      </x:c>
      <x:c r="J354" s="8" t="n">
        <x:f>IF(H354="","",ROUND(H354*(1+I354),0))</x:f>
        <x:v>15302</x:v>
      </x:c>
      <x:c r="K354" s="8" t="n">
        <x:f>0</x:f>
        <x:v>0</x:v>
      </x:c>
      <x:c r="L354" s="8" t="n">
        <x:f>IFERROR(IFERROR(INDEX(EG_Cennik_uslug!$AQ:$AQ,MATCH($A354,EG_Cennik_uslug!$A:$A,0)),0),0)</x:f>
        <x:v>650</x:v>
      </x:c>
      <x:c r="M354" s="7" t="n">
        <x:f>IF('01_Ustawienia'!$B$4="ZWOLNIONY",0,'01_Ustawienia'!$B$7)</x:f>
        <x:v>0.08</x:v>
      </x:c>
      <x:c r="N354" s="8" t="n">
        <x:f>IF(J354="","",ROUND((J354+K354)*(1+M354),0))</x:f>
        <x:v>16526</x:v>
      </x:c>
      <x:c r="O354" s="8" t="n">
        <x:f>IF(J354="","",J354+K354-H354-L354)</x:f>
        <x:v>4099</x:v>
      </x:c>
      <x:c r="P354" s="7" t="n">
        <x:f>IFERROR(O354/(J354+K354),"")</x:f>
        <x:v>0.26787348059077243</x:v>
      </x:c>
      <x:c r="Q354" s="6" t="inlineStr">
        <x:is>
          <x:t xml:space="preserve">RAW_ZP H/I</x:t>
        </x:is>
      </x:c>
      <x:c r="R354" s="6" t="inlineStr">
        <x:is>
          <x:t xml:space="preserve">MARKIZA</x:t>
        </x:is>
      </x:c>
      <x:c r="S354" s="6" t="inlineStr">
        <x:is>
          <x:t xml:space="preserve">website+crm</x:t>
        </x:is>
      </x:c>
      <x:c r="T354" s="6" t="n"/>
    </x:row>
    <x:row r="355">
      <x:c r="A355" s="6" t="inlineStr">
        <x:is>
          <x:t xml:space="preserve">350 x 1106 cm</x:t>
        </x:is>
      </x:c>
      <x:c r="B355" s="6" t="inlineStr">
        <x:is>
          <x:t xml:space="preserve">PDWP</x:t>
        </x:is>
      </x:c>
      <x:c r="C355" s="6" t="inlineStr">
        <x:is>
          <x:t xml:space="preserve">Fundament/profile</x:t>
        </x:is>
      </x:c>
      <x:c r="D355" s="6" t="inlineStr">
        <x:is>
          <x:t xml:space="preserve">FUNDAMENT / PROFILE</x:t>
        </x:is>
      </x:c>
      <x:c r="E355" s="8" t="n">
        <x:f>IFERROR(INDEX('02_RAW_INDEX'!$AH:$AH,MATCH($A355,'02_RAW_INDEX'!$A:$A,0)),"")</x:f>
        <x:v>1772</x:v>
      </x:c>
      <x:c r="F355" s="8" t="n">
        <x:f>IFERROR(INDEX('02_RAW_INDEX'!$AG:$AG,MATCH($A355,'02_RAW_INDEX'!$A:$A,0)),"")</x:f>
        <x:v>2180</x:v>
      </x:c>
      <x:c r="G355" s="7" t="n">
        <x:f>'01_Ustawienia'!$B$6</x:f>
        <x:v>0</x:v>
      </x:c>
      <x:c r="H355" s="8" t="n">
        <x:f>IF(E355="","",ROUND(IF('01_Ustawienia'!$B$5="BRUTTO",F355,E355)*(1-G355),0))</x:f>
        <x:v>1772</x:v>
      </x:c>
      <x:c r="I355" s="7" t="n">
        <x:f>IFERROR(IFERROR(INDEX('01_Ustawienia'!$B$15:$B$33,MATCH(B355,'01_Ustawienia'!$A$15:$A$33,0)),0.45),0.45)</x:f>
        <x:v>1.2</x:v>
      </x:c>
      <x:c r="J355" s="8" t="n">
        <x:f>IF(H355="","",ROUND(H355*(1+I355),0))</x:f>
        <x:v>3898</x:v>
      </x:c>
      <x:c r="K355" s="8" t="n">
        <x:f>0</x:f>
        <x:v>0</x:v>
      </x:c>
      <x:c r="L355" s="8" t="n">
        <x:f>IFERROR(IFERROR(INDEX(EG_Cennik_uslug!$BT:$BT,MATCH($A355,EG_Cennik_uslug!$A:$A,0)),0),0)</x:f>
        <x:v>590</x:v>
      </x:c>
      <x:c r="M355" s="7" t="n">
        <x:f>IF('01_Ustawienia'!$B$4="ZWOLNIONY",0,'01_Ustawienia'!$B$7)</x:f>
        <x:v>0.08</x:v>
      </x:c>
      <x:c r="N355" s="8" t="n">
        <x:f>IF(J355="","",ROUND((J355+K355)*(1+M355),0))</x:f>
        <x:v>4210</x:v>
      </x:c>
      <x:c r="O355" s="8" t="n">
        <x:f>IF(J355="","",J355+K355-H355-L355)</x:f>
        <x:v>1536</x:v>
      </x:c>
      <x:c r="P355" s="7" t="n">
        <x:f>IFERROR(O355/(J355+K355),"")</x:f>
        <x:v>0.3940482298614674</x:v>
      </x:c>
      <x:c r="Q355" s="6" t="inlineStr">
        <x:is>
          <x:t xml:space="preserve">RAW_OP AB/AC</x:t>
        </x:is>
      </x:c>
      <x:c r="R355" s="6" t="inlineStr">
        <x:is>
          <x:t xml:space="preserve">FUNDAMENT (PROFILE)</x:t>
        </x:is>
      </x:c>
      <x:c r="S355" s="6" t="inlineStr">
        <x:is>
          <x:t xml:space="preserve">website+crm</x:t>
        </x:is>
      </x:c>
      <x:c r="T355" s="6" t="n"/>
    </x:row>
    <x:row r="356" s="655" customFormat="1" ht="30" customHeight="1">
      <x:c r="A356" s="6" t="inlineStr">
        <x:is>
          <x:t xml:space="preserve">350 x 1106 cm</x:t>
        </x:is>
      </x:c>
      <x:c r="B356" s="6" t="inlineStr">
        <x:is>
          <x:t xml:space="preserve">ZAB</x:t>
        </x:is>
      </x:c>
      <x:c r="C356" s="6" t="inlineStr">
        <x:is>
          <x:t xml:space="preserve">Zabieraki do ścian przesuwnych</x:t>
        </x:is>
      </x:c>
      <x:c r="D356" s="6" t="inlineStr">
        <x:is>
          <x:t xml:space="preserve">DODATKI</x:t>
        </x:is>
      </x:c>
      <x:c r="E356" s="8" t="n">
        <x:f>IFERROR(INDEX('02_RAW_INDEX'!$AJ:$AJ,MATCH($A356,'02_RAW_INDEX'!$A:$A,0)),"")</x:f>
        <x:v>455</x:v>
      </x:c>
      <x:c r="F356" s="8" t="n">
        <x:f>IFERROR(INDEX('02_RAW_INDEX'!$AI:$AI,MATCH($A356,'02_RAW_INDEX'!$A:$A,0)),"")</x:f>
        <x:v>560</x:v>
      </x:c>
      <x:c r="G356" s="7" t="n">
        <x:f>'01_Ustawienia'!$B$6</x:f>
        <x:v>0</x:v>
      </x:c>
      <x:c r="H356" s="8" t="n">
        <x:f>IF(E356="","",ROUND(IF('01_Ustawienia'!$B$5="BRUTTO",F356,E356)*(1-G356),0))</x:f>
        <x:v>455</x:v>
      </x:c>
      <x:c r="I356" s="7" t="n">
        <x:f>IFERROR(IFERROR(INDEX('01_Ustawienia'!$B$15:$B$33,MATCH(B356,'01_Ustawienia'!$A$15:$A$33,0)),0.45),0.45)</x:f>
        <x:v>0.45</x:v>
      </x:c>
      <x:c r="J356" s="8" t="n">
        <x:f>IF(H356="","",ROUND(H356*(1+I356),0))</x:f>
        <x:v>660</x:v>
      </x:c>
      <x:c r="K356" s="8" t="n">
        <x:f>0</x:f>
        <x:v>0</x:v>
      </x:c>
      <x:c r="L356" s="8" t="n">
        <x:f>0</x:f>
        <x:v>0</x:v>
      </x:c>
      <x:c r="M356" s="7" t="n">
        <x:f>IF('01_Ustawienia'!$B$4="ZWOLNIONY",0,'01_Ustawienia'!$B$7)</x:f>
        <x:v>0.08</x:v>
      </x:c>
      <x:c r="N356" s="8" t="n">
        <x:f>IF(J356="","",ROUND((J356+K356)*(1+M356),0))</x:f>
        <x:v>713</x:v>
      </x:c>
      <x:c r="O356" s="8" t="n">
        <x:f>IF(J356="","",J356+K356-H356-L356)</x:f>
        <x:v>205</x:v>
      </x:c>
      <x:c r="P356" s="7" t="n">
        <x:f>IFERROR(O356/(J356+K356),"")</x:f>
        <x:v>0.3106060606060606</x:v>
      </x:c>
      <x:c r="Q356" s="6" t="inlineStr">
        <x:is>
          <x:t xml:space="preserve">RAW_OP AD/AE</x:t>
        </x:is>
      </x:c>
      <x:c r="R356" s="6" t="inlineStr">
        <x:is>
          <x:t xml:space="preserve">DODATKI</x:t>
        </x:is>
      </x:c>
      <x:c r="S356" s="6" t="inlineStr">
        <x:is>
          <x:t xml:space="preserve">crm_only</x:t>
        </x:is>
      </x:c>
      <x:c r="T356" s="6" t="n"/>
    </x:row>
    <x:row r="357">
      <x:c r="A357" s="6" t="inlineStr">
        <x:is>
          <x:t xml:space="preserve">350 x 1106 cm</x:t>
        </x:is>
      </x:c>
      <x:c r="B357" s="6" t="inlineStr">
        <x:is>
          <x:t xml:space="preserve">S</x:t>
        </x:is>
      </x:c>
      <x:c r="C357" s="6" t="inlineStr">
        <x:is>
          <x:t xml:space="preserve">Szczotki przeciwkurzowe</x:t>
        </x:is>
      </x:c>
      <x:c r="D357" s="6" t="inlineStr">
        <x:is>
          <x:t xml:space="preserve">SZCZOTKI</x:t>
        </x:is>
      </x:c>
      <x:c r="E357" s="8" t="n">
        <x:f>IFERROR(INDEX('02_RAW_INDEX'!$AD:$AD,MATCH($A357,'02_RAW_INDEX'!$A:$A,0)),"")</x:f>
        <x:v>585</x:v>
      </x:c>
      <x:c r="F357" s="8" t="n">
        <x:f>IFERROR(INDEX('02_RAW_INDEX'!$AC:$AC,MATCH($A357,'02_RAW_INDEX'!$A:$A,0)),"")</x:f>
        <x:v>720</x:v>
      </x:c>
      <x:c r="G357" s="7" t="n">
        <x:f>'01_Ustawienia'!$B$6</x:f>
        <x:v>0</x:v>
      </x:c>
      <x:c r="H357" s="8" t="n">
        <x:f>IF(E357="","",ROUND(IF('01_Ustawienia'!$B$5="BRUTTO",F357,E357)*(1-G357),0))</x:f>
        <x:v>585</x:v>
      </x:c>
      <x:c r="I357" s="7" t="n">
        <x:f>IFERROR(IFERROR(INDEX('01_Ustawienia'!$B$15:$B$33,MATCH(B357,'01_Ustawienia'!$A$15:$A$33,0)),0.45),0.45)</x:f>
        <x:v>0.45</x:v>
      </x:c>
      <x:c r="J357" s="8" t="n">
        <x:f>IF(H357="","",ROUND(H357*(1+I357),0))</x:f>
        <x:v>848</x:v>
      </x:c>
      <x:c r="K357" s="8" t="n">
        <x:f>0</x:f>
        <x:v>0</x:v>
      </x:c>
      <x:c r="L357" s="8" t="n">
        <x:f>IFERROR(IFERROR(INDEX(EG_Cennik_uslug!$CA:$CA,MATCH($A357,EG_Cennik_uslug!$A:$A,0)),0),0)</x:f>
        <x:v>0</x:v>
      </x:c>
      <x:c r="M357" s="7" t="n">
        <x:f>IF('01_Ustawienia'!$B$4="ZWOLNIONY",0,'01_Ustawienia'!$B$7)</x:f>
        <x:v>0.08</x:v>
      </x:c>
      <x:c r="N357" s="8" t="n">
        <x:f>IF(J357="","",ROUND((J357+K357)*(1+M357),0))</x:f>
        <x:v>916</x:v>
      </x:c>
      <x:c r="O357" s="8" t="n">
        <x:f>IF(J357="","",J357+K357-H357-L357)</x:f>
        <x:v>263</x:v>
      </x:c>
      <x:c r="P357" s="7" t="n">
        <x:f>IFERROR(O357/(J357+K357),"")</x:f>
        <x:v>0.31014150943396224</x:v>
      </x:c>
      <x:c r="Q357" s="6" t="inlineStr">
        <x:is>
          <x:t xml:space="preserve">RAW_OP L/M</x:t>
        </x:is>
      </x:c>
      <x:c r="R357" s="6" t="inlineStr">
        <x:is>
          <x:t xml:space="preserve">DODATKI</x:t>
        </x:is>
      </x:c>
      <x:c r="S357" s="6" t="inlineStr">
        <x:is>
          <x:t xml:space="preserve">website+crm</x:t>
        </x:is>
      </x:c>
      <x:c r="T357" s="6" t="n"/>
    </x:row>
    <x:row r="358">
      <x:c r="A358" s="6" t="inlineStr">
        <x:is>
          <x:t xml:space="preserve">350 x 1106 cm</x:t>
        </x:is>
      </x:c>
      <x:c r="B358" s="6" t="inlineStr">
        <x:is>
          <x:t xml:space="preserve">U</x:t>
        </x:is>
      </x:c>
      <x:c r="C358" s="6" t="inlineStr">
        <x:is>
          <x:t xml:space="preserve">Uchwyty na szkło ścienne</x:t>
        </x:is>
      </x:c>
      <x:c r="D358" s="6" t="inlineStr">
        <x:is>
          <x:t xml:space="preserve">UCHWYTY</x:t>
        </x:is>
      </x:c>
      <x:c r="E358" s="8" t="n">
        <x:f>IFERROR(INDEX('02_RAW_INDEX'!$AF:$AF,MATCH($A358,'02_RAW_INDEX'!$A:$A,0)),"")</x:f>
        <x:v>528</x:v>
      </x:c>
      <x:c r="F358" s="8" t="n">
        <x:f>IFERROR(INDEX('02_RAW_INDEX'!$AE:$AE,MATCH($A358,'02_RAW_INDEX'!$A:$A,0)),"")</x:f>
        <x:v>650</x:v>
      </x:c>
      <x:c r="G358" s="7" t="n">
        <x:f>'01_Ustawienia'!$B$6</x:f>
        <x:v>0</x:v>
      </x:c>
      <x:c r="H358" s="8" t="n">
        <x:f>IF(E358="","",ROUND(IF('01_Ustawienia'!$B$5="BRUTTO",F358,E358)*(1-G358),0))</x:f>
        <x:v>528</x:v>
      </x:c>
      <x:c r="I358" s="7" t="n">
        <x:f>IFERROR(IFERROR(INDEX('01_Ustawienia'!$B$15:$B$33,MATCH(B358,'01_Ustawienia'!$A$15:$A$33,0)),0.45),0.45)</x:f>
        <x:v>0.45</x:v>
      </x:c>
      <x:c r="J358" s="8" t="n">
        <x:f>IF(H358="","",ROUND(H358*(1+I358),0))</x:f>
        <x:v>766</x:v>
      </x:c>
      <x:c r="K358" s="8" t="n">
        <x:f>0</x:f>
        <x:v>0</x:v>
      </x:c>
      <x:c r="L358" s="8" t="n">
        <x:f>IFERROR(IFERROR(INDEX(EG_Cennik_uslug!$CH:$CH,MATCH($A358,EG_Cennik_uslug!$A:$A,0)),0),0)</x:f>
        <x:v>0</x:v>
      </x:c>
      <x:c r="M358" s="7" t="n">
        <x:f>IF('01_Ustawienia'!$B$4="ZWOLNIONY",0,'01_Ustawienia'!$B$7)</x:f>
        <x:v>0.08</x:v>
      </x:c>
      <x:c r="N358" s="8" t="n">
        <x:f>IF(J358="","",ROUND((J358+K358)*(1+M358),0))</x:f>
        <x:v>827</x:v>
      </x:c>
      <x:c r="O358" s="8" t="n">
        <x:f>IF(J358="","",J358+K358-H358-L358)</x:f>
        <x:v>238</x:v>
      </x:c>
      <x:c r="P358" s="7" t="n">
        <x:f>IFERROR(O358/(J358+K358),"")</x:f>
        <x:v>0.31070496083550914</x:v>
      </x:c>
      <x:c r="Q358" s="6" t="inlineStr">
        <x:is>
          <x:t xml:space="preserve">RAW_OP N/O</x:t>
        </x:is>
      </x:c>
      <x:c r="R358" s="6" t="inlineStr">
        <x:is>
          <x:t xml:space="preserve">DODATKI</x:t>
        </x:is>
      </x:c>
      <x:c r="S358" s="6" t="inlineStr">
        <x:is>
          <x:t xml:space="preserve">website+crm</x:t>
        </x:is>
      </x:c>
      <x:c r="T358" s="6" t="n"/>
    </x:row>
    <x:row r="359">
      <x:c r="A359" s="6" t="inlineStr">
        <x:is>
          <x:t xml:space="preserve">350 x 1106 cm</x:t>
        </x:is>
      </x:c>
      <x:c r="B359" s="6" t="inlineStr">
        <x:is>
          <x:t xml:space="preserve">LED2</x:t>
        </x:is>
      </x:c>
      <x:c r="C359" s="6" t="inlineStr">
        <x:is>
          <x:t xml:space="preserve">Oświetlenie LED 2 punkty</x:t>
        </x:is>
      </x:c>
      <x:c r="D359" s="6" t="inlineStr">
        <x:is>
          <x:t xml:space="preserve">LED 2 PKT</x:t>
        </x:is>
      </x:c>
      <x:c r="E359" s="8" t="n">
        <x:f>IFERROR(INDEX('02_RAW_INDEX'!$N:$N,MATCH($A359,'02_RAW_INDEX'!$A:$A,0)),"")</x:f>
        <x:v>1163</x:v>
      </x:c>
      <x:c r="F359" s="8" t="n">
        <x:f>IFERROR(INDEX('02_RAW_INDEX'!$M:$M,MATCH($A359,'02_RAW_INDEX'!$A:$A,0)),"")</x:f>
        <x:v>1430</x:v>
      </x:c>
      <x:c r="G359" s="7" t="n">
        <x:f>'01_Ustawienia'!$B$6</x:f>
        <x:v>0</x:v>
      </x:c>
      <x:c r="H359" s="8" t="n">
        <x:f>IF(E359="","",ROUND(IF('01_Ustawienia'!$B$5="BRUTTO",F359,E359)*(1-G359),0))</x:f>
        <x:v>1163</x:v>
      </x:c>
      <x:c r="I359" s="7" t="n">
        <x:f>IFERROR(IFERROR(INDEX('01_Ustawienia'!$B$15:$B$33,MATCH(B359,'01_Ustawienia'!$A$15:$A$33,0)),0.45),0.45)</x:f>
        <x:v>0.45</x:v>
      </x:c>
      <x:c r="J359" s="8" t="n">
        <x:f>IF(H359="","",ROUND(H359*(1+I359),0))</x:f>
        <x:v>1686</x:v>
      </x:c>
      <x:c r="K359" s="8" t="n">
        <x:f>0</x:f>
        <x:v>0</x:v>
      </x:c>
      <x:c r="L359" s="8" t="n">
        <x:f>IFERROR(IFERROR(INDEX(EG_Cennik_uslug!$CO:$CO,MATCH($A359,EG_Cennik_uslug!$A:$A,0)),0),0)</x:f>
        <x:v>0</x:v>
      </x:c>
      <x:c r="M359" s="7" t="n">
        <x:f>IF('01_Ustawienia'!$B$4="ZWOLNIONY",0,'01_Ustawienia'!$B$7)</x:f>
        <x:v>0.08</x:v>
      </x:c>
      <x:c r="N359" s="8" t="n">
        <x:f>IF(J359="","",ROUND((J359+K359)*(1+M359),0))</x:f>
        <x:v>1821</x:v>
      </x:c>
      <x:c r="O359" s="8" t="n">
        <x:f>IF(J359="","",J359+K359-H359-L359)</x:f>
        <x:v>523</x:v>
      </x:c>
      <x:c r="P359" s="7" t="n">
        <x:f>IFERROR(O359/(J359+K359),"")</x:f>
        <x:v>0.31020166073546857</x:v>
      </x:c>
      <x:c r="Q359" s="6" t="inlineStr">
        <x:is>
          <x:t xml:space="preserve">RAW_ZP P/Q</x:t>
        </x:is>
      </x:c>
      <x:c r="R359" s="6" t="inlineStr">
        <x:is>
          <x:t xml:space="preserve">OŚWIETLENIE</x:t>
        </x:is>
      </x:c>
      <x:c r="S359" s="6" t="inlineStr">
        <x:is>
          <x:t xml:space="preserve">website+crm</x:t>
        </x:is>
      </x:c>
      <x:c r="T359" s="6" t="n"/>
    </x:row>
    <x:row r="360">
      <x:c r="A360" s="6" t="inlineStr">
        <x:is>
          <x:t xml:space="preserve">350 x 1106 cm</x:t>
        </x:is>
      </x:c>
      <x:c r="B360" s="6" t="inlineStr">
        <x:is>
          <x:t xml:space="preserve">LED3</x:t>
        </x:is>
      </x:c>
      <x:c r="C360" s="6" t="inlineStr">
        <x:is>
          <x:t xml:space="preserve">Oświetlenie LED 3 punkty</x:t>
        </x:is>
      </x:c>
      <x:c r="D360" s="6" t="inlineStr">
        <x:is>
          <x:t xml:space="preserve">LED 3 PKT</x:t>
        </x:is>
      </x:c>
      <x:c r="E360" s="8" t="n">
        <x:f>IFERROR(INDEX('02_RAW_INDEX'!$P:$P,MATCH($A360,'02_RAW_INDEX'!$A:$A,0)),"")</x:f>
        <x:v>1439</x:v>
      </x:c>
      <x:c r="F360" s="8" t="n">
        <x:f>IFERROR(INDEX('02_RAW_INDEX'!$O:$O,MATCH($A360,'02_RAW_INDEX'!$A:$A,0)),"")</x:f>
        <x:v>1770</x:v>
      </x:c>
      <x:c r="G360" s="7" t="n">
        <x:f>'01_Ustawienia'!$B$6</x:f>
        <x:v>0</x:v>
      </x:c>
      <x:c r="H360" s="8" t="n">
        <x:f>IF(E360="","",ROUND(IF('01_Ustawienia'!$B$5="BRUTTO",F360,E360)*(1-G360),0))</x:f>
        <x:v>1439</x:v>
      </x:c>
      <x:c r="I360" s="7" t="n">
        <x:f>IFERROR(IFERROR(INDEX('01_Ustawienia'!$B$15:$B$33,MATCH(B360,'01_Ustawienia'!$A$15:$A$33,0)),0.45),0.45)</x:f>
        <x:v>0.45</x:v>
      </x:c>
      <x:c r="J360" s="8" t="n">
        <x:f>IF(H360="","",ROUND(H360*(1+I360),0))</x:f>
        <x:v>2087</x:v>
      </x:c>
      <x:c r="K360" s="8" t="n">
        <x:f>0</x:f>
        <x:v>0</x:v>
      </x:c>
      <x:c r="L360" s="8" t="n">
        <x:f>IFERROR(IFERROR(INDEX(EG_Cennik_uslug!$CV:$CV,MATCH($A360,EG_Cennik_uslug!$A:$A,0)),0),0)</x:f>
        <x:v>0</x:v>
      </x:c>
      <x:c r="M360" s="7" t="n">
        <x:f>IF('01_Ustawienia'!$B$4="ZWOLNIONY",0,'01_Ustawienia'!$B$7)</x:f>
        <x:v>0.08</x:v>
      </x:c>
      <x:c r="N360" s="8" t="n">
        <x:f>IF(J360="","",ROUND((J360+K360)*(1+M360),0))</x:f>
        <x:v>2254</x:v>
      </x:c>
      <x:c r="O360" s="8" t="n">
        <x:f>IF(J360="","",J360+K360-H360-L360)</x:f>
        <x:v>648</x:v>
      </x:c>
      <x:c r="P360" s="7" t="n">
        <x:f>IFERROR(O360/(J360+K360),"")</x:f>
        <x:v>0.3104935313847628</x:v>
      </x:c>
      <x:c r="Q360" s="6" t="inlineStr">
        <x:is>
          <x:t xml:space="preserve">RAW_ZP R/S</x:t>
        </x:is>
      </x:c>
      <x:c r="R360" s="6" t="inlineStr">
        <x:is>
          <x:t xml:space="preserve">OŚWIETLENIE</x:t>
        </x:is>
      </x:c>
      <x:c r="S360" s="6" t="inlineStr">
        <x:is>
          <x:t xml:space="preserve">website+crm</x:t>
        </x:is>
      </x:c>
      <x:c r="T360" s="6" t="inlineStr">
        <x:is>
          <x:t xml:space="preserve">Nazwa do potwierdzenia</x:t>
        </x:is>
      </x:c>
    </x:row>
    <x:row r="361">
      <x:c r="A361" s="6" t="inlineStr">
        <x:is>
          <x:t xml:space="preserve">350 x 1106 cm</x:t>
        </x:is>
      </x:c>
      <x:c r="B361" s="6" t="inlineStr">
        <x:is>
          <x:t xml:space="preserve">LEDCCT</x:t>
        </x:is>
      </x:c>
      <x:c r="C361" s="6" t="inlineStr">
        <x:is>
          <x:t xml:space="preserve">Oświetlenie LED CCT</x:t>
        </x:is>
      </x:c>
      <x:c r="D361" s="6" t="inlineStr">
        <x:is>
          <x:t xml:space="preserve">OŚWIETLENIE</x:t>
        </x:is>
      </x:c>
      <x:c r="E361" s="8" t="n">
        <x:f>IFERROR(INDEX('02_RAW_INDEX'!$R:$R,MATCH($A361,'02_RAW_INDEX'!$A:$A,0)),"")</x:f>
        <x:v>2110</x:v>
      </x:c>
      <x:c r="F361" s="8" t="n">
        <x:f>IFERROR(INDEX('02_RAW_INDEX'!$Q:$Q,MATCH($A361,'02_RAW_INDEX'!$A:$A,0)),"")</x:f>
        <x:v>2595</x:v>
      </x:c>
      <x:c r="G361" s="7" t="n">
        <x:f>'01_Ustawienia'!$B$6</x:f>
        <x:v>0</x:v>
      </x:c>
      <x:c r="H361" s="8" t="n">
        <x:f>IF(E361="","",ROUND(IF('01_Ustawienia'!$B$5="BRUTTO",F361,E361)*(1-G361),0))</x:f>
        <x:v>2110</x:v>
      </x:c>
      <x:c r="I361" s="7" t="n">
        <x:f>IFERROR(IFERROR(INDEX('01_Ustawienia'!$B$15:$B$33,MATCH(B361,'01_Ustawienia'!$A$15:$A$33,0)),0.45),0.45)</x:f>
        <x:v>0.45</x:v>
      </x:c>
      <x:c r="J361" s="8" t="n">
        <x:f>IF(H361="","",ROUND(H361*(1+I361),0))</x:f>
        <x:v>3060</x:v>
      </x:c>
      <x:c r="K361" s="8" t="n">
        <x:f>0</x:f>
        <x:v>0</x:v>
      </x:c>
      <x:c r="L361" s="8" t="n">
        <x:f>0</x:f>
        <x:v>0</x:v>
      </x:c>
      <x:c r="M361" s="7" t="n">
        <x:f>IF('01_Ustawienia'!$B$4="ZWOLNIONY",0,'01_Ustawienia'!$B$7)</x:f>
        <x:v>0.08</x:v>
      </x:c>
      <x:c r="N361" s="8" t="n">
        <x:f>IF(J361="","",ROUND((J361+K361)*(1+M361),0))</x:f>
        <x:v>3305</x:v>
      </x:c>
      <x:c r="O361" s="8" t="n">
        <x:f>IF(J361="","",J361+K361-H361-L361)</x:f>
        <x:v>950</x:v>
      </x:c>
      <x:c r="P361" s="7" t="n">
        <x:f>IFERROR(O361/(J361+K361),"")</x:f>
        <x:v>0.3104575163398693</x:v>
      </x:c>
      <x:c r="Q361" s="6" t="inlineStr">
        <x:is>
          <x:t xml:space="preserve">RAW_ZP T/U</x:t>
        </x:is>
      </x:c>
      <x:c r="R361" s="6" t="inlineStr">
        <x:is>
          <x:t xml:space="preserve">OŚWIETLENIE</x:t>
        </x:is>
      </x:c>
      <x:c r="S361" s="6" t="inlineStr">
        <x:is>
          <x:t xml:space="preserve">website+crm</x:t>
        </x:is>
      </x:c>
      <x:c r="T361" s="6" t="inlineStr">
        <x:is>
          <x:t xml:space="preserve">Opcja dodatkowa | FIX17: opcja LED dostępna dla strony; ceny 450-600 wg modelu FIX15.</x:t>
        </x:is>
      </x:c>
    </x:row>
    <x:row r="362">
      <x:c r="A362" s="6" t="inlineStr">
        <x:is>
          <x:t xml:space="preserve">350 x 1106 cm</x:t>
        </x:is>
      </x:c>
      <x:c r="B362" s="6" t="inlineStr">
        <x:is>
          <x:t xml:space="preserve">LEDRGBCCT</x:t>
        </x:is>
      </x:c>
      <x:c r="C362" s="6" t="inlineStr">
        <x:is>
          <x:t xml:space="preserve">Oświetlenie LED RGB CCT</x:t>
        </x:is>
      </x:c>
      <x:c r="D362" s="6" t="inlineStr">
        <x:is>
          <x:t xml:space="preserve">OŚWIETLENIE</x:t>
        </x:is>
      </x:c>
      <x:c r="E362" s="8" t="n">
        <x:f>IFERROR(INDEX('02_RAW_INDEX'!$T:$T,MATCH($A362,'02_RAW_INDEX'!$A:$A,0)),"")</x:f>
        <x:v>3160</x:v>
      </x:c>
      <x:c r="F362" s="8" t="n">
        <x:f>IFERROR(INDEX('02_RAW_INDEX'!$S:$S,MATCH($A362,'02_RAW_INDEX'!$A:$A,0)),"")</x:f>
        <x:v>3887</x:v>
      </x:c>
      <x:c r="G362" s="7" t="n">
        <x:f>'01_Ustawienia'!$B$6</x:f>
        <x:v>0</x:v>
      </x:c>
      <x:c r="H362" s="8" t="n">
        <x:f>IF(E362="","",ROUND(IF('01_Ustawienia'!$B$5="BRUTTO",F362,E362)*(1-G362),0))</x:f>
        <x:v>3160</x:v>
      </x:c>
      <x:c r="I362" s="7" t="n">
        <x:f>IFERROR(IFERROR(INDEX('01_Ustawienia'!$B$15:$B$33,MATCH(B362,'01_Ustawienia'!$A$15:$A$33,0)),0.45),0.45)</x:f>
        <x:v>0.45</x:v>
      </x:c>
      <x:c r="J362" s="8" t="n">
        <x:f>IF(H362="","",ROUND(H362*(1+I362),0))</x:f>
        <x:v>4582</x:v>
      </x:c>
      <x:c r="K362" s="8" t="n">
        <x:f>0</x:f>
        <x:v>0</x:v>
      </x:c>
      <x:c r="L362" s="8" t="n">
        <x:f>0</x:f>
        <x:v>0</x:v>
      </x:c>
      <x:c r="M362" s="7" t="n">
        <x:f>IF('01_Ustawienia'!$B$4="ZWOLNIONY",0,'01_Ustawienia'!$B$7)</x:f>
        <x:v>0.08</x:v>
      </x:c>
      <x:c r="N362" s="8" t="n">
        <x:f>IF(J362="","",ROUND((J362+K362)*(1+M362),0))</x:f>
        <x:v>4949</x:v>
      </x:c>
      <x:c r="O362" s="8" t="n">
        <x:f>IF(J362="","",J362+K362-H362-L362)</x:f>
        <x:v>1422</x:v>
      </x:c>
      <x:c r="P362" s="7" t="n">
        <x:f>IFERROR(O362/(J362+K362),"")</x:f>
        <x:v>0.3103448275862069</x:v>
      </x:c>
      <x:c r="Q362" s="6" t="inlineStr">
        <x:is>
          <x:t xml:space="preserve">RAW_ZP V/W</x:t>
        </x:is>
      </x:c>
      <x:c r="R362" s="6" t="inlineStr">
        <x:is>
          <x:t xml:space="preserve">OŚWIETLENIE</x:t>
        </x:is>
      </x:c>
      <x:c r="S362" s="6" t="inlineStr">
        <x:is>
          <x:t xml:space="preserve">crm_only</x:t>
        </x:is>
      </x:c>
      <x:c r="T362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363" s="655" customFormat="1" ht="30" customHeight="1">
      <x:c r="A363" s="6" t="inlineStr">
        <x:is>
          <x:t xml:space="preserve">350 x 1206 cm</x:t>
        </x:is>
      </x:c>
      <x:c r="B363" s="6" t="inlineStr">
        <x:is>
          <x:t xml:space="preserve">ZP</x:t>
        </x:is>
      </x:c>
      <x:c r="C363" s="6" t="inlineStr">
        <x:is>
          <x:t xml:space="preserve">Zadaszenie poliwęglan - baza</x:t>
        </x:is>
      </x:c>
      <x:c r="D363" s="6" t="inlineStr">
        <x:is>
          <x:t xml:space="preserve">ZADASZENIE POLIWĘGLAN</x:t>
        </x:is>
      </x:c>
      <x:c r="E363" s="8" t="n">
        <x:f>IFERROR(INDEX('02_RAW_INDEX'!$D:$D,MATCH($A363,'02_RAW_INDEX'!$A:$A,0)),"")</x:f>
        <x:v>13220</x:v>
      </x:c>
      <x:c r="F363" s="8" t="n">
        <x:f>IFERROR(INDEX('02_RAW_INDEX'!$C:$C,MATCH($A363,'02_RAW_INDEX'!$A:$A,0)),"")</x:f>
        <x:v>16260</x:v>
      </x:c>
      <x:c r="G363" s="7" t="n">
        <x:f>'01_Ustawienia'!$B$6</x:f>
        <x:v>0</x:v>
      </x:c>
      <x:c r="H363" s="8" t="n">
        <x:f>IF(E363="","",ROUND(IF('01_Ustawienia'!$B$5="BRUTTO",F363,E363)*(1-G363),0))</x:f>
        <x:v>13220</x:v>
      </x:c>
      <x:c r="I363" s="7" t="n">
        <x:f>IFERROR(IFERROR(INDEX('01_Ustawienia'!$B$15:$B$33,MATCH(B363,'01_Ustawienia'!$A$15:$A$33,0)),0.45),0.45)</x:f>
        <x:v>0.45</x:v>
      </x:c>
      <x:c r="J363" s="8" t="n">
        <x:f>IF(H363="","",ROUND(H363*(1+I363),0))</x:f>
        <x:v>19169</x:v>
      </x:c>
      <x:c r="K363" s="8" t="n">
        <x:f>IFERROR(IFERROR(INDEX(EG_Cennik_uslug!$F:$F,MATCH($A363,EG_Cennik_uslug!$A:$A,0)),0),0)</x:f>
        <x:v>5310</x:v>
      </x:c>
      <x:c r="L363" s="8" t="n">
        <x:f>IFERROR(IFERROR(INDEX(EG_Cennik_uslug!$G:$G,MATCH($A363,EG_Cennik_uslug!$A:$A,0)),0),0)</x:f>
        <x:v>2030</x:v>
      </x:c>
      <x:c r="M363" s="7" t="n">
        <x:f>IF('01_Ustawienia'!$B$4="ZWOLNIONY",0,'01_Ustawienia'!$B$7)</x:f>
        <x:v>0.08</x:v>
      </x:c>
      <x:c r="N363" s="8" t="n">
        <x:f>IF(J363="","",ROUND((J363+K363)*(1+M363),0))</x:f>
        <x:v>26437</x:v>
      </x:c>
      <x:c r="O363" s="8" t="n">
        <x:f>IF(J363="","",J363+K363-H363-L363)</x:f>
        <x:v>9229</x:v>
      </x:c>
      <x:c r="P363" s="7" t="n">
        <x:f>IFERROR(O363/(J363+K363),"")</x:f>
        <x:v>0.37701703500960004</x:v>
      </x:c>
      <x:c r="Q363" s="6" t="inlineStr">
        <x:is>
          <x:t xml:space="preserve">RAW_ZP B/C</x:t>
        </x:is>
      </x:c>
      <x:c r="R363" s="6" t="inlineStr">
        <x:is>
          <x:t xml:space="preserve">ZADASZENIE TARASU KONSTRUKCJA</x:t>
        </x:is>
      </x:c>
      <x:c r="S363" s="6" t="inlineStr">
        <x:is>
          <x:t xml:space="preserve">website+crm</x:t>
        </x:is>
      </x:c>
      <x:c r="T363" s="6" t="inlineStr">
        <x:is>
          <x:t xml:space="preserve">Baza dla kalkulatora</x:t>
        </x:is>
      </x:c>
    </x:row>
    <x:row r="364" s="655" customFormat="1" ht="30" customHeight="1">
      <x:c r="A364" s="6" t="inlineStr">
        <x:is>
          <x:t xml:space="preserve">350 x 1206 cm</x:t>
        </x:is>
      </x:c>
      <x:c r="B364" s="6" t="inlineStr">
        <x:is>
          <x:t xml:space="preserve">ZS</x:t>
        </x:is>
      </x:c>
      <x:c r="C364" s="6" t="inlineStr">
        <x:is>
          <x:t xml:space="preserve">Zadaszenie szkło - pełna konstrukcja</x:t>
        </x:is>
      </x:c>
      <x:c r="D364" s="6" t="inlineStr">
        <x:is>
          <x:t xml:space="preserve">ZADASZENIE SZKŁO</x:t>
        </x:is>
      </x:c>
      <x:c r="E364" s="8" t="n">
        <x:f>IFERROR(INDEX('02_RAW_INDEX'!$V:$V,MATCH($A364,'02_RAW_INDEX'!$A:$A,0)),"")</x:f>
        <x:v>21106</x:v>
      </x:c>
      <x:c r="F364" s="8" t="n">
        <x:f>IFERROR(INDEX('02_RAW_INDEX'!$U:$U,MATCH($A364,'02_RAW_INDEX'!$A:$A,0)),"")</x:f>
        <x:v>25960</x:v>
      </x:c>
      <x:c r="G364" s="7" t="n">
        <x:f>'01_Ustawienia'!$B$6</x:f>
        <x:v>0</x:v>
      </x:c>
      <x:c r="H364" s="8" t="n">
        <x:f>IF(E364="","",ROUND(IF('01_Ustawienia'!$B$5="BRUTTO",F364,E364)*(1-G364),0))</x:f>
        <x:v>21106</x:v>
      </x:c>
      <x:c r="I364" s="7" t="n">
        <x:f>IFERROR(IFERROR(INDEX('01_Ustawienia'!$B$15:$B$33,MATCH(B364,'01_Ustawienia'!$A$15:$A$33,0)),0.45),0.45)</x:f>
        <x:v>0.45</x:v>
      </x:c>
      <x:c r="J364" s="8" t="n">
        <x:f>IF(H364="","",ROUND(H364*(1+I364),0))</x:f>
        <x:v>30604</x:v>
      </x:c>
      <x:c r="K364" s="8" t="n">
        <x:f>IFERROR(IFERROR(INDEX(EG_Cennik_uslug!$F:$F,MATCH($A364,EG_Cennik_uslug!$A:$A,0)),0),0)</x:f>
        <x:v>5310</x:v>
      </x:c>
      <x:c r="L364" s="8" t="n">
        <x:f>IFERROR(IFERROR(INDEX(EG_Cennik_uslug!$G:$G,MATCH($A364,EG_Cennik_uslug!$A:$A,0)),0),0)</x:f>
        <x:v>2030</x:v>
      </x:c>
      <x:c r="M364" s="7" t="n">
        <x:f>IF('01_Ustawienia'!$B$4="ZWOLNIONY",0,'01_Ustawienia'!$B$7)</x:f>
        <x:v>0.08</x:v>
      </x:c>
      <x:c r="N364" s="8" t="n">
        <x:f>IF(J364="","",ROUND((J364+K364)*(1+M364),0))</x:f>
        <x:v>38787</x:v>
      </x:c>
      <x:c r="O364" s="8" t="n">
        <x:f>IF(J364="","",J364+K364-H364-L364)</x:f>
        <x:v>12778</x:v>
      </x:c>
      <x:c r="P364" s="7" t="n">
        <x:f>IFERROR(O364/(J364+K364),"")</x:f>
        <x:v>0.35579439772790555</x:v>
      </x:c>
      <x:c r="Q364" s="6" t="inlineStr">
        <x:is>
          <x:t xml:space="preserve">RAW_ZS B/C</x:t>
        </x:is>
      </x:c>
      <x:c r="R364" s="6" t="inlineStr">
        <x:is>
          <x:t xml:space="preserve">ZADASZENIE TARASU KONSTRUKCJA</x:t>
        </x:is>
      </x:c>
      <x:c r="S364" s="6" t="inlineStr">
        <x:is>
          <x:t xml:space="preserve">crm_only</x:t>
        </x:is>
      </x:c>
      <x:c r="T364" s="6" t="inlineStr">
        <x:is>
          <x:t xml:space="preserve">Referencyjne/full; strona zwykle używa ZP + PDS</x:t>
        </x:is>
      </x:c>
    </x:row>
    <x:row r="365" s="655" customFormat="1" ht="30" customHeight="1">
      <x:c r="A365" s="6" t="inlineStr">
        <x:is>
          <x:t xml:space="preserve">350 x 1206 cm</x:t>
        </x:is>
      </x:c>
      <x:c r="B365" s="6" t="inlineStr">
        <x:is>
          <x:t xml:space="preserve">OP</x:t>
        </x:is>
      </x:c>
      <x:c r="C365" s="6" t="inlineStr">
        <x:is>
          <x:t xml:space="preserve">Ogród zimowy poliwęglan - baza</x:t>
        </x:is>
      </x:c>
      <x:c r="D365" s="6" t="inlineStr">
        <x:is>
          <x:t xml:space="preserve">OGRODY POLIWĘGLAN</x:t>
        </x:is>
      </x:c>
      <x:c r="E365" s="8" t="n">
        <x:f>IFERROR(INDEX('02_RAW_INDEX'!$Z:$Z,MATCH($A365,'02_RAW_INDEX'!$A:$A,0)),"")</x:f>
        <x:v>30455</x:v>
      </x:c>
      <x:c r="F365" s="8" t="n">
        <x:f>IFERROR(INDEX('02_RAW_INDEX'!$Y:$Y,MATCH($A365,'02_RAW_INDEX'!$A:$A,0)),"")</x:f>
        <x:v>37460</x:v>
      </x:c>
      <x:c r="G365" s="7" t="n">
        <x:f>'01_Ustawienia'!$B$6</x:f>
        <x:v>0</x:v>
      </x:c>
      <x:c r="H365" s="8" t="n">
        <x:f>IF(E365="","",ROUND(IF('01_Ustawienia'!$B$5="BRUTTO",F365,E365)*(1-G365),0))</x:f>
        <x:v>30455</x:v>
      </x:c>
      <x:c r="I365" s="7" t="n">
        <x:f>IFERROR(IFERROR(INDEX('01_Ustawienia'!$B$15:$B$33,MATCH(B365,'01_Ustawienia'!$A$15:$A$33,0)),0.45),0.45)</x:f>
        <x:v>0.45</x:v>
      </x:c>
      <x:c r="J365" s="8" t="n">
        <x:f>IF(H365="","",ROUND(H365*(1+I365),0))</x:f>
        <x:v>44160</x:v>
      </x:c>
      <x:c r="K365" s="8" t="n">
        <x:f>IFERROR(IFERROR(INDEX(EG_Cennik_uslug!$N:$N,MATCH($A365,EG_Cennik_uslug!$A:$A,0)),0),0)</x:f>
        <x:v>6850</x:v>
      </x:c>
      <x:c r="L365" s="8" t="n">
        <x:f>IFERROR(IFERROR(INDEX(EG_Cennik_uslug!$O:$O,MATCH($A365,EG_Cennik_uslug!$A:$A,0)),0),0)</x:f>
        <x:v>2840</x:v>
      </x:c>
      <x:c r="M365" s="7" t="n">
        <x:f>IF('01_Ustawienia'!$B$4="ZWOLNIONY",0,'01_Ustawienia'!$B$7)</x:f>
        <x:v>0.08</x:v>
      </x:c>
      <x:c r="N365" s="8" t="n">
        <x:f>IF(J365="","",ROUND((J365+K365)*(1+M365),0))</x:f>
        <x:v>55091</x:v>
      </x:c>
      <x:c r="O365" s="8" t="n">
        <x:f>IF(J365="","",J365+K365-H365-L365)</x:f>
        <x:v>17715</x:v>
      </x:c>
      <x:c r="P365" s="7" t="n">
        <x:f>IFERROR(O365/(J365+K365),"")</x:f>
        <x:v>0.34728484610860616</x:v>
      </x:c>
      <x:c r="Q365" s="6" t="inlineStr">
        <x:is>
          <x:t xml:space="preserve">RAW_OP B/C</x:t>
        </x:is>
      </x:c>
      <x:c r="R365" s="6" t="inlineStr">
        <x:is>
          <x:t xml:space="preserve">OGRÓD ZIMOWY (KONSTRUKCJA)</x:t>
        </x:is>
      </x:c>
      <x:c r="S365" s="6" t="inlineStr">
        <x:is>
          <x:t xml:space="preserve">website+crm</x:t>
        </x:is>
      </x:c>
      <x:c r="T365" s="6" t="inlineStr">
        <x:is>
          <x:t xml:space="preserve">Do wyliczenia dopłaty za ściany</x:t>
        </x:is>
      </x:c>
    </x:row>
    <x:row r="366" s="655" customFormat="1" ht="30" customHeight="1">
      <x:c r="A366" s="6" t="inlineStr">
        <x:is>
          <x:t xml:space="preserve">350 x 1206 cm</x:t>
        </x:is>
      </x:c>
      <x:c r="B366" s="6" t="inlineStr">
        <x:is>
          <x:t xml:space="preserve">OS</x:t>
        </x:is>
      </x:c>
      <x:c r="C366" s="6" t="inlineStr">
        <x:is>
          <x:t xml:space="preserve">Ogród zimowy szkło - pełna konstrukcja</x:t>
        </x:is>
      </x:c>
      <x:c r="D366" s="6" t="inlineStr">
        <x:is>
          <x:t xml:space="preserve">OGRODY SZKŁO</x:t>
        </x:is>
      </x:c>
      <x:c r="E366" s="8" t="n">
        <x:f>IFERROR(INDEX('02_RAW_INDEX'!$AL:$AL,MATCH($A366,'02_RAW_INDEX'!$A:$A,0)),"")</x:f>
        <x:v>38341</x:v>
      </x:c>
      <x:c r="F366" s="8" t="n">
        <x:f>IFERROR(INDEX('02_RAW_INDEX'!$AK:$AK,MATCH($A366,'02_RAW_INDEX'!$A:$A,0)),"")</x:f>
        <x:v>47160</x:v>
      </x:c>
      <x:c r="G366" s="7" t="n">
        <x:f>'01_Ustawienia'!$B$6</x:f>
        <x:v>0</x:v>
      </x:c>
      <x:c r="H366" s="8" t="n">
        <x:f>IF(E366="","",ROUND(IF('01_Ustawienia'!$B$5="BRUTTO",F366,E366)*(1-G366),0))</x:f>
        <x:v>38341</x:v>
      </x:c>
      <x:c r="I366" s="7" t="n">
        <x:f>IFERROR(IFERROR(INDEX('01_Ustawienia'!$B$15:$B$33,MATCH(B366,'01_Ustawienia'!$A$15:$A$33,0)),0.45),0.45)</x:f>
        <x:v>0.45</x:v>
      </x:c>
      <x:c r="J366" s="8" t="n">
        <x:f>IF(H366="","",ROUND(H366*(1+I366),0))</x:f>
        <x:v>55594</x:v>
      </x:c>
      <x:c r="K366" s="8" t="n">
        <x:f>IFERROR(IFERROR(INDEX(EG_Cennik_uslug!$N:$N,MATCH($A366,EG_Cennik_uslug!$A:$A,0)),0),0)</x:f>
        <x:v>6850</x:v>
      </x:c>
      <x:c r="L366" s="8" t="n">
        <x:f>IFERROR(IFERROR(INDEX(EG_Cennik_uslug!$O:$O,MATCH($A366,EG_Cennik_uslug!$A:$A,0)),0),0)</x:f>
        <x:v>2840</x:v>
      </x:c>
      <x:c r="M366" s="7" t="n">
        <x:f>IF('01_Ustawienia'!$B$4="ZWOLNIONY",0,'01_Ustawienia'!$B$7)</x:f>
        <x:v>0.08</x:v>
      </x:c>
      <x:c r="N366" s="8" t="n">
        <x:f>IF(J366="","",ROUND((J366+K366)*(1+M366),0))</x:f>
        <x:v>67440</x:v>
      </x:c>
      <x:c r="O366" s="8" t="n">
        <x:f>IF(J366="","",J366+K366-H366-L366)</x:f>
        <x:v>21263</x:v>
      </x:c>
      <x:c r="P366" s="7" t="n">
        <x:f>IFERROR(O366/(J366+K366),"")</x:f>
        <x:v>0.34051309973736466</x:v>
      </x:c>
      <x:c r="Q366" s="6" t="inlineStr">
        <x:is>
          <x:t xml:space="preserve">RAW_OS B/C</x:t>
        </x:is>
      </x:c>
      <x:c r="R366" s="6" t="inlineStr">
        <x:is>
          <x:t xml:space="preserve">OGRÓD ZIMOWY (KONSTRUKCJA)</x:t>
        </x:is>
      </x:c>
      <x:c r="S366" s="6" t="inlineStr">
        <x:is>
          <x:t xml:space="preserve">crm_only</x:t>
        </x:is>
      </x:c>
      <x:c r="T366" s="6" t="inlineStr">
        <x:is>
          <x:t xml:space="preserve">Referencyjne/full</x:t>
        </x:is>
      </x:c>
    </x:row>
    <x:row r="367" s="655" customFormat="1" ht="30" customHeight="1">
      <x:c r="A367" s="6" t="inlineStr">
        <x:is>
          <x:t xml:space="preserve">350 x 1206 cm</x:t>
        </x:is>
      </x:c>
      <x:c r="B367" s="6" t="inlineStr">
        <x:is>
          <x:t xml:space="preserve">PDS</x:t>
        </x:is>
      </x:c>
      <x:c r="C367" s="6" t="inlineStr">
        <x:is>
          <x:t xml:space="preserve">Dopłata dach szkło przezroczyste</x:t>
        </x:is>
      </x:c>
      <x:c r="D367" s="6" t="inlineStr">
        <x:is>
          <x:t xml:space="preserve">POKRYCIE DACHU SZKŁO</x:t>
        </x:is>
      </x:c>
      <x:c r="E367" s="8" t="n">
        <x:f>IFERROR(IFERROR(INDEX('02_RAW_INDEX'!$V:$V,MATCH($A367,'02_RAW_INDEX'!$A:$A,0)),"")-IFERROR(INDEX('02_RAW_INDEX'!$D:$D,MATCH($A367,'02_RAW_INDEX'!$A:$A,0)),""),"")</x:f>
        <x:v>7886</x:v>
      </x:c>
      <x:c r="F367" s="8" t="n">
        <x:f>IFERROR(IFERROR(INDEX('02_RAW_INDEX'!$U:$U,MATCH($A367,'02_RAW_INDEX'!$A:$A,0)),"")-IFERROR(INDEX('02_RAW_INDEX'!$C:$C,MATCH($A367,'02_RAW_INDEX'!$A:$A,0)),""),"")</x:f>
        <x:v>9700</x:v>
      </x:c>
      <x:c r="G367" s="7" t="n">
        <x:f>'01_Ustawienia'!$B$6</x:f>
        <x:v>0</x:v>
      </x:c>
      <x:c r="H367" s="8" t="n">
        <x:f>IF(E367="","",ROUND(IF('01_Ustawienia'!$B$5="BRUTTO",F367,E367)*(1-G367),0))</x:f>
        <x:v>7886</x:v>
      </x:c>
      <x:c r="I367" s="7" t="n">
        <x:f>IFERROR(IFERROR(INDEX('01_Ustawienia'!$B$15:$B$33,MATCH(B367,'01_Ustawienia'!$A$15:$A$33,0)),0.45),0.45)</x:f>
        <x:v>0.45</x:v>
      </x:c>
      <x:c r="J367" s="8" t="n">
        <x:f>IF(H367="","",ROUND(H367*(1+I367),0))</x:f>
        <x:v>11435</x:v>
      </x:c>
      <x:c r="K367" s="8" t="n">
        <x:f>0</x:f>
        <x:v>0</x:v>
      </x:c>
      <x:c r="L367" s="8" t="n">
        <x:v>0</x:v>
      </x:c>
      <x:c r="M367" s="7" t="n">
        <x:f>IF('01_Ustawienia'!$B$4="ZWOLNIONY",0,'01_Ustawienia'!$B$7)</x:f>
        <x:v>0.08</x:v>
      </x:c>
      <x:c r="N367" s="8" t="n">
        <x:f>IF(J367="","",ROUND((J367+K367)*(1+M367),0))</x:f>
        <x:v>12350</x:v>
      </x:c>
      <x:c r="O367" s="8" t="n">
        <x:f>IF(J367="","",J367+K367-H367-L367)</x:f>
        <x:v>3549</x:v>
      </x:c>
      <x:c r="P367" s="7" t="n">
        <x:f>IFERROR(O367/(J367+K367),"")</x:f>
        <x:v>0.31036292085701794</x:v>
      </x:c>
      <x:c r="Q367" s="6" t="inlineStr">
        <x:is>
          <x:t xml:space="preserve">RAW_ZS - RAW_ZP</x:t>
        </x:is>
      </x:c>
      <x:c r="R367" s="6" t="inlineStr">
        <x:is>
          <x:t xml:space="preserve">POKRYCIE DACHU</x:t>
        </x:is>
      </x:c>
      <x:c r="S367" s="6" t="inlineStr">
        <x:is>
          <x:t xml:space="preserve">website+crm</x:t>
        </x:is>
      </x:c>
      <x:c r="T367" s="6" t="inlineStr">
        <x:is>
          <x:t xml:space="preserve">Dopłata do bazowego dachu poliwęglan | FIX17: Wynagr.+koszty = 0 dla dopłaty; nie jest osobnym montażem ekipy.</x:t>
        </x:is>
      </x:c>
    </x:row>
    <x:row r="368" s="655" customFormat="1" ht="30" customHeight="1">
      <x:c r="A368" s="6" t="inlineStr">
        <x:is>
          <x:t xml:space="preserve">350 x 1206 cm</x:t>
        </x:is>
      </x:c>
      <x:c r="B368" s="6" t="inlineStr">
        <x:is>
          <x:t xml:space="preserve">PDSB</x:t>
        </x:is>
      </x:c>
      <x:c r="C368" s="6" t="inlineStr">
        <x:is>
          <x:t xml:space="preserve">Dopłata dach szkło barwione/mleczne</x:t>
        </x:is>
      </x:c>
      <x:c r="D368" s="6" t="inlineStr">
        <x:is>
          <x:t xml:space="preserve">POKRYCIE DACHU SZKŁO BARWIONE</x:t>
        </x:is>
      </x:c>
      <x:c r="E368" s="8" t="n">
        <x:f>IFERROR(INDEX('02_RAW_INDEX'!$X:$X,MATCH($A368,'02_RAW_INDEX'!$A:$A,0)),"")</x:f>
        <x:v>1114</x:v>
      </x:c>
      <x:c r="F368" s="8" t="n">
        <x:f>IFERROR(INDEX('02_RAW_INDEX'!$W:$W,MATCH($A368,'02_RAW_INDEX'!$A:$A,0)),"")</x:f>
        <x:v>1370</x:v>
      </x:c>
      <x:c r="G368" s="7" t="n">
        <x:f>'01_Ustawienia'!$B$6</x:f>
        <x:v>0</x:v>
      </x:c>
      <x:c r="H368" s="8" t="n">
        <x:f>IF(E368="","",ROUND(IF('01_Ustawienia'!$B$5="BRUTTO",F368,E368)*(1-G368),0))</x:f>
        <x:v>1114</x:v>
      </x:c>
      <x:c r="I368" s="7" t="n">
        <x:f>IFERROR(IFERROR(INDEX('01_Ustawienia'!$B$15:$B$33,MATCH(B368,'01_Ustawienia'!$A$15:$A$33,0)),0.45),0.45)</x:f>
        <x:v>0.45</x:v>
      </x:c>
      <x:c r="J368" s="8" t="n">
        <x:f>IF(H368="","",ROUND(H368*(1+I368),0))</x:f>
        <x:v>1615</x:v>
      </x:c>
      <x:c r="K368" s="8" t="n">
        <x:f>0</x:f>
        <x:v>0</x:v>
      </x:c>
      <x:c r="L368" s="8" t="n">
        <x:v>0</x:v>
      </x:c>
      <x:c r="M368" s="7" t="n">
        <x:f>IF('01_Ustawienia'!$B$4="ZWOLNIONY",0,'01_Ustawienia'!$B$7)</x:f>
        <x:v>0.08</x:v>
      </x:c>
      <x:c r="N368" s="8" t="n">
        <x:f>IF(J368="","",ROUND((J368+K368)*(1+M368),0))</x:f>
        <x:v>1744</x:v>
      </x:c>
      <x:c r="O368" s="8" t="n">
        <x:f>IF(J368="","",J368+K368-H368-L368)</x:f>
        <x:v>501</x:v>
      </x:c>
      <x:c r="P368" s="7" t="n">
        <x:f>IFERROR(O368/(J368+K368),"")</x:f>
        <x:v>0.31021671826625385</x:v>
      </x:c>
      <x:c r="Q368" s="6" t="inlineStr">
        <x:is>
          <x:t xml:space="preserve">RAW_ZS D/E</x:t>
        </x:is>
      </x:c>
      <x:c r="R368" s="6" t="inlineStr">
        <x:is>
          <x:t xml:space="preserve">POKRYCIE DACHU</x:t>
        </x:is>
      </x:c>
      <x:c r="S368" s="6" t="inlineStr">
        <x:is>
          <x:t xml:space="preserve">website+crm</x:t>
        </x:is>
      </x:c>
      <x:c r="T368" s="6" t="inlineStr">
        <x:is>
          <x:t xml:space="preserve">Dodawane do PDS | FIX17: Wynagr.+koszty = 0 dla dopłaty; nie jest osobnym montażem ekipy.</x:t>
        </x:is>
      </x:c>
    </x:row>
    <x:row r="369" s="655" customFormat="1" ht="30" customHeight="1">
      <x:c r="A369" s="6" t="inlineStr">
        <x:is>
          <x:t xml:space="preserve">350 x 1206 cm</x:t>
        </x:is>
      </x:c>
      <x:c r="B369" s="6" t="inlineStr">
        <x:is>
          <x:t xml:space="preserve">PDPB</x:t>
        </x:is>
      </x:c>
      <x:c r="C369" s="6" t="inlineStr">
        <x:is>
          <x:t xml:space="preserve">Dopłata poliwęglan barwiony</x:t>
        </x:is>
      </x:c>
      <x:c r="D369" s="6" t="inlineStr">
        <x:is>
          <x:t xml:space="preserve">POKRYCIE DACHU POLIWĘGLAN BARWIONY</x:t>
        </x:is>
      </x:c>
      <x:c r="E369" s="8" t="n">
        <x:f>IFERROR(INDEX('02_RAW_INDEX'!$F:$F,MATCH($A369,'02_RAW_INDEX'!$A:$A,0)),"")</x:f>
        <x:v>488</x:v>
      </x:c>
      <x:c r="F369" s="8" t="n">
        <x:f>IFERROR(INDEX('02_RAW_INDEX'!$E:$E,MATCH($A369,'02_RAW_INDEX'!$A:$A,0)),"")</x:f>
        <x:v>600</x:v>
      </x:c>
      <x:c r="G369" s="7" t="n">
        <x:f>'01_Ustawienia'!$B$6</x:f>
        <x:v>0</x:v>
      </x:c>
      <x:c r="H369" s="8" t="n">
        <x:f>IF(E369="","",ROUND(IF('01_Ustawienia'!$B$5="BRUTTO",F369,E369)*(1-G369),0))</x:f>
        <x:v>488</x:v>
      </x:c>
      <x:c r="I369" s="7" t="n">
        <x:f>IFERROR(IFERROR(INDEX('01_Ustawienia'!$B$15:$B$33,MATCH(B369,'01_Ustawienia'!$A$15:$A$33,0)),0.45),0.45)</x:f>
        <x:v>0.45</x:v>
      </x:c>
      <x:c r="J369" s="8" t="n">
        <x:f>IF(H369="","",ROUND(H369*(1+I369),0))</x:f>
        <x:v>708</x:v>
      </x:c>
      <x:c r="K369" s="8" t="n">
        <x:f>0</x:f>
        <x:v>0</x:v>
      </x:c>
      <x:c r="L369" s="8" t="n">
        <x:v>0</x:v>
      </x:c>
      <x:c r="M369" s="7" t="n">
        <x:f>IF('01_Ustawienia'!$B$4="ZWOLNIONY",0,'01_Ustawienia'!$B$7)</x:f>
        <x:v>0.08</x:v>
      </x:c>
      <x:c r="N369" s="8" t="n">
        <x:f>IF(J369="","",ROUND((J369+K369)*(1+M369),0))</x:f>
        <x:v>765</x:v>
      </x:c>
      <x:c r="O369" s="8" t="n">
        <x:f>IF(J369="","",J369+K369-H369-L369)</x:f>
        <x:v>220</x:v>
      </x:c>
      <x:c r="P369" s="7" t="n">
        <x:f>IFERROR(O369/(J369+K369),"")</x:f>
        <x:v>0.3107344632768362</x:v>
      </x:c>
      <x:c r="Q369" s="6" t="inlineStr">
        <x:is>
          <x:t xml:space="preserve">RAW_ZP D/E</x:t>
        </x:is>
      </x:c>
      <x:c r="R369" s="6" t="inlineStr">
        <x:is>
          <x:t xml:space="preserve">POKRYCIE DACHU</x:t>
        </x:is>
      </x:c>
      <x:c r="S369" s="6" t="inlineStr">
        <x:is>
          <x:t xml:space="preserve">website+crm</x:t>
        </x:is>
      </x:c>
      <x:c r="T369" s="6" t="inlineStr">
        <x:is>
          <x:t xml:space="preserve">FIX17: Wynagr.+koszty = 0 dla dopłaty; nie jest osobnym montażem ekipy.</x:t>
        </x:is>
      </x:c>
    </x:row>
    <x:row r="370" s="655" customFormat="1" ht="30" customHeight="1">
      <x:c r="A370" s="6" t="inlineStr">
        <x:is>
          <x:t xml:space="preserve">350 x 1206 cm</x:t>
        </x:is>
      </x:c>
      <x:c r="B370" s="6" t="inlineStr">
        <x:is>
          <x:t xml:space="preserve">SBB</x:t>
        </x:is>
      </x:c>
      <x:c r="C370" s="6" t="inlineStr">
        <x:is>
          <x:t xml:space="preserve">Dopłata szkło boczne przyciemniane</x:t>
        </x:is>
      </x:c>
      <x:c r="D370" s="6" t="inlineStr">
        <x:is>
          <x:t xml:space="preserve">SZKŁO BOCZNE BARWIONE</x:t>
        </x:is>
      </x:c>
      <x:c r="E370" s="8" t="n">
        <x:f>IFERROR(INDEX('02_RAW_INDEX'!$AB:$AB,MATCH($A370,'02_RAW_INDEX'!$A:$A,0)),"")</x:f>
        <x:v>1951</x:v>
      </x:c>
      <x:c r="F370" s="8" t="n">
        <x:f>IFERROR(INDEX('02_RAW_INDEX'!$AA:$AA,MATCH($A370,'02_RAW_INDEX'!$A:$A,0)),"")</x:f>
        <x:v>2400</x:v>
      </x:c>
      <x:c r="G370" s="7" t="n">
        <x:f>'01_Ustawienia'!$B$6</x:f>
        <x:v>0</x:v>
      </x:c>
      <x:c r="H370" s="8" t="n">
        <x:f>IF(E370="","",ROUND(IF('01_Ustawienia'!$B$5="BRUTTO",F370,E370)*(1-G370),0))</x:f>
        <x:v>1951</x:v>
      </x:c>
      <x:c r="I370" s="7" t="n">
        <x:f>IFERROR(IFERROR(INDEX('01_Ustawienia'!$B$15:$B$33,MATCH(B370,'01_Ustawienia'!$A$15:$A$33,0)),0.45),0.45)</x:f>
        <x:v>0.45</x:v>
      </x:c>
      <x:c r="J370" s="8" t="n">
        <x:f>IF(H370="","",ROUND(H370*(1+I370),0))</x:f>
        <x:v>2829</x:v>
      </x:c>
      <x:c r="K370" s="8" t="n">
        <x:f>0</x:f>
        <x:v>0</x:v>
      </x:c>
      <x:c r="L370" s="8" t="n">
        <x:v>0</x:v>
      </x:c>
      <x:c r="M370" s="7" t="n">
        <x:f>IF('01_Ustawienia'!$B$4="ZWOLNIONY",0,'01_Ustawienia'!$B$7)</x:f>
        <x:v>0.08</x:v>
      </x:c>
      <x:c r="N370" s="8" t="n">
        <x:f>IF(J370="","",ROUND((J370+K370)*(1+M370),0))</x:f>
        <x:v>3055</x:v>
      </x:c>
      <x:c r="O370" s="8" t="n">
        <x:f>IF(J370="","",J370+K370-H370-L370)</x:f>
        <x:v>878</x:v>
      </x:c>
      <x:c r="P370" s="7" t="n">
        <x:f>IFERROR(O370/(J370+K370),"")</x:f>
        <x:v>0.3103570166136444</x:v>
      </x:c>
      <x:c r="Q370" s="6" t="inlineStr">
        <x:is>
          <x:t xml:space="preserve">RAW_OP H/I</x:t>
        </x:is>
      </x:c>
      <x:c r="R370" s="6" t="inlineStr">
        <x:is>
          <x:t xml:space="preserve">SZYBY BOCZNE</x:t>
        </x:is>
      </x:c>
      <x:c r="S370" s="6" t="inlineStr">
        <x:is>
          <x:t xml:space="preserve">website+crm</x:t>
        </x:is>
      </x:c>
      <x:c r="T370" s="6" t="inlineStr">
        <x:is>
          <x:t xml:space="preserve">Dodawane do ścian przezroczystych | FIX17: Wynagr.+koszty = 0 dla dopłaty; nie jest osobnym montażem ekipy.</x:t>
        </x:is>
      </x:c>
    </x:row>
    <x:row r="371">
      <x:c r="A371" s="6" t="inlineStr">
        <x:is>
          <x:t xml:space="preserve">350 x 1206 cm</x:t>
        </x:is>
      </x:c>
      <x:c r="B371" s="6" t="inlineStr">
        <x:is>
          <x:t xml:space="preserve">RB</x:t>
        </x:is>
      </x:c>
      <x:c r="C371" s="6" t="inlineStr">
        <x:is>
          <x:t xml:space="preserve">Roleta boczna ZIP</x:t>
        </x:is>
      </x:c>
      <x:c r="D371" s="6" t="inlineStr">
        <x:is>
          <x:t xml:space="preserve">ROLETA BOCZNA</x:t>
        </x:is>
      </x:c>
      <x:c r="E371" s="8" t="n">
        <x:f>IFERROR(INDEX('02_RAW_INDEX'!$J:$J,MATCH($A371,'02_RAW_INDEX'!$A:$A,0)),"")</x:f>
        <x:v>1902</x:v>
      </x:c>
      <x:c r="F371" s="8" t="n">
        <x:f>IFERROR(INDEX('02_RAW_INDEX'!$I:$I,MATCH($A371,'02_RAW_INDEX'!$A:$A,0)),"")</x:f>
        <x:v>2340</x:v>
      </x:c>
      <x:c r="G371" s="7" t="n">
        <x:f>'01_Ustawienia'!$B$6</x:f>
        <x:v>0</x:v>
      </x:c>
      <x:c r="H371" s="8" t="n">
        <x:f>IF(E371="","",ROUND(IF('01_Ustawienia'!$B$5="BRUTTO",F371,E371)*(1-G371),0))</x:f>
        <x:v>1902</x:v>
      </x:c>
      <x:c r="I371" s="7" t="n">
        <x:f>IFERROR(IFERROR(INDEX('01_Ustawienia'!$B$15:$B$33,MATCH(B371,'01_Ustawienia'!$A$15:$A$33,0)),0.45),0.45)</x:f>
        <x:v>0.45</x:v>
      </x:c>
      <x:c r="J371" s="8" t="n">
        <x:f>IF(H371="","",ROUND(H371*(1+I371),0))</x:f>
        <x:v>2758</x:v>
      </x:c>
      <x:c r="K371" s="8" t="n">
        <x:f>0</x:f>
        <x:v>0</x:v>
      </x:c>
      <x:c r="L371" s="8" t="n">
        <x:f>IFERROR(IFERROR(INDEX(EG_Cennik_uslug!$AC:$AC,MATCH($A371,EG_Cennik_uslug!$A:$A,0)),0),0)</x:f>
        <x:v>150</x:v>
      </x:c>
      <x:c r="M371" s="7" t="n">
        <x:f>IF('01_Ustawienia'!$B$4="ZWOLNIONY",0,'01_Ustawienia'!$B$7)</x:f>
        <x:v>0.08</x:v>
      </x:c>
      <x:c r="N371" s="8" t="n">
        <x:f>IF(J371="","",ROUND((J371+K371)*(1+M371),0))</x:f>
        <x:v>2979</x:v>
      </x:c>
      <x:c r="O371" s="8" t="n">
        <x:f>IF(J371="","",J371+K371-H371-L371)</x:f>
        <x:v>706</x:v>
      </x:c>
      <x:c r="P371" s="7" t="n">
        <x:f>IFERROR(O371/(J371+K371),"")</x:f>
        <x:v>0.25598259608411894</x:v>
      </x:c>
      <x:c r="Q371" s="6" t="inlineStr">
        <x:is>
          <x:t xml:space="preserve">RAW_ZP J/K</x:t>
        </x:is>
      </x:c>
      <x:c r="R371" s="6" t="inlineStr">
        <x:is>
          <x:t xml:space="preserve">ROLETY BOCZNE</x:t>
        </x:is>
      </x:c>
      <x:c r="S371" s="6" t="inlineStr">
        <x:is>
          <x:t xml:space="preserve">website+crm</x:t>
        </x:is>
      </x:c>
      <x:c r="T371" s="6" t="inlineStr">
        <x:is>
          <x:t xml:space="preserve">Używana dla lewej i prawej</x:t>
        </x:is>
      </x:c>
    </x:row>
    <x:row r="372">
      <x:c r="A372" s="6" t="inlineStr">
        <x:is>
          <x:t xml:space="preserve">350 x 1206 cm</x:t>
        </x:is>
      </x:c>
      <x:c r="B372" s="6" t="inlineStr">
        <x:is>
          <x:t xml:space="preserve">RP</x:t>
        </x:is>
      </x:c>
      <x:c r="C372" s="6" t="inlineStr">
        <x:is>
          <x:t xml:space="preserve">Roleta przednia ZIP</x:t>
        </x:is>
      </x:c>
      <x:c r="D372" s="6" t="inlineStr">
        <x:is>
          <x:t xml:space="preserve">ROLETA PRZÓD</x:t>
        </x:is>
      </x:c>
      <x:c r="E372" s="8" t="n">
        <x:f>IFERROR(INDEX('02_RAW_INDEX'!$L:$L,MATCH($A372,'02_RAW_INDEX'!$A:$A,0)),"")</x:f>
        <x:v>6439</x:v>
      </x:c>
      <x:c r="F372" s="8" t="n">
        <x:f>IFERROR(INDEX('02_RAW_INDEX'!$K:$K,MATCH($A372,'02_RAW_INDEX'!$A:$A,0)),"")</x:f>
        <x:v>7920</x:v>
      </x:c>
      <x:c r="G372" s="7" t="n">
        <x:f>'01_Ustawienia'!$B$6</x:f>
        <x:v>0</x:v>
      </x:c>
      <x:c r="H372" s="8" t="n">
        <x:f>IF(E372="","",ROUND(IF('01_Ustawienia'!$B$5="BRUTTO",F372,E372)*(1-G372),0))</x:f>
        <x:v>6439</x:v>
      </x:c>
      <x:c r="I372" s="7" t="n">
        <x:f>IFERROR(IFERROR(INDEX('01_Ustawienia'!$B$15:$B$33,MATCH(B372,'01_Ustawienia'!$A$15:$A$33,0)),0.45),0.45)</x:f>
        <x:v>0.45</x:v>
      </x:c>
      <x:c r="J372" s="8" t="n">
        <x:f>IF(H372="","",ROUND(H372*(1+I372),0))</x:f>
        <x:v>9337</x:v>
      </x:c>
      <x:c r="K372" s="8" t="n">
        <x:f>0</x:f>
        <x:v>0</x:v>
      </x:c>
      <x:c r="L372" s="8" t="n">
        <x:f>IFERROR(IFERROR(INDEX(EG_Cennik_uslug!$AJ:$AJ,MATCH($A372,EG_Cennik_uslug!$A:$A,0)),0),0)</x:f>
        <x:v>450</x:v>
      </x:c>
      <x:c r="M372" s="7" t="n">
        <x:f>IF('01_Ustawienia'!$B$4="ZWOLNIONY",0,'01_Ustawienia'!$B$7)</x:f>
        <x:v>0.08</x:v>
      </x:c>
      <x:c r="N372" s="8" t="n">
        <x:f>IF(J372="","",ROUND((J372+K372)*(1+M372),0))</x:f>
        <x:v>10084</x:v>
      </x:c>
      <x:c r="O372" s="8" t="n">
        <x:f>IF(J372="","",J372+K372-H372-L372)</x:f>
        <x:v>2448</x:v>
      </x:c>
      <x:c r="P372" s="7" t="n">
        <x:f>IFERROR(O372/(J372+K372),"")</x:f>
        <x:v>0.2621827139338117</x:v>
      </x:c>
      <x:c r="Q372" s="6" t="inlineStr">
        <x:is>
          <x:t xml:space="preserve">RAW_ZP N/O</x:t>
        </x:is>
      </x:c>
      <x:c r="R372" s="6" t="inlineStr">
        <x:is>
          <x:t xml:space="preserve">ROLETY BOCZNE</x:t>
        </x:is>
      </x:c>
      <x:c r="S372" s="6" t="inlineStr">
        <x:is>
          <x:t xml:space="preserve">website+crm</x:t>
        </x:is>
      </x:c>
      <x:c r="T372" s="6" t="n"/>
    </x:row>
    <x:row r="373">
      <x:c r="A373" s="6" t="inlineStr">
        <x:is>
          <x:t xml:space="preserve">350 x 1206 cm</x:t>
        </x:is>
      </x:c>
      <x:c r="B373" s="6" t="inlineStr">
        <x:is>
          <x:t xml:space="preserve">M</x:t>
        </x:is>
      </x:c>
      <x:c r="C373" s="6" t="inlineStr">
        <x:is>
          <x:t xml:space="preserve">Markiza dachowa</x:t>
        </x:is>
      </x:c>
      <x:c r="D373" s="6" t="inlineStr">
        <x:is>
          <x:t xml:space="preserve">MARKIZA</x:t>
        </x:is>
      </x:c>
      <x:c r="E373" s="8" t="n">
        <x:f>IFERROR(INDEX('02_RAW_INDEX'!$H:$H,MATCH($A373,'02_RAW_INDEX'!$A:$A,0)),"")</x:f>
        <x:v>10976</x:v>
      </x:c>
      <x:c r="F373" s="8" t="n">
        <x:f>IFERROR(INDEX('02_RAW_INDEX'!$G:$G,MATCH($A373,'02_RAW_INDEX'!$A:$A,0)),"")</x:f>
        <x:v>13500</x:v>
      </x:c>
      <x:c r="G373" s="7" t="n">
        <x:f>'01_Ustawienia'!$B$6</x:f>
        <x:v>0</x:v>
      </x:c>
      <x:c r="H373" s="8" t="n">
        <x:f>IF(E373="","",ROUND(IF('01_Ustawienia'!$B$5="BRUTTO",F373,E373)*(1-G373),0))</x:f>
        <x:v>10976</x:v>
      </x:c>
      <x:c r="I373" s="7" t="n">
        <x:f>IFERROR(IFERROR(INDEX('01_Ustawienia'!$B$15:$B$33,MATCH(B373,'01_Ustawienia'!$A$15:$A$33,0)),0.45),0.45)</x:f>
        <x:v>0.45</x:v>
      </x:c>
      <x:c r="J373" s="8" t="n">
        <x:f>IF(H373="","",ROUND(H373*(1+I373),0))</x:f>
        <x:v>15915</x:v>
      </x:c>
      <x:c r="K373" s="8" t="n">
        <x:f>0</x:f>
        <x:v>0</x:v>
      </x:c>
      <x:c r="L373" s="8" t="n">
        <x:f>IFERROR(IFERROR(INDEX(EG_Cennik_uslug!$AQ:$AQ,MATCH($A373,EG_Cennik_uslug!$A:$A,0)),0),0)</x:f>
        <x:v>700</x:v>
      </x:c>
      <x:c r="M373" s="7" t="n">
        <x:f>IF('01_Ustawienia'!$B$4="ZWOLNIONY",0,'01_Ustawienia'!$B$7)</x:f>
        <x:v>0.08</x:v>
      </x:c>
      <x:c r="N373" s="8" t="n">
        <x:f>IF(J373="","",ROUND((J373+K373)*(1+M373),0))</x:f>
        <x:v>17188</x:v>
      </x:c>
      <x:c r="O373" s="8" t="n">
        <x:f>IF(J373="","",J373+K373-H373-L373)</x:f>
        <x:v>4239</x:v>
      </x:c>
      <x:c r="P373" s="7" t="n">
        <x:f>IFERROR(O373/(J373+K373),"")</x:f>
        <x:v>0.2663524976437323</x:v>
      </x:c>
      <x:c r="Q373" s="6" t="inlineStr">
        <x:is>
          <x:t xml:space="preserve">RAW_ZP H/I</x:t>
        </x:is>
      </x:c>
      <x:c r="R373" s="6" t="inlineStr">
        <x:is>
          <x:t xml:space="preserve">MARKIZA</x:t>
        </x:is>
      </x:c>
      <x:c r="S373" s="6" t="inlineStr">
        <x:is>
          <x:t xml:space="preserve">website+crm</x:t>
        </x:is>
      </x:c>
      <x:c r="T373" s="6" t="n"/>
    </x:row>
    <x:row r="374">
      <x:c r="A374" s="6" t="inlineStr">
        <x:is>
          <x:t xml:space="preserve">350 x 1206 cm</x:t>
        </x:is>
      </x:c>
      <x:c r="B374" s="6" t="inlineStr">
        <x:is>
          <x:t xml:space="preserve">PDWP</x:t>
        </x:is>
      </x:c>
      <x:c r="C374" s="6" t="inlineStr">
        <x:is>
          <x:t xml:space="preserve">Fundament/profile</x:t>
        </x:is>
      </x:c>
      <x:c r="D374" s="6" t="inlineStr">
        <x:is>
          <x:t xml:space="preserve">FUNDAMENT / PROFILE</x:t>
        </x:is>
      </x:c>
      <x:c r="E374" s="8" t="n">
        <x:f>IFERROR(INDEX('02_RAW_INDEX'!$AH:$AH,MATCH($A374,'02_RAW_INDEX'!$A:$A,0)),"")</x:f>
        <x:v>1772</x:v>
      </x:c>
      <x:c r="F374" s="8" t="n">
        <x:f>IFERROR(INDEX('02_RAW_INDEX'!$AG:$AG,MATCH($A374,'02_RAW_INDEX'!$A:$A,0)),"")</x:f>
        <x:v>2180</x:v>
      </x:c>
      <x:c r="G374" s="7" t="n">
        <x:f>'01_Ustawienia'!$B$6</x:f>
        <x:v>0</x:v>
      </x:c>
      <x:c r="H374" s="8" t="n">
        <x:f>IF(E374="","",ROUND(IF('01_Ustawienia'!$B$5="BRUTTO",F374,E374)*(1-G374),0))</x:f>
        <x:v>1772</x:v>
      </x:c>
      <x:c r="I374" s="7" t="n">
        <x:f>IFERROR(IFERROR(INDEX('01_Ustawienia'!$B$15:$B$33,MATCH(B374,'01_Ustawienia'!$A$15:$A$33,0)),0.45),0.45)</x:f>
        <x:v>1.2</x:v>
      </x:c>
      <x:c r="J374" s="8" t="n">
        <x:f>IF(H374="","",ROUND(H374*(1+I374),0))</x:f>
        <x:v>3898</x:v>
      </x:c>
      <x:c r="K374" s="8" t="n">
        <x:f>0</x:f>
        <x:v>0</x:v>
      </x:c>
      <x:c r="L374" s="8" t="n">
        <x:f>IFERROR(IFERROR(INDEX(EG_Cennik_uslug!$BT:$BT,MATCH($A374,EG_Cennik_uslug!$A:$A,0)),0),0)</x:f>
        <x:v>640</x:v>
      </x:c>
      <x:c r="M374" s="7" t="n">
        <x:f>IF('01_Ustawienia'!$B$4="ZWOLNIONY",0,'01_Ustawienia'!$B$7)</x:f>
        <x:v>0.08</x:v>
      </x:c>
      <x:c r="N374" s="8" t="n">
        <x:f>IF(J374="","",ROUND((J374+K374)*(1+M374),0))</x:f>
        <x:v>4210</x:v>
      </x:c>
      <x:c r="O374" s="8" t="n">
        <x:f>IF(J374="","",J374+K374-H374-L374)</x:f>
        <x:v>1486</x:v>
      </x:c>
      <x:c r="P374" s="7" t="n">
        <x:f>IFERROR(O374/(J374+K374),"")</x:f>
        <x:v>0.38122113904566446</x:v>
      </x:c>
      <x:c r="Q374" s="6" t="inlineStr">
        <x:is>
          <x:t xml:space="preserve">RAW_OP AB/AC</x:t>
        </x:is>
      </x:c>
      <x:c r="R374" s="6" t="inlineStr">
        <x:is>
          <x:t xml:space="preserve">FUNDAMENT (PROFILE)</x:t>
        </x:is>
      </x:c>
      <x:c r="S374" s="6" t="inlineStr">
        <x:is>
          <x:t xml:space="preserve">website+crm</x:t>
        </x:is>
      </x:c>
      <x:c r="T374" s="6" t="n"/>
    </x:row>
    <x:row r="375" s="655" customFormat="1" ht="30" customHeight="1">
      <x:c r="A375" s="6" t="inlineStr">
        <x:is>
          <x:t xml:space="preserve">350 x 1206 cm</x:t>
        </x:is>
      </x:c>
      <x:c r="B375" s="6" t="inlineStr">
        <x:is>
          <x:t xml:space="preserve">ZAB</x:t>
        </x:is>
      </x:c>
      <x:c r="C375" s="6" t="inlineStr">
        <x:is>
          <x:t xml:space="preserve">Zabieraki do ścian przesuwnych</x:t>
        </x:is>
      </x:c>
      <x:c r="D375" s="6" t="inlineStr">
        <x:is>
          <x:t xml:space="preserve">DODATKI</x:t>
        </x:is>
      </x:c>
      <x:c r="E375" s="8" t="n">
        <x:f>IFERROR(INDEX('02_RAW_INDEX'!$AJ:$AJ,MATCH($A375,'02_RAW_INDEX'!$A:$A,0)),"")</x:f>
        <x:v>488</x:v>
      </x:c>
      <x:c r="F375" s="8" t="n">
        <x:f>IFERROR(INDEX('02_RAW_INDEX'!$AI:$AI,MATCH($A375,'02_RAW_INDEX'!$A:$A,0)),"")</x:f>
        <x:v>600</x:v>
      </x:c>
      <x:c r="G375" s="7" t="n">
        <x:f>'01_Ustawienia'!$B$6</x:f>
        <x:v>0</x:v>
      </x:c>
      <x:c r="H375" s="8" t="n">
        <x:f>IF(E375="","",ROUND(IF('01_Ustawienia'!$B$5="BRUTTO",F375,E375)*(1-G375),0))</x:f>
        <x:v>488</x:v>
      </x:c>
      <x:c r="I375" s="7" t="n">
        <x:f>IFERROR(IFERROR(INDEX('01_Ustawienia'!$B$15:$B$33,MATCH(B375,'01_Ustawienia'!$A$15:$A$33,0)),0.45),0.45)</x:f>
        <x:v>0.45</x:v>
      </x:c>
      <x:c r="J375" s="8" t="n">
        <x:f>IF(H375="","",ROUND(H375*(1+I375),0))</x:f>
        <x:v>708</x:v>
      </x:c>
      <x:c r="K375" s="8" t="n">
        <x:f>0</x:f>
        <x:v>0</x:v>
      </x:c>
      <x:c r="L375" s="8" t="n">
        <x:f>0</x:f>
        <x:v>0</x:v>
      </x:c>
      <x:c r="M375" s="7" t="n">
        <x:f>IF('01_Ustawienia'!$B$4="ZWOLNIONY",0,'01_Ustawienia'!$B$7)</x:f>
        <x:v>0.08</x:v>
      </x:c>
      <x:c r="N375" s="8" t="n">
        <x:f>IF(J375="","",ROUND((J375+K375)*(1+M375),0))</x:f>
        <x:v>765</x:v>
      </x:c>
      <x:c r="O375" s="8" t="n">
        <x:f>IF(J375="","",J375+K375-H375-L375)</x:f>
        <x:v>220</x:v>
      </x:c>
      <x:c r="P375" s="7" t="n">
        <x:f>IFERROR(O375/(J375+K375),"")</x:f>
        <x:v>0.3107344632768362</x:v>
      </x:c>
      <x:c r="Q375" s="6" t="inlineStr">
        <x:is>
          <x:t xml:space="preserve">RAW_OP AD/AE</x:t>
        </x:is>
      </x:c>
      <x:c r="R375" s="6" t="inlineStr">
        <x:is>
          <x:t xml:space="preserve">DODATKI</x:t>
        </x:is>
      </x:c>
      <x:c r="S375" s="6" t="inlineStr">
        <x:is>
          <x:t xml:space="preserve">crm_only</x:t>
        </x:is>
      </x:c>
      <x:c r="T375" s="6" t="n"/>
    </x:row>
    <x:row r="376">
      <x:c r="A376" s="6" t="inlineStr">
        <x:is>
          <x:t xml:space="preserve">350 x 1206 cm</x:t>
        </x:is>
      </x:c>
      <x:c r="B376" s="6" t="inlineStr">
        <x:is>
          <x:t xml:space="preserve">S</x:t>
        </x:is>
      </x:c>
      <x:c r="C376" s="6" t="inlineStr">
        <x:is>
          <x:t xml:space="preserve">Szczotki przeciwkurzowe</x:t>
        </x:is>
      </x:c>
      <x:c r="D376" s="6" t="inlineStr">
        <x:is>
          <x:t xml:space="preserve">SZCZOTKI</x:t>
        </x:is>
      </x:c>
      <x:c r="E376" s="8" t="n">
        <x:f>IFERROR(INDEX('02_RAW_INDEX'!$AD:$AD,MATCH($A376,'02_RAW_INDEX'!$A:$A,0)),"")</x:f>
        <x:v>618</x:v>
      </x:c>
      <x:c r="F376" s="8" t="n">
        <x:f>IFERROR(INDEX('02_RAW_INDEX'!$AC:$AC,MATCH($A376,'02_RAW_INDEX'!$A:$A,0)),"")</x:f>
        <x:v>760</x:v>
      </x:c>
      <x:c r="G376" s="7" t="n">
        <x:f>'01_Ustawienia'!$B$6</x:f>
        <x:v>0</x:v>
      </x:c>
      <x:c r="H376" s="8" t="n">
        <x:f>IF(E376="","",ROUND(IF('01_Ustawienia'!$B$5="BRUTTO",F376,E376)*(1-G376),0))</x:f>
        <x:v>618</x:v>
      </x:c>
      <x:c r="I376" s="7" t="n">
        <x:f>IFERROR(IFERROR(INDEX('01_Ustawienia'!$B$15:$B$33,MATCH(B376,'01_Ustawienia'!$A$15:$A$33,0)),0.45),0.45)</x:f>
        <x:v>0.45</x:v>
      </x:c>
      <x:c r="J376" s="8" t="n">
        <x:f>IF(H376="","",ROUND(H376*(1+I376),0))</x:f>
        <x:v>896</x:v>
      </x:c>
      <x:c r="K376" s="8" t="n">
        <x:f>0</x:f>
        <x:v>0</x:v>
      </x:c>
      <x:c r="L376" s="8" t="n">
        <x:f>IFERROR(IFERROR(INDEX(EG_Cennik_uslug!$CA:$CA,MATCH($A376,EG_Cennik_uslug!$A:$A,0)),0),0)</x:f>
        <x:v>0</x:v>
      </x:c>
      <x:c r="M376" s="7" t="n">
        <x:f>IF('01_Ustawienia'!$B$4="ZWOLNIONY",0,'01_Ustawienia'!$B$7)</x:f>
        <x:v>0.08</x:v>
      </x:c>
      <x:c r="N376" s="8" t="n">
        <x:f>IF(J376="","",ROUND((J376+K376)*(1+M376),0))</x:f>
        <x:v>968</x:v>
      </x:c>
      <x:c r="O376" s="8" t="n">
        <x:f>IF(J376="","",J376+K376-H376-L376)</x:f>
        <x:v>278</x:v>
      </x:c>
      <x:c r="P376" s="7" t="n">
        <x:f>IFERROR(O376/(J376+K376),"")</x:f>
        <x:v>0.31026785714285715</x:v>
      </x:c>
      <x:c r="Q376" s="6" t="inlineStr">
        <x:is>
          <x:t xml:space="preserve">RAW_OP L/M</x:t>
        </x:is>
      </x:c>
      <x:c r="R376" s="6" t="inlineStr">
        <x:is>
          <x:t xml:space="preserve">DODATKI</x:t>
        </x:is>
      </x:c>
      <x:c r="S376" s="6" t="inlineStr">
        <x:is>
          <x:t xml:space="preserve">website+crm</x:t>
        </x:is>
      </x:c>
      <x:c r="T376" s="6" t="n"/>
    </x:row>
    <x:row r="377">
      <x:c r="A377" s="6" t="inlineStr">
        <x:is>
          <x:t xml:space="preserve">350 x 1206 cm</x:t>
        </x:is>
      </x:c>
      <x:c r="B377" s="6" t="inlineStr">
        <x:is>
          <x:t xml:space="preserve">U</x:t>
        </x:is>
      </x:c>
      <x:c r="C377" s="6" t="inlineStr">
        <x:is>
          <x:t xml:space="preserve">Uchwyty na szkło ścienne</x:t>
        </x:is>
      </x:c>
      <x:c r="D377" s="6" t="inlineStr">
        <x:is>
          <x:t xml:space="preserve">UCHWYTY</x:t>
        </x:is>
      </x:c>
      <x:c r="E377" s="8" t="n">
        <x:f>IFERROR(INDEX('02_RAW_INDEX'!$AF:$AF,MATCH($A377,'02_RAW_INDEX'!$A:$A,0)),"")</x:f>
        <x:v>561</x:v>
      </x:c>
      <x:c r="F377" s="8" t="n">
        <x:f>IFERROR(INDEX('02_RAW_INDEX'!$AE:$AE,MATCH($A377,'02_RAW_INDEX'!$A:$A,0)),"")</x:f>
        <x:v>690</x:v>
      </x:c>
      <x:c r="G377" s="7" t="n">
        <x:f>'01_Ustawienia'!$B$6</x:f>
        <x:v>0</x:v>
      </x:c>
      <x:c r="H377" s="8" t="n">
        <x:f>IF(E377="","",ROUND(IF('01_Ustawienia'!$B$5="BRUTTO",F377,E377)*(1-G377),0))</x:f>
        <x:v>561</x:v>
      </x:c>
      <x:c r="I377" s="7" t="n">
        <x:f>IFERROR(IFERROR(INDEX('01_Ustawienia'!$B$15:$B$33,MATCH(B377,'01_Ustawienia'!$A$15:$A$33,0)),0.45),0.45)</x:f>
        <x:v>0.45</x:v>
      </x:c>
      <x:c r="J377" s="8" t="n">
        <x:f>IF(H377="","",ROUND(H377*(1+I377),0))</x:f>
        <x:v>813</x:v>
      </x:c>
      <x:c r="K377" s="8" t="n">
        <x:f>0</x:f>
        <x:v>0</x:v>
      </x:c>
      <x:c r="L377" s="8" t="n">
        <x:f>IFERROR(IFERROR(INDEX(EG_Cennik_uslug!$CH:$CH,MATCH($A377,EG_Cennik_uslug!$A:$A,0)),0),0)</x:f>
        <x:v>0</x:v>
      </x:c>
      <x:c r="M377" s="7" t="n">
        <x:f>IF('01_Ustawienia'!$B$4="ZWOLNIONY",0,'01_Ustawienia'!$B$7)</x:f>
        <x:v>0.08</x:v>
      </x:c>
      <x:c r="N377" s="8" t="n">
        <x:f>IF(J377="","",ROUND((J377+K377)*(1+M377),0))</x:f>
        <x:v>878</x:v>
      </x:c>
      <x:c r="O377" s="8" t="n">
        <x:f>IF(J377="","",J377+K377-H377-L377)</x:f>
        <x:v>252</x:v>
      </x:c>
      <x:c r="P377" s="7" t="n">
        <x:f>IFERROR(O377/(J377+K377),"")</x:f>
        <x:v>0.30996309963099633</x:v>
      </x:c>
      <x:c r="Q377" s="6" t="inlineStr">
        <x:is>
          <x:t xml:space="preserve">RAW_OP N/O</x:t>
        </x:is>
      </x:c>
      <x:c r="R377" s="6" t="inlineStr">
        <x:is>
          <x:t xml:space="preserve">DODATKI</x:t>
        </x:is>
      </x:c>
      <x:c r="S377" s="6" t="inlineStr">
        <x:is>
          <x:t xml:space="preserve">website+crm</x:t>
        </x:is>
      </x:c>
      <x:c r="T377" s="6" t="n"/>
    </x:row>
    <x:row r="378">
      <x:c r="A378" s="6" t="inlineStr">
        <x:is>
          <x:t xml:space="preserve">350 x 1206 cm</x:t>
        </x:is>
      </x:c>
      <x:c r="B378" s="6" t="inlineStr">
        <x:is>
          <x:t xml:space="preserve">LED2</x:t>
        </x:is>
      </x:c>
      <x:c r="C378" s="6" t="inlineStr">
        <x:is>
          <x:t xml:space="preserve">Oświetlenie LED 2 punkty</x:t>
        </x:is>
      </x:c>
      <x:c r="D378" s="6" t="inlineStr">
        <x:is>
          <x:t xml:space="preserve">LED 2 PKT</x:t>
        </x:is>
      </x:c>
      <x:c r="E378" s="8" t="n">
        <x:f>IFERROR(INDEX('02_RAW_INDEX'!$N:$N,MATCH($A378,'02_RAW_INDEX'!$A:$A,0)),"")</x:f>
        <x:v>1228</x:v>
      </x:c>
      <x:c r="F378" s="8" t="n">
        <x:f>IFERROR(INDEX('02_RAW_INDEX'!$M:$M,MATCH($A378,'02_RAW_INDEX'!$A:$A,0)),"")</x:f>
        <x:v>1510</x:v>
      </x:c>
      <x:c r="G378" s="7" t="n">
        <x:f>'01_Ustawienia'!$B$6</x:f>
        <x:v>0</x:v>
      </x:c>
      <x:c r="H378" s="8" t="n">
        <x:f>IF(E378="","",ROUND(IF('01_Ustawienia'!$B$5="BRUTTO",F378,E378)*(1-G378),0))</x:f>
        <x:v>1228</x:v>
      </x:c>
      <x:c r="I378" s="7" t="n">
        <x:f>IFERROR(IFERROR(INDEX('01_Ustawienia'!$B$15:$B$33,MATCH(B378,'01_Ustawienia'!$A$15:$A$33,0)),0.45),0.45)</x:f>
        <x:v>0.45</x:v>
      </x:c>
      <x:c r="J378" s="8" t="n">
        <x:f>IF(H378="","",ROUND(H378*(1+I378),0))</x:f>
        <x:v>1781</x:v>
      </x:c>
      <x:c r="K378" s="8" t="n">
        <x:f>0</x:f>
        <x:v>0</x:v>
      </x:c>
      <x:c r="L378" s="8" t="n">
        <x:f>IFERROR(IFERROR(INDEX(EG_Cennik_uslug!$CO:$CO,MATCH($A378,EG_Cennik_uslug!$A:$A,0)),0),0)</x:f>
        <x:v>0</x:v>
      </x:c>
      <x:c r="M378" s="7" t="n">
        <x:f>IF('01_Ustawienia'!$B$4="ZWOLNIONY",0,'01_Ustawienia'!$B$7)</x:f>
        <x:v>0.08</x:v>
      </x:c>
      <x:c r="N378" s="8" t="n">
        <x:f>IF(J378="","",ROUND((J378+K378)*(1+M378),0))</x:f>
        <x:v>1923</x:v>
      </x:c>
      <x:c r="O378" s="8" t="n">
        <x:f>IF(J378="","",J378+K378-H378-L378)</x:f>
        <x:v>553</x:v>
      </x:c>
      <x:c r="P378" s="7" t="n">
        <x:f>IFERROR(O378/(J378+K378),"")</x:f>
        <x:v>0.31049971925884334</x:v>
      </x:c>
      <x:c r="Q378" s="6" t="inlineStr">
        <x:is>
          <x:t xml:space="preserve">RAW_ZP P/Q</x:t>
        </x:is>
      </x:c>
      <x:c r="R378" s="6" t="inlineStr">
        <x:is>
          <x:t xml:space="preserve">OŚWIETLENIE</x:t>
        </x:is>
      </x:c>
      <x:c r="S378" s="6" t="inlineStr">
        <x:is>
          <x:t xml:space="preserve">website+crm</x:t>
        </x:is>
      </x:c>
      <x:c r="T378" s="6" t="n"/>
    </x:row>
    <x:row r="379">
      <x:c r="A379" s="6" t="inlineStr">
        <x:is>
          <x:t xml:space="preserve">350 x 1206 cm</x:t>
        </x:is>
      </x:c>
      <x:c r="B379" s="6" t="inlineStr">
        <x:is>
          <x:t xml:space="preserve">LED3</x:t>
        </x:is>
      </x:c>
      <x:c r="C379" s="6" t="inlineStr">
        <x:is>
          <x:t xml:space="preserve">Oświetlenie LED 3 punkty</x:t>
        </x:is>
      </x:c>
      <x:c r="D379" s="6" t="inlineStr">
        <x:is>
          <x:t xml:space="preserve">LED 3 PKT</x:t>
        </x:is>
      </x:c>
      <x:c r="E379" s="8" t="n">
        <x:f>IFERROR(INDEX('02_RAW_INDEX'!$P:$P,MATCH($A379,'02_RAW_INDEX'!$A:$A,0)),"")</x:f>
        <x:v>1545</x:v>
      </x:c>
      <x:c r="F379" s="8" t="n">
        <x:f>IFERROR(INDEX('02_RAW_INDEX'!$O:$O,MATCH($A379,'02_RAW_INDEX'!$A:$A,0)),"")</x:f>
        <x:v>1900</x:v>
      </x:c>
      <x:c r="G379" s="7" t="n">
        <x:f>'01_Ustawienia'!$B$6</x:f>
        <x:v>0</x:v>
      </x:c>
      <x:c r="H379" s="8" t="n">
        <x:f>IF(E379="","",ROUND(IF('01_Ustawienia'!$B$5="BRUTTO",F379,E379)*(1-G379),0))</x:f>
        <x:v>1545</x:v>
      </x:c>
      <x:c r="I379" s="7" t="n">
        <x:f>IFERROR(IFERROR(INDEX('01_Ustawienia'!$B$15:$B$33,MATCH(B379,'01_Ustawienia'!$A$15:$A$33,0)),0.45),0.45)</x:f>
        <x:v>0.45</x:v>
      </x:c>
      <x:c r="J379" s="8" t="n">
        <x:f>IF(H379="","",ROUND(H379*(1+I379),0))</x:f>
        <x:v>2240</x:v>
      </x:c>
      <x:c r="K379" s="8" t="n">
        <x:f>0</x:f>
        <x:v>0</x:v>
      </x:c>
      <x:c r="L379" s="8" t="n">
        <x:f>IFERROR(IFERROR(INDEX(EG_Cennik_uslug!$CV:$CV,MATCH($A379,EG_Cennik_uslug!$A:$A,0)),0),0)</x:f>
        <x:v>0</x:v>
      </x:c>
      <x:c r="M379" s="7" t="n">
        <x:f>IF('01_Ustawienia'!$B$4="ZWOLNIONY",0,'01_Ustawienia'!$B$7)</x:f>
        <x:v>0.08</x:v>
      </x:c>
      <x:c r="N379" s="8" t="n">
        <x:f>IF(J379="","",ROUND((J379+K379)*(1+M379),0))</x:f>
        <x:v>2419</x:v>
      </x:c>
      <x:c r="O379" s="8" t="n">
        <x:f>IF(J379="","",J379+K379-H379-L379)</x:f>
        <x:v>695</x:v>
      </x:c>
      <x:c r="P379" s="7" t="n">
        <x:f>IFERROR(O379/(J379+K379),"")</x:f>
        <x:v>0.31026785714285715</x:v>
      </x:c>
      <x:c r="Q379" s="6" t="inlineStr">
        <x:is>
          <x:t xml:space="preserve">RAW_ZP R/S</x:t>
        </x:is>
      </x:c>
      <x:c r="R379" s="6" t="inlineStr">
        <x:is>
          <x:t xml:space="preserve">OŚWIETLENIE</x:t>
        </x:is>
      </x:c>
      <x:c r="S379" s="6" t="inlineStr">
        <x:is>
          <x:t xml:space="preserve">website+crm</x:t>
        </x:is>
      </x:c>
      <x:c r="T379" s="6" t="inlineStr">
        <x:is>
          <x:t xml:space="preserve">Nazwa do potwierdzenia</x:t>
        </x:is>
      </x:c>
    </x:row>
    <x:row r="380">
      <x:c r="A380" s="6" t="inlineStr">
        <x:is>
          <x:t xml:space="preserve">350 x 1206 cm</x:t>
        </x:is>
      </x:c>
      <x:c r="B380" s="6" t="inlineStr">
        <x:is>
          <x:t xml:space="preserve">LEDCCT</x:t>
        </x:is>
      </x:c>
      <x:c r="C380" s="6" t="inlineStr">
        <x:is>
          <x:t xml:space="preserve">Oświetlenie LED CCT</x:t>
        </x:is>
      </x:c>
      <x:c r="D380" s="6" t="inlineStr">
        <x:is>
          <x:t xml:space="preserve">OŚWIETLENIE</x:t>
        </x:is>
      </x:c>
      <x:c r="E380" s="8" t="n">
        <x:f>IFERROR(INDEX('02_RAW_INDEX'!$R:$R,MATCH($A380,'02_RAW_INDEX'!$A:$A,0)),"")</x:f>
        <x:v>2280</x:v>
      </x:c>
      <x:c r="F380" s="8" t="n">
        <x:f>IFERROR(INDEX('02_RAW_INDEX'!$Q:$Q,MATCH($A380,'02_RAW_INDEX'!$A:$A,0)),"")</x:f>
        <x:v>2804</x:v>
      </x:c>
      <x:c r="G380" s="7" t="n">
        <x:f>'01_Ustawienia'!$B$6</x:f>
        <x:v>0</x:v>
      </x:c>
      <x:c r="H380" s="8" t="n">
        <x:f>IF(E380="","",ROUND(IF('01_Ustawienia'!$B$5="BRUTTO",F380,E380)*(1-G380),0))</x:f>
        <x:v>2280</x:v>
      </x:c>
      <x:c r="I380" s="7" t="n">
        <x:f>IFERROR(IFERROR(INDEX('01_Ustawienia'!$B$15:$B$33,MATCH(B380,'01_Ustawienia'!$A$15:$A$33,0)),0.45),0.45)</x:f>
        <x:v>0.45</x:v>
      </x:c>
      <x:c r="J380" s="8" t="n">
        <x:f>IF(H380="","",ROUND(H380*(1+I380),0))</x:f>
        <x:v>3306</x:v>
      </x:c>
      <x:c r="K380" s="8" t="n">
        <x:f>0</x:f>
        <x:v>0</x:v>
      </x:c>
      <x:c r="L380" s="8" t="n">
        <x:f>0</x:f>
        <x:v>0</x:v>
      </x:c>
      <x:c r="M380" s="7" t="n">
        <x:f>IF('01_Ustawienia'!$B$4="ZWOLNIONY",0,'01_Ustawienia'!$B$7)</x:f>
        <x:v>0.08</x:v>
      </x:c>
      <x:c r="N380" s="8" t="n">
        <x:f>IF(J380="","",ROUND((J380+K380)*(1+M380),0))</x:f>
        <x:v>3570</x:v>
      </x:c>
      <x:c r="O380" s="8" t="n">
        <x:f>IF(J380="","",J380+K380-H380-L380)</x:f>
        <x:v>1026</x:v>
      </x:c>
      <x:c r="P380" s="7" t="n">
        <x:f>IFERROR(O380/(J380+K380),"")</x:f>
        <x:v>0.3103448275862069</x:v>
      </x:c>
      <x:c r="Q380" s="6" t="inlineStr">
        <x:is>
          <x:t xml:space="preserve">RAW_ZP T/U</x:t>
        </x:is>
      </x:c>
      <x:c r="R380" s="6" t="inlineStr">
        <x:is>
          <x:t xml:space="preserve">OŚWIETLENIE</x:t>
        </x:is>
      </x:c>
      <x:c r="S380" s="6" t="inlineStr">
        <x:is>
          <x:t xml:space="preserve">website+crm</x:t>
        </x:is>
      </x:c>
      <x:c r="T380" s="6" t="inlineStr">
        <x:is>
          <x:t xml:space="preserve">Opcja dodatkowa | FIX17: opcja LED dostępna dla strony; ceny 450-600 wg modelu FIX15.</x:t>
        </x:is>
      </x:c>
    </x:row>
    <x:row r="381">
      <x:c r="A381" s="6" t="inlineStr">
        <x:is>
          <x:t xml:space="preserve">350 x 1206 cm</x:t>
        </x:is>
      </x:c>
      <x:c r="B381" s="6" t="inlineStr">
        <x:is>
          <x:t xml:space="preserve">LEDRGBCCT</x:t>
        </x:is>
      </x:c>
      <x:c r="C381" s="6" t="inlineStr">
        <x:is>
          <x:t xml:space="preserve">Oświetlenie LED RGB CCT</x:t>
        </x:is>
      </x:c>
      <x:c r="D381" s="6" t="inlineStr">
        <x:is>
          <x:t xml:space="preserve">OŚWIETLENIE</x:t>
        </x:is>
      </x:c>
      <x:c r="E381" s="8" t="n">
        <x:f>IFERROR(INDEX('02_RAW_INDEX'!$T:$T,MATCH($A381,'02_RAW_INDEX'!$A:$A,0)),"")</x:f>
        <x:v>3430</x:v>
      </x:c>
      <x:c r="F381" s="8" t="n">
        <x:f>IFERROR(INDEX('02_RAW_INDEX'!$S:$S,MATCH($A381,'02_RAW_INDEX'!$A:$A,0)),"")</x:f>
        <x:v>4219</x:v>
      </x:c>
      <x:c r="G381" s="7" t="n">
        <x:f>'01_Ustawienia'!$B$6</x:f>
        <x:v>0</x:v>
      </x:c>
      <x:c r="H381" s="8" t="n">
        <x:f>IF(E381="","",ROUND(IF('01_Ustawienia'!$B$5="BRUTTO",F381,E381)*(1-G381),0))</x:f>
        <x:v>3430</x:v>
      </x:c>
      <x:c r="I381" s="7" t="n">
        <x:f>IFERROR(IFERROR(INDEX('01_Ustawienia'!$B$15:$B$33,MATCH(B381,'01_Ustawienia'!$A$15:$A$33,0)),0.45),0.45)</x:f>
        <x:v>0.45</x:v>
      </x:c>
      <x:c r="J381" s="8" t="n">
        <x:f>IF(H381="","",ROUND(H381*(1+I381),0))</x:f>
        <x:v>4974</x:v>
      </x:c>
      <x:c r="K381" s="8" t="n">
        <x:f>0</x:f>
        <x:v>0</x:v>
      </x:c>
      <x:c r="L381" s="8" t="n">
        <x:f>0</x:f>
        <x:v>0</x:v>
      </x:c>
      <x:c r="M381" s="7" t="n">
        <x:f>IF('01_Ustawienia'!$B$4="ZWOLNIONY",0,'01_Ustawienia'!$B$7)</x:f>
        <x:v>0.08</x:v>
      </x:c>
      <x:c r="N381" s="8" t="n">
        <x:f>IF(J381="","",ROUND((J381+K381)*(1+M381),0))</x:f>
        <x:v>5372</x:v>
      </x:c>
      <x:c r="O381" s="8" t="n">
        <x:f>IF(J381="","",J381+K381-H381-L381)</x:f>
        <x:v>1544</x:v>
      </x:c>
      <x:c r="P381" s="7" t="n">
        <x:f>IFERROR(O381/(J381+K381),"")</x:f>
        <x:v>0.3104141535987133</x:v>
      </x:c>
      <x:c r="Q381" s="6" t="inlineStr">
        <x:is>
          <x:t xml:space="preserve">RAW_ZP V/W</x:t>
        </x:is>
      </x:c>
      <x:c r="R381" s="6" t="inlineStr">
        <x:is>
          <x:t xml:space="preserve">OŚWIETLENIE</x:t>
        </x:is>
      </x:c>
      <x:c r="S381" s="6" t="inlineStr">
        <x:is>
          <x:t xml:space="preserve">crm_only</x:t>
        </x:is>
      </x:c>
      <x:c r="T381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382" s="655" customFormat="1" ht="30" customHeight="1">
      <x:c r="A382" s="6" t="inlineStr">
        <x:is>
          <x:t xml:space="preserve">400 x 306 cm</x:t>
        </x:is>
      </x:c>
      <x:c r="B382" s="6" t="inlineStr">
        <x:is>
          <x:t xml:space="preserve">ZP</x:t>
        </x:is>
      </x:c>
      <x:c r="C382" s="6" t="inlineStr">
        <x:is>
          <x:t xml:space="preserve">Zadaszenie poliwęglan - baza</x:t>
        </x:is>
      </x:c>
      <x:c r="D382" s="6" t="inlineStr">
        <x:is>
          <x:t xml:space="preserve">ZADASZENIE POLIWĘGLAN</x:t>
        </x:is>
      </x:c>
      <x:c r="E382" s="8" t="n">
        <x:f>IFERROR(INDEX('02_RAW_INDEX'!$D:$D,MATCH($A382,'02_RAW_INDEX'!$A:$A,0)),"")</x:f>
        <x:v>4073</x:v>
      </x:c>
      <x:c r="F382" s="8" t="n">
        <x:f>IFERROR(INDEX('02_RAW_INDEX'!$C:$C,MATCH($A382,'02_RAW_INDEX'!$A:$A,0)),"")</x:f>
        <x:v>5010</x:v>
      </x:c>
      <x:c r="G382" s="7" t="n">
        <x:f>'01_Ustawienia'!$B$6</x:f>
        <x:v>0</x:v>
      </x:c>
      <x:c r="H382" s="8" t="n">
        <x:f>IF(E382="","",ROUND(IF('01_Ustawienia'!$B$5="BRUTTO",F382,E382)*(1-G382),0))</x:f>
        <x:v>4073</x:v>
      </x:c>
      <x:c r="I382" s="7" t="n">
        <x:f>IFERROR(IFERROR(INDEX('01_Ustawienia'!$B$15:$B$33,MATCH(B382,'01_Ustawienia'!$A$15:$A$33,0)),0.45),0.45)</x:f>
        <x:v>0.45</x:v>
      </x:c>
      <x:c r="J382" s="8" t="n">
        <x:f>IF(H382="","",ROUND(H382*(1+I382),0))</x:f>
        <x:v>5906</x:v>
      </x:c>
      <x:c r="K382" s="8" t="n">
        <x:f>IFERROR(IFERROR(INDEX(EG_Cennik_uslug!$F:$F,MATCH($A382,EG_Cennik_uslug!$A:$A,0)),0),0)</x:f>
        <x:v>2750</x:v>
      </x:c>
      <x:c r="L382" s="8" t="n">
        <x:f>IFERROR(IFERROR(INDEX(EG_Cennik_uslug!$G:$G,MATCH($A382,EG_Cennik_uslug!$A:$A,0)),0),0)</x:f>
        <x:v>820</x:v>
      </x:c>
      <x:c r="M382" s="7" t="n">
        <x:f>IF('01_Ustawienia'!$B$4="ZWOLNIONY",0,'01_Ustawienia'!$B$7)</x:f>
        <x:v>0.08</x:v>
      </x:c>
      <x:c r="N382" s="8" t="n">
        <x:f>IF(J382="","",ROUND((J382+K382)*(1+M382),0))</x:f>
        <x:v>9348</x:v>
      </x:c>
      <x:c r="O382" s="8" t="n">
        <x:f>IF(J382="","",J382+K382-H382-L382)</x:f>
        <x:v>3763</x:v>
      </x:c>
      <x:c r="P382" s="7" t="n">
        <x:f>IFERROR(O382/(J382+K382),"")</x:f>
        <x:v>0.43472735674676527</x:v>
      </x:c>
      <x:c r="Q382" s="6" t="inlineStr">
        <x:is>
          <x:t xml:space="preserve">RAW_ZP B/C</x:t>
        </x:is>
      </x:c>
      <x:c r="R382" s="6" t="inlineStr">
        <x:is>
          <x:t xml:space="preserve">ZADASZENIE TARASU KONSTRUKCJA</x:t>
        </x:is>
      </x:c>
      <x:c r="S382" s="6" t="inlineStr">
        <x:is>
          <x:t xml:space="preserve">website+crm</x:t>
        </x:is>
      </x:c>
      <x:c r="T382" s="6" t="inlineStr">
        <x:is>
          <x:t xml:space="preserve">Baza dla kalkulatora</x:t>
        </x:is>
      </x:c>
    </x:row>
    <x:row r="383" s="655" customFormat="1" ht="30" customHeight="1">
      <x:c r="A383" s="6" t="inlineStr">
        <x:is>
          <x:t xml:space="preserve">400 x 306 cm</x:t>
        </x:is>
      </x:c>
      <x:c r="B383" s="6" t="inlineStr">
        <x:is>
          <x:t xml:space="preserve">ZS</x:t>
        </x:is>
      </x:c>
      <x:c r="C383" s="6" t="inlineStr">
        <x:is>
          <x:t xml:space="preserve">Zadaszenie szkło - pełna konstrukcja</x:t>
        </x:is>
      </x:c>
      <x:c r="D383" s="6" t="inlineStr">
        <x:is>
          <x:t xml:space="preserve">ZADASZENIE SZKŁO</x:t>
        </x:is>
      </x:c>
      <x:c r="E383" s="8" t="n">
        <x:f>IFERROR(INDEX('02_RAW_INDEX'!$V:$V,MATCH($A383,'02_RAW_INDEX'!$A:$A,0)),"")</x:f>
        <x:v>6602</x:v>
      </x:c>
      <x:c r="F383" s="8" t="n">
        <x:f>IFERROR(INDEX('02_RAW_INDEX'!$U:$U,MATCH($A383,'02_RAW_INDEX'!$A:$A,0)),"")</x:f>
        <x:v>8120</x:v>
      </x:c>
      <x:c r="G383" s="7" t="n">
        <x:f>'01_Ustawienia'!$B$6</x:f>
        <x:v>0</x:v>
      </x:c>
      <x:c r="H383" s="8" t="n">
        <x:f>IF(E383="","",ROUND(IF('01_Ustawienia'!$B$5="BRUTTO",F383,E383)*(1-G383),0))</x:f>
        <x:v>6602</x:v>
      </x:c>
      <x:c r="I383" s="7" t="n">
        <x:f>IFERROR(IFERROR(INDEX('01_Ustawienia'!$B$15:$B$33,MATCH(B383,'01_Ustawienia'!$A$15:$A$33,0)),0.45),0.45)</x:f>
        <x:v>0.45</x:v>
      </x:c>
      <x:c r="J383" s="8" t="n">
        <x:f>IF(H383="","",ROUND(H383*(1+I383),0))</x:f>
        <x:v>9573</x:v>
      </x:c>
      <x:c r="K383" s="8" t="n">
        <x:f>IFERROR(IFERROR(INDEX(EG_Cennik_uslug!$F:$F,MATCH($A383,EG_Cennik_uslug!$A:$A,0)),0),0)</x:f>
        <x:v>2750</x:v>
      </x:c>
      <x:c r="L383" s="8" t="n">
        <x:f>IFERROR(IFERROR(INDEX(EG_Cennik_uslug!$G:$G,MATCH($A383,EG_Cennik_uslug!$A:$A,0)),0),0)</x:f>
        <x:v>820</x:v>
      </x:c>
      <x:c r="M383" s="7" t="n">
        <x:f>IF('01_Ustawienia'!$B$4="ZWOLNIONY",0,'01_Ustawienia'!$B$7)</x:f>
        <x:v>0.08</x:v>
      </x:c>
      <x:c r="N383" s="8" t="n">
        <x:f>IF(J383="","",ROUND((J383+K383)*(1+M383),0))</x:f>
        <x:v>13309</x:v>
      </x:c>
      <x:c r="O383" s="8" t="n">
        <x:f>IF(J383="","",J383+K383-H383-L383)</x:f>
        <x:v>4901</x:v>
      </x:c>
      <x:c r="P383" s="7" t="n">
        <x:f>IFERROR(O383/(J383+K383),"")</x:f>
        <x:v>0.39771159620222346</x:v>
      </x:c>
      <x:c r="Q383" s="6" t="inlineStr">
        <x:is>
          <x:t xml:space="preserve">RAW_ZS B/C</x:t>
        </x:is>
      </x:c>
      <x:c r="R383" s="6" t="inlineStr">
        <x:is>
          <x:t xml:space="preserve">ZADASZENIE TARASU KONSTRUKCJA</x:t>
        </x:is>
      </x:c>
      <x:c r="S383" s="6" t="inlineStr">
        <x:is>
          <x:t xml:space="preserve">crm_only</x:t>
        </x:is>
      </x:c>
      <x:c r="T383" s="6" t="inlineStr">
        <x:is>
          <x:t xml:space="preserve">Referencyjne/full; strona zwykle używa ZP + PDS</x:t>
        </x:is>
      </x:c>
    </x:row>
    <x:row r="384" s="655" customFormat="1" ht="30" customHeight="1">
      <x:c r="A384" s="6" t="inlineStr">
        <x:is>
          <x:t xml:space="preserve">400 x 306 cm</x:t>
        </x:is>
      </x:c>
      <x:c r="B384" s="6" t="inlineStr">
        <x:is>
          <x:t xml:space="preserve">OP</x:t>
        </x:is>
      </x:c>
      <x:c r="C384" s="6" t="inlineStr">
        <x:is>
          <x:t xml:space="preserve">Ogród zimowy poliwęglan - baza</x:t>
        </x:is>
      </x:c>
      <x:c r="D384" s="6" t="inlineStr">
        <x:is>
          <x:t xml:space="preserve">OGRODY POLIWĘGLAN</x:t>
        </x:is>
      </x:c>
      <x:c r="E384" s="8" t="n">
        <x:f>IFERROR(INDEX('02_RAW_INDEX'!$Z:$Z,MATCH($A384,'02_RAW_INDEX'!$A:$A,0)),"")</x:f>
        <x:v>14285</x:v>
      </x:c>
      <x:c r="F384" s="8" t="n">
        <x:f>IFERROR(INDEX('02_RAW_INDEX'!$Y:$Y,MATCH($A384,'02_RAW_INDEX'!$A:$A,0)),"")</x:f>
        <x:v>17570</x:v>
      </x:c>
      <x:c r="G384" s="7" t="n">
        <x:f>'01_Ustawienia'!$B$6</x:f>
        <x:v>0</x:v>
      </x:c>
      <x:c r="H384" s="8" t="n">
        <x:f>IF(E384="","",ROUND(IF('01_Ustawienia'!$B$5="BRUTTO",F384,E384)*(1-G384),0))</x:f>
        <x:v>14285</x:v>
      </x:c>
      <x:c r="I384" s="7" t="n">
        <x:f>IFERROR(IFERROR(INDEX('01_Ustawienia'!$B$15:$B$33,MATCH(B384,'01_Ustawienia'!$A$15:$A$33,0)),0.45),0.45)</x:f>
        <x:v>0.45</x:v>
      </x:c>
      <x:c r="J384" s="8" t="n">
        <x:f>IF(H384="","",ROUND(H384*(1+I384),0))</x:f>
        <x:v>20713</x:v>
      </x:c>
      <x:c r="K384" s="8" t="n">
        <x:f>IFERROR(IFERROR(INDEX(EG_Cennik_uslug!$N:$N,MATCH($A384,EG_Cennik_uslug!$A:$A,0)),0),0)</x:f>
        <x:v>3580</x:v>
      </x:c>
      <x:c r="L384" s="8" t="n">
        <x:f>IFERROR(IFERROR(INDEX(EG_Cennik_uslug!$O:$O,MATCH($A384,EG_Cennik_uslug!$A:$A,0)),0),0)</x:f>
        <x:v>1150</x:v>
      </x:c>
      <x:c r="M384" s="7" t="n">
        <x:f>IF('01_Ustawienia'!$B$4="ZWOLNIONY",0,'01_Ustawienia'!$B$7)</x:f>
        <x:v>0.08</x:v>
      </x:c>
      <x:c r="N384" s="8" t="n">
        <x:f>IF(J384="","",ROUND((J384+K384)*(1+M384),0))</x:f>
        <x:v>26236</x:v>
      </x:c>
      <x:c r="O384" s="8" t="n">
        <x:f>IF(J384="","",J384+K384-H384-L384)</x:f>
        <x:v>8858</x:v>
      </x:c>
      <x:c r="P384" s="7" t="n">
        <x:f>IFERROR(O384/(J384+K384),"")</x:f>
        <x:v>0.3646317869345079</x:v>
      </x:c>
      <x:c r="Q384" s="6" t="inlineStr">
        <x:is>
          <x:t xml:space="preserve">RAW_OP B/C</x:t>
        </x:is>
      </x:c>
      <x:c r="R384" s="6" t="inlineStr">
        <x:is>
          <x:t xml:space="preserve">OGRÓD ZIMOWY (KONSTRUKCJA)</x:t>
        </x:is>
      </x:c>
      <x:c r="S384" s="6" t="inlineStr">
        <x:is>
          <x:t xml:space="preserve">website+crm</x:t>
        </x:is>
      </x:c>
      <x:c r="T384" s="6" t="inlineStr">
        <x:is>
          <x:t xml:space="preserve">Do wyliczenia dopłaty za ściany</x:t>
        </x:is>
      </x:c>
    </x:row>
    <x:row r="385" s="655" customFormat="1" ht="30" customHeight="1">
      <x:c r="A385" s="6" t="inlineStr">
        <x:is>
          <x:t xml:space="preserve">400 x 306 cm</x:t>
        </x:is>
      </x:c>
      <x:c r="B385" s="6" t="inlineStr">
        <x:is>
          <x:t xml:space="preserve">OS</x:t>
        </x:is>
      </x:c>
      <x:c r="C385" s="6" t="inlineStr">
        <x:is>
          <x:t xml:space="preserve">Ogród zimowy szkło - pełna konstrukcja</x:t>
        </x:is>
      </x:c>
      <x:c r="D385" s="6" t="inlineStr">
        <x:is>
          <x:t xml:space="preserve">OGRODY SZKŁO</x:t>
        </x:is>
      </x:c>
      <x:c r="E385" s="8" t="n">
        <x:f>IFERROR(INDEX('02_RAW_INDEX'!$AL:$AL,MATCH($A385,'02_RAW_INDEX'!$A:$A,0)),"")</x:f>
        <x:v>16805</x:v>
      </x:c>
      <x:c r="F385" s="8" t="n">
        <x:f>IFERROR(INDEX('02_RAW_INDEX'!$AK:$AK,MATCH($A385,'02_RAW_INDEX'!$A:$A,0)),"")</x:f>
        <x:v>20670</x:v>
      </x:c>
      <x:c r="G385" s="7" t="n">
        <x:f>'01_Ustawienia'!$B$6</x:f>
        <x:v>0</x:v>
      </x:c>
      <x:c r="H385" s="8" t="n">
        <x:f>IF(E385="","",ROUND(IF('01_Ustawienia'!$B$5="BRUTTO",F385,E385)*(1-G385),0))</x:f>
        <x:v>16805</x:v>
      </x:c>
      <x:c r="I385" s="7" t="n">
        <x:f>IFERROR(IFERROR(INDEX('01_Ustawienia'!$B$15:$B$33,MATCH(B385,'01_Ustawienia'!$A$15:$A$33,0)),0.45),0.45)</x:f>
        <x:v>0.45</x:v>
      </x:c>
      <x:c r="J385" s="8" t="n">
        <x:f>IF(H385="","",ROUND(H385*(1+I385),0))</x:f>
        <x:v>24367</x:v>
      </x:c>
      <x:c r="K385" s="8" t="n">
        <x:f>IFERROR(IFERROR(INDEX(EG_Cennik_uslug!$N:$N,MATCH($A385,EG_Cennik_uslug!$A:$A,0)),0),0)</x:f>
        <x:v>3580</x:v>
      </x:c>
      <x:c r="L385" s="8" t="n">
        <x:f>IFERROR(IFERROR(INDEX(EG_Cennik_uslug!$O:$O,MATCH($A385,EG_Cennik_uslug!$A:$A,0)),0),0)</x:f>
        <x:v>1150</x:v>
      </x:c>
      <x:c r="M385" s="7" t="n">
        <x:f>IF('01_Ustawienia'!$B$4="ZWOLNIONY",0,'01_Ustawienia'!$B$7)</x:f>
        <x:v>0.08</x:v>
      </x:c>
      <x:c r="N385" s="8" t="n">
        <x:f>IF(J385="","",ROUND((J385+K385)*(1+M385),0))</x:f>
        <x:v>30183</x:v>
      </x:c>
      <x:c r="O385" s="8" t="n">
        <x:f>IF(J385="","",J385+K385-H385-L385)</x:f>
        <x:v>9992</x:v>
      </x:c>
      <x:c r="P385" s="7" t="n">
        <x:f>IFERROR(O385/(J385+K385),"")</x:f>
        <x:v>0.3575339034601209</x:v>
      </x:c>
      <x:c r="Q385" s="6" t="inlineStr">
        <x:is>
          <x:t xml:space="preserve">RAW_OS B/C</x:t>
        </x:is>
      </x:c>
      <x:c r="R385" s="6" t="inlineStr">
        <x:is>
          <x:t xml:space="preserve">OGRÓD ZIMOWY (KONSTRUKCJA)</x:t>
        </x:is>
      </x:c>
      <x:c r="S385" s="6" t="inlineStr">
        <x:is>
          <x:t xml:space="preserve">crm_only</x:t>
        </x:is>
      </x:c>
      <x:c r="T385" s="6" t="inlineStr">
        <x:is>
          <x:t xml:space="preserve">Referencyjne/full</x:t>
        </x:is>
      </x:c>
    </x:row>
    <x:row r="386" s="655" customFormat="1" ht="30" customHeight="1">
      <x:c r="A386" s="6" t="inlineStr">
        <x:is>
          <x:t xml:space="preserve">400 x 306 cm</x:t>
        </x:is>
      </x:c>
      <x:c r="B386" s="6" t="inlineStr">
        <x:is>
          <x:t xml:space="preserve">PDS</x:t>
        </x:is>
      </x:c>
      <x:c r="C386" s="6" t="inlineStr">
        <x:is>
          <x:t xml:space="preserve">Dopłata dach szkło przezroczyste</x:t>
        </x:is>
      </x:c>
      <x:c r="D386" s="6" t="inlineStr">
        <x:is>
          <x:t xml:space="preserve">POKRYCIE DACHU SZKŁO</x:t>
        </x:is>
      </x:c>
      <x:c r="E386" s="8" t="n">
        <x:f>IFERROR(IFERROR(INDEX('02_RAW_INDEX'!$V:$V,MATCH($A386,'02_RAW_INDEX'!$A:$A,0)),"")-IFERROR(INDEX('02_RAW_INDEX'!$D:$D,MATCH($A386,'02_RAW_INDEX'!$A:$A,0)),""),"")</x:f>
        <x:v>2529</x:v>
      </x:c>
      <x:c r="F386" s="8" t="n">
        <x:f>IFERROR(IFERROR(INDEX('02_RAW_INDEX'!$U:$U,MATCH($A386,'02_RAW_INDEX'!$A:$A,0)),"")-IFERROR(INDEX('02_RAW_INDEX'!$C:$C,MATCH($A386,'02_RAW_INDEX'!$A:$A,0)),""),"")</x:f>
        <x:v>3110</x:v>
      </x:c>
      <x:c r="G386" s="7" t="n">
        <x:f>'01_Ustawienia'!$B$6</x:f>
        <x:v>0</x:v>
      </x:c>
      <x:c r="H386" s="8" t="n">
        <x:f>IF(E386="","",ROUND(IF('01_Ustawienia'!$B$5="BRUTTO",F386,E386)*(1-G386),0))</x:f>
        <x:v>2529</x:v>
      </x:c>
      <x:c r="I386" s="7" t="n">
        <x:f>IFERROR(IFERROR(INDEX('01_Ustawienia'!$B$15:$B$33,MATCH(B386,'01_Ustawienia'!$A$15:$A$33,0)),0.45),0.45)</x:f>
        <x:v>0.45</x:v>
      </x:c>
      <x:c r="J386" s="8" t="n">
        <x:f>IF(H386="","",ROUND(H386*(1+I386),0))</x:f>
        <x:v>3667</x:v>
      </x:c>
      <x:c r="K386" s="8" t="n">
        <x:f>0</x:f>
        <x:v>0</x:v>
      </x:c>
      <x:c r="L386" s="8" t="n">
        <x:v>0</x:v>
      </x:c>
      <x:c r="M386" s="7" t="n">
        <x:f>IF('01_Ustawienia'!$B$4="ZWOLNIONY",0,'01_Ustawienia'!$B$7)</x:f>
        <x:v>0.08</x:v>
      </x:c>
      <x:c r="N386" s="8" t="n">
        <x:f>IF(J386="","",ROUND((J386+K386)*(1+M386),0))</x:f>
        <x:v>3960</x:v>
      </x:c>
      <x:c r="O386" s="8" t="n">
        <x:f>IF(J386="","",J386+K386-H386-L386)</x:f>
        <x:v>1138</x:v>
      </x:c>
      <x:c r="P386" s="7" t="n">
        <x:f>IFERROR(O386/(J386+K386),"")</x:f>
        <x:v>0.31033542405235887</x:v>
      </x:c>
      <x:c r="Q386" s="6" t="inlineStr">
        <x:is>
          <x:t xml:space="preserve">RAW_ZS - RAW_ZP</x:t>
        </x:is>
      </x:c>
      <x:c r="R386" s="6" t="inlineStr">
        <x:is>
          <x:t xml:space="preserve">POKRYCIE DACHU</x:t>
        </x:is>
      </x:c>
      <x:c r="S386" s="6" t="inlineStr">
        <x:is>
          <x:t xml:space="preserve">website+crm</x:t>
        </x:is>
      </x:c>
      <x:c r="T386" s="6" t="inlineStr">
        <x:is>
          <x:t xml:space="preserve">Dopłata do bazowego dachu poliwęglan | FIX17: Wynagr.+koszty = 0 dla dopłaty; nie jest osobnym montażem ekipy.</x:t>
        </x:is>
      </x:c>
    </x:row>
    <x:row r="387" s="655" customFormat="1" ht="30" customHeight="1">
      <x:c r="A387" s="6" t="inlineStr">
        <x:is>
          <x:t xml:space="preserve">400 x 306 cm</x:t>
        </x:is>
      </x:c>
      <x:c r="B387" s="6" t="inlineStr">
        <x:is>
          <x:t xml:space="preserve">PDSB</x:t>
        </x:is>
      </x:c>
      <x:c r="C387" s="6" t="inlineStr">
        <x:is>
          <x:t xml:space="preserve">Dopłata dach szkło barwione/mleczne</x:t>
        </x:is>
      </x:c>
      <x:c r="D387" s="6" t="inlineStr">
        <x:is>
          <x:t xml:space="preserve">POKRYCIE DACHU SZKŁO BARWIONE</x:t>
        </x:is>
      </x:c>
      <x:c r="E387" s="8" t="n">
        <x:f>IFERROR(INDEX('02_RAW_INDEX'!$X:$X,MATCH($A387,'02_RAW_INDEX'!$A:$A,0)),"")</x:f>
        <x:v>285</x:v>
      </x:c>
      <x:c r="F387" s="8" t="n">
        <x:f>IFERROR(INDEX('02_RAW_INDEX'!$W:$W,MATCH($A387,'02_RAW_INDEX'!$A:$A,0)),"")</x:f>
        <x:v>350</x:v>
      </x:c>
      <x:c r="G387" s="7" t="n">
        <x:f>'01_Ustawienia'!$B$6</x:f>
        <x:v>0</x:v>
      </x:c>
      <x:c r="H387" s="8" t="n">
        <x:f>IF(E387="","",ROUND(IF('01_Ustawienia'!$B$5="BRUTTO",F387,E387)*(1-G387),0))</x:f>
        <x:v>285</x:v>
      </x:c>
      <x:c r="I387" s="7" t="n">
        <x:f>IFERROR(IFERROR(INDEX('01_Ustawienia'!$B$15:$B$33,MATCH(B387,'01_Ustawienia'!$A$15:$A$33,0)),0.45),0.45)</x:f>
        <x:v>0.45</x:v>
      </x:c>
      <x:c r="J387" s="8" t="n">
        <x:f>IF(H387="","",ROUND(H387*(1+I387),0))</x:f>
        <x:v>413</x:v>
      </x:c>
      <x:c r="K387" s="8" t="n">
        <x:f>0</x:f>
        <x:v>0</x:v>
      </x:c>
      <x:c r="L387" s="8" t="n">
        <x:v>0</x:v>
      </x:c>
      <x:c r="M387" s="7" t="n">
        <x:f>IF('01_Ustawienia'!$B$4="ZWOLNIONY",0,'01_Ustawienia'!$B$7)</x:f>
        <x:v>0.08</x:v>
      </x:c>
      <x:c r="N387" s="8" t="n">
        <x:f>IF(J387="","",ROUND((J387+K387)*(1+M387),0))</x:f>
        <x:v>446</x:v>
      </x:c>
      <x:c r="O387" s="8" t="n">
        <x:f>IF(J387="","",J387+K387-H387-L387)</x:f>
        <x:v>128</x:v>
      </x:c>
      <x:c r="P387" s="7" t="n">
        <x:f>IFERROR(O387/(J387+K387),"")</x:f>
        <x:v>0.3099273607748184</x:v>
      </x:c>
      <x:c r="Q387" s="6" t="inlineStr">
        <x:is>
          <x:t xml:space="preserve">RAW_ZS D/E</x:t>
        </x:is>
      </x:c>
      <x:c r="R387" s="6" t="inlineStr">
        <x:is>
          <x:t xml:space="preserve">POKRYCIE DACHU</x:t>
        </x:is>
      </x:c>
      <x:c r="S387" s="6" t="inlineStr">
        <x:is>
          <x:t xml:space="preserve">website+crm</x:t>
        </x:is>
      </x:c>
      <x:c r="T387" s="6" t="inlineStr">
        <x:is>
          <x:t xml:space="preserve">Dodawane do PDS | FIX17: Wynagr.+koszty = 0 dla dopłaty; nie jest osobnym montażem ekipy.</x:t>
        </x:is>
      </x:c>
    </x:row>
    <x:row r="388" s="655" customFormat="1" ht="30" customHeight="1">
      <x:c r="A388" s="6" t="inlineStr">
        <x:is>
          <x:t xml:space="preserve">400 x 306 cm</x:t>
        </x:is>
      </x:c>
      <x:c r="B388" s="6" t="inlineStr">
        <x:is>
          <x:t xml:space="preserve">PDPB</x:t>
        </x:is>
      </x:c>
      <x:c r="C388" s="6" t="inlineStr">
        <x:is>
          <x:t xml:space="preserve">Dopłata poliwęglan barwiony</x:t>
        </x:is>
      </x:c>
      <x:c r="D388" s="6" t="inlineStr">
        <x:is>
          <x:t xml:space="preserve">POKRYCIE DACHU POLIWĘGLAN BARWIONY</x:t>
        </x:is>
      </x:c>
      <x:c r="E388" s="8" t="n">
        <x:f>IFERROR(INDEX('02_RAW_INDEX'!$F:$F,MATCH($A388,'02_RAW_INDEX'!$A:$A,0)),"")</x:f>
        <x:v>138</x:v>
      </x:c>
      <x:c r="F388" s="8" t="n">
        <x:f>IFERROR(INDEX('02_RAW_INDEX'!$E:$E,MATCH($A388,'02_RAW_INDEX'!$A:$A,0)),"")</x:f>
        <x:v>170</x:v>
      </x:c>
      <x:c r="G388" s="7" t="n">
        <x:f>'01_Ustawienia'!$B$6</x:f>
        <x:v>0</x:v>
      </x:c>
      <x:c r="H388" s="8" t="n">
        <x:f>IF(E388="","",ROUND(IF('01_Ustawienia'!$B$5="BRUTTO",F388,E388)*(1-G388),0))</x:f>
        <x:v>138</x:v>
      </x:c>
      <x:c r="I388" s="7" t="n">
        <x:f>IFERROR(IFERROR(INDEX('01_Ustawienia'!$B$15:$B$33,MATCH(B388,'01_Ustawienia'!$A$15:$A$33,0)),0.45),0.45)</x:f>
        <x:v>0.45</x:v>
      </x:c>
      <x:c r="J388" s="8" t="n">
        <x:f>IF(H388="","",ROUND(H388*(1+I388),0))</x:f>
        <x:v>200</x:v>
      </x:c>
      <x:c r="K388" s="8" t="n">
        <x:f>0</x:f>
        <x:v>0</x:v>
      </x:c>
      <x:c r="L388" s="8" t="n">
        <x:v>0</x:v>
      </x:c>
      <x:c r="M388" s="7" t="n">
        <x:f>IF('01_Ustawienia'!$B$4="ZWOLNIONY",0,'01_Ustawienia'!$B$7)</x:f>
        <x:v>0.08</x:v>
      </x:c>
      <x:c r="N388" s="8" t="n">
        <x:f>IF(J388="","",ROUND((J388+K388)*(1+M388),0))</x:f>
        <x:v>216</x:v>
      </x:c>
      <x:c r="O388" s="8" t="n">
        <x:f>IF(J388="","",J388+K388-H388-L388)</x:f>
        <x:v>62</x:v>
      </x:c>
      <x:c r="P388" s="7" t="n">
        <x:f>IFERROR(O388/(J388+K388),"")</x:f>
        <x:v>0.31</x:v>
      </x:c>
      <x:c r="Q388" s="6" t="inlineStr">
        <x:is>
          <x:t xml:space="preserve">RAW_ZP D/E</x:t>
        </x:is>
      </x:c>
      <x:c r="R388" s="6" t="inlineStr">
        <x:is>
          <x:t xml:space="preserve">POKRYCIE DACHU</x:t>
        </x:is>
      </x:c>
      <x:c r="S388" s="6" t="inlineStr">
        <x:is>
          <x:t xml:space="preserve">website+crm</x:t>
        </x:is>
      </x:c>
      <x:c r="T388" s="6" t="inlineStr">
        <x:is>
          <x:t xml:space="preserve">FIX17: Wynagr.+koszty = 0 dla dopłaty; nie jest osobnym montażem ekipy.</x:t>
        </x:is>
      </x:c>
    </x:row>
    <x:row r="389" s="655" customFormat="1" ht="30" customHeight="1">
      <x:c r="A389" s="6" t="inlineStr">
        <x:is>
          <x:t xml:space="preserve">400 x 306 cm</x:t>
        </x:is>
      </x:c>
      <x:c r="B389" s="6" t="inlineStr">
        <x:is>
          <x:t xml:space="preserve">SBB</x:t>
        </x:is>
      </x:c>
      <x:c r="C389" s="6" t="inlineStr">
        <x:is>
          <x:t xml:space="preserve">Dopłata szkło boczne przyciemniane</x:t>
        </x:is>
      </x:c>
      <x:c r="D389" s="6" t="inlineStr">
        <x:is>
          <x:t xml:space="preserve">SZKŁO BOCZNE BARWIONE</x:t>
        </x:is>
      </x:c>
      <x:c r="E389" s="8" t="n">
        <x:f>IFERROR(INDEX('02_RAW_INDEX'!$AB:$AB,MATCH($A389,'02_RAW_INDEX'!$A:$A,0)),"")</x:f>
        <x:v>1073</x:v>
      </x:c>
      <x:c r="F389" s="8" t="n">
        <x:f>IFERROR(INDEX('02_RAW_INDEX'!$AA:$AA,MATCH($A389,'02_RAW_INDEX'!$A:$A,0)),"")</x:f>
        <x:v>1320</x:v>
      </x:c>
      <x:c r="G389" s="7" t="n">
        <x:f>'01_Ustawienia'!$B$6</x:f>
        <x:v>0</x:v>
      </x:c>
      <x:c r="H389" s="8" t="n">
        <x:f>IF(E389="","",ROUND(IF('01_Ustawienia'!$B$5="BRUTTO",F389,E389)*(1-G389),0))</x:f>
        <x:v>1073</x:v>
      </x:c>
      <x:c r="I389" s="7" t="n">
        <x:f>IFERROR(IFERROR(INDEX('01_Ustawienia'!$B$15:$B$33,MATCH(B389,'01_Ustawienia'!$A$15:$A$33,0)),0.45),0.45)</x:f>
        <x:v>0.45</x:v>
      </x:c>
      <x:c r="J389" s="8" t="n">
        <x:f>IF(H389="","",ROUND(H389*(1+I389),0))</x:f>
        <x:v>1556</x:v>
      </x:c>
      <x:c r="K389" s="8" t="n">
        <x:f>0</x:f>
        <x:v>0</x:v>
      </x:c>
      <x:c r="L389" s="8" t="n">
        <x:v>0</x:v>
      </x:c>
      <x:c r="M389" s="7" t="n">
        <x:f>IF('01_Ustawienia'!$B$4="ZWOLNIONY",0,'01_Ustawienia'!$B$7)</x:f>
        <x:v>0.08</x:v>
      </x:c>
      <x:c r="N389" s="8" t="n">
        <x:f>IF(J389="","",ROUND((J389+K389)*(1+M389),0))</x:f>
        <x:v>1680</x:v>
      </x:c>
      <x:c r="O389" s="8" t="n">
        <x:f>IF(J389="","",J389+K389-H389-L389)</x:f>
        <x:v>483</x:v>
      </x:c>
      <x:c r="P389" s="7" t="n">
        <x:f>IFERROR(O389/(J389+K389),"")</x:f>
        <x:v>0.31041131105398456</x:v>
      </x:c>
      <x:c r="Q389" s="6" t="inlineStr">
        <x:is>
          <x:t xml:space="preserve">RAW_OP H/I</x:t>
        </x:is>
      </x:c>
      <x:c r="R389" s="6" t="inlineStr">
        <x:is>
          <x:t xml:space="preserve">SZYBY BOCZNE</x:t>
        </x:is>
      </x:c>
      <x:c r="S389" s="6" t="inlineStr">
        <x:is>
          <x:t xml:space="preserve">website+crm</x:t>
        </x:is>
      </x:c>
      <x:c r="T389" s="6" t="inlineStr">
        <x:is>
          <x:t xml:space="preserve">Dodawane do ścian przezroczystych | FIX17: Wynagr.+koszty = 0 dla dopłaty; nie jest osobnym montażem ekipy.</x:t>
        </x:is>
      </x:c>
    </x:row>
    <x:row r="390">
      <x:c r="A390" s="6" t="inlineStr">
        <x:is>
          <x:t xml:space="preserve">400 x 306 cm</x:t>
        </x:is>
      </x:c>
      <x:c r="B390" s="6" t="inlineStr">
        <x:is>
          <x:t xml:space="preserve">RB</x:t>
        </x:is>
      </x:c>
      <x:c r="C390" s="6" t="inlineStr">
        <x:is>
          <x:t xml:space="preserve">Roleta boczna ZIP</x:t>
        </x:is>
      </x:c>
      <x:c r="D390" s="6" t="inlineStr">
        <x:is>
          <x:t xml:space="preserve">ROLETA BOCZNA</x:t>
        </x:is>
      </x:c>
      <x:c r="E390" s="8" t="n">
        <x:f>IFERROR(INDEX('02_RAW_INDEX'!$J:$J,MATCH($A390,'02_RAW_INDEX'!$A:$A,0)),"")</x:f>
        <x:v>2146</x:v>
      </x:c>
      <x:c r="F390" s="8" t="n">
        <x:f>IFERROR(INDEX('02_RAW_INDEX'!$I:$I,MATCH($A390,'02_RAW_INDEX'!$A:$A,0)),"")</x:f>
        <x:v>2640</x:v>
      </x:c>
      <x:c r="G390" s="7" t="n">
        <x:f>'01_Ustawienia'!$B$6</x:f>
        <x:v>0</x:v>
      </x:c>
      <x:c r="H390" s="8" t="n">
        <x:f>IF(E390="","",ROUND(IF('01_Ustawienia'!$B$5="BRUTTO",F390,E390)*(1-G390),0))</x:f>
        <x:v>2146</x:v>
      </x:c>
      <x:c r="I390" s="7" t="n">
        <x:f>IFERROR(IFERROR(INDEX('01_Ustawienia'!$B$15:$B$33,MATCH(B390,'01_Ustawienia'!$A$15:$A$33,0)),0.45),0.45)</x:f>
        <x:v>0.45</x:v>
      </x:c>
      <x:c r="J390" s="8" t="n">
        <x:f>IF(H390="","",ROUND(H390*(1+I390),0))</x:f>
        <x:v>3112</x:v>
      </x:c>
      <x:c r="K390" s="8" t="n">
        <x:f>0</x:f>
        <x:v>0</x:v>
      </x:c>
      <x:c r="L390" s="8" t="n">
        <x:f>IFERROR(IFERROR(INDEX(EG_Cennik_uslug!$AC:$AC,MATCH($A390,EG_Cennik_uslug!$A:$A,0)),0),0)</x:f>
        <x:v>150</x:v>
      </x:c>
      <x:c r="M390" s="7" t="n">
        <x:f>IF('01_Ustawienia'!$B$4="ZWOLNIONY",0,'01_Ustawienia'!$B$7)</x:f>
        <x:v>0.08</x:v>
      </x:c>
      <x:c r="N390" s="8" t="n">
        <x:f>IF(J390="","",ROUND((J390+K390)*(1+M390),0))</x:f>
        <x:v>3361</x:v>
      </x:c>
      <x:c r="O390" s="8" t="n">
        <x:f>IF(J390="","",J390+K390-H390-L390)</x:f>
        <x:v>816</x:v>
      </x:c>
      <x:c r="P390" s="7" t="n">
        <x:f>IFERROR(O390/(J390+K390),"")</x:f>
        <x:v>0.2622107969151671</x:v>
      </x:c>
      <x:c r="Q390" s="6" t="inlineStr">
        <x:is>
          <x:t xml:space="preserve">RAW_ZP J/K</x:t>
        </x:is>
      </x:c>
      <x:c r="R390" s="6" t="inlineStr">
        <x:is>
          <x:t xml:space="preserve">ROLETY BOCZNE</x:t>
        </x:is>
      </x:c>
      <x:c r="S390" s="6" t="inlineStr">
        <x:is>
          <x:t xml:space="preserve">website+crm</x:t>
        </x:is>
      </x:c>
      <x:c r="T390" s="6" t="inlineStr">
        <x:is>
          <x:t xml:space="preserve">Używana dla lewej i prawej</x:t>
        </x:is>
      </x:c>
    </x:row>
    <x:row r="391">
      <x:c r="A391" s="6" t="inlineStr">
        <x:is>
          <x:t xml:space="preserve">400 x 306 cm</x:t>
        </x:is>
      </x:c>
      <x:c r="B391" s="6" t="inlineStr">
        <x:is>
          <x:t xml:space="preserve">RP</x:t>
        </x:is>
      </x:c>
      <x:c r="C391" s="6" t="inlineStr">
        <x:is>
          <x:t xml:space="preserve">Roleta przednia ZIP</x:t>
        </x:is>
      </x:c>
      <x:c r="D391" s="6" t="inlineStr">
        <x:is>
          <x:t xml:space="preserve">ROLETA PRZÓD</x:t>
        </x:is>
      </x:c>
      <x:c r="E391" s="8" t="n">
        <x:f>IFERROR(INDEX('02_RAW_INDEX'!$L:$L,MATCH($A391,'02_RAW_INDEX'!$A:$A,0)),"")</x:f>
        <x:v>1740</x:v>
      </x:c>
      <x:c r="F391" s="8" t="n">
        <x:f>IFERROR(INDEX('02_RAW_INDEX'!$K:$K,MATCH($A391,'02_RAW_INDEX'!$A:$A,0)),"")</x:f>
        <x:v>2140</x:v>
      </x:c>
      <x:c r="G391" s="7" t="n">
        <x:f>'01_Ustawienia'!$B$6</x:f>
        <x:v>0</x:v>
      </x:c>
      <x:c r="H391" s="8" t="n">
        <x:f>IF(E391="","",ROUND(IF('01_Ustawienia'!$B$5="BRUTTO",F391,E391)*(1-G391),0))</x:f>
        <x:v>1740</x:v>
      </x:c>
      <x:c r="I391" s="7" t="n">
        <x:f>IFERROR(IFERROR(INDEX('01_Ustawienia'!$B$15:$B$33,MATCH(B391,'01_Ustawienia'!$A$15:$A$33,0)),0.45),0.45)</x:f>
        <x:v>0.45</x:v>
      </x:c>
      <x:c r="J391" s="8" t="n">
        <x:f>IF(H391="","",ROUND(H391*(1+I391),0))</x:f>
        <x:v>2523</x:v>
      </x:c>
      <x:c r="K391" s="8" t="n">
        <x:f>0</x:f>
        <x:v>0</x:v>
      </x:c>
      <x:c r="L391" s="8" t="n">
        <x:f>IFERROR(IFERROR(INDEX(EG_Cennik_uslug!$AJ:$AJ,MATCH($A391,EG_Cennik_uslug!$A:$A,0)),0),0)</x:f>
        <x:v>150</x:v>
      </x:c>
      <x:c r="M391" s="7" t="n">
        <x:f>IF('01_Ustawienia'!$B$4="ZWOLNIONY",0,'01_Ustawienia'!$B$7)</x:f>
        <x:v>0.08</x:v>
      </x:c>
      <x:c r="N391" s="8" t="n">
        <x:f>IF(J391="","",ROUND((J391+K391)*(1+M391),0))</x:f>
        <x:v>2725</x:v>
      </x:c>
      <x:c r="O391" s="8" t="n">
        <x:f>IF(J391="","",J391+K391-H391-L391)</x:f>
        <x:v>633</x:v>
      </x:c>
      <x:c r="P391" s="7" t="n">
        <x:f>IFERROR(O391/(J391+K391),"")</x:f>
        <x:v>0.25089179548156954</x:v>
      </x:c>
      <x:c r="Q391" s="6" t="inlineStr">
        <x:is>
          <x:t xml:space="preserve">RAW_ZP N/O</x:t>
        </x:is>
      </x:c>
      <x:c r="R391" s="6" t="inlineStr">
        <x:is>
          <x:t xml:space="preserve">ROLETY BOCZNE</x:t>
        </x:is>
      </x:c>
      <x:c r="S391" s="6" t="inlineStr">
        <x:is>
          <x:t xml:space="preserve">website+crm</x:t>
        </x:is>
      </x:c>
      <x:c r="T391" s="6" t="n"/>
    </x:row>
    <x:row r="392">
      <x:c r="A392" s="6" t="inlineStr">
        <x:is>
          <x:t xml:space="preserve">400 x 306 cm</x:t>
        </x:is>
      </x:c>
      <x:c r="B392" s="6" t="inlineStr">
        <x:is>
          <x:t xml:space="preserve">M</x:t>
        </x:is>
      </x:c>
      <x:c r="C392" s="6" t="inlineStr">
        <x:is>
          <x:t xml:space="preserve">Markiza dachowa</x:t>
        </x:is>
      </x:c>
      <x:c r="D392" s="6" t="inlineStr">
        <x:is>
          <x:t xml:space="preserve">MARKIZA</x:t>
        </x:is>
      </x:c>
      <x:c r="E392" s="8" t="n">
        <x:f>IFERROR(INDEX('02_RAW_INDEX'!$H:$H,MATCH($A392,'02_RAW_INDEX'!$A:$A,0)),"")</x:f>
        <x:v>3276</x:v>
      </x:c>
      <x:c r="F392" s="8" t="n">
        <x:f>IFERROR(INDEX('02_RAW_INDEX'!$G:$G,MATCH($A392,'02_RAW_INDEX'!$A:$A,0)),"")</x:f>
        <x:v>4030</x:v>
      </x:c>
      <x:c r="G392" s="7" t="n">
        <x:f>'01_Ustawienia'!$B$6</x:f>
        <x:v>0</x:v>
      </x:c>
      <x:c r="H392" s="8" t="n">
        <x:f>IF(E392="","",ROUND(IF('01_Ustawienia'!$B$5="BRUTTO",F392,E392)*(1-G392),0))</x:f>
        <x:v>3276</x:v>
      </x:c>
      <x:c r="I392" s="7" t="n">
        <x:f>IFERROR(IFERROR(INDEX('01_Ustawienia'!$B$15:$B$33,MATCH(B392,'01_Ustawienia'!$A$15:$A$33,0)),0.45),0.45)</x:f>
        <x:v>0.45</x:v>
      </x:c>
      <x:c r="J392" s="8" t="n">
        <x:f>IF(H392="","",ROUND(H392*(1+I392),0))</x:f>
        <x:v>4750</x:v>
      </x:c>
      <x:c r="K392" s="8" t="n">
        <x:f>0</x:f>
        <x:v>0</x:v>
      </x:c>
      <x:c r="L392" s="8" t="n">
        <x:f>IFERROR(IFERROR(INDEX(EG_Cennik_uslug!$AQ:$AQ,MATCH($A392,EG_Cennik_uslug!$A:$A,0)),0),0)</x:f>
        <x:v>200</x:v>
      </x:c>
      <x:c r="M392" s="7" t="n">
        <x:f>IF('01_Ustawienia'!$B$4="ZWOLNIONY",0,'01_Ustawienia'!$B$7)</x:f>
        <x:v>0.08</x:v>
      </x:c>
      <x:c r="N392" s="8" t="n">
        <x:f>IF(J392="","",ROUND((J392+K392)*(1+M392),0))</x:f>
        <x:v>5130</x:v>
      </x:c>
      <x:c r="O392" s="8" t="n">
        <x:f>IF(J392="","",J392+K392-H392-L392)</x:f>
        <x:v>1274</x:v>
      </x:c>
      <x:c r="P392" s="7" t="n">
        <x:f>IFERROR(O392/(J392+K392),"")</x:f>
        <x:v>0.26821052631578945</x:v>
      </x:c>
      <x:c r="Q392" s="6" t="inlineStr">
        <x:is>
          <x:t xml:space="preserve">RAW_ZP H/I</x:t>
        </x:is>
      </x:c>
      <x:c r="R392" s="6" t="inlineStr">
        <x:is>
          <x:t xml:space="preserve">MARKIZA</x:t>
        </x:is>
      </x:c>
      <x:c r="S392" s="6" t="inlineStr">
        <x:is>
          <x:t xml:space="preserve">website+crm</x:t>
        </x:is>
      </x:c>
      <x:c r="T392" s="6" t="n"/>
    </x:row>
    <x:row r="393">
      <x:c r="A393" s="6" t="inlineStr">
        <x:is>
          <x:t xml:space="preserve">400 x 306 cm</x:t>
        </x:is>
      </x:c>
      <x:c r="B393" s="6" t="inlineStr">
        <x:is>
          <x:t xml:space="preserve">PDWP</x:t>
        </x:is>
      </x:c>
      <x:c r="C393" s="6" t="inlineStr">
        <x:is>
          <x:t xml:space="preserve">Fundament/profile</x:t>
        </x:is>
      </x:c>
      <x:c r="D393" s="6" t="inlineStr">
        <x:is>
          <x:t xml:space="preserve">FUNDAMENT / PROFILE</x:t>
        </x:is>
      </x:c>
      <x:c r="E393" s="8" t="n">
        <x:f>IFERROR(INDEX('02_RAW_INDEX'!$AH:$AH,MATCH($A393,'02_RAW_INDEX'!$A:$A,0)),"")</x:f>
        <x:v>724</x:v>
      </x:c>
      <x:c r="F393" s="8" t="n">
        <x:f>IFERROR(INDEX('02_RAW_INDEX'!$AG:$AG,MATCH($A393,'02_RAW_INDEX'!$A:$A,0)),"")</x:f>
        <x:v>890</x:v>
      </x:c>
      <x:c r="G393" s="7" t="n">
        <x:f>'01_Ustawienia'!$B$6</x:f>
        <x:v>0</x:v>
      </x:c>
      <x:c r="H393" s="8" t="n">
        <x:f>IF(E393="","",ROUND(IF('01_Ustawienia'!$B$5="BRUTTO",F393,E393)*(1-G393),0))</x:f>
        <x:v>724</x:v>
      </x:c>
      <x:c r="I393" s="7" t="n">
        <x:f>IFERROR(IFERROR(INDEX('01_Ustawienia'!$B$15:$B$33,MATCH(B393,'01_Ustawienia'!$A$15:$A$33,0)),0.45),0.45)</x:f>
        <x:v>1.2</x:v>
      </x:c>
      <x:c r="J393" s="8" t="n">
        <x:f>IF(H393="","",ROUND(H393*(1+I393),0))</x:f>
        <x:v>1593</x:v>
      </x:c>
      <x:c r="K393" s="8" t="n">
        <x:f>0</x:f>
        <x:v>0</x:v>
      </x:c>
      <x:c r="L393" s="8" t="n">
        <x:f>IFERROR(IFERROR(INDEX(EG_Cennik_uslug!$BT:$BT,MATCH($A393,EG_Cennik_uslug!$A:$A,0)),0),0)</x:f>
        <x:v>340</x:v>
      </x:c>
      <x:c r="M393" s="7" t="n">
        <x:f>IF('01_Ustawienia'!$B$4="ZWOLNIONY",0,'01_Ustawienia'!$B$7)</x:f>
        <x:v>0.08</x:v>
      </x:c>
      <x:c r="N393" s="8" t="n">
        <x:f>IF(J393="","",ROUND((J393+K393)*(1+M393),0))</x:f>
        <x:v>1720</x:v>
      </x:c>
      <x:c r="O393" s="8" t="n">
        <x:f>IF(J393="","",J393+K393-H393-L393)</x:f>
        <x:v>529</x:v>
      </x:c>
      <x:c r="P393" s="7" t="n">
        <x:f>IFERROR(O393/(J393+K393),"")</x:f>
        <x:v>0.33207784055241685</x:v>
      </x:c>
      <x:c r="Q393" s="6" t="inlineStr">
        <x:is>
          <x:t xml:space="preserve">RAW_OP AB/AC</x:t>
        </x:is>
      </x:c>
      <x:c r="R393" s="6" t="inlineStr">
        <x:is>
          <x:t xml:space="preserve">FUNDAMENT (PROFILE)</x:t>
        </x:is>
      </x:c>
      <x:c r="S393" s="6" t="inlineStr">
        <x:is>
          <x:t xml:space="preserve">website+crm</x:t>
        </x:is>
      </x:c>
      <x:c r="T393" s="6" t="n"/>
    </x:row>
    <x:row r="394" s="655" customFormat="1" ht="30" customHeight="1">
      <x:c r="A394" s="6" t="inlineStr">
        <x:is>
          <x:t xml:space="preserve">400 x 306 cm</x:t>
        </x:is>
      </x:c>
      <x:c r="B394" s="6" t="inlineStr">
        <x:is>
          <x:t xml:space="preserve">ZAB</x:t>
        </x:is>
      </x:c>
      <x:c r="C394" s="6" t="inlineStr">
        <x:is>
          <x:t xml:space="preserve">Zabieraki do ścian przesuwnych</x:t>
        </x:is>
      </x:c>
      <x:c r="D394" s="6" t="inlineStr">
        <x:is>
          <x:t xml:space="preserve">DODATKI</x:t>
        </x:is>
      </x:c>
      <x:c r="E394" s="8" t="n">
        <x:f>IFERROR(INDEX('02_RAW_INDEX'!$AJ:$AJ,MATCH($A394,'02_RAW_INDEX'!$A:$A,0)),"")</x:f>
        <x:v>260</x:v>
      </x:c>
      <x:c r="F394" s="8" t="n">
        <x:f>IFERROR(INDEX('02_RAW_INDEX'!$AI:$AI,MATCH($A394,'02_RAW_INDEX'!$A:$A,0)),"")</x:f>
        <x:v>320</x:v>
      </x:c>
      <x:c r="G394" s="7" t="n">
        <x:f>'01_Ustawienia'!$B$6</x:f>
        <x:v>0</x:v>
      </x:c>
      <x:c r="H394" s="8" t="n">
        <x:f>IF(E394="","",ROUND(IF('01_Ustawienia'!$B$5="BRUTTO",F394,E394)*(1-G394),0))</x:f>
        <x:v>260</x:v>
      </x:c>
      <x:c r="I394" s="7" t="n">
        <x:f>IFERROR(IFERROR(INDEX('01_Ustawienia'!$B$15:$B$33,MATCH(B394,'01_Ustawienia'!$A$15:$A$33,0)),0.45),0.45)</x:f>
        <x:v>0.45</x:v>
      </x:c>
      <x:c r="J394" s="8" t="n">
        <x:f>IF(H394="","",ROUND(H394*(1+I394),0))</x:f>
        <x:v>377</x:v>
      </x:c>
      <x:c r="K394" s="8" t="n">
        <x:f>0</x:f>
        <x:v>0</x:v>
      </x:c>
      <x:c r="L394" s="8" t="n">
        <x:f>0</x:f>
        <x:v>0</x:v>
      </x:c>
      <x:c r="M394" s="7" t="n">
        <x:f>IF('01_Ustawienia'!$B$4="ZWOLNIONY",0,'01_Ustawienia'!$B$7)</x:f>
        <x:v>0.08</x:v>
      </x:c>
      <x:c r="N394" s="8" t="n">
        <x:f>IF(J394="","",ROUND((J394+K394)*(1+M394),0))</x:f>
        <x:v>407</x:v>
      </x:c>
      <x:c r="O394" s="8" t="n">
        <x:f>IF(J394="","",J394+K394-H394-L394)</x:f>
        <x:v>117</x:v>
      </x:c>
      <x:c r="P394" s="7" t="n">
        <x:f>IFERROR(O394/(J394+K394),"")</x:f>
        <x:v>0.3103448275862069</x:v>
      </x:c>
      <x:c r="Q394" s="6" t="inlineStr">
        <x:is>
          <x:t xml:space="preserve">RAW_OP AD/AE</x:t>
        </x:is>
      </x:c>
      <x:c r="R394" s="6" t="inlineStr">
        <x:is>
          <x:t xml:space="preserve">DODATKI</x:t>
        </x:is>
      </x:c>
      <x:c r="S394" s="6" t="inlineStr">
        <x:is>
          <x:t xml:space="preserve">crm_only</x:t>
        </x:is>
      </x:c>
      <x:c r="T394" s="6" t="n"/>
    </x:row>
    <x:row r="395">
      <x:c r="A395" s="6" t="inlineStr">
        <x:is>
          <x:t xml:space="preserve">400 x 306 cm</x:t>
        </x:is>
      </x:c>
      <x:c r="B395" s="6" t="inlineStr">
        <x:is>
          <x:t xml:space="preserve">S</x:t>
        </x:is>
      </x:c>
      <x:c r="C395" s="6" t="inlineStr">
        <x:is>
          <x:t xml:space="preserve">Szczotki przeciwkurzowe</x:t>
        </x:is>
      </x:c>
      <x:c r="D395" s="6" t="inlineStr">
        <x:is>
          <x:t xml:space="preserve">SZCZOTKI</x:t>
        </x:is>
      </x:c>
      <x:c r="E395" s="8" t="n">
        <x:f>IFERROR(INDEX('02_RAW_INDEX'!$AD:$AD,MATCH($A395,'02_RAW_INDEX'!$A:$A,0)),"")</x:f>
        <x:v>341</x:v>
      </x:c>
      <x:c r="F395" s="8" t="n">
        <x:f>IFERROR(INDEX('02_RAW_INDEX'!$AC:$AC,MATCH($A395,'02_RAW_INDEX'!$A:$A,0)),"")</x:f>
        <x:v>420</x:v>
      </x:c>
      <x:c r="G395" s="7" t="n">
        <x:f>'01_Ustawienia'!$B$6</x:f>
        <x:v>0</x:v>
      </x:c>
      <x:c r="H395" s="8" t="n">
        <x:f>IF(E395="","",ROUND(IF('01_Ustawienia'!$B$5="BRUTTO",F395,E395)*(1-G395),0))</x:f>
        <x:v>341</x:v>
      </x:c>
      <x:c r="I395" s="7" t="n">
        <x:f>IFERROR(IFERROR(INDEX('01_Ustawienia'!$B$15:$B$33,MATCH(B395,'01_Ustawienia'!$A$15:$A$33,0)),0.45),0.45)</x:f>
        <x:v>0.45</x:v>
      </x:c>
      <x:c r="J395" s="8" t="n">
        <x:f>IF(H395="","",ROUND(H395*(1+I395),0))</x:f>
        <x:v>494</x:v>
      </x:c>
      <x:c r="K395" s="8" t="n">
        <x:f>0</x:f>
        <x:v>0</x:v>
      </x:c>
      <x:c r="L395" s="8" t="n">
        <x:f>IFERROR(IFERROR(INDEX(EG_Cennik_uslug!$CA:$CA,MATCH($A395,EG_Cennik_uslug!$A:$A,0)),0),0)</x:f>
        <x:v>0</x:v>
      </x:c>
      <x:c r="M395" s="7" t="n">
        <x:f>IF('01_Ustawienia'!$B$4="ZWOLNIONY",0,'01_Ustawienia'!$B$7)</x:f>
        <x:v>0.08</x:v>
      </x:c>
      <x:c r="N395" s="8" t="n">
        <x:f>IF(J395="","",ROUND((J395+K395)*(1+M395),0))</x:f>
        <x:v>534</x:v>
      </x:c>
      <x:c r="O395" s="8" t="n">
        <x:f>IF(J395="","",J395+K395-H395-L395)</x:f>
        <x:v>153</x:v>
      </x:c>
      <x:c r="P395" s="7" t="n">
        <x:f>IFERROR(O395/(J395+K395),"")</x:f>
        <x:v>0.3097165991902834</x:v>
      </x:c>
      <x:c r="Q395" s="6" t="inlineStr">
        <x:is>
          <x:t xml:space="preserve">RAW_OP L/M</x:t>
        </x:is>
      </x:c>
      <x:c r="R395" s="6" t="inlineStr">
        <x:is>
          <x:t xml:space="preserve">DODATKI</x:t>
        </x:is>
      </x:c>
      <x:c r="S395" s="6" t="inlineStr">
        <x:is>
          <x:t xml:space="preserve">website+crm</x:t>
        </x:is>
      </x:c>
      <x:c r="T395" s="6" t="n"/>
    </x:row>
    <x:row r="396">
      <x:c r="A396" s="6" t="inlineStr">
        <x:is>
          <x:t xml:space="preserve">400 x 306 cm</x:t>
        </x:is>
      </x:c>
      <x:c r="B396" s="6" t="inlineStr">
        <x:is>
          <x:t xml:space="preserve">U</x:t>
        </x:is>
      </x:c>
      <x:c r="C396" s="6" t="inlineStr">
        <x:is>
          <x:t xml:space="preserve">Uchwyty na szkło ścienne</x:t>
        </x:is>
      </x:c>
      <x:c r="D396" s="6" t="inlineStr">
        <x:is>
          <x:t xml:space="preserve">UCHWYTY</x:t>
        </x:is>
      </x:c>
      <x:c r="E396" s="8" t="n">
        <x:f>IFERROR(INDEX('02_RAW_INDEX'!$AF:$AF,MATCH($A396,'02_RAW_INDEX'!$A:$A,0)),"")</x:f>
        <x:v>309</x:v>
      </x:c>
      <x:c r="F396" s="8" t="n">
        <x:f>IFERROR(INDEX('02_RAW_INDEX'!$AE:$AE,MATCH($A396,'02_RAW_INDEX'!$A:$A,0)),"")</x:f>
        <x:v>380</x:v>
      </x:c>
      <x:c r="G396" s="7" t="n">
        <x:f>'01_Ustawienia'!$B$6</x:f>
        <x:v>0</x:v>
      </x:c>
      <x:c r="H396" s="8" t="n">
        <x:f>IF(E396="","",ROUND(IF('01_Ustawienia'!$B$5="BRUTTO",F396,E396)*(1-G396),0))</x:f>
        <x:v>309</x:v>
      </x:c>
      <x:c r="I396" s="7" t="n">
        <x:f>IFERROR(IFERROR(INDEX('01_Ustawienia'!$B$15:$B$33,MATCH(B396,'01_Ustawienia'!$A$15:$A$33,0)),0.45),0.45)</x:f>
        <x:v>0.45</x:v>
      </x:c>
      <x:c r="J396" s="8" t="n">
        <x:f>IF(H396="","",ROUND(H396*(1+I396),0))</x:f>
        <x:v>448</x:v>
      </x:c>
      <x:c r="K396" s="8" t="n">
        <x:f>0</x:f>
        <x:v>0</x:v>
      </x:c>
      <x:c r="L396" s="8" t="n">
        <x:f>IFERROR(IFERROR(INDEX(EG_Cennik_uslug!$CH:$CH,MATCH($A396,EG_Cennik_uslug!$A:$A,0)),0),0)</x:f>
        <x:v>0</x:v>
      </x:c>
      <x:c r="M396" s="7" t="n">
        <x:f>IF('01_Ustawienia'!$B$4="ZWOLNIONY",0,'01_Ustawienia'!$B$7)</x:f>
        <x:v>0.08</x:v>
      </x:c>
      <x:c r="N396" s="8" t="n">
        <x:f>IF(J396="","",ROUND((J396+K396)*(1+M396),0))</x:f>
        <x:v>484</x:v>
      </x:c>
      <x:c r="O396" s="8" t="n">
        <x:f>IF(J396="","",J396+K396-H396-L396)</x:f>
        <x:v>139</x:v>
      </x:c>
      <x:c r="P396" s="7" t="n">
        <x:f>IFERROR(O396/(J396+K396),"")</x:f>
        <x:v>0.31026785714285715</x:v>
      </x:c>
      <x:c r="Q396" s="6" t="inlineStr">
        <x:is>
          <x:t xml:space="preserve">RAW_OP N/O</x:t>
        </x:is>
      </x:c>
      <x:c r="R396" s="6" t="inlineStr">
        <x:is>
          <x:t xml:space="preserve">DODATKI</x:t>
        </x:is>
      </x:c>
      <x:c r="S396" s="6" t="inlineStr">
        <x:is>
          <x:t xml:space="preserve">website+crm</x:t>
        </x:is>
      </x:c>
      <x:c r="T396" s="6" t="n"/>
    </x:row>
    <x:row r="397">
      <x:c r="A397" s="6" t="inlineStr">
        <x:is>
          <x:t xml:space="preserve">400 x 306 cm</x:t>
        </x:is>
      </x:c>
      <x:c r="B397" s="6" t="inlineStr">
        <x:is>
          <x:t xml:space="preserve">LED2</x:t>
        </x:is>
      </x:c>
      <x:c r="C397" s="6" t="inlineStr">
        <x:is>
          <x:t xml:space="preserve">Oświetlenie LED 2 punkty</x:t>
        </x:is>
      </x:c>
      <x:c r="D397" s="6" t="inlineStr">
        <x:is>
          <x:t xml:space="preserve">LED 2 PKT</x:t>
        </x:is>
      </x:c>
      <x:c r="E397" s="8" t="n">
        <x:f>IFERROR(INDEX('02_RAW_INDEX'!$N:$N,MATCH($A397,'02_RAW_INDEX'!$A:$A,0)),"")</x:f>
        <x:v>341</x:v>
      </x:c>
      <x:c r="F397" s="8" t="n">
        <x:f>IFERROR(INDEX('02_RAW_INDEX'!$M:$M,MATCH($A397,'02_RAW_INDEX'!$A:$A,0)),"")</x:f>
        <x:v>420</x:v>
      </x:c>
      <x:c r="G397" s="7" t="n">
        <x:f>'01_Ustawienia'!$B$6</x:f>
        <x:v>0</x:v>
      </x:c>
      <x:c r="H397" s="8" t="n">
        <x:f>IF(E397="","",ROUND(IF('01_Ustawienia'!$B$5="BRUTTO",F397,E397)*(1-G397),0))</x:f>
        <x:v>341</x:v>
      </x:c>
      <x:c r="I397" s="7" t="n">
        <x:f>IFERROR(IFERROR(INDEX('01_Ustawienia'!$B$15:$B$33,MATCH(B397,'01_Ustawienia'!$A$15:$A$33,0)),0.45),0.45)</x:f>
        <x:v>0.45</x:v>
      </x:c>
      <x:c r="J397" s="8" t="n">
        <x:f>IF(H397="","",ROUND(H397*(1+I397),0))</x:f>
        <x:v>494</x:v>
      </x:c>
      <x:c r="K397" s="8" t="n">
        <x:f>0</x:f>
        <x:v>0</x:v>
      </x:c>
      <x:c r="L397" s="8" t="n">
        <x:f>IFERROR(IFERROR(INDEX(EG_Cennik_uslug!$CO:$CO,MATCH($A397,EG_Cennik_uslug!$A:$A,0)),0),0)</x:f>
        <x:v>0</x:v>
      </x:c>
      <x:c r="M397" s="7" t="n">
        <x:f>IF('01_Ustawienia'!$B$4="ZWOLNIONY",0,'01_Ustawienia'!$B$7)</x:f>
        <x:v>0.08</x:v>
      </x:c>
      <x:c r="N397" s="8" t="n">
        <x:f>IF(J397="","",ROUND((J397+K397)*(1+M397),0))</x:f>
        <x:v>534</x:v>
      </x:c>
      <x:c r="O397" s="8" t="n">
        <x:f>IF(J397="","",J397+K397-H397-L397)</x:f>
        <x:v>153</x:v>
      </x:c>
      <x:c r="P397" s="7" t="n">
        <x:f>IFERROR(O397/(J397+K397),"")</x:f>
        <x:v>0.3097165991902834</x:v>
      </x:c>
      <x:c r="Q397" s="6" t="inlineStr">
        <x:is>
          <x:t xml:space="preserve">RAW_ZP P/Q</x:t>
        </x:is>
      </x:c>
      <x:c r="R397" s="6" t="inlineStr">
        <x:is>
          <x:t xml:space="preserve">OŚWIETLENIE</x:t>
        </x:is>
      </x:c>
      <x:c r="S397" s="6" t="inlineStr">
        <x:is>
          <x:t xml:space="preserve">website+crm</x:t>
        </x:is>
      </x:c>
      <x:c r="T397" s="6" t="n"/>
    </x:row>
    <x:row r="398">
      <x:c r="A398" s="6" t="inlineStr">
        <x:is>
          <x:t xml:space="preserve">400 x 306 cm</x:t>
        </x:is>
      </x:c>
      <x:c r="B398" s="6" t="inlineStr">
        <x:is>
          <x:t xml:space="preserve">LED3</x:t>
        </x:is>
      </x:c>
      <x:c r="C398" s="6" t="inlineStr">
        <x:is>
          <x:t xml:space="preserve">Oświetlenie LED 3 punkty</x:t>
        </x:is>
      </x:c>
      <x:c r="D398" s="6" t="inlineStr">
        <x:is>
          <x:t xml:space="preserve">LED 3 PKT</x:t>
        </x:is>
      </x:c>
      <x:c r="E398" s="8" t="n">
        <x:f>IFERROR(INDEX('02_RAW_INDEX'!$P:$P,MATCH($A398,'02_RAW_INDEX'!$A:$A,0)),"")</x:f>
        <x:v>520</x:v>
      </x:c>
      <x:c r="F398" s="8" t="n">
        <x:f>IFERROR(INDEX('02_RAW_INDEX'!$O:$O,MATCH($A398,'02_RAW_INDEX'!$A:$A,0)),"")</x:f>
        <x:v>640</x:v>
      </x:c>
      <x:c r="G398" s="7" t="n">
        <x:f>'01_Ustawienia'!$B$6</x:f>
        <x:v>0</x:v>
      </x:c>
      <x:c r="H398" s="8" t="n">
        <x:f>IF(E398="","",ROUND(IF('01_Ustawienia'!$B$5="BRUTTO",F398,E398)*(1-G398),0))</x:f>
        <x:v>520</x:v>
      </x:c>
      <x:c r="I398" s="7" t="n">
        <x:f>IFERROR(IFERROR(INDEX('01_Ustawienia'!$B$15:$B$33,MATCH(B398,'01_Ustawienia'!$A$15:$A$33,0)),0.45),0.45)</x:f>
        <x:v>0.45</x:v>
      </x:c>
      <x:c r="J398" s="8" t="n">
        <x:f>IF(H398="","",ROUND(H398*(1+I398),0))</x:f>
        <x:v>754</x:v>
      </x:c>
      <x:c r="K398" s="8" t="n">
        <x:f>0</x:f>
        <x:v>0</x:v>
      </x:c>
      <x:c r="L398" s="8" t="n">
        <x:f>IFERROR(IFERROR(INDEX(EG_Cennik_uslug!$CV:$CV,MATCH($A398,EG_Cennik_uslug!$A:$A,0)),0),0)</x:f>
        <x:v>0</x:v>
      </x:c>
      <x:c r="M398" s="7" t="n">
        <x:f>IF('01_Ustawienia'!$B$4="ZWOLNIONY",0,'01_Ustawienia'!$B$7)</x:f>
        <x:v>0.08</x:v>
      </x:c>
      <x:c r="N398" s="8" t="n">
        <x:f>IF(J398="","",ROUND((J398+K398)*(1+M398),0))</x:f>
        <x:v>814</x:v>
      </x:c>
      <x:c r="O398" s="8" t="n">
        <x:f>IF(J398="","",J398+K398-H398-L398)</x:f>
        <x:v>234</x:v>
      </x:c>
      <x:c r="P398" s="7" t="n">
        <x:f>IFERROR(O398/(J398+K398),"")</x:f>
        <x:v>0.3103448275862069</x:v>
      </x:c>
      <x:c r="Q398" s="6" t="inlineStr">
        <x:is>
          <x:t xml:space="preserve">RAW_ZP R/S</x:t>
        </x:is>
      </x:c>
      <x:c r="R398" s="6" t="inlineStr">
        <x:is>
          <x:t xml:space="preserve">OŚWIETLENIE</x:t>
        </x:is>
      </x:c>
      <x:c r="S398" s="6" t="inlineStr">
        <x:is>
          <x:t xml:space="preserve">website+crm</x:t>
        </x:is>
      </x:c>
      <x:c r="T398" s="6" t="inlineStr">
        <x:is>
          <x:t xml:space="preserve">Nazwa do potwierdzenia</x:t>
        </x:is>
      </x:c>
    </x:row>
    <x:row r="399">
      <x:c r="A399" s="6" t="inlineStr">
        <x:is>
          <x:t xml:space="preserve">400 x 306 cm</x:t>
        </x:is>
      </x:c>
      <x:c r="B399" s="6" t="inlineStr">
        <x:is>
          <x:t xml:space="preserve">LEDCCT</x:t>
        </x:is>
      </x:c>
      <x:c r="C399" s="6" t="inlineStr">
        <x:is>
          <x:t xml:space="preserve">Oświetlenie LED CCT</x:t>
        </x:is>
      </x:c>
      <x:c r="D399" s="6" t="inlineStr">
        <x:is>
          <x:t xml:space="preserve">OŚWIETLENIE</x:t>
        </x:is>
      </x:c>
      <x:c r="E399" s="8" t="n">
        <x:f>IFERROR(INDEX('02_RAW_INDEX'!$R:$R,MATCH($A399,'02_RAW_INDEX'!$A:$A,0)),"")</x:f>
        <x:v>860</x:v>
      </x:c>
      <x:c r="F399" s="8" t="n">
        <x:f>IFERROR(INDEX('02_RAW_INDEX'!$Q:$Q,MATCH($A399,'02_RAW_INDEX'!$A:$A,0)),"")</x:f>
        <x:v>1058</x:v>
      </x:c>
      <x:c r="G399" s="7" t="n">
        <x:f>'01_Ustawienia'!$B$6</x:f>
        <x:v>0</x:v>
      </x:c>
      <x:c r="H399" s="8" t="n">
        <x:f>IF(E399="","",ROUND(IF('01_Ustawienia'!$B$5="BRUTTO",F399,E399)*(1-G399),0))</x:f>
        <x:v>860</x:v>
      </x:c>
      <x:c r="I399" s="7" t="n">
        <x:f>IFERROR(IFERROR(INDEX('01_Ustawienia'!$B$15:$B$33,MATCH(B399,'01_Ustawienia'!$A$15:$A$33,0)),0.45),0.45)</x:f>
        <x:v>0.45</x:v>
      </x:c>
      <x:c r="J399" s="8" t="n">
        <x:f>IF(H399="","",ROUND(H399*(1+I399),0))</x:f>
        <x:v>1247</x:v>
      </x:c>
      <x:c r="K399" s="8" t="n">
        <x:f>0</x:f>
        <x:v>0</x:v>
      </x:c>
      <x:c r="L399" s="8" t="n">
        <x:f>0</x:f>
        <x:v>0</x:v>
      </x:c>
      <x:c r="M399" s="7" t="n">
        <x:f>IF('01_Ustawienia'!$B$4="ZWOLNIONY",0,'01_Ustawienia'!$B$7)</x:f>
        <x:v>0.08</x:v>
      </x:c>
      <x:c r="N399" s="8" t="n">
        <x:f>IF(J399="","",ROUND((J399+K399)*(1+M399),0))</x:f>
        <x:v>1347</x:v>
      </x:c>
      <x:c r="O399" s="8" t="n">
        <x:f>IF(J399="","",J399+K399-H399-L399)</x:f>
        <x:v>387</x:v>
      </x:c>
      <x:c r="P399" s="7" t="n">
        <x:f>IFERROR(O399/(J399+K399),"")</x:f>
        <x:v>0.3103448275862069</x:v>
      </x:c>
      <x:c r="Q399" s="6" t="inlineStr">
        <x:is>
          <x:t xml:space="preserve">RAW_ZP T/U</x:t>
        </x:is>
      </x:c>
      <x:c r="R399" s="6" t="inlineStr">
        <x:is>
          <x:t xml:space="preserve">OŚWIETLENIE</x:t>
        </x:is>
      </x:c>
      <x:c r="S399" s="6" t="inlineStr">
        <x:is>
          <x:t xml:space="preserve">website+crm</x:t>
        </x:is>
      </x:c>
      <x:c r="T399" s="6" t="inlineStr">
        <x:is>
          <x:t xml:space="preserve">Opcja dodatkowa | FIX17: opcja LED dostępna dla strony; ceny 450-600 wg modelu FIX15.</x:t>
        </x:is>
      </x:c>
    </x:row>
    <x:row r="400">
      <x:c r="A400" s="6" t="inlineStr">
        <x:is>
          <x:t xml:space="preserve">400 x 306 cm</x:t>
        </x:is>
      </x:c>
      <x:c r="B400" s="6" t="inlineStr">
        <x:is>
          <x:t xml:space="preserve">LEDRGBCCT</x:t>
        </x:is>
      </x:c>
      <x:c r="C400" s="6" t="inlineStr">
        <x:is>
          <x:t xml:space="preserve">Oświetlenie LED RGB CCT</x:t>
        </x:is>
      </x:c>
      <x:c r="D400" s="6" t="inlineStr">
        <x:is>
          <x:t xml:space="preserve">OŚWIETLENIE</x:t>
        </x:is>
      </x:c>
      <x:c r="E400" s="8" t="n">
        <x:f>IFERROR(INDEX('02_RAW_INDEX'!$T:$T,MATCH($A400,'02_RAW_INDEX'!$A:$A,0)),"")</x:f>
        <x:v>1110</x:v>
      </x:c>
      <x:c r="F400" s="8" t="n">
        <x:f>IFERROR(INDEX('02_RAW_INDEX'!$S:$S,MATCH($A400,'02_RAW_INDEX'!$A:$A,0)),"")</x:f>
        <x:v>1365</x:v>
      </x:c>
      <x:c r="G400" s="7" t="n">
        <x:f>'01_Ustawienia'!$B$6</x:f>
        <x:v>0</x:v>
      </x:c>
      <x:c r="H400" s="8" t="n">
        <x:f>IF(E400="","",ROUND(IF('01_Ustawienia'!$B$5="BRUTTO",F400,E400)*(1-G400),0))</x:f>
        <x:v>1110</x:v>
      </x:c>
      <x:c r="I400" s="7" t="n">
        <x:f>IFERROR(IFERROR(INDEX('01_Ustawienia'!$B$15:$B$33,MATCH(B400,'01_Ustawienia'!$A$15:$A$33,0)),0.45),0.45)</x:f>
        <x:v>0.45</x:v>
      </x:c>
      <x:c r="J400" s="8" t="n">
        <x:f>IF(H400="","",ROUND(H400*(1+I400),0))</x:f>
        <x:v>1610</x:v>
      </x:c>
      <x:c r="K400" s="8" t="n">
        <x:f>0</x:f>
        <x:v>0</x:v>
      </x:c>
      <x:c r="L400" s="8" t="n">
        <x:f>0</x:f>
        <x:v>0</x:v>
      </x:c>
      <x:c r="M400" s="7" t="n">
        <x:f>IF('01_Ustawienia'!$B$4="ZWOLNIONY",0,'01_Ustawienia'!$B$7)</x:f>
        <x:v>0.08</x:v>
      </x:c>
      <x:c r="N400" s="8" t="n">
        <x:f>IF(J400="","",ROUND((J400+K400)*(1+M400),0))</x:f>
        <x:v>1739</x:v>
      </x:c>
      <x:c r="O400" s="8" t="n">
        <x:f>IF(J400="","",J400+K400-H400-L400)</x:f>
        <x:v>500</x:v>
      </x:c>
      <x:c r="P400" s="7" t="n">
        <x:f>IFERROR(O400/(J400+K400),"")</x:f>
        <x:v>0.3105590062111801</x:v>
      </x:c>
      <x:c r="Q400" s="6" t="inlineStr">
        <x:is>
          <x:t xml:space="preserve">RAW_ZP V/W</x:t>
        </x:is>
      </x:c>
      <x:c r="R400" s="6" t="inlineStr">
        <x:is>
          <x:t xml:space="preserve">OŚWIETLENIE</x:t>
        </x:is>
      </x:c>
      <x:c r="S400" s="6" t="inlineStr">
        <x:is>
          <x:t xml:space="preserve">crm_only</x:t>
        </x:is>
      </x:c>
      <x:c r="T400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401" s="655" customFormat="1" ht="30" customHeight="1">
      <x:c r="A401" s="6" t="inlineStr">
        <x:is>
          <x:t xml:space="preserve">400 x 406 cm</x:t>
        </x:is>
      </x:c>
      <x:c r="B401" s="6" t="inlineStr">
        <x:is>
          <x:t xml:space="preserve">ZP</x:t>
        </x:is>
      </x:c>
      <x:c r="C401" s="6" t="inlineStr">
        <x:is>
          <x:t xml:space="preserve">Zadaszenie poliwęglan - baza</x:t>
        </x:is>
      </x:c>
      <x:c r="D401" s="6" t="inlineStr">
        <x:is>
          <x:t xml:space="preserve">ZADASZENIE POLIWĘGLAN</x:t>
        </x:is>
      </x:c>
      <x:c r="E401" s="8" t="n">
        <x:f>IFERROR(INDEX('02_RAW_INDEX'!$D:$D,MATCH($A401,'02_RAW_INDEX'!$A:$A,0)),"")</x:f>
        <x:v>4984</x:v>
      </x:c>
      <x:c r="F401" s="8" t="n">
        <x:f>IFERROR(INDEX('02_RAW_INDEX'!$C:$C,MATCH($A401,'02_RAW_INDEX'!$A:$A,0)),"")</x:f>
        <x:v>6130</x:v>
      </x:c>
      <x:c r="G401" s="7" t="n">
        <x:f>'01_Ustawienia'!$B$6</x:f>
        <x:v>0</x:v>
      </x:c>
      <x:c r="H401" s="8" t="n">
        <x:f>IF(E401="","",ROUND(IF('01_Ustawienia'!$B$5="BRUTTO",F401,E401)*(1-G401),0))</x:f>
        <x:v>4984</x:v>
      </x:c>
      <x:c r="I401" s="7" t="n">
        <x:f>IFERROR(IFERROR(INDEX('01_Ustawienia'!$B$15:$B$33,MATCH(B401,'01_Ustawienia'!$A$15:$A$33,0)),0.45),0.45)</x:f>
        <x:v>0.45</x:v>
      </x:c>
      <x:c r="J401" s="8" t="n">
        <x:f>IF(H401="","",ROUND(H401*(1+I401),0))</x:f>
        <x:v>7227</x:v>
      </x:c>
      <x:c r="K401" s="8" t="n">
        <x:f>IFERROR(IFERROR(INDEX(EG_Cennik_uslug!$F:$F,MATCH($A401,EG_Cennik_uslug!$A:$A,0)),0),0)</x:f>
        <x:v>3080</x:v>
      </x:c>
      <x:c r="L401" s="8" t="n">
        <x:f>IFERROR(IFERROR(INDEX(EG_Cennik_uslug!$G:$G,MATCH($A401,EG_Cennik_uslug!$A:$A,0)),0),0)</x:f>
        <x:v>980</x:v>
      </x:c>
      <x:c r="M401" s="7" t="n">
        <x:f>IF('01_Ustawienia'!$B$4="ZWOLNIONY",0,'01_Ustawienia'!$B$7)</x:f>
        <x:v>0.08</x:v>
      </x:c>
      <x:c r="N401" s="8" t="n">
        <x:f>IF(J401="","",ROUND((J401+K401)*(1+M401),0))</x:f>
        <x:v>11132</x:v>
      </x:c>
      <x:c r="O401" s="8" t="n">
        <x:f>IF(J401="","",J401+K401-H401-L401)</x:f>
        <x:v>4343</x:v>
      </x:c>
      <x:c r="P401" s="7" t="n">
        <x:f>IFERROR(O401/(J401+K401),"")</x:f>
        <x:v>0.42136412147084507</x:v>
      </x:c>
      <x:c r="Q401" s="6" t="inlineStr">
        <x:is>
          <x:t xml:space="preserve">RAW_ZP B/C</x:t>
        </x:is>
      </x:c>
      <x:c r="R401" s="6" t="inlineStr">
        <x:is>
          <x:t xml:space="preserve">ZADASZENIE TARASU KONSTRUKCJA</x:t>
        </x:is>
      </x:c>
      <x:c r="S401" s="6" t="inlineStr">
        <x:is>
          <x:t xml:space="preserve">website+crm</x:t>
        </x:is>
      </x:c>
      <x:c r="T401" s="6" t="inlineStr">
        <x:is>
          <x:t xml:space="preserve">Baza dla kalkulatora</x:t>
        </x:is>
      </x:c>
    </x:row>
    <x:row r="402" s="655" customFormat="1" ht="30" customHeight="1">
      <x:c r="A402" s="6" t="inlineStr">
        <x:is>
          <x:t xml:space="preserve">400 x 406 cm</x:t>
        </x:is>
      </x:c>
      <x:c r="B402" s="6" t="inlineStr">
        <x:is>
          <x:t xml:space="preserve">ZS</x:t>
        </x:is>
      </x:c>
      <x:c r="C402" s="6" t="inlineStr">
        <x:is>
          <x:t xml:space="preserve">Zadaszenie szkło - pełna konstrukcja</x:t>
        </x:is>
      </x:c>
      <x:c r="D402" s="6" t="inlineStr">
        <x:is>
          <x:t xml:space="preserve">ZADASZENIE SZKŁO</x:t>
        </x:is>
      </x:c>
      <x:c r="E402" s="8" t="n">
        <x:f>IFERROR(INDEX('02_RAW_INDEX'!$V:$V,MATCH($A402,'02_RAW_INDEX'!$A:$A,0)),"")</x:f>
        <x:v>8325</x:v>
      </x:c>
      <x:c r="F402" s="8" t="n">
        <x:f>IFERROR(INDEX('02_RAW_INDEX'!$U:$U,MATCH($A402,'02_RAW_INDEX'!$A:$A,0)),"")</x:f>
        <x:v>10240</x:v>
      </x:c>
      <x:c r="G402" s="7" t="n">
        <x:f>'01_Ustawienia'!$B$6</x:f>
        <x:v>0</x:v>
      </x:c>
      <x:c r="H402" s="8" t="n">
        <x:f>IF(E402="","",ROUND(IF('01_Ustawienia'!$B$5="BRUTTO",F402,E402)*(1-G402),0))</x:f>
        <x:v>8325</x:v>
      </x:c>
      <x:c r="I402" s="7" t="n">
        <x:f>IFERROR(IFERROR(INDEX('01_Ustawienia'!$B$15:$B$33,MATCH(B402,'01_Ustawienia'!$A$15:$A$33,0)),0.45),0.45)</x:f>
        <x:v>0.45</x:v>
      </x:c>
      <x:c r="J402" s="8" t="n">
        <x:f>IF(H402="","",ROUND(H402*(1+I402),0))</x:f>
        <x:v>12071</x:v>
      </x:c>
      <x:c r="K402" s="8" t="n">
        <x:f>IFERROR(IFERROR(INDEX(EG_Cennik_uslug!$F:$F,MATCH($A402,EG_Cennik_uslug!$A:$A,0)),0),0)</x:f>
        <x:v>3080</x:v>
      </x:c>
      <x:c r="L402" s="8" t="n">
        <x:f>IFERROR(IFERROR(INDEX(EG_Cennik_uslug!$G:$G,MATCH($A402,EG_Cennik_uslug!$A:$A,0)),0),0)</x:f>
        <x:v>980</x:v>
      </x:c>
      <x:c r="M402" s="7" t="n">
        <x:f>IF('01_Ustawienia'!$B$4="ZWOLNIONY",0,'01_Ustawienia'!$B$7)</x:f>
        <x:v>0.08</x:v>
      </x:c>
      <x:c r="N402" s="8" t="n">
        <x:f>IF(J402="","",ROUND((J402+K402)*(1+M402),0))</x:f>
        <x:v>16363</x:v>
      </x:c>
      <x:c r="O402" s="8" t="n">
        <x:f>IF(J402="","",J402+K402-H402-L402)</x:f>
        <x:v>5846</x:v>
      </x:c>
      <x:c r="P402" s="7" t="n">
        <x:f>IFERROR(O402/(J402+K402),"")</x:f>
        <x:v>0.3858491188700416</x:v>
      </x:c>
      <x:c r="Q402" s="6" t="inlineStr">
        <x:is>
          <x:t xml:space="preserve">RAW_ZS B/C</x:t>
        </x:is>
      </x:c>
      <x:c r="R402" s="6" t="inlineStr">
        <x:is>
          <x:t xml:space="preserve">ZADASZENIE TARASU KONSTRUKCJA</x:t>
        </x:is>
      </x:c>
      <x:c r="S402" s="6" t="inlineStr">
        <x:is>
          <x:t xml:space="preserve">crm_only</x:t>
        </x:is>
      </x:c>
      <x:c r="T402" s="6" t="inlineStr">
        <x:is>
          <x:t xml:space="preserve">Referencyjne/full; strona zwykle używa ZP + PDS</x:t>
        </x:is>
      </x:c>
    </x:row>
    <x:row r="403" s="655" customFormat="1" ht="30" customHeight="1">
      <x:c r="A403" s="6" t="inlineStr">
        <x:is>
          <x:t xml:space="preserve">400 x 406 cm</x:t>
        </x:is>
      </x:c>
      <x:c r="B403" s="6" t="inlineStr">
        <x:is>
          <x:t xml:space="preserve">OP</x:t>
        </x:is>
      </x:c>
      <x:c r="C403" s="6" t="inlineStr">
        <x:is>
          <x:t xml:space="preserve">Ogród zimowy poliwęglan - baza</x:t>
        </x:is>
      </x:c>
      <x:c r="D403" s="6" t="inlineStr">
        <x:is>
          <x:t xml:space="preserve">OGRODY POLIWĘGLAN</x:t>
        </x:is>
      </x:c>
      <x:c r="E403" s="8" t="n">
        <x:f>IFERROR(INDEX('02_RAW_INDEX'!$Z:$Z,MATCH($A403,'02_RAW_INDEX'!$A:$A,0)),"")</x:f>
        <x:v>15935</x:v>
      </x:c>
      <x:c r="F403" s="8" t="n">
        <x:f>IFERROR(INDEX('02_RAW_INDEX'!$Y:$Y,MATCH($A403,'02_RAW_INDEX'!$A:$A,0)),"")</x:f>
        <x:v>19600</x:v>
      </x:c>
      <x:c r="G403" s="7" t="n">
        <x:f>'01_Ustawienia'!$B$6</x:f>
        <x:v>0</x:v>
      </x:c>
      <x:c r="H403" s="8" t="n">
        <x:f>IF(E403="","",ROUND(IF('01_Ustawienia'!$B$5="BRUTTO",F403,E403)*(1-G403),0))</x:f>
        <x:v>15935</x:v>
      </x:c>
      <x:c r="I403" s="7" t="n">
        <x:f>IFERROR(IFERROR(INDEX('01_Ustawienia'!$B$15:$B$33,MATCH(B403,'01_Ustawienia'!$A$15:$A$33,0)),0.45),0.45)</x:f>
        <x:v>0.45</x:v>
      </x:c>
      <x:c r="J403" s="8" t="n">
        <x:f>IF(H403="","",ROUND(H403*(1+I403),0))</x:f>
        <x:v>23106</x:v>
      </x:c>
      <x:c r="K403" s="8" t="n">
        <x:f>IFERROR(IFERROR(INDEX(EG_Cennik_uslug!$N:$N,MATCH($A403,EG_Cennik_uslug!$A:$A,0)),0),0)</x:f>
        <x:v>4100</x:v>
      </x:c>
      <x:c r="L403" s="8" t="n">
        <x:f>IFERROR(IFERROR(INDEX(EG_Cennik_uslug!$O:$O,MATCH($A403,EG_Cennik_uslug!$A:$A,0)),0),0)</x:f>
        <x:v>1370</x:v>
      </x:c>
      <x:c r="M403" s="7" t="n">
        <x:f>IF('01_Ustawienia'!$B$4="ZWOLNIONY",0,'01_Ustawienia'!$B$7)</x:f>
        <x:v>0.08</x:v>
      </x:c>
      <x:c r="N403" s="8" t="n">
        <x:f>IF(J403="","",ROUND((J403+K403)*(1+M403),0))</x:f>
        <x:v>29382</x:v>
      </x:c>
      <x:c r="O403" s="8" t="n">
        <x:f>IF(J403="","",J403+K403-H403-L403)</x:f>
        <x:v>9901</x:v>
      </x:c>
      <x:c r="P403" s="7" t="n">
        <x:f>IFERROR(O403/(J403+K403),"")</x:f>
        <x:v>0.36392707490994636</x:v>
      </x:c>
      <x:c r="Q403" s="6" t="inlineStr">
        <x:is>
          <x:t xml:space="preserve">RAW_OP B/C</x:t>
        </x:is>
      </x:c>
      <x:c r="R403" s="6" t="inlineStr">
        <x:is>
          <x:t xml:space="preserve">OGRÓD ZIMOWY (KONSTRUKCJA)</x:t>
        </x:is>
      </x:c>
      <x:c r="S403" s="6" t="inlineStr">
        <x:is>
          <x:t xml:space="preserve">website+crm</x:t>
        </x:is>
      </x:c>
      <x:c r="T403" s="6" t="inlineStr">
        <x:is>
          <x:t xml:space="preserve">Do wyliczenia dopłaty za ściany</x:t>
        </x:is>
      </x:c>
    </x:row>
    <x:row r="404" s="655" customFormat="1" ht="30" customHeight="1">
      <x:c r="A404" s="6" t="inlineStr">
        <x:is>
          <x:t xml:space="preserve">400 x 406 cm</x:t>
        </x:is>
      </x:c>
      <x:c r="B404" s="6" t="inlineStr">
        <x:is>
          <x:t xml:space="preserve">OS</x:t>
        </x:is>
      </x:c>
      <x:c r="C404" s="6" t="inlineStr">
        <x:is>
          <x:t xml:space="preserve">Ogród zimowy szkło - pełna konstrukcja</x:t>
        </x:is>
      </x:c>
      <x:c r="D404" s="6" t="inlineStr">
        <x:is>
          <x:t xml:space="preserve">OGRODY SZKŁO</x:t>
        </x:is>
      </x:c>
      <x:c r="E404" s="8" t="n">
        <x:f>IFERROR(INDEX('02_RAW_INDEX'!$AL:$AL,MATCH($A404,'02_RAW_INDEX'!$A:$A,0)),"")</x:f>
        <x:v>19268</x:v>
      </x:c>
      <x:c r="F404" s="8" t="n">
        <x:f>IFERROR(INDEX('02_RAW_INDEX'!$AK:$AK,MATCH($A404,'02_RAW_INDEX'!$A:$A,0)),"")</x:f>
        <x:v>23700</x:v>
      </x:c>
      <x:c r="G404" s="7" t="n">
        <x:f>'01_Ustawienia'!$B$6</x:f>
        <x:v>0</x:v>
      </x:c>
      <x:c r="H404" s="8" t="n">
        <x:f>IF(E404="","",ROUND(IF('01_Ustawienia'!$B$5="BRUTTO",F404,E404)*(1-G404),0))</x:f>
        <x:v>19268</x:v>
      </x:c>
      <x:c r="I404" s="7" t="n">
        <x:f>IFERROR(IFERROR(INDEX('01_Ustawienia'!$B$15:$B$33,MATCH(B404,'01_Ustawienia'!$A$15:$A$33,0)),0.45),0.45)</x:f>
        <x:v>0.45</x:v>
      </x:c>
      <x:c r="J404" s="8" t="n">
        <x:f>IF(H404="","",ROUND(H404*(1+I404),0))</x:f>
        <x:v>27939</x:v>
      </x:c>
      <x:c r="K404" s="8" t="n">
        <x:f>IFERROR(IFERROR(INDEX(EG_Cennik_uslug!$N:$N,MATCH($A404,EG_Cennik_uslug!$A:$A,0)),0),0)</x:f>
        <x:v>4100</x:v>
      </x:c>
      <x:c r="L404" s="8" t="n">
        <x:f>IFERROR(IFERROR(INDEX(EG_Cennik_uslug!$O:$O,MATCH($A404,EG_Cennik_uslug!$A:$A,0)),0),0)</x:f>
        <x:v>1370</x:v>
      </x:c>
      <x:c r="M404" s="7" t="n">
        <x:f>IF('01_Ustawienia'!$B$4="ZWOLNIONY",0,'01_Ustawienia'!$B$7)</x:f>
        <x:v>0.08</x:v>
      </x:c>
      <x:c r="N404" s="8" t="n">
        <x:f>IF(J404="","",ROUND((J404+K404)*(1+M404),0))</x:f>
        <x:v>34602</x:v>
      </x:c>
      <x:c r="O404" s="8" t="n">
        <x:f>IF(J404="","",J404+K404-H404-L404)</x:f>
        <x:v>11401</x:v>
      </x:c>
      <x:c r="P404" s="7" t="n">
        <x:f>IFERROR(O404/(J404+K404),"")</x:f>
        <x:v>0.35584756078529295</x:v>
      </x:c>
      <x:c r="Q404" s="6" t="inlineStr">
        <x:is>
          <x:t xml:space="preserve">RAW_OS B/C</x:t>
        </x:is>
      </x:c>
      <x:c r="R404" s="6" t="inlineStr">
        <x:is>
          <x:t xml:space="preserve">OGRÓD ZIMOWY (KONSTRUKCJA)</x:t>
        </x:is>
      </x:c>
      <x:c r="S404" s="6" t="inlineStr">
        <x:is>
          <x:t xml:space="preserve">crm_only</x:t>
        </x:is>
      </x:c>
      <x:c r="T404" s="6" t="inlineStr">
        <x:is>
          <x:t xml:space="preserve">Referencyjne/full</x:t>
        </x:is>
      </x:c>
    </x:row>
    <x:row r="405" s="655" customFormat="1" ht="30" customHeight="1">
      <x:c r="A405" s="6" t="inlineStr">
        <x:is>
          <x:t xml:space="preserve">400 x 406 cm</x:t>
        </x:is>
      </x:c>
      <x:c r="B405" s="6" t="inlineStr">
        <x:is>
          <x:t xml:space="preserve">PDS</x:t>
        </x:is>
      </x:c>
      <x:c r="C405" s="6" t="inlineStr">
        <x:is>
          <x:t xml:space="preserve">Dopłata dach szkło przezroczyste</x:t>
        </x:is>
      </x:c>
      <x:c r="D405" s="6" t="inlineStr">
        <x:is>
          <x:t xml:space="preserve">POKRYCIE DACHU SZKŁO</x:t>
        </x:is>
      </x:c>
      <x:c r="E405" s="8" t="n">
        <x:f>IFERROR(IFERROR(INDEX('02_RAW_INDEX'!$V:$V,MATCH($A405,'02_RAW_INDEX'!$A:$A,0)),"")-IFERROR(INDEX('02_RAW_INDEX'!$D:$D,MATCH($A405,'02_RAW_INDEX'!$A:$A,0)),""),"")</x:f>
        <x:v>3341</x:v>
      </x:c>
      <x:c r="F405" s="8" t="n">
        <x:f>IFERROR(IFERROR(INDEX('02_RAW_INDEX'!$U:$U,MATCH($A405,'02_RAW_INDEX'!$A:$A,0)),"")-IFERROR(INDEX('02_RAW_INDEX'!$C:$C,MATCH($A405,'02_RAW_INDEX'!$A:$A,0)),""),"")</x:f>
        <x:v>4110</x:v>
      </x:c>
      <x:c r="G405" s="7" t="n">
        <x:f>'01_Ustawienia'!$B$6</x:f>
        <x:v>0</x:v>
      </x:c>
      <x:c r="H405" s="8" t="n">
        <x:f>IF(E405="","",ROUND(IF('01_Ustawienia'!$B$5="BRUTTO",F405,E405)*(1-G405),0))</x:f>
        <x:v>3341</x:v>
      </x:c>
      <x:c r="I405" s="7" t="n">
        <x:f>IFERROR(IFERROR(INDEX('01_Ustawienia'!$B$15:$B$33,MATCH(B405,'01_Ustawienia'!$A$15:$A$33,0)),0.45),0.45)</x:f>
        <x:v>0.45</x:v>
      </x:c>
      <x:c r="J405" s="8" t="n">
        <x:f>IF(H405="","",ROUND(H405*(1+I405),0))</x:f>
        <x:v>4844</x:v>
      </x:c>
      <x:c r="K405" s="8" t="n">
        <x:f>0</x:f>
        <x:v>0</x:v>
      </x:c>
      <x:c r="L405" s="8" t="n">
        <x:v>0</x:v>
      </x:c>
      <x:c r="M405" s="7" t="n">
        <x:f>IF('01_Ustawienia'!$B$4="ZWOLNIONY",0,'01_Ustawienia'!$B$7)</x:f>
        <x:v>0.08</x:v>
      </x:c>
      <x:c r="N405" s="8" t="n">
        <x:f>IF(J405="","",ROUND((J405+K405)*(1+M405),0))</x:f>
        <x:v>5232</x:v>
      </x:c>
      <x:c r="O405" s="8" t="n">
        <x:f>IF(J405="","",J405+K405-H405-L405)</x:f>
        <x:v>1503</x:v>
      </x:c>
      <x:c r="P405" s="7" t="n">
        <x:f>IFERROR(O405/(J405+K405),"")</x:f>
        <x:v>0.310280759702725</x:v>
      </x:c>
      <x:c r="Q405" s="6" t="inlineStr">
        <x:is>
          <x:t xml:space="preserve">RAW_ZS - RAW_ZP</x:t>
        </x:is>
      </x:c>
      <x:c r="R405" s="6" t="inlineStr">
        <x:is>
          <x:t xml:space="preserve">POKRYCIE DACHU</x:t>
        </x:is>
      </x:c>
      <x:c r="S405" s="6" t="inlineStr">
        <x:is>
          <x:t xml:space="preserve">website+crm</x:t>
        </x:is>
      </x:c>
      <x:c r="T405" s="6" t="inlineStr">
        <x:is>
          <x:t xml:space="preserve">Dopłata do bazowego dachu poliwęglan | FIX17: Wynagr.+koszty = 0 dla dopłaty; nie jest osobnym montażem ekipy.</x:t>
        </x:is>
      </x:c>
    </x:row>
    <x:row r="406" s="655" customFormat="1" ht="30" customHeight="1">
      <x:c r="A406" s="6" t="inlineStr">
        <x:is>
          <x:t xml:space="preserve">400 x 406 cm</x:t>
        </x:is>
      </x:c>
      <x:c r="B406" s="6" t="inlineStr">
        <x:is>
          <x:t xml:space="preserve">PDSB</x:t>
        </x:is>
      </x:c>
      <x:c r="C406" s="6" t="inlineStr">
        <x:is>
          <x:t xml:space="preserve">Dopłata dach szkło barwione/mleczne</x:t>
        </x:is>
      </x:c>
      <x:c r="D406" s="6" t="inlineStr">
        <x:is>
          <x:t xml:space="preserve">POKRYCIE DACHU SZKŁO BARWIONE</x:t>
        </x:is>
      </x:c>
      <x:c r="E406" s="8" t="n">
        <x:f>IFERROR(INDEX('02_RAW_INDEX'!$X:$X,MATCH($A406,'02_RAW_INDEX'!$A:$A,0)),"")</x:f>
        <x:v>374</x:v>
      </x:c>
      <x:c r="F406" s="8" t="n">
        <x:f>IFERROR(INDEX('02_RAW_INDEX'!$W:$W,MATCH($A406,'02_RAW_INDEX'!$A:$A,0)),"")</x:f>
        <x:v>460</x:v>
      </x:c>
      <x:c r="G406" s="7" t="n">
        <x:f>'01_Ustawienia'!$B$6</x:f>
        <x:v>0</x:v>
      </x:c>
      <x:c r="H406" s="8" t="n">
        <x:f>IF(E406="","",ROUND(IF('01_Ustawienia'!$B$5="BRUTTO",F406,E406)*(1-G406),0))</x:f>
        <x:v>374</x:v>
      </x:c>
      <x:c r="I406" s="7" t="n">
        <x:f>IFERROR(IFERROR(INDEX('01_Ustawienia'!$B$15:$B$33,MATCH(B406,'01_Ustawienia'!$A$15:$A$33,0)),0.45),0.45)</x:f>
        <x:v>0.45</x:v>
      </x:c>
      <x:c r="J406" s="8" t="n">
        <x:f>IF(H406="","",ROUND(H406*(1+I406),0))</x:f>
        <x:v>542</x:v>
      </x:c>
      <x:c r="K406" s="8" t="n">
        <x:f>0</x:f>
        <x:v>0</x:v>
      </x:c>
      <x:c r="L406" s="8" t="n">
        <x:v>0</x:v>
      </x:c>
      <x:c r="M406" s="7" t="n">
        <x:f>IF('01_Ustawienia'!$B$4="ZWOLNIONY",0,'01_Ustawienia'!$B$7)</x:f>
        <x:v>0.08</x:v>
      </x:c>
      <x:c r="N406" s="8" t="n">
        <x:f>IF(J406="","",ROUND((J406+K406)*(1+M406),0))</x:f>
        <x:v>585</x:v>
      </x:c>
      <x:c r="O406" s="8" t="n">
        <x:f>IF(J406="","",J406+K406-H406-L406)</x:f>
        <x:v>168</x:v>
      </x:c>
      <x:c r="P406" s="7" t="n">
        <x:f>IFERROR(O406/(J406+K406),"")</x:f>
        <x:v>0.30996309963099633</x:v>
      </x:c>
      <x:c r="Q406" s="6" t="inlineStr">
        <x:is>
          <x:t xml:space="preserve">RAW_ZS D/E</x:t>
        </x:is>
      </x:c>
      <x:c r="R406" s="6" t="inlineStr">
        <x:is>
          <x:t xml:space="preserve">POKRYCIE DACHU</x:t>
        </x:is>
      </x:c>
      <x:c r="S406" s="6" t="inlineStr">
        <x:is>
          <x:t xml:space="preserve">website+crm</x:t>
        </x:is>
      </x:c>
      <x:c r="T406" s="6" t="inlineStr">
        <x:is>
          <x:t xml:space="preserve">Dodawane do PDS | FIX17: Wynagr.+koszty = 0 dla dopłaty; nie jest osobnym montażem ekipy.</x:t>
        </x:is>
      </x:c>
    </x:row>
    <x:row r="407" s="655" customFormat="1" ht="30" customHeight="1">
      <x:c r="A407" s="6" t="inlineStr">
        <x:is>
          <x:t xml:space="preserve">400 x 406 cm</x:t>
        </x:is>
      </x:c>
      <x:c r="B407" s="6" t="inlineStr">
        <x:is>
          <x:t xml:space="preserve">PDPB</x:t>
        </x:is>
      </x:c>
      <x:c r="C407" s="6" t="inlineStr">
        <x:is>
          <x:t xml:space="preserve">Dopłata poliwęglan barwiony</x:t>
        </x:is>
      </x:c>
      <x:c r="D407" s="6" t="inlineStr">
        <x:is>
          <x:t xml:space="preserve">POKRYCIE DACHU POLIWĘGLAN BARWIONY</x:t>
        </x:is>
      </x:c>
      <x:c r="E407" s="8" t="n">
        <x:f>IFERROR(INDEX('02_RAW_INDEX'!$F:$F,MATCH($A407,'02_RAW_INDEX'!$A:$A,0)),"")</x:f>
        <x:v>179</x:v>
      </x:c>
      <x:c r="F407" s="8" t="n">
        <x:f>IFERROR(INDEX('02_RAW_INDEX'!$E:$E,MATCH($A407,'02_RAW_INDEX'!$A:$A,0)),"")</x:f>
        <x:v>220</x:v>
      </x:c>
      <x:c r="G407" s="7" t="n">
        <x:f>'01_Ustawienia'!$B$6</x:f>
        <x:v>0</x:v>
      </x:c>
      <x:c r="H407" s="8" t="n">
        <x:f>IF(E407="","",ROUND(IF('01_Ustawienia'!$B$5="BRUTTO",F407,E407)*(1-G407),0))</x:f>
        <x:v>179</x:v>
      </x:c>
      <x:c r="I407" s="7" t="n">
        <x:f>IFERROR(IFERROR(INDEX('01_Ustawienia'!$B$15:$B$33,MATCH(B407,'01_Ustawienia'!$A$15:$A$33,0)),0.45),0.45)</x:f>
        <x:v>0.45</x:v>
      </x:c>
      <x:c r="J407" s="8" t="n">
        <x:f>IF(H407="","",ROUND(H407*(1+I407),0))</x:f>
        <x:v>260</x:v>
      </x:c>
      <x:c r="K407" s="8" t="n">
        <x:f>0</x:f>
        <x:v>0</x:v>
      </x:c>
      <x:c r="L407" s="8" t="n">
        <x:v>0</x:v>
      </x:c>
      <x:c r="M407" s="7" t="n">
        <x:f>IF('01_Ustawienia'!$B$4="ZWOLNIONY",0,'01_Ustawienia'!$B$7)</x:f>
        <x:v>0.08</x:v>
      </x:c>
      <x:c r="N407" s="8" t="n">
        <x:f>IF(J407="","",ROUND((J407+K407)*(1+M407),0))</x:f>
        <x:v>281</x:v>
      </x:c>
      <x:c r="O407" s="8" t="n">
        <x:f>IF(J407="","",J407+K407-H407-L407)</x:f>
        <x:v>81</x:v>
      </x:c>
      <x:c r="P407" s="7" t="n">
        <x:f>IFERROR(O407/(J407+K407),"")</x:f>
        <x:v>0.31153846153846154</x:v>
      </x:c>
      <x:c r="Q407" s="6" t="inlineStr">
        <x:is>
          <x:t xml:space="preserve">RAW_ZP D/E</x:t>
        </x:is>
      </x:c>
      <x:c r="R407" s="6" t="inlineStr">
        <x:is>
          <x:t xml:space="preserve">POKRYCIE DACHU</x:t>
        </x:is>
      </x:c>
      <x:c r="S407" s="6" t="inlineStr">
        <x:is>
          <x:t xml:space="preserve">website+crm</x:t>
        </x:is>
      </x:c>
      <x:c r="T407" s="6" t="inlineStr">
        <x:is>
          <x:t xml:space="preserve">FIX17: Wynagr.+koszty = 0 dla dopłaty; nie jest osobnym montażem ekipy.</x:t>
        </x:is>
      </x:c>
    </x:row>
    <x:row r="408" s="655" customFormat="1" ht="30" customHeight="1">
      <x:c r="A408" s="6" t="inlineStr">
        <x:is>
          <x:t xml:space="preserve">400 x 406 cm</x:t>
        </x:is>
      </x:c>
      <x:c r="B408" s="6" t="inlineStr">
        <x:is>
          <x:t xml:space="preserve">SBB</x:t>
        </x:is>
      </x:c>
      <x:c r="C408" s="6" t="inlineStr">
        <x:is>
          <x:t xml:space="preserve">Dopłata szkło boczne przyciemniane</x:t>
        </x:is>
      </x:c>
      <x:c r="D408" s="6" t="inlineStr">
        <x:is>
          <x:t xml:space="preserve">SZKŁO BOCZNE BARWIONE</x:t>
        </x:is>
      </x:c>
      <x:c r="E408" s="8" t="n">
        <x:f>IFERROR(INDEX('02_RAW_INDEX'!$AB:$AB,MATCH($A408,'02_RAW_INDEX'!$A:$A,0)),"")</x:f>
        <x:v>1171</x:v>
      </x:c>
      <x:c r="F408" s="8" t="n">
        <x:f>IFERROR(INDEX('02_RAW_INDEX'!$AA:$AA,MATCH($A408,'02_RAW_INDEX'!$A:$A,0)),"")</x:f>
        <x:v>1440</x:v>
      </x:c>
      <x:c r="G408" s="7" t="n">
        <x:f>'01_Ustawienia'!$B$6</x:f>
        <x:v>0</x:v>
      </x:c>
      <x:c r="H408" s="8" t="n">
        <x:f>IF(E408="","",ROUND(IF('01_Ustawienia'!$B$5="BRUTTO",F408,E408)*(1-G408),0))</x:f>
        <x:v>1171</x:v>
      </x:c>
      <x:c r="I408" s="7" t="n">
        <x:f>IFERROR(IFERROR(INDEX('01_Ustawienia'!$B$15:$B$33,MATCH(B408,'01_Ustawienia'!$A$15:$A$33,0)),0.45),0.45)</x:f>
        <x:v>0.45</x:v>
      </x:c>
      <x:c r="J408" s="8" t="n">
        <x:f>IF(H408="","",ROUND(H408*(1+I408),0))</x:f>
        <x:v>1698</x:v>
      </x:c>
      <x:c r="K408" s="8" t="n">
        <x:f>0</x:f>
        <x:v>0</x:v>
      </x:c>
      <x:c r="L408" s="8" t="n">
        <x:v>0</x:v>
      </x:c>
      <x:c r="M408" s="7" t="n">
        <x:f>IF('01_Ustawienia'!$B$4="ZWOLNIONY",0,'01_Ustawienia'!$B$7)</x:f>
        <x:v>0.08</x:v>
      </x:c>
      <x:c r="N408" s="8" t="n">
        <x:f>IF(J408="","",ROUND((J408+K408)*(1+M408),0))</x:f>
        <x:v>1834</x:v>
      </x:c>
      <x:c r="O408" s="8" t="n">
        <x:f>IF(J408="","",J408+K408-H408-L408)</x:f>
        <x:v>527</x:v>
      </x:c>
      <x:c r="P408" s="7" t="n">
        <x:f>IFERROR(O408/(J408+K408),"")</x:f>
        <x:v>0.31036513545347466</x:v>
      </x:c>
      <x:c r="Q408" s="6" t="inlineStr">
        <x:is>
          <x:t xml:space="preserve">RAW_OP H/I</x:t>
        </x:is>
      </x:c>
      <x:c r="R408" s="6" t="inlineStr">
        <x:is>
          <x:t xml:space="preserve">SZYBY BOCZNE</x:t>
        </x:is>
      </x:c>
      <x:c r="S408" s="6" t="inlineStr">
        <x:is>
          <x:t xml:space="preserve">website+crm</x:t>
        </x:is>
      </x:c>
      <x:c r="T408" s="6" t="inlineStr">
        <x:is>
          <x:t xml:space="preserve">Dodawane do ścian przezroczystych | FIX17: Wynagr.+koszty = 0 dla dopłaty; nie jest osobnym montażem ekipy.</x:t>
        </x:is>
      </x:c>
    </x:row>
    <x:row r="409">
      <x:c r="A409" s="6" t="inlineStr">
        <x:is>
          <x:t xml:space="preserve">400 x 406 cm</x:t>
        </x:is>
      </x:c>
      <x:c r="B409" s="6" t="inlineStr">
        <x:is>
          <x:t xml:space="preserve">RB</x:t>
        </x:is>
      </x:c>
      <x:c r="C409" s="6" t="inlineStr">
        <x:is>
          <x:t xml:space="preserve">Roleta boczna ZIP</x:t>
        </x:is>
      </x:c>
      <x:c r="D409" s="6" t="inlineStr">
        <x:is>
          <x:t xml:space="preserve">ROLETA BOCZNA</x:t>
        </x:is>
      </x:c>
      <x:c r="E409" s="8" t="n">
        <x:f>IFERROR(INDEX('02_RAW_INDEX'!$J:$J,MATCH($A409,'02_RAW_INDEX'!$A:$A,0)),"")</x:f>
        <x:v>2146</x:v>
      </x:c>
      <x:c r="F409" s="8" t="n">
        <x:f>IFERROR(INDEX('02_RAW_INDEX'!$I:$I,MATCH($A409,'02_RAW_INDEX'!$A:$A,0)),"")</x:f>
        <x:v>2640</x:v>
      </x:c>
      <x:c r="G409" s="7" t="n">
        <x:f>'01_Ustawienia'!$B$6</x:f>
        <x:v>0</x:v>
      </x:c>
      <x:c r="H409" s="8" t="n">
        <x:f>IF(E409="","",ROUND(IF('01_Ustawienia'!$B$5="BRUTTO",F409,E409)*(1-G409),0))</x:f>
        <x:v>2146</x:v>
      </x:c>
      <x:c r="I409" s="7" t="n">
        <x:f>IFERROR(IFERROR(INDEX('01_Ustawienia'!$B$15:$B$33,MATCH(B409,'01_Ustawienia'!$A$15:$A$33,0)),0.45),0.45)</x:f>
        <x:v>0.45</x:v>
      </x:c>
      <x:c r="J409" s="8" t="n">
        <x:f>IF(H409="","",ROUND(H409*(1+I409),0))</x:f>
        <x:v>3112</x:v>
      </x:c>
      <x:c r="K409" s="8" t="n">
        <x:f>0</x:f>
        <x:v>0</x:v>
      </x:c>
      <x:c r="L409" s="8" t="n">
        <x:f>IFERROR(IFERROR(INDEX(EG_Cennik_uslug!$AC:$AC,MATCH($A409,EG_Cennik_uslug!$A:$A,0)),0),0)</x:f>
        <x:v>150</x:v>
      </x:c>
      <x:c r="M409" s="7" t="n">
        <x:f>IF('01_Ustawienia'!$B$4="ZWOLNIONY",0,'01_Ustawienia'!$B$7)</x:f>
        <x:v>0.08</x:v>
      </x:c>
      <x:c r="N409" s="8" t="n">
        <x:f>IF(J409="","",ROUND((J409+K409)*(1+M409),0))</x:f>
        <x:v>3361</x:v>
      </x:c>
      <x:c r="O409" s="8" t="n">
        <x:f>IF(J409="","",J409+K409-H409-L409)</x:f>
        <x:v>816</x:v>
      </x:c>
      <x:c r="P409" s="7" t="n">
        <x:f>IFERROR(O409/(J409+K409),"")</x:f>
        <x:v>0.2622107969151671</x:v>
      </x:c>
      <x:c r="Q409" s="6" t="inlineStr">
        <x:is>
          <x:t xml:space="preserve">RAW_ZP J/K</x:t>
        </x:is>
      </x:c>
      <x:c r="R409" s="6" t="inlineStr">
        <x:is>
          <x:t xml:space="preserve">ROLETY BOCZNE</x:t>
        </x:is>
      </x:c>
      <x:c r="S409" s="6" t="inlineStr">
        <x:is>
          <x:t xml:space="preserve">website+crm</x:t>
        </x:is>
      </x:c>
      <x:c r="T409" s="6" t="inlineStr">
        <x:is>
          <x:t xml:space="preserve">Używana dla lewej i prawej</x:t>
        </x:is>
      </x:c>
    </x:row>
    <x:row r="410">
      <x:c r="A410" s="6" t="inlineStr">
        <x:is>
          <x:t xml:space="preserve">400 x 406 cm</x:t>
        </x:is>
      </x:c>
      <x:c r="B410" s="6" t="inlineStr">
        <x:is>
          <x:t xml:space="preserve">RP</x:t>
        </x:is>
      </x:c>
      <x:c r="C410" s="6" t="inlineStr">
        <x:is>
          <x:t xml:space="preserve">Roleta przednia ZIP</x:t>
        </x:is>
      </x:c>
      <x:c r="D410" s="6" t="inlineStr">
        <x:is>
          <x:t xml:space="preserve">ROLETA PRZÓD</x:t>
        </x:is>
      </x:c>
      <x:c r="E410" s="8" t="n">
        <x:f>IFERROR(INDEX('02_RAW_INDEX'!$L:$L,MATCH($A410,'02_RAW_INDEX'!$A:$A,0)),"")</x:f>
        <x:v>2146</x:v>
      </x:c>
      <x:c r="F410" s="8" t="n">
        <x:f>IFERROR(INDEX('02_RAW_INDEX'!$K:$K,MATCH($A410,'02_RAW_INDEX'!$A:$A,0)),"")</x:f>
        <x:v>2640</x:v>
      </x:c>
      <x:c r="G410" s="7" t="n">
        <x:f>'01_Ustawienia'!$B$6</x:f>
        <x:v>0</x:v>
      </x:c>
      <x:c r="H410" s="8" t="n">
        <x:f>IF(E410="","",ROUND(IF('01_Ustawienia'!$B$5="BRUTTO",F410,E410)*(1-G410),0))</x:f>
        <x:v>2146</x:v>
      </x:c>
      <x:c r="I410" s="7" t="n">
        <x:f>IFERROR(IFERROR(INDEX('01_Ustawienia'!$B$15:$B$33,MATCH(B410,'01_Ustawienia'!$A$15:$A$33,0)),0.45),0.45)</x:f>
        <x:v>0.45</x:v>
      </x:c>
      <x:c r="J410" s="8" t="n">
        <x:f>IF(H410="","",ROUND(H410*(1+I410),0))</x:f>
        <x:v>3112</x:v>
      </x:c>
      <x:c r="K410" s="8" t="n">
        <x:f>0</x:f>
        <x:v>0</x:v>
      </x:c>
      <x:c r="L410" s="8" t="n">
        <x:f>IFERROR(IFERROR(INDEX(EG_Cennik_uslug!$AJ:$AJ,MATCH($A410,EG_Cennik_uslug!$A:$A,0)),0),0)</x:f>
        <x:v>150</x:v>
      </x:c>
      <x:c r="M410" s="7" t="n">
        <x:f>IF('01_Ustawienia'!$B$4="ZWOLNIONY",0,'01_Ustawienia'!$B$7)</x:f>
        <x:v>0.08</x:v>
      </x:c>
      <x:c r="N410" s="8" t="n">
        <x:f>IF(J410="","",ROUND((J410+K410)*(1+M410),0))</x:f>
        <x:v>3361</x:v>
      </x:c>
      <x:c r="O410" s="8" t="n">
        <x:f>IF(J410="","",J410+K410-H410-L410)</x:f>
        <x:v>816</x:v>
      </x:c>
      <x:c r="P410" s="7" t="n">
        <x:f>IFERROR(O410/(J410+K410),"")</x:f>
        <x:v>0.2622107969151671</x:v>
      </x:c>
      <x:c r="Q410" s="6" t="inlineStr">
        <x:is>
          <x:t xml:space="preserve">RAW_ZP N/O</x:t>
        </x:is>
      </x:c>
      <x:c r="R410" s="6" t="inlineStr">
        <x:is>
          <x:t xml:space="preserve">ROLETY BOCZNE</x:t>
        </x:is>
      </x:c>
      <x:c r="S410" s="6" t="inlineStr">
        <x:is>
          <x:t xml:space="preserve">website+crm</x:t>
        </x:is>
      </x:c>
      <x:c r="T410" s="6" t="n"/>
    </x:row>
    <x:row r="411">
      <x:c r="A411" s="6" t="inlineStr">
        <x:is>
          <x:t xml:space="preserve">400 x 406 cm</x:t>
        </x:is>
      </x:c>
      <x:c r="B411" s="6" t="inlineStr">
        <x:is>
          <x:t xml:space="preserve">M</x:t>
        </x:is>
      </x:c>
      <x:c r="C411" s="6" t="inlineStr">
        <x:is>
          <x:t xml:space="preserve">Markiza dachowa</x:t>
        </x:is>
      </x:c>
      <x:c r="D411" s="6" t="inlineStr">
        <x:is>
          <x:t xml:space="preserve">MARKIZA</x:t>
        </x:is>
      </x:c>
      <x:c r="E411" s="8" t="n">
        <x:f>IFERROR(INDEX('02_RAW_INDEX'!$H:$H,MATCH($A411,'02_RAW_INDEX'!$A:$A,0)),"")</x:f>
        <x:v>3789</x:v>
      </x:c>
      <x:c r="F411" s="8" t="n">
        <x:f>IFERROR(INDEX('02_RAW_INDEX'!$G:$G,MATCH($A411,'02_RAW_INDEX'!$A:$A,0)),"")</x:f>
        <x:v>4660</x:v>
      </x:c>
      <x:c r="G411" s="7" t="n">
        <x:f>'01_Ustawienia'!$B$6</x:f>
        <x:v>0</x:v>
      </x:c>
      <x:c r="H411" s="8" t="n">
        <x:f>IF(E411="","",ROUND(IF('01_Ustawienia'!$B$5="BRUTTO",F411,E411)*(1-G411),0))</x:f>
        <x:v>3789</x:v>
      </x:c>
      <x:c r="I411" s="7" t="n">
        <x:f>IFERROR(IFERROR(INDEX('01_Ustawienia'!$B$15:$B$33,MATCH(B411,'01_Ustawienia'!$A$15:$A$33,0)),0.45),0.45)</x:f>
        <x:v>0.45</x:v>
      </x:c>
      <x:c r="J411" s="8" t="n">
        <x:f>IF(H411="","",ROUND(H411*(1+I411),0))</x:f>
        <x:v>5494</x:v>
      </x:c>
      <x:c r="K411" s="8" t="n">
        <x:f>0</x:f>
        <x:v>0</x:v>
      </x:c>
      <x:c r="L411" s="8" t="n">
        <x:f>IFERROR(IFERROR(INDEX(EG_Cennik_uslug!$AQ:$AQ,MATCH($A411,EG_Cennik_uslug!$A:$A,0)),0),0)</x:f>
        <x:v>250</x:v>
      </x:c>
      <x:c r="M411" s="7" t="n">
        <x:f>IF('01_Ustawienia'!$B$4="ZWOLNIONY",0,'01_Ustawienia'!$B$7)</x:f>
        <x:v>0.08</x:v>
      </x:c>
      <x:c r="N411" s="8" t="n">
        <x:f>IF(J411="","",ROUND((J411+K411)*(1+M411),0))</x:f>
        <x:v>5934</x:v>
      </x:c>
      <x:c r="O411" s="8" t="n">
        <x:f>IF(J411="","",J411+K411-H411-L411)</x:f>
        <x:v>1455</x:v>
      </x:c>
      <x:c r="P411" s="7" t="n">
        <x:f>IFERROR(O411/(J411+K411),"")</x:f>
        <x:v>0.2648343647615581</x:v>
      </x:c>
      <x:c r="Q411" s="6" t="inlineStr">
        <x:is>
          <x:t xml:space="preserve">RAW_ZP H/I</x:t>
        </x:is>
      </x:c>
      <x:c r="R411" s="6" t="inlineStr">
        <x:is>
          <x:t xml:space="preserve">MARKIZA</x:t>
        </x:is>
      </x:c>
      <x:c r="S411" s="6" t="inlineStr">
        <x:is>
          <x:t xml:space="preserve">website+crm</x:t>
        </x:is>
      </x:c>
      <x:c r="T411" s="6" t="n"/>
    </x:row>
    <x:row r="412">
      <x:c r="A412" s="6" t="inlineStr">
        <x:is>
          <x:t xml:space="preserve">400 x 406 cm</x:t>
        </x:is>
      </x:c>
      <x:c r="B412" s="6" t="inlineStr">
        <x:is>
          <x:t xml:space="preserve">PDWP</x:t>
        </x:is>
      </x:c>
      <x:c r="C412" s="6" t="inlineStr">
        <x:is>
          <x:t xml:space="preserve">Fundament/profile</x:t>
        </x:is>
      </x:c>
      <x:c r="D412" s="6" t="inlineStr">
        <x:is>
          <x:t xml:space="preserve">FUNDAMENT / PROFILE</x:t>
        </x:is>
      </x:c>
      <x:c r="E412" s="8" t="n">
        <x:f>IFERROR(INDEX('02_RAW_INDEX'!$AH:$AH,MATCH($A412,'02_RAW_INDEX'!$A:$A,0)),"")</x:f>
        <x:v>813</x:v>
      </x:c>
      <x:c r="F412" s="8" t="n">
        <x:f>IFERROR(INDEX('02_RAW_INDEX'!$AG:$AG,MATCH($A412,'02_RAW_INDEX'!$A:$A,0)),"")</x:f>
        <x:v>1000</x:v>
      </x:c>
      <x:c r="G412" s="7" t="n">
        <x:f>'01_Ustawienia'!$B$6</x:f>
        <x:v>0</x:v>
      </x:c>
      <x:c r="H412" s="8" t="n">
        <x:f>IF(E412="","",ROUND(IF('01_Ustawienia'!$B$5="BRUTTO",F412,E412)*(1-G412),0))</x:f>
        <x:v>813</x:v>
      </x:c>
      <x:c r="I412" s="7" t="n">
        <x:f>IFERROR(IFERROR(INDEX('01_Ustawienia'!$B$15:$B$33,MATCH(B412,'01_Ustawienia'!$A$15:$A$33,0)),0.45),0.45)</x:f>
        <x:v>1.2</x:v>
      </x:c>
      <x:c r="J412" s="8" t="n">
        <x:f>IF(H412="","",ROUND(H412*(1+I412),0))</x:f>
        <x:v>1789</x:v>
      </x:c>
      <x:c r="K412" s="8" t="n">
        <x:f>0</x:f>
        <x:v>0</x:v>
      </x:c>
      <x:c r="L412" s="8" t="n">
        <x:f>IFERROR(IFERROR(INDEX(EG_Cennik_uslug!$BT:$BT,MATCH($A412,EG_Cennik_uslug!$A:$A,0)),0),0)</x:f>
        <x:v>380</x:v>
      </x:c>
      <x:c r="M412" s="7" t="n">
        <x:f>IF('01_Ustawienia'!$B$4="ZWOLNIONY",0,'01_Ustawienia'!$B$7)</x:f>
        <x:v>0.08</x:v>
      </x:c>
      <x:c r="N412" s="8" t="n">
        <x:f>IF(J412="","",ROUND((J412+K412)*(1+M412),0))</x:f>
        <x:v>1932</x:v>
      </x:c>
      <x:c r="O412" s="8" t="n">
        <x:f>IF(J412="","",J412+K412-H412-L412)</x:f>
        <x:v>596</x:v>
      </x:c>
      <x:c r="P412" s="7" t="n">
        <x:f>IFERROR(O412/(J412+K412),"")</x:f>
        <x:v>0.33314700950251536</x:v>
      </x:c>
      <x:c r="Q412" s="6" t="inlineStr">
        <x:is>
          <x:t xml:space="preserve">RAW_OP AB/AC</x:t>
        </x:is>
      </x:c>
      <x:c r="R412" s="6" t="inlineStr">
        <x:is>
          <x:t xml:space="preserve">FUNDAMENT (PROFILE)</x:t>
        </x:is>
      </x:c>
      <x:c r="S412" s="6" t="inlineStr">
        <x:is>
          <x:t xml:space="preserve">website+crm</x:t>
        </x:is>
      </x:c>
      <x:c r="T412" s="6" t="n"/>
    </x:row>
    <x:row r="413" s="655" customFormat="1" ht="30" customHeight="1">
      <x:c r="A413" s="6" t="inlineStr">
        <x:is>
          <x:t xml:space="preserve">400 x 406 cm</x:t>
        </x:is>
      </x:c>
      <x:c r="B413" s="6" t="inlineStr">
        <x:is>
          <x:t xml:space="preserve">ZAB</x:t>
        </x:is>
      </x:c>
      <x:c r="C413" s="6" t="inlineStr">
        <x:is>
          <x:t xml:space="preserve">Zabieraki do ścian przesuwnych</x:t>
        </x:is>
      </x:c>
      <x:c r="D413" s="6" t="inlineStr">
        <x:is>
          <x:t xml:space="preserve">DODATKI</x:t>
        </x:is>
      </x:c>
      <x:c r="E413" s="8" t="n">
        <x:f>IFERROR(INDEX('02_RAW_INDEX'!$AJ:$AJ,MATCH($A413,'02_RAW_INDEX'!$A:$A,0)),"")</x:f>
        <x:v>293</x:v>
      </x:c>
      <x:c r="F413" s="8" t="n">
        <x:f>IFERROR(INDEX('02_RAW_INDEX'!$AI:$AI,MATCH($A413,'02_RAW_INDEX'!$A:$A,0)),"")</x:f>
        <x:v>360</x:v>
      </x:c>
      <x:c r="G413" s="7" t="n">
        <x:f>'01_Ustawienia'!$B$6</x:f>
        <x:v>0</x:v>
      </x:c>
      <x:c r="H413" s="8" t="n">
        <x:f>IF(E413="","",ROUND(IF('01_Ustawienia'!$B$5="BRUTTO",F413,E413)*(1-G413),0))</x:f>
        <x:v>293</x:v>
      </x:c>
      <x:c r="I413" s="7" t="n">
        <x:f>IFERROR(IFERROR(INDEX('01_Ustawienia'!$B$15:$B$33,MATCH(B413,'01_Ustawienia'!$A$15:$A$33,0)),0.45),0.45)</x:f>
        <x:v>0.45</x:v>
      </x:c>
      <x:c r="J413" s="8" t="n">
        <x:f>IF(H413="","",ROUND(H413*(1+I413),0))</x:f>
        <x:v>425</x:v>
      </x:c>
      <x:c r="K413" s="8" t="n">
        <x:f>0</x:f>
        <x:v>0</x:v>
      </x:c>
      <x:c r="L413" s="8" t="n">
        <x:f>0</x:f>
        <x:v>0</x:v>
      </x:c>
      <x:c r="M413" s="7" t="n">
        <x:f>IF('01_Ustawienia'!$B$4="ZWOLNIONY",0,'01_Ustawienia'!$B$7)</x:f>
        <x:v>0.08</x:v>
      </x:c>
      <x:c r="N413" s="8" t="n">
        <x:f>IF(J413="","",ROUND((J413+K413)*(1+M413),0))</x:f>
        <x:v>459</x:v>
      </x:c>
      <x:c r="O413" s="8" t="n">
        <x:f>IF(J413="","",J413+K413-H413-L413)</x:f>
        <x:v>132</x:v>
      </x:c>
      <x:c r="P413" s="7" t="n">
        <x:f>IFERROR(O413/(J413+K413),"")</x:f>
        <x:v>0.31058823529411766</x:v>
      </x:c>
      <x:c r="Q413" s="6" t="inlineStr">
        <x:is>
          <x:t xml:space="preserve">RAW_OP AD/AE</x:t>
        </x:is>
      </x:c>
      <x:c r="R413" s="6" t="inlineStr">
        <x:is>
          <x:t xml:space="preserve">DODATKI</x:t>
        </x:is>
      </x:c>
      <x:c r="S413" s="6" t="inlineStr">
        <x:is>
          <x:t xml:space="preserve">crm_only</x:t>
        </x:is>
      </x:c>
      <x:c r="T413" s="6" t="n"/>
    </x:row>
    <x:row r="414">
      <x:c r="A414" s="6" t="inlineStr">
        <x:is>
          <x:t xml:space="preserve">400 x 406 cm</x:t>
        </x:is>
      </x:c>
      <x:c r="B414" s="6" t="inlineStr">
        <x:is>
          <x:t xml:space="preserve">S</x:t>
        </x:is>
      </x:c>
      <x:c r="C414" s="6" t="inlineStr">
        <x:is>
          <x:t xml:space="preserve">Szczotki przeciwkurzowe</x:t>
        </x:is>
      </x:c>
      <x:c r="D414" s="6" t="inlineStr">
        <x:is>
          <x:t xml:space="preserve">SZCZOTKI</x:t>
        </x:is>
      </x:c>
      <x:c r="E414" s="8" t="n">
        <x:f>IFERROR(INDEX('02_RAW_INDEX'!$AD:$AD,MATCH($A414,'02_RAW_INDEX'!$A:$A,0)),"")</x:f>
        <x:v>374</x:v>
      </x:c>
      <x:c r="F414" s="8" t="n">
        <x:f>IFERROR(INDEX('02_RAW_INDEX'!$AC:$AC,MATCH($A414,'02_RAW_INDEX'!$A:$A,0)),"")</x:f>
        <x:v>460</x:v>
      </x:c>
      <x:c r="G414" s="7" t="n">
        <x:f>'01_Ustawienia'!$B$6</x:f>
        <x:v>0</x:v>
      </x:c>
      <x:c r="H414" s="8" t="n">
        <x:f>IF(E414="","",ROUND(IF('01_Ustawienia'!$B$5="BRUTTO",F414,E414)*(1-G414),0))</x:f>
        <x:v>374</x:v>
      </x:c>
      <x:c r="I414" s="7" t="n">
        <x:f>IFERROR(IFERROR(INDEX('01_Ustawienia'!$B$15:$B$33,MATCH(B414,'01_Ustawienia'!$A$15:$A$33,0)),0.45),0.45)</x:f>
        <x:v>0.45</x:v>
      </x:c>
      <x:c r="J414" s="8" t="n">
        <x:f>IF(H414="","",ROUND(H414*(1+I414),0))</x:f>
        <x:v>542</x:v>
      </x:c>
      <x:c r="K414" s="8" t="n">
        <x:f>0</x:f>
        <x:v>0</x:v>
      </x:c>
      <x:c r="L414" s="8" t="n">
        <x:f>IFERROR(IFERROR(INDEX(EG_Cennik_uslug!$CA:$CA,MATCH($A414,EG_Cennik_uslug!$A:$A,0)),0),0)</x:f>
        <x:v>0</x:v>
      </x:c>
      <x:c r="M414" s="7" t="n">
        <x:f>IF('01_Ustawienia'!$B$4="ZWOLNIONY",0,'01_Ustawienia'!$B$7)</x:f>
        <x:v>0.08</x:v>
      </x:c>
      <x:c r="N414" s="8" t="n">
        <x:f>IF(J414="","",ROUND((J414+K414)*(1+M414),0))</x:f>
        <x:v>585</x:v>
      </x:c>
      <x:c r="O414" s="8" t="n">
        <x:f>IF(J414="","",J414+K414-H414-L414)</x:f>
        <x:v>168</x:v>
      </x:c>
      <x:c r="P414" s="7" t="n">
        <x:f>IFERROR(O414/(J414+K414),"")</x:f>
        <x:v>0.30996309963099633</x:v>
      </x:c>
      <x:c r="Q414" s="6" t="inlineStr">
        <x:is>
          <x:t xml:space="preserve">RAW_OP L/M</x:t>
        </x:is>
      </x:c>
      <x:c r="R414" s="6" t="inlineStr">
        <x:is>
          <x:t xml:space="preserve">DODATKI</x:t>
        </x:is>
      </x:c>
      <x:c r="S414" s="6" t="inlineStr">
        <x:is>
          <x:t xml:space="preserve">website+crm</x:t>
        </x:is>
      </x:c>
      <x:c r="T414" s="6" t="n"/>
    </x:row>
    <x:row r="415">
      <x:c r="A415" s="6" t="inlineStr">
        <x:is>
          <x:t xml:space="preserve">400 x 406 cm</x:t>
        </x:is>
      </x:c>
      <x:c r="B415" s="6" t="inlineStr">
        <x:is>
          <x:t xml:space="preserve">U</x:t>
        </x:is>
      </x:c>
      <x:c r="C415" s="6" t="inlineStr">
        <x:is>
          <x:t xml:space="preserve">Uchwyty na szkło ścienne</x:t>
        </x:is>
      </x:c>
      <x:c r="D415" s="6" t="inlineStr">
        <x:is>
          <x:t xml:space="preserve">UCHWYTY</x:t>
        </x:is>
      </x:c>
      <x:c r="E415" s="8" t="n">
        <x:f>IFERROR(INDEX('02_RAW_INDEX'!$AF:$AF,MATCH($A415,'02_RAW_INDEX'!$A:$A,0)),"")</x:f>
        <x:v>333</x:v>
      </x:c>
      <x:c r="F415" s="8" t="n">
        <x:f>IFERROR(INDEX('02_RAW_INDEX'!$AE:$AE,MATCH($A415,'02_RAW_INDEX'!$A:$A,0)),"")</x:f>
        <x:v>410</x:v>
      </x:c>
      <x:c r="G415" s="7" t="n">
        <x:f>'01_Ustawienia'!$B$6</x:f>
        <x:v>0</x:v>
      </x:c>
      <x:c r="H415" s="8" t="n">
        <x:f>IF(E415="","",ROUND(IF('01_Ustawienia'!$B$5="BRUTTO",F415,E415)*(1-G415),0))</x:f>
        <x:v>333</x:v>
      </x:c>
      <x:c r="I415" s="7" t="n">
        <x:f>IFERROR(IFERROR(INDEX('01_Ustawienia'!$B$15:$B$33,MATCH(B415,'01_Ustawienia'!$A$15:$A$33,0)),0.45),0.45)</x:f>
        <x:v>0.45</x:v>
      </x:c>
      <x:c r="J415" s="8" t="n">
        <x:f>IF(H415="","",ROUND(H415*(1+I415),0))</x:f>
        <x:v>483</x:v>
      </x:c>
      <x:c r="K415" s="8" t="n">
        <x:f>0</x:f>
        <x:v>0</x:v>
      </x:c>
      <x:c r="L415" s="8" t="n">
        <x:f>IFERROR(IFERROR(INDEX(EG_Cennik_uslug!$CH:$CH,MATCH($A415,EG_Cennik_uslug!$A:$A,0)),0),0)</x:f>
        <x:v>0</x:v>
      </x:c>
      <x:c r="M415" s="7" t="n">
        <x:f>IF('01_Ustawienia'!$B$4="ZWOLNIONY",0,'01_Ustawienia'!$B$7)</x:f>
        <x:v>0.08</x:v>
      </x:c>
      <x:c r="N415" s="8" t="n">
        <x:f>IF(J415="","",ROUND((J415+K415)*(1+M415),0))</x:f>
        <x:v>522</x:v>
      </x:c>
      <x:c r="O415" s="8" t="n">
        <x:f>IF(J415="","",J415+K415-H415-L415)</x:f>
        <x:v>150</x:v>
      </x:c>
      <x:c r="P415" s="7" t="n">
        <x:f>IFERROR(O415/(J415+K415),"")</x:f>
        <x:v>0.3105590062111801</x:v>
      </x:c>
      <x:c r="Q415" s="6" t="inlineStr">
        <x:is>
          <x:t xml:space="preserve">RAW_OP N/O</x:t>
        </x:is>
      </x:c>
      <x:c r="R415" s="6" t="inlineStr">
        <x:is>
          <x:t xml:space="preserve">DODATKI</x:t>
        </x:is>
      </x:c>
      <x:c r="S415" s="6" t="inlineStr">
        <x:is>
          <x:t xml:space="preserve">website+crm</x:t>
        </x:is>
      </x:c>
      <x:c r="T415" s="6" t="n"/>
    </x:row>
    <x:row r="416">
      <x:c r="A416" s="6" t="inlineStr">
        <x:is>
          <x:t xml:space="preserve">400 x 406 cm</x:t>
        </x:is>
      </x:c>
      <x:c r="B416" s="6" t="inlineStr">
        <x:is>
          <x:t xml:space="preserve">LED2</x:t>
        </x:is>
      </x:c>
      <x:c r="C416" s="6" t="inlineStr">
        <x:is>
          <x:t xml:space="preserve">Oświetlenie LED 2 punkty</x:t>
        </x:is>
      </x:c>
      <x:c r="D416" s="6" t="inlineStr">
        <x:is>
          <x:t xml:space="preserve">LED 2 PKT</x:t>
        </x:is>
      </x:c>
      <x:c r="E416" s="8" t="n">
        <x:f>IFERROR(INDEX('02_RAW_INDEX'!$N:$N,MATCH($A416,'02_RAW_INDEX'!$A:$A,0)),"")</x:f>
        <x:v>415</x:v>
      </x:c>
      <x:c r="F416" s="8" t="n">
        <x:f>IFERROR(INDEX('02_RAW_INDEX'!$M:$M,MATCH($A416,'02_RAW_INDEX'!$A:$A,0)),"")</x:f>
        <x:v>510</x:v>
      </x:c>
      <x:c r="G416" s="7" t="n">
        <x:f>'01_Ustawienia'!$B$6</x:f>
        <x:v>0</x:v>
      </x:c>
      <x:c r="H416" s="8" t="n">
        <x:f>IF(E416="","",ROUND(IF('01_Ustawienia'!$B$5="BRUTTO",F416,E416)*(1-G416),0))</x:f>
        <x:v>415</x:v>
      </x:c>
      <x:c r="I416" s="7" t="n">
        <x:f>IFERROR(IFERROR(INDEX('01_Ustawienia'!$B$15:$B$33,MATCH(B416,'01_Ustawienia'!$A$15:$A$33,0)),0.45),0.45)</x:f>
        <x:v>0.45</x:v>
      </x:c>
      <x:c r="J416" s="8" t="n">
        <x:f>IF(H416="","",ROUND(H416*(1+I416),0))</x:f>
        <x:v>602</x:v>
      </x:c>
      <x:c r="K416" s="8" t="n">
        <x:f>0</x:f>
        <x:v>0</x:v>
      </x:c>
      <x:c r="L416" s="8" t="n">
        <x:f>IFERROR(IFERROR(INDEX(EG_Cennik_uslug!$CO:$CO,MATCH($A416,EG_Cennik_uslug!$A:$A,0)),0),0)</x:f>
        <x:v>0</x:v>
      </x:c>
      <x:c r="M416" s="7" t="n">
        <x:f>IF('01_Ustawienia'!$B$4="ZWOLNIONY",0,'01_Ustawienia'!$B$7)</x:f>
        <x:v>0.08</x:v>
      </x:c>
      <x:c r="N416" s="8" t="n">
        <x:f>IF(J416="","",ROUND((J416+K416)*(1+M416),0))</x:f>
        <x:v>650</x:v>
      </x:c>
      <x:c r="O416" s="8" t="n">
        <x:f>IF(J416="","",J416+K416-H416-L416)</x:f>
        <x:v>187</x:v>
      </x:c>
      <x:c r="P416" s="7" t="n">
        <x:f>IFERROR(O416/(J416+K416),"")</x:f>
        <x:v>0.3106312292358804</x:v>
      </x:c>
      <x:c r="Q416" s="6" t="inlineStr">
        <x:is>
          <x:t xml:space="preserve">RAW_ZP P/Q</x:t>
        </x:is>
      </x:c>
      <x:c r="R416" s="6" t="inlineStr">
        <x:is>
          <x:t xml:space="preserve">OŚWIETLENIE</x:t>
        </x:is>
      </x:c>
      <x:c r="S416" s="6" t="inlineStr">
        <x:is>
          <x:t xml:space="preserve">website+crm</x:t>
        </x:is>
      </x:c>
      <x:c r="T416" s="6" t="n"/>
    </x:row>
    <x:row r="417">
      <x:c r="A417" s="6" t="inlineStr">
        <x:is>
          <x:t xml:space="preserve">400 x 406 cm</x:t>
        </x:is>
      </x:c>
      <x:c r="B417" s="6" t="inlineStr">
        <x:is>
          <x:t xml:space="preserve">LED3</x:t>
        </x:is>
      </x:c>
      <x:c r="C417" s="6" t="inlineStr">
        <x:is>
          <x:t xml:space="preserve">Oświetlenie LED 3 punkty</x:t>
        </x:is>
      </x:c>
      <x:c r="D417" s="6" t="inlineStr">
        <x:is>
          <x:t xml:space="preserve">LED 3 PKT</x:t>
        </x:is>
      </x:c>
      <x:c r="E417" s="8" t="n">
        <x:f>IFERROR(INDEX('02_RAW_INDEX'!$P:$P,MATCH($A417,'02_RAW_INDEX'!$A:$A,0)),"")</x:f>
        <x:v>602</x:v>
      </x:c>
      <x:c r="F417" s="8" t="n">
        <x:f>IFERROR(INDEX('02_RAW_INDEX'!$O:$O,MATCH($A417,'02_RAW_INDEX'!$A:$A,0)),"")</x:f>
        <x:v>740</x:v>
      </x:c>
      <x:c r="G417" s="7" t="n">
        <x:f>'01_Ustawienia'!$B$6</x:f>
        <x:v>0</x:v>
      </x:c>
      <x:c r="H417" s="8" t="n">
        <x:f>IF(E417="","",ROUND(IF('01_Ustawienia'!$B$5="BRUTTO",F417,E417)*(1-G417),0))</x:f>
        <x:v>602</x:v>
      </x:c>
      <x:c r="I417" s="7" t="n">
        <x:f>IFERROR(IFERROR(INDEX('01_Ustawienia'!$B$15:$B$33,MATCH(B417,'01_Ustawienia'!$A$15:$A$33,0)),0.45),0.45)</x:f>
        <x:v>0.45</x:v>
      </x:c>
      <x:c r="J417" s="8" t="n">
        <x:f>IF(H417="","",ROUND(H417*(1+I417),0))</x:f>
        <x:v>873</x:v>
      </x:c>
      <x:c r="K417" s="8" t="n">
        <x:f>0</x:f>
        <x:v>0</x:v>
      </x:c>
      <x:c r="L417" s="8" t="n">
        <x:f>IFERROR(IFERROR(INDEX(EG_Cennik_uslug!$CV:$CV,MATCH($A417,EG_Cennik_uslug!$A:$A,0)),0),0)</x:f>
        <x:v>0</x:v>
      </x:c>
      <x:c r="M417" s="7" t="n">
        <x:f>IF('01_Ustawienia'!$B$4="ZWOLNIONY",0,'01_Ustawienia'!$B$7)</x:f>
        <x:v>0.08</x:v>
      </x:c>
      <x:c r="N417" s="8" t="n">
        <x:f>IF(J417="","",ROUND((J417+K417)*(1+M417),0))</x:f>
        <x:v>943</x:v>
      </x:c>
      <x:c r="O417" s="8" t="n">
        <x:f>IF(J417="","",J417+K417-H417-L417)</x:f>
        <x:v>271</x:v>
      </x:c>
      <x:c r="P417" s="7" t="n">
        <x:f>IFERROR(O417/(J417+K417),"")</x:f>
        <x:v>0.3104238258877434</x:v>
      </x:c>
      <x:c r="Q417" s="6" t="inlineStr">
        <x:is>
          <x:t xml:space="preserve">RAW_ZP R/S</x:t>
        </x:is>
      </x:c>
      <x:c r="R417" s="6" t="inlineStr">
        <x:is>
          <x:t xml:space="preserve">OŚWIETLENIE</x:t>
        </x:is>
      </x:c>
      <x:c r="S417" s="6" t="inlineStr">
        <x:is>
          <x:t xml:space="preserve">website+crm</x:t>
        </x:is>
      </x:c>
      <x:c r="T417" s="6" t="inlineStr">
        <x:is>
          <x:t xml:space="preserve">Nazwa do potwierdzenia</x:t>
        </x:is>
      </x:c>
    </x:row>
    <x:row r="418">
      <x:c r="A418" s="6" t="inlineStr">
        <x:is>
          <x:t xml:space="preserve">400 x 406 cm</x:t>
        </x:is>
      </x:c>
      <x:c r="B418" s="6" t="inlineStr">
        <x:is>
          <x:t xml:space="preserve">LEDCCT</x:t>
        </x:is>
      </x:c>
      <x:c r="C418" s="6" t="inlineStr">
        <x:is>
          <x:t xml:space="preserve">Oświetlenie LED CCT</x:t>
        </x:is>
      </x:c>
      <x:c r="D418" s="6" t="inlineStr">
        <x:is>
          <x:t xml:space="preserve">OŚWIETLENIE</x:t>
        </x:is>
      </x:c>
      <x:c r="E418" s="8" t="n">
        <x:f>IFERROR(INDEX('02_RAW_INDEX'!$R:$R,MATCH($A418,'02_RAW_INDEX'!$A:$A,0)),"")</x:f>
        <x:v>1040</x:v>
      </x:c>
      <x:c r="F418" s="8" t="n">
        <x:f>IFERROR(INDEX('02_RAW_INDEX'!$Q:$Q,MATCH($A418,'02_RAW_INDEX'!$A:$A,0)),"")</x:f>
        <x:v>1279</x:v>
      </x:c>
      <x:c r="G418" s="7" t="n">
        <x:f>'01_Ustawienia'!$B$6</x:f>
        <x:v>0</x:v>
      </x:c>
      <x:c r="H418" s="8" t="n">
        <x:f>IF(E418="","",ROUND(IF('01_Ustawienia'!$B$5="BRUTTO",F418,E418)*(1-G418),0))</x:f>
        <x:v>1040</x:v>
      </x:c>
      <x:c r="I418" s="7" t="n">
        <x:f>IFERROR(IFERROR(INDEX('01_Ustawienia'!$B$15:$B$33,MATCH(B418,'01_Ustawienia'!$A$15:$A$33,0)),0.45),0.45)</x:f>
        <x:v>0.45</x:v>
      </x:c>
      <x:c r="J418" s="8" t="n">
        <x:f>IF(H418="","",ROUND(H418*(1+I418),0))</x:f>
        <x:v>1508</x:v>
      </x:c>
      <x:c r="K418" s="8" t="n">
        <x:f>0</x:f>
        <x:v>0</x:v>
      </x:c>
      <x:c r="L418" s="8" t="n">
        <x:f>0</x:f>
        <x:v>0</x:v>
      </x:c>
      <x:c r="M418" s="7" t="n">
        <x:f>IF('01_Ustawienia'!$B$4="ZWOLNIONY",0,'01_Ustawienia'!$B$7)</x:f>
        <x:v>0.08</x:v>
      </x:c>
      <x:c r="N418" s="8" t="n">
        <x:f>IF(J418="","",ROUND((J418+K418)*(1+M418),0))</x:f>
        <x:v>1629</x:v>
      </x:c>
      <x:c r="O418" s="8" t="n">
        <x:f>IF(J418="","",J418+K418-H418-L418)</x:f>
        <x:v>468</x:v>
      </x:c>
      <x:c r="P418" s="7" t="n">
        <x:f>IFERROR(O418/(J418+K418),"")</x:f>
        <x:v>0.3103448275862069</x:v>
      </x:c>
      <x:c r="Q418" s="6" t="inlineStr">
        <x:is>
          <x:t xml:space="preserve">RAW_ZP T/U</x:t>
        </x:is>
      </x:c>
      <x:c r="R418" s="6" t="inlineStr">
        <x:is>
          <x:t xml:space="preserve">OŚWIETLENIE</x:t>
        </x:is>
      </x:c>
      <x:c r="S418" s="6" t="inlineStr">
        <x:is>
          <x:t xml:space="preserve">website+crm</x:t>
        </x:is>
      </x:c>
      <x:c r="T418" s="6" t="inlineStr">
        <x:is>
          <x:t xml:space="preserve">Opcja dodatkowa | FIX17: opcja LED dostępna dla strony; ceny 450-600 wg modelu FIX15.</x:t>
        </x:is>
      </x:c>
    </x:row>
    <x:row r="419">
      <x:c r="A419" s="6" t="inlineStr">
        <x:is>
          <x:t xml:space="preserve">400 x 406 cm</x:t>
        </x:is>
      </x:c>
      <x:c r="B419" s="6" t="inlineStr">
        <x:is>
          <x:t xml:space="preserve">LEDRGBCCT</x:t>
        </x:is>
      </x:c>
      <x:c r="C419" s="6" t="inlineStr">
        <x:is>
          <x:t xml:space="preserve">Oświetlenie LED RGB CCT</x:t>
        </x:is>
      </x:c>
      <x:c r="D419" s="6" t="inlineStr">
        <x:is>
          <x:t xml:space="preserve">OŚWIETLENIE</x:t>
        </x:is>
      </x:c>
      <x:c r="E419" s="8" t="n">
        <x:f>IFERROR(INDEX('02_RAW_INDEX'!$T:$T,MATCH($A419,'02_RAW_INDEX'!$A:$A,0)),"")</x:f>
        <x:v>1390</x:v>
      </x:c>
      <x:c r="F419" s="8" t="n">
        <x:f>IFERROR(INDEX('02_RAW_INDEX'!$S:$S,MATCH($A419,'02_RAW_INDEX'!$A:$A,0)),"")</x:f>
        <x:v>1710</x:v>
      </x:c>
      <x:c r="G419" s="7" t="n">
        <x:f>'01_Ustawienia'!$B$6</x:f>
        <x:v>0</x:v>
      </x:c>
      <x:c r="H419" s="8" t="n">
        <x:f>IF(E419="","",ROUND(IF('01_Ustawienia'!$B$5="BRUTTO",F419,E419)*(1-G419),0))</x:f>
        <x:v>1390</x:v>
      </x:c>
      <x:c r="I419" s="7" t="n">
        <x:f>IFERROR(IFERROR(INDEX('01_Ustawienia'!$B$15:$B$33,MATCH(B419,'01_Ustawienia'!$A$15:$A$33,0)),0.45),0.45)</x:f>
        <x:v>0.45</x:v>
      </x:c>
      <x:c r="J419" s="8" t="n">
        <x:f>IF(H419="","",ROUND(H419*(1+I419),0))</x:f>
        <x:v>2016</x:v>
      </x:c>
      <x:c r="K419" s="8" t="n">
        <x:f>0</x:f>
        <x:v>0</x:v>
      </x:c>
      <x:c r="L419" s="8" t="n">
        <x:f>0</x:f>
        <x:v>0</x:v>
      </x:c>
      <x:c r="M419" s="7" t="n">
        <x:f>IF('01_Ustawienia'!$B$4="ZWOLNIONY",0,'01_Ustawienia'!$B$7)</x:f>
        <x:v>0.08</x:v>
      </x:c>
      <x:c r="N419" s="8" t="n">
        <x:f>IF(J419="","",ROUND((J419+K419)*(1+M419),0))</x:f>
        <x:v>2177</x:v>
      </x:c>
      <x:c r="O419" s="8" t="n">
        <x:f>IF(J419="","",J419+K419-H419-L419)</x:f>
        <x:v>626</x:v>
      </x:c>
      <x:c r="P419" s="7" t="n">
        <x:f>IFERROR(O419/(J419+K419),"")</x:f>
        <x:v>0.310515873015873</x:v>
      </x:c>
      <x:c r="Q419" s="6" t="inlineStr">
        <x:is>
          <x:t xml:space="preserve">RAW_ZP V/W</x:t>
        </x:is>
      </x:c>
      <x:c r="R419" s="6" t="inlineStr">
        <x:is>
          <x:t xml:space="preserve">OŚWIETLENIE</x:t>
        </x:is>
      </x:c>
      <x:c r="S419" s="6" t="inlineStr">
        <x:is>
          <x:t xml:space="preserve">crm_only</x:t>
        </x:is>
      </x:c>
      <x:c r="T419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420" s="655" customFormat="1" ht="30" customHeight="1">
      <x:c r="A420" s="6" t="inlineStr">
        <x:is>
          <x:t xml:space="preserve">400 x 506 cm</x:t>
        </x:is>
      </x:c>
      <x:c r="B420" s="6" t="inlineStr">
        <x:is>
          <x:t xml:space="preserve">ZP</x:t>
        </x:is>
      </x:c>
      <x:c r="C420" s="6" t="inlineStr">
        <x:is>
          <x:t xml:space="preserve">Zadaszenie poliwęglan - baza</x:t>
        </x:is>
      </x:c>
      <x:c r="D420" s="6" t="inlineStr">
        <x:is>
          <x:t xml:space="preserve">ZADASZENIE POLIWĘGLAN</x:t>
        </x:is>
      </x:c>
      <x:c r="E420" s="8" t="n">
        <x:f>IFERROR(INDEX('02_RAW_INDEX'!$D:$D,MATCH($A420,'02_RAW_INDEX'!$A:$A,0)),"")</x:f>
        <x:v>6195</x:v>
      </x:c>
      <x:c r="F420" s="8" t="n">
        <x:f>IFERROR(INDEX('02_RAW_INDEX'!$C:$C,MATCH($A420,'02_RAW_INDEX'!$A:$A,0)),"")</x:f>
        <x:v>7620</x:v>
      </x:c>
      <x:c r="G420" s="7" t="n">
        <x:f>'01_Ustawienia'!$B$6</x:f>
        <x:v>0</x:v>
      </x:c>
      <x:c r="H420" s="8" t="n">
        <x:f>IF(E420="","",ROUND(IF('01_Ustawienia'!$B$5="BRUTTO",F420,E420)*(1-G420),0))</x:f>
        <x:v>6195</x:v>
      </x:c>
      <x:c r="I420" s="7" t="n">
        <x:f>IFERROR(IFERROR(INDEX('01_Ustawienia'!$B$15:$B$33,MATCH(B420,'01_Ustawienia'!$A$15:$A$33,0)),0.45),0.45)</x:f>
        <x:v>0.45</x:v>
      </x:c>
      <x:c r="J420" s="8" t="n">
        <x:f>IF(H420="","",ROUND(H420*(1+I420),0))</x:f>
        <x:v>8983</x:v>
      </x:c>
      <x:c r="K420" s="8" t="n">
        <x:f>IFERROR(IFERROR(INDEX(EG_Cennik_uslug!$F:$F,MATCH($A420,EG_Cennik_uslug!$A:$A,0)),0),0)</x:f>
        <x:v>3400</x:v>
      </x:c>
      <x:c r="L420" s="8" t="n">
        <x:f>IFERROR(IFERROR(INDEX(EG_Cennik_uslug!$G:$G,MATCH($A420,EG_Cennik_uslug!$A:$A,0)),0),0)</x:f>
        <x:v>1130</x:v>
      </x:c>
      <x:c r="M420" s="7" t="n">
        <x:f>IF('01_Ustawienia'!$B$4="ZWOLNIONY",0,'01_Ustawienia'!$B$7)</x:f>
        <x:v>0.08</x:v>
      </x:c>
      <x:c r="N420" s="8" t="n">
        <x:f>IF(J420="","",ROUND((J420+K420)*(1+M420),0))</x:f>
        <x:v>13374</x:v>
      </x:c>
      <x:c r="O420" s="8" t="n">
        <x:f>IF(J420="","",J420+K420-H420-L420)</x:f>
        <x:v>5058</x:v>
      </x:c>
      <x:c r="P420" s="7" t="n">
        <x:f>IFERROR(O420/(J420+K420),"")</x:f>
        <x:v>0.4084632156989421</x:v>
      </x:c>
      <x:c r="Q420" s="6" t="inlineStr">
        <x:is>
          <x:t xml:space="preserve">RAW_ZP B/C</x:t>
        </x:is>
      </x:c>
      <x:c r="R420" s="6" t="inlineStr">
        <x:is>
          <x:t xml:space="preserve">ZADASZENIE TARASU KONSTRUKCJA</x:t>
        </x:is>
      </x:c>
      <x:c r="S420" s="6" t="inlineStr">
        <x:is>
          <x:t xml:space="preserve">website+crm</x:t>
        </x:is>
      </x:c>
      <x:c r="T420" s="6" t="inlineStr">
        <x:is>
          <x:t xml:space="preserve">Baza dla kalkulatora</x:t>
        </x:is>
      </x:c>
    </x:row>
    <x:row r="421" s="655" customFormat="1" ht="30" customHeight="1">
      <x:c r="A421" s="6" t="inlineStr">
        <x:is>
          <x:t xml:space="preserve">400 x 506 cm</x:t>
        </x:is>
      </x:c>
      <x:c r="B421" s="6" t="inlineStr">
        <x:is>
          <x:t xml:space="preserve">ZS</x:t>
        </x:is>
      </x:c>
      <x:c r="C421" s="6" t="inlineStr">
        <x:is>
          <x:t xml:space="preserve">Zadaszenie szkło - pełna konstrukcja</x:t>
        </x:is>
      </x:c>
      <x:c r="D421" s="6" t="inlineStr">
        <x:is>
          <x:t xml:space="preserve">ZADASZENIE SZKŁO</x:t>
        </x:is>
      </x:c>
      <x:c r="E421" s="8" t="n">
        <x:f>IFERROR(INDEX('02_RAW_INDEX'!$V:$V,MATCH($A421,'02_RAW_INDEX'!$A:$A,0)),"")</x:f>
        <x:v>10301</x:v>
      </x:c>
      <x:c r="F421" s="8" t="n">
        <x:f>IFERROR(INDEX('02_RAW_INDEX'!$U:$U,MATCH($A421,'02_RAW_INDEX'!$A:$A,0)),"")</x:f>
        <x:v>12670</x:v>
      </x:c>
      <x:c r="G421" s="7" t="n">
        <x:f>'01_Ustawienia'!$B$6</x:f>
        <x:v>0</x:v>
      </x:c>
      <x:c r="H421" s="8" t="n">
        <x:f>IF(E421="","",ROUND(IF('01_Ustawienia'!$B$5="BRUTTO",F421,E421)*(1-G421),0))</x:f>
        <x:v>10301</x:v>
      </x:c>
      <x:c r="I421" s="7" t="n">
        <x:f>IFERROR(IFERROR(INDEX('01_Ustawienia'!$B$15:$B$33,MATCH(B421,'01_Ustawienia'!$A$15:$A$33,0)),0.45),0.45)</x:f>
        <x:v>0.45</x:v>
      </x:c>
      <x:c r="J421" s="8" t="n">
        <x:f>IF(H421="","",ROUND(H421*(1+I421),0))</x:f>
        <x:v>14936</x:v>
      </x:c>
      <x:c r="K421" s="8" t="n">
        <x:f>IFERROR(IFERROR(INDEX(EG_Cennik_uslug!$F:$F,MATCH($A421,EG_Cennik_uslug!$A:$A,0)),0),0)</x:f>
        <x:v>3400</x:v>
      </x:c>
      <x:c r="L421" s="8" t="n">
        <x:f>IFERROR(IFERROR(INDEX(EG_Cennik_uslug!$G:$G,MATCH($A421,EG_Cennik_uslug!$A:$A,0)),0),0)</x:f>
        <x:v>1130</x:v>
      </x:c>
      <x:c r="M421" s="7" t="n">
        <x:f>IF('01_Ustawienia'!$B$4="ZWOLNIONY",0,'01_Ustawienia'!$B$7)</x:f>
        <x:v>0.08</x:v>
      </x:c>
      <x:c r="N421" s="8" t="n">
        <x:f>IF(J421="","",ROUND((J421+K421)*(1+M421),0))</x:f>
        <x:v>19803</x:v>
      </x:c>
      <x:c r="O421" s="8" t="n">
        <x:f>IF(J421="","",J421+K421-H421-L421)</x:f>
        <x:v>6905</x:v>
      </x:c>
      <x:c r="P421" s="7" t="n">
        <x:f>IFERROR(O421/(J421+K421),"")</x:f>
        <x:v>0.37658158813263526</x:v>
      </x:c>
      <x:c r="Q421" s="6" t="inlineStr">
        <x:is>
          <x:t xml:space="preserve">RAW_ZS B/C</x:t>
        </x:is>
      </x:c>
      <x:c r="R421" s="6" t="inlineStr">
        <x:is>
          <x:t xml:space="preserve">ZADASZENIE TARASU KONSTRUKCJA</x:t>
        </x:is>
      </x:c>
      <x:c r="S421" s="6" t="inlineStr">
        <x:is>
          <x:t xml:space="preserve">crm_only</x:t>
        </x:is>
      </x:c>
      <x:c r="T421" s="6" t="inlineStr">
        <x:is>
          <x:t xml:space="preserve">Referencyjne/full; strona zwykle używa ZP + PDS</x:t>
        </x:is>
      </x:c>
    </x:row>
    <x:row r="422" s="655" customFormat="1" ht="30" customHeight="1">
      <x:c r="A422" s="6" t="inlineStr">
        <x:is>
          <x:t xml:space="preserve">400 x 506 cm</x:t>
        </x:is>
      </x:c>
      <x:c r="B422" s="6" t="inlineStr">
        <x:is>
          <x:t xml:space="preserve">OP</x:t>
        </x:is>
      </x:c>
      <x:c r="C422" s="6" t="inlineStr">
        <x:is>
          <x:t xml:space="preserve">Ogród zimowy poliwęglan - baza</x:t>
        </x:is>
      </x:c>
      <x:c r="D422" s="6" t="inlineStr">
        <x:is>
          <x:t xml:space="preserve">OGRODY POLIWĘGLAN</x:t>
        </x:is>
      </x:c>
      <x:c r="E422" s="8" t="n">
        <x:f>IFERROR(INDEX('02_RAW_INDEX'!$Z:$Z,MATCH($A422,'02_RAW_INDEX'!$A:$A,0)),"")</x:f>
        <x:v>18081</x:v>
      </x:c>
      <x:c r="F422" s="8" t="n">
        <x:f>IFERROR(INDEX('02_RAW_INDEX'!$Y:$Y,MATCH($A422,'02_RAW_INDEX'!$A:$A,0)),"")</x:f>
        <x:v>22240</x:v>
      </x:c>
      <x:c r="G422" s="7" t="n">
        <x:f>'01_Ustawienia'!$B$6</x:f>
        <x:v>0</x:v>
      </x:c>
      <x:c r="H422" s="8" t="n">
        <x:f>IF(E422="","",ROUND(IF('01_Ustawienia'!$B$5="BRUTTO",F422,E422)*(1-G422),0))</x:f>
        <x:v>18081</x:v>
      </x:c>
      <x:c r="I422" s="7" t="n">
        <x:f>IFERROR(IFERROR(INDEX('01_Ustawienia'!$B$15:$B$33,MATCH(B422,'01_Ustawienia'!$A$15:$A$33,0)),0.45),0.45)</x:f>
        <x:v>0.45</x:v>
      </x:c>
      <x:c r="J422" s="8" t="n">
        <x:f>IF(H422="","",ROUND(H422*(1+I422),0))</x:f>
        <x:v>26217</x:v>
      </x:c>
      <x:c r="K422" s="8" t="n">
        <x:f>IFERROR(IFERROR(INDEX(EG_Cennik_uslug!$N:$N,MATCH($A422,EG_Cennik_uslug!$A:$A,0)),0),0)</x:f>
        <x:v>4590</x:v>
      </x:c>
      <x:c r="L422" s="8" t="n">
        <x:f>IFERROR(IFERROR(INDEX(EG_Cennik_uslug!$O:$O,MATCH($A422,EG_Cennik_uslug!$A:$A,0)),0),0)</x:f>
        <x:v>1580</x:v>
      </x:c>
      <x:c r="M422" s="7" t="n">
        <x:f>IF('01_Ustawienia'!$B$4="ZWOLNIONY",0,'01_Ustawienia'!$B$7)</x:f>
        <x:v>0.08</x:v>
      </x:c>
      <x:c r="N422" s="8" t="n">
        <x:f>IF(J422="","",ROUND((J422+K422)*(1+M422),0))</x:f>
        <x:v>33272</x:v>
      </x:c>
      <x:c r="O422" s="8" t="n">
        <x:f>IF(J422="","",J422+K422-H422-L422)</x:f>
        <x:v>11146</x:v>
      </x:c>
      <x:c r="P422" s="7" t="n">
        <x:f>IFERROR(O422/(J422+K422),"")</x:f>
        <x:v>0.3618008894082514</x:v>
      </x:c>
      <x:c r="Q422" s="6" t="inlineStr">
        <x:is>
          <x:t xml:space="preserve">RAW_OP B/C</x:t>
        </x:is>
      </x:c>
      <x:c r="R422" s="6" t="inlineStr">
        <x:is>
          <x:t xml:space="preserve">OGRÓD ZIMOWY (KONSTRUKCJA)</x:t>
        </x:is>
      </x:c>
      <x:c r="S422" s="6" t="inlineStr">
        <x:is>
          <x:t xml:space="preserve">website+crm</x:t>
        </x:is>
      </x:c>
      <x:c r="T422" s="6" t="inlineStr">
        <x:is>
          <x:t xml:space="preserve">Do wyliczenia dopłaty za ściany</x:t>
        </x:is>
      </x:c>
    </x:row>
    <x:row r="423" s="655" customFormat="1" ht="30" customHeight="1">
      <x:c r="A423" s="6" t="inlineStr">
        <x:is>
          <x:t xml:space="preserve">400 x 506 cm</x:t>
        </x:is>
      </x:c>
      <x:c r="B423" s="6" t="inlineStr">
        <x:is>
          <x:t xml:space="preserve">OS</x:t>
        </x:is>
      </x:c>
      <x:c r="C423" s="6" t="inlineStr">
        <x:is>
          <x:t xml:space="preserve">Ogród zimowy szkło - pełna konstrukcja</x:t>
        </x:is>
      </x:c>
      <x:c r="D423" s="6" t="inlineStr">
        <x:is>
          <x:t xml:space="preserve">OGRODY SZKŁO</x:t>
        </x:is>
      </x:c>
      <x:c r="E423" s="8" t="n">
        <x:f>IFERROR(INDEX('02_RAW_INDEX'!$AL:$AL,MATCH($A423,'02_RAW_INDEX'!$A:$A,0)),"")</x:f>
        <x:v>22195</x:v>
      </x:c>
      <x:c r="F423" s="8" t="n">
        <x:f>IFERROR(INDEX('02_RAW_INDEX'!$AK:$AK,MATCH($A423,'02_RAW_INDEX'!$A:$A,0)),"")</x:f>
        <x:v>27300</x:v>
      </x:c>
      <x:c r="G423" s="7" t="n">
        <x:f>'01_Ustawienia'!$B$6</x:f>
        <x:v>0</x:v>
      </x:c>
      <x:c r="H423" s="8" t="n">
        <x:f>IF(E423="","",ROUND(IF('01_Ustawienia'!$B$5="BRUTTO",F423,E423)*(1-G423),0))</x:f>
        <x:v>22195</x:v>
      </x:c>
      <x:c r="I423" s="7" t="n">
        <x:f>IFERROR(IFERROR(INDEX('01_Ustawienia'!$B$15:$B$33,MATCH(B423,'01_Ustawienia'!$A$15:$A$33,0)),0.45),0.45)</x:f>
        <x:v>0.45</x:v>
      </x:c>
      <x:c r="J423" s="8" t="n">
        <x:f>IF(H423="","",ROUND(H423*(1+I423),0))</x:f>
        <x:v>32183</x:v>
      </x:c>
      <x:c r="K423" s="8" t="n">
        <x:f>IFERROR(IFERROR(INDEX(EG_Cennik_uslug!$N:$N,MATCH($A423,EG_Cennik_uslug!$A:$A,0)),0),0)</x:f>
        <x:v>4590</x:v>
      </x:c>
      <x:c r="L423" s="8" t="n">
        <x:f>IFERROR(IFERROR(INDEX(EG_Cennik_uslug!$O:$O,MATCH($A423,EG_Cennik_uslug!$A:$A,0)),0),0)</x:f>
        <x:v>1580</x:v>
      </x:c>
      <x:c r="M423" s="7" t="n">
        <x:f>IF('01_Ustawienia'!$B$4="ZWOLNIONY",0,'01_Ustawienia'!$B$7)</x:f>
        <x:v>0.08</x:v>
      </x:c>
      <x:c r="N423" s="8" t="n">
        <x:f>IF(J423="","",ROUND((J423+K423)*(1+M423),0))</x:f>
        <x:v>39715</x:v>
      </x:c>
      <x:c r="O423" s="8" t="n">
        <x:f>IF(J423="","",J423+K423-H423-L423)</x:f>
        <x:v>12998</x:v>
      </x:c>
      <x:c r="P423" s="7" t="n">
        <x:f>IFERROR(O423/(J423+K423),"")</x:f>
        <x:v>0.3534658581024121</x:v>
      </x:c>
      <x:c r="Q423" s="6" t="inlineStr">
        <x:is>
          <x:t xml:space="preserve">RAW_OS B/C</x:t>
        </x:is>
      </x:c>
      <x:c r="R423" s="6" t="inlineStr">
        <x:is>
          <x:t xml:space="preserve">OGRÓD ZIMOWY (KONSTRUKCJA)</x:t>
        </x:is>
      </x:c>
      <x:c r="S423" s="6" t="inlineStr">
        <x:is>
          <x:t xml:space="preserve">crm_only</x:t>
        </x:is>
      </x:c>
      <x:c r="T423" s="6" t="inlineStr">
        <x:is>
          <x:t xml:space="preserve">Referencyjne/full</x:t>
        </x:is>
      </x:c>
    </x:row>
    <x:row r="424" s="655" customFormat="1" ht="30" customHeight="1">
      <x:c r="A424" s="6" t="inlineStr">
        <x:is>
          <x:t xml:space="preserve">400 x 506 cm</x:t>
        </x:is>
      </x:c>
      <x:c r="B424" s="6" t="inlineStr">
        <x:is>
          <x:t xml:space="preserve">PDS</x:t>
        </x:is>
      </x:c>
      <x:c r="C424" s="6" t="inlineStr">
        <x:is>
          <x:t xml:space="preserve">Dopłata dach szkło przezroczyste</x:t>
        </x:is>
      </x:c>
      <x:c r="D424" s="6" t="inlineStr">
        <x:is>
          <x:t xml:space="preserve">POKRYCIE DACHU SZKŁO</x:t>
        </x:is>
      </x:c>
      <x:c r="E424" s="8" t="n">
        <x:f>IFERROR(IFERROR(INDEX('02_RAW_INDEX'!$V:$V,MATCH($A424,'02_RAW_INDEX'!$A:$A,0)),"")-IFERROR(INDEX('02_RAW_INDEX'!$D:$D,MATCH($A424,'02_RAW_INDEX'!$A:$A,0)),""),"")</x:f>
        <x:v>4106</x:v>
      </x:c>
      <x:c r="F424" s="8" t="n">
        <x:f>IFERROR(IFERROR(INDEX('02_RAW_INDEX'!$U:$U,MATCH($A424,'02_RAW_INDEX'!$A:$A,0)),"")-IFERROR(INDEX('02_RAW_INDEX'!$C:$C,MATCH($A424,'02_RAW_INDEX'!$A:$A,0)),""),"")</x:f>
        <x:v>5050</x:v>
      </x:c>
      <x:c r="G424" s="7" t="n">
        <x:f>'01_Ustawienia'!$B$6</x:f>
        <x:v>0</x:v>
      </x:c>
      <x:c r="H424" s="8" t="n">
        <x:f>IF(E424="","",ROUND(IF('01_Ustawienia'!$B$5="BRUTTO",F424,E424)*(1-G424),0))</x:f>
        <x:v>4106</x:v>
      </x:c>
      <x:c r="I424" s="7" t="n">
        <x:f>IFERROR(IFERROR(INDEX('01_Ustawienia'!$B$15:$B$33,MATCH(B424,'01_Ustawienia'!$A$15:$A$33,0)),0.45),0.45)</x:f>
        <x:v>0.45</x:v>
      </x:c>
      <x:c r="J424" s="8" t="n">
        <x:f>IF(H424="","",ROUND(H424*(1+I424),0))</x:f>
        <x:v>5954</x:v>
      </x:c>
      <x:c r="K424" s="8" t="n">
        <x:f>0</x:f>
        <x:v>0</x:v>
      </x:c>
      <x:c r="L424" s="8" t="n">
        <x:v>0</x:v>
      </x:c>
      <x:c r="M424" s="7" t="n">
        <x:f>IF('01_Ustawienia'!$B$4="ZWOLNIONY",0,'01_Ustawienia'!$B$7)</x:f>
        <x:v>0.08</x:v>
      </x:c>
      <x:c r="N424" s="8" t="n">
        <x:f>IF(J424="","",ROUND((J424+K424)*(1+M424),0))</x:f>
        <x:v>6430</x:v>
      </x:c>
      <x:c r="O424" s="8" t="n">
        <x:f>IF(J424="","",J424+K424-H424-L424)</x:f>
        <x:v>1848</x:v>
      </x:c>
      <x:c r="P424" s="7" t="n">
        <x:f>IFERROR(O424/(J424+K424),"")</x:f>
        <x:v>0.3103795767551226</x:v>
      </x:c>
      <x:c r="Q424" s="6" t="inlineStr">
        <x:is>
          <x:t xml:space="preserve">RAW_ZS - RAW_ZP</x:t>
        </x:is>
      </x:c>
      <x:c r="R424" s="6" t="inlineStr">
        <x:is>
          <x:t xml:space="preserve">POKRYCIE DACHU</x:t>
        </x:is>
      </x:c>
      <x:c r="S424" s="6" t="inlineStr">
        <x:is>
          <x:t xml:space="preserve">website+crm</x:t>
        </x:is>
      </x:c>
      <x:c r="T424" s="6" t="inlineStr">
        <x:is>
          <x:t xml:space="preserve">Dopłata do bazowego dachu poliwęglan | FIX17: Wynagr.+koszty = 0 dla dopłaty; nie jest osobnym montażem ekipy.</x:t>
        </x:is>
      </x:c>
    </x:row>
    <x:row r="425" s="655" customFormat="1" ht="30" customHeight="1">
      <x:c r="A425" s="6" t="inlineStr">
        <x:is>
          <x:t xml:space="preserve">400 x 506 cm</x:t>
        </x:is>
      </x:c>
      <x:c r="B425" s="6" t="inlineStr">
        <x:is>
          <x:t xml:space="preserve">PDSB</x:t>
        </x:is>
      </x:c>
      <x:c r="C425" s="6" t="inlineStr">
        <x:is>
          <x:t xml:space="preserve">Dopłata dach szkło barwione/mleczne</x:t>
        </x:is>
      </x:c>
      <x:c r="D425" s="6" t="inlineStr">
        <x:is>
          <x:t xml:space="preserve">POKRYCIE DACHU SZKŁO BARWIONE</x:t>
        </x:is>
      </x:c>
      <x:c r="E425" s="8" t="n">
        <x:f>IFERROR(INDEX('02_RAW_INDEX'!$X:$X,MATCH($A425,'02_RAW_INDEX'!$A:$A,0)),"")</x:f>
        <x:v>472</x:v>
      </x:c>
      <x:c r="F425" s="8" t="n">
        <x:f>IFERROR(INDEX('02_RAW_INDEX'!$W:$W,MATCH($A425,'02_RAW_INDEX'!$A:$A,0)),"")</x:f>
        <x:v>580</x:v>
      </x:c>
      <x:c r="G425" s="7" t="n">
        <x:f>'01_Ustawienia'!$B$6</x:f>
        <x:v>0</x:v>
      </x:c>
      <x:c r="H425" s="8" t="n">
        <x:f>IF(E425="","",ROUND(IF('01_Ustawienia'!$B$5="BRUTTO",F425,E425)*(1-G425),0))</x:f>
        <x:v>472</x:v>
      </x:c>
      <x:c r="I425" s="7" t="n">
        <x:f>IFERROR(IFERROR(INDEX('01_Ustawienia'!$B$15:$B$33,MATCH(B425,'01_Ustawienia'!$A$15:$A$33,0)),0.45),0.45)</x:f>
        <x:v>0.45</x:v>
      </x:c>
      <x:c r="J425" s="8" t="n">
        <x:f>IF(H425="","",ROUND(H425*(1+I425),0))</x:f>
        <x:v>684</x:v>
      </x:c>
      <x:c r="K425" s="8" t="n">
        <x:f>0</x:f>
        <x:v>0</x:v>
      </x:c>
      <x:c r="L425" s="8" t="n">
        <x:v>0</x:v>
      </x:c>
      <x:c r="M425" s="7" t="n">
        <x:f>IF('01_Ustawienia'!$B$4="ZWOLNIONY",0,'01_Ustawienia'!$B$7)</x:f>
        <x:v>0.08</x:v>
      </x:c>
      <x:c r="N425" s="8" t="n">
        <x:f>IF(J425="","",ROUND((J425+K425)*(1+M425),0))</x:f>
        <x:v>739</x:v>
      </x:c>
      <x:c r="O425" s="8" t="n">
        <x:f>IF(J425="","",J425+K425-H425-L425)</x:f>
        <x:v>212</x:v>
      </x:c>
      <x:c r="P425" s="7" t="n">
        <x:f>IFERROR(O425/(J425+K425),"")</x:f>
        <x:v>0.30994152046783624</x:v>
      </x:c>
      <x:c r="Q425" s="6" t="inlineStr">
        <x:is>
          <x:t xml:space="preserve">RAW_ZS D/E</x:t>
        </x:is>
      </x:c>
      <x:c r="R425" s="6" t="inlineStr">
        <x:is>
          <x:t xml:space="preserve">POKRYCIE DACHU</x:t>
        </x:is>
      </x:c>
      <x:c r="S425" s="6" t="inlineStr">
        <x:is>
          <x:t xml:space="preserve">website+crm</x:t>
        </x:is>
      </x:c>
      <x:c r="T425" s="6" t="inlineStr">
        <x:is>
          <x:t xml:space="preserve">Dodawane do PDS | FIX17: Wynagr.+koszty = 0 dla dopłaty; nie jest osobnym montażem ekipy.</x:t>
        </x:is>
      </x:c>
    </x:row>
    <x:row r="426" s="655" customFormat="1" ht="30" customHeight="1">
      <x:c r="A426" s="6" t="inlineStr">
        <x:is>
          <x:t xml:space="preserve">400 x 506 cm</x:t>
        </x:is>
      </x:c>
      <x:c r="B426" s="6" t="inlineStr">
        <x:is>
          <x:t xml:space="preserve">PDPB</x:t>
        </x:is>
      </x:c>
      <x:c r="C426" s="6" t="inlineStr">
        <x:is>
          <x:t xml:space="preserve">Dopłata poliwęglan barwiony</x:t>
        </x:is>
      </x:c>
      <x:c r="D426" s="6" t="inlineStr">
        <x:is>
          <x:t xml:space="preserve">POKRYCIE DACHU POLIWĘGLAN BARWIONY</x:t>
        </x:is>
      </x:c>
      <x:c r="E426" s="8" t="n">
        <x:f>IFERROR(INDEX('02_RAW_INDEX'!$F:$F,MATCH($A426,'02_RAW_INDEX'!$A:$A,0)),"")</x:f>
        <x:v>228</x:v>
      </x:c>
      <x:c r="F426" s="8" t="n">
        <x:f>IFERROR(INDEX('02_RAW_INDEX'!$E:$E,MATCH($A426,'02_RAW_INDEX'!$A:$A,0)),"")</x:f>
        <x:v>280</x:v>
      </x:c>
      <x:c r="G426" s="7" t="n">
        <x:f>'01_Ustawienia'!$B$6</x:f>
        <x:v>0</x:v>
      </x:c>
      <x:c r="H426" s="8" t="n">
        <x:f>IF(E426="","",ROUND(IF('01_Ustawienia'!$B$5="BRUTTO",F426,E426)*(1-G426),0))</x:f>
        <x:v>228</x:v>
      </x:c>
      <x:c r="I426" s="7" t="n">
        <x:f>IFERROR(IFERROR(INDEX('01_Ustawienia'!$B$15:$B$33,MATCH(B426,'01_Ustawienia'!$A$15:$A$33,0)),0.45),0.45)</x:f>
        <x:v>0.45</x:v>
      </x:c>
      <x:c r="J426" s="8" t="n">
        <x:f>IF(H426="","",ROUND(H426*(1+I426),0))</x:f>
        <x:v>331</x:v>
      </x:c>
      <x:c r="K426" s="8" t="n">
        <x:f>0</x:f>
        <x:v>0</x:v>
      </x:c>
      <x:c r="L426" s="8" t="n">
        <x:v>0</x:v>
      </x:c>
      <x:c r="M426" s="7" t="n">
        <x:f>IF('01_Ustawienia'!$B$4="ZWOLNIONY",0,'01_Ustawienia'!$B$7)</x:f>
        <x:v>0.08</x:v>
      </x:c>
      <x:c r="N426" s="8" t="n">
        <x:f>IF(J426="","",ROUND((J426+K426)*(1+M426),0))</x:f>
        <x:v>357</x:v>
      </x:c>
      <x:c r="O426" s="8" t="n">
        <x:f>IF(J426="","",J426+K426-H426-L426)</x:f>
        <x:v>103</x:v>
      </x:c>
      <x:c r="P426" s="7" t="n">
        <x:f>IFERROR(O426/(J426+K426),"")</x:f>
        <x:v>0.311178247734139</x:v>
      </x:c>
      <x:c r="Q426" s="6" t="inlineStr">
        <x:is>
          <x:t xml:space="preserve">RAW_ZP D/E</x:t>
        </x:is>
      </x:c>
      <x:c r="R426" s="6" t="inlineStr">
        <x:is>
          <x:t xml:space="preserve">POKRYCIE DACHU</x:t>
        </x:is>
      </x:c>
      <x:c r="S426" s="6" t="inlineStr">
        <x:is>
          <x:t xml:space="preserve">website+crm</x:t>
        </x:is>
      </x:c>
      <x:c r="T426" s="6" t="inlineStr">
        <x:is>
          <x:t xml:space="preserve">FIX17: Wynagr.+koszty = 0 dla dopłaty; nie jest osobnym montażem ekipy.</x:t>
        </x:is>
      </x:c>
    </x:row>
    <x:row r="427" s="655" customFormat="1" ht="30" customHeight="1">
      <x:c r="A427" s="6" t="inlineStr">
        <x:is>
          <x:t xml:space="preserve">400 x 506 cm</x:t>
        </x:is>
      </x:c>
      <x:c r="B427" s="6" t="inlineStr">
        <x:is>
          <x:t xml:space="preserve">SBB</x:t>
        </x:is>
      </x:c>
      <x:c r="C427" s="6" t="inlineStr">
        <x:is>
          <x:t xml:space="preserve">Dopłata szkło boczne przyciemniane</x:t>
        </x:is>
      </x:c>
      <x:c r="D427" s="6" t="inlineStr">
        <x:is>
          <x:t xml:space="preserve">SZKŁO BOCZNE BARWIONE</x:t>
        </x:is>
      </x:c>
      <x:c r="E427" s="8" t="n">
        <x:f>IFERROR(INDEX('02_RAW_INDEX'!$AB:$AB,MATCH($A427,'02_RAW_INDEX'!$A:$A,0)),"")</x:f>
        <x:v>1268</x:v>
      </x:c>
      <x:c r="F427" s="8" t="n">
        <x:f>IFERROR(INDEX('02_RAW_INDEX'!$AA:$AA,MATCH($A427,'02_RAW_INDEX'!$A:$A,0)),"")</x:f>
        <x:v>1560</x:v>
      </x:c>
      <x:c r="G427" s="7" t="n">
        <x:f>'01_Ustawienia'!$B$6</x:f>
        <x:v>0</x:v>
      </x:c>
      <x:c r="H427" s="8" t="n">
        <x:f>IF(E427="","",ROUND(IF('01_Ustawienia'!$B$5="BRUTTO",F427,E427)*(1-G427),0))</x:f>
        <x:v>1268</x:v>
      </x:c>
      <x:c r="I427" s="7" t="n">
        <x:f>IFERROR(IFERROR(INDEX('01_Ustawienia'!$B$15:$B$33,MATCH(B427,'01_Ustawienia'!$A$15:$A$33,0)),0.45),0.45)</x:f>
        <x:v>0.45</x:v>
      </x:c>
      <x:c r="J427" s="8" t="n">
        <x:f>IF(H427="","",ROUND(H427*(1+I427),0))</x:f>
        <x:v>1839</x:v>
      </x:c>
      <x:c r="K427" s="8" t="n">
        <x:f>0</x:f>
        <x:v>0</x:v>
      </x:c>
      <x:c r="L427" s="8" t="n">
        <x:v>0</x:v>
      </x:c>
      <x:c r="M427" s="7" t="n">
        <x:f>IF('01_Ustawienia'!$B$4="ZWOLNIONY",0,'01_Ustawienia'!$B$7)</x:f>
        <x:v>0.08</x:v>
      </x:c>
      <x:c r="N427" s="8" t="n">
        <x:f>IF(J427="","",ROUND((J427+K427)*(1+M427),0))</x:f>
        <x:v>1986</x:v>
      </x:c>
      <x:c r="O427" s="8" t="n">
        <x:f>IF(J427="","",J427+K427-H427-L427)</x:f>
        <x:v>571</x:v>
      </x:c>
      <x:c r="P427" s="7" t="n">
        <x:f>IFERROR(O427/(J427+K427),"")</x:f>
        <x:v>0.31049483414899404</x:v>
      </x:c>
      <x:c r="Q427" s="6" t="inlineStr">
        <x:is>
          <x:t xml:space="preserve">RAW_OP H/I</x:t>
        </x:is>
      </x:c>
      <x:c r="R427" s="6" t="inlineStr">
        <x:is>
          <x:t xml:space="preserve">SZYBY BOCZNE</x:t>
        </x:is>
      </x:c>
      <x:c r="S427" s="6" t="inlineStr">
        <x:is>
          <x:t xml:space="preserve">website+crm</x:t>
        </x:is>
      </x:c>
      <x:c r="T427" s="6" t="inlineStr">
        <x:is>
          <x:t xml:space="preserve">Dodawane do ścian przezroczystych | FIX17: Wynagr.+koszty = 0 dla dopłaty; nie jest osobnym montażem ekipy.</x:t>
        </x:is>
      </x:c>
    </x:row>
    <x:row r="428">
      <x:c r="A428" s="6" t="inlineStr">
        <x:is>
          <x:t xml:space="preserve">400 x 506 cm</x:t>
        </x:is>
      </x:c>
      <x:c r="B428" s="6" t="inlineStr">
        <x:is>
          <x:t xml:space="preserve">RB</x:t>
        </x:is>
      </x:c>
      <x:c r="C428" s="6" t="inlineStr">
        <x:is>
          <x:t xml:space="preserve">Roleta boczna ZIP</x:t>
        </x:is>
      </x:c>
      <x:c r="D428" s="6" t="inlineStr">
        <x:is>
          <x:t xml:space="preserve">ROLETA BOCZNA</x:t>
        </x:is>
      </x:c>
      <x:c r="E428" s="8" t="n">
        <x:f>IFERROR(INDEX('02_RAW_INDEX'!$J:$J,MATCH($A428,'02_RAW_INDEX'!$A:$A,0)),"")</x:f>
        <x:v>2146</x:v>
      </x:c>
      <x:c r="F428" s="8" t="n">
        <x:f>IFERROR(INDEX('02_RAW_INDEX'!$I:$I,MATCH($A428,'02_RAW_INDEX'!$A:$A,0)),"")</x:f>
        <x:v>2640</x:v>
      </x:c>
      <x:c r="G428" s="7" t="n">
        <x:f>'01_Ustawienia'!$B$6</x:f>
        <x:v>0</x:v>
      </x:c>
      <x:c r="H428" s="8" t="n">
        <x:f>IF(E428="","",ROUND(IF('01_Ustawienia'!$B$5="BRUTTO",F428,E428)*(1-G428),0))</x:f>
        <x:v>2146</x:v>
      </x:c>
      <x:c r="I428" s="7" t="n">
        <x:f>IFERROR(IFERROR(INDEX('01_Ustawienia'!$B$15:$B$33,MATCH(B428,'01_Ustawienia'!$A$15:$A$33,0)),0.45),0.45)</x:f>
        <x:v>0.45</x:v>
      </x:c>
      <x:c r="J428" s="8" t="n">
        <x:f>IF(H428="","",ROUND(H428*(1+I428),0))</x:f>
        <x:v>3112</x:v>
      </x:c>
      <x:c r="K428" s="8" t="n">
        <x:f>0</x:f>
        <x:v>0</x:v>
      </x:c>
      <x:c r="L428" s="8" t="n">
        <x:f>IFERROR(IFERROR(INDEX(EG_Cennik_uslug!$AC:$AC,MATCH($A428,EG_Cennik_uslug!$A:$A,0)),0),0)</x:f>
        <x:v>150</x:v>
      </x:c>
      <x:c r="M428" s="7" t="n">
        <x:f>IF('01_Ustawienia'!$B$4="ZWOLNIONY",0,'01_Ustawienia'!$B$7)</x:f>
        <x:v>0.08</x:v>
      </x:c>
      <x:c r="N428" s="8" t="n">
        <x:f>IF(J428="","",ROUND((J428+K428)*(1+M428),0))</x:f>
        <x:v>3361</x:v>
      </x:c>
      <x:c r="O428" s="8" t="n">
        <x:f>IF(J428="","",J428+K428-H428-L428)</x:f>
        <x:v>816</x:v>
      </x:c>
      <x:c r="P428" s="7" t="n">
        <x:f>IFERROR(O428/(J428+K428),"")</x:f>
        <x:v>0.2622107969151671</x:v>
      </x:c>
      <x:c r="Q428" s="6" t="inlineStr">
        <x:is>
          <x:t xml:space="preserve">RAW_ZP J/K</x:t>
        </x:is>
      </x:c>
      <x:c r="R428" s="6" t="inlineStr">
        <x:is>
          <x:t xml:space="preserve">ROLETY BOCZNE</x:t>
        </x:is>
      </x:c>
      <x:c r="S428" s="6" t="inlineStr">
        <x:is>
          <x:t xml:space="preserve">website+crm</x:t>
        </x:is>
      </x:c>
      <x:c r="T428" s="6" t="inlineStr">
        <x:is>
          <x:t xml:space="preserve">Używana dla lewej i prawej</x:t>
        </x:is>
      </x:c>
    </x:row>
    <x:row r="429">
      <x:c r="A429" s="6" t="inlineStr">
        <x:is>
          <x:t xml:space="preserve">400 x 506 cm</x:t>
        </x:is>
      </x:c>
      <x:c r="B429" s="6" t="inlineStr">
        <x:is>
          <x:t xml:space="preserve">RP</x:t>
        </x:is>
      </x:c>
      <x:c r="C429" s="6" t="inlineStr">
        <x:is>
          <x:t xml:space="preserve">Roleta przednia ZIP</x:t>
        </x:is>
      </x:c>
      <x:c r="D429" s="6" t="inlineStr">
        <x:is>
          <x:t xml:space="preserve">ROLETA PRZÓD</x:t>
        </x:is>
      </x:c>
      <x:c r="E429" s="8" t="n">
        <x:f>IFERROR(INDEX('02_RAW_INDEX'!$L:$L,MATCH($A429,'02_RAW_INDEX'!$A:$A,0)),"")</x:f>
        <x:v>3008</x:v>
      </x:c>
      <x:c r="F429" s="8" t="n">
        <x:f>IFERROR(INDEX('02_RAW_INDEX'!$K:$K,MATCH($A429,'02_RAW_INDEX'!$A:$A,0)),"")</x:f>
        <x:v>3700</x:v>
      </x:c>
      <x:c r="G429" s="7" t="n">
        <x:f>'01_Ustawienia'!$B$6</x:f>
        <x:v>0</x:v>
      </x:c>
      <x:c r="H429" s="8" t="n">
        <x:f>IF(E429="","",ROUND(IF('01_Ustawienia'!$B$5="BRUTTO",F429,E429)*(1-G429),0))</x:f>
        <x:v>3008</x:v>
      </x:c>
      <x:c r="I429" s="7" t="n">
        <x:f>IFERROR(IFERROR(INDEX('01_Ustawienia'!$B$15:$B$33,MATCH(B429,'01_Ustawienia'!$A$15:$A$33,0)),0.45),0.45)</x:f>
        <x:v>0.45</x:v>
      </x:c>
      <x:c r="J429" s="8" t="n">
        <x:f>IF(H429="","",ROUND(H429*(1+I429),0))</x:f>
        <x:v>4362</x:v>
      </x:c>
      <x:c r="K429" s="8" t="n">
        <x:f>0</x:f>
        <x:v>0</x:v>
      </x:c>
      <x:c r="L429" s="8" t="n">
        <x:f>IFERROR(IFERROR(INDEX(EG_Cennik_uslug!$AJ:$AJ,MATCH($A429,EG_Cennik_uslug!$A:$A,0)),0),0)</x:f>
        <x:v>300</x:v>
      </x:c>
      <x:c r="M429" s="7" t="n">
        <x:f>IF('01_Ustawienia'!$B$4="ZWOLNIONY",0,'01_Ustawienia'!$B$7)</x:f>
        <x:v>0.08</x:v>
      </x:c>
      <x:c r="N429" s="8" t="n">
        <x:f>IF(J429="","",ROUND((J429+K429)*(1+M429),0))</x:f>
        <x:v>4711</x:v>
      </x:c>
      <x:c r="O429" s="8" t="n">
        <x:f>IF(J429="","",J429+K429-H429-L429)</x:f>
        <x:v>1054</x:v>
      </x:c>
      <x:c r="P429" s="7" t="n">
        <x:f>IFERROR(O429/(J429+K429),"")</x:f>
        <x:v>0.24163227877120586</x:v>
      </x:c>
      <x:c r="Q429" s="6" t="inlineStr">
        <x:is>
          <x:t xml:space="preserve">RAW_ZP N/O</x:t>
        </x:is>
      </x:c>
      <x:c r="R429" s="6" t="inlineStr">
        <x:is>
          <x:t xml:space="preserve">ROLETY BOCZNE</x:t>
        </x:is>
      </x:c>
      <x:c r="S429" s="6" t="inlineStr">
        <x:is>
          <x:t xml:space="preserve">website+crm</x:t>
        </x:is>
      </x:c>
      <x:c r="T429" s="6" t="n"/>
    </x:row>
    <x:row r="430">
      <x:c r="A430" s="6" t="inlineStr">
        <x:is>
          <x:t xml:space="preserve">400 x 506 cm</x:t>
        </x:is>
      </x:c>
      <x:c r="B430" s="6" t="inlineStr">
        <x:is>
          <x:t xml:space="preserve">M</x:t>
        </x:is>
      </x:c>
      <x:c r="C430" s="6" t="inlineStr">
        <x:is>
          <x:t xml:space="preserve">Markiza dachowa</x:t>
        </x:is>
      </x:c>
      <x:c r="D430" s="6" t="inlineStr">
        <x:is>
          <x:t xml:space="preserve">MARKIZA</x:t>
        </x:is>
      </x:c>
      <x:c r="E430" s="8" t="n">
        <x:f>IFERROR(INDEX('02_RAW_INDEX'!$H:$H,MATCH($A430,'02_RAW_INDEX'!$A:$A,0)),"")</x:f>
        <x:v>4317</x:v>
      </x:c>
      <x:c r="F430" s="8" t="n">
        <x:f>IFERROR(INDEX('02_RAW_INDEX'!$G:$G,MATCH($A430,'02_RAW_INDEX'!$A:$A,0)),"")</x:f>
        <x:v>5310</x:v>
      </x:c>
      <x:c r="G430" s="7" t="n">
        <x:f>'01_Ustawienia'!$B$6</x:f>
        <x:v>0</x:v>
      </x:c>
      <x:c r="H430" s="8" t="n">
        <x:f>IF(E430="","",ROUND(IF('01_Ustawienia'!$B$5="BRUTTO",F430,E430)*(1-G430),0))</x:f>
        <x:v>4317</x:v>
      </x:c>
      <x:c r="I430" s="7" t="n">
        <x:f>IFERROR(IFERROR(INDEX('01_Ustawienia'!$B$15:$B$33,MATCH(B430,'01_Ustawienia'!$A$15:$A$33,0)),0.45),0.45)</x:f>
        <x:v>0.45</x:v>
      </x:c>
      <x:c r="J430" s="8" t="n">
        <x:f>IF(H430="","",ROUND(H430*(1+I430),0))</x:f>
        <x:v>6260</x:v>
      </x:c>
      <x:c r="K430" s="8" t="n">
        <x:f>0</x:f>
        <x:v>0</x:v>
      </x:c>
      <x:c r="L430" s="8" t="n">
        <x:f>IFERROR(IFERROR(INDEX(EG_Cennik_uslug!$AQ:$AQ,MATCH($A430,EG_Cennik_uslug!$A:$A,0)),0),0)</x:f>
        <x:v>300</x:v>
      </x:c>
      <x:c r="M430" s="7" t="n">
        <x:f>IF('01_Ustawienia'!$B$4="ZWOLNIONY",0,'01_Ustawienia'!$B$7)</x:f>
        <x:v>0.08</x:v>
      </x:c>
      <x:c r="N430" s="8" t="n">
        <x:f>IF(J430="","",ROUND((J430+K430)*(1+M430),0))</x:f>
        <x:v>6761</x:v>
      </x:c>
      <x:c r="O430" s="8" t="n">
        <x:f>IF(J430="","",J430+K430-H430-L430)</x:f>
        <x:v>1643</x:v>
      </x:c>
      <x:c r="P430" s="7" t="n">
        <x:f>IFERROR(O430/(J430+K430),"")</x:f>
        <x:v>0.26246006389776355</x:v>
      </x:c>
      <x:c r="Q430" s="6" t="inlineStr">
        <x:is>
          <x:t xml:space="preserve">RAW_ZP H/I</x:t>
        </x:is>
      </x:c>
      <x:c r="R430" s="6" t="inlineStr">
        <x:is>
          <x:t xml:space="preserve">MARKIZA</x:t>
        </x:is>
      </x:c>
      <x:c r="S430" s="6" t="inlineStr">
        <x:is>
          <x:t xml:space="preserve">website+crm</x:t>
        </x:is>
      </x:c>
      <x:c r="T430" s="6" t="n"/>
    </x:row>
    <x:row r="431">
      <x:c r="A431" s="6" t="inlineStr">
        <x:is>
          <x:t xml:space="preserve">400 x 506 cm</x:t>
        </x:is>
      </x:c>
      <x:c r="B431" s="6" t="inlineStr">
        <x:is>
          <x:t xml:space="preserve">PDWP</x:t>
        </x:is>
      </x:c>
      <x:c r="C431" s="6" t="inlineStr">
        <x:is>
          <x:t xml:space="preserve">Fundament/profile</x:t>
        </x:is>
      </x:c>
      <x:c r="D431" s="6" t="inlineStr">
        <x:is>
          <x:t xml:space="preserve">FUNDAMENT / PROFILE</x:t>
        </x:is>
      </x:c>
      <x:c r="E431" s="8" t="n">
        <x:f>IFERROR(INDEX('02_RAW_INDEX'!$AH:$AH,MATCH($A431,'02_RAW_INDEX'!$A:$A,0)),"")</x:f>
        <x:v>927</x:v>
      </x:c>
      <x:c r="F431" s="8" t="n">
        <x:f>IFERROR(INDEX('02_RAW_INDEX'!$AG:$AG,MATCH($A431,'02_RAW_INDEX'!$A:$A,0)),"")</x:f>
        <x:v>1140</x:v>
      </x:c>
      <x:c r="G431" s="7" t="n">
        <x:f>'01_Ustawienia'!$B$6</x:f>
        <x:v>0</x:v>
      </x:c>
      <x:c r="H431" s="8" t="n">
        <x:f>IF(E431="","",ROUND(IF('01_Ustawienia'!$B$5="BRUTTO",F431,E431)*(1-G431),0))</x:f>
        <x:v>927</x:v>
      </x:c>
      <x:c r="I431" s="7" t="n">
        <x:f>IFERROR(IFERROR(INDEX('01_Ustawienia'!$B$15:$B$33,MATCH(B431,'01_Ustawienia'!$A$15:$A$33,0)),0.45),0.45)</x:f>
        <x:v>1.2</x:v>
      </x:c>
      <x:c r="J431" s="8" t="n">
        <x:f>IF(H431="","",ROUND(H431*(1+I431),0))</x:f>
        <x:v>2039</x:v>
      </x:c>
      <x:c r="K431" s="8" t="n">
        <x:f>0</x:f>
        <x:v>0</x:v>
      </x:c>
      <x:c r="L431" s="8" t="n">
        <x:f>IFERROR(IFERROR(INDEX(EG_Cennik_uslug!$BT:$BT,MATCH($A431,EG_Cennik_uslug!$A:$A,0)),0),0)</x:f>
        <x:v>440</x:v>
      </x:c>
      <x:c r="M431" s="7" t="n">
        <x:f>IF('01_Ustawienia'!$B$4="ZWOLNIONY",0,'01_Ustawienia'!$B$7)</x:f>
        <x:v>0.08</x:v>
      </x:c>
      <x:c r="N431" s="8" t="n">
        <x:f>IF(J431="","",ROUND((J431+K431)*(1+M431),0))</x:f>
        <x:v>2202</x:v>
      </x:c>
      <x:c r="O431" s="8" t="n">
        <x:f>IF(J431="","",J431+K431-H431-L431)</x:f>
        <x:v>672</x:v>
      </x:c>
      <x:c r="P431" s="7" t="n">
        <x:f>IFERROR(O431/(J431+K431),"")</x:f>
        <x:v>0.32957332025502695</x:v>
      </x:c>
      <x:c r="Q431" s="6" t="inlineStr">
        <x:is>
          <x:t xml:space="preserve">RAW_OP AB/AC</x:t>
        </x:is>
      </x:c>
      <x:c r="R431" s="6" t="inlineStr">
        <x:is>
          <x:t xml:space="preserve">FUNDAMENT (PROFILE)</x:t>
        </x:is>
      </x:c>
      <x:c r="S431" s="6" t="inlineStr">
        <x:is>
          <x:t xml:space="preserve">website+crm</x:t>
        </x:is>
      </x:c>
      <x:c r="T431" s="6" t="n"/>
    </x:row>
    <x:row r="432" s="655" customFormat="1" ht="30" customHeight="1">
      <x:c r="A432" s="6" t="inlineStr">
        <x:is>
          <x:t xml:space="preserve">400 x 506 cm</x:t>
        </x:is>
      </x:c>
      <x:c r="B432" s="6" t="inlineStr">
        <x:is>
          <x:t xml:space="preserve">ZAB</x:t>
        </x:is>
      </x:c>
      <x:c r="C432" s="6" t="inlineStr">
        <x:is>
          <x:t xml:space="preserve">Zabieraki do ścian przesuwnych</x:t>
        </x:is>
      </x:c>
      <x:c r="D432" s="6" t="inlineStr">
        <x:is>
          <x:t xml:space="preserve">DODATKI</x:t>
        </x:is>
      </x:c>
      <x:c r="E432" s="8" t="n">
        <x:f>IFERROR(INDEX('02_RAW_INDEX'!$AJ:$AJ,MATCH($A432,'02_RAW_INDEX'!$A:$A,0)),"")</x:f>
        <x:v>293</x:v>
      </x:c>
      <x:c r="F432" s="8" t="n">
        <x:f>IFERROR(INDEX('02_RAW_INDEX'!$AI:$AI,MATCH($A432,'02_RAW_INDEX'!$A:$A,0)),"")</x:f>
        <x:v>360</x:v>
      </x:c>
      <x:c r="G432" s="7" t="n">
        <x:f>'01_Ustawienia'!$B$6</x:f>
        <x:v>0</x:v>
      </x:c>
      <x:c r="H432" s="8" t="n">
        <x:f>IF(E432="","",ROUND(IF('01_Ustawienia'!$B$5="BRUTTO",F432,E432)*(1-G432),0))</x:f>
        <x:v>293</x:v>
      </x:c>
      <x:c r="I432" s="7" t="n">
        <x:f>IFERROR(IFERROR(INDEX('01_Ustawienia'!$B$15:$B$33,MATCH(B432,'01_Ustawienia'!$A$15:$A$33,0)),0.45),0.45)</x:f>
        <x:v>0.45</x:v>
      </x:c>
      <x:c r="J432" s="8" t="n">
        <x:f>IF(H432="","",ROUND(H432*(1+I432),0))</x:f>
        <x:v>425</x:v>
      </x:c>
      <x:c r="K432" s="8" t="n">
        <x:f>0</x:f>
        <x:v>0</x:v>
      </x:c>
      <x:c r="L432" s="8" t="n">
        <x:f>0</x:f>
        <x:v>0</x:v>
      </x:c>
      <x:c r="M432" s="7" t="n">
        <x:f>IF('01_Ustawienia'!$B$4="ZWOLNIONY",0,'01_Ustawienia'!$B$7)</x:f>
        <x:v>0.08</x:v>
      </x:c>
      <x:c r="N432" s="8" t="n">
        <x:f>IF(J432="","",ROUND((J432+K432)*(1+M432),0))</x:f>
        <x:v>459</x:v>
      </x:c>
      <x:c r="O432" s="8" t="n">
        <x:f>IF(J432="","",J432+K432-H432-L432)</x:f>
        <x:v>132</x:v>
      </x:c>
      <x:c r="P432" s="7" t="n">
        <x:f>IFERROR(O432/(J432+K432),"")</x:f>
        <x:v>0.31058823529411766</x:v>
      </x:c>
      <x:c r="Q432" s="6" t="inlineStr">
        <x:is>
          <x:t xml:space="preserve">RAW_OP AD/AE</x:t>
        </x:is>
      </x:c>
      <x:c r="R432" s="6" t="inlineStr">
        <x:is>
          <x:t xml:space="preserve">DODATKI</x:t>
        </x:is>
      </x:c>
      <x:c r="S432" s="6" t="inlineStr">
        <x:is>
          <x:t xml:space="preserve">crm_only</x:t>
        </x:is>
      </x:c>
      <x:c r="T432" s="6" t="n"/>
    </x:row>
    <x:row r="433">
      <x:c r="A433" s="6" t="inlineStr">
        <x:is>
          <x:t xml:space="preserve">400 x 506 cm</x:t>
        </x:is>
      </x:c>
      <x:c r="B433" s="6" t="inlineStr">
        <x:is>
          <x:t xml:space="preserve">S</x:t>
        </x:is>
      </x:c>
      <x:c r="C433" s="6" t="inlineStr">
        <x:is>
          <x:t xml:space="preserve">Szczotki przeciwkurzowe</x:t>
        </x:is>
      </x:c>
      <x:c r="D433" s="6" t="inlineStr">
        <x:is>
          <x:t xml:space="preserve">SZCZOTKI</x:t>
        </x:is>
      </x:c>
      <x:c r="E433" s="8" t="n">
        <x:f>IFERROR(INDEX('02_RAW_INDEX'!$AD:$AD,MATCH($A433,'02_RAW_INDEX'!$A:$A,0)),"")</x:f>
        <x:v>407</x:v>
      </x:c>
      <x:c r="F433" s="8" t="n">
        <x:f>IFERROR(INDEX('02_RAW_INDEX'!$AC:$AC,MATCH($A433,'02_RAW_INDEX'!$A:$A,0)),"")</x:f>
        <x:v>500</x:v>
      </x:c>
      <x:c r="G433" s="7" t="n">
        <x:f>'01_Ustawienia'!$B$6</x:f>
        <x:v>0</x:v>
      </x:c>
      <x:c r="H433" s="8" t="n">
        <x:f>IF(E433="","",ROUND(IF('01_Ustawienia'!$B$5="BRUTTO",F433,E433)*(1-G433),0))</x:f>
        <x:v>407</x:v>
      </x:c>
      <x:c r="I433" s="7" t="n">
        <x:f>IFERROR(IFERROR(INDEX('01_Ustawienia'!$B$15:$B$33,MATCH(B433,'01_Ustawienia'!$A$15:$A$33,0)),0.45),0.45)</x:f>
        <x:v>0.45</x:v>
      </x:c>
      <x:c r="J433" s="8" t="n">
        <x:f>IF(H433="","",ROUND(H433*(1+I433),0))</x:f>
        <x:v>590</x:v>
      </x:c>
      <x:c r="K433" s="8" t="n">
        <x:f>0</x:f>
        <x:v>0</x:v>
      </x:c>
      <x:c r="L433" s="8" t="n">
        <x:f>IFERROR(IFERROR(INDEX(EG_Cennik_uslug!$CA:$CA,MATCH($A433,EG_Cennik_uslug!$A:$A,0)),0),0)</x:f>
        <x:v>0</x:v>
      </x:c>
      <x:c r="M433" s="7" t="n">
        <x:f>IF('01_Ustawienia'!$B$4="ZWOLNIONY",0,'01_Ustawienia'!$B$7)</x:f>
        <x:v>0.08</x:v>
      </x:c>
      <x:c r="N433" s="8" t="n">
        <x:f>IF(J433="","",ROUND((J433+K433)*(1+M433),0))</x:f>
        <x:v>637</x:v>
      </x:c>
      <x:c r="O433" s="8" t="n">
        <x:f>IF(J433="","",J433+K433-H433-L433)</x:f>
        <x:v>183</x:v>
      </x:c>
      <x:c r="P433" s="7" t="n">
        <x:f>IFERROR(O433/(J433+K433),"")</x:f>
        <x:v>0.3101694915254237</x:v>
      </x:c>
      <x:c r="Q433" s="6" t="inlineStr">
        <x:is>
          <x:t xml:space="preserve">RAW_OP L/M</x:t>
        </x:is>
      </x:c>
      <x:c r="R433" s="6" t="inlineStr">
        <x:is>
          <x:t xml:space="preserve">DODATKI</x:t>
        </x:is>
      </x:c>
      <x:c r="S433" s="6" t="inlineStr">
        <x:is>
          <x:t xml:space="preserve">website+crm</x:t>
        </x:is>
      </x:c>
      <x:c r="T433" s="6" t="n"/>
    </x:row>
    <x:row r="434">
      <x:c r="A434" s="6" t="inlineStr">
        <x:is>
          <x:t xml:space="preserve">400 x 506 cm</x:t>
        </x:is>
      </x:c>
      <x:c r="B434" s="6" t="inlineStr">
        <x:is>
          <x:t xml:space="preserve">U</x:t>
        </x:is>
      </x:c>
      <x:c r="C434" s="6" t="inlineStr">
        <x:is>
          <x:t xml:space="preserve">Uchwyty na szkło ścienne</x:t>
        </x:is>
      </x:c>
      <x:c r="D434" s="6" t="inlineStr">
        <x:is>
          <x:t xml:space="preserve">UCHWYTY</x:t>
        </x:is>
      </x:c>
      <x:c r="E434" s="8" t="n">
        <x:f>IFERROR(INDEX('02_RAW_INDEX'!$AF:$AF,MATCH($A434,'02_RAW_INDEX'!$A:$A,0)),"")</x:f>
        <x:v>366</x:v>
      </x:c>
      <x:c r="F434" s="8" t="n">
        <x:f>IFERROR(INDEX('02_RAW_INDEX'!$AE:$AE,MATCH($A434,'02_RAW_INDEX'!$A:$A,0)),"")</x:f>
        <x:v>450</x:v>
      </x:c>
      <x:c r="G434" s="7" t="n">
        <x:f>'01_Ustawienia'!$B$6</x:f>
        <x:v>0</x:v>
      </x:c>
      <x:c r="H434" s="8" t="n">
        <x:f>IF(E434="","",ROUND(IF('01_Ustawienia'!$B$5="BRUTTO",F434,E434)*(1-G434),0))</x:f>
        <x:v>366</x:v>
      </x:c>
      <x:c r="I434" s="7" t="n">
        <x:f>IFERROR(IFERROR(INDEX('01_Ustawienia'!$B$15:$B$33,MATCH(B434,'01_Ustawienia'!$A$15:$A$33,0)),0.45),0.45)</x:f>
        <x:v>0.45</x:v>
      </x:c>
      <x:c r="J434" s="8" t="n">
        <x:f>IF(H434="","",ROUND(H434*(1+I434),0))</x:f>
        <x:v>531</x:v>
      </x:c>
      <x:c r="K434" s="8" t="n">
        <x:f>0</x:f>
        <x:v>0</x:v>
      </x:c>
      <x:c r="L434" s="8" t="n">
        <x:f>IFERROR(IFERROR(INDEX(EG_Cennik_uslug!$CH:$CH,MATCH($A434,EG_Cennik_uslug!$A:$A,0)),0),0)</x:f>
        <x:v>0</x:v>
      </x:c>
      <x:c r="M434" s="7" t="n">
        <x:f>IF('01_Ustawienia'!$B$4="ZWOLNIONY",0,'01_Ustawienia'!$B$7)</x:f>
        <x:v>0.08</x:v>
      </x:c>
      <x:c r="N434" s="8" t="n">
        <x:f>IF(J434="","",ROUND((J434+K434)*(1+M434),0))</x:f>
        <x:v>573</x:v>
      </x:c>
      <x:c r="O434" s="8" t="n">
        <x:f>IF(J434="","",J434+K434-H434-L434)</x:f>
        <x:v>165</x:v>
      </x:c>
      <x:c r="P434" s="7" t="n">
        <x:f>IFERROR(O434/(J434+K434),"")</x:f>
        <x:v>0.3107344632768362</x:v>
      </x:c>
      <x:c r="Q434" s="6" t="inlineStr">
        <x:is>
          <x:t xml:space="preserve">RAW_OP N/O</x:t>
        </x:is>
      </x:c>
      <x:c r="R434" s="6" t="inlineStr">
        <x:is>
          <x:t xml:space="preserve">DODATKI</x:t>
        </x:is>
      </x:c>
      <x:c r="S434" s="6" t="inlineStr">
        <x:is>
          <x:t xml:space="preserve">website+crm</x:t>
        </x:is>
      </x:c>
      <x:c r="T434" s="6" t="n"/>
    </x:row>
    <x:row r="435">
      <x:c r="A435" s="6" t="inlineStr">
        <x:is>
          <x:t xml:space="preserve">400 x 506 cm</x:t>
        </x:is>
      </x:c>
      <x:c r="B435" s="6" t="inlineStr">
        <x:is>
          <x:t xml:space="preserve">LED2</x:t>
        </x:is>
      </x:c>
      <x:c r="C435" s="6" t="inlineStr">
        <x:is>
          <x:t xml:space="preserve">Oświetlenie LED 2 punkty</x:t>
        </x:is>
      </x:c>
      <x:c r="D435" s="6" t="inlineStr">
        <x:is>
          <x:t xml:space="preserve">LED 2 PKT</x:t>
        </x:is>
      </x:c>
      <x:c r="E435" s="8" t="n">
        <x:f>IFERROR(INDEX('02_RAW_INDEX'!$N:$N,MATCH($A435,'02_RAW_INDEX'!$A:$A,0)),"")</x:f>
        <x:v>488</x:v>
      </x:c>
      <x:c r="F435" s="8" t="n">
        <x:f>IFERROR(INDEX('02_RAW_INDEX'!$M:$M,MATCH($A435,'02_RAW_INDEX'!$A:$A,0)),"")</x:f>
        <x:v>600</x:v>
      </x:c>
      <x:c r="G435" s="7" t="n">
        <x:f>'01_Ustawienia'!$B$6</x:f>
        <x:v>0</x:v>
      </x:c>
      <x:c r="H435" s="8" t="n">
        <x:f>IF(E435="","",ROUND(IF('01_Ustawienia'!$B$5="BRUTTO",F435,E435)*(1-G435),0))</x:f>
        <x:v>488</x:v>
      </x:c>
      <x:c r="I435" s="7" t="n">
        <x:f>IFERROR(IFERROR(INDEX('01_Ustawienia'!$B$15:$B$33,MATCH(B435,'01_Ustawienia'!$A$15:$A$33,0)),0.45),0.45)</x:f>
        <x:v>0.45</x:v>
      </x:c>
      <x:c r="J435" s="8" t="n">
        <x:f>IF(H435="","",ROUND(H435*(1+I435),0))</x:f>
        <x:v>708</x:v>
      </x:c>
      <x:c r="K435" s="8" t="n">
        <x:f>0</x:f>
        <x:v>0</x:v>
      </x:c>
      <x:c r="L435" s="8" t="n">
        <x:f>IFERROR(IFERROR(INDEX(EG_Cennik_uslug!$CO:$CO,MATCH($A435,EG_Cennik_uslug!$A:$A,0)),0),0)</x:f>
        <x:v>0</x:v>
      </x:c>
      <x:c r="M435" s="7" t="n">
        <x:f>IF('01_Ustawienia'!$B$4="ZWOLNIONY",0,'01_Ustawienia'!$B$7)</x:f>
        <x:v>0.08</x:v>
      </x:c>
      <x:c r="N435" s="8" t="n">
        <x:f>IF(J435="","",ROUND((J435+K435)*(1+M435),0))</x:f>
        <x:v>765</x:v>
      </x:c>
      <x:c r="O435" s="8" t="n">
        <x:f>IF(J435="","",J435+K435-H435-L435)</x:f>
        <x:v>220</x:v>
      </x:c>
      <x:c r="P435" s="7" t="n">
        <x:f>IFERROR(O435/(J435+K435),"")</x:f>
        <x:v>0.3107344632768362</x:v>
      </x:c>
      <x:c r="Q435" s="6" t="inlineStr">
        <x:is>
          <x:t xml:space="preserve">RAW_ZP P/Q</x:t>
        </x:is>
      </x:c>
      <x:c r="R435" s="6" t="inlineStr">
        <x:is>
          <x:t xml:space="preserve">OŚWIETLENIE</x:t>
        </x:is>
      </x:c>
      <x:c r="S435" s="6" t="inlineStr">
        <x:is>
          <x:t xml:space="preserve">website+crm</x:t>
        </x:is>
      </x:c>
      <x:c r="T435" s="6" t="n"/>
    </x:row>
    <x:row r="436">
      <x:c r="A436" s="6" t="inlineStr">
        <x:is>
          <x:t xml:space="preserve">400 x 506 cm</x:t>
        </x:is>
      </x:c>
      <x:c r="B436" s="6" t="inlineStr">
        <x:is>
          <x:t xml:space="preserve">LED3</x:t>
        </x:is>
      </x:c>
      <x:c r="C436" s="6" t="inlineStr">
        <x:is>
          <x:t xml:space="preserve">Oświetlenie LED 3 punkty</x:t>
        </x:is>
      </x:c>
      <x:c r="D436" s="6" t="inlineStr">
        <x:is>
          <x:t xml:space="preserve">LED 3 PKT</x:t>
        </x:is>
      </x:c>
      <x:c r="E436" s="8" t="n">
        <x:f>IFERROR(INDEX('02_RAW_INDEX'!$P:$P,MATCH($A436,'02_RAW_INDEX'!$A:$A,0)),"")</x:f>
        <x:v>780</x:v>
      </x:c>
      <x:c r="F436" s="8" t="n">
        <x:f>IFERROR(INDEX('02_RAW_INDEX'!$O:$O,MATCH($A436,'02_RAW_INDEX'!$A:$A,0)),"")</x:f>
        <x:v>960</x:v>
      </x:c>
      <x:c r="G436" s="7" t="n">
        <x:f>'01_Ustawienia'!$B$6</x:f>
        <x:v>0</x:v>
      </x:c>
      <x:c r="H436" s="8" t="n">
        <x:f>IF(E436="","",ROUND(IF('01_Ustawienia'!$B$5="BRUTTO",F436,E436)*(1-G436),0))</x:f>
        <x:v>780</x:v>
      </x:c>
      <x:c r="I436" s="7" t="n">
        <x:f>IFERROR(IFERROR(INDEX('01_Ustawienia'!$B$15:$B$33,MATCH(B436,'01_Ustawienia'!$A$15:$A$33,0)),0.45),0.45)</x:f>
        <x:v>0.45</x:v>
      </x:c>
      <x:c r="J436" s="8" t="n">
        <x:f>IF(H436="","",ROUND(H436*(1+I436),0))</x:f>
        <x:v>1131</x:v>
      </x:c>
      <x:c r="K436" s="8" t="n">
        <x:f>0</x:f>
        <x:v>0</x:v>
      </x:c>
      <x:c r="L436" s="8" t="n">
        <x:f>IFERROR(IFERROR(INDEX(EG_Cennik_uslug!$CV:$CV,MATCH($A436,EG_Cennik_uslug!$A:$A,0)),0),0)</x:f>
        <x:v>0</x:v>
      </x:c>
      <x:c r="M436" s="7" t="n">
        <x:f>IF('01_Ustawienia'!$B$4="ZWOLNIONY",0,'01_Ustawienia'!$B$7)</x:f>
        <x:v>0.08</x:v>
      </x:c>
      <x:c r="N436" s="8" t="n">
        <x:f>IF(J436="","",ROUND((J436+K436)*(1+M436),0))</x:f>
        <x:v>1221</x:v>
      </x:c>
      <x:c r="O436" s="8" t="n">
        <x:f>IF(J436="","",J436+K436-H436-L436)</x:f>
        <x:v>351</x:v>
      </x:c>
      <x:c r="P436" s="7" t="n">
        <x:f>IFERROR(O436/(J436+K436),"")</x:f>
        <x:v>0.3103448275862069</x:v>
      </x:c>
      <x:c r="Q436" s="6" t="inlineStr">
        <x:is>
          <x:t xml:space="preserve">RAW_ZP R/S</x:t>
        </x:is>
      </x:c>
      <x:c r="R436" s="6" t="inlineStr">
        <x:is>
          <x:t xml:space="preserve">OŚWIETLENIE</x:t>
        </x:is>
      </x:c>
      <x:c r="S436" s="6" t="inlineStr">
        <x:is>
          <x:t xml:space="preserve">website+crm</x:t>
        </x:is>
      </x:c>
      <x:c r="T436" s="6" t="inlineStr">
        <x:is>
          <x:t xml:space="preserve">Nazwa do potwierdzenia</x:t>
        </x:is>
      </x:c>
    </x:row>
    <x:row r="437">
      <x:c r="A437" s="6" t="inlineStr">
        <x:is>
          <x:t xml:space="preserve">400 x 506 cm</x:t>
        </x:is>
      </x:c>
      <x:c r="B437" s="6" t="inlineStr">
        <x:is>
          <x:t xml:space="preserve">LEDCCT</x:t>
        </x:is>
      </x:c>
      <x:c r="C437" s="6" t="inlineStr">
        <x:is>
          <x:t xml:space="preserve">Oświetlenie LED CCT</x:t>
        </x:is>
      </x:c>
      <x:c r="D437" s="6" t="inlineStr">
        <x:is>
          <x:t xml:space="preserve">OŚWIETLENIE</x:t>
        </x:is>
      </x:c>
      <x:c r="E437" s="8" t="n">
        <x:f>IFERROR(INDEX('02_RAW_INDEX'!$R:$R,MATCH($A437,'02_RAW_INDEX'!$A:$A,0)),"")</x:f>
        <x:v>1210</x:v>
      </x:c>
      <x:c r="F437" s="8" t="n">
        <x:f>IFERROR(INDEX('02_RAW_INDEX'!$Q:$Q,MATCH($A437,'02_RAW_INDEX'!$A:$A,0)),"")</x:f>
        <x:v>1488</x:v>
      </x:c>
      <x:c r="G437" s="7" t="n">
        <x:f>'01_Ustawienia'!$B$6</x:f>
        <x:v>0</x:v>
      </x:c>
      <x:c r="H437" s="8" t="n">
        <x:f>IF(E437="","",ROUND(IF('01_Ustawienia'!$B$5="BRUTTO",F437,E437)*(1-G437),0))</x:f>
        <x:v>1210</x:v>
      </x:c>
      <x:c r="I437" s="7" t="n">
        <x:f>IFERROR(IFERROR(INDEX('01_Ustawienia'!$B$15:$B$33,MATCH(B437,'01_Ustawienia'!$A$15:$A$33,0)),0.45),0.45)</x:f>
        <x:v>0.45</x:v>
      </x:c>
      <x:c r="J437" s="8" t="n">
        <x:f>IF(H437="","",ROUND(H437*(1+I437),0))</x:f>
        <x:v>1755</x:v>
      </x:c>
      <x:c r="K437" s="8" t="n">
        <x:f>0</x:f>
        <x:v>0</x:v>
      </x:c>
      <x:c r="L437" s="8" t="n">
        <x:f>0</x:f>
        <x:v>0</x:v>
      </x:c>
      <x:c r="M437" s="7" t="n">
        <x:f>IF('01_Ustawienia'!$B$4="ZWOLNIONY",0,'01_Ustawienia'!$B$7)</x:f>
        <x:v>0.08</x:v>
      </x:c>
      <x:c r="N437" s="8" t="n">
        <x:f>IF(J437="","",ROUND((J437+K437)*(1+M437),0))</x:f>
        <x:v>1895</x:v>
      </x:c>
      <x:c r="O437" s="8" t="n">
        <x:f>IF(J437="","",J437+K437-H437-L437)</x:f>
        <x:v>545</x:v>
      </x:c>
      <x:c r="P437" s="7" t="n">
        <x:f>IFERROR(O437/(J437+K437),"")</x:f>
        <x:v>0.31054131054131057</x:v>
      </x:c>
      <x:c r="Q437" s="6" t="inlineStr">
        <x:is>
          <x:t xml:space="preserve">RAW_ZP T/U</x:t>
        </x:is>
      </x:c>
      <x:c r="R437" s="6" t="inlineStr">
        <x:is>
          <x:t xml:space="preserve">OŚWIETLENIE</x:t>
        </x:is>
      </x:c>
      <x:c r="S437" s="6" t="inlineStr">
        <x:is>
          <x:t xml:space="preserve">website+crm</x:t>
        </x:is>
      </x:c>
      <x:c r="T437" s="6" t="inlineStr">
        <x:is>
          <x:t xml:space="preserve">Opcja dodatkowa | FIX17: opcja LED dostępna dla strony; ceny 450-600 wg modelu FIX15.</x:t>
        </x:is>
      </x:c>
    </x:row>
    <x:row r="438">
      <x:c r="A438" s="6" t="inlineStr">
        <x:is>
          <x:t xml:space="preserve">400 x 506 cm</x:t>
        </x:is>
      </x:c>
      <x:c r="B438" s="6" t="inlineStr">
        <x:is>
          <x:t xml:space="preserve">LEDRGBCCT</x:t>
        </x:is>
      </x:c>
      <x:c r="C438" s="6" t="inlineStr">
        <x:is>
          <x:t xml:space="preserve">Oświetlenie LED RGB CCT</x:t>
        </x:is>
      </x:c>
      <x:c r="D438" s="6" t="inlineStr">
        <x:is>
          <x:t xml:space="preserve">OŚWIETLENIE</x:t>
        </x:is>
      </x:c>
      <x:c r="E438" s="8" t="n">
        <x:f>IFERROR(INDEX('02_RAW_INDEX'!$T:$T,MATCH($A438,'02_RAW_INDEX'!$A:$A,0)),"")</x:f>
        <x:v>1670</x:v>
      </x:c>
      <x:c r="F438" s="8" t="n">
        <x:f>IFERROR(INDEX('02_RAW_INDEX'!$S:$S,MATCH($A438,'02_RAW_INDEX'!$A:$A,0)),"")</x:f>
        <x:v>2054</x:v>
      </x:c>
      <x:c r="G438" s="7" t="n">
        <x:f>'01_Ustawienia'!$B$6</x:f>
        <x:v>0</x:v>
      </x:c>
      <x:c r="H438" s="8" t="n">
        <x:f>IF(E438="","",ROUND(IF('01_Ustawienia'!$B$5="BRUTTO",F438,E438)*(1-G438),0))</x:f>
        <x:v>1670</x:v>
      </x:c>
      <x:c r="I438" s="7" t="n">
        <x:f>IFERROR(IFERROR(INDEX('01_Ustawienia'!$B$15:$B$33,MATCH(B438,'01_Ustawienia'!$A$15:$A$33,0)),0.45),0.45)</x:f>
        <x:v>0.45</x:v>
      </x:c>
      <x:c r="J438" s="8" t="n">
        <x:f>IF(H438="","",ROUND(H438*(1+I438),0))</x:f>
        <x:v>2422</x:v>
      </x:c>
      <x:c r="K438" s="8" t="n">
        <x:f>0</x:f>
        <x:v>0</x:v>
      </x:c>
      <x:c r="L438" s="8" t="n">
        <x:f>0</x:f>
        <x:v>0</x:v>
      </x:c>
      <x:c r="M438" s="7" t="n">
        <x:f>IF('01_Ustawienia'!$B$4="ZWOLNIONY",0,'01_Ustawienia'!$B$7)</x:f>
        <x:v>0.08</x:v>
      </x:c>
      <x:c r="N438" s="8" t="n">
        <x:f>IF(J438="","",ROUND((J438+K438)*(1+M438),0))</x:f>
        <x:v>2616</x:v>
      </x:c>
      <x:c r="O438" s="8" t="n">
        <x:f>IF(J438="","",J438+K438-H438-L438)</x:f>
        <x:v>752</x:v>
      </x:c>
      <x:c r="P438" s="7" t="n">
        <x:f>IFERROR(O438/(J438+K438),"")</x:f>
        <x:v>0.3104872006606111</x:v>
      </x:c>
      <x:c r="Q438" s="6" t="inlineStr">
        <x:is>
          <x:t xml:space="preserve">RAW_ZP V/W</x:t>
        </x:is>
      </x:c>
      <x:c r="R438" s="6" t="inlineStr">
        <x:is>
          <x:t xml:space="preserve">OŚWIETLENIE</x:t>
        </x:is>
      </x:c>
      <x:c r="S438" s="6" t="inlineStr">
        <x:is>
          <x:t xml:space="preserve">crm_only</x:t>
        </x:is>
      </x:c>
      <x:c r="T438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439" s="655" customFormat="1" ht="30" customHeight="1">
      <x:c r="A439" s="6" t="inlineStr">
        <x:is>
          <x:t xml:space="preserve">400 x 606 cm</x:t>
        </x:is>
      </x:c>
      <x:c r="B439" s="6" t="inlineStr">
        <x:is>
          <x:t xml:space="preserve">ZP</x:t>
        </x:is>
      </x:c>
      <x:c r="C439" s="6" t="inlineStr">
        <x:is>
          <x:t xml:space="preserve">Zadaszenie poliwęglan - baza</x:t>
        </x:is>
      </x:c>
      <x:c r="D439" s="6" t="inlineStr">
        <x:is>
          <x:t xml:space="preserve">ZADASZENIE POLIWĘGLAN</x:t>
        </x:is>
      </x:c>
      <x:c r="E439" s="8" t="n">
        <x:f>IFERROR(INDEX('02_RAW_INDEX'!$D:$D,MATCH($A439,'02_RAW_INDEX'!$A:$A,0)),"")</x:f>
        <x:v>6789</x:v>
      </x:c>
      <x:c r="F439" s="8" t="n">
        <x:f>IFERROR(INDEX('02_RAW_INDEX'!$C:$C,MATCH($A439,'02_RAW_INDEX'!$A:$A,0)),"")</x:f>
        <x:v>8350</x:v>
      </x:c>
      <x:c r="G439" s="7" t="n">
        <x:f>'01_Ustawienia'!$B$6</x:f>
        <x:v>0</x:v>
      </x:c>
      <x:c r="H439" s="8" t="n">
        <x:f>IF(E439="","",ROUND(IF('01_Ustawienia'!$B$5="BRUTTO",F439,E439)*(1-G439),0))</x:f>
        <x:v>6789</x:v>
      </x:c>
      <x:c r="I439" s="7" t="n">
        <x:f>IFERROR(IFERROR(INDEX('01_Ustawienia'!$B$15:$B$33,MATCH(B439,'01_Ustawienia'!$A$15:$A$33,0)),0.45),0.45)</x:f>
        <x:v>0.45</x:v>
      </x:c>
      <x:c r="J439" s="8" t="n">
        <x:f>IF(H439="","",ROUND(H439*(1+I439),0))</x:f>
        <x:v>9844</x:v>
      </x:c>
      <x:c r="K439" s="8" t="n">
        <x:f>IFERROR(IFERROR(INDEX(EG_Cennik_uslug!$F:$F,MATCH($A439,EG_Cennik_uslug!$A:$A,0)),0),0)</x:f>
        <x:v>3730</x:v>
      </x:c>
      <x:c r="L439" s="8" t="n">
        <x:f>IFERROR(IFERROR(INDEX(EG_Cennik_uslug!$G:$G,MATCH($A439,EG_Cennik_uslug!$A:$A,0)),0),0)</x:f>
        <x:v>1290</x:v>
      </x:c>
      <x:c r="M439" s="7" t="n">
        <x:f>IF('01_Ustawienia'!$B$4="ZWOLNIONY",0,'01_Ustawienia'!$B$7)</x:f>
        <x:v>0.08</x:v>
      </x:c>
      <x:c r="N439" s="8" t="n">
        <x:f>IF(J439="","",ROUND((J439+K439)*(1+M439),0))</x:f>
        <x:v>14660</x:v>
      </x:c>
      <x:c r="O439" s="8" t="n">
        <x:f>IF(J439="","",J439+K439-H439-L439)</x:f>
        <x:v>5495</x:v>
      </x:c>
      <x:c r="P439" s="7" t="n">
        <x:f>IFERROR(O439/(J439+K439),"")</x:f>
        <x:v>0.4048180344776779</x:v>
      </x:c>
      <x:c r="Q439" s="6" t="inlineStr">
        <x:is>
          <x:t xml:space="preserve">RAW_ZP B/C</x:t>
        </x:is>
      </x:c>
      <x:c r="R439" s="6" t="inlineStr">
        <x:is>
          <x:t xml:space="preserve">ZADASZENIE TARASU KONSTRUKCJA</x:t>
        </x:is>
      </x:c>
      <x:c r="S439" s="6" t="inlineStr">
        <x:is>
          <x:t xml:space="preserve">website+crm</x:t>
        </x:is>
      </x:c>
      <x:c r="T439" s="6" t="inlineStr">
        <x:is>
          <x:t xml:space="preserve">Baza dla kalkulatora</x:t>
        </x:is>
      </x:c>
    </x:row>
    <x:row r="440" s="655" customFormat="1" ht="30" customHeight="1">
      <x:c r="A440" s="6" t="inlineStr">
        <x:is>
          <x:t xml:space="preserve">400 x 606 cm</x:t>
        </x:is>
      </x:c>
      <x:c r="B440" s="6" t="inlineStr">
        <x:is>
          <x:t xml:space="preserve">ZS</x:t>
        </x:is>
      </x:c>
      <x:c r="C440" s="6" t="inlineStr">
        <x:is>
          <x:t xml:space="preserve">Zadaszenie szkło - pełna konstrukcja</x:t>
        </x:is>
      </x:c>
      <x:c r="D440" s="6" t="inlineStr">
        <x:is>
          <x:t xml:space="preserve">ZADASZENIE SZKŁO</x:t>
        </x:is>
      </x:c>
      <x:c r="E440" s="8" t="n">
        <x:f>IFERROR(INDEX('02_RAW_INDEX'!$V:$V,MATCH($A440,'02_RAW_INDEX'!$A:$A,0)),"")</x:f>
        <x:v>11659</x:v>
      </x:c>
      <x:c r="F440" s="8" t="n">
        <x:f>IFERROR(INDEX('02_RAW_INDEX'!$U:$U,MATCH($A440,'02_RAW_INDEX'!$A:$A,0)),"")</x:f>
        <x:v>14340</x:v>
      </x:c>
      <x:c r="G440" s="7" t="n">
        <x:f>'01_Ustawienia'!$B$6</x:f>
        <x:v>0</x:v>
      </x:c>
      <x:c r="H440" s="8" t="n">
        <x:f>IF(E440="","",ROUND(IF('01_Ustawienia'!$B$5="BRUTTO",F440,E440)*(1-G440),0))</x:f>
        <x:v>11659</x:v>
      </x:c>
      <x:c r="I440" s="7" t="n">
        <x:f>IFERROR(IFERROR(INDEX('01_Ustawienia'!$B$15:$B$33,MATCH(B440,'01_Ustawienia'!$A$15:$A$33,0)),0.45),0.45)</x:f>
        <x:v>0.45</x:v>
      </x:c>
      <x:c r="J440" s="8" t="n">
        <x:f>IF(H440="","",ROUND(H440*(1+I440),0))</x:f>
        <x:v>16906</x:v>
      </x:c>
      <x:c r="K440" s="8" t="n">
        <x:f>IFERROR(IFERROR(INDEX(EG_Cennik_uslug!$F:$F,MATCH($A440,EG_Cennik_uslug!$A:$A,0)),0),0)</x:f>
        <x:v>3730</x:v>
      </x:c>
      <x:c r="L440" s="8" t="n">
        <x:f>IFERROR(IFERROR(INDEX(EG_Cennik_uslug!$G:$G,MATCH($A440,EG_Cennik_uslug!$A:$A,0)),0),0)</x:f>
        <x:v>1290</x:v>
      </x:c>
      <x:c r="M440" s="7" t="n">
        <x:f>IF('01_Ustawienia'!$B$4="ZWOLNIONY",0,'01_Ustawienia'!$B$7)</x:f>
        <x:v>0.08</x:v>
      </x:c>
      <x:c r="N440" s="8" t="n">
        <x:f>IF(J440="","",ROUND((J440+K440)*(1+M440),0))</x:f>
        <x:v>22287</x:v>
      </x:c>
      <x:c r="O440" s="8" t="n">
        <x:f>IF(J440="","",J440+K440-H440-L440)</x:f>
        <x:v>7687</x:v>
      </x:c>
      <x:c r="P440" s="7" t="n">
        <x:f>IFERROR(O440/(J440+K440),"")</x:f>
        <x:v>0.37250436131033143</x:v>
      </x:c>
      <x:c r="Q440" s="6" t="inlineStr">
        <x:is>
          <x:t xml:space="preserve">RAW_ZS B/C</x:t>
        </x:is>
      </x:c>
      <x:c r="R440" s="6" t="inlineStr">
        <x:is>
          <x:t xml:space="preserve">ZADASZENIE TARASU KONSTRUKCJA</x:t>
        </x:is>
      </x:c>
      <x:c r="S440" s="6" t="inlineStr">
        <x:is>
          <x:t xml:space="preserve">crm_only</x:t>
        </x:is>
      </x:c>
      <x:c r="T440" s="6" t="inlineStr">
        <x:is>
          <x:t xml:space="preserve">Referencyjne/full; strona zwykle używa ZP + PDS</x:t>
        </x:is>
      </x:c>
    </x:row>
    <x:row r="441" s="655" customFormat="1" ht="30" customHeight="1">
      <x:c r="A441" s="6" t="inlineStr">
        <x:is>
          <x:t xml:space="preserve">400 x 606 cm</x:t>
        </x:is>
      </x:c>
      <x:c r="B441" s="6" t="inlineStr">
        <x:is>
          <x:t xml:space="preserve">OP</x:t>
        </x:is>
      </x:c>
      <x:c r="C441" s="6" t="inlineStr">
        <x:is>
          <x:t xml:space="preserve">Ogród zimowy poliwęglan - baza</x:t>
        </x:is>
      </x:c>
      <x:c r="D441" s="6" t="inlineStr">
        <x:is>
          <x:t xml:space="preserve">OGRODY POLIWĘGLAN</x:t>
        </x:is>
      </x:c>
      <x:c r="E441" s="8" t="n">
        <x:f>IFERROR(INDEX('02_RAW_INDEX'!$Z:$Z,MATCH($A441,'02_RAW_INDEX'!$A:$A,0)),"")</x:f>
        <x:v>19683</x:v>
      </x:c>
      <x:c r="F441" s="8" t="n">
        <x:f>IFERROR(INDEX('02_RAW_INDEX'!$Y:$Y,MATCH($A441,'02_RAW_INDEX'!$A:$A,0)),"")</x:f>
        <x:v>24210</x:v>
      </x:c>
      <x:c r="G441" s="7" t="n">
        <x:f>'01_Ustawienia'!$B$6</x:f>
        <x:v>0</x:v>
      </x:c>
      <x:c r="H441" s="8" t="n">
        <x:f>IF(E441="","",ROUND(IF('01_Ustawienia'!$B$5="BRUTTO",F441,E441)*(1-G441),0))</x:f>
        <x:v>19683</x:v>
      </x:c>
      <x:c r="I441" s="7" t="n">
        <x:f>IFERROR(IFERROR(INDEX('01_Ustawienia'!$B$15:$B$33,MATCH(B441,'01_Ustawienia'!$A$15:$A$33,0)),0.45),0.45)</x:f>
        <x:v>0.45</x:v>
      </x:c>
      <x:c r="J441" s="8" t="n">
        <x:f>IF(H441="","",ROUND(H441*(1+I441),0))</x:f>
        <x:v>28540</x:v>
      </x:c>
      <x:c r="K441" s="8" t="n">
        <x:f>IFERROR(IFERROR(INDEX(EG_Cennik_uslug!$N:$N,MATCH($A441,EG_Cennik_uslug!$A:$A,0)),0),0)</x:f>
        <x:v>4960</x:v>
      </x:c>
      <x:c r="L441" s="8" t="n">
        <x:f>IFERROR(IFERROR(INDEX(EG_Cennik_uslug!$O:$O,MATCH($A441,EG_Cennik_uslug!$A:$A,0)),0),0)</x:f>
        <x:v>1800</x:v>
      </x:c>
      <x:c r="M441" s="7" t="n">
        <x:f>IF('01_Ustawienia'!$B$4="ZWOLNIONY",0,'01_Ustawienia'!$B$7)</x:f>
        <x:v>0.08</x:v>
      </x:c>
      <x:c r="N441" s="8" t="n">
        <x:f>IF(J441="","",ROUND((J441+K441)*(1+M441),0))</x:f>
        <x:v>36180</x:v>
      </x:c>
      <x:c r="O441" s="8" t="n">
        <x:f>IF(J441="","",J441+K441-H441-L441)</x:f>
        <x:v>12017</x:v>
      </x:c>
      <x:c r="P441" s="7" t="n">
        <x:f>IFERROR(O441/(J441+K441),"")</x:f>
        <x:v>0.3587164179104478</x:v>
      </x:c>
      <x:c r="Q441" s="6" t="inlineStr">
        <x:is>
          <x:t xml:space="preserve">RAW_OP B/C</x:t>
        </x:is>
      </x:c>
      <x:c r="R441" s="6" t="inlineStr">
        <x:is>
          <x:t xml:space="preserve">OGRÓD ZIMOWY (KONSTRUKCJA)</x:t>
        </x:is>
      </x:c>
      <x:c r="S441" s="6" t="inlineStr">
        <x:is>
          <x:t xml:space="preserve">website+crm</x:t>
        </x:is>
      </x:c>
      <x:c r="T441" s="6" t="inlineStr">
        <x:is>
          <x:t xml:space="preserve">Do wyliczenia dopłaty za ściany</x:t>
        </x:is>
      </x:c>
    </x:row>
    <x:row r="442" s="655" customFormat="1" ht="30" customHeight="1">
      <x:c r="A442" s="6" t="inlineStr">
        <x:is>
          <x:t xml:space="preserve">400 x 606 cm</x:t>
        </x:is>
      </x:c>
      <x:c r="B442" s="6" t="inlineStr">
        <x:is>
          <x:t xml:space="preserve">OS</x:t>
        </x:is>
      </x:c>
      <x:c r="C442" s="6" t="inlineStr">
        <x:is>
          <x:t xml:space="preserve">Ogród zimowy szkło - pełna konstrukcja</x:t>
        </x:is>
      </x:c>
      <x:c r="D442" s="6" t="inlineStr">
        <x:is>
          <x:t xml:space="preserve">OGRODY SZKŁO</x:t>
        </x:is>
      </x:c>
      <x:c r="E442" s="8" t="n">
        <x:f>IFERROR(INDEX('02_RAW_INDEX'!$AL:$AL,MATCH($A442,'02_RAW_INDEX'!$A:$A,0)),"")</x:f>
        <x:v>24553</x:v>
      </x:c>
      <x:c r="F442" s="8" t="n">
        <x:f>IFERROR(INDEX('02_RAW_INDEX'!$AK:$AK,MATCH($A442,'02_RAW_INDEX'!$A:$A,0)),"")</x:f>
        <x:v>30200</x:v>
      </x:c>
      <x:c r="G442" s="7" t="n">
        <x:f>'01_Ustawienia'!$B$6</x:f>
        <x:v>0</x:v>
      </x:c>
      <x:c r="H442" s="8" t="n">
        <x:f>IF(E442="","",ROUND(IF('01_Ustawienia'!$B$5="BRUTTO",F442,E442)*(1-G442),0))</x:f>
        <x:v>24553</x:v>
      </x:c>
      <x:c r="I442" s="7" t="n">
        <x:f>IFERROR(IFERROR(INDEX('01_Ustawienia'!$B$15:$B$33,MATCH(B442,'01_Ustawienia'!$A$15:$A$33,0)),0.45),0.45)</x:f>
        <x:v>0.45</x:v>
      </x:c>
      <x:c r="J442" s="8" t="n">
        <x:f>IF(H442="","",ROUND(H442*(1+I442),0))</x:f>
        <x:v>35602</x:v>
      </x:c>
      <x:c r="K442" s="8" t="n">
        <x:f>IFERROR(IFERROR(INDEX(EG_Cennik_uslug!$N:$N,MATCH($A442,EG_Cennik_uslug!$A:$A,0)),0),0)</x:f>
        <x:v>4960</x:v>
      </x:c>
      <x:c r="L442" s="8" t="n">
        <x:f>IFERROR(IFERROR(INDEX(EG_Cennik_uslug!$O:$O,MATCH($A442,EG_Cennik_uslug!$A:$A,0)),0),0)</x:f>
        <x:v>1800</x:v>
      </x:c>
      <x:c r="M442" s="7" t="n">
        <x:f>IF('01_Ustawienia'!$B$4="ZWOLNIONY",0,'01_Ustawienia'!$B$7)</x:f>
        <x:v>0.08</x:v>
      </x:c>
      <x:c r="N442" s="8" t="n">
        <x:f>IF(J442="","",ROUND((J442+K442)*(1+M442),0))</x:f>
        <x:v>43807</x:v>
      </x:c>
      <x:c r="O442" s="8" t="n">
        <x:f>IF(J442="","",J442+K442-H442-L442)</x:f>
        <x:v>14209</x:v>
      </x:c>
      <x:c r="P442" s="7" t="n">
        <x:f>IFERROR(O442/(J442+K442),"")</x:f>
        <x:v>0.3503032394852325</x:v>
      </x:c>
      <x:c r="Q442" s="6" t="inlineStr">
        <x:is>
          <x:t xml:space="preserve">RAW_OS B/C</x:t>
        </x:is>
      </x:c>
      <x:c r="R442" s="6" t="inlineStr">
        <x:is>
          <x:t xml:space="preserve">OGRÓD ZIMOWY (KONSTRUKCJA)</x:t>
        </x:is>
      </x:c>
      <x:c r="S442" s="6" t="inlineStr">
        <x:is>
          <x:t xml:space="preserve">crm_only</x:t>
        </x:is>
      </x:c>
      <x:c r="T442" s="6" t="inlineStr">
        <x:is>
          <x:t xml:space="preserve">Referencyjne/full</x:t>
        </x:is>
      </x:c>
    </x:row>
    <x:row r="443" s="655" customFormat="1" ht="30" customHeight="1">
      <x:c r="A443" s="6" t="inlineStr">
        <x:is>
          <x:t xml:space="preserve">400 x 606 cm</x:t>
        </x:is>
      </x:c>
      <x:c r="B443" s="6" t="inlineStr">
        <x:is>
          <x:t xml:space="preserve">PDS</x:t>
        </x:is>
      </x:c>
      <x:c r="C443" s="6" t="inlineStr">
        <x:is>
          <x:t xml:space="preserve">Dopłata dach szkło przezroczyste</x:t>
        </x:is>
      </x:c>
      <x:c r="D443" s="6" t="inlineStr">
        <x:is>
          <x:t xml:space="preserve">POKRYCIE DACHU SZKŁO</x:t>
        </x:is>
      </x:c>
      <x:c r="E443" s="8" t="n">
        <x:f>IFERROR(IFERROR(INDEX('02_RAW_INDEX'!$V:$V,MATCH($A443,'02_RAW_INDEX'!$A:$A,0)),"")-IFERROR(INDEX('02_RAW_INDEX'!$D:$D,MATCH($A443,'02_RAW_INDEX'!$A:$A,0)),""),"")</x:f>
        <x:v>4870</x:v>
      </x:c>
      <x:c r="F443" s="8" t="n">
        <x:f>IFERROR(IFERROR(INDEX('02_RAW_INDEX'!$U:$U,MATCH($A443,'02_RAW_INDEX'!$A:$A,0)),"")-IFERROR(INDEX('02_RAW_INDEX'!$C:$C,MATCH($A443,'02_RAW_INDEX'!$A:$A,0)),""),"")</x:f>
        <x:v>5990</x:v>
      </x:c>
      <x:c r="G443" s="7" t="n">
        <x:f>'01_Ustawienia'!$B$6</x:f>
        <x:v>0</x:v>
      </x:c>
      <x:c r="H443" s="8" t="n">
        <x:f>IF(E443="","",ROUND(IF('01_Ustawienia'!$B$5="BRUTTO",F443,E443)*(1-G443),0))</x:f>
        <x:v>4870</x:v>
      </x:c>
      <x:c r="I443" s="7" t="n">
        <x:f>IFERROR(IFERROR(INDEX('01_Ustawienia'!$B$15:$B$33,MATCH(B443,'01_Ustawienia'!$A$15:$A$33,0)),0.45),0.45)</x:f>
        <x:v>0.45</x:v>
      </x:c>
      <x:c r="J443" s="8" t="n">
        <x:f>IF(H443="","",ROUND(H443*(1+I443),0))</x:f>
        <x:v>7062</x:v>
      </x:c>
      <x:c r="K443" s="8" t="n">
        <x:f>0</x:f>
        <x:v>0</x:v>
      </x:c>
      <x:c r="L443" s="8" t="n">
        <x:v>0</x:v>
      </x:c>
      <x:c r="M443" s="7" t="n">
        <x:f>IF('01_Ustawienia'!$B$4="ZWOLNIONY",0,'01_Ustawienia'!$B$7)</x:f>
        <x:v>0.08</x:v>
      </x:c>
      <x:c r="N443" s="8" t="n">
        <x:f>IF(J443="","",ROUND((J443+K443)*(1+M443),0))</x:f>
        <x:v>7627</x:v>
      </x:c>
      <x:c r="O443" s="8" t="n">
        <x:f>IF(J443="","",J443+K443-H443-L443)</x:f>
        <x:v>2192</x:v>
      </x:c>
      <x:c r="P443" s="7" t="n">
        <x:f>IFERROR(O443/(J443+K443),"")</x:f>
        <x:v>0.3103936561880487</x:v>
      </x:c>
      <x:c r="Q443" s="6" t="inlineStr">
        <x:is>
          <x:t xml:space="preserve">RAW_ZS - RAW_ZP</x:t>
        </x:is>
      </x:c>
      <x:c r="R443" s="6" t="inlineStr">
        <x:is>
          <x:t xml:space="preserve">POKRYCIE DACHU</x:t>
        </x:is>
      </x:c>
      <x:c r="S443" s="6" t="inlineStr">
        <x:is>
          <x:t xml:space="preserve">website+crm</x:t>
        </x:is>
      </x:c>
      <x:c r="T443" s="6" t="inlineStr">
        <x:is>
          <x:t xml:space="preserve">Dopłata do bazowego dachu poliwęglan | FIX17: Wynagr.+koszty = 0 dla dopłaty; nie jest osobnym montażem ekipy.</x:t>
        </x:is>
      </x:c>
    </x:row>
    <x:row r="444" s="655" customFormat="1" ht="30" customHeight="1">
      <x:c r="A444" s="6" t="inlineStr">
        <x:is>
          <x:t xml:space="preserve">400 x 606 cm</x:t>
        </x:is>
      </x:c>
      <x:c r="B444" s="6" t="inlineStr">
        <x:is>
          <x:t xml:space="preserve">PDSB</x:t>
        </x:is>
      </x:c>
      <x:c r="C444" s="6" t="inlineStr">
        <x:is>
          <x:t xml:space="preserve">Dopłata dach szkło barwione/mleczne</x:t>
        </x:is>
      </x:c>
      <x:c r="D444" s="6" t="inlineStr">
        <x:is>
          <x:t xml:space="preserve">POKRYCIE DACHU SZKŁO BARWIONE</x:t>
        </x:is>
      </x:c>
      <x:c r="E444" s="8" t="n">
        <x:f>IFERROR(INDEX('02_RAW_INDEX'!$X:$X,MATCH($A444,'02_RAW_INDEX'!$A:$A,0)),"")</x:f>
        <x:v>569</x:v>
      </x:c>
      <x:c r="F444" s="8" t="n">
        <x:f>IFERROR(INDEX('02_RAW_INDEX'!$W:$W,MATCH($A444,'02_RAW_INDEX'!$A:$A,0)),"")</x:f>
        <x:v>700</x:v>
      </x:c>
      <x:c r="G444" s="7" t="n">
        <x:f>'01_Ustawienia'!$B$6</x:f>
        <x:v>0</x:v>
      </x:c>
      <x:c r="H444" s="8" t="n">
        <x:f>IF(E444="","",ROUND(IF('01_Ustawienia'!$B$5="BRUTTO",F444,E444)*(1-G444),0))</x:f>
        <x:v>569</x:v>
      </x:c>
      <x:c r="I444" s="7" t="n">
        <x:f>IFERROR(IFERROR(INDEX('01_Ustawienia'!$B$15:$B$33,MATCH(B444,'01_Ustawienia'!$A$15:$A$33,0)),0.45),0.45)</x:f>
        <x:v>0.45</x:v>
      </x:c>
      <x:c r="J444" s="8" t="n">
        <x:f>IF(H444="","",ROUND(H444*(1+I444),0))</x:f>
        <x:v>825</x:v>
      </x:c>
      <x:c r="K444" s="8" t="n">
        <x:f>0</x:f>
        <x:v>0</x:v>
      </x:c>
      <x:c r="L444" s="8" t="n">
        <x:v>0</x:v>
      </x:c>
      <x:c r="M444" s="7" t="n">
        <x:f>IF('01_Ustawienia'!$B$4="ZWOLNIONY",0,'01_Ustawienia'!$B$7)</x:f>
        <x:v>0.08</x:v>
      </x:c>
      <x:c r="N444" s="8" t="n">
        <x:f>IF(J444="","",ROUND((J444+K444)*(1+M444),0))</x:f>
        <x:v>891</x:v>
      </x:c>
      <x:c r="O444" s="8" t="n">
        <x:f>IF(J444="","",J444+K444-H444-L444)</x:f>
        <x:v>256</x:v>
      </x:c>
      <x:c r="P444" s="7" t="n">
        <x:f>IFERROR(O444/(J444+K444),"")</x:f>
        <x:v>0.3103030303030303</x:v>
      </x:c>
      <x:c r="Q444" s="6" t="inlineStr">
        <x:is>
          <x:t xml:space="preserve">RAW_ZS D/E</x:t>
        </x:is>
      </x:c>
      <x:c r="R444" s="6" t="inlineStr">
        <x:is>
          <x:t xml:space="preserve">POKRYCIE DACHU</x:t>
        </x:is>
      </x:c>
      <x:c r="S444" s="6" t="inlineStr">
        <x:is>
          <x:t xml:space="preserve">website+crm</x:t>
        </x:is>
      </x:c>
      <x:c r="T444" s="6" t="inlineStr">
        <x:is>
          <x:t xml:space="preserve">Dodawane do PDS | FIX17: Wynagr.+koszty = 0 dla dopłaty; nie jest osobnym montażem ekipy.</x:t>
        </x:is>
      </x:c>
    </x:row>
    <x:row r="445" s="655" customFormat="1" ht="30" customHeight="1">
      <x:c r="A445" s="6" t="inlineStr">
        <x:is>
          <x:t xml:space="preserve">400 x 606 cm</x:t>
        </x:is>
      </x:c>
      <x:c r="B445" s="6" t="inlineStr">
        <x:is>
          <x:t xml:space="preserve">PDPB</x:t>
        </x:is>
      </x:c>
      <x:c r="C445" s="6" t="inlineStr">
        <x:is>
          <x:t xml:space="preserve">Dopłata poliwęglan barwiony</x:t>
        </x:is>
      </x:c>
      <x:c r="D445" s="6" t="inlineStr">
        <x:is>
          <x:t xml:space="preserve">POKRYCIE DACHU POLIWĘGLAN BARWIONY</x:t>
        </x:is>
      </x:c>
      <x:c r="E445" s="8" t="n">
        <x:f>IFERROR(INDEX('02_RAW_INDEX'!$F:$F,MATCH($A445,'02_RAW_INDEX'!$A:$A,0)),"")</x:f>
        <x:v>276</x:v>
      </x:c>
      <x:c r="F445" s="8" t="n">
        <x:f>IFERROR(INDEX('02_RAW_INDEX'!$E:$E,MATCH($A445,'02_RAW_INDEX'!$A:$A,0)),"")</x:f>
        <x:v>340</x:v>
      </x:c>
      <x:c r="G445" s="7" t="n">
        <x:f>'01_Ustawienia'!$B$6</x:f>
        <x:v>0</x:v>
      </x:c>
      <x:c r="H445" s="8" t="n">
        <x:f>IF(E445="","",ROUND(IF('01_Ustawienia'!$B$5="BRUTTO",F445,E445)*(1-G445),0))</x:f>
        <x:v>276</x:v>
      </x:c>
      <x:c r="I445" s="7" t="n">
        <x:f>IFERROR(IFERROR(INDEX('01_Ustawienia'!$B$15:$B$33,MATCH(B445,'01_Ustawienia'!$A$15:$A$33,0)),0.45),0.45)</x:f>
        <x:v>0.45</x:v>
      </x:c>
      <x:c r="J445" s="8" t="n">
        <x:f>IF(H445="","",ROUND(H445*(1+I445),0))</x:f>
        <x:v>400</x:v>
      </x:c>
      <x:c r="K445" s="8" t="n">
        <x:f>0</x:f>
        <x:v>0</x:v>
      </x:c>
      <x:c r="L445" s="8" t="n">
        <x:v>0</x:v>
      </x:c>
      <x:c r="M445" s="7" t="n">
        <x:f>IF('01_Ustawienia'!$B$4="ZWOLNIONY",0,'01_Ustawienia'!$B$7)</x:f>
        <x:v>0.08</x:v>
      </x:c>
      <x:c r="N445" s="8" t="n">
        <x:f>IF(J445="","",ROUND((J445+K445)*(1+M445),0))</x:f>
        <x:v>432</x:v>
      </x:c>
      <x:c r="O445" s="8" t="n">
        <x:f>IF(J445="","",J445+K445-H445-L445)</x:f>
        <x:v>124</x:v>
      </x:c>
      <x:c r="P445" s="7" t="n">
        <x:f>IFERROR(O445/(J445+K445),"")</x:f>
        <x:v>0.31</x:v>
      </x:c>
      <x:c r="Q445" s="6" t="inlineStr">
        <x:is>
          <x:t xml:space="preserve">RAW_ZP D/E</x:t>
        </x:is>
      </x:c>
      <x:c r="R445" s="6" t="inlineStr">
        <x:is>
          <x:t xml:space="preserve">POKRYCIE DACHU</x:t>
        </x:is>
      </x:c>
      <x:c r="S445" s="6" t="inlineStr">
        <x:is>
          <x:t xml:space="preserve">website+crm</x:t>
        </x:is>
      </x:c>
      <x:c r="T445" s="6" t="inlineStr">
        <x:is>
          <x:t xml:space="preserve">FIX17: Wynagr.+koszty = 0 dla dopłaty; nie jest osobnym montażem ekipy.</x:t>
        </x:is>
      </x:c>
    </x:row>
    <x:row r="446" s="655" customFormat="1" ht="30" customHeight="1">
      <x:c r="A446" s="6" t="inlineStr">
        <x:is>
          <x:t xml:space="preserve">400 x 606 cm</x:t>
        </x:is>
      </x:c>
      <x:c r="B446" s="6" t="inlineStr">
        <x:is>
          <x:t xml:space="preserve">SBB</x:t>
        </x:is>
      </x:c>
      <x:c r="C446" s="6" t="inlineStr">
        <x:is>
          <x:t xml:space="preserve">Dopłata szkło boczne przyciemniane</x:t>
        </x:is>
      </x:c>
      <x:c r="D446" s="6" t="inlineStr">
        <x:is>
          <x:t xml:space="preserve">SZKŁO BOCZNE BARWIONE</x:t>
        </x:is>
      </x:c>
      <x:c r="E446" s="8" t="n">
        <x:f>IFERROR(INDEX('02_RAW_INDEX'!$AB:$AB,MATCH($A446,'02_RAW_INDEX'!$A:$A,0)),"")</x:f>
        <x:v>1366</x:v>
      </x:c>
      <x:c r="F446" s="8" t="n">
        <x:f>IFERROR(INDEX('02_RAW_INDEX'!$AA:$AA,MATCH($A446,'02_RAW_INDEX'!$A:$A,0)),"")</x:f>
        <x:v>1680</x:v>
      </x:c>
      <x:c r="G446" s="7" t="n">
        <x:f>'01_Ustawienia'!$B$6</x:f>
        <x:v>0</x:v>
      </x:c>
      <x:c r="H446" s="8" t="n">
        <x:f>IF(E446="","",ROUND(IF('01_Ustawienia'!$B$5="BRUTTO",F446,E446)*(1-G446),0))</x:f>
        <x:v>1366</x:v>
      </x:c>
      <x:c r="I446" s="7" t="n">
        <x:f>IFERROR(IFERROR(INDEX('01_Ustawienia'!$B$15:$B$33,MATCH(B446,'01_Ustawienia'!$A$15:$A$33,0)),0.45),0.45)</x:f>
        <x:v>0.45</x:v>
      </x:c>
      <x:c r="J446" s="8" t="n">
        <x:f>IF(H446="","",ROUND(H446*(1+I446),0))</x:f>
        <x:v>1981</x:v>
      </x:c>
      <x:c r="K446" s="8" t="n">
        <x:f>0</x:f>
        <x:v>0</x:v>
      </x:c>
      <x:c r="L446" s="8" t="n">
        <x:v>0</x:v>
      </x:c>
      <x:c r="M446" s="7" t="n">
        <x:f>IF('01_Ustawienia'!$B$4="ZWOLNIONY",0,'01_Ustawienia'!$B$7)</x:f>
        <x:v>0.08</x:v>
      </x:c>
      <x:c r="N446" s="8" t="n">
        <x:f>IF(J446="","",ROUND((J446+K446)*(1+M446),0))</x:f>
        <x:v>2139</x:v>
      </x:c>
      <x:c r="O446" s="8" t="n">
        <x:f>IF(J446="","",J446+K446-H446-L446)</x:f>
        <x:v>615</x:v>
      </x:c>
      <x:c r="P446" s="7" t="n">
        <x:f>IFERROR(O446/(J446+K446),"")</x:f>
        <x:v>0.3104492680464412</x:v>
      </x:c>
      <x:c r="Q446" s="6" t="inlineStr">
        <x:is>
          <x:t xml:space="preserve">RAW_OP H/I</x:t>
        </x:is>
      </x:c>
      <x:c r="R446" s="6" t="inlineStr">
        <x:is>
          <x:t xml:space="preserve">SZYBY BOCZNE</x:t>
        </x:is>
      </x:c>
      <x:c r="S446" s="6" t="inlineStr">
        <x:is>
          <x:t xml:space="preserve">website+crm</x:t>
        </x:is>
      </x:c>
      <x:c r="T446" s="6" t="inlineStr">
        <x:is>
          <x:t xml:space="preserve">Dodawane do ścian przezroczystych | FIX17: Wynagr.+koszty = 0 dla dopłaty; nie jest osobnym montażem ekipy.</x:t>
        </x:is>
      </x:c>
    </x:row>
    <x:row r="447">
      <x:c r="A447" s="6" t="inlineStr">
        <x:is>
          <x:t xml:space="preserve">400 x 606 cm</x:t>
        </x:is>
      </x:c>
      <x:c r="B447" s="6" t="inlineStr">
        <x:is>
          <x:t xml:space="preserve">RB</x:t>
        </x:is>
      </x:c>
      <x:c r="C447" s="6" t="inlineStr">
        <x:is>
          <x:t xml:space="preserve">Roleta boczna ZIP</x:t>
        </x:is>
      </x:c>
      <x:c r="D447" s="6" t="inlineStr">
        <x:is>
          <x:t xml:space="preserve">ROLETA BOCZNA</x:t>
        </x:is>
      </x:c>
      <x:c r="E447" s="8" t="n">
        <x:f>IFERROR(INDEX('02_RAW_INDEX'!$J:$J,MATCH($A447,'02_RAW_INDEX'!$A:$A,0)),"")</x:f>
        <x:v>2146</x:v>
      </x:c>
      <x:c r="F447" s="8" t="n">
        <x:f>IFERROR(INDEX('02_RAW_INDEX'!$I:$I,MATCH($A447,'02_RAW_INDEX'!$A:$A,0)),"")</x:f>
        <x:v>2640</x:v>
      </x:c>
      <x:c r="G447" s="7" t="n">
        <x:f>'01_Ustawienia'!$B$6</x:f>
        <x:v>0</x:v>
      </x:c>
      <x:c r="H447" s="8" t="n">
        <x:f>IF(E447="","",ROUND(IF('01_Ustawienia'!$B$5="BRUTTO",F447,E447)*(1-G447),0))</x:f>
        <x:v>2146</x:v>
      </x:c>
      <x:c r="I447" s="7" t="n">
        <x:f>IFERROR(IFERROR(INDEX('01_Ustawienia'!$B$15:$B$33,MATCH(B447,'01_Ustawienia'!$A$15:$A$33,0)),0.45),0.45)</x:f>
        <x:v>0.45</x:v>
      </x:c>
      <x:c r="J447" s="8" t="n">
        <x:f>IF(H447="","",ROUND(H447*(1+I447),0))</x:f>
        <x:v>3112</x:v>
      </x:c>
      <x:c r="K447" s="8" t="n">
        <x:f>0</x:f>
        <x:v>0</x:v>
      </x:c>
      <x:c r="L447" s="8" t="n">
        <x:f>IFERROR(IFERROR(INDEX(EG_Cennik_uslug!$AC:$AC,MATCH($A447,EG_Cennik_uslug!$A:$A,0)),0),0)</x:f>
        <x:v>150</x:v>
      </x:c>
      <x:c r="M447" s="7" t="n">
        <x:f>IF('01_Ustawienia'!$B$4="ZWOLNIONY",0,'01_Ustawienia'!$B$7)</x:f>
        <x:v>0.08</x:v>
      </x:c>
      <x:c r="N447" s="8" t="n">
        <x:f>IF(J447="","",ROUND((J447+K447)*(1+M447),0))</x:f>
        <x:v>3361</x:v>
      </x:c>
      <x:c r="O447" s="8" t="n">
        <x:f>IF(J447="","",J447+K447-H447-L447)</x:f>
        <x:v>816</x:v>
      </x:c>
      <x:c r="P447" s="7" t="n">
        <x:f>IFERROR(O447/(J447+K447),"")</x:f>
        <x:v>0.2622107969151671</x:v>
      </x:c>
      <x:c r="Q447" s="6" t="inlineStr">
        <x:is>
          <x:t xml:space="preserve">RAW_ZP J/K</x:t>
        </x:is>
      </x:c>
      <x:c r="R447" s="6" t="inlineStr">
        <x:is>
          <x:t xml:space="preserve">ROLETY BOCZNE</x:t>
        </x:is>
      </x:c>
      <x:c r="S447" s="6" t="inlineStr">
        <x:is>
          <x:t xml:space="preserve">website+crm</x:t>
        </x:is>
      </x:c>
      <x:c r="T447" s="6" t="inlineStr">
        <x:is>
          <x:t xml:space="preserve">Używana dla lewej i prawej</x:t>
        </x:is>
      </x:c>
    </x:row>
    <x:row r="448">
      <x:c r="A448" s="6" t="inlineStr">
        <x:is>
          <x:t xml:space="preserve">400 x 606 cm</x:t>
        </x:is>
      </x:c>
      <x:c r="B448" s="6" t="inlineStr">
        <x:is>
          <x:t xml:space="preserve">RP</x:t>
        </x:is>
      </x:c>
      <x:c r="C448" s="6" t="inlineStr">
        <x:is>
          <x:t xml:space="preserve">Roleta przednia ZIP</x:t>
        </x:is>
      </x:c>
      <x:c r="D448" s="6" t="inlineStr">
        <x:is>
          <x:t xml:space="preserve">ROLETA PRZÓD</x:t>
        </x:is>
      </x:c>
      <x:c r="E448" s="8" t="n">
        <x:f>IFERROR(INDEX('02_RAW_INDEX'!$L:$L,MATCH($A448,'02_RAW_INDEX'!$A:$A,0)),"")</x:f>
        <x:v>3472</x:v>
      </x:c>
      <x:c r="F448" s="8" t="n">
        <x:f>IFERROR(INDEX('02_RAW_INDEX'!$K:$K,MATCH($A448,'02_RAW_INDEX'!$A:$A,0)),"")</x:f>
        <x:v>4270</x:v>
      </x:c>
      <x:c r="G448" s="7" t="n">
        <x:f>'01_Ustawienia'!$B$6</x:f>
        <x:v>0</x:v>
      </x:c>
      <x:c r="H448" s="8" t="n">
        <x:f>IF(E448="","",ROUND(IF('01_Ustawienia'!$B$5="BRUTTO",F448,E448)*(1-G448),0))</x:f>
        <x:v>3472</x:v>
      </x:c>
      <x:c r="I448" s="7" t="n">
        <x:f>IFERROR(IFERROR(INDEX('01_Ustawienia'!$B$15:$B$33,MATCH(B448,'01_Ustawienia'!$A$15:$A$33,0)),0.45),0.45)</x:f>
        <x:v>0.45</x:v>
      </x:c>
      <x:c r="J448" s="8" t="n">
        <x:f>IF(H448="","",ROUND(H448*(1+I448),0))</x:f>
        <x:v>5034</x:v>
      </x:c>
      <x:c r="K448" s="8" t="n">
        <x:f>0</x:f>
        <x:v>0</x:v>
      </x:c>
      <x:c r="L448" s="8" t="n">
        <x:f>IFERROR(IFERROR(INDEX(EG_Cennik_uslug!$AJ:$AJ,MATCH($A448,EG_Cennik_uslug!$A:$A,0)),0),0)</x:f>
        <x:v>300</x:v>
      </x:c>
      <x:c r="M448" s="7" t="n">
        <x:f>IF('01_Ustawienia'!$B$4="ZWOLNIONY",0,'01_Ustawienia'!$B$7)</x:f>
        <x:v>0.08</x:v>
      </x:c>
      <x:c r="N448" s="8" t="n">
        <x:f>IF(J448="","",ROUND((J448+K448)*(1+M448),0))</x:f>
        <x:v>5437</x:v>
      </x:c>
      <x:c r="O448" s="8" t="n">
        <x:f>IF(J448="","",J448+K448-H448-L448)</x:f>
        <x:v>1262</x:v>
      </x:c>
      <x:c r="P448" s="7" t="n">
        <x:f>IFERROR(O448/(J448+K448),"")</x:f>
        <x:v>0.2506952721493842</x:v>
      </x:c>
      <x:c r="Q448" s="6" t="inlineStr">
        <x:is>
          <x:t xml:space="preserve">RAW_ZP N/O</x:t>
        </x:is>
      </x:c>
      <x:c r="R448" s="6" t="inlineStr">
        <x:is>
          <x:t xml:space="preserve">ROLETY BOCZNE</x:t>
        </x:is>
      </x:c>
      <x:c r="S448" s="6" t="inlineStr">
        <x:is>
          <x:t xml:space="preserve">website+crm</x:t>
        </x:is>
      </x:c>
      <x:c r="T448" s="6" t="n"/>
    </x:row>
    <x:row r="449">
      <x:c r="A449" s="6" t="inlineStr">
        <x:is>
          <x:t xml:space="preserve">400 x 606 cm</x:t>
        </x:is>
      </x:c>
      <x:c r="B449" s="6" t="inlineStr">
        <x:is>
          <x:t xml:space="preserve">M</x:t>
        </x:is>
      </x:c>
      <x:c r="C449" s="6" t="inlineStr">
        <x:is>
          <x:t xml:space="preserve">Markiza dachowa</x:t>
        </x:is>
      </x:c>
      <x:c r="D449" s="6" t="inlineStr">
        <x:is>
          <x:t xml:space="preserve">MARKIZA</x:t>
        </x:is>
      </x:c>
      <x:c r="E449" s="8" t="n">
        <x:f>IFERROR(INDEX('02_RAW_INDEX'!$H:$H,MATCH($A449,'02_RAW_INDEX'!$A:$A,0)),"")</x:f>
        <x:v>6553</x:v>
      </x:c>
      <x:c r="F449" s="8" t="n">
        <x:f>IFERROR(INDEX('02_RAW_INDEX'!$G:$G,MATCH($A449,'02_RAW_INDEX'!$A:$A,0)),"")</x:f>
        <x:v>8060</x:v>
      </x:c>
      <x:c r="G449" s="7" t="n">
        <x:f>'01_Ustawienia'!$B$6</x:f>
        <x:v>0</x:v>
      </x:c>
      <x:c r="H449" s="8" t="n">
        <x:f>IF(E449="","",ROUND(IF('01_Ustawienia'!$B$5="BRUTTO",F449,E449)*(1-G449),0))</x:f>
        <x:v>6553</x:v>
      </x:c>
      <x:c r="I449" s="7" t="n">
        <x:f>IFERROR(IFERROR(INDEX('01_Ustawienia'!$B$15:$B$33,MATCH(B449,'01_Ustawienia'!$A$15:$A$33,0)),0.45),0.45)</x:f>
        <x:v>0.45</x:v>
      </x:c>
      <x:c r="J449" s="8" t="n">
        <x:f>IF(H449="","",ROUND(H449*(1+I449),0))</x:f>
        <x:v>9502</x:v>
      </x:c>
      <x:c r="K449" s="8" t="n">
        <x:f>0</x:f>
        <x:v>0</x:v>
      </x:c>
      <x:c r="L449" s="8" t="n">
        <x:f>IFERROR(IFERROR(INDEX(EG_Cennik_uslug!$AQ:$AQ,MATCH($A449,EG_Cennik_uslug!$A:$A,0)),0),0)</x:f>
        <x:v>350</x:v>
      </x:c>
      <x:c r="M449" s="7" t="n">
        <x:f>IF('01_Ustawienia'!$B$4="ZWOLNIONY",0,'01_Ustawienia'!$B$7)</x:f>
        <x:v>0.08</x:v>
      </x:c>
      <x:c r="N449" s="8" t="n">
        <x:f>IF(J449="","",ROUND((J449+K449)*(1+M449),0))</x:f>
        <x:v>10262</x:v>
      </x:c>
      <x:c r="O449" s="8" t="n">
        <x:f>IF(J449="","",J449+K449-H449-L449)</x:f>
        <x:v>2599</x:v>
      </x:c>
      <x:c r="P449" s="7" t="n">
        <x:f>IFERROR(O449/(J449+K449),"")</x:f>
        <x:v>0.27352136392338455</x:v>
      </x:c>
      <x:c r="Q449" s="6" t="inlineStr">
        <x:is>
          <x:t xml:space="preserve">RAW_ZP H/I</x:t>
        </x:is>
      </x:c>
      <x:c r="R449" s="6" t="inlineStr">
        <x:is>
          <x:t xml:space="preserve">MARKIZA</x:t>
        </x:is>
      </x:c>
      <x:c r="S449" s="6" t="inlineStr">
        <x:is>
          <x:t xml:space="preserve">website+crm</x:t>
        </x:is>
      </x:c>
      <x:c r="T449" s="6" t="n"/>
    </x:row>
    <x:row r="450">
      <x:c r="A450" s="6" t="inlineStr">
        <x:is>
          <x:t xml:space="preserve">400 x 606 cm</x:t>
        </x:is>
      </x:c>
      <x:c r="B450" s="6" t="inlineStr">
        <x:is>
          <x:t xml:space="preserve">PDWP</x:t>
        </x:is>
      </x:c>
      <x:c r="C450" s="6" t="inlineStr">
        <x:is>
          <x:t xml:space="preserve">Fundament/profile</x:t>
        </x:is>
      </x:c>
      <x:c r="D450" s="6" t="inlineStr">
        <x:is>
          <x:t xml:space="preserve">FUNDAMENT / PROFILE</x:t>
        </x:is>
      </x:c>
      <x:c r="E450" s="8" t="n">
        <x:f>IFERROR(INDEX('02_RAW_INDEX'!$AH:$AH,MATCH($A450,'02_RAW_INDEX'!$A:$A,0)),"")</x:f>
        <x:v>1154</x:v>
      </x:c>
      <x:c r="F450" s="8" t="n">
        <x:f>IFERROR(INDEX('02_RAW_INDEX'!$AG:$AG,MATCH($A450,'02_RAW_INDEX'!$A:$A,0)),"")</x:f>
        <x:v>1420</x:v>
      </x:c>
      <x:c r="G450" s="7" t="n">
        <x:f>'01_Ustawienia'!$B$6</x:f>
        <x:v>0</x:v>
      </x:c>
      <x:c r="H450" s="8" t="n">
        <x:f>IF(E450="","",ROUND(IF('01_Ustawienia'!$B$5="BRUTTO",F450,E450)*(1-G450),0))</x:f>
        <x:v>1154</x:v>
      </x:c>
      <x:c r="I450" s="7" t="n">
        <x:f>IFERROR(IFERROR(INDEX('01_Ustawienia'!$B$15:$B$33,MATCH(B450,'01_Ustawienia'!$A$15:$A$33,0)),0.45),0.45)</x:f>
        <x:v>1.2</x:v>
      </x:c>
      <x:c r="J450" s="8" t="n">
        <x:f>IF(H450="","",ROUND(H450*(1+I450),0))</x:f>
        <x:v>2539</x:v>
      </x:c>
      <x:c r="K450" s="8" t="n">
        <x:f>0</x:f>
        <x:v>0</x:v>
      </x:c>
      <x:c r="L450" s="8" t="n">
        <x:f>IFERROR(IFERROR(INDEX(EG_Cennik_uslug!$BT:$BT,MATCH($A450,EG_Cennik_uslug!$A:$A,0)),0),0)</x:f>
        <x:v>540</x:v>
      </x:c>
      <x:c r="M450" s="7" t="n">
        <x:f>IF('01_Ustawienia'!$B$4="ZWOLNIONY",0,'01_Ustawienia'!$B$7)</x:f>
        <x:v>0.08</x:v>
      </x:c>
      <x:c r="N450" s="8" t="n">
        <x:f>IF(J450="","",ROUND((J450+K450)*(1+M450),0))</x:f>
        <x:v>2742</x:v>
      </x:c>
      <x:c r="O450" s="8" t="n">
        <x:f>IF(J450="","",J450+K450-H450-L450)</x:f>
        <x:v>845</x:v>
      </x:c>
      <x:c r="P450" s="7" t="n">
        <x:f>IFERROR(O450/(J450+K450),"")</x:f>
        <x:v>0.3328081922016542</x:v>
      </x:c>
      <x:c r="Q450" s="6" t="inlineStr">
        <x:is>
          <x:t xml:space="preserve">RAW_OP AB/AC</x:t>
        </x:is>
      </x:c>
      <x:c r="R450" s="6" t="inlineStr">
        <x:is>
          <x:t xml:space="preserve">FUNDAMENT (PROFILE)</x:t>
        </x:is>
      </x:c>
      <x:c r="S450" s="6" t="inlineStr">
        <x:is>
          <x:t xml:space="preserve">website+crm</x:t>
        </x:is>
      </x:c>
      <x:c r="T450" s="6" t="n"/>
    </x:row>
    <x:row r="451" s="655" customFormat="1" ht="30" customHeight="1">
      <x:c r="A451" s="6" t="inlineStr">
        <x:is>
          <x:t xml:space="preserve">400 x 606 cm</x:t>
        </x:is>
      </x:c>
      <x:c r="B451" s="6" t="inlineStr">
        <x:is>
          <x:t xml:space="preserve">ZAB</x:t>
        </x:is>
      </x:c>
      <x:c r="C451" s="6" t="inlineStr">
        <x:is>
          <x:t xml:space="preserve">Zabieraki do ścian przesuwnych</x:t>
        </x:is>
      </x:c>
      <x:c r="D451" s="6" t="inlineStr">
        <x:is>
          <x:t xml:space="preserve">DODATKI</x:t>
        </x:is>
      </x:c>
      <x:c r="E451" s="8" t="n">
        <x:f>IFERROR(INDEX('02_RAW_INDEX'!$AJ:$AJ,MATCH($A451,'02_RAW_INDEX'!$A:$A,0)),"")</x:f>
        <x:v>325</x:v>
      </x:c>
      <x:c r="F451" s="8" t="n">
        <x:f>IFERROR(INDEX('02_RAW_INDEX'!$AI:$AI,MATCH($A451,'02_RAW_INDEX'!$A:$A,0)),"")</x:f>
        <x:v>400</x:v>
      </x:c>
      <x:c r="G451" s="7" t="n">
        <x:f>'01_Ustawienia'!$B$6</x:f>
        <x:v>0</x:v>
      </x:c>
      <x:c r="H451" s="8" t="n">
        <x:f>IF(E451="","",ROUND(IF('01_Ustawienia'!$B$5="BRUTTO",F451,E451)*(1-G451),0))</x:f>
        <x:v>325</x:v>
      </x:c>
      <x:c r="I451" s="7" t="n">
        <x:f>IFERROR(IFERROR(INDEX('01_Ustawienia'!$B$15:$B$33,MATCH(B451,'01_Ustawienia'!$A$15:$A$33,0)),0.45),0.45)</x:f>
        <x:v>0.45</x:v>
      </x:c>
      <x:c r="J451" s="8" t="n">
        <x:f>IF(H451="","",ROUND(H451*(1+I451),0))</x:f>
        <x:v>471</x:v>
      </x:c>
      <x:c r="K451" s="8" t="n">
        <x:f>0</x:f>
        <x:v>0</x:v>
      </x:c>
      <x:c r="L451" s="8" t="n">
        <x:f>0</x:f>
        <x:v>0</x:v>
      </x:c>
      <x:c r="M451" s="7" t="n">
        <x:f>IF('01_Ustawienia'!$B$4="ZWOLNIONY",0,'01_Ustawienia'!$B$7)</x:f>
        <x:v>0.08</x:v>
      </x:c>
      <x:c r="N451" s="8" t="n">
        <x:f>IF(J451="","",ROUND((J451+K451)*(1+M451),0))</x:f>
        <x:v>509</x:v>
      </x:c>
      <x:c r="O451" s="8" t="n">
        <x:f>IF(J451="","",J451+K451-H451-L451)</x:f>
        <x:v>146</x:v>
      </x:c>
      <x:c r="P451" s="7" t="n">
        <x:f>IFERROR(O451/(J451+K451),"")</x:f>
        <x:v>0.3099787685774947</x:v>
      </x:c>
      <x:c r="Q451" s="6" t="inlineStr">
        <x:is>
          <x:t xml:space="preserve">RAW_OP AD/AE</x:t>
        </x:is>
      </x:c>
      <x:c r="R451" s="6" t="inlineStr">
        <x:is>
          <x:t xml:space="preserve">DODATKI</x:t>
        </x:is>
      </x:c>
      <x:c r="S451" s="6" t="inlineStr">
        <x:is>
          <x:t xml:space="preserve">crm_only</x:t>
        </x:is>
      </x:c>
      <x:c r="T451" s="6" t="n"/>
    </x:row>
    <x:row r="452">
      <x:c r="A452" s="6" t="inlineStr">
        <x:is>
          <x:t xml:space="preserve">400 x 606 cm</x:t>
        </x:is>
      </x:c>
      <x:c r="B452" s="6" t="inlineStr">
        <x:is>
          <x:t xml:space="preserve">S</x:t>
        </x:is>
      </x:c>
      <x:c r="C452" s="6" t="inlineStr">
        <x:is>
          <x:t xml:space="preserve">Szczotki przeciwkurzowe</x:t>
        </x:is>
      </x:c>
      <x:c r="D452" s="6" t="inlineStr">
        <x:is>
          <x:t xml:space="preserve">SZCZOTKI</x:t>
        </x:is>
      </x:c>
      <x:c r="E452" s="8" t="n">
        <x:f>IFERROR(INDEX('02_RAW_INDEX'!$AD:$AD,MATCH($A452,'02_RAW_INDEX'!$A:$A,0)),"")</x:f>
        <x:v>431</x:v>
      </x:c>
      <x:c r="F452" s="8" t="n">
        <x:f>IFERROR(INDEX('02_RAW_INDEX'!$AC:$AC,MATCH($A452,'02_RAW_INDEX'!$A:$A,0)),"")</x:f>
        <x:v>530</x:v>
      </x:c>
      <x:c r="G452" s="7" t="n">
        <x:f>'01_Ustawienia'!$B$6</x:f>
        <x:v>0</x:v>
      </x:c>
      <x:c r="H452" s="8" t="n">
        <x:f>IF(E452="","",ROUND(IF('01_Ustawienia'!$B$5="BRUTTO",F452,E452)*(1-G452),0))</x:f>
        <x:v>431</x:v>
      </x:c>
      <x:c r="I452" s="7" t="n">
        <x:f>IFERROR(IFERROR(INDEX('01_Ustawienia'!$B$15:$B$33,MATCH(B452,'01_Ustawienia'!$A$15:$A$33,0)),0.45),0.45)</x:f>
        <x:v>0.45</x:v>
      </x:c>
      <x:c r="J452" s="8" t="n">
        <x:f>IF(H452="","",ROUND(H452*(1+I452),0))</x:f>
        <x:v>625</x:v>
      </x:c>
      <x:c r="K452" s="8" t="n">
        <x:f>0</x:f>
        <x:v>0</x:v>
      </x:c>
      <x:c r="L452" s="8" t="n">
        <x:f>IFERROR(IFERROR(INDEX(EG_Cennik_uslug!$CA:$CA,MATCH($A452,EG_Cennik_uslug!$A:$A,0)),0),0)</x:f>
        <x:v>0</x:v>
      </x:c>
      <x:c r="M452" s="7" t="n">
        <x:f>IF('01_Ustawienia'!$B$4="ZWOLNIONY",0,'01_Ustawienia'!$B$7)</x:f>
        <x:v>0.08</x:v>
      </x:c>
      <x:c r="N452" s="8" t="n">
        <x:f>IF(J452="","",ROUND((J452+K452)*(1+M452),0))</x:f>
        <x:v>675</x:v>
      </x:c>
      <x:c r="O452" s="8" t="n">
        <x:f>IF(J452="","",J452+K452-H452-L452)</x:f>
        <x:v>194</x:v>
      </x:c>
      <x:c r="P452" s="7" t="n">
        <x:f>IFERROR(O452/(J452+K452),"")</x:f>
        <x:v>0.3104</x:v>
      </x:c>
      <x:c r="Q452" s="6" t="inlineStr">
        <x:is>
          <x:t xml:space="preserve">RAW_OP L/M</x:t>
        </x:is>
      </x:c>
      <x:c r="R452" s="6" t="inlineStr">
        <x:is>
          <x:t xml:space="preserve">DODATKI</x:t>
        </x:is>
      </x:c>
      <x:c r="S452" s="6" t="inlineStr">
        <x:is>
          <x:t xml:space="preserve">website+crm</x:t>
        </x:is>
      </x:c>
      <x:c r="T452" s="6" t="n"/>
    </x:row>
    <x:row r="453">
      <x:c r="A453" s="6" t="inlineStr">
        <x:is>
          <x:t xml:space="preserve">400 x 606 cm</x:t>
        </x:is>
      </x:c>
      <x:c r="B453" s="6" t="inlineStr">
        <x:is>
          <x:t xml:space="preserve">U</x:t>
        </x:is>
      </x:c>
      <x:c r="C453" s="6" t="inlineStr">
        <x:is>
          <x:t xml:space="preserve">Uchwyty na szkło ścienne</x:t>
        </x:is>
      </x:c>
      <x:c r="D453" s="6" t="inlineStr">
        <x:is>
          <x:t xml:space="preserve">UCHWYTY</x:t>
        </x:is>
      </x:c>
      <x:c r="E453" s="8" t="n">
        <x:f>IFERROR(INDEX('02_RAW_INDEX'!$AF:$AF,MATCH($A453,'02_RAW_INDEX'!$A:$A,0)),"")</x:f>
        <x:v>390</x:v>
      </x:c>
      <x:c r="F453" s="8" t="n">
        <x:f>IFERROR(INDEX('02_RAW_INDEX'!$AE:$AE,MATCH($A453,'02_RAW_INDEX'!$A:$A,0)),"")</x:f>
        <x:v>480</x:v>
      </x:c>
      <x:c r="G453" s="7" t="n">
        <x:f>'01_Ustawienia'!$B$6</x:f>
        <x:v>0</x:v>
      </x:c>
      <x:c r="H453" s="8" t="n">
        <x:f>IF(E453="","",ROUND(IF('01_Ustawienia'!$B$5="BRUTTO",F453,E453)*(1-G453),0))</x:f>
        <x:v>390</x:v>
      </x:c>
      <x:c r="I453" s="7" t="n">
        <x:f>IFERROR(IFERROR(INDEX('01_Ustawienia'!$B$15:$B$33,MATCH(B453,'01_Ustawienia'!$A$15:$A$33,0)),0.45),0.45)</x:f>
        <x:v>0.45</x:v>
      </x:c>
      <x:c r="J453" s="8" t="n">
        <x:f>IF(H453="","",ROUND(H453*(1+I453),0))</x:f>
        <x:v>566</x:v>
      </x:c>
      <x:c r="K453" s="8" t="n">
        <x:f>0</x:f>
        <x:v>0</x:v>
      </x:c>
      <x:c r="L453" s="8" t="n">
        <x:f>IFERROR(IFERROR(INDEX(EG_Cennik_uslug!$CH:$CH,MATCH($A453,EG_Cennik_uslug!$A:$A,0)),0),0)</x:f>
        <x:v>0</x:v>
      </x:c>
      <x:c r="M453" s="7" t="n">
        <x:f>IF('01_Ustawienia'!$B$4="ZWOLNIONY",0,'01_Ustawienia'!$B$7)</x:f>
        <x:v>0.08</x:v>
      </x:c>
      <x:c r="N453" s="8" t="n">
        <x:f>IF(J453="","",ROUND((J453+K453)*(1+M453),0))</x:f>
        <x:v>611</x:v>
      </x:c>
      <x:c r="O453" s="8" t="n">
        <x:f>IF(J453="","",J453+K453-H453-L453)</x:f>
        <x:v>176</x:v>
      </x:c>
      <x:c r="P453" s="7" t="n">
        <x:f>IFERROR(O453/(J453+K453),"")</x:f>
        <x:v>0.31095406360424027</x:v>
      </x:c>
      <x:c r="Q453" s="6" t="inlineStr">
        <x:is>
          <x:t xml:space="preserve">RAW_OP N/O</x:t>
        </x:is>
      </x:c>
      <x:c r="R453" s="6" t="inlineStr">
        <x:is>
          <x:t xml:space="preserve">DODATKI</x:t>
        </x:is>
      </x:c>
      <x:c r="S453" s="6" t="inlineStr">
        <x:is>
          <x:t xml:space="preserve">website+crm</x:t>
        </x:is>
      </x:c>
      <x:c r="T453" s="6" t="n"/>
    </x:row>
    <x:row r="454">
      <x:c r="A454" s="6" t="inlineStr">
        <x:is>
          <x:t xml:space="preserve">400 x 606 cm</x:t>
        </x:is>
      </x:c>
      <x:c r="B454" s="6" t="inlineStr">
        <x:is>
          <x:t xml:space="preserve">LED2</x:t>
        </x:is>
      </x:c>
      <x:c r="C454" s="6" t="inlineStr">
        <x:is>
          <x:t xml:space="preserve">Oświetlenie LED 2 punkty</x:t>
        </x:is>
      </x:c>
      <x:c r="D454" s="6" t="inlineStr">
        <x:is>
          <x:t xml:space="preserve">LED 2 PKT</x:t>
        </x:is>
      </x:c>
      <x:c r="E454" s="8" t="n">
        <x:f>IFERROR(INDEX('02_RAW_INDEX'!$N:$N,MATCH($A454,'02_RAW_INDEX'!$A:$A,0)),"")</x:f>
        <x:v>642</x:v>
      </x:c>
      <x:c r="F454" s="8" t="n">
        <x:f>IFERROR(INDEX('02_RAW_INDEX'!$M:$M,MATCH($A454,'02_RAW_INDEX'!$A:$A,0)),"")</x:f>
        <x:v>790</x:v>
      </x:c>
      <x:c r="G454" s="7" t="n">
        <x:f>'01_Ustawienia'!$B$6</x:f>
        <x:v>0</x:v>
      </x:c>
      <x:c r="H454" s="8" t="n">
        <x:f>IF(E454="","",ROUND(IF('01_Ustawienia'!$B$5="BRUTTO",F454,E454)*(1-G454),0))</x:f>
        <x:v>642</x:v>
      </x:c>
      <x:c r="I454" s="7" t="n">
        <x:f>IFERROR(IFERROR(INDEX('01_Ustawienia'!$B$15:$B$33,MATCH(B454,'01_Ustawienia'!$A$15:$A$33,0)),0.45),0.45)</x:f>
        <x:v>0.45</x:v>
      </x:c>
      <x:c r="J454" s="8" t="n">
        <x:f>IF(H454="","",ROUND(H454*(1+I454),0))</x:f>
        <x:v>931</x:v>
      </x:c>
      <x:c r="K454" s="8" t="n">
        <x:f>0</x:f>
        <x:v>0</x:v>
      </x:c>
      <x:c r="L454" s="8" t="n">
        <x:f>IFERROR(IFERROR(INDEX(EG_Cennik_uslug!$CO:$CO,MATCH($A454,EG_Cennik_uslug!$A:$A,0)),0),0)</x:f>
        <x:v>0</x:v>
      </x:c>
      <x:c r="M454" s="7" t="n">
        <x:f>IF('01_Ustawienia'!$B$4="ZWOLNIONY",0,'01_Ustawienia'!$B$7)</x:f>
        <x:v>0.08</x:v>
      </x:c>
      <x:c r="N454" s="8" t="n">
        <x:f>IF(J454="","",ROUND((J454+K454)*(1+M454),0))</x:f>
        <x:v>1005</x:v>
      </x:c>
      <x:c r="O454" s="8" t="n">
        <x:f>IF(J454="","",J454+K454-H454-L454)</x:f>
        <x:v>289</x:v>
      </x:c>
      <x:c r="P454" s="7" t="n">
        <x:f>IFERROR(O454/(J454+K454),"")</x:f>
        <x:v>0.3104189044038668</x:v>
      </x:c>
      <x:c r="Q454" s="6" t="inlineStr">
        <x:is>
          <x:t xml:space="preserve">RAW_ZP P/Q</x:t>
        </x:is>
      </x:c>
      <x:c r="R454" s="6" t="inlineStr">
        <x:is>
          <x:t xml:space="preserve">OŚWIETLENIE</x:t>
        </x:is>
      </x:c>
      <x:c r="S454" s="6" t="inlineStr">
        <x:is>
          <x:t xml:space="preserve">website+crm</x:t>
        </x:is>
      </x:c>
      <x:c r="T454" s="6" t="n"/>
    </x:row>
    <x:row r="455">
      <x:c r="A455" s="6" t="inlineStr">
        <x:is>
          <x:t xml:space="preserve">400 x 606 cm</x:t>
        </x:is>
      </x:c>
      <x:c r="B455" s="6" t="inlineStr">
        <x:is>
          <x:t xml:space="preserve">LED3</x:t>
        </x:is>
      </x:c>
      <x:c r="C455" s="6" t="inlineStr">
        <x:is>
          <x:t xml:space="preserve">Oświetlenie LED 3 punkty</x:t>
        </x:is>
      </x:c>
      <x:c r="D455" s="6" t="inlineStr">
        <x:is>
          <x:t xml:space="preserve">LED 3 PKT</x:t>
        </x:is>
      </x:c>
      <x:c r="E455" s="8" t="n">
        <x:f>IFERROR(INDEX('02_RAW_INDEX'!$P:$P,MATCH($A455,'02_RAW_INDEX'!$A:$A,0)),"")</x:f>
        <x:v>886</x:v>
      </x:c>
      <x:c r="F455" s="8" t="n">
        <x:f>IFERROR(INDEX('02_RAW_INDEX'!$O:$O,MATCH($A455,'02_RAW_INDEX'!$A:$A,0)),"")</x:f>
        <x:v>1090</x:v>
      </x:c>
      <x:c r="G455" s="7" t="n">
        <x:f>'01_Ustawienia'!$B$6</x:f>
        <x:v>0</x:v>
      </x:c>
      <x:c r="H455" s="8" t="n">
        <x:f>IF(E455="","",ROUND(IF('01_Ustawienia'!$B$5="BRUTTO",F455,E455)*(1-G455),0))</x:f>
        <x:v>886</x:v>
      </x:c>
      <x:c r="I455" s="7" t="n">
        <x:f>IFERROR(IFERROR(INDEX('01_Ustawienia'!$B$15:$B$33,MATCH(B455,'01_Ustawienia'!$A$15:$A$33,0)),0.45),0.45)</x:f>
        <x:v>0.45</x:v>
      </x:c>
      <x:c r="J455" s="8" t="n">
        <x:f>IF(H455="","",ROUND(H455*(1+I455),0))</x:f>
        <x:v>1285</x:v>
      </x:c>
      <x:c r="K455" s="8" t="n">
        <x:f>0</x:f>
        <x:v>0</x:v>
      </x:c>
      <x:c r="L455" s="8" t="n">
        <x:f>IFERROR(IFERROR(INDEX(EG_Cennik_uslug!$CV:$CV,MATCH($A455,EG_Cennik_uslug!$A:$A,0)),0),0)</x:f>
        <x:v>0</x:v>
      </x:c>
      <x:c r="M455" s="7" t="n">
        <x:f>IF('01_Ustawienia'!$B$4="ZWOLNIONY",0,'01_Ustawienia'!$B$7)</x:f>
        <x:v>0.08</x:v>
      </x:c>
      <x:c r="N455" s="8" t="n">
        <x:f>IF(J455="","",ROUND((J455+K455)*(1+M455),0))</x:f>
        <x:v>1388</x:v>
      </x:c>
      <x:c r="O455" s="8" t="n">
        <x:f>IF(J455="","",J455+K455-H455-L455)</x:f>
        <x:v>399</x:v>
      </x:c>
      <x:c r="P455" s="7" t="n">
        <x:f>IFERROR(O455/(J455+K455),"")</x:f>
        <x:v>0.3105058365758755</x:v>
      </x:c>
      <x:c r="Q455" s="6" t="inlineStr">
        <x:is>
          <x:t xml:space="preserve">RAW_ZP R/S</x:t>
        </x:is>
      </x:c>
      <x:c r="R455" s="6" t="inlineStr">
        <x:is>
          <x:t xml:space="preserve">OŚWIETLENIE</x:t>
        </x:is>
      </x:c>
      <x:c r="S455" s="6" t="inlineStr">
        <x:is>
          <x:t xml:space="preserve">website+crm</x:t>
        </x:is>
      </x:c>
      <x:c r="T455" s="6" t="inlineStr">
        <x:is>
          <x:t xml:space="preserve">Nazwa do potwierdzenia</x:t>
        </x:is>
      </x:c>
    </x:row>
    <x:row r="456">
      <x:c r="A456" s="6" t="inlineStr">
        <x:is>
          <x:t xml:space="preserve">400 x 606 cm</x:t>
        </x:is>
      </x:c>
      <x:c r="B456" s="6" t="inlineStr">
        <x:is>
          <x:t xml:space="preserve">LEDCCT</x:t>
        </x:is>
      </x:c>
      <x:c r="C456" s="6" t="inlineStr">
        <x:is>
          <x:t xml:space="preserve">Oświetlenie LED CCT</x:t>
        </x:is>
      </x:c>
      <x:c r="D456" s="6" t="inlineStr">
        <x:is>
          <x:t xml:space="preserve">OŚWIETLENIE</x:t>
        </x:is>
      </x:c>
      <x:c r="E456" s="8" t="n">
        <x:f>IFERROR(INDEX('02_RAW_INDEX'!$R:$R,MATCH($A456,'02_RAW_INDEX'!$A:$A,0)),"")</x:f>
        <x:v>1380</x:v>
      </x:c>
      <x:c r="F456" s="8" t="n">
        <x:f>IFERROR(INDEX('02_RAW_INDEX'!$Q:$Q,MATCH($A456,'02_RAW_INDEX'!$A:$A,0)),"")</x:f>
        <x:v>1697</x:v>
      </x:c>
      <x:c r="G456" s="7" t="n">
        <x:f>'01_Ustawienia'!$B$6</x:f>
        <x:v>0</x:v>
      </x:c>
      <x:c r="H456" s="8" t="n">
        <x:f>IF(E456="","",ROUND(IF('01_Ustawienia'!$B$5="BRUTTO",F456,E456)*(1-G456),0))</x:f>
        <x:v>1380</x:v>
      </x:c>
      <x:c r="I456" s="7" t="n">
        <x:f>IFERROR(IFERROR(INDEX('01_Ustawienia'!$B$15:$B$33,MATCH(B456,'01_Ustawienia'!$A$15:$A$33,0)),0.45),0.45)</x:f>
        <x:v>0.45</x:v>
      </x:c>
      <x:c r="J456" s="8" t="n">
        <x:f>IF(H456="","",ROUND(H456*(1+I456),0))</x:f>
        <x:v>2001</x:v>
      </x:c>
      <x:c r="K456" s="8" t="n">
        <x:f>0</x:f>
        <x:v>0</x:v>
      </x:c>
      <x:c r="L456" s="8" t="n">
        <x:f>0</x:f>
        <x:v>0</x:v>
      </x:c>
      <x:c r="M456" s="7" t="n">
        <x:f>IF('01_Ustawienia'!$B$4="ZWOLNIONY",0,'01_Ustawienia'!$B$7)</x:f>
        <x:v>0.08</x:v>
      </x:c>
      <x:c r="N456" s="8" t="n">
        <x:f>IF(J456="","",ROUND((J456+K456)*(1+M456),0))</x:f>
        <x:v>2161</x:v>
      </x:c>
      <x:c r="O456" s="8" t="n">
        <x:f>IF(J456="","",J456+K456-H456-L456)</x:f>
        <x:v>621</x:v>
      </x:c>
      <x:c r="P456" s="7" t="n">
        <x:f>IFERROR(O456/(J456+K456),"")</x:f>
        <x:v>0.3103448275862069</x:v>
      </x:c>
      <x:c r="Q456" s="6" t="inlineStr">
        <x:is>
          <x:t xml:space="preserve">RAW_ZP T/U</x:t>
        </x:is>
      </x:c>
      <x:c r="R456" s="6" t="inlineStr">
        <x:is>
          <x:t xml:space="preserve">OŚWIETLENIE</x:t>
        </x:is>
      </x:c>
      <x:c r="S456" s="6" t="inlineStr">
        <x:is>
          <x:t xml:space="preserve">website+crm</x:t>
        </x:is>
      </x:c>
      <x:c r="T456" s="6" t="inlineStr">
        <x:is>
          <x:t xml:space="preserve">Opcja dodatkowa | FIX17: opcja LED dostępna dla strony; ceny 450-600 wg modelu FIX15.</x:t>
        </x:is>
      </x:c>
    </x:row>
    <x:row r="457">
      <x:c r="A457" s="6" t="inlineStr">
        <x:is>
          <x:t xml:space="preserve">400 x 606 cm</x:t>
        </x:is>
      </x:c>
      <x:c r="B457" s="6" t="inlineStr">
        <x:is>
          <x:t xml:space="preserve">LEDRGBCCT</x:t>
        </x:is>
      </x:c>
      <x:c r="C457" s="6" t="inlineStr">
        <x:is>
          <x:t xml:space="preserve">Oświetlenie LED RGB CCT</x:t>
        </x:is>
      </x:c>
      <x:c r="D457" s="6" t="inlineStr">
        <x:is>
          <x:t xml:space="preserve">OŚWIETLENIE</x:t>
        </x:is>
      </x:c>
      <x:c r="E457" s="8" t="n">
        <x:f>IFERROR(INDEX('02_RAW_INDEX'!$T:$T,MATCH($A457,'02_RAW_INDEX'!$A:$A,0)),"")</x:f>
        <x:v>1970</x:v>
      </x:c>
      <x:c r="F457" s="8" t="n">
        <x:f>IFERROR(INDEX('02_RAW_INDEX'!$S:$S,MATCH($A457,'02_RAW_INDEX'!$A:$A,0)),"")</x:f>
        <x:v>2423</x:v>
      </x:c>
      <x:c r="G457" s="7" t="n">
        <x:f>'01_Ustawienia'!$B$6</x:f>
        <x:v>0</x:v>
      </x:c>
      <x:c r="H457" s="8" t="n">
        <x:f>IF(E457="","",ROUND(IF('01_Ustawienia'!$B$5="BRUTTO",F457,E457)*(1-G457),0))</x:f>
        <x:v>1970</x:v>
      </x:c>
      <x:c r="I457" s="7" t="n">
        <x:f>IFERROR(IFERROR(INDEX('01_Ustawienia'!$B$15:$B$33,MATCH(B457,'01_Ustawienia'!$A$15:$A$33,0)),0.45),0.45)</x:f>
        <x:v>0.45</x:v>
      </x:c>
      <x:c r="J457" s="8" t="n">
        <x:f>IF(H457="","",ROUND(H457*(1+I457),0))</x:f>
        <x:v>2857</x:v>
      </x:c>
      <x:c r="K457" s="8" t="n">
        <x:f>0</x:f>
        <x:v>0</x:v>
      </x:c>
      <x:c r="L457" s="8" t="n">
        <x:f>0</x:f>
        <x:v>0</x:v>
      </x:c>
      <x:c r="M457" s="7" t="n">
        <x:f>IF('01_Ustawienia'!$B$4="ZWOLNIONY",0,'01_Ustawienia'!$B$7)</x:f>
        <x:v>0.08</x:v>
      </x:c>
      <x:c r="N457" s="8" t="n">
        <x:f>IF(J457="","",ROUND((J457+K457)*(1+M457),0))</x:f>
        <x:v>3086</x:v>
      </x:c>
      <x:c r="O457" s="8" t="n">
        <x:f>IF(J457="","",J457+K457-H457-L457)</x:f>
        <x:v>887</x:v>
      </x:c>
      <x:c r="P457" s="7" t="n">
        <x:f>IFERROR(O457/(J457+K457),"")</x:f>
        <x:v>0.31046552327616384</x:v>
      </x:c>
      <x:c r="Q457" s="6" t="inlineStr">
        <x:is>
          <x:t xml:space="preserve">RAW_ZP V/W</x:t>
        </x:is>
      </x:c>
      <x:c r="R457" s="6" t="inlineStr">
        <x:is>
          <x:t xml:space="preserve">OŚWIETLENIE</x:t>
        </x:is>
      </x:c>
      <x:c r="S457" s="6" t="inlineStr">
        <x:is>
          <x:t xml:space="preserve">crm_only</x:t>
        </x:is>
      </x:c>
      <x:c r="T457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458" s="655" customFormat="1" ht="30" customHeight="1">
      <x:c r="A458" s="6" t="inlineStr">
        <x:is>
          <x:t xml:space="preserve">400 x 706 cm</x:t>
        </x:is>
      </x:c>
      <x:c r="B458" s="6" t="inlineStr">
        <x:is>
          <x:t xml:space="preserve">ZP</x:t>
        </x:is>
      </x:c>
      <x:c r="C458" s="6" t="inlineStr">
        <x:is>
          <x:t xml:space="preserve">Zadaszenie poliwęglan - baza</x:t>
        </x:is>
      </x:c>
      <x:c r="D458" s="6" t="inlineStr">
        <x:is>
          <x:t xml:space="preserve">ZADASZENIE POLIWĘGLAN</x:t>
        </x:is>
      </x:c>
      <x:c r="E458" s="8" t="n">
        <x:f>IFERROR(INDEX('02_RAW_INDEX'!$D:$D,MATCH($A458,'02_RAW_INDEX'!$A:$A,0)),"")</x:f>
        <x:v>8260</x:v>
      </x:c>
      <x:c r="F458" s="8" t="n">
        <x:f>IFERROR(INDEX('02_RAW_INDEX'!$C:$C,MATCH($A458,'02_RAW_INDEX'!$A:$A,0)),"")</x:f>
        <x:v>10160</x:v>
      </x:c>
      <x:c r="G458" s="7" t="n">
        <x:f>'01_Ustawienia'!$B$6</x:f>
        <x:v>0</x:v>
      </x:c>
      <x:c r="H458" s="8" t="n">
        <x:f>IF(E458="","",ROUND(IF('01_Ustawienia'!$B$5="BRUTTO",F458,E458)*(1-G458),0))</x:f>
        <x:v>8260</x:v>
      </x:c>
      <x:c r="I458" s="7" t="n">
        <x:f>IFERROR(IFERROR(INDEX('01_Ustawienia'!$B$15:$B$33,MATCH(B458,'01_Ustawienia'!$A$15:$A$33,0)),0.45),0.45)</x:f>
        <x:v>0.45</x:v>
      </x:c>
      <x:c r="J458" s="8" t="n">
        <x:f>IF(H458="","",ROUND(H458*(1+I458),0))</x:f>
        <x:v>11977</x:v>
      </x:c>
      <x:c r="K458" s="8" t="n">
        <x:f>IFERROR(IFERROR(INDEX(EG_Cennik_uslug!$F:$F,MATCH($A458,EG_Cennik_uslug!$A:$A,0)),0),0)</x:f>
        <x:v>3950</x:v>
      </x:c>
      <x:c r="L458" s="8" t="n">
        <x:f>IFERROR(IFERROR(INDEX(EG_Cennik_uslug!$G:$G,MATCH($A458,EG_Cennik_uslug!$A:$A,0)),0),0)</x:f>
        <x:v>1390</x:v>
      </x:c>
      <x:c r="M458" s="7" t="n">
        <x:f>IF('01_Ustawienia'!$B$4="ZWOLNIONY",0,'01_Ustawienia'!$B$7)</x:f>
        <x:v>0.08</x:v>
      </x:c>
      <x:c r="N458" s="8" t="n">
        <x:f>IF(J458="","",ROUND((J458+K458)*(1+M458),0))</x:f>
        <x:v>17201</x:v>
      </x:c>
      <x:c r="O458" s="8" t="n">
        <x:f>IF(J458="","",J458+K458-H458-L458)</x:f>
        <x:v>6277</x:v>
      </x:c>
      <x:c r="P458" s="7" t="n">
        <x:f>IFERROR(O458/(J458+K458),"")</x:f>
        <x:v>0.3941106297482263</x:v>
      </x:c>
      <x:c r="Q458" s="6" t="inlineStr">
        <x:is>
          <x:t xml:space="preserve">RAW_ZP B/C</x:t>
        </x:is>
      </x:c>
      <x:c r="R458" s="6" t="inlineStr">
        <x:is>
          <x:t xml:space="preserve">ZADASZENIE TARASU KONSTRUKCJA</x:t>
        </x:is>
      </x:c>
      <x:c r="S458" s="6" t="inlineStr">
        <x:is>
          <x:t xml:space="preserve">website+crm</x:t>
        </x:is>
      </x:c>
      <x:c r="T458" s="6" t="inlineStr">
        <x:is>
          <x:t xml:space="preserve">Baza dla kalkulatora</x:t>
        </x:is>
      </x:c>
    </x:row>
    <x:row r="459" s="655" customFormat="1" ht="30" customHeight="1">
      <x:c r="A459" s="6" t="inlineStr">
        <x:is>
          <x:t xml:space="preserve">400 x 706 cm</x:t>
        </x:is>
      </x:c>
      <x:c r="B459" s="6" t="inlineStr">
        <x:is>
          <x:t xml:space="preserve">ZS</x:t>
        </x:is>
      </x:c>
      <x:c r="C459" s="6" t="inlineStr">
        <x:is>
          <x:t xml:space="preserve">Zadaszenie szkło - pełna konstrukcja</x:t>
        </x:is>
      </x:c>
      <x:c r="D459" s="6" t="inlineStr">
        <x:is>
          <x:t xml:space="preserve">ZADASZENIE SZKŁO</x:t>
        </x:is>
      </x:c>
      <x:c r="E459" s="8" t="n">
        <x:f>IFERROR(INDEX('02_RAW_INDEX'!$V:$V,MATCH($A459,'02_RAW_INDEX'!$A:$A,0)),"")</x:f>
        <x:v>13813</x:v>
      </x:c>
      <x:c r="F459" s="8" t="n">
        <x:f>IFERROR(INDEX('02_RAW_INDEX'!$U:$U,MATCH($A459,'02_RAW_INDEX'!$A:$A,0)),"")</x:f>
        <x:v>16990</x:v>
      </x:c>
      <x:c r="G459" s="7" t="n">
        <x:f>'01_Ustawienia'!$B$6</x:f>
        <x:v>0</x:v>
      </x:c>
      <x:c r="H459" s="8" t="n">
        <x:f>IF(E459="","",ROUND(IF('01_Ustawienia'!$B$5="BRUTTO",F459,E459)*(1-G459),0))</x:f>
        <x:v>13813</x:v>
      </x:c>
      <x:c r="I459" s="7" t="n">
        <x:f>IFERROR(IFERROR(INDEX('01_Ustawienia'!$B$15:$B$33,MATCH(B459,'01_Ustawienia'!$A$15:$A$33,0)),0.45),0.45)</x:f>
        <x:v>0.45</x:v>
      </x:c>
      <x:c r="J459" s="8" t="n">
        <x:f>IF(H459="","",ROUND(H459*(1+I459),0))</x:f>
        <x:v>20029</x:v>
      </x:c>
      <x:c r="K459" s="8" t="n">
        <x:f>IFERROR(IFERROR(INDEX(EG_Cennik_uslug!$F:$F,MATCH($A459,EG_Cennik_uslug!$A:$A,0)),0),0)</x:f>
        <x:v>3950</x:v>
      </x:c>
      <x:c r="L459" s="8" t="n">
        <x:f>IFERROR(IFERROR(INDEX(EG_Cennik_uslug!$G:$G,MATCH($A459,EG_Cennik_uslug!$A:$A,0)),0),0)</x:f>
        <x:v>1390</x:v>
      </x:c>
      <x:c r="M459" s="7" t="n">
        <x:f>IF('01_Ustawienia'!$B$4="ZWOLNIONY",0,'01_Ustawienia'!$B$7)</x:f>
        <x:v>0.08</x:v>
      </x:c>
      <x:c r="N459" s="8" t="n">
        <x:f>IF(J459="","",ROUND((J459+K459)*(1+M459),0))</x:f>
        <x:v>25897</x:v>
      </x:c>
      <x:c r="O459" s="8" t="n">
        <x:f>IF(J459="","",J459+K459-H459-L459)</x:f>
        <x:v>8776</x:v>
      </x:c>
      <x:c r="P459" s="7" t="n">
        <x:f>IFERROR(O459/(J459+K459),"")</x:f>
        <x:v>0.3659869052087243</x:v>
      </x:c>
      <x:c r="Q459" s="6" t="inlineStr">
        <x:is>
          <x:t xml:space="preserve">RAW_ZS B/C</x:t>
        </x:is>
      </x:c>
      <x:c r="R459" s="6" t="inlineStr">
        <x:is>
          <x:t xml:space="preserve">ZADASZENIE TARASU KONSTRUKCJA</x:t>
        </x:is>
      </x:c>
      <x:c r="S459" s="6" t="inlineStr">
        <x:is>
          <x:t xml:space="preserve">crm_only</x:t>
        </x:is>
      </x:c>
      <x:c r="T459" s="6" t="inlineStr">
        <x:is>
          <x:t xml:space="preserve">Referencyjne/full; strona zwykle używa ZP + PDS</x:t>
        </x:is>
      </x:c>
    </x:row>
    <x:row r="460" s="655" customFormat="1" ht="30" customHeight="1">
      <x:c r="A460" s="6" t="inlineStr">
        <x:is>
          <x:t xml:space="preserve">400 x 706 cm</x:t>
        </x:is>
      </x:c>
      <x:c r="B460" s="6" t="inlineStr">
        <x:is>
          <x:t xml:space="preserve">OP</x:t>
        </x:is>
      </x:c>
      <x:c r="C460" s="6" t="inlineStr">
        <x:is>
          <x:t xml:space="preserve">Ogród zimowy poliwęglan - baza</x:t>
        </x:is>
      </x:c>
      <x:c r="D460" s="6" t="inlineStr">
        <x:is>
          <x:t xml:space="preserve">OGRODY POLIWĘGLAN</x:t>
        </x:is>
      </x:c>
      <x:c r="E460" s="8" t="n">
        <x:f>IFERROR(INDEX('02_RAW_INDEX'!$Z:$Z,MATCH($A460,'02_RAW_INDEX'!$A:$A,0)),"")</x:f>
        <x:v>21203</x:v>
      </x:c>
      <x:c r="F460" s="8" t="n">
        <x:f>IFERROR(INDEX('02_RAW_INDEX'!$Y:$Y,MATCH($A460,'02_RAW_INDEX'!$A:$A,0)),"")</x:f>
        <x:v>26080</x:v>
      </x:c>
      <x:c r="G460" s="7" t="n">
        <x:f>'01_Ustawienia'!$B$6</x:f>
        <x:v>0</x:v>
      </x:c>
      <x:c r="H460" s="8" t="n">
        <x:f>IF(E460="","",ROUND(IF('01_Ustawienia'!$B$5="BRUTTO",F460,E460)*(1-G460),0))</x:f>
        <x:v>21203</x:v>
      </x:c>
      <x:c r="I460" s="7" t="n">
        <x:f>IFERROR(IFERROR(INDEX('01_Ustawienia'!$B$15:$B$33,MATCH(B460,'01_Ustawienia'!$A$15:$A$33,0)),0.45),0.45)</x:f>
        <x:v>0.45</x:v>
      </x:c>
      <x:c r="J460" s="8" t="n">
        <x:f>IF(H460="","",ROUND(H460*(1+I460),0))</x:f>
        <x:v>30744</x:v>
      </x:c>
      <x:c r="K460" s="8" t="n">
        <x:f>IFERROR(IFERROR(INDEX(EG_Cennik_uslug!$N:$N,MATCH($A460,EG_Cennik_uslug!$A:$A,0)),0),0)</x:f>
        <x:v>5410</x:v>
      </x:c>
      <x:c r="L460" s="8" t="n">
        <x:f>IFERROR(IFERROR(INDEX(EG_Cennik_uslug!$O:$O,MATCH($A460,EG_Cennik_uslug!$A:$A,0)),0),0)</x:f>
        <x:v>1940</x:v>
      </x:c>
      <x:c r="M460" s="7" t="n">
        <x:f>IF('01_Ustawienia'!$B$4="ZWOLNIONY",0,'01_Ustawienia'!$B$7)</x:f>
        <x:v>0.08</x:v>
      </x:c>
      <x:c r="N460" s="8" t="n">
        <x:f>IF(J460="","",ROUND((J460+K460)*(1+M460),0))</x:f>
        <x:v>39046</x:v>
      </x:c>
      <x:c r="O460" s="8" t="n">
        <x:f>IF(J460="","",J460+K460-H460-L460)</x:f>
        <x:v>13011</x:v>
      </x:c>
      <x:c r="P460" s="7" t="n">
        <x:f>IFERROR(O460/(J460+K460),"")</x:f>
        <x:v>0.3598771920119489</x:v>
      </x:c>
      <x:c r="Q460" s="6" t="inlineStr">
        <x:is>
          <x:t xml:space="preserve">RAW_OP B/C</x:t>
        </x:is>
      </x:c>
      <x:c r="R460" s="6" t="inlineStr">
        <x:is>
          <x:t xml:space="preserve">OGRÓD ZIMOWY (KONSTRUKCJA)</x:t>
        </x:is>
      </x:c>
      <x:c r="S460" s="6" t="inlineStr">
        <x:is>
          <x:t xml:space="preserve">website+crm</x:t>
        </x:is>
      </x:c>
      <x:c r="T460" s="6" t="inlineStr">
        <x:is>
          <x:t xml:space="preserve">Do wyliczenia dopłaty za ściany</x:t>
        </x:is>
      </x:c>
    </x:row>
    <x:row r="461" s="655" customFormat="1" ht="30" customHeight="1">
      <x:c r="A461" s="6" t="inlineStr">
        <x:is>
          <x:t xml:space="preserve">400 x 706 cm</x:t>
        </x:is>
      </x:c>
      <x:c r="B461" s="6" t="inlineStr">
        <x:is>
          <x:t xml:space="preserve">OS</x:t>
        </x:is>
      </x:c>
      <x:c r="C461" s="6" t="inlineStr">
        <x:is>
          <x:t xml:space="preserve">Ogród zimowy szkło - pełna konstrukcja</x:t>
        </x:is>
      </x:c>
      <x:c r="D461" s="6" t="inlineStr">
        <x:is>
          <x:t xml:space="preserve">OGRODY SZKŁO</x:t>
        </x:is>
      </x:c>
      <x:c r="E461" s="8" t="n">
        <x:f>IFERROR(INDEX('02_RAW_INDEX'!$AL:$AL,MATCH($A461,'02_RAW_INDEX'!$A:$A,0)),"")</x:f>
        <x:v>26756</x:v>
      </x:c>
      <x:c r="F461" s="8" t="n">
        <x:f>IFERROR(INDEX('02_RAW_INDEX'!$AK:$AK,MATCH($A461,'02_RAW_INDEX'!$A:$A,0)),"")</x:f>
        <x:v>32910</x:v>
      </x:c>
      <x:c r="G461" s="7" t="n">
        <x:f>'01_Ustawienia'!$B$6</x:f>
        <x:v>0</x:v>
      </x:c>
      <x:c r="H461" s="8" t="n">
        <x:f>IF(E461="","",ROUND(IF('01_Ustawienia'!$B$5="BRUTTO",F461,E461)*(1-G461),0))</x:f>
        <x:v>26756</x:v>
      </x:c>
      <x:c r="I461" s="7" t="n">
        <x:f>IFERROR(IFERROR(INDEX('01_Ustawienia'!$B$15:$B$33,MATCH(B461,'01_Ustawienia'!$A$15:$A$33,0)),0.45),0.45)</x:f>
        <x:v>0.45</x:v>
      </x:c>
      <x:c r="J461" s="8" t="n">
        <x:f>IF(H461="","",ROUND(H461*(1+I461),0))</x:f>
        <x:v>38796</x:v>
      </x:c>
      <x:c r="K461" s="8" t="n">
        <x:f>IFERROR(IFERROR(INDEX(EG_Cennik_uslug!$N:$N,MATCH($A461,EG_Cennik_uslug!$A:$A,0)),0),0)</x:f>
        <x:v>5410</x:v>
      </x:c>
      <x:c r="L461" s="8" t="n">
        <x:f>IFERROR(IFERROR(INDEX(EG_Cennik_uslug!$O:$O,MATCH($A461,EG_Cennik_uslug!$A:$A,0)),0),0)</x:f>
        <x:v>1940</x:v>
      </x:c>
      <x:c r="M461" s="7" t="n">
        <x:f>IF('01_Ustawienia'!$B$4="ZWOLNIONY",0,'01_Ustawienia'!$B$7)</x:f>
        <x:v>0.08</x:v>
      </x:c>
      <x:c r="N461" s="8" t="n">
        <x:f>IF(J461="","",ROUND((J461+K461)*(1+M461),0))</x:f>
        <x:v>47742</x:v>
      </x:c>
      <x:c r="O461" s="8" t="n">
        <x:f>IF(J461="","",J461+K461-H461-L461)</x:f>
        <x:v>15510</x:v>
      </x:c>
      <x:c r="P461" s="7" t="n">
        <x:f>IFERROR(O461/(J461+K461),"")</x:f>
        <x:v>0.35085734968103877</x:v>
      </x:c>
      <x:c r="Q461" s="6" t="inlineStr">
        <x:is>
          <x:t xml:space="preserve">RAW_OS B/C</x:t>
        </x:is>
      </x:c>
      <x:c r="R461" s="6" t="inlineStr">
        <x:is>
          <x:t xml:space="preserve">OGRÓD ZIMOWY (KONSTRUKCJA)</x:t>
        </x:is>
      </x:c>
      <x:c r="S461" s="6" t="inlineStr">
        <x:is>
          <x:t xml:space="preserve">crm_only</x:t>
        </x:is>
      </x:c>
      <x:c r="T461" s="6" t="inlineStr">
        <x:is>
          <x:t xml:space="preserve">Referencyjne/full</x:t>
        </x:is>
      </x:c>
    </x:row>
    <x:row r="462" s="655" customFormat="1" ht="30" customHeight="1">
      <x:c r="A462" s="6" t="inlineStr">
        <x:is>
          <x:t xml:space="preserve">400 x 706 cm</x:t>
        </x:is>
      </x:c>
      <x:c r="B462" s="6" t="inlineStr">
        <x:is>
          <x:t xml:space="preserve">PDS</x:t>
        </x:is>
      </x:c>
      <x:c r="C462" s="6" t="inlineStr">
        <x:is>
          <x:t xml:space="preserve">Dopłata dach szkło przezroczyste</x:t>
        </x:is>
      </x:c>
      <x:c r="D462" s="6" t="inlineStr">
        <x:is>
          <x:t xml:space="preserve">POKRYCIE DACHU SZKŁO</x:t>
        </x:is>
      </x:c>
      <x:c r="E462" s="8" t="n">
        <x:f>IFERROR(IFERROR(INDEX('02_RAW_INDEX'!$V:$V,MATCH($A462,'02_RAW_INDEX'!$A:$A,0)),"")-IFERROR(INDEX('02_RAW_INDEX'!$D:$D,MATCH($A462,'02_RAW_INDEX'!$A:$A,0)),""),"")</x:f>
        <x:v>5553</x:v>
      </x:c>
      <x:c r="F462" s="8" t="n">
        <x:f>IFERROR(IFERROR(INDEX('02_RAW_INDEX'!$U:$U,MATCH($A462,'02_RAW_INDEX'!$A:$A,0)),"")-IFERROR(INDEX('02_RAW_INDEX'!$C:$C,MATCH($A462,'02_RAW_INDEX'!$A:$A,0)),""),"")</x:f>
        <x:v>6830</x:v>
      </x:c>
      <x:c r="G462" s="7" t="n">
        <x:f>'01_Ustawienia'!$B$6</x:f>
        <x:v>0</x:v>
      </x:c>
      <x:c r="H462" s="8" t="n">
        <x:f>IF(E462="","",ROUND(IF('01_Ustawienia'!$B$5="BRUTTO",F462,E462)*(1-G462),0))</x:f>
        <x:v>5553</x:v>
      </x:c>
      <x:c r="I462" s="7" t="n">
        <x:f>IFERROR(IFERROR(INDEX('01_Ustawienia'!$B$15:$B$33,MATCH(B462,'01_Ustawienia'!$A$15:$A$33,0)),0.45),0.45)</x:f>
        <x:v>0.45</x:v>
      </x:c>
      <x:c r="J462" s="8" t="n">
        <x:f>IF(H462="","",ROUND(H462*(1+I462),0))</x:f>
        <x:v>8052</x:v>
      </x:c>
      <x:c r="K462" s="8" t="n">
        <x:f>0</x:f>
        <x:v>0</x:v>
      </x:c>
      <x:c r="L462" s="8" t="n">
        <x:v>0</x:v>
      </x:c>
      <x:c r="M462" s="7" t="n">
        <x:f>IF('01_Ustawienia'!$B$4="ZWOLNIONY",0,'01_Ustawienia'!$B$7)</x:f>
        <x:v>0.08</x:v>
      </x:c>
      <x:c r="N462" s="8" t="n">
        <x:f>IF(J462="","",ROUND((J462+K462)*(1+M462),0))</x:f>
        <x:v>8696</x:v>
      </x:c>
      <x:c r="O462" s="8" t="n">
        <x:f>IF(J462="","",J462+K462-H462-L462)</x:f>
        <x:v>2499</x:v>
      </x:c>
      <x:c r="P462" s="7" t="n">
        <x:f>IFERROR(O462/(J462+K462),"")</x:f>
        <x:v>0.3103576751117735</x:v>
      </x:c>
      <x:c r="Q462" s="6" t="inlineStr">
        <x:is>
          <x:t xml:space="preserve">RAW_ZS - RAW_ZP</x:t>
        </x:is>
      </x:c>
      <x:c r="R462" s="6" t="inlineStr">
        <x:is>
          <x:t xml:space="preserve">POKRYCIE DACHU</x:t>
        </x:is>
      </x:c>
      <x:c r="S462" s="6" t="inlineStr">
        <x:is>
          <x:t xml:space="preserve">website+crm</x:t>
        </x:is>
      </x:c>
      <x:c r="T462" s="6" t="inlineStr">
        <x:is>
          <x:t xml:space="preserve">Dopłata do bazowego dachu poliwęglan | FIX17: Wynagr.+koszty = 0 dla dopłaty; nie jest osobnym montażem ekipy.</x:t>
        </x:is>
      </x:c>
    </x:row>
    <x:row r="463" s="655" customFormat="1" ht="30" customHeight="1">
      <x:c r="A463" s="6" t="inlineStr">
        <x:is>
          <x:t xml:space="preserve">400 x 706 cm</x:t>
        </x:is>
      </x:c>
      <x:c r="B463" s="6" t="inlineStr">
        <x:is>
          <x:t xml:space="preserve">PDSB</x:t>
        </x:is>
      </x:c>
      <x:c r="C463" s="6" t="inlineStr">
        <x:is>
          <x:t xml:space="preserve">Dopłata dach szkło barwione/mleczne</x:t>
        </x:is>
      </x:c>
      <x:c r="D463" s="6" t="inlineStr">
        <x:is>
          <x:t xml:space="preserve">POKRYCIE DACHU SZKŁO BARWIONE</x:t>
        </x:is>
      </x:c>
      <x:c r="E463" s="8" t="n">
        <x:f>IFERROR(INDEX('02_RAW_INDEX'!$X:$X,MATCH($A463,'02_RAW_INDEX'!$A:$A,0)),"")</x:f>
        <x:v>667</x:v>
      </x:c>
      <x:c r="F463" s="8" t="n">
        <x:f>IFERROR(INDEX('02_RAW_INDEX'!$W:$W,MATCH($A463,'02_RAW_INDEX'!$A:$A,0)),"")</x:f>
        <x:v>820</x:v>
      </x:c>
      <x:c r="G463" s="7" t="n">
        <x:f>'01_Ustawienia'!$B$6</x:f>
        <x:v>0</x:v>
      </x:c>
      <x:c r="H463" s="8" t="n">
        <x:f>IF(E463="","",ROUND(IF('01_Ustawienia'!$B$5="BRUTTO",F463,E463)*(1-G463),0))</x:f>
        <x:v>667</x:v>
      </x:c>
      <x:c r="I463" s="7" t="n">
        <x:f>IFERROR(IFERROR(INDEX('01_Ustawienia'!$B$15:$B$33,MATCH(B463,'01_Ustawienia'!$A$15:$A$33,0)),0.45),0.45)</x:f>
        <x:v>0.45</x:v>
      </x:c>
      <x:c r="J463" s="8" t="n">
        <x:f>IF(H463="","",ROUND(H463*(1+I463),0))</x:f>
        <x:v>967</x:v>
      </x:c>
      <x:c r="K463" s="8" t="n">
        <x:f>0</x:f>
        <x:v>0</x:v>
      </x:c>
      <x:c r="L463" s="8" t="n">
        <x:v>0</x:v>
      </x:c>
      <x:c r="M463" s="7" t="n">
        <x:f>IF('01_Ustawienia'!$B$4="ZWOLNIONY",0,'01_Ustawienia'!$B$7)</x:f>
        <x:v>0.08</x:v>
      </x:c>
      <x:c r="N463" s="8" t="n">
        <x:f>IF(J463="","",ROUND((J463+K463)*(1+M463),0))</x:f>
        <x:v>1044</x:v>
      </x:c>
      <x:c r="O463" s="8" t="n">
        <x:f>IF(J463="","",J463+K463-H463-L463)</x:f>
        <x:v>300</x:v>
      </x:c>
      <x:c r="P463" s="7" t="n">
        <x:f>IFERROR(O463/(J463+K463),"")</x:f>
        <x:v>0.31023784901758017</x:v>
      </x:c>
      <x:c r="Q463" s="6" t="inlineStr">
        <x:is>
          <x:t xml:space="preserve">RAW_ZS D/E</x:t>
        </x:is>
      </x:c>
      <x:c r="R463" s="6" t="inlineStr">
        <x:is>
          <x:t xml:space="preserve">POKRYCIE DACHU</x:t>
        </x:is>
      </x:c>
      <x:c r="S463" s="6" t="inlineStr">
        <x:is>
          <x:t xml:space="preserve">website+crm</x:t>
        </x:is>
      </x:c>
      <x:c r="T463" s="6" t="inlineStr">
        <x:is>
          <x:t xml:space="preserve">Dodawane do PDS | FIX17: Wynagr.+koszty = 0 dla dopłaty; nie jest osobnym montażem ekipy.</x:t>
        </x:is>
      </x:c>
    </x:row>
    <x:row r="464" s="655" customFormat="1" ht="30" customHeight="1">
      <x:c r="A464" s="6" t="inlineStr">
        <x:is>
          <x:t xml:space="preserve">400 x 706 cm</x:t>
        </x:is>
      </x:c>
      <x:c r="B464" s="6" t="inlineStr">
        <x:is>
          <x:t xml:space="preserve">PDPB</x:t>
        </x:is>
      </x:c>
      <x:c r="C464" s="6" t="inlineStr">
        <x:is>
          <x:t xml:space="preserve">Dopłata poliwęglan barwiony</x:t>
        </x:is>
      </x:c>
      <x:c r="D464" s="6" t="inlineStr">
        <x:is>
          <x:t xml:space="preserve">POKRYCIE DACHU POLIWĘGLAN BARWIONY</x:t>
        </x:is>
      </x:c>
      <x:c r="E464" s="8" t="n">
        <x:f>IFERROR(INDEX('02_RAW_INDEX'!$F:$F,MATCH($A464,'02_RAW_INDEX'!$A:$A,0)),"")</x:f>
        <x:v>317</x:v>
      </x:c>
      <x:c r="F464" s="8" t="n">
        <x:f>IFERROR(INDEX('02_RAW_INDEX'!$E:$E,MATCH($A464,'02_RAW_INDEX'!$A:$A,0)),"")</x:f>
        <x:v>390</x:v>
      </x:c>
      <x:c r="G464" s="7" t="n">
        <x:f>'01_Ustawienia'!$B$6</x:f>
        <x:v>0</x:v>
      </x:c>
      <x:c r="H464" s="8" t="n">
        <x:f>IF(E464="","",ROUND(IF('01_Ustawienia'!$B$5="BRUTTO",F464,E464)*(1-G464),0))</x:f>
        <x:v>317</x:v>
      </x:c>
      <x:c r="I464" s="7" t="n">
        <x:f>IFERROR(IFERROR(INDEX('01_Ustawienia'!$B$15:$B$33,MATCH(B464,'01_Ustawienia'!$A$15:$A$33,0)),0.45),0.45)</x:f>
        <x:v>0.45</x:v>
      </x:c>
      <x:c r="J464" s="8" t="n">
        <x:f>IF(H464="","",ROUND(H464*(1+I464),0))</x:f>
        <x:v>460</x:v>
      </x:c>
      <x:c r="K464" s="8" t="n">
        <x:f>0</x:f>
        <x:v>0</x:v>
      </x:c>
      <x:c r="L464" s="8" t="n">
        <x:v>0</x:v>
      </x:c>
      <x:c r="M464" s="7" t="n">
        <x:f>IF('01_Ustawienia'!$B$4="ZWOLNIONY",0,'01_Ustawienia'!$B$7)</x:f>
        <x:v>0.08</x:v>
      </x:c>
      <x:c r="N464" s="8" t="n">
        <x:f>IF(J464="","",ROUND((J464+K464)*(1+M464),0))</x:f>
        <x:v>497</x:v>
      </x:c>
      <x:c r="O464" s="8" t="n">
        <x:f>IF(J464="","",J464+K464-H464-L464)</x:f>
        <x:v>143</x:v>
      </x:c>
      <x:c r="P464" s="7" t="n">
        <x:f>IFERROR(O464/(J464+K464),"")</x:f>
        <x:v>0.3108695652173913</x:v>
      </x:c>
      <x:c r="Q464" s="6" t="inlineStr">
        <x:is>
          <x:t xml:space="preserve">RAW_ZP D/E</x:t>
        </x:is>
      </x:c>
      <x:c r="R464" s="6" t="inlineStr">
        <x:is>
          <x:t xml:space="preserve">POKRYCIE DACHU</x:t>
        </x:is>
      </x:c>
      <x:c r="S464" s="6" t="inlineStr">
        <x:is>
          <x:t xml:space="preserve">website+crm</x:t>
        </x:is>
      </x:c>
      <x:c r="T464" s="6" t="inlineStr">
        <x:is>
          <x:t xml:space="preserve">FIX17: Wynagr.+koszty = 0 dla dopłaty; nie jest osobnym montażem ekipy.</x:t>
        </x:is>
      </x:c>
    </x:row>
    <x:row r="465" s="655" customFormat="1" ht="30" customHeight="1">
      <x:c r="A465" s="6" t="inlineStr">
        <x:is>
          <x:t xml:space="preserve">400 x 706 cm</x:t>
        </x:is>
      </x:c>
      <x:c r="B465" s="6" t="inlineStr">
        <x:is>
          <x:t xml:space="preserve">SBB</x:t>
        </x:is>
      </x:c>
      <x:c r="C465" s="6" t="inlineStr">
        <x:is>
          <x:t xml:space="preserve">Dopłata szkło boczne przyciemniane</x:t>
        </x:is>
      </x:c>
      <x:c r="D465" s="6" t="inlineStr">
        <x:is>
          <x:t xml:space="preserve">SZKŁO BOCZNE BARWIONE</x:t>
        </x:is>
      </x:c>
      <x:c r="E465" s="8" t="n">
        <x:f>IFERROR(INDEX('02_RAW_INDEX'!$AB:$AB,MATCH($A465,'02_RAW_INDEX'!$A:$A,0)),"")</x:f>
        <x:v>1463</x:v>
      </x:c>
      <x:c r="F465" s="8" t="n">
        <x:f>IFERROR(INDEX('02_RAW_INDEX'!$AA:$AA,MATCH($A465,'02_RAW_INDEX'!$A:$A,0)),"")</x:f>
        <x:v>1800</x:v>
      </x:c>
      <x:c r="G465" s="7" t="n">
        <x:f>'01_Ustawienia'!$B$6</x:f>
        <x:v>0</x:v>
      </x:c>
      <x:c r="H465" s="8" t="n">
        <x:f>IF(E465="","",ROUND(IF('01_Ustawienia'!$B$5="BRUTTO",F465,E465)*(1-G465),0))</x:f>
        <x:v>1463</x:v>
      </x:c>
      <x:c r="I465" s="7" t="n">
        <x:f>IFERROR(IFERROR(INDEX('01_Ustawienia'!$B$15:$B$33,MATCH(B465,'01_Ustawienia'!$A$15:$A$33,0)),0.45),0.45)</x:f>
        <x:v>0.45</x:v>
      </x:c>
      <x:c r="J465" s="8" t="n">
        <x:f>IF(H465="","",ROUND(H465*(1+I465),0))</x:f>
        <x:v>2121</x:v>
      </x:c>
      <x:c r="K465" s="8" t="n">
        <x:f>0</x:f>
        <x:v>0</x:v>
      </x:c>
      <x:c r="L465" s="8" t="n">
        <x:v>0</x:v>
      </x:c>
      <x:c r="M465" s="7" t="n">
        <x:f>IF('01_Ustawienia'!$B$4="ZWOLNIONY",0,'01_Ustawienia'!$B$7)</x:f>
        <x:v>0.08</x:v>
      </x:c>
      <x:c r="N465" s="8" t="n">
        <x:f>IF(J465="","",ROUND((J465+K465)*(1+M465),0))</x:f>
        <x:v>2291</x:v>
      </x:c>
      <x:c r="O465" s="8" t="n">
        <x:f>IF(J465="","",J465+K465-H465-L465)</x:f>
        <x:v>658</x:v>
      </x:c>
      <x:c r="P465" s="7" t="n">
        <x:f>IFERROR(O465/(J465+K465),"")</x:f>
        <x:v>0.3102310231023102</x:v>
      </x:c>
      <x:c r="Q465" s="6" t="inlineStr">
        <x:is>
          <x:t xml:space="preserve">RAW_OP H/I</x:t>
        </x:is>
      </x:c>
      <x:c r="R465" s="6" t="inlineStr">
        <x:is>
          <x:t xml:space="preserve">SZYBY BOCZNE</x:t>
        </x:is>
      </x:c>
      <x:c r="S465" s="6" t="inlineStr">
        <x:is>
          <x:t xml:space="preserve">website+crm</x:t>
        </x:is>
      </x:c>
      <x:c r="T465" s="6" t="inlineStr">
        <x:is>
          <x:t xml:space="preserve">Dodawane do ścian przezroczystych | FIX17: Wynagr.+koszty = 0 dla dopłaty; nie jest osobnym montażem ekipy.</x:t>
        </x:is>
      </x:c>
    </x:row>
    <x:row r="466">
      <x:c r="A466" s="6" t="inlineStr">
        <x:is>
          <x:t xml:space="preserve">400 x 706 cm</x:t>
        </x:is>
      </x:c>
      <x:c r="B466" s="6" t="inlineStr">
        <x:is>
          <x:t xml:space="preserve">RB</x:t>
        </x:is>
      </x:c>
      <x:c r="C466" s="6" t="inlineStr">
        <x:is>
          <x:t xml:space="preserve">Roleta boczna ZIP</x:t>
        </x:is>
      </x:c>
      <x:c r="D466" s="6" t="inlineStr">
        <x:is>
          <x:t xml:space="preserve">ROLETA BOCZNA</x:t>
        </x:is>
      </x:c>
      <x:c r="E466" s="8" t="n">
        <x:f>IFERROR(INDEX('02_RAW_INDEX'!$J:$J,MATCH($A466,'02_RAW_INDEX'!$A:$A,0)),"")</x:f>
        <x:v>2146</x:v>
      </x:c>
      <x:c r="F466" s="8" t="n">
        <x:f>IFERROR(INDEX('02_RAW_INDEX'!$I:$I,MATCH($A466,'02_RAW_INDEX'!$A:$A,0)),"")</x:f>
        <x:v>2640</x:v>
      </x:c>
      <x:c r="G466" s="7" t="n">
        <x:f>'01_Ustawienia'!$B$6</x:f>
        <x:v>0</x:v>
      </x:c>
      <x:c r="H466" s="8" t="n">
        <x:f>IF(E466="","",ROUND(IF('01_Ustawienia'!$B$5="BRUTTO",F466,E466)*(1-G466),0))</x:f>
        <x:v>2146</x:v>
      </x:c>
      <x:c r="I466" s="7" t="n">
        <x:f>IFERROR(IFERROR(INDEX('01_Ustawienia'!$B$15:$B$33,MATCH(B466,'01_Ustawienia'!$A$15:$A$33,0)),0.45),0.45)</x:f>
        <x:v>0.45</x:v>
      </x:c>
      <x:c r="J466" s="8" t="n">
        <x:f>IF(H466="","",ROUND(H466*(1+I466),0))</x:f>
        <x:v>3112</x:v>
      </x:c>
      <x:c r="K466" s="8" t="n">
        <x:f>0</x:f>
        <x:v>0</x:v>
      </x:c>
      <x:c r="L466" s="8" t="n">
        <x:f>IFERROR(IFERROR(INDEX(EG_Cennik_uslug!$AC:$AC,MATCH($A466,EG_Cennik_uslug!$A:$A,0)),0),0)</x:f>
        <x:v>150</x:v>
      </x:c>
      <x:c r="M466" s="7" t="n">
        <x:f>IF('01_Ustawienia'!$B$4="ZWOLNIONY",0,'01_Ustawienia'!$B$7)</x:f>
        <x:v>0.08</x:v>
      </x:c>
      <x:c r="N466" s="8" t="n">
        <x:f>IF(J466="","",ROUND((J466+K466)*(1+M466),0))</x:f>
        <x:v>3361</x:v>
      </x:c>
      <x:c r="O466" s="8" t="n">
        <x:f>IF(J466="","",J466+K466-H466-L466)</x:f>
        <x:v>816</x:v>
      </x:c>
      <x:c r="P466" s="7" t="n">
        <x:f>IFERROR(O466/(J466+K466),"")</x:f>
        <x:v>0.2622107969151671</x:v>
      </x:c>
      <x:c r="Q466" s="6" t="inlineStr">
        <x:is>
          <x:t xml:space="preserve">RAW_ZP J/K</x:t>
        </x:is>
      </x:c>
      <x:c r="R466" s="6" t="inlineStr">
        <x:is>
          <x:t xml:space="preserve">ROLETY BOCZNE</x:t>
        </x:is>
      </x:c>
      <x:c r="S466" s="6" t="inlineStr">
        <x:is>
          <x:t xml:space="preserve">website+crm</x:t>
        </x:is>
      </x:c>
      <x:c r="T466" s="6" t="inlineStr">
        <x:is>
          <x:t xml:space="preserve">Używana dla lewej i prawej</x:t>
        </x:is>
      </x:c>
    </x:row>
    <x:row r="467">
      <x:c r="A467" s="6" t="inlineStr">
        <x:is>
          <x:t xml:space="preserve">400 x 706 cm</x:t>
        </x:is>
      </x:c>
      <x:c r="B467" s="6" t="inlineStr">
        <x:is>
          <x:t xml:space="preserve">RP</x:t>
        </x:is>
      </x:c>
      <x:c r="C467" s="6" t="inlineStr">
        <x:is>
          <x:t xml:space="preserve">Roleta przednia ZIP</x:t>
        </x:is>
      </x:c>
      <x:c r="D467" s="6" t="inlineStr">
        <x:is>
          <x:t xml:space="preserve">ROLETA PRZÓD</x:t>
        </x:is>
      </x:c>
      <x:c r="E467" s="8" t="n">
        <x:f>IFERROR(INDEX('02_RAW_INDEX'!$L:$L,MATCH($A467,'02_RAW_INDEX'!$A:$A,0)),"")</x:f>
        <x:v>3886</x:v>
      </x:c>
      <x:c r="F467" s="8" t="n">
        <x:f>IFERROR(INDEX('02_RAW_INDEX'!$K:$K,MATCH($A467,'02_RAW_INDEX'!$A:$A,0)),"")</x:f>
        <x:v>4780</x:v>
      </x:c>
      <x:c r="G467" s="7" t="n">
        <x:f>'01_Ustawienia'!$B$6</x:f>
        <x:v>0</x:v>
      </x:c>
      <x:c r="H467" s="8" t="n">
        <x:f>IF(E467="","",ROUND(IF('01_Ustawienia'!$B$5="BRUTTO",F467,E467)*(1-G467),0))</x:f>
        <x:v>3886</x:v>
      </x:c>
      <x:c r="I467" s="7" t="n">
        <x:f>IFERROR(IFERROR(INDEX('01_Ustawienia'!$B$15:$B$33,MATCH(B467,'01_Ustawienia'!$A$15:$A$33,0)),0.45),0.45)</x:f>
        <x:v>0.45</x:v>
      </x:c>
      <x:c r="J467" s="8" t="n">
        <x:f>IF(H467="","",ROUND(H467*(1+I467),0))</x:f>
        <x:v>5635</x:v>
      </x:c>
      <x:c r="K467" s="8" t="n">
        <x:f>0</x:f>
        <x:v>0</x:v>
      </x:c>
      <x:c r="L467" s="8" t="n">
        <x:f>IFERROR(IFERROR(INDEX(EG_Cennik_uslug!$AJ:$AJ,MATCH($A467,EG_Cennik_uslug!$A:$A,0)),0),0)</x:f>
        <x:v>300</x:v>
      </x:c>
      <x:c r="M467" s="7" t="n">
        <x:f>IF('01_Ustawienia'!$B$4="ZWOLNIONY",0,'01_Ustawienia'!$B$7)</x:f>
        <x:v>0.08</x:v>
      </x:c>
      <x:c r="N467" s="8" t="n">
        <x:f>IF(J467="","",ROUND((J467+K467)*(1+M467),0))</x:f>
        <x:v>6086</x:v>
      </x:c>
      <x:c r="O467" s="8" t="n">
        <x:f>IF(J467="","",J467+K467-H467-L467)</x:f>
        <x:v>1449</x:v>
      </x:c>
      <x:c r="P467" s="7" t="n">
        <x:f>IFERROR(O467/(J467+K467),"")</x:f>
        <x:v>0.2571428571428571</x:v>
      </x:c>
      <x:c r="Q467" s="6" t="inlineStr">
        <x:is>
          <x:t xml:space="preserve">RAW_ZP N/O</x:t>
        </x:is>
      </x:c>
      <x:c r="R467" s="6" t="inlineStr">
        <x:is>
          <x:t xml:space="preserve">ROLETY BOCZNE</x:t>
        </x:is>
      </x:c>
      <x:c r="S467" s="6" t="inlineStr">
        <x:is>
          <x:t xml:space="preserve">website+crm</x:t>
        </x:is>
      </x:c>
      <x:c r="T467" s="6" t="n"/>
    </x:row>
    <x:row r="468">
      <x:c r="A468" s="6" t="inlineStr">
        <x:is>
          <x:t xml:space="preserve">400 x 706 cm</x:t>
        </x:is>
      </x:c>
      <x:c r="B468" s="6" t="inlineStr">
        <x:is>
          <x:t xml:space="preserve">M</x:t>
        </x:is>
      </x:c>
      <x:c r="C468" s="6" t="inlineStr">
        <x:is>
          <x:t xml:space="preserve">Markiza dachowa</x:t>
        </x:is>
      </x:c>
      <x:c r="D468" s="6" t="inlineStr">
        <x:is>
          <x:t xml:space="preserve">MARKIZA</x:t>
        </x:is>
      </x:c>
      <x:c r="E468" s="8" t="n">
        <x:f>IFERROR(INDEX('02_RAW_INDEX'!$H:$H,MATCH($A468,'02_RAW_INDEX'!$A:$A,0)),"")</x:f>
        <x:v>7073</x:v>
      </x:c>
      <x:c r="F468" s="8" t="n">
        <x:f>IFERROR(INDEX('02_RAW_INDEX'!$G:$G,MATCH($A468,'02_RAW_INDEX'!$A:$A,0)),"")</x:f>
        <x:v>8700</x:v>
      </x:c>
      <x:c r="G468" s="7" t="n">
        <x:f>'01_Ustawienia'!$B$6</x:f>
        <x:v>0</x:v>
      </x:c>
      <x:c r="H468" s="8" t="n">
        <x:f>IF(E468="","",ROUND(IF('01_Ustawienia'!$B$5="BRUTTO",F468,E468)*(1-G468),0))</x:f>
        <x:v>7073</x:v>
      </x:c>
      <x:c r="I468" s="7" t="n">
        <x:f>IFERROR(IFERROR(INDEX('01_Ustawienia'!$B$15:$B$33,MATCH(B468,'01_Ustawienia'!$A$15:$A$33,0)),0.45),0.45)</x:f>
        <x:v>0.45</x:v>
      </x:c>
      <x:c r="J468" s="8" t="n">
        <x:f>IF(H468="","",ROUND(H468*(1+I468),0))</x:f>
        <x:v>10256</x:v>
      </x:c>
      <x:c r="K468" s="8" t="n">
        <x:f>0</x:f>
        <x:v>0</x:v>
      </x:c>
      <x:c r="L468" s="8" t="n">
        <x:f>IFERROR(IFERROR(INDEX(EG_Cennik_uslug!$AQ:$AQ,MATCH($A468,EG_Cennik_uslug!$A:$A,0)),0),0)</x:f>
        <x:v>450</x:v>
      </x:c>
      <x:c r="M468" s="7" t="n">
        <x:f>IF('01_Ustawienia'!$B$4="ZWOLNIONY",0,'01_Ustawienia'!$B$7)</x:f>
        <x:v>0.08</x:v>
      </x:c>
      <x:c r="N468" s="8" t="n">
        <x:f>IF(J468="","",ROUND((J468+K468)*(1+M468),0))</x:f>
        <x:v>11076</x:v>
      </x:c>
      <x:c r="O468" s="8" t="n">
        <x:f>IF(J468="","",J468+K468-H468-L468)</x:f>
        <x:v>2733</x:v>
      </x:c>
      <x:c r="P468" s="7" t="n">
        <x:f>IFERROR(O468/(J468+K468),"")</x:f>
        <x:v>0.2664781591263651</x:v>
      </x:c>
      <x:c r="Q468" s="6" t="inlineStr">
        <x:is>
          <x:t xml:space="preserve">RAW_ZP H/I</x:t>
        </x:is>
      </x:c>
      <x:c r="R468" s="6" t="inlineStr">
        <x:is>
          <x:t xml:space="preserve">MARKIZA</x:t>
        </x:is>
      </x:c>
      <x:c r="S468" s="6" t="inlineStr">
        <x:is>
          <x:t xml:space="preserve">website+crm</x:t>
        </x:is>
      </x:c>
      <x:c r="T468" s="6" t="n"/>
    </x:row>
    <x:row r="469">
      <x:c r="A469" s="6" t="inlineStr">
        <x:is>
          <x:t xml:space="preserve">400 x 706 cm</x:t>
        </x:is>
      </x:c>
      <x:c r="B469" s="6" t="inlineStr">
        <x:is>
          <x:t xml:space="preserve">PDWP</x:t>
        </x:is>
      </x:c>
      <x:c r="C469" s="6" t="inlineStr">
        <x:is>
          <x:t xml:space="preserve">Fundament/profile</x:t>
        </x:is>
      </x:c>
      <x:c r="D469" s="6" t="inlineStr">
        <x:is>
          <x:t xml:space="preserve">FUNDAMENT / PROFILE</x:t>
        </x:is>
      </x:c>
      <x:c r="E469" s="8" t="n">
        <x:f>IFERROR(INDEX('02_RAW_INDEX'!$AH:$AH,MATCH($A469,'02_RAW_INDEX'!$A:$A,0)),"")</x:f>
        <x:v>992</x:v>
      </x:c>
      <x:c r="F469" s="8" t="n">
        <x:f>IFERROR(INDEX('02_RAW_INDEX'!$AG:$AG,MATCH($A469,'02_RAW_INDEX'!$A:$A,0)),"")</x:f>
        <x:v>1220</x:v>
      </x:c>
      <x:c r="G469" s="7" t="n">
        <x:f>'01_Ustawienia'!$B$6</x:f>
        <x:v>0</x:v>
      </x:c>
      <x:c r="H469" s="8" t="n">
        <x:f>IF(E469="","",ROUND(IF('01_Ustawienia'!$B$5="BRUTTO",F469,E469)*(1-G469),0))</x:f>
        <x:v>992</x:v>
      </x:c>
      <x:c r="I469" s="7" t="n">
        <x:f>IFERROR(IFERROR(INDEX('01_Ustawienia'!$B$15:$B$33,MATCH(B469,'01_Ustawienia'!$A$15:$A$33,0)),0.45),0.45)</x:f>
        <x:v>1.2</x:v>
      </x:c>
      <x:c r="J469" s="8" t="n">
        <x:f>IF(H469="","",ROUND(H469*(1+I469),0))</x:f>
        <x:v>2182</x:v>
      </x:c>
      <x:c r="K469" s="8" t="n">
        <x:f>0</x:f>
        <x:v>0</x:v>
      </x:c>
      <x:c r="L469" s="8" t="n">
        <x:f>IFERROR(IFERROR(INDEX(EG_Cennik_uslug!$BT:$BT,MATCH($A469,EG_Cennik_uslug!$A:$A,0)),0),0)</x:f>
        <x:v>460</x:v>
      </x:c>
      <x:c r="M469" s="7" t="n">
        <x:f>IF('01_Ustawienia'!$B$4="ZWOLNIONY",0,'01_Ustawienia'!$B$7)</x:f>
        <x:v>0.08</x:v>
      </x:c>
      <x:c r="N469" s="8" t="n">
        <x:f>IF(J469="","",ROUND((J469+K469)*(1+M469),0))</x:f>
        <x:v>2357</x:v>
      </x:c>
      <x:c r="O469" s="8" t="n">
        <x:f>IF(J469="","",J469+K469-H469-L469)</x:f>
        <x:v>730</x:v>
      </x:c>
      <x:c r="P469" s="7" t="n">
        <x:f>IFERROR(O469/(J469+K469),"")</x:f>
        <x:v>0.33455545371219064</x:v>
      </x:c>
      <x:c r="Q469" s="6" t="inlineStr">
        <x:is>
          <x:t xml:space="preserve">RAW_OP AB/AC</x:t>
        </x:is>
      </x:c>
      <x:c r="R469" s="6" t="inlineStr">
        <x:is>
          <x:t xml:space="preserve">FUNDAMENT (PROFILE)</x:t>
        </x:is>
      </x:c>
      <x:c r="S469" s="6" t="inlineStr">
        <x:is>
          <x:t xml:space="preserve">website+crm</x:t>
        </x:is>
      </x:c>
      <x:c r="T469" s="6" t="n"/>
    </x:row>
    <x:row r="470" s="655" customFormat="1" ht="30" customHeight="1">
      <x:c r="A470" s="6" t="inlineStr">
        <x:is>
          <x:t xml:space="preserve">400 x 706 cm</x:t>
        </x:is>
      </x:c>
      <x:c r="B470" s="6" t="inlineStr">
        <x:is>
          <x:t xml:space="preserve">ZAB</x:t>
        </x:is>
      </x:c>
      <x:c r="C470" s="6" t="inlineStr">
        <x:is>
          <x:t xml:space="preserve">Zabieraki do ścian przesuwnych</x:t>
        </x:is>
      </x:c>
      <x:c r="D470" s="6" t="inlineStr">
        <x:is>
          <x:t xml:space="preserve">DODATKI</x:t>
        </x:is>
      </x:c>
      <x:c r="E470" s="8" t="n">
        <x:f>IFERROR(INDEX('02_RAW_INDEX'!$AJ:$AJ,MATCH($A470,'02_RAW_INDEX'!$A:$A,0)),"")</x:f>
        <x:v>358</x:v>
      </x:c>
      <x:c r="F470" s="8" t="n">
        <x:f>IFERROR(INDEX('02_RAW_INDEX'!$AI:$AI,MATCH($A470,'02_RAW_INDEX'!$A:$A,0)),"")</x:f>
        <x:v>440</x:v>
      </x:c>
      <x:c r="G470" s="7" t="n">
        <x:f>'01_Ustawienia'!$B$6</x:f>
        <x:v>0</x:v>
      </x:c>
      <x:c r="H470" s="8" t="n">
        <x:f>IF(E470="","",ROUND(IF('01_Ustawienia'!$B$5="BRUTTO",F470,E470)*(1-G470),0))</x:f>
        <x:v>358</x:v>
      </x:c>
      <x:c r="I470" s="7" t="n">
        <x:f>IFERROR(IFERROR(INDEX('01_Ustawienia'!$B$15:$B$33,MATCH(B470,'01_Ustawienia'!$A$15:$A$33,0)),0.45),0.45)</x:f>
        <x:v>0.45</x:v>
      </x:c>
      <x:c r="J470" s="8" t="n">
        <x:f>IF(H470="","",ROUND(H470*(1+I470),0))</x:f>
        <x:v>519</x:v>
      </x:c>
      <x:c r="K470" s="8" t="n">
        <x:f>0</x:f>
        <x:v>0</x:v>
      </x:c>
      <x:c r="L470" s="8" t="n">
        <x:f>0</x:f>
        <x:v>0</x:v>
      </x:c>
      <x:c r="M470" s="7" t="n">
        <x:f>IF('01_Ustawienia'!$B$4="ZWOLNIONY",0,'01_Ustawienia'!$B$7)</x:f>
        <x:v>0.08</x:v>
      </x:c>
      <x:c r="N470" s="8" t="n">
        <x:f>IF(J470="","",ROUND((J470+K470)*(1+M470),0))</x:f>
        <x:v>561</x:v>
      </x:c>
      <x:c r="O470" s="8" t="n">
        <x:f>IF(J470="","",J470+K470-H470-L470)</x:f>
        <x:v>161</x:v>
      </x:c>
      <x:c r="P470" s="7" t="n">
        <x:f>IFERROR(O470/(J470+K470),"")</x:f>
        <x:v>0.31021194605009633</x:v>
      </x:c>
      <x:c r="Q470" s="6" t="inlineStr">
        <x:is>
          <x:t xml:space="preserve">RAW_OP AD/AE</x:t>
        </x:is>
      </x:c>
      <x:c r="R470" s="6" t="inlineStr">
        <x:is>
          <x:t xml:space="preserve">DODATKI</x:t>
        </x:is>
      </x:c>
      <x:c r="S470" s="6" t="inlineStr">
        <x:is>
          <x:t xml:space="preserve">crm_only</x:t>
        </x:is>
      </x:c>
      <x:c r="T470" s="6" t="n"/>
    </x:row>
    <x:row r="471">
      <x:c r="A471" s="6" t="inlineStr">
        <x:is>
          <x:t xml:space="preserve">400 x 706 cm</x:t>
        </x:is>
      </x:c>
      <x:c r="B471" s="6" t="inlineStr">
        <x:is>
          <x:t xml:space="preserve">S</x:t>
        </x:is>
      </x:c>
      <x:c r="C471" s="6" t="inlineStr">
        <x:is>
          <x:t xml:space="preserve">Szczotki przeciwkurzowe</x:t>
        </x:is>
      </x:c>
      <x:c r="D471" s="6" t="inlineStr">
        <x:is>
          <x:t xml:space="preserve">SZCZOTKI</x:t>
        </x:is>
      </x:c>
      <x:c r="E471" s="8" t="n">
        <x:f>IFERROR(INDEX('02_RAW_INDEX'!$AD:$AD,MATCH($A471,'02_RAW_INDEX'!$A:$A,0)),"")</x:f>
        <x:v>463</x:v>
      </x:c>
      <x:c r="F471" s="8" t="n">
        <x:f>IFERROR(INDEX('02_RAW_INDEX'!$AC:$AC,MATCH($A471,'02_RAW_INDEX'!$A:$A,0)),"")</x:f>
        <x:v>570</x:v>
      </x:c>
      <x:c r="G471" s="7" t="n">
        <x:f>'01_Ustawienia'!$B$6</x:f>
        <x:v>0</x:v>
      </x:c>
      <x:c r="H471" s="8" t="n">
        <x:f>IF(E471="","",ROUND(IF('01_Ustawienia'!$B$5="BRUTTO",F471,E471)*(1-G471),0))</x:f>
        <x:v>463</x:v>
      </x:c>
      <x:c r="I471" s="7" t="n">
        <x:f>IFERROR(IFERROR(INDEX('01_Ustawienia'!$B$15:$B$33,MATCH(B471,'01_Ustawienia'!$A$15:$A$33,0)),0.45),0.45)</x:f>
        <x:v>0.45</x:v>
      </x:c>
      <x:c r="J471" s="8" t="n">
        <x:f>IF(H471="","",ROUND(H471*(1+I471),0))</x:f>
        <x:v>671</x:v>
      </x:c>
      <x:c r="K471" s="8" t="n">
        <x:f>0</x:f>
        <x:v>0</x:v>
      </x:c>
      <x:c r="L471" s="8" t="n">
        <x:f>IFERROR(IFERROR(INDEX(EG_Cennik_uslug!$CA:$CA,MATCH($A471,EG_Cennik_uslug!$A:$A,0)),0),0)</x:f>
        <x:v>0</x:v>
      </x:c>
      <x:c r="M471" s="7" t="n">
        <x:f>IF('01_Ustawienia'!$B$4="ZWOLNIONY",0,'01_Ustawienia'!$B$7)</x:f>
        <x:v>0.08</x:v>
      </x:c>
      <x:c r="N471" s="8" t="n">
        <x:f>IF(J471="","",ROUND((J471+K471)*(1+M471),0))</x:f>
        <x:v>725</x:v>
      </x:c>
      <x:c r="O471" s="8" t="n">
        <x:f>IF(J471="","",J471+K471-H471-L471)</x:f>
        <x:v>208</x:v>
      </x:c>
      <x:c r="P471" s="7" t="n">
        <x:f>IFERROR(O471/(J471+K471),"")</x:f>
        <x:v>0.30998509687034276</x:v>
      </x:c>
      <x:c r="Q471" s="6" t="inlineStr">
        <x:is>
          <x:t xml:space="preserve">RAW_OP L/M</x:t>
        </x:is>
      </x:c>
      <x:c r="R471" s="6" t="inlineStr">
        <x:is>
          <x:t xml:space="preserve">DODATKI</x:t>
        </x:is>
      </x:c>
      <x:c r="S471" s="6" t="inlineStr">
        <x:is>
          <x:t xml:space="preserve">website+crm</x:t>
        </x:is>
      </x:c>
      <x:c r="T471" s="6" t="n"/>
    </x:row>
    <x:row r="472">
      <x:c r="A472" s="6" t="inlineStr">
        <x:is>
          <x:t xml:space="preserve">400 x 706 cm</x:t>
        </x:is>
      </x:c>
      <x:c r="B472" s="6" t="inlineStr">
        <x:is>
          <x:t xml:space="preserve">U</x:t>
        </x:is>
      </x:c>
      <x:c r="C472" s="6" t="inlineStr">
        <x:is>
          <x:t xml:space="preserve">Uchwyty na szkło ścienne</x:t>
        </x:is>
      </x:c>
      <x:c r="D472" s="6" t="inlineStr">
        <x:is>
          <x:t xml:space="preserve">UCHWYTY</x:t>
        </x:is>
      </x:c>
      <x:c r="E472" s="8" t="n">
        <x:f>IFERROR(INDEX('02_RAW_INDEX'!$AF:$AF,MATCH($A472,'02_RAW_INDEX'!$A:$A,0)),"")</x:f>
        <x:v>423</x:v>
      </x:c>
      <x:c r="F472" s="8" t="n">
        <x:f>IFERROR(INDEX('02_RAW_INDEX'!$AE:$AE,MATCH($A472,'02_RAW_INDEX'!$A:$A,0)),"")</x:f>
        <x:v>520</x:v>
      </x:c>
      <x:c r="G472" s="7" t="n">
        <x:f>'01_Ustawienia'!$B$6</x:f>
        <x:v>0</x:v>
      </x:c>
      <x:c r="H472" s="8" t="n">
        <x:f>IF(E472="","",ROUND(IF('01_Ustawienia'!$B$5="BRUTTO",F472,E472)*(1-G472),0))</x:f>
        <x:v>423</x:v>
      </x:c>
      <x:c r="I472" s="7" t="n">
        <x:f>IFERROR(IFERROR(INDEX('01_Ustawienia'!$B$15:$B$33,MATCH(B472,'01_Ustawienia'!$A$15:$A$33,0)),0.45),0.45)</x:f>
        <x:v>0.45</x:v>
      </x:c>
      <x:c r="J472" s="8" t="n">
        <x:f>IF(H472="","",ROUND(H472*(1+I472),0))</x:f>
        <x:v>613</x:v>
      </x:c>
      <x:c r="K472" s="8" t="n">
        <x:f>0</x:f>
        <x:v>0</x:v>
      </x:c>
      <x:c r="L472" s="8" t="n">
        <x:f>IFERROR(IFERROR(INDEX(EG_Cennik_uslug!$CH:$CH,MATCH($A472,EG_Cennik_uslug!$A:$A,0)),0),0)</x:f>
        <x:v>0</x:v>
      </x:c>
      <x:c r="M472" s="7" t="n">
        <x:f>IF('01_Ustawienia'!$B$4="ZWOLNIONY",0,'01_Ustawienia'!$B$7)</x:f>
        <x:v>0.08</x:v>
      </x:c>
      <x:c r="N472" s="8" t="n">
        <x:f>IF(J472="","",ROUND((J472+K472)*(1+M472),0))</x:f>
        <x:v>662</x:v>
      </x:c>
      <x:c r="O472" s="8" t="n">
        <x:f>IF(J472="","",J472+K472-H472-L472)</x:f>
        <x:v>190</x:v>
      </x:c>
      <x:c r="P472" s="7" t="n">
        <x:f>IFERROR(O472/(J472+K472),"")</x:f>
        <x:v>0.3099510603588907</x:v>
      </x:c>
      <x:c r="Q472" s="6" t="inlineStr">
        <x:is>
          <x:t xml:space="preserve">RAW_OP N/O</x:t>
        </x:is>
      </x:c>
      <x:c r="R472" s="6" t="inlineStr">
        <x:is>
          <x:t xml:space="preserve">DODATKI</x:t>
        </x:is>
      </x:c>
      <x:c r="S472" s="6" t="inlineStr">
        <x:is>
          <x:t xml:space="preserve">website+crm</x:t>
        </x:is>
      </x:c>
      <x:c r="T472" s="6" t="n"/>
    </x:row>
    <x:row r="473">
      <x:c r="A473" s="6" t="inlineStr">
        <x:is>
          <x:t xml:space="preserve">400 x 706 cm</x:t>
        </x:is>
      </x:c>
      <x:c r="B473" s="6" t="inlineStr">
        <x:is>
          <x:t xml:space="preserve">LED2</x:t>
        </x:is>
      </x:c>
      <x:c r="C473" s="6" t="inlineStr">
        <x:is>
          <x:t xml:space="preserve">Oświetlenie LED 2 punkty</x:t>
        </x:is>
      </x:c>
      <x:c r="D473" s="6" t="inlineStr">
        <x:is>
          <x:t xml:space="preserve">LED 2 PKT</x:t>
        </x:is>
      </x:c>
      <x:c r="E473" s="8" t="n">
        <x:f>IFERROR(INDEX('02_RAW_INDEX'!$N:$N,MATCH($A473,'02_RAW_INDEX'!$A:$A,0)),"")</x:f>
        <x:v>707</x:v>
      </x:c>
      <x:c r="F473" s="8" t="n">
        <x:f>IFERROR(INDEX('02_RAW_INDEX'!$M:$M,MATCH($A473,'02_RAW_INDEX'!$A:$A,0)),"")</x:f>
        <x:v>870</x:v>
      </x:c>
      <x:c r="G473" s="7" t="n">
        <x:f>'01_Ustawienia'!$B$6</x:f>
        <x:v>0</x:v>
      </x:c>
      <x:c r="H473" s="8" t="n">
        <x:f>IF(E473="","",ROUND(IF('01_Ustawienia'!$B$5="BRUTTO",F473,E473)*(1-G473),0))</x:f>
        <x:v>707</x:v>
      </x:c>
      <x:c r="I473" s="7" t="n">
        <x:f>IFERROR(IFERROR(INDEX('01_Ustawienia'!$B$15:$B$33,MATCH(B473,'01_Ustawienia'!$A$15:$A$33,0)),0.45),0.45)</x:f>
        <x:v>0.45</x:v>
      </x:c>
      <x:c r="J473" s="8" t="n">
        <x:f>IF(H473="","",ROUND(H473*(1+I473),0))</x:f>
        <x:v>1025</x:v>
      </x:c>
      <x:c r="K473" s="8" t="n">
        <x:f>0</x:f>
        <x:v>0</x:v>
      </x:c>
      <x:c r="L473" s="8" t="n">
        <x:f>IFERROR(IFERROR(INDEX(EG_Cennik_uslug!$CO:$CO,MATCH($A473,EG_Cennik_uslug!$A:$A,0)),0),0)</x:f>
        <x:v>0</x:v>
      </x:c>
      <x:c r="M473" s="7" t="n">
        <x:f>IF('01_Ustawienia'!$B$4="ZWOLNIONY",0,'01_Ustawienia'!$B$7)</x:f>
        <x:v>0.08</x:v>
      </x:c>
      <x:c r="N473" s="8" t="n">
        <x:f>IF(J473="","",ROUND((J473+K473)*(1+M473),0))</x:f>
        <x:v>1107</x:v>
      </x:c>
      <x:c r="O473" s="8" t="n">
        <x:f>IF(J473="","",J473+K473-H473-L473)</x:f>
        <x:v>318</x:v>
      </x:c>
      <x:c r="P473" s="7" t="n">
        <x:f>IFERROR(O473/(J473+K473),"")</x:f>
        <x:v>0.3102439024390244</x:v>
      </x:c>
      <x:c r="Q473" s="6" t="inlineStr">
        <x:is>
          <x:t xml:space="preserve">RAW_ZP P/Q</x:t>
        </x:is>
      </x:c>
      <x:c r="R473" s="6" t="inlineStr">
        <x:is>
          <x:t xml:space="preserve">OŚWIETLENIE</x:t>
        </x:is>
      </x:c>
      <x:c r="S473" s="6" t="inlineStr">
        <x:is>
          <x:t xml:space="preserve">website+crm</x:t>
        </x:is>
      </x:c>
      <x:c r="T473" s="6" t="n"/>
    </x:row>
    <x:row r="474">
      <x:c r="A474" s="6" t="inlineStr">
        <x:is>
          <x:t xml:space="preserve">400 x 706 cm</x:t>
        </x:is>
      </x:c>
      <x:c r="B474" s="6" t="inlineStr">
        <x:is>
          <x:t xml:space="preserve">LED3</x:t>
        </x:is>
      </x:c>
      <x:c r="C474" s="6" t="inlineStr">
        <x:is>
          <x:t xml:space="preserve">Oświetlenie LED 3 punkty</x:t>
        </x:is>
      </x:c>
      <x:c r="D474" s="6" t="inlineStr">
        <x:is>
          <x:t xml:space="preserve">LED 3 PKT</x:t>
        </x:is>
      </x:c>
      <x:c r="E474" s="8" t="n">
        <x:f>IFERROR(INDEX('02_RAW_INDEX'!$P:$P,MATCH($A474,'02_RAW_INDEX'!$A:$A,0)),"")</x:f>
        <x:v>984</x:v>
      </x:c>
      <x:c r="F474" s="8" t="n">
        <x:f>IFERROR(INDEX('02_RAW_INDEX'!$O:$O,MATCH($A474,'02_RAW_INDEX'!$A:$A,0)),"")</x:f>
        <x:v>1210</x:v>
      </x:c>
      <x:c r="G474" s="7" t="n">
        <x:f>'01_Ustawienia'!$B$6</x:f>
        <x:v>0</x:v>
      </x:c>
      <x:c r="H474" s="8" t="n">
        <x:f>IF(E474="","",ROUND(IF('01_Ustawienia'!$B$5="BRUTTO",F474,E474)*(1-G474),0))</x:f>
        <x:v>984</x:v>
      </x:c>
      <x:c r="I474" s="7" t="n">
        <x:f>IFERROR(IFERROR(INDEX('01_Ustawienia'!$B$15:$B$33,MATCH(B474,'01_Ustawienia'!$A$15:$A$33,0)),0.45),0.45)</x:f>
        <x:v>0.45</x:v>
      </x:c>
      <x:c r="J474" s="8" t="n">
        <x:f>IF(H474="","",ROUND(H474*(1+I474),0))</x:f>
        <x:v>1427</x:v>
      </x:c>
      <x:c r="K474" s="8" t="n">
        <x:f>0</x:f>
        <x:v>0</x:v>
      </x:c>
      <x:c r="L474" s="8" t="n">
        <x:f>IFERROR(IFERROR(INDEX(EG_Cennik_uslug!$CV:$CV,MATCH($A474,EG_Cennik_uslug!$A:$A,0)),0),0)</x:f>
        <x:v>0</x:v>
      </x:c>
      <x:c r="M474" s="7" t="n">
        <x:f>IF('01_Ustawienia'!$B$4="ZWOLNIONY",0,'01_Ustawienia'!$B$7)</x:f>
        <x:v>0.08</x:v>
      </x:c>
      <x:c r="N474" s="8" t="n">
        <x:f>IF(J474="","",ROUND((J474+K474)*(1+M474),0))</x:f>
        <x:v>1541</x:v>
      </x:c>
      <x:c r="O474" s="8" t="n">
        <x:f>IF(J474="","",J474+K474-H474-L474)</x:f>
        <x:v>443</x:v>
      </x:c>
      <x:c r="P474" s="7" t="n">
        <x:f>IFERROR(O474/(J474+K474),"")</x:f>
        <x:v>0.3104414856341976</x:v>
      </x:c>
      <x:c r="Q474" s="6" t="inlineStr">
        <x:is>
          <x:t xml:space="preserve">RAW_ZP R/S</x:t>
        </x:is>
      </x:c>
      <x:c r="R474" s="6" t="inlineStr">
        <x:is>
          <x:t xml:space="preserve">OŚWIETLENIE</x:t>
        </x:is>
      </x:c>
      <x:c r="S474" s="6" t="inlineStr">
        <x:is>
          <x:t xml:space="preserve">website+crm</x:t>
        </x:is>
      </x:c>
      <x:c r="T474" s="6" t="inlineStr">
        <x:is>
          <x:t xml:space="preserve">Nazwa do potwierdzenia</x:t>
        </x:is>
      </x:c>
    </x:row>
    <x:row r="475">
      <x:c r="A475" s="6" t="inlineStr">
        <x:is>
          <x:t xml:space="preserve">400 x 706 cm</x:t>
        </x:is>
      </x:c>
      <x:c r="B475" s="6" t="inlineStr">
        <x:is>
          <x:t xml:space="preserve">LEDCCT</x:t>
        </x:is>
      </x:c>
      <x:c r="C475" s="6" t="inlineStr">
        <x:is>
          <x:t xml:space="preserve">Oświetlenie LED CCT</x:t>
        </x:is>
      </x:c>
      <x:c r="D475" s="6" t="inlineStr">
        <x:is>
          <x:t xml:space="preserve">OŚWIETLENIE</x:t>
        </x:is>
      </x:c>
      <x:c r="E475" s="8" t="n">
        <x:f>IFERROR(INDEX('02_RAW_INDEX'!$R:$R,MATCH($A475,'02_RAW_INDEX'!$A:$A,0)),"")</x:f>
        <x:v>1560</x:v>
      </x:c>
      <x:c r="F475" s="8" t="n">
        <x:f>IFERROR(INDEX('02_RAW_INDEX'!$Q:$Q,MATCH($A475,'02_RAW_INDEX'!$A:$A,0)),"")</x:f>
        <x:v>1919</x:v>
      </x:c>
      <x:c r="G475" s="7" t="n">
        <x:f>'01_Ustawienia'!$B$6</x:f>
        <x:v>0</x:v>
      </x:c>
      <x:c r="H475" s="8" t="n">
        <x:f>IF(E475="","",ROUND(IF('01_Ustawienia'!$B$5="BRUTTO",F475,E475)*(1-G475),0))</x:f>
        <x:v>1560</x:v>
      </x:c>
      <x:c r="I475" s="7" t="n">
        <x:f>IFERROR(IFERROR(INDEX('01_Ustawienia'!$B$15:$B$33,MATCH(B475,'01_Ustawienia'!$A$15:$A$33,0)),0.45),0.45)</x:f>
        <x:v>0.45</x:v>
      </x:c>
      <x:c r="J475" s="8" t="n">
        <x:f>IF(H475="","",ROUND(H475*(1+I475),0))</x:f>
        <x:v>2262</x:v>
      </x:c>
      <x:c r="K475" s="8" t="n">
        <x:f>0</x:f>
        <x:v>0</x:v>
      </x:c>
      <x:c r="L475" s="8" t="n">
        <x:f>0</x:f>
        <x:v>0</x:v>
      </x:c>
      <x:c r="M475" s="7" t="n">
        <x:f>IF('01_Ustawienia'!$B$4="ZWOLNIONY",0,'01_Ustawienia'!$B$7)</x:f>
        <x:v>0.08</x:v>
      </x:c>
      <x:c r="N475" s="8" t="n">
        <x:f>IF(J475="","",ROUND((J475+K475)*(1+M475),0))</x:f>
        <x:v>2443</x:v>
      </x:c>
      <x:c r="O475" s="8" t="n">
        <x:f>IF(J475="","",J475+K475-H475-L475)</x:f>
        <x:v>702</x:v>
      </x:c>
      <x:c r="P475" s="7" t="n">
        <x:f>IFERROR(O475/(J475+K475),"")</x:f>
        <x:v>0.3103448275862069</x:v>
      </x:c>
      <x:c r="Q475" s="6" t="inlineStr">
        <x:is>
          <x:t xml:space="preserve">RAW_ZP T/U</x:t>
        </x:is>
      </x:c>
      <x:c r="R475" s="6" t="inlineStr">
        <x:is>
          <x:t xml:space="preserve">OŚWIETLENIE</x:t>
        </x:is>
      </x:c>
      <x:c r="S475" s="6" t="inlineStr">
        <x:is>
          <x:t xml:space="preserve">website+crm</x:t>
        </x:is>
      </x:c>
      <x:c r="T475" s="6" t="inlineStr">
        <x:is>
          <x:t xml:space="preserve">Opcja dodatkowa | FIX17: opcja LED dostępna dla strony; ceny 450-600 wg modelu FIX15.</x:t>
        </x:is>
      </x:c>
    </x:row>
    <x:row r="476">
      <x:c r="A476" s="6" t="inlineStr">
        <x:is>
          <x:t xml:space="preserve">400 x 706 cm</x:t>
        </x:is>
      </x:c>
      <x:c r="B476" s="6" t="inlineStr">
        <x:is>
          <x:t xml:space="preserve">LEDRGBCCT</x:t>
        </x:is>
      </x:c>
      <x:c r="C476" s="6" t="inlineStr">
        <x:is>
          <x:t xml:space="preserve">Oświetlenie LED RGB CCT</x:t>
        </x:is>
      </x:c>
      <x:c r="D476" s="6" t="inlineStr">
        <x:is>
          <x:t xml:space="preserve">OŚWIETLENIE</x:t>
        </x:is>
      </x:c>
      <x:c r="E476" s="8" t="n">
        <x:f>IFERROR(INDEX('02_RAW_INDEX'!$T:$T,MATCH($A476,'02_RAW_INDEX'!$A:$A,0)),"")</x:f>
        <x:v>2270</x:v>
      </x:c>
      <x:c r="F476" s="8" t="n">
        <x:f>IFERROR(INDEX('02_RAW_INDEX'!$S:$S,MATCH($A476,'02_RAW_INDEX'!$A:$A,0)),"")</x:f>
        <x:v>2792</x:v>
      </x:c>
      <x:c r="G476" s="7" t="n">
        <x:f>'01_Ustawienia'!$B$6</x:f>
        <x:v>0</x:v>
      </x:c>
      <x:c r="H476" s="8" t="n">
        <x:f>IF(E476="","",ROUND(IF('01_Ustawienia'!$B$5="BRUTTO",F476,E476)*(1-G476),0))</x:f>
        <x:v>2270</x:v>
      </x:c>
      <x:c r="I476" s="7" t="n">
        <x:f>IFERROR(IFERROR(INDEX('01_Ustawienia'!$B$15:$B$33,MATCH(B476,'01_Ustawienia'!$A$15:$A$33,0)),0.45),0.45)</x:f>
        <x:v>0.45</x:v>
      </x:c>
      <x:c r="J476" s="8" t="n">
        <x:f>IF(H476="","",ROUND(H476*(1+I476),0))</x:f>
        <x:v>3292</x:v>
      </x:c>
      <x:c r="K476" s="8" t="n">
        <x:f>0</x:f>
        <x:v>0</x:v>
      </x:c>
      <x:c r="L476" s="8" t="n">
        <x:f>0</x:f>
        <x:v>0</x:v>
      </x:c>
      <x:c r="M476" s="7" t="n">
        <x:f>IF('01_Ustawienia'!$B$4="ZWOLNIONY",0,'01_Ustawienia'!$B$7)</x:f>
        <x:v>0.08</x:v>
      </x:c>
      <x:c r="N476" s="8" t="n">
        <x:f>IF(J476="","",ROUND((J476+K476)*(1+M476),0))</x:f>
        <x:v>3555</x:v>
      </x:c>
      <x:c r="O476" s="8" t="n">
        <x:f>IF(J476="","",J476+K476-H476-L476)</x:f>
        <x:v>1022</x:v>
      </x:c>
      <x:c r="P476" s="7" t="n">
        <x:f>IFERROR(O476/(J476+K476),"")</x:f>
        <x:v>0.31044957472660994</x:v>
      </x:c>
      <x:c r="Q476" s="6" t="inlineStr">
        <x:is>
          <x:t xml:space="preserve">RAW_ZP V/W</x:t>
        </x:is>
      </x:c>
      <x:c r="R476" s="6" t="inlineStr">
        <x:is>
          <x:t xml:space="preserve">OŚWIETLENIE</x:t>
        </x:is>
      </x:c>
      <x:c r="S476" s="6" t="inlineStr">
        <x:is>
          <x:t xml:space="preserve">crm_only</x:t>
        </x:is>
      </x:c>
      <x:c r="T476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477" s="655" customFormat="1" ht="30" customHeight="1">
      <x:c r="A477" s="6" t="inlineStr">
        <x:is>
          <x:t xml:space="preserve">400 x 806 cm</x:t>
        </x:is>
      </x:c>
      <x:c r="B477" s="6" t="inlineStr">
        <x:is>
          <x:t xml:space="preserve">ZP</x:t>
        </x:is>
      </x:c>
      <x:c r="C477" s="6" t="inlineStr">
        <x:is>
          <x:t xml:space="preserve">Zadaszenie poliwęglan - baza</x:t>
        </x:is>
      </x:c>
      <x:c r="D477" s="6" t="inlineStr">
        <x:is>
          <x:t xml:space="preserve">ZADASZENIE POLIWĘGLAN</x:t>
        </x:is>
      </x:c>
      <x:c r="E477" s="8" t="n">
        <x:f>IFERROR(INDEX('02_RAW_INDEX'!$D:$D,MATCH($A477,'02_RAW_INDEX'!$A:$A,0)),"")</x:f>
        <x:v>9959</x:v>
      </x:c>
      <x:c r="F477" s="8" t="n">
        <x:f>IFERROR(INDEX('02_RAW_INDEX'!$C:$C,MATCH($A477,'02_RAW_INDEX'!$A:$A,0)),"")</x:f>
        <x:v>12250</x:v>
      </x:c>
      <x:c r="G477" s="7" t="n">
        <x:f>'01_Ustawienia'!$B$6</x:f>
        <x:v>0</x:v>
      </x:c>
      <x:c r="H477" s="8" t="n">
        <x:f>IF(E477="","",ROUND(IF('01_Ustawienia'!$B$5="BRUTTO",F477,E477)*(1-G477),0))</x:f>
        <x:v>9959</x:v>
      </x:c>
      <x:c r="I477" s="7" t="n">
        <x:f>IFERROR(IFERROR(INDEX('01_Ustawienia'!$B$15:$B$33,MATCH(B477,'01_Ustawienia'!$A$15:$A$33,0)),0.45),0.45)</x:f>
        <x:v>0.45</x:v>
      </x:c>
      <x:c r="J477" s="8" t="n">
        <x:f>IF(H477="","",ROUND(H477*(1+I477),0))</x:f>
        <x:v>14441</x:v>
      </x:c>
      <x:c r="K477" s="8" t="n">
        <x:f>IFERROR(IFERROR(INDEX(EG_Cennik_uslug!$F:$F,MATCH($A477,EG_Cennik_uslug!$A:$A,0)),0),0)</x:f>
        <x:v>4180</x:v>
      </x:c>
      <x:c r="L477" s="8" t="n">
        <x:f>IFERROR(IFERROR(INDEX(EG_Cennik_uslug!$G:$G,MATCH($A477,EG_Cennik_uslug!$A:$A,0)),0),0)</x:f>
        <x:v>1490</x:v>
      </x:c>
      <x:c r="M477" s="7" t="n">
        <x:f>IF('01_Ustawienia'!$B$4="ZWOLNIONY",0,'01_Ustawienia'!$B$7)</x:f>
        <x:v>0.08</x:v>
      </x:c>
      <x:c r="N477" s="8" t="n">
        <x:f>IF(J477="","",ROUND((J477+K477)*(1+M477),0))</x:f>
        <x:v>20111</x:v>
      </x:c>
      <x:c r="O477" s="8" t="n">
        <x:f>IF(J477="","",J477+K477-H477-L477)</x:f>
        <x:v>7172</x:v>
      </x:c>
      <x:c r="P477" s="7" t="n">
        <x:f>IFERROR(O477/(J477+K477),"")</x:f>
        <x:v>0.38515654368723484</x:v>
      </x:c>
      <x:c r="Q477" s="6" t="inlineStr">
        <x:is>
          <x:t xml:space="preserve">RAW_ZP B/C</x:t>
        </x:is>
      </x:c>
      <x:c r="R477" s="6" t="inlineStr">
        <x:is>
          <x:t xml:space="preserve">ZADASZENIE TARASU KONSTRUKCJA</x:t>
        </x:is>
      </x:c>
      <x:c r="S477" s="6" t="inlineStr">
        <x:is>
          <x:t xml:space="preserve">website+crm</x:t>
        </x:is>
      </x:c>
      <x:c r="T477" s="6" t="inlineStr">
        <x:is>
          <x:t xml:space="preserve">Baza dla kalkulatora</x:t>
        </x:is>
      </x:c>
    </x:row>
    <x:row r="478" s="655" customFormat="1" ht="30" customHeight="1">
      <x:c r="A478" s="6" t="inlineStr">
        <x:is>
          <x:t xml:space="preserve">400 x 806 cm</x:t>
        </x:is>
      </x:c>
      <x:c r="B478" s="6" t="inlineStr">
        <x:is>
          <x:t xml:space="preserve">ZS</x:t>
        </x:is>
      </x:c>
      <x:c r="C478" s="6" t="inlineStr">
        <x:is>
          <x:t xml:space="preserve">Zadaszenie szkło - pełna konstrukcja</x:t>
        </x:is>
      </x:c>
      <x:c r="D478" s="6" t="inlineStr">
        <x:is>
          <x:t xml:space="preserve">ZADASZENIE SZKŁO</x:t>
        </x:is>
      </x:c>
      <x:c r="E478" s="8" t="n">
        <x:f>IFERROR(INDEX('02_RAW_INDEX'!$V:$V,MATCH($A478,'02_RAW_INDEX'!$A:$A,0)),"")</x:f>
        <x:v>16642</x:v>
      </x:c>
      <x:c r="F478" s="8" t="n">
        <x:f>IFERROR(INDEX('02_RAW_INDEX'!$U:$U,MATCH($A478,'02_RAW_INDEX'!$A:$A,0)),"")</x:f>
        <x:v>20470</x:v>
      </x:c>
      <x:c r="G478" s="7" t="n">
        <x:f>'01_Ustawienia'!$B$6</x:f>
        <x:v>0</x:v>
      </x:c>
      <x:c r="H478" s="8" t="n">
        <x:f>IF(E478="","",ROUND(IF('01_Ustawienia'!$B$5="BRUTTO",F478,E478)*(1-G478),0))</x:f>
        <x:v>16642</x:v>
      </x:c>
      <x:c r="I478" s="7" t="n">
        <x:f>IFERROR(IFERROR(INDEX('01_Ustawienia'!$B$15:$B$33,MATCH(B478,'01_Ustawienia'!$A$15:$A$33,0)),0.45),0.45)</x:f>
        <x:v>0.45</x:v>
      </x:c>
      <x:c r="J478" s="8" t="n">
        <x:f>IF(H478="","",ROUND(H478*(1+I478),0))</x:f>
        <x:v>24131</x:v>
      </x:c>
      <x:c r="K478" s="8" t="n">
        <x:f>IFERROR(IFERROR(INDEX(EG_Cennik_uslug!$F:$F,MATCH($A478,EG_Cennik_uslug!$A:$A,0)),0),0)</x:f>
        <x:v>4180</x:v>
      </x:c>
      <x:c r="L478" s="8" t="n">
        <x:f>IFERROR(IFERROR(INDEX(EG_Cennik_uslug!$G:$G,MATCH($A478,EG_Cennik_uslug!$A:$A,0)),0),0)</x:f>
        <x:v>1490</x:v>
      </x:c>
      <x:c r="M478" s="7" t="n">
        <x:f>IF('01_Ustawienia'!$B$4="ZWOLNIONY",0,'01_Ustawienia'!$B$7)</x:f>
        <x:v>0.08</x:v>
      </x:c>
      <x:c r="N478" s="8" t="n">
        <x:f>IF(J478="","",ROUND((J478+K478)*(1+M478),0))</x:f>
        <x:v>30576</x:v>
      </x:c>
      <x:c r="O478" s="8" t="n">
        <x:f>IF(J478="","",J478+K478-H478-L478)</x:f>
        <x:v>10179</x:v>
      </x:c>
      <x:c r="P478" s="7" t="n">
        <x:f>IFERROR(O478/(J478+K478),"")</x:f>
        <x:v>0.3595422274027763</x:v>
      </x:c>
      <x:c r="Q478" s="6" t="inlineStr">
        <x:is>
          <x:t xml:space="preserve">RAW_ZS B/C</x:t>
        </x:is>
      </x:c>
      <x:c r="R478" s="6" t="inlineStr">
        <x:is>
          <x:t xml:space="preserve">ZADASZENIE TARASU KONSTRUKCJA</x:t>
        </x:is>
      </x:c>
      <x:c r="S478" s="6" t="inlineStr">
        <x:is>
          <x:t xml:space="preserve">crm_only</x:t>
        </x:is>
      </x:c>
      <x:c r="T478" s="6" t="inlineStr">
        <x:is>
          <x:t xml:space="preserve">Referencyjne/full; strona zwykle używa ZP + PDS</x:t>
        </x:is>
      </x:c>
    </x:row>
    <x:row r="479" s="655" customFormat="1" ht="30" customHeight="1">
      <x:c r="A479" s="6" t="inlineStr">
        <x:is>
          <x:t xml:space="preserve">400 x 806 cm</x:t>
        </x:is>
      </x:c>
      <x:c r="B479" s="6" t="inlineStr">
        <x:is>
          <x:t xml:space="preserve">OP</x:t>
        </x:is>
      </x:c>
      <x:c r="C479" s="6" t="inlineStr">
        <x:is>
          <x:t xml:space="preserve">Ogród zimowy poliwęglan - baza</x:t>
        </x:is>
      </x:c>
      <x:c r="D479" s="6" t="inlineStr">
        <x:is>
          <x:t xml:space="preserve">OGRODY POLIWĘGLAN</x:t>
        </x:is>
      </x:c>
      <x:c r="E479" s="8" t="n">
        <x:f>IFERROR(INDEX('02_RAW_INDEX'!$Z:$Z,MATCH($A479,'02_RAW_INDEX'!$A:$A,0)),"")</x:f>
        <x:v>23610</x:v>
      </x:c>
      <x:c r="F479" s="8" t="n">
        <x:f>IFERROR(INDEX('02_RAW_INDEX'!$Y:$Y,MATCH($A479,'02_RAW_INDEX'!$A:$A,0)),"")</x:f>
        <x:v>29040</x:v>
      </x:c>
      <x:c r="G479" s="7" t="n">
        <x:f>'01_Ustawienia'!$B$6</x:f>
        <x:v>0</x:v>
      </x:c>
      <x:c r="H479" s="8" t="n">
        <x:f>IF(E479="","",ROUND(IF('01_Ustawienia'!$B$5="BRUTTO",F479,E479)*(1-G479),0))</x:f>
        <x:v>23610</x:v>
      </x:c>
      <x:c r="I479" s="7" t="n">
        <x:f>IFERROR(IFERROR(INDEX('01_Ustawienia'!$B$15:$B$33,MATCH(B479,'01_Ustawienia'!$A$15:$A$33,0)),0.45),0.45)</x:f>
        <x:v>0.45</x:v>
      </x:c>
      <x:c r="J479" s="8" t="n">
        <x:f>IF(H479="","",ROUND(H479*(1+I479),0))</x:f>
        <x:v>34235</x:v>
      </x:c>
      <x:c r="K479" s="8" t="n">
        <x:f>IFERROR(IFERROR(INDEX(EG_Cennik_uslug!$N:$N,MATCH($A479,EG_Cennik_uslug!$A:$A,0)),0),0)</x:f>
        <x:v>5640</x:v>
      </x:c>
      <x:c r="L479" s="8" t="n">
        <x:f>IFERROR(IFERROR(INDEX(EG_Cennik_uslug!$O:$O,MATCH($A479,EG_Cennik_uslug!$A:$A,0)),0),0)</x:f>
        <x:v>2090</x:v>
      </x:c>
      <x:c r="M479" s="7" t="n">
        <x:f>IF('01_Ustawienia'!$B$4="ZWOLNIONY",0,'01_Ustawienia'!$B$7)</x:f>
        <x:v>0.08</x:v>
      </x:c>
      <x:c r="N479" s="8" t="n">
        <x:f>IF(J479="","",ROUND((J479+K479)*(1+M479),0))</x:f>
        <x:v>43065</x:v>
      </x:c>
      <x:c r="O479" s="8" t="n">
        <x:f>IF(J479="","",J479+K479-H479-L479)</x:f>
        <x:v>14175</x:v>
      </x:c>
      <x:c r="P479" s="7" t="n">
        <x:f>IFERROR(O479/(J479+K479),"")</x:f>
        <x:v>0.3554858934169279</x:v>
      </x:c>
      <x:c r="Q479" s="6" t="inlineStr">
        <x:is>
          <x:t xml:space="preserve">RAW_OP B/C</x:t>
        </x:is>
      </x:c>
      <x:c r="R479" s="6" t="inlineStr">
        <x:is>
          <x:t xml:space="preserve">OGRÓD ZIMOWY (KONSTRUKCJA)</x:t>
        </x:is>
      </x:c>
      <x:c r="S479" s="6" t="inlineStr">
        <x:is>
          <x:t xml:space="preserve">website+crm</x:t>
        </x:is>
      </x:c>
      <x:c r="T479" s="6" t="inlineStr">
        <x:is>
          <x:t xml:space="preserve">Do wyliczenia dopłaty za ściany</x:t>
        </x:is>
      </x:c>
    </x:row>
    <x:row r="480" s="655" customFormat="1" ht="30" customHeight="1">
      <x:c r="A480" s="6" t="inlineStr">
        <x:is>
          <x:t xml:space="preserve">400 x 806 cm</x:t>
        </x:is>
      </x:c>
      <x:c r="B480" s="6" t="inlineStr">
        <x:is>
          <x:t xml:space="preserve">OS</x:t>
        </x:is>
      </x:c>
      <x:c r="C480" s="6" t="inlineStr">
        <x:is>
          <x:t xml:space="preserve">Ogród zimowy szkło - pełna konstrukcja</x:t>
        </x:is>
      </x:c>
      <x:c r="D480" s="6" t="inlineStr">
        <x:is>
          <x:t xml:space="preserve">OGRODY SZKŁO</x:t>
        </x:is>
      </x:c>
      <x:c r="E480" s="8" t="n">
        <x:f>IFERROR(INDEX('02_RAW_INDEX'!$AL:$AL,MATCH($A480,'02_RAW_INDEX'!$A:$A,0)),"")</x:f>
        <x:v>30293</x:v>
      </x:c>
      <x:c r="F480" s="8" t="n">
        <x:f>IFERROR(INDEX('02_RAW_INDEX'!$AK:$AK,MATCH($A480,'02_RAW_INDEX'!$A:$A,0)),"")</x:f>
        <x:v>37260</x:v>
      </x:c>
      <x:c r="G480" s="7" t="n">
        <x:f>'01_Ustawienia'!$B$6</x:f>
        <x:v>0</x:v>
      </x:c>
      <x:c r="H480" s="8" t="n">
        <x:f>IF(E480="","",ROUND(IF('01_Ustawienia'!$B$5="BRUTTO",F480,E480)*(1-G480),0))</x:f>
        <x:v>30293</x:v>
      </x:c>
      <x:c r="I480" s="7" t="n">
        <x:f>IFERROR(IFERROR(INDEX('01_Ustawienia'!$B$15:$B$33,MATCH(B480,'01_Ustawienia'!$A$15:$A$33,0)),0.45),0.45)</x:f>
        <x:v>0.45</x:v>
      </x:c>
      <x:c r="J480" s="8" t="n">
        <x:f>IF(H480="","",ROUND(H480*(1+I480),0))</x:f>
        <x:v>43925</x:v>
      </x:c>
      <x:c r="K480" s="8" t="n">
        <x:f>IFERROR(IFERROR(INDEX(EG_Cennik_uslug!$N:$N,MATCH($A480,EG_Cennik_uslug!$A:$A,0)),0),0)</x:f>
        <x:v>5640</x:v>
      </x:c>
      <x:c r="L480" s="8" t="n">
        <x:f>IFERROR(IFERROR(INDEX(EG_Cennik_uslug!$O:$O,MATCH($A480,EG_Cennik_uslug!$A:$A,0)),0),0)</x:f>
        <x:v>2090</x:v>
      </x:c>
      <x:c r="M480" s="7" t="n">
        <x:f>IF('01_Ustawienia'!$B$4="ZWOLNIONY",0,'01_Ustawienia'!$B$7)</x:f>
        <x:v>0.08</x:v>
      </x:c>
      <x:c r="N480" s="8" t="n">
        <x:f>IF(J480="","",ROUND((J480+K480)*(1+M480),0))</x:f>
        <x:v>53530</x:v>
      </x:c>
      <x:c r="O480" s="8" t="n">
        <x:f>IF(J480="","",J480+K480-H480-L480)</x:f>
        <x:v>17182</x:v>
      </x:c>
      <x:c r="P480" s="7" t="n">
        <x:f>IFERROR(O480/(J480+K480),"")</x:f>
        <x:v>0.3466559063855543</x:v>
      </x:c>
      <x:c r="Q480" s="6" t="inlineStr">
        <x:is>
          <x:t xml:space="preserve">RAW_OS B/C</x:t>
        </x:is>
      </x:c>
      <x:c r="R480" s="6" t="inlineStr">
        <x:is>
          <x:t xml:space="preserve">OGRÓD ZIMOWY (KONSTRUKCJA)</x:t>
        </x:is>
      </x:c>
      <x:c r="S480" s="6" t="inlineStr">
        <x:is>
          <x:t xml:space="preserve">crm_only</x:t>
        </x:is>
      </x:c>
      <x:c r="T480" s="6" t="inlineStr">
        <x:is>
          <x:t xml:space="preserve">Referencyjne/full</x:t>
        </x:is>
      </x:c>
    </x:row>
    <x:row r="481" s="655" customFormat="1" ht="30" customHeight="1">
      <x:c r="A481" s="6" t="inlineStr">
        <x:is>
          <x:t xml:space="preserve">400 x 806 cm</x:t>
        </x:is>
      </x:c>
      <x:c r="B481" s="6" t="inlineStr">
        <x:is>
          <x:t xml:space="preserve">PDS</x:t>
        </x:is>
      </x:c>
      <x:c r="C481" s="6" t="inlineStr">
        <x:is>
          <x:t xml:space="preserve">Dopłata dach szkło przezroczyste</x:t>
        </x:is>
      </x:c>
      <x:c r="D481" s="6" t="inlineStr">
        <x:is>
          <x:t xml:space="preserve">POKRYCIE DACHU SZKŁO</x:t>
        </x:is>
      </x:c>
      <x:c r="E481" s="8" t="n">
        <x:f>IFERROR(IFERROR(INDEX('02_RAW_INDEX'!$V:$V,MATCH($A481,'02_RAW_INDEX'!$A:$A,0)),"")-IFERROR(INDEX('02_RAW_INDEX'!$D:$D,MATCH($A481,'02_RAW_INDEX'!$A:$A,0)),""),"")</x:f>
        <x:v>6683</x:v>
      </x:c>
      <x:c r="F481" s="8" t="n">
        <x:f>IFERROR(IFERROR(INDEX('02_RAW_INDEX'!$U:$U,MATCH($A481,'02_RAW_INDEX'!$A:$A,0)),"")-IFERROR(INDEX('02_RAW_INDEX'!$C:$C,MATCH($A481,'02_RAW_INDEX'!$A:$A,0)),""),"")</x:f>
        <x:v>8220</x:v>
      </x:c>
      <x:c r="G481" s="7" t="n">
        <x:f>'01_Ustawienia'!$B$6</x:f>
        <x:v>0</x:v>
      </x:c>
      <x:c r="H481" s="8" t="n">
        <x:f>IF(E481="","",ROUND(IF('01_Ustawienia'!$B$5="BRUTTO",F481,E481)*(1-G481),0))</x:f>
        <x:v>6683</x:v>
      </x:c>
      <x:c r="I481" s="7" t="n">
        <x:f>IFERROR(IFERROR(INDEX('01_Ustawienia'!$B$15:$B$33,MATCH(B481,'01_Ustawienia'!$A$15:$A$33,0)),0.45),0.45)</x:f>
        <x:v>0.45</x:v>
      </x:c>
      <x:c r="J481" s="8" t="n">
        <x:f>IF(H481="","",ROUND(H481*(1+I481),0))</x:f>
        <x:v>9690</x:v>
      </x:c>
      <x:c r="K481" s="8" t="n">
        <x:f>0</x:f>
        <x:v>0</x:v>
      </x:c>
      <x:c r="L481" s="8" t="n">
        <x:v>0</x:v>
      </x:c>
      <x:c r="M481" s="7" t="n">
        <x:f>IF('01_Ustawienia'!$B$4="ZWOLNIONY",0,'01_Ustawienia'!$B$7)</x:f>
        <x:v>0.08</x:v>
      </x:c>
      <x:c r="N481" s="8" t="n">
        <x:f>IF(J481="","",ROUND((J481+K481)*(1+M481),0))</x:f>
        <x:v>10465</x:v>
      </x:c>
      <x:c r="O481" s="8" t="n">
        <x:f>IF(J481="","",J481+K481-H481-L481)</x:f>
        <x:v>3007</x:v>
      </x:c>
      <x:c r="P481" s="7" t="n">
        <x:f>IFERROR(O481/(J481+K481),"")</x:f>
        <x:v>0.31031991744066045</x:v>
      </x:c>
      <x:c r="Q481" s="6" t="inlineStr">
        <x:is>
          <x:t xml:space="preserve">RAW_ZS - RAW_ZP</x:t>
        </x:is>
      </x:c>
      <x:c r="R481" s="6" t="inlineStr">
        <x:is>
          <x:t xml:space="preserve">POKRYCIE DACHU</x:t>
        </x:is>
      </x:c>
      <x:c r="S481" s="6" t="inlineStr">
        <x:is>
          <x:t xml:space="preserve">website+crm</x:t>
        </x:is>
      </x:c>
      <x:c r="T481" s="6" t="inlineStr">
        <x:is>
          <x:t xml:space="preserve">Dopłata do bazowego dachu poliwęglan | FIX17: Wynagr.+koszty = 0 dla dopłaty; nie jest osobnym montażem ekipy.</x:t>
        </x:is>
      </x:c>
    </x:row>
    <x:row r="482" s="655" customFormat="1" ht="30" customHeight="1">
      <x:c r="A482" s="6" t="inlineStr">
        <x:is>
          <x:t xml:space="preserve">400 x 806 cm</x:t>
        </x:is>
      </x:c>
      <x:c r="B482" s="6" t="inlineStr">
        <x:is>
          <x:t xml:space="preserve">PDSB</x:t>
        </x:is>
      </x:c>
      <x:c r="C482" s="6" t="inlineStr">
        <x:is>
          <x:t xml:space="preserve">Dopłata dach szkło barwione/mleczne</x:t>
        </x:is>
      </x:c>
      <x:c r="D482" s="6" t="inlineStr">
        <x:is>
          <x:t xml:space="preserve">POKRYCIE DACHU SZKŁO BARWIONE</x:t>
        </x:is>
      </x:c>
      <x:c r="E482" s="8" t="n">
        <x:f>IFERROR(INDEX('02_RAW_INDEX'!$X:$X,MATCH($A482,'02_RAW_INDEX'!$A:$A,0)),"")</x:f>
        <x:v>756</x:v>
      </x:c>
      <x:c r="F482" s="8" t="n">
        <x:f>IFERROR(INDEX('02_RAW_INDEX'!$W:$W,MATCH($A482,'02_RAW_INDEX'!$A:$A,0)),"")</x:f>
        <x:v>930</x:v>
      </x:c>
      <x:c r="G482" s="7" t="n">
        <x:f>'01_Ustawienia'!$B$6</x:f>
        <x:v>0</x:v>
      </x:c>
      <x:c r="H482" s="8" t="n">
        <x:f>IF(E482="","",ROUND(IF('01_Ustawienia'!$B$5="BRUTTO",F482,E482)*(1-G482),0))</x:f>
        <x:v>756</x:v>
      </x:c>
      <x:c r="I482" s="7" t="n">
        <x:f>IFERROR(IFERROR(INDEX('01_Ustawienia'!$B$15:$B$33,MATCH(B482,'01_Ustawienia'!$A$15:$A$33,0)),0.45),0.45)</x:f>
        <x:v>0.45</x:v>
      </x:c>
      <x:c r="J482" s="8" t="n">
        <x:f>IF(H482="","",ROUND(H482*(1+I482),0))</x:f>
        <x:v>1096</x:v>
      </x:c>
      <x:c r="K482" s="8" t="n">
        <x:f>0</x:f>
        <x:v>0</x:v>
      </x:c>
      <x:c r="L482" s="8" t="n">
        <x:v>0</x:v>
      </x:c>
      <x:c r="M482" s="7" t="n">
        <x:f>IF('01_Ustawienia'!$B$4="ZWOLNIONY",0,'01_Ustawienia'!$B$7)</x:f>
        <x:v>0.08</x:v>
      </x:c>
      <x:c r="N482" s="8" t="n">
        <x:f>IF(J482="","",ROUND((J482+K482)*(1+M482),0))</x:f>
        <x:v>1184</x:v>
      </x:c>
      <x:c r="O482" s="8" t="n">
        <x:f>IF(J482="","",J482+K482-H482-L482)</x:f>
        <x:v>340</x:v>
      </x:c>
      <x:c r="P482" s="7" t="n">
        <x:f>IFERROR(O482/(J482+K482),"")</x:f>
        <x:v>0.3102189781021898</x:v>
      </x:c>
      <x:c r="Q482" s="6" t="inlineStr">
        <x:is>
          <x:t xml:space="preserve">RAW_ZS D/E</x:t>
        </x:is>
      </x:c>
      <x:c r="R482" s="6" t="inlineStr">
        <x:is>
          <x:t xml:space="preserve">POKRYCIE DACHU</x:t>
        </x:is>
      </x:c>
      <x:c r="S482" s="6" t="inlineStr">
        <x:is>
          <x:t xml:space="preserve">website+crm</x:t>
        </x:is>
      </x:c>
      <x:c r="T482" s="6" t="inlineStr">
        <x:is>
          <x:t xml:space="preserve">Dodawane do PDS | FIX17: Wynagr.+koszty = 0 dla dopłaty; nie jest osobnym montażem ekipy.</x:t>
        </x:is>
      </x:c>
    </x:row>
    <x:row r="483" s="655" customFormat="1" ht="30" customHeight="1">
      <x:c r="A483" s="6" t="inlineStr">
        <x:is>
          <x:t xml:space="preserve">400 x 806 cm</x:t>
        </x:is>
      </x:c>
      <x:c r="B483" s="6" t="inlineStr">
        <x:is>
          <x:t xml:space="preserve">PDPB</x:t>
        </x:is>
      </x:c>
      <x:c r="C483" s="6" t="inlineStr">
        <x:is>
          <x:t xml:space="preserve">Dopłata poliwęglan barwiony</x:t>
        </x:is>
      </x:c>
      <x:c r="D483" s="6" t="inlineStr">
        <x:is>
          <x:t xml:space="preserve">POKRYCIE DACHU POLIWĘGLAN BARWIONY</x:t>
        </x:is>
      </x:c>
      <x:c r="E483" s="8" t="n">
        <x:f>IFERROR(INDEX('02_RAW_INDEX'!$F:$F,MATCH($A483,'02_RAW_INDEX'!$A:$A,0)),"")</x:f>
        <x:v>520</x:v>
      </x:c>
      <x:c r="F483" s="8" t="n">
        <x:f>IFERROR(INDEX('02_RAW_INDEX'!$E:$E,MATCH($A483,'02_RAW_INDEX'!$A:$A,0)),"")</x:f>
        <x:v>640</x:v>
      </x:c>
      <x:c r="G483" s="7" t="n">
        <x:f>'01_Ustawienia'!$B$6</x:f>
        <x:v>0</x:v>
      </x:c>
      <x:c r="H483" s="8" t="n">
        <x:f>IF(E483="","",ROUND(IF('01_Ustawienia'!$B$5="BRUTTO",F483,E483)*(1-G483),0))</x:f>
        <x:v>520</x:v>
      </x:c>
      <x:c r="I483" s="7" t="n">
        <x:f>IFERROR(IFERROR(INDEX('01_Ustawienia'!$B$15:$B$33,MATCH(B483,'01_Ustawienia'!$A$15:$A$33,0)),0.45),0.45)</x:f>
        <x:v>0.45</x:v>
      </x:c>
      <x:c r="J483" s="8" t="n">
        <x:f>IF(H483="","",ROUND(H483*(1+I483),0))</x:f>
        <x:v>754</x:v>
      </x:c>
      <x:c r="K483" s="8" t="n">
        <x:f>0</x:f>
        <x:v>0</x:v>
      </x:c>
      <x:c r="L483" s="8" t="n">
        <x:v>0</x:v>
      </x:c>
      <x:c r="M483" s="7" t="n">
        <x:f>IF('01_Ustawienia'!$B$4="ZWOLNIONY",0,'01_Ustawienia'!$B$7)</x:f>
        <x:v>0.08</x:v>
      </x:c>
      <x:c r="N483" s="8" t="n">
        <x:f>IF(J483="","",ROUND((J483+K483)*(1+M483),0))</x:f>
        <x:v>814</x:v>
      </x:c>
      <x:c r="O483" s="8" t="n">
        <x:f>IF(J483="","",J483+K483-H483-L483)</x:f>
        <x:v>234</x:v>
      </x:c>
      <x:c r="P483" s="7" t="n">
        <x:f>IFERROR(O483/(J483+K483),"")</x:f>
        <x:v>0.3103448275862069</x:v>
      </x:c>
      <x:c r="Q483" s="6" t="inlineStr">
        <x:is>
          <x:t xml:space="preserve">RAW_ZP D/E</x:t>
        </x:is>
      </x:c>
      <x:c r="R483" s="6" t="inlineStr">
        <x:is>
          <x:t xml:space="preserve">POKRYCIE DACHU</x:t>
        </x:is>
      </x:c>
      <x:c r="S483" s="6" t="inlineStr">
        <x:is>
          <x:t xml:space="preserve">website+crm</x:t>
        </x:is>
      </x:c>
      <x:c r="T483" s="6" t="inlineStr">
        <x:is>
          <x:t xml:space="preserve">FIX17: Wynagr.+koszty = 0 dla dopłaty; nie jest osobnym montażem ekipy.</x:t>
        </x:is>
      </x:c>
    </x:row>
    <x:row r="484" s="655" customFormat="1" ht="30" customHeight="1">
      <x:c r="A484" s="6" t="inlineStr">
        <x:is>
          <x:t xml:space="preserve">400 x 806 cm</x:t>
        </x:is>
      </x:c>
      <x:c r="B484" s="6" t="inlineStr">
        <x:is>
          <x:t xml:space="preserve">SBB</x:t>
        </x:is>
      </x:c>
      <x:c r="C484" s="6" t="inlineStr">
        <x:is>
          <x:t xml:space="preserve">Dopłata szkło boczne przyciemniane</x:t>
        </x:is>
      </x:c>
      <x:c r="D484" s="6" t="inlineStr">
        <x:is>
          <x:t xml:space="preserve">SZKŁO BOCZNE BARWIONE</x:t>
        </x:is>
      </x:c>
      <x:c r="E484" s="8" t="n">
        <x:f>IFERROR(INDEX('02_RAW_INDEX'!$AB:$AB,MATCH($A484,'02_RAW_INDEX'!$A:$A,0)),"")</x:f>
        <x:v>1678</x:v>
      </x:c>
      <x:c r="F484" s="8" t="n">
        <x:f>IFERROR(INDEX('02_RAW_INDEX'!$AA:$AA,MATCH($A484,'02_RAW_INDEX'!$A:$A,0)),"")</x:f>
        <x:v>2064</x:v>
      </x:c>
      <x:c r="G484" s="7" t="n">
        <x:f>'01_Ustawienia'!$B$6</x:f>
        <x:v>0</x:v>
      </x:c>
      <x:c r="H484" s="8" t="n">
        <x:f>IF(E484="","",ROUND(IF('01_Ustawienia'!$B$5="BRUTTO",F484,E484)*(1-G484),0))</x:f>
        <x:v>1678</x:v>
      </x:c>
      <x:c r="I484" s="7" t="n">
        <x:f>IFERROR(IFERROR(INDEX('01_Ustawienia'!$B$15:$B$33,MATCH(B484,'01_Ustawienia'!$A$15:$A$33,0)),0.45),0.45)</x:f>
        <x:v>0.45</x:v>
      </x:c>
      <x:c r="J484" s="8" t="n">
        <x:f>IF(H484="","",ROUND(H484*(1+I484),0))</x:f>
        <x:v>2433</x:v>
      </x:c>
      <x:c r="K484" s="8" t="n">
        <x:f>0</x:f>
        <x:v>0</x:v>
      </x:c>
      <x:c r="L484" s="8" t="n">
        <x:v>0</x:v>
      </x:c>
      <x:c r="M484" s="7" t="n">
        <x:f>IF('01_Ustawienia'!$B$4="ZWOLNIONY",0,'01_Ustawienia'!$B$7)</x:f>
        <x:v>0.08</x:v>
      </x:c>
      <x:c r="N484" s="8" t="n">
        <x:f>IF(J484="","",ROUND((J484+K484)*(1+M484),0))</x:f>
        <x:v>2628</x:v>
      </x:c>
      <x:c r="O484" s="8" t="n">
        <x:f>IF(J484="","",J484+K484-H484-L484)</x:f>
        <x:v>755</x:v>
      </x:c>
      <x:c r="P484" s="7" t="n">
        <x:f>IFERROR(O484/(J484+K484),"")</x:f>
        <x:v>0.3103164817098233</x:v>
      </x:c>
      <x:c r="Q484" s="6" t="inlineStr">
        <x:is>
          <x:t xml:space="preserve">RAW_OP H/I</x:t>
        </x:is>
      </x:c>
      <x:c r="R484" s="6" t="inlineStr">
        <x:is>
          <x:t xml:space="preserve">SZYBY BOCZNE</x:t>
        </x:is>
      </x:c>
      <x:c r="S484" s="6" t="inlineStr">
        <x:is>
          <x:t xml:space="preserve">website+crm</x:t>
        </x:is>
      </x:c>
      <x:c r="T484" s="6" t="inlineStr">
        <x:is>
          <x:t xml:space="preserve">Dodawane do ścian przezroczystych | FIX17: Wynagr.+koszty = 0 dla dopłaty; nie jest osobnym montażem ekipy.</x:t>
        </x:is>
      </x:c>
    </x:row>
    <x:row r="485">
      <x:c r="A485" s="6" t="inlineStr">
        <x:is>
          <x:t xml:space="preserve">400 x 806 cm</x:t>
        </x:is>
      </x:c>
      <x:c r="B485" s="6" t="inlineStr">
        <x:is>
          <x:t xml:space="preserve">RB</x:t>
        </x:is>
      </x:c>
      <x:c r="C485" s="6" t="inlineStr">
        <x:is>
          <x:t xml:space="preserve">Roleta boczna ZIP</x:t>
        </x:is>
      </x:c>
      <x:c r="D485" s="6" t="inlineStr">
        <x:is>
          <x:t xml:space="preserve">ROLETA BOCZNA</x:t>
        </x:is>
      </x:c>
      <x:c r="E485" s="8" t="n">
        <x:f>IFERROR(INDEX('02_RAW_INDEX'!$J:$J,MATCH($A485,'02_RAW_INDEX'!$A:$A,0)),"")</x:f>
        <x:v>2146</x:v>
      </x:c>
      <x:c r="F485" s="8" t="n">
        <x:f>IFERROR(INDEX('02_RAW_INDEX'!$I:$I,MATCH($A485,'02_RAW_INDEX'!$A:$A,0)),"")</x:f>
        <x:v>2640</x:v>
      </x:c>
      <x:c r="G485" s="7" t="n">
        <x:f>'01_Ustawienia'!$B$6</x:f>
        <x:v>0</x:v>
      </x:c>
      <x:c r="H485" s="8" t="n">
        <x:f>IF(E485="","",ROUND(IF('01_Ustawienia'!$B$5="BRUTTO",F485,E485)*(1-G485),0))</x:f>
        <x:v>2146</x:v>
      </x:c>
      <x:c r="I485" s="7" t="n">
        <x:f>IFERROR(IFERROR(INDEX('01_Ustawienia'!$B$15:$B$33,MATCH(B485,'01_Ustawienia'!$A$15:$A$33,0)),0.45),0.45)</x:f>
        <x:v>0.45</x:v>
      </x:c>
      <x:c r="J485" s="8" t="n">
        <x:f>IF(H485="","",ROUND(H485*(1+I485),0))</x:f>
        <x:v>3112</x:v>
      </x:c>
      <x:c r="K485" s="8" t="n">
        <x:f>0</x:f>
        <x:v>0</x:v>
      </x:c>
      <x:c r="L485" s="8" t="n">
        <x:f>IFERROR(IFERROR(INDEX(EG_Cennik_uslug!$AC:$AC,MATCH($A485,EG_Cennik_uslug!$A:$A,0)),0),0)</x:f>
        <x:v>150</x:v>
      </x:c>
      <x:c r="M485" s="7" t="n">
        <x:f>IF('01_Ustawienia'!$B$4="ZWOLNIONY",0,'01_Ustawienia'!$B$7)</x:f>
        <x:v>0.08</x:v>
      </x:c>
      <x:c r="N485" s="8" t="n">
        <x:f>IF(J485="","",ROUND((J485+K485)*(1+M485),0))</x:f>
        <x:v>3361</x:v>
      </x:c>
      <x:c r="O485" s="8" t="n">
        <x:f>IF(J485="","",J485+K485-H485-L485)</x:f>
        <x:v>816</x:v>
      </x:c>
      <x:c r="P485" s="7" t="n">
        <x:f>IFERROR(O485/(J485+K485),"")</x:f>
        <x:v>0.2622107969151671</x:v>
      </x:c>
      <x:c r="Q485" s="6" t="inlineStr">
        <x:is>
          <x:t xml:space="preserve">RAW_ZP J/K</x:t>
        </x:is>
      </x:c>
      <x:c r="R485" s="6" t="inlineStr">
        <x:is>
          <x:t xml:space="preserve">ROLETY BOCZNE</x:t>
        </x:is>
      </x:c>
      <x:c r="S485" s="6" t="inlineStr">
        <x:is>
          <x:t xml:space="preserve">website+crm</x:t>
        </x:is>
      </x:c>
      <x:c r="T485" s="6" t="inlineStr">
        <x:is>
          <x:t xml:space="preserve">Używana dla lewej i prawej</x:t>
        </x:is>
      </x:c>
    </x:row>
    <x:row r="486">
      <x:c r="A486" s="6" t="inlineStr">
        <x:is>
          <x:t xml:space="preserve">400 x 806 cm</x:t>
        </x:is>
      </x:c>
      <x:c r="B486" s="6" t="inlineStr">
        <x:is>
          <x:t xml:space="preserve">RP</x:t>
        </x:is>
      </x:c>
      <x:c r="C486" s="6" t="inlineStr">
        <x:is>
          <x:t xml:space="preserve">Roleta przednia ZIP</x:t>
        </x:is>
      </x:c>
      <x:c r="D486" s="6" t="inlineStr">
        <x:is>
          <x:t xml:space="preserve">ROLETA PRZÓD</x:t>
        </x:is>
      </x:c>
      <x:c r="E486" s="8" t="n">
        <x:f>IFERROR(INDEX('02_RAW_INDEX'!$L:$L,MATCH($A486,'02_RAW_INDEX'!$A:$A,0)),"")</x:f>
        <x:v>4293</x:v>
      </x:c>
      <x:c r="F486" s="8" t="n">
        <x:f>IFERROR(INDEX('02_RAW_INDEX'!$K:$K,MATCH($A486,'02_RAW_INDEX'!$A:$A,0)),"")</x:f>
        <x:v>5280</x:v>
      </x:c>
      <x:c r="G486" s="7" t="n">
        <x:f>'01_Ustawienia'!$B$6</x:f>
        <x:v>0</x:v>
      </x:c>
      <x:c r="H486" s="8" t="n">
        <x:f>IF(E486="","",ROUND(IF('01_Ustawienia'!$B$5="BRUTTO",F486,E486)*(1-G486),0))</x:f>
        <x:v>4293</x:v>
      </x:c>
      <x:c r="I486" s="7" t="n">
        <x:f>IFERROR(IFERROR(INDEX('01_Ustawienia'!$B$15:$B$33,MATCH(B486,'01_Ustawienia'!$A$15:$A$33,0)),0.45),0.45)</x:f>
        <x:v>0.45</x:v>
      </x:c>
      <x:c r="J486" s="8" t="n">
        <x:f>IF(H486="","",ROUND(H486*(1+I486),0))</x:f>
        <x:v>6225</x:v>
      </x:c>
      <x:c r="K486" s="8" t="n">
        <x:f>0</x:f>
        <x:v>0</x:v>
      </x:c>
      <x:c r="L486" s="8" t="n">
        <x:f>IFERROR(IFERROR(INDEX(EG_Cennik_uslug!$AJ:$AJ,MATCH($A486,EG_Cennik_uslug!$A:$A,0)),0),0)</x:f>
        <x:v>300</x:v>
      </x:c>
      <x:c r="M486" s="7" t="n">
        <x:f>IF('01_Ustawienia'!$B$4="ZWOLNIONY",0,'01_Ustawienia'!$B$7)</x:f>
        <x:v>0.08</x:v>
      </x:c>
      <x:c r="N486" s="8" t="n">
        <x:f>IF(J486="","",ROUND((J486+K486)*(1+M486),0))</x:f>
        <x:v>6723</x:v>
      </x:c>
      <x:c r="O486" s="8" t="n">
        <x:f>IF(J486="","",J486+K486-H486-L486)</x:f>
        <x:v>1632</x:v>
      </x:c>
      <x:c r="P486" s="7" t="n">
        <x:f>IFERROR(O486/(J486+K486),"")</x:f>
        <x:v>0.2621686746987952</x:v>
      </x:c>
      <x:c r="Q486" s="6" t="inlineStr">
        <x:is>
          <x:t xml:space="preserve">RAW_ZP N/O</x:t>
        </x:is>
      </x:c>
      <x:c r="R486" s="6" t="inlineStr">
        <x:is>
          <x:t xml:space="preserve">ROLETY BOCZNE</x:t>
        </x:is>
      </x:c>
      <x:c r="S486" s="6" t="inlineStr">
        <x:is>
          <x:t xml:space="preserve">website+crm</x:t>
        </x:is>
      </x:c>
      <x:c r="T486" s="6" t="n"/>
    </x:row>
    <x:row r="487">
      <x:c r="A487" s="6" t="inlineStr">
        <x:is>
          <x:t xml:space="preserve">400 x 806 cm</x:t>
        </x:is>
      </x:c>
      <x:c r="B487" s="6" t="inlineStr">
        <x:is>
          <x:t xml:space="preserve">M</x:t>
        </x:is>
      </x:c>
      <x:c r="C487" s="6" t="inlineStr">
        <x:is>
          <x:t xml:space="preserve">Markiza dachowa</x:t>
        </x:is>
      </x:c>
      <x:c r="D487" s="6" t="inlineStr">
        <x:is>
          <x:t xml:space="preserve">MARKIZA</x:t>
        </x:is>
      </x:c>
      <x:c r="E487" s="8" t="n">
        <x:f>IFERROR(INDEX('02_RAW_INDEX'!$H:$H,MATCH($A487,'02_RAW_INDEX'!$A:$A,0)),"")</x:f>
        <x:v>7584</x:v>
      </x:c>
      <x:c r="F487" s="8" t="n">
        <x:f>IFERROR(INDEX('02_RAW_INDEX'!$G:$G,MATCH($A487,'02_RAW_INDEX'!$A:$A,0)),"")</x:f>
        <x:v>9328</x:v>
      </x:c>
      <x:c r="G487" s="7" t="n">
        <x:f>'01_Ustawienia'!$B$6</x:f>
        <x:v>0</x:v>
      </x:c>
      <x:c r="H487" s="8" t="n">
        <x:f>IF(E487="","",ROUND(IF('01_Ustawienia'!$B$5="BRUTTO",F487,E487)*(1-G487),0))</x:f>
        <x:v>7584</x:v>
      </x:c>
      <x:c r="I487" s="7" t="n">
        <x:f>IFERROR(IFERROR(INDEX('01_Ustawienia'!$B$15:$B$33,MATCH(B487,'01_Ustawienia'!$A$15:$A$33,0)),0.45),0.45)</x:f>
        <x:v>0.45</x:v>
      </x:c>
      <x:c r="J487" s="8" t="n">
        <x:f>IF(H487="","",ROUND(H487*(1+I487),0))</x:f>
        <x:v>10997</x:v>
      </x:c>
      <x:c r="K487" s="8" t="n">
        <x:f>0</x:f>
        <x:v>0</x:v>
      </x:c>
      <x:c r="L487" s="8" t="n">
        <x:f>IFERROR(IFERROR(INDEX(EG_Cennik_uslug!$AQ:$AQ,MATCH($A487,EG_Cennik_uslug!$A:$A,0)),0),0)</x:f>
        <x:v>500</x:v>
      </x:c>
      <x:c r="M487" s="7" t="n">
        <x:f>IF('01_Ustawienia'!$B$4="ZWOLNIONY",0,'01_Ustawienia'!$B$7)</x:f>
        <x:v>0.08</x:v>
      </x:c>
      <x:c r="N487" s="8" t="n">
        <x:f>IF(J487="","",ROUND((J487+K487)*(1+M487),0))</x:f>
        <x:v>11877</x:v>
      </x:c>
      <x:c r="O487" s="8" t="n">
        <x:f>IF(J487="","",J487+K487-H487-L487)</x:f>
        <x:v>2913</x:v>
      </x:c>
      <x:c r="P487" s="7" t="n">
        <x:f>IFERROR(O487/(J487+K487),"")</x:f>
        <x:v>0.2648904246612713</x:v>
      </x:c>
      <x:c r="Q487" s="6" t="inlineStr">
        <x:is>
          <x:t xml:space="preserve">RAW_ZP H/I</x:t>
        </x:is>
      </x:c>
      <x:c r="R487" s="6" t="inlineStr">
        <x:is>
          <x:t xml:space="preserve">MARKIZA</x:t>
        </x:is>
      </x:c>
      <x:c r="S487" s="6" t="inlineStr">
        <x:is>
          <x:t xml:space="preserve">website+crm</x:t>
        </x:is>
      </x:c>
      <x:c r="T487" s="6" t="n"/>
    </x:row>
    <x:row r="488">
      <x:c r="A488" s="6" t="inlineStr">
        <x:is>
          <x:t xml:space="preserve">400 x 806 cm</x:t>
        </x:is>
      </x:c>
      <x:c r="B488" s="6" t="inlineStr">
        <x:is>
          <x:t xml:space="preserve">PDWP</x:t>
        </x:is>
      </x:c>
      <x:c r="C488" s="6" t="inlineStr">
        <x:is>
          <x:t xml:space="preserve">Fundament/profile</x:t>
        </x:is>
      </x:c>
      <x:c r="D488" s="6" t="inlineStr">
        <x:is>
          <x:t xml:space="preserve">FUNDAMENT / PROFILE</x:t>
        </x:is>
      </x:c>
      <x:c r="E488" s="8" t="n">
        <x:f>IFERROR(INDEX('02_RAW_INDEX'!$AH:$AH,MATCH($A488,'02_RAW_INDEX'!$A:$A,0)),"")</x:f>
        <x:v>1081</x:v>
      </x:c>
      <x:c r="F488" s="8" t="n">
        <x:f>IFERROR(INDEX('02_RAW_INDEX'!$AG:$AG,MATCH($A488,'02_RAW_INDEX'!$A:$A,0)),"")</x:f>
        <x:v>1330</x:v>
      </x:c>
      <x:c r="G488" s="7" t="n">
        <x:f>'01_Ustawienia'!$B$6</x:f>
        <x:v>0</x:v>
      </x:c>
      <x:c r="H488" s="8" t="n">
        <x:f>IF(E488="","",ROUND(IF('01_Ustawienia'!$B$5="BRUTTO",F488,E488)*(1-G488),0))</x:f>
        <x:v>1081</x:v>
      </x:c>
      <x:c r="I488" s="7" t="n">
        <x:f>IFERROR(IFERROR(INDEX('01_Ustawienia'!$B$15:$B$33,MATCH(B488,'01_Ustawienia'!$A$15:$A$33,0)),0.45),0.45)</x:f>
        <x:v>1.2</x:v>
      </x:c>
      <x:c r="J488" s="8" t="n">
        <x:f>IF(H488="","",ROUND(H488*(1+I488),0))</x:f>
        <x:v>2378</x:v>
      </x:c>
      <x:c r="K488" s="8" t="n">
        <x:f>0</x:f>
        <x:v>0</x:v>
      </x:c>
      <x:c r="L488" s="8" t="n">
        <x:f>IFERROR(IFERROR(INDEX(EG_Cennik_uslug!$BT:$BT,MATCH($A488,EG_Cennik_uslug!$A:$A,0)),0),0)</x:f>
        <x:v>510</x:v>
      </x:c>
      <x:c r="M488" s="7" t="n">
        <x:f>IF('01_Ustawienia'!$B$4="ZWOLNIONY",0,'01_Ustawienia'!$B$7)</x:f>
        <x:v>0.08</x:v>
      </x:c>
      <x:c r="N488" s="8" t="n">
        <x:f>IF(J488="","",ROUND((J488+K488)*(1+M488),0))</x:f>
        <x:v>2568</x:v>
      </x:c>
      <x:c r="O488" s="8" t="n">
        <x:f>IF(J488="","",J488+K488-H488-L488)</x:f>
        <x:v>787</x:v>
      </x:c>
      <x:c r="P488" s="7" t="n">
        <x:f>IFERROR(O488/(J488+K488),"")</x:f>
        <x:v>0.3309503784693019</x:v>
      </x:c>
      <x:c r="Q488" s="6" t="inlineStr">
        <x:is>
          <x:t xml:space="preserve">RAW_OP AB/AC</x:t>
        </x:is>
      </x:c>
      <x:c r="R488" s="6" t="inlineStr">
        <x:is>
          <x:t xml:space="preserve">FUNDAMENT (PROFILE)</x:t>
        </x:is>
      </x:c>
      <x:c r="S488" s="6" t="inlineStr">
        <x:is>
          <x:t xml:space="preserve">website+crm</x:t>
        </x:is>
      </x:c>
      <x:c r="T488" s="6" t="n"/>
    </x:row>
    <x:row r="489" s="655" customFormat="1" ht="30" customHeight="1">
      <x:c r="A489" s="6" t="inlineStr">
        <x:is>
          <x:t xml:space="preserve">400 x 806 cm</x:t>
        </x:is>
      </x:c>
      <x:c r="B489" s="6" t="inlineStr">
        <x:is>
          <x:t xml:space="preserve">ZAB</x:t>
        </x:is>
      </x:c>
      <x:c r="C489" s="6" t="inlineStr">
        <x:is>
          <x:t xml:space="preserve">Zabieraki do ścian przesuwnych</x:t>
        </x:is>
      </x:c>
      <x:c r="D489" s="6" t="inlineStr">
        <x:is>
          <x:t xml:space="preserve">DODATKI</x:t>
        </x:is>
      </x:c>
      <x:c r="E489" s="8" t="n">
        <x:f>IFERROR(INDEX('02_RAW_INDEX'!$AJ:$AJ,MATCH($A489,'02_RAW_INDEX'!$A:$A,0)),"")</x:f>
        <x:v>390</x:v>
      </x:c>
      <x:c r="F489" s="8" t="n">
        <x:f>IFERROR(INDEX('02_RAW_INDEX'!$AI:$AI,MATCH($A489,'02_RAW_INDEX'!$A:$A,0)),"")</x:f>
        <x:v>480</x:v>
      </x:c>
      <x:c r="G489" s="7" t="n">
        <x:f>'01_Ustawienia'!$B$6</x:f>
        <x:v>0</x:v>
      </x:c>
      <x:c r="H489" s="8" t="n">
        <x:f>IF(E489="","",ROUND(IF('01_Ustawienia'!$B$5="BRUTTO",F489,E489)*(1-G489),0))</x:f>
        <x:v>390</x:v>
      </x:c>
      <x:c r="I489" s="7" t="n">
        <x:f>IFERROR(IFERROR(INDEX('01_Ustawienia'!$B$15:$B$33,MATCH(B489,'01_Ustawienia'!$A$15:$A$33,0)),0.45),0.45)</x:f>
        <x:v>0.45</x:v>
      </x:c>
      <x:c r="J489" s="8" t="n">
        <x:f>IF(H489="","",ROUND(H489*(1+I489),0))</x:f>
        <x:v>566</x:v>
      </x:c>
      <x:c r="K489" s="8" t="n">
        <x:f>0</x:f>
        <x:v>0</x:v>
      </x:c>
      <x:c r="L489" s="8" t="n">
        <x:f>0</x:f>
        <x:v>0</x:v>
      </x:c>
      <x:c r="M489" s="7" t="n">
        <x:f>IF('01_Ustawienia'!$B$4="ZWOLNIONY",0,'01_Ustawienia'!$B$7)</x:f>
        <x:v>0.08</x:v>
      </x:c>
      <x:c r="N489" s="8" t="n">
        <x:f>IF(J489="","",ROUND((J489+K489)*(1+M489),0))</x:f>
        <x:v>611</x:v>
      </x:c>
      <x:c r="O489" s="8" t="n">
        <x:f>IF(J489="","",J489+K489-H489-L489)</x:f>
        <x:v>176</x:v>
      </x:c>
      <x:c r="P489" s="7" t="n">
        <x:f>IFERROR(O489/(J489+K489),"")</x:f>
        <x:v>0.31095406360424027</x:v>
      </x:c>
      <x:c r="Q489" s="6" t="inlineStr">
        <x:is>
          <x:t xml:space="preserve">RAW_OP AD/AE</x:t>
        </x:is>
      </x:c>
      <x:c r="R489" s="6" t="inlineStr">
        <x:is>
          <x:t xml:space="preserve">DODATKI</x:t>
        </x:is>
      </x:c>
      <x:c r="S489" s="6" t="inlineStr">
        <x:is>
          <x:t xml:space="preserve">crm_only</x:t>
        </x:is>
      </x:c>
      <x:c r="T489" s="6" t="n"/>
    </x:row>
    <x:row r="490">
      <x:c r="A490" s="6" t="inlineStr">
        <x:is>
          <x:t xml:space="preserve">400 x 806 cm</x:t>
        </x:is>
      </x:c>
      <x:c r="B490" s="6" t="inlineStr">
        <x:is>
          <x:t xml:space="preserve">S</x:t>
        </x:is>
      </x:c>
      <x:c r="C490" s="6" t="inlineStr">
        <x:is>
          <x:t xml:space="preserve">Szczotki przeciwkurzowe</x:t>
        </x:is>
      </x:c>
      <x:c r="D490" s="6" t="inlineStr">
        <x:is>
          <x:t xml:space="preserve">SZCZOTKI</x:t>
        </x:is>
      </x:c>
      <x:c r="E490" s="8" t="n">
        <x:f>IFERROR(INDEX('02_RAW_INDEX'!$AD:$AD,MATCH($A490,'02_RAW_INDEX'!$A:$A,0)),"")</x:f>
        <x:v>496</x:v>
      </x:c>
      <x:c r="F490" s="8" t="n">
        <x:f>IFERROR(INDEX('02_RAW_INDEX'!$AC:$AC,MATCH($A490,'02_RAW_INDEX'!$A:$A,0)),"")</x:f>
        <x:v>610</x:v>
      </x:c>
      <x:c r="G490" s="7" t="n">
        <x:f>'01_Ustawienia'!$B$6</x:f>
        <x:v>0</x:v>
      </x:c>
      <x:c r="H490" s="8" t="n">
        <x:f>IF(E490="","",ROUND(IF('01_Ustawienia'!$B$5="BRUTTO",F490,E490)*(1-G490),0))</x:f>
        <x:v>496</x:v>
      </x:c>
      <x:c r="I490" s="7" t="n">
        <x:f>IFERROR(IFERROR(INDEX('01_Ustawienia'!$B$15:$B$33,MATCH(B490,'01_Ustawienia'!$A$15:$A$33,0)),0.45),0.45)</x:f>
        <x:v>0.45</x:v>
      </x:c>
      <x:c r="J490" s="8" t="n">
        <x:f>IF(H490="","",ROUND(H490*(1+I490),0))</x:f>
        <x:v>719</x:v>
      </x:c>
      <x:c r="K490" s="8" t="n">
        <x:f>0</x:f>
        <x:v>0</x:v>
      </x:c>
      <x:c r="L490" s="8" t="n">
        <x:f>IFERROR(IFERROR(INDEX(EG_Cennik_uslug!$CA:$CA,MATCH($A490,EG_Cennik_uslug!$A:$A,0)),0),0)</x:f>
        <x:v>0</x:v>
      </x:c>
      <x:c r="M490" s="7" t="n">
        <x:f>IF('01_Ustawienia'!$B$4="ZWOLNIONY",0,'01_Ustawienia'!$B$7)</x:f>
        <x:v>0.08</x:v>
      </x:c>
      <x:c r="N490" s="8" t="n">
        <x:f>IF(J490="","",ROUND((J490+K490)*(1+M490),0))</x:f>
        <x:v>777</x:v>
      </x:c>
      <x:c r="O490" s="8" t="n">
        <x:f>IF(J490="","",J490+K490-H490-L490)</x:f>
        <x:v>223</x:v>
      </x:c>
      <x:c r="P490" s="7" t="n">
        <x:f>IFERROR(O490/(J490+K490),"")</x:f>
        <x:v>0.3101529902642559</x:v>
      </x:c>
      <x:c r="Q490" s="6" t="inlineStr">
        <x:is>
          <x:t xml:space="preserve">RAW_OP L/M</x:t>
        </x:is>
      </x:c>
      <x:c r="R490" s="6" t="inlineStr">
        <x:is>
          <x:t xml:space="preserve">DODATKI</x:t>
        </x:is>
      </x:c>
      <x:c r="S490" s="6" t="inlineStr">
        <x:is>
          <x:t xml:space="preserve">website+crm</x:t>
        </x:is>
      </x:c>
      <x:c r="T490" s="6" t="n"/>
    </x:row>
    <x:row r="491">
      <x:c r="A491" s="6" t="inlineStr">
        <x:is>
          <x:t xml:space="preserve">400 x 806 cm</x:t>
        </x:is>
      </x:c>
      <x:c r="B491" s="6" t="inlineStr">
        <x:is>
          <x:t xml:space="preserve">U</x:t>
        </x:is>
      </x:c>
      <x:c r="C491" s="6" t="inlineStr">
        <x:is>
          <x:t xml:space="preserve">Uchwyty na szkło ścienne</x:t>
        </x:is>
      </x:c>
      <x:c r="D491" s="6" t="inlineStr">
        <x:is>
          <x:t xml:space="preserve">UCHWYTY</x:t>
        </x:is>
      </x:c>
      <x:c r="E491" s="8" t="n">
        <x:f>IFERROR(INDEX('02_RAW_INDEX'!$AF:$AF,MATCH($A491,'02_RAW_INDEX'!$A:$A,0)),"")</x:f>
        <x:v>448</x:v>
      </x:c>
      <x:c r="F491" s="8" t="n">
        <x:f>IFERROR(INDEX('02_RAW_INDEX'!$AE:$AE,MATCH($A491,'02_RAW_INDEX'!$A:$A,0)),"")</x:f>
        <x:v>551</x:v>
      </x:c>
      <x:c r="G491" s="7" t="n">
        <x:f>'01_Ustawienia'!$B$6</x:f>
        <x:v>0</x:v>
      </x:c>
      <x:c r="H491" s="8" t="n">
        <x:f>IF(E491="","",ROUND(IF('01_Ustawienia'!$B$5="BRUTTO",F491,E491)*(1-G491),0))</x:f>
        <x:v>448</x:v>
      </x:c>
      <x:c r="I491" s="7" t="n">
        <x:f>IFERROR(IFERROR(INDEX('01_Ustawienia'!$B$15:$B$33,MATCH(B491,'01_Ustawienia'!$A$15:$A$33,0)),0.45),0.45)</x:f>
        <x:v>0.45</x:v>
      </x:c>
      <x:c r="J491" s="8" t="n">
        <x:f>IF(H491="","",ROUND(H491*(1+I491),0))</x:f>
        <x:v>650</x:v>
      </x:c>
      <x:c r="K491" s="8" t="n">
        <x:f>0</x:f>
        <x:v>0</x:v>
      </x:c>
      <x:c r="L491" s="8" t="n">
        <x:f>IFERROR(IFERROR(INDEX(EG_Cennik_uslug!$CH:$CH,MATCH($A491,EG_Cennik_uslug!$A:$A,0)),0),0)</x:f>
        <x:v>0</x:v>
      </x:c>
      <x:c r="M491" s="7" t="n">
        <x:f>IF('01_Ustawienia'!$B$4="ZWOLNIONY",0,'01_Ustawienia'!$B$7)</x:f>
        <x:v>0.08</x:v>
      </x:c>
      <x:c r="N491" s="8" t="n">
        <x:f>IF(J491="","",ROUND((J491+K491)*(1+M491),0))</x:f>
        <x:v>702</x:v>
      </x:c>
      <x:c r="O491" s="8" t="n">
        <x:f>IF(J491="","",J491+K491-H491-L491)</x:f>
        <x:v>202</x:v>
      </x:c>
      <x:c r="P491" s="7" t="n">
        <x:f>IFERROR(O491/(J491+K491),"")</x:f>
        <x:v>0.31076923076923074</x:v>
      </x:c>
      <x:c r="Q491" s="6" t="inlineStr">
        <x:is>
          <x:t xml:space="preserve">RAW_OP N/O</x:t>
        </x:is>
      </x:c>
      <x:c r="R491" s="6" t="inlineStr">
        <x:is>
          <x:t xml:space="preserve">DODATKI</x:t>
        </x:is>
      </x:c>
      <x:c r="S491" s="6" t="inlineStr">
        <x:is>
          <x:t xml:space="preserve">website+crm</x:t>
        </x:is>
      </x:c>
      <x:c r="T491" s="6" t="n"/>
    </x:row>
    <x:row r="492">
      <x:c r="A492" s="6" t="inlineStr">
        <x:is>
          <x:t xml:space="preserve">400 x 806 cm</x:t>
        </x:is>
      </x:c>
      <x:c r="B492" s="6" t="inlineStr">
        <x:is>
          <x:t xml:space="preserve">LED2</x:t>
        </x:is>
      </x:c>
      <x:c r="C492" s="6" t="inlineStr">
        <x:is>
          <x:t xml:space="preserve">Oświetlenie LED 2 punkty</x:t>
        </x:is>
      </x:c>
      <x:c r="D492" s="6" t="inlineStr">
        <x:is>
          <x:t xml:space="preserve">LED 2 PKT</x:t>
        </x:is>
      </x:c>
      <x:c r="E492" s="8" t="n">
        <x:f>IFERROR(INDEX('02_RAW_INDEX'!$N:$N,MATCH($A492,'02_RAW_INDEX'!$A:$A,0)),"")</x:f>
        <x:v>780</x:v>
      </x:c>
      <x:c r="F492" s="8" t="n">
        <x:f>IFERROR(INDEX('02_RAW_INDEX'!$M:$M,MATCH($A492,'02_RAW_INDEX'!$A:$A,0)),"")</x:f>
        <x:v>960</x:v>
      </x:c>
      <x:c r="G492" s="7" t="n">
        <x:f>'01_Ustawienia'!$B$6</x:f>
        <x:v>0</x:v>
      </x:c>
      <x:c r="H492" s="8" t="n">
        <x:f>IF(E492="","",ROUND(IF('01_Ustawienia'!$B$5="BRUTTO",F492,E492)*(1-G492),0))</x:f>
        <x:v>780</x:v>
      </x:c>
      <x:c r="I492" s="7" t="n">
        <x:f>IFERROR(IFERROR(INDEX('01_Ustawienia'!$B$15:$B$33,MATCH(B492,'01_Ustawienia'!$A$15:$A$33,0)),0.45),0.45)</x:f>
        <x:v>0.45</x:v>
      </x:c>
      <x:c r="J492" s="8" t="n">
        <x:f>IF(H492="","",ROUND(H492*(1+I492),0))</x:f>
        <x:v>1131</x:v>
      </x:c>
      <x:c r="K492" s="8" t="n">
        <x:f>0</x:f>
        <x:v>0</x:v>
      </x:c>
      <x:c r="L492" s="8" t="n">
        <x:f>IFERROR(IFERROR(INDEX(EG_Cennik_uslug!$CO:$CO,MATCH($A492,EG_Cennik_uslug!$A:$A,0)),0),0)</x:f>
        <x:v>0</x:v>
      </x:c>
      <x:c r="M492" s="7" t="n">
        <x:f>IF('01_Ustawienia'!$B$4="ZWOLNIONY",0,'01_Ustawienia'!$B$7)</x:f>
        <x:v>0.08</x:v>
      </x:c>
      <x:c r="N492" s="8" t="n">
        <x:f>IF(J492="","",ROUND((J492+K492)*(1+M492),0))</x:f>
        <x:v>1221</x:v>
      </x:c>
      <x:c r="O492" s="8" t="n">
        <x:f>IF(J492="","",J492+K492-H492-L492)</x:f>
        <x:v>351</x:v>
      </x:c>
      <x:c r="P492" s="7" t="n">
        <x:f>IFERROR(O492/(J492+K492),"")</x:f>
        <x:v>0.3103448275862069</x:v>
      </x:c>
      <x:c r="Q492" s="6" t="inlineStr">
        <x:is>
          <x:t xml:space="preserve">RAW_ZP P/Q</x:t>
        </x:is>
      </x:c>
      <x:c r="R492" s="6" t="inlineStr">
        <x:is>
          <x:t xml:space="preserve">OŚWIETLENIE</x:t>
        </x:is>
      </x:c>
      <x:c r="S492" s="6" t="inlineStr">
        <x:is>
          <x:t xml:space="preserve">website+crm</x:t>
        </x:is>
      </x:c>
      <x:c r="T492" s="6" t="n"/>
    </x:row>
    <x:row r="493">
      <x:c r="A493" s="6" t="inlineStr">
        <x:is>
          <x:t xml:space="preserve">400 x 806 cm</x:t>
        </x:is>
      </x:c>
      <x:c r="B493" s="6" t="inlineStr">
        <x:is>
          <x:t xml:space="preserve">LED3</x:t>
        </x:is>
      </x:c>
      <x:c r="C493" s="6" t="inlineStr">
        <x:is>
          <x:t xml:space="preserve">Oświetlenie LED 3 punkty</x:t>
        </x:is>
      </x:c>
      <x:c r="D493" s="6" t="inlineStr">
        <x:is>
          <x:t xml:space="preserve">LED 3 PKT</x:t>
        </x:is>
      </x:c>
      <x:c r="E493" s="8" t="n">
        <x:f>IFERROR(INDEX('02_RAW_INDEX'!$P:$P,MATCH($A493,'02_RAW_INDEX'!$A:$A,0)),"")</x:f>
        <x:v>1171</x:v>
      </x:c>
      <x:c r="F493" s="8" t="n">
        <x:f>IFERROR(INDEX('02_RAW_INDEX'!$O:$O,MATCH($A493,'02_RAW_INDEX'!$A:$A,0)),"")</x:f>
        <x:v>1440</x:v>
      </x:c>
      <x:c r="G493" s="7" t="n">
        <x:f>'01_Ustawienia'!$B$6</x:f>
        <x:v>0</x:v>
      </x:c>
      <x:c r="H493" s="8" t="n">
        <x:f>IF(E493="","",ROUND(IF('01_Ustawienia'!$B$5="BRUTTO",F493,E493)*(1-G493),0))</x:f>
        <x:v>1171</x:v>
      </x:c>
      <x:c r="I493" s="7" t="n">
        <x:f>IFERROR(IFERROR(INDEX('01_Ustawienia'!$B$15:$B$33,MATCH(B493,'01_Ustawienia'!$A$15:$A$33,0)),0.45),0.45)</x:f>
        <x:v>0.45</x:v>
      </x:c>
      <x:c r="J493" s="8" t="n">
        <x:f>IF(H493="","",ROUND(H493*(1+I493),0))</x:f>
        <x:v>1698</x:v>
      </x:c>
      <x:c r="K493" s="8" t="n">
        <x:f>0</x:f>
        <x:v>0</x:v>
      </x:c>
      <x:c r="L493" s="8" t="n">
        <x:f>IFERROR(IFERROR(INDEX(EG_Cennik_uslug!$CV:$CV,MATCH($A493,EG_Cennik_uslug!$A:$A,0)),0),0)</x:f>
        <x:v>0</x:v>
      </x:c>
      <x:c r="M493" s="7" t="n">
        <x:f>IF('01_Ustawienia'!$B$4="ZWOLNIONY",0,'01_Ustawienia'!$B$7)</x:f>
        <x:v>0.08</x:v>
      </x:c>
      <x:c r="N493" s="8" t="n">
        <x:f>IF(J493="","",ROUND((J493+K493)*(1+M493),0))</x:f>
        <x:v>1834</x:v>
      </x:c>
      <x:c r="O493" s="8" t="n">
        <x:f>IF(J493="","",J493+K493-H493-L493)</x:f>
        <x:v>527</x:v>
      </x:c>
      <x:c r="P493" s="7" t="n">
        <x:f>IFERROR(O493/(J493+K493),"")</x:f>
        <x:v>0.31036513545347466</x:v>
      </x:c>
      <x:c r="Q493" s="6" t="inlineStr">
        <x:is>
          <x:t xml:space="preserve">RAW_ZP R/S</x:t>
        </x:is>
      </x:c>
      <x:c r="R493" s="6" t="inlineStr">
        <x:is>
          <x:t xml:space="preserve">OŚWIETLENIE</x:t>
        </x:is>
      </x:c>
      <x:c r="S493" s="6" t="inlineStr">
        <x:is>
          <x:t xml:space="preserve">website+crm</x:t>
        </x:is>
      </x:c>
      <x:c r="T493" s="6" t="inlineStr">
        <x:is>
          <x:t xml:space="preserve">Nazwa do potwierdzenia</x:t>
        </x:is>
      </x:c>
    </x:row>
    <x:row r="494">
      <x:c r="A494" s="6" t="inlineStr">
        <x:is>
          <x:t xml:space="preserve">400 x 806 cm</x:t>
        </x:is>
      </x:c>
      <x:c r="B494" s="6" t="inlineStr">
        <x:is>
          <x:t xml:space="preserve">LEDCCT</x:t>
        </x:is>
      </x:c>
      <x:c r="C494" s="6" t="inlineStr">
        <x:is>
          <x:t xml:space="preserve">Oświetlenie LED CCT</x:t>
        </x:is>
      </x:c>
      <x:c r="D494" s="6" t="inlineStr">
        <x:is>
          <x:t xml:space="preserve">OŚWIETLENIE</x:t>
        </x:is>
      </x:c>
      <x:c r="E494" s="8" t="n">
        <x:f>IFERROR(INDEX('02_RAW_INDEX'!$R:$R,MATCH($A494,'02_RAW_INDEX'!$A:$A,0)),"")</x:f>
        <x:v>1750</x:v>
      </x:c>
      <x:c r="F494" s="8" t="n">
        <x:f>IFERROR(INDEX('02_RAW_INDEX'!$Q:$Q,MATCH($A494,'02_RAW_INDEX'!$A:$A,0)),"")</x:f>
        <x:v>2153</x:v>
      </x:c>
      <x:c r="G494" s="7" t="n">
        <x:f>'01_Ustawienia'!$B$6</x:f>
        <x:v>0</x:v>
      </x:c>
      <x:c r="H494" s="8" t="n">
        <x:f>IF(E494="","",ROUND(IF('01_Ustawienia'!$B$5="BRUTTO",F494,E494)*(1-G494),0))</x:f>
        <x:v>1750</x:v>
      </x:c>
      <x:c r="I494" s="7" t="n">
        <x:f>IFERROR(IFERROR(INDEX('01_Ustawienia'!$B$15:$B$33,MATCH(B494,'01_Ustawienia'!$A$15:$A$33,0)),0.45),0.45)</x:f>
        <x:v>0.45</x:v>
      </x:c>
      <x:c r="J494" s="8" t="n">
        <x:f>IF(H494="","",ROUND(H494*(1+I494),0))</x:f>
        <x:v>2538</x:v>
      </x:c>
      <x:c r="K494" s="8" t="n">
        <x:f>0</x:f>
        <x:v>0</x:v>
      </x:c>
      <x:c r="L494" s="8" t="n">
        <x:f>0</x:f>
        <x:v>0</x:v>
      </x:c>
      <x:c r="M494" s="7" t="n">
        <x:f>IF('01_Ustawienia'!$B$4="ZWOLNIONY",0,'01_Ustawienia'!$B$7)</x:f>
        <x:v>0.08</x:v>
      </x:c>
      <x:c r="N494" s="8" t="n">
        <x:f>IF(J494="","",ROUND((J494+K494)*(1+M494),0))</x:f>
        <x:v>2741</x:v>
      </x:c>
      <x:c r="O494" s="8" t="n">
        <x:f>IF(J494="","",J494+K494-H494-L494)</x:f>
        <x:v>788</x:v>
      </x:c>
      <x:c r="P494" s="7" t="n">
        <x:f>IFERROR(O494/(J494+K494),"")</x:f>
        <x:v>0.31048069345941687</x:v>
      </x:c>
      <x:c r="Q494" s="6" t="inlineStr">
        <x:is>
          <x:t xml:space="preserve">RAW_ZP T/U</x:t>
        </x:is>
      </x:c>
      <x:c r="R494" s="6" t="inlineStr">
        <x:is>
          <x:t xml:space="preserve">OŚWIETLENIE</x:t>
        </x:is>
      </x:c>
      <x:c r="S494" s="6" t="inlineStr">
        <x:is>
          <x:t xml:space="preserve">website+crm</x:t>
        </x:is>
      </x:c>
      <x:c r="T494" s="6" t="inlineStr">
        <x:is>
          <x:t xml:space="preserve">Opcja dodatkowa | FIX17: opcja LED dostępna dla strony; ceny 450-600 wg modelu FIX15.</x:t>
        </x:is>
      </x:c>
    </x:row>
    <x:row r="495">
      <x:c r="A495" s="6" t="inlineStr">
        <x:is>
          <x:t xml:space="preserve">400 x 806 cm</x:t>
        </x:is>
      </x:c>
      <x:c r="B495" s="6" t="inlineStr">
        <x:is>
          <x:t xml:space="preserve">LEDRGBCCT</x:t>
        </x:is>
      </x:c>
      <x:c r="C495" s="6" t="inlineStr">
        <x:is>
          <x:t xml:space="preserve">Oświetlenie LED RGB CCT</x:t>
        </x:is>
      </x:c>
      <x:c r="D495" s="6" t="inlineStr">
        <x:is>
          <x:t xml:space="preserve">OŚWIETLENIE</x:t>
        </x:is>
      </x:c>
      <x:c r="E495" s="8" t="n">
        <x:f>IFERROR(INDEX('02_RAW_INDEX'!$T:$T,MATCH($A495,'02_RAW_INDEX'!$A:$A,0)),"")</x:f>
        <x:v>2570</x:v>
      </x:c>
      <x:c r="F495" s="8" t="n">
        <x:f>IFERROR(INDEX('02_RAW_INDEX'!$S:$S,MATCH($A495,'02_RAW_INDEX'!$A:$A,0)),"")</x:f>
        <x:v>3161</x:v>
      </x:c>
      <x:c r="G495" s="7" t="n">
        <x:f>'01_Ustawienia'!$B$6</x:f>
        <x:v>0</x:v>
      </x:c>
      <x:c r="H495" s="8" t="n">
        <x:f>IF(E495="","",ROUND(IF('01_Ustawienia'!$B$5="BRUTTO",F495,E495)*(1-G495),0))</x:f>
        <x:v>2570</x:v>
      </x:c>
      <x:c r="I495" s="7" t="n">
        <x:f>IFERROR(IFERROR(INDEX('01_Ustawienia'!$B$15:$B$33,MATCH(B495,'01_Ustawienia'!$A$15:$A$33,0)),0.45),0.45)</x:f>
        <x:v>0.45</x:v>
      </x:c>
      <x:c r="J495" s="8" t="n">
        <x:f>IF(H495="","",ROUND(H495*(1+I495),0))</x:f>
        <x:v>3727</x:v>
      </x:c>
      <x:c r="K495" s="8" t="n">
        <x:f>0</x:f>
        <x:v>0</x:v>
      </x:c>
      <x:c r="L495" s="8" t="n">
        <x:f>0</x:f>
        <x:v>0</x:v>
      </x:c>
      <x:c r="M495" s="7" t="n">
        <x:f>IF('01_Ustawienia'!$B$4="ZWOLNIONY",0,'01_Ustawienia'!$B$7)</x:f>
        <x:v>0.08</x:v>
      </x:c>
      <x:c r="N495" s="8" t="n">
        <x:f>IF(J495="","",ROUND((J495+K495)*(1+M495),0))</x:f>
        <x:v>4025</x:v>
      </x:c>
      <x:c r="O495" s="8" t="n">
        <x:f>IF(J495="","",J495+K495-H495-L495)</x:f>
        <x:v>1157</x:v>
      </x:c>
      <x:c r="P495" s="7" t="n">
        <x:f>IFERROR(O495/(J495+K495),"")</x:f>
        <x:v>0.3104373490743225</x:v>
      </x:c>
      <x:c r="Q495" s="6" t="inlineStr">
        <x:is>
          <x:t xml:space="preserve">RAW_ZP V/W</x:t>
        </x:is>
      </x:c>
      <x:c r="R495" s="6" t="inlineStr">
        <x:is>
          <x:t xml:space="preserve">OŚWIETLENIE</x:t>
        </x:is>
      </x:c>
      <x:c r="S495" s="6" t="inlineStr">
        <x:is>
          <x:t xml:space="preserve">crm_only</x:t>
        </x:is>
      </x:c>
      <x:c r="T495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496" s="655" customFormat="1" ht="30" customHeight="1">
      <x:c r="A496" s="6" t="inlineStr">
        <x:is>
          <x:t xml:space="preserve">400 x 906 cm</x:t>
        </x:is>
      </x:c>
      <x:c r="B496" s="6" t="inlineStr">
        <x:is>
          <x:t xml:space="preserve">ZP</x:t>
        </x:is>
      </x:c>
      <x:c r="C496" s="6" t="inlineStr">
        <x:is>
          <x:t xml:space="preserve">Zadaszenie poliwęglan - baza</x:t>
        </x:is>
      </x:c>
      <x:c r="D496" s="6" t="inlineStr">
        <x:is>
          <x:t xml:space="preserve">ZADASZENIE POLIWĘGLAN</x:t>
        </x:is>
      </x:c>
      <x:c r="E496" s="8" t="n">
        <x:f>IFERROR(INDEX('02_RAW_INDEX'!$D:$D,MATCH($A496,'02_RAW_INDEX'!$A:$A,0)),"")</x:f>
        <x:v>11179</x:v>
      </x:c>
      <x:c r="F496" s="8" t="n">
        <x:f>IFERROR(INDEX('02_RAW_INDEX'!$C:$C,MATCH($A496,'02_RAW_INDEX'!$A:$A,0)),"")</x:f>
        <x:v>13750</x:v>
      </x:c>
      <x:c r="G496" s="7" t="n">
        <x:f>'01_Ustawienia'!$B$6</x:f>
        <x:v>0</x:v>
      </x:c>
      <x:c r="H496" s="8" t="n">
        <x:f>IF(E496="","",ROUND(IF('01_Ustawienia'!$B$5="BRUTTO",F496,E496)*(1-G496),0))</x:f>
        <x:v>11179</x:v>
      </x:c>
      <x:c r="I496" s="7" t="n">
        <x:f>IFERROR(IFERROR(INDEX('01_Ustawienia'!$B$15:$B$33,MATCH(B496,'01_Ustawienia'!$A$15:$A$33,0)),0.45),0.45)</x:f>
        <x:v>0.45</x:v>
      </x:c>
      <x:c r="J496" s="8" t="n">
        <x:f>IF(H496="","",ROUND(H496*(1+I496),0))</x:f>
        <x:v>16210</x:v>
      </x:c>
      <x:c r="K496" s="8" t="n">
        <x:f>IFERROR(IFERROR(INDEX(EG_Cennik_uslug!$F:$F,MATCH($A496,EG_Cennik_uslug!$A:$A,0)),0),0)</x:f>
        <x:v>4420</x:v>
      </x:c>
      <x:c r="L496" s="8" t="n">
        <x:f>IFERROR(IFERROR(INDEX(EG_Cennik_uslug!$G:$G,MATCH($A496,EG_Cennik_uslug!$A:$A,0)),0),0)</x:f>
        <x:v>1610</x:v>
      </x:c>
      <x:c r="M496" s="7" t="n">
        <x:f>IF('01_Ustawienia'!$B$4="ZWOLNIONY",0,'01_Ustawienia'!$B$7)</x:f>
        <x:v>0.08</x:v>
      </x:c>
      <x:c r="N496" s="8" t="n">
        <x:f>IF(J496="","",ROUND((J496+K496)*(1+M496),0))</x:f>
        <x:v>22280</x:v>
      </x:c>
      <x:c r="O496" s="8" t="n">
        <x:f>IF(J496="","",J496+K496-H496-L496)</x:f>
        <x:v>7841</x:v>
      </x:c>
      <x:c r="P496" s="7" t="n">
        <x:f>IFERROR(O496/(J496+K496),"")</x:f>
        <x:v>0.38007755695588946</x:v>
      </x:c>
      <x:c r="Q496" s="6" t="inlineStr">
        <x:is>
          <x:t xml:space="preserve">RAW_ZP B/C</x:t>
        </x:is>
      </x:c>
      <x:c r="R496" s="6" t="inlineStr">
        <x:is>
          <x:t xml:space="preserve">ZADASZENIE TARASU KONSTRUKCJA</x:t>
        </x:is>
      </x:c>
      <x:c r="S496" s="6" t="inlineStr">
        <x:is>
          <x:t xml:space="preserve">website+crm</x:t>
        </x:is>
      </x:c>
      <x:c r="T496" s="6" t="inlineStr">
        <x:is>
          <x:t xml:space="preserve">Baza dla kalkulatora</x:t>
        </x:is>
      </x:c>
    </x:row>
    <x:row r="497" s="655" customFormat="1" ht="30" customHeight="1">
      <x:c r="A497" s="6" t="inlineStr">
        <x:is>
          <x:t xml:space="preserve">400 x 906 cm</x:t>
        </x:is>
      </x:c>
      <x:c r="B497" s="6" t="inlineStr">
        <x:is>
          <x:t xml:space="preserve">ZS</x:t>
        </x:is>
      </x:c>
      <x:c r="C497" s="6" t="inlineStr">
        <x:is>
          <x:t xml:space="preserve">Zadaszenie szkło - pełna konstrukcja</x:t>
        </x:is>
      </x:c>
      <x:c r="D497" s="6" t="inlineStr">
        <x:is>
          <x:t xml:space="preserve">ZADASZENIE SZKŁO</x:t>
        </x:is>
      </x:c>
      <x:c r="E497" s="8" t="n">
        <x:f>IFERROR(INDEX('02_RAW_INDEX'!$V:$V,MATCH($A497,'02_RAW_INDEX'!$A:$A,0)),"")</x:f>
        <x:v>18626</x:v>
      </x:c>
      <x:c r="F497" s="8" t="n">
        <x:f>IFERROR(INDEX('02_RAW_INDEX'!$U:$U,MATCH($A497,'02_RAW_INDEX'!$A:$A,0)),"")</x:f>
        <x:v>22910</x:v>
      </x:c>
      <x:c r="G497" s="7" t="n">
        <x:f>'01_Ustawienia'!$B$6</x:f>
        <x:v>0</x:v>
      </x:c>
      <x:c r="H497" s="8" t="n">
        <x:f>IF(E497="","",ROUND(IF('01_Ustawienia'!$B$5="BRUTTO",F497,E497)*(1-G497),0))</x:f>
        <x:v>18626</x:v>
      </x:c>
      <x:c r="I497" s="7" t="n">
        <x:f>IFERROR(IFERROR(INDEX('01_Ustawienia'!$B$15:$B$33,MATCH(B497,'01_Ustawienia'!$A$15:$A$33,0)),0.45),0.45)</x:f>
        <x:v>0.45</x:v>
      </x:c>
      <x:c r="J497" s="8" t="n">
        <x:f>IF(H497="","",ROUND(H497*(1+I497),0))</x:f>
        <x:v>27008</x:v>
      </x:c>
      <x:c r="K497" s="8" t="n">
        <x:f>IFERROR(IFERROR(INDEX(EG_Cennik_uslug!$F:$F,MATCH($A497,EG_Cennik_uslug!$A:$A,0)),0),0)</x:f>
        <x:v>4420</x:v>
      </x:c>
      <x:c r="L497" s="8" t="n">
        <x:f>IFERROR(IFERROR(INDEX(EG_Cennik_uslug!$G:$G,MATCH($A497,EG_Cennik_uslug!$A:$A,0)),0),0)</x:f>
        <x:v>1610</x:v>
      </x:c>
      <x:c r="M497" s="7" t="n">
        <x:f>IF('01_Ustawienia'!$B$4="ZWOLNIONY",0,'01_Ustawienia'!$B$7)</x:f>
        <x:v>0.08</x:v>
      </x:c>
      <x:c r="N497" s="8" t="n">
        <x:f>IF(J497="","",ROUND((J497+K497)*(1+M497),0))</x:f>
        <x:v>33942</x:v>
      </x:c>
      <x:c r="O497" s="8" t="n">
        <x:f>IF(J497="","",J497+K497-H497-L497)</x:f>
        <x:v>11192</x:v>
      </x:c>
      <x:c r="P497" s="7" t="n">
        <x:f>IFERROR(O497/(J497+K497),"")</x:f>
        <x:v>0.35611556573755887</x:v>
      </x:c>
      <x:c r="Q497" s="6" t="inlineStr">
        <x:is>
          <x:t xml:space="preserve">RAW_ZS B/C</x:t>
        </x:is>
      </x:c>
      <x:c r="R497" s="6" t="inlineStr">
        <x:is>
          <x:t xml:space="preserve">ZADASZENIE TARASU KONSTRUKCJA</x:t>
        </x:is>
      </x:c>
      <x:c r="S497" s="6" t="inlineStr">
        <x:is>
          <x:t xml:space="preserve">crm_only</x:t>
        </x:is>
      </x:c>
      <x:c r="T497" s="6" t="inlineStr">
        <x:is>
          <x:t xml:space="preserve">Referencyjne/full; strona zwykle używa ZP + PDS</x:t>
        </x:is>
      </x:c>
    </x:row>
    <x:row r="498" s="655" customFormat="1" ht="30" customHeight="1">
      <x:c r="A498" s="6" t="inlineStr">
        <x:is>
          <x:t xml:space="preserve">400 x 906 cm</x:t>
        </x:is>
      </x:c>
      <x:c r="B498" s="6" t="inlineStr">
        <x:is>
          <x:t xml:space="preserve">OP</x:t>
        </x:is>
      </x:c>
      <x:c r="C498" s="6" t="inlineStr">
        <x:is>
          <x:t xml:space="preserve">Ogród zimowy poliwęglan - baza</x:t>
        </x:is>
      </x:c>
      <x:c r="D498" s="6" t="inlineStr">
        <x:is>
          <x:t xml:space="preserve">OGRODY POLIWĘGLAN</x:t>
        </x:is>
      </x:c>
      <x:c r="E498" s="8" t="n">
        <x:f>IFERROR(INDEX('02_RAW_INDEX'!$Z:$Z,MATCH($A498,'02_RAW_INDEX'!$A:$A,0)),"")</x:f>
        <x:v>25764</x:v>
      </x:c>
      <x:c r="F498" s="8" t="n">
        <x:f>IFERROR(INDEX('02_RAW_INDEX'!$Y:$Y,MATCH($A498,'02_RAW_INDEX'!$A:$A,0)),"")</x:f>
        <x:v>31690</x:v>
      </x:c>
      <x:c r="G498" s="7" t="n">
        <x:f>'01_Ustawienia'!$B$6</x:f>
        <x:v>0</x:v>
      </x:c>
      <x:c r="H498" s="8" t="n">
        <x:f>IF(E498="","",ROUND(IF('01_Ustawienia'!$B$5="BRUTTO",F498,E498)*(1-G498),0))</x:f>
        <x:v>25764</x:v>
      </x:c>
      <x:c r="I498" s="7" t="n">
        <x:f>IFERROR(IFERROR(INDEX('01_Ustawienia'!$B$15:$B$33,MATCH(B498,'01_Ustawienia'!$A$15:$A$33,0)),0.45),0.45)</x:f>
        <x:v>0.45</x:v>
      </x:c>
      <x:c r="J498" s="8" t="n">
        <x:f>IF(H498="","",ROUND(H498*(1+I498),0))</x:f>
        <x:v>37358</x:v>
      </x:c>
      <x:c r="K498" s="8" t="n">
        <x:f>IFERROR(IFERROR(INDEX(EG_Cennik_uslug!$N:$N,MATCH($A498,EG_Cennik_uslug!$A:$A,0)),0),0)</x:f>
        <x:v>6000</x:v>
      </x:c>
      <x:c r="L498" s="8" t="n">
        <x:f>IFERROR(IFERROR(INDEX(EG_Cennik_uslug!$O:$O,MATCH($A498,EG_Cennik_uslug!$A:$A,0)),0),0)</x:f>
        <x:v>2260</x:v>
      </x:c>
      <x:c r="M498" s="7" t="n">
        <x:f>IF('01_Ustawienia'!$B$4="ZWOLNIONY",0,'01_Ustawienia'!$B$7)</x:f>
        <x:v>0.08</x:v>
      </x:c>
      <x:c r="N498" s="8" t="n">
        <x:f>IF(J498="","",ROUND((J498+K498)*(1+M498),0))</x:f>
        <x:v>46827</x:v>
      </x:c>
      <x:c r="O498" s="8" t="n">
        <x:f>IF(J498="","",J498+K498-H498-L498)</x:f>
        <x:v>15334</x:v>
      </x:c>
      <x:c r="P498" s="7" t="n">
        <x:f>IFERROR(O498/(J498+K498),"")</x:f>
        <x:v>0.3536602241800821</x:v>
      </x:c>
      <x:c r="Q498" s="6" t="inlineStr">
        <x:is>
          <x:t xml:space="preserve">RAW_OP B/C</x:t>
        </x:is>
      </x:c>
      <x:c r="R498" s="6" t="inlineStr">
        <x:is>
          <x:t xml:space="preserve">OGRÓD ZIMOWY (KONSTRUKCJA)</x:t>
        </x:is>
      </x:c>
      <x:c r="S498" s="6" t="inlineStr">
        <x:is>
          <x:t xml:space="preserve">website+crm</x:t>
        </x:is>
      </x:c>
      <x:c r="T498" s="6" t="inlineStr">
        <x:is>
          <x:t xml:space="preserve">Do wyliczenia dopłaty za ściany</x:t>
        </x:is>
      </x:c>
    </x:row>
    <x:row r="499" s="655" customFormat="1" ht="30" customHeight="1">
      <x:c r="A499" s="6" t="inlineStr">
        <x:is>
          <x:t xml:space="preserve">400 x 906 cm</x:t>
        </x:is>
      </x:c>
      <x:c r="B499" s="6" t="inlineStr">
        <x:is>
          <x:t xml:space="preserve">OS</x:t>
        </x:is>
      </x:c>
      <x:c r="C499" s="6" t="inlineStr">
        <x:is>
          <x:t xml:space="preserve">Ogród zimowy szkło - pełna konstrukcja</x:t>
        </x:is>
      </x:c>
      <x:c r="D499" s="6" t="inlineStr">
        <x:is>
          <x:t xml:space="preserve">OGRODY SZKŁO</x:t>
        </x:is>
      </x:c>
      <x:c r="E499" s="8" t="n">
        <x:f>IFERROR(INDEX('02_RAW_INDEX'!$AL:$AL,MATCH($A499,'02_RAW_INDEX'!$A:$A,0)),"")</x:f>
        <x:v>33211</x:v>
      </x:c>
      <x:c r="F499" s="8" t="n">
        <x:f>IFERROR(INDEX('02_RAW_INDEX'!$AK:$AK,MATCH($A499,'02_RAW_INDEX'!$A:$A,0)),"")</x:f>
        <x:v>40850</x:v>
      </x:c>
      <x:c r="G499" s="7" t="n">
        <x:f>'01_Ustawienia'!$B$6</x:f>
        <x:v>0</x:v>
      </x:c>
      <x:c r="H499" s="8" t="n">
        <x:f>IF(E499="","",ROUND(IF('01_Ustawienia'!$B$5="BRUTTO",F499,E499)*(1-G499),0))</x:f>
        <x:v>33211</x:v>
      </x:c>
      <x:c r="I499" s="7" t="n">
        <x:f>IFERROR(IFERROR(INDEX('01_Ustawienia'!$B$15:$B$33,MATCH(B499,'01_Ustawienia'!$A$15:$A$33,0)),0.45),0.45)</x:f>
        <x:v>0.45</x:v>
      </x:c>
      <x:c r="J499" s="8" t="n">
        <x:f>IF(H499="","",ROUND(H499*(1+I499),0))</x:f>
        <x:v>48156</x:v>
      </x:c>
      <x:c r="K499" s="8" t="n">
        <x:f>IFERROR(IFERROR(INDEX(EG_Cennik_uslug!$N:$N,MATCH($A499,EG_Cennik_uslug!$A:$A,0)),0),0)</x:f>
        <x:v>6000</x:v>
      </x:c>
      <x:c r="L499" s="8" t="n">
        <x:f>IFERROR(IFERROR(INDEX(EG_Cennik_uslug!$O:$O,MATCH($A499,EG_Cennik_uslug!$A:$A,0)),0),0)</x:f>
        <x:v>2260</x:v>
      </x:c>
      <x:c r="M499" s="7" t="n">
        <x:f>IF('01_Ustawienia'!$B$4="ZWOLNIONY",0,'01_Ustawienia'!$B$7)</x:f>
        <x:v>0.08</x:v>
      </x:c>
      <x:c r="N499" s="8" t="n">
        <x:f>IF(J499="","",ROUND((J499+K499)*(1+M499),0))</x:f>
        <x:v>58488</x:v>
      </x:c>
      <x:c r="O499" s="8" t="n">
        <x:f>IF(J499="","",J499+K499-H499-L499)</x:f>
        <x:v>18685</x:v>
      </x:c>
      <x:c r="P499" s="7" t="n">
        <x:f>IFERROR(O499/(J499+K499),"")</x:f>
        <x:v>0.34502178890612306</x:v>
      </x:c>
      <x:c r="Q499" s="6" t="inlineStr">
        <x:is>
          <x:t xml:space="preserve">RAW_OS B/C</x:t>
        </x:is>
      </x:c>
      <x:c r="R499" s="6" t="inlineStr">
        <x:is>
          <x:t xml:space="preserve">OGRÓD ZIMOWY (KONSTRUKCJA)</x:t>
        </x:is>
      </x:c>
      <x:c r="S499" s="6" t="inlineStr">
        <x:is>
          <x:t xml:space="preserve">crm_only</x:t>
        </x:is>
      </x:c>
      <x:c r="T499" s="6" t="inlineStr">
        <x:is>
          <x:t xml:space="preserve">Referencyjne/full</x:t>
        </x:is>
      </x:c>
    </x:row>
    <x:row r="500" s="655" customFormat="1" ht="30" customHeight="1">
      <x:c r="A500" s="6" t="inlineStr">
        <x:is>
          <x:t xml:space="preserve">400 x 906 cm</x:t>
        </x:is>
      </x:c>
      <x:c r="B500" s="6" t="inlineStr">
        <x:is>
          <x:t xml:space="preserve">PDS</x:t>
        </x:is>
      </x:c>
      <x:c r="C500" s="6" t="inlineStr">
        <x:is>
          <x:t xml:space="preserve">Dopłata dach szkło przezroczyste</x:t>
        </x:is>
      </x:c>
      <x:c r="D500" s="6" t="inlineStr">
        <x:is>
          <x:t xml:space="preserve">POKRYCIE DACHU SZKŁO</x:t>
        </x:is>
      </x:c>
      <x:c r="E500" s="8" t="n">
        <x:f>IFERROR(IFERROR(INDEX('02_RAW_INDEX'!$V:$V,MATCH($A500,'02_RAW_INDEX'!$A:$A,0)),"")-IFERROR(INDEX('02_RAW_INDEX'!$D:$D,MATCH($A500,'02_RAW_INDEX'!$A:$A,0)),""),"")</x:f>
        <x:v>7447</x:v>
      </x:c>
      <x:c r="F500" s="8" t="n">
        <x:f>IFERROR(IFERROR(INDEX('02_RAW_INDEX'!$U:$U,MATCH($A500,'02_RAW_INDEX'!$A:$A,0)),"")-IFERROR(INDEX('02_RAW_INDEX'!$C:$C,MATCH($A500,'02_RAW_INDEX'!$A:$A,0)),""),"")</x:f>
        <x:v>9160</x:v>
      </x:c>
      <x:c r="G500" s="7" t="n">
        <x:f>'01_Ustawienia'!$B$6</x:f>
        <x:v>0</x:v>
      </x:c>
      <x:c r="H500" s="8" t="n">
        <x:f>IF(E500="","",ROUND(IF('01_Ustawienia'!$B$5="BRUTTO",F500,E500)*(1-G500),0))</x:f>
        <x:v>7447</x:v>
      </x:c>
      <x:c r="I500" s="7" t="n">
        <x:f>IFERROR(IFERROR(INDEX('01_Ustawienia'!$B$15:$B$33,MATCH(B500,'01_Ustawienia'!$A$15:$A$33,0)),0.45),0.45)</x:f>
        <x:v>0.45</x:v>
      </x:c>
      <x:c r="J500" s="8" t="n">
        <x:f>IF(H500="","",ROUND(H500*(1+I500),0))</x:f>
        <x:v>10798</x:v>
      </x:c>
      <x:c r="K500" s="8" t="n">
        <x:f>0</x:f>
        <x:v>0</x:v>
      </x:c>
      <x:c r="L500" s="8" t="n">
        <x:v>0</x:v>
      </x:c>
      <x:c r="M500" s="7" t="n">
        <x:f>IF('01_Ustawienia'!$B$4="ZWOLNIONY",0,'01_Ustawienia'!$B$7)</x:f>
        <x:v>0.08</x:v>
      </x:c>
      <x:c r="N500" s="8" t="n">
        <x:f>IF(J500="","",ROUND((J500+K500)*(1+M500),0))</x:f>
        <x:v>11662</x:v>
      </x:c>
      <x:c r="O500" s="8" t="n">
        <x:f>IF(J500="","",J500+K500-H500-L500)</x:f>
        <x:v>3351</x:v>
      </x:c>
      <x:c r="P500" s="7" t="n">
        <x:f>IFERROR(O500/(J500+K500),"")</x:f>
        <x:v>0.3103352472680126</x:v>
      </x:c>
      <x:c r="Q500" s="6" t="inlineStr">
        <x:is>
          <x:t xml:space="preserve">RAW_ZS - RAW_ZP</x:t>
        </x:is>
      </x:c>
      <x:c r="R500" s="6" t="inlineStr">
        <x:is>
          <x:t xml:space="preserve">POKRYCIE DACHU</x:t>
        </x:is>
      </x:c>
      <x:c r="S500" s="6" t="inlineStr">
        <x:is>
          <x:t xml:space="preserve">website+crm</x:t>
        </x:is>
      </x:c>
      <x:c r="T500" s="6" t="inlineStr">
        <x:is>
          <x:t xml:space="preserve">Dopłata do bazowego dachu poliwęglan | FIX17: Wynagr.+koszty = 0 dla dopłaty; nie jest osobnym montażem ekipy.</x:t>
        </x:is>
      </x:c>
    </x:row>
    <x:row r="501" s="655" customFormat="1" ht="30" customHeight="1">
      <x:c r="A501" s="6" t="inlineStr">
        <x:is>
          <x:t xml:space="preserve">400 x 906 cm</x:t>
        </x:is>
      </x:c>
      <x:c r="B501" s="6" t="inlineStr">
        <x:is>
          <x:t xml:space="preserve">PDSB</x:t>
        </x:is>
      </x:c>
      <x:c r="C501" s="6" t="inlineStr">
        <x:is>
          <x:t xml:space="preserve">Dopłata dach szkło barwione/mleczne</x:t>
        </x:is>
      </x:c>
      <x:c r="D501" s="6" t="inlineStr">
        <x:is>
          <x:t xml:space="preserve">POKRYCIE DACHU SZKŁO BARWIONE</x:t>
        </x:is>
      </x:c>
      <x:c r="E501" s="8" t="n">
        <x:f>IFERROR(INDEX('02_RAW_INDEX'!$X:$X,MATCH($A501,'02_RAW_INDEX'!$A:$A,0)),"")</x:f>
        <x:v>854</x:v>
      </x:c>
      <x:c r="F501" s="8" t="n">
        <x:f>IFERROR(INDEX('02_RAW_INDEX'!$W:$W,MATCH($A501,'02_RAW_INDEX'!$A:$A,0)),"")</x:f>
        <x:v>1050</x:v>
      </x:c>
      <x:c r="G501" s="7" t="n">
        <x:f>'01_Ustawienia'!$B$6</x:f>
        <x:v>0</x:v>
      </x:c>
      <x:c r="H501" s="8" t="n">
        <x:f>IF(E501="","",ROUND(IF('01_Ustawienia'!$B$5="BRUTTO",F501,E501)*(1-G501),0))</x:f>
        <x:v>854</x:v>
      </x:c>
      <x:c r="I501" s="7" t="n">
        <x:f>IFERROR(IFERROR(INDEX('01_Ustawienia'!$B$15:$B$33,MATCH(B501,'01_Ustawienia'!$A$15:$A$33,0)),0.45),0.45)</x:f>
        <x:v>0.45</x:v>
      </x:c>
      <x:c r="J501" s="8" t="n">
        <x:f>IF(H501="","",ROUND(H501*(1+I501),0))</x:f>
        <x:v>1238</x:v>
      </x:c>
      <x:c r="K501" s="8" t="n">
        <x:f>0</x:f>
        <x:v>0</x:v>
      </x:c>
      <x:c r="L501" s="8" t="n">
        <x:v>0</x:v>
      </x:c>
      <x:c r="M501" s="7" t="n">
        <x:f>IF('01_Ustawienia'!$B$4="ZWOLNIONY",0,'01_Ustawienia'!$B$7)</x:f>
        <x:v>0.08</x:v>
      </x:c>
      <x:c r="N501" s="8" t="n">
        <x:f>IF(J501="","",ROUND((J501+K501)*(1+M501),0))</x:f>
        <x:v>1337</x:v>
      </x:c>
      <x:c r="O501" s="8" t="n">
        <x:f>IF(J501="","",J501+K501-H501-L501)</x:f>
        <x:v>384</x:v>
      </x:c>
      <x:c r="P501" s="7" t="n">
        <x:f>IFERROR(O501/(J501+K501),"")</x:f>
        <x:v>0.31017770597738287</x:v>
      </x:c>
      <x:c r="Q501" s="6" t="inlineStr">
        <x:is>
          <x:t xml:space="preserve">RAW_ZS D/E</x:t>
        </x:is>
      </x:c>
      <x:c r="R501" s="6" t="inlineStr">
        <x:is>
          <x:t xml:space="preserve">POKRYCIE DACHU</x:t>
        </x:is>
      </x:c>
      <x:c r="S501" s="6" t="inlineStr">
        <x:is>
          <x:t xml:space="preserve">website+crm</x:t>
        </x:is>
      </x:c>
      <x:c r="T501" s="6" t="inlineStr">
        <x:is>
          <x:t xml:space="preserve">Dodawane do PDS | FIX17: Wynagr.+koszty = 0 dla dopłaty; nie jest osobnym montażem ekipy.</x:t>
        </x:is>
      </x:c>
    </x:row>
    <x:row r="502" s="655" customFormat="1" ht="30" customHeight="1">
      <x:c r="A502" s="6" t="inlineStr">
        <x:is>
          <x:t xml:space="preserve">400 x 906 cm</x:t>
        </x:is>
      </x:c>
      <x:c r="B502" s="6" t="inlineStr">
        <x:is>
          <x:t xml:space="preserve">PDPB</x:t>
        </x:is>
      </x:c>
      <x:c r="C502" s="6" t="inlineStr">
        <x:is>
          <x:t xml:space="preserve">Dopłata poliwęglan barwiony</x:t>
        </x:is>
      </x:c>
      <x:c r="D502" s="6" t="inlineStr">
        <x:is>
          <x:t xml:space="preserve">POKRYCIE DACHU POLIWĘGLAN BARWIONY</x:t>
        </x:is>
      </x:c>
      <x:c r="E502" s="8" t="n">
        <x:f>IFERROR(INDEX('02_RAW_INDEX'!$F:$F,MATCH($A502,'02_RAW_INDEX'!$A:$A,0)),"")</x:f>
        <x:v>407</x:v>
      </x:c>
      <x:c r="F502" s="8" t="n">
        <x:f>IFERROR(INDEX('02_RAW_INDEX'!$E:$E,MATCH($A502,'02_RAW_INDEX'!$A:$A,0)),"")</x:f>
        <x:v>500</x:v>
      </x:c>
      <x:c r="G502" s="7" t="n">
        <x:f>'01_Ustawienia'!$B$6</x:f>
        <x:v>0</x:v>
      </x:c>
      <x:c r="H502" s="8" t="n">
        <x:f>IF(E502="","",ROUND(IF('01_Ustawienia'!$B$5="BRUTTO",F502,E502)*(1-G502),0))</x:f>
        <x:v>407</x:v>
      </x:c>
      <x:c r="I502" s="7" t="n">
        <x:f>IFERROR(IFERROR(INDEX('01_Ustawienia'!$B$15:$B$33,MATCH(B502,'01_Ustawienia'!$A$15:$A$33,0)),0.45),0.45)</x:f>
        <x:v>0.45</x:v>
      </x:c>
      <x:c r="J502" s="8" t="n">
        <x:f>IF(H502="","",ROUND(H502*(1+I502),0))</x:f>
        <x:v>590</x:v>
      </x:c>
      <x:c r="K502" s="8" t="n">
        <x:f>0</x:f>
        <x:v>0</x:v>
      </x:c>
      <x:c r="L502" s="8" t="n">
        <x:v>0</x:v>
      </x:c>
      <x:c r="M502" s="7" t="n">
        <x:f>IF('01_Ustawienia'!$B$4="ZWOLNIONY",0,'01_Ustawienia'!$B$7)</x:f>
        <x:v>0.08</x:v>
      </x:c>
      <x:c r="N502" s="8" t="n">
        <x:f>IF(J502="","",ROUND((J502+K502)*(1+M502),0))</x:f>
        <x:v>637</x:v>
      </x:c>
      <x:c r="O502" s="8" t="n">
        <x:f>IF(J502="","",J502+K502-H502-L502)</x:f>
        <x:v>183</x:v>
      </x:c>
      <x:c r="P502" s="7" t="n">
        <x:f>IFERROR(O502/(J502+K502),"")</x:f>
        <x:v>0.3101694915254237</x:v>
      </x:c>
      <x:c r="Q502" s="6" t="inlineStr">
        <x:is>
          <x:t xml:space="preserve">RAW_ZP D/E</x:t>
        </x:is>
      </x:c>
      <x:c r="R502" s="6" t="inlineStr">
        <x:is>
          <x:t xml:space="preserve">POKRYCIE DACHU</x:t>
        </x:is>
      </x:c>
      <x:c r="S502" s="6" t="inlineStr">
        <x:is>
          <x:t xml:space="preserve">website+crm</x:t>
        </x:is>
      </x:c>
      <x:c r="T502" s="6" t="inlineStr">
        <x:is>
          <x:t xml:space="preserve">FIX17: Wynagr.+koszty = 0 dla dopłaty; nie jest osobnym montażem ekipy.</x:t>
        </x:is>
      </x:c>
    </x:row>
    <x:row r="503" s="655" customFormat="1" ht="30" customHeight="1">
      <x:c r="A503" s="6" t="inlineStr">
        <x:is>
          <x:t xml:space="preserve">400 x 906 cm</x:t>
        </x:is>
      </x:c>
      <x:c r="B503" s="6" t="inlineStr">
        <x:is>
          <x:t xml:space="preserve">SBB</x:t>
        </x:is>
      </x:c>
      <x:c r="C503" s="6" t="inlineStr">
        <x:is>
          <x:t xml:space="preserve">Dopłata szkło boczne przyciemniane</x:t>
        </x:is>
      </x:c>
      <x:c r="D503" s="6" t="inlineStr">
        <x:is>
          <x:t xml:space="preserve">SZKŁO BOCZNE BARWIONE</x:t>
        </x:is>
      </x:c>
      <x:c r="E503" s="8" t="n">
        <x:f>IFERROR(INDEX('02_RAW_INDEX'!$AB:$AB,MATCH($A503,'02_RAW_INDEX'!$A:$A,0)),"")</x:f>
        <x:v>1659</x:v>
      </x:c>
      <x:c r="F503" s="8" t="n">
        <x:f>IFERROR(INDEX('02_RAW_INDEX'!$AA:$AA,MATCH($A503,'02_RAW_INDEX'!$A:$A,0)),"")</x:f>
        <x:v>2040</x:v>
      </x:c>
      <x:c r="G503" s="7" t="n">
        <x:f>'01_Ustawienia'!$B$6</x:f>
        <x:v>0</x:v>
      </x:c>
      <x:c r="H503" s="8" t="n">
        <x:f>IF(E503="","",ROUND(IF('01_Ustawienia'!$B$5="BRUTTO",F503,E503)*(1-G503),0))</x:f>
        <x:v>1659</x:v>
      </x:c>
      <x:c r="I503" s="7" t="n">
        <x:f>IFERROR(IFERROR(INDEX('01_Ustawienia'!$B$15:$B$33,MATCH(B503,'01_Ustawienia'!$A$15:$A$33,0)),0.45),0.45)</x:f>
        <x:v>0.45</x:v>
      </x:c>
      <x:c r="J503" s="8" t="n">
        <x:f>IF(H503="","",ROUND(H503*(1+I503),0))</x:f>
        <x:v>2406</x:v>
      </x:c>
      <x:c r="K503" s="8" t="n">
        <x:f>0</x:f>
        <x:v>0</x:v>
      </x:c>
      <x:c r="L503" s="8" t="n">
        <x:v>0</x:v>
      </x:c>
      <x:c r="M503" s="7" t="n">
        <x:f>IF('01_Ustawienia'!$B$4="ZWOLNIONY",0,'01_Ustawienia'!$B$7)</x:f>
        <x:v>0.08</x:v>
      </x:c>
      <x:c r="N503" s="8" t="n">
        <x:f>IF(J503="","",ROUND((J503+K503)*(1+M503),0))</x:f>
        <x:v>2598</x:v>
      </x:c>
      <x:c r="O503" s="8" t="n">
        <x:f>IF(J503="","",J503+K503-H503-L503)</x:f>
        <x:v>747</x:v>
      </x:c>
      <x:c r="P503" s="7" t="n">
        <x:f>IFERROR(O503/(J503+K503),"")</x:f>
        <x:v>0.3104738154613466</x:v>
      </x:c>
      <x:c r="Q503" s="6" t="inlineStr">
        <x:is>
          <x:t xml:space="preserve">RAW_OP H/I</x:t>
        </x:is>
      </x:c>
      <x:c r="R503" s="6" t="inlineStr">
        <x:is>
          <x:t xml:space="preserve">SZYBY BOCZNE</x:t>
        </x:is>
      </x:c>
      <x:c r="S503" s="6" t="inlineStr">
        <x:is>
          <x:t xml:space="preserve">website+crm</x:t>
        </x:is>
      </x:c>
      <x:c r="T503" s="6" t="inlineStr">
        <x:is>
          <x:t xml:space="preserve">Dodawane do ścian przezroczystych | FIX17: Wynagr.+koszty = 0 dla dopłaty; nie jest osobnym montażem ekipy.</x:t>
        </x:is>
      </x:c>
    </x:row>
    <x:row r="504">
      <x:c r="A504" s="6" t="inlineStr">
        <x:is>
          <x:t xml:space="preserve">400 x 906 cm</x:t>
        </x:is>
      </x:c>
      <x:c r="B504" s="6" t="inlineStr">
        <x:is>
          <x:t xml:space="preserve">RB</x:t>
        </x:is>
      </x:c>
      <x:c r="C504" s="6" t="inlineStr">
        <x:is>
          <x:t xml:space="preserve">Roleta boczna ZIP</x:t>
        </x:is>
      </x:c>
      <x:c r="D504" s="6" t="inlineStr">
        <x:is>
          <x:t xml:space="preserve">ROLETA BOCZNA</x:t>
        </x:is>
      </x:c>
      <x:c r="E504" s="8" t="n">
        <x:f>IFERROR(INDEX('02_RAW_INDEX'!$J:$J,MATCH($A504,'02_RAW_INDEX'!$A:$A,0)),"")</x:f>
        <x:v>2146</x:v>
      </x:c>
      <x:c r="F504" s="8" t="n">
        <x:f>IFERROR(INDEX('02_RAW_INDEX'!$I:$I,MATCH($A504,'02_RAW_INDEX'!$A:$A,0)),"")</x:f>
        <x:v>2640</x:v>
      </x:c>
      <x:c r="G504" s="7" t="n">
        <x:f>'01_Ustawienia'!$B$6</x:f>
        <x:v>0</x:v>
      </x:c>
      <x:c r="H504" s="8" t="n">
        <x:f>IF(E504="","",ROUND(IF('01_Ustawienia'!$B$5="BRUTTO",F504,E504)*(1-G504),0))</x:f>
        <x:v>2146</x:v>
      </x:c>
      <x:c r="I504" s="7" t="n">
        <x:f>IFERROR(IFERROR(INDEX('01_Ustawienia'!$B$15:$B$33,MATCH(B504,'01_Ustawienia'!$A$15:$A$33,0)),0.45),0.45)</x:f>
        <x:v>0.45</x:v>
      </x:c>
      <x:c r="J504" s="8" t="n">
        <x:f>IF(H504="","",ROUND(H504*(1+I504),0))</x:f>
        <x:v>3112</x:v>
      </x:c>
      <x:c r="K504" s="8" t="n">
        <x:f>0</x:f>
        <x:v>0</x:v>
      </x:c>
      <x:c r="L504" s="8" t="n">
        <x:f>IFERROR(IFERROR(INDEX(EG_Cennik_uslug!$AC:$AC,MATCH($A504,EG_Cennik_uslug!$A:$A,0)),0),0)</x:f>
        <x:v>150</x:v>
      </x:c>
      <x:c r="M504" s="7" t="n">
        <x:f>IF('01_Ustawienia'!$B$4="ZWOLNIONY",0,'01_Ustawienia'!$B$7)</x:f>
        <x:v>0.08</x:v>
      </x:c>
      <x:c r="N504" s="8" t="n">
        <x:f>IF(J504="","",ROUND((J504+K504)*(1+M504),0))</x:f>
        <x:v>3361</x:v>
      </x:c>
      <x:c r="O504" s="8" t="n">
        <x:f>IF(J504="","",J504+K504-H504-L504)</x:f>
        <x:v>816</x:v>
      </x:c>
      <x:c r="P504" s="7" t="n">
        <x:f>IFERROR(O504/(J504+K504),"")</x:f>
        <x:v>0.2622107969151671</x:v>
      </x:c>
      <x:c r="Q504" s="6" t="inlineStr">
        <x:is>
          <x:t xml:space="preserve">RAW_ZP J/K</x:t>
        </x:is>
      </x:c>
      <x:c r="R504" s="6" t="inlineStr">
        <x:is>
          <x:t xml:space="preserve">ROLETY BOCZNE</x:t>
        </x:is>
      </x:c>
      <x:c r="S504" s="6" t="inlineStr">
        <x:is>
          <x:t xml:space="preserve">website+crm</x:t>
        </x:is>
      </x:c>
      <x:c r="T504" s="6" t="inlineStr">
        <x:is>
          <x:t xml:space="preserve">Używana dla lewej i prawej</x:t>
        </x:is>
      </x:c>
    </x:row>
    <x:row r="505">
      <x:c r="A505" s="6" t="inlineStr">
        <x:is>
          <x:t xml:space="preserve">400 x 906 cm</x:t>
        </x:is>
      </x:c>
      <x:c r="B505" s="6" t="inlineStr">
        <x:is>
          <x:t xml:space="preserve">RP</x:t>
        </x:is>
      </x:c>
      <x:c r="C505" s="6" t="inlineStr">
        <x:is>
          <x:t xml:space="preserve">Roleta przednia ZIP</x:t>
        </x:is>
      </x:c>
      <x:c r="D505" s="6" t="inlineStr">
        <x:is>
          <x:t xml:space="preserve">ROLETA PRZÓD</x:t>
        </x:is>
      </x:c>
      <x:c r="E505" s="8" t="n">
        <x:f>IFERROR(INDEX('02_RAW_INDEX'!$L:$L,MATCH($A505,'02_RAW_INDEX'!$A:$A,0)),"")</x:f>
        <x:v>5203</x:v>
      </x:c>
      <x:c r="F505" s="8" t="n">
        <x:f>IFERROR(INDEX('02_RAW_INDEX'!$K:$K,MATCH($A505,'02_RAW_INDEX'!$A:$A,0)),"")</x:f>
        <x:v>6400</x:v>
      </x:c>
      <x:c r="G505" s="7" t="n">
        <x:f>'01_Ustawienia'!$B$6</x:f>
        <x:v>0</x:v>
      </x:c>
      <x:c r="H505" s="8" t="n">
        <x:f>IF(E505="","",ROUND(IF('01_Ustawienia'!$B$5="BRUTTO",F505,E505)*(1-G505),0))</x:f>
        <x:v>5203</x:v>
      </x:c>
      <x:c r="I505" s="7" t="n">
        <x:f>IFERROR(IFERROR(INDEX('01_Ustawienia'!$B$15:$B$33,MATCH(B505,'01_Ustawienia'!$A$15:$A$33,0)),0.45),0.45)</x:f>
        <x:v>0.45</x:v>
      </x:c>
      <x:c r="J505" s="8" t="n">
        <x:f>IF(H505="","",ROUND(H505*(1+I505),0))</x:f>
        <x:v>7544</x:v>
      </x:c>
      <x:c r="K505" s="8" t="n">
        <x:f>0</x:f>
        <x:v>0</x:v>
      </x:c>
      <x:c r="L505" s="8" t="n">
        <x:f>IFERROR(IFERROR(INDEX(EG_Cennik_uslug!$AJ:$AJ,MATCH($A505,EG_Cennik_uslug!$A:$A,0)),0),0)</x:f>
        <x:v>450</x:v>
      </x:c>
      <x:c r="M505" s="7" t="n">
        <x:f>IF('01_Ustawienia'!$B$4="ZWOLNIONY",0,'01_Ustawienia'!$B$7)</x:f>
        <x:v>0.08</x:v>
      </x:c>
      <x:c r="N505" s="8" t="n">
        <x:f>IF(J505="","",ROUND((J505+K505)*(1+M505),0))</x:f>
        <x:v>8148</x:v>
      </x:c>
      <x:c r="O505" s="8" t="n">
        <x:f>IF(J505="","",J505+K505-H505-L505)</x:f>
        <x:v>1891</x:v>
      </x:c>
      <x:c r="P505" s="7" t="n">
        <x:f>IFERROR(O505/(J505+K505),"")</x:f>
        <x:v>0.2506627783669141</x:v>
      </x:c>
      <x:c r="Q505" s="6" t="inlineStr">
        <x:is>
          <x:t xml:space="preserve">RAW_ZP N/O</x:t>
        </x:is>
      </x:c>
      <x:c r="R505" s="6" t="inlineStr">
        <x:is>
          <x:t xml:space="preserve">ROLETY BOCZNE</x:t>
        </x:is>
      </x:c>
      <x:c r="S505" s="6" t="inlineStr">
        <x:is>
          <x:t xml:space="preserve">website+crm</x:t>
        </x:is>
      </x:c>
      <x:c r="T505" s="6" t="n"/>
    </x:row>
    <x:row r="506">
      <x:c r="A506" s="6" t="inlineStr">
        <x:is>
          <x:t xml:space="preserve">400 x 906 cm</x:t>
        </x:is>
      </x:c>
      <x:c r="B506" s="6" t="inlineStr">
        <x:is>
          <x:t xml:space="preserve">M</x:t>
        </x:is>
      </x:c>
      <x:c r="C506" s="6" t="inlineStr">
        <x:is>
          <x:t xml:space="preserve">Markiza dachowa</x:t>
        </x:is>
      </x:c>
      <x:c r="D506" s="6" t="inlineStr">
        <x:is>
          <x:t xml:space="preserve">MARKIZA</x:t>
        </x:is>
      </x:c>
      <x:c r="E506" s="8" t="n">
        <x:f>IFERROR(INDEX('02_RAW_INDEX'!$H:$H,MATCH($A506,'02_RAW_INDEX'!$A:$A,0)),"")</x:f>
        <x:v>8114</x:v>
      </x:c>
      <x:c r="F506" s="8" t="n">
        <x:f>IFERROR(INDEX('02_RAW_INDEX'!$G:$G,MATCH($A506,'02_RAW_INDEX'!$A:$A,0)),"")</x:f>
        <x:v>9980</x:v>
      </x:c>
      <x:c r="G506" s="7" t="n">
        <x:f>'01_Ustawienia'!$B$6</x:f>
        <x:v>0</x:v>
      </x:c>
      <x:c r="H506" s="8" t="n">
        <x:f>IF(E506="","",ROUND(IF('01_Ustawienia'!$B$5="BRUTTO",F506,E506)*(1-G506),0))</x:f>
        <x:v>8114</x:v>
      </x:c>
      <x:c r="I506" s="7" t="n">
        <x:f>IFERROR(IFERROR(INDEX('01_Ustawienia'!$B$15:$B$33,MATCH(B506,'01_Ustawienia'!$A$15:$A$33,0)),0.45),0.45)</x:f>
        <x:v>0.45</x:v>
      </x:c>
      <x:c r="J506" s="8" t="n">
        <x:f>IF(H506="","",ROUND(H506*(1+I506),0))</x:f>
        <x:v>11765</x:v>
      </x:c>
      <x:c r="K506" s="8" t="n">
        <x:f>0</x:f>
        <x:v>0</x:v>
      </x:c>
      <x:c r="L506" s="8" t="n">
        <x:f>IFERROR(IFERROR(INDEX(EG_Cennik_uslug!$AQ:$AQ,MATCH($A506,EG_Cennik_uslug!$A:$A,0)),0),0)</x:f>
        <x:v>550</x:v>
      </x:c>
      <x:c r="M506" s="7" t="n">
        <x:f>IF('01_Ustawienia'!$B$4="ZWOLNIONY",0,'01_Ustawienia'!$B$7)</x:f>
        <x:v>0.08</x:v>
      </x:c>
      <x:c r="N506" s="8" t="n">
        <x:f>IF(J506="","",ROUND((J506+K506)*(1+M506),0))</x:f>
        <x:v>12706</x:v>
      </x:c>
      <x:c r="O506" s="8" t="n">
        <x:f>IF(J506="","",J506+K506-H506-L506)</x:f>
        <x:v>3101</x:v>
      </x:c>
      <x:c r="P506" s="7" t="n">
        <x:f>IFERROR(O506/(J506+K506),"")</x:f>
        <x:v>0.2635784105397365</x:v>
      </x:c>
      <x:c r="Q506" s="6" t="inlineStr">
        <x:is>
          <x:t xml:space="preserve">RAW_ZP H/I</x:t>
        </x:is>
      </x:c>
      <x:c r="R506" s="6" t="inlineStr">
        <x:is>
          <x:t xml:space="preserve">MARKIZA</x:t>
        </x:is>
      </x:c>
      <x:c r="S506" s="6" t="inlineStr">
        <x:is>
          <x:t xml:space="preserve">website+crm</x:t>
        </x:is>
      </x:c>
      <x:c r="T506" s="6" t="n"/>
    </x:row>
    <x:row r="507">
      <x:c r="A507" s="6" t="inlineStr">
        <x:is>
          <x:t xml:space="preserve">400 x 906 cm</x:t>
        </x:is>
      </x:c>
      <x:c r="B507" s="6" t="inlineStr">
        <x:is>
          <x:t xml:space="preserve">PDWP</x:t>
        </x:is>
      </x:c>
      <x:c r="C507" s="6" t="inlineStr">
        <x:is>
          <x:t xml:space="preserve">Fundament/profile</x:t>
        </x:is>
      </x:c>
      <x:c r="D507" s="6" t="inlineStr">
        <x:is>
          <x:t xml:space="preserve">FUNDAMENT / PROFILE</x:t>
        </x:is>
      </x:c>
      <x:c r="E507" s="8" t="n">
        <x:f>IFERROR(INDEX('02_RAW_INDEX'!$AH:$AH,MATCH($A507,'02_RAW_INDEX'!$A:$A,0)),"")</x:f>
        <x:v>1195</x:v>
      </x:c>
      <x:c r="F507" s="8" t="n">
        <x:f>IFERROR(INDEX('02_RAW_INDEX'!$AG:$AG,MATCH($A507,'02_RAW_INDEX'!$A:$A,0)),"")</x:f>
        <x:v>1470</x:v>
      </x:c>
      <x:c r="G507" s="7" t="n">
        <x:f>'01_Ustawienia'!$B$6</x:f>
        <x:v>0</x:v>
      </x:c>
      <x:c r="H507" s="8" t="n">
        <x:f>IF(E507="","",ROUND(IF('01_Ustawienia'!$B$5="BRUTTO",F507,E507)*(1-G507),0))</x:f>
        <x:v>1195</x:v>
      </x:c>
      <x:c r="I507" s="7" t="n">
        <x:f>IFERROR(IFERROR(INDEX('01_Ustawienia'!$B$15:$B$33,MATCH(B507,'01_Ustawienia'!$A$15:$A$33,0)),0.45),0.45)</x:f>
        <x:v>1.2</x:v>
      </x:c>
      <x:c r="J507" s="8" t="n">
        <x:f>IF(H507="","",ROUND(H507*(1+I507),0))</x:f>
        <x:v>2629</x:v>
      </x:c>
      <x:c r="K507" s="8" t="n">
        <x:f>0</x:f>
        <x:v>0</x:v>
      </x:c>
      <x:c r="L507" s="8" t="n">
        <x:f>IFERROR(IFERROR(INDEX(EG_Cennik_uslug!$BT:$BT,MATCH($A507,EG_Cennik_uslug!$A:$A,0)),0),0)</x:f>
        <x:v>560</x:v>
      </x:c>
      <x:c r="M507" s="7" t="n">
        <x:f>IF('01_Ustawienia'!$B$4="ZWOLNIONY",0,'01_Ustawienia'!$B$7)</x:f>
        <x:v>0.08</x:v>
      </x:c>
      <x:c r="N507" s="8" t="n">
        <x:f>IF(J507="","",ROUND((J507+K507)*(1+M507),0))</x:f>
        <x:v>2839</x:v>
      </x:c>
      <x:c r="O507" s="8" t="n">
        <x:f>IF(J507="","",J507+K507-H507-L507)</x:f>
        <x:v>874</x:v>
      </x:c>
      <x:c r="P507" s="7" t="n">
        <x:f>IFERROR(O507/(J507+K507),"")</x:f>
        <x:v>0.33244579688094333</x:v>
      </x:c>
      <x:c r="Q507" s="6" t="inlineStr">
        <x:is>
          <x:t xml:space="preserve">RAW_OP AB/AC</x:t>
        </x:is>
      </x:c>
      <x:c r="R507" s="6" t="inlineStr">
        <x:is>
          <x:t xml:space="preserve">FUNDAMENT (PROFILE)</x:t>
        </x:is>
      </x:c>
      <x:c r="S507" s="6" t="inlineStr">
        <x:is>
          <x:t xml:space="preserve">website+crm</x:t>
        </x:is>
      </x:c>
      <x:c r="T507" s="6" t="n"/>
    </x:row>
    <x:row r="508" s="655" customFormat="1" ht="30" customHeight="1">
      <x:c r="A508" s="6" t="inlineStr">
        <x:is>
          <x:t xml:space="preserve">400 x 906 cm</x:t>
        </x:is>
      </x:c>
      <x:c r="B508" s="6" t="inlineStr">
        <x:is>
          <x:t xml:space="preserve">ZAB</x:t>
        </x:is>
      </x:c>
      <x:c r="C508" s="6" t="inlineStr">
        <x:is>
          <x:t xml:space="preserve">Zabieraki do ścian przesuwnych</x:t>
        </x:is>
      </x:c>
      <x:c r="D508" s="6" t="inlineStr">
        <x:is>
          <x:t xml:space="preserve">DODATKI</x:t>
        </x:is>
      </x:c>
      <x:c r="E508" s="8" t="n">
        <x:f>IFERROR(INDEX('02_RAW_INDEX'!$AJ:$AJ,MATCH($A508,'02_RAW_INDEX'!$A:$A,0)),"")</x:f>
        <x:v>390</x:v>
      </x:c>
      <x:c r="F508" s="8" t="n">
        <x:f>IFERROR(INDEX('02_RAW_INDEX'!$AI:$AI,MATCH($A508,'02_RAW_INDEX'!$A:$A,0)),"")</x:f>
        <x:v>480</x:v>
      </x:c>
      <x:c r="G508" s="7" t="n">
        <x:f>'01_Ustawienia'!$B$6</x:f>
        <x:v>0</x:v>
      </x:c>
      <x:c r="H508" s="8" t="n">
        <x:f>IF(E508="","",ROUND(IF('01_Ustawienia'!$B$5="BRUTTO",F508,E508)*(1-G508),0))</x:f>
        <x:v>390</x:v>
      </x:c>
      <x:c r="I508" s="7" t="n">
        <x:f>IFERROR(IFERROR(INDEX('01_Ustawienia'!$B$15:$B$33,MATCH(B508,'01_Ustawienia'!$A$15:$A$33,0)),0.45),0.45)</x:f>
        <x:v>0.45</x:v>
      </x:c>
      <x:c r="J508" s="8" t="n">
        <x:f>IF(H508="","",ROUND(H508*(1+I508),0))</x:f>
        <x:v>566</x:v>
      </x:c>
      <x:c r="K508" s="8" t="n">
        <x:f>0</x:f>
        <x:v>0</x:v>
      </x:c>
      <x:c r="L508" s="8" t="n">
        <x:f>0</x:f>
        <x:v>0</x:v>
      </x:c>
      <x:c r="M508" s="7" t="n">
        <x:f>IF('01_Ustawienia'!$B$4="ZWOLNIONY",0,'01_Ustawienia'!$B$7)</x:f>
        <x:v>0.08</x:v>
      </x:c>
      <x:c r="N508" s="8" t="n">
        <x:f>IF(J508="","",ROUND((J508+K508)*(1+M508),0))</x:f>
        <x:v>611</x:v>
      </x:c>
      <x:c r="O508" s="8" t="n">
        <x:f>IF(J508="","",J508+K508-H508-L508)</x:f>
        <x:v>176</x:v>
      </x:c>
      <x:c r="P508" s="7" t="n">
        <x:f>IFERROR(O508/(J508+K508),"")</x:f>
        <x:v>0.31095406360424027</x:v>
      </x:c>
      <x:c r="Q508" s="6" t="inlineStr">
        <x:is>
          <x:t xml:space="preserve">RAW_OP AD/AE</x:t>
        </x:is>
      </x:c>
      <x:c r="R508" s="6" t="inlineStr">
        <x:is>
          <x:t xml:space="preserve">DODATKI</x:t>
        </x:is>
      </x:c>
      <x:c r="S508" s="6" t="inlineStr">
        <x:is>
          <x:t xml:space="preserve">crm_only</x:t>
        </x:is>
      </x:c>
      <x:c r="T508" s="6" t="n"/>
    </x:row>
    <x:row r="509">
      <x:c r="A509" s="6" t="inlineStr">
        <x:is>
          <x:t xml:space="preserve">400 x 906 cm</x:t>
        </x:is>
      </x:c>
      <x:c r="B509" s="6" t="inlineStr">
        <x:is>
          <x:t xml:space="preserve">S</x:t>
        </x:is>
      </x:c>
      <x:c r="C509" s="6" t="inlineStr">
        <x:is>
          <x:t xml:space="preserve">Szczotki przeciwkurzowe</x:t>
        </x:is>
      </x:c>
      <x:c r="D509" s="6" t="inlineStr">
        <x:is>
          <x:t xml:space="preserve">SZCZOTKI</x:t>
        </x:is>
      </x:c>
      <x:c r="E509" s="8" t="n">
        <x:f>IFERROR(INDEX('02_RAW_INDEX'!$AD:$AD,MATCH($A509,'02_RAW_INDEX'!$A:$A,0)),"")</x:f>
        <x:v>528</x:v>
      </x:c>
      <x:c r="F509" s="8" t="n">
        <x:f>IFERROR(INDEX('02_RAW_INDEX'!$AC:$AC,MATCH($A509,'02_RAW_INDEX'!$A:$A,0)),"")</x:f>
        <x:v>650</x:v>
      </x:c>
      <x:c r="G509" s="7" t="n">
        <x:f>'01_Ustawienia'!$B$6</x:f>
        <x:v>0</x:v>
      </x:c>
      <x:c r="H509" s="8" t="n">
        <x:f>IF(E509="","",ROUND(IF('01_Ustawienia'!$B$5="BRUTTO",F509,E509)*(1-G509),0))</x:f>
        <x:v>528</x:v>
      </x:c>
      <x:c r="I509" s="7" t="n">
        <x:f>IFERROR(IFERROR(INDEX('01_Ustawienia'!$B$15:$B$33,MATCH(B509,'01_Ustawienia'!$A$15:$A$33,0)),0.45),0.45)</x:f>
        <x:v>0.45</x:v>
      </x:c>
      <x:c r="J509" s="8" t="n">
        <x:f>IF(H509="","",ROUND(H509*(1+I509),0))</x:f>
        <x:v>766</x:v>
      </x:c>
      <x:c r="K509" s="8" t="n">
        <x:f>0</x:f>
        <x:v>0</x:v>
      </x:c>
      <x:c r="L509" s="8" t="n">
        <x:f>IFERROR(IFERROR(INDEX(EG_Cennik_uslug!$CA:$CA,MATCH($A509,EG_Cennik_uslug!$A:$A,0)),0),0)</x:f>
        <x:v>0</x:v>
      </x:c>
      <x:c r="M509" s="7" t="n">
        <x:f>IF('01_Ustawienia'!$B$4="ZWOLNIONY",0,'01_Ustawienia'!$B$7)</x:f>
        <x:v>0.08</x:v>
      </x:c>
      <x:c r="N509" s="8" t="n">
        <x:f>IF(J509="","",ROUND((J509+K509)*(1+M509),0))</x:f>
        <x:v>827</x:v>
      </x:c>
      <x:c r="O509" s="8" t="n">
        <x:f>IF(J509="","",J509+K509-H509-L509)</x:f>
        <x:v>238</x:v>
      </x:c>
      <x:c r="P509" s="7" t="n">
        <x:f>IFERROR(O509/(J509+K509),"")</x:f>
        <x:v>0.31070496083550914</x:v>
      </x:c>
      <x:c r="Q509" s="6" t="inlineStr">
        <x:is>
          <x:t xml:space="preserve">RAW_OP L/M</x:t>
        </x:is>
      </x:c>
      <x:c r="R509" s="6" t="inlineStr">
        <x:is>
          <x:t xml:space="preserve">DODATKI</x:t>
        </x:is>
      </x:c>
      <x:c r="S509" s="6" t="inlineStr">
        <x:is>
          <x:t xml:space="preserve">website+crm</x:t>
        </x:is>
      </x:c>
      <x:c r="T509" s="6" t="n"/>
    </x:row>
    <x:row r="510">
      <x:c r="A510" s="6" t="inlineStr">
        <x:is>
          <x:t xml:space="preserve">400 x 906 cm</x:t>
        </x:is>
      </x:c>
      <x:c r="B510" s="6" t="inlineStr">
        <x:is>
          <x:t xml:space="preserve">U</x:t>
        </x:is>
      </x:c>
      <x:c r="C510" s="6" t="inlineStr">
        <x:is>
          <x:t xml:space="preserve">Uchwyty na szkło ścienne</x:t>
        </x:is>
      </x:c>
      <x:c r="D510" s="6" t="inlineStr">
        <x:is>
          <x:t xml:space="preserve">UCHWYTY</x:t>
        </x:is>
      </x:c>
      <x:c r="E510" s="8" t="n">
        <x:f>IFERROR(INDEX('02_RAW_INDEX'!$AF:$AF,MATCH($A510,'02_RAW_INDEX'!$A:$A,0)),"")</x:f>
        <x:v>480</x:v>
      </x:c>
      <x:c r="F510" s="8" t="n">
        <x:f>IFERROR(INDEX('02_RAW_INDEX'!$AE:$AE,MATCH($A510,'02_RAW_INDEX'!$A:$A,0)),"")</x:f>
        <x:v>590</x:v>
      </x:c>
      <x:c r="G510" s="7" t="n">
        <x:f>'01_Ustawienia'!$B$6</x:f>
        <x:v>0</x:v>
      </x:c>
      <x:c r="H510" s="8" t="n">
        <x:f>IF(E510="","",ROUND(IF('01_Ustawienia'!$B$5="BRUTTO",F510,E510)*(1-G510),0))</x:f>
        <x:v>480</x:v>
      </x:c>
      <x:c r="I510" s="7" t="n">
        <x:f>IFERROR(IFERROR(INDEX('01_Ustawienia'!$B$15:$B$33,MATCH(B510,'01_Ustawienia'!$A$15:$A$33,0)),0.45),0.45)</x:f>
        <x:v>0.45</x:v>
      </x:c>
      <x:c r="J510" s="8" t="n">
        <x:f>IF(H510="","",ROUND(H510*(1+I510),0))</x:f>
        <x:v>696</x:v>
      </x:c>
      <x:c r="K510" s="8" t="n">
        <x:f>0</x:f>
        <x:v>0</x:v>
      </x:c>
      <x:c r="L510" s="8" t="n">
        <x:f>IFERROR(IFERROR(INDEX(EG_Cennik_uslug!$CH:$CH,MATCH($A510,EG_Cennik_uslug!$A:$A,0)),0),0)</x:f>
        <x:v>0</x:v>
      </x:c>
      <x:c r="M510" s="7" t="n">
        <x:f>IF('01_Ustawienia'!$B$4="ZWOLNIONY",0,'01_Ustawienia'!$B$7)</x:f>
        <x:v>0.08</x:v>
      </x:c>
      <x:c r="N510" s="8" t="n">
        <x:f>IF(J510="","",ROUND((J510+K510)*(1+M510),0))</x:f>
        <x:v>752</x:v>
      </x:c>
      <x:c r="O510" s="8" t="n">
        <x:f>IF(J510="","",J510+K510-H510-L510)</x:f>
        <x:v>216</x:v>
      </x:c>
      <x:c r="P510" s="7" t="n">
        <x:f>IFERROR(O510/(J510+K510),"")</x:f>
        <x:v>0.3103448275862069</x:v>
      </x:c>
      <x:c r="Q510" s="6" t="inlineStr">
        <x:is>
          <x:t xml:space="preserve">RAW_OP N/O</x:t>
        </x:is>
      </x:c>
      <x:c r="R510" s="6" t="inlineStr">
        <x:is>
          <x:t xml:space="preserve">DODATKI</x:t>
        </x:is>
      </x:c>
      <x:c r="S510" s="6" t="inlineStr">
        <x:is>
          <x:t xml:space="preserve">website+crm</x:t>
        </x:is>
      </x:c>
      <x:c r="T510" s="6" t="n"/>
    </x:row>
    <x:row r="511">
      <x:c r="A511" s="6" t="inlineStr">
        <x:is>
          <x:t xml:space="preserve">400 x 906 cm</x:t>
        </x:is>
      </x:c>
      <x:c r="B511" s="6" t="inlineStr">
        <x:is>
          <x:t xml:space="preserve">LED2</x:t>
        </x:is>
      </x:c>
      <x:c r="C511" s="6" t="inlineStr">
        <x:is>
          <x:t xml:space="preserve">Oświetlenie LED 2 punkty</x:t>
        </x:is>
      </x:c>
      <x:c r="D511" s="6" t="inlineStr">
        <x:is>
          <x:t xml:space="preserve">LED 2 PKT</x:t>
        </x:is>
      </x:c>
      <x:c r="E511" s="8" t="n">
        <x:f>IFERROR(INDEX('02_RAW_INDEX'!$N:$N,MATCH($A511,'02_RAW_INDEX'!$A:$A,0)),"")</x:f>
        <x:v>846</x:v>
      </x:c>
      <x:c r="F511" s="8" t="n">
        <x:f>IFERROR(INDEX('02_RAW_INDEX'!$M:$M,MATCH($A511,'02_RAW_INDEX'!$A:$A,0)),"")</x:f>
        <x:v>1040</x:v>
      </x:c>
      <x:c r="G511" s="7" t="n">
        <x:f>'01_Ustawienia'!$B$6</x:f>
        <x:v>0</x:v>
      </x:c>
      <x:c r="H511" s="8" t="n">
        <x:f>IF(E511="","",ROUND(IF('01_Ustawienia'!$B$5="BRUTTO",F511,E511)*(1-G511),0))</x:f>
        <x:v>846</x:v>
      </x:c>
      <x:c r="I511" s="7" t="n">
        <x:f>IFERROR(IFERROR(INDEX('01_Ustawienia'!$B$15:$B$33,MATCH(B511,'01_Ustawienia'!$A$15:$A$33,0)),0.45),0.45)</x:f>
        <x:v>0.45</x:v>
      </x:c>
      <x:c r="J511" s="8" t="n">
        <x:f>IF(H511="","",ROUND(H511*(1+I511),0))</x:f>
        <x:v>1227</x:v>
      </x:c>
      <x:c r="K511" s="8" t="n">
        <x:f>0</x:f>
        <x:v>0</x:v>
      </x:c>
      <x:c r="L511" s="8" t="n">
        <x:f>IFERROR(IFERROR(INDEX(EG_Cennik_uslug!$CO:$CO,MATCH($A511,EG_Cennik_uslug!$A:$A,0)),0),0)</x:f>
        <x:v>0</x:v>
      </x:c>
      <x:c r="M511" s="7" t="n">
        <x:f>IF('01_Ustawienia'!$B$4="ZWOLNIONY",0,'01_Ustawienia'!$B$7)</x:f>
        <x:v>0.08</x:v>
      </x:c>
      <x:c r="N511" s="8" t="n">
        <x:f>IF(J511="","",ROUND((J511+K511)*(1+M511),0))</x:f>
        <x:v>1325</x:v>
      </x:c>
      <x:c r="O511" s="8" t="n">
        <x:f>IF(J511="","",J511+K511-H511-L511)</x:f>
        <x:v>381</x:v>
      </x:c>
      <x:c r="P511" s="7" t="n">
        <x:f>IFERROR(O511/(J511+K511),"")</x:f>
        <x:v>0.3105134474327628</x:v>
      </x:c>
      <x:c r="Q511" s="6" t="inlineStr">
        <x:is>
          <x:t xml:space="preserve">RAW_ZP P/Q</x:t>
        </x:is>
      </x:c>
      <x:c r="R511" s="6" t="inlineStr">
        <x:is>
          <x:t xml:space="preserve">OŚWIETLENIE</x:t>
        </x:is>
      </x:c>
      <x:c r="S511" s="6" t="inlineStr">
        <x:is>
          <x:t xml:space="preserve">website+crm</x:t>
        </x:is>
      </x:c>
      <x:c r="T511" s="6" t="n"/>
    </x:row>
    <x:row r="512">
      <x:c r="A512" s="6" t="inlineStr">
        <x:is>
          <x:t xml:space="preserve">400 x 906 cm</x:t>
        </x:is>
      </x:c>
      <x:c r="B512" s="6" t="inlineStr">
        <x:is>
          <x:t xml:space="preserve">LED3</x:t>
        </x:is>
      </x:c>
      <x:c r="C512" s="6" t="inlineStr">
        <x:is>
          <x:t xml:space="preserve">Oświetlenie LED 3 punkty</x:t>
        </x:is>
      </x:c>
      <x:c r="D512" s="6" t="inlineStr">
        <x:is>
          <x:t xml:space="preserve">LED 3 PKT</x:t>
        </x:is>
      </x:c>
      <x:c r="E512" s="8" t="n">
        <x:f>IFERROR(INDEX('02_RAW_INDEX'!$P:$P,MATCH($A512,'02_RAW_INDEX'!$A:$A,0)),"")</x:f>
        <x:v>1268</x:v>
      </x:c>
      <x:c r="F512" s="8" t="n">
        <x:f>IFERROR(INDEX('02_RAW_INDEX'!$O:$O,MATCH($A512,'02_RAW_INDEX'!$A:$A,0)),"")</x:f>
        <x:v>1560</x:v>
      </x:c>
      <x:c r="G512" s="7" t="n">
        <x:f>'01_Ustawienia'!$B$6</x:f>
        <x:v>0</x:v>
      </x:c>
      <x:c r="H512" s="8" t="n">
        <x:f>IF(E512="","",ROUND(IF('01_Ustawienia'!$B$5="BRUTTO",F512,E512)*(1-G512),0))</x:f>
        <x:v>1268</x:v>
      </x:c>
      <x:c r="I512" s="7" t="n">
        <x:f>IFERROR(IFERROR(INDEX('01_Ustawienia'!$B$15:$B$33,MATCH(B512,'01_Ustawienia'!$A$15:$A$33,0)),0.45),0.45)</x:f>
        <x:v>0.45</x:v>
      </x:c>
      <x:c r="J512" s="8" t="n">
        <x:f>IF(H512="","",ROUND(H512*(1+I512),0))</x:f>
        <x:v>1839</x:v>
      </x:c>
      <x:c r="K512" s="8" t="n">
        <x:f>0</x:f>
        <x:v>0</x:v>
      </x:c>
      <x:c r="L512" s="8" t="n">
        <x:f>IFERROR(IFERROR(INDEX(EG_Cennik_uslug!$CV:$CV,MATCH($A512,EG_Cennik_uslug!$A:$A,0)),0),0)</x:f>
        <x:v>0</x:v>
      </x:c>
      <x:c r="M512" s="7" t="n">
        <x:f>IF('01_Ustawienia'!$B$4="ZWOLNIONY",0,'01_Ustawienia'!$B$7)</x:f>
        <x:v>0.08</x:v>
      </x:c>
      <x:c r="N512" s="8" t="n">
        <x:f>IF(J512="","",ROUND((J512+K512)*(1+M512),0))</x:f>
        <x:v>1986</x:v>
      </x:c>
      <x:c r="O512" s="8" t="n">
        <x:f>IF(J512="","",J512+K512-H512-L512)</x:f>
        <x:v>571</x:v>
      </x:c>
      <x:c r="P512" s="7" t="n">
        <x:f>IFERROR(O512/(J512+K512),"")</x:f>
        <x:v>0.31049483414899404</x:v>
      </x:c>
      <x:c r="Q512" s="6" t="inlineStr">
        <x:is>
          <x:t xml:space="preserve">RAW_ZP R/S</x:t>
        </x:is>
      </x:c>
      <x:c r="R512" s="6" t="inlineStr">
        <x:is>
          <x:t xml:space="preserve">OŚWIETLENIE</x:t>
        </x:is>
      </x:c>
      <x:c r="S512" s="6" t="inlineStr">
        <x:is>
          <x:t xml:space="preserve">website+crm</x:t>
        </x:is>
      </x:c>
      <x:c r="T512" s="6" t="inlineStr">
        <x:is>
          <x:t xml:space="preserve">Nazwa do potwierdzenia</x:t>
        </x:is>
      </x:c>
    </x:row>
    <x:row r="513">
      <x:c r="A513" s="6" t="inlineStr">
        <x:is>
          <x:t xml:space="preserve">400 x 906 cm</x:t>
        </x:is>
      </x:c>
      <x:c r="B513" s="6" t="inlineStr">
        <x:is>
          <x:t xml:space="preserve">LEDCCT</x:t>
        </x:is>
      </x:c>
      <x:c r="C513" s="6" t="inlineStr">
        <x:is>
          <x:t xml:space="preserve">Oświetlenie LED CCT</x:t>
        </x:is>
      </x:c>
      <x:c r="D513" s="6" t="inlineStr">
        <x:is>
          <x:t xml:space="preserve">OŚWIETLENIE</x:t>
        </x:is>
      </x:c>
      <x:c r="E513" s="8" t="n">
        <x:f>IFERROR(INDEX('02_RAW_INDEX'!$R:$R,MATCH($A513,'02_RAW_INDEX'!$A:$A,0)),"")</x:f>
        <x:v>1930</x:v>
      </x:c>
      <x:c r="F513" s="8" t="n">
        <x:f>IFERROR(INDEX('02_RAW_INDEX'!$Q:$Q,MATCH($A513,'02_RAW_INDEX'!$A:$A,0)),"")</x:f>
        <x:v>2374</x:v>
      </x:c>
      <x:c r="G513" s="7" t="n">
        <x:f>'01_Ustawienia'!$B$6</x:f>
        <x:v>0</x:v>
      </x:c>
      <x:c r="H513" s="8" t="n">
        <x:f>IF(E513="","",ROUND(IF('01_Ustawienia'!$B$5="BRUTTO",F513,E513)*(1-G513),0))</x:f>
        <x:v>1930</x:v>
      </x:c>
      <x:c r="I513" s="7" t="n">
        <x:f>IFERROR(IFERROR(INDEX('01_Ustawienia'!$B$15:$B$33,MATCH(B513,'01_Ustawienia'!$A$15:$A$33,0)),0.45),0.45)</x:f>
        <x:v>0.45</x:v>
      </x:c>
      <x:c r="J513" s="8" t="n">
        <x:f>IF(H513="","",ROUND(H513*(1+I513),0))</x:f>
        <x:v>2799</x:v>
      </x:c>
      <x:c r="K513" s="8" t="n">
        <x:f>0</x:f>
        <x:v>0</x:v>
      </x:c>
      <x:c r="L513" s="8" t="n">
        <x:f>0</x:f>
        <x:v>0</x:v>
      </x:c>
      <x:c r="M513" s="7" t="n">
        <x:f>IF('01_Ustawienia'!$B$4="ZWOLNIONY",0,'01_Ustawienia'!$B$7)</x:f>
        <x:v>0.08</x:v>
      </x:c>
      <x:c r="N513" s="8" t="n">
        <x:f>IF(J513="","",ROUND((J513+K513)*(1+M513),0))</x:f>
        <x:v>3023</x:v>
      </x:c>
      <x:c r="O513" s="8" t="n">
        <x:f>IF(J513="","",J513+K513-H513-L513)</x:f>
        <x:v>869</x:v>
      </x:c>
      <x:c r="P513" s="7" t="n">
        <x:f>IFERROR(O513/(J513+K513),"")</x:f>
        <x:v>0.31046802429439085</x:v>
      </x:c>
      <x:c r="Q513" s="6" t="inlineStr">
        <x:is>
          <x:t xml:space="preserve">RAW_ZP T/U</x:t>
        </x:is>
      </x:c>
      <x:c r="R513" s="6" t="inlineStr">
        <x:is>
          <x:t xml:space="preserve">OŚWIETLENIE</x:t>
        </x:is>
      </x:c>
      <x:c r="S513" s="6" t="inlineStr">
        <x:is>
          <x:t xml:space="preserve">website+crm</x:t>
        </x:is>
      </x:c>
      <x:c r="T513" s="6" t="inlineStr">
        <x:is>
          <x:t xml:space="preserve">Opcja dodatkowa | FIX17: opcja LED dostępna dla strony; ceny 450-600 wg modelu FIX15.</x:t>
        </x:is>
      </x:c>
    </x:row>
    <x:row r="514">
      <x:c r="A514" s="6" t="inlineStr">
        <x:is>
          <x:t xml:space="preserve">400 x 906 cm</x:t>
        </x:is>
      </x:c>
      <x:c r="B514" s="6" t="inlineStr">
        <x:is>
          <x:t xml:space="preserve">LEDRGBCCT</x:t>
        </x:is>
      </x:c>
      <x:c r="C514" s="6" t="inlineStr">
        <x:is>
          <x:t xml:space="preserve">Oświetlenie LED RGB CCT</x:t>
        </x:is>
      </x:c>
      <x:c r="D514" s="6" t="inlineStr">
        <x:is>
          <x:t xml:space="preserve">OŚWIETLENIE</x:t>
        </x:is>
      </x:c>
      <x:c r="E514" s="8" t="n">
        <x:f>IFERROR(INDEX('02_RAW_INDEX'!$T:$T,MATCH($A514,'02_RAW_INDEX'!$A:$A,0)),"")</x:f>
        <x:v>2870</x:v>
      </x:c>
      <x:c r="F514" s="8" t="n">
        <x:f>IFERROR(INDEX('02_RAW_INDEX'!$S:$S,MATCH($A514,'02_RAW_INDEX'!$A:$A,0)),"")</x:f>
        <x:v>3530</x:v>
      </x:c>
      <x:c r="G514" s="7" t="n">
        <x:f>'01_Ustawienia'!$B$6</x:f>
        <x:v>0</x:v>
      </x:c>
      <x:c r="H514" s="8" t="n">
        <x:f>IF(E514="","",ROUND(IF('01_Ustawienia'!$B$5="BRUTTO",F514,E514)*(1-G514),0))</x:f>
        <x:v>2870</x:v>
      </x:c>
      <x:c r="I514" s="7" t="n">
        <x:f>IFERROR(IFERROR(INDEX('01_Ustawienia'!$B$15:$B$33,MATCH(B514,'01_Ustawienia'!$A$15:$A$33,0)),0.45),0.45)</x:f>
        <x:v>0.45</x:v>
      </x:c>
      <x:c r="J514" s="8" t="n">
        <x:f>IF(H514="","",ROUND(H514*(1+I514),0))</x:f>
        <x:v>4162</x:v>
      </x:c>
      <x:c r="K514" s="8" t="n">
        <x:f>0</x:f>
        <x:v>0</x:v>
      </x:c>
      <x:c r="L514" s="8" t="n">
        <x:f>0</x:f>
        <x:v>0</x:v>
      </x:c>
      <x:c r="M514" s="7" t="n">
        <x:f>IF('01_Ustawienia'!$B$4="ZWOLNIONY",0,'01_Ustawienia'!$B$7)</x:f>
        <x:v>0.08</x:v>
      </x:c>
      <x:c r="N514" s="8" t="n">
        <x:f>IF(J514="","",ROUND((J514+K514)*(1+M514),0))</x:f>
        <x:v>4495</x:v>
      </x:c>
      <x:c r="O514" s="8" t="n">
        <x:f>IF(J514="","",J514+K514-H514-L514)</x:f>
        <x:v>1292</x:v>
      </x:c>
      <x:c r="P514" s="7" t="n">
        <x:f>IFERROR(O514/(J514+K514),"")</x:f>
        <x:v>0.3104276790004805</x:v>
      </x:c>
      <x:c r="Q514" s="6" t="inlineStr">
        <x:is>
          <x:t xml:space="preserve">RAW_ZP V/W</x:t>
        </x:is>
      </x:c>
      <x:c r="R514" s="6" t="inlineStr">
        <x:is>
          <x:t xml:space="preserve">OŚWIETLENIE</x:t>
        </x:is>
      </x:c>
      <x:c r="S514" s="6" t="inlineStr">
        <x:is>
          <x:t xml:space="preserve">crm_only</x:t>
        </x:is>
      </x:c>
      <x:c r="T514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515" s="655" customFormat="1" ht="30" customHeight="1">
      <x:c r="A515" s="6" t="inlineStr">
        <x:is>
          <x:t xml:space="preserve">400 x 1006 cm</x:t>
        </x:is>
      </x:c>
      <x:c r="B515" s="6" t="inlineStr">
        <x:is>
          <x:t xml:space="preserve">ZP</x:t>
        </x:is>
      </x:c>
      <x:c r="C515" s="6" t="inlineStr">
        <x:is>
          <x:t xml:space="preserve">Zadaszenie poliwęglan - baza</x:t>
        </x:is>
      </x:c>
      <x:c r="D515" s="6" t="inlineStr">
        <x:is>
          <x:t xml:space="preserve">ZADASZENIE POLIWĘGLAN</x:t>
        </x:is>
      </x:c>
      <x:c r="E515" s="8" t="n">
        <x:f>IFERROR(INDEX('02_RAW_INDEX'!$D:$D,MATCH($A515,'02_RAW_INDEX'!$A:$A,0)),"")</x:f>
        <x:v>12398</x:v>
      </x:c>
      <x:c r="F515" s="8" t="n">
        <x:f>IFERROR(INDEX('02_RAW_INDEX'!$C:$C,MATCH($A515,'02_RAW_INDEX'!$A:$A,0)),"")</x:f>
        <x:v>15250</x:v>
      </x:c>
      <x:c r="G515" s="7" t="n">
        <x:f>'01_Ustawienia'!$B$6</x:f>
        <x:v>0</x:v>
      </x:c>
      <x:c r="H515" s="8" t="n">
        <x:f>IF(E515="","",ROUND(IF('01_Ustawienia'!$B$5="BRUTTO",F515,E515)*(1-G515),0))</x:f>
        <x:v>12398</x:v>
      </x:c>
      <x:c r="I515" s="7" t="n">
        <x:f>IFERROR(IFERROR(INDEX('01_Ustawienia'!$B$15:$B$33,MATCH(B515,'01_Ustawienia'!$A$15:$A$33,0)),0.45),0.45)</x:f>
        <x:v>0.45</x:v>
      </x:c>
      <x:c r="J515" s="8" t="n">
        <x:f>IF(H515="","",ROUND(H515*(1+I515),0))</x:f>
        <x:v>17977</x:v>
      </x:c>
      <x:c r="K515" s="8" t="n">
        <x:f>IFERROR(IFERROR(INDEX(EG_Cennik_uslug!$F:$F,MATCH($A515,EG_Cennik_uslug!$A:$A,0)),0),0)</x:f>
        <x:v>4680</x:v>
      </x:c>
      <x:c r="L515" s="8" t="n">
        <x:f>IFERROR(IFERROR(INDEX(EG_Cennik_uslug!$G:$G,MATCH($A515,EG_Cennik_uslug!$A:$A,0)),0),0)</x:f>
        <x:v>1730</x:v>
      </x:c>
      <x:c r="M515" s="7" t="n">
        <x:f>IF('01_Ustawienia'!$B$4="ZWOLNIONY",0,'01_Ustawienia'!$B$7)</x:f>
        <x:v>0.08</x:v>
      </x:c>
      <x:c r="N515" s="8" t="n">
        <x:f>IF(J515="","",ROUND((J515+K515)*(1+M515),0))</x:f>
        <x:v>24470</x:v>
      </x:c>
      <x:c r="O515" s="8" t="n">
        <x:f>IF(J515="","",J515+K515-H515-L515)</x:f>
        <x:v>8529</x:v>
      </x:c>
      <x:c r="P515" s="7" t="n">
        <x:f>IFERROR(O515/(J515+K515),"")</x:f>
        <x:v>0.37643995233261246</x:v>
      </x:c>
      <x:c r="Q515" s="6" t="inlineStr">
        <x:is>
          <x:t xml:space="preserve">RAW_ZP B/C</x:t>
        </x:is>
      </x:c>
      <x:c r="R515" s="6" t="inlineStr">
        <x:is>
          <x:t xml:space="preserve">ZADASZENIE TARASU KONSTRUKCJA</x:t>
        </x:is>
      </x:c>
      <x:c r="S515" s="6" t="inlineStr">
        <x:is>
          <x:t xml:space="preserve">website+crm</x:t>
        </x:is>
      </x:c>
      <x:c r="T515" s="6" t="inlineStr">
        <x:is>
          <x:t xml:space="preserve">Baza dla kalkulatora</x:t>
        </x:is>
      </x:c>
    </x:row>
    <x:row r="516" s="655" customFormat="1" ht="30" customHeight="1">
      <x:c r="A516" s="6" t="inlineStr">
        <x:is>
          <x:t xml:space="preserve">400 x 1006 cm</x:t>
        </x:is>
      </x:c>
      <x:c r="B516" s="6" t="inlineStr">
        <x:is>
          <x:t xml:space="preserve">ZS</x:t>
        </x:is>
      </x:c>
      <x:c r="C516" s="6" t="inlineStr">
        <x:is>
          <x:t xml:space="preserve">Zadaszenie szkło - pełna konstrukcja</x:t>
        </x:is>
      </x:c>
      <x:c r="D516" s="6" t="inlineStr">
        <x:is>
          <x:t xml:space="preserve">ZADASZENIE SZKŁO</x:t>
        </x:is>
      </x:c>
      <x:c r="E516" s="8" t="n">
        <x:f>IFERROR(INDEX('02_RAW_INDEX'!$V:$V,MATCH($A516,'02_RAW_INDEX'!$A:$A,0)),"")</x:f>
        <x:v>20610</x:v>
      </x:c>
      <x:c r="F516" s="8" t="n">
        <x:f>IFERROR(INDEX('02_RAW_INDEX'!$U:$U,MATCH($A516,'02_RAW_INDEX'!$A:$A,0)),"")</x:f>
        <x:v>25350</x:v>
      </x:c>
      <x:c r="G516" s="7" t="n">
        <x:f>'01_Ustawienia'!$B$6</x:f>
        <x:v>0</x:v>
      </x:c>
      <x:c r="H516" s="8" t="n">
        <x:f>IF(E516="","",ROUND(IF('01_Ustawienia'!$B$5="BRUTTO",F516,E516)*(1-G516),0))</x:f>
        <x:v>20610</x:v>
      </x:c>
      <x:c r="I516" s="7" t="n">
        <x:f>IFERROR(IFERROR(INDEX('01_Ustawienia'!$B$15:$B$33,MATCH(B516,'01_Ustawienia'!$A$15:$A$33,0)),0.45),0.45)</x:f>
        <x:v>0.45</x:v>
      </x:c>
      <x:c r="J516" s="8" t="n">
        <x:f>IF(H516="","",ROUND(H516*(1+I516),0))</x:f>
        <x:v>29885</x:v>
      </x:c>
      <x:c r="K516" s="8" t="n">
        <x:f>IFERROR(IFERROR(INDEX(EG_Cennik_uslug!$F:$F,MATCH($A516,EG_Cennik_uslug!$A:$A,0)),0),0)</x:f>
        <x:v>4680</x:v>
      </x:c>
      <x:c r="L516" s="8" t="n">
        <x:f>IFERROR(IFERROR(INDEX(EG_Cennik_uslug!$G:$G,MATCH($A516,EG_Cennik_uslug!$A:$A,0)),0),0)</x:f>
        <x:v>1730</x:v>
      </x:c>
      <x:c r="M516" s="7" t="n">
        <x:f>IF('01_Ustawienia'!$B$4="ZWOLNIONY",0,'01_Ustawienia'!$B$7)</x:f>
        <x:v>0.08</x:v>
      </x:c>
      <x:c r="N516" s="8" t="n">
        <x:f>IF(J516="","",ROUND((J516+K516)*(1+M516),0))</x:f>
        <x:v>37330</x:v>
      </x:c>
      <x:c r="O516" s="8" t="n">
        <x:f>IF(J516="","",J516+K516-H516-L516)</x:f>
        <x:v>12225</x:v>
      </x:c>
      <x:c r="P516" s="7" t="n">
        <x:f>IFERROR(O516/(J516+K516),"")</x:f>
        <x:v>0.35368146969477793</x:v>
      </x:c>
      <x:c r="Q516" s="6" t="inlineStr">
        <x:is>
          <x:t xml:space="preserve">RAW_ZS B/C</x:t>
        </x:is>
      </x:c>
      <x:c r="R516" s="6" t="inlineStr">
        <x:is>
          <x:t xml:space="preserve">ZADASZENIE TARASU KONSTRUKCJA</x:t>
        </x:is>
      </x:c>
      <x:c r="S516" s="6" t="inlineStr">
        <x:is>
          <x:t xml:space="preserve">crm_only</x:t>
        </x:is>
      </x:c>
      <x:c r="T516" s="6" t="inlineStr">
        <x:is>
          <x:t xml:space="preserve">Referencyjne/full; strona zwykle używa ZP + PDS</x:t>
        </x:is>
      </x:c>
    </x:row>
    <x:row r="517" s="655" customFormat="1" ht="30" customHeight="1">
      <x:c r="A517" s="6" t="inlineStr">
        <x:is>
          <x:t xml:space="preserve">400 x 1006 cm</x:t>
        </x:is>
      </x:c>
      <x:c r="B517" s="6" t="inlineStr">
        <x:is>
          <x:t xml:space="preserve">OP</x:t>
        </x:is>
      </x:c>
      <x:c r="C517" s="6" t="inlineStr">
        <x:is>
          <x:t xml:space="preserve">Ogród zimowy poliwęglan - baza</x:t>
        </x:is>
      </x:c>
      <x:c r="D517" s="6" t="inlineStr">
        <x:is>
          <x:t xml:space="preserve">OGRODY POLIWĘGLAN</x:t>
        </x:is>
      </x:c>
      <x:c r="E517" s="8" t="n">
        <x:f>IFERROR(INDEX('02_RAW_INDEX'!$Z:$Z,MATCH($A517,'02_RAW_INDEX'!$A:$A,0)),"")</x:f>
        <x:v>27911</x:v>
      </x:c>
      <x:c r="F517" s="8" t="n">
        <x:f>IFERROR(INDEX('02_RAW_INDEX'!$Y:$Y,MATCH($A517,'02_RAW_INDEX'!$A:$A,0)),"")</x:f>
        <x:v>34330</x:v>
      </x:c>
      <x:c r="G517" s="7" t="n">
        <x:f>'01_Ustawienia'!$B$6</x:f>
        <x:v>0</x:v>
      </x:c>
      <x:c r="H517" s="8" t="n">
        <x:f>IF(E517="","",ROUND(IF('01_Ustawienia'!$B$5="BRUTTO",F517,E517)*(1-G517),0))</x:f>
        <x:v>27911</x:v>
      </x:c>
      <x:c r="I517" s="7" t="n">
        <x:f>IFERROR(IFERROR(INDEX('01_Ustawienia'!$B$15:$B$33,MATCH(B517,'01_Ustawienia'!$A$15:$A$33,0)),0.45),0.45)</x:f>
        <x:v>0.45</x:v>
      </x:c>
      <x:c r="J517" s="8" t="n">
        <x:f>IF(H517="","",ROUND(H517*(1+I517),0))</x:f>
        <x:v>40471</x:v>
      </x:c>
      <x:c r="K517" s="8" t="n">
        <x:f>IFERROR(IFERROR(INDEX(EG_Cennik_uslug!$N:$N,MATCH($A517,EG_Cennik_uslug!$A:$A,0)),0),0)</x:f>
        <x:v>6370</x:v>
      </x:c>
      <x:c r="L517" s="8" t="n">
        <x:f>IFERROR(IFERROR(INDEX(EG_Cennik_uslug!$O:$O,MATCH($A517,EG_Cennik_uslug!$A:$A,0)),0),0)</x:f>
        <x:v>2420</x:v>
      </x:c>
      <x:c r="M517" s="7" t="n">
        <x:f>IF('01_Ustawienia'!$B$4="ZWOLNIONY",0,'01_Ustawienia'!$B$7)</x:f>
        <x:v>0.08</x:v>
      </x:c>
      <x:c r="N517" s="8" t="n">
        <x:f>IF(J517="","",ROUND((J517+K517)*(1+M517),0))</x:f>
        <x:v>50588</x:v>
      </x:c>
      <x:c r="O517" s="8" t="n">
        <x:f>IF(J517="","",J517+K517-H517-L517)</x:f>
        <x:v>16510</x:v>
      </x:c>
      <x:c r="P517" s="7" t="n">
        <x:f>IFERROR(O517/(J517+K517),"")</x:f>
        <x:v>0.3524689908413569</x:v>
      </x:c>
      <x:c r="Q517" s="6" t="inlineStr">
        <x:is>
          <x:t xml:space="preserve">RAW_OP B/C</x:t>
        </x:is>
      </x:c>
      <x:c r="R517" s="6" t="inlineStr">
        <x:is>
          <x:t xml:space="preserve">OGRÓD ZIMOWY (KONSTRUKCJA)</x:t>
        </x:is>
      </x:c>
      <x:c r="S517" s="6" t="inlineStr">
        <x:is>
          <x:t xml:space="preserve">website+crm</x:t>
        </x:is>
      </x:c>
      <x:c r="T517" s="6" t="inlineStr">
        <x:is>
          <x:t xml:space="preserve">Do wyliczenia dopłaty za ściany</x:t>
        </x:is>
      </x:c>
    </x:row>
    <x:row r="518" s="655" customFormat="1" ht="30" customHeight="1">
      <x:c r="A518" s="6" t="inlineStr">
        <x:is>
          <x:t xml:space="preserve">400 x 1006 cm</x:t>
        </x:is>
      </x:c>
      <x:c r="B518" s="6" t="inlineStr">
        <x:is>
          <x:t xml:space="preserve">OS</x:t>
        </x:is>
      </x:c>
      <x:c r="C518" s="6" t="inlineStr">
        <x:is>
          <x:t xml:space="preserve">Ogród zimowy szkło - pełna konstrukcja</x:t>
        </x:is>
      </x:c>
      <x:c r="D518" s="6" t="inlineStr">
        <x:is>
          <x:t xml:space="preserve">OGRODY SZKŁO</x:t>
        </x:is>
      </x:c>
      <x:c r="E518" s="8" t="n">
        <x:f>IFERROR(INDEX('02_RAW_INDEX'!$AL:$AL,MATCH($A518,'02_RAW_INDEX'!$A:$A,0)),"")</x:f>
        <x:v>36122</x:v>
      </x:c>
      <x:c r="F518" s="8" t="n">
        <x:f>IFERROR(INDEX('02_RAW_INDEX'!$AK:$AK,MATCH($A518,'02_RAW_INDEX'!$A:$A,0)),"")</x:f>
        <x:v>44430</x:v>
      </x:c>
      <x:c r="G518" s="7" t="n">
        <x:f>'01_Ustawienia'!$B$6</x:f>
        <x:v>0</x:v>
      </x:c>
      <x:c r="H518" s="8" t="n">
        <x:f>IF(E518="","",ROUND(IF('01_Ustawienia'!$B$5="BRUTTO",F518,E518)*(1-G518),0))</x:f>
        <x:v>36122</x:v>
      </x:c>
      <x:c r="I518" s="7" t="n">
        <x:f>IFERROR(IFERROR(INDEX('01_Ustawienia'!$B$15:$B$33,MATCH(B518,'01_Ustawienia'!$A$15:$A$33,0)),0.45),0.45)</x:f>
        <x:v>0.45</x:v>
      </x:c>
      <x:c r="J518" s="8" t="n">
        <x:f>IF(H518="","",ROUND(H518*(1+I518),0))</x:f>
        <x:v>52377</x:v>
      </x:c>
      <x:c r="K518" s="8" t="n">
        <x:f>IFERROR(IFERROR(INDEX(EG_Cennik_uslug!$N:$N,MATCH($A518,EG_Cennik_uslug!$A:$A,0)),0),0)</x:f>
        <x:v>6370</x:v>
      </x:c>
      <x:c r="L518" s="8" t="n">
        <x:f>IFERROR(IFERROR(INDEX(EG_Cennik_uslug!$O:$O,MATCH($A518,EG_Cennik_uslug!$A:$A,0)),0),0)</x:f>
        <x:v>2420</x:v>
      </x:c>
      <x:c r="M518" s="7" t="n">
        <x:f>IF('01_Ustawienia'!$B$4="ZWOLNIONY",0,'01_Ustawienia'!$B$7)</x:f>
        <x:v>0.08</x:v>
      </x:c>
      <x:c r="N518" s="8" t="n">
        <x:f>IF(J518="","",ROUND((J518+K518)*(1+M518),0))</x:f>
        <x:v>63447</x:v>
      </x:c>
      <x:c r="O518" s="8" t="n">
        <x:f>IF(J518="","",J518+K518-H518-L518)</x:f>
        <x:v>20205</x:v>
      </x:c>
      <x:c r="P518" s="7" t="n">
        <x:f>IFERROR(O518/(J518+K518),"")</x:f>
        <x:v>0.3439324561254192</x:v>
      </x:c>
      <x:c r="Q518" s="6" t="inlineStr">
        <x:is>
          <x:t xml:space="preserve">RAW_OS B/C</x:t>
        </x:is>
      </x:c>
      <x:c r="R518" s="6" t="inlineStr">
        <x:is>
          <x:t xml:space="preserve">OGRÓD ZIMOWY (KONSTRUKCJA)</x:t>
        </x:is>
      </x:c>
      <x:c r="S518" s="6" t="inlineStr">
        <x:is>
          <x:t xml:space="preserve">crm_only</x:t>
        </x:is>
      </x:c>
      <x:c r="T518" s="6" t="inlineStr">
        <x:is>
          <x:t xml:space="preserve">Referencyjne/full</x:t>
        </x:is>
      </x:c>
    </x:row>
    <x:row r="519" s="655" customFormat="1" ht="30" customHeight="1">
      <x:c r="A519" s="6" t="inlineStr">
        <x:is>
          <x:t xml:space="preserve">400 x 1006 cm</x:t>
        </x:is>
      </x:c>
      <x:c r="B519" s="6" t="inlineStr">
        <x:is>
          <x:t xml:space="preserve">PDS</x:t>
        </x:is>
      </x:c>
      <x:c r="C519" s="6" t="inlineStr">
        <x:is>
          <x:t xml:space="preserve">Dopłata dach szkło przezroczyste</x:t>
        </x:is>
      </x:c>
      <x:c r="D519" s="6" t="inlineStr">
        <x:is>
          <x:t xml:space="preserve">POKRYCIE DACHU SZKŁO</x:t>
        </x:is>
      </x:c>
      <x:c r="E519" s="8" t="n">
        <x:f>IFERROR(IFERROR(INDEX('02_RAW_INDEX'!$V:$V,MATCH($A519,'02_RAW_INDEX'!$A:$A,0)),"")-IFERROR(INDEX('02_RAW_INDEX'!$D:$D,MATCH($A519,'02_RAW_INDEX'!$A:$A,0)),""),"")</x:f>
        <x:v>8212</x:v>
      </x:c>
      <x:c r="F519" s="8" t="n">
        <x:f>IFERROR(IFERROR(INDEX('02_RAW_INDEX'!$U:$U,MATCH($A519,'02_RAW_INDEX'!$A:$A,0)),"")-IFERROR(INDEX('02_RAW_INDEX'!$C:$C,MATCH($A519,'02_RAW_INDEX'!$A:$A,0)),""),"")</x:f>
        <x:v>10100</x:v>
      </x:c>
      <x:c r="G519" s="7" t="n">
        <x:f>'01_Ustawienia'!$B$6</x:f>
        <x:v>0</x:v>
      </x:c>
      <x:c r="H519" s="8" t="n">
        <x:f>IF(E519="","",ROUND(IF('01_Ustawienia'!$B$5="BRUTTO",F519,E519)*(1-G519),0))</x:f>
        <x:v>8212</x:v>
      </x:c>
      <x:c r="I519" s="7" t="n">
        <x:f>IFERROR(IFERROR(INDEX('01_Ustawienia'!$B$15:$B$33,MATCH(B519,'01_Ustawienia'!$A$15:$A$33,0)),0.45),0.45)</x:f>
        <x:v>0.45</x:v>
      </x:c>
      <x:c r="J519" s="8" t="n">
        <x:f>IF(H519="","",ROUND(H519*(1+I519),0))</x:f>
        <x:v>11907</x:v>
      </x:c>
      <x:c r="K519" s="8" t="n">
        <x:f>0</x:f>
        <x:v>0</x:v>
      </x:c>
      <x:c r="L519" s="8" t="n">
        <x:v>0</x:v>
      </x:c>
      <x:c r="M519" s="7" t="n">
        <x:f>IF('01_Ustawienia'!$B$4="ZWOLNIONY",0,'01_Ustawienia'!$B$7)</x:f>
        <x:v>0.08</x:v>
      </x:c>
      <x:c r="N519" s="8" t="n">
        <x:f>IF(J519="","",ROUND((J519+K519)*(1+M519),0))</x:f>
        <x:v>12860</x:v>
      </x:c>
      <x:c r="O519" s="8" t="n">
        <x:f>IF(J519="","",J519+K519-H519-L519)</x:f>
        <x:v>3695</x:v>
      </x:c>
      <x:c r="P519" s="7" t="n">
        <x:f>IFERROR(O519/(J519+K519),"")</x:f>
        <x:v>0.3103216595280087</x:v>
      </x:c>
      <x:c r="Q519" s="6" t="inlineStr">
        <x:is>
          <x:t xml:space="preserve">RAW_ZS - RAW_ZP</x:t>
        </x:is>
      </x:c>
      <x:c r="R519" s="6" t="inlineStr">
        <x:is>
          <x:t xml:space="preserve">POKRYCIE DACHU</x:t>
        </x:is>
      </x:c>
      <x:c r="S519" s="6" t="inlineStr">
        <x:is>
          <x:t xml:space="preserve">website+crm</x:t>
        </x:is>
      </x:c>
      <x:c r="T519" s="6" t="inlineStr">
        <x:is>
          <x:t xml:space="preserve">Dopłata do bazowego dachu poliwęglan | FIX17: Wynagr.+koszty = 0 dla dopłaty; nie jest osobnym montażem ekipy.</x:t>
        </x:is>
      </x:c>
    </x:row>
    <x:row r="520" s="655" customFormat="1" ht="30" customHeight="1">
      <x:c r="A520" s="6" t="inlineStr">
        <x:is>
          <x:t xml:space="preserve">400 x 1006 cm</x:t>
        </x:is>
      </x:c>
      <x:c r="B520" s="6" t="inlineStr">
        <x:is>
          <x:t xml:space="preserve">PDSB</x:t>
        </x:is>
      </x:c>
      <x:c r="C520" s="6" t="inlineStr">
        <x:is>
          <x:t xml:space="preserve">Dopłata dach szkło barwione/mleczne</x:t>
        </x:is>
      </x:c>
      <x:c r="D520" s="6" t="inlineStr">
        <x:is>
          <x:t xml:space="preserve">POKRYCIE DACHU SZKŁO BARWIONE</x:t>
        </x:is>
      </x:c>
      <x:c r="E520" s="8" t="n">
        <x:f>IFERROR(INDEX('02_RAW_INDEX'!$X:$X,MATCH($A520,'02_RAW_INDEX'!$A:$A,0)),"")</x:f>
        <x:v>943</x:v>
      </x:c>
      <x:c r="F520" s="8" t="n">
        <x:f>IFERROR(INDEX('02_RAW_INDEX'!$W:$W,MATCH($A520,'02_RAW_INDEX'!$A:$A,0)),"")</x:f>
        <x:v>1160</x:v>
      </x:c>
      <x:c r="G520" s="7" t="n">
        <x:f>'01_Ustawienia'!$B$6</x:f>
        <x:v>0</x:v>
      </x:c>
      <x:c r="H520" s="8" t="n">
        <x:f>IF(E520="","",ROUND(IF('01_Ustawienia'!$B$5="BRUTTO",F520,E520)*(1-G520),0))</x:f>
        <x:v>943</x:v>
      </x:c>
      <x:c r="I520" s="7" t="n">
        <x:f>IFERROR(IFERROR(INDEX('01_Ustawienia'!$B$15:$B$33,MATCH(B520,'01_Ustawienia'!$A$15:$A$33,0)),0.45),0.45)</x:f>
        <x:v>0.45</x:v>
      </x:c>
      <x:c r="J520" s="8" t="n">
        <x:f>IF(H520="","",ROUND(H520*(1+I520),0))</x:f>
        <x:v>1367</x:v>
      </x:c>
      <x:c r="K520" s="8" t="n">
        <x:f>0</x:f>
        <x:v>0</x:v>
      </x:c>
      <x:c r="L520" s="8" t="n">
        <x:v>0</x:v>
      </x:c>
      <x:c r="M520" s="7" t="n">
        <x:f>IF('01_Ustawienia'!$B$4="ZWOLNIONY",0,'01_Ustawienia'!$B$7)</x:f>
        <x:v>0.08</x:v>
      </x:c>
      <x:c r="N520" s="8" t="n">
        <x:f>IF(J520="","",ROUND((J520+K520)*(1+M520),0))</x:f>
        <x:v>1476</x:v>
      </x:c>
      <x:c r="O520" s="8" t="n">
        <x:f>IF(J520="","",J520+K520-H520-L520)</x:f>
        <x:v>424</x:v>
      </x:c>
      <x:c r="P520" s="7" t="n">
        <x:f>IFERROR(O520/(J520+K520),"")</x:f>
        <x:v>0.31016825164594003</x:v>
      </x:c>
      <x:c r="Q520" s="6" t="inlineStr">
        <x:is>
          <x:t xml:space="preserve">RAW_ZS D/E</x:t>
        </x:is>
      </x:c>
      <x:c r="R520" s="6" t="inlineStr">
        <x:is>
          <x:t xml:space="preserve">POKRYCIE DACHU</x:t>
        </x:is>
      </x:c>
      <x:c r="S520" s="6" t="inlineStr">
        <x:is>
          <x:t xml:space="preserve">website+crm</x:t>
        </x:is>
      </x:c>
      <x:c r="T520" s="6" t="inlineStr">
        <x:is>
          <x:t xml:space="preserve">Dodawane do PDS | FIX17: Wynagr.+koszty = 0 dla dopłaty; nie jest osobnym montażem ekipy.</x:t>
        </x:is>
      </x:c>
    </x:row>
    <x:row r="521" s="655" customFormat="1" ht="30" customHeight="1">
      <x:c r="A521" s="6" t="inlineStr">
        <x:is>
          <x:t xml:space="preserve">400 x 1006 cm</x:t>
        </x:is>
      </x:c>
      <x:c r="B521" s="6" t="inlineStr">
        <x:is>
          <x:t xml:space="preserve">PDPB</x:t>
        </x:is>
      </x:c>
      <x:c r="C521" s="6" t="inlineStr">
        <x:is>
          <x:t xml:space="preserve">Dopłata poliwęglan barwiony</x:t>
        </x:is>
      </x:c>
      <x:c r="D521" s="6" t="inlineStr">
        <x:is>
          <x:t xml:space="preserve">POKRYCIE DACHU POLIWĘGLAN BARWIONY</x:t>
        </x:is>
      </x:c>
      <x:c r="E521" s="8" t="n">
        <x:f>IFERROR(INDEX('02_RAW_INDEX'!$F:$F,MATCH($A521,'02_RAW_INDEX'!$A:$A,0)),"")</x:f>
        <x:v>455</x:v>
      </x:c>
      <x:c r="F521" s="8" t="n">
        <x:f>IFERROR(INDEX('02_RAW_INDEX'!$E:$E,MATCH($A521,'02_RAW_INDEX'!$A:$A,0)),"")</x:f>
        <x:v>560</x:v>
      </x:c>
      <x:c r="G521" s="7" t="n">
        <x:f>'01_Ustawienia'!$B$6</x:f>
        <x:v>0</x:v>
      </x:c>
      <x:c r="H521" s="8" t="n">
        <x:f>IF(E521="","",ROUND(IF('01_Ustawienia'!$B$5="BRUTTO",F521,E521)*(1-G521),0))</x:f>
        <x:v>455</x:v>
      </x:c>
      <x:c r="I521" s="7" t="n">
        <x:f>IFERROR(IFERROR(INDEX('01_Ustawienia'!$B$15:$B$33,MATCH(B521,'01_Ustawienia'!$A$15:$A$33,0)),0.45),0.45)</x:f>
        <x:v>0.45</x:v>
      </x:c>
      <x:c r="J521" s="8" t="n">
        <x:f>IF(H521="","",ROUND(H521*(1+I521),0))</x:f>
        <x:v>660</x:v>
      </x:c>
      <x:c r="K521" s="8" t="n">
        <x:f>0</x:f>
        <x:v>0</x:v>
      </x:c>
      <x:c r="L521" s="8" t="n">
        <x:v>0</x:v>
      </x:c>
      <x:c r="M521" s="7" t="n">
        <x:f>IF('01_Ustawienia'!$B$4="ZWOLNIONY",0,'01_Ustawienia'!$B$7)</x:f>
        <x:v>0.08</x:v>
      </x:c>
      <x:c r="N521" s="8" t="n">
        <x:f>IF(J521="","",ROUND((J521+K521)*(1+M521),0))</x:f>
        <x:v>713</x:v>
      </x:c>
      <x:c r="O521" s="8" t="n">
        <x:f>IF(J521="","",J521+K521-H521-L521)</x:f>
        <x:v>205</x:v>
      </x:c>
      <x:c r="P521" s="7" t="n">
        <x:f>IFERROR(O521/(J521+K521),"")</x:f>
        <x:v>0.3106060606060606</x:v>
      </x:c>
      <x:c r="Q521" s="6" t="inlineStr">
        <x:is>
          <x:t xml:space="preserve">RAW_ZP D/E</x:t>
        </x:is>
      </x:c>
      <x:c r="R521" s="6" t="inlineStr">
        <x:is>
          <x:t xml:space="preserve">POKRYCIE DACHU</x:t>
        </x:is>
      </x:c>
      <x:c r="S521" s="6" t="inlineStr">
        <x:is>
          <x:t xml:space="preserve">website+crm</x:t>
        </x:is>
      </x:c>
      <x:c r="T521" s="6" t="inlineStr">
        <x:is>
          <x:t xml:space="preserve">FIX17: Wynagr.+koszty = 0 dla dopłaty; nie jest osobnym montażem ekipy.</x:t>
        </x:is>
      </x:c>
    </x:row>
    <x:row r="522" s="655" customFormat="1" ht="30" customHeight="1">
      <x:c r="A522" s="6" t="inlineStr">
        <x:is>
          <x:t xml:space="preserve">400 x 1006 cm</x:t>
        </x:is>
      </x:c>
      <x:c r="B522" s="6" t="inlineStr">
        <x:is>
          <x:t xml:space="preserve">SBB</x:t>
        </x:is>
      </x:c>
      <x:c r="C522" s="6" t="inlineStr">
        <x:is>
          <x:t xml:space="preserve">Dopłata szkło boczne przyciemniane</x:t>
        </x:is>
      </x:c>
      <x:c r="D522" s="6" t="inlineStr">
        <x:is>
          <x:t xml:space="preserve">SZKŁO BOCZNE BARWIONE</x:t>
        </x:is>
      </x:c>
      <x:c r="E522" s="8" t="n">
        <x:f>IFERROR(INDEX('02_RAW_INDEX'!$AB:$AB,MATCH($A522,'02_RAW_INDEX'!$A:$A,0)),"")</x:f>
        <x:v>1756</x:v>
      </x:c>
      <x:c r="F522" s="8" t="n">
        <x:f>IFERROR(INDEX('02_RAW_INDEX'!$AA:$AA,MATCH($A522,'02_RAW_INDEX'!$A:$A,0)),"")</x:f>
        <x:v>2160</x:v>
      </x:c>
      <x:c r="G522" s="7" t="n">
        <x:f>'01_Ustawienia'!$B$6</x:f>
        <x:v>0</x:v>
      </x:c>
      <x:c r="H522" s="8" t="n">
        <x:f>IF(E522="","",ROUND(IF('01_Ustawienia'!$B$5="BRUTTO",F522,E522)*(1-G522),0))</x:f>
        <x:v>1756</x:v>
      </x:c>
      <x:c r="I522" s="7" t="n">
        <x:f>IFERROR(IFERROR(INDEX('01_Ustawienia'!$B$15:$B$33,MATCH(B522,'01_Ustawienia'!$A$15:$A$33,0)),0.45),0.45)</x:f>
        <x:v>0.45</x:v>
      </x:c>
      <x:c r="J522" s="8" t="n">
        <x:f>IF(H522="","",ROUND(H522*(1+I522),0))</x:f>
        <x:v>2546</x:v>
      </x:c>
      <x:c r="K522" s="8" t="n">
        <x:f>0</x:f>
        <x:v>0</x:v>
      </x:c>
      <x:c r="L522" s="8" t="n">
        <x:v>0</x:v>
      </x:c>
      <x:c r="M522" s="7" t="n">
        <x:f>IF('01_Ustawienia'!$B$4="ZWOLNIONY",0,'01_Ustawienia'!$B$7)</x:f>
        <x:v>0.08</x:v>
      </x:c>
      <x:c r="N522" s="8" t="n">
        <x:f>IF(J522="","",ROUND((J522+K522)*(1+M522),0))</x:f>
        <x:v>2750</x:v>
      </x:c>
      <x:c r="O522" s="8" t="n">
        <x:f>IF(J522="","",J522+K522-H522-L522)</x:f>
        <x:v>790</x:v>
      </x:c>
      <x:c r="P522" s="7" t="n">
        <x:f>IFERROR(O522/(J522+K522),"")</x:f>
        <x:v>0.3102906520031422</x:v>
      </x:c>
      <x:c r="Q522" s="6" t="inlineStr">
        <x:is>
          <x:t xml:space="preserve">RAW_OP H/I</x:t>
        </x:is>
      </x:c>
      <x:c r="R522" s="6" t="inlineStr">
        <x:is>
          <x:t xml:space="preserve">SZYBY BOCZNE</x:t>
        </x:is>
      </x:c>
      <x:c r="S522" s="6" t="inlineStr">
        <x:is>
          <x:t xml:space="preserve">website+crm</x:t>
        </x:is>
      </x:c>
      <x:c r="T522" s="6" t="inlineStr">
        <x:is>
          <x:t xml:space="preserve">Dodawane do ścian przezroczystych | FIX17: Wynagr.+koszty = 0 dla dopłaty; nie jest osobnym montażem ekipy.</x:t>
        </x:is>
      </x:c>
    </x:row>
    <x:row r="523">
      <x:c r="A523" s="6" t="inlineStr">
        <x:is>
          <x:t xml:space="preserve">400 x 1006 cm</x:t>
        </x:is>
      </x:c>
      <x:c r="B523" s="6" t="inlineStr">
        <x:is>
          <x:t xml:space="preserve">RB</x:t>
        </x:is>
      </x:c>
      <x:c r="C523" s="6" t="inlineStr">
        <x:is>
          <x:t xml:space="preserve">Roleta boczna ZIP</x:t>
        </x:is>
      </x:c>
      <x:c r="D523" s="6" t="inlineStr">
        <x:is>
          <x:t xml:space="preserve">ROLETA BOCZNA</x:t>
        </x:is>
      </x:c>
      <x:c r="E523" s="8" t="n">
        <x:f>IFERROR(INDEX('02_RAW_INDEX'!$J:$J,MATCH($A523,'02_RAW_INDEX'!$A:$A,0)),"")</x:f>
        <x:v>2146</x:v>
      </x:c>
      <x:c r="F523" s="8" t="n">
        <x:f>IFERROR(INDEX('02_RAW_INDEX'!$I:$I,MATCH($A523,'02_RAW_INDEX'!$A:$A,0)),"")</x:f>
        <x:v>2640</x:v>
      </x:c>
      <x:c r="G523" s="7" t="n">
        <x:f>'01_Ustawienia'!$B$6</x:f>
        <x:v>0</x:v>
      </x:c>
      <x:c r="H523" s="8" t="n">
        <x:f>IF(E523="","",ROUND(IF('01_Ustawienia'!$B$5="BRUTTO",F523,E523)*(1-G523),0))</x:f>
        <x:v>2146</x:v>
      </x:c>
      <x:c r="I523" s="7" t="n">
        <x:f>IFERROR(IFERROR(INDEX('01_Ustawienia'!$B$15:$B$33,MATCH(B523,'01_Ustawienia'!$A$15:$A$33,0)),0.45),0.45)</x:f>
        <x:v>0.45</x:v>
      </x:c>
      <x:c r="J523" s="8" t="n">
        <x:f>IF(H523="","",ROUND(H523*(1+I523),0))</x:f>
        <x:v>3112</x:v>
      </x:c>
      <x:c r="K523" s="8" t="n">
        <x:f>0</x:f>
        <x:v>0</x:v>
      </x:c>
      <x:c r="L523" s="8" t="n">
        <x:f>IFERROR(IFERROR(INDEX(EG_Cennik_uslug!$AC:$AC,MATCH($A523,EG_Cennik_uslug!$A:$A,0)),0),0)</x:f>
        <x:v>150</x:v>
      </x:c>
      <x:c r="M523" s="7" t="n">
        <x:f>IF('01_Ustawienia'!$B$4="ZWOLNIONY",0,'01_Ustawienia'!$B$7)</x:f>
        <x:v>0.08</x:v>
      </x:c>
      <x:c r="N523" s="8" t="n">
        <x:f>IF(J523="","",ROUND((J523+K523)*(1+M523),0))</x:f>
        <x:v>3361</x:v>
      </x:c>
      <x:c r="O523" s="8" t="n">
        <x:f>IF(J523="","",J523+K523-H523-L523)</x:f>
        <x:v>816</x:v>
      </x:c>
      <x:c r="P523" s="7" t="n">
        <x:f>IFERROR(O523/(J523+K523),"")</x:f>
        <x:v>0.2622107969151671</x:v>
      </x:c>
      <x:c r="Q523" s="6" t="inlineStr">
        <x:is>
          <x:t xml:space="preserve">RAW_ZP J/K</x:t>
        </x:is>
      </x:c>
      <x:c r="R523" s="6" t="inlineStr">
        <x:is>
          <x:t xml:space="preserve">ROLETY BOCZNE</x:t>
        </x:is>
      </x:c>
      <x:c r="S523" s="6" t="inlineStr">
        <x:is>
          <x:t xml:space="preserve">website+crm</x:t>
        </x:is>
      </x:c>
      <x:c r="T523" s="6" t="inlineStr">
        <x:is>
          <x:t xml:space="preserve">Używana dla lewej i prawej</x:t>
        </x:is>
      </x:c>
    </x:row>
    <x:row r="524">
      <x:c r="A524" s="6" t="inlineStr">
        <x:is>
          <x:t xml:space="preserve">400 x 1006 cm</x:t>
        </x:is>
      </x:c>
      <x:c r="B524" s="6" t="inlineStr">
        <x:is>
          <x:t xml:space="preserve">RP</x:t>
        </x:is>
      </x:c>
      <x:c r="C524" s="6" t="inlineStr">
        <x:is>
          <x:t xml:space="preserve">Roleta przednia ZIP</x:t>
        </x:is>
      </x:c>
      <x:c r="D524" s="6" t="inlineStr">
        <x:is>
          <x:t xml:space="preserve">ROLETA PRZÓD</x:t>
        </x:is>
      </x:c>
      <x:c r="E524" s="8" t="n">
        <x:f>IFERROR(INDEX('02_RAW_INDEX'!$L:$L,MATCH($A524,'02_RAW_INDEX'!$A:$A,0)),"")</x:f>
        <x:v>5618</x:v>
      </x:c>
      <x:c r="F524" s="8" t="n">
        <x:f>IFERROR(INDEX('02_RAW_INDEX'!$K:$K,MATCH($A524,'02_RAW_INDEX'!$A:$A,0)),"")</x:f>
        <x:v>6910</x:v>
      </x:c>
      <x:c r="G524" s="7" t="n">
        <x:f>'01_Ustawienia'!$B$6</x:f>
        <x:v>0</x:v>
      </x:c>
      <x:c r="H524" s="8" t="n">
        <x:f>IF(E524="","",ROUND(IF('01_Ustawienia'!$B$5="BRUTTO",F524,E524)*(1-G524),0))</x:f>
        <x:v>5618</x:v>
      </x:c>
      <x:c r="I524" s="7" t="n">
        <x:f>IFERROR(IFERROR(INDEX('01_Ustawienia'!$B$15:$B$33,MATCH(B524,'01_Ustawienia'!$A$15:$A$33,0)),0.45),0.45)</x:f>
        <x:v>0.45</x:v>
      </x:c>
      <x:c r="J524" s="8" t="n">
        <x:f>IF(H524="","",ROUND(H524*(1+I524),0))</x:f>
        <x:v>8146</x:v>
      </x:c>
      <x:c r="K524" s="8" t="n">
        <x:f>0</x:f>
        <x:v>0</x:v>
      </x:c>
      <x:c r="L524" s="8" t="n">
        <x:f>IFERROR(IFERROR(INDEX(EG_Cennik_uslug!$AJ:$AJ,MATCH($A524,EG_Cennik_uslug!$A:$A,0)),0),0)</x:f>
        <x:v>450</x:v>
      </x:c>
      <x:c r="M524" s="7" t="n">
        <x:f>IF('01_Ustawienia'!$B$4="ZWOLNIONY",0,'01_Ustawienia'!$B$7)</x:f>
        <x:v>0.08</x:v>
      </x:c>
      <x:c r="N524" s="8" t="n">
        <x:f>IF(J524="","",ROUND((J524+K524)*(1+M524),0))</x:f>
        <x:v>8798</x:v>
      </x:c>
      <x:c r="O524" s="8" t="n">
        <x:f>IF(J524="","",J524+K524-H524-L524)</x:f>
        <x:v>2078</x:v>
      </x:c>
      <x:c r="P524" s="7" t="n">
        <x:f>IFERROR(O524/(J524+K524),"")</x:f>
        <x:v>0.25509452492020623</x:v>
      </x:c>
      <x:c r="Q524" s="6" t="inlineStr">
        <x:is>
          <x:t xml:space="preserve">RAW_ZP N/O</x:t>
        </x:is>
      </x:c>
      <x:c r="R524" s="6" t="inlineStr">
        <x:is>
          <x:t xml:space="preserve">ROLETY BOCZNE</x:t>
        </x:is>
      </x:c>
      <x:c r="S524" s="6" t="inlineStr">
        <x:is>
          <x:t xml:space="preserve">website+crm</x:t>
        </x:is>
      </x:c>
      <x:c r="T524" s="6" t="n"/>
    </x:row>
    <x:row r="525">
      <x:c r="A525" s="6" t="inlineStr">
        <x:is>
          <x:t xml:space="preserve">400 x 1006 cm</x:t>
        </x:is>
      </x:c>
      <x:c r="B525" s="6" t="inlineStr">
        <x:is>
          <x:t xml:space="preserve">M</x:t>
        </x:is>
      </x:c>
      <x:c r="C525" s="6" t="inlineStr">
        <x:is>
          <x:t xml:space="preserve">Markiza dachowa</x:t>
        </x:is>
      </x:c>
      <x:c r="D525" s="6" t="inlineStr">
        <x:is>
          <x:t xml:space="preserve">MARKIZA</x:t>
        </x:is>
      </x:c>
      <x:c r="E525" s="8" t="n">
        <x:f>IFERROR(INDEX('02_RAW_INDEX'!$H:$H,MATCH($A525,'02_RAW_INDEX'!$A:$A,0)),"")</x:f>
        <x:v>8634</x:v>
      </x:c>
      <x:c r="F525" s="8" t="n">
        <x:f>IFERROR(INDEX('02_RAW_INDEX'!$G:$G,MATCH($A525,'02_RAW_INDEX'!$A:$A,0)),"")</x:f>
        <x:v>10620</x:v>
      </x:c>
      <x:c r="G525" s="7" t="n">
        <x:f>'01_Ustawienia'!$B$6</x:f>
        <x:v>0</x:v>
      </x:c>
      <x:c r="H525" s="8" t="n">
        <x:f>IF(E525="","",ROUND(IF('01_Ustawienia'!$B$5="BRUTTO",F525,E525)*(1-G525),0))</x:f>
        <x:v>8634</x:v>
      </x:c>
      <x:c r="I525" s="7" t="n">
        <x:f>IFERROR(IFERROR(INDEX('01_Ustawienia'!$B$15:$B$33,MATCH(B525,'01_Ustawienia'!$A$15:$A$33,0)),0.45),0.45)</x:f>
        <x:v>0.45</x:v>
      </x:c>
      <x:c r="J525" s="8" t="n">
        <x:f>IF(H525="","",ROUND(H525*(1+I525),0))</x:f>
        <x:v>12519</x:v>
      </x:c>
      <x:c r="K525" s="8" t="n">
        <x:f>0</x:f>
        <x:v>0</x:v>
      </x:c>
      <x:c r="L525" s="8" t="n">
        <x:f>IFERROR(IFERROR(INDEX(EG_Cennik_uslug!$AQ:$AQ,MATCH($A525,EG_Cennik_uslug!$A:$A,0)),0),0)</x:f>
        <x:v>600</x:v>
      </x:c>
      <x:c r="M525" s="7" t="n">
        <x:f>IF('01_Ustawienia'!$B$4="ZWOLNIONY",0,'01_Ustawienia'!$B$7)</x:f>
        <x:v>0.08</x:v>
      </x:c>
      <x:c r="N525" s="8" t="n">
        <x:f>IF(J525="","",ROUND((J525+K525)*(1+M525),0))</x:f>
        <x:v>13521</x:v>
      </x:c>
      <x:c r="O525" s="8" t="n">
        <x:f>IF(J525="","",J525+K525-H525-L525)</x:f>
        <x:v>3285</x:v>
      </x:c>
      <x:c r="P525" s="7" t="n">
        <x:f>IFERROR(O525/(J525+K525),"")</x:f>
        <x:v>0.26240115025161753</x:v>
      </x:c>
      <x:c r="Q525" s="6" t="inlineStr">
        <x:is>
          <x:t xml:space="preserve">RAW_ZP H/I</x:t>
        </x:is>
      </x:c>
      <x:c r="R525" s="6" t="inlineStr">
        <x:is>
          <x:t xml:space="preserve">MARKIZA</x:t>
        </x:is>
      </x:c>
      <x:c r="S525" s="6" t="inlineStr">
        <x:is>
          <x:t xml:space="preserve">website+crm</x:t>
        </x:is>
      </x:c>
      <x:c r="T525" s="6" t="n"/>
    </x:row>
    <x:row r="526">
      <x:c r="A526" s="6" t="inlineStr">
        <x:is>
          <x:t xml:space="preserve">400 x 1006 cm</x:t>
        </x:is>
      </x:c>
      <x:c r="B526" s="6" t="inlineStr">
        <x:is>
          <x:t xml:space="preserve">PDWP</x:t>
        </x:is>
      </x:c>
      <x:c r="C526" s="6" t="inlineStr">
        <x:is>
          <x:t xml:space="preserve">Fundament/profile</x:t>
        </x:is>
      </x:c>
      <x:c r="D526" s="6" t="inlineStr">
        <x:is>
          <x:t xml:space="preserve">FUNDAMENT / PROFILE</x:t>
        </x:is>
      </x:c>
      <x:c r="E526" s="8" t="n">
        <x:f>IFERROR(INDEX('02_RAW_INDEX'!$AH:$AH,MATCH($A526,'02_RAW_INDEX'!$A:$A,0)),"")</x:f>
        <x:v>1309</x:v>
      </x:c>
      <x:c r="F526" s="8" t="n">
        <x:f>IFERROR(INDEX('02_RAW_INDEX'!$AG:$AG,MATCH($A526,'02_RAW_INDEX'!$A:$A,0)),"")</x:f>
        <x:v>1610</x:v>
      </x:c>
      <x:c r="G526" s="7" t="n">
        <x:f>'01_Ustawienia'!$B$6</x:f>
        <x:v>0</x:v>
      </x:c>
      <x:c r="H526" s="8" t="n">
        <x:f>IF(E526="","",ROUND(IF('01_Ustawienia'!$B$5="BRUTTO",F526,E526)*(1-G526),0))</x:f>
        <x:v>1309</x:v>
      </x:c>
      <x:c r="I526" s="7" t="n">
        <x:f>IFERROR(IFERROR(INDEX('01_Ustawienia'!$B$15:$B$33,MATCH(B526,'01_Ustawienia'!$A$15:$A$33,0)),0.45),0.45)</x:f>
        <x:v>1.2</x:v>
      </x:c>
      <x:c r="J526" s="8" t="n">
        <x:f>IF(H526="","",ROUND(H526*(1+I526),0))</x:f>
        <x:v>2880</x:v>
      </x:c>
      <x:c r="K526" s="8" t="n">
        <x:f>0</x:f>
        <x:v>0</x:v>
      </x:c>
      <x:c r="L526" s="8" t="n">
        <x:f>IFERROR(IFERROR(INDEX(EG_Cennik_uslug!$BT:$BT,MATCH($A526,EG_Cennik_uslug!$A:$A,0)),0),0)</x:f>
        <x:v>610</x:v>
      </x:c>
      <x:c r="M526" s="7" t="n">
        <x:f>IF('01_Ustawienia'!$B$4="ZWOLNIONY",0,'01_Ustawienia'!$B$7)</x:f>
        <x:v>0.08</x:v>
      </x:c>
      <x:c r="N526" s="8" t="n">
        <x:f>IF(J526="","",ROUND((J526+K526)*(1+M526),0))</x:f>
        <x:v>3110</x:v>
      </x:c>
      <x:c r="O526" s="8" t="n">
        <x:f>IF(J526="","",J526+K526-H526-L526)</x:f>
        <x:v>961</x:v>
      </x:c>
      <x:c r="P526" s="7" t="n">
        <x:f>IFERROR(O526/(J526+K526),"")</x:f>
        <x:v>0.33368055555555554</x:v>
      </x:c>
      <x:c r="Q526" s="6" t="inlineStr">
        <x:is>
          <x:t xml:space="preserve">RAW_OP AB/AC</x:t>
        </x:is>
      </x:c>
      <x:c r="R526" s="6" t="inlineStr">
        <x:is>
          <x:t xml:space="preserve">FUNDAMENT (PROFILE)</x:t>
        </x:is>
      </x:c>
      <x:c r="S526" s="6" t="inlineStr">
        <x:is>
          <x:t xml:space="preserve">website+crm</x:t>
        </x:is>
      </x:c>
      <x:c r="T526" s="6" t="n"/>
    </x:row>
    <x:row r="527" s="655" customFormat="1" ht="30" customHeight="1">
      <x:c r="A527" s="6" t="inlineStr">
        <x:is>
          <x:t xml:space="preserve">400 x 1006 cm</x:t>
        </x:is>
      </x:c>
      <x:c r="B527" s="6" t="inlineStr">
        <x:is>
          <x:t xml:space="preserve">ZAB</x:t>
        </x:is>
      </x:c>
      <x:c r="C527" s="6" t="inlineStr">
        <x:is>
          <x:t xml:space="preserve">Zabieraki do ścian przesuwnych</x:t>
        </x:is>
      </x:c>
      <x:c r="D527" s="6" t="inlineStr">
        <x:is>
          <x:t xml:space="preserve">DODATKI</x:t>
        </x:is>
      </x:c>
      <x:c r="E527" s="8" t="n">
        <x:f>IFERROR(INDEX('02_RAW_INDEX'!$AJ:$AJ,MATCH($A527,'02_RAW_INDEX'!$A:$A,0)),"")</x:f>
        <x:v>423</x:v>
      </x:c>
      <x:c r="F527" s="8" t="n">
        <x:f>IFERROR(INDEX('02_RAW_INDEX'!$AI:$AI,MATCH($A527,'02_RAW_INDEX'!$A:$A,0)),"")</x:f>
        <x:v>520</x:v>
      </x:c>
      <x:c r="G527" s="7" t="n">
        <x:f>'01_Ustawienia'!$B$6</x:f>
        <x:v>0</x:v>
      </x:c>
      <x:c r="H527" s="8" t="n">
        <x:f>IF(E527="","",ROUND(IF('01_Ustawienia'!$B$5="BRUTTO",F527,E527)*(1-G527),0))</x:f>
        <x:v>423</x:v>
      </x:c>
      <x:c r="I527" s="7" t="n">
        <x:f>IFERROR(IFERROR(INDEX('01_Ustawienia'!$B$15:$B$33,MATCH(B527,'01_Ustawienia'!$A$15:$A$33,0)),0.45),0.45)</x:f>
        <x:v>0.45</x:v>
      </x:c>
      <x:c r="J527" s="8" t="n">
        <x:f>IF(H527="","",ROUND(H527*(1+I527),0))</x:f>
        <x:v>613</x:v>
      </x:c>
      <x:c r="K527" s="8" t="n">
        <x:f>0</x:f>
        <x:v>0</x:v>
      </x:c>
      <x:c r="L527" s="8" t="n">
        <x:f>0</x:f>
        <x:v>0</x:v>
      </x:c>
      <x:c r="M527" s="7" t="n">
        <x:f>IF('01_Ustawienia'!$B$4="ZWOLNIONY",0,'01_Ustawienia'!$B$7)</x:f>
        <x:v>0.08</x:v>
      </x:c>
      <x:c r="N527" s="8" t="n">
        <x:f>IF(J527="","",ROUND((J527+K527)*(1+M527),0))</x:f>
        <x:v>662</x:v>
      </x:c>
      <x:c r="O527" s="8" t="n">
        <x:f>IF(J527="","",J527+K527-H527-L527)</x:f>
        <x:v>190</x:v>
      </x:c>
      <x:c r="P527" s="7" t="n">
        <x:f>IFERROR(O527/(J527+K527),"")</x:f>
        <x:v>0.3099510603588907</x:v>
      </x:c>
      <x:c r="Q527" s="6" t="inlineStr">
        <x:is>
          <x:t xml:space="preserve">RAW_OP AD/AE</x:t>
        </x:is>
      </x:c>
      <x:c r="R527" s="6" t="inlineStr">
        <x:is>
          <x:t xml:space="preserve">DODATKI</x:t>
        </x:is>
      </x:c>
      <x:c r="S527" s="6" t="inlineStr">
        <x:is>
          <x:t xml:space="preserve">crm_only</x:t>
        </x:is>
      </x:c>
      <x:c r="T527" s="6" t="n"/>
    </x:row>
    <x:row r="528">
      <x:c r="A528" s="6" t="inlineStr">
        <x:is>
          <x:t xml:space="preserve">400 x 1006 cm</x:t>
        </x:is>
      </x:c>
      <x:c r="B528" s="6" t="inlineStr">
        <x:is>
          <x:t xml:space="preserve">S</x:t>
        </x:is>
      </x:c>
      <x:c r="C528" s="6" t="inlineStr">
        <x:is>
          <x:t xml:space="preserve">Szczotki przeciwkurzowe</x:t>
        </x:is>
      </x:c>
      <x:c r="D528" s="6" t="inlineStr">
        <x:is>
          <x:t xml:space="preserve">SZCZOTKI</x:t>
        </x:is>
      </x:c>
      <x:c r="E528" s="8" t="n">
        <x:f>IFERROR(INDEX('02_RAW_INDEX'!$AD:$AD,MATCH($A528,'02_RAW_INDEX'!$A:$A,0)),"")</x:f>
        <x:v>561</x:v>
      </x:c>
      <x:c r="F528" s="8" t="n">
        <x:f>IFERROR(INDEX('02_RAW_INDEX'!$AC:$AC,MATCH($A528,'02_RAW_INDEX'!$A:$A,0)),"")</x:f>
        <x:v>690</x:v>
      </x:c>
      <x:c r="G528" s="7" t="n">
        <x:f>'01_Ustawienia'!$B$6</x:f>
        <x:v>0</x:v>
      </x:c>
      <x:c r="H528" s="8" t="n">
        <x:f>IF(E528="","",ROUND(IF('01_Ustawienia'!$B$5="BRUTTO",F528,E528)*(1-G528),0))</x:f>
        <x:v>561</x:v>
      </x:c>
      <x:c r="I528" s="7" t="n">
        <x:f>IFERROR(IFERROR(INDEX('01_Ustawienia'!$B$15:$B$33,MATCH(B528,'01_Ustawienia'!$A$15:$A$33,0)),0.45),0.45)</x:f>
        <x:v>0.45</x:v>
      </x:c>
      <x:c r="J528" s="8" t="n">
        <x:f>IF(H528="","",ROUND(H528*(1+I528),0))</x:f>
        <x:v>813</x:v>
      </x:c>
      <x:c r="K528" s="8" t="n">
        <x:f>0</x:f>
        <x:v>0</x:v>
      </x:c>
      <x:c r="L528" s="8" t="n">
        <x:f>IFERROR(IFERROR(INDEX(EG_Cennik_uslug!$CA:$CA,MATCH($A528,EG_Cennik_uslug!$A:$A,0)),0),0)</x:f>
        <x:v>0</x:v>
      </x:c>
      <x:c r="M528" s="7" t="n">
        <x:f>IF('01_Ustawienia'!$B$4="ZWOLNIONY",0,'01_Ustawienia'!$B$7)</x:f>
        <x:v>0.08</x:v>
      </x:c>
      <x:c r="N528" s="8" t="n">
        <x:f>IF(J528="","",ROUND((J528+K528)*(1+M528),0))</x:f>
        <x:v>878</x:v>
      </x:c>
      <x:c r="O528" s="8" t="n">
        <x:f>IF(J528="","",J528+K528-H528-L528)</x:f>
        <x:v>252</x:v>
      </x:c>
      <x:c r="P528" s="7" t="n">
        <x:f>IFERROR(O528/(J528+K528),"")</x:f>
        <x:v>0.30996309963099633</x:v>
      </x:c>
      <x:c r="Q528" s="6" t="inlineStr">
        <x:is>
          <x:t xml:space="preserve">RAW_OP L/M</x:t>
        </x:is>
      </x:c>
      <x:c r="R528" s="6" t="inlineStr">
        <x:is>
          <x:t xml:space="preserve">DODATKI</x:t>
        </x:is>
      </x:c>
      <x:c r="S528" s="6" t="inlineStr">
        <x:is>
          <x:t xml:space="preserve">website+crm</x:t>
        </x:is>
      </x:c>
      <x:c r="T528" s="6" t="n"/>
    </x:row>
    <x:row r="529">
      <x:c r="A529" s="6" t="inlineStr">
        <x:is>
          <x:t xml:space="preserve">400 x 1006 cm</x:t>
        </x:is>
      </x:c>
      <x:c r="B529" s="6" t="inlineStr">
        <x:is>
          <x:t xml:space="preserve">U</x:t>
        </x:is>
      </x:c>
      <x:c r="C529" s="6" t="inlineStr">
        <x:is>
          <x:t xml:space="preserve">Uchwyty na szkło ścienne</x:t>
        </x:is>
      </x:c>
      <x:c r="D529" s="6" t="inlineStr">
        <x:is>
          <x:t xml:space="preserve">UCHWYTY</x:t>
        </x:is>
      </x:c>
      <x:c r="E529" s="8" t="n">
        <x:f>IFERROR(INDEX('02_RAW_INDEX'!$AF:$AF,MATCH($A529,'02_RAW_INDEX'!$A:$A,0)),"")</x:f>
        <x:v>504</x:v>
      </x:c>
      <x:c r="F529" s="8" t="n">
        <x:f>IFERROR(INDEX('02_RAW_INDEX'!$AE:$AE,MATCH($A529,'02_RAW_INDEX'!$A:$A,0)),"")</x:f>
        <x:v>620</x:v>
      </x:c>
      <x:c r="G529" s="7" t="n">
        <x:f>'01_Ustawienia'!$B$6</x:f>
        <x:v>0</x:v>
      </x:c>
      <x:c r="H529" s="8" t="n">
        <x:f>IF(E529="","",ROUND(IF('01_Ustawienia'!$B$5="BRUTTO",F529,E529)*(1-G529),0))</x:f>
        <x:v>504</x:v>
      </x:c>
      <x:c r="I529" s="7" t="n">
        <x:f>IFERROR(IFERROR(INDEX('01_Ustawienia'!$B$15:$B$33,MATCH(B529,'01_Ustawienia'!$A$15:$A$33,0)),0.45),0.45)</x:f>
        <x:v>0.45</x:v>
      </x:c>
      <x:c r="J529" s="8" t="n">
        <x:f>IF(H529="","",ROUND(H529*(1+I529),0))</x:f>
        <x:v>731</x:v>
      </x:c>
      <x:c r="K529" s="8" t="n">
        <x:f>0</x:f>
        <x:v>0</x:v>
      </x:c>
      <x:c r="L529" s="8" t="n">
        <x:f>IFERROR(IFERROR(INDEX(EG_Cennik_uslug!$CH:$CH,MATCH($A529,EG_Cennik_uslug!$A:$A,0)),0),0)</x:f>
        <x:v>0</x:v>
      </x:c>
      <x:c r="M529" s="7" t="n">
        <x:f>IF('01_Ustawienia'!$B$4="ZWOLNIONY",0,'01_Ustawienia'!$B$7)</x:f>
        <x:v>0.08</x:v>
      </x:c>
      <x:c r="N529" s="8" t="n">
        <x:f>IF(J529="","",ROUND((J529+K529)*(1+M529),0))</x:f>
        <x:v>789</x:v>
      </x:c>
      <x:c r="O529" s="8" t="n">
        <x:f>IF(J529="","",J529+K529-H529-L529)</x:f>
        <x:v>227</x:v>
      </x:c>
      <x:c r="P529" s="7" t="n">
        <x:f>IFERROR(O529/(J529+K529),"")</x:f>
        <x:v>0.31053351573187415</x:v>
      </x:c>
      <x:c r="Q529" s="6" t="inlineStr">
        <x:is>
          <x:t xml:space="preserve">RAW_OP N/O</x:t>
        </x:is>
      </x:c>
      <x:c r="R529" s="6" t="inlineStr">
        <x:is>
          <x:t xml:space="preserve">DODATKI</x:t>
        </x:is>
      </x:c>
      <x:c r="S529" s="6" t="inlineStr">
        <x:is>
          <x:t xml:space="preserve">website+crm</x:t>
        </x:is>
      </x:c>
      <x:c r="T529" s="6" t="n"/>
    </x:row>
    <x:row r="530">
      <x:c r="A530" s="6" t="inlineStr">
        <x:is>
          <x:t xml:space="preserve">400 x 1006 cm</x:t>
        </x:is>
      </x:c>
      <x:c r="B530" s="6" t="inlineStr">
        <x:is>
          <x:t xml:space="preserve">LED2</x:t>
        </x:is>
      </x:c>
      <x:c r="C530" s="6" t="inlineStr">
        <x:is>
          <x:t xml:space="preserve">Oświetlenie LED 2 punkty</x:t>
        </x:is>
      </x:c>
      <x:c r="D530" s="6" t="inlineStr">
        <x:is>
          <x:t xml:space="preserve">LED 2 PKT</x:t>
        </x:is>
      </x:c>
      <x:c r="E530" s="8" t="n">
        <x:f>IFERROR(INDEX('02_RAW_INDEX'!$N:$N,MATCH($A530,'02_RAW_INDEX'!$A:$A,0)),"")</x:f>
        <x:v>1000</x:v>
      </x:c>
      <x:c r="F530" s="8" t="n">
        <x:f>IFERROR(INDEX('02_RAW_INDEX'!$M:$M,MATCH($A530,'02_RAW_INDEX'!$A:$A,0)),"")</x:f>
        <x:v>1230</x:v>
      </x:c>
      <x:c r="G530" s="7" t="n">
        <x:f>'01_Ustawienia'!$B$6</x:f>
        <x:v>0</x:v>
      </x:c>
      <x:c r="H530" s="8" t="n">
        <x:f>IF(E530="","",ROUND(IF('01_Ustawienia'!$B$5="BRUTTO",F530,E530)*(1-G530),0))</x:f>
        <x:v>1000</x:v>
      </x:c>
      <x:c r="I530" s="7" t="n">
        <x:f>IFERROR(IFERROR(INDEX('01_Ustawienia'!$B$15:$B$33,MATCH(B530,'01_Ustawienia'!$A$15:$A$33,0)),0.45),0.45)</x:f>
        <x:v>0.45</x:v>
      </x:c>
      <x:c r="J530" s="8" t="n">
        <x:f>IF(H530="","",ROUND(H530*(1+I530),0))</x:f>
        <x:v>1450</x:v>
      </x:c>
      <x:c r="K530" s="8" t="n">
        <x:f>0</x:f>
        <x:v>0</x:v>
      </x:c>
      <x:c r="L530" s="8" t="n">
        <x:f>IFERROR(IFERROR(INDEX(EG_Cennik_uslug!$CO:$CO,MATCH($A530,EG_Cennik_uslug!$A:$A,0)),0),0)</x:f>
        <x:v>0</x:v>
      </x:c>
      <x:c r="M530" s="7" t="n">
        <x:f>IF('01_Ustawienia'!$B$4="ZWOLNIONY",0,'01_Ustawienia'!$B$7)</x:f>
        <x:v>0.08</x:v>
      </x:c>
      <x:c r="N530" s="8" t="n">
        <x:f>IF(J530="","",ROUND((J530+K530)*(1+M530),0))</x:f>
        <x:v>1566</x:v>
      </x:c>
      <x:c r="O530" s="8" t="n">
        <x:f>IF(J530="","",J530+K530-H530-L530)</x:f>
        <x:v>450</x:v>
      </x:c>
      <x:c r="P530" s="7" t="n">
        <x:f>IFERROR(O530/(J530+K530),"")</x:f>
        <x:v>0.3103448275862069</x:v>
      </x:c>
      <x:c r="Q530" s="6" t="inlineStr">
        <x:is>
          <x:t xml:space="preserve">RAW_ZP P/Q</x:t>
        </x:is>
      </x:c>
      <x:c r="R530" s="6" t="inlineStr">
        <x:is>
          <x:t xml:space="preserve">OŚWIETLENIE</x:t>
        </x:is>
      </x:c>
      <x:c r="S530" s="6" t="inlineStr">
        <x:is>
          <x:t xml:space="preserve">website+crm</x:t>
        </x:is>
      </x:c>
      <x:c r="T530" s="6" t="n"/>
    </x:row>
    <x:row r="531">
      <x:c r="A531" s="6" t="inlineStr">
        <x:is>
          <x:t xml:space="preserve">400 x 1006 cm</x:t>
        </x:is>
      </x:c>
      <x:c r="B531" s="6" t="inlineStr">
        <x:is>
          <x:t xml:space="preserve">LED3</x:t>
        </x:is>
      </x:c>
      <x:c r="C531" s="6" t="inlineStr">
        <x:is>
          <x:t xml:space="preserve">Oświetlenie LED 3 punkty</x:t>
        </x:is>
      </x:c>
      <x:c r="D531" s="6" t="inlineStr">
        <x:is>
          <x:t xml:space="preserve">LED 3 PKT</x:t>
        </x:is>
      </x:c>
      <x:c r="E531" s="8" t="n">
        <x:f>IFERROR(INDEX('02_RAW_INDEX'!$P:$P,MATCH($A531,'02_RAW_INDEX'!$A:$A,0)),"")</x:f>
        <x:v>1341</x:v>
      </x:c>
      <x:c r="F531" s="8" t="n">
        <x:f>IFERROR(INDEX('02_RAW_INDEX'!$O:$O,MATCH($A531,'02_RAW_INDEX'!$A:$A,0)),"")</x:f>
        <x:v>1650</x:v>
      </x:c>
      <x:c r="G531" s="7" t="n">
        <x:f>'01_Ustawienia'!$B$6</x:f>
        <x:v>0</x:v>
      </x:c>
      <x:c r="H531" s="8" t="n">
        <x:f>IF(E531="","",ROUND(IF('01_Ustawienia'!$B$5="BRUTTO",F531,E531)*(1-G531),0))</x:f>
        <x:v>1341</x:v>
      </x:c>
      <x:c r="I531" s="7" t="n">
        <x:f>IFERROR(IFERROR(INDEX('01_Ustawienia'!$B$15:$B$33,MATCH(B531,'01_Ustawienia'!$A$15:$A$33,0)),0.45),0.45)</x:f>
        <x:v>0.45</x:v>
      </x:c>
      <x:c r="J531" s="8" t="n">
        <x:f>IF(H531="","",ROUND(H531*(1+I531),0))</x:f>
        <x:v>1944</x:v>
      </x:c>
      <x:c r="K531" s="8" t="n">
        <x:f>0</x:f>
        <x:v>0</x:v>
      </x:c>
      <x:c r="L531" s="8" t="n">
        <x:f>IFERROR(IFERROR(INDEX(EG_Cennik_uslug!$CV:$CV,MATCH($A531,EG_Cennik_uslug!$A:$A,0)),0),0)</x:f>
        <x:v>0</x:v>
      </x:c>
      <x:c r="M531" s="7" t="n">
        <x:f>IF('01_Ustawienia'!$B$4="ZWOLNIONY",0,'01_Ustawienia'!$B$7)</x:f>
        <x:v>0.08</x:v>
      </x:c>
      <x:c r="N531" s="8" t="n">
        <x:f>IF(J531="","",ROUND((J531+K531)*(1+M531),0))</x:f>
        <x:v>2100</x:v>
      </x:c>
      <x:c r="O531" s="8" t="n">
        <x:f>IF(J531="","",J531+K531-H531-L531)</x:f>
        <x:v>603</x:v>
      </x:c>
      <x:c r="P531" s="7" t="n">
        <x:f>IFERROR(O531/(J531+K531),"")</x:f>
        <x:v>0.3101851851851852</x:v>
      </x:c>
      <x:c r="Q531" s="6" t="inlineStr">
        <x:is>
          <x:t xml:space="preserve">RAW_ZP R/S</x:t>
        </x:is>
      </x:c>
      <x:c r="R531" s="6" t="inlineStr">
        <x:is>
          <x:t xml:space="preserve">OŚWIETLENIE</x:t>
        </x:is>
      </x:c>
      <x:c r="S531" s="6" t="inlineStr">
        <x:is>
          <x:t xml:space="preserve">website+crm</x:t>
        </x:is>
      </x:c>
      <x:c r="T531" s="6" t="inlineStr">
        <x:is>
          <x:t xml:space="preserve">Nazwa do potwierdzenia</x:t>
        </x:is>
      </x:c>
    </x:row>
    <x:row r="532">
      <x:c r="A532" s="6" t="inlineStr">
        <x:is>
          <x:t xml:space="preserve">400 x 1006 cm</x:t>
        </x:is>
      </x:c>
      <x:c r="B532" s="6" t="inlineStr">
        <x:is>
          <x:t xml:space="preserve">LEDCCT</x:t>
        </x:is>
      </x:c>
      <x:c r="C532" s="6" t="inlineStr">
        <x:is>
          <x:t xml:space="preserve">Oświetlenie LED CCT</x:t>
        </x:is>
      </x:c>
      <x:c r="D532" s="6" t="inlineStr">
        <x:is>
          <x:t xml:space="preserve">OŚWIETLENIE</x:t>
        </x:is>
      </x:c>
      <x:c r="E532" s="8" t="n">
        <x:f>IFERROR(INDEX('02_RAW_INDEX'!$R:$R,MATCH($A532,'02_RAW_INDEX'!$A:$A,0)),"")</x:f>
        <x:v>2110</x:v>
      </x:c>
      <x:c r="F532" s="8" t="n">
        <x:f>IFERROR(INDEX('02_RAW_INDEX'!$Q:$Q,MATCH($A532,'02_RAW_INDEX'!$A:$A,0)),"")</x:f>
        <x:v>2595</x:v>
      </x:c>
      <x:c r="G532" s="7" t="n">
        <x:f>'01_Ustawienia'!$B$6</x:f>
        <x:v>0</x:v>
      </x:c>
      <x:c r="H532" s="8" t="n">
        <x:f>IF(E532="","",ROUND(IF('01_Ustawienia'!$B$5="BRUTTO",F532,E532)*(1-G532),0))</x:f>
        <x:v>2110</x:v>
      </x:c>
      <x:c r="I532" s="7" t="n">
        <x:f>IFERROR(IFERROR(INDEX('01_Ustawienia'!$B$15:$B$33,MATCH(B532,'01_Ustawienia'!$A$15:$A$33,0)),0.45),0.45)</x:f>
        <x:v>0.45</x:v>
      </x:c>
      <x:c r="J532" s="8" t="n">
        <x:f>IF(H532="","",ROUND(H532*(1+I532),0))</x:f>
        <x:v>3060</x:v>
      </x:c>
      <x:c r="K532" s="8" t="n">
        <x:f>0</x:f>
        <x:v>0</x:v>
      </x:c>
      <x:c r="L532" s="8" t="n">
        <x:f>0</x:f>
        <x:v>0</x:v>
      </x:c>
      <x:c r="M532" s="7" t="n">
        <x:f>IF('01_Ustawienia'!$B$4="ZWOLNIONY",0,'01_Ustawienia'!$B$7)</x:f>
        <x:v>0.08</x:v>
      </x:c>
      <x:c r="N532" s="8" t="n">
        <x:f>IF(J532="","",ROUND((J532+K532)*(1+M532),0))</x:f>
        <x:v>3305</x:v>
      </x:c>
      <x:c r="O532" s="8" t="n">
        <x:f>IF(J532="","",J532+K532-H532-L532)</x:f>
        <x:v>950</x:v>
      </x:c>
      <x:c r="P532" s="7" t="n">
        <x:f>IFERROR(O532/(J532+K532),"")</x:f>
        <x:v>0.3104575163398693</x:v>
      </x:c>
      <x:c r="Q532" s="6" t="inlineStr">
        <x:is>
          <x:t xml:space="preserve">RAW_ZP T/U</x:t>
        </x:is>
      </x:c>
      <x:c r="R532" s="6" t="inlineStr">
        <x:is>
          <x:t xml:space="preserve">OŚWIETLENIE</x:t>
        </x:is>
      </x:c>
      <x:c r="S532" s="6" t="inlineStr">
        <x:is>
          <x:t xml:space="preserve">website+crm</x:t>
        </x:is>
      </x:c>
      <x:c r="T532" s="6" t="inlineStr">
        <x:is>
          <x:t xml:space="preserve">Opcja dodatkowa | FIX17: opcja LED dostępna dla strony; ceny 450-600 wg modelu FIX15.</x:t>
        </x:is>
      </x:c>
    </x:row>
    <x:row r="533">
      <x:c r="A533" s="6" t="inlineStr">
        <x:is>
          <x:t xml:space="preserve">400 x 1006 cm</x:t>
        </x:is>
      </x:c>
      <x:c r="B533" s="6" t="inlineStr">
        <x:is>
          <x:t xml:space="preserve">LEDRGBCCT</x:t>
        </x:is>
      </x:c>
      <x:c r="C533" s="6" t="inlineStr">
        <x:is>
          <x:t xml:space="preserve">Oświetlenie LED RGB CCT</x:t>
        </x:is>
      </x:c>
      <x:c r="D533" s="6" t="inlineStr">
        <x:is>
          <x:t xml:space="preserve">OŚWIETLENIE</x:t>
        </x:is>
      </x:c>
      <x:c r="E533" s="8" t="n">
        <x:f>IFERROR(INDEX('02_RAW_INDEX'!$T:$T,MATCH($A533,'02_RAW_INDEX'!$A:$A,0)),"")</x:f>
        <x:v>3170</x:v>
      </x:c>
      <x:c r="F533" s="8" t="n">
        <x:f>IFERROR(INDEX('02_RAW_INDEX'!$S:$S,MATCH($A533,'02_RAW_INDEX'!$A:$A,0)),"")</x:f>
        <x:v>3899</x:v>
      </x:c>
      <x:c r="G533" s="7" t="n">
        <x:f>'01_Ustawienia'!$B$6</x:f>
        <x:v>0</x:v>
      </x:c>
      <x:c r="H533" s="8" t="n">
        <x:f>IF(E533="","",ROUND(IF('01_Ustawienia'!$B$5="BRUTTO",F533,E533)*(1-G533),0))</x:f>
        <x:v>3170</x:v>
      </x:c>
      <x:c r="I533" s="7" t="n">
        <x:f>IFERROR(IFERROR(INDEX('01_Ustawienia'!$B$15:$B$33,MATCH(B533,'01_Ustawienia'!$A$15:$A$33,0)),0.45),0.45)</x:f>
        <x:v>0.45</x:v>
      </x:c>
      <x:c r="J533" s="8" t="n">
        <x:f>IF(H533="","",ROUND(H533*(1+I533),0))</x:f>
        <x:v>4597</x:v>
      </x:c>
      <x:c r="K533" s="8" t="n">
        <x:f>0</x:f>
        <x:v>0</x:v>
      </x:c>
      <x:c r="L533" s="8" t="n">
        <x:f>0</x:f>
        <x:v>0</x:v>
      </x:c>
      <x:c r="M533" s="7" t="n">
        <x:f>IF('01_Ustawienia'!$B$4="ZWOLNIONY",0,'01_Ustawienia'!$B$7)</x:f>
        <x:v>0.08</x:v>
      </x:c>
      <x:c r="N533" s="8" t="n">
        <x:f>IF(J533="","",ROUND((J533+K533)*(1+M533),0))</x:f>
        <x:v>4965</x:v>
      </x:c>
      <x:c r="O533" s="8" t="n">
        <x:f>IF(J533="","",J533+K533-H533-L533)</x:f>
        <x:v>1427</x:v>
      </x:c>
      <x:c r="P533" s="7" t="n">
        <x:f>IFERROR(O533/(J533+K533),"")</x:f>
        <x:v>0.3104198390254514</x:v>
      </x:c>
      <x:c r="Q533" s="6" t="inlineStr">
        <x:is>
          <x:t xml:space="preserve">RAW_ZP V/W</x:t>
        </x:is>
      </x:c>
      <x:c r="R533" s="6" t="inlineStr">
        <x:is>
          <x:t xml:space="preserve">OŚWIETLENIE</x:t>
        </x:is>
      </x:c>
      <x:c r="S533" s="6" t="inlineStr">
        <x:is>
          <x:t xml:space="preserve">crm_only</x:t>
        </x:is>
      </x:c>
      <x:c r="T533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534" s="655" customFormat="1" ht="30" customHeight="1">
      <x:c r="A534" s="6" t="inlineStr">
        <x:is>
          <x:t xml:space="preserve">400 x 1106 cm</x:t>
        </x:is>
      </x:c>
      <x:c r="B534" s="6" t="inlineStr">
        <x:is>
          <x:t xml:space="preserve">ZP</x:t>
        </x:is>
      </x:c>
      <x:c r="C534" s="6" t="inlineStr">
        <x:is>
          <x:t xml:space="preserve">Zadaszenie poliwęglan - baza</x:t>
        </x:is>
      </x:c>
      <x:c r="D534" s="6" t="inlineStr">
        <x:is>
          <x:t xml:space="preserve">ZADASZENIE POLIWĘGLAN</x:t>
        </x:is>
      </x:c>
      <x:c r="E534" s="8" t="n">
        <x:f>IFERROR(INDEX('02_RAW_INDEX'!$D:$D,MATCH($A534,'02_RAW_INDEX'!$A:$A,0)),"")</x:f>
        <x:v>12984</x:v>
      </x:c>
      <x:c r="F534" s="8" t="n">
        <x:f>IFERROR(INDEX('02_RAW_INDEX'!$C:$C,MATCH($A534,'02_RAW_INDEX'!$A:$A,0)),"")</x:f>
        <x:v>15970</x:v>
      </x:c>
      <x:c r="G534" s="7" t="n">
        <x:f>'01_Ustawienia'!$B$6</x:f>
        <x:v>0</x:v>
      </x:c>
      <x:c r="H534" s="8" t="n">
        <x:f>IF(E534="","",ROUND(IF('01_Ustawienia'!$B$5="BRUTTO",F534,E534)*(1-G534),0))</x:f>
        <x:v>12984</x:v>
      </x:c>
      <x:c r="I534" s="7" t="n">
        <x:f>IFERROR(IFERROR(INDEX('01_Ustawienia'!$B$15:$B$33,MATCH(B534,'01_Ustawienia'!$A$15:$A$33,0)),0.45),0.45)</x:f>
        <x:v>0.45</x:v>
      </x:c>
      <x:c r="J534" s="8" t="n">
        <x:f>IF(H534="","",ROUND(H534*(1+I534),0))</x:f>
        <x:v>18827</x:v>
      </x:c>
      <x:c r="K534" s="8" t="n">
        <x:f>IFERROR(IFERROR(INDEX(EG_Cennik_uslug!$F:$F,MATCH($A534,EG_Cennik_uslug!$A:$A,0)),0),0)</x:f>
        <x:v>5040</x:v>
      </x:c>
      <x:c r="L534" s="8" t="n">
        <x:f>IFERROR(IFERROR(INDEX(EG_Cennik_uslug!$G:$G,MATCH($A534,EG_Cennik_uslug!$A:$A,0)),0),0)</x:f>
        <x:v>1900</x:v>
      </x:c>
      <x:c r="M534" s="7" t="n">
        <x:f>IF('01_Ustawienia'!$B$4="ZWOLNIONY",0,'01_Ustawienia'!$B$7)</x:f>
        <x:v>0.08</x:v>
      </x:c>
      <x:c r="N534" s="8" t="n">
        <x:f>IF(J534="","",ROUND((J534+K534)*(1+M534),0))</x:f>
        <x:v>25776</x:v>
      </x:c>
      <x:c r="O534" s="8" t="n">
        <x:f>IF(J534="","",J534+K534-H534-L534)</x:f>
        <x:v>8983</x:v>
      </x:c>
      <x:c r="P534" s="7" t="n">
        <x:f>IFERROR(O534/(J534+K534),"")</x:f>
        <x:v>0.3763774248963003</x:v>
      </x:c>
      <x:c r="Q534" s="6" t="inlineStr">
        <x:is>
          <x:t xml:space="preserve">RAW_ZP B/C</x:t>
        </x:is>
      </x:c>
      <x:c r="R534" s="6" t="inlineStr">
        <x:is>
          <x:t xml:space="preserve">ZADASZENIE TARASU KONSTRUKCJA</x:t>
        </x:is>
      </x:c>
      <x:c r="S534" s="6" t="inlineStr">
        <x:is>
          <x:t xml:space="preserve">website+crm</x:t>
        </x:is>
      </x:c>
      <x:c r="T534" s="6" t="inlineStr">
        <x:is>
          <x:t xml:space="preserve">Baza dla kalkulatora</x:t>
        </x:is>
      </x:c>
    </x:row>
    <x:row r="535" s="655" customFormat="1" ht="30" customHeight="1">
      <x:c r="A535" s="6" t="inlineStr">
        <x:is>
          <x:t xml:space="preserve">400 x 1106 cm</x:t>
        </x:is>
      </x:c>
      <x:c r="B535" s="6" t="inlineStr">
        <x:is>
          <x:t xml:space="preserve">ZS</x:t>
        </x:is>
      </x:c>
      <x:c r="C535" s="6" t="inlineStr">
        <x:is>
          <x:t xml:space="preserve">Zadaszenie szkło - pełna konstrukcja</x:t>
        </x:is>
      </x:c>
      <x:c r="D535" s="6" t="inlineStr">
        <x:is>
          <x:t xml:space="preserve">ZADASZENIE SZKŁO</x:t>
        </x:is>
      </x:c>
      <x:c r="E535" s="8" t="n">
        <x:f>IFERROR(INDEX('02_RAW_INDEX'!$V:$V,MATCH($A535,'02_RAW_INDEX'!$A:$A,0)),"")</x:f>
        <x:v>21951</x:v>
      </x:c>
      <x:c r="F535" s="8" t="n">
        <x:f>IFERROR(INDEX('02_RAW_INDEX'!$U:$U,MATCH($A535,'02_RAW_INDEX'!$A:$A,0)),"")</x:f>
        <x:v>27000</x:v>
      </x:c>
      <x:c r="G535" s="7" t="n">
        <x:f>'01_Ustawienia'!$B$6</x:f>
        <x:v>0</x:v>
      </x:c>
      <x:c r="H535" s="8" t="n">
        <x:f>IF(E535="","",ROUND(IF('01_Ustawienia'!$B$5="BRUTTO",F535,E535)*(1-G535),0))</x:f>
        <x:v>21951</x:v>
      </x:c>
      <x:c r="I535" s="7" t="n">
        <x:f>IFERROR(IFERROR(INDEX('01_Ustawienia'!$B$15:$B$33,MATCH(B535,'01_Ustawienia'!$A$15:$A$33,0)),0.45),0.45)</x:f>
        <x:v>0.45</x:v>
      </x:c>
      <x:c r="J535" s="8" t="n">
        <x:f>IF(H535="","",ROUND(H535*(1+I535),0))</x:f>
        <x:v>31829</x:v>
      </x:c>
      <x:c r="K535" s="8" t="n">
        <x:f>IFERROR(IFERROR(INDEX(EG_Cennik_uslug!$F:$F,MATCH($A535,EG_Cennik_uslug!$A:$A,0)),0),0)</x:f>
        <x:v>5040</x:v>
      </x:c>
      <x:c r="L535" s="8" t="n">
        <x:f>IFERROR(IFERROR(INDEX(EG_Cennik_uslug!$G:$G,MATCH($A535,EG_Cennik_uslug!$A:$A,0)),0),0)</x:f>
        <x:v>1900</x:v>
      </x:c>
      <x:c r="M535" s="7" t="n">
        <x:f>IF('01_Ustawienia'!$B$4="ZWOLNIONY",0,'01_Ustawienia'!$B$7)</x:f>
        <x:v>0.08</x:v>
      </x:c>
      <x:c r="N535" s="8" t="n">
        <x:f>IF(J535="","",ROUND((J535+K535)*(1+M535),0))</x:f>
        <x:v>39819</x:v>
      </x:c>
      <x:c r="O535" s="8" t="n">
        <x:f>IF(J535="","",J535+K535-H535-L535)</x:f>
        <x:v>13018</x:v>
      </x:c>
      <x:c r="P535" s="7" t="n">
        <x:f>IFERROR(O535/(J535+K535),"")</x:f>
        <x:v>0.35308796007485965</x:v>
      </x:c>
      <x:c r="Q535" s="6" t="inlineStr">
        <x:is>
          <x:t xml:space="preserve">RAW_ZS B/C</x:t>
        </x:is>
      </x:c>
      <x:c r="R535" s="6" t="inlineStr">
        <x:is>
          <x:t xml:space="preserve">ZADASZENIE TARASU KONSTRUKCJA</x:t>
        </x:is>
      </x:c>
      <x:c r="S535" s="6" t="inlineStr">
        <x:is>
          <x:t xml:space="preserve">crm_only</x:t>
        </x:is>
      </x:c>
      <x:c r="T535" s="6" t="inlineStr">
        <x:is>
          <x:t xml:space="preserve">Referencyjne/full; strona zwykle używa ZP + PDS</x:t>
        </x:is>
      </x:c>
    </x:row>
    <x:row r="536" s="655" customFormat="1" ht="30" customHeight="1">
      <x:c r="A536" s="6" t="inlineStr">
        <x:is>
          <x:t xml:space="preserve">400 x 1106 cm</x:t>
        </x:is>
      </x:c>
      <x:c r="B536" s="6" t="inlineStr">
        <x:is>
          <x:t xml:space="preserve">OP</x:t>
        </x:is>
      </x:c>
      <x:c r="C536" s="6" t="inlineStr">
        <x:is>
          <x:t xml:space="preserve">Ogród zimowy poliwęglan - baza</x:t>
        </x:is>
      </x:c>
      <x:c r="D536" s="6" t="inlineStr">
        <x:is>
          <x:t xml:space="preserve">OGRODY POLIWĘGLAN</x:t>
        </x:is>
      </x:c>
      <x:c r="E536" s="8" t="n">
        <x:f>IFERROR(INDEX('02_RAW_INDEX'!$Z:$Z,MATCH($A536,'02_RAW_INDEX'!$A:$A,0)),"")</x:f>
        <x:v>29512</x:v>
      </x:c>
      <x:c r="F536" s="8" t="n">
        <x:f>IFERROR(INDEX('02_RAW_INDEX'!$Y:$Y,MATCH($A536,'02_RAW_INDEX'!$A:$A,0)),"")</x:f>
        <x:v>36300</x:v>
      </x:c>
      <x:c r="G536" s="7" t="n">
        <x:f>'01_Ustawienia'!$B$6</x:f>
        <x:v>0</x:v>
      </x:c>
      <x:c r="H536" s="8" t="n">
        <x:f>IF(E536="","",ROUND(IF('01_Ustawienia'!$B$5="BRUTTO",F536,E536)*(1-G536),0))</x:f>
        <x:v>29512</x:v>
      </x:c>
      <x:c r="I536" s="7" t="n">
        <x:f>IFERROR(IFERROR(INDEX('01_Ustawienia'!$B$15:$B$33,MATCH(B536,'01_Ustawienia'!$A$15:$A$33,0)),0.45),0.45)</x:f>
        <x:v>0.45</x:v>
      </x:c>
      <x:c r="J536" s="8" t="n">
        <x:f>IF(H536="","",ROUND(H536*(1+I536),0))</x:f>
        <x:v>42792</x:v>
      </x:c>
      <x:c r="K536" s="8" t="n">
        <x:f>IFERROR(IFERROR(INDEX(EG_Cennik_uslug!$N:$N,MATCH($A536,EG_Cennik_uslug!$A:$A,0)),0),0)</x:f>
        <x:v>6730</x:v>
      </x:c>
      <x:c r="L536" s="8" t="n">
        <x:f>IFERROR(IFERROR(INDEX(EG_Cennik_uslug!$O:$O,MATCH($A536,EG_Cennik_uslug!$A:$A,0)),0),0)</x:f>
        <x:v>2660</x:v>
      </x:c>
      <x:c r="M536" s="7" t="n">
        <x:f>IF('01_Ustawienia'!$B$4="ZWOLNIONY",0,'01_Ustawienia'!$B$7)</x:f>
        <x:v>0.08</x:v>
      </x:c>
      <x:c r="N536" s="8" t="n">
        <x:f>IF(J536="","",ROUND((J536+K536)*(1+M536),0))</x:f>
        <x:v>53484</x:v>
      </x:c>
      <x:c r="O536" s="8" t="n">
        <x:f>IF(J536="","",J536+K536-H536-L536)</x:f>
        <x:v>17350</x:v>
      </x:c>
      <x:c r="P536" s="7" t="n">
        <x:f>IFERROR(O536/(J536+K536),"")</x:f>
        <x:v>0.35034933968741166</x:v>
      </x:c>
      <x:c r="Q536" s="6" t="inlineStr">
        <x:is>
          <x:t xml:space="preserve">RAW_OP B/C</x:t>
        </x:is>
      </x:c>
      <x:c r="R536" s="6" t="inlineStr">
        <x:is>
          <x:t xml:space="preserve">OGRÓD ZIMOWY (KONSTRUKCJA)</x:t>
        </x:is>
      </x:c>
      <x:c r="S536" s="6" t="inlineStr">
        <x:is>
          <x:t xml:space="preserve">website+crm</x:t>
        </x:is>
      </x:c>
      <x:c r="T536" s="6" t="inlineStr">
        <x:is>
          <x:t xml:space="preserve">Do wyliczenia dopłaty za ściany</x:t>
        </x:is>
      </x:c>
    </x:row>
    <x:row r="537" s="655" customFormat="1" ht="30" customHeight="1">
      <x:c r="A537" s="6" t="inlineStr">
        <x:is>
          <x:t xml:space="preserve">400 x 1106 cm</x:t>
        </x:is>
      </x:c>
      <x:c r="B537" s="6" t="inlineStr">
        <x:is>
          <x:t xml:space="preserve">OS</x:t>
        </x:is>
      </x:c>
      <x:c r="C537" s="6" t="inlineStr">
        <x:is>
          <x:t xml:space="preserve">Ogród zimowy szkło - pełna konstrukcja</x:t>
        </x:is>
      </x:c>
      <x:c r="D537" s="6" t="inlineStr">
        <x:is>
          <x:t xml:space="preserve">OGRODY SZKŁO</x:t>
        </x:is>
      </x:c>
      <x:c r="E537" s="8" t="n">
        <x:f>IFERROR(INDEX('02_RAW_INDEX'!$AL:$AL,MATCH($A537,'02_RAW_INDEX'!$A:$A,0)),"")</x:f>
        <x:v>38480</x:v>
      </x:c>
      <x:c r="F537" s="8" t="n">
        <x:f>IFERROR(INDEX('02_RAW_INDEX'!$AK:$AK,MATCH($A537,'02_RAW_INDEX'!$A:$A,0)),"")</x:f>
        <x:v>47330</x:v>
      </x:c>
      <x:c r="G537" s="7" t="n">
        <x:f>'01_Ustawienia'!$B$6</x:f>
        <x:v>0</x:v>
      </x:c>
      <x:c r="H537" s="8" t="n">
        <x:f>IF(E537="","",ROUND(IF('01_Ustawienia'!$B$5="BRUTTO",F537,E537)*(1-G537),0))</x:f>
        <x:v>38480</x:v>
      </x:c>
      <x:c r="I537" s="7" t="n">
        <x:f>IFERROR(IFERROR(INDEX('01_Ustawienia'!$B$15:$B$33,MATCH(B537,'01_Ustawienia'!$A$15:$A$33,0)),0.45),0.45)</x:f>
        <x:v>0.45</x:v>
      </x:c>
      <x:c r="J537" s="8" t="n">
        <x:f>IF(H537="","",ROUND(H537*(1+I537),0))</x:f>
        <x:v>55796</x:v>
      </x:c>
      <x:c r="K537" s="8" t="n">
        <x:f>IFERROR(IFERROR(INDEX(EG_Cennik_uslug!$N:$N,MATCH($A537,EG_Cennik_uslug!$A:$A,0)),0),0)</x:f>
        <x:v>6730</x:v>
      </x:c>
      <x:c r="L537" s="8" t="n">
        <x:f>IFERROR(IFERROR(INDEX(EG_Cennik_uslug!$O:$O,MATCH($A537,EG_Cennik_uslug!$A:$A,0)),0),0)</x:f>
        <x:v>2660</x:v>
      </x:c>
      <x:c r="M537" s="7" t="n">
        <x:f>IF('01_Ustawienia'!$B$4="ZWOLNIONY",0,'01_Ustawienia'!$B$7)</x:f>
        <x:v>0.08</x:v>
      </x:c>
      <x:c r="N537" s="8" t="n">
        <x:f>IF(J537="","",ROUND((J537+K537)*(1+M537),0))</x:f>
        <x:v>67528</x:v>
      </x:c>
      <x:c r="O537" s="8" t="n">
        <x:f>IF(J537="","",J537+K537-H537-L537)</x:f>
        <x:v>21386</x:v>
      </x:c>
      <x:c r="P537" s="7" t="n">
        <x:f>IFERROR(O537/(J537+K537),"")</x:f>
        <x:v>0.3420337139749864</x:v>
      </x:c>
      <x:c r="Q537" s="6" t="inlineStr">
        <x:is>
          <x:t xml:space="preserve">RAW_OS B/C</x:t>
        </x:is>
      </x:c>
      <x:c r="R537" s="6" t="inlineStr">
        <x:is>
          <x:t xml:space="preserve">OGRÓD ZIMOWY (KONSTRUKCJA)</x:t>
        </x:is>
      </x:c>
      <x:c r="S537" s="6" t="inlineStr">
        <x:is>
          <x:t xml:space="preserve">crm_only</x:t>
        </x:is>
      </x:c>
      <x:c r="T537" s="6" t="inlineStr">
        <x:is>
          <x:t xml:space="preserve">Referencyjne/full</x:t>
        </x:is>
      </x:c>
    </x:row>
    <x:row r="538" s="655" customFormat="1" ht="30" customHeight="1">
      <x:c r="A538" s="6" t="inlineStr">
        <x:is>
          <x:t xml:space="preserve">400 x 1106 cm</x:t>
        </x:is>
      </x:c>
      <x:c r="B538" s="6" t="inlineStr">
        <x:is>
          <x:t xml:space="preserve">PDS</x:t>
        </x:is>
      </x:c>
      <x:c r="C538" s="6" t="inlineStr">
        <x:is>
          <x:t xml:space="preserve">Dopłata dach szkło przezroczyste</x:t>
        </x:is>
      </x:c>
      <x:c r="D538" s="6" t="inlineStr">
        <x:is>
          <x:t xml:space="preserve">POKRYCIE DACHU SZKŁO</x:t>
        </x:is>
      </x:c>
      <x:c r="E538" s="8" t="n">
        <x:f>IFERROR(IFERROR(INDEX('02_RAW_INDEX'!$V:$V,MATCH($A538,'02_RAW_INDEX'!$A:$A,0)),"")-IFERROR(INDEX('02_RAW_INDEX'!$D:$D,MATCH($A538,'02_RAW_INDEX'!$A:$A,0)),""),"")</x:f>
        <x:v>8967</x:v>
      </x:c>
      <x:c r="F538" s="8" t="n">
        <x:f>IFERROR(IFERROR(INDEX('02_RAW_INDEX'!$U:$U,MATCH($A538,'02_RAW_INDEX'!$A:$A,0)),"")-IFERROR(INDEX('02_RAW_INDEX'!$C:$C,MATCH($A538,'02_RAW_INDEX'!$A:$A,0)),""),"")</x:f>
        <x:v>11030</x:v>
      </x:c>
      <x:c r="G538" s="7" t="n">
        <x:f>'01_Ustawienia'!$B$6</x:f>
        <x:v>0</x:v>
      </x:c>
      <x:c r="H538" s="8" t="n">
        <x:f>IF(E538="","",ROUND(IF('01_Ustawienia'!$B$5="BRUTTO",F538,E538)*(1-G538),0))</x:f>
        <x:v>8967</x:v>
      </x:c>
      <x:c r="I538" s="7" t="n">
        <x:f>IFERROR(IFERROR(INDEX('01_Ustawienia'!$B$15:$B$33,MATCH(B538,'01_Ustawienia'!$A$15:$A$33,0)),0.45),0.45)</x:f>
        <x:v>0.45</x:v>
      </x:c>
      <x:c r="J538" s="8" t="n">
        <x:f>IF(H538="","",ROUND(H538*(1+I538),0))</x:f>
        <x:v>13002</x:v>
      </x:c>
      <x:c r="K538" s="8" t="n">
        <x:f>0</x:f>
        <x:v>0</x:v>
      </x:c>
      <x:c r="L538" s="8" t="n">
        <x:v>0</x:v>
      </x:c>
      <x:c r="M538" s="7" t="n">
        <x:f>IF('01_Ustawienia'!$B$4="ZWOLNIONY",0,'01_Ustawienia'!$B$7)</x:f>
        <x:v>0.08</x:v>
      </x:c>
      <x:c r="N538" s="8" t="n">
        <x:f>IF(J538="","",ROUND((J538+K538)*(1+M538),0))</x:f>
        <x:v>14042</x:v>
      </x:c>
      <x:c r="O538" s="8" t="n">
        <x:f>IF(J538="","",J538+K538-H538-L538)</x:f>
        <x:v>4035</x:v>
      </x:c>
      <x:c r="P538" s="7" t="n">
        <x:f>IFERROR(O538/(J538+K538),"")</x:f>
        <x:v>0.31033687125057685</x:v>
      </x:c>
      <x:c r="Q538" s="6" t="inlineStr">
        <x:is>
          <x:t xml:space="preserve">RAW_ZS - RAW_ZP</x:t>
        </x:is>
      </x:c>
      <x:c r="R538" s="6" t="inlineStr">
        <x:is>
          <x:t xml:space="preserve">POKRYCIE DACHU</x:t>
        </x:is>
      </x:c>
      <x:c r="S538" s="6" t="inlineStr">
        <x:is>
          <x:t xml:space="preserve">website+crm</x:t>
        </x:is>
      </x:c>
      <x:c r="T538" s="6" t="inlineStr">
        <x:is>
          <x:t xml:space="preserve">Dopłata do bazowego dachu poliwęglan | FIX17: Wynagr.+koszty = 0 dla dopłaty; nie jest osobnym montażem ekipy.</x:t>
        </x:is>
      </x:c>
    </x:row>
    <x:row r="539" s="655" customFormat="1" ht="30" customHeight="1">
      <x:c r="A539" s="6" t="inlineStr">
        <x:is>
          <x:t xml:space="preserve">400 x 1106 cm</x:t>
        </x:is>
      </x:c>
      <x:c r="B539" s="6" t="inlineStr">
        <x:is>
          <x:t xml:space="preserve">PDSB</x:t>
        </x:is>
      </x:c>
      <x:c r="C539" s="6" t="inlineStr">
        <x:is>
          <x:t xml:space="preserve">Dopłata dach szkło barwione/mleczne</x:t>
        </x:is>
      </x:c>
      <x:c r="D539" s="6" t="inlineStr">
        <x:is>
          <x:t xml:space="preserve">POKRYCIE DACHU SZKŁO BARWIONE</x:t>
        </x:is>
      </x:c>
      <x:c r="E539" s="8" t="n">
        <x:f>IFERROR(INDEX('02_RAW_INDEX'!$X:$X,MATCH($A539,'02_RAW_INDEX'!$A:$A,0)),"")</x:f>
        <x:v>1041</x:v>
      </x:c>
      <x:c r="F539" s="8" t="n">
        <x:f>IFERROR(INDEX('02_RAW_INDEX'!$W:$W,MATCH($A539,'02_RAW_INDEX'!$A:$A,0)),"")</x:f>
        <x:v>1280</x:v>
      </x:c>
      <x:c r="G539" s="7" t="n">
        <x:f>'01_Ustawienia'!$B$6</x:f>
        <x:v>0</x:v>
      </x:c>
      <x:c r="H539" s="8" t="n">
        <x:f>IF(E539="","",ROUND(IF('01_Ustawienia'!$B$5="BRUTTO",F539,E539)*(1-G539),0))</x:f>
        <x:v>1041</x:v>
      </x:c>
      <x:c r="I539" s="7" t="n">
        <x:f>IFERROR(IFERROR(INDEX('01_Ustawienia'!$B$15:$B$33,MATCH(B539,'01_Ustawienia'!$A$15:$A$33,0)),0.45),0.45)</x:f>
        <x:v>0.45</x:v>
      </x:c>
      <x:c r="J539" s="8" t="n">
        <x:f>IF(H539="","",ROUND(H539*(1+I539),0))</x:f>
        <x:v>1509</x:v>
      </x:c>
      <x:c r="K539" s="8" t="n">
        <x:f>0</x:f>
        <x:v>0</x:v>
      </x:c>
      <x:c r="L539" s="8" t="n">
        <x:v>0</x:v>
      </x:c>
      <x:c r="M539" s="7" t="n">
        <x:f>IF('01_Ustawienia'!$B$4="ZWOLNIONY",0,'01_Ustawienia'!$B$7)</x:f>
        <x:v>0.08</x:v>
      </x:c>
      <x:c r="N539" s="8" t="n">
        <x:f>IF(J539="","",ROUND((J539+K539)*(1+M539),0))</x:f>
        <x:v>1630</x:v>
      </x:c>
      <x:c r="O539" s="8" t="n">
        <x:f>IF(J539="","",J539+K539-H539-L539)</x:f>
        <x:v>468</x:v>
      </x:c>
      <x:c r="P539" s="7" t="n">
        <x:f>IFERROR(O539/(J539+K539),"")</x:f>
        <x:v>0.3101391650099404</x:v>
      </x:c>
      <x:c r="Q539" s="6" t="inlineStr">
        <x:is>
          <x:t xml:space="preserve">RAW_ZS D/E</x:t>
        </x:is>
      </x:c>
      <x:c r="R539" s="6" t="inlineStr">
        <x:is>
          <x:t xml:space="preserve">POKRYCIE DACHU</x:t>
        </x:is>
      </x:c>
      <x:c r="S539" s="6" t="inlineStr">
        <x:is>
          <x:t xml:space="preserve">website+crm</x:t>
        </x:is>
      </x:c>
      <x:c r="T539" s="6" t="inlineStr">
        <x:is>
          <x:t xml:space="preserve">Dodawane do PDS | FIX17: Wynagr.+koszty = 0 dla dopłaty; nie jest osobnym montażem ekipy.</x:t>
        </x:is>
      </x:c>
    </x:row>
    <x:row r="540" s="655" customFormat="1" ht="30" customHeight="1">
      <x:c r="A540" s="6" t="inlineStr">
        <x:is>
          <x:t xml:space="preserve">400 x 1106 cm</x:t>
        </x:is>
      </x:c>
      <x:c r="B540" s="6" t="inlineStr">
        <x:is>
          <x:t xml:space="preserve">PDPB</x:t>
        </x:is>
      </x:c>
      <x:c r="C540" s="6" t="inlineStr">
        <x:is>
          <x:t xml:space="preserve">Dopłata poliwęglan barwiony</x:t>
        </x:is>
      </x:c>
      <x:c r="D540" s="6" t="inlineStr">
        <x:is>
          <x:t xml:space="preserve">POKRYCIE DACHU POLIWĘGLAN BARWIONY</x:t>
        </x:is>
      </x:c>
      <x:c r="E540" s="8" t="n">
        <x:f>IFERROR(INDEX('02_RAW_INDEX'!$F:$F,MATCH($A540,'02_RAW_INDEX'!$A:$A,0)),"")</x:f>
        <x:v>504</x:v>
      </x:c>
      <x:c r="F540" s="8" t="n">
        <x:f>IFERROR(INDEX('02_RAW_INDEX'!$E:$E,MATCH($A540,'02_RAW_INDEX'!$A:$A,0)),"")</x:f>
        <x:v>620</x:v>
      </x:c>
      <x:c r="G540" s="7" t="n">
        <x:f>'01_Ustawienia'!$B$6</x:f>
        <x:v>0</x:v>
      </x:c>
      <x:c r="H540" s="8" t="n">
        <x:f>IF(E540="","",ROUND(IF('01_Ustawienia'!$B$5="BRUTTO",F540,E540)*(1-G540),0))</x:f>
        <x:v>504</x:v>
      </x:c>
      <x:c r="I540" s="7" t="n">
        <x:f>IFERROR(IFERROR(INDEX('01_Ustawienia'!$B$15:$B$33,MATCH(B540,'01_Ustawienia'!$A$15:$A$33,0)),0.45),0.45)</x:f>
        <x:v>0.45</x:v>
      </x:c>
      <x:c r="J540" s="8" t="n">
        <x:f>IF(H540="","",ROUND(H540*(1+I540),0))</x:f>
        <x:v>731</x:v>
      </x:c>
      <x:c r="K540" s="8" t="n">
        <x:f>0</x:f>
        <x:v>0</x:v>
      </x:c>
      <x:c r="L540" s="8" t="n">
        <x:v>0</x:v>
      </x:c>
      <x:c r="M540" s="7" t="n">
        <x:f>IF('01_Ustawienia'!$B$4="ZWOLNIONY",0,'01_Ustawienia'!$B$7)</x:f>
        <x:v>0.08</x:v>
      </x:c>
      <x:c r="N540" s="8" t="n">
        <x:f>IF(J540="","",ROUND((J540+K540)*(1+M540),0))</x:f>
        <x:v>789</x:v>
      </x:c>
      <x:c r="O540" s="8" t="n">
        <x:f>IF(J540="","",J540+K540-H540-L540)</x:f>
        <x:v>227</x:v>
      </x:c>
      <x:c r="P540" s="7" t="n">
        <x:f>IFERROR(O540/(J540+K540),"")</x:f>
        <x:v>0.31053351573187415</x:v>
      </x:c>
      <x:c r="Q540" s="6" t="inlineStr">
        <x:is>
          <x:t xml:space="preserve">RAW_ZP D/E</x:t>
        </x:is>
      </x:c>
      <x:c r="R540" s="6" t="inlineStr">
        <x:is>
          <x:t xml:space="preserve">POKRYCIE DACHU</x:t>
        </x:is>
      </x:c>
      <x:c r="S540" s="6" t="inlineStr">
        <x:is>
          <x:t xml:space="preserve">website+crm</x:t>
        </x:is>
      </x:c>
      <x:c r="T540" s="6" t="inlineStr">
        <x:is>
          <x:t xml:space="preserve">FIX17: Wynagr.+koszty = 0 dla dopłaty; nie jest osobnym montażem ekipy.</x:t>
        </x:is>
      </x:c>
    </x:row>
    <x:row r="541" s="655" customFormat="1" ht="30" customHeight="1">
      <x:c r="A541" s="6" t="inlineStr">
        <x:is>
          <x:t xml:space="preserve">400 x 1106 cm</x:t>
        </x:is>
      </x:c>
      <x:c r="B541" s="6" t="inlineStr">
        <x:is>
          <x:t xml:space="preserve">SBB</x:t>
        </x:is>
      </x:c>
      <x:c r="C541" s="6" t="inlineStr">
        <x:is>
          <x:t xml:space="preserve">Dopłata szkło boczne przyciemniane</x:t>
        </x:is>
      </x:c>
      <x:c r="D541" s="6" t="inlineStr">
        <x:is>
          <x:t xml:space="preserve">SZKŁO BOCZNE BARWIONE</x:t>
        </x:is>
      </x:c>
      <x:c r="E541" s="8" t="n">
        <x:f>IFERROR(INDEX('02_RAW_INDEX'!$AB:$AB,MATCH($A541,'02_RAW_INDEX'!$A:$A,0)),"")</x:f>
        <x:v>1854</x:v>
      </x:c>
      <x:c r="F541" s="8" t="n">
        <x:f>IFERROR(INDEX('02_RAW_INDEX'!$AA:$AA,MATCH($A541,'02_RAW_INDEX'!$A:$A,0)),"")</x:f>
        <x:v>2280</x:v>
      </x:c>
      <x:c r="G541" s="7" t="n">
        <x:f>'01_Ustawienia'!$B$6</x:f>
        <x:v>0</x:v>
      </x:c>
      <x:c r="H541" s="8" t="n">
        <x:f>IF(E541="","",ROUND(IF('01_Ustawienia'!$B$5="BRUTTO",F541,E541)*(1-G541),0))</x:f>
        <x:v>1854</x:v>
      </x:c>
      <x:c r="I541" s="7" t="n">
        <x:f>IFERROR(IFERROR(INDEX('01_Ustawienia'!$B$15:$B$33,MATCH(B541,'01_Ustawienia'!$A$15:$A$33,0)),0.45),0.45)</x:f>
        <x:v>0.45</x:v>
      </x:c>
      <x:c r="J541" s="8" t="n">
        <x:f>IF(H541="","",ROUND(H541*(1+I541),0))</x:f>
        <x:v>2688</x:v>
      </x:c>
      <x:c r="K541" s="8" t="n">
        <x:f>0</x:f>
        <x:v>0</x:v>
      </x:c>
      <x:c r="L541" s="8" t="n">
        <x:v>0</x:v>
      </x:c>
      <x:c r="M541" s="7" t="n">
        <x:f>IF('01_Ustawienia'!$B$4="ZWOLNIONY",0,'01_Ustawienia'!$B$7)</x:f>
        <x:v>0.08</x:v>
      </x:c>
      <x:c r="N541" s="8" t="n">
        <x:f>IF(J541="","",ROUND((J541+K541)*(1+M541),0))</x:f>
        <x:v>2903</x:v>
      </x:c>
      <x:c r="O541" s="8" t="n">
        <x:f>IF(J541="","",J541+K541-H541-L541)</x:f>
        <x:v>834</x:v>
      </x:c>
      <x:c r="P541" s="7" t="n">
        <x:f>IFERROR(O541/(J541+K541),"")</x:f>
        <x:v>0.31026785714285715</x:v>
      </x:c>
      <x:c r="Q541" s="6" t="inlineStr">
        <x:is>
          <x:t xml:space="preserve">RAW_OP H/I</x:t>
        </x:is>
      </x:c>
      <x:c r="R541" s="6" t="inlineStr">
        <x:is>
          <x:t xml:space="preserve">SZYBY BOCZNE</x:t>
        </x:is>
      </x:c>
      <x:c r="S541" s="6" t="inlineStr">
        <x:is>
          <x:t xml:space="preserve">website+crm</x:t>
        </x:is>
      </x:c>
      <x:c r="T541" s="6" t="inlineStr">
        <x:is>
          <x:t xml:space="preserve">Dodawane do ścian przezroczystych | FIX17: Wynagr.+koszty = 0 dla dopłaty; nie jest osobnym montażem ekipy.</x:t>
        </x:is>
      </x:c>
    </x:row>
    <x:row r="542">
      <x:c r="A542" s="6" t="inlineStr">
        <x:is>
          <x:t xml:space="preserve">400 x 1106 cm</x:t>
        </x:is>
      </x:c>
      <x:c r="B542" s="6" t="inlineStr">
        <x:is>
          <x:t xml:space="preserve">RB</x:t>
        </x:is>
      </x:c>
      <x:c r="C542" s="6" t="inlineStr">
        <x:is>
          <x:t xml:space="preserve">Roleta boczna ZIP</x:t>
        </x:is>
      </x:c>
      <x:c r="D542" s="6" t="inlineStr">
        <x:is>
          <x:t xml:space="preserve">ROLETA BOCZNA</x:t>
        </x:is>
      </x:c>
      <x:c r="E542" s="8" t="n">
        <x:f>IFERROR(INDEX('02_RAW_INDEX'!$J:$J,MATCH($A542,'02_RAW_INDEX'!$A:$A,0)),"")</x:f>
        <x:v>2146</x:v>
      </x:c>
      <x:c r="F542" s="8" t="n">
        <x:f>IFERROR(INDEX('02_RAW_INDEX'!$I:$I,MATCH($A542,'02_RAW_INDEX'!$A:$A,0)),"")</x:f>
        <x:v>2640</x:v>
      </x:c>
      <x:c r="G542" s="7" t="n">
        <x:f>'01_Ustawienia'!$B$6</x:f>
        <x:v>0</x:v>
      </x:c>
      <x:c r="H542" s="8" t="n">
        <x:f>IF(E542="","",ROUND(IF('01_Ustawienia'!$B$5="BRUTTO",F542,E542)*(1-G542),0))</x:f>
        <x:v>2146</x:v>
      </x:c>
      <x:c r="I542" s="7" t="n">
        <x:f>IFERROR(IFERROR(INDEX('01_Ustawienia'!$B$15:$B$33,MATCH(B542,'01_Ustawienia'!$A$15:$A$33,0)),0.45),0.45)</x:f>
        <x:v>0.45</x:v>
      </x:c>
      <x:c r="J542" s="8" t="n">
        <x:f>IF(H542="","",ROUND(H542*(1+I542),0))</x:f>
        <x:v>3112</x:v>
      </x:c>
      <x:c r="K542" s="8" t="n">
        <x:f>0</x:f>
        <x:v>0</x:v>
      </x:c>
      <x:c r="L542" s="8" t="n">
        <x:f>IFERROR(IFERROR(INDEX(EG_Cennik_uslug!$AC:$AC,MATCH($A542,EG_Cennik_uslug!$A:$A,0)),0),0)</x:f>
        <x:v>150</x:v>
      </x:c>
      <x:c r="M542" s="7" t="n">
        <x:f>IF('01_Ustawienia'!$B$4="ZWOLNIONY",0,'01_Ustawienia'!$B$7)</x:f>
        <x:v>0.08</x:v>
      </x:c>
      <x:c r="N542" s="8" t="n">
        <x:f>IF(J542="","",ROUND((J542+K542)*(1+M542),0))</x:f>
        <x:v>3361</x:v>
      </x:c>
      <x:c r="O542" s="8" t="n">
        <x:f>IF(J542="","",J542+K542-H542-L542)</x:f>
        <x:v>816</x:v>
      </x:c>
      <x:c r="P542" s="7" t="n">
        <x:f>IFERROR(O542/(J542+K542),"")</x:f>
        <x:v>0.2622107969151671</x:v>
      </x:c>
      <x:c r="Q542" s="6" t="inlineStr">
        <x:is>
          <x:t xml:space="preserve">RAW_ZP J/K</x:t>
        </x:is>
      </x:c>
      <x:c r="R542" s="6" t="inlineStr">
        <x:is>
          <x:t xml:space="preserve">ROLETY BOCZNE</x:t>
        </x:is>
      </x:c>
      <x:c r="S542" s="6" t="inlineStr">
        <x:is>
          <x:t xml:space="preserve">website+crm</x:t>
        </x:is>
      </x:c>
      <x:c r="T542" s="6" t="inlineStr">
        <x:is>
          <x:t xml:space="preserve">Używana dla lewej i prawej</x:t>
        </x:is>
      </x:c>
    </x:row>
    <x:row r="543">
      <x:c r="A543" s="6" t="inlineStr">
        <x:is>
          <x:t xml:space="preserve">400 x 1106 cm</x:t>
        </x:is>
      </x:c>
      <x:c r="B543" s="6" t="inlineStr">
        <x:is>
          <x:t xml:space="preserve">RP</x:t>
        </x:is>
      </x:c>
      <x:c r="C543" s="6" t="inlineStr">
        <x:is>
          <x:t xml:space="preserve">Roleta przednia ZIP</x:t>
        </x:is>
      </x:c>
      <x:c r="D543" s="6" t="inlineStr">
        <x:is>
          <x:t xml:space="preserve">ROLETA PRZÓD</x:t>
        </x:is>
      </x:c>
      <x:c r="E543" s="8" t="n">
        <x:f>IFERROR(INDEX('02_RAW_INDEX'!$L:$L,MATCH($A543,'02_RAW_INDEX'!$A:$A,0)),"")</x:f>
        <x:v>6033</x:v>
      </x:c>
      <x:c r="F543" s="8" t="n">
        <x:f>IFERROR(INDEX('02_RAW_INDEX'!$K:$K,MATCH($A543,'02_RAW_INDEX'!$A:$A,0)),"")</x:f>
        <x:v>7420</x:v>
      </x:c>
      <x:c r="G543" s="7" t="n">
        <x:f>'01_Ustawienia'!$B$6</x:f>
        <x:v>0</x:v>
      </x:c>
      <x:c r="H543" s="8" t="n">
        <x:f>IF(E543="","",ROUND(IF('01_Ustawienia'!$B$5="BRUTTO",F543,E543)*(1-G543),0))</x:f>
        <x:v>6033</x:v>
      </x:c>
      <x:c r="I543" s="7" t="n">
        <x:f>IFERROR(IFERROR(INDEX('01_Ustawienia'!$B$15:$B$33,MATCH(B543,'01_Ustawienia'!$A$15:$A$33,0)),0.45),0.45)</x:f>
        <x:v>0.45</x:v>
      </x:c>
      <x:c r="J543" s="8" t="n">
        <x:f>IF(H543="","",ROUND(H543*(1+I543),0))</x:f>
        <x:v>8748</x:v>
      </x:c>
      <x:c r="K543" s="8" t="n">
        <x:f>0</x:f>
        <x:v>0</x:v>
      </x:c>
      <x:c r="L543" s="8" t="n">
        <x:f>IFERROR(IFERROR(INDEX(EG_Cennik_uslug!$AJ:$AJ,MATCH($A543,EG_Cennik_uslug!$A:$A,0)),0),0)</x:f>
        <x:v>450</x:v>
      </x:c>
      <x:c r="M543" s="7" t="n">
        <x:f>IF('01_Ustawienia'!$B$4="ZWOLNIONY",0,'01_Ustawienia'!$B$7)</x:f>
        <x:v>0.08</x:v>
      </x:c>
      <x:c r="N543" s="8" t="n">
        <x:f>IF(J543="","",ROUND((J543+K543)*(1+M543),0))</x:f>
        <x:v>9448</x:v>
      </x:c>
      <x:c r="O543" s="8" t="n">
        <x:f>IF(J543="","",J543+K543-H543-L543)</x:f>
        <x:v>2265</x:v>
      </x:c>
      <x:c r="P543" s="7" t="n">
        <x:f>IFERROR(O543/(J543+K543),"")</x:f>
        <x:v>0.25891632373113854</x:v>
      </x:c>
      <x:c r="Q543" s="6" t="inlineStr">
        <x:is>
          <x:t xml:space="preserve">RAW_ZP N/O</x:t>
        </x:is>
      </x:c>
      <x:c r="R543" s="6" t="inlineStr">
        <x:is>
          <x:t xml:space="preserve">ROLETY BOCZNE</x:t>
        </x:is>
      </x:c>
      <x:c r="S543" s="6" t="inlineStr">
        <x:is>
          <x:t xml:space="preserve">website+crm</x:t>
        </x:is>
      </x:c>
      <x:c r="T543" s="6" t="n"/>
    </x:row>
    <x:row r="544">
      <x:c r="A544" s="6" t="inlineStr">
        <x:is>
          <x:t xml:space="preserve">400 x 1106 cm</x:t>
        </x:is>
      </x:c>
      <x:c r="B544" s="6" t="inlineStr">
        <x:is>
          <x:t xml:space="preserve">M</x:t>
        </x:is>
      </x:c>
      <x:c r="C544" s="6" t="inlineStr">
        <x:is>
          <x:t xml:space="preserve">Markiza dachowa</x:t>
        </x:is>
      </x:c>
      <x:c r="D544" s="6" t="inlineStr">
        <x:is>
          <x:t xml:space="preserve">MARKIZA</x:t>
        </x:is>
      </x:c>
      <x:c r="E544" s="8" t="n">
        <x:f>IFERROR(INDEX('02_RAW_INDEX'!$H:$H,MATCH($A544,'02_RAW_INDEX'!$A:$A,0)),"")</x:f>
        <x:v>10854</x:v>
      </x:c>
      <x:c r="F544" s="8" t="n">
        <x:f>IFERROR(INDEX('02_RAW_INDEX'!$G:$G,MATCH($A544,'02_RAW_INDEX'!$A:$A,0)),"")</x:f>
        <x:v>13350</x:v>
      </x:c>
      <x:c r="G544" s="7" t="n">
        <x:f>'01_Ustawienia'!$B$6</x:f>
        <x:v>0</x:v>
      </x:c>
      <x:c r="H544" s="8" t="n">
        <x:f>IF(E544="","",ROUND(IF('01_Ustawienia'!$B$5="BRUTTO",F544,E544)*(1-G544),0))</x:f>
        <x:v>10854</x:v>
      </x:c>
      <x:c r="I544" s="7" t="n">
        <x:f>IFERROR(IFERROR(INDEX('01_Ustawienia'!$B$15:$B$33,MATCH(B544,'01_Ustawienia'!$A$15:$A$33,0)),0.45),0.45)</x:f>
        <x:v>0.45</x:v>
      </x:c>
      <x:c r="J544" s="8" t="n">
        <x:f>IF(H544="","",ROUND(H544*(1+I544),0))</x:f>
        <x:v>15738</x:v>
      </x:c>
      <x:c r="K544" s="8" t="n">
        <x:f>0</x:f>
        <x:v>0</x:v>
      </x:c>
      <x:c r="L544" s="8" t="n">
        <x:f>IFERROR(IFERROR(INDEX(EG_Cennik_uslug!$AQ:$AQ,MATCH($A544,EG_Cennik_uslug!$A:$A,0)),0),0)</x:f>
        <x:v>650</x:v>
      </x:c>
      <x:c r="M544" s="7" t="n">
        <x:f>IF('01_Ustawienia'!$B$4="ZWOLNIONY",0,'01_Ustawienia'!$B$7)</x:f>
        <x:v>0.08</x:v>
      </x:c>
      <x:c r="N544" s="8" t="n">
        <x:f>IF(J544="","",ROUND((J544+K544)*(1+M544),0))</x:f>
        <x:v>16997</x:v>
      </x:c>
      <x:c r="O544" s="8" t="n">
        <x:f>IF(J544="","",J544+K544-H544-L544)</x:f>
        <x:v>4234</x:v>
      </x:c>
      <x:c r="P544" s="7" t="n">
        <x:f>IFERROR(O544/(J544+K544),"")</x:f>
        <x:v>0.26903037234718513</x:v>
      </x:c>
      <x:c r="Q544" s="6" t="inlineStr">
        <x:is>
          <x:t xml:space="preserve">RAW_ZP H/I</x:t>
        </x:is>
      </x:c>
      <x:c r="R544" s="6" t="inlineStr">
        <x:is>
          <x:t xml:space="preserve">MARKIZA</x:t>
        </x:is>
      </x:c>
      <x:c r="S544" s="6" t="inlineStr">
        <x:is>
          <x:t xml:space="preserve">website+crm</x:t>
        </x:is>
      </x:c>
      <x:c r="T544" s="6" t="n"/>
    </x:row>
    <x:row r="545">
      <x:c r="A545" s="6" t="inlineStr">
        <x:is>
          <x:t xml:space="preserve">400 x 1106 cm</x:t>
        </x:is>
      </x:c>
      <x:c r="B545" s="6" t="inlineStr">
        <x:is>
          <x:t xml:space="preserve">PDWP</x:t>
        </x:is>
      </x:c>
      <x:c r="C545" s="6" t="inlineStr">
        <x:is>
          <x:t xml:space="preserve">Fundament/profile</x:t>
        </x:is>
      </x:c>
      <x:c r="D545" s="6" t="inlineStr">
        <x:is>
          <x:t xml:space="preserve">FUNDAMENT / PROFILE</x:t>
        </x:is>
      </x:c>
      <x:c r="E545" s="8" t="n">
        <x:f>IFERROR(INDEX('02_RAW_INDEX'!$AH:$AH,MATCH($A545,'02_RAW_INDEX'!$A:$A,0)),"")</x:f>
        <x:v>1772</x:v>
      </x:c>
      <x:c r="F545" s="8" t="n">
        <x:f>IFERROR(INDEX('02_RAW_INDEX'!$AG:$AG,MATCH($A545,'02_RAW_INDEX'!$A:$A,0)),"")</x:f>
        <x:v>2180</x:v>
      </x:c>
      <x:c r="G545" s="7" t="n">
        <x:f>'01_Ustawienia'!$B$6</x:f>
        <x:v>0</x:v>
      </x:c>
      <x:c r="H545" s="8" t="n">
        <x:f>IF(E545="","",ROUND(IF('01_Ustawienia'!$B$5="BRUTTO",F545,E545)*(1-G545),0))</x:f>
        <x:v>1772</x:v>
      </x:c>
      <x:c r="I545" s="7" t="n">
        <x:f>IFERROR(IFERROR(INDEX('01_Ustawienia'!$B$15:$B$33,MATCH(B545,'01_Ustawienia'!$A$15:$A$33,0)),0.45),0.45)</x:f>
        <x:v>1.2</x:v>
      </x:c>
      <x:c r="J545" s="8" t="n">
        <x:f>IF(H545="","",ROUND(H545*(1+I545),0))</x:f>
        <x:v>3898</x:v>
      </x:c>
      <x:c r="K545" s="8" t="n">
        <x:f>0</x:f>
        <x:v>0</x:v>
      </x:c>
      <x:c r="L545" s="8" t="n">
        <x:f>IFERROR(IFERROR(INDEX(EG_Cennik_uslug!$BT:$BT,MATCH($A545,EG_Cennik_uslug!$A:$A,0)),0),0)</x:f>
        <x:v>590</x:v>
      </x:c>
      <x:c r="M545" s="7" t="n">
        <x:f>IF('01_Ustawienia'!$B$4="ZWOLNIONY",0,'01_Ustawienia'!$B$7)</x:f>
        <x:v>0.08</x:v>
      </x:c>
      <x:c r="N545" s="8" t="n">
        <x:f>IF(J545="","",ROUND((J545+K545)*(1+M545),0))</x:f>
        <x:v>4210</x:v>
      </x:c>
      <x:c r="O545" s="8" t="n">
        <x:f>IF(J545="","",J545+K545-H545-L545)</x:f>
        <x:v>1536</x:v>
      </x:c>
      <x:c r="P545" s="7" t="n">
        <x:f>IFERROR(O545/(J545+K545),"")</x:f>
        <x:v>0.3940482298614674</x:v>
      </x:c>
      <x:c r="Q545" s="6" t="inlineStr">
        <x:is>
          <x:t xml:space="preserve">RAW_OP AB/AC</x:t>
        </x:is>
      </x:c>
      <x:c r="R545" s="6" t="inlineStr">
        <x:is>
          <x:t xml:space="preserve">FUNDAMENT (PROFILE)</x:t>
        </x:is>
      </x:c>
      <x:c r="S545" s="6" t="inlineStr">
        <x:is>
          <x:t xml:space="preserve">website+crm</x:t>
        </x:is>
      </x:c>
      <x:c r="T545" s="6" t="n"/>
    </x:row>
    <x:row r="546" s="655" customFormat="1" ht="30" customHeight="1">
      <x:c r="A546" s="6" t="inlineStr">
        <x:is>
          <x:t xml:space="preserve">400 x 1106 cm</x:t>
        </x:is>
      </x:c>
      <x:c r="B546" s="6" t="inlineStr">
        <x:is>
          <x:t xml:space="preserve">ZAB</x:t>
        </x:is>
      </x:c>
      <x:c r="C546" s="6" t="inlineStr">
        <x:is>
          <x:t xml:space="preserve">Zabieraki do ścian przesuwnych</x:t>
        </x:is>
      </x:c>
      <x:c r="D546" s="6" t="inlineStr">
        <x:is>
          <x:t xml:space="preserve">DODATKI</x:t>
        </x:is>
      </x:c>
      <x:c r="E546" s="8" t="n">
        <x:f>IFERROR(INDEX('02_RAW_INDEX'!$AJ:$AJ,MATCH($A546,'02_RAW_INDEX'!$A:$A,0)),"")</x:f>
        <x:v>455</x:v>
      </x:c>
      <x:c r="F546" s="8" t="n">
        <x:f>IFERROR(INDEX('02_RAW_INDEX'!$AI:$AI,MATCH($A546,'02_RAW_INDEX'!$A:$A,0)),"")</x:f>
        <x:v>560</x:v>
      </x:c>
      <x:c r="G546" s="7" t="n">
        <x:f>'01_Ustawienia'!$B$6</x:f>
        <x:v>0</x:v>
      </x:c>
      <x:c r="H546" s="8" t="n">
        <x:f>IF(E546="","",ROUND(IF('01_Ustawienia'!$B$5="BRUTTO",F546,E546)*(1-G546),0))</x:f>
        <x:v>455</x:v>
      </x:c>
      <x:c r="I546" s="7" t="n">
        <x:f>IFERROR(IFERROR(INDEX('01_Ustawienia'!$B$15:$B$33,MATCH(B546,'01_Ustawienia'!$A$15:$A$33,0)),0.45),0.45)</x:f>
        <x:v>0.45</x:v>
      </x:c>
      <x:c r="J546" s="8" t="n">
        <x:f>IF(H546="","",ROUND(H546*(1+I546),0))</x:f>
        <x:v>660</x:v>
      </x:c>
      <x:c r="K546" s="8" t="n">
        <x:f>0</x:f>
        <x:v>0</x:v>
      </x:c>
      <x:c r="L546" s="8" t="n">
        <x:f>0</x:f>
        <x:v>0</x:v>
      </x:c>
      <x:c r="M546" s="7" t="n">
        <x:f>IF('01_Ustawienia'!$B$4="ZWOLNIONY",0,'01_Ustawienia'!$B$7)</x:f>
        <x:v>0.08</x:v>
      </x:c>
      <x:c r="N546" s="8" t="n">
        <x:f>IF(J546="","",ROUND((J546+K546)*(1+M546),0))</x:f>
        <x:v>713</x:v>
      </x:c>
      <x:c r="O546" s="8" t="n">
        <x:f>IF(J546="","",J546+K546-H546-L546)</x:f>
        <x:v>205</x:v>
      </x:c>
      <x:c r="P546" s="7" t="n">
        <x:f>IFERROR(O546/(J546+K546),"")</x:f>
        <x:v>0.3106060606060606</x:v>
      </x:c>
      <x:c r="Q546" s="6" t="inlineStr">
        <x:is>
          <x:t xml:space="preserve">RAW_OP AD/AE</x:t>
        </x:is>
      </x:c>
      <x:c r="R546" s="6" t="inlineStr">
        <x:is>
          <x:t xml:space="preserve">DODATKI</x:t>
        </x:is>
      </x:c>
      <x:c r="S546" s="6" t="inlineStr">
        <x:is>
          <x:t xml:space="preserve">crm_only</x:t>
        </x:is>
      </x:c>
      <x:c r="T546" s="6" t="n"/>
    </x:row>
    <x:row r="547">
      <x:c r="A547" s="6" t="inlineStr">
        <x:is>
          <x:t xml:space="preserve">400 x 1106 cm</x:t>
        </x:is>
      </x:c>
      <x:c r="B547" s="6" t="inlineStr">
        <x:is>
          <x:t xml:space="preserve">S</x:t>
        </x:is>
      </x:c>
      <x:c r="C547" s="6" t="inlineStr">
        <x:is>
          <x:t xml:space="preserve">Szczotki przeciwkurzowe</x:t>
        </x:is>
      </x:c>
      <x:c r="D547" s="6" t="inlineStr">
        <x:is>
          <x:t xml:space="preserve">SZCZOTKI</x:t>
        </x:is>
      </x:c>
      <x:c r="E547" s="8" t="n">
        <x:f>IFERROR(INDEX('02_RAW_INDEX'!$AD:$AD,MATCH($A547,'02_RAW_INDEX'!$A:$A,0)),"")</x:f>
        <x:v>585</x:v>
      </x:c>
      <x:c r="F547" s="8" t="n">
        <x:f>IFERROR(INDEX('02_RAW_INDEX'!$AC:$AC,MATCH($A547,'02_RAW_INDEX'!$A:$A,0)),"")</x:f>
        <x:v>720</x:v>
      </x:c>
      <x:c r="G547" s="7" t="n">
        <x:f>'01_Ustawienia'!$B$6</x:f>
        <x:v>0</x:v>
      </x:c>
      <x:c r="H547" s="8" t="n">
        <x:f>IF(E547="","",ROUND(IF('01_Ustawienia'!$B$5="BRUTTO",F547,E547)*(1-G547),0))</x:f>
        <x:v>585</x:v>
      </x:c>
      <x:c r="I547" s="7" t="n">
        <x:f>IFERROR(IFERROR(INDEX('01_Ustawienia'!$B$15:$B$33,MATCH(B547,'01_Ustawienia'!$A$15:$A$33,0)),0.45),0.45)</x:f>
        <x:v>0.45</x:v>
      </x:c>
      <x:c r="J547" s="8" t="n">
        <x:f>IF(H547="","",ROUND(H547*(1+I547),0))</x:f>
        <x:v>848</x:v>
      </x:c>
      <x:c r="K547" s="8" t="n">
        <x:f>0</x:f>
        <x:v>0</x:v>
      </x:c>
      <x:c r="L547" s="8" t="n">
        <x:f>IFERROR(IFERROR(INDEX(EG_Cennik_uslug!$CA:$CA,MATCH($A547,EG_Cennik_uslug!$A:$A,0)),0),0)</x:f>
        <x:v>0</x:v>
      </x:c>
      <x:c r="M547" s="7" t="n">
        <x:f>IF('01_Ustawienia'!$B$4="ZWOLNIONY",0,'01_Ustawienia'!$B$7)</x:f>
        <x:v>0.08</x:v>
      </x:c>
      <x:c r="N547" s="8" t="n">
        <x:f>IF(J547="","",ROUND((J547+K547)*(1+M547),0))</x:f>
        <x:v>916</x:v>
      </x:c>
      <x:c r="O547" s="8" t="n">
        <x:f>IF(J547="","",J547+K547-H547-L547)</x:f>
        <x:v>263</x:v>
      </x:c>
      <x:c r="P547" s="7" t="n">
        <x:f>IFERROR(O547/(J547+K547),"")</x:f>
        <x:v>0.31014150943396224</x:v>
      </x:c>
      <x:c r="Q547" s="6" t="inlineStr">
        <x:is>
          <x:t xml:space="preserve">RAW_OP L/M</x:t>
        </x:is>
      </x:c>
      <x:c r="R547" s="6" t="inlineStr">
        <x:is>
          <x:t xml:space="preserve">DODATKI</x:t>
        </x:is>
      </x:c>
      <x:c r="S547" s="6" t="inlineStr">
        <x:is>
          <x:t xml:space="preserve">website+crm</x:t>
        </x:is>
      </x:c>
      <x:c r="T547" s="6" t="n"/>
    </x:row>
    <x:row r="548">
      <x:c r="A548" s="6" t="inlineStr">
        <x:is>
          <x:t xml:space="preserve">400 x 1106 cm</x:t>
        </x:is>
      </x:c>
      <x:c r="B548" s="6" t="inlineStr">
        <x:is>
          <x:t xml:space="preserve">U</x:t>
        </x:is>
      </x:c>
      <x:c r="C548" s="6" t="inlineStr">
        <x:is>
          <x:t xml:space="preserve">Uchwyty na szkło ścienne</x:t>
        </x:is>
      </x:c>
      <x:c r="D548" s="6" t="inlineStr">
        <x:is>
          <x:t xml:space="preserve">UCHWYTY</x:t>
        </x:is>
      </x:c>
      <x:c r="E548" s="8" t="n">
        <x:f>IFERROR(INDEX('02_RAW_INDEX'!$AF:$AF,MATCH($A548,'02_RAW_INDEX'!$A:$A,0)),"")</x:f>
        <x:v>528</x:v>
      </x:c>
      <x:c r="F548" s="8" t="n">
        <x:f>IFERROR(INDEX('02_RAW_INDEX'!$AE:$AE,MATCH($A548,'02_RAW_INDEX'!$A:$A,0)),"")</x:f>
        <x:v>650</x:v>
      </x:c>
      <x:c r="G548" s="7" t="n">
        <x:f>'01_Ustawienia'!$B$6</x:f>
        <x:v>0</x:v>
      </x:c>
      <x:c r="H548" s="8" t="n">
        <x:f>IF(E548="","",ROUND(IF('01_Ustawienia'!$B$5="BRUTTO",F548,E548)*(1-G548),0))</x:f>
        <x:v>528</x:v>
      </x:c>
      <x:c r="I548" s="7" t="n">
        <x:f>IFERROR(IFERROR(INDEX('01_Ustawienia'!$B$15:$B$33,MATCH(B548,'01_Ustawienia'!$A$15:$A$33,0)),0.45),0.45)</x:f>
        <x:v>0.45</x:v>
      </x:c>
      <x:c r="J548" s="8" t="n">
        <x:f>IF(H548="","",ROUND(H548*(1+I548),0))</x:f>
        <x:v>766</x:v>
      </x:c>
      <x:c r="K548" s="8" t="n">
        <x:f>0</x:f>
        <x:v>0</x:v>
      </x:c>
      <x:c r="L548" s="8" t="n">
        <x:f>IFERROR(IFERROR(INDEX(EG_Cennik_uslug!$CH:$CH,MATCH($A548,EG_Cennik_uslug!$A:$A,0)),0),0)</x:f>
        <x:v>0</x:v>
      </x:c>
      <x:c r="M548" s="7" t="n">
        <x:f>IF('01_Ustawienia'!$B$4="ZWOLNIONY",0,'01_Ustawienia'!$B$7)</x:f>
        <x:v>0.08</x:v>
      </x:c>
      <x:c r="N548" s="8" t="n">
        <x:f>IF(J548="","",ROUND((J548+K548)*(1+M548),0))</x:f>
        <x:v>827</x:v>
      </x:c>
      <x:c r="O548" s="8" t="n">
        <x:f>IF(J548="","",J548+K548-H548-L548)</x:f>
        <x:v>238</x:v>
      </x:c>
      <x:c r="P548" s="7" t="n">
        <x:f>IFERROR(O548/(J548+K548),"")</x:f>
        <x:v>0.31070496083550914</x:v>
      </x:c>
      <x:c r="Q548" s="6" t="inlineStr">
        <x:is>
          <x:t xml:space="preserve">RAW_OP N/O</x:t>
        </x:is>
      </x:c>
      <x:c r="R548" s="6" t="inlineStr">
        <x:is>
          <x:t xml:space="preserve">DODATKI</x:t>
        </x:is>
      </x:c>
      <x:c r="S548" s="6" t="inlineStr">
        <x:is>
          <x:t xml:space="preserve">website+crm</x:t>
        </x:is>
      </x:c>
      <x:c r="T548" s="6" t="n"/>
    </x:row>
    <x:row r="549">
      <x:c r="A549" s="6" t="inlineStr">
        <x:is>
          <x:t xml:space="preserve">400 x 1106 cm</x:t>
        </x:is>
      </x:c>
      <x:c r="B549" s="6" t="inlineStr">
        <x:is>
          <x:t xml:space="preserve">LED2</x:t>
        </x:is>
      </x:c>
      <x:c r="C549" s="6" t="inlineStr">
        <x:is>
          <x:t xml:space="preserve">Oświetlenie LED 2 punkty</x:t>
        </x:is>
      </x:c>
      <x:c r="D549" s="6" t="inlineStr">
        <x:is>
          <x:t xml:space="preserve">LED 2 PKT</x:t>
        </x:is>
      </x:c>
      <x:c r="E549" s="8" t="n">
        <x:f>IFERROR(INDEX('02_RAW_INDEX'!$N:$N,MATCH($A549,'02_RAW_INDEX'!$A:$A,0)),"")</x:f>
        <x:v>1163</x:v>
      </x:c>
      <x:c r="F549" s="8" t="n">
        <x:f>IFERROR(INDEX('02_RAW_INDEX'!$M:$M,MATCH($A549,'02_RAW_INDEX'!$A:$A,0)),"")</x:f>
        <x:v>1430</x:v>
      </x:c>
      <x:c r="G549" s="7" t="n">
        <x:f>'01_Ustawienia'!$B$6</x:f>
        <x:v>0</x:v>
      </x:c>
      <x:c r="H549" s="8" t="n">
        <x:f>IF(E549="","",ROUND(IF('01_Ustawienia'!$B$5="BRUTTO",F549,E549)*(1-G549),0))</x:f>
        <x:v>1163</x:v>
      </x:c>
      <x:c r="I549" s="7" t="n">
        <x:f>IFERROR(IFERROR(INDEX('01_Ustawienia'!$B$15:$B$33,MATCH(B549,'01_Ustawienia'!$A$15:$A$33,0)),0.45),0.45)</x:f>
        <x:v>0.45</x:v>
      </x:c>
      <x:c r="J549" s="8" t="n">
        <x:f>IF(H549="","",ROUND(H549*(1+I549),0))</x:f>
        <x:v>1686</x:v>
      </x:c>
      <x:c r="K549" s="8" t="n">
        <x:f>0</x:f>
        <x:v>0</x:v>
      </x:c>
      <x:c r="L549" s="8" t="n">
        <x:f>IFERROR(IFERROR(INDEX(EG_Cennik_uslug!$CO:$CO,MATCH($A549,EG_Cennik_uslug!$A:$A,0)),0),0)</x:f>
        <x:v>0</x:v>
      </x:c>
      <x:c r="M549" s="7" t="n">
        <x:f>IF('01_Ustawienia'!$B$4="ZWOLNIONY",0,'01_Ustawienia'!$B$7)</x:f>
        <x:v>0.08</x:v>
      </x:c>
      <x:c r="N549" s="8" t="n">
        <x:f>IF(J549="","",ROUND((J549+K549)*(1+M549),0))</x:f>
        <x:v>1821</x:v>
      </x:c>
      <x:c r="O549" s="8" t="n">
        <x:f>IF(J549="","",J549+K549-H549-L549)</x:f>
        <x:v>523</x:v>
      </x:c>
      <x:c r="P549" s="7" t="n">
        <x:f>IFERROR(O549/(J549+K549),"")</x:f>
        <x:v>0.31020166073546857</x:v>
      </x:c>
      <x:c r="Q549" s="6" t="inlineStr">
        <x:is>
          <x:t xml:space="preserve">RAW_ZP P/Q</x:t>
        </x:is>
      </x:c>
      <x:c r="R549" s="6" t="inlineStr">
        <x:is>
          <x:t xml:space="preserve">OŚWIETLENIE</x:t>
        </x:is>
      </x:c>
      <x:c r="S549" s="6" t="inlineStr">
        <x:is>
          <x:t xml:space="preserve">website+crm</x:t>
        </x:is>
      </x:c>
      <x:c r="T549" s="6" t="n"/>
    </x:row>
    <x:row r="550">
      <x:c r="A550" s="6" t="inlineStr">
        <x:is>
          <x:t xml:space="preserve">400 x 1106 cm</x:t>
        </x:is>
      </x:c>
      <x:c r="B550" s="6" t="inlineStr">
        <x:is>
          <x:t xml:space="preserve">LED3</x:t>
        </x:is>
      </x:c>
      <x:c r="C550" s="6" t="inlineStr">
        <x:is>
          <x:t xml:space="preserve">Oświetlenie LED 3 punkty</x:t>
        </x:is>
      </x:c>
      <x:c r="D550" s="6" t="inlineStr">
        <x:is>
          <x:t xml:space="preserve">LED 3 PKT</x:t>
        </x:is>
      </x:c>
      <x:c r="E550" s="8" t="n">
        <x:f>IFERROR(INDEX('02_RAW_INDEX'!$P:$P,MATCH($A550,'02_RAW_INDEX'!$A:$A,0)),"")</x:f>
        <x:v>1439</x:v>
      </x:c>
      <x:c r="F550" s="8" t="n">
        <x:f>IFERROR(INDEX('02_RAW_INDEX'!$O:$O,MATCH($A550,'02_RAW_INDEX'!$A:$A,0)),"")</x:f>
        <x:v>1770</x:v>
      </x:c>
      <x:c r="G550" s="7" t="n">
        <x:f>'01_Ustawienia'!$B$6</x:f>
        <x:v>0</x:v>
      </x:c>
      <x:c r="H550" s="8" t="n">
        <x:f>IF(E550="","",ROUND(IF('01_Ustawienia'!$B$5="BRUTTO",F550,E550)*(1-G550),0))</x:f>
        <x:v>1439</x:v>
      </x:c>
      <x:c r="I550" s="7" t="n">
        <x:f>IFERROR(IFERROR(INDEX('01_Ustawienia'!$B$15:$B$33,MATCH(B550,'01_Ustawienia'!$A$15:$A$33,0)),0.45),0.45)</x:f>
        <x:v>0.45</x:v>
      </x:c>
      <x:c r="J550" s="8" t="n">
        <x:f>IF(H550="","",ROUND(H550*(1+I550),0))</x:f>
        <x:v>2087</x:v>
      </x:c>
      <x:c r="K550" s="8" t="n">
        <x:f>0</x:f>
        <x:v>0</x:v>
      </x:c>
      <x:c r="L550" s="8" t="n">
        <x:f>IFERROR(IFERROR(INDEX(EG_Cennik_uslug!$CV:$CV,MATCH($A550,EG_Cennik_uslug!$A:$A,0)),0),0)</x:f>
        <x:v>0</x:v>
      </x:c>
      <x:c r="M550" s="7" t="n">
        <x:f>IF('01_Ustawienia'!$B$4="ZWOLNIONY",0,'01_Ustawienia'!$B$7)</x:f>
        <x:v>0.08</x:v>
      </x:c>
      <x:c r="N550" s="8" t="n">
        <x:f>IF(J550="","",ROUND((J550+K550)*(1+M550),0))</x:f>
        <x:v>2254</x:v>
      </x:c>
      <x:c r="O550" s="8" t="n">
        <x:f>IF(J550="","",J550+K550-H550-L550)</x:f>
        <x:v>648</x:v>
      </x:c>
      <x:c r="P550" s="7" t="n">
        <x:f>IFERROR(O550/(J550+K550),"")</x:f>
        <x:v>0.3104935313847628</x:v>
      </x:c>
      <x:c r="Q550" s="6" t="inlineStr">
        <x:is>
          <x:t xml:space="preserve">RAW_ZP R/S</x:t>
        </x:is>
      </x:c>
      <x:c r="R550" s="6" t="inlineStr">
        <x:is>
          <x:t xml:space="preserve">OŚWIETLENIE</x:t>
        </x:is>
      </x:c>
      <x:c r="S550" s="6" t="inlineStr">
        <x:is>
          <x:t xml:space="preserve">website+crm</x:t>
        </x:is>
      </x:c>
      <x:c r="T550" s="6" t="inlineStr">
        <x:is>
          <x:t xml:space="preserve">Nazwa do potwierdzenia</x:t>
        </x:is>
      </x:c>
    </x:row>
    <x:row r="551">
      <x:c r="A551" s="6" t="inlineStr">
        <x:is>
          <x:t xml:space="preserve">400 x 1106 cm</x:t>
        </x:is>
      </x:c>
      <x:c r="B551" s="6" t="inlineStr">
        <x:is>
          <x:t xml:space="preserve">LEDCCT</x:t>
        </x:is>
      </x:c>
      <x:c r="C551" s="6" t="inlineStr">
        <x:is>
          <x:t xml:space="preserve">Oświetlenie LED CCT</x:t>
        </x:is>
      </x:c>
      <x:c r="D551" s="6" t="inlineStr">
        <x:is>
          <x:t xml:space="preserve">OŚWIETLENIE</x:t>
        </x:is>
      </x:c>
      <x:c r="E551" s="8" t="n">
        <x:f>IFERROR(INDEX('02_RAW_INDEX'!$R:$R,MATCH($A551,'02_RAW_INDEX'!$A:$A,0)),"")</x:f>
        <x:v>2300</x:v>
      </x:c>
      <x:c r="F551" s="8" t="n">
        <x:f>IFERROR(INDEX('02_RAW_INDEX'!$Q:$Q,MATCH($A551,'02_RAW_INDEX'!$A:$A,0)),"")</x:f>
        <x:v>2829</x:v>
      </x:c>
      <x:c r="G551" s="7" t="n">
        <x:f>'01_Ustawienia'!$B$6</x:f>
        <x:v>0</x:v>
      </x:c>
      <x:c r="H551" s="8" t="n">
        <x:f>IF(E551="","",ROUND(IF('01_Ustawienia'!$B$5="BRUTTO",F551,E551)*(1-G551),0))</x:f>
        <x:v>2300</x:v>
      </x:c>
      <x:c r="I551" s="7" t="n">
        <x:f>IFERROR(IFERROR(INDEX('01_Ustawienia'!$B$15:$B$33,MATCH(B551,'01_Ustawienia'!$A$15:$A$33,0)),0.45),0.45)</x:f>
        <x:v>0.45</x:v>
      </x:c>
      <x:c r="J551" s="8" t="n">
        <x:f>IF(H551="","",ROUND(H551*(1+I551),0))</x:f>
        <x:v>3335</x:v>
      </x:c>
      <x:c r="K551" s="8" t="n">
        <x:f>0</x:f>
        <x:v>0</x:v>
      </x:c>
      <x:c r="L551" s="8" t="n">
        <x:f>0</x:f>
        <x:v>0</x:v>
      </x:c>
      <x:c r="M551" s="7" t="n">
        <x:f>IF('01_Ustawienia'!$B$4="ZWOLNIONY",0,'01_Ustawienia'!$B$7)</x:f>
        <x:v>0.08</x:v>
      </x:c>
      <x:c r="N551" s="8" t="n">
        <x:f>IF(J551="","",ROUND((J551+K551)*(1+M551),0))</x:f>
        <x:v>3602</x:v>
      </x:c>
      <x:c r="O551" s="8" t="n">
        <x:f>IF(J551="","",J551+K551-H551-L551)</x:f>
        <x:v>1035</x:v>
      </x:c>
      <x:c r="P551" s="7" t="n">
        <x:f>IFERROR(O551/(J551+K551),"")</x:f>
        <x:v>0.3103448275862069</x:v>
      </x:c>
      <x:c r="Q551" s="6" t="inlineStr">
        <x:is>
          <x:t xml:space="preserve">RAW_ZP T/U</x:t>
        </x:is>
      </x:c>
      <x:c r="R551" s="6" t="inlineStr">
        <x:is>
          <x:t xml:space="preserve">OŚWIETLENIE</x:t>
        </x:is>
      </x:c>
      <x:c r="S551" s="6" t="inlineStr">
        <x:is>
          <x:t xml:space="preserve">website+crm</x:t>
        </x:is>
      </x:c>
      <x:c r="T551" s="6" t="inlineStr">
        <x:is>
          <x:t xml:space="preserve">Opcja dodatkowa | FIX17: opcja LED dostępna dla strony; ceny 450-600 wg modelu FIX15.</x:t>
        </x:is>
      </x:c>
    </x:row>
    <x:row r="552">
      <x:c r="A552" s="6" t="inlineStr">
        <x:is>
          <x:t xml:space="preserve">400 x 1106 cm</x:t>
        </x:is>
      </x:c>
      <x:c r="B552" s="6" t="inlineStr">
        <x:is>
          <x:t xml:space="preserve">LEDRGBCCT</x:t>
        </x:is>
      </x:c>
      <x:c r="C552" s="6" t="inlineStr">
        <x:is>
          <x:t xml:space="preserve">Oświetlenie LED RGB CCT</x:t>
        </x:is>
      </x:c>
      <x:c r="D552" s="6" t="inlineStr">
        <x:is>
          <x:t xml:space="preserve">OŚWIETLENIE</x:t>
        </x:is>
      </x:c>
      <x:c r="E552" s="8" t="n">
        <x:f>IFERROR(INDEX('02_RAW_INDEX'!$T:$T,MATCH($A552,'02_RAW_INDEX'!$A:$A,0)),"")</x:f>
        <x:v>3470</x:v>
      </x:c>
      <x:c r="F552" s="8" t="n">
        <x:f>IFERROR(INDEX('02_RAW_INDEX'!$S:$S,MATCH($A552,'02_RAW_INDEX'!$A:$A,0)),"")</x:f>
        <x:v>4268</x:v>
      </x:c>
      <x:c r="G552" s="7" t="n">
        <x:f>'01_Ustawienia'!$B$6</x:f>
        <x:v>0</x:v>
      </x:c>
      <x:c r="H552" s="8" t="n">
        <x:f>IF(E552="","",ROUND(IF('01_Ustawienia'!$B$5="BRUTTO",F552,E552)*(1-G552),0))</x:f>
        <x:v>3470</x:v>
      </x:c>
      <x:c r="I552" s="7" t="n">
        <x:f>IFERROR(IFERROR(INDEX('01_Ustawienia'!$B$15:$B$33,MATCH(B552,'01_Ustawienia'!$A$15:$A$33,0)),0.45),0.45)</x:f>
        <x:v>0.45</x:v>
      </x:c>
      <x:c r="J552" s="8" t="n">
        <x:f>IF(H552="","",ROUND(H552*(1+I552),0))</x:f>
        <x:v>5032</x:v>
      </x:c>
      <x:c r="K552" s="8" t="n">
        <x:f>0</x:f>
        <x:v>0</x:v>
      </x:c>
      <x:c r="L552" s="8" t="n">
        <x:f>0</x:f>
        <x:v>0</x:v>
      </x:c>
      <x:c r="M552" s="7" t="n">
        <x:f>IF('01_Ustawienia'!$B$4="ZWOLNIONY",0,'01_Ustawienia'!$B$7)</x:f>
        <x:v>0.08</x:v>
      </x:c>
      <x:c r="N552" s="8" t="n">
        <x:f>IF(J552="","",ROUND((J552+K552)*(1+M552),0))</x:f>
        <x:v>5435</x:v>
      </x:c>
      <x:c r="O552" s="8" t="n">
        <x:f>IF(J552="","",J552+K552-H552-L552)</x:f>
        <x:v>1562</x:v>
      </x:c>
      <x:c r="P552" s="7" t="n">
        <x:f>IFERROR(O552/(J552+K552),"")</x:f>
        <x:v>0.3104133545310016</x:v>
      </x:c>
      <x:c r="Q552" s="6" t="inlineStr">
        <x:is>
          <x:t xml:space="preserve">RAW_ZP V/W</x:t>
        </x:is>
      </x:c>
      <x:c r="R552" s="6" t="inlineStr">
        <x:is>
          <x:t xml:space="preserve">OŚWIETLENIE</x:t>
        </x:is>
      </x:c>
      <x:c r="S552" s="6" t="inlineStr">
        <x:is>
          <x:t xml:space="preserve">crm_only</x:t>
        </x:is>
      </x:c>
      <x:c r="T552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553" s="655" customFormat="1" ht="30" customHeight="1">
      <x:c r="A553" s="6" t="inlineStr">
        <x:is>
          <x:t xml:space="preserve">400 x 1206 cm</x:t>
        </x:is>
      </x:c>
      <x:c r="B553" s="6" t="inlineStr">
        <x:is>
          <x:t xml:space="preserve">ZP</x:t>
        </x:is>
      </x:c>
      <x:c r="C553" s="6" t="inlineStr">
        <x:is>
          <x:t xml:space="preserve">Zadaszenie poliwęglan - baza</x:t>
        </x:is>
      </x:c>
      <x:c r="D553" s="6" t="inlineStr">
        <x:is>
          <x:t xml:space="preserve">ZADASZENIE POLIWĘGLAN</x:t>
        </x:is>
      </x:c>
      <x:c r="E553" s="8" t="n">
        <x:f>IFERROR(INDEX('02_RAW_INDEX'!$D:$D,MATCH($A553,'02_RAW_INDEX'!$A:$A,0)),"")</x:f>
        <x:v>13577</x:v>
      </x:c>
      <x:c r="F553" s="8" t="n">
        <x:f>IFERROR(INDEX('02_RAW_INDEX'!$C:$C,MATCH($A553,'02_RAW_INDEX'!$A:$A,0)),"")</x:f>
        <x:v>16700</x:v>
      </x:c>
      <x:c r="G553" s="7" t="n">
        <x:f>'01_Ustawienia'!$B$6</x:f>
        <x:v>0</x:v>
      </x:c>
      <x:c r="H553" s="8" t="n">
        <x:f>IF(E553="","",ROUND(IF('01_Ustawienia'!$B$5="BRUTTO",F553,E553)*(1-G553),0))</x:f>
        <x:v>13577</x:v>
      </x:c>
      <x:c r="I553" s="7" t="n">
        <x:f>IFERROR(IFERROR(INDEX('01_Ustawienia'!$B$15:$B$33,MATCH(B553,'01_Ustawienia'!$A$15:$A$33,0)),0.45),0.45)</x:f>
        <x:v>0.45</x:v>
      </x:c>
      <x:c r="J553" s="8" t="n">
        <x:f>IF(H553="","",ROUND(H553*(1+I553),0))</x:f>
        <x:v>19687</x:v>
      </x:c>
      <x:c r="K553" s="8" t="n">
        <x:f>IFERROR(IFERROR(INDEX(EG_Cennik_uslug!$F:$F,MATCH($A553,EG_Cennik_uslug!$A:$A,0)),0),0)</x:f>
        <x:v>5400</x:v>
      </x:c>
      <x:c r="L553" s="8" t="n">
        <x:f>IFERROR(IFERROR(INDEX(EG_Cennik_uslug!$G:$G,MATCH($A553,EG_Cennik_uslug!$A:$A,0)),0),0)</x:f>
        <x:v>2070</x:v>
      </x:c>
      <x:c r="M553" s="7" t="n">
        <x:f>IF('01_Ustawienia'!$B$4="ZWOLNIONY",0,'01_Ustawienia'!$B$7)</x:f>
        <x:v>0.08</x:v>
      </x:c>
      <x:c r="N553" s="8" t="n">
        <x:f>IF(J553="","",ROUND((J553+K553)*(1+M553),0))</x:f>
        <x:v>27094</x:v>
      </x:c>
      <x:c r="O553" s="8" t="n">
        <x:f>IF(J553="","",J553+K553-H553-L553)</x:f>
        <x:v>9440</x:v>
      </x:c>
      <x:c r="P553" s="7" t="n">
        <x:f>IFERROR(O553/(J553+K553),"")</x:f>
        <x:v>0.3762905090285805</x:v>
      </x:c>
      <x:c r="Q553" s="6" t="inlineStr">
        <x:is>
          <x:t xml:space="preserve">RAW_ZP B/C</x:t>
        </x:is>
      </x:c>
      <x:c r="R553" s="6" t="inlineStr">
        <x:is>
          <x:t xml:space="preserve">ZADASZENIE TARASU KONSTRUKCJA</x:t>
        </x:is>
      </x:c>
      <x:c r="S553" s="6" t="inlineStr">
        <x:is>
          <x:t xml:space="preserve">website+crm</x:t>
        </x:is>
      </x:c>
      <x:c r="T553" s="6" t="inlineStr">
        <x:is>
          <x:t xml:space="preserve">Baza dla kalkulatora</x:t>
        </x:is>
      </x:c>
    </x:row>
    <x:row r="554" s="655" customFormat="1" ht="30" customHeight="1">
      <x:c r="A554" s="6" t="inlineStr">
        <x:is>
          <x:t xml:space="preserve">400 x 1206 cm</x:t>
        </x:is>
      </x:c>
      <x:c r="B554" s="6" t="inlineStr">
        <x:is>
          <x:t xml:space="preserve">ZS</x:t>
        </x:is>
      </x:c>
      <x:c r="C554" s="6" t="inlineStr">
        <x:is>
          <x:t xml:space="preserve">Zadaszenie szkło - pełna konstrukcja</x:t>
        </x:is>
      </x:c>
      <x:c r="D554" s="6" t="inlineStr">
        <x:is>
          <x:t xml:space="preserve">ZADASZENIE SZKŁO</x:t>
        </x:is>
      </x:c>
      <x:c r="E554" s="8" t="n">
        <x:f>IFERROR(INDEX('02_RAW_INDEX'!$V:$V,MATCH($A554,'02_RAW_INDEX'!$A:$A,0)),"")</x:f>
        <x:v>23301</x:v>
      </x:c>
      <x:c r="F554" s="8" t="n">
        <x:f>IFERROR(INDEX('02_RAW_INDEX'!$U:$U,MATCH($A554,'02_RAW_INDEX'!$A:$A,0)),"")</x:f>
        <x:v>28660</x:v>
      </x:c>
      <x:c r="G554" s="7" t="n">
        <x:f>'01_Ustawienia'!$B$6</x:f>
        <x:v>0</x:v>
      </x:c>
      <x:c r="H554" s="8" t="n">
        <x:f>IF(E554="","",ROUND(IF('01_Ustawienia'!$B$5="BRUTTO",F554,E554)*(1-G554),0))</x:f>
        <x:v>23301</x:v>
      </x:c>
      <x:c r="I554" s="7" t="n">
        <x:f>IFERROR(IFERROR(INDEX('01_Ustawienia'!$B$15:$B$33,MATCH(B554,'01_Ustawienia'!$A$15:$A$33,0)),0.45),0.45)</x:f>
        <x:v>0.45</x:v>
      </x:c>
      <x:c r="J554" s="8" t="n">
        <x:f>IF(H554="","",ROUND(H554*(1+I554),0))</x:f>
        <x:v>33786</x:v>
      </x:c>
      <x:c r="K554" s="8" t="n">
        <x:f>IFERROR(IFERROR(INDEX(EG_Cennik_uslug!$F:$F,MATCH($A554,EG_Cennik_uslug!$A:$A,0)),0),0)</x:f>
        <x:v>5400</x:v>
      </x:c>
      <x:c r="L554" s="8" t="n">
        <x:f>IFERROR(IFERROR(INDEX(EG_Cennik_uslug!$G:$G,MATCH($A554,EG_Cennik_uslug!$A:$A,0)),0),0)</x:f>
        <x:v>2070</x:v>
      </x:c>
      <x:c r="M554" s="7" t="n">
        <x:f>IF('01_Ustawienia'!$B$4="ZWOLNIONY",0,'01_Ustawienia'!$B$7)</x:f>
        <x:v>0.08</x:v>
      </x:c>
      <x:c r="N554" s="8" t="n">
        <x:f>IF(J554="","",ROUND((J554+K554)*(1+M554),0))</x:f>
        <x:v>42321</x:v>
      </x:c>
      <x:c r="O554" s="8" t="n">
        <x:f>IF(J554="","",J554+K554-H554-L554)</x:f>
        <x:v>13815</x:v>
      </x:c>
      <x:c r="P554" s="7" t="n">
        <x:f>IFERROR(O554/(J554+K554),"")</x:f>
        <x:v>0.3525493798805696</x:v>
      </x:c>
      <x:c r="Q554" s="6" t="inlineStr">
        <x:is>
          <x:t xml:space="preserve">RAW_ZS B/C</x:t>
        </x:is>
      </x:c>
      <x:c r="R554" s="6" t="inlineStr">
        <x:is>
          <x:t xml:space="preserve">ZADASZENIE TARASU KONSTRUKCJA</x:t>
        </x:is>
      </x:c>
      <x:c r="S554" s="6" t="inlineStr">
        <x:is>
          <x:t xml:space="preserve">crm_only</x:t>
        </x:is>
      </x:c>
      <x:c r="T554" s="6" t="inlineStr">
        <x:is>
          <x:t xml:space="preserve">Referencyjne/full; strona zwykle używa ZP + PDS</x:t>
        </x:is>
      </x:c>
    </x:row>
    <x:row r="555" s="655" customFormat="1" ht="30" customHeight="1">
      <x:c r="A555" s="6" t="inlineStr">
        <x:is>
          <x:t xml:space="preserve">400 x 1206 cm</x:t>
        </x:is>
      </x:c>
      <x:c r="B555" s="6" t="inlineStr">
        <x:is>
          <x:t xml:space="preserve">OP</x:t>
        </x:is>
      </x:c>
      <x:c r="C555" s="6" t="inlineStr">
        <x:is>
          <x:t xml:space="preserve">Ogród zimowy poliwęglan - baza</x:t>
        </x:is>
      </x:c>
      <x:c r="D555" s="6" t="inlineStr">
        <x:is>
          <x:t xml:space="preserve">OGRODY POLIWĘGLAN</x:t>
        </x:is>
      </x:c>
      <x:c r="E555" s="8" t="n">
        <x:f>IFERROR(INDEX('02_RAW_INDEX'!$Z:$Z,MATCH($A555,'02_RAW_INDEX'!$A:$A,0)),"")</x:f>
        <x:v>31122</x:v>
      </x:c>
      <x:c r="F555" s="8" t="n">
        <x:f>IFERROR(INDEX('02_RAW_INDEX'!$Y:$Y,MATCH($A555,'02_RAW_INDEX'!$A:$A,0)),"")</x:f>
        <x:v>38280</x:v>
      </x:c>
      <x:c r="G555" s="7" t="n">
        <x:f>'01_Ustawienia'!$B$6</x:f>
        <x:v>0</x:v>
      </x:c>
      <x:c r="H555" s="8" t="n">
        <x:f>IF(E555="","",ROUND(IF('01_Ustawienia'!$B$5="BRUTTO",F555,E555)*(1-G555),0))</x:f>
        <x:v>31122</x:v>
      </x:c>
      <x:c r="I555" s="7" t="n">
        <x:f>IFERROR(IFERROR(INDEX('01_Ustawienia'!$B$15:$B$33,MATCH(B555,'01_Ustawienia'!$A$15:$A$33,0)),0.45),0.45)</x:f>
        <x:v>0.45</x:v>
      </x:c>
      <x:c r="J555" s="8" t="n">
        <x:f>IF(H555="","",ROUND(H555*(1+I555),0))</x:f>
        <x:v>45127</x:v>
      </x:c>
      <x:c r="K555" s="8" t="n">
        <x:f>IFERROR(IFERROR(INDEX(EG_Cennik_uslug!$N:$N,MATCH($A555,EG_Cennik_uslug!$A:$A,0)),0),0)</x:f>
        <x:v>7100</x:v>
      </x:c>
      <x:c r="L555" s="8" t="n">
        <x:f>IFERROR(IFERROR(INDEX(EG_Cennik_uslug!$O:$O,MATCH($A555,EG_Cennik_uslug!$A:$A,0)),0),0)</x:f>
        <x:v>2900</x:v>
      </x:c>
      <x:c r="M555" s="7" t="n">
        <x:f>IF('01_Ustawienia'!$B$4="ZWOLNIONY",0,'01_Ustawienia'!$B$7)</x:f>
        <x:v>0.08</x:v>
      </x:c>
      <x:c r="N555" s="8" t="n">
        <x:f>IF(J555="","",ROUND((J555+K555)*(1+M555),0))</x:f>
        <x:v>56405</x:v>
      </x:c>
      <x:c r="O555" s="8" t="n">
        <x:f>IF(J555="","",J555+K555-H555-L555)</x:f>
        <x:v>18205</x:v>
      </x:c>
      <x:c r="P555" s="7" t="n">
        <x:f>IFERROR(O555/(J555+K555),"")</x:f>
        <x:v>0.3485744921209336</x:v>
      </x:c>
      <x:c r="Q555" s="6" t="inlineStr">
        <x:is>
          <x:t xml:space="preserve">RAW_OP B/C</x:t>
        </x:is>
      </x:c>
      <x:c r="R555" s="6" t="inlineStr">
        <x:is>
          <x:t xml:space="preserve">OGRÓD ZIMOWY (KONSTRUKCJA)</x:t>
        </x:is>
      </x:c>
      <x:c r="S555" s="6" t="inlineStr">
        <x:is>
          <x:t xml:space="preserve">website+crm</x:t>
        </x:is>
      </x:c>
      <x:c r="T555" s="6" t="inlineStr">
        <x:is>
          <x:t xml:space="preserve">Do wyliczenia dopłaty za ściany</x:t>
        </x:is>
      </x:c>
    </x:row>
    <x:row r="556" s="655" customFormat="1" ht="30" customHeight="1">
      <x:c r="A556" s="6" t="inlineStr">
        <x:is>
          <x:t xml:space="preserve">400 x 1206 cm</x:t>
        </x:is>
      </x:c>
      <x:c r="B556" s="6" t="inlineStr">
        <x:is>
          <x:t xml:space="preserve">OS</x:t>
        </x:is>
      </x:c>
      <x:c r="C556" s="6" t="inlineStr">
        <x:is>
          <x:t xml:space="preserve">Ogród zimowy szkło - pełna konstrukcja</x:t>
        </x:is>
      </x:c>
      <x:c r="D556" s="6" t="inlineStr">
        <x:is>
          <x:t xml:space="preserve">OGRODY SZKŁO</x:t>
        </x:is>
      </x:c>
      <x:c r="E556" s="8" t="n">
        <x:f>IFERROR(INDEX('02_RAW_INDEX'!$AL:$AL,MATCH($A556,'02_RAW_INDEX'!$A:$A,0)),"")</x:f>
        <x:v>40846</x:v>
      </x:c>
      <x:c r="F556" s="8" t="n">
        <x:f>IFERROR(INDEX('02_RAW_INDEX'!$AK:$AK,MATCH($A556,'02_RAW_INDEX'!$A:$A,0)),"")</x:f>
        <x:v>50240</x:v>
      </x:c>
      <x:c r="G556" s="7" t="n">
        <x:f>'01_Ustawienia'!$B$6</x:f>
        <x:v>0</x:v>
      </x:c>
      <x:c r="H556" s="8" t="n">
        <x:f>IF(E556="","",ROUND(IF('01_Ustawienia'!$B$5="BRUTTO",F556,E556)*(1-G556),0))</x:f>
        <x:v>40846</x:v>
      </x:c>
      <x:c r="I556" s="7" t="n">
        <x:f>IFERROR(IFERROR(INDEX('01_Ustawienia'!$B$15:$B$33,MATCH(B556,'01_Ustawienia'!$A$15:$A$33,0)),0.45),0.45)</x:f>
        <x:v>0.45</x:v>
      </x:c>
      <x:c r="J556" s="8" t="n">
        <x:f>IF(H556="","",ROUND(H556*(1+I556),0))</x:f>
        <x:v>59227</x:v>
      </x:c>
      <x:c r="K556" s="8" t="n">
        <x:f>IFERROR(IFERROR(INDEX(EG_Cennik_uslug!$N:$N,MATCH($A556,EG_Cennik_uslug!$A:$A,0)),0),0)</x:f>
        <x:v>7100</x:v>
      </x:c>
      <x:c r="L556" s="8" t="n">
        <x:f>IFERROR(IFERROR(INDEX(EG_Cennik_uslug!$O:$O,MATCH($A556,EG_Cennik_uslug!$A:$A,0)),0),0)</x:f>
        <x:v>2900</x:v>
      </x:c>
      <x:c r="M556" s="7" t="n">
        <x:f>IF('01_Ustawienia'!$B$4="ZWOLNIONY",0,'01_Ustawienia'!$B$7)</x:f>
        <x:v>0.08</x:v>
      </x:c>
      <x:c r="N556" s="8" t="n">
        <x:f>IF(J556="","",ROUND((J556+K556)*(1+M556),0))</x:f>
        <x:v>71633</x:v>
      </x:c>
      <x:c r="O556" s="8" t="n">
        <x:f>IF(J556="","",J556+K556-H556-L556)</x:f>
        <x:v>22581</x:v>
      </x:c>
      <x:c r="P556" s="7" t="n">
        <x:f>IFERROR(O556/(J556+K556),"")</x:f>
        <x:v>0.3404495906644353</x:v>
      </x:c>
      <x:c r="Q556" s="6" t="inlineStr">
        <x:is>
          <x:t xml:space="preserve">RAW_OS B/C</x:t>
        </x:is>
      </x:c>
      <x:c r="R556" s="6" t="inlineStr">
        <x:is>
          <x:t xml:space="preserve">OGRÓD ZIMOWY (KONSTRUKCJA)</x:t>
        </x:is>
      </x:c>
      <x:c r="S556" s="6" t="inlineStr">
        <x:is>
          <x:t xml:space="preserve">crm_only</x:t>
        </x:is>
      </x:c>
      <x:c r="T556" s="6" t="inlineStr">
        <x:is>
          <x:t xml:space="preserve">Referencyjne/full</x:t>
        </x:is>
      </x:c>
    </x:row>
    <x:row r="557" s="655" customFormat="1" ht="30" customHeight="1">
      <x:c r="A557" s="6" t="inlineStr">
        <x:is>
          <x:t xml:space="preserve">400 x 1206 cm</x:t>
        </x:is>
      </x:c>
      <x:c r="B557" s="6" t="inlineStr">
        <x:is>
          <x:t xml:space="preserve">PDS</x:t>
        </x:is>
      </x:c>
      <x:c r="C557" s="6" t="inlineStr">
        <x:is>
          <x:t xml:space="preserve">Dopłata dach szkło przezroczyste</x:t>
        </x:is>
      </x:c>
      <x:c r="D557" s="6" t="inlineStr">
        <x:is>
          <x:t xml:space="preserve">POKRYCIE DACHU SZKŁO</x:t>
        </x:is>
      </x:c>
      <x:c r="E557" s="8" t="n">
        <x:f>IFERROR(IFERROR(INDEX('02_RAW_INDEX'!$V:$V,MATCH($A557,'02_RAW_INDEX'!$A:$A,0)),"")-IFERROR(INDEX('02_RAW_INDEX'!$D:$D,MATCH($A557,'02_RAW_INDEX'!$A:$A,0)),""),"")</x:f>
        <x:v>9724</x:v>
      </x:c>
      <x:c r="F557" s="8" t="n">
        <x:f>IFERROR(IFERROR(INDEX('02_RAW_INDEX'!$U:$U,MATCH($A557,'02_RAW_INDEX'!$A:$A,0)),"")-IFERROR(INDEX('02_RAW_INDEX'!$C:$C,MATCH($A557,'02_RAW_INDEX'!$A:$A,0)),""),"")</x:f>
        <x:v>11960</x:v>
      </x:c>
      <x:c r="G557" s="7" t="n">
        <x:f>'01_Ustawienia'!$B$6</x:f>
        <x:v>0</x:v>
      </x:c>
      <x:c r="H557" s="8" t="n">
        <x:f>IF(E557="","",ROUND(IF('01_Ustawienia'!$B$5="BRUTTO",F557,E557)*(1-G557),0))</x:f>
        <x:v>9724</x:v>
      </x:c>
      <x:c r="I557" s="7" t="n">
        <x:f>IFERROR(IFERROR(INDEX('01_Ustawienia'!$B$15:$B$33,MATCH(B557,'01_Ustawienia'!$A$15:$A$33,0)),0.45),0.45)</x:f>
        <x:v>0.45</x:v>
      </x:c>
      <x:c r="J557" s="8" t="n">
        <x:f>IF(H557="","",ROUND(H557*(1+I557),0))</x:f>
        <x:v>14100</x:v>
      </x:c>
      <x:c r="K557" s="8" t="n">
        <x:f>0</x:f>
        <x:v>0</x:v>
      </x:c>
      <x:c r="L557" s="8" t="n">
        <x:v>0</x:v>
      </x:c>
      <x:c r="M557" s="7" t="n">
        <x:f>IF('01_Ustawienia'!$B$4="ZWOLNIONY",0,'01_Ustawienia'!$B$7)</x:f>
        <x:v>0.08</x:v>
      </x:c>
      <x:c r="N557" s="8" t="n">
        <x:f>IF(J557="","",ROUND((J557+K557)*(1+M557),0))</x:f>
        <x:v>15228</x:v>
      </x:c>
      <x:c r="O557" s="8" t="n">
        <x:f>IF(J557="","",J557+K557-H557-L557)</x:f>
        <x:v>4376</x:v>
      </x:c>
      <x:c r="P557" s="7" t="n">
        <x:f>IFERROR(O557/(J557+K557),"")</x:f>
        <x:v>0.31035460992907804</x:v>
      </x:c>
      <x:c r="Q557" s="6" t="inlineStr">
        <x:is>
          <x:t xml:space="preserve">RAW_ZS - RAW_ZP</x:t>
        </x:is>
      </x:c>
      <x:c r="R557" s="6" t="inlineStr">
        <x:is>
          <x:t xml:space="preserve">POKRYCIE DACHU</x:t>
        </x:is>
      </x:c>
      <x:c r="S557" s="6" t="inlineStr">
        <x:is>
          <x:t xml:space="preserve">website+crm</x:t>
        </x:is>
      </x:c>
      <x:c r="T557" s="6" t="inlineStr">
        <x:is>
          <x:t xml:space="preserve">Dopłata do bazowego dachu poliwęglan | FIX17: Wynagr.+koszty = 0 dla dopłaty; nie jest osobnym montażem ekipy.</x:t>
        </x:is>
      </x:c>
    </x:row>
    <x:row r="558" s="655" customFormat="1" ht="30" customHeight="1">
      <x:c r="A558" s="6" t="inlineStr">
        <x:is>
          <x:t xml:space="preserve">400 x 1206 cm</x:t>
        </x:is>
      </x:c>
      <x:c r="B558" s="6" t="inlineStr">
        <x:is>
          <x:t xml:space="preserve">PDSB</x:t>
        </x:is>
      </x:c>
      <x:c r="C558" s="6" t="inlineStr">
        <x:is>
          <x:t xml:space="preserve">Dopłata dach szkło barwione/mleczne</x:t>
        </x:is>
      </x:c>
      <x:c r="D558" s="6" t="inlineStr">
        <x:is>
          <x:t xml:space="preserve">POKRYCIE DACHU SZKŁO BARWIONE</x:t>
        </x:is>
      </x:c>
      <x:c r="E558" s="8" t="n">
        <x:f>IFERROR(INDEX('02_RAW_INDEX'!$X:$X,MATCH($A558,'02_RAW_INDEX'!$A:$A,0)),"")</x:f>
        <x:v>1130</x:v>
      </x:c>
      <x:c r="F558" s="8" t="n">
        <x:f>IFERROR(INDEX('02_RAW_INDEX'!$W:$W,MATCH($A558,'02_RAW_INDEX'!$A:$A,0)),"")</x:f>
        <x:v>1390</x:v>
      </x:c>
      <x:c r="G558" s="7" t="n">
        <x:f>'01_Ustawienia'!$B$6</x:f>
        <x:v>0</x:v>
      </x:c>
      <x:c r="H558" s="8" t="n">
        <x:f>IF(E558="","",ROUND(IF('01_Ustawienia'!$B$5="BRUTTO",F558,E558)*(1-G558),0))</x:f>
        <x:v>1130</x:v>
      </x:c>
      <x:c r="I558" s="7" t="n">
        <x:f>IFERROR(IFERROR(INDEX('01_Ustawienia'!$B$15:$B$33,MATCH(B558,'01_Ustawienia'!$A$15:$A$33,0)),0.45),0.45)</x:f>
        <x:v>0.45</x:v>
      </x:c>
      <x:c r="J558" s="8" t="n">
        <x:f>IF(H558="","",ROUND(H558*(1+I558),0))</x:f>
        <x:v>1639</x:v>
      </x:c>
      <x:c r="K558" s="8" t="n">
        <x:f>0</x:f>
        <x:v>0</x:v>
      </x:c>
      <x:c r="L558" s="8" t="n">
        <x:v>0</x:v>
      </x:c>
      <x:c r="M558" s="7" t="n">
        <x:f>IF('01_Ustawienia'!$B$4="ZWOLNIONY",0,'01_Ustawienia'!$B$7)</x:f>
        <x:v>0.08</x:v>
      </x:c>
      <x:c r="N558" s="8" t="n">
        <x:f>IF(J558="","",ROUND((J558+K558)*(1+M558),0))</x:f>
        <x:v>1770</x:v>
      </x:c>
      <x:c r="O558" s="8" t="n">
        <x:f>IF(J558="","",J558+K558-H558-L558)</x:f>
        <x:v>509</x:v>
      </x:c>
      <x:c r="P558" s="7" t="n">
        <x:f>IFERROR(O558/(J558+K558),"")</x:f>
        <x:v>0.3105552165954851</x:v>
      </x:c>
      <x:c r="Q558" s="6" t="inlineStr">
        <x:is>
          <x:t xml:space="preserve">RAW_ZS D/E</x:t>
        </x:is>
      </x:c>
      <x:c r="R558" s="6" t="inlineStr">
        <x:is>
          <x:t xml:space="preserve">POKRYCIE DACHU</x:t>
        </x:is>
      </x:c>
      <x:c r="S558" s="6" t="inlineStr">
        <x:is>
          <x:t xml:space="preserve">website+crm</x:t>
        </x:is>
      </x:c>
      <x:c r="T558" s="6" t="inlineStr">
        <x:is>
          <x:t xml:space="preserve">Dodawane do PDS | FIX17: Wynagr.+koszty = 0 dla dopłaty; nie jest osobnym montażem ekipy.</x:t>
        </x:is>
      </x:c>
    </x:row>
    <x:row r="559" s="655" customFormat="1" ht="30" customHeight="1">
      <x:c r="A559" s="6" t="inlineStr">
        <x:is>
          <x:t xml:space="preserve">400 x 1206 cm</x:t>
        </x:is>
      </x:c>
      <x:c r="B559" s="6" t="inlineStr">
        <x:is>
          <x:t xml:space="preserve">PDPB</x:t>
        </x:is>
      </x:c>
      <x:c r="C559" s="6" t="inlineStr">
        <x:is>
          <x:t xml:space="preserve">Dopłata poliwęglan barwiony</x:t>
        </x:is>
      </x:c>
      <x:c r="D559" s="6" t="inlineStr">
        <x:is>
          <x:t xml:space="preserve">POKRYCIE DACHU POLIWĘGLAN BARWIONY</x:t>
        </x:is>
      </x:c>
      <x:c r="E559" s="8" t="n">
        <x:f>IFERROR(INDEX('02_RAW_INDEX'!$F:$F,MATCH($A559,'02_RAW_INDEX'!$A:$A,0)),"")</x:f>
        <x:v>545</x:v>
      </x:c>
      <x:c r="F559" s="8" t="n">
        <x:f>IFERROR(INDEX('02_RAW_INDEX'!$E:$E,MATCH($A559,'02_RAW_INDEX'!$A:$A,0)),"")</x:f>
        <x:v>670</x:v>
      </x:c>
      <x:c r="G559" s="7" t="n">
        <x:f>'01_Ustawienia'!$B$6</x:f>
        <x:v>0</x:v>
      </x:c>
      <x:c r="H559" s="8" t="n">
        <x:f>IF(E559="","",ROUND(IF('01_Ustawienia'!$B$5="BRUTTO",F559,E559)*(1-G559),0))</x:f>
        <x:v>545</x:v>
      </x:c>
      <x:c r="I559" s="7" t="n">
        <x:f>IFERROR(IFERROR(INDEX('01_Ustawienia'!$B$15:$B$33,MATCH(B559,'01_Ustawienia'!$A$15:$A$33,0)),0.45),0.45)</x:f>
        <x:v>0.45</x:v>
      </x:c>
      <x:c r="J559" s="8" t="n">
        <x:f>IF(H559="","",ROUND(H559*(1+I559),0))</x:f>
        <x:v>790</x:v>
      </x:c>
      <x:c r="K559" s="8" t="n">
        <x:f>0</x:f>
        <x:v>0</x:v>
      </x:c>
      <x:c r="L559" s="8" t="n">
        <x:v>0</x:v>
      </x:c>
      <x:c r="M559" s="7" t="n">
        <x:f>IF('01_Ustawienia'!$B$4="ZWOLNIONY",0,'01_Ustawienia'!$B$7)</x:f>
        <x:v>0.08</x:v>
      </x:c>
      <x:c r="N559" s="8" t="n">
        <x:f>IF(J559="","",ROUND((J559+K559)*(1+M559),0))</x:f>
        <x:v>853</x:v>
      </x:c>
      <x:c r="O559" s="8" t="n">
        <x:f>IF(J559="","",J559+K559-H559-L559)</x:f>
        <x:v>245</x:v>
      </x:c>
      <x:c r="P559" s="7" t="n">
        <x:f>IFERROR(O559/(J559+K559),"")</x:f>
        <x:v>0.310126582278481</x:v>
      </x:c>
      <x:c r="Q559" s="6" t="inlineStr">
        <x:is>
          <x:t xml:space="preserve">RAW_ZP D/E</x:t>
        </x:is>
      </x:c>
      <x:c r="R559" s="6" t="inlineStr">
        <x:is>
          <x:t xml:space="preserve">POKRYCIE DACHU</x:t>
        </x:is>
      </x:c>
      <x:c r="S559" s="6" t="inlineStr">
        <x:is>
          <x:t xml:space="preserve">website+crm</x:t>
        </x:is>
      </x:c>
      <x:c r="T559" s="6" t="inlineStr">
        <x:is>
          <x:t xml:space="preserve">FIX17: Wynagr.+koszty = 0 dla dopłaty; nie jest osobnym montażem ekipy.</x:t>
        </x:is>
      </x:c>
    </x:row>
    <x:row r="560" s="655" customFormat="1" ht="30" customHeight="1">
      <x:c r="A560" s="6" t="inlineStr">
        <x:is>
          <x:t xml:space="preserve">400 x 1206 cm</x:t>
        </x:is>
      </x:c>
      <x:c r="B560" s="6" t="inlineStr">
        <x:is>
          <x:t xml:space="preserve">SBB</x:t>
        </x:is>
      </x:c>
      <x:c r="C560" s="6" t="inlineStr">
        <x:is>
          <x:t xml:space="preserve">Dopłata szkło boczne przyciemniane</x:t>
        </x:is>
      </x:c>
      <x:c r="D560" s="6" t="inlineStr">
        <x:is>
          <x:t xml:space="preserve">SZKŁO BOCZNE BARWIONE</x:t>
        </x:is>
      </x:c>
      <x:c r="E560" s="8" t="n">
        <x:f>IFERROR(INDEX('02_RAW_INDEX'!$AB:$AB,MATCH($A560,'02_RAW_INDEX'!$A:$A,0)),"")</x:f>
        <x:v>1951</x:v>
      </x:c>
      <x:c r="F560" s="8" t="n">
        <x:f>IFERROR(INDEX('02_RAW_INDEX'!$AA:$AA,MATCH($A560,'02_RAW_INDEX'!$A:$A,0)),"")</x:f>
        <x:v>2400</x:v>
      </x:c>
      <x:c r="G560" s="7" t="n">
        <x:f>'01_Ustawienia'!$B$6</x:f>
        <x:v>0</x:v>
      </x:c>
      <x:c r="H560" s="8" t="n">
        <x:f>IF(E560="","",ROUND(IF('01_Ustawienia'!$B$5="BRUTTO",F560,E560)*(1-G560),0))</x:f>
        <x:v>1951</x:v>
      </x:c>
      <x:c r="I560" s="7" t="n">
        <x:f>IFERROR(IFERROR(INDEX('01_Ustawienia'!$B$15:$B$33,MATCH(B560,'01_Ustawienia'!$A$15:$A$33,0)),0.45),0.45)</x:f>
        <x:v>0.45</x:v>
      </x:c>
      <x:c r="J560" s="8" t="n">
        <x:f>IF(H560="","",ROUND(H560*(1+I560),0))</x:f>
        <x:v>2829</x:v>
      </x:c>
      <x:c r="K560" s="8" t="n">
        <x:f>0</x:f>
        <x:v>0</x:v>
      </x:c>
      <x:c r="L560" s="8" t="n">
        <x:v>0</x:v>
      </x:c>
      <x:c r="M560" s="7" t="n">
        <x:f>IF('01_Ustawienia'!$B$4="ZWOLNIONY",0,'01_Ustawienia'!$B$7)</x:f>
        <x:v>0.08</x:v>
      </x:c>
      <x:c r="N560" s="8" t="n">
        <x:f>IF(J560="","",ROUND((J560+K560)*(1+M560),0))</x:f>
        <x:v>3055</x:v>
      </x:c>
      <x:c r="O560" s="8" t="n">
        <x:f>IF(J560="","",J560+K560-H560-L560)</x:f>
        <x:v>878</x:v>
      </x:c>
      <x:c r="P560" s="7" t="n">
        <x:f>IFERROR(O560/(J560+K560),"")</x:f>
        <x:v>0.3103570166136444</x:v>
      </x:c>
      <x:c r="Q560" s="6" t="inlineStr">
        <x:is>
          <x:t xml:space="preserve">RAW_OP H/I</x:t>
        </x:is>
      </x:c>
      <x:c r="R560" s="6" t="inlineStr">
        <x:is>
          <x:t xml:space="preserve">SZYBY BOCZNE</x:t>
        </x:is>
      </x:c>
      <x:c r="S560" s="6" t="inlineStr">
        <x:is>
          <x:t xml:space="preserve">website+crm</x:t>
        </x:is>
      </x:c>
      <x:c r="T560" s="6" t="inlineStr">
        <x:is>
          <x:t xml:space="preserve">Dodawane do ścian przezroczystych | FIX17: Wynagr.+koszty = 0 dla dopłaty; nie jest osobnym montażem ekipy.</x:t>
        </x:is>
      </x:c>
    </x:row>
    <x:row r="561">
      <x:c r="A561" s="6" t="inlineStr">
        <x:is>
          <x:t xml:space="preserve">400 x 1206 cm</x:t>
        </x:is>
      </x:c>
      <x:c r="B561" s="6" t="inlineStr">
        <x:is>
          <x:t xml:space="preserve">RB</x:t>
        </x:is>
      </x:c>
      <x:c r="C561" s="6" t="inlineStr">
        <x:is>
          <x:t xml:space="preserve">Roleta boczna ZIP</x:t>
        </x:is>
      </x:c>
      <x:c r="D561" s="6" t="inlineStr">
        <x:is>
          <x:t xml:space="preserve">ROLETA BOCZNA</x:t>
        </x:is>
      </x:c>
      <x:c r="E561" s="8" t="n">
        <x:f>IFERROR(INDEX('02_RAW_INDEX'!$J:$J,MATCH($A561,'02_RAW_INDEX'!$A:$A,0)),"")</x:f>
        <x:v>2146</x:v>
      </x:c>
      <x:c r="F561" s="8" t="n">
        <x:f>IFERROR(INDEX('02_RAW_INDEX'!$I:$I,MATCH($A561,'02_RAW_INDEX'!$A:$A,0)),"")</x:f>
        <x:v>2640</x:v>
      </x:c>
      <x:c r="G561" s="7" t="n">
        <x:f>'01_Ustawienia'!$B$6</x:f>
        <x:v>0</x:v>
      </x:c>
      <x:c r="H561" s="8" t="n">
        <x:f>IF(E561="","",ROUND(IF('01_Ustawienia'!$B$5="BRUTTO",F561,E561)*(1-G561),0))</x:f>
        <x:v>2146</x:v>
      </x:c>
      <x:c r="I561" s="7" t="n">
        <x:f>IFERROR(IFERROR(INDEX('01_Ustawienia'!$B$15:$B$33,MATCH(B561,'01_Ustawienia'!$A$15:$A$33,0)),0.45),0.45)</x:f>
        <x:v>0.45</x:v>
      </x:c>
      <x:c r="J561" s="8" t="n">
        <x:f>IF(H561="","",ROUND(H561*(1+I561),0))</x:f>
        <x:v>3112</x:v>
      </x:c>
      <x:c r="K561" s="8" t="n">
        <x:f>0</x:f>
        <x:v>0</x:v>
      </x:c>
      <x:c r="L561" s="8" t="n">
        <x:f>IFERROR(IFERROR(INDEX(EG_Cennik_uslug!$AC:$AC,MATCH($A561,EG_Cennik_uslug!$A:$A,0)),0),0)</x:f>
        <x:v>150</x:v>
      </x:c>
      <x:c r="M561" s="7" t="n">
        <x:f>IF('01_Ustawienia'!$B$4="ZWOLNIONY",0,'01_Ustawienia'!$B$7)</x:f>
        <x:v>0.08</x:v>
      </x:c>
      <x:c r="N561" s="8" t="n">
        <x:f>IF(J561="","",ROUND((J561+K561)*(1+M561),0))</x:f>
        <x:v>3361</x:v>
      </x:c>
      <x:c r="O561" s="8" t="n">
        <x:f>IF(J561="","",J561+K561-H561-L561)</x:f>
        <x:v>816</x:v>
      </x:c>
      <x:c r="P561" s="7" t="n">
        <x:f>IFERROR(O561/(J561+K561),"")</x:f>
        <x:v>0.2622107969151671</x:v>
      </x:c>
      <x:c r="Q561" s="6" t="inlineStr">
        <x:is>
          <x:t xml:space="preserve">RAW_ZP J/K</x:t>
        </x:is>
      </x:c>
      <x:c r="R561" s="6" t="inlineStr">
        <x:is>
          <x:t xml:space="preserve">ROLETY BOCZNE</x:t>
        </x:is>
      </x:c>
      <x:c r="S561" s="6" t="inlineStr">
        <x:is>
          <x:t xml:space="preserve">website+crm</x:t>
        </x:is>
      </x:c>
      <x:c r="T561" s="6" t="inlineStr">
        <x:is>
          <x:t xml:space="preserve">Używana dla lewej i prawej</x:t>
        </x:is>
      </x:c>
    </x:row>
    <x:row r="562">
      <x:c r="A562" s="6" t="inlineStr">
        <x:is>
          <x:t xml:space="preserve">400 x 1206 cm</x:t>
        </x:is>
      </x:c>
      <x:c r="B562" s="6" t="inlineStr">
        <x:is>
          <x:t xml:space="preserve">RP</x:t>
        </x:is>
      </x:c>
      <x:c r="C562" s="6" t="inlineStr">
        <x:is>
          <x:t xml:space="preserve">Roleta przednia ZIP</x:t>
        </x:is>
      </x:c>
      <x:c r="D562" s="6" t="inlineStr">
        <x:is>
          <x:t xml:space="preserve">ROLETA PRZÓD</x:t>
        </x:is>
      </x:c>
      <x:c r="E562" s="8" t="n">
        <x:f>IFERROR(INDEX('02_RAW_INDEX'!$L:$L,MATCH($A562,'02_RAW_INDEX'!$A:$A,0)),"")</x:f>
        <x:v>6439</x:v>
      </x:c>
      <x:c r="F562" s="8" t="n">
        <x:f>IFERROR(INDEX('02_RAW_INDEX'!$K:$K,MATCH($A562,'02_RAW_INDEX'!$A:$A,0)),"")</x:f>
        <x:v>7920</x:v>
      </x:c>
      <x:c r="G562" s="7" t="n">
        <x:f>'01_Ustawienia'!$B$6</x:f>
        <x:v>0</x:v>
      </x:c>
      <x:c r="H562" s="8" t="n">
        <x:f>IF(E562="","",ROUND(IF('01_Ustawienia'!$B$5="BRUTTO",F562,E562)*(1-G562),0))</x:f>
        <x:v>6439</x:v>
      </x:c>
      <x:c r="I562" s="7" t="n">
        <x:f>IFERROR(IFERROR(INDEX('01_Ustawienia'!$B$15:$B$33,MATCH(B562,'01_Ustawienia'!$A$15:$A$33,0)),0.45),0.45)</x:f>
        <x:v>0.45</x:v>
      </x:c>
      <x:c r="J562" s="8" t="n">
        <x:f>IF(H562="","",ROUND(H562*(1+I562),0))</x:f>
        <x:v>9337</x:v>
      </x:c>
      <x:c r="K562" s="8" t="n">
        <x:f>0</x:f>
        <x:v>0</x:v>
      </x:c>
      <x:c r="L562" s="8" t="n">
        <x:f>IFERROR(IFERROR(INDEX(EG_Cennik_uslug!$AJ:$AJ,MATCH($A562,EG_Cennik_uslug!$A:$A,0)),0),0)</x:f>
        <x:v>450</x:v>
      </x:c>
      <x:c r="M562" s="7" t="n">
        <x:f>IF('01_Ustawienia'!$B$4="ZWOLNIONY",0,'01_Ustawienia'!$B$7)</x:f>
        <x:v>0.08</x:v>
      </x:c>
      <x:c r="N562" s="8" t="n">
        <x:f>IF(J562="","",ROUND((J562+K562)*(1+M562),0))</x:f>
        <x:v>10084</x:v>
      </x:c>
      <x:c r="O562" s="8" t="n">
        <x:f>IF(J562="","",J562+K562-H562-L562)</x:f>
        <x:v>2448</x:v>
      </x:c>
      <x:c r="P562" s="7" t="n">
        <x:f>IFERROR(O562/(J562+K562),"")</x:f>
        <x:v>0.2621827139338117</x:v>
      </x:c>
      <x:c r="Q562" s="6" t="inlineStr">
        <x:is>
          <x:t xml:space="preserve">RAW_ZP N/O</x:t>
        </x:is>
      </x:c>
      <x:c r="R562" s="6" t="inlineStr">
        <x:is>
          <x:t xml:space="preserve">ROLETY BOCZNE</x:t>
        </x:is>
      </x:c>
      <x:c r="S562" s="6" t="inlineStr">
        <x:is>
          <x:t xml:space="preserve">website+crm</x:t>
        </x:is>
      </x:c>
      <x:c r="T562" s="6" t="n"/>
    </x:row>
    <x:row r="563">
      <x:c r="A563" s="6" t="inlineStr">
        <x:is>
          <x:t xml:space="preserve">400 x 1206 cm</x:t>
        </x:is>
      </x:c>
      <x:c r="B563" s="6" t="inlineStr">
        <x:is>
          <x:t xml:space="preserve">M</x:t>
        </x:is>
      </x:c>
      <x:c r="C563" s="6" t="inlineStr">
        <x:is>
          <x:t xml:space="preserve">Markiza dachowa</x:t>
        </x:is>
      </x:c>
      <x:c r="D563" s="6" t="inlineStr">
        <x:is>
          <x:t xml:space="preserve">MARKIZA</x:t>
        </x:is>
      </x:c>
      <x:c r="E563" s="8" t="n">
        <x:f>IFERROR(INDEX('02_RAW_INDEX'!$H:$H,MATCH($A563,'02_RAW_INDEX'!$A:$A,0)),"")</x:f>
        <x:v>11366</x:v>
      </x:c>
      <x:c r="F563" s="8" t="n">
        <x:f>IFERROR(INDEX('02_RAW_INDEX'!$G:$G,MATCH($A563,'02_RAW_INDEX'!$A:$A,0)),"")</x:f>
        <x:v>13980</x:v>
      </x:c>
      <x:c r="G563" s="7" t="n">
        <x:f>'01_Ustawienia'!$B$6</x:f>
        <x:v>0</x:v>
      </x:c>
      <x:c r="H563" s="8" t="n">
        <x:f>IF(E563="","",ROUND(IF('01_Ustawienia'!$B$5="BRUTTO",F563,E563)*(1-G563),0))</x:f>
        <x:v>11366</x:v>
      </x:c>
      <x:c r="I563" s="7" t="n">
        <x:f>IFERROR(IFERROR(INDEX('01_Ustawienia'!$B$15:$B$33,MATCH(B563,'01_Ustawienia'!$A$15:$A$33,0)),0.45),0.45)</x:f>
        <x:v>0.45</x:v>
      </x:c>
      <x:c r="J563" s="8" t="n">
        <x:f>IF(H563="","",ROUND(H563*(1+I563),0))</x:f>
        <x:v>16481</x:v>
      </x:c>
      <x:c r="K563" s="8" t="n">
        <x:f>0</x:f>
        <x:v>0</x:v>
      </x:c>
      <x:c r="L563" s="8" t="n">
        <x:f>IFERROR(IFERROR(INDEX(EG_Cennik_uslug!$AQ:$AQ,MATCH($A563,EG_Cennik_uslug!$A:$A,0)),0),0)</x:f>
        <x:v>700</x:v>
      </x:c>
      <x:c r="M563" s="7" t="n">
        <x:f>IF('01_Ustawienia'!$B$4="ZWOLNIONY",0,'01_Ustawienia'!$B$7)</x:f>
        <x:v>0.08</x:v>
      </x:c>
      <x:c r="N563" s="8" t="n">
        <x:f>IF(J563="","",ROUND((J563+K563)*(1+M563),0))</x:f>
        <x:v>17799</x:v>
      </x:c>
      <x:c r="O563" s="8" t="n">
        <x:f>IF(J563="","",J563+K563-H563-L563)</x:f>
        <x:v>4415</x:v>
      </x:c>
      <x:c r="P563" s="7" t="n">
        <x:f>IFERROR(O563/(J563+K563),"")</x:f>
        <x:v>0.26788423032582975</x:v>
      </x:c>
      <x:c r="Q563" s="6" t="inlineStr">
        <x:is>
          <x:t xml:space="preserve">RAW_ZP H/I</x:t>
        </x:is>
      </x:c>
      <x:c r="R563" s="6" t="inlineStr">
        <x:is>
          <x:t xml:space="preserve">MARKIZA</x:t>
        </x:is>
      </x:c>
      <x:c r="S563" s="6" t="inlineStr">
        <x:is>
          <x:t xml:space="preserve">website+crm</x:t>
        </x:is>
      </x:c>
      <x:c r="T563" s="6" t="n"/>
    </x:row>
    <x:row r="564">
      <x:c r="A564" s="6" t="inlineStr">
        <x:is>
          <x:t xml:space="preserve">400 x 1206 cm</x:t>
        </x:is>
      </x:c>
      <x:c r="B564" s="6" t="inlineStr">
        <x:is>
          <x:t xml:space="preserve">PDWP</x:t>
        </x:is>
      </x:c>
      <x:c r="C564" s="6" t="inlineStr">
        <x:is>
          <x:t xml:space="preserve">Fundament/profile</x:t>
        </x:is>
      </x:c>
      <x:c r="D564" s="6" t="inlineStr">
        <x:is>
          <x:t xml:space="preserve">FUNDAMENT / PROFILE</x:t>
        </x:is>
      </x:c>
      <x:c r="E564" s="8" t="n">
        <x:f>IFERROR(INDEX('02_RAW_INDEX'!$AH:$AH,MATCH($A564,'02_RAW_INDEX'!$A:$A,0)),"")</x:f>
        <x:v>1772</x:v>
      </x:c>
      <x:c r="F564" s="8" t="n">
        <x:f>IFERROR(INDEX('02_RAW_INDEX'!$AG:$AG,MATCH($A564,'02_RAW_INDEX'!$A:$A,0)),"")</x:f>
        <x:v>2180</x:v>
      </x:c>
      <x:c r="G564" s="7" t="n">
        <x:f>'01_Ustawienia'!$B$6</x:f>
        <x:v>0</x:v>
      </x:c>
      <x:c r="H564" s="8" t="n">
        <x:f>IF(E564="","",ROUND(IF('01_Ustawienia'!$B$5="BRUTTO",F564,E564)*(1-G564),0))</x:f>
        <x:v>1772</x:v>
      </x:c>
      <x:c r="I564" s="7" t="n">
        <x:f>IFERROR(IFERROR(INDEX('01_Ustawienia'!$B$15:$B$33,MATCH(B564,'01_Ustawienia'!$A$15:$A$33,0)),0.45),0.45)</x:f>
        <x:v>1.2</x:v>
      </x:c>
      <x:c r="J564" s="8" t="n">
        <x:f>IF(H564="","",ROUND(H564*(1+I564),0))</x:f>
        <x:v>3898</x:v>
      </x:c>
      <x:c r="K564" s="8" t="n">
        <x:f>0</x:f>
        <x:v>0</x:v>
      </x:c>
      <x:c r="L564" s="8" t="n">
        <x:f>IFERROR(IFERROR(INDEX(EG_Cennik_uslug!$BT:$BT,MATCH($A564,EG_Cennik_uslug!$A:$A,0)),0),0)</x:f>
        <x:v>640</x:v>
      </x:c>
      <x:c r="M564" s="7" t="n">
        <x:f>IF('01_Ustawienia'!$B$4="ZWOLNIONY",0,'01_Ustawienia'!$B$7)</x:f>
        <x:v>0.08</x:v>
      </x:c>
      <x:c r="N564" s="8" t="n">
        <x:f>IF(J564="","",ROUND((J564+K564)*(1+M564),0))</x:f>
        <x:v>4210</x:v>
      </x:c>
      <x:c r="O564" s="8" t="n">
        <x:f>IF(J564="","",J564+K564-H564-L564)</x:f>
        <x:v>1486</x:v>
      </x:c>
      <x:c r="P564" s="7" t="n">
        <x:f>IFERROR(O564/(J564+K564),"")</x:f>
        <x:v>0.38122113904566446</x:v>
      </x:c>
      <x:c r="Q564" s="6" t="inlineStr">
        <x:is>
          <x:t xml:space="preserve">RAW_OP AB/AC</x:t>
        </x:is>
      </x:c>
      <x:c r="R564" s="6" t="inlineStr">
        <x:is>
          <x:t xml:space="preserve">FUNDAMENT (PROFILE)</x:t>
        </x:is>
      </x:c>
      <x:c r="S564" s="6" t="inlineStr">
        <x:is>
          <x:t xml:space="preserve">website+crm</x:t>
        </x:is>
      </x:c>
      <x:c r="T564" s="6" t="n"/>
    </x:row>
    <x:row r="565" s="655" customFormat="1" ht="30" customHeight="1">
      <x:c r="A565" s="6" t="inlineStr">
        <x:is>
          <x:t xml:space="preserve">400 x 1206 cm</x:t>
        </x:is>
      </x:c>
      <x:c r="B565" s="6" t="inlineStr">
        <x:is>
          <x:t xml:space="preserve">ZAB</x:t>
        </x:is>
      </x:c>
      <x:c r="C565" s="6" t="inlineStr">
        <x:is>
          <x:t xml:space="preserve">Zabieraki do ścian przesuwnych</x:t>
        </x:is>
      </x:c>
      <x:c r="D565" s="6" t="inlineStr">
        <x:is>
          <x:t xml:space="preserve">DODATKI</x:t>
        </x:is>
      </x:c>
      <x:c r="E565" s="8" t="n">
        <x:f>IFERROR(INDEX('02_RAW_INDEX'!$AJ:$AJ,MATCH($A565,'02_RAW_INDEX'!$A:$A,0)),"")</x:f>
        <x:v>488</x:v>
      </x:c>
      <x:c r="F565" s="8" t="n">
        <x:f>IFERROR(INDEX('02_RAW_INDEX'!$AI:$AI,MATCH($A565,'02_RAW_INDEX'!$A:$A,0)),"")</x:f>
        <x:v>600</x:v>
      </x:c>
      <x:c r="G565" s="7" t="n">
        <x:f>'01_Ustawienia'!$B$6</x:f>
        <x:v>0</x:v>
      </x:c>
      <x:c r="H565" s="8" t="n">
        <x:f>IF(E565="","",ROUND(IF('01_Ustawienia'!$B$5="BRUTTO",F565,E565)*(1-G565),0))</x:f>
        <x:v>488</x:v>
      </x:c>
      <x:c r="I565" s="7" t="n">
        <x:f>IFERROR(IFERROR(INDEX('01_Ustawienia'!$B$15:$B$33,MATCH(B565,'01_Ustawienia'!$A$15:$A$33,0)),0.45),0.45)</x:f>
        <x:v>0.45</x:v>
      </x:c>
      <x:c r="J565" s="8" t="n">
        <x:f>IF(H565="","",ROUND(H565*(1+I565),0))</x:f>
        <x:v>708</x:v>
      </x:c>
      <x:c r="K565" s="8" t="n">
        <x:f>0</x:f>
        <x:v>0</x:v>
      </x:c>
      <x:c r="L565" s="8" t="n">
        <x:f>0</x:f>
        <x:v>0</x:v>
      </x:c>
      <x:c r="M565" s="7" t="n">
        <x:f>IF('01_Ustawienia'!$B$4="ZWOLNIONY",0,'01_Ustawienia'!$B$7)</x:f>
        <x:v>0.08</x:v>
      </x:c>
      <x:c r="N565" s="8" t="n">
        <x:f>IF(J565="","",ROUND((J565+K565)*(1+M565),0))</x:f>
        <x:v>765</x:v>
      </x:c>
      <x:c r="O565" s="8" t="n">
        <x:f>IF(J565="","",J565+K565-H565-L565)</x:f>
        <x:v>220</x:v>
      </x:c>
      <x:c r="P565" s="7" t="n">
        <x:f>IFERROR(O565/(J565+K565),"")</x:f>
        <x:v>0.3107344632768362</x:v>
      </x:c>
      <x:c r="Q565" s="6" t="inlineStr">
        <x:is>
          <x:t xml:space="preserve">RAW_OP AD/AE</x:t>
        </x:is>
      </x:c>
      <x:c r="R565" s="6" t="inlineStr">
        <x:is>
          <x:t xml:space="preserve">DODATKI</x:t>
        </x:is>
      </x:c>
      <x:c r="S565" s="6" t="inlineStr">
        <x:is>
          <x:t xml:space="preserve">crm_only</x:t>
        </x:is>
      </x:c>
      <x:c r="T565" s="6" t="n"/>
    </x:row>
    <x:row r="566">
      <x:c r="A566" s="6" t="inlineStr">
        <x:is>
          <x:t xml:space="preserve">400 x 1206 cm</x:t>
        </x:is>
      </x:c>
      <x:c r="B566" s="6" t="inlineStr">
        <x:is>
          <x:t xml:space="preserve">S</x:t>
        </x:is>
      </x:c>
      <x:c r="C566" s="6" t="inlineStr">
        <x:is>
          <x:t xml:space="preserve">Szczotki przeciwkurzowe</x:t>
        </x:is>
      </x:c>
      <x:c r="D566" s="6" t="inlineStr">
        <x:is>
          <x:t xml:space="preserve">SZCZOTKI</x:t>
        </x:is>
      </x:c>
      <x:c r="E566" s="8" t="n">
        <x:f>IFERROR(INDEX('02_RAW_INDEX'!$AD:$AD,MATCH($A566,'02_RAW_INDEX'!$A:$A,0)),"")</x:f>
        <x:v>618</x:v>
      </x:c>
      <x:c r="F566" s="8" t="n">
        <x:f>IFERROR(INDEX('02_RAW_INDEX'!$AC:$AC,MATCH($A566,'02_RAW_INDEX'!$A:$A,0)),"")</x:f>
        <x:v>760</x:v>
      </x:c>
      <x:c r="G566" s="7" t="n">
        <x:f>'01_Ustawienia'!$B$6</x:f>
        <x:v>0</x:v>
      </x:c>
      <x:c r="H566" s="8" t="n">
        <x:f>IF(E566="","",ROUND(IF('01_Ustawienia'!$B$5="BRUTTO",F566,E566)*(1-G566),0))</x:f>
        <x:v>618</x:v>
      </x:c>
      <x:c r="I566" s="7" t="n">
        <x:f>IFERROR(IFERROR(INDEX('01_Ustawienia'!$B$15:$B$33,MATCH(B566,'01_Ustawienia'!$A$15:$A$33,0)),0.45),0.45)</x:f>
        <x:v>0.45</x:v>
      </x:c>
      <x:c r="J566" s="8" t="n">
        <x:f>IF(H566="","",ROUND(H566*(1+I566),0))</x:f>
        <x:v>896</x:v>
      </x:c>
      <x:c r="K566" s="8" t="n">
        <x:f>0</x:f>
        <x:v>0</x:v>
      </x:c>
      <x:c r="L566" s="8" t="n">
        <x:f>IFERROR(IFERROR(INDEX(EG_Cennik_uslug!$CA:$CA,MATCH($A566,EG_Cennik_uslug!$A:$A,0)),0),0)</x:f>
        <x:v>0</x:v>
      </x:c>
      <x:c r="M566" s="7" t="n">
        <x:f>IF('01_Ustawienia'!$B$4="ZWOLNIONY",0,'01_Ustawienia'!$B$7)</x:f>
        <x:v>0.08</x:v>
      </x:c>
      <x:c r="N566" s="8" t="n">
        <x:f>IF(J566="","",ROUND((J566+K566)*(1+M566),0))</x:f>
        <x:v>968</x:v>
      </x:c>
      <x:c r="O566" s="8" t="n">
        <x:f>IF(J566="","",J566+K566-H566-L566)</x:f>
        <x:v>278</x:v>
      </x:c>
      <x:c r="P566" s="7" t="n">
        <x:f>IFERROR(O566/(J566+K566),"")</x:f>
        <x:v>0.31026785714285715</x:v>
      </x:c>
      <x:c r="Q566" s="6" t="inlineStr">
        <x:is>
          <x:t xml:space="preserve">RAW_OP L/M</x:t>
        </x:is>
      </x:c>
      <x:c r="R566" s="6" t="inlineStr">
        <x:is>
          <x:t xml:space="preserve">DODATKI</x:t>
        </x:is>
      </x:c>
      <x:c r="S566" s="6" t="inlineStr">
        <x:is>
          <x:t xml:space="preserve">website+crm</x:t>
        </x:is>
      </x:c>
      <x:c r="T566" s="6" t="n"/>
    </x:row>
    <x:row r="567">
      <x:c r="A567" s="6" t="inlineStr">
        <x:is>
          <x:t xml:space="preserve">400 x 1206 cm</x:t>
        </x:is>
      </x:c>
      <x:c r="B567" s="6" t="inlineStr">
        <x:is>
          <x:t xml:space="preserve">U</x:t>
        </x:is>
      </x:c>
      <x:c r="C567" s="6" t="inlineStr">
        <x:is>
          <x:t xml:space="preserve">Uchwyty na szkło ścienne</x:t>
        </x:is>
      </x:c>
      <x:c r="D567" s="6" t="inlineStr">
        <x:is>
          <x:t xml:space="preserve">UCHWYTY</x:t>
        </x:is>
      </x:c>
      <x:c r="E567" s="8" t="n">
        <x:f>IFERROR(INDEX('02_RAW_INDEX'!$AF:$AF,MATCH($A567,'02_RAW_INDEX'!$A:$A,0)),"")</x:f>
        <x:v>561</x:v>
      </x:c>
      <x:c r="F567" s="8" t="n">
        <x:f>IFERROR(INDEX('02_RAW_INDEX'!$AE:$AE,MATCH($A567,'02_RAW_INDEX'!$A:$A,0)),"")</x:f>
        <x:v>690</x:v>
      </x:c>
      <x:c r="G567" s="7" t="n">
        <x:f>'01_Ustawienia'!$B$6</x:f>
        <x:v>0</x:v>
      </x:c>
      <x:c r="H567" s="8" t="n">
        <x:f>IF(E567="","",ROUND(IF('01_Ustawienia'!$B$5="BRUTTO",F567,E567)*(1-G567),0))</x:f>
        <x:v>561</x:v>
      </x:c>
      <x:c r="I567" s="7" t="n">
        <x:f>IFERROR(IFERROR(INDEX('01_Ustawienia'!$B$15:$B$33,MATCH(B567,'01_Ustawienia'!$A$15:$A$33,0)),0.45),0.45)</x:f>
        <x:v>0.45</x:v>
      </x:c>
      <x:c r="J567" s="8" t="n">
        <x:f>IF(H567="","",ROUND(H567*(1+I567),0))</x:f>
        <x:v>813</x:v>
      </x:c>
      <x:c r="K567" s="8" t="n">
        <x:f>0</x:f>
        <x:v>0</x:v>
      </x:c>
      <x:c r="L567" s="8" t="n">
        <x:f>IFERROR(IFERROR(INDEX(EG_Cennik_uslug!$CH:$CH,MATCH($A567,EG_Cennik_uslug!$A:$A,0)),0),0)</x:f>
        <x:v>0</x:v>
      </x:c>
      <x:c r="M567" s="7" t="n">
        <x:f>IF('01_Ustawienia'!$B$4="ZWOLNIONY",0,'01_Ustawienia'!$B$7)</x:f>
        <x:v>0.08</x:v>
      </x:c>
      <x:c r="N567" s="8" t="n">
        <x:f>IF(J567="","",ROUND((J567+K567)*(1+M567),0))</x:f>
        <x:v>878</x:v>
      </x:c>
      <x:c r="O567" s="8" t="n">
        <x:f>IF(J567="","",J567+K567-H567-L567)</x:f>
        <x:v>252</x:v>
      </x:c>
      <x:c r="P567" s="7" t="n">
        <x:f>IFERROR(O567/(J567+K567),"")</x:f>
        <x:v>0.30996309963099633</x:v>
      </x:c>
      <x:c r="Q567" s="6" t="inlineStr">
        <x:is>
          <x:t xml:space="preserve">RAW_OP N/O</x:t>
        </x:is>
      </x:c>
      <x:c r="R567" s="6" t="inlineStr">
        <x:is>
          <x:t xml:space="preserve">DODATKI</x:t>
        </x:is>
      </x:c>
      <x:c r="S567" s="6" t="inlineStr">
        <x:is>
          <x:t xml:space="preserve">website+crm</x:t>
        </x:is>
      </x:c>
      <x:c r="T567" s="6" t="n"/>
    </x:row>
    <x:row r="568">
      <x:c r="A568" s="6" t="inlineStr">
        <x:is>
          <x:t xml:space="preserve">400 x 1206 cm</x:t>
        </x:is>
      </x:c>
      <x:c r="B568" s="6" t="inlineStr">
        <x:is>
          <x:t xml:space="preserve">LED2</x:t>
        </x:is>
      </x:c>
      <x:c r="C568" s="6" t="inlineStr">
        <x:is>
          <x:t xml:space="preserve">Oświetlenie LED 2 punkty</x:t>
        </x:is>
      </x:c>
      <x:c r="D568" s="6" t="inlineStr">
        <x:is>
          <x:t xml:space="preserve">LED 2 PKT</x:t>
        </x:is>
      </x:c>
      <x:c r="E568" s="8" t="n">
        <x:f>IFERROR(INDEX('02_RAW_INDEX'!$N:$N,MATCH($A568,'02_RAW_INDEX'!$A:$A,0)),"")</x:f>
        <x:v>1228</x:v>
      </x:c>
      <x:c r="F568" s="8" t="n">
        <x:f>IFERROR(INDEX('02_RAW_INDEX'!$M:$M,MATCH($A568,'02_RAW_INDEX'!$A:$A,0)),"")</x:f>
        <x:v>1510</x:v>
      </x:c>
      <x:c r="G568" s="7" t="n">
        <x:f>'01_Ustawienia'!$B$6</x:f>
        <x:v>0</x:v>
      </x:c>
      <x:c r="H568" s="8" t="n">
        <x:f>IF(E568="","",ROUND(IF('01_Ustawienia'!$B$5="BRUTTO",F568,E568)*(1-G568),0))</x:f>
        <x:v>1228</x:v>
      </x:c>
      <x:c r="I568" s="7" t="n">
        <x:f>IFERROR(IFERROR(INDEX('01_Ustawienia'!$B$15:$B$33,MATCH(B568,'01_Ustawienia'!$A$15:$A$33,0)),0.45),0.45)</x:f>
        <x:v>0.45</x:v>
      </x:c>
      <x:c r="J568" s="8" t="n">
        <x:f>IF(H568="","",ROUND(H568*(1+I568),0))</x:f>
        <x:v>1781</x:v>
      </x:c>
      <x:c r="K568" s="8" t="n">
        <x:f>0</x:f>
        <x:v>0</x:v>
      </x:c>
      <x:c r="L568" s="8" t="n">
        <x:f>IFERROR(IFERROR(INDEX(EG_Cennik_uslug!$CO:$CO,MATCH($A568,EG_Cennik_uslug!$A:$A,0)),0),0)</x:f>
        <x:v>0</x:v>
      </x:c>
      <x:c r="M568" s="7" t="n">
        <x:f>IF('01_Ustawienia'!$B$4="ZWOLNIONY",0,'01_Ustawienia'!$B$7)</x:f>
        <x:v>0.08</x:v>
      </x:c>
      <x:c r="N568" s="8" t="n">
        <x:f>IF(J568="","",ROUND((J568+K568)*(1+M568),0))</x:f>
        <x:v>1923</x:v>
      </x:c>
      <x:c r="O568" s="8" t="n">
        <x:f>IF(J568="","",J568+K568-H568-L568)</x:f>
        <x:v>553</x:v>
      </x:c>
      <x:c r="P568" s="7" t="n">
        <x:f>IFERROR(O568/(J568+K568),"")</x:f>
        <x:v>0.31049971925884334</x:v>
      </x:c>
      <x:c r="Q568" s="6" t="inlineStr">
        <x:is>
          <x:t xml:space="preserve">RAW_ZP P/Q</x:t>
        </x:is>
      </x:c>
      <x:c r="R568" s="6" t="inlineStr">
        <x:is>
          <x:t xml:space="preserve">OŚWIETLENIE</x:t>
        </x:is>
      </x:c>
      <x:c r="S568" s="6" t="inlineStr">
        <x:is>
          <x:t xml:space="preserve">website+crm</x:t>
        </x:is>
      </x:c>
      <x:c r="T568" s="6" t="n"/>
    </x:row>
    <x:row r="569">
      <x:c r="A569" s="6" t="inlineStr">
        <x:is>
          <x:t xml:space="preserve">400 x 1206 cm</x:t>
        </x:is>
      </x:c>
      <x:c r="B569" s="6" t="inlineStr">
        <x:is>
          <x:t xml:space="preserve">LED3</x:t>
        </x:is>
      </x:c>
      <x:c r="C569" s="6" t="inlineStr">
        <x:is>
          <x:t xml:space="preserve">Oświetlenie LED 3 punkty</x:t>
        </x:is>
      </x:c>
      <x:c r="D569" s="6" t="inlineStr">
        <x:is>
          <x:t xml:space="preserve">LED 3 PKT</x:t>
        </x:is>
      </x:c>
      <x:c r="E569" s="8" t="n">
        <x:f>IFERROR(INDEX('02_RAW_INDEX'!$P:$P,MATCH($A569,'02_RAW_INDEX'!$A:$A,0)),"")</x:f>
        <x:v>1545</x:v>
      </x:c>
      <x:c r="F569" s="8" t="n">
        <x:f>IFERROR(INDEX('02_RAW_INDEX'!$O:$O,MATCH($A569,'02_RAW_INDEX'!$A:$A,0)),"")</x:f>
        <x:v>1900</x:v>
      </x:c>
      <x:c r="G569" s="7" t="n">
        <x:f>'01_Ustawienia'!$B$6</x:f>
        <x:v>0</x:v>
      </x:c>
      <x:c r="H569" s="8" t="n">
        <x:f>IF(E569="","",ROUND(IF('01_Ustawienia'!$B$5="BRUTTO",F569,E569)*(1-G569),0))</x:f>
        <x:v>1545</x:v>
      </x:c>
      <x:c r="I569" s="7" t="n">
        <x:f>IFERROR(IFERROR(INDEX('01_Ustawienia'!$B$15:$B$33,MATCH(B569,'01_Ustawienia'!$A$15:$A$33,0)),0.45),0.45)</x:f>
        <x:v>0.45</x:v>
      </x:c>
      <x:c r="J569" s="8" t="n">
        <x:f>IF(H569="","",ROUND(H569*(1+I569),0))</x:f>
        <x:v>2240</x:v>
      </x:c>
      <x:c r="K569" s="8" t="n">
        <x:f>0</x:f>
        <x:v>0</x:v>
      </x:c>
      <x:c r="L569" s="8" t="n">
        <x:f>IFERROR(IFERROR(INDEX(EG_Cennik_uslug!$CV:$CV,MATCH($A569,EG_Cennik_uslug!$A:$A,0)),0),0)</x:f>
        <x:v>0</x:v>
      </x:c>
      <x:c r="M569" s="7" t="n">
        <x:f>IF('01_Ustawienia'!$B$4="ZWOLNIONY",0,'01_Ustawienia'!$B$7)</x:f>
        <x:v>0.08</x:v>
      </x:c>
      <x:c r="N569" s="8" t="n">
        <x:f>IF(J569="","",ROUND((J569+K569)*(1+M569),0))</x:f>
        <x:v>2419</x:v>
      </x:c>
      <x:c r="O569" s="8" t="n">
        <x:f>IF(J569="","",J569+K569-H569-L569)</x:f>
        <x:v>695</x:v>
      </x:c>
      <x:c r="P569" s="7" t="n">
        <x:f>IFERROR(O569/(J569+K569),"")</x:f>
        <x:v>0.31026785714285715</x:v>
      </x:c>
      <x:c r="Q569" s="6" t="inlineStr">
        <x:is>
          <x:t xml:space="preserve">RAW_ZP R/S</x:t>
        </x:is>
      </x:c>
      <x:c r="R569" s="6" t="inlineStr">
        <x:is>
          <x:t xml:space="preserve">OŚWIETLENIE</x:t>
        </x:is>
      </x:c>
      <x:c r="S569" s="6" t="inlineStr">
        <x:is>
          <x:t xml:space="preserve">website+crm</x:t>
        </x:is>
      </x:c>
      <x:c r="T569" s="6" t="inlineStr">
        <x:is>
          <x:t xml:space="preserve">Nazwa do potwierdzenia</x:t>
        </x:is>
      </x:c>
    </x:row>
    <x:row r="570">
      <x:c r="A570" s="6" t="inlineStr">
        <x:is>
          <x:t xml:space="preserve">400 x 1206 cm</x:t>
        </x:is>
      </x:c>
      <x:c r="B570" s="6" t="inlineStr">
        <x:is>
          <x:t xml:space="preserve">LEDCCT</x:t>
        </x:is>
      </x:c>
      <x:c r="C570" s="6" t="inlineStr">
        <x:is>
          <x:t xml:space="preserve">Oświetlenie LED CCT</x:t>
        </x:is>
      </x:c>
      <x:c r="D570" s="6" t="inlineStr">
        <x:is>
          <x:t xml:space="preserve">OŚWIETLENIE</x:t>
        </x:is>
      </x:c>
      <x:c r="E570" s="8" t="n">
        <x:f>IFERROR(INDEX('02_RAW_INDEX'!$R:$R,MATCH($A570,'02_RAW_INDEX'!$A:$A,0)),"")</x:f>
        <x:v>2480</x:v>
      </x:c>
      <x:c r="F570" s="8" t="n">
        <x:f>IFERROR(INDEX('02_RAW_INDEX'!$Q:$Q,MATCH($A570,'02_RAW_INDEX'!$A:$A,0)),"")</x:f>
        <x:v>3050</x:v>
      </x:c>
      <x:c r="G570" s="7" t="n">
        <x:f>'01_Ustawienia'!$B$6</x:f>
        <x:v>0</x:v>
      </x:c>
      <x:c r="H570" s="8" t="n">
        <x:f>IF(E570="","",ROUND(IF('01_Ustawienia'!$B$5="BRUTTO",F570,E570)*(1-G570),0))</x:f>
        <x:v>2480</x:v>
      </x:c>
      <x:c r="I570" s="7" t="n">
        <x:f>IFERROR(IFERROR(INDEX('01_Ustawienia'!$B$15:$B$33,MATCH(B570,'01_Ustawienia'!$A$15:$A$33,0)),0.45),0.45)</x:f>
        <x:v>0.45</x:v>
      </x:c>
      <x:c r="J570" s="8" t="n">
        <x:f>IF(H570="","",ROUND(H570*(1+I570),0))</x:f>
        <x:v>3596</x:v>
      </x:c>
      <x:c r="K570" s="8" t="n">
        <x:f>0</x:f>
        <x:v>0</x:v>
      </x:c>
      <x:c r="L570" s="8" t="n">
        <x:f>0</x:f>
        <x:v>0</x:v>
      </x:c>
      <x:c r="M570" s="7" t="n">
        <x:f>IF('01_Ustawienia'!$B$4="ZWOLNIONY",0,'01_Ustawienia'!$B$7)</x:f>
        <x:v>0.08</x:v>
      </x:c>
      <x:c r="N570" s="8" t="n">
        <x:f>IF(J570="","",ROUND((J570+K570)*(1+M570),0))</x:f>
        <x:v>3884</x:v>
      </x:c>
      <x:c r="O570" s="8" t="n">
        <x:f>IF(J570="","",J570+K570-H570-L570)</x:f>
        <x:v>1116</x:v>
      </x:c>
      <x:c r="P570" s="7" t="n">
        <x:f>IFERROR(O570/(J570+K570),"")</x:f>
        <x:v>0.3103448275862069</x:v>
      </x:c>
      <x:c r="Q570" s="6" t="inlineStr">
        <x:is>
          <x:t xml:space="preserve">RAW_ZP T/U</x:t>
        </x:is>
      </x:c>
      <x:c r="R570" s="6" t="inlineStr">
        <x:is>
          <x:t xml:space="preserve">OŚWIETLENIE</x:t>
        </x:is>
      </x:c>
      <x:c r="S570" s="6" t="inlineStr">
        <x:is>
          <x:t xml:space="preserve">website+crm</x:t>
        </x:is>
      </x:c>
      <x:c r="T570" s="6" t="inlineStr">
        <x:is>
          <x:t xml:space="preserve">Opcja dodatkowa | FIX17: opcja LED dostępna dla strony; ceny 450-600 wg modelu FIX15.</x:t>
        </x:is>
      </x:c>
    </x:row>
    <x:row r="571">
      <x:c r="A571" s="6" t="inlineStr">
        <x:is>
          <x:t xml:space="preserve">400 x 1206 cm</x:t>
        </x:is>
      </x:c>
      <x:c r="B571" s="6" t="inlineStr">
        <x:is>
          <x:t xml:space="preserve">LEDRGBCCT</x:t>
        </x:is>
      </x:c>
      <x:c r="C571" s="6" t="inlineStr">
        <x:is>
          <x:t xml:space="preserve">Oświetlenie LED RGB CCT</x:t>
        </x:is>
      </x:c>
      <x:c r="D571" s="6" t="inlineStr">
        <x:is>
          <x:t xml:space="preserve">OŚWIETLENIE</x:t>
        </x:is>
      </x:c>
      <x:c r="E571" s="8" t="n">
        <x:f>IFERROR(INDEX('02_RAW_INDEX'!$T:$T,MATCH($A571,'02_RAW_INDEX'!$A:$A,0)),"")</x:f>
        <x:v>3770</x:v>
      </x:c>
      <x:c r="F571" s="8" t="n">
        <x:f>IFERROR(INDEX('02_RAW_INDEX'!$S:$S,MATCH($A571,'02_RAW_INDEX'!$A:$A,0)),"")</x:f>
        <x:v>4637</x:v>
      </x:c>
      <x:c r="G571" s="7" t="n">
        <x:f>'01_Ustawienia'!$B$6</x:f>
        <x:v>0</x:v>
      </x:c>
      <x:c r="H571" s="8" t="n">
        <x:f>IF(E571="","",ROUND(IF('01_Ustawienia'!$B$5="BRUTTO",F571,E571)*(1-G571),0))</x:f>
        <x:v>3770</x:v>
      </x:c>
      <x:c r="I571" s="7" t="n">
        <x:f>IFERROR(IFERROR(INDEX('01_Ustawienia'!$B$15:$B$33,MATCH(B571,'01_Ustawienia'!$A$15:$A$33,0)),0.45),0.45)</x:f>
        <x:v>0.45</x:v>
      </x:c>
      <x:c r="J571" s="8" t="n">
        <x:f>IF(H571="","",ROUND(H571*(1+I571),0))</x:f>
        <x:v>5467</x:v>
      </x:c>
      <x:c r="K571" s="8" t="n">
        <x:f>0</x:f>
        <x:v>0</x:v>
      </x:c>
      <x:c r="L571" s="8" t="n">
        <x:f>0</x:f>
        <x:v>0</x:v>
      </x:c>
      <x:c r="M571" s="7" t="n">
        <x:f>IF('01_Ustawienia'!$B$4="ZWOLNIONY",0,'01_Ustawienia'!$B$7)</x:f>
        <x:v>0.08</x:v>
      </x:c>
      <x:c r="N571" s="8" t="n">
        <x:f>IF(J571="","",ROUND((J571+K571)*(1+M571),0))</x:f>
        <x:v>5904</x:v>
      </x:c>
      <x:c r="O571" s="8" t="n">
        <x:f>IF(J571="","",J571+K571-H571-L571)</x:f>
        <x:v>1697</x:v>
      </x:c>
      <x:c r="P571" s="7" t="n">
        <x:f>IFERROR(O571/(J571+K571),"")</x:f>
        <x:v>0.31040790195719775</x:v>
      </x:c>
      <x:c r="Q571" s="6" t="inlineStr">
        <x:is>
          <x:t xml:space="preserve">RAW_ZP V/W</x:t>
        </x:is>
      </x:c>
      <x:c r="R571" s="6" t="inlineStr">
        <x:is>
          <x:t xml:space="preserve">OŚWIETLENIE</x:t>
        </x:is>
      </x:c>
      <x:c r="S571" s="6" t="inlineStr">
        <x:is>
          <x:t xml:space="preserve">crm_only</x:t>
        </x:is>
      </x:c>
      <x:c r="T571" s="6" t="inlineStr">
        <x:is>
          <x:t xml:space="preserve">Opcja dodatkowa | FIX17: opcja LED dostępna dla strony; ceny 450-600 wg modelu FIX15. | FIX18: LED RGB CCT wyłączone ze strony; pozostaje jako opcja CRM/Bitrix.</x:t>
        </x:is>
      </x:c>
    </x:row>
    <x:row r="572" s="655" customFormat="1" ht="30" customHeight="1">
      <x:c r="A572" s="6" t="inlineStr">
        <x:is>
          <x:t xml:space="preserve">450 x 306 cm</x:t>
        </x:is>
      </x:c>
      <x:c r="B572" s="6" t="inlineStr">
        <x:is>
          <x:t xml:space="preserve">ZP</x:t>
        </x:is>
      </x:c>
      <x:c r="C572" s="6" t="inlineStr">
        <x:is>
          <x:t xml:space="preserve">Zadaszenie poliwęglan - baza</x:t>
        </x:is>
      </x:c>
      <x:c r="D572" s="6" t="inlineStr">
        <x:is>
          <x:t xml:space="preserve">ZADASZENIE POLIWĘGLAN</x:t>
        </x:is>
      </x:c>
      <x:c r="E572" s="8" t="n">
        <x:f>IFERROR(INDEX('02_RAW_INDEX'!$D:$D,MATCH($A572,'02_RAW_INDEX'!$A:$A,0)),"")</x:f>
        <x:v>5870</x:v>
      </x:c>
      <x:c r="F572" s="8" t="n">
        <x:f>IFERROR(INDEX('02_RAW_INDEX'!$C:$C,MATCH($A572,'02_RAW_INDEX'!$A:$A,0)),"")</x:f>
        <x:v>7220</x:v>
      </x:c>
      <x:c r="G572" s="7" t="n">
        <x:f>'01_Ustawienia'!$B$6</x:f>
        <x:v>0</x:v>
      </x:c>
      <x:c r="H572" s="8" t="n">
        <x:f>IF(E572="","",ROUND(IF('01_Ustawienia'!$B$5="BRUTTO",F572,E572)*(1-G572),0))</x:f>
        <x:v>5870</x:v>
      </x:c>
      <x:c r="I572" s="7" t="n">
        <x:f>IFERROR(IFERROR(INDEX('01_Ustawienia'!$B$15:$B$33,MATCH(B572,'01_Ustawienia'!$A$15:$A$33,0)),0.45),0.45)</x:f>
        <x:v>0.45</x:v>
      </x:c>
      <x:c r="J572" s="8" t="n">
        <x:f>IF(H572="","",ROUND(H572*(1+I572),0))</x:f>
        <x:v>8512</x:v>
      </x:c>
      <x:c r="K572" s="8" t="n">
        <x:f>IFERROR(IFERROR(INDEX(EG_Cennik_uslug!$F:$F,MATCH($A572,EG_Cennik_uslug!$A:$A,0)),0),0)</x:f>
        <x:v>3190</x:v>
      </x:c>
      <x:c r="L572" s="8" t="n">
        <x:f>IFERROR(IFERROR(INDEX(EG_Cennik_uslug!$G:$G,MATCH($A572,EG_Cennik_uslug!$A:$A,0)),0),0)</x:f>
        <x:v>1030</x:v>
      </x:c>
      <x:c r="M572" s="7" t="n">
        <x:f>IF('01_Ustawienia'!$B$4="ZWOLNIONY",0,'01_Ustawienia'!$B$7)</x:f>
        <x:v>0.08</x:v>
      </x:c>
      <x:c r="N572" s="8" t="n">
        <x:f>IF(J572="","",ROUND((J572+K572)*(1+M572),0))</x:f>
        <x:v>12638</x:v>
      </x:c>
      <x:c r="O572" s="8" t="n">
        <x:f>IF(J572="","",J572+K572-H572-L572)</x:f>
        <x:v>4802</x:v>
      </x:c>
      <x:c r="P572" s="7" t="n">
        <x:f>IFERROR(O572/(J572+K572),"")</x:f>
        <x:v>0.4103572038967698</x:v>
      </x:c>
      <x:c r="Q572" s="6" t="inlineStr">
        <x:is>
          <x:t xml:space="preserve">RAW_ZP B/C</x:t>
        </x:is>
      </x:c>
      <x:c r="R572" s="6" t="inlineStr">
        <x:is>
          <x:t xml:space="preserve">ZADASZENIE TARASU KONSTRUKCJA</x:t>
        </x:is>
      </x:c>
      <x:c r="S572" s="6" t="inlineStr">
        <x:is>
          <x:t xml:space="preserve">website+crm</x:t>
        </x:is>
      </x:c>
      <x:c r="T572" s="6" t="inlineStr">
        <x:is>
          <x:t xml:space="preserve">Baza dla kalkulatora</x:t>
        </x:is>
      </x:c>
    </x:row>
    <x:row r="573" s="655" customFormat="1" ht="30" customHeight="1">
      <x:c r="A573" s="6" t="inlineStr">
        <x:is>
          <x:t xml:space="preserve">450 x 306 cm</x:t>
        </x:is>
      </x:c>
      <x:c r="B573" s="6" t="inlineStr">
        <x:is>
          <x:t xml:space="preserve">ZS</x:t>
        </x:is>
      </x:c>
      <x:c r="C573" s="6" t="inlineStr">
        <x:is>
          <x:t xml:space="preserve">Zadaszenie szkło - pełna konstrukcja</x:t>
        </x:is>
      </x:c>
      <x:c r="D573" s="6" t="inlineStr">
        <x:is>
          <x:t xml:space="preserve">ZADASZENIE SZKŁO</x:t>
        </x:is>
      </x:c>
      <x:c r="E573" s="8" t="n">
        <x:f>IFERROR(INDEX('02_RAW_INDEX'!$V:$V,MATCH($A573,'02_RAW_INDEX'!$A:$A,0)),"")</x:f>
        <x:v>8610</x:v>
      </x:c>
      <x:c r="F573" s="8" t="n">
        <x:f>IFERROR(INDEX('02_RAW_INDEX'!$U:$U,MATCH($A573,'02_RAW_INDEX'!$A:$A,0)),"")</x:f>
        <x:v>10590</x:v>
      </x:c>
      <x:c r="G573" s="7" t="n">
        <x:f>'01_Ustawienia'!$B$6</x:f>
        <x:v>0</x:v>
      </x:c>
      <x:c r="H573" s="8" t="n">
        <x:f>IF(E573="","",ROUND(IF('01_Ustawienia'!$B$5="BRUTTO",F573,E573)*(1-G573),0))</x:f>
        <x:v>8610</x:v>
      </x:c>
      <x:c r="I573" s="7" t="n">
        <x:f>IFERROR(IFERROR(INDEX('01_Ustawienia'!$B$15:$B$33,MATCH(B573,'01_Ustawienia'!$A$15:$A$33,0)),0.45),0.45)</x:f>
        <x:v>0.45</x:v>
      </x:c>
      <x:c r="J573" s="8" t="n">
        <x:f>IF(H573="","",ROUND(H573*(1+I573),0))</x:f>
        <x:v>12485</x:v>
      </x:c>
      <x:c r="K573" s="8" t="n">
        <x:f>IFERROR(IFERROR(INDEX(EG_Cennik_uslug!$F:$F,MATCH($A573,EG_Cennik_uslug!$A:$A,0)),0),0)</x:f>
        <x:v>3190</x:v>
      </x:c>
      <x:c r="L573" s="8" t="n">
        <x:f>IFERROR(IFERROR(INDEX(EG_Cennik_uslug!$G:$G,MATCH($A573,EG_Cennik_uslug!$A:$A,0)),0),0)</x:f>
        <x:v>1030</x:v>
      </x:c>
      <x:c r="M573" s="7" t="n">
        <x:f>IF('01_Ustawienia'!$B$4="ZWOLNIONY",0,'01_Ustawienia'!$B$7)</x:f>
        <x:v>0.08</x:v>
      </x:c>
      <x:c r="N573" s="8" t="n">
        <x:f>IF(J573="","",ROUND((J573+K573)*(1+M573),0))</x:f>
        <x:v>16929</x:v>
      </x:c>
      <x:c r="O573" s="8" t="n">
        <x:f>IF(J573="","",J573+K573-H573-L573)</x:f>
        <x:v>6035</x:v>
      </x:c>
      <x:c r="P573" s="7" t="n">
        <x:f>IFERROR(O573/(J573+K573),"")</x:f>
        <x:v>0.3850079744816587</x:v>
      </x:c>
      <x:c r="Q573" s="6" t="inlineStr">
        <x:is>
          <x:t xml:space="preserve">RAW_ZS B/C</x:t>
        </x:is>
      </x:c>
      <x:c r="R573" s="6" t="inlineStr">
        <x:is>
          <x:t xml:space="preserve">ZADASZENIE TARASU KONSTRUKCJA</x:t>
        </x:is>
      </x:c>
      <x:c r="S573" s="6" t="inlineStr">
        <x:is>
          <x:t xml:space="preserve">crm_only</x:t>
        </x:is>
      </x:c>
      <x:c r="T573" s="6" t="inlineStr">
        <x:is>
          <x:t xml:space="preserve">Referencyjne/full; strona zwykle używa ZP + PDS</x:t>
        </x:is>
      </x:c>
    </x:row>
    <x:row r="574" s="655" customFormat="1" ht="30" customHeight="1">
      <x:c r="A574" s="6" t="inlineStr">
        <x:is>
          <x:t xml:space="preserve">450 x 306 cm</x:t>
        </x:is>
      </x:c>
      <x:c r="B574" s="6" t="inlineStr">
        <x:is>
          <x:t xml:space="preserve">OP</x:t>
        </x:is>
      </x:c>
      <x:c r="C574" s="6" t="inlineStr">
        <x:is>
          <x:t xml:space="preserve">Ogród zimowy poliwęglan - baza</x:t>
        </x:is>
      </x:c>
      <x:c r="D574" s="6" t="inlineStr">
        <x:is>
          <x:t xml:space="preserve">OGRODY POLIWĘGLAN</x:t>
        </x:is>
      </x:c>
      <x:c r="E574" s="8" t="n">
        <x:f>IFERROR(INDEX('02_RAW_INDEX'!$Z:$Z,MATCH($A574,'02_RAW_INDEX'!$A:$A,0)),"")</x:f>
        <x:v>18130</x:v>
      </x:c>
      <x:c r="F574" s="8" t="n">
        <x:f>IFERROR(INDEX('02_RAW_INDEX'!$Y:$Y,MATCH($A574,'02_RAW_INDEX'!$A:$A,0)),"")</x:f>
        <x:v>22300</x:v>
      </x:c>
      <x:c r="G574" s="7" t="n">
        <x:f>'01_Ustawienia'!$B$6</x:f>
        <x:v>0</x:v>
      </x:c>
      <x:c r="H574" s="8" t="n">
        <x:f>IF(E574="","",ROUND(IF('01_Ustawienia'!$B$5="BRUTTO",F574,E574)*(1-G574),0))</x:f>
        <x:v>18130</x:v>
      </x:c>
      <x:c r="I574" s="7" t="n">
        <x:f>IFERROR(IFERROR(INDEX('01_Ustawienia'!$B$15:$B$33,MATCH(B574,'01_Ustawienia'!$A$15:$A$33,0)),0.45),0.45)</x:f>
        <x:v>0.45</x:v>
      </x:c>
      <x:c r="J574" s="8" t="n">
        <x:f>IF(H574="","",ROUND(H574*(1+I574),0))</x:f>
        <x:v>26289</x:v>
      </x:c>
      <x:c r="K574" s="8" t="n">
        <x:f>IFERROR(IFERROR(INDEX(EG_Cennik_uslug!$N:$N,MATCH($A574,EG_Cennik_uslug!$A:$A,0)),0),0)</x:f>
        <x:v>4000</x:v>
      </x:c>
      <x:c r="L574" s="8" t="n">
        <x:f>IFERROR(IFERROR(INDEX(EG_Cennik_uslug!$O:$O,MATCH($A574,EG_Cennik_uslug!$A:$A,0)),0),0)</x:f>
        <x:v>1440</x:v>
      </x:c>
      <x:c r="M574" s="7" t="n">
        <x:f>IF('01_Ustawienia'!$B$4="ZWOLNIONY",0,'01_Ustawienia'!$B$7)</x:f>
        <x:v>0.08</x:v>
      </x:c>
      <x:c r="N574" s="8" t="n">
        <x:f>IF(J574="","",ROUND((J574+K574)*(1+M574),0))</x:f>
        <x:v>32712</x:v>
      </x:c>
      <x:c r="O574" s="8" t="n">
        <x:f>IF(J574="","",J574+K574-H574-L574)</x:f>
        <x:v>10719</x:v>
      </x:c>
      <x:c r="P574" s="7" t="n">
        <x:f>IFERROR(O574/(J574+K574),"")</x:f>
        <x:v>0.35389085146422794</x:v>
      </x:c>
      <x:c r="Q574" s="6" t="inlineStr">
        <x:is>
          <x:t xml:space="preserve">RAW_OP B/C</x:t>
        </x:is>
      </x:c>
      <x:c r="R574" s="6" t="inlineStr">
        <x:is>
          <x:t xml:space="preserve">OGRÓD ZIMOWY (KONSTRUKCJA)</x:t>
        </x:is>
      </x:c>
      <x:c r="S574" s="6" t="inlineStr">
        <x:is>
          <x:t xml:space="preserve">website+crm</x:t>
        </x:is>
      </x:c>
      <x:c r="T574" s="6" t="inlineStr">
        <x:is>
          <x:t xml:space="preserve">Do wyliczenia dopłaty za ściany</x:t>
        </x:is>
      </x:c>
    </x:row>
    <x:row r="575" s="655" customFormat="1" ht="30" customHeight="1">
      <x:c r="A575" s="6" t="inlineStr">
        <x:is>
          <x:t xml:space="preserve">450 x 306 cm</x:t>
        </x:is>
      </x:c>
      <x:c r="B575" s="6" t="inlineStr">
        <x:is>
          <x:t xml:space="preserve">OS</x:t>
        </x:is>
      </x:c>
      <x:c r="C575" s="6" t="inlineStr">
        <x:is>
          <x:t xml:space="preserve">Ogród zimowy szkło - pełna konstrukcja</x:t>
        </x:is>
      </x:c>
      <x:c r="D575" s="6" t="inlineStr">
        <x:is>
          <x:t xml:space="preserve">OGRODY SZKŁO</x:t>
        </x:is>
      </x:c>
      <x:c r="E575" s="8" t="n">
        <x:f>IFERROR(INDEX('02_RAW_INDEX'!$AL:$AL,MATCH($A575,'02_RAW_INDEX'!$A:$A,0)),"")</x:f>
        <x:v>20886</x:v>
      </x:c>
      <x:c r="F575" s="8" t="n">
        <x:f>IFERROR(INDEX('02_RAW_INDEX'!$AK:$AK,MATCH($A575,'02_RAW_INDEX'!$A:$A,0)),"")</x:f>
        <x:v>25690</x:v>
      </x:c>
      <x:c r="G575" s="7" t="n">
        <x:f>'01_Ustawienia'!$B$6</x:f>
        <x:v>0</x:v>
      </x:c>
      <x:c r="H575" s="8" t="n">
        <x:f>IF(E575="","",ROUND(IF('01_Ustawienia'!$B$5="BRUTTO",F575,E575)*(1-G575),0))</x:f>
        <x:v>20886</x:v>
      </x:c>
      <x:c r="I575" s="7" t="n">
        <x:f>IFERROR(IFERROR(INDEX('01_Ustawienia'!$B$15:$B$33,MATCH(B575,'01_Ustawienia'!$A$15:$A$33,0)),0.45),0.45)</x:f>
        <x:v>0.45</x:v>
      </x:c>
      <x:c r="J575" s="8" t="n">
        <x:f>IF(H575="","",ROUND(H575*(1+I575),0))</x:f>
        <x:v>30285</x:v>
      </x:c>
      <x:c r="K575" s="8" t="n">
        <x:f>IFERROR(IFERROR(INDEX(EG_Cennik_uslug!$N:$N,MATCH($A575,EG_Cennik_uslug!$A:$A,0)),0),0)</x:f>
        <x:v>4000</x:v>
      </x:c>
      <x:c r="L575" s="8" t="n">
        <x:f>IFERROR(IFERROR(INDEX(EG_Cennik_uslug!$O:$O,MATCH($A575,EG_Cennik_uslug!$A:$A,0)),0),0)</x:f>
        <x:v>1440</x:v>
      </x:c>
      <x:c r="M575" s="7" t="n">
        <x:f>IF('01_Ustawienia'!$B$4="ZWOLNIONY",0,'01_Ustawienia'!$B$7)</x:f>
        <x:v>0.08</x:v>
      </x:c>
      <x:c r="N575" s="8" t="n">
        <x:f>IF(J575="","",ROUND((J575+K575)*(1+M575),0))</x:f>
        <x:v>37028</x:v>
      </x:c>
      <x:c r="O575" s="8" t="n">
        <x:f>IF(J575="","",J575+K575-H575-L575)</x:f>
        <x:v>11959</x:v>
      </x:c>
      <x:c r="P575" s="7" t="n">
        <x:f>IFERROR(O575/(J575+K575),"")</x:f>
        <x:v>0.3488114335715327</x:v>
      </x:c>
      <x:c r="Q575" s="6" t="inlineStr">
        <x:is>
          <x:t xml:space="preserve">RAW_OS B/C</x:t>
        </x:is>
      </x:c>
      <x:c r="R575" s="6" t="inlineStr">
        <x:is>
          <x:t xml:space="preserve">OGRÓD ZIMOWY (KONSTRUKCJA)</x:t>
        </x:is>
      </x:c>
      <x:c r="S575" s="6" t="inlineStr">
        <x:is>
          <x:t xml:space="preserve">crm_only</x:t>
        </x:is>
      </x:c>
      <x:c r="T575" s="6" t="inlineStr">
        <x:is>
          <x:t xml:space="preserve">Referencyjne/full</x:t>
        </x:is>
      </x:c>
    </x:row>
    <x:row r="576" s="655" customFormat="1" ht="30" customHeight="1">
      <x:c r="A576" s="6" t="inlineStr">
        <x:is>
          <x:t xml:space="preserve">450 x 306 cm</x:t>
        </x:is>
      </x:c>
      <x:c r="B576" s="6" t="inlineStr">
        <x:is>
          <x:t xml:space="preserve">PDS</x:t>
        </x:is>
      </x:c>
      <x:c r="C576" s="6" t="inlineStr">
        <x:is>
          <x:t xml:space="preserve">Dopłata dach szkło przezroczyste</x:t>
        </x:is>
      </x:c>
      <x:c r="D576" s="6" t="inlineStr">
        <x:is>
          <x:t xml:space="preserve">POKRYCIE DACHU SZKŁO</x:t>
        </x:is>
      </x:c>
      <x:c r="E576" s="8" t="n">
        <x:f>IFERROR(IFERROR(INDEX('02_RAW_INDEX'!$V:$V,MATCH($A576,'02_RAW_INDEX'!$A:$A,0)),"")-IFERROR(INDEX('02_RAW_INDEX'!$D:$D,MATCH($A576,'02_RAW_INDEX'!$A:$A,0)),""),"")</x:f>
        <x:v>2740</x:v>
      </x:c>
      <x:c r="F576" s="8" t="n">
        <x:f>IFERROR(IFERROR(INDEX('02_RAW_INDEX'!$U:$U,MATCH($A576,'02_RAW_INDEX'!$A:$A,0)),"")-IFERROR(INDEX('02_RAW_INDEX'!$C:$C,MATCH($A576,'02_RAW_INDEX'!$A:$A,0)),""),"")</x:f>
        <x:v>3370</x:v>
      </x:c>
      <x:c r="G576" s="7" t="n">
        <x:f>'01_Ustawienia'!$B$6</x:f>
        <x:v>0</x:v>
      </x:c>
      <x:c r="H576" s="8" t="n">
        <x:f>IF(E576="","",ROUND(IF('01_Ustawienia'!$B$5="BRUTTO",F576,E576)*(1-G576),0))</x:f>
        <x:v>2740</x:v>
      </x:c>
      <x:c r="I576" s="7" t="n">
        <x:f>IFERROR(IFERROR(INDEX('01_Ustawienia'!$B$15:$B$33,MATCH(B576,'01_Ustawienia'!$A$15:$A$33,0)),0.45),0.45)</x:f>
        <x:v>0.45</x:v>
      </x:c>
      <x:c r="J576" s="8" t="n">
        <x:f>IF(H576="","",ROUND(H576*(1+I576),0))</x:f>
        <x:v>3973</x:v>
      </x:c>
      <x:c r="K576" s="8" t="n">
        <x:f>0</x:f>
        <x:v>0</x:v>
      </x:c>
      <x:c r="L576" s="8" t="n">
        <x:v>0</x:v>
      </x:c>
      <x:c r="M576" s="7" t="n">
        <x:f>IF('01_Ustawienia'!$B$4="ZWOLNIONY",0,'01_Ustawienia'!$B$7)</x:f>
        <x:v>0.08</x:v>
      </x:c>
      <x:c r="N576" s="8" t="n">
        <x:f>IF(J576="","",ROUND((J576+K576)*(1+M576),0))</x:f>
        <x:v>4291</x:v>
      </x:c>
      <x:c r="O576" s="8" t="n">
        <x:f>IF(J576="","",J576+K576-H576-L576)</x:f>
        <x:v>1233</x:v>
      </x:c>
      <x:c r="P576" s="7" t="n">
        <x:f>IFERROR(O576/(J576+K576),"")</x:f>
        <x:v>0.3103448275862069</x:v>
      </x:c>
      <x:c r="Q576" s="6" t="inlineStr">
        <x:is>
          <x:t xml:space="preserve">RAW_ZS - RAW_ZP</x:t>
        </x:is>
      </x:c>
      <x:c r="R576" s="6" t="inlineStr">
        <x:is>
          <x:t xml:space="preserve">POKRYCIE DACHU</x:t>
        </x:is>
      </x:c>
      <x:c r="S576" s="6" t="inlineStr">
        <x:is>
          <x:t xml:space="preserve">website+crm</x:t>
        </x:is>
      </x:c>
      <x:c r="T576" s="6" t="inlineStr">
        <x:is>
          <x:t xml:space="preserve">Dopłata do bazowego dachu poliwęglan | FIX17: Wynagr.+koszty = 0 dla dopłaty; nie jest osobnym montażem ekipy.</x:t>
        </x:is>
      </x:c>
    </x:row>
    <x:row r="577" s="655" customFormat="1" ht="30" customHeight="1">
      <x:c r="A577" s="6" t="inlineStr">
        <x:is>
          <x:t xml:space="preserve">450 x 306 cm</x:t>
        </x:is>
      </x:c>
      <x:c r="B577" s="6" t="inlineStr">
        <x:is>
          <x:t xml:space="preserve">PDSB</x:t>
        </x:is>
      </x:c>
      <x:c r="C577" s="6" t="inlineStr">
        <x:is>
          <x:t xml:space="preserve">Dopłata dach szkło barwione/mleczne</x:t>
        </x:is>
      </x:c>
      <x:c r="D577" s="6" t="inlineStr">
        <x:is>
          <x:t xml:space="preserve">POKRYCIE DACHU SZKŁO BARWIONE</x:t>
        </x:is>
      </x:c>
      <x:c r="E577" s="8" t="n">
        <x:f>IFERROR(INDEX('02_RAW_INDEX'!$X:$X,MATCH($A577,'02_RAW_INDEX'!$A:$A,0)),"")</x:f>
        <x:v>309</x:v>
      </x:c>
      <x:c r="F577" s="8" t="n">
        <x:f>IFERROR(INDEX('02_RAW_INDEX'!$W:$W,MATCH($A577,'02_RAW_INDEX'!$A:$A,0)),"")</x:f>
        <x:v>380</x:v>
      </x:c>
      <x:c r="G577" s="7" t="n">
        <x:f>'01_Ustawienia'!$B$6</x:f>
        <x:v>0</x:v>
      </x:c>
      <x:c r="H577" s="8" t="n">
        <x:f>IF(E577="","",ROUND(IF('01_Ustawienia'!$B$5="BRUTTO",F577,E577)*(1-G577),0))</x:f>
        <x:v>309</x:v>
      </x:c>
      <x:c r="I577" s="7" t="n">
        <x:f>IFERROR(IFERROR(INDEX('01_Ustawienia'!$B$15:$B$33,MATCH(B577,'01_Ustawienia'!$A$15:$A$33,0)),0.45),0.45)</x:f>
        <x:v>0.45</x:v>
      </x:c>
      <x:c r="J577" s="8" t="n">
        <x:f>IF(H577="","",ROUND(H577*(1+I577),0))</x:f>
        <x:v>448</x:v>
      </x:c>
      <x:c r="K577" s="8" t="n">
        <x:f>0</x:f>
        <x:v>0</x:v>
      </x:c>
      <x:c r="L577" s="8" t="n">
        <x:v>0</x:v>
      </x:c>
      <x:c r="M577" s="7" t="n">
        <x:f>IF('01_Ustawienia'!$B$4="ZWOLNIONY",0,'01_Ustawienia'!$B$7)</x:f>
        <x:v>0.08</x:v>
      </x:c>
      <x:c r="N577" s="8" t="n">
        <x:f>IF(J577="","",ROUND((J577+K577)*(1+M577),0))</x:f>
        <x:v>484</x:v>
      </x:c>
      <x:c r="O577" s="8" t="n">
        <x:f>IF(J577="","",J577+K577-H577-L577)</x:f>
        <x:v>139</x:v>
      </x:c>
      <x:c r="P577" s="7" t="n">
        <x:f>IFERROR(O577/(J577+K577),"")</x:f>
        <x:v>0.31026785714285715</x:v>
      </x:c>
      <x:c r="Q577" s="6" t="inlineStr">
        <x:is>
          <x:t xml:space="preserve">RAW_ZS D/E</x:t>
        </x:is>
      </x:c>
      <x:c r="R577" s="6" t="inlineStr">
        <x:is>
          <x:t xml:space="preserve">POKRYCIE DACHU</x:t>
        </x:is>
      </x:c>
      <x:c r="S577" s="6" t="inlineStr">
        <x:is>
          <x:t xml:space="preserve">website+crm</x:t>
        </x:is>
      </x:c>
      <x:c r="T577" s="6" t="inlineStr">
        <x:is>
          <x:t xml:space="preserve">Dodawane do PDS | FIX17: Wynagr.+koszty = 0 dla dopłaty; nie jest osobnym montażem ekipy.</x:t>
        </x:is>
      </x:c>
    </x:row>
    <x:row r="578" s="655" customFormat="1" ht="30" customHeight="1">
      <x:c r="A578" s="6" t="inlineStr">
        <x:is>
          <x:t xml:space="preserve">450 x 306 cm</x:t>
        </x:is>
      </x:c>
      <x:c r="B578" s="6" t="inlineStr">
        <x:is>
          <x:t xml:space="preserve">PDPB</x:t>
        </x:is>
      </x:c>
      <x:c r="C578" s="6" t="inlineStr">
        <x:is>
          <x:t xml:space="preserve">Dopłata poliwęglan barwiony</x:t>
        </x:is>
      </x:c>
      <x:c r="D578" s="6" t="inlineStr">
        <x:is>
          <x:t xml:space="preserve">POKRYCIE DACHU POLIWĘGLAN BARWIONY</x:t>
        </x:is>
      </x:c>
      <x:c r="E578" s="8" t="n">
        <x:f>IFERROR(INDEX('02_RAW_INDEX'!$F:$F,MATCH($A578,'02_RAW_INDEX'!$A:$A,0)),"")</x:f>
        <x:v>236</x:v>
      </x:c>
      <x:c r="F578" s="8" t="n">
        <x:f>IFERROR(INDEX('02_RAW_INDEX'!$E:$E,MATCH($A578,'02_RAW_INDEX'!$A:$A,0)),"")</x:f>
        <x:v>290</x:v>
      </x:c>
      <x:c r="G578" s="7" t="n">
        <x:f>'01_Ustawienia'!$B$6</x:f>
        <x:v>0</x:v>
      </x:c>
      <x:c r="H578" s="8" t="n">
        <x:f>IF(E578="","",ROUND(IF('01_Ustawienia'!$B$5="BRUTTO",F578,E578)*(1-G578),0))</x:f>
        <x:v>236</x:v>
      </x:c>
      <x:c r="I578" s="7" t="n">
        <x:f>IFERROR(IFERROR(INDEX('01_Ustawienia'!$B$15:$B$33,MATCH(B578,'01_Ustawienia'!$A$15:$A$33,0)),0.45),0.45)</x:f>
        <x:v>0.45</x:v>
      </x:c>
      <x:c r="J578" s="8" t="n">
        <x:f>IF(H578="","",ROUND(H578*(1+I578),0))</x:f>
        <x:v>342</x:v>
      </x:c>
      <x:c r="K578" s="8" t="n">
        <x:f>0</x:f>
        <x:v>0</x:v>
      </x:c>
      <x:c r="L578" s="8" t="n">
        <x:v>0</x:v>
      </x:c>
      <x:c r="M578" s="7" t="n">
        <x:f>IF('01_Ustawienia'!$B$4="ZWOLNIONY",0,'01_Ustawienia'!$B$7)</x:f>
        <x:v>0.08</x:v>
      </x:c>
      <x:c r="N578" s="8" t="n">
        <x:f>IF(J578="","",ROUND((J578+K578)*(1+M578),0))</x:f>
        <x:v>369</x:v>
      </x:c>
      <x:c r="O578" s="8" t="n">
        <x:f>IF(J578="","",J578+K578-H578-L578)</x:f>
        <x:v>106</x:v>
      </x:c>
      <x:c r="P578" s="7" t="n">
        <x:f>IFERROR(O578/(J578+K578),"")</x:f>
        <x:v>0.30994152046783624</x:v>
      </x:c>
      <x:c r="Q578" s="6" t="inlineStr">
        <x:is>
          <x:t xml:space="preserve">RAW_ZP D/E</x:t>
        </x:is>
      </x:c>
      <x:c r="R578" s="6" t="inlineStr">
        <x:is>
          <x:t xml:space="preserve">POKRYCIE DACHU</x:t>
        </x:is>
      </x:c>
      <x:c r="S578" s="6" t="inlineStr">
        <x:is>
          <x:t xml:space="preserve">website+crm</x:t>
        </x:is>
      </x:c>
      <x:c r="T578" s="6" t="inlineStr">
        <x:is>
          <x:t xml:space="preserve">FIX17: Wynagr.+koszty = 0 dla dopłaty; nie jest osobnym montażem ekipy.</x:t>
        </x:is>
      </x:c>
    </x:row>
    <x:row r="579" s="655" customFormat="1" ht="30" customHeight="1">
      <x:c r="A579" s="6" t="inlineStr">
        <x:is>
          <x:t xml:space="preserve">450 x 306 cm</x:t>
        </x:is>
      </x:c>
      <x:c r="B579" s="6" t="inlineStr">
        <x:is>
          <x:t xml:space="preserve">SBB</x:t>
        </x:is>
      </x:c>
      <x:c r="C579" s="6" t="inlineStr">
        <x:is>
          <x:t xml:space="preserve">Dopłata szkło boczne przyciemniane</x:t>
        </x:is>
      </x:c>
      <x:c r="D579" s="6" t="inlineStr">
        <x:is>
          <x:t xml:space="preserve">SZKŁO BOCZNE BARWIONE</x:t>
        </x:is>
      </x:c>
      <x:c r="E579" s="8" t="n">
        <x:f>IFERROR(INDEX('02_RAW_INDEX'!$AB:$AB,MATCH($A579,'02_RAW_INDEX'!$A:$A,0)),"")</x:f>
        <x:v>1268</x:v>
      </x:c>
      <x:c r="F579" s="8" t="n">
        <x:f>IFERROR(INDEX('02_RAW_INDEX'!$AA:$AA,MATCH($A579,'02_RAW_INDEX'!$A:$A,0)),"")</x:f>
        <x:v>1560</x:v>
      </x:c>
      <x:c r="G579" s="7" t="n">
        <x:f>'01_Ustawienia'!$B$6</x:f>
        <x:v>0</x:v>
      </x:c>
      <x:c r="H579" s="8" t="n">
        <x:f>IF(E579="","",ROUND(IF('01_Ustawienia'!$B$5="BRUTTO",F579,E579)*(1-G579),0))</x:f>
        <x:v>1268</x:v>
      </x:c>
      <x:c r="I579" s="7" t="n">
        <x:f>IFERROR(IFERROR(INDEX('01_Ustawienia'!$B$15:$B$33,MATCH(B579,'01_Ustawienia'!$A$15:$A$33,0)),0.45),0.45)</x:f>
        <x:v>0.45</x:v>
      </x:c>
      <x:c r="J579" s="8" t="n">
        <x:f>IF(H579="","",ROUND(H579*(1+I579),0))</x:f>
        <x:v>1839</x:v>
      </x:c>
      <x:c r="K579" s="8" t="n">
        <x:f>0</x:f>
        <x:v>0</x:v>
      </x:c>
      <x:c r="L579" s="8" t="n">
        <x:v>0</x:v>
      </x:c>
      <x:c r="M579" s="7" t="n">
        <x:f>IF('01_Ustawienia'!$B$4="ZWOLNIONY",0,'01_Ustawienia'!$B$7)</x:f>
        <x:v>0.08</x:v>
      </x:c>
      <x:c r="N579" s="8" t="n">
        <x:f>IF(J579="","",ROUND((J579+K579)*(1+M579),0))</x:f>
        <x:v>1986</x:v>
      </x:c>
      <x:c r="O579" s="8" t="n">
        <x:f>IF(J579="","",J579+K579-H579-L579)</x:f>
        <x:v>571</x:v>
      </x:c>
      <x:c r="P579" s="7" t="n">
        <x:f>IFERROR(O579/(J579+K579),"")</x:f>
        <x:v>0.31049483414899404</x:v>
      </x:c>
      <x:c r="Q579" s="6" t="inlineStr">
        <x:is>
          <x:t xml:space="preserve">RAW_OP H/I</x:t>
        </x:is>
      </x:c>
      <x:c r="R579" s="6" t="inlineStr">
        <x:is>
          <x:t xml:space="preserve">SZYBY BOCZNE</x:t>
        </x:is>
      </x:c>
      <x:c r="S579" s="6" t="inlineStr">
        <x:is>
          <x:t xml:space="preserve">website+crm</x:t>
        </x:is>
      </x:c>
      <x:c r="T579" s="6" t="inlineStr">
        <x:is>
          <x:t xml:space="preserve">Dodawane do ścian przezroczystych | FIX17: Wynagr.+koszty = 0 dla dopłaty; nie jest osobnym montażem ekipy.</x:t>
        </x:is>
      </x:c>
    </x:row>
    <x:row r="580">
      <x:c r="A580" s="6" t="inlineStr">
        <x:is>
          <x:t xml:space="preserve">450 x 306 cm</x:t>
        </x:is>
      </x:c>
      <x:c r="B580" s="6" t="inlineStr">
        <x:is>
          <x:t xml:space="preserve">RB</x:t>
        </x:is>
      </x:c>
      <x:c r="C580" s="6" t="inlineStr">
        <x:is>
          <x:t xml:space="preserve">Roleta boczna ZIP</x:t>
        </x:is>
      </x:c>
      <x:c r="D580" s="6" t="inlineStr">
        <x:is>
          <x:t xml:space="preserve">ROLETA BOCZNA</x:t>
        </x:is>
      </x:c>
      <x:c r="E580" s="8" t="n">
        <x:f>IFERROR(INDEX('02_RAW_INDEX'!$J:$J,MATCH($A580,'02_RAW_INDEX'!$A:$A,0)),"")</x:f>
        <x:v>2569</x:v>
      </x:c>
      <x:c r="F580" s="8" t="n">
        <x:f>IFERROR(INDEX('02_RAW_INDEX'!$I:$I,MATCH($A580,'02_RAW_INDEX'!$A:$A,0)),"")</x:f>
        <x:v>3160</x:v>
      </x:c>
      <x:c r="G580" s="7" t="n">
        <x:f>'01_Ustawienia'!$B$6</x:f>
        <x:v>0</x:v>
      </x:c>
      <x:c r="H580" s="8" t="n">
        <x:f>IF(E580="","",ROUND(IF('01_Ustawienia'!$B$5="BRUTTO",F580,E580)*(1-G580),0))</x:f>
        <x:v>2569</x:v>
      </x:c>
      <x:c r="I580" s="7" t="n">
        <x:f>IFERROR(IFERROR(INDEX('01_Ustawienia'!$B$15:$B$33,MATCH(B580,'01_Ustawienia'!$A$15:$A$33,0)),0.45),0.45)</x:f>
        <x:v>0.45</x:v>
      </x:c>
      <x:c r="J580" s="8" t="n">
        <x:f>IF(H580="","",ROUND(H580*(1+I580),0))</x:f>
        <x:v>3725</x:v>
      </x:c>
      <x:c r="K580" s="8" t="n">
        <x:f>0</x:f>
        <x:v>0</x:v>
      </x:c>
      <x:c r="L580" s="8" t="n">
        <x:f>IFERROR(IFERROR(INDEX(EG_Cennik_uslug!$AC:$AC,MATCH($A580,EG_Cennik_uslug!$A:$A,0)),0),0)</x:f>
        <x:v>150</x:v>
      </x:c>
      <x:c r="M580" s="7" t="n">
        <x:f>IF('01_Ustawienia'!$B$4="ZWOLNIONY",0,'01_Ustawienia'!$B$7)</x:f>
        <x:v>0.08</x:v>
      </x:c>
      <x:c r="N580" s="8" t="n">
        <x:f>IF(J580="","",ROUND((J580+K580)*(1+M580),0))</x:f>
        <x:v>4023</x:v>
      </x:c>
      <x:c r="O580" s="8" t="n">
        <x:f>IF(J580="","",J580+K580-H580-L580)</x:f>
        <x:v>1006</x:v>
      </x:c>
      <x:c r="P580" s="7" t="n">
        <x:f>IFERROR(O580/(J580+K580),"")</x:f>
        <x:v>0.2700671140939597</x:v>
      </x:c>
      <x:c r="Q580" s="6" t="inlineStr">
        <x:is>
          <x:t xml:space="preserve">RAW_ZP J/K</x:t>
        </x:is>
      </x:c>
      <x:c r="R580" s="6" t="inlineStr">
        <x:is>
          <x:t xml:space="preserve">ROLETY BOCZNE</x:t>
        </x:is>
      </x:c>
      <x:c r="S580" s="6" t="inlineStr">
        <x:is>
          <x:t xml:space="preserve">website+crm</x:t>
        </x:is>
      </x:c>
      <x:c r="T580" s="6" t="inlineStr">
        <x:is>
          <x:t xml:space="preserve">Używana dla lewej i prawej</x:t>
        </x:is>
      </x:c>
    </x:row>
    <x:row r="581">
      <x:c r="A581" s="6" t="inlineStr">
        <x:is>
          <x:t xml:space="preserve">450 x 306 cm</x:t>
        </x:is>
      </x:c>
      <x:c r="B581" s="6" t="inlineStr">
        <x:is>
          <x:t xml:space="preserve">RP</x:t>
        </x:is>
      </x:c>
      <x:c r="C581" s="6" t="inlineStr">
        <x:is>
          <x:t xml:space="preserve">Roleta przednia ZIP</x:t>
        </x:is>
      </x:c>
      <x:c r="D581" s="6" t="inlineStr">
        <x:is>
          <x:t xml:space="preserve">ROLETA PRZÓD</x:t>
        </x:is>
      </x:c>
      <x:c r="E581" s="8" t="n">
        <x:f>IFERROR(INDEX('02_RAW_INDEX'!$L:$L,MATCH($A581,'02_RAW_INDEX'!$A:$A,0)),"")</x:f>
        <x:v>1740</x:v>
      </x:c>
      <x:c r="F581" s="8" t="n">
        <x:f>IFERROR(INDEX('02_RAW_INDEX'!$K:$K,MATCH($A581,'02_RAW_INDEX'!$A:$A,0)),"")</x:f>
        <x:v>2140</x:v>
      </x:c>
      <x:c r="G581" s="7" t="n">
        <x:f>'01_Ustawienia'!$B$6</x:f>
        <x:v>0</x:v>
      </x:c>
      <x:c r="H581" s="8" t="n">
        <x:f>IF(E581="","",ROUND(IF('01_Ustawienia'!$B$5="BRUTTO",F581,E581)*(1-G581),0))</x:f>
        <x:v>1740</x:v>
      </x:c>
      <x:c r="I581" s="7" t="n">
        <x:f>IFERROR(IFERROR(INDEX('01_Ustawienia'!$B$15:$B$33,MATCH(B581,'01_Ustawienia'!$A$15:$A$33,0)),0.45),0.45)</x:f>
        <x:v>0.45</x:v>
      </x:c>
      <x:c r="J581" s="8" t="n">
        <x:f>IF(H581="","",ROUND(H581*(1+I581),0))</x:f>
        <x:v>2523</x:v>
      </x:c>
      <x:c r="K581" s="8" t="n">
        <x:f>0</x:f>
        <x:v>0</x:v>
      </x:c>
      <x:c r="L581" s="8" t="n">
        <x:f>IFERROR(IFERROR(INDEX(EG_Cennik_uslug!$AJ:$AJ,MATCH($A581,EG_Cennik_uslug!$A:$A,0)),0),0)</x:f>
        <x:v>150</x:v>
      </x:c>
      <x:c r="M581" s="7" t="n">
        <x:f>IF('01_Ustawienia'!$B$4="ZWOLNIONY",0,'01_Ustawienia'!$B$7)</x:f>
        <x:v>0.08</x:v>
      </x:c>
      <x:c r="N581" s="8" t="n">
        <x:f>IF(J581="","",ROUND((J581+K581)*(1+M581),0))</x:f>
        <x:v>2725</x:v>
      </x:c>
      <x:c r="O581" s="8" t="n">
        <x:f>IF(J581="","",J581+K581-H581-L581)</x:f>
        <x:v>633</x:v>
      </x:c>
      <x:c r="P581" s="7" t="n">
        <x:f>IFERROR(O581/(J581+K581),"")</x:f>
        <x:v>0.25089179548156954</x:v>
      </x:c>
      <x:c r="Q581" s="6" t="inlineStr">
        <x:is>
          <x:t xml:space="preserve">RAW_ZP N/O</x:t>
        </x:is>
      </x:c>
      <x:c r="R581" s="6" t="inlineStr">
        <x:is>
          <x:t xml:space="preserve">ROLETY BOCZNE</x:t>
        </x:is>
      </x:c>
      <x:c r="S581" s="6" t="inlineStr">
        <x:is>
          <x:t xml:space="preserve">website+crm</x:t>
        </x:is>
      </x:c>
      <x:c r="T581" s="6" t="n"/>
    </x:row>
    <x:row r="582">
      <x:c r="A582" s="6" t="inlineStr">
        <x:is>
          <x:t xml:space="preserve">450 x 306 cm</x:t>
        </x:is>
      </x:c>
      <x:c r="B582" s="6" t="inlineStr">
        <x:is>
          <x:t xml:space="preserve">M</x:t>
        </x:is>
      </x:c>
      <x:c r="C582" s="6" t="inlineStr">
        <x:is>
          <x:t xml:space="preserve">Markiza dachowa</x:t>
        </x:is>
      </x:c>
      <x:c r="D582" s="6" t="inlineStr">
        <x:is>
          <x:t xml:space="preserve">MARKIZA</x:t>
        </x:is>
      </x:c>
      <x:c r="E582" s="8" t="n">
        <x:f>IFERROR(INDEX('02_RAW_INDEX'!$H:$H,MATCH($A582,'02_RAW_INDEX'!$A:$A,0)),"")</x:f>
        <x:v>3317</x:v>
      </x:c>
      <x:c r="F582" s="8" t="n">
        <x:f>IFERROR(INDEX('02_RAW_INDEX'!$G:$G,MATCH($A582,'02_RAW_INDEX'!$A:$A,0)),"")</x:f>
        <x:v>4080</x:v>
      </x:c>
      <x:c r="G582" s="7" t="n">
        <x:f>'01_Ustawienia'!$B$6</x:f>
        <x:v>0</x:v>
      </x:c>
      <x:c r="H582" s="8" t="n">
        <x:f>IF(E582="","",ROUND(IF('01_Ustawienia'!$B$5="BRUTTO",F582,E582)*(1-G582),0))</x:f>
        <x:v>3317</x:v>
      </x:c>
      <x:c r="I582" s="7" t="n">
        <x:f>IFERROR(IFERROR(INDEX('01_Ustawienia'!$B$15:$B$33,MATCH(B582,'01_Ustawienia'!$A$15:$A$33,0)),0.45),0.45)</x:f>
        <x:v>0.45</x:v>
      </x:c>
      <x:c r="J582" s="8" t="n">
        <x:f>IF(H582="","",ROUND(H582*(1+I582),0))</x:f>
        <x:v>4810</x:v>
      </x:c>
      <x:c r="K582" s="8" t="n">
        <x:f>0</x:f>
        <x:v>0</x:v>
      </x:c>
      <x:c r="L582" s="8" t="n">
        <x:f>IFERROR(IFERROR(INDEX(EG_Cennik_uslug!$AQ:$AQ,MATCH($A582,EG_Cennik_uslug!$A:$A,0)),0),0)</x:f>
        <x:v>200</x:v>
      </x:c>
      <x:c r="M582" s="7" t="n">
        <x:f>IF('01_Ustawienia'!$B$4="ZWOLNIONY",0,'01_Ustawienia'!$B$7)</x:f>
        <x:v>0.08</x:v>
      </x:c>
      <x:c r="N582" s="8" t="n">
        <x:f>IF(J582="","",ROUND((J582+K582)*(1+M582),0))</x:f>
        <x:v>5195</x:v>
      </x:c>
      <x:c r="O582" s="8" t="n">
        <x:f>IF(J582="","",J582+K582-H582-L582)</x:f>
        <x:v>1293</x:v>
      </x:c>
      <x:c r="P582" s="7" t="n">
        <x:f>IFERROR(O582/(J582+K582),"")</x:f>
        <x:v>0.2688149688149688</x:v>
      </x:c>
      <x:c r="Q582" s="6" t="inlineStr">
        <x:is>
          <x:t xml:space="preserve">RAW_ZP H/I</x:t>
        </x:is>
      </x:c>
      <x:c r="R582" s="6" t="inlineStr">
        <x:is>
          <x:t xml:space="preserve">MARKIZA</x:t>
        </x:is>
      </x:c>
      <x:c r="S582" s="6" t="inlineStr">
        <x:is>
          <x:t xml:space="preserve">website+crm</x:t>
        </x:is>
      </x:c>
      <x:c r="T582" s="6" t="n"/>
    </x:row>
    <x:row r="583">
      <x:c r="A583" s="6" t="inlineStr">
        <x:is>
          <x:t xml:space="preserve">450 x 306 cm</x:t>
        </x:is>
      </x:c>
      <x:c r="B583" s="6" t="inlineStr">
        <x:is>
          <x:t xml:space="preserve">PDWP</x:t>
        </x:is>
      </x:c>
      <x:c r="C583" s="6" t="inlineStr">
        <x:is>
          <x:t xml:space="preserve">Fundament/profile</x:t>
        </x:is>
      </x:c>
      <x:c r="D583" s="6" t="inlineStr">
        <x:is>
          <x:t xml:space="preserve">FUNDAMENT / PROFILE</x:t>
        </x:is>
      </x:c>
      <x:c r="E583" s="8" t="n">
        <x:f>IFERROR(INDEX('02_RAW_INDEX'!$AH:$AH,MATCH($A583,'02_RAW_INDEX'!$A:$A,0)),"")</x:f>
        <x:v>943</x:v>
      </x:c>
      <x:c r="F583" s="8" t="n">
        <x:f>IFERROR(INDEX('02_RAW_INDEX'!$AG:$AG,MATCH($A583,'02_RAW_INDEX'!$A:$A,0)),"")</x:f>
        <x:v>1160</x:v>
      </x:c>
      <x:c r="G583" s="7" t="n">
        <x:f>'01_Ustawienia'!$B$6</x:f>
        <x:v>0</x:v>
      </x:c>
      <x:c r="H583" s="8" t="n">
        <x:f>IF(E583="","",ROUND(IF('01_Ustawienia'!$B$5="BRUTTO",F583,E583)*(1-G583),0))</x:f>
        <x:v>943</x:v>
      </x:c>
      <x:c r="I583" s="7" t="n">
        <x:f>IFERROR(IFERROR(INDEX('01_Ustawienia'!$B$15:$B$33,MATCH(B583,'01_Ustawienia'!$A$15:$A$33,0)),0.45),0.45)</x:f>
        <x:v>1.2</x:v>
      </x:c>
      <x:c r="J583" s="8" t="n">
        <x:f>IF(H583="","",ROUND(H583*(1+I583),0))</x:f>
        <x:v>2075</x:v>
      </x:c>
      <x:c r="K583" s="8" t="n">
        <x:f>0</x:f>
        <x:v>0</x:v>
      </x:c>
      <x:c r="L583" s="8" t="n">
        <x:f>IFERROR(IFERROR(INDEX(EG_Cennik_uslug!$BT:$BT,MATCH($A583,EG_Cennik_uslug!$A:$A,0)),0),0)</x:f>
        <x:v>440</x:v>
      </x:c>
      <x:c r="M583" s="7" t="n">
        <x:f>IF('01_Ustawienia'!$B$4="ZWOLNIONY",0,'01_Ustawienia'!$B$7)</x:f>
        <x:v>0.08</x:v>
      </x:c>
      <x:c r="N583" s="8" t="n">
        <x:f>IF(J583="","",ROUND((J583+K583)*(1+M583),0))</x:f>
        <x:v>2241</x:v>
      </x:c>
      <x:c r="O583" s="8" t="n">
        <x:f>IF(J583="","",J583+K583-H583-L583)</x:f>
        <x:v>692</x:v>
      </x:c>
      <x:c r="P583" s="7" t="n">
        <x:f>IFERROR(O583/(J583+K583),"")</x:f>
        <x:v>0.33349397590361446</x:v>
      </x:c>
      <x:c r="Q583" s="6" t="inlineStr">
        <x:is>
          <x:t xml:space="preserve">RAW_OP AB/AC</x:t>
        </x:is>
      </x:c>
      <x:c r="R583" s="6" t="inlineStr">
        <x:is>
          <x:t xml:space="preserve">FUNDAMENT (PROFILE)</x:t>
        </x:is>
      </x:c>
      <x:c r="S583" s="6" t="inlineStr">
        <x:is>
          <x:t xml:space="preserve">website+crm</x:t>
        </x:is>
      </x:c>
      <x:c r="T583" s="6" t="n"/>
    </x:row>
    <x:row r="584" s="655" customFormat="1" ht="30" customHeight="1">
      <x:c r="A584" s="6" t="inlineStr">
        <x:is>
          <x:t xml:space="preserve">450 x 306 cm</x:t>
        </x:is>
      </x:c>
      <x:c r="B584" s="6" t="inlineStr">
        <x:is>
          <x:t xml:space="preserve">ZAB</x:t>
        </x:is>
      </x:c>
      <x:c r="C584" s="6" t="inlineStr">
        <x:is>
          <x:t xml:space="preserve">Zabieraki do ścian przesuwnych</x:t>
        </x:is>
      </x:c>
      <x:c r="D584" s="6" t="inlineStr">
        <x:is>
          <x:t xml:space="preserve">DODATKI</x:t>
        </x:is>
      </x:c>
      <x:c r="E584" s="8" t="n">
        <x:f>IFERROR(INDEX('02_RAW_INDEX'!$AJ:$AJ,MATCH($A584,'02_RAW_INDEX'!$A:$A,0)),"")</x:f>
        <x:v>325</x:v>
      </x:c>
      <x:c r="F584" s="8" t="n">
        <x:f>IFERROR(INDEX('02_RAW_INDEX'!$AI:$AI,MATCH($A584,'02_RAW_INDEX'!$A:$A,0)),"")</x:f>
        <x:v>400</x:v>
      </x:c>
      <x:c r="G584" s="7" t="n">
        <x:f>'01_Ustawienia'!$B$6</x:f>
        <x:v>0</x:v>
      </x:c>
      <x:c r="H584" s="8" t="n">
        <x:f>IF(E584="","",ROUND(IF('01_Ustawienia'!$B$5="BRUTTO",F584,E584)*(1-G584),0))</x:f>
        <x:v>325</x:v>
      </x:c>
      <x:c r="I584" s="7" t="n">
        <x:f>IFERROR(IFERROR(INDEX('01_Ustawienia'!$B$15:$B$33,MATCH(B584,'01_Ustawienia'!$A$15:$A$33,0)),0.45),0.45)</x:f>
        <x:v>0.45</x:v>
      </x:c>
      <x:c r="J584" s="8" t="n">
        <x:f>IF(H584="","",ROUND(H584*(1+I584),0))</x:f>
        <x:v>471</x:v>
      </x:c>
      <x:c r="K584" s="8" t="n">
        <x:f>0</x:f>
        <x:v>0</x:v>
      </x:c>
      <x:c r="L584" s="8" t="n">
        <x:f>0</x:f>
        <x:v>0</x:v>
      </x:c>
      <x:c r="M584" s="7" t="n">
        <x:f>IF('01_Ustawienia'!$B$4="ZWOLNIONY",0,'01_Ustawienia'!$B$7)</x:f>
        <x:v>0.08</x:v>
      </x:c>
      <x:c r="N584" s="8" t="n">
        <x:f>IF(J584="","",ROUND((J584+K584)*(1+M584),0))</x:f>
        <x:v>509</x:v>
      </x:c>
      <x:c r="O584" s="8" t="n">
        <x:f>IF(J584="","",J584+K584-H584-L584)</x:f>
        <x:v>146</x:v>
      </x:c>
      <x:c r="P584" s="7" t="n">
        <x:f>IFERROR(O584/(J584+K584),"")</x:f>
        <x:v>0.3099787685774947</x:v>
      </x:c>
      <x:c r="Q584" s="6" t="inlineStr">
        <x:is>
          <x:t xml:space="preserve">RAW_OP AD/AE</x:t>
        </x:is>
      </x:c>
      <x:c r="R584" s="6" t="inlineStr">
        <x:is>
          <x:t xml:space="preserve">DODATKI</x:t>
        </x:is>
      </x:c>
      <x:c r="S584" s="6" t="inlineStr">
        <x:is>
          <x:t xml:space="preserve">crm_only</x:t>
        </x:is>
      </x:c>
      <x:c r="T584" s="6" t="n"/>
    </x:row>
    <x:row r="585">
      <x:c r="A585" s="6" t="inlineStr">
        <x:is>
          <x:t xml:space="preserve">450 x 306 cm</x:t>
        </x:is>
      </x:c>
      <x:c r="B585" s="6" t="inlineStr">
        <x:is>
          <x:t xml:space="preserve">S</x:t>
        </x:is>
      </x:c>
      <x:c r="C585" s="6" t="inlineStr">
        <x:is>
          <x:t xml:space="preserve">Szczotki przeciwkurzowe</x:t>
        </x:is>
      </x:c>
      <x:c r="D585" s="6" t="inlineStr">
        <x:is>
          <x:t xml:space="preserve">SZCZOTKI</x:t>
        </x:is>
      </x:c>
      <x:c r="E585" s="8" t="n">
        <x:f>IFERROR(INDEX('02_RAW_INDEX'!$AD:$AD,MATCH($A585,'02_RAW_INDEX'!$A:$A,0)),"")</x:f>
        <x:v>407</x:v>
      </x:c>
      <x:c r="F585" s="8" t="n">
        <x:f>IFERROR(INDEX('02_RAW_INDEX'!$AC:$AC,MATCH($A585,'02_RAW_INDEX'!$A:$A,0)),"")</x:f>
        <x:v>500</x:v>
      </x:c>
      <x:c r="G585" s="7" t="n">
        <x:f>'01_Ustawienia'!$B$6</x:f>
        <x:v>0</x:v>
      </x:c>
      <x:c r="H585" s="8" t="n">
        <x:f>IF(E585="","",ROUND(IF('01_Ustawienia'!$B$5="BRUTTO",F585,E585)*(1-G585),0))</x:f>
        <x:v>407</x:v>
      </x:c>
      <x:c r="I585" s="7" t="n">
        <x:f>IFERROR(IFERROR(INDEX('01_Ustawienia'!$B$15:$B$33,MATCH(B585,'01_Ustawienia'!$A$15:$A$33,0)),0.45),0.45)</x:f>
        <x:v>0.45</x:v>
      </x:c>
      <x:c r="J585" s="8" t="n">
        <x:f>IF(H585="","",ROUND(H585*(1+I585),0))</x:f>
        <x:v>590</x:v>
      </x:c>
      <x:c r="K585" s="8" t="n">
        <x:f>0</x:f>
        <x:v>0</x:v>
      </x:c>
      <x:c r="L585" s="8" t="n">
        <x:f>IFERROR(IFERROR(INDEX(EG_Cennik_uslug!$CA:$CA,MATCH($A585,EG_Cennik_uslug!$A:$A,0)),0),0)</x:f>
        <x:v>0</x:v>
      </x:c>
      <x:c r="M585" s="7" t="n">
        <x:f>IF('01_Ustawienia'!$B$4="ZWOLNIONY",0,'01_Ustawienia'!$B$7)</x:f>
        <x:v>0.08</x:v>
      </x:c>
      <x:c r="N585" s="8" t="n">
        <x:f>IF(J585="","",ROUND((J585+K585)*(1+M585),0))</x:f>
        <x:v>637</x:v>
      </x:c>
      <x:c r="O585" s="8" t="n">
        <x:f>IF(J585="","",J585+K585-H585-L585)</x:f>
        <x:v>183</x:v>
      </x:c>
      <x:c r="P585" s="7" t="n">
        <x:f>IFERROR(O585/(J585+K585),"")</x:f>
        <x:v>0.3101694915254237</x:v>
      </x:c>
      <x:c r="Q585" s="6" t="inlineStr">
        <x:is>
          <x:t xml:space="preserve">RAW_OP L/M</x:t>
        </x:is>
      </x:c>
      <x:c r="R585" s="6" t="inlineStr">
        <x:is>
          <x:t xml:space="preserve">DODATKI</x:t>
        </x:is>
      </x:c>
      <x:c r="S585" s="6" t="inlineStr">
        <x:is>
          <x:t xml:space="preserve">website+crm</x:t>
        </x:is>
      </x:c>
      <x:c r="T585" s="6" t="n"/>
    </x:row>
    <x:row r="586">
      <x:c r="A586" s="6" t="inlineStr">
        <x:is>
          <x:t xml:space="preserve">450 x 306 cm</x:t>
        </x:is>
      </x:c>
      <x:c r="B586" s="6" t="inlineStr">
        <x:is>
          <x:t xml:space="preserve">U</x:t>
        </x:is>
      </x:c>
      <x:c r="C586" s="6" t="inlineStr">
        <x:is>
          <x:t xml:space="preserve">Uchwyty na szkło ścienne</x:t>
        </x:is>
      </x:c>
      <x:c r="D586" s="6" t="inlineStr">
        <x:is>
          <x:t xml:space="preserve">UCHWYTY</x:t>
        </x:is>
      </x:c>
      <x:c r="E586" s="8" t="n">
        <x:f>IFERROR(INDEX('02_RAW_INDEX'!$AF:$AF,MATCH($A586,'02_RAW_INDEX'!$A:$A,0)),"")</x:f>
        <x:v>366</x:v>
      </x:c>
      <x:c r="F586" s="8" t="n">
        <x:f>IFERROR(INDEX('02_RAW_INDEX'!$AE:$AE,MATCH($A586,'02_RAW_INDEX'!$A:$A,0)),"")</x:f>
        <x:v>450</x:v>
      </x:c>
      <x:c r="G586" s="7" t="n">
        <x:f>'01_Ustawienia'!$B$6</x:f>
        <x:v>0</x:v>
      </x:c>
      <x:c r="H586" s="8" t="n">
        <x:f>IF(E586="","",ROUND(IF('01_Ustawienia'!$B$5="BRUTTO",F586,E586)*(1-G586),0))</x:f>
        <x:v>366</x:v>
      </x:c>
      <x:c r="I586" s="7" t="n">
        <x:f>IFERROR(IFERROR(INDEX('01_Ustawienia'!$B$15:$B$33,MATCH(B586,'01_Ustawienia'!$A$15:$A$33,0)),0.45),0.45)</x:f>
        <x:v>0.45</x:v>
      </x:c>
      <x:c r="J586" s="8" t="n">
        <x:f>IF(H586="","",ROUND(H586*(1+I586),0))</x:f>
        <x:v>531</x:v>
      </x:c>
      <x:c r="K586" s="8" t="n">
        <x:f>0</x:f>
        <x:v>0</x:v>
      </x:c>
      <x:c r="L586" s="8" t="n">
        <x:f>IFERROR(IFERROR(INDEX(EG_Cennik_uslug!$CH:$CH,MATCH($A586,EG_Cennik_uslug!$A:$A,0)),0),0)</x:f>
        <x:v>0</x:v>
      </x:c>
      <x:c r="M586" s="7" t="n">
        <x:f>IF('01_Ustawienia'!$B$4="ZWOLNIONY",0,'01_Ustawienia'!$B$7)</x:f>
        <x:v>0.08</x:v>
      </x:c>
      <x:c r="N586" s="8" t="n">
        <x:f>IF(J586="","",ROUND((J586+K586)*(1+M586),0))</x:f>
        <x:v>573</x:v>
      </x:c>
      <x:c r="O586" s="8" t="n">
        <x:f>IF(J586="","",J586+K586-H586-L586)</x:f>
        <x:v>165</x:v>
      </x:c>
      <x:c r="P586" s="7" t="n">
        <x:f>IFERROR(O586/(J586+K586),"")</x:f>
        <x:v>0.3107344632768362</x:v>
      </x:c>
      <x:c r="Q586" s="6" t="inlineStr">
        <x:is>
          <x:t xml:space="preserve">RAW_OP N/O</x:t>
        </x:is>
      </x:c>
      <x:c r="R586" s="6" t="inlineStr">
        <x:is>
          <x:t xml:space="preserve">DODATKI</x:t>
        </x:is>
      </x:c>
      <x:c r="S586" s="6" t="inlineStr">
        <x:is>
          <x:t xml:space="preserve">website+crm</x:t>
        </x:is>
      </x:c>
      <x:c r="T586" s="6" t="n"/>
    </x:row>
    <x:row r="587">
      <x:c r="A587" s="6" t="inlineStr">
        <x:is>
          <x:t xml:space="preserve">450 x 306 cm</x:t>
        </x:is>
      </x:c>
      <x:c r="B587" s="6" t="inlineStr">
        <x:is>
          <x:t xml:space="preserve">LED2</x:t>
        </x:is>
      </x:c>
      <x:c r="C587" s="6" t="inlineStr">
        <x:is>
          <x:t xml:space="preserve">Oświetlenie LED 2 punkty</x:t>
        </x:is>
      </x:c>
      <x:c r="D587" s="6" t="inlineStr">
        <x:is>
          <x:t xml:space="preserve">LED 2 PKT</x:t>
        </x:is>
      </x:c>
      <x:c r="E587" s="8" t="n">
        <x:f>IFERROR(INDEX('02_RAW_INDEX'!$N:$N,MATCH($A587,'02_RAW_INDEX'!$A:$A,0)),"")</x:f>
        <x:v>341</x:v>
      </x:c>
      <x:c r="F587" s="8" t="n">
        <x:f>IFERROR(INDEX('02_RAW_INDEX'!$M:$M,MATCH($A587,'02_RAW_INDEX'!$A:$A,0)),"")</x:f>
        <x:v>420</x:v>
      </x:c>
      <x:c r="G587" s="7" t="n">
        <x:f>'01_Ustawienia'!$B$6</x:f>
        <x:v>0</x:v>
      </x:c>
      <x:c r="H587" s="8" t="n">
        <x:f>IF(E587="","",ROUND(IF('01_Ustawienia'!$B$5="BRUTTO",F587,E587)*(1-G587),0))</x:f>
        <x:v>341</x:v>
      </x:c>
      <x:c r="I587" s="7" t="n">
        <x:f>IFERROR(IFERROR(INDEX('01_Ustawienia'!$B$15:$B$33,MATCH(B587,'01_Ustawienia'!$A$15:$A$33,0)),0.45),0.45)</x:f>
        <x:v>0.45</x:v>
      </x:c>
      <x:c r="J587" s="8" t="n">
        <x:f>IF(H587="","",ROUND(H587*(1+I587),0))</x:f>
        <x:v>494</x:v>
      </x:c>
      <x:c r="K587" s="8" t="n">
        <x:f>0</x:f>
        <x:v>0</x:v>
      </x:c>
      <x:c r="L587" s="8" t="n">
        <x:f>IFERROR(IFERROR(INDEX(EG_Cennik_uslug!$CO:$CO,MATCH($A587,EG_Cennik_uslug!$A:$A,0)),0),0)</x:f>
        <x:v>0</x:v>
      </x:c>
      <x:c r="M587" s="7" t="n">
        <x:f>IF('01_Ustawienia'!$B$4="ZWOLNIONY",0,'01_Ustawienia'!$B$7)</x:f>
        <x:v>0.08</x:v>
      </x:c>
      <x:c r="N587" s="8" t="n">
        <x:f>IF(J587="","",ROUND((J587+K587)*(1+M587),0))</x:f>
        <x:v>534</x:v>
      </x:c>
      <x:c r="O587" s="8" t="n">
        <x:f>IF(J587="","",J587+K587-H587-L587)</x:f>
        <x:v>153</x:v>
      </x:c>
      <x:c r="P587" s="7" t="n">
        <x:f>IFERROR(O587/(J587+K587),"")</x:f>
        <x:v>0.3097165991902834</x:v>
      </x:c>
      <x:c r="Q587" s="6" t="inlineStr">
        <x:is>
          <x:t xml:space="preserve">RAW_ZP P/Q</x:t>
        </x:is>
      </x:c>
      <x:c r="R587" s="6" t="inlineStr">
        <x:is>
          <x:t xml:space="preserve">OŚWIETLENIE</x:t>
        </x:is>
      </x:c>
      <x:c r="S587" s="6" t="inlineStr">
        <x:is>
          <x:t xml:space="preserve">website+crm</x:t>
        </x:is>
      </x:c>
      <x:c r="T587" s="6" t="n"/>
    </x:row>
    <x:row r="588">
      <x:c r="A588" s="6" t="inlineStr">
        <x:is>
          <x:t xml:space="preserve">450 x 306 cm</x:t>
        </x:is>
      </x:c>
      <x:c r="B588" s="6" t="inlineStr">
        <x:is>
          <x:t xml:space="preserve">LED3</x:t>
        </x:is>
      </x:c>
      <x:c r="C588" s="6" t="inlineStr">
        <x:is>
          <x:t xml:space="preserve">Oświetlenie LED 3 punkty</x:t>
        </x:is>
      </x:c>
      <x:c r="D588" s="6" t="inlineStr">
        <x:is>
          <x:t xml:space="preserve">LED 3 PKT</x:t>
        </x:is>
      </x:c>
      <x:c r="E588" s="8" t="n">
        <x:f>IFERROR(INDEX('02_RAW_INDEX'!$P:$P,MATCH($A588,'02_RAW_INDEX'!$A:$A,0)),"")</x:f>
        <x:v>520</x:v>
      </x:c>
      <x:c r="F588" s="8" t="n">
        <x:f>IFERROR(INDEX('02_RAW_INDEX'!$O:$O,MATCH($A588,'02_RAW_INDEX'!$A:$A,0)),"")</x:f>
        <x:v>640</x:v>
      </x:c>
      <x:c r="G588" s="7" t="n">
        <x:f>'01_Ustawienia'!$B$6</x:f>
        <x:v>0</x:v>
      </x:c>
      <x:c r="H588" s="8" t="n">
        <x:f>IF(E588="","",ROUND(IF('01_Ustawienia'!$B$5="BRUTTO",F588,E588)*(1-G588),0))</x:f>
        <x:v>520</x:v>
      </x:c>
      <x:c r="I588" s="7" t="n">
        <x:f>IFERROR(IFERROR(INDEX('01_Ustawienia'!$B$15:$B$33,MATCH(B588,'01_Ustawienia'!$A$15:$A$33,0)),0.45),0.45)</x:f>
        <x:v>0.45</x:v>
      </x:c>
      <x:c r="J588" s="8" t="n">
        <x:f>IF(H588="","",ROUND(H588*(1+I588),0))</x:f>
        <x:v>754</x:v>
      </x:c>
      <x:c r="K588" s="8" t="n">
        <x:f>0</x:f>
        <x:v>0</x:v>
      </x:c>
      <x:c r="L588" s="8" t="n">
        <x:f>IFERROR(IFERROR(INDEX(EG_Cennik_uslug!$CV:$CV,MATCH($A588,EG_Cennik_uslug!$A:$A,0)),0),0)</x:f>
        <x:v>0</x:v>
      </x:c>
      <x:c r="M588" s="7" t="n">
        <x:f>IF('01_Ustawienia'!$B$4="ZWOLNIONY",0,'01_Ustawienia'!$B$7)</x:f>
        <x:v>0.08</x:v>
      </x:c>
      <x:c r="N588" s="8" t="n">
        <x:f>IF(J588="","",ROUND((J588+K588)*(1+M588),0))</x:f>
        <x:v>814</x:v>
      </x:c>
      <x:c r="O588" s="8" t="n">
        <x:f>IF(J588="","",J588+K588-H588-L588)</x:f>
        <x:v>234</x:v>
      </x:c>
      <x:c r="P588" s="7" t="n">
        <x:f>IFERROR(O588/(J588+K588),"")</x:f>
        <x:v>0.3103448275862069</x:v>
      </x:c>
      <x:c r="Q588" s="6" t="inlineStr">
        <x:is>
          <x:t xml:space="preserve">RAW_ZP R/S</x:t>
        </x:is>
      </x:c>
      <x:c r="R588" s="6" t="inlineStr">
        <x:is>
          <x:t xml:space="preserve">OŚWIETLENIE</x:t>
        </x:is>
      </x:c>
      <x:c r="S588" s="6" t="inlineStr">
        <x:is>
          <x:t xml:space="preserve">website+crm</x:t>
        </x:is>
      </x:c>
      <x:c r="T588" s="6" t="inlineStr">
        <x:is>
          <x:t xml:space="preserve">Nazwa do potwierdzenia</x:t>
        </x:is>
      </x:c>
    </x:row>
    <x:row r="589">
      <x:c r="A589" s="6" t="inlineStr">
        <x:is>
          <x:t xml:space="preserve">450 x 306 cm</x:t>
        </x:is>
      </x:c>
      <x:c r="B589" s="6" t="inlineStr">
        <x:is>
          <x:t xml:space="preserve">LEDCCT</x:t>
        </x:is>
      </x:c>
      <x:c r="C589" s="6" t="inlineStr">
        <x:is>
          <x:t xml:space="preserve">Oświetlenie LED CCT</x:t>
        </x:is>
      </x:c>
      <x:c r="D589" s="6" t="inlineStr">
        <x:is>
          <x:t xml:space="preserve">OŚWIETLENIE</x:t>
        </x:is>
      </x:c>
      <x:c r="E589" s="8" t="n">
        <x:f>IFERROR(INDEX('02_RAW_INDEX'!$R:$R,MATCH($A589,'02_RAW_INDEX'!$A:$A,0)),"")</x:f>
        <x:v>1139</x:v>
      </x:c>
      <x:c r="F589" s="8" t="n">
        <x:f>IFERROR(INDEX('02_RAW_INDEX'!$Q:$Q,MATCH($A589,'02_RAW_INDEX'!$A:$A,0)),"")</x:f>
        <x:v>1401</x:v>
      </x:c>
      <x:c r="G589" s="7" t="n">
        <x:f>'01_Ustawienia'!$B$6</x:f>
        <x:v>0</x:v>
      </x:c>
      <x:c r="H589" s="8" t="n">
        <x:f>IF(E589="","",ROUND(IF('01_Ustawienia'!$B$5="BRUTTO",F589,E589)*(1-G589),0))</x:f>
        <x:v>1139</x:v>
      </x:c>
      <x:c r="I589" s="7" t="n">
        <x:f>IFERROR(IFERROR(INDEX('01_Ustawienia'!$B$15:$B$33,MATCH(B589,'01_Ustawienia'!$A$15:$A$33,0)),0.45),0.45)</x:f>
        <x:v>0.45</x:v>
      </x:c>
      <x:c r="J589" s="8" t="n">
        <x:f>IF(H589="","",ROUND(H589*(1+I589),0)+700)</x:f>
        <x:v>2352</x:v>
      </x:c>
      <x:c r="K589" s="8" t="n">
        <x:f>0</x:f>
        <x:v>0</x:v>
      </x:c>
      <x:c r="L589" s="8" t="n">
        <x:f>0</x:f>
        <x:v>0</x:v>
      </x:c>
      <x:c r="M589" s="7" t="n">
        <x:f>IF('01_Ustawienia'!$B$4="ZWOLNIONY",0,'01_Ustawienia'!$B$7)</x:f>
        <x:v>0.08</x:v>
      </x:c>
      <x:c r="N589" s="8" t="n">
        <x:f>IF(J589="","",ROUND((J589+K589)*(1+M589),0))</x:f>
        <x:v>2540</x:v>
      </x:c>
      <x:c r="O589" s="8" t="n">
        <x:f>IF(J589="","",J589+K589-H589-L589)</x:f>
        <x:v>1213</x:v>
      </x:c>
      <x:c r="P589" s="7" t="n">
        <x:f>IFERROR(O589/(J589+K589),"")</x:f>
        <x:v>0.5157312925170068</x:v>
      </x:c>
      <x:c r="Q589" s="715" t="inlineStr">
        <x:is>
          <x:t xml:space="preserve">MODEL_FIX15_LED</x:t>
        </x:is>
      </x:c>
      <x:c r="R589" s="6" t="inlineStr">
        <x:is>
          <x:t xml:space="preserve">OŚWIETLENIE</x:t>
        </x:is>
      </x:c>
      <x:c r="S589" s="6" t="inlineStr">
        <x:is>
          <x:t xml:space="preserve">website+crm</x:t>
        </x:is>
      </x:c>
      <x:c r="T589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590">
      <x:c r="A590" s="6" t="inlineStr">
        <x:is>
          <x:t xml:space="preserve">450 x 306 cm</x:t>
        </x:is>
      </x:c>
      <x:c r="B590" s="6" t="inlineStr">
        <x:is>
          <x:t xml:space="preserve">LEDRGBCCT</x:t>
        </x:is>
      </x:c>
      <x:c r="C590" s="6" t="inlineStr">
        <x:is>
          <x:t xml:space="preserve">Oświetlenie LED RGB CCT</x:t>
        </x:is>
      </x:c>
      <x:c r="D590" s="6" t="inlineStr">
        <x:is>
          <x:t xml:space="preserve">OŚWIETLENIE</x:t>
        </x:is>
      </x:c>
      <x:c r="E590" s="8" t="n">
        <x:f>IFERROR(INDEX('02_RAW_INDEX'!$T:$T,MATCH($A590,'02_RAW_INDEX'!$A:$A,0)),"")</x:f>
        <x:v>1419</x:v>
      </x:c>
      <x:c r="F590" s="8" t="n">
        <x:f>IFERROR(INDEX('02_RAW_INDEX'!$S:$S,MATCH($A590,'02_RAW_INDEX'!$A:$A,0)),"")</x:f>
        <x:v>1745</x:v>
      </x:c>
      <x:c r="G590" s="7" t="n">
        <x:f>'01_Ustawienia'!$B$6</x:f>
        <x:v>0</x:v>
      </x:c>
      <x:c r="H590" s="8" t="n">
        <x:f>IF(E590="","",ROUND(IF('01_Ustawienia'!$B$5="BRUTTO",F590,E590)*(1-G590),0))</x:f>
        <x:v>1419</x:v>
      </x:c>
      <x:c r="I590" s="7" t="n">
        <x:f>IFERROR(IFERROR(INDEX('01_Ustawienia'!$B$15:$B$33,MATCH(B590,'01_Ustawienia'!$A$15:$A$33,0)),0.45),0.45)</x:f>
        <x:v>0.45</x:v>
      </x:c>
      <x:c r="J590" s="8" t="n">
        <x:f>IF(H590="","",ROUND(H590*(1+I590),0))</x:f>
        <x:v>2058</x:v>
      </x:c>
      <x:c r="K590" s="8" t="n">
        <x:f>0</x:f>
        <x:v>0</x:v>
      </x:c>
      <x:c r="L590" s="8" t="n">
        <x:f>0</x:f>
        <x:v>0</x:v>
      </x:c>
      <x:c r="M590" s="7" t="n">
        <x:f>IF('01_Ustawienia'!$B$4="ZWOLNIONY",0,'01_Ustawienia'!$B$7)</x:f>
        <x:v>0.08</x:v>
      </x:c>
      <x:c r="N590" s="8" t="n">
        <x:f>IF(J590="","",ROUND((J590+K590)*(1+M590),0))</x:f>
        <x:v>2223</x:v>
      </x:c>
      <x:c r="O590" s="8" t="n">
        <x:f>IF(J590="","",J590+K590-H590-L590)</x:f>
        <x:v>639</x:v>
      </x:c>
      <x:c r="P590" s="7" t="n">
        <x:f>IFERROR(O590/(J590+K590),"")</x:f>
        <x:v>0.3104956268221574</x:v>
      </x:c>
      <x:c r="Q590" s="715" t="inlineStr">
        <x:is>
          <x:t xml:space="preserve">MODEL_FIX15_LED</x:t>
        </x:is>
      </x:c>
      <x:c r="R590" s="6" t="inlineStr">
        <x:is>
          <x:t xml:space="preserve">OŚWIETLENIE</x:t>
        </x:is>
      </x:c>
      <x:c r="S590" s="6" t="inlineStr">
        <x:is>
          <x:t xml:space="preserve">crm_only</x:t>
        </x:is>
      </x:c>
      <x:c r="T590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591" s="655" customFormat="1" ht="30" customHeight="1">
      <x:c r="A591" s="6" t="inlineStr">
        <x:is>
          <x:t xml:space="preserve">450 x 406 cm</x:t>
        </x:is>
      </x:c>
      <x:c r="B591" s="6" t="inlineStr">
        <x:is>
          <x:t xml:space="preserve">ZP</x:t>
        </x:is>
      </x:c>
      <x:c r="C591" s="6" t="inlineStr">
        <x:is>
          <x:t xml:space="preserve">Zadaszenie poliwęglan - baza</x:t>
        </x:is>
      </x:c>
      <x:c r="D591" s="6" t="inlineStr">
        <x:is>
          <x:t xml:space="preserve">ZADASZENIE POLIWĘGLAN</x:t>
        </x:is>
      </x:c>
      <x:c r="E591" s="8" t="n">
        <x:f>IFERROR(INDEX('02_RAW_INDEX'!$D:$D,MATCH($A591,'02_RAW_INDEX'!$A:$A,0)),"")</x:f>
        <x:v>7382</x:v>
      </x:c>
      <x:c r="F591" s="8" t="n">
        <x:f>IFERROR(INDEX('02_RAW_INDEX'!$C:$C,MATCH($A591,'02_RAW_INDEX'!$A:$A,0)),"")</x:f>
        <x:v>9080</x:v>
      </x:c>
      <x:c r="G591" s="7" t="n">
        <x:f>'01_Ustawienia'!$B$6</x:f>
        <x:v>0</x:v>
      </x:c>
      <x:c r="H591" s="8" t="n">
        <x:f>IF(E591="","",ROUND(IF('01_Ustawienia'!$B$5="BRUTTO",F591,E591)*(1-G591),0))</x:f>
        <x:v>7382</x:v>
      </x:c>
      <x:c r="I591" s="7" t="n">
        <x:f>IFERROR(IFERROR(INDEX('01_Ustawienia'!$B$15:$B$33,MATCH(B591,'01_Ustawienia'!$A$15:$A$33,0)),0.45),0.45)</x:f>
        <x:v>0.45</x:v>
      </x:c>
      <x:c r="J591" s="8" t="n">
        <x:f>IF(H591="","",ROUND(H591*(1+I591),0))</x:f>
        <x:v>10704</x:v>
      </x:c>
      <x:c r="K591" s="8" t="n">
        <x:f>IFERROR(IFERROR(INDEX(EG_Cennik_uslug!$F:$F,MATCH($A591,EG_Cennik_uslug!$A:$A,0)),0),0)</x:f>
        <x:v>3460</x:v>
      </x:c>
      <x:c r="L591" s="8" t="n">
        <x:f>IFERROR(IFERROR(INDEX(EG_Cennik_uslug!$G:$G,MATCH($A591,EG_Cennik_uslug!$A:$A,0)),0),0)</x:f>
        <x:v>1160</x:v>
      </x:c>
      <x:c r="M591" s="7" t="n">
        <x:f>IF('01_Ustawienia'!$B$4="ZWOLNIONY",0,'01_Ustawienia'!$B$7)</x:f>
        <x:v>0.08</x:v>
      </x:c>
      <x:c r="N591" s="8" t="n">
        <x:f>IF(J591="","",ROUND((J591+K591)*(1+M591),0))</x:f>
        <x:v>15297</x:v>
      </x:c>
      <x:c r="O591" s="8" t="n">
        <x:f>IF(J591="","",J591+K591-H591-L591)</x:f>
        <x:v>5622</x:v>
      </x:c>
      <x:c r="P591" s="7" t="n">
        <x:f>IFERROR(O591/(J591+K591),"")</x:f>
        <x:v>0.39692177351030783</x:v>
      </x:c>
      <x:c r="Q591" s="6" t="inlineStr">
        <x:is>
          <x:t xml:space="preserve">RAW_ZP B/C</x:t>
        </x:is>
      </x:c>
      <x:c r="R591" s="6" t="inlineStr">
        <x:is>
          <x:t xml:space="preserve">ZADASZENIE TARASU KONSTRUKCJA</x:t>
        </x:is>
      </x:c>
      <x:c r="S591" s="6" t="inlineStr">
        <x:is>
          <x:t xml:space="preserve">website+crm</x:t>
        </x:is>
      </x:c>
      <x:c r="T591" s="6" t="inlineStr">
        <x:is>
          <x:t xml:space="preserve">Baza dla kalkulatora</x:t>
        </x:is>
      </x:c>
    </x:row>
    <x:row r="592" s="655" customFormat="1" ht="30" customHeight="1">
      <x:c r="A592" s="6" t="inlineStr">
        <x:is>
          <x:t xml:space="preserve">450 x 406 cm</x:t>
        </x:is>
      </x:c>
      <x:c r="B592" s="6" t="inlineStr">
        <x:is>
          <x:t xml:space="preserve">ZS</x:t>
        </x:is>
      </x:c>
      <x:c r="C592" s="6" t="inlineStr">
        <x:is>
          <x:t xml:space="preserve">Zadaszenie szkło - pełna konstrukcja</x:t>
        </x:is>
      </x:c>
      <x:c r="D592" s="6" t="inlineStr">
        <x:is>
          <x:t xml:space="preserve">ZADASZENIE SZKŁO</x:t>
        </x:is>
      </x:c>
      <x:c r="E592" s="8" t="n">
        <x:f>IFERROR(INDEX('02_RAW_INDEX'!$V:$V,MATCH($A592,'02_RAW_INDEX'!$A:$A,0)),"")</x:f>
        <x:v>11252</x:v>
      </x:c>
      <x:c r="F592" s="8" t="n">
        <x:f>IFERROR(INDEX('02_RAW_INDEX'!$U:$U,MATCH($A592,'02_RAW_INDEX'!$A:$A,0)),"")</x:f>
        <x:v>13840</x:v>
      </x:c>
      <x:c r="G592" s="7" t="n">
        <x:f>'01_Ustawienia'!$B$6</x:f>
        <x:v>0</x:v>
      </x:c>
      <x:c r="H592" s="8" t="n">
        <x:f>IF(E592="","",ROUND(IF('01_Ustawienia'!$B$5="BRUTTO",F592,E592)*(1-G592),0))</x:f>
        <x:v>11252</x:v>
      </x:c>
      <x:c r="I592" s="7" t="n">
        <x:f>IFERROR(IFERROR(INDEX('01_Ustawienia'!$B$15:$B$33,MATCH(B592,'01_Ustawienia'!$A$15:$A$33,0)),0.45),0.45)</x:f>
        <x:v>0.45</x:v>
      </x:c>
      <x:c r="J592" s="8" t="n">
        <x:f>IF(H592="","",ROUND(H592*(1+I592),0))</x:f>
        <x:v>16315</x:v>
      </x:c>
      <x:c r="K592" s="8" t="n">
        <x:f>IFERROR(IFERROR(INDEX(EG_Cennik_uslug!$F:$F,MATCH($A592,EG_Cennik_uslug!$A:$A,0)),0),0)</x:f>
        <x:v>3460</x:v>
      </x:c>
      <x:c r="L592" s="8" t="n">
        <x:f>IFERROR(IFERROR(INDEX(EG_Cennik_uslug!$G:$G,MATCH($A592,EG_Cennik_uslug!$A:$A,0)),0),0)</x:f>
        <x:v>1160</x:v>
      </x:c>
      <x:c r="M592" s="7" t="n">
        <x:f>IF('01_Ustawienia'!$B$4="ZWOLNIONY",0,'01_Ustawienia'!$B$7)</x:f>
        <x:v>0.08</x:v>
      </x:c>
      <x:c r="N592" s="8" t="n">
        <x:f>IF(J592="","",ROUND((J592+K592)*(1+M592),0))</x:f>
        <x:v>21357</x:v>
      </x:c>
      <x:c r="O592" s="8" t="n">
        <x:f>IF(J592="","",J592+K592-H592-L592)</x:f>
        <x:v>7363</x:v>
      </x:c>
      <x:c r="P592" s="7" t="n">
        <x:f>IFERROR(O592/(J592+K592),"")</x:f>
        <x:v>0.37233881163084703</x:v>
      </x:c>
      <x:c r="Q592" s="6" t="inlineStr">
        <x:is>
          <x:t xml:space="preserve">RAW_ZS B/C</x:t>
        </x:is>
      </x:c>
      <x:c r="R592" s="6" t="inlineStr">
        <x:is>
          <x:t xml:space="preserve">ZADASZENIE TARASU KONSTRUKCJA</x:t>
        </x:is>
      </x:c>
      <x:c r="S592" s="6" t="inlineStr">
        <x:is>
          <x:t xml:space="preserve">crm_only</x:t>
        </x:is>
      </x:c>
      <x:c r="T592" s="6" t="inlineStr">
        <x:is>
          <x:t xml:space="preserve">Referencyjne/full; strona zwykle używa ZP + PDS</x:t>
        </x:is>
      </x:c>
    </x:row>
    <x:row r="593" s="655" customFormat="1" ht="30" customHeight="1">
      <x:c r="A593" s="6" t="inlineStr">
        <x:is>
          <x:t xml:space="preserve">450 x 406 cm</x:t>
        </x:is>
      </x:c>
      <x:c r="B593" s="6" t="inlineStr">
        <x:is>
          <x:t xml:space="preserve">OP</x:t>
        </x:is>
      </x:c>
      <x:c r="C593" s="6" t="inlineStr">
        <x:is>
          <x:t xml:space="preserve">Ogród zimowy poliwęglan - baza</x:t>
        </x:is>
      </x:c>
      <x:c r="D593" s="6" t="inlineStr">
        <x:is>
          <x:t xml:space="preserve">OGRODY POLIWĘGLAN</x:t>
        </x:is>
      </x:c>
      <x:c r="E593" s="8" t="n">
        <x:f>IFERROR(INDEX('02_RAW_INDEX'!$Z:$Z,MATCH($A593,'02_RAW_INDEX'!$A:$A,0)),"")</x:f>
        <x:v>20366</x:v>
      </x:c>
      <x:c r="F593" s="8" t="n">
        <x:f>IFERROR(INDEX('02_RAW_INDEX'!$Y:$Y,MATCH($A593,'02_RAW_INDEX'!$A:$A,0)),"")</x:f>
        <x:v>25050</x:v>
      </x:c>
      <x:c r="G593" s="7" t="n">
        <x:f>'01_Ustawienia'!$B$6</x:f>
        <x:v>0</x:v>
      </x:c>
      <x:c r="H593" s="8" t="n">
        <x:f>IF(E593="","",ROUND(IF('01_Ustawienia'!$B$5="BRUTTO",F593,E593)*(1-G593),0))</x:f>
        <x:v>20366</x:v>
      </x:c>
      <x:c r="I593" s="7" t="n">
        <x:f>IFERROR(IFERROR(INDEX('01_Ustawienia'!$B$15:$B$33,MATCH(B593,'01_Ustawienia'!$A$15:$A$33,0)),0.45),0.45)</x:f>
        <x:v>0.45</x:v>
      </x:c>
      <x:c r="J593" s="8" t="n">
        <x:f>IF(H593="","",ROUND(H593*(1+I593),0))</x:f>
        <x:v>29531</x:v>
      </x:c>
      <x:c r="K593" s="8" t="n">
        <x:f>IFERROR(IFERROR(INDEX(EG_Cennik_uslug!$N:$N,MATCH($A593,EG_Cennik_uslug!$A:$A,0)),0),0)</x:f>
        <x:v>4370</x:v>
      </x:c>
      <x:c r="L593" s="8" t="n">
        <x:f>IFERROR(IFERROR(INDEX(EG_Cennik_uslug!$O:$O,MATCH($A593,EG_Cennik_uslug!$A:$A,0)),0),0)</x:f>
        <x:v>1620</x:v>
      </x:c>
      <x:c r="M593" s="7" t="n">
        <x:f>IF('01_Ustawienia'!$B$4="ZWOLNIONY",0,'01_Ustawienia'!$B$7)</x:f>
        <x:v>0.08</x:v>
      </x:c>
      <x:c r="N593" s="8" t="n">
        <x:f>IF(J593="","",ROUND((J593+K593)*(1+M593),0))</x:f>
        <x:v>36613</x:v>
      </x:c>
      <x:c r="O593" s="8" t="n">
        <x:f>IF(J593="","",J593+K593-H593-L593)</x:f>
        <x:v>11915</x:v>
      </x:c>
      <x:c r="P593" s="7" t="n">
        <x:f>IFERROR(O593/(J593+K593),"")</x:f>
        <x:v>0.3514645585675939</x:v>
      </x:c>
      <x:c r="Q593" s="6" t="inlineStr">
        <x:is>
          <x:t xml:space="preserve">RAW_OP B/C</x:t>
        </x:is>
      </x:c>
      <x:c r="R593" s="6" t="inlineStr">
        <x:is>
          <x:t xml:space="preserve">OGRÓD ZIMOWY (KONSTRUKCJA)</x:t>
        </x:is>
      </x:c>
      <x:c r="S593" s="6" t="inlineStr">
        <x:is>
          <x:t xml:space="preserve">website+crm</x:t>
        </x:is>
      </x:c>
      <x:c r="T593" s="6" t="inlineStr">
        <x:is>
          <x:t xml:space="preserve">Do wyliczenia dopłaty za ściany</x:t>
        </x:is>
      </x:c>
    </x:row>
    <x:row r="594" s="655" customFormat="1" ht="30" customHeight="1">
      <x:c r="A594" s="6" t="inlineStr">
        <x:is>
          <x:t xml:space="preserve">450 x 406 cm</x:t>
        </x:is>
      </x:c>
      <x:c r="B594" s="6" t="inlineStr">
        <x:is>
          <x:t xml:space="preserve">OS</x:t>
        </x:is>
      </x:c>
      <x:c r="C594" s="6" t="inlineStr">
        <x:is>
          <x:t xml:space="preserve">Ogród zimowy szkło - pełna konstrukcja</x:t>
        </x:is>
      </x:c>
      <x:c r="D594" s="6" t="inlineStr">
        <x:is>
          <x:t xml:space="preserve">OGRODY SZKŁO</x:t>
        </x:is>
      </x:c>
      <x:c r="E594" s="8" t="n">
        <x:f>IFERROR(INDEX('02_RAW_INDEX'!$AL:$AL,MATCH($A594,'02_RAW_INDEX'!$A:$A,0)),"")</x:f>
        <x:v>24236</x:v>
      </x:c>
      <x:c r="F594" s="8" t="n">
        <x:f>IFERROR(INDEX('02_RAW_INDEX'!$AK:$AK,MATCH($A594,'02_RAW_INDEX'!$A:$A,0)),"")</x:f>
        <x:v>29810</x:v>
      </x:c>
      <x:c r="G594" s="7" t="n">
        <x:f>'01_Ustawienia'!$B$6</x:f>
        <x:v>0</x:v>
      </x:c>
      <x:c r="H594" s="8" t="n">
        <x:f>IF(E594="","",ROUND(IF('01_Ustawienia'!$B$5="BRUTTO",F594,E594)*(1-G594),0))</x:f>
        <x:v>24236</x:v>
      </x:c>
      <x:c r="I594" s="7" t="n">
        <x:f>IFERROR(IFERROR(INDEX('01_Ustawienia'!$B$15:$B$33,MATCH(B594,'01_Ustawienia'!$A$15:$A$33,0)),0.45),0.45)</x:f>
        <x:v>0.45</x:v>
      </x:c>
      <x:c r="J594" s="8" t="n">
        <x:f>IF(H594="","",ROUND(H594*(1+I594),0))</x:f>
        <x:v>35142</x:v>
      </x:c>
      <x:c r="K594" s="8" t="n">
        <x:f>IFERROR(IFERROR(INDEX(EG_Cennik_uslug!$N:$N,MATCH($A594,EG_Cennik_uslug!$A:$A,0)),0),0)</x:f>
        <x:v>4370</x:v>
      </x:c>
      <x:c r="L594" s="8" t="n">
        <x:f>IFERROR(IFERROR(INDEX(EG_Cennik_uslug!$O:$O,MATCH($A594,EG_Cennik_uslug!$A:$A,0)),0),0)</x:f>
        <x:v>1620</x:v>
      </x:c>
      <x:c r="M594" s="7" t="n">
        <x:f>IF('01_Ustawienia'!$B$4="ZWOLNIONY",0,'01_Ustawienia'!$B$7)</x:f>
        <x:v>0.08</x:v>
      </x:c>
      <x:c r="N594" s="8" t="n">
        <x:f>IF(J594="","",ROUND((J594+K594)*(1+M594),0))</x:f>
        <x:v>42673</x:v>
      </x:c>
      <x:c r="O594" s="8" t="n">
        <x:f>IF(J594="","",J594+K594-H594-L594)</x:f>
        <x:v>13656</x:v>
      </x:c>
      <x:c r="P594" s="7" t="n">
        <x:f>IFERROR(O594/(J594+K594),"")</x:f>
        <x:v>0.34561652156306943</x:v>
      </x:c>
      <x:c r="Q594" s="6" t="inlineStr">
        <x:is>
          <x:t xml:space="preserve">RAW_OS B/C</x:t>
        </x:is>
      </x:c>
      <x:c r="R594" s="6" t="inlineStr">
        <x:is>
          <x:t xml:space="preserve">OGRÓD ZIMOWY (KONSTRUKCJA)</x:t>
        </x:is>
      </x:c>
      <x:c r="S594" s="6" t="inlineStr">
        <x:is>
          <x:t xml:space="preserve">crm_only</x:t>
        </x:is>
      </x:c>
      <x:c r="T594" s="6" t="inlineStr">
        <x:is>
          <x:t xml:space="preserve">Referencyjne/full</x:t>
        </x:is>
      </x:c>
    </x:row>
    <x:row r="595" s="655" customFormat="1" ht="30" customHeight="1">
      <x:c r="A595" s="6" t="inlineStr">
        <x:is>
          <x:t xml:space="preserve">450 x 406 cm</x:t>
        </x:is>
      </x:c>
      <x:c r="B595" s="6" t="inlineStr">
        <x:is>
          <x:t xml:space="preserve">PDS</x:t>
        </x:is>
      </x:c>
      <x:c r="C595" s="6" t="inlineStr">
        <x:is>
          <x:t xml:space="preserve">Dopłata dach szkło przezroczyste</x:t>
        </x:is>
      </x:c>
      <x:c r="D595" s="6" t="inlineStr">
        <x:is>
          <x:t xml:space="preserve">POKRYCIE DACHU SZKŁO</x:t>
        </x:is>
      </x:c>
      <x:c r="E595" s="8" t="n">
        <x:f>IFERROR(IFERROR(INDEX('02_RAW_INDEX'!$V:$V,MATCH($A595,'02_RAW_INDEX'!$A:$A,0)),"")-IFERROR(INDEX('02_RAW_INDEX'!$D:$D,MATCH($A595,'02_RAW_INDEX'!$A:$A,0)),""),"")</x:f>
        <x:v>3870</x:v>
      </x:c>
      <x:c r="F595" s="8" t="n">
        <x:f>IFERROR(IFERROR(INDEX('02_RAW_INDEX'!$U:$U,MATCH($A595,'02_RAW_INDEX'!$A:$A,0)),"")-IFERROR(INDEX('02_RAW_INDEX'!$C:$C,MATCH($A595,'02_RAW_INDEX'!$A:$A,0)),""),"")</x:f>
        <x:v>4760</x:v>
      </x:c>
      <x:c r="G595" s="7" t="n">
        <x:f>'01_Ustawienia'!$B$6</x:f>
        <x:v>0</x:v>
      </x:c>
      <x:c r="H595" s="8" t="n">
        <x:f>IF(E595="","",ROUND(IF('01_Ustawienia'!$B$5="BRUTTO",F595,E595)*(1-G595),0))</x:f>
        <x:v>3870</x:v>
      </x:c>
      <x:c r="I595" s="7" t="n">
        <x:f>IFERROR(IFERROR(INDEX('01_Ustawienia'!$B$15:$B$33,MATCH(B595,'01_Ustawienia'!$A$15:$A$33,0)),0.45),0.45)</x:f>
        <x:v>0.45</x:v>
      </x:c>
      <x:c r="J595" s="8" t="n">
        <x:f>IF(H595="","",ROUND(H595*(1+I595),0))</x:f>
        <x:v>5612</x:v>
      </x:c>
      <x:c r="K595" s="8" t="n">
        <x:f>0</x:f>
        <x:v>0</x:v>
      </x:c>
      <x:c r="L595" s="8" t="n">
        <x:v>0</x:v>
      </x:c>
      <x:c r="M595" s="7" t="n">
        <x:f>IF('01_Ustawienia'!$B$4="ZWOLNIONY",0,'01_Ustawienia'!$B$7)</x:f>
        <x:v>0.08</x:v>
      </x:c>
      <x:c r="N595" s="8" t="n">
        <x:f>IF(J595="","",ROUND((J595+K595)*(1+M595),0))</x:f>
        <x:v>6061</x:v>
      </x:c>
      <x:c r="O595" s="8" t="n">
        <x:f>IF(J595="","",J595+K595-H595-L595)</x:f>
        <x:v>1742</x:v>
      </x:c>
      <x:c r="P595" s="7" t="n">
        <x:f>IFERROR(O595/(J595+K595),"")</x:f>
        <x:v>0.3104062722736992</x:v>
      </x:c>
      <x:c r="Q595" s="6" t="inlineStr">
        <x:is>
          <x:t xml:space="preserve">RAW_ZS - RAW_ZP</x:t>
        </x:is>
      </x:c>
      <x:c r="R595" s="6" t="inlineStr">
        <x:is>
          <x:t xml:space="preserve">POKRYCIE DACHU</x:t>
        </x:is>
      </x:c>
      <x:c r="S595" s="6" t="inlineStr">
        <x:is>
          <x:t xml:space="preserve">website+crm</x:t>
        </x:is>
      </x:c>
      <x:c r="T595" s="6" t="inlineStr">
        <x:is>
          <x:t xml:space="preserve">Dopłata do bazowego dachu poliwęglan | FIX17: Wynagr.+koszty = 0 dla dopłaty; nie jest osobnym montażem ekipy.</x:t>
        </x:is>
      </x:c>
    </x:row>
    <x:row r="596" s="655" customFormat="1" ht="30" customHeight="1">
      <x:c r="A596" s="6" t="inlineStr">
        <x:is>
          <x:t xml:space="preserve">450 x 406 cm</x:t>
        </x:is>
      </x:c>
      <x:c r="B596" s="6" t="inlineStr">
        <x:is>
          <x:t xml:space="preserve">PDSB</x:t>
        </x:is>
      </x:c>
      <x:c r="C596" s="6" t="inlineStr">
        <x:is>
          <x:t xml:space="preserve">Dopłata dach szkło barwione/mleczne</x:t>
        </x:is>
      </x:c>
      <x:c r="D596" s="6" t="inlineStr">
        <x:is>
          <x:t xml:space="preserve">POKRYCIE DACHU SZKŁO BARWIONE</x:t>
        </x:is>
      </x:c>
      <x:c r="E596" s="8" t="n">
        <x:f>IFERROR(INDEX('02_RAW_INDEX'!$X:$X,MATCH($A596,'02_RAW_INDEX'!$A:$A,0)),"")</x:f>
        <x:v>407</x:v>
      </x:c>
      <x:c r="F596" s="8" t="n">
        <x:f>IFERROR(INDEX('02_RAW_INDEX'!$W:$W,MATCH($A596,'02_RAW_INDEX'!$A:$A,0)),"")</x:f>
        <x:v>500</x:v>
      </x:c>
      <x:c r="G596" s="7" t="n">
        <x:f>'01_Ustawienia'!$B$6</x:f>
        <x:v>0</x:v>
      </x:c>
      <x:c r="H596" s="8" t="n">
        <x:f>IF(E596="","",ROUND(IF('01_Ustawienia'!$B$5="BRUTTO",F596,E596)*(1-G596),0))</x:f>
        <x:v>407</x:v>
      </x:c>
      <x:c r="I596" s="7" t="n">
        <x:f>IFERROR(IFERROR(INDEX('01_Ustawienia'!$B$15:$B$33,MATCH(B596,'01_Ustawienia'!$A$15:$A$33,0)),0.45),0.45)</x:f>
        <x:v>0.45</x:v>
      </x:c>
      <x:c r="J596" s="8" t="n">
        <x:f>IF(H596="","",ROUND(H596*(1+I596),0))</x:f>
        <x:v>590</x:v>
      </x:c>
      <x:c r="K596" s="8" t="n">
        <x:f>0</x:f>
        <x:v>0</x:v>
      </x:c>
      <x:c r="L596" s="8" t="n">
        <x:v>0</x:v>
      </x:c>
      <x:c r="M596" s="7" t="n">
        <x:f>IF('01_Ustawienia'!$B$4="ZWOLNIONY",0,'01_Ustawienia'!$B$7)</x:f>
        <x:v>0.08</x:v>
      </x:c>
      <x:c r="N596" s="8" t="n">
        <x:f>IF(J596="","",ROUND((J596+K596)*(1+M596),0))</x:f>
        <x:v>637</x:v>
      </x:c>
      <x:c r="O596" s="8" t="n">
        <x:f>IF(J596="","",J596+K596-H596-L596)</x:f>
        <x:v>183</x:v>
      </x:c>
      <x:c r="P596" s="7" t="n">
        <x:f>IFERROR(O596/(J596+K596),"")</x:f>
        <x:v>0.3101694915254237</x:v>
      </x:c>
      <x:c r="Q596" s="6" t="inlineStr">
        <x:is>
          <x:t xml:space="preserve">RAW_ZS D/E</x:t>
        </x:is>
      </x:c>
      <x:c r="R596" s="6" t="inlineStr">
        <x:is>
          <x:t xml:space="preserve">POKRYCIE DACHU</x:t>
        </x:is>
      </x:c>
      <x:c r="S596" s="6" t="inlineStr">
        <x:is>
          <x:t xml:space="preserve">website+crm</x:t>
        </x:is>
      </x:c>
      <x:c r="T596" s="6" t="inlineStr">
        <x:is>
          <x:t xml:space="preserve">Dodawane do PDS | FIX17: Wynagr.+koszty = 0 dla dopłaty; nie jest osobnym montażem ekipy.</x:t>
        </x:is>
      </x:c>
    </x:row>
    <x:row r="597" s="655" customFormat="1" ht="30" customHeight="1">
      <x:c r="A597" s="6" t="inlineStr">
        <x:is>
          <x:t xml:space="preserve">450 x 406 cm</x:t>
        </x:is>
      </x:c>
      <x:c r="B597" s="6" t="inlineStr">
        <x:is>
          <x:t xml:space="preserve">PDPB</x:t>
        </x:is>
      </x:c>
      <x:c r="C597" s="6" t="inlineStr">
        <x:is>
          <x:t xml:space="preserve">Dopłata poliwęglan barwiony</x:t>
        </x:is>
      </x:c>
      <x:c r="D597" s="6" t="inlineStr">
        <x:is>
          <x:t xml:space="preserve">POKRYCIE DACHU POLIWĘGLAN BARWIONY</x:t>
        </x:is>
      </x:c>
      <x:c r="E597" s="8" t="n">
        <x:f>IFERROR(INDEX('02_RAW_INDEX'!$F:$F,MATCH($A597,'02_RAW_INDEX'!$A:$A,0)),"")</x:f>
        <x:v>309</x:v>
      </x:c>
      <x:c r="F597" s="8" t="n">
        <x:f>IFERROR(INDEX('02_RAW_INDEX'!$E:$E,MATCH($A597,'02_RAW_INDEX'!$A:$A,0)),"")</x:f>
        <x:v>380</x:v>
      </x:c>
      <x:c r="G597" s="7" t="n">
        <x:f>'01_Ustawienia'!$B$6</x:f>
        <x:v>0</x:v>
      </x:c>
      <x:c r="H597" s="8" t="n">
        <x:f>IF(E597="","",ROUND(IF('01_Ustawienia'!$B$5="BRUTTO",F597,E597)*(1-G597),0))</x:f>
        <x:v>309</x:v>
      </x:c>
      <x:c r="I597" s="7" t="n">
        <x:f>IFERROR(IFERROR(INDEX('01_Ustawienia'!$B$15:$B$33,MATCH(B597,'01_Ustawienia'!$A$15:$A$33,0)),0.45),0.45)</x:f>
        <x:v>0.45</x:v>
      </x:c>
      <x:c r="J597" s="8" t="n">
        <x:f>IF(H597="","",ROUND(H597*(1+I597),0))</x:f>
        <x:v>448</x:v>
      </x:c>
      <x:c r="K597" s="8" t="n">
        <x:f>0</x:f>
        <x:v>0</x:v>
      </x:c>
      <x:c r="L597" s="8" t="n">
        <x:v>0</x:v>
      </x:c>
      <x:c r="M597" s="7" t="n">
        <x:f>IF('01_Ustawienia'!$B$4="ZWOLNIONY",0,'01_Ustawienia'!$B$7)</x:f>
        <x:v>0.08</x:v>
      </x:c>
      <x:c r="N597" s="8" t="n">
        <x:f>IF(J597="","",ROUND((J597+K597)*(1+M597),0))</x:f>
        <x:v>484</x:v>
      </x:c>
      <x:c r="O597" s="8" t="n">
        <x:f>IF(J597="","",J597+K597-H597-L597)</x:f>
        <x:v>139</x:v>
      </x:c>
      <x:c r="P597" s="7" t="n">
        <x:f>IFERROR(O597/(J597+K597),"")</x:f>
        <x:v>0.31026785714285715</x:v>
      </x:c>
      <x:c r="Q597" s="6" t="inlineStr">
        <x:is>
          <x:t xml:space="preserve">RAW_ZP D/E</x:t>
        </x:is>
      </x:c>
      <x:c r="R597" s="6" t="inlineStr">
        <x:is>
          <x:t xml:space="preserve">POKRYCIE DACHU</x:t>
        </x:is>
      </x:c>
      <x:c r="S597" s="6" t="inlineStr">
        <x:is>
          <x:t xml:space="preserve">website+crm</x:t>
        </x:is>
      </x:c>
      <x:c r="T597" s="6" t="inlineStr">
        <x:is>
          <x:t xml:space="preserve">FIX17: Wynagr.+koszty = 0 dla dopłaty; nie jest osobnym montażem ekipy.</x:t>
        </x:is>
      </x:c>
    </x:row>
    <x:row r="598" s="655" customFormat="1" ht="30" customHeight="1">
      <x:c r="A598" s="6" t="inlineStr">
        <x:is>
          <x:t xml:space="preserve">450 x 406 cm</x:t>
        </x:is>
      </x:c>
      <x:c r="B598" s="6" t="inlineStr">
        <x:is>
          <x:t xml:space="preserve">SBB</x:t>
        </x:is>
      </x:c>
      <x:c r="C598" s="6" t="inlineStr">
        <x:is>
          <x:t xml:space="preserve">Dopłata szkło boczne przyciemniane</x:t>
        </x:is>
      </x:c>
      <x:c r="D598" s="6" t="inlineStr">
        <x:is>
          <x:t xml:space="preserve">SZKŁO BOCZNE BARWIONE</x:t>
        </x:is>
      </x:c>
      <x:c r="E598" s="8" t="n">
        <x:f>IFERROR(INDEX('02_RAW_INDEX'!$AB:$AB,MATCH($A598,'02_RAW_INDEX'!$A:$A,0)),"")</x:f>
        <x:v>1366</x:v>
      </x:c>
      <x:c r="F598" s="8" t="n">
        <x:f>IFERROR(INDEX('02_RAW_INDEX'!$AA:$AA,MATCH($A598,'02_RAW_INDEX'!$A:$A,0)),"")</x:f>
        <x:v>1680</x:v>
      </x:c>
      <x:c r="G598" s="7" t="n">
        <x:f>'01_Ustawienia'!$B$6</x:f>
        <x:v>0</x:v>
      </x:c>
      <x:c r="H598" s="8" t="n">
        <x:f>IF(E598="","",ROUND(IF('01_Ustawienia'!$B$5="BRUTTO",F598,E598)*(1-G598),0))</x:f>
        <x:v>1366</x:v>
      </x:c>
      <x:c r="I598" s="7" t="n">
        <x:f>IFERROR(IFERROR(INDEX('01_Ustawienia'!$B$15:$B$33,MATCH(B598,'01_Ustawienia'!$A$15:$A$33,0)),0.45),0.45)</x:f>
        <x:v>0.45</x:v>
      </x:c>
      <x:c r="J598" s="8" t="n">
        <x:f>IF(H598="","",ROUND(H598*(1+I598),0))</x:f>
        <x:v>1981</x:v>
      </x:c>
      <x:c r="K598" s="8" t="n">
        <x:f>0</x:f>
        <x:v>0</x:v>
      </x:c>
      <x:c r="L598" s="8" t="n">
        <x:v>0</x:v>
      </x:c>
      <x:c r="M598" s="7" t="n">
        <x:f>IF('01_Ustawienia'!$B$4="ZWOLNIONY",0,'01_Ustawienia'!$B$7)</x:f>
        <x:v>0.08</x:v>
      </x:c>
      <x:c r="N598" s="8" t="n">
        <x:f>IF(J598="","",ROUND((J598+K598)*(1+M598),0))</x:f>
        <x:v>2139</x:v>
      </x:c>
      <x:c r="O598" s="8" t="n">
        <x:f>IF(J598="","",J598+K598-H598-L598)</x:f>
        <x:v>615</x:v>
      </x:c>
      <x:c r="P598" s="7" t="n">
        <x:f>IFERROR(O598/(J598+K598),"")</x:f>
        <x:v>0.3104492680464412</x:v>
      </x:c>
      <x:c r="Q598" s="6" t="inlineStr">
        <x:is>
          <x:t xml:space="preserve">RAW_OP H/I</x:t>
        </x:is>
      </x:c>
      <x:c r="R598" s="6" t="inlineStr">
        <x:is>
          <x:t xml:space="preserve">SZYBY BOCZNE</x:t>
        </x:is>
      </x:c>
      <x:c r="S598" s="6" t="inlineStr">
        <x:is>
          <x:t xml:space="preserve">website+crm</x:t>
        </x:is>
      </x:c>
      <x:c r="T598" s="6" t="inlineStr">
        <x:is>
          <x:t xml:space="preserve">Dodawane do ścian przezroczystych | FIX17: Wynagr.+koszty = 0 dla dopłaty; nie jest osobnym montażem ekipy.</x:t>
        </x:is>
      </x:c>
    </x:row>
    <x:row r="599">
      <x:c r="A599" s="6" t="inlineStr">
        <x:is>
          <x:t xml:space="preserve">450 x 406 cm</x:t>
        </x:is>
      </x:c>
      <x:c r="B599" s="6" t="inlineStr">
        <x:is>
          <x:t xml:space="preserve">RB</x:t>
        </x:is>
      </x:c>
      <x:c r="C599" s="6" t="inlineStr">
        <x:is>
          <x:t xml:space="preserve">Roleta boczna ZIP</x:t>
        </x:is>
      </x:c>
      <x:c r="D599" s="6" t="inlineStr">
        <x:is>
          <x:t xml:space="preserve">ROLETA BOCZNA</x:t>
        </x:is>
      </x:c>
      <x:c r="E599" s="8" t="n">
        <x:f>IFERROR(INDEX('02_RAW_INDEX'!$J:$J,MATCH($A599,'02_RAW_INDEX'!$A:$A,0)),"")</x:f>
        <x:v>2569</x:v>
      </x:c>
      <x:c r="F599" s="8" t="n">
        <x:f>IFERROR(INDEX('02_RAW_INDEX'!$I:$I,MATCH($A599,'02_RAW_INDEX'!$A:$A,0)),"")</x:f>
        <x:v>3160</x:v>
      </x:c>
      <x:c r="G599" s="7" t="n">
        <x:f>'01_Ustawienia'!$B$6</x:f>
        <x:v>0</x:v>
      </x:c>
      <x:c r="H599" s="8" t="n">
        <x:f>IF(E599="","",ROUND(IF('01_Ustawienia'!$B$5="BRUTTO",F599,E599)*(1-G599),0))</x:f>
        <x:v>2569</x:v>
      </x:c>
      <x:c r="I599" s="7" t="n">
        <x:f>IFERROR(IFERROR(INDEX('01_Ustawienia'!$B$15:$B$33,MATCH(B599,'01_Ustawienia'!$A$15:$A$33,0)),0.45),0.45)</x:f>
        <x:v>0.45</x:v>
      </x:c>
      <x:c r="J599" s="8" t="n">
        <x:f>IF(H599="","",ROUND(H599*(1+I599),0))</x:f>
        <x:v>3725</x:v>
      </x:c>
      <x:c r="K599" s="8" t="n">
        <x:f>0</x:f>
        <x:v>0</x:v>
      </x:c>
      <x:c r="L599" s="8" t="n">
        <x:f>IFERROR(IFERROR(INDEX(EG_Cennik_uslug!$AC:$AC,MATCH($A599,EG_Cennik_uslug!$A:$A,0)),0),0)</x:f>
        <x:v>150</x:v>
      </x:c>
      <x:c r="M599" s="7" t="n">
        <x:f>IF('01_Ustawienia'!$B$4="ZWOLNIONY",0,'01_Ustawienia'!$B$7)</x:f>
        <x:v>0.08</x:v>
      </x:c>
      <x:c r="N599" s="8" t="n">
        <x:f>IF(J599="","",ROUND((J599+K599)*(1+M599),0))</x:f>
        <x:v>4023</x:v>
      </x:c>
      <x:c r="O599" s="8" t="n">
        <x:f>IF(J599="","",J599+K599-H599-L599)</x:f>
        <x:v>1006</x:v>
      </x:c>
      <x:c r="P599" s="7" t="n">
        <x:f>IFERROR(O599/(J599+K599),"")</x:f>
        <x:v>0.2700671140939597</x:v>
      </x:c>
      <x:c r="Q599" s="6" t="inlineStr">
        <x:is>
          <x:t xml:space="preserve">RAW_ZP J/K</x:t>
        </x:is>
      </x:c>
      <x:c r="R599" s="6" t="inlineStr">
        <x:is>
          <x:t xml:space="preserve">ROLETY BOCZNE</x:t>
        </x:is>
      </x:c>
      <x:c r="S599" s="6" t="inlineStr">
        <x:is>
          <x:t xml:space="preserve">website+crm</x:t>
        </x:is>
      </x:c>
      <x:c r="T599" s="6" t="inlineStr">
        <x:is>
          <x:t xml:space="preserve">Używana dla lewej i prawej</x:t>
        </x:is>
      </x:c>
    </x:row>
    <x:row r="600">
      <x:c r="A600" s="6" t="inlineStr">
        <x:is>
          <x:t xml:space="preserve">450 x 406 cm</x:t>
        </x:is>
      </x:c>
      <x:c r="B600" s="6" t="inlineStr">
        <x:is>
          <x:t xml:space="preserve">RP</x:t>
        </x:is>
      </x:c>
      <x:c r="C600" s="6" t="inlineStr">
        <x:is>
          <x:t xml:space="preserve">Roleta przednia ZIP</x:t>
        </x:is>
      </x:c>
      <x:c r="D600" s="6" t="inlineStr">
        <x:is>
          <x:t xml:space="preserve">ROLETA PRZÓD</x:t>
        </x:is>
      </x:c>
      <x:c r="E600" s="8" t="n">
        <x:f>IFERROR(INDEX('02_RAW_INDEX'!$L:$L,MATCH($A600,'02_RAW_INDEX'!$A:$A,0)),"")</x:f>
        <x:v>2146</x:v>
      </x:c>
      <x:c r="F600" s="8" t="n">
        <x:f>IFERROR(INDEX('02_RAW_INDEX'!$K:$K,MATCH($A600,'02_RAW_INDEX'!$A:$A,0)),"")</x:f>
        <x:v>2640</x:v>
      </x:c>
      <x:c r="G600" s="7" t="n">
        <x:f>'01_Ustawienia'!$B$6</x:f>
        <x:v>0</x:v>
      </x:c>
      <x:c r="H600" s="8" t="n">
        <x:f>IF(E600="","",ROUND(IF('01_Ustawienia'!$B$5="BRUTTO",F600,E600)*(1-G600),0))</x:f>
        <x:v>2146</x:v>
      </x:c>
      <x:c r="I600" s="7" t="n">
        <x:f>IFERROR(IFERROR(INDEX('01_Ustawienia'!$B$15:$B$33,MATCH(B600,'01_Ustawienia'!$A$15:$A$33,0)),0.45),0.45)</x:f>
        <x:v>0.45</x:v>
      </x:c>
      <x:c r="J600" s="8" t="n">
        <x:f>IF(H600="","",ROUND(H600*(1+I600),0))</x:f>
        <x:v>3112</x:v>
      </x:c>
      <x:c r="K600" s="8" t="n">
        <x:f>0</x:f>
        <x:v>0</x:v>
      </x:c>
      <x:c r="L600" s="8" t="n">
        <x:f>IFERROR(IFERROR(INDEX(EG_Cennik_uslug!$AJ:$AJ,MATCH($A600,EG_Cennik_uslug!$A:$A,0)),0),0)</x:f>
        <x:v>150</x:v>
      </x:c>
      <x:c r="M600" s="7" t="n">
        <x:f>IF('01_Ustawienia'!$B$4="ZWOLNIONY",0,'01_Ustawienia'!$B$7)</x:f>
        <x:v>0.08</x:v>
      </x:c>
      <x:c r="N600" s="8" t="n">
        <x:f>IF(J600="","",ROUND((J600+K600)*(1+M600),0))</x:f>
        <x:v>3361</x:v>
      </x:c>
      <x:c r="O600" s="8" t="n">
        <x:f>IF(J600="","",J600+K600-H600-L600)</x:f>
        <x:v>816</x:v>
      </x:c>
      <x:c r="P600" s="7" t="n">
        <x:f>IFERROR(O600/(J600+K600),"")</x:f>
        <x:v>0.2622107969151671</x:v>
      </x:c>
      <x:c r="Q600" s="6" t="inlineStr">
        <x:is>
          <x:t xml:space="preserve">RAW_ZP N/O</x:t>
        </x:is>
      </x:c>
      <x:c r="R600" s="6" t="inlineStr">
        <x:is>
          <x:t xml:space="preserve">ROLETY BOCZNE</x:t>
        </x:is>
      </x:c>
      <x:c r="S600" s="6" t="inlineStr">
        <x:is>
          <x:t xml:space="preserve">website+crm</x:t>
        </x:is>
      </x:c>
      <x:c r="T600" s="6" t="n"/>
    </x:row>
    <x:row r="601">
      <x:c r="A601" s="6" t="inlineStr">
        <x:is>
          <x:t xml:space="preserve">450 x 406 cm</x:t>
        </x:is>
      </x:c>
      <x:c r="B601" s="6" t="inlineStr">
        <x:is>
          <x:t xml:space="preserve">M</x:t>
        </x:is>
      </x:c>
      <x:c r="C601" s="6" t="inlineStr">
        <x:is>
          <x:t xml:space="preserve">Markiza dachowa</x:t>
        </x:is>
      </x:c>
      <x:c r="D601" s="6" t="inlineStr">
        <x:is>
          <x:t xml:space="preserve">MARKIZA</x:t>
        </x:is>
      </x:c>
      <x:c r="E601" s="8" t="n">
        <x:f>IFERROR(INDEX('02_RAW_INDEX'!$H:$H,MATCH($A601,'02_RAW_INDEX'!$A:$A,0)),"")</x:f>
        <x:v>3797</x:v>
      </x:c>
      <x:c r="F601" s="8" t="n">
        <x:f>IFERROR(INDEX('02_RAW_INDEX'!$G:$G,MATCH($A601,'02_RAW_INDEX'!$A:$A,0)),"")</x:f>
        <x:v>4670</x:v>
      </x:c>
      <x:c r="G601" s="7" t="n">
        <x:f>'01_Ustawienia'!$B$6</x:f>
        <x:v>0</x:v>
      </x:c>
      <x:c r="H601" s="8" t="n">
        <x:f>IF(E601="","",ROUND(IF('01_Ustawienia'!$B$5="BRUTTO",F601,E601)*(1-G601),0))</x:f>
        <x:v>3797</x:v>
      </x:c>
      <x:c r="I601" s="7" t="n">
        <x:f>IFERROR(IFERROR(INDEX('01_Ustawienia'!$B$15:$B$33,MATCH(B601,'01_Ustawienia'!$A$15:$A$33,0)),0.45),0.45)</x:f>
        <x:v>0.45</x:v>
      </x:c>
      <x:c r="J601" s="8" t="n">
        <x:f>IF(H601="","",ROUND(H601*(1+I601),0))</x:f>
        <x:v>5506</x:v>
      </x:c>
      <x:c r="K601" s="8" t="n">
        <x:f>0</x:f>
        <x:v>0</x:v>
      </x:c>
      <x:c r="L601" s="8" t="n">
        <x:f>IFERROR(IFERROR(INDEX(EG_Cennik_uslug!$AQ:$AQ,MATCH($A601,EG_Cennik_uslug!$A:$A,0)),0),0)</x:f>
        <x:v>250</x:v>
      </x:c>
      <x:c r="M601" s="7" t="n">
        <x:f>IF('01_Ustawienia'!$B$4="ZWOLNIONY",0,'01_Ustawienia'!$B$7)</x:f>
        <x:v>0.08</x:v>
      </x:c>
      <x:c r="N601" s="8" t="n">
        <x:f>IF(J601="","",ROUND((J601+K601)*(1+M601),0))</x:f>
        <x:v>5946</x:v>
      </x:c>
      <x:c r="O601" s="8" t="n">
        <x:f>IF(J601="","",J601+K601-H601-L601)</x:f>
        <x:v>1459</x:v>
      </x:c>
      <x:c r="P601" s="7" t="n">
        <x:f>IFERROR(O601/(J601+K601),"")</x:f>
        <x:v>0.2649836541954232</x:v>
      </x:c>
      <x:c r="Q601" s="6" t="inlineStr">
        <x:is>
          <x:t xml:space="preserve">RAW_ZP H/I</x:t>
        </x:is>
      </x:c>
      <x:c r="R601" s="6" t="inlineStr">
        <x:is>
          <x:t xml:space="preserve">MARKIZA</x:t>
        </x:is>
      </x:c>
      <x:c r="S601" s="6" t="inlineStr">
        <x:is>
          <x:t xml:space="preserve">website+crm</x:t>
        </x:is>
      </x:c>
      <x:c r="T601" s="6" t="n"/>
    </x:row>
    <x:row r="602">
      <x:c r="A602" s="6" t="inlineStr">
        <x:is>
          <x:t xml:space="preserve">450 x 406 cm</x:t>
        </x:is>
      </x:c>
      <x:c r="B602" s="6" t="inlineStr">
        <x:is>
          <x:t xml:space="preserve">PDWP</x:t>
        </x:is>
      </x:c>
      <x:c r="C602" s="6" t="inlineStr">
        <x:is>
          <x:t xml:space="preserve">Fundament/profile</x:t>
        </x:is>
      </x:c>
      <x:c r="D602" s="6" t="inlineStr">
        <x:is>
          <x:t xml:space="preserve">FUNDAMENT / PROFILE</x:t>
        </x:is>
      </x:c>
      <x:c r="E602" s="8" t="n">
        <x:f>IFERROR(INDEX('02_RAW_INDEX'!$AH:$AH,MATCH($A602,'02_RAW_INDEX'!$A:$A,0)),"")</x:f>
        <x:v>1041</x:v>
      </x:c>
      <x:c r="F602" s="8" t="n">
        <x:f>IFERROR(INDEX('02_RAW_INDEX'!$AG:$AG,MATCH($A602,'02_RAW_INDEX'!$A:$A,0)),"")</x:f>
        <x:v>1280</x:v>
      </x:c>
      <x:c r="G602" s="7" t="n">
        <x:f>'01_Ustawienia'!$B$6</x:f>
        <x:v>0</x:v>
      </x:c>
      <x:c r="H602" s="8" t="n">
        <x:f>IF(E602="","",ROUND(IF('01_Ustawienia'!$B$5="BRUTTO",F602,E602)*(1-G602),0))</x:f>
        <x:v>1041</x:v>
      </x:c>
      <x:c r="I602" s="7" t="n">
        <x:f>IFERROR(IFERROR(INDEX('01_Ustawienia'!$B$15:$B$33,MATCH(B602,'01_Ustawienia'!$A$15:$A$33,0)),0.45),0.45)</x:f>
        <x:v>1.2</x:v>
      </x:c>
      <x:c r="J602" s="8" t="n">
        <x:f>IF(H602="","",ROUND(H602*(1+I602),0))</x:f>
        <x:v>2290</x:v>
      </x:c>
      <x:c r="K602" s="8" t="n">
        <x:f>0</x:f>
        <x:v>0</x:v>
      </x:c>
      <x:c r="L602" s="8" t="n">
        <x:f>IFERROR(IFERROR(INDEX(EG_Cennik_uslug!$BT:$BT,MATCH($A602,EG_Cennik_uslug!$A:$A,0)),0),0)</x:f>
        <x:v>490</x:v>
      </x:c>
      <x:c r="M602" s="7" t="n">
        <x:f>IF('01_Ustawienia'!$B$4="ZWOLNIONY",0,'01_Ustawienia'!$B$7)</x:f>
        <x:v>0.08</x:v>
      </x:c>
      <x:c r="N602" s="8" t="n">
        <x:f>IF(J602="","",ROUND((J602+K602)*(1+M602),0))</x:f>
        <x:v>2473</x:v>
      </x:c>
      <x:c r="O602" s="8" t="n">
        <x:f>IF(J602="","",J602+K602-H602-L602)</x:f>
        <x:v>759</x:v>
      </x:c>
      <x:c r="P602" s="7" t="n">
        <x:f>IFERROR(O602/(J602+K602),"")</x:f>
        <x:v>0.3314410480349345</x:v>
      </x:c>
      <x:c r="Q602" s="6" t="inlineStr">
        <x:is>
          <x:t xml:space="preserve">RAW_OP AB/AC</x:t>
        </x:is>
      </x:c>
      <x:c r="R602" s="6" t="inlineStr">
        <x:is>
          <x:t xml:space="preserve">FUNDAMENT (PROFILE)</x:t>
        </x:is>
      </x:c>
      <x:c r="S602" s="6" t="inlineStr">
        <x:is>
          <x:t xml:space="preserve">website+crm</x:t>
        </x:is>
      </x:c>
      <x:c r="T602" s="6" t="n"/>
    </x:row>
    <x:row r="603" s="655" customFormat="1" ht="30" customHeight="1">
      <x:c r="A603" s="6" t="inlineStr">
        <x:is>
          <x:t xml:space="preserve">450 x 406 cm</x:t>
        </x:is>
      </x:c>
      <x:c r="B603" s="6" t="inlineStr">
        <x:is>
          <x:t xml:space="preserve">ZAB</x:t>
        </x:is>
      </x:c>
      <x:c r="C603" s="6" t="inlineStr">
        <x:is>
          <x:t xml:space="preserve">Zabieraki do ścian przesuwnych</x:t>
        </x:is>
      </x:c>
      <x:c r="D603" s="6" t="inlineStr">
        <x:is>
          <x:t xml:space="preserve">DODATKI</x:t>
        </x:is>
      </x:c>
      <x:c r="E603" s="8" t="n">
        <x:f>IFERROR(INDEX('02_RAW_INDEX'!$AJ:$AJ,MATCH($A603,'02_RAW_INDEX'!$A:$A,0)),"")</x:f>
        <x:v>358</x:v>
      </x:c>
      <x:c r="F603" s="8" t="n">
        <x:f>IFERROR(INDEX('02_RAW_INDEX'!$AI:$AI,MATCH($A603,'02_RAW_INDEX'!$A:$A,0)),"")</x:f>
        <x:v>440</x:v>
      </x:c>
      <x:c r="G603" s="7" t="n">
        <x:f>'01_Ustawienia'!$B$6</x:f>
        <x:v>0</x:v>
      </x:c>
      <x:c r="H603" s="8" t="n">
        <x:f>IF(E603="","",ROUND(IF('01_Ustawienia'!$B$5="BRUTTO",F603,E603)*(1-G603),0))</x:f>
        <x:v>358</x:v>
      </x:c>
      <x:c r="I603" s="7" t="n">
        <x:f>IFERROR(IFERROR(INDEX('01_Ustawienia'!$B$15:$B$33,MATCH(B603,'01_Ustawienia'!$A$15:$A$33,0)),0.45),0.45)</x:f>
        <x:v>0.45</x:v>
      </x:c>
      <x:c r="J603" s="8" t="n">
        <x:f>IF(H603="","",ROUND(H603*(1+I603),0))</x:f>
        <x:v>519</x:v>
      </x:c>
      <x:c r="K603" s="8" t="n">
        <x:f>0</x:f>
        <x:v>0</x:v>
      </x:c>
      <x:c r="L603" s="8" t="n">
        <x:f>0</x:f>
        <x:v>0</x:v>
      </x:c>
      <x:c r="M603" s="7" t="n">
        <x:f>IF('01_Ustawienia'!$B$4="ZWOLNIONY",0,'01_Ustawienia'!$B$7)</x:f>
        <x:v>0.08</x:v>
      </x:c>
      <x:c r="N603" s="8" t="n">
        <x:f>IF(J603="","",ROUND((J603+K603)*(1+M603),0))</x:f>
        <x:v>561</x:v>
      </x:c>
      <x:c r="O603" s="8" t="n">
        <x:f>IF(J603="","",J603+K603-H603-L603)</x:f>
        <x:v>161</x:v>
      </x:c>
      <x:c r="P603" s="7" t="n">
        <x:f>IFERROR(O603/(J603+K603),"")</x:f>
        <x:v>0.31021194605009633</x:v>
      </x:c>
      <x:c r="Q603" s="6" t="inlineStr">
        <x:is>
          <x:t xml:space="preserve">RAW_OP AD/AE</x:t>
        </x:is>
      </x:c>
      <x:c r="R603" s="6" t="inlineStr">
        <x:is>
          <x:t xml:space="preserve">DODATKI</x:t>
        </x:is>
      </x:c>
      <x:c r="S603" s="6" t="inlineStr">
        <x:is>
          <x:t xml:space="preserve">crm_only</x:t>
        </x:is>
      </x:c>
      <x:c r="T603" s="6" t="n"/>
    </x:row>
    <x:row r="604">
      <x:c r="A604" s="6" t="inlineStr">
        <x:is>
          <x:t xml:space="preserve">450 x 406 cm</x:t>
        </x:is>
      </x:c>
      <x:c r="B604" s="6" t="inlineStr">
        <x:is>
          <x:t xml:space="preserve">S</x:t>
        </x:is>
      </x:c>
      <x:c r="C604" s="6" t="inlineStr">
        <x:is>
          <x:t xml:space="preserve">Szczotki przeciwkurzowe</x:t>
        </x:is>
      </x:c>
      <x:c r="D604" s="6" t="inlineStr">
        <x:is>
          <x:t xml:space="preserve">SZCZOTKI</x:t>
        </x:is>
      </x:c>
      <x:c r="E604" s="8" t="n">
        <x:f>IFERROR(INDEX('02_RAW_INDEX'!$AD:$AD,MATCH($A604,'02_RAW_INDEX'!$A:$A,0)),"")</x:f>
        <x:v>431</x:v>
      </x:c>
      <x:c r="F604" s="8" t="n">
        <x:f>IFERROR(INDEX('02_RAW_INDEX'!$AC:$AC,MATCH($A604,'02_RAW_INDEX'!$A:$A,0)),"")</x:f>
        <x:v>530</x:v>
      </x:c>
      <x:c r="G604" s="7" t="n">
        <x:f>'01_Ustawienia'!$B$6</x:f>
        <x:v>0</x:v>
      </x:c>
      <x:c r="H604" s="8" t="n">
        <x:f>IF(E604="","",ROUND(IF('01_Ustawienia'!$B$5="BRUTTO",F604,E604)*(1-G604),0))</x:f>
        <x:v>431</x:v>
      </x:c>
      <x:c r="I604" s="7" t="n">
        <x:f>IFERROR(IFERROR(INDEX('01_Ustawienia'!$B$15:$B$33,MATCH(B604,'01_Ustawienia'!$A$15:$A$33,0)),0.45),0.45)</x:f>
        <x:v>0.45</x:v>
      </x:c>
      <x:c r="J604" s="8" t="n">
        <x:f>IF(H604="","",ROUND(H604*(1+I604),0))</x:f>
        <x:v>625</x:v>
      </x:c>
      <x:c r="K604" s="8" t="n">
        <x:f>0</x:f>
        <x:v>0</x:v>
      </x:c>
      <x:c r="L604" s="8" t="n">
        <x:f>IFERROR(IFERROR(INDEX(EG_Cennik_uslug!$CA:$CA,MATCH($A604,EG_Cennik_uslug!$A:$A,0)),0),0)</x:f>
        <x:v>0</x:v>
      </x:c>
      <x:c r="M604" s="7" t="n">
        <x:f>IF('01_Ustawienia'!$B$4="ZWOLNIONY",0,'01_Ustawienia'!$B$7)</x:f>
        <x:v>0.08</x:v>
      </x:c>
      <x:c r="N604" s="8" t="n">
        <x:f>IF(J604="","",ROUND((J604+K604)*(1+M604),0))</x:f>
        <x:v>675</x:v>
      </x:c>
      <x:c r="O604" s="8" t="n">
        <x:f>IF(J604="","",J604+K604-H604-L604)</x:f>
        <x:v>194</x:v>
      </x:c>
      <x:c r="P604" s="7" t="n">
        <x:f>IFERROR(O604/(J604+K604),"")</x:f>
        <x:v>0.3104</x:v>
      </x:c>
      <x:c r="Q604" s="6" t="inlineStr">
        <x:is>
          <x:t xml:space="preserve">RAW_OP L/M</x:t>
        </x:is>
      </x:c>
      <x:c r="R604" s="6" t="inlineStr">
        <x:is>
          <x:t xml:space="preserve">DODATKI</x:t>
        </x:is>
      </x:c>
      <x:c r="S604" s="6" t="inlineStr">
        <x:is>
          <x:t xml:space="preserve">website+crm</x:t>
        </x:is>
      </x:c>
      <x:c r="T604" s="6" t="n"/>
    </x:row>
    <x:row r="605">
      <x:c r="A605" s="6" t="inlineStr">
        <x:is>
          <x:t xml:space="preserve">450 x 406 cm</x:t>
        </x:is>
      </x:c>
      <x:c r="B605" s="6" t="inlineStr">
        <x:is>
          <x:t xml:space="preserve">U</x:t>
        </x:is>
      </x:c>
      <x:c r="C605" s="6" t="inlineStr">
        <x:is>
          <x:t xml:space="preserve">Uchwyty na szkło ścienne</x:t>
        </x:is>
      </x:c>
      <x:c r="D605" s="6" t="inlineStr">
        <x:is>
          <x:t xml:space="preserve">UCHWYTY</x:t>
        </x:is>
      </x:c>
      <x:c r="E605" s="8" t="n">
        <x:f>IFERROR(INDEX('02_RAW_INDEX'!$AF:$AF,MATCH($A605,'02_RAW_INDEX'!$A:$A,0)),"")</x:f>
        <x:v>390</x:v>
      </x:c>
      <x:c r="F605" s="8" t="n">
        <x:f>IFERROR(INDEX('02_RAW_INDEX'!$AE:$AE,MATCH($A605,'02_RAW_INDEX'!$A:$A,0)),"")</x:f>
        <x:v>480</x:v>
      </x:c>
      <x:c r="G605" s="7" t="n">
        <x:f>'01_Ustawienia'!$B$6</x:f>
        <x:v>0</x:v>
      </x:c>
      <x:c r="H605" s="8" t="n">
        <x:f>IF(E605="","",ROUND(IF('01_Ustawienia'!$B$5="BRUTTO",F605,E605)*(1-G605),0))</x:f>
        <x:v>390</x:v>
      </x:c>
      <x:c r="I605" s="7" t="n">
        <x:f>IFERROR(IFERROR(INDEX('01_Ustawienia'!$B$15:$B$33,MATCH(B605,'01_Ustawienia'!$A$15:$A$33,0)),0.45),0.45)</x:f>
        <x:v>0.45</x:v>
      </x:c>
      <x:c r="J605" s="8" t="n">
        <x:f>IF(H605="","",ROUND(H605*(1+I605),0))</x:f>
        <x:v>566</x:v>
      </x:c>
      <x:c r="K605" s="8" t="n">
        <x:f>0</x:f>
        <x:v>0</x:v>
      </x:c>
      <x:c r="L605" s="8" t="n">
        <x:f>IFERROR(IFERROR(INDEX(EG_Cennik_uslug!$CH:$CH,MATCH($A605,EG_Cennik_uslug!$A:$A,0)),0),0)</x:f>
        <x:v>0</x:v>
      </x:c>
      <x:c r="M605" s="7" t="n">
        <x:f>IF('01_Ustawienia'!$B$4="ZWOLNIONY",0,'01_Ustawienia'!$B$7)</x:f>
        <x:v>0.08</x:v>
      </x:c>
      <x:c r="N605" s="8" t="n">
        <x:f>IF(J605="","",ROUND((J605+K605)*(1+M605),0))</x:f>
        <x:v>611</x:v>
      </x:c>
      <x:c r="O605" s="8" t="n">
        <x:f>IF(J605="","",J605+K605-H605-L605)</x:f>
        <x:v>176</x:v>
      </x:c>
      <x:c r="P605" s="7" t="n">
        <x:f>IFERROR(O605/(J605+K605),"")</x:f>
        <x:v>0.31095406360424027</x:v>
      </x:c>
      <x:c r="Q605" s="6" t="inlineStr">
        <x:is>
          <x:t xml:space="preserve">RAW_OP N/O</x:t>
        </x:is>
      </x:c>
      <x:c r="R605" s="6" t="inlineStr">
        <x:is>
          <x:t xml:space="preserve">DODATKI</x:t>
        </x:is>
      </x:c>
      <x:c r="S605" s="6" t="inlineStr">
        <x:is>
          <x:t xml:space="preserve">website+crm</x:t>
        </x:is>
      </x:c>
      <x:c r="T605" s="6" t="n"/>
    </x:row>
    <x:row r="606">
      <x:c r="A606" s="6" t="inlineStr">
        <x:is>
          <x:t xml:space="preserve">450 x 406 cm</x:t>
        </x:is>
      </x:c>
      <x:c r="B606" s="6" t="inlineStr">
        <x:is>
          <x:t xml:space="preserve">LED2</x:t>
        </x:is>
      </x:c>
      <x:c r="C606" s="6" t="inlineStr">
        <x:is>
          <x:t xml:space="preserve">Oświetlenie LED 2 punkty</x:t>
        </x:is>
      </x:c>
      <x:c r="D606" s="6" t="inlineStr">
        <x:is>
          <x:t xml:space="preserve">LED 2 PKT</x:t>
        </x:is>
      </x:c>
      <x:c r="E606" s="8" t="n">
        <x:f>IFERROR(INDEX('02_RAW_INDEX'!$N:$N,MATCH($A606,'02_RAW_INDEX'!$A:$A,0)),"")</x:f>
        <x:v>415</x:v>
      </x:c>
      <x:c r="F606" s="8" t="n">
        <x:f>IFERROR(INDEX('02_RAW_INDEX'!$M:$M,MATCH($A606,'02_RAW_INDEX'!$A:$A,0)),"")</x:f>
        <x:v>510</x:v>
      </x:c>
      <x:c r="G606" s="7" t="n">
        <x:f>'01_Ustawienia'!$B$6</x:f>
        <x:v>0</x:v>
      </x:c>
      <x:c r="H606" s="8" t="n">
        <x:f>IF(E606="","",ROUND(IF('01_Ustawienia'!$B$5="BRUTTO",F606,E606)*(1-G606),0))</x:f>
        <x:v>415</x:v>
      </x:c>
      <x:c r="I606" s="7" t="n">
        <x:f>IFERROR(IFERROR(INDEX('01_Ustawienia'!$B$15:$B$33,MATCH(B606,'01_Ustawienia'!$A$15:$A$33,0)),0.45),0.45)</x:f>
        <x:v>0.45</x:v>
      </x:c>
      <x:c r="J606" s="8" t="n">
        <x:f>IF(H606="","",ROUND(H606*(1+I606),0))</x:f>
        <x:v>602</x:v>
      </x:c>
      <x:c r="K606" s="8" t="n">
        <x:f>0</x:f>
        <x:v>0</x:v>
      </x:c>
      <x:c r="L606" s="8" t="n">
        <x:f>IFERROR(IFERROR(INDEX(EG_Cennik_uslug!$CO:$CO,MATCH($A606,EG_Cennik_uslug!$A:$A,0)),0),0)</x:f>
        <x:v>0</x:v>
      </x:c>
      <x:c r="M606" s="7" t="n">
        <x:f>IF('01_Ustawienia'!$B$4="ZWOLNIONY",0,'01_Ustawienia'!$B$7)</x:f>
        <x:v>0.08</x:v>
      </x:c>
      <x:c r="N606" s="8" t="n">
        <x:f>IF(J606="","",ROUND((J606+K606)*(1+M606),0))</x:f>
        <x:v>650</x:v>
      </x:c>
      <x:c r="O606" s="8" t="n">
        <x:f>IF(J606="","",J606+K606-H606-L606)</x:f>
        <x:v>187</x:v>
      </x:c>
      <x:c r="P606" s="7" t="n">
        <x:f>IFERROR(O606/(J606+K606),"")</x:f>
        <x:v>0.3106312292358804</x:v>
      </x:c>
      <x:c r="Q606" s="6" t="inlineStr">
        <x:is>
          <x:t xml:space="preserve">RAW_ZP P/Q</x:t>
        </x:is>
      </x:c>
      <x:c r="R606" s="6" t="inlineStr">
        <x:is>
          <x:t xml:space="preserve">OŚWIETLENIE</x:t>
        </x:is>
      </x:c>
      <x:c r="S606" s="6" t="inlineStr">
        <x:is>
          <x:t xml:space="preserve">website+crm</x:t>
        </x:is>
      </x:c>
      <x:c r="T606" s="6" t="n"/>
    </x:row>
    <x:row r="607">
      <x:c r="A607" s="6" t="inlineStr">
        <x:is>
          <x:t xml:space="preserve">450 x 406 cm</x:t>
        </x:is>
      </x:c>
      <x:c r="B607" s="6" t="inlineStr">
        <x:is>
          <x:t xml:space="preserve">LED3</x:t>
        </x:is>
      </x:c>
      <x:c r="C607" s="6" t="inlineStr">
        <x:is>
          <x:t xml:space="preserve">Oświetlenie LED 3 punkty</x:t>
        </x:is>
      </x:c>
      <x:c r="D607" s="6" t="inlineStr">
        <x:is>
          <x:t xml:space="preserve">LED 3 PKT</x:t>
        </x:is>
      </x:c>
      <x:c r="E607" s="8" t="n">
        <x:f>IFERROR(INDEX('02_RAW_INDEX'!$P:$P,MATCH($A607,'02_RAW_INDEX'!$A:$A,0)),"")</x:f>
        <x:v>602</x:v>
      </x:c>
      <x:c r="F607" s="8" t="n">
        <x:f>IFERROR(INDEX('02_RAW_INDEX'!$O:$O,MATCH($A607,'02_RAW_INDEX'!$A:$A,0)),"")</x:f>
        <x:v>740</x:v>
      </x:c>
      <x:c r="G607" s="7" t="n">
        <x:f>'01_Ustawienia'!$B$6</x:f>
        <x:v>0</x:v>
      </x:c>
      <x:c r="H607" s="8" t="n">
        <x:f>IF(E607="","",ROUND(IF('01_Ustawienia'!$B$5="BRUTTO",F607,E607)*(1-G607),0))</x:f>
        <x:v>602</x:v>
      </x:c>
      <x:c r="I607" s="7" t="n">
        <x:f>IFERROR(IFERROR(INDEX('01_Ustawienia'!$B$15:$B$33,MATCH(B607,'01_Ustawienia'!$A$15:$A$33,0)),0.45),0.45)</x:f>
        <x:v>0.45</x:v>
      </x:c>
      <x:c r="J607" s="8" t="n">
        <x:f>IF(H607="","",ROUND(H607*(1+I607),0))</x:f>
        <x:v>873</x:v>
      </x:c>
      <x:c r="K607" s="8" t="n">
        <x:f>0</x:f>
        <x:v>0</x:v>
      </x:c>
      <x:c r="L607" s="8" t="n">
        <x:f>IFERROR(IFERROR(INDEX(EG_Cennik_uslug!$CV:$CV,MATCH($A607,EG_Cennik_uslug!$A:$A,0)),0),0)</x:f>
        <x:v>0</x:v>
      </x:c>
      <x:c r="M607" s="7" t="n">
        <x:f>IF('01_Ustawienia'!$B$4="ZWOLNIONY",0,'01_Ustawienia'!$B$7)</x:f>
        <x:v>0.08</x:v>
      </x:c>
      <x:c r="N607" s="8" t="n">
        <x:f>IF(J607="","",ROUND((J607+K607)*(1+M607),0))</x:f>
        <x:v>943</x:v>
      </x:c>
      <x:c r="O607" s="8" t="n">
        <x:f>IF(J607="","",J607+K607-H607-L607)</x:f>
        <x:v>271</x:v>
      </x:c>
      <x:c r="P607" s="7" t="n">
        <x:f>IFERROR(O607/(J607+K607),"")</x:f>
        <x:v>0.3104238258877434</x:v>
      </x:c>
      <x:c r="Q607" s="6" t="inlineStr">
        <x:is>
          <x:t xml:space="preserve">RAW_ZP R/S</x:t>
        </x:is>
      </x:c>
      <x:c r="R607" s="6" t="inlineStr">
        <x:is>
          <x:t xml:space="preserve">OŚWIETLENIE</x:t>
        </x:is>
      </x:c>
      <x:c r="S607" s="6" t="inlineStr">
        <x:is>
          <x:t xml:space="preserve">website+crm</x:t>
        </x:is>
      </x:c>
      <x:c r="T607" s="6" t="inlineStr">
        <x:is>
          <x:t xml:space="preserve">Nazwa do potwierdzenia</x:t>
        </x:is>
      </x:c>
    </x:row>
    <x:row r="608">
      <x:c r="A608" s="6" t="inlineStr">
        <x:is>
          <x:t xml:space="preserve">450 x 406 cm</x:t>
        </x:is>
      </x:c>
      <x:c r="B608" s="6" t="inlineStr">
        <x:is>
          <x:t xml:space="preserve">LEDCCT</x:t>
        </x:is>
      </x:c>
      <x:c r="C608" s="6" t="inlineStr">
        <x:is>
          <x:t xml:space="preserve">Oświetlenie LED CCT</x:t>
        </x:is>
      </x:c>
      <x:c r="D608" s="6" t="inlineStr">
        <x:is>
          <x:t xml:space="preserve">OŚWIETLENIE</x:t>
        </x:is>
      </x:c>
      <x:c r="E608" s="8" t="n">
        <x:f>IFERROR(INDEX('02_RAW_INDEX'!$R:$R,MATCH($A608,'02_RAW_INDEX'!$A:$A,0)),"")</x:f>
        <x:v>1343</x:v>
      </x:c>
      <x:c r="F608" s="8" t="n">
        <x:f>IFERROR(INDEX('02_RAW_INDEX'!$Q:$Q,MATCH($A608,'02_RAW_INDEX'!$A:$A,0)),"")</x:f>
        <x:v>1652</x:v>
      </x:c>
      <x:c r="G608" s="7" t="n">
        <x:f>'01_Ustawienia'!$B$6</x:f>
        <x:v>0</x:v>
      </x:c>
      <x:c r="H608" s="8" t="n">
        <x:f>IF(E608="","",ROUND(IF('01_Ustawienia'!$B$5="BRUTTO",F608,E608)*(1-G608),0))</x:f>
        <x:v>1343</x:v>
      </x:c>
      <x:c r="I608" s="7" t="n">
        <x:f>IFERROR(IFERROR(INDEX('01_Ustawienia'!$B$15:$B$33,MATCH(B608,'01_Ustawienia'!$A$15:$A$33,0)),0.45),0.45)</x:f>
        <x:v>0.45</x:v>
      </x:c>
      <x:c r="J608" s="8" t="n">
        <x:f>IF(H608="","",ROUND(H608*(1+I608),0)+700)</x:f>
        <x:v>2647</x:v>
      </x:c>
      <x:c r="K608" s="8" t="n">
        <x:f>0</x:f>
        <x:v>0</x:v>
      </x:c>
      <x:c r="L608" s="8" t="n">
        <x:f>0</x:f>
        <x:v>0</x:v>
      </x:c>
      <x:c r="M608" s="7" t="n">
        <x:f>IF('01_Ustawienia'!$B$4="ZWOLNIONY",0,'01_Ustawienia'!$B$7)</x:f>
        <x:v>0.08</x:v>
      </x:c>
      <x:c r="N608" s="8" t="n">
        <x:f>IF(J608="","",ROUND((J608+K608)*(1+M608),0))</x:f>
        <x:v>2859</x:v>
      </x:c>
      <x:c r="O608" s="8" t="n">
        <x:f>IF(J608="","",J608+K608-H608-L608)</x:f>
        <x:v>1304</x:v>
      </x:c>
      <x:c r="P608" s="7" t="n">
        <x:f>IFERROR(O608/(J608+K608),"")</x:f>
        <x:v>0.4926331696259917</x:v>
      </x:c>
      <x:c r="Q608" s="715" t="inlineStr">
        <x:is>
          <x:t xml:space="preserve">MODEL_FIX15_LED</x:t>
        </x:is>
      </x:c>
      <x:c r="R608" s="6" t="inlineStr">
        <x:is>
          <x:t xml:space="preserve">OŚWIETLENIE</x:t>
        </x:is>
      </x:c>
      <x:c r="S608" s="6" t="inlineStr">
        <x:is>
          <x:t xml:space="preserve">website+crm</x:t>
        </x:is>
      </x:c>
      <x:c r="T608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609">
      <x:c r="A609" s="6" t="inlineStr">
        <x:is>
          <x:t xml:space="preserve">450 x 406 cm</x:t>
        </x:is>
      </x:c>
      <x:c r="B609" s="6" t="inlineStr">
        <x:is>
          <x:t xml:space="preserve">LEDRGBCCT</x:t>
        </x:is>
      </x:c>
      <x:c r="C609" s="6" t="inlineStr">
        <x:is>
          <x:t xml:space="preserve">Oświetlenie LED RGB CCT</x:t>
        </x:is>
      </x:c>
      <x:c r="D609" s="6" t="inlineStr">
        <x:is>
          <x:t xml:space="preserve">OŚWIETLENIE</x:t>
        </x:is>
      </x:c>
      <x:c r="E609" s="8" t="n">
        <x:f>IFERROR(INDEX('02_RAW_INDEX'!$T:$T,MATCH($A609,'02_RAW_INDEX'!$A:$A,0)),"")</x:f>
        <x:v>1729</x:v>
      </x:c>
      <x:c r="F609" s="8" t="n">
        <x:f>IFERROR(INDEX('02_RAW_INDEX'!$S:$S,MATCH($A609,'02_RAW_INDEX'!$A:$A,0)),"")</x:f>
        <x:v>2127</x:v>
      </x:c>
      <x:c r="G609" s="7" t="n">
        <x:f>'01_Ustawienia'!$B$6</x:f>
        <x:v>0</x:v>
      </x:c>
      <x:c r="H609" s="8" t="n">
        <x:f>IF(E609="","",ROUND(IF('01_Ustawienia'!$B$5="BRUTTO",F609,E609)*(1-G609),0))</x:f>
        <x:v>1729</x:v>
      </x:c>
      <x:c r="I609" s="7" t="n">
        <x:f>IFERROR(IFERROR(INDEX('01_Ustawienia'!$B$15:$B$33,MATCH(B609,'01_Ustawienia'!$A$15:$A$33,0)),0.45),0.45)</x:f>
        <x:v>0.45</x:v>
      </x:c>
      <x:c r="J609" s="8" t="n">
        <x:f>IF(H609="","",ROUND(H609*(1+I609),0))</x:f>
        <x:v>2507</x:v>
      </x:c>
      <x:c r="K609" s="8" t="n">
        <x:f>0</x:f>
        <x:v>0</x:v>
      </x:c>
      <x:c r="L609" s="8" t="n">
        <x:f>0</x:f>
        <x:v>0</x:v>
      </x:c>
      <x:c r="M609" s="7" t="n">
        <x:f>IF('01_Ustawienia'!$B$4="ZWOLNIONY",0,'01_Ustawienia'!$B$7)</x:f>
        <x:v>0.08</x:v>
      </x:c>
      <x:c r="N609" s="8" t="n">
        <x:f>IF(J609="","",ROUND((J609+K609)*(1+M609),0))</x:f>
        <x:v>2708</x:v>
      </x:c>
      <x:c r="O609" s="8" t="n">
        <x:f>IF(J609="","",J609+K609-H609-L609)</x:f>
        <x:v>778</x:v>
      </x:c>
      <x:c r="P609" s="7" t="n">
        <x:f>IFERROR(O609/(J609+K609),"")</x:f>
        <x:v>0.3103310729956123</x:v>
      </x:c>
      <x:c r="Q609" s="715" t="inlineStr">
        <x:is>
          <x:t xml:space="preserve">MODEL_FIX15_LED</x:t>
        </x:is>
      </x:c>
      <x:c r="R609" s="6" t="inlineStr">
        <x:is>
          <x:t xml:space="preserve">OŚWIETLENIE</x:t>
        </x:is>
      </x:c>
      <x:c r="S609" s="6" t="inlineStr">
        <x:is>
          <x:t xml:space="preserve">crm_only</x:t>
        </x:is>
      </x:c>
      <x:c r="T609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610" s="655" customFormat="1" ht="30" customHeight="1">
      <x:c r="A610" s="6" t="inlineStr">
        <x:is>
          <x:t xml:space="preserve">450 x 506 cm</x:t>
        </x:is>
      </x:c>
      <x:c r="B610" s="6" t="inlineStr">
        <x:is>
          <x:t xml:space="preserve">ZP</x:t>
        </x:is>
      </x:c>
      <x:c r="C610" s="6" t="inlineStr">
        <x:is>
          <x:t xml:space="preserve">Zadaszenie poliwęglan - baza</x:t>
        </x:is>
      </x:c>
      <x:c r="D610" s="6" t="inlineStr">
        <x:is>
          <x:t xml:space="preserve">ZADASZENIE POLIWĘGLAN</x:t>
        </x:is>
      </x:c>
      <x:c r="E610" s="8" t="n">
        <x:f>IFERROR(INDEX('02_RAW_INDEX'!$D:$D,MATCH($A610,'02_RAW_INDEX'!$A:$A,0)),"")</x:f>
        <x:v>9163</x:v>
      </x:c>
      <x:c r="F610" s="8" t="n">
        <x:f>IFERROR(INDEX('02_RAW_INDEX'!$C:$C,MATCH($A610,'02_RAW_INDEX'!$A:$A,0)),"")</x:f>
        <x:v>11270</x:v>
      </x:c>
      <x:c r="G610" s="7" t="n">
        <x:f>'01_Ustawienia'!$B$6</x:f>
        <x:v>0</x:v>
      </x:c>
      <x:c r="H610" s="8" t="n">
        <x:f>IF(E610="","",ROUND(IF('01_Ustawienia'!$B$5="BRUTTO",F610,E610)*(1-G610),0))</x:f>
        <x:v>9163</x:v>
      </x:c>
      <x:c r="I610" s="7" t="n">
        <x:f>IFERROR(IFERROR(INDEX('01_Ustawienia'!$B$15:$B$33,MATCH(B610,'01_Ustawienia'!$A$15:$A$33,0)),0.45),0.45)</x:f>
        <x:v>0.45</x:v>
      </x:c>
      <x:c r="J610" s="8" t="n">
        <x:f>IF(H610="","",ROUND(H610*(1+I610),0))</x:f>
        <x:v>13286</x:v>
      </x:c>
      <x:c r="K610" s="8" t="n">
        <x:f>IFERROR(IFERROR(INDEX(EG_Cennik_uslug!$F:$F,MATCH($A610,EG_Cennik_uslug!$A:$A,0)),0),0)</x:f>
        <x:v>3730</x:v>
      </x:c>
      <x:c r="L610" s="8" t="n">
        <x:f>IFERROR(IFERROR(INDEX(EG_Cennik_uslug!$G:$G,MATCH($A610,EG_Cennik_uslug!$A:$A,0)),0),0)</x:f>
        <x:v>1290</x:v>
      </x:c>
      <x:c r="M610" s="7" t="n">
        <x:f>IF('01_Ustawienia'!$B$4="ZWOLNIONY",0,'01_Ustawienia'!$B$7)</x:f>
        <x:v>0.08</x:v>
      </x:c>
      <x:c r="N610" s="8" t="n">
        <x:f>IF(J610="","",ROUND((J610+K610)*(1+M610),0))</x:f>
        <x:v>18377</x:v>
      </x:c>
      <x:c r="O610" s="8" t="n">
        <x:f>IF(J610="","",J610+K610-H610-L610)</x:f>
        <x:v>6563</x:v>
      </x:c>
      <x:c r="P610" s="7" t="n">
        <x:f>IFERROR(O610/(J610+K610),"")</x:f>
        <x:v>0.3856958157028679</x:v>
      </x:c>
      <x:c r="Q610" s="6" t="inlineStr">
        <x:is>
          <x:t xml:space="preserve">RAW_ZP B/C</x:t>
        </x:is>
      </x:c>
      <x:c r="R610" s="6" t="inlineStr">
        <x:is>
          <x:t xml:space="preserve">ZADASZENIE TARASU KONSTRUKCJA</x:t>
        </x:is>
      </x:c>
      <x:c r="S610" s="6" t="inlineStr">
        <x:is>
          <x:t xml:space="preserve">website+crm</x:t>
        </x:is>
      </x:c>
      <x:c r="T610" s="6" t="inlineStr">
        <x:is>
          <x:t xml:space="preserve">Baza dla kalkulatora</x:t>
        </x:is>
      </x:c>
    </x:row>
    <x:row r="611" s="655" customFormat="1" ht="30" customHeight="1">
      <x:c r="A611" s="6" t="inlineStr">
        <x:is>
          <x:t xml:space="preserve">450 x 506 cm</x:t>
        </x:is>
      </x:c>
      <x:c r="B611" s="6" t="inlineStr">
        <x:is>
          <x:t xml:space="preserve">ZS</x:t>
        </x:is>
      </x:c>
      <x:c r="C611" s="6" t="inlineStr">
        <x:is>
          <x:t xml:space="preserve">Zadaszenie szkło - pełna konstrukcja</x:t>
        </x:is>
      </x:c>
      <x:c r="D611" s="6" t="inlineStr">
        <x:is>
          <x:t xml:space="preserve">ZADASZENIE SZKŁO</x:t>
        </x:is>
      </x:c>
      <x:c r="E611" s="8" t="n">
        <x:f>IFERROR(INDEX('02_RAW_INDEX'!$V:$V,MATCH($A611,'02_RAW_INDEX'!$A:$A,0)),"")</x:f>
        <x:v>14171</x:v>
      </x:c>
      <x:c r="F611" s="8" t="n">
        <x:f>IFERROR(INDEX('02_RAW_INDEX'!$U:$U,MATCH($A611,'02_RAW_INDEX'!$A:$A,0)),"")</x:f>
        <x:v>17430</x:v>
      </x:c>
      <x:c r="G611" s="7" t="n">
        <x:f>'01_Ustawienia'!$B$6</x:f>
        <x:v>0</x:v>
      </x:c>
      <x:c r="H611" s="8" t="n">
        <x:f>IF(E611="","",ROUND(IF('01_Ustawienia'!$B$5="BRUTTO",F611,E611)*(1-G611),0))</x:f>
        <x:v>14171</x:v>
      </x:c>
      <x:c r="I611" s="7" t="n">
        <x:f>IFERROR(IFERROR(INDEX('01_Ustawienia'!$B$15:$B$33,MATCH(B611,'01_Ustawienia'!$A$15:$A$33,0)),0.45),0.45)</x:f>
        <x:v>0.45</x:v>
      </x:c>
      <x:c r="J611" s="8" t="n">
        <x:f>IF(H611="","",ROUND(H611*(1+I611),0))</x:f>
        <x:v>20548</x:v>
      </x:c>
      <x:c r="K611" s="8" t="n">
        <x:f>IFERROR(IFERROR(INDEX(EG_Cennik_uslug!$F:$F,MATCH($A611,EG_Cennik_uslug!$A:$A,0)),0),0)</x:f>
        <x:v>3730</x:v>
      </x:c>
      <x:c r="L611" s="8" t="n">
        <x:f>IFERROR(IFERROR(INDEX(EG_Cennik_uslug!$G:$G,MATCH($A611,EG_Cennik_uslug!$A:$A,0)),0),0)</x:f>
        <x:v>1290</x:v>
      </x:c>
      <x:c r="M611" s="7" t="n">
        <x:f>IF('01_Ustawienia'!$B$4="ZWOLNIONY",0,'01_Ustawienia'!$B$7)</x:f>
        <x:v>0.08</x:v>
      </x:c>
      <x:c r="N611" s="8" t="n">
        <x:f>IF(J611="","",ROUND((J611+K611)*(1+M611),0))</x:f>
        <x:v>26220</x:v>
      </x:c>
      <x:c r="O611" s="8" t="n">
        <x:f>IF(J611="","",J611+K611-H611-L611)</x:f>
        <x:v>8817</x:v>
      </x:c>
      <x:c r="P611" s="7" t="n">
        <x:f>IFERROR(O611/(J611+K611),"")</x:f>
        <x:v>0.3631683005189884</x:v>
      </x:c>
      <x:c r="Q611" s="6" t="inlineStr">
        <x:is>
          <x:t xml:space="preserve">RAW_ZS B/C</x:t>
        </x:is>
      </x:c>
      <x:c r="R611" s="6" t="inlineStr">
        <x:is>
          <x:t xml:space="preserve">ZADASZENIE TARASU KONSTRUKCJA</x:t>
        </x:is>
      </x:c>
      <x:c r="S611" s="6" t="inlineStr">
        <x:is>
          <x:t xml:space="preserve">crm_only</x:t>
        </x:is>
      </x:c>
      <x:c r="T611" s="6" t="inlineStr">
        <x:is>
          <x:t xml:space="preserve">Referencyjne/full; strona zwykle używa ZP + PDS</x:t>
        </x:is>
      </x:c>
    </x:row>
    <x:row r="612" s="655" customFormat="1" ht="30" customHeight="1">
      <x:c r="A612" s="6" t="inlineStr">
        <x:is>
          <x:t xml:space="preserve">450 x 506 cm</x:t>
        </x:is>
      </x:c>
      <x:c r="B612" s="6" t="inlineStr">
        <x:is>
          <x:t xml:space="preserve">OP</x:t>
        </x:is>
      </x:c>
      <x:c r="C612" s="6" t="inlineStr">
        <x:is>
          <x:t xml:space="preserve">Ogród zimowy poliwęglan - baza</x:t>
        </x:is>
      </x:c>
      <x:c r="D612" s="6" t="inlineStr">
        <x:is>
          <x:t xml:space="preserve">OGRODY POLIWĘGLAN</x:t>
        </x:is>
      </x:c>
      <x:c r="E612" s="8" t="n">
        <x:f>IFERROR(INDEX('02_RAW_INDEX'!$Z:$Z,MATCH($A612,'02_RAW_INDEX'!$A:$A,0)),"")</x:f>
        <x:v>23057</x:v>
      </x:c>
      <x:c r="F612" s="8" t="n">
        <x:f>IFERROR(INDEX('02_RAW_INDEX'!$Y:$Y,MATCH($A612,'02_RAW_INDEX'!$A:$A,0)),"")</x:f>
        <x:v>28360</x:v>
      </x:c>
      <x:c r="G612" s="7" t="n">
        <x:f>'01_Ustawienia'!$B$6</x:f>
        <x:v>0</x:v>
      </x:c>
      <x:c r="H612" s="8" t="n">
        <x:f>IF(E612="","",ROUND(IF('01_Ustawienia'!$B$5="BRUTTO",F612,E612)*(1-G612),0))</x:f>
        <x:v>23057</x:v>
      </x:c>
      <x:c r="I612" s="7" t="n">
        <x:f>IFERROR(IFERROR(INDEX('01_Ustawienia'!$B$15:$B$33,MATCH(B612,'01_Ustawienia'!$A$15:$A$33,0)),0.45),0.45)</x:f>
        <x:v>0.45</x:v>
      </x:c>
      <x:c r="J612" s="8" t="n">
        <x:f>IF(H612="","",ROUND(H612*(1+I612),0))</x:f>
        <x:v>33433</x:v>
      </x:c>
      <x:c r="K612" s="8" t="n">
        <x:f>IFERROR(IFERROR(INDEX(EG_Cennik_uslug!$N:$N,MATCH($A612,EG_Cennik_uslug!$A:$A,0)),0),0)</x:f>
        <x:v>4730</x:v>
      </x:c>
      <x:c r="L612" s="8" t="n">
        <x:f>IFERROR(IFERROR(INDEX(EG_Cennik_uslug!$O:$O,MATCH($A612,EG_Cennik_uslug!$A:$A,0)),0),0)</x:f>
        <x:v>1800</x:v>
      </x:c>
      <x:c r="M612" s="7" t="n">
        <x:f>IF('01_Ustawienia'!$B$4="ZWOLNIONY",0,'01_Ustawienia'!$B$7)</x:f>
        <x:v>0.08</x:v>
      </x:c>
      <x:c r="N612" s="8" t="n">
        <x:f>IF(J612="","",ROUND((J612+K612)*(1+M612),0))</x:f>
        <x:v>41216</x:v>
      </x:c>
      <x:c r="O612" s="8" t="n">
        <x:f>IF(J612="","",J612+K612-H612-L612)</x:f>
        <x:v>13306</x:v>
      </x:c>
      <x:c r="P612" s="7" t="n">
        <x:f>IFERROR(O612/(J612+K612),"")</x:f>
        <x:v>0.34866231690380733</x:v>
      </x:c>
      <x:c r="Q612" s="6" t="inlineStr">
        <x:is>
          <x:t xml:space="preserve">RAW_OP B/C</x:t>
        </x:is>
      </x:c>
      <x:c r="R612" s="6" t="inlineStr">
        <x:is>
          <x:t xml:space="preserve">OGRÓD ZIMOWY (KONSTRUKCJA)</x:t>
        </x:is>
      </x:c>
      <x:c r="S612" s="6" t="inlineStr">
        <x:is>
          <x:t xml:space="preserve">website+crm</x:t>
        </x:is>
      </x:c>
      <x:c r="T612" s="6" t="inlineStr">
        <x:is>
          <x:t xml:space="preserve">Do wyliczenia dopłaty za ściany</x:t>
        </x:is>
      </x:c>
    </x:row>
    <x:row r="613" s="655" customFormat="1" ht="30" customHeight="1">
      <x:c r="A613" s="6" t="inlineStr">
        <x:is>
          <x:t xml:space="preserve">450 x 506 cm</x:t>
        </x:is>
      </x:c>
      <x:c r="B613" s="6" t="inlineStr">
        <x:is>
          <x:t xml:space="preserve">OS</x:t>
        </x:is>
      </x:c>
      <x:c r="C613" s="6" t="inlineStr">
        <x:is>
          <x:t xml:space="preserve">Ogród zimowy szkło - pełna konstrukcja</x:t>
        </x:is>
      </x:c>
      <x:c r="D613" s="6" t="inlineStr">
        <x:is>
          <x:t xml:space="preserve">OGRODY SZKŁO</x:t>
        </x:is>
      </x:c>
      <x:c r="E613" s="8" t="n">
        <x:f>IFERROR(INDEX('02_RAW_INDEX'!$AL:$AL,MATCH($A613,'02_RAW_INDEX'!$A:$A,0)),"")</x:f>
        <x:v>28049</x:v>
      </x:c>
      <x:c r="F613" s="8" t="n">
        <x:f>IFERROR(INDEX('02_RAW_INDEX'!$AK:$AK,MATCH($A613,'02_RAW_INDEX'!$A:$A,0)),"")</x:f>
        <x:v>34500</x:v>
      </x:c>
      <x:c r="G613" s="7" t="n">
        <x:f>'01_Ustawienia'!$B$6</x:f>
        <x:v>0</x:v>
      </x:c>
      <x:c r="H613" s="8" t="n">
        <x:f>IF(E613="","",ROUND(IF('01_Ustawienia'!$B$5="BRUTTO",F613,E613)*(1-G613),0))</x:f>
        <x:v>28049</x:v>
      </x:c>
      <x:c r="I613" s="7" t="n">
        <x:f>IFERROR(IFERROR(INDEX('01_Ustawienia'!$B$15:$B$33,MATCH(B613,'01_Ustawienia'!$A$15:$A$33,0)),0.45),0.45)</x:f>
        <x:v>0.45</x:v>
      </x:c>
      <x:c r="J613" s="8" t="n">
        <x:f>IF(H613="","",ROUND(H613*(1+I613),0))</x:f>
        <x:v>40671</x:v>
      </x:c>
      <x:c r="K613" s="8" t="n">
        <x:f>IFERROR(IFERROR(INDEX(EG_Cennik_uslug!$N:$N,MATCH($A613,EG_Cennik_uslug!$A:$A,0)),0),0)</x:f>
        <x:v>4730</x:v>
      </x:c>
      <x:c r="L613" s="8" t="n">
        <x:f>IFERROR(IFERROR(INDEX(EG_Cennik_uslug!$O:$O,MATCH($A613,EG_Cennik_uslug!$A:$A,0)),0),0)</x:f>
        <x:v>1800</x:v>
      </x:c>
      <x:c r="M613" s="7" t="n">
        <x:f>IF('01_Ustawienia'!$B$4="ZWOLNIONY",0,'01_Ustawienia'!$B$7)</x:f>
        <x:v>0.08</x:v>
      </x:c>
      <x:c r="N613" s="8" t="n">
        <x:f>IF(J613="","",ROUND((J613+K613)*(1+M613),0))</x:f>
        <x:v>49033</x:v>
      </x:c>
      <x:c r="O613" s="8" t="n">
        <x:f>IF(J613="","",J613+K613-H613-L613)</x:f>
        <x:v>15552</x:v>
      </x:c>
      <x:c r="P613" s="7" t="n">
        <x:f>IFERROR(O613/(J613+K613),"")</x:f>
        <x:v>0.3425475209797141</x:v>
      </x:c>
      <x:c r="Q613" s="6" t="inlineStr">
        <x:is>
          <x:t xml:space="preserve">RAW_OS B/C</x:t>
        </x:is>
      </x:c>
      <x:c r="R613" s="6" t="inlineStr">
        <x:is>
          <x:t xml:space="preserve">OGRÓD ZIMOWY (KONSTRUKCJA)</x:t>
        </x:is>
      </x:c>
      <x:c r="S613" s="6" t="inlineStr">
        <x:is>
          <x:t xml:space="preserve">crm_only</x:t>
        </x:is>
      </x:c>
      <x:c r="T613" s="6" t="inlineStr">
        <x:is>
          <x:t xml:space="preserve">Referencyjne/full</x:t>
        </x:is>
      </x:c>
    </x:row>
    <x:row r="614" s="655" customFormat="1" ht="30" customHeight="1">
      <x:c r="A614" s="6" t="inlineStr">
        <x:is>
          <x:t xml:space="preserve">450 x 506 cm</x:t>
        </x:is>
      </x:c>
      <x:c r="B614" s="6" t="inlineStr">
        <x:is>
          <x:t xml:space="preserve">PDS</x:t>
        </x:is>
      </x:c>
      <x:c r="C614" s="6" t="inlineStr">
        <x:is>
          <x:t xml:space="preserve">Dopłata dach szkło przezroczyste</x:t>
        </x:is>
      </x:c>
      <x:c r="D614" s="6" t="inlineStr">
        <x:is>
          <x:t xml:space="preserve">POKRYCIE DACHU SZKŁO</x:t>
        </x:is>
      </x:c>
      <x:c r="E614" s="8" t="n">
        <x:f>IFERROR(IFERROR(INDEX('02_RAW_INDEX'!$V:$V,MATCH($A614,'02_RAW_INDEX'!$A:$A,0)),"")-IFERROR(INDEX('02_RAW_INDEX'!$D:$D,MATCH($A614,'02_RAW_INDEX'!$A:$A,0)),""),"")</x:f>
        <x:v>5008</x:v>
      </x:c>
      <x:c r="F614" s="8" t="n">
        <x:f>IFERROR(IFERROR(INDEX('02_RAW_INDEX'!$U:$U,MATCH($A614,'02_RAW_INDEX'!$A:$A,0)),"")-IFERROR(INDEX('02_RAW_INDEX'!$C:$C,MATCH($A614,'02_RAW_INDEX'!$A:$A,0)),""),"")</x:f>
        <x:v>6160</x:v>
      </x:c>
      <x:c r="G614" s="7" t="n">
        <x:f>'01_Ustawienia'!$B$6</x:f>
        <x:v>0</x:v>
      </x:c>
      <x:c r="H614" s="8" t="n">
        <x:f>IF(E614="","",ROUND(IF('01_Ustawienia'!$B$5="BRUTTO",F614,E614)*(1-G614),0))</x:f>
        <x:v>5008</x:v>
      </x:c>
      <x:c r="I614" s="7" t="n">
        <x:f>IFERROR(IFERROR(INDEX('01_Ustawienia'!$B$15:$B$33,MATCH(B614,'01_Ustawienia'!$A$15:$A$33,0)),0.45),0.45)</x:f>
        <x:v>0.45</x:v>
      </x:c>
      <x:c r="J614" s="8" t="n">
        <x:f>IF(H614="","",ROUND(H614*(1+I614),0))</x:f>
        <x:v>7262</x:v>
      </x:c>
      <x:c r="K614" s="8" t="n">
        <x:f>0</x:f>
        <x:v>0</x:v>
      </x:c>
      <x:c r="L614" s="8" t="n">
        <x:v>0</x:v>
      </x:c>
      <x:c r="M614" s="7" t="n">
        <x:f>IF('01_Ustawienia'!$B$4="ZWOLNIONY",0,'01_Ustawienia'!$B$7)</x:f>
        <x:v>0.08</x:v>
      </x:c>
      <x:c r="N614" s="8" t="n">
        <x:f>IF(J614="","",ROUND((J614+K614)*(1+M614),0))</x:f>
        <x:v>7843</x:v>
      </x:c>
      <x:c r="O614" s="8" t="n">
        <x:f>IF(J614="","",J614+K614-H614-L614)</x:f>
        <x:v>2254</x:v>
      </x:c>
      <x:c r="P614" s="7" t="n">
        <x:f>IFERROR(O614/(J614+K614),"")</x:f>
        <x:v>0.3103828146516111</x:v>
      </x:c>
      <x:c r="Q614" s="6" t="inlineStr">
        <x:is>
          <x:t xml:space="preserve">RAW_ZS - RAW_ZP</x:t>
        </x:is>
      </x:c>
      <x:c r="R614" s="6" t="inlineStr">
        <x:is>
          <x:t xml:space="preserve">POKRYCIE DACHU</x:t>
        </x:is>
      </x:c>
      <x:c r="S614" s="6" t="inlineStr">
        <x:is>
          <x:t xml:space="preserve">website+crm</x:t>
        </x:is>
      </x:c>
      <x:c r="T614" s="6" t="inlineStr">
        <x:is>
          <x:t xml:space="preserve">Dopłata do bazowego dachu poliwęglan | FIX17: Wynagr.+koszty = 0 dla dopłaty; nie jest osobnym montażem ekipy.</x:t>
        </x:is>
      </x:c>
    </x:row>
    <x:row r="615" s="655" customFormat="1" ht="30" customHeight="1">
      <x:c r="A615" s="6" t="inlineStr">
        <x:is>
          <x:t xml:space="preserve">450 x 506 cm</x:t>
        </x:is>
      </x:c>
      <x:c r="B615" s="6" t="inlineStr">
        <x:is>
          <x:t xml:space="preserve">PDSB</x:t>
        </x:is>
      </x:c>
      <x:c r="C615" s="6" t="inlineStr">
        <x:is>
          <x:t xml:space="preserve">Dopłata dach szkło barwione/mleczne</x:t>
        </x:is>
      </x:c>
      <x:c r="D615" s="6" t="inlineStr">
        <x:is>
          <x:t xml:space="preserve">POKRYCIE DACHU SZKŁO BARWIONE</x:t>
        </x:is>
      </x:c>
      <x:c r="E615" s="8" t="n">
        <x:f>IFERROR(INDEX('02_RAW_INDEX'!$X:$X,MATCH($A615,'02_RAW_INDEX'!$A:$A,0)),"")</x:f>
        <x:v>512</x:v>
      </x:c>
      <x:c r="F615" s="8" t="n">
        <x:f>IFERROR(INDEX('02_RAW_INDEX'!$W:$W,MATCH($A615,'02_RAW_INDEX'!$A:$A,0)),"")</x:f>
        <x:v>630</x:v>
      </x:c>
      <x:c r="G615" s="7" t="n">
        <x:f>'01_Ustawienia'!$B$6</x:f>
        <x:v>0</x:v>
      </x:c>
      <x:c r="H615" s="8" t="n">
        <x:f>IF(E615="","",ROUND(IF('01_Ustawienia'!$B$5="BRUTTO",F615,E615)*(1-G615),0))</x:f>
        <x:v>512</x:v>
      </x:c>
      <x:c r="I615" s="7" t="n">
        <x:f>IFERROR(IFERROR(INDEX('01_Ustawienia'!$B$15:$B$33,MATCH(B615,'01_Ustawienia'!$A$15:$A$33,0)),0.45),0.45)</x:f>
        <x:v>0.45</x:v>
      </x:c>
      <x:c r="J615" s="8" t="n">
        <x:f>IF(H615="","",ROUND(H615*(1+I615),0))</x:f>
        <x:v>742</x:v>
      </x:c>
      <x:c r="K615" s="8" t="n">
        <x:f>0</x:f>
        <x:v>0</x:v>
      </x:c>
      <x:c r="L615" s="8" t="n">
        <x:v>0</x:v>
      </x:c>
      <x:c r="M615" s="7" t="n">
        <x:f>IF('01_Ustawienia'!$B$4="ZWOLNIONY",0,'01_Ustawienia'!$B$7)</x:f>
        <x:v>0.08</x:v>
      </x:c>
      <x:c r="N615" s="8" t="n">
        <x:f>IF(J615="","",ROUND((J615+K615)*(1+M615),0))</x:f>
        <x:v>801</x:v>
      </x:c>
      <x:c r="O615" s="8" t="n">
        <x:f>IF(J615="","",J615+K615-H615-L615)</x:f>
        <x:v>230</x:v>
      </x:c>
      <x:c r="P615" s="7" t="n">
        <x:f>IFERROR(O615/(J615+K615),"")</x:f>
        <x:v>0.30997304582210244</x:v>
      </x:c>
      <x:c r="Q615" s="6" t="inlineStr">
        <x:is>
          <x:t xml:space="preserve">RAW_ZS D/E</x:t>
        </x:is>
      </x:c>
      <x:c r="R615" s="6" t="inlineStr">
        <x:is>
          <x:t xml:space="preserve">POKRYCIE DACHU</x:t>
        </x:is>
      </x:c>
      <x:c r="S615" s="6" t="inlineStr">
        <x:is>
          <x:t xml:space="preserve">website+crm</x:t>
        </x:is>
      </x:c>
      <x:c r="T615" s="6" t="inlineStr">
        <x:is>
          <x:t xml:space="preserve">Dodawane do PDS | FIX17: Wynagr.+koszty = 0 dla dopłaty; nie jest osobnym montażem ekipy.</x:t>
        </x:is>
      </x:c>
    </x:row>
    <x:row r="616" s="655" customFormat="1" ht="30" customHeight="1">
      <x:c r="A616" s="6" t="inlineStr">
        <x:is>
          <x:t xml:space="preserve">450 x 506 cm</x:t>
        </x:is>
      </x:c>
      <x:c r="B616" s="6" t="inlineStr">
        <x:is>
          <x:t xml:space="preserve">PDPB</x:t>
        </x:is>
      </x:c>
      <x:c r="C616" s="6" t="inlineStr">
        <x:is>
          <x:t xml:space="preserve">Dopłata poliwęglan barwiony</x:t>
        </x:is>
      </x:c>
      <x:c r="D616" s="6" t="inlineStr">
        <x:is>
          <x:t xml:space="preserve">POKRYCIE DACHU POLIWĘGLAN BARWIONY</x:t>
        </x:is>
      </x:c>
      <x:c r="E616" s="8" t="n">
        <x:f>IFERROR(INDEX('02_RAW_INDEX'!$F:$F,MATCH($A616,'02_RAW_INDEX'!$A:$A,0)),"")</x:f>
        <x:v>390</x:v>
      </x:c>
      <x:c r="F616" s="8" t="n">
        <x:f>IFERROR(INDEX('02_RAW_INDEX'!$E:$E,MATCH($A616,'02_RAW_INDEX'!$A:$A,0)),"")</x:f>
        <x:v>480</x:v>
      </x:c>
      <x:c r="G616" s="7" t="n">
        <x:f>'01_Ustawienia'!$B$6</x:f>
        <x:v>0</x:v>
      </x:c>
      <x:c r="H616" s="8" t="n">
        <x:f>IF(E616="","",ROUND(IF('01_Ustawienia'!$B$5="BRUTTO",F616,E616)*(1-G616),0))</x:f>
        <x:v>390</x:v>
      </x:c>
      <x:c r="I616" s="7" t="n">
        <x:f>IFERROR(IFERROR(INDEX('01_Ustawienia'!$B$15:$B$33,MATCH(B616,'01_Ustawienia'!$A$15:$A$33,0)),0.45),0.45)</x:f>
        <x:v>0.45</x:v>
      </x:c>
      <x:c r="J616" s="8" t="n">
        <x:f>IF(H616="","",ROUND(H616*(1+I616),0))</x:f>
        <x:v>566</x:v>
      </x:c>
      <x:c r="K616" s="8" t="n">
        <x:f>0</x:f>
        <x:v>0</x:v>
      </x:c>
      <x:c r="L616" s="8" t="n">
        <x:v>0</x:v>
      </x:c>
      <x:c r="M616" s="7" t="n">
        <x:f>IF('01_Ustawienia'!$B$4="ZWOLNIONY",0,'01_Ustawienia'!$B$7)</x:f>
        <x:v>0.08</x:v>
      </x:c>
      <x:c r="N616" s="8" t="n">
        <x:f>IF(J616="","",ROUND((J616+K616)*(1+M616),0))</x:f>
        <x:v>611</x:v>
      </x:c>
      <x:c r="O616" s="8" t="n">
        <x:f>IF(J616="","",J616+K616-H616-L616)</x:f>
        <x:v>176</x:v>
      </x:c>
      <x:c r="P616" s="7" t="n">
        <x:f>IFERROR(O616/(J616+K616),"")</x:f>
        <x:v>0.31095406360424027</x:v>
      </x:c>
      <x:c r="Q616" s="6" t="inlineStr">
        <x:is>
          <x:t xml:space="preserve">RAW_ZP D/E</x:t>
        </x:is>
      </x:c>
      <x:c r="R616" s="6" t="inlineStr">
        <x:is>
          <x:t xml:space="preserve">POKRYCIE DACHU</x:t>
        </x:is>
      </x:c>
      <x:c r="S616" s="6" t="inlineStr">
        <x:is>
          <x:t xml:space="preserve">website+crm</x:t>
        </x:is>
      </x:c>
      <x:c r="T616" s="6" t="inlineStr">
        <x:is>
          <x:t xml:space="preserve">FIX17: Wynagr.+koszty = 0 dla dopłaty; nie jest osobnym montażem ekipy.</x:t>
        </x:is>
      </x:c>
    </x:row>
    <x:row r="617" s="655" customFormat="1" ht="30" customHeight="1">
      <x:c r="A617" s="6" t="inlineStr">
        <x:is>
          <x:t xml:space="preserve">450 x 506 cm</x:t>
        </x:is>
      </x:c>
      <x:c r="B617" s="6" t="inlineStr">
        <x:is>
          <x:t xml:space="preserve">SBB</x:t>
        </x:is>
      </x:c>
      <x:c r="C617" s="6" t="inlineStr">
        <x:is>
          <x:t xml:space="preserve">Dopłata szkło boczne przyciemniane</x:t>
        </x:is>
      </x:c>
      <x:c r="D617" s="6" t="inlineStr">
        <x:is>
          <x:t xml:space="preserve">SZKŁO BOCZNE BARWIONE</x:t>
        </x:is>
      </x:c>
      <x:c r="E617" s="8" t="n">
        <x:f>IFERROR(INDEX('02_RAW_INDEX'!$AB:$AB,MATCH($A617,'02_RAW_INDEX'!$A:$A,0)),"")</x:f>
        <x:v>1463</x:v>
      </x:c>
      <x:c r="F617" s="8" t="n">
        <x:f>IFERROR(INDEX('02_RAW_INDEX'!$AA:$AA,MATCH($A617,'02_RAW_INDEX'!$A:$A,0)),"")</x:f>
        <x:v>1800</x:v>
      </x:c>
      <x:c r="G617" s="7" t="n">
        <x:f>'01_Ustawienia'!$B$6</x:f>
        <x:v>0</x:v>
      </x:c>
      <x:c r="H617" s="8" t="n">
        <x:f>IF(E617="","",ROUND(IF('01_Ustawienia'!$B$5="BRUTTO",F617,E617)*(1-G617),0))</x:f>
        <x:v>1463</x:v>
      </x:c>
      <x:c r="I617" s="7" t="n">
        <x:f>IFERROR(IFERROR(INDEX('01_Ustawienia'!$B$15:$B$33,MATCH(B617,'01_Ustawienia'!$A$15:$A$33,0)),0.45),0.45)</x:f>
        <x:v>0.45</x:v>
      </x:c>
      <x:c r="J617" s="8" t="n">
        <x:f>IF(H617="","",ROUND(H617*(1+I617),0))</x:f>
        <x:v>2121</x:v>
      </x:c>
      <x:c r="K617" s="8" t="n">
        <x:f>0</x:f>
        <x:v>0</x:v>
      </x:c>
      <x:c r="L617" s="8" t="n">
        <x:v>0</x:v>
      </x:c>
      <x:c r="M617" s="7" t="n">
        <x:f>IF('01_Ustawienia'!$B$4="ZWOLNIONY",0,'01_Ustawienia'!$B$7)</x:f>
        <x:v>0.08</x:v>
      </x:c>
      <x:c r="N617" s="8" t="n">
        <x:f>IF(J617="","",ROUND((J617+K617)*(1+M617),0))</x:f>
        <x:v>2291</x:v>
      </x:c>
      <x:c r="O617" s="8" t="n">
        <x:f>IF(J617="","",J617+K617-H617-L617)</x:f>
        <x:v>658</x:v>
      </x:c>
      <x:c r="P617" s="7" t="n">
        <x:f>IFERROR(O617/(J617+K617),"")</x:f>
        <x:v>0.3102310231023102</x:v>
      </x:c>
      <x:c r="Q617" s="6" t="inlineStr">
        <x:is>
          <x:t xml:space="preserve">RAW_OP H/I</x:t>
        </x:is>
      </x:c>
      <x:c r="R617" s="6" t="inlineStr">
        <x:is>
          <x:t xml:space="preserve">SZYBY BOCZNE</x:t>
        </x:is>
      </x:c>
      <x:c r="S617" s="6" t="inlineStr">
        <x:is>
          <x:t xml:space="preserve">website+crm</x:t>
        </x:is>
      </x:c>
      <x:c r="T617" s="6" t="inlineStr">
        <x:is>
          <x:t xml:space="preserve">Dodawane do ścian przezroczystych | FIX17: Wynagr.+koszty = 0 dla dopłaty; nie jest osobnym montażem ekipy.</x:t>
        </x:is>
      </x:c>
    </x:row>
    <x:row r="618">
      <x:c r="A618" s="6" t="inlineStr">
        <x:is>
          <x:t xml:space="preserve">450 x 506 cm</x:t>
        </x:is>
      </x:c>
      <x:c r="B618" s="6" t="inlineStr">
        <x:is>
          <x:t xml:space="preserve">RB</x:t>
        </x:is>
      </x:c>
      <x:c r="C618" s="6" t="inlineStr">
        <x:is>
          <x:t xml:space="preserve">Roleta boczna ZIP</x:t>
        </x:is>
      </x:c>
      <x:c r="D618" s="6" t="inlineStr">
        <x:is>
          <x:t xml:space="preserve">ROLETA BOCZNA</x:t>
        </x:is>
      </x:c>
      <x:c r="E618" s="8" t="n">
        <x:f>IFERROR(INDEX('02_RAW_INDEX'!$J:$J,MATCH($A618,'02_RAW_INDEX'!$A:$A,0)),"")</x:f>
        <x:v>2569</x:v>
      </x:c>
      <x:c r="F618" s="8" t="n">
        <x:f>IFERROR(INDEX('02_RAW_INDEX'!$I:$I,MATCH($A618,'02_RAW_INDEX'!$A:$A,0)),"")</x:f>
        <x:v>3160</x:v>
      </x:c>
      <x:c r="G618" s="7" t="n">
        <x:f>'01_Ustawienia'!$B$6</x:f>
        <x:v>0</x:v>
      </x:c>
      <x:c r="H618" s="8" t="n">
        <x:f>IF(E618="","",ROUND(IF('01_Ustawienia'!$B$5="BRUTTO",F618,E618)*(1-G618),0))</x:f>
        <x:v>2569</x:v>
      </x:c>
      <x:c r="I618" s="7" t="n">
        <x:f>IFERROR(IFERROR(INDEX('01_Ustawienia'!$B$15:$B$33,MATCH(B618,'01_Ustawienia'!$A$15:$A$33,0)),0.45),0.45)</x:f>
        <x:v>0.45</x:v>
      </x:c>
      <x:c r="J618" s="8" t="n">
        <x:f>IF(H618="","",ROUND(H618*(1+I618),0))</x:f>
        <x:v>3725</x:v>
      </x:c>
      <x:c r="K618" s="8" t="n">
        <x:f>0</x:f>
        <x:v>0</x:v>
      </x:c>
      <x:c r="L618" s="8" t="n">
        <x:f>IFERROR(IFERROR(INDEX(EG_Cennik_uslug!$AC:$AC,MATCH($A618,EG_Cennik_uslug!$A:$A,0)),0),0)</x:f>
        <x:v>150</x:v>
      </x:c>
      <x:c r="M618" s="7" t="n">
        <x:f>IF('01_Ustawienia'!$B$4="ZWOLNIONY",0,'01_Ustawienia'!$B$7)</x:f>
        <x:v>0.08</x:v>
      </x:c>
      <x:c r="N618" s="8" t="n">
        <x:f>IF(J618="","",ROUND((J618+K618)*(1+M618),0))</x:f>
        <x:v>4023</x:v>
      </x:c>
      <x:c r="O618" s="8" t="n">
        <x:f>IF(J618="","",J618+K618-H618-L618)</x:f>
        <x:v>1006</x:v>
      </x:c>
      <x:c r="P618" s="7" t="n">
        <x:f>IFERROR(O618/(J618+K618),"")</x:f>
        <x:v>0.2700671140939597</x:v>
      </x:c>
      <x:c r="Q618" s="6" t="inlineStr">
        <x:is>
          <x:t xml:space="preserve">RAW_ZP J/K</x:t>
        </x:is>
      </x:c>
      <x:c r="R618" s="6" t="inlineStr">
        <x:is>
          <x:t xml:space="preserve">ROLETY BOCZNE</x:t>
        </x:is>
      </x:c>
      <x:c r="S618" s="6" t="inlineStr">
        <x:is>
          <x:t xml:space="preserve">website+crm</x:t>
        </x:is>
      </x:c>
      <x:c r="T618" s="6" t="inlineStr">
        <x:is>
          <x:t xml:space="preserve">Używana dla lewej i prawej</x:t>
        </x:is>
      </x:c>
    </x:row>
    <x:row r="619">
      <x:c r="A619" s="6" t="inlineStr">
        <x:is>
          <x:t xml:space="preserve">450 x 506 cm</x:t>
        </x:is>
      </x:c>
      <x:c r="B619" s="6" t="inlineStr">
        <x:is>
          <x:t xml:space="preserve">RP</x:t>
        </x:is>
      </x:c>
      <x:c r="C619" s="6" t="inlineStr">
        <x:is>
          <x:t xml:space="preserve">Roleta przednia ZIP</x:t>
        </x:is>
      </x:c>
      <x:c r="D619" s="6" t="inlineStr">
        <x:is>
          <x:t xml:space="preserve">ROLETA PRZÓD</x:t>
        </x:is>
      </x:c>
      <x:c r="E619" s="8" t="n">
        <x:f>IFERROR(INDEX('02_RAW_INDEX'!$L:$L,MATCH($A619,'02_RAW_INDEX'!$A:$A,0)),"")</x:f>
        <x:v>3008</x:v>
      </x:c>
      <x:c r="F619" s="8" t="n">
        <x:f>IFERROR(INDEX('02_RAW_INDEX'!$K:$K,MATCH($A619,'02_RAW_INDEX'!$A:$A,0)),"")</x:f>
        <x:v>3700</x:v>
      </x:c>
      <x:c r="G619" s="7" t="n">
        <x:f>'01_Ustawienia'!$B$6</x:f>
        <x:v>0</x:v>
      </x:c>
      <x:c r="H619" s="8" t="n">
        <x:f>IF(E619="","",ROUND(IF('01_Ustawienia'!$B$5="BRUTTO",F619,E619)*(1-G619),0))</x:f>
        <x:v>3008</x:v>
      </x:c>
      <x:c r="I619" s="7" t="n">
        <x:f>IFERROR(IFERROR(INDEX('01_Ustawienia'!$B$15:$B$33,MATCH(B619,'01_Ustawienia'!$A$15:$A$33,0)),0.45),0.45)</x:f>
        <x:v>0.45</x:v>
      </x:c>
      <x:c r="J619" s="8" t="n">
        <x:f>IF(H619="","",ROUND(H619*(1+I619),0))</x:f>
        <x:v>4362</x:v>
      </x:c>
      <x:c r="K619" s="8" t="n">
        <x:f>0</x:f>
        <x:v>0</x:v>
      </x:c>
      <x:c r="L619" s="8" t="n">
        <x:f>IFERROR(IFERROR(INDEX(EG_Cennik_uslug!$AJ:$AJ,MATCH($A619,EG_Cennik_uslug!$A:$A,0)),0),0)</x:f>
        <x:v>300</x:v>
      </x:c>
      <x:c r="M619" s="7" t="n">
        <x:f>IF('01_Ustawienia'!$B$4="ZWOLNIONY",0,'01_Ustawienia'!$B$7)</x:f>
        <x:v>0.08</x:v>
      </x:c>
      <x:c r="N619" s="8" t="n">
        <x:f>IF(J619="","",ROUND((J619+K619)*(1+M619),0))</x:f>
        <x:v>4711</x:v>
      </x:c>
      <x:c r="O619" s="8" t="n">
        <x:f>IF(J619="","",J619+K619-H619-L619)</x:f>
        <x:v>1054</x:v>
      </x:c>
      <x:c r="P619" s="7" t="n">
        <x:f>IFERROR(O619/(J619+K619),"")</x:f>
        <x:v>0.24163227877120586</x:v>
      </x:c>
      <x:c r="Q619" s="6" t="inlineStr">
        <x:is>
          <x:t xml:space="preserve">RAW_ZP N/O</x:t>
        </x:is>
      </x:c>
      <x:c r="R619" s="6" t="inlineStr">
        <x:is>
          <x:t xml:space="preserve">ROLETY BOCZNE</x:t>
        </x:is>
      </x:c>
      <x:c r="S619" s="6" t="inlineStr">
        <x:is>
          <x:t xml:space="preserve">website+crm</x:t>
        </x:is>
      </x:c>
      <x:c r="T619" s="6" t="n"/>
    </x:row>
    <x:row r="620">
      <x:c r="A620" s="6" t="inlineStr">
        <x:is>
          <x:t xml:space="preserve">450 x 506 cm</x:t>
        </x:is>
      </x:c>
      <x:c r="B620" s="6" t="inlineStr">
        <x:is>
          <x:t xml:space="preserve">M</x:t>
        </x:is>
      </x:c>
      <x:c r="C620" s="6" t="inlineStr">
        <x:is>
          <x:t xml:space="preserve">Markiza dachowa</x:t>
        </x:is>
      </x:c>
      <x:c r="D620" s="6" t="inlineStr">
        <x:is>
          <x:t xml:space="preserve">MARKIZA</x:t>
        </x:is>
      </x:c>
      <x:c r="E620" s="8" t="n">
        <x:f>IFERROR(INDEX('02_RAW_INDEX'!$H:$H,MATCH($A620,'02_RAW_INDEX'!$A:$A,0)),"")</x:f>
        <x:v>4407</x:v>
      </x:c>
      <x:c r="F620" s="8" t="n">
        <x:f>IFERROR(INDEX('02_RAW_INDEX'!$G:$G,MATCH($A620,'02_RAW_INDEX'!$A:$A,0)),"")</x:f>
        <x:v>5420</x:v>
      </x:c>
      <x:c r="G620" s="7" t="n">
        <x:f>'01_Ustawienia'!$B$6</x:f>
        <x:v>0</x:v>
      </x:c>
      <x:c r="H620" s="8" t="n">
        <x:f>IF(E620="","",ROUND(IF('01_Ustawienia'!$B$5="BRUTTO",F620,E620)*(1-G620),0))</x:f>
        <x:v>4407</x:v>
      </x:c>
      <x:c r="I620" s="7" t="n">
        <x:f>IFERROR(IFERROR(INDEX('01_Ustawienia'!$B$15:$B$33,MATCH(B620,'01_Ustawienia'!$A$15:$A$33,0)),0.45),0.45)</x:f>
        <x:v>0.45</x:v>
      </x:c>
      <x:c r="J620" s="8" t="n">
        <x:f>IF(H620="","",ROUND(H620*(1+I620),0))</x:f>
        <x:v>6390</x:v>
      </x:c>
      <x:c r="K620" s="8" t="n">
        <x:f>0</x:f>
        <x:v>0</x:v>
      </x:c>
      <x:c r="L620" s="8" t="n">
        <x:f>IFERROR(IFERROR(INDEX(EG_Cennik_uslug!$AQ:$AQ,MATCH($A620,EG_Cennik_uslug!$A:$A,0)),0),0)</x:f>
        <x:v>300</x:v>
      </x:c>
      <x:c r="M620" s="7" t="n">
        <x:f>IF('01_Ustawienia'!$B$4="ZWOLNIONY",0,'01_Ustawienia'!$B$7)</x:f>
        <x:v>0.08</x:v>
      </x:c>
      <x:c r="N620" s="8" t="n">
        <x:f>IF(J620="","",ROUND((J620+K620)*(1+M620),0))</x:f>
        <x:v>6901</x:v>
      </x:c>
      <x:c r="O620" s="8" t="n">
        <x:f>IF(J620="","",J620+K620-H620-L620)</x:f>
        <x:v>1683</x:v>
      </x:c>
      <x:c r="P620" s="7" t="n">
        <x:f>IFERROR(O620/(J620+K620),"")</x:f>
        <x:v>0.2633802816901408</x:v>
      </x:c>
      <x:c r="Q620" s="6" t="inlineStr">
        <x:is>
          <x:t xml:space="preserve">RAW_ZP H/I</x:t>
        </x:is>
      </x:c>
      <x:c r="R620" s="6" t="inlineStr">
        <x:is>
          <x:t xml:space="preserve">MARKIZA</x:t>
        </x:is>
      </x:c>
      <x:c r="S620" s="6" t="inlineStr">
        <x:is>
          <x:t xml:space="preserve">website+crm</x:t>
        </x:is>
      </x:c>
      <x:c r="T620" s="6" t="n"/>
    </x:row>
    <x:row r="621">
      <x:c r="A621" s="6" t="inlineStr">
        <x:is>
          <x:t xml:space="preserve">450 x 506 cm</x:t>
        </x:is>
      </x:c>
      <x:c r="B621" s="6" t="inlineStr">
        <x:is>
          <x:t xml:space="preserve">PDWP</x:t>
        </x:is>
      </x:c>
      <x:c r="C621" s="6" t="inlineStr">
        <x:is>
          <x:t xml:space="preserve">Fundament/profile</x:t>
        </x:is>
      </x:c>
      <x:c r="D621" s="6" t="inlineStr">
        <x:is>
          <x:t xml:space="preserve">FUNDAMENT / PROFILE</x:t>
        </x:is>
      </x:c>
      <x:c r="E621" s="8" t="n">
        <x:f>IFERROR(INDEX('02_RAW_INDEX'!$AH:$AH,MATCH($A621,'02_RAW_INDEX'!$A:$A,0)),"")</x:f>
        <x:v>1146</x:v>
      </x:c>
      <x:c r="F621" s="8" t="n">
        <x:f>IFERROR(INDEX('02_RAW_INDEX'!$AG:$AG,MATCH($A621,'02_RAW_INDEX'!$A:$A,0)),"")</x:f>
        <x:v>1410</x:v>
      </x:c>
      <x:c r="G621" s="7" t="n">
        <x:f>'01_Ustawienia'!$B$6</x:f>
        <x:v>0</x:v>
      </x:c>
      <x:c r="H621" s="8" t="n">
        <x:f>IF(E621="","",ROUND(IF('01_Ustawienia'!$B$5="BRUTTO",F621,E621)*(1-G621),0))</x:f>
        <x:v>1146</x:v>
      </x:c>
      <x:c r="I621" s="7" t="n">
        <x:f>IFERROR(IFERROR(INDEX('01_Ustawienia'!$B$15:$B$33,MATCH(B621,'01_Ustawienia'!$A$15:$A$33,0)),0.45),0.45)</x:f>
        <x:v>1.2</x:v>
      </x:c>
      <x:c r="J621" s="8" t="n">
        <x:f>IF(H621="","",ROUND(H621*(1+I621),0))</x:f>
        <x:v>2521</x:v>
      </x:c>
      <x:c r="K621" s="8" t="n">
        <x:f>0</x:f>
        <x:v>0</x:v>
      </x:c>
      <x:c r="L621" s="8" t="n">
        <x:f>IFERROR(IFERROR(INDEX(EG_Cennik_uslug!$BT:$BT,MATCH($A621,EG_Cennik_uslug!$A:$A,0)),0),0)</x:f>
        <x:v>540</x:v>
      </x:c>
      <x:c r="M621" s="7" t="n">
        <x:f>IF('01_Ustawienia'!$B$4="ZWOLNIONY",0,'01_Ustawienia'!$B$7)</x:f>
        <x:v>0.08</x:v>
      </x:c>
      <x:c r="N621" s="8" t="n">
        <x:f>IF(J621="","",ROUND((J621+K621)*(1+M621),0))</x:f>
        <x:v>2723</x:v>
      </x:c>
      <x:c r="O621" s="8" t="n">
        <x:f>IF(J621="","",J621+K621-H621-L621)</x:f>
        <x:v>835</x:v>
      </x:c>
      <x:c r="P621" s="7" t="n">
        <x:f>IFERROR(O621/(J621+K621),"")</x:f>
        <x:v>0.3312177707259024</x:v>
      </x:c>
      <x:c r="Q621" s="6" t="inlineStr">
        <x:is>
          <x:t xml:space="preserve">RAW_OP AB/AC</x:t>
        </x:is>
      </x:c>
      <x:c r="R621" s="6" t="inlineStr">
        <x:is>
          <x:t xml:space="preserve">FUNDAMENT (PROFILE)</x:t>
        </x:is>
      </x:c>
      <x:c r="S621" s="6" t="inlineStr">
        <x:is>
          <x:t xml:space="preserve">website+crm</x:t>
        </x:is>
      </x:c>
      <x:c r="T621" s="6" t="n"/>
    </x:row>
    <x:row r="622" s="655" customFormat="1" ht="30" customHeight="1">
      <x:c r="A622" s="6" t="inlineStr">
        <x:is>
          <x:t xml:space="preserve">450 x 506 cm</x:t>
        </x:is>
      </x:c>
      <x:c r="B622" s="6" t="inlineStr">
        <x:is>
          <x:t xml:space="preserve">ZAB</x:t>
        </x:is>
      </x:c>
      <x:c r="C622" s="6" t="inlineStr">
        <x:is>
          <x:t xml:space="preserve">Zabieraki do ścian przesuwnych</x:t>
        </x:is>
      </x:c>
      <x:c r="D622" s="6" t="inlineStr">
        <x:is>
          <x:t xml:space="preserve">DODATKI</x:t>
        </x:is>
      </x:c>
      <x:c r="E622" s="8" t="n">
        <x:f>IFERROR(INDEX('02_RAW_INDEX'!$AJ:$AJ,MATCH($A622,'02_RAW_INDEX'!$A:$A,0)),"")</x:f>
        <x:v>358</x:v>
      </x:c>
      <x:c r="F622" s="8" t="n">
        <x:f>IFERROR(INDEX('02_RAW_INDEX'!$AI:$AI,MATCH($A622,'02_RAW_INDEX'!$A:$A,0)),"")</x:f>
        <x:v>440</x:v>
      </x:c>
      <x:c r="G622" s="7" t="n">
        <x:f>'01_Ustawienia'!$B$6</x:f>
        <x:v>0</x:v>
      </x:c>
      <x:c r="H622" s="8" t="n">
        <x:f>IF(E622="","",ROUND(IF('01_Ustawienia'!$B$5="BRUTTO",F622,E622)*(1-G622),0))</x:f>
        <x:v>358</x:v>
      </x:c>
      <x:c r="I622" s="7" t="n">
        <x:f>IFERROR(IFERROR(INDEX('01_Ustawienia'!$B$15:$B$33,MATCH(B622,'01_Ustawienia'!$A$15:$A$33,0)),0.45),0.45)</x:f>
        <x:v>0.45</x:v>
      </x:c>
      <x:c r="J622" s="8" t="n">
        <x:f>IF(H622="","",ROUND(H622*(1+I622),0))</x:f>
        <x:v>519</x:v>
      </x:c>
      <x:c r="K622" s="8" t="n">
        <x:f>0</x:f>
        <x:v>0</x:v>
      </x:c>
      <x:c r="L622" s="8" t="n">
        <x:f>0</x:f>
        <x:v>0</x:v>
      </x:c>
      <x:c r="M622" s="7" t="n">
        <x:f>IF('01_Ustawienia'!$B$4="ZWOLNIONY",0,'01_Ustawienia'!$B$7)</x:f>
        <x:v>0.08</x:v>
      </x:c>
      <x:c r="N622" s="8" t="n">
        <x:f>IF(J622="","",ROUND((J622+K622)*(1+M622),0))</x:f>
        <x:v>561</x:v>
      </x:c>
      <x:c r="O622" s="8" t="n">
        <x:f>IF(J622="","",J622+K622-H622-L622)</x:f>
        <x:v>161</x:v>
      </x:c>
      <x:c r="P622" s="7" t="n">
        <x:f>IFERROR(O622/(J622+K622),"")</x:f>
        <x:v>0.31021194605009633</x:v>
      </x:c>
      <x:c r="Q622" s="6" t="inlineStr">
        <x:is>
          <x:t xml:space="preserve">RAW_OP AD/AE</x:t>
        </x:is>
      </x:c>
      <x:c r="R622" s="6" t="inlineStr">
        <x:is>
          <x:t xml:space="preserve">DODATKI</x:t>
        </x:is>
      </x:c>
      <x:c r="S622" s="6" t="inlineStr">
        <x:is>
          <x:t xml:space="preserve">crm_only</x:t>
        </x:is>
      </x:c>
      <x:c r="T622" s="6" t="n"/>
    </x:row>
    <x:row r="623">
      <x:c r="A623" s="6" t="inlineStr">
        <x:is>
          <x:t xml:space="preserve">450 x 506 cm</x:t>
        </x:is>
      </x:c>
      <x:c r="B623" s="6" t="inlineStr">
        <x:is>
          <x:t xml:space="preserve">S</x:t>
        </x:is>
      </x:c>
      <x:c r="C623" s="6" t="inlineStr">
        <x:is>
          <x:t xml:space="preserve">Szczotki przeciwkurzowe</x:t>
        </x:is>
      </x:c>
      <x:c r="D623" s="6" t="inlineStr">
        <x:is>
          <x:t xml:space="preserve">SZCZOTKI</x:t>
        </x:is>
      </x:c>
      <x:c r="E623" s="8" t="n">
        <x:f>IFERROR(INDEX('02_RAW_INDEX'!$AD:$AD,MATCH($A623,'02_RAW_INDEX'!$A:$A,0)),"")</x:f>
        <x:v>463</x:v>
      </x:c>
      <x:c r="F623" s="8" t="n">
        <x:f>IFERROR(INDEX('02_RAW_INDEX'!$AC:$AC,MATCH($A623,'02_RAW_INDEX'!$A:$A,0)),"")</x:f>
        <x:v>570</x:v>
      </x:c>
      <x:c r="G623" s="7" t="n">
        <x:f>'01_Ustawienia'!$B$6</x:f>
        <x:v>0</x:v>
      </x:c>
      <x:c r="H623" s="8" t="n">
        <x:f>IF(E623="","",ROUND(IF('01_Ustawienia'!$B$5="BRUTTO",F623,E623)*(1-G623),0))</x:f>
        <x:v>463</x:v>
      </x:c>
      <x:c r="I623" s="7" t="n">
        <x:f>IFERROR(IFERROR(INDEX('01_Ustawienia'!$B$15:$B$33,MATCH(B623,'01_Ustawienia'!$A$15:$A$33,0)),0.45),0.45)</x:f>
        <x:v>0.45</x:v>
      </x:c>
      <x:c r="J623" s="8" t="n">
        <x:f>IF(H623="","",ROUND(H623*(1+I623),0))</x:f>
        <x:v>671</x:v>
      </x:c>
      <x:c r="K623" s="8" t="n">
        <x:f>0</x:f>
        <x:v>0</x:v>
      </x:c>
      <x:c r="L623" s="8" t="n">
        <x:f>IFERROR(IFERROR(INDEX(EG_Cennik_uslug!$CA:$CA,MATCH($A623,EG_Cennik_uslug!$A:$A,0)),0),0)</x:f>
        <x:v>0</x:v>
      </x:c>
      <x:c r="M623" s="7" t="n">
        <x:f>IF('01_Ustawienia'!$B$4="ZWOLNIONY",0,'01_Ustawienia'!$B$7)</x:f>
        <x:v>0.08</x:v>
      </x:c>
      <x:c r="N623" s="8" t="n">
        <x:f>IF(J623="","",ROUND((J623+K623)*(1+M623),0))</x:f>
        <x:v>725</x:v>
      </x:c>
      <x:c r="O623" s="8" t="n">
        <x:f>IF(J623="","",J623+K623-H623-L623)</x:f>
        <x:v>208</x:v>
      </x:c>
      <x:c r="P623" s="7" t="n">
        <x:f>IFERROR(O623/(J623+K623),"")</x:f>
        <x:v>0.30998509687034276</x:v>
      </x:c>
      <x:c r="Q623" s="6" t="inlineStr">
        <x:is>
          <x:t xml:space="preserve">RAW_OP L/M</x:t>
        </x:is>
      </x:c>
      <x:c r="R623" s="6" t="inlineStr">
        <x:is>
          <x:t xml:space="preserve">DODATKI</x:t>
        </x:is>
      </x:c>
      <x:c r="S623" s="6" t="inlineStr">
        <x:is>
          <x:t xml:space="preserve">website+crm</x:t>
        </x:is>
      </x:c>
      <x:c r="T623" s="6" t="n"/>
    </x:row>
    <x:row r="624">
      <x:c r="A624" s="6" t="inlineStr">
        <x:is>
          <x:t xml:space="preserve">450 x 506 cm</x:t>
        </x:is>
      </x:c>
      <x:c r="B624" s="6" t="inlineStr">
        <x:is>
          <x:t xml:space="preserve">U</x:t>
        </x:is>
      </x:c>
      <x:c r="C624" s="6" t="inlineStr">
        <x:is>
          <x:t xml:space="preserve">Uchwyty na szkło ścienne</x:t>
        </x:is>
      </x:c>
      <x:c r="D624" s="6" t="inlineStr">
        <x:is>
          <x:t xml:space="preserve">UCHWYTY</x:t>
        </x:is>
      </x:c>
      <x:c r="E624" s="8" t="n">
        <x:f>IFERROR(INDEX('02_RAW_INDEX'!$AF:$AF,MATCH($A624,'02_RAW_INDEX'!$A:$A,0)),"")</x:f>
        <x:v>423</x:v>
      </x:c>
      <x:c r="F624" s="8" t="n">
        <x:f>IFERROR(INDEX('02_RAW_INDEX'!$AE:$AE,MATCH($A624,'02_RAW_INDEX'!$A:$A,0)),"")</x:f>
        <x:v>520</x:v>
      </x:c>
      <x:c r="G624" s="7" t="n">
        <x:f>'01_Ustawienia'!$B$6</x:f>
        <x:v>0</x:v>
      </x:c>
      <x:c r="H624" s="8" t="n">
        <x:f>IF(E624="","",ROUND(IF('01_Ustawienia'!$B$5="BRUTTO",F624,E624)*(1-G624),0))</x:f>
        <x:v>423</x:v>
      </x:c>
      <x:c r="I624" s="7" t="n">
        <x:f>IFERROR(IFERROR(INDEX('01_Ustawienia'!$B$15:$B$33,MATCH(B624,'01_Ustawienia'!$A$15:$A$33,0)),0.45),0.45)</x:f>
        <x:v>0.45</x:v>
      </x:c>
      <x:c r="J624" s="8" t="n">
        <x:f>IF(H624="","",ROUND(H624*(1+I624),0))</x:f>
        <x:v>613</x:v>
      </x:c>
      <x:c r="K624" s="8" t="n">
        <x:f>0</x:f>
        <x:v>0</x:v>
      </x:c>
      <x:c r="L624" s="8" t="n">
        <x:f>IFERROR(IFERROR(INDEX(EG_Cennik_uslug!$CH:$CH,MATCH($A624,EG_Cennik_uslug!$A:$A,0)),0),0)</x:f>
        <x:v>0</x:v>
      </x:c>
      <x:c r="M624" s="7" t="n">
        <x:f>IF('01_Ustawienia'!$B$4="ZWOLNIONY",0,'01_Ustawienia'!$B$7)</x:f>
        <x:v>0.08</x:v>
      </x:c>
      <x:c r="N624" s="8" t="n">
        <x:f>IF(J624="","",ROUND((J624+K624)*(1+M624),0))</x:f>
        <x:v>662</x:v>
      </x:c>
      <x:c r="O624" s="8" t="n">
        <x:f>IF(J624="","",J624+K624-H624-L624)</x:f>
        <x:v>190</x:v>
      </x:c>
      <x:c r="P624" s="7" t="n">
        <x:f>IFERROR(O624/(J624+K624),"")</x:f>
        <x:v>0.3099510603588907</x:v>
      </x:c>
      <x:c r="Q624" s="6" t="inlineStr">
        <x:is>
          <x:t xml:space="preserve">RAW_OP N/O</x:t>
        </x:is>
      </x:c>
      <x:c r="R624" s="6" t="inlineStr">
        <x:is>
          <x:t xml:space="preserve">DODATKI</x:t>
        </x:is>
      </x:c>
      <x:c r="S624" s="6" t="inlineStr">
        <x:is>
          <x:t xml:space="preserve">website+crm</x:t>
        </x:is>
      </x:c>
      <x:c r="T624" s="6" t="n"/>
    </x:row>
    <x:row r="625">
      <x:c r="A625" s="6" t="inlineStr">
        <x:is>
          <x:t xml:space="preserve">450 x 506 cm</x:t>
        </x:is>
      </x:c>
      <x:c r="B625" s="6" t="inlineStr">
        <x:is>
          <x:t xml:space="preserve">LED2</x:t>
        </x:is>
      </x:c>
      <x:c r="C625" s="6" t="inlineStr">
        <x:is>
          <x:t xml:space="preserve">Oświetlenie LED 2 punkty</x:t>
        </x:is>
      </x:c>
      <x:c r="D625" s="6" t="inlineStr">
        <x:is>
          <x:t xml:space="preserve">LED 2 PKT</x:t>
        </x:is>
      </x:c>
      <x:c r="E625" s="8" t="n">
        <x:f>IFERROR(INDEX('02_RAW_INDEX'!$N:$N,MATCH($A625,'02_RAW_INDEX'!$A:$A,0)),"")</x:f>
        <x:v>488</x:v>
      </x:c>
      <x:c r="F625" s="8" t="n">
        <x:f>IFERROR(INDEX('02_RAW_INDEX'!$M:$M,MATCH($A625,'02_RAW_INDEX'!$A:$A,0)),"")</x:f>
        <x:v>600</x:v>
      </x:c>
      <x:c r="G625" s="7" t="n">
        <x:f>'01_Ustawienia'!$B$6</x:f>
        <x:v>0</x:v>
      </x:c>
      <x:c r="H625" s="8" t="n">
        <x:f>IF(E625="","",ROUND(IF('01_Ustawienia'!$B$5="BRUTTO",F625,E625)*(1-G625),0))</x:f>
        <x:v>488</x:v>
      </x:c>
      <x:c r="I625" s="7" t="n">
        <x:f>IFERROR(IFERROR(INDEX('01_Ustawienia'!$B$15:$B$33,MATCH(B625,'01_Ustawienia'!$A$15:$A$33,0)),0.45),0.45)</x:f>
        <x:v>0.45</x:v>
      </x:c>
      <x:c r="J625" s="8" t="n">
        <x:f>IF(H625="","",ROUND(H625*(1+I625),0))</x:f>
        <x:v>708</x:v>
      </x:c>
      <x:c r="K625" s="8" t="n">
        <x:f>0</x:f>
        <x:v>0</x:v>
      </x:c>
      <x:c r="L625" s="8" t="n">
        <x:f>IFERROR(IFERROR(INDEX(EG_Cennik_uslug!$CO:$CO,MATCH($A625,EG_Cennik_uslug!$A:$A,0)),0),0)</x:f>
        <x:v>0</x:v>
      </x:c>
      <x:c r="M625" s="7" t="n">
        <x:f>IF('01_Ustawienia'!$B$4="ZWOLNIONY",0,'01_Ustawienia'!$B$7)</x:f>
        <x:v>0.08</x:v>
      </x:c>
      <x:c r="N625" s="8" t="n">
        <x:f>IF(J625="","",ROUND((J625+K625)*(1+M625),0))</x:f>
        <x:v>765</x:v>
      </x:c>
      <x:c r="O625" s="8" t="n">
        <x:f>IF(J625="","",J625+K625-H625-L625)</x:f>
        <x:v>220</x:v>
      </x:c>
      <x:c r="P625" s="7" t="n">
        <x:f>IFERROR(O625/(J625+K625),"")</x:f>
        <x:v>0.3107344632768362</x:v>
      </x:c>
      <x:c r="Q625" s="6" t="inlineStr">
        <x:is>
          <x:t xml:space="preserve">RAW_ZP P/Q</x:t>
        </x:is>
      </x:c>
      <x:c r="R625" s="6" t="inlineStr">
        <x:is>
          <x:t xml:space="preserve">OŚWIETLENIE</x:t>
        </x:is>
      </x:c>
      <x:c r="S625" s="6" t="inlineStr">
        <x:is>
          <x:t xml:space="preserve">website+crm</x:t>
        </x:is>
      </x:c>
      <x:c r="T625" s="6" t="n"/>
    </x:row>
    <x:row r="626">
      <x:c r="A626" s="6" t="inlineStr">
        <x:is>
          <x:t xml:space="preserve">450 x 506 cm</x:t>
        </x:is>
      </x:c>
      <x:c r="B626" s="6" t="inlineStr">
        <x:is>
          <x:t xml:space="preserve">LED3</x:t>
        </x:is>
      </x:c>
      <x:c r="C626" s="6" t="inlineStr">
        <x:is>
          <x:t xml:space="preserve">Oświetlenie LED 3 punkty</x:t>
        </x:is>
      </x:c>
      <x:c r="D626" s="6" t="inlineStr">
        <x:is>
          <x:t xml:space="preserve">LED 3 PKT</x:t>
        </x:is>
      </x:c>
      <x:c r="E626" s="8" t="n">
        <x:f>IFERROR(INDEX('02_RAW_INDEX'!$P:$P,MATCH($A626,'02_RAW_INDEX'!$A:$A,0)),"")</x:f>
        <x:v>780</x:v>
      </x:c>
      <x:c r="F626" s="8" t="n">
        <x:f>IFERROR(INDEX('02_RAW_INDEX'!$O:$O,MATCH($A626,'02_RAW_INDEX'!$A:$A,0)),"")</x:f>
        <x:v>960</x:v>
      </x:c>
      <x:c r="G626" s="7" t="n">
        <x:f>'01_Ustawienia'!$B$6</x:f>
        <x:v>0</x:v>
      </x:c>
      <x:c r="H626" s="8" t="n">
        <x:f>IF(E626="","",ROUND(IF('01_Ustawienia'!$B$5="BRUTTO",F626,E626)*(1-G626),0))</x:f>
        <x:v>780</x:v>
      </x:c>
      <x:c r="I626" s="7" t="n">
        <x:f>IFERROR(IFERROR(INDEX('01_Ustawienia'!$B$15:$B$33,MATCH(B626,'01_Ustawienia'!$A$15:$A$33,0)),0.45),0.45)</x:f>
        <x:v>0.45</x:v>
      </x:c>
      <x:c r="J626" s="8" t="n">
        <x:f>IF(H626="","",ROUND(H626*(1+I626),0))</x:f>
        <x:v>1131</x:v>
      </x:c>
      <x:c r="K626" s="8" t="n">
        <x:f>0</x:f>
        <x:v>0</x:v>
      </x:c>
      <x:c r="L626" s="8" t="n">
        <x:f>IFERROR(IFERROR(INDEX(EG_Cennik_uslug!$CV:$CV,MATCH($A626,EG_Cennik_uslug!$A:$A,0)),0),0)</x:f>
        <x:v>0</x:v>
      </x:c>
      <x:c r="M626" s="7" t="n">
        <x:f>IF('01_Ustawienia'!$B$4="ZWOLNIONY",0,'01_Ustawienia'!$B$7)</x:f>
        <x:v>0.08</x:v>
      </x:c>
      <x:c r="N626" s="8" t="n">
        <x:f>IF(J626="","",ROUND((J626+K626)*(1+M626),0))</x:f>
        <x:v>1221</x:v>
      </x:c>
      <x:c r="O626" s="8" t="n">
        <x:f>IF(J626="","",J626+K626-H626-L626)</x:f>
        <x:v>351</x:v>
      </x:c>
      <x:c r="P626" s="7" t="n">
        <x:f>IFERROR(O626/(J626+K626),"")</x:f>
        <x:v>0.3103448275862069</x:v>
      </x:c>
      <x:c r="Q626" s="6" t="inlineStr">
        <x:is>
          <x:t xml:space="preserve">RAW_ZP R/S</x:t>
        </x:is>
      </x:c>
      <x:c r="R626" s="6" t="inlineStr">
        <x:is>
          <x:t xml:space="preserve">OŚWIETLENIE</x:t>
        </x:is>
      </x:c>
      <x:c r="S626" s="6" t="inlineStr">
        <x:is>
          <x:t xml:space="preserve">website+crm</x:t>
        </x:is>
      </x:c>
      <x:c r="T626" s="6" t="inlineStr">
        <x:is>
          <x:t xml:space="preserve">Nazwa do potwierdzenia</x:t>
        </x:is>
      </x:c>
    </x:row>
    <x:row r="627">
      <x:c r="A627" s="6" t="inlineStr">
        <x:is>
          <x:t xml:space="preserve">450 x 506 cm</x:t>
        </x:is>
      </x:c>
      <x:c r="B627" s="6" t="inlineStr">
        <x:is>
          <x:t xml:space="preserve">LEDCCT</x:t>
        </x:is>
      </x:c>
      <x:c r="C627" s="6" t="inlineStr">
        <x:is>
          <x:t xml:space="preserve">Oświetlenie LED CCT</x:t>
        </x:is>
      </x:c>
      <x:c r="D627" s="6" t="inlineStr">
        <x:is>
          <x:t xml:space="preserve">OŚWIETLENIE</x:t>
        </x:is>
      </x:c>
      <x:c r="E627" s="8" t="n">
        <x:f>IFERROR(INDEX('02_RAW_INDEX'!$R:$R,MATCH($A627,'02_RAW_INDEX'!$A:$A,0)),"")</x:f>
        <x:v>1528</x:v>
      </x:c>
      <x:c r="F627" s="8" t="n">
        <x:f>IFERROR(INDEX('02_RAW_INDEX'!$Q:$Q,MATCH($A627,'02_RAW_INDEX'!$A:$A,0)),"")</x:f>
        <x:v>1880</x:v>
      </x:c>
      <x:c r="G627" s="7" t="n">
        <x:f>'01_Ustawienia'!$B$6</x:f>
        <x:v>0</x:v>
      </x:c>
      <x:c r="H627" s="8" t="n">
        <x:f>IF(E627="","",ROUND(IF('01_Ustawienia'!$B$5="BRUTTO",F627,E627)*(1-G627),0))</x:f>
        <x:v>1528</x:v>
      </x:c>
      <x:c r="I627" s="7" t="n">
        <x:f>IFERROR(IFERROR(INDEX('01_Ustawienia'!$B$15:$B$33,MATCH(B627,'01_Ustawienia'!$A$15:$A$33,0)),0.45),0.45)</x:f>
        <x:v>0.45</x:v>
      </x:c>
      <x:c r="J627" s="8" t="n">
        <x:f>IF(H627="","",ROUND(H627*(1+I627),0)+700)</x:f>
        <x:v>2916</x:v>
      </x:c>
      <x:c r="K627" s="8" t="n">
        <x:f>0</x:f>
        <x:v>0</x:v>
      </x:c>
      <x:c r="L627" s="8" t="n">
        <x:f>0</x:f>
        <x:v>0</x:v>
      </x:c>
      <x:c r="M627" s="7" t="n">
        <x:f>IF('01_Ustawienia'!$B$4="ZWOLNIONY",0,'01_Ustawienia'!$B$7)</x:f>
        <x:v>0.08</x:v>
      </x:c>
      <x:c r="N627" s="8" t="n">
        <x:f>IF(J627="","",ROUND((J627+K627)*(1+M627),0))</x:f>
        <x:v>3149</x:v>
      </x:c>
      <x:c r="O627" s="8" t="n">
        <x:f>IF(J627="","",J627+K627-H627-L627)</x:f>
        <x:v>1388</x:v>
      </x:c>
      <x:c r="P627" s="7" t="n">
        <x:f>IFERROR(O627/(J627+K627),"")</x:f>
        <x:v>0.47599451303155005</x:v>
      </x:c>
      <x:c r="Q627" s="715" t="inlineStr">
        <x:is>
          <x:t xml:space="preserve">MODEL_FIX15_LED</x:t>
        </x:is>
      </x:c>
      <x:c r="R627" s="6" t="inlineStr">
        <x:is>
          <x:t xml:space="preserve">OŚWIETLENIE</x:t>
        </x:is>
      </x:c>
      <x:c r="S627" s="6" t="inlineStr">
        <x:is>
          <x:t xml:space="preserve">website+crm</x:t>
        </x:is>
      </x:c>
      <x:c r="T627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628">
      <x:c r="A628" s="6" t="inlineStr">
        <x:is>
          <x:t xml:space="preserve">450 x 506 cm</x:t>
        </x:is>
      </x:c>
      <x:c r="B628" s="6" t="inlineStr">
        <x:is>
          <x:t xml:space="preserve">LEDRGBCCT</x:t>
        </x:is>
      </x:c>
      <x:c r="C628" s="6" t="inlineStr">
        <x:is>
          <x:t xml:space="preserve">Oświetlenie LED RGB CCT</x:t>
        </x:is>
      </x:c>
      <x:c r="D628" s="6" t="inlineStr">
        <x:is>
          <x:t xml:space="preserve">OŚWIETLENIE</x:t>
        </x:is>
      </x:c>
      <x:c r="E628" s="8" t="n">
        <x:f>IFERROR(INDEX('02_RAW_INDEX'!$T:$T,MATCH($A628,'02_RAW_INDEX'!$A:$A,0)),"")</x:f>
        <x:v>2039</x:v>
      </x:c>
      <x:c r="F628" s="8" t="n">
        <x:f>IFERROR(INDEX('02_RAW_INDEX'!$S:$S,MATCH($A628,'02_RAW_INDEX'!$A:$A,0)),"")</x:f>
        <x:v>2508</x:v>
      </x:c>
      <x:c r="G628" s="7" t="n">
        <x:f>'01_Ustawienia'!$B$6</x:f>
        <x:v>0</x:v>
      </x:c>
      <x:c r="H628" s="8" t="n">
        <x:f>IF(E628="","",ROUND(IF('01_Ustawienia'!$B$5="BRUTTO",F628,E628)*(1-G628),0))</x:f>
        <x:v>2039</x:v>
      </x:c>
      <x:c r="I628" s="7" t="n">
        <x:f>IFERROR(IFERROR(INDEX('01_Ustawienia'!$B$15:$B$33,MATCH(B628,'01_Ustawienia'!$A$15:$A$33,0)),0.45),0.45)</x:f>
        <x:v>0.45</x:v>
      </x:c>
      <x:c r="J628" s="8" t="n">
        <x:f>IF(H628="","",ROUND(H628*(1+I628),0))</x:f>
        <x:v>2957</x:v>
      </x:c>
      <x:c r="K628" s="8" t="n">
        <x:f>0</x:f>
        <x:v>0</x:v>
      </x:c>
      <x:c r="L628" s="8" t="n">
        <x:f>0</x:f>
        <x:v>0</x:v>
      </x:c>
      <x:c r="M628" s="7" t="n">
        <x:f>IF('01_Ustawienia'!$B$4="ZWOLNIONY",0,'01_Ustawienia'!$B$7)</x:f>
        <x:v>0.08</x:v>
      </x:c>
      <x:c r="N628" s="8" t="n">
        <x:f>IF(J628="","",ROUND((J628+K628)*(1+M628),0))</x:f>
        <x:v>3194</x:v>
      </x:c>
      <x:c r="O628" s="8" t="n">
        <x:f>IF(J628="","",J628+K628-H628-L628)</x:f>
        <x:v>918</x:v>
      </x:c>
      <x:c r="P628" s="7" t="n">
        <x:f>IFERROR(O628/(J628+K628),"")</x:f>
        <x:v>0.31044978018261754</x:v>
      </x:c>
      <x:c r="Q628" s="715" t="inlineStr">
        <x:is>
          <x:t xml:space="preserve">MODEL_FIX15_LED</x:t>
        </x:is>
      </x:c>
      <x:c r="R628" s="6" t="inlineStr">
        <x:is>
          <x:t xml:space="preserve">OŚWIETLENIE</x:t>
        </x:is>
      </x:c>
      <x:c r="S628" s="6" t="inlineStr">
        <x:is>
          <x:t xml:space="preserve">crm_only</x:t>
        </x:is>
      </x:c>
      <x:c r="T628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629" s="655" customFormat="1" ht="30" customHeight="1">
      <x:c r="A629" s="6" t="inlineStr">
        <x:is>
          <x:t xml:space="preserve">450 x 606 cm</x:t>
        </x:is>
      </x:c>
      <x:c r="B629" s="6" t="inlineStr">
        <x:is>
          <x:t xml:space="preserve">ZP</x:t>
        </x:is>
      </x:c>
      <x:c r="C629" s="6" t="inlineStr">
        <x:is>
          <x:t xml:space="preserve">Zadaszenie poliwęglan - baza</x:t>
        </x:is>
      </x:c>
      <x:c r="D629" s="6" t="inlineStr">
        <x:is>
          <x:t xml:space="preserve">ZADASZENIE POLIWĘGLAN</x:t>
        </x:is>
      </x:c>
      <x:c r="E629" s="8" t="n">
        <x:f>IFERROR(INDEX('02_RAW_INDEX'!$D:$D,MATCH($A629,'02_RAW_INDEX'!$A:$A,0)),"")</x:f>
        <x:v>10683</x:v>
      </x:c>
      <x:c r="F629" s="8" t="n">
        <x:f>IFERROR(INDEX('02_RAW_INDEX'!$C:$C,MATCH($A629,'02_RAW_INDEX'!$A:$A,0)),"")</x:f>
        <x:v>13140</x:v>
      </x:c>
      <x:c r="G629" s="7" t="n">
        <x:f>'01_Ustawienia'!$B$6</x:f>
        <x:v>0</x:v>
      </x:c>
      <x:c r="H629" s="8" t="n">
        <x:f>IF(E629="","",ROUND(IF('01_Ustawienia'!$B$5="BRUTTO",F629,E629)*(1-G629),0))</x:f>
        <x:v>10683</x:v>
      </x:c>
      <x:c r="I629" s="7" t="n">
        <x:f>IFERROR(IFERROR(INDEX('01_Ustawienia'!$B$15:$B$33,MATCH(B629,'01_Ustawienia'!$A$15:$A$33,0)),0.45),0.45)</x:f>
        <x:v>0.45</x:v>
      </x:c>
      <x:c r="J629" s="8" t="n">
        <x:f>IF(H629="","",ROUND(H629*(1+I629),0))</x:f>
        <x:v>15490</x:v>
      </x:c>
      <x:c r="K629" s="8" t="n">
        <x:f>IFERROR(IFERROR(INDEX(EG_Cennik_uslug!$F:$F,MATCH($A629,EG_Cennik_uslug!$A:$A,0)),0),0)</x:f>
        <x:v>4000</x:v>
      </x:c>
      <x:c r="L629" s="8" t="n">
        <x:f>IFERROR(IFERROR(INDEX(EG_Cennik_uslug!$G:$G,MATCH($A629,EG_Cennik_uslug!$A:$A,0)),0),0)</x:f>
        <x:v>1410</x:v>
      </x:c>
      <x:c r="M629" s="7" t="n">
        <x:f>IF('01_Ustawienia'!$B$4="ZWOLNIONY",0,'01_Ustawienia'!$B$7)</x:f>
        <x:v>0.08</x:v>
      </x:c>
      <x:c r="N629" s="8" t="n">
        <x:f>IF(J629="","",ROUND((J629+K629)*(1+M629),0))</x:f>
        <x:v>21049</x:v>
      </x:c>
      <x:c r="O629" s="8" t="n">
        <x:f>IF(J629="","",J629+K629-H629-L629)</x:f>
        <x:v>7397</x:v>
      </x:c>
      <x:c r="P629" s="7" t="n">
        <x:f>IFERROR(O629/(J629+K629),"")</x:f>
        <x:v>0.3795279630579784</x:v>
      </x:c>
      <x:c r="Q629" s="6" t="inlineStr">
        <x:is>
          <x:t xml:space="preserve">RAW_ZP B/C</x:t>
        </x:is>
      </x:c>
      <x:c r="R629" s="6" t="inlineStr">
        <x:is>
          <x:t xml:space="preserve">ZADASZENIE TARASU KONSTRUKCJA</x:t>
        </x:is>
      </x:c>
      <x:c r="S629" s="6" t="inlineStr">
        <x:is>
          <x:t xml:space="preserve">website+crm</x:t>
        </x:is>
      </x:c>
      <x:c r="T629" s="6" t="inlineStr">
        <x:is>
          <x:t xml:space="preserve">Baza dla kalkulatora</x:t>
        </x:is>
      </x:c>
    </x:row>
    <x:row r="630" s="655" customFormat="1" ht="30" customHeight="1">
      <x:c r="A630" s="6" t="inlineStr">
        <x:is>
          <x:t xml:space="preserve">450 x 606 cm</x:t>
        </x:is>
      </x:c>
      <x:c r="B630" s="6" t="inlineStr">
        <x:is>
          <x:t xml:space="preserve">ZS</x:t>
        </x:is>
      </x:c>
      <x:c r="C630" s="6" t="inlineStr">
        <x:is>
          <x:t xml:space="preserve">Zadaszenie szkło - pełna konstrukcja</x:t>
        </x:is>
      </x:c>
      <x:c r="D630" s="6" t="inlineStr">
        <x:is>
          <x:t xml:space="preserve">ZADASZENIE SZKŁO</x:t>
        </x:is>
      </x:c>
      <x:c r="E630" s="8" t="n">
        <x:f>IFERROR(INDEX('02_RAW_INDEX'!$V:$V,MATCH($A630,'02_RAW_INDEX'!$A:$A,0)),"")</x:f>
        <x:v>16813</x:v>
      </x:c>
      <x:c r="F630" s="8" t="n">
        <x:f>IFERROR(INDEX('02_RAW_INDEX'!$U:$U,MATCH($A630,'02_RAW_INDEX'!$A:$A,0)),"")</x:f>
        <x:v>20680</x:v>
      </x:c>
      <x:c r="G630" s="7" t="n">
        <x:f>'01_Ustawienia'!$B$6</x:f>
        <x:v>0</x:v>
      </x:c>
      <x:c r="H630" s="8" t="n">
        <x:f>IF(E630="","",ROUND(IF('01_Ustawienia'!$B$5="BRUTTO",F630,E630)*(1-G630),0))</x:f>
        <x:v>16813</x:v>
      </x:c>
      <x:c r="I630" s="7" t="n">
        <x:f>IFERROR(IFERROR(INDEX('01_Ustawienia'!$B$15:$B$33,MATCH(B630,'01_Ustawienia'!$A$15:$A$33,0)),0.45),0.45)</x:f>
        <x:v>0.45</x:v>
      </x:c>
      <x:c r="J630" s="8" t="n">
        <x:f>IF(H630="","",ROUND(H630*(1+I630),0))</x:f>
        <x:v>24379</x:v>
      </x:c>
      <x:c r="K630" s="8" t="n">
        <x:f>IFERROR(IFERROR(INDEX(EG_Cennik_uslug!$F:$F,MATCH($A630,EG_Cennik_uslug!$A:$A,0)),0),0)</x:f>
        <x:v>4000</x:v>
      </x:c>
      <x:c r="L630" s="8" t="n">
        <x:f>IFERROR(IFERROR(INDEX(EG_Cennik_uslug!$G:$G,MATCH($A630,EG_Cennik_uslug!$A:$A,0)),0),0)</x:f>
        <x:v>1410</x:v>
      </x:c>
      <x:c r="M630" s="7" t="n">
        <x:f>IF('01_Ustawienia'!$B$4="ZWOLNIONY",0,'01_Ustawienia'!$B$7)</x:f>
        <x:v>0.08</x:v>
      </x:c>
      <x:c r="N630" s="8" t="n">
        <x:f>IF(J630="","",ROUND((J630+K630)*(1+M630),0))</x:f>
        <x:v>30649</x:v>
      </x:c>
      <x:c r="O630" s="8" t="n">
        <x:f>IF(J630="","",J630+K630-H630-L630)</x:f>
        <x:v>10156</x:v>
      </x:c>
      <x:c r="P630" s="7" t="n">
        <x:f>IFERROR(O630/(J630+K630),"")</x:f>
        <x:v>0.3578702561753409</x:v>
      </x:c>
      <x:c r="Q630" s="6" t="inlineStr">
        <x:is>
          <x:t xml:space="preserve">RAW_ZS B/C</x:t>
        </x:is>
      </x:c>
      <x:c r="R630" s="6" t="inlineStr">
        <x:is>
          <x:t xml:space="preserve">ZADASZENIE TARASU KONSTRUKCJA</x:t>
        </x:is>
      </x:c>
      <x:c r="S630" s="6" t="inlineStr">
        <x:is>
          <x:t xml:space="preserve">crm_only</x:t>
        </x:is>
      </x:c>
      <x:c r="T630" s="6" t="inlineStr">
        <x:is>
          <x:t xml:space="preserve">Referencyjne/full; strona zwykle używa ZP + PDS</x:t>
        </x:is>
      </x:c>
    </x:row>
    <x:row r="631" s="655" customFormat="1" ht="30" customHeight="1">
      <x:c r="A631" s="6" t="inlineStr">
        <x:is>
          <x:t xml:space="preserve">450 x 606 cm</x:t>
        </x:is>
      </x:c>
      <x:c r="B631" s="6" t="inlineStr">
        <x:is>
          <x:t xml:space="preserve">OP</x:t>
        </x:is>
      </x:c>
      <x:c r="C631" s="6" t="inlineStr">
        <x:is>
          <x:t xml:space="preserve">Ogród zimowy poliwęglan - baza</x:t>
        </x:is>
      </x:c>
      <x:c r="D631" s="6" t="inlineStr">
        <x:is>
          <x:t xml:space="preserve">OGRODY POLIWĘGLAN</x:t>
        </x:is>
      </x:c>
      <x:c r="E631" s="8" t="n">
        <x:f>IFERROR(INDEX('02_RAW_INDEX'!$Z:$Z,MATCH($A631,'02_RAW_INDEX'!$A:$A,0)),"")</x:f>
        <x:v>25528</x:v>
      </x:c>
      <x:c r="F631" s="8" t="n">
        <x:f>IFERROR(INDEX('02_RAW_INDEX'!$Y:$Y,MATCH($A631,'02_RAW_INDEX'!$A:$A,0)),"")</x:f>
        <x:v>31400</x:v>
      </x:c>
      <x:c r="G631" s="7" t="n">
        <x:f>'01_Ustawienia'!$B$6</x:f>
        <x:v>0</x:v>
      </x:c>
      <x:c r="H631" s="8" t="n">
        <x:f>IF(E631="","",ROUND(IF('01_Ustawienia'!$B$5="BRUTTO",F631,E631)*(1-G631),0))</x:f>
        <x:v>25528</x:v>
      </x:c>
      <x:c r="I631" s="7" t="n">
        <x:f>IFERROR(IFERROR(INDEX('01_Ustawienia'!$B$15:$B$33,MATCH(B631,'01_Ustawienia'!$A$15:$A$33,0)),0.45),0.45)</x:f>
        <x:v>0.45</x:v>
      </x:c>
      <x:c r="J631" s="8" t="n">
        <x:f>IF(H631="","",ROUND(H631*(1+I631),0))</x:f>
        <x:v>37016</x:v>
      </x:c>
      <x:c r="K631" s="8" t="n">
        <x:f>IFERROR(IFERROR(INDEX(EG_Cennik_uslug!$N:$N,MATCH($A631,EG_Cennik_uslug!$A:$A,0)),0),0)</x:f>
        <x:v>5100</x:v>
      </x:c>
      <x:c r="L631" s="8" t="n">
        <x:f>IFERROR(IFERROR(INDEX(EG_Cennik_uslug!$O:$O,MATCH($A631,EG_Cennik_uslug!$A:$A,0)),0),0)</x:f>
        <x:v>1980</x:v>
      </x:c>
      <x:c r="M631" s="7" t="n">
        <x:f>IF('01_Ustawienia'!$B$4="ZWOLNIONY",0,'01_Ustawienia'!$B$7)</x:f>
        <x:v>0.08</x:v>
      </x:c>
      <x:c r="N631" s="8" t="n">
        <x:f>IF(J631="","",ROUND((J631+K631)*(1+M631),0))</x:f>
        <x:v>45485</x:v>
      </x:c>
      <x:c r="O631" s="8" t="n">
        <x:f>IF(J631="","",J631+K631-H631-L631)</x:f>
        <x:v>14608</x:v>
      </x:c>
      <x:c r="P631" s="7" t="n">
        <x:f>IFERROR(O631/(J631+K631),"")</x:f>
        <x:v>0.34685155285402225</x:v>
      </x:c>
      <x:c r="Q631" s="6" t="inlineStr">
        <x:is>
          <x:t xml:space="preserve">RAW_OP B/C</x:t>
        </x:is>
      </x:c>
      <x:c r="R631" s="6" t="inlineStr">
        <x:is>
          <x:t xml:space="preserve">OGRÓD ZIMOWY (KONSTRUKCJA)</x:t>
        </x:is>
      </x:c>
      <x:c r="S631" s="6" t="inlineStr">
        <x:is>
          <x:t xml:space="preserve">website+crm</x:t>
        </x:is>
      </x:c>
      <x:c r="T631" s="6" t="inlineStr">
        <x:is>
          <x:t xml:space="preserve">Do wyliczenia dopłaty za ściany</x:t>
        </x:is>
      </x:c>
    </x:row>
    <x:row r="632" s="655" customFormat="1" ht="30" customHeight="1">
      <x:c r="A632" s="6" t="inlineStr">
        <x:is>
          <x:t xml:space="preserve">450 x 606 cm</x:t>
        </x:is>
      </x:c>
      <x:c r="B632" s="6" t="inlineStr">
        <x:is>
          <x:t xml:space="preserve">OS</x:t>
        </x:is>
      </x:c>
      <x:c r="C632" s="6" t="inlineStr">
        <x:is>
          <x:t xml:space="preserve">Ogród zimowy szkło - pełna konstrukcja</x:t>
        </x:is>
      </x:c>
      <x:c r="D632" s="6" t="inlineStr">
        <x:is>
          <x:t xml:space="preserve">OGRODY SZKŁO</x:t>
        </x:is>
      </x:c>
      <x:c r="E632" s="8" t="n">
        <x:f>IFERROR(INDEX('02_RAW_INDEX'!$AL:$AL,MATCH($A632,'02_RAW_INDEX'!$A:$A,0)),"")</x:f>
        <x:v>31659</x:v>
      </x:c>
      <x:c r="F632" s="8" t="n">
        <x:f>IFERROR(INDEX('02_RAW_INDEX'!$AK:$AK,MATCH($A632,'02_RAW_INDEX'!$A:$A,0)),"")</x:f>
        <x:v>38940</x:v>
      </x:c>
      <x:c r="G632" s="7" t="n">
        <x:f>'01_Ustawienia'!$B$6</x:f>
        <x:v>0</x:v>
      </x:c>
      <x:c r="H632" s="8" t="n">
        <x:f>IF(E632="","",ROUND(IF('01_Ustawienia'!$B$5="BRUTTO",F632,E632)*(1-G632),0))</x:f>
        <x:v>31659</x:v>
      </x:c>
      <x:c r="I632" s="7" t="n">
        <x:f>IFERROR(IFERROR(INDEX('01_Ustawienia'!$B$15:$B$33,MATCH(B632,'01_Ustawienia'!$A$15:$A$33,0)),0.45),0.45)</x:f>
        <x:v>0.45</x:v>
      </x:c>
      <x:c r="J632" s="8" t="n">
        <x:f>IF(H632="","",ROUND(H632*(1+I632),0))</x:f>
        <x:v>45906</x:v>
      </x:c>
      <x:c r="K632" s="8" t="n">
        <x:f>IFERROR(IFERROR(INDEX(EG_Cennik_uslug!$N:$N,MATCH($A632,EG_Cennik_uslug!$A:$A,0)),0),0)</x:f>
        <x:v>5100</x:v>
      </x:c>
      <x:c r="L632" s="8" t="n">
        <x:f>IFERROR(IFERROR(INDEX(EG_Cennik_uslug!$O:$O,MATCH($A632,EG_Cennik_uslug!$A:$A,0)),0),0)</x:f>
        <x:v>1980</x:v>
      </x:c>
      <x:c r="M632" s="7" t="n">
        <x:f>IF('01_Ustawienia'!$B$4="ZWOLNIONY",0,'01_Ustawienia'!$B$7)</x:f>
        <x:v>0.08</x:v>
      </x:c>
      <x:c r="N632" s="8" t="n">
        <x:f>IF(J632="","",ROUND((J632+K632)*(1+M632),0))</x:f>
        <x:v>55086</x:v>
      </x:c>
      <x:c r="O632" s="8" t="n">
        <x:f>IF(J632="","",J632+K632-H632-L632)</x:f>
        <x:v>17367</x:v>
      </x:c>
      <x:c r="P632" s="7" t="n">
        <x:f>IFERROR(O632/(J632+K632),"")</x:f>
        <x:v>0.3404893541936243</x:v>
      </x:c>
      <x:c r="Q632" s="6" t="inlineStr">
        <x:is>
          <x:t xml:space="preserve">RAW_OS B/C</x:t>
        </x:is>
      </x:c>
      <x:c r="R632" s="6" t="inlineStr">
        <x:is>
          <x:t xml:space="preserve">OGRÓD ZIMOWY (KONSTRUKCJA)</x:t>
        </x:is>
      </x:c>
      <x:c r="S632" s="6" t="inlineStr">
        <x:is>
          <x:t xml:space="preserve">crm_only</x:t>
        </x:is>
      </x:c>
      <x:c r="T632" s="6" t="inlineStr">
        <x:is>
          <x:t xml:space="preserve">Referencyjne/full</x:t>
        </x:is>
      </x:c>
    </x:row>
    <x:row r="633" s="655" customFormat="1" ht="30" customHeight="1">
      <x:c r="A633" s="6" t="inlineStr">
        <x:is>
          <x:t xml:space="preserve">450 x 606 cm</x:t>
        </x:is>
      </x:c>
      <x:c r="B633" s="6" t="inlineStr">
        <x:is>
          <x:t xml:space="preserve">PDS</x:t>
        </x:is>
      </x:c>
      <x:c r="C633" s="6" t="inlineStr">
        <x:is>
          <x:t xml:space="preserve">Dopłata dach szkło przezroczyste</x:t>
        </x:is>
      </x:c>
      <x:c r="D633" s="6" t="inlineStr">
        <x:is>
          <x:t xml:space="preserve">POKRYCIE DACHU SZKŁO</x:t>
        </x:is>
      </x:c>
      <x:c r="E633" s="8" t="n">
        <x:f>IFERROR(IFERROR(INDEX('02_RAW_INDEX'!$V:$V,MATCH($A633,'02_RAW_INDEX'!$A:$A,0)),"")-IFERROR(INDEX('02_RAW_INDEX'!$D:$D,MATCH($A633,'02_RAW_INDEX'!$A:$A,0)),""),"")</x:f>
        <x:v>6130</x:v>
      </x:c>
      <x:c r="F633" s="8" t="n">
        <x:f>IFERROR(IFERROR(INDEX('02_RAW_INDEX'!$U:$U,MATCH($A633,'02_RAW_INDEX'!$A:$A,0)),"")-IFERROR(INDEX('02_RAW_INDEX'!$C:$C,MATCH($A633,'02_RAW_INDEX'!$A:$A,0)),""),"")</x:f>
        <x:v>7540</x:v>
      </x:c>
      <x:c r="G633" s="7" t="n">
        <x:f>'01_Ustawienia'!$B$6</x:f>
        <x:v>0</x:v>
      </x:c>
      <x:c r="H633" s="8" t="n">
        <x:f>IF(E633="","",ROUND(IF('01_Ustawienia'!$B$5="BRUTTO",F633,E633)*(1-G633),0))</x:f>
        <x:v>6130</x:v>
      </x:c>
      <x:c r="I633" s="7" t="n">
        <x:f>IFERROR(IFERROR(INDEX('01_Ustawienia'!$B$15:$B$33,MATCH(B633,'01_Ustawienia'!$A$15:$A$33,0)),0.45),0.45)</x:f>
        <x:v>0.45</x:v>
      </x:c>
      <x:c r="J633" s="8" t="n">
        <x:f>IF(H633="","",ROUND(H633*(1+I633),0))</x:f>
        <x:v>8889</x:v>
      </x:c>
      <x:c r="K633" s="8" t="n">
        <x:f>0</x:f>
        <x:v>0</x:v>
      </x:c>
      <x:c r="L633" s="8" t="n">
        <x:v>0</x:v>
      </x:c>
      <x:c r="M633" s="7" t="n">
        <x:f>IF('01_Ustawienia'!$B$4="ZWOLNIONY",0,'01_Ustawienia'!$B$7)</x:f>
        <x:v>0.08</x:v>
      </x:c>
      <x:c r="N633" s="8" t="n">
        <x:f>IF(J633="","",ROUND((J633+K633)*(1+M633),0))</x:f>
        <x:v>9600</x:v>
      </x:c>
      <x:c r="O633" s="8" t="n">
        <x:f>IF(J633="","",J633+K633-H633-L633)</x:f>
        <x:v>2759</x:v>
      </x:c>
      <x:c r="P633" s="7" t="n">
        <x:f>IFERROR(O633/(J633+K633),"")</x:f>
        <x:v>0.31038362020474747</x:v>
      </x:c>
      <x:c r="Q633" s="6" t="inlineStr">
        <x:is>
          <x:t xml:space="preserve">RAW_ZS - RAW_ZP</x:t>
        </x:is>
      </x:c>
      <x:c r="R633" s="6" t="inlineStr">
        <x:is>
          <x:t xml:space="preserve">POKRYCIE DACHU</x:t>
        </x:is>
      </x:c>
      <x:c r="S633" s="6" t="inlineStr">
        <x:is>
          <x:t xml:space="preserve">website+crm</x:t>
        </x:is>
      </x:c>
      <x:c r="T633" s="6" t="inlineStr">
        <x:is>
          <x:t xml:space="preserve">Dopłata do bazowego dachu poliwęglan | FIX17: Wynagr.+koszty = 0 dla dopłaty; nie jest osobnym montażem ekipy.</x:t>
        </x:is>
      </x:c>
    </x:row>
    <x:row r="634" s="655" customFormat="1" ht="30" customHeight="1">
      <x:c r="A634" s="6" t="inlineStr">
        <x:is>
          <x:t xml:space="preserve">450 x 606 cm</x:t>
        </x:is>
      </x:c>
      <x:c r="B634" s="6" t="inlineStr">
        <x:is>
          <x:t xml:space="preserve">PDSB</x:t>
        </x:is>
      </x:c>
      <x:c r="C634" s="6" t="inlineStr">
        <x:is>
          <x:t xml:space="preserve">Dopłata dach szkło barwione/mleczne</x:t>
        </x:is>
      </x:c>
      <x:c r="D634" s="6" t="inlineStr">
        <x:is>
          <x:t xml:space="preserve">POKRYCIE DACHU SZKŁO BARWIONE</x:t>
        </x:is>
      </x:c>
      <x:c r="E634" s="8" t="n">
        <x:f>IFERROR(INDEX('02_RAW_INDEX'!$X:$X,MATCH($A634,'02_RAW_INDEX'!$A:$A,0)),"")</x:f>
        <x:v>618</x:v>
      </x:c>
      <x:c r="F634" s="8" t="n">
        <x:f>IFERROR(INDEX('02_RAW_INDEX'!$W:$W,MATCH($A634,'02_RAW_INDEX'!$A:$A,0)),"")</x:f>
        <x:v>760</x:v>
      </x:c>
      <x:c r="G634" s="7" t="n">
        <x:f>'01_Ustawienia'!$B$6</x:f>
        <x:v>0</x:v>
      </x:c>
      <x:c r="H634" s="8" t="n">
        <x:f>IF(E634="","",ROUND(IF('01_Ustawienia'!$B$5="BRUTTO",F634,E634)*(1-G634),0))</x:f>
        <x:v>618</x:v>
      </x:c>
      <x:c r="I634" s="7" t="n">
        <x:f>IFERROR(IFERROR(INDEX('01_Ustawienia'!$B$15:$B$33,MATCH(B634,'01_Ustawienia'!$A$15:$A$33,0)),0.45),0.45)</x:f>
        <x:v>0.45</x:v>
      </x:c>
      <x:c r="J634" s="8" t="n">
        <x:f>IF(H634="","",ROUND(H634*(1+I634),0))</x:f>
        <x:v>896</x:v>
      </x:c>
      <x:c r="K634" s="8" t="n">
        <x:f>0</x:f>
        <x:v>0</x:v>
      </x:c>
      <x:c r="L634" s="8" t="n">
        <x:v>0</x:v>
      </x:c>
      <x:c r="M634" s="7" t="n">
        <x:f>IF('01_Ustawienia'!$B$4="ZWOLNIONY",0,'01_Ustawienia'!$B$7)</x:f>
        <x:v>0.08</x:v>
      </x:c>
      <x:c r="N634" s="8" t="n">
        <x:f>IF(J634="","",ROUND((J634+K634)*(1+M634),0))</x:f>
        <x:v>968</x:v>
      </x:c>
      <x:c r="O634" s="8" t="n">
        <x:f>IF(J634="","",J634+K634-H634-L634)</x:f>
        <x:v>278</x:v>
      </x:c>
      <x:c r="P634" s="7" t="n">
        <x:f>IFERROR(O634/(J634+K634),"")</x:f>
        <x:v>0.31026785714285715</x:v>
      </x:c>
      <x:c r="Q634" s="6" t="inlineStr">
        <x:is>
          <x:t xml:space="preserve">RAW_ZS D/E</x:t>
        </x:is>
      </x:c>
      <x:c r="R634" s="6" t="inlineStr">
        <x:is>
          <x:t xml:space="preserve">POKRYCIE DACHU</x:t>
        </x:is>
      </x:c>
      <x:c r="S634" s="6" t="inlineStr">
        <x:is>
          <x:t xml:space="preserve">website+crm</x:t>
        </x:is>
      </x:c>
      <x:c r="T634" s="6" t="inlineStr">
        <x:is>
          <x:t xml:space="preserve">Dodawane do PDS | FIX17: Wynagr.+koszty = 0 dla dopłaty; nie jest osobnym montażem ekipy.</x:t>
        </x:is>
      </x:c>
    </x:row>
    <x:row r="635" s="655" customFormat="1" ht="30" customHeight="1">
      <x:c r="A635" s="6" t="inlineStr">
        <x:is>
          <x:t xml:space="preserve">450 x 606 cm</x:t>
        </x:is>
      </x:c>
      <x:c r="B635" s="6" t="inlineStr">
        <x:is>
          <x:t xml:space="preserve">PDPB</x:t>
        </x:is>
      </x:c>
      <x:c r="C635" s="6" t="inlineStr">
        <x:is>
          <x:t xml:space="preserve">Dopłata poliwęglan barwiony</x:t>
        </x:is>
      </x:c>
      <x:c r="D635" s="6" t="inlineStr">
        <x:is>
          <x:t xml:space="preserve">POKRYCIE DACHU POLIWĘGLAN BARWIONY</x:t>
        </x:is>
      </x:c>
      <x:c r="E635" s="8" t="n">
        <x:f>IFERROR(INDEX('02_RAW_INDEX'!$F:$F,MATCH($A635,'02_RAW_INDEX'!$A:$A,0)),"")</x:f>
        <x:v>472</x:v>
      </x:c>
      <x:c r="F635" s="8" t="n">
        <x:f>IFERROR(INDEX('02_RAW_INDEX'!$E:$E,MATCH($A635,'02_RAW_INDEX'!$A:$A,0)),"")</x:f>
        <x:v>580</x:v>
      </x:c>
      <x:c r="G635" s="7" t="n">
        <x:f>'01_Ustawienia'!$B$6</x:f>
        <x:v>0</x:v>
      </x:c>
      <x:c r="H635" s="8" t="n">
        <x:f>IF(E635="","",ROUND(IF('01_Ustawienia'!$B$5="BRUTTO",F635,E635)*(1-G635),0))</x:f>
        <x:v>472</x:v>
      </x:c>
      <x:c r="I635" s="7" t="n">
        <x:f>IFERROR(IFERROR(INDEX('01_Ustawienia'!$B$15:$B$33,MATCH(B635,'01_Ustawienia'!$A$15:$A$33,0)),0.45),0.45)</x:f>
        <x:v>0.45</x:v>
      </x:c>
      <x:c r="J635" s="8" t="n">
        <x:f>IF(H635="","",ROUND(H635*(1+I635),0))</x:f>
        <x:v>684</x:v>
      </x:c>
      <x:c r="K635" s="8" t="n">
        <x:f>0</x:f>
        <x:v>0</x:v>
      </x:c>
      <x:c r="L635" s="8" t="n">
        <x:v>0</x:v>
      </x:c>
      <x:c r="M635" s="7" t="n">
        <x:f>IF('01_Ustawienia'!$B$4="ZWOLNIONY",0,'01_Ustawienia'!$B$7)</x:f>
        <x:v>0.08</x:v>
      </x:c>
      <x:c r="N635" s="8" t="n">
        <x:f>IF(J635="","",ROUND((J635+K635)*(1+M635),0))</x:f>
        <x:v>739</x:v>
      </x:c>
      <x:c r="O635" s="8" t="n">
        <x:f>IF(J635="","",J635+K635-H635-L635)</x:f>
        <x:v>212</x:v>
      </x:c>
      <x:c r="P635" s="7" t="n">
        <x:f>IFERROR(O635/(J635+K635),"")</x:f>
        <x:v>0.30994152046783624</x:v>
      </x:c>
      <x:c r="Q635" s="6" t="inlineStr">
        <x:is>
          <x:t xml:space="preserve">RAW_ZP D/E</x:t>
        </x:is>
      </x:c>
      <x:c r="R635" s="6" t="inlineStr">
        <x:is>
          <x:t xml:space="preserve">POKRYCIE DACHU</x:t>
        </x:is>
      </x:c>
      <x:c r="S635" s="6" t="inlineStr">
        <x:is>
          <x:t xml:space="preserve">website+crm</x:t>
        </x:is>
      </x:c>
      <x:c r="T635" s="6" t="inlineStr">
        <x:is>
          <x:t xml:space="preserve">FIX17: Wynagr.+koszty = 0 dla dopłaty; nie jest osobnym montażem ekipy.</x:t>
        </x:is>
      </x:c>
    </x:row>
    <x:row r="636" s="655" customFormat="1" ht="30" customHeight="1">
      <x:c r="A636" s="6" t="inlineStr">
        <x:is>
          <x:t xml:space="preserve">450 x 606 cm</x:t>
        </x:is>
      </x:c>
      <x:c r="B636" s="6" t="inlineStr">
        <x:is>
          <x:t xml:space="preserve">SBB</x:t>
        </x:is>
      </x:c>
      <x:c r="C636" s="6" t="inlineStr">
        <x:is>
          <x:t xml:space="preserve">Dopłata szkło boczne przyciemniane</x:t>
        </x:is>
      </x:c>
      <x:c r="D636" s="6" t="inlineStr">
        <x:is>
          <x:t xml:space="preserve">SZKŁO BOCZNE BARWIONE</x:t>
        </x:is>
      </x:c>
      <x:c r="E636" s="8" t="n">
        <x:f>IFERROR(INDEX('02_RAW_INDEX'!$AB:$AB,MATCH($A636,'02_RAW_INDEX'!$A:$A,0)),"")</x:f>
        <x:v>1561</x:v>
      </x:c>
      <x:c r="F636" s="8" t="n">
        <x:f>IFERROR(INDEX('02_RAW_INDEX'!$AA:$AA,MATCH($A636,'02_RAW_INDEX'!$A:$A,0)),"")</x:f>
        <x:v>1920</x:v>
      </x:c>
      <x:c r="G636" s="7" t="n">
        <x:f>'01_Ustawienia'!$B$6</x:f>
        <x:v>0</x:v>
      </x:c>
      <x:c r="H636" s="8" t="n">
        <x:f>IF(E636="","",ROUND(IF('01_Ustawienia'!$B$5="BRUTTO",F636,E636)*(1-G636),0))</x:f>
        <x:v>1561</x:v>
      </x:c>
      <x:c r="I636" s="7" t="n">
        <x:f>IFERROR(IFERROR(INDEX('01_Ustawienia'!$B$15:$B$33,MATCH(B636,'01_Ustawienia'!$A$15:$A$33,0)),0.45),0.45)</x:f>
        <x:v>0.45</x:v>
      </x:c>
      <x:c r="J636" s="8" t="n">
        <x:f>IF(H636="","",ROUND(H636*(1+I636),0))</x:f>
        <x:v>2263</x:v>
      </x:c>
      <x:c r="K636" s="8" t="n">
        <x:f>0</x:f>
        <x:v>0</x:v>
      </x:c>
      <x:c r="L636" s="8" t="n">
        <x:v>0</x:v>
      </x:c>
      <x:c r="M636" s="7" t="n">
        <x:f>IF('01_Ustawienia'!$B$4="ZWOLNIONY",0,'01_Ustawienia'!$B$7)</x:f>
        <x:v>0.08</x:v>
      </x:c>
      <x:c r="N636" s="8" t="n">
        <x:f>IF(J636="","",ROUND((J636+K636)*(1+M636),0))</x:f>
        <x:v>2444</x:v>
      </x:c>
      <x:c r="O636" s="8" t="n">
        <x:f>IF(J636="","",J636+K636-H636-L636)</x:f>
        <x:v>702</x:v>
      </x:c>
      <x:c r="P636" s="7" t="n">
        <x:f>IFERROR(O636/(J636+K636),"")</x:f>
        <x:v>0.3102076889085285</x:v>
      </x:c>
      <x:c r="Q636" s="6" t="inlineStr">
        <x:is>
          <x:t xml:space="preserve">RAW_OP H/I</x:t>
        </x:is>
      </x:c>
      <x:c r="R636" s="6" t="inlineStr">
        <x:is>
          <x:t xml:space="preserve">SZYBY BOCZNE</x:t>
        </x:is>
      </x:c>
      <x:c r="S636" s="6" t="inlineStr">
        <x:is>
          <x:t xml:space="preserve">website+crm</x:t>
        </x:is>
      </x:c>
      <x:c r="T636" s="6" t="inlineStr">
        <x:is>
          <x:t xml:space="preserve">Dodawane do ścian przezroczystych | FIX17: Wynagr.+koszty = 0 dla dopłaty; nie jest osobnym montażem ekipy.</x:t>
        </x:is>
      </x:c>
    </x:row>
    <x:row r="637">
      <x:c r="A637" s="6" t="inlineStr">
        <x:is>
          <x:t xml:space="preserve">450 x 606 cm</x:t>
        </x:is>
      </x:c>
      <x:c r="B637" s="6" t="inlineStr">
        <x:is>
          <x:t xml:space="preserve">RB</x:t>
        </x:is>
      </x:c>
      <x:c r="C637" s="6" t="inlineStr">
        <x:is>
          <x:t xml:space="preserve">Roleta boczna ZIP</x:t>
        </x:is>
      </x:c>
      <x:c r="D637" s="6" t="inlineStr">
        <x:is>
          <x:t xml:space="preserve">ROLETA BOCZNA</x:t>
        </x:is>
      </x:c>
      <x:c r="E637" s="8" t="n">
        <x:f>IFERROR(INDEX('02_RAW_INDEX'!$J:$J,MATCH($A637,'02_RAW_INDEX'!$A:$A,0)),"")</x:f>
        <x:v>2569</x:v>
      </x:c>
      <x:c r="F637" s="8" t="n">
        <x:f>IFERROR(INDEX('02_RAW_INDEX'!$I:$I,MATCH($A637,'02_RAW_INDEX'!$A:$A,0)),"")</x:f>
        <x:v>3160</x:v>
      </x:c>
      <x:c r="G637" s="7" t="n">
        <x:f>'01_Ustawienia'!$B$6</x:f>
        <x:v>0</x:v>
      </x:c>
      <x:c r="H637" s="8" t="n">
        <x:f>IF(E637="","",ROUND(IF('01_Ustawienia'!$B$5="BRUTTO",F637,E637)*(1-G637),0))</x:f>
        <x:v>2569</x:v>
      </x:c>
      <x:c r="I637" s="7" t="n">
        <x:f>IFERROR(IFERROR(INDEX('01_Ustawienia'!$B$15:$B$33,MATCH(B637,'01_Ustawienia'!$A$15:$A$33,0)),0.45),0.45)</x:f>
        <x:v>0.45</x:v>
      </x:c>
      <x:c r="J637" s="8" t="n">
        <x:f>IF(H637="","",ROUND(H637*(1+I637),0))</x:f>
        <x:v>3725</x:v>
      </x:c>
      <x:c r="K637" s="8" t="n">
        <x:f>0</x:f>
        <x:v>0</x:v>
      </x:c>
      <x:c r="L637" s="8" t="n">
        <x:f>IFERROR(IFERROR(INDEX(EG_Cennik_uslug!$AC:$AC,MATCH($A637,EG_Cennik_uslug!$A:$A,0)),0),0)</x:f>
        <x:v>150</x:v>
      </x:c>
      <x:c r="M637" s="7" t="n">
        <x:f>IF('01_Ustawienia'!$B$4="ZWOLNIONY",0,'01_Ustawienia'!$B$7)</x:f>
        <x:v>0.08</x:v>
      </x:c>
      <x:c r="N637" s="8" t="n">
        <x:f>IF(J637="","",ROUND((J637+K637)*(1+M637),0))</x:f>
        <x:v>4023</x:v>
      </x:c>
      <x:c r="O637" s="8" t="n">
        <x:f>IF(J637="","",J637+K637-H637-L637)</x:f>
        <x:v>1006</x:v>
      </x:c>
      <x:c r="P637" s="7" t="n">
        <x:f>IFERROR(O637/(J637+K637),"")</x:f>
        <x:v>0.2700671140939597</x:v>
      </x:c>
      <x:c r="Q637" s="6" t="inlineStr">
        <x:is>
          <x:t xml:space="preserve">RAW_ZP J/K</x:t>
        </x:is>
      </x:c>
      <x:c r="R637" s="6" t="inlineStr">
        <x:is>
          <x:t xml:space="preserve">ROLETY BOCZNE</x:t>
        </x:is>
      </x:c>
      <x:c r="S637" s="6" t="inlineStr">
        <x:is>
          <x:t xml:space="preserve">website+crm</x:t>
        </x:is>
      </x:c>
      <x:c r="T637" s="6" t="inlineStr">
        <x:is>
          <x:t xml:space="preserve">Używana dla lewej i prawej</x:t>
        </x:is>
      </x:c>
    </x:row>
    <x:row r="638">
      <x:c r="A638" s="6" t="inlineStr">
        <x:is>
          <x:t xml:space="preserve">450 x 606 cm</x:t>
        </x:is>
      </x:c>
      <x:c r="B638" s="6" t="inlineStr">
        <x:is>
          <x:t xml:space="preserve">RP</x:t>
        </x:is>
      </x:c>
      <x:c r="C638" s="6" t="inlineStr">
        <x:is>
          <x:t xml:space="preserve">Roleta przednia ZIP</x:t>
        </x:is>
      </x:c>
      <x:c r="D638" s="6" t="inlineStr">
        <x:is>
          <x:t xml:space="preserve">ROLETA PRZÓD</x:t>
        </x:is>
      </x:c>
      <x:c r="E638" s="8" t="n">
        <x:f>IFERROR(INDEX('02_RAW_INDEX'!$L:$L,MATCH($A638,'02_RAW_INDEX'!$A:$A,0)),"")</x:f>
        <x:v>3472</x:v>
      </x:c>
      <x:c r="F638" s="8" t="n">
        <x:f>IFERROR(INDEX('02_RAW_INDEX'!$K:$K,MATCH($A638,'02_RAW_INDEX'!$A:$A,0)),"")</x:f>
        <x:v>4270</x:v>
      </x:c>
      <x:c r="G638" s="7" t="n">
        <x:f>'01_Ustawienia'!$B$6</x:f>
        <x:v>0</x:v>
      </x:c>
      <x:c r="H638" s="8" t="n">
        <x:f>IF(E638="","",ROUND(IF('01_Ustawienia'!$B$5="BRUTTO",F638,E638)*(1-G638),0))</x:f>
        <x:v>3472</x:v>
      </x:c>
      <x:c r="I638" s="7" t="n">
        <x:f>IFERROR(IFERROR(INDEX('01_Ustawienia'!$B$15:$B$33,MATCH(B638,'01_Ustawienia'!$A$15:$A$33,0)),0.45),0.45)</x:f>
        <x:v>0.45</x:v>
      </x:c>
      <x:c r="J638" s="8" t="n">
        <x:f>IF(H638="","",ROUND(H638*(1+I638),0))</x:f>
        <x:v>5034</x:v>
      </x:c>
      <x:c r="K638" s="8" t="n">
        <x:f>0</x:f>
        <x:v>0</x:v>
      </x:c>
      <x:c r="L638" s="8" t="n">
        <x:f>IFERROR(IFERROR(INDEX(EG_Cennik_uslug!$AJ:$AJ,MATCH($A638,EG_Cennik_uslug!$A:$A,0)),0),0)</x:f>
        <x:v>300</x:v>
      </x:c>
      <x:c r="M638" s="7" t="n">
        <x:f>IF('01_Ustawienia'!$B$4="ZWOLNIONY",0,'01_Ustawienia'!$B$7)</x:f>
        <x:v>0.08</x:v>
      </x:c>
      <x:c r="N638" s="8" t="n">
        <x:f>IF(J638="","",ROUND((J638+K638)*(1+M638),0))</x:f>
        <x:v>5437</x:v>
      </x:c>
      <x:c r="O638" s="8" t="n">
        <x:f>IF(J638="","",J638+K638-H638-L638)</x:f>
        <x:v>1262</x:v>
      </x:c>
      <x:c r="P638" s="7" t="n">
        <x:f>IFERROR(O638/(J638+K638),"")</x:f>
        <x:v>0.2506952721493842</x:v>
      </x:c>
      <x:c r="Q638" s="6" t="inlineStr">
        <x:is>
          <x:t xml:space="preserve">RAW_ZP N/O</x:t>
        </x:is>
      </x:c>
      <x:c r="R638" s="6" t="inlineStr">
        <x:is>
          <x:t xml:space="preserve">ROLETY BOCZNE</x:t>
        </x:is>
      </x:c>
      <x:c r="S638" s="6" t="inlineStr">
        <x:is>
          <x:t xml:space="preserve">website+crm</x:t>
        </x:is>
      </x:c>
      <x:c r="T638" s="6" t="n"/>
    </x:row>
    <x:row r="639">
      <x:c r="A639" s="6" t="inlineStr">
        <x:is>
          <x:t xml:space="preserve">450 x 606 cm</x:t>
        </x:is>
      </x:c>
      <x:c r="B639" s="6" t="inlineStr">
        <x:is>
          <x:t xml:space="preserve">M</x:t>
        </x:is>
      </x:c>
      <x:c r="C639" s="6" t="inlineStr">
        <x:is>
          <x:t xml:space="preserve">Markiza dachowa</x:t>
        </x:is>
      </x:c>
      <x:c r="D639" s="6" t="inlineStr">
        <x:is>
          <x:t xml:space="preserve">MARKIZA</x:t>
        </x:is>
      </x:c>
      <x:c r="E639" s="8" t="n">
        <x:f>IFERROR(INDEX('02_RAW_INDEX'!$H:$H,MATCH($A639,'02_RAW_INDEX'!$A:$A,0)),"")</x:f>
        <x:v>6634</x:v>
      </x:c>
      <x:c r="F639" s="8" t="n">
        <x:f>IFERROR(INDEX('02_RAW_INDEX'!$G:$G,MATCH($A639,'02_RAW_INDEX'!$A:$A,0)),"")</x:f>
        <x:v>8160</x:v>
      </x:c>
      <x:c r="G639" s="7" t="n">
        <x:f>'01_Ustawienia'!$B$6</x:f>
        <x:v>0</x:v>
      </x:c>
      <x:c r="H639" s="8" t="n">
        <x:f>IF(E639="","",ROUND(IF('01_Ustawienia'!$B$5="BRUTTO",F639,E639)*(1-G639),0))</x:f>
        <x:v>6634</x:v>
      </x:c>
      <x:c r="I639" s="7" t="n">
        <x:f>IFERROR(IFERROR(INDEX('01_Ustawienia'!$B$15:$B$33,MATCH(B639,'01_Ustawienia'!$A$15:$A$33,0)),0.45),0.45)</x:f>
        <x:v>0.45</x:v>
      </x:c>
      <x:c r="J639" s="8" t="n">
        <x:f>IF(H639="","",ROUND(H639*(1+I639),0))</x:f>
        <x:v>9619</x:v>
      </x:c>
      <x:c r="K639" s="8" t="n">
        <x:f>0</x:f>
        <x:v>0</x:v>
      </x:c>
      <x:c r="L639" s="8" t="n">
        <x:f>IFERROR(IFERROR(INDEX(EG_Cennik_uslug!$AQ:$AQ,MATCH($A639,EG_Cennik_uslug!$A:$A,0)),0),0)</x:f>
        <x:v>350</x:v>
      </x:c>
      <x:c r="M639" s="7" t="n">
        <x:f>IF('01_Ustawienia'!$B$4="ZWOLNIONY",0,'01_Ustawienia'!$B$7)</x:f>
        <x:v>0.08</x:v>
      </x:c>
      <x:c r="N639" s="8" t="n">
        <x:f>IF(J639="","",ROUND((J639+K639)*(1+M639),0))</x:f>
        <x:v>10389</x:v>
      </x:c>
      <x:c r="O639" s="8" t="n">
        <x:f>IF(J639="","",J639+K639-H639-L639)</x:f>
        <x:v>2635</x:v>
      </x:c>
      <x:c r="P639" s="7" t="n">
        <x:f>IFERROR(O639/(J639+K639),"")</x:f>
        <x:v>0.27393699968811724</x:v>
      </x:c>
      <x:c r="Q639" s="6" t="inlineStr">
        <x:is>
          <x:t xml:space="preserve">RAW_ZP H/I</x:t>
        </x:is>
      </x:c>
      <x:c r="R639" s="6" t="inlineStr">
        <x:is>
          <x:t xml:space="preserve">MARKIZA</x:t>
        </x:is>
      </x:c>
      <x:c r="S639" s="6" t="inlineStr">
        <x:is>
          <x:t xml:space="preserve">website+crm</x:t>
        </x:is>
      </x:c>
      <x:c r="T639" s="6" t="n"/>
    </x:row>
    <x:row r="640">
      <x:c r="A640" s="6" t="inlineStr">
        <x:is>
          <x:t xml:space="preserve">450 x 606 cm</x:t>
        </x:is>
      </x:c>
      <x:c r="B640" s="6" t="inlineStr">
        <x:is>
          <x:t xml:space="preserve">PDWP</x:t>
        </x:is>
      </x:c>
      <x:c r="C640" s="6" t="inlineStr">
        <x:is>
          <x:t xml:space="preserve">Fundament/profile</x:t>
        </x:is>
      </x:c>
      <x:c r="D640" s="6" t="inlineStr">
        <x:is>
          <x:t xml:space="preserve">FUNDAMENT / PROFILE</x:t>
        </x:is>
      </x:c>
      <x:c r="E640" s="8" t="n">
        <x:f>IFERROR(INDEX('02_RAW_INDEX'!$AH:$AH,MATCH($A640,'02_RAW_INDEX'!$A:$A,0)),"")</x:f>
        <x:v>1382</x:v>
      </x:c>
      <x:c r="F640" s="8" t="n">
        <x:f>IFERROR(INDEX('02_RAW_INDEX'!$AG:$AG,MATCH($A640,'02_RAW_INDEX'!$A:$A,0)),"")</x:f>
        <x:v>1700</x:v>
      </x:c>
      <x:c r="G640" s="7" t="n">
        <x:f>'01_Ustawienia'!$B$6</x:f>
        <x:v>0</x:v>
      </x:c>
      <x:c r="H640" s="8" t="n">
        <x:f>IF(E640="","",ROUND(IF('01_Ustawienia'!$B$5="BRUTTO",F640,E640)*(1-G640),0))</x:f>
        <x:v>1382</x:v>
      </x:c>
      <x:c r="I640" s="7" t="n">
        <x:f>IFERROR(IFERROR(INDEX('01_Ustawienia'!$B$15:$B$33,MATCH(B640,'01_Ustawienia'!$A$15:$A$33,0)),0.45),0.45)</x:f>
        <x:v>1.2</x:v>
      </x:c>
      <x:c r="J640" s="8" t="n">
        <x:f>IF(H640="","",ROUND(H640*(1+I640),0))</x:f>
        <x:v>3040</x:v>
      </x:c>
      <x:c r="K640" s="8" t="n">
        <x:f>0</x:f>
        <x:v>0</x:v>
      </x:c>
      <x:c r="L640" s="8" t="n">
        <x:f>IFERROR(IFERROR(INDEX(EG_Cennik_uslug!$BT:$BT,MATCH($A640,EG_Cennik_uslug!$A:$A,0)),0),0)</x:f>
        <x:v>640</x:v>
      </x:c>
      <x:c r="M640" s="7" t="n">
        <x:f>IF('01_Ustawienia'!$B$4="ZWOLNIONY",0,'01_Ustawienia'!$B$7)</x:f>
        <x:v>0.08</x:v>
      </x:c>
      <x:c r="N640" s="8" t="n">
        <x:f>IF(J640="","",ROUND((J640+K640)*(1+M640),0))</x:f>
        <x:v>3283</x:v>
      </x:c>
      <x:c r="O640" s="8" t="n">
        <x:f>IF(J640="","",J640+K640-H640-L640)</x:f>
        <x:v>1018</x:v>
      </x:c>
      <x:c r="P640" s="7" t="n">
        <x:f>IFERROR(O640/(J640+K640),"")</x:f>
        <x:v>0.3348684210526316</x:v>
      </x:c>
      <x:c r="Q640" s="6" t="inlineStr">
        <x:is>
          <x:t xml:space="preserve">RAW_OP AB/AC</x:t>
        </x:is>
      </x:c>
      <x:c r="R640" s="6" t="inlineStr">
        <x:is>
          <x:t xml:space="preserve">FUNDAMENT (PROFILE)</x:t>
        </x:is>
      </x:c>
      <x:c r="S640" s="6" t="inlineStr">
        <x:is>
          <x:t xml:space="preserve">website+crm</x:t>
        </x:is>
      </x:c>
      <x:c r="T640" s="6" t="n"/>
    </x:row>
    <x:row r="641" s="655" customFormat="1" ht="30" customHeight="1">
      <x:c r="A641" s="6" t="inlineStr">
        <x:is>
          <x:t xml:space="preserve">450 x 606 cm</x:t>
        </x:is>
      </x:c>
      <x:c r="B641" s="6" t="inlineStr">
        <x:is>
          <x:t xml:space="preserve">ZAB</x:t>
        </x:is>
      </x:c>
      <x:c r="C641" s="6" t="inlineStr">
        <x:is>
          <x:t xml:space="preserve">Zabieraki do ścian przesuwnych</x:t>
        </x:is>
      </x:c>
      <x:c r="D641" s="6" t="inlineStr">
        <x:is>
          <x:t xml:space="preserve">DODATKI</x:t>
        </x:is>
      </x:c>
      <x:c r="E641" s="8" t="n">
        <x:f>IFERROR(INDEX('02_RAW_INDEX'!$AJ:$AJ,MATCH($A641,'02_RAW_INDEX'!$A:$A,0)),"")</x:f>
        <x:v>390</x:v>
      </x:c>
      <x:c r="F641" s="8" t="n">
        <x:f>IFERROR(INDEX('02_RAW_INDEX'!$AI:$AI,MATCH($A641,'02_RAW_INDEX'!$A:$A,0)),"")</x:f>
        <x:v>480</x:v>
      </x:c>
      <x:c r="G641" s="7" t="n">
        <x:f>'01_Ustawienia'!$B$6</x:f>
        <x:v>0</x:v>
      </x:c>
      <x:c r="H641" s="8" t="n">
        <x:f>IF(E641="","",ROUND(IF('01_Ustawienia'!$B$5="BRUTTO",F641,E641)*(1-G641),0))</x:f>
        <x:v>390</x:v>
      </x:c>
      <x:c r="I641" s="7" t="n">
        <x:f>IFERROR(IFERROR(INDEX('01_Ustawienia'!$B$15:$B$33,MATCH(B641,'01_Ustawienia'!$A$15:$A$33,0)),0.45),0.45)</x:f>
        <x:v>0.45</x:v>
      </x:c>
      <x:c r="J641" s="8" t="n">
        <x:f>IF(H641="","",ROUND(H641*(1+I641),0))</x:f>
        <x:v>566</x:v>
      </x:c>
      <x:c r="K641" s="8" t="n">
        <x:f>0</x:f>
        <x:v>0</x:v>
      </x:c>
      <x:c r="L641" s="8" t="n">
        <x:f>0</x:f>
        <x:v>0</x:v>
      </x:c>
      <x:c r="M641" s="7" t="n">
        <x:f>IF('01_Ustawienia'!$B$4="ZWOLNIONY",0,'01_Ustawienia'!$B$7)</x:f>
        <x:v>0.08</x:v>
      </x:c>
      <x:c r="N641" s="8" t="n">
        <x:f>IF(J641="","",ROUND((J641+K641)*(1+M641),0))</x:f>
        <x:v>611</x:v>
      </x:c>
      <x:c r="O641" s="8" t="n">
        <x:f>IF(J641="","",J641+K641-H641-L641)</x:f>
        <x:v>176</x:v>
      </x:c>
      <x:c r="P641" s="7" t="n">
        <x:f>IFERROR(O641/(J641+K641),"")</x:f>
        <x:v>0.31095406360424027</x:v>
      </x:c>
      <x:c r="Q641" s="6" t="inlineStr">
        <x:is>
          <x:t xml:space="preserve">RAW_OP AD/AE</x:t>
        </x:is>
      </x:c>
      <x:c r="R641" s="6" t="inlineStr">
        <x:is>
          <x:t xml:space="preserve">DODATKI</x:t>
        </x:is>
      </x:c>
      <x:c r="S641" s="6" t="inlineStr">
        <x:is>
          <x:t xml:space="preserve">crm_only</x:t>
        </x:is>
      </x:c>
      <x:c r="T641" s="6" t="n"/>
    </x:row>
    <x:row r="642">
      <x:c r="A642" s="6" t="inlineStr">
        <x:is>
          <x:t xml:space="preserve">450 x 606 cm</x:t>
        </x:is>
      </x:c>
      <x:c r="B642" s="6" t="inlineStr">
        <x:is>
          <x:t xml:space="preserve">S</x:t>
        </x:is>
      </x:c>
      <x:c r="C642" s="6" t="inlineStr">
        <x:is>
          <x:t xml:space="preserve">Szczotki przeciwkurzowe</x:t>
        </x:is>
      </x:c>
      <x:c r="D642" s="6" t="inlineStr">
        <x:is>
          <x:t xml:space="preserve">SZCZOTKI</x:t>
        </x:is>
      </x:c>
      <x:c r="E642" s="8" t="n">
        <x:f>IFERROR(INDEX('02_RAW_INDEX'!$AD:$AD,MATCH($A642,'02_RAW_INDEX'!$A:$A,0)),"")</x:f>
        <x:v>496</x:v>
      </x:c>
      <x:c r="F642" s="8" t="n">
        <x:f>IFERROR(INDEX('02_RAW_INDEX'!$AC:$AC,MATCH($A642,'02_RAW_INDEX'!$A:$A,0)),"")</x:f>
        <x:v>610</x:v>
      </x:c>
      <x:c r="G642" s="7" t="n">
        <x:f>'01_Ustawienia'!$B$6</x:f>
        <x:v>0</x:v>
      </x:c>
      <x:c r="H642" s="8" t="n">
        <x:f>IF(E642="","",ROUND(IF('01_Ustawienia'!$B$5="BRUTTO",F642,E642)*(1-G642),0))</x:f>
        <x:v>496</x:v>
      </x:c>
      <x:c r="I642" s="7" t="n">
        <x:f>IFERROR(IFERROR(INDEX('01_Ustawienia'!$B$15:$B$33,MATCH(B642,'01_Ustawienia'!$A$15:$A$33,0)),0.45),0.45)</x:f>
        <x:v>0.45</x:v>
      </x:c>
      <x:c r="J642" s="8" t="n">
        <x:f>IF(H642="","",ROUND(H642*(1+I642),0))</x:f>
        <x:v>719</x:v>
      </x:c>
      <x:c r="K642" s="8" t="n">
        <x:f>0</x:f>
        <x:v>0</x:v>
      </x:c>
      <x:c r="L642" s="8" t="n">
        <x:f>IFERROR(IFERROR(INDEX(EG_Cennik_uslug!$CA:$CA,MATCH($A642,EG_Cennik_uslug!$A:$A,0)),0),0)</x:f>
        <x:v>0</x:v>
      </x:c>
      <x:c r="M642" s="7" t="n">
        <x:f>IF('01_Ustawienia'!$B$4="ZWOLNIONY",0,'01_Ustawienia'!$B$7)</x:f>
        <x:v>0.08</x:v>
      </x:c>
      <x:c r="N642" s="8" t="n">
        <x:f>IF(J642="","",ROUND((J642+K642)*(1+M642),0))</x:f>
        <x:v>777</x:v>
      </x:c>
      <x:c r="O642" s="8" t="n">
        <x:f>IF(J642="","",J642+K642-H642-L642)</x:f>
        <x:v>223</x:v>
      </x:c>
      <x:c r="P642" s="7" t="n">
        <x:f>IFERROR(O642/(J642+K642),"")</x:f>
        <x:v>0.3101529902642559</x:v>
      </x:c>
      <x:c r="Q642" s="6" t="inlineStr">
        <x:is>
          <x:t xml:space="preserve">RAW_OP L/M</x:t>
        </x:is>
      </x:c>
      <x:c r="R642" s="6" t="inlineStr">
        <x:is>
          <x:t xml:space="preserve">DODATKI</x:t>
        </x:is>
      </x:c>
      <x:c r="S642" s="6" t="inlineStr">
        <x:is>
          <x:t xml:space="preserve">website+crm</x:t>
        </x:is>
      </x:c>
      <x:c r="T642" s="6" t="n"/>
    </x:row>
    <x:row r="643">
      <x:c r="A643" s="6" t="inlineStr">
        <x:is>
          <x:t xml:space="preserve">450 x 606 cm</x:t>
        </x:is>
      </x:c>
      <x:c r="B643" s="6" t="inlineStr">
        <x:is>
          <x:t xml:space="preserve">U</x:t>
        </x:is>
      </x:c>
      <x:c r="C643" s="6" t="inlineStr">
        <x:is>
          <x:t xml:space="preserve">Uchwyty na szkło ścienne</x:t>
        </x:is>
      </x:c>
      <x:c r="D643" s="6" t="inlineStr">
        <x:is>
          <x:t xml:space="preserve">UCHWYTY</x:t>
        </x:is>
      </x:c>
      <x:c r="E643" s="8" t="n">
        <x:f>IFERROR(INDEX('02_RAW_INDEX'!$AF:$AF,MATCH($A643,'02_RAW_INDEX'!$A:$A,0)),"")</x:f>
        <x:v>447</x:v>
      </x:c>
      <x:c r="F643" s="8" t="n">
        <x:f>IFERROR(INDEX('02_RAW_INDEX'!$AE:$AE,MATCH($A643,'02_RAW_INDEX'!$A:$A,0)),"")</x:f>
        <x:v>550</x:v>
      </x:c>
      <x:c r="G643" s="7" t="n">
        <x:f>'01_Ustawienia'!$B$6</x:f>
        <x:v>0</x:v>
      </x:c>
      <x:c r="H643" s="8" t="n">
        <x:f>IF(E643="","",ROUND(IF('01_Ustawienia'!$B$5="BRUTTO",F643,E643)*(1-G643),0))</x:f>
        <x:v>447</x:v>
      </x:c>
      <x:c r="I643" s="7" t="n">
        <x:f>IFERROR(IFERROR(INDEX('01_Ustawienia'!$B$15:$B$33,MATCH(B643,'01_Ustawienia'!$A$15:$A$33,0)),0.45),0.45)</x:f>
        <x:v>0.45</x:v>
      </x:c>
      <x:c r="J643" s="8" t="n">
        <x:f>IF(H643="","",ROUND(H643*(1+I643),0))</x:f>
        <x:v>648</x:v>
      </x:c>
      <x:c r="K643" s="8" t="n">
        <x:f>0</x:f>
        <x:v>0</x:v>
      </x:c>
      <x:c r="L643" s="8" t="n">
        <x:f>IFERROR(IFERROR(INDEX(EG_Cennik_uslug!$CH:$CH,MATCH($A643,EG_Cennik_uslug!$A:$A,0)),0),0)</x:f>
        <x:v>0</x:v>
      </x:c>
      <x:c r="M643" s="7" t="n">
        <x:f>IF('01_Ustawienia'!$B$4="ZWOLNIONY",0,'01_Ustawienia'!$B$7)</x:f>
        <x:v>0.08</x:v>
      </x:c>
      <x:c r="N643" s="8" t="n">
        <x:f>IF(J643="","",ROUND((J643+K643)*(1+M643),0))</x:f>
        <x:v>700</x:v>
      </x:c>
      <x:c r="O643" s="8" t="n">
        <x:f>IF(J643="","",J643+K643-H643-L643)</x:f>
        <x:v>201</x:v>
      </x:c>
      <x:c r="P643" s="7" t="n">
        <x:f>IFERROR(O643/(J643+K643),"")</x:f>
        <x:v>0.3101851851851852</x:v>
      </x:c>
      <x:c r="Q643" s="6" t="inlineStr">
        <x:is>
          <x:t xml:space="preserve">RAW_OP N/O</x:t>
        </x:is>
      </x:c>
      <x:c r="R643" s="6" t="inlineStr">
        <x:is>
          <x:t xml:space="preserve">DODATKI</x:t>
        </x:is>
      </x:c>
      <x:c r="S643" s="6" t="inlineStr">
        <x:is>
          <x:t xml:space="preserve">website+crm</x:t>
        </x:is>
      </x:c>
      <x:c r="T643" s="6" t="n"/>
    </x:row>
    <x:row r="644">
      <x:c r="A644" s="6" t="inlineStr">
        <x:is>
          <x:t xml:space="preserve">450 x 606 cm</x:t>
        </x:is>
      </x:c>
      <x:c r="B644" s="6" t="inlineStr">
        <x:is>
          <x:t xml:space="preserve">LED2</x:t>
        </x:is>
      </x:c>
      <x:c r="C644" s="6" t="inlineStr">
        <x:is>
          <x:t xml:space="preserve">Oświetlenie LED 2 punkty</x:t>
        </x:is>
      </x:c>
      <x:c r="D644" s="6" t="inlineStr">
        <x:is>
          <x:t xml:space="preserve">LED 2 PKT</x:t>
        </x:is>
      </x:c>
      <x:c r="E644" s="8" t="n">
        <x:f>IFERROR(INDEX('02_RAW_INDEX'!$N:$N,MATCH($A644,'02_RAW_INDEX'!$A:$A,0)),"")</x:f>
        <x:v>642</x:v>
      </x:c>
      <x:c r="F644" s="8" t="n">
        <x:f>IFERROR(INDEX('02_RAW_INDEX'!$M:$M,MATCH($A644,'02_RAW_INDEX'!$A:$A,0)),"")</x:f>
        <x:v>790</x:v>
      </x:c>
      <x:c r="G644" s="7" t="n">
        <x:f>'01_Ustawienia'!$B$6</x:f>
        <x:v>0</x:v>
      </x:c>
      <x:c r="H644" s="8" t="n">
        <x:f>IF(E644="","",ROUND(IF('01_Ustawienia'!$B$5="BRUTTO",F644,E644)*(1-G644),0))</x:f>
        <x:v>642</x:v>
      </x:c>
      <x:c r="I644" s="7" t="n">
        <x:f>IFERROR(IFERROR(INDEX('01_Ustawienia'!$B$15:$B$33,MATCH(B644,'01_Ustawienia'!$A$15:$A$33,0)),0.45),0.45)</x:f>
        <x:v>0.45</x:v>
      </x:c>
      <x:c r="J644" s="8" t="n">
        <x:f>IF(H644="","",ROUND(H644*(1+I644),0))</x:f>
        <x:v>931</x:v>
      </x:c>
      <x:c r="K644" s="8" t="n">
        <x:f>0</x:f>
        <x:v>0</x:v>
      </x:c>
      <x:c r="L644" s="8" t="n">
        <x:f>IFERROR(IFERROR(INDEX(EG_Cennik_uslug!$CO:$CO,MATCH($A644,EG_Cennik_uslug!$A:$A,0)),0),0)</x:f>
        <x:v>0</x:v>
      </x:c>
      <x:c r="M644" s="7" t="n">
        <x:f>IF('01_Ustawienia'!$B$4="ZWOLNIONY",0,'01_Ustawienia'!$B$7)</x:f>
        <x:v>0.08</x:v>
      </x:c>
      <x:c r="N644" s="8" t="n">
        <x:f>IF(J644="","",ROUND((J644+K644)*(1+M644),0))</x:f>
        <x:v>1005</x:v>
      </x:c>
      <x:c r="O644" s="8" t="n">
        <x:f>IF(J644="","",J644+K644-H644-L644)</x:f>
        <x:v>289</x:v>
      </x:c>
      <x:c r="P644" s="7" t="n">
        <x:f>IFERROR(O644/(J644+K644),"")</x:f>
        <x:v>0.3104189044038668</x:v>
      </x:c>
      <x:c r="Q644" s="6" t="inlineStr">
        <x:is>
          <x:t xml:space="preserve">RAW_ZP P/Q</x:t>
        </x:is>
      </x:c>
      <x:c r="R644" s="6" t="inlineStr">
        <x:is>
          <x:t xml:space="preserve">OŚWIETLENIE</x:t>
        </x:is>
      </x:c>
      <x:c r="S644" s="6" t="inlineStr">
        <x:is>
          <x:t xml:space="preserve">website+crm</x:t>
        </x:is>
      </x:c>
      <x:c r="T644" s="6" t="n"/>
    </x:row>
    <x:row r="645">
      <x:c r="A645" s="6" t="inlineStr">
        <x:is>
          <x:t xml:space="preserve">450 x 606 cm</x:t>
        </x:is>
      </x:c>
      <x:c r="B645" s="6" t="inlineStr">
        <x:is>
          <x:t xml:space="preserve">LED3</x:t>
        </x:is>
      </x:c>
      <x:c r="C645" s="6" t="inlineStr">
        <x:is>
          <x:t xml:space="preserve">Oświetlenie LED 3 punkty</x:t>
        </x:is>
      </x:c>
      <x:c r="D645" s="6" t="inlineStr">
        <x:is>
          <x:t xml:space="preserve">LED 3 PKT</x:t>
        </x:is>
      </x:c>
      <x:c r="E645" s="8" t="n">
        <x:f>IFERROR(INDEX('02_RAW_INDEX'!$P:$P,MATCH($A645,'02_RAW_INDEX'!$A:$A,0)),"")</x:f>
        <x:v>886</x:v>
      </x:c>
      <x:c r="F645" s="8" t="n">
        <x:f>IFERROR(INDEX('02_RAW_INDEX'!$O:$O,MATCH($A645,'02_RAW_INDEX'!$A:$A,0)),"")</x:f>
        <x:v>1090</x:v>
      </x:c>
      <x:c r="G645" s="7" t="n">
        <x:f>'01_Ustawienia'!$B$6</x:f>
        <x:v>0</x:v>
      </x:c>
      <x:c r="H645" s="8" t="n">
        <x:f>IF(E645="","",ROUND(IF('01_Ustawienia'!$B$5="BRUTTO",F645,E645)*(1-G645),0))</x:f>
        <x:v>886</x:v>
      </x:c>
      <x:c r="I645" s="7" t="n">
        <x:f>IFERROR(IFERROR(INDEX('01_Ustawienia'!$B$15:$B$33,MATCH(B645,'01_Ustawienia'!$A$15:$A$33,0)),0.45),0.45)</x:f>
        <x:v>0.45</x:v>
      </x:c>
      <x:c r="J645" s="8" t="n">
        <x:f>IF(H645="","",ROUND(H645*(1+I645),0))</x:f>
        <x:v>1285</x:v>
      </x:c>
      <x:c r="K645" s="8" t="n">
        <x:f>0</x:f>
        <x:v>0</x:v>
      </x:c>
      <x:c r="L645" s="8" t="n">
        <x:f>IFERROR(IFERROR(INDEX(EG_Cennik_uslug!$CV:$CV,MATCH($A645,EG_Cennik_uslug!$A:$A,0)),0),0)</x:f>
        <x:v>0</x:v>
      </x:c>
      <x:c r="M645" s="7" t="n">
        <x:f>IF('01_Ustawienia'!$B$4="ZWOLNIONY",0,'01_Ustawienia'!$B$7)</x:f>
        <x:v>0.08</x:v>
      </x:c>
      <x:c r="N645" s="8" t="n">
        <x:f>IF(J645="","",ROUND((J645+K645)*(1+M645),0))</x:f>
        <x:v>1388</x:v>
      </x:c>
      <x:c r="O645" s="8" t="n">
        <x:f>IF(J645="","",J645+K645-H645-L645)</x:f>
        <x:v>399</x:v>
      </x:c>
      <x:c r="P645" s="7" t="n">
        <x:f>IFERROR(O645/(J645+K645),"")</x:f>
        <x:v>0.3105058365758755</x:v>
      </x:c>
      <x:c r="Q645" s="6" t="inlineStr">
        <x:is>
          <x:t xml:space="preserve">RAW_ZP R/S</x:t>
        </x:is>
      </x:c>
      <x:c r="R645" s="6" t="inlineStr">
        <x:is>
          <x:t xml:space="preserve">OŚWIETLENIE</x:t>
        </x:is>
      </x:c>
      <x:c r="S645" s="6" t="inlineStr">
        <x:is>
          <x:t xml:space="preserve">website+crm</x:t>
        </x:is>
      </x:c>
      <x:c r="T645" s="6" t="inlineStr">
        <x:is>
          <x:t xml:space="preserve">Nazwa do potwierdzenia</x:t>
        </x:is>
      </x:c>
    </x:row>
    <x:row r="646">
      <x:c r="A646" s="6" t="inlineStr">
        <x:is>
          <x:t xml:space="preserve">450 x 606 cm</x:t>
        </x:is>
      </x:c>
      <x:c r="B646" s="6" t="inlineStr">
        <x:is>
          <x:t xml:space="preserve">LEDCCT</x:t>
        </x:is>
      </x:c>
      <x:c r="C646" s="6" t="inlineStr">
        <x:is>
          <x:t xml:space="preserve">Oświetlenie LED CCT</x:t>
        </x:is>
      </x:c>
      <x:c r="D646" s="6" t="inlineStr">
        <x:is>
          <x:t xml:space="preserve">OŚWIETLENIE</x:t>
        </x:is>
      </x:c>
      <x:c r="E646" s="8" t="n">
        <x:f>IFERROR(INDEX('02_RAW_INDEX'!$R:$R,MATCH($A646,'02_RAW_INDEX'!$A:$A,0)),"")</x:f>
        <x:v>1784</x:v>
      </x:c>
      <x:c r="F646" s="8" t="n">
        <x:f>IFERROR(INDEX('02_RAW_INDEX'!$Q:$Q,MATCH($A646,'02_RAW_INDEX'!$A:$A,0)),"")</x:f>
        <x:v>2194</x:v>
      </x:c>
      <x:c r="G646" s="7" t="n">
        <x:f>'01_Ustawienia'!$B$6</x:f>
        <x:v>0</x:v>
      </x:c>
      <x:c r="H646" s="8" t="n">
        <x:f>IF(E646="","",ROUND(IF('01_Ustawienia'!$B$5="BRUTTO",F646,E646)*(1-G646),0))</x:f>
        <x:v>1784</x:v>
      </x:c>
      <x:c r="I646" s="7" t="n">
        <x:f>IFERROR(IFERROR(INDEX('01_Ustawienia'!$B$15:$B$33,MATCH(B646,'01_Ustawienia'!$A$15:$A$33,0)),0.45),0.45)</x:f>
        <x:v>0.45</x:v>
      </x:c>
      <x:c r="J646" s="8" t="n">
        <x:f>IF(H646="","",ROUND(H646*(1+I646),0)+700)</x:f>
        <x:v>3287</x:v>
      </x:c>
      <x:c r="K646" s="8" t="n">
        <x:f>0</x:f>
        <x:v>0</x:v>
      </x:c>
      <x:c r="L646" s="8" t="n">
        <x:f>0</x:f>
        <x:v>0</x:v>
      </x:c>
      <x:c r="M646" s="7" t="n">
        <x:f>IF('01_Ustawienia'!$B$4="ZWOLNIONY",0,'01_Ustawienia'!$B$7)</x:f>
        <x:v>0.08</x:v>
      </x:c>
      <x:c r="N646" s="8" t="n">
        <x:f>IF(J646="","",ROUND((J646+K646)*(1+M646),0))</x:f>
        <x:v>3550</x:v>
      </x:c>
      <x:c r="O646" s="8" t="n">
        <x:f>IF(J646="","",J646+K646-H646-L646)</x:f>
        <x:v>1503</x:v>
      </x:c>
      <x:c r="P646" s="7" t="n">
        <x:f>IFERROR(O646/(J646+K646),"")</x:f>
        <x:v>0.45725585640401584</x:v>
      </x:c>
      <x:c r="Q646" s="715" t="inlineStr">
        <x:is>
          <x:t xml:space="preserve">MODEL_FIX15_LED</x:t>
        </x:is>
      </x:c>
      <x:c r="R646" s="6" t="inlineStr">
        <x:is>
          <x:t xml:space="preserve">OŚWIETLENIE</x:t>
        </x:is>
      </x:c>
      <x:c r="S646" s="6" t="inlineStr">
        <x:is>
          <x:t xml:space="preserve">website+crm</x:t>
        </x:is>
      </x:c>
      <x:c r="T646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647">
      <x:c r="A647" s="6" t="inlineStr">
        <x:is>
          <x:t xml:space="preserve">450 x 606 cm</x:t>
        </x:is>
      </x:c>
      <x:c r="B647" s="6" t="inlineStr">
        <x:is>
          <x:t xml:space="preserve">LEDRGBCCT</x:t>
        </x:is>
      </x:c>
      <x:c r="C647" s="6" t="inlineStr">
        <x:is>
          <x:t xml:space="preserve">Oświetlenie LED RGB CCT</x:t>
        </x:is>
      </x:c>
      <x:c r="D647" s="6" t="inlineStr">
        <x:is>
          <x:t xml:space="preserve">OŚWIETLENIE</x:t>
        </x:is>
      </x:c>
      <x:c r="E647" s="8" t="n">
        <x:f>IFERROR(INDEX('02_RAW_INDEX'!$T:$T,MATCH($A647,'02_RAW_INDEX'!$A:$A,0)),"")</x:f>
        <x:v>2369</x:v>
      </x:c>
      <x:c r="F647" s="8" t="n">
        <x:f>IFERROR(INDEX('02_RAW_INDEX'!$S:$S,MATCH($A647,'02_RAW_INDEX'!$A:$A,0)),"")</x:f>
        <x:v>2914</x:v>
      </x:c>
      <x:c r="G647" s="7" t="n">
        <x:f>'01_Ustawienia'!$B$6</x:f>
        <x:v>0</x:v>
      </x:c>
      <x:c r="H647" s="8" t="n">
        <x:f>IF(E647="","",ROUND(IF('01_Ustawienia'!$B$5="BRUTTO",F647,E647)*(1-G647),0))</x:f>
        <x:v>2369</x:v>
      </x:c>
      <x:c r="I647" s="7" t="n">
        <x:f>IFERROR(IFERROR(INDEX('01_Ustawienia'!$B$15:$B$33,MATCH(B647,'01_Ustawienia'!$A$15:$A$33,0)),0.45),0.45)</x:f>
        <x:v>0.45</x:v>
      </x:c>
      <x:c r="J647" s="8" t="n">
        <x:f>IF(H647="","",ROUND(H647*(1+I647),0))</x:f>
        <x:v>3435</x:v>
      </x:c>
      <x:c r="K647" s="8" t="n">
        <x:f>0</x:f>
        <x:v>0</x:v>
      </x:c>
      <x:c r="L647" s="8" t="n">
        <x:f>0</x:f>
        <x:v>0</x:v>
      </x:c>
      <x:c r="M647" s="7" t="n">
        <x:f>IF('01_Ustawienia'!$B$4="ZWOLNIONY",0,'01_Ustawienia'!$B$7)</x:f>
        <x:v>0.08</x:v>
      </x:c>
      <x:c r="N647" s="8" t="n">
        <x:f>IF(J647="","",ROUND((J647+K647)*(1+M647),0))</x:f>
        <x:v>3710</x:v>
      </x:c>
      <x:c r="O647" s="8" t="n">
        <x:f>IF(J647="","",J647+K647-H647-L647)</x:f>
        <x:v>1066</x:v>
      </x:c>
      <x:c r="P647" s="7" t="n">
        <x:f>IFERROR(O647/(J647+K647),"")</x:f>
        <x:v>0.310334788937409</x:v>
      </x:c>
      <x:c r="Q647" s="715" t="inlineStr">
        <x:is>
          <x:t xml:space="preserve">MODEL_FIX15_LED</x:t>
        </x:is>
      </x:c>
      <x:c r="R647" s="6" t="inlineStr">
        <x:is>
          <x:t xml:space="preserve">OŚWIETLENIE</x:t>
        </x:is>
      </x:c>
      <x:c r="S647" s="6" t="inlineStr">
        <x:is>
          <x:t xml:space="preserve">crm_only</x:t>
        </x:is>
      </x:c>
      <x:c r="T647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648" s="655" customFormat="1" ht="30" customHeight="1">
      <x:c r="A648" s="6" t="inlineStr">
        <x:is>
          <x:t xml:space="preserve">450 x 706 cm</x:t>
        </x:is>
      </x:c>
      <x:c r="B648" s="6" t="inlineStr">
        <x:is>
          <x:t xml:space="preserve">ZP</x:t>
        </x:is>
      </x:c>
      <x:c r="C648" s="6" t="inlineStr">
        <x:is>
          <x:t xml:space="preserve">Zadaszenie poliwęglan - baza</x:t>
        </x:is>
      </x:c>
      <x:c r="D648" s="6" t="inlineStr">
        <x:is>
          <x:t xml:space="preserve">ZADASZENIE POLIWĘGLAN</x:t>
        </x:is>
      </x:c>
      <x:c r="E648" s="8" t="n">
        <x:f>IFERROR(INDEX('02_RAW_INDEX'!$D:$D,MATCH($A648,'02_RAW_INDEX'!$A:$A,0)),"")</x:f>
        <x:v>13138</x:v>
      </x:c>
      <x:c r="F648" s="8" t="n">
        <x:f>IFERROR(INDEX('02_RAW_INDEX'!$C:$C,MATCH($A648,'02_RAW_INDEX'!$A:$A,0)),"")</x:f>
        <x:v>16160</x:v>
      </x:c>
      <x:c r="G648" s="7" t="n">
        <x:f>'01_Ustawienia'!$B$6</x:f>
        <x:v>0</x:v>
      </x:c>
      <x:c r="H648" s="8" t="n">
        <x:f>IF(E648="","",ROUND(IF('01_Ustawienia'!$B$5="BRUTTO",F648,E648)*(1-G648),0))</x:f>
        <x:v>13138</x:v>
      </x:c>
      <x:c r="I648" s="7" t="n">
        <x:f>IFERROR(IFERROR(INDEX('01_Ustawienia'!$B$15:$B$33,MATCH(B648,'01_Ustawienia'!$A$15:$A$33,0)),0.45),0.45)</x:f>
        <x:v>0.45</x:v>
      </x:c>
      <x:c r="J648" s="8" t="n">
        <x:f>IF(H648="","",ROUND(H648*(1+I648),0))</x:f>
        <x:v>19050</x:v>
      </x:c>
      <x:c r="K648" s="8" t="n">
        <x:f>IFERROR(IFERROR(INDEX(EG_Cennik_uslug!$F:$F,MATCH($A648,EG_Cennik_uslug!$A:$A,0)),0),0)</x:f>
        <x:v>4280</x:v>
      </x:c>
      <x:c r="L648" s="8" t="n">
        <x:f>IFERROR(IFERROR(INDEX(EG_Cennik_uslug!$G:$G,MATCH($A648,EG_Cennik_uslug!$A:$A,0)),0),0)</x:f>
        <x:v>1540</x:v>
      </x:c>
      <x:c r="M648" s="7" t="n">
        <x:f>IF('01_Ustawienia'!$B$4="ZWOLNIONY",0,'01_Ustawienia'!$B$7)</x:f>
        <x:v>0.08</x:v>
      </x:c>
      <x:c r="N648" s="8" t="n">
        <x:f>IF(J648="","",ROUND((J648+K648)*(1+M648),0))</x:f>
        <x:v>25196</x:v>
      </x:c>
      <x:c r="O648" s="8" t="n">
        <x:f>IF(J648="","",J648+K648-H648-L648)</x:f>
        <x:v>8652</x:v>
      </x:c>
      <x:c r="P648" s="7" t="n">
        <x:f>IFERROR(O648/(J648+K648),"")</x:f>
        <x:v>0.3708529789969996</x:v>
      </x:c>
      <x:c r="Q648" s="6" t="inlineStr">
        <x:is>
          <x:t xml:space="preserve">RAW_ZP B/C</x:t>
        </x:is>
      </x:c>
      <x:c r="R648" s="6" t="inlineStr">
        <x:is>
          <x:t xml:space="preserve">ZADASZENIE TARASU KONSTRUKCJA</x:t>
        </x:is>
      </x:c>
      <x:c r="S648" s="6" t="inlineStr">
        <x:is>
          <x:t xml:space="preserve">website+crm</x:t>
        </x:is>
      </x:c>
      <x:c r="T648" s="6" t="inlineStr">
        <x:is>
          <x:t xml:space="preserve">Baza dla kalkulatora</x:t>
        </x:is>
      </x:c>
    </x:row>
    <x:row r="649" s="655" customFormat="1" ht="30" customHeight="1">
      <x:c r="A649" s="6" t="inlineStr">
        <x:is>
          <x:t xml:space="preserve">450 x 706 cm</x:t>
        </x:is>
      </x:c>
      <x:c r="B649" s="6" t="inlineStr">
        <x:is>
          <x:t xml:space="preserve">ZS</x:t>
        </x:is>
      </x:c>
      <x:c r="C649" s="6" t="inlineStr">
        <x:is>
          <x:t xml:space="preserve">Zadaszenie szkło - pełna konstrukcja</x:t>
        </x:is>
      </x:c>
      <x:c r="D649" s="6" t="inlineStr">
        <x:is>
          <x:t xml:space="preserve">ZADASZENIE SZKŁO</x:t>
        </x:is>
      </x:c>
      <x:c r="E649" s="8" t="n">
        <x:f>IFERROR(INDEX('02_RAW_INDEX'!$V:$V,MATCH($A649,'02_RAW_INDEX'!$A:$A,0)),"")</x:f>
        <x:v>20398</x:v>
      </x:c>
      <x:c r="F649" s="8" t="n">
        <x:f>IFERROR(INDEX('02_RAW_INDEX'!$U:$U,MATCH($A649,'02_RAW_INDEX'!$A:$A,0)),"")</x:f>
        <x:v>25090</x:v>
      </x:c>
      <x:c r="G649" s="7" t="n">
        <x:f>'01_Ustawienia'!$B$6</x:f>
        <x:v>0</x:v>
      </x:c>
      <x:c r="H649" s="8" t="n">
        <x:f>IF(E649="","",ROUND(IF('01_Ustawienia'!$B$5="BRUTTO",F649,E649)*(1-G649),0))</x:f>
        <x:v>20398</x:v>
      </x:c>
      <x:c r="I649" s="7" t="n">
        <x:f>IFERROR(IFERROR(INDEX('01_Ustawienia'!$B$15:$B$33,MATCH(B649,'01_Ustawienia'!$A$15:$A$33,0)),0.45),0.45)</x:f>
        <x:v>0.45</x:v>
      </x:c>
      <x:c r="J649" s="8" t="n">
        <x:f>IF(H649="","",ROUND(H649*(1+I649),0))</x:f>
        <x:v>29577</x:v>
      </x:c>
      <x:c r="K649" s="8" t="n">
        <x:f>IFERROR(IFERROR(INDEX(EG_Cennik_uslug!$F:$F,MATCH($A649,EG_Cennik_uslug!$A:$A,0)),0),0)</x:f>
        <x:v>4280</x:v>
      </x:c>
      <x:c r="L649" s="8" t="n">
        <x:f>IFERROR(IFERROR(INDEX(EG_Cennik_uslug!$G:$G,MATCH($A649,EG_Cennik_uslug!$A:$A,0)),0),0)</x:f>
        <x:v>1540</x:v>
      </x:c>
      <x:c r="M649" s="7" t="n">
        <x:f>IF('01_Ustawienia'!$B$4="ZWOLNIONY",0,'01_Ustawienia'!$B$7)</x:f>
        <x:v>0.08</x:v>
      </x:c>
      <x:c r="N649" s="8" t="n">
        <x:f>IF(J649="","",ROUND((J649+K649)*(1+M649),0))</x:f>
        <x:v>36566</x:v>
      </x:c>
      <x:c r="O649" s="8" t="n">
        <x:f>IF(J649="","",J649+K649-H649-L649)</x:f>
        <x:v>11919</x:v>
      </x:c>
      <x:c r="P649" s="7" t="n">
        <x:f>IFERROR(O649/(J649+K649),"")</x:f>
        <x:v>0.35203946008211007</x:v>
      </x:c>
      <x:c r="Q649" s="6" t="inlineStr">
        <x:is>
          <x:t xml:space="preserve">RAW_ZS B/C</x:t>
        </x:is>
      </x:c>
      <x:c r="R649" s="6" t="inlineStr">
        <x:is>
          <x:t xml:space="preserve">ZADASZENIE TARASU KONSTRUKCJA</x:t>
        </x:is>
      </x:c>
      <x:c r="S649" s="6" t="inlineStr">
        <x:is>
          <x:t xml:space="preserve">crm_only</x:t>
        </x:is>
      </x:c>
      <x:c r="T649" s="6" t="inlineStr">
        <x:is>
          <x:t xml:space="preserve">Referencyjne/full; strona zwykle używa ZP + PDS</x:t>
        </x:is>
      </x:c>
    </x:row>
    <x:row r="650" s="655" customFormat="1" ht="30" customHeight="1">
      <x:c r="A650" s="6" t="inlineStr">
        <x:is>
          <x:t xml:space="preserve">450 x 706 cm</x:t>
        </x:is>
      </x:c>
      <x:c r="B650" s="6" t="inlineStr">
        <x:is>
          <x:t xml:space="preserve">OP</x:t>
        </x:is>
      </x:c>
      <x:c r="C650" s="6" t="inlineStr">
        <x:is>
          <x:t xml:space="preserve">Ogród zimowy poliwęglan - baza</x:t>
        </x:is>
      </x:c>
      <x:c r="D650" s="6" t="inlineStr">
        <x:is>
          <x:t xml:space="preserve">OGRODY POLIWĘGLAN</x:t>
        </x:is>
      </x:c>
      <x:c r="E650" s="8" t="n">
        <x:f>IFERROR(INDEX('02_RAW_INDEX'!$Z:$Z,MATCH($A650,'02_RAW_INDEX'!$A:$A,0)),"")</x:f>
        <x:v>27992</x:v>
      </x:c>
      <x:c r="F650" s="8" t="n">
        <x:f>IFERROR(INDEX('02_RAW_INDEX'!$Y:$Y,MATCH($A650,'02_RAW_INDEX'!$A:$A,0)),"")</x:f>
        <x:v>34430</x:v>
      </x:c>
      <x:c r="G650" s="7" t="n">
        <x:f>'01_Ustawienia'!$B$6</x:f>
        <x:v>0</x:v>
      </x:c>
      <x:c r="H650" s="8" t="n">
        <x:f>IF(E650="","",ROUND(IF('01_Ustawienia'!$B$5="BRUTTO",F650,E650)*(1-G650),0))</x:f>
        <x:v>27992</x:v>
      </x:c>
      <x:c r="I650" s="7" t="n">
        <x:f>IFERROR(IFERROR(INDEX('01_Ustawienia'!$B$15:$B$33,MATCH(B650,'01_Ustawienia'!$A$15:$A$33,0)),0.45),0.45)</x:f>
        <x:v>0.45</x:v>
      </x:c>
      <x:c r="J650" s="8" t="n">
        <x:f>IF(H650="","",ROUND(H650*(1+I650),0))</x:f>
        <x:v>40588</x:v>
      </x:c>
      <x:c r="K650" s="8" t="n">
        <x:f>IFERROR(IFERROR(INDEX(EG_Cennik_uslug!$N:$N,MATCH($A650,EG_Cennik_uslug!$A:$A,0)),0),0)</x:f>
        <x:v>5460</x:v>
      </x:c>
      <x:c r="L650" s="8" t="n">
        <x:f>IFERROR(IFERROR(INDEX(EG_Cennik_uslug!$O:$O,MATCH($A650,EG_Cennik_uslug!$A:$A,0)),0),0)</x:f>
        <x:v>2160</x:v>
      </x:c>
      <x:c r="M650" s="7" t="n">
        <x:f>IF('01_Ustawienia'!$B$4="ZWOLNIONY",0,'01_Ustawienia'!$B$7)</x:f>
        <x:v>0.08</x:v>
      </x:c>
      <x:c r="N650" s="8" t="n">
        <x:f>IF(J650="","",ROUND((J650+K650)*(1+M650),0))</x:f>
        <x:v>49732</x:v>
      </x:c>
      <x:c r="O650" s="8" t="n">
        <x:f>IF(J650="","",J650+K650-H650-L650)</x:f>
        <x:v>15896</x:v>
      </x:c>
      <x:c r="P650" s="7" t="n">
        <x:f>IFERROR(O650/(J650+K650),"")</x:f>
        <x:v>0.3452050034746352</x:v>
      </x:c>
      <x:c r="Q650" s="6" t="inlineStr">
        <x:is>
          <x:t xml:space="preserve">RAW_OP B/C</x:t>
        </x:is>
      </x:c>
      <x:c r="R650" s="6" t="inlineStr">
        <x:is>
          <x:t xml:space="preserve">OGRÓD ZIMOWY (KONSTRUKCJA)</x:t>
        </x:is>
      </x:c>
      <x:c r="S650" s="6" t="inlineStr">
        <x:is>
          <x:t xml:space="preserve">website+crm</x:t>
        </x:is>
      </x:c>
      <x:c r="T650" s="6" t="inlineStr">
        <x:is>
          <x:t xml:space="preserve">Do wyliczenia dopłaty za ściany</x:t>
        </x:is>
      </x:c>
    </x:row>
    <x:row r="651" s="655" customFormat="1" ht="30" customHeight="1">
      <x:c r="A651" s="6" t="inlineStr">
        <x:is>
          <x:t xml:space="preserve">450 x 706 cm</x:t>
        </x:is>
      </x:c>
      <x:c r="B651" s="6" t="inlineStr">
        <x:is>
          <x:t xml:space="preserve">OS</x:t>
        </x:is>
      </x:c>
      <x:c r="C651" s="6" t="inlineStr">
        <x:is>
          <x:t xml:space="preserve">Ogród zimowy szkło - pełna konstrukcja</x:t>
        </x:is>
      </x:c>
      <x:c r="D651" s="6" t="inlineStr">
        <x:is>
          <x:t xml:space="preserve">OGRODY SZKŁO</x:t>
        </x:is>
      </x:c>
      <x:c r="E651" s="8" t="n">
        <x:f>IFERROR(INDEX('02_RAW_INDEX'!$AL:$AL,MATCH($A651,'02_RAW_INDEX'!$A:$A,0)),"")</x:f>
        <x:v>35252</x:v>
      </x:c>
      <x:c r="F651" s="8" t="n">
        <x:f>IFERROR(INDEX('02_RAW_INDEX'!$AK:$AK,MATCH($A651,'02_RAW_INDEX'!$A:$A,0)),"")</x:f>
        <x:v>43360</x:v>
      </x:c>
      <x:c r="G651" s="7" t="n">
        <x:f>'01_Ustawienia'!$B$6</x:f>
        <x:v>0</x:v>
      </x:c>
      <x:c r="H651" s="8" t="n">
        <x:f>IF(E651="","",ROUND(IF('01_Ustawienia'!$B$5="BRUTTO",F651,E651)*(1-G651),0))</x:f>
        <x:v>35252</x:v>
      </x:c>
      <x:c r="I651" s="7" t="n">
        <x:f>IFERROR(IFERROR(INDEX('01_Ustawienia'!$B$15:$B$33,MATCH(B651,'01_Ustawienia'!$A$15:$A$33,0)),0.45),0.45)</x:f>
        <x:v>0.45</x:v>
      </x:c>
      <x:c r="J651" s="8" t="n">
        <x:f>IF(H651="","",ROUND(H651*(1+I651),0))</x:f>
        <x:v>51115</x:v>
      </x:c>
      <x:c r="K651" s="8" t="n">
        <x:f>IFERROR(IFERROR(INDEX(EG_Cennik_uslug!$N:$N,MATCH($A651,EG_Cennik_uslug!$A:$A,0)),0),0)</x:f>
        <x:v>5460</x:v>
      </x:c>
      <x:c r="L651" s="8" t="n">
        <x:f>IFERROR(IFERROR(INDEX(EG_Cennik_uslug!$O:$O,MATCH($A651,EG_Cennik_uslug!$A:$A,0)),0),0)</x:f>
        <x:v>2160</x:v>
      </x:c>
      <x:c r="M651" s="7" t="n">
        <x:f>IF('01_Ustawienia'!$B$4="ZWOLNIONY",0,'01_Ustawienia'!$B$7)</x:f>
        <x:v>0.08</x:v>
      </x:c>
      <x:c r="N651" s="8" t="n">
        <x:f>IF(J651="","",ROUND((J651+K651)*(1+M651),0))</x:f>
        <x:v>61101</x:v>
      </x:c>
      <x:c r="O651" s="8" t="n">
        <x:f>IF(J651="","",J651+K651-H651-L651)</x:f>
        <x:v>19163</x:v>
      </x:c>
      <x:c r="P651" s="7" t="n">
        <x:f>IFERROR(O651/(J651+K651),"")</x:f>
        <x:v>0.33871851524524965</x:v>
      </x:c>
      <x:c r="Q651" s="6" t="inlineStr">
        <x:is>
          <x:t xml:space="preserve">RAW_OS B/C</x:t>
        </x:is>
      </x:c>
      <x:c r="R651" s="6" t="inlineStr">
        <x:is>
          <x:t xml:space="preserve">OGRÓD ZIMOWY (KONSTRUKCJA)</x:t>
        </x:is>
      </x:c>
      <x:c r="S651" s="6" t="inlineStr">
        <x:is>
          <x:t xml:space="preserve">crm_only</x:t>
        </x:is>
      </x:c>
      <x:c r="T651" s="6" t="inlineStr">
        <x:is>
          <x:t xml:space="preserve">Referencyjne/full</x:t>
        </x:is>
      </x:c>
    </x:row>
    <x:row r="652" s="655" customFormat="1" ht="30" customHeight="1">
      <x:c r="A652" s="6" t="inlineStr">
        <x:is>
          <x:t xml:space="preserve">450 x 706 cm</x:t>
        </x:is>
      </x:c>
      <x:c r="B652" s="6" t="inlineStr">
        <x:is>
          <x:t xml:space="preserve">PDS</x:t>
        </x:is>
      </x:c>
      <x:c r="C652" s="6" t="inlineStr">
        <x:is>
          <x:t xml:space="preserve">Dopłata dach szkło przezroczyste</x:t>
        </x:is>
      </x:c>
      <x:c r="D652" s="6" t="inlineStr">
        <x:is>
          <x:t xml:space="preserve">POKRYCIE DACHU SZKŁO</x:t>
        </x:is>
      </x:c>
      <x:c r="E652" s="8" t="n">
        <x:f>IFERROR(IFERROR(INDEX('02_RAW_INDEX'!$V:$V,MATCH($A652,'02_RAW_INDEX'!$A:$A,0)),"")-IFERROR(INDEX('02_RAW_INDEX'!$D:$D,MATCH($A652,'02_RAW_INDEX'!$A:$A,0)),""),"")</x:f>
        <x:v>7260</x:v>
      </x:c>
      <x:c r="F652" s="8" t="n">
        <x:f>IFERROR(IFERROR(INDEX('02_RAW_INDEX'!$U:$U,MATCH($A652,'02_RAW_INDEX'!$A:$A,0)),"")-IFERROR(INDEX('02_RAW_INDEX'!$C:$C,MATCH($A652,'02_RAW_INDEX'!$A:$A,0)),""),"")</x:f>
        <x:v>8930</x:v>
      </x:c>
      <x:c r="G652" s="7" t="n">
        <x:f>'01_Ustawienia'!$B$6</x:f>
        <x:v>0</x:v>
      </x:c>
      <x:c r="H652" s="8" t="n">
        <x:f>IF(E652="","",ROUND(IF('01_Ustawienia'!$B$5="BRUTTO",F652,E652)*(1-G652),0))</x:f>
        <x:v>7260</x:v>
      </x:c>
      <x:c r="I652" s="7" t="n">
        <x:f>IFERROR(IFERROR(INDEX('01_Ustawienia'!$B$15:$B$33,MATCH(B652,'01_Ustawienia'!$A$15:$A$33,0)),0.45),0.45)</x:f>
        <x:v>0.45</x:v>
      </x:c>
      <x:c r="J652" s="8" t="n">
        <x:f>IF(H652="","",ROUND(H652*(1+I652),0))</x:f>
        <x:v>10527</x:v>
      </x:c>
      <x:c r="K652" s="8" t="n">
        <x:f>0</x:f>
        <x:v>0</x:v>
      </x:c>
      <x:c r="L652" s="8" t="n">
        <x:v>0</x:v>
      </x:c>
      <x:c r="M652" s="7" t="n">
        <x:f>IF('01_Ustawienia'!$B$4="ZWOLNIONY",0,'01_Ustawienia'!$B$7)</x:f>
        <x:v>0.08</x:v>
      </x:c>
      <x:c r="N652" s="8" t="n">
        <x:f>IF(J652="","",ROUND((J652+K652)*(1+M652),0))</x:f>
        <x:v>11369</x:v>
      </x:c>
      <x:c r="O652" s="8" t="n">
        <x:f>IF(J652="","",J652+K652-H652-L652)</x:f>
        <x:v>3267</x:v>
      </x:c>
      <x:c r="P652" s="7" t="n">
        <x:f>IFERROR(O652/(J652+K652),"")</x:f>
        <x:v>0.3103448275862069</x:v>
      </x:c>
      <x:c r="Q652" s="6" t="inlineStr">
        <x:is>
          <x:t xml:space="preserve">RAW_ZS - RAW_ZP</x:t>
        </x:is>
      </x:c>
      <x:c r="R652" s="6" t="inlineStr">
        <x:is>
          <x:t xml:space="preserve">POKRYCIE DACHU</x:t>
        </x:is>
      </x:c>
      <x:c r="S652" s="6" t="inlineStr">
        <x:is>
          <x:t xml:space="preserve">website+crm</x:t>
        </x:is>
      </x:c>
      <x:c r="T652" s="6" t="inlineStr">
        <x:is>
          <x:t xml:space="preserve">Dopłata do bazowego dachu poliwęglan | FIX17: Wynagr.+koszty = 0 dla dopłaty; nie jest osobnym montażem ekipy.</x:t>
        </x:is>
      </x:c>
    </x:row>
    <x:row r="653" s="655" customFormat="1" ht="30" customHeight="1">
      <x:c r="A653" s="6" t="inlineStr">
        <x:is>
          <x:t xml:space="preserve">450 x 706 cm</x:t>
        </x:is>
      </x:c>
      <x:c r="B653" s="6" t="inlineStr">
        <x:is>
          <x:t xml:space="preserve">PDSB</x:t>
        </x:is>
      </x:c>
      <x:c r="C653" s="6" t="inlineStr">
        <x:is>
          <x:t xml:space="preserve">Dopłata dach szkło barwione/mleczne</x:t>
        </x:is>
      </x:c>
      <x:c r="D653" s="6" t="inlineStr">
        <x:is>
          <x:t xml:space="preserve">POKRYCIE DACHU SZKŁO BARWIONE</x:t>
        </x:is>
      </x:c>
      <x:c r="E653" s="8" t="n">
        <x:f>IFERROR(INDEX('02_RAW_INDEX'!$X:$X,MATCH($A653,'02_RAW_INDEX'!$A:$A,0)),"")</x:f>
        <x:v>715</x:v>
      </x:c>
      <x:c r="F653" s="8" t="n">
        <x:f>IFERROR(INDEX('02_RAW_INDEX'!$W:$W,MATCH($A653,'02_RAW_INDEX'!$A:$A,0)),"")</x:f>
        <x:v>880</x:v>
      </x:c>
      <x:c r="G653" s="7" t="n">
        <x:f>'01_Ustawienia'!$B$6</x:f>
        <x:v>0</x:v>
      </x:c>
      <x:c r="H653" s="8" t="n">
        <x:f>IF(E653="","",ROUND(IF('01_Ustawienia'!$B$5="BRUTTO",F653,E653)*(1-G653),0))</x:f>
        <x:v>715</x:v>
      </x:c>
      <x:c r="I653" s="7" t="n">
        <x:f>IFERROR(IFERROR(INDEX('01_Ustawienia'!$B$15:$B$33,MATCH(B653,'01_Ustawienia'!$A$15:$A$33,0)),0.45),0.45)</x:f>
        <x:v>0.45</x:v>
      </x:c>
      <x:c r="J653" s="8" t="n">
        <x:f>IF(H653="","",ROUND(H653*(1+I653),0))</x:f>
        <x:v>1037</x:v>
      </x:c>
      <x:c r="K653" s="8" t="n">
        <x:f>0</x:f>
        <x:v>0</x:v>
      </x:c>
      <x:c r="L653" s="8" t="n">
        <x:v>0</x:v>
      </x:c>
      <x:c r="M653" s="7" t="n">
        <x:f>IF('01_Ustawienia'!$B$4="ZWOLNIONY",0,'01_Ustawienia'!$B$7)</x:f>
        <x:v>0.08</x:v>
      </x:c>
      <x:c r="N653" s="8" t="n">
        <x:f>IF(J653="","",ROUND((J653+K653)*(1+M653),0))</x:f>
        <x:v>1120</x:v>
      </x:c>
      <x:c r="O653" s="8" t="n">
        <x:f>IF(J653="","",J653+K653-H653-L653)</x:f>
        <x:v>322</x:v>
      </x:c>
      <x:c r="P653" s="7" t="n">
        <x:f>IFERROR(O653/(J653+K653),"")</x:f>
        <x:v>0.3105110896817743</x:v>
      </x:c>
      <x:c r="Q653" s="6" t="inlineStr">
        <x:is>
          <x:t xml:space="preserve">RAW_ZS D/E</x:t>
        </x:is>
      </x:c>
      <x:c r="R653" s="6" t="inlineStr">
        <x:is>
          <x:t xml:space="preserve">POKRYCIE DACHU</x:t>
        </x:is>
      </x:c>
      <x:c r="S653" s="6" t="inlineStr">
        <x:is>
          <x:t xml:space="preserve">website+crm</x:t>
        </x:is>
      </x:c>
      <x:c r="T653" s="6" t="inlineStr">
        <x:is>
          <x:t xml:space="preserve">Dodawane do PDS | FIX17: Wynagr.+koszty = 0 dla dopłaty; nie jest osobnym montażem ekipy.</x:t>
        </x:is>
      </x:c>
    </x:row>
    <x:row r="654" s="655" customFormat="1" ht="30" customHeight="1">
      <x:c r="A654" s="6" t="inlineStr">
        <x:is>
          <x:t xml:space="preserve">450 x 706 cm</x:t>
        </x:is>
      </x:c>
      <x:c r="B654" s="6" t="inlineStr">
        <x:is>
          <x:t xml:space="preserve">PDPB</x:t>
        </x:is>
      </x:c>
      <x:c r="C654" s="6" t="inlineStr">
        <x:is>
          <x:t xml:space="preserve">Dopłata poliwęglan barwiony</x:t>
        </x:is>
      </x:c>
      <x:c r="D654" s="6" t="inlineStr">
        <x:is>
          <x:t xml:space="preserve">POKRYCIE DACHU POLIWĘGLAN BARWIONY</x:t>
        </x:is>
      </x:c>
      <x:c r="E654" s="8" t="n">
        <x:f>IFERROR(INDEX('02_RAW_INDEX'!$F:$F,MATCH($A654,'02_RAW_INDEX'!$A:$A,0)),"")</x:f>
        <x:v>545</x:v>
      </x:c>
      <x:c r="F654" s="8" t="n">
        <x:f>IFERROR(INDEX('02_RAW_INDEX'!$E:$E,MATCH($A654,'02_RAW_INDEX'!$A:$A,0)),"")</x:f>
        <x:v>670</x:v>
      </x:c>
      <x:c r="G654" s="7" t="n">
        <x:f>'01_Ustawienia'!$B$6</x:f>
        <x:v>0</x:v>
      </x:c>
      <x:c r="H654" s="8" t="n">
        <x:f>IF(E654="","",ROUND(IF('01_Ustawienia'!$B$5="BRUTTO",F654,E654)*(1-G654),0))</x:f>
        <x:v>545</x:v>
      </x:c>
      <x:c r="I654" s="7" t="n">
        <x:f>IFERROR(IFERROR(INDEX('01_Ustawienia'!$B$15:$B$33,MATCH(B654,'01_Ustawienia'!$A$15:$A$33,0)),0.45),0.45)</x:f>
        <x:v>0.45</x:v>
      </x:c>
      <x:c r="J654" s="8" t="n">
        <x:f>IF(H654="","",ROUND(H654*(1+I654),0))</x:f>
        <x:v>790</x:v>
      </x:c>
      <x:c r="K654" s="8" t="n">
        <x:f>0</x:f>
        <x:v>0</x:v>
      </x:c>
      <x:c r="L654" s="8" t="n">
        <x:v>0</x:v>
      </x:c>
      <x:c r="M654" s="7" t="n">
        <x:f>IF('01_Ustawienia'!$B$4="ZWOLNIONY",0,'01_Ustawienia'!$B$7)</x:f>
        <x:v>0.08</x:v>
      </x:c>
      <x:c r="N654" s="8" t="n">
        <x:f>IF(J654="","",ROUND((J654+K654)*(1+M654),0))</x:f>
        <x:v>853</x:v>
      </x:c>
      <x:c r="O654" s="8" t="n">
        <x:f>IF(J654="","",J654+K654-H654-L654)</x:f>
        <x:v>245</x:v>
      </x:c>
      <x:c r="P654" s="7" t="n">
        <x:f>IFERROR(O654/(J654+K654),"")</x:f>
        <x:v>0.310126582278481</x:v>
      </x:c>
      <x:c r="Q654" s="6" t="inlineStr">
        <x:is>
          <x:t xml:space="preserve">RAW_ZP D/E</x:t>
        </x:is>
      </x:c>
      <x:c r="R654" s="6" t="inlineStr">
        <x:is>
          <x:t xml:space="preserve">POKRYCIE DACHU</x:t>
        </x:is>
      </x:c>
      <x:c r="S654" s="6" t="inlineStr">
        <x:is>
          <x:t xml:space="preserve">website+crm</x:t>
        </x:is>
      </x:c>
      <x:c r="T654" s="6" t="inlineStr">
        <x:is>
          <x:t xml:space="preserve">FIX17: Wynagr.+koszty = 0 dla dopłaty; nie jest osobnym montażem ekipy.</x:t>
        </x:is>
      </x:c>
    </x:row>
    <x:row r="655" s="655" customFormat="1" ht="30" customHeight="1">
      <x:c r="A655" s="6" t="inlineStr">
        <x:is>
          <x:t xml:space="preserve">450 x 706 cm</x:t>
        </x:is>
      </x:c>
      <x:c r="B655" s="6" t="inlineStr">
        <x:is>
          <x:t xml:space="preserve">SBB</x:t>
        </x:is>
      </x:c>
      <x:c r="C655" s="6" t="inlineStr">
        <x:is>
          <x:t xml:space="preserve">Dopłata szkło boczne przyciemniane</x:t>
        </x:is>
      </x:c>
      <x:c r="D655" s="6" t="inlineStr">
        <x:is>
          <x:t xml:space="preserve">SZKŁO BOCZNE BARWIONE</x:t>
        </x:is>
      </x:c>
      <x:c r="E655" s="8" t="n">
        <x:f>IFERROR(INDEX('02_RAW_INDEX'!$AB:$AB,MATCH($A655,'02_RAW_INDEX'!$A:$A,0)),"")</x:f>
        <x:v>1659</x:v>
      </x:c>
      <x:c r="F655" s="8" t="n">
        <x:f>IFERROR(INDEX('02_RAW_INDEX'!$AA:$AA,MATCH($A655,'02_RAW_INDEX'!$A:$A,0)),"")</x:f>
        <x:v>2040</x:v>
      </x:c>
      <x:c r="G655" s="7" t="n">
        <x:f>'01_Ustawienia'!$B$6</x:f>
        <x:v>0</x:v>
      </x:c>
      <x:c r="H655" s="8" t="n">
        <x:f>IF(E655="","",ROUND(IF('01_Ustawienia'!$B$5="BRUTTO",F655,E655)*(1-G655),0))</x:f>
        <x:v>1659</x:v>
      </x:c>
      <x:c r="I655" s="7" t="n">
        <x:f>IFERROR(IFERROR(INDEX('01_Ustawienia'!$B$15:$B$33,MATCH(B655,'01_Ustawienia'!$A$15:$A$33,0)),0.45),0.45)</x:f>
        <x:v>0.45</x:v>
      </x:c>
      <x:c r="J655" s="8" t="n">
        <x:f>IF(H655="","",ROUND(H655*(1+I655),0))</x:f>
        <x:v>2406</x:v>
      </x:c>
      <x:c r="K655" s="8" t="n">
        <x:f>0</x:f>
        <x:v>0</x:v>
      </x:c>
      <x:c r="L655" s="8" t="n">
        <x:v>0</x:v>
      </x:c>
      <x:c r="M655" s="7" t="n">
        <x:f>IF('01_Ustawienia'!$B$4="ZWOLNIONY",0,'01_Ustawienia'!$B$7)</x:f>
        <x:v>0.08</x:v>
      </x:c>
      <x:c r="N655" s="8" t="n">
        <x:f>IF(J655="","",ROUND((J655+K655)*(1+M655),0))</x:f>
        <x:v>2598</x:v>
      </x:c>
      <x:c r="O655" s="8" t="n">
        <x:f>IF(J655="","",J655+K655-H655-L655)</x:f>
        <x:v>747</x:v>
      </x:c>
      <x:c r="P655" s="7" t="n">
        <x:f>IFERROR(O655/(J655+K655),"")</x:f>
        <x:v>0.3104738154613466</x:v>
      </x:c>
      <x:c r="Q655" s="6" t="inlineStr">
        <x:is>
          <x:t xml:space="preserve">RAW_OP H/I</x:t>
        </x:is>
      </x:c>
      <x:c r="R655" s="6" t="inlineStr">
        <x:is>
          <x:t xml:space="preserve">SZYBY BOCZNE</x:t>
        </x:is>
      </x:c>
      <x:c r="S655" s="6" t="inlineStr">
        <x:is>
          <x:t xml:space="preserve">website+crm</x:t>
        </x:is>
      </x:c>
      <x:c r="T655" s="6" t="inlineStr">
        <x:is>
          <x:t xml:space="preserve">Dodawane do ścian przezroczystych | FIX17: Wynagr.+koszty = 0 dla dopłaty; nie jest osobnym montażem ekipy.</x:t>
        </x:is>
      </x:c>
    </x:row>
    <x:row r="656">
      <x:c r="A656" s="6" t="inlineStr">
        <x:is>
          <x:t xml:space="preserve">450 x 706 cm</x:t>
        </x:is>
      </x:c>
      <x:c r="B656" s="6" t="inlineStr">
        <x:is>
          <x:t xml:space="preserve">RB</x:t>
        </x:is>
      </x:c>
      <x:c r="C656" s="6" t="inlineStr">
        <x:is>
          <x:t xml:space="preserve">Roleta boczna ZIP</x:t>
        </x:is>
      </x:c>
      <x:c r="D656" s="6" t="inlineStr">
        <x:is>
          <x:t xml:space="preserve">ROLETA BOCZNA</x:t>
        </x:is>
      </x:c>
      <x:c r="E656" s="8" t="n">
        <x:f>IFERROR(INDEX('02_RAW_INDEX'!$J:$J,MATCH($A656,'02_RAW_INDEX'!$A:$A,0)),"")</x:f>
        <x:v>2569</x:v>
      </x:c>
      <x:c r="F656" s="8" t="n">
        <x:f>IFERROR(INDEX('02_RAW_INDEX'!$I:$I,MATCH($A656,'02_RAW_INDEX'!$A:$A,0)),"")</x:f>
        <x:v>3160</x:v>
      </x:c>
      <x:c r="G656" s="7" t="n">
        <x:f>'01_Ustawienia'!$B$6</x:f>
        <x:v>0</x:v>
      </x:c>
      <x:c r="H656" s="8" t="n">
        <x:f>IF(E656="","",ROUND(IF('01_Ustawienia'!$B$5="BRUTTO",F656,E656)*(1-G656),0))</x:f>
        <x:v>2569</x:v>
      </x:c>
      <x:c r="I656" s="7" t="n">
        <x:f>IFERROR(IFERROR(INDEX('01_Ustawienia'!$B$15:$B$33,MATCH(B656,'01_Ustawienia'!$A$15:$A$33,0)),0.45),0.45)</x:f>
        <x:v>0.45</x:v>
      </x:c>
      <x:c r="J656" s="8" t="n">
        <x:f>IF(H656="","",ROUND(H656*(1+I656),0))</x:f>
        <x:v>3725</x:v>
      </x:c>
      <x:c r="K656" s="8" t="n">
        <x:f>0</x:f>
        <x:v>0</x:v>
      </x:c>
      <x:c r="L656" s="8" t="n">
        <x:f>IFERROR(IFERROR(INDEX(EG_Cennik_uslug!$AC:$AC,MATCH($A656,EG_Cennik_uslug!$A:$A,0)),0),0)</x:f>
        <x:v>150</x:v>
      </x:c>
      <x:c r="M656" s="7" t="n">
        <x:f>IF('01_Ustawienia'!$B$4="ZWOLNIONY",0,'01_Ustawienia'!$B$7)</x:f>
        <x:v>0.08</x:v>
      </x:c>
      <x:c r="N656" s="8" t="n">
        <x:f>IF(J656="","",ROUND((J656+K656)*(1+M656),0))</x:f>
        <x:v>4023</x:v>
      </x:c>
      <x:c r="O656" s="8" t="n">
        <x:f>IF(J656="","",J656+K656-H656-L656)</x:f>
        <x:v>1006</x:v>
      </x:c>
      <x:c r="P656" s="7" t="n">
        <x:f>IFERROR(O656/(J656+K656),"")</x:f>
        <x:v>0.2700671140939597</x:v>
      </x:c>
      <x:c r="Q656" s="6" t="inlineStr">
        <x:is>
          <x:t xml:space="preserve">RAW_ZP J/K</x:t>
        </x:is>
      </x:c>
      <x:c r="R656" s="6" t="inlineStr">
        <x:is>
          <x:t xml:space="preserve">ROLETY BOCZNE</x:t>
        </x:is>
      </x:c>
      <x:c r="S656" s="6" t="inlineStr">
        <x:is>
          <x:t xml:space="preserve">website+crm</x:t>
        </x:is>
      </x:c>
      <x:c r="T656" s="6" t="inlineStr">
        <x:is>
          <x:t xml:space="preserve">Używana dla lewej i prawej</x:t>
        </x:is>
      </x:c>
    </x:row>
    <x:row r="657">
      <x:c r="A657" s="6" t="inlineStr">
        <x:is>
          <x:t xml:space="preserve">450 x 706 cm</x:t>
        </x:is>
      </x:c>
      <x:c r="B657" s="6" t="inlineStr">
        <x:is>
          <x:t xml:space="preserve">RP</x:t>
        </x:is>
      </x:c>
      <x:c r="C657" s="6" t="inlineStr">
        <x:is>
          <x:t xml:space="preserve">Roleta przednia ZIP</x:t>
        </x:is>
      </x:c>
      <x:c r="D657" s="6" t="inlineStr">
        <x:is>
          <x:t xml:space="preserve">ROLETA PRZÓD</x:t>
        </x:is>
      </x:c>
      <x:c r="E657" s="8" t="n">
        <x:f>IFERROR(INDEX('02_RAW_INDEX'!$L:$L,MATCH($A657,'02_RAW_INDEX'!$A:$A,0)),"")</x:f>
        <x:v>3886</x:v>
      </x:c>
      <x:c r="F657" s="8" t="n">
        <x:f>IFERROR(INDEX('02_RAW_INDEX'!$K:$K,MATCH($A657,'02_RAW_INDEX'!$A:$A,0)),"")</x:f>
        <x:v>4780</x:v>
      </x:c>
      <x:c r="G657" s="7" t="n">
        <x:f>'01_Ustawienia'!$B$6</x:f>
        <x:v>0</x:v>
      </x:c>
      <x:c r="H657" s="8" t="n">
        <x:f>IF(E657="","",ROUND(IF('01_Ustawienia'!$B$5="BRUTTO",F657,E657)*(1-G657),0))</x:f>
        <x:v>3886</x:v>
      </x:c>
      <x:c r="I657" s="7" t="n">
        <x:f>IFERROR(IFERROR(INDEX('01_Ustawienia'!$B$15:$B$33,MATCH(B657,'01_Ustawienia'!$A$15:$A$33,0)),0.45),0.45)</x:f>
        <x:v>0.45</x:v>
      </x:c>
      <x:c r="J657" s="8" t="n">
        <x:f>IF(H657="","",ROUND(H657*(1+I657),0))</x:f>
        <x:v>5635</x:v>
      </x:c>
      <x:c r="K657" s="8" t="n">
        <x:f>0</x:f>
        <x:v>0</x:v>
      </x:c>
      <x:c r="L657" s="8" t="n">
        <x:f>IFERROR(IFERROR(INDEX(EG_Cennik_uslug!$AJ:$AJ,MATCH($A657,EG_Cennik_uslug!$A:$A,0)),0),0)</x:f>
        <x:v>300</x:v>
      </x:c>
      <x:c r="M657" s="7" t="n">
        <x:f>IF('01_Ustawienia'!$B$4="ZWOLNIONY",0,'01_Ustawienia'!$B$7)</x:f>
        <x:v>0.08</x:v>
      </x:c>
      <x:c r="N657" s="8" t="n">
        <x:f>IF(J657="","",ROUND((J657+K657)*(1+M657),0))</x:f>
        <x:v>6086</x:v>
      </x:c>
      <x:c r="O657" s="8" t="n">
        <x:f>IF(J657="","",J657+K657-H657-L657)</x:f>
        <x:v>1449</x:v>
      </x:c>
      <x:c r="P657" s="7" t="n">
        <x:f>IFERROR(O657/(J657+K657),"")</x:f>
        <x:v>0.2571428571428571</x:v>
      </x:c>
      <x:c r="Q657" s="6" t="inlineStr">
        <x:is>
          <x:t xml:space="preserve">RAW_ZP N/O</x:t>
        </x:is>
      </x:c>
      <x:c r="R657" s="6" t="inlineStr">
        <x:is>
          <x:t xml:space="preserve">ROLETY BOCZNE</x:t>
        </x:is>
      </x:c>
      <x:c r="S657" s="6" t="inlineStr">
        <x:is>
          <x:t xml:space="preserve">website+crm</x:t>
        </x:is>
      </x:c>
      <x:c r="T657" s="6" t="n"/>
    </x:row>
    <x:row r="658">
      <x:c r="A658" s="6" t="inlineStr">
        <x:is>
          <x:t xml:space="preserve">450 x 706 cm</x:t>
        </x:is>
      </x:c>
      <x:c r="B658" s="6" t="inlineStr">
        <x:is>
          <x:t xml:space="preserve">M</x:t>
        </x:is>
      </x:c>
      <x:c r="C658" s="6" t="inlineStr">
        <x:is>
          <x:t xml:space="preserve">Markiza dachowa</x:t>
        </x:is>
      </x:c>
      <x:c r="D658" s="6" t="inlineStr">
        <x:is>
          <x:t xml:space="preserve">MARKIZA</x:t>
        </x:is>
      </x:c>
      <x:c r="E658" s="8" t="n">
        <x:f>IFERROR(INDEX('02_RAW_INDEX'!$H:$H,MATCH($A658,'02_RAW_INDEX'!$A:$A,0)),"")</x:f>
        <x:v>7114</x:v>
      </x:c>
      <x:c r="F658" s="8" t="n">
        <x:f>IFERROR(INDEX('02_RAW_INDEX'!$G:$G,MATCH($A658,'02_RAW_INDEX'!$A:$A,0)),"")</x:f>
        <x:v>8750</x:v>
      </x:c>
      <x:c r="G658" s="7" t="n">
        <x:f>'01_Ustawienia'!$B$6</x:f>
        <x:v>0</x:v>
      </x:c>
      <x:c r="H658" s="8" t="n">
        <x:f>IF(E658="","",ROUND(IF('01_Ustawienia'!$B$5="BRUTTO",F658,E658)*(1-G658),0))</x:f>
        <x:v>7114</x:v>
      </x:c>
      <x:c r="I658" s="7" t="n">
        <x:f>IFERROR(IFERROR(INDEX('01_Ustawienia'!$B$15:$B$33,MATCH(B658,'01_Ustawienia'!$A$15:$A$33,0)),0.45),0.45)</x:f>
        <x:v>0.45</x:v>
      </x:c>
      <x:c r="J658" s="8" t="n">
        <x:f>IF(H658="","",ROUND(H658*(1+I658),0))</x:f>
        <x:v>10315</x:v>
      </x:c>
      <x:c r="K658" s="8" t="n">
        <x:f>0</x:f>
        <x:v>0</x:v>
      </x:c>
      <x:c r="L658" s="8" t="n">
        <x:f>IFERROR(IFERROR(INDEX(EG_Cennik_uslug!$AQ:$AQ,MATCH($A658,EG_Cennik_uslug!$A:$A,0)),0),0)</x:f>
        <x:v>450</x:v>
      </x:c>
      <x:c r="M658" s="7" t="n">
        <x:f>IF('01_Ustawienia'!$B$4="ZWOLNIONY",0,'01_Ustawienia'!$B$7)</x:f>
        <x:v>0.08</x:v>
      </x:c>
      <x:c r="N658" s="8" t="n">
        <x:f>IF(J658="","",ROUND((J658+K658)*(1+M658),0))</x:f>
        <x:v>11140</x:v>
      </x:c>
      <x:c r="O658" s="8" t="n">
        <x:f>IF(J658="","",J658+K658-H658-L658)</x:f>
        <x:v>2751</x:v>
      </x:c>
      <x:c r="P658" s="7" t="n">
        <x:f>IFERROR(O658/(J658+K658),"")</x:f>
        <x:v>0.26669898206495396</x:v>
      </x:c>
      <x:c r="Q658" s="6" t="inlineStr">
        <x:is>
          <x:t xml:space="preserve">RAW_ZP H/I</x:t>
        </x:is>
      </x:c>
      <x:c r="R658" s="6" t="inlineStr">
        <x:is>
          <x:t xml:space="preserve">MARKIZA</x:t>
        </x:is>
      </x:c>
      <x:c r="S658" s="6" t="inlineStr">
        <x:is>
          <x:t xml:space="preserve">website+crm</x:t>
        </x:is>
      </x:c>
      <x:c r="T658" s="6" t="n"/>
    </x:row>
    <x:row r="659">
      <x:c r="A659" s="6" t="inlineStr">
        <x:is>
          <x:t xml:space="preserve">450 x 706 cm</x:t>
        </x:is>
      </x:c>
      <x:c r="B659" s="6" t="inlineStr">
        <x:is>
          <x:t xml:space="preserve">PDWP</x:t>
        </x:is>
      </x:c>
      <x:c r="C659" s="6" t="inlineStr">
        <x:is>
          <x:t xml:space="preserve">Fundament/profile</x:t>
        </x:is>
      </x:c>
      <x:c r="D659" s="6" t="inlineStr">
        <x:is>
          <x:t xml:space="preserve">FUNDAMENT / PROFILE</x:t>
        </x:is>
      </x:c>
      <x:c r="E659" s="8" t="n">
        <x:f>IFERROR(INDEX('02_RAW_INDEX'!$AH:$AH,MATCH($A659,'02_RAW_INDEX'!$A:$A,0)),"")</x:f>
        <x:v>1220</x:v>
      </x:c>
      <x:c r="F659" s="8" t="n">
        <x:f>IFERROR(INDEX('02_RAW_INDEX'!$AG:$AG,MATCH($A659,'02_RAW_INDEX'!$A:$A,0)),"")</x:f>
        <x:v>1500</x:v>
      </x:c>
      <x:c r="G659" s="7" t="n">
        <x:f>'01_Ustawienia'!$B$6</x:f>
        <x:v>0</x:v>
      </x:c>
      <x:c r="H659" s="8" t="n">
        <x:f>IF(E659="","",ROUND(IF('01_Ustawienia'!$B$5="BRUTTO",F659,E659)*(1-G659),0))</x:f>
        <x:v>1220</x:v>
      </x:c>
      <x:c r="I659" s="7" t="n">
        <x:f>IFERROR(IFERROR(INDEX('01_Ustawienia'!$B$15:$B$33,MATCH(B659,'01_Ustawienia'!$A$15:$A$33,0)),0.45),0.45)</x:f>
        <x:v>1.2</x:v>
      </x:c>
      <x:c r="J659" s="8" t="n">
        <x:f>IF(H659="","",ROUND(H659*(1+I659),0))</x:f>
        <x:v>2684</x:v>
      </x:c>
      <x:c r="K659" s="8" t="n">
        <x:f>0</x:f>
        <x:v>0</x:v>
      </x:c>
      <x:c r="L659" s="8" t="n">
        <x:f>IFERROR(IFERROR(INDEX(EG_Cennik_uslug!$BT:$BT,MATCH($A659,EG_Cennik_uslug!$A:$A,0)),0),0)</x:f>
        <x:v>570</x:v>
      </x:c>
      <x:c r="M659" s="7" t="n">
        <x:f>IF('01_Ustawienia'!$B$4="ZWOLNIONY",0,'01_Ustawienia'!$B$7)</x:f>
        <x:v>0.08</x:v>
      </x:c>
      <x:c r="N659" s="8" t="n">
        <x:f>IF(J659="","",ROUND((J659+K659)*(1+M659),0))</x:f>
        <x:v>2899</x:v>
      </x:c>
      <x:c r="O659" s="8" t="n">
        <x:f>IF(J659="","",J659+K659-H659-L659)</x:f>
        <x:v>894</x:v>
      </x:c>
      <x:c r="P659" s="7" t="n">
        <x:f>IFERROR(O659/(J659+K659),"")</x:f>
        <x:v>0.3330849478390462</x:v>
      </x:c>
      <x:c r="Q659" s="6" t="inlineStr">
        <x:is>
          <x:t xml:space="preserve">RAW_OP AB/AC</x:t>
        </x:is>
      </x:c>
      <x:c r="R659" s="6" t="inlineStr">
        <x:is>
          <x:t xml:space="preserve">FUNDAMENT (PROFILE)</x:t>
        </x:is>
      </x:c>
      <x:c r="S659" s="6" t="inlineStr">
        <x:is>
          <x:t xml:space="preserve">website+crm</x:t>
        </x:is>
      </x:c>
      <x:c r="T659" s="6" t="n"/>
    </x:row>
    <x:row r="660" s="655" customFormat="1" ht="30" customHeight="1">
      <x:c r="A660" s="6" t="inlineStr">
        <x:is>
          <x:t xml:space="preserve">450 x 706 cm</x:t>
        </x:is>
      </x:c>
      <x:c r="B660" s="6" t="inlineStr">
        <x:is>
          <x:t xml:space="preserve">ZAB</x:t>
        </x:is>
      </x:c>
      <x:c r="C660" s="6" t="inlineStr">
        <x:is>
          <x:t xml:space="preserve">Zabieraki do ścian przesuwnych</x:t>
        </x:is>
      </x:c>
      <x:c r="D660" s="6" t="inlineStr">
        <x:is>
          <x:t xml:space="preserve">DODATKI</x:t>
        </x:is>
      </x:c>
      <x:c r="E660" s="8" t="n">
        <x:f>IFERROR(INDEX('02_RAW_INDEX'!$AJ:$AJ,MATCH($A660,'02_RAW_INDEX'!$A:$A,0)),"")</x:f>
        <x:v>423</x:v>
      </x:c>
      <x:c r="F660" s="8" t="n">
        <x:f>IFERROR(INDEX('02_RAW_INDEX'!$AI:$AI,MATCH($A660,'02_RAW_INDEX'!$A:$A,0)),"")</x:f>
        <x:v>520</x:v>
      </x:c>
      <x:c r="G660" s="7" t="n">
        <x:f>'01_Ustawienia'!$B$6</x:f>
        <x:v>0</x:v>
      </x:c>
      <x:c r="H660" s="8" t="n">
        <x:f>IF(E660="","",ROUND(IF('01_Ustawienia'!$B$5="BRUTTO",F660,E660)*(1-G660),0))</x:f>
        <x:v>423</x:v>
      </x:c>
      <x:c r="I660" s="7" t="n">
        <x:f>IFERROR(IFERROR(INDEX('01_Ustawienia'!$B$15:$B$33,MATCH(B660,'01_Ustawienia'!$A$15:$A$33,0)),0.45),0.45)</x:f>
        <x:v>0.45</x:v>
      </x:c>
      <x:c r="J660" s="8" t="n">
        <x:f>IF(H660="","",ROUND(H660*(1+I660),0))</x:f>
        <x:v>613</x:v>
      </x:c>
      <x:c r="K660" s="8" t="n">
        <x:f>0</x:f>
        <x:v>0</x:v>
      </x:c>
      <x:c r="L660" s="8" t="n">
        <x:f>0</x:f>
        <x:v>0</x:v>
      </x:c>
      <x:c r="M660" s="7" t="n">
        <x:f>IF('01_Ustawienia'!$B$4="ZWOLNIONY",0,'01_Ustawienia'!$B$7)</x:f>
        <x:v>0.08</x:v>
      </x:c>
      <x:c r="N660" s="8" t="n">
        <x:f>IF(J660="","",ROUND((J660+K660)*(1+M660),0))</x:f>
        <x:v>662</x:v>
      </x:c>
      <x:c r="O660" s="8" t="n">
        <x:f>IF(J660="","",J660+K660-H660-L660)</x:f>
        <x:v>190</x:v>
      </x:c>
      <x:c r="P660" s="7" t="n">
        <x:f>IFERROR(O660/(J660+K660),"")</x:f>
        <x:v>0.3099510603588907</x:v>
      </x:c>
      <x:c r="Q660" s="6" t="inlineStr">
        <x:is>
          <x:t xml:space="preserve">RAW_OP AD/AE</x:t>
        </x:is>
      </x:c>
      <x:c r="R660" s="6" t="inlineStr">
        <x:is>
          <x:t xml:space="preserve">DODATKI</x:t>
        </x:is>
      </x:c>
      <x:c r="S660" s="6" t="inlineStr">
        <x:is>
          <x:t xml:space="preserve">crm_only</x:t>
        </x:is>
      </x:c>
      <x:c r="T660" s="6" t="n"/>
    </x:row>
    <x:row r="661">
      <x:c r="A661" s="6" t="inlineStr">
        <x:is>
          <x:t xml:space="preserve">450 x 706 cm</x:t>
        </x:is>
      </x:c>
      <x:c r="B661" s="6" t="inlineStr">
        <x:is>
          <x:t xml:space="preserve">S</x:t>
        </x:is>
      </x:c>
      <x:c r="C661" s="6" t="inlineStr">
        <x:is>
          <x:t xml:space="preserve">Szczotki przeciwkurzowe</x:t>
        </x:is>
      </x:c>
      <x:c r="D661" s="6" t="inlineStr">
        <x:is>
          <x:t xml:space="preserve">SZCZOTKI</x:t>
        </x:is>
      </x:c>
      <x:c r="E661" s="8" t="n">
        <x:f>IFERROR(INDEX('02_RAW_INDEX'!$AD:$AD,MATCH($A661,'02_RAW_INDEX'!$A:$A,0)),"")</x:f>
        <x:v>528</x:v>
      </x:c>
      <x:c r="F661" s="8" t="n">
        <x:f>IFERROR(INDEX('02_RAW_INDEX'!$AC:$AC,MATCH($A661,'02_RAW_INDEX'!$A:$A,0)),"")</x:f>
        <x:v>650</x:v>
      </x:c>
      <x:c r="G661" s="7" t="n">
        <x:f>'01_Ustawienia'!$B$6</x:f>
        <x:v>0</x:v>
      </x:c>
      <x:c r="H661" s="8" t="n">
        <x:f>IF(E661="","",ROUND(IF('01_Ustawienia'!$B$5="BRUTTO",F661,E661)*(1-G661),0))</x:f>
        <x:v>528</x:v>
      </x:c>
      <x:c r="I661" s="7" t="n">
        <x:f>IFERROR(IFERROR(INDEX('01_Ustawienia'!$B$15:$B$33,MATCH(B661,'01_Ustawienia'!$A$15:$A$33,0)),0.45),0.45)</x:f>
        <x:v>0.45</x:v>
      </x:c>
      <x:c r="J661" s="8" t="n">
        <x:f>IF(H661="","",ROUND(H661*(1+I661),0))</x:f>
        <x:v>766</x:v>
      </x:c>
      <x:c r="K661" s="8" t="n">
        <x:f>0</x:f>
        <x:v>0</x:v>
      </x:c>
      <x:c r="L661" s="8" t="n">
        <x:f>IFERROR(IFERROR(INDEX(EG_Cennik_uslug!$CA:$CA,MATCH($A661,EG_Cennik_uslug!$A:$A,0)),0),0)</x:f>
        <x:v>0</x:v>
      </x:c>
      <x:c r="M661" s="7" t="n">
        <x:f>IF('01_Ustawienia'!$B$4="ZWOLNIONY",0,'01_Ustawienia'!$B$7)</x:f>
        <x:v>0.08</x:v>
      </x:c>
      <x:c r="N661" s="8" t="n">
        <x:f>IF(J661="","",ROUND((J661+K661)*(1+M661),0))</x:f>
        <x:v>827</x:v>
      </x:c>
      <x:c r="O661" s="8" t="n">
        <x:f>IF(J661="","",J661+K661-H661-L661)</x:f>
        <x:v>238</x:v>
      </x:c>
      <x:c r="P661" s="7" t="n">
        <x:f>IFERROR(O661/(J661+K661),"")</x:f>
        <x:v>0.31070496083550914</x:v>
      </x:c>
      <x:c r="Q661" s="6" t="inlineStr">
        <x:is>
          <x:t xml:space="preserve">RAW_OP L/M</x:t>
        </x:is>
      </x:c>
      <x:c r="R661" s="6" t="inlineStr">
        <x:is>
          <x:t xml:space="preserve">DODATKI</x:t>
        </x:is>
      </x:c>
      <x:c r="S661" s="6" t="inlineStr">
        <x:is>
          <x:t xml:space="preserve">website+crm</x:t>
        </x:is>
      </x:c>
      <x:c r="T661" s="6" t="n"/>
    </x:row>
    <x:row r="662">
      <x:c r="A662" s="6" t="inlineStr">
        <x:is>
          <x:t xml:space="preserve">450 x 706 cm</x:t>
        </x:is>
      </x:c>
      <x:c r="B662" s="6" t="inlineStr">
        <x:is>
          <x:t xml:space="preserve">U</x:t>
        </x:is>
      </x:c>
      <x:c r="C662" s="6" t="inlineStr">
        <x:is>
          <x:t xml:space="preserve">Uchwyty na szkło ścienne</x:t>
        </x:is>
      </x:c>
      <x:c r="D662" s="6" t="inlineStr">
        <x:is>
          <x:t xml:space="preserve">UCHWYTY</x:t>
        </x:is>
      </x:c>
      <x:c r="E662" s="8" t="n">
        <x:f>IFERROR(INDEX('02_RAW_INDEX'!$AF:$AF,MATCH($A662,'02_RAW_INDEX'!$A:$A,0)),"")</x:f>
        <x:v>480</x:v>
      </x:c>
      <x:c r="F662" s="8" t="n">
        <x:f>IFERROR(INDEX('02_RAW_INDEX'!$AE:$AE,MATCH($A662,'02_RAW_INDEX'!$A:$A,0)),"")</x:f>
        <x:v>590</x:v>
      </x:c>
      <x:c r="G662" s="7" t="n">
        <x:f>'01_Ustawienia'!$B$6</x:f>
        <x:v>0</x:v>
      </x:c>
      <x:c r="H662" s="8" t="n">
        <x:f>IF(E662="","",ROUND(IF('01_Ustawienia'!$B$5="BRUTTO",F662,E662)*(1-G662),0))</x:f>
        <x:v>480</x:v>
      </x:c>
      <x:c r="I662" s="7" t="n">
        <x:f>IFERROR(IFERROR(INDEX('01_Ustawienia'!$B$15:$B$33,MATCH(B662,'01_Ustawienia'!$A$15:$A$33,0)),0.45),0.45)</x:f>
        <x:v>0.45</x:v>
      </x:c>
      <x:c r="J662" s="8" t="n">
        <x:f>IF(H662="","",ROUND(H662*(1+I662),0))</x:f>
        <x:v>696</x:v>
      </x:c>
      <x:c r="K662" s="8" t="n">
        <x:f>0</x:f>
        <x:v>0</x:v>
      </x:c>
      <x:c r="L662" s="8" t="n">
        <x:f>IFERROR(IFERROR(INDEX(EG_Cennik_uslug!$CH:$CH,MATCH($A662,EG_Cennik_uslug!$A:$A,0)),0),0)</x:f>
        <x:v>0</x:v>
      </x:c>
      <x:c r="M662" s="7" t="n">
        <x:f>IF('01_Ustawienia'!$B$4="ZWOLNIONY",0,'01_Ustawienia'!$B$7)</x:f>
        <x:v>0.08</x:v>
      </x:c>
      <x:c r="N662" s="8" t="n">
        <x:f>IF(J662="","",ROUND((J662+K662)*(1+M662),0))</x:f>
        <x:v>752</x:v>
      </x:c>
      <x:c r="O662" s="8" t="n">
        <x:f>IF(J662="","",J662+K662-H662-L662)</x:f>
        <x:v>216</x:v>
      </x:c>
      <x:c r="P662" s="7" t="n">
        <x:f>IFERROR(O662/(J662+K662),"")</x:f>
        <x:v>0.3103448275862069</x:v>
      </x:c>
      <x:c r="Q662" s="6" t="inlineStr">
        <x:is>
          <x:t xml:space="preserve">RAW_OP N/O</x:t>
        </x:is>
      </x:c>
      <x:c r="R662" s="6" t="inlineStr">
        <x:is>
          <x:t xml:space="preserve">DODATKI</x:t>
        </x:is>
      </x:c>
      <x:c r="S662" s="6" t="inlineStr">
        <x:is>
          <x:t xml:space="preserve">website+crm</x:t>
        </x:is>
      </x:c>
      <x:c r="T662" s="6" t="n"/>
    </x:row>
    <x:row r="663">
      <x:c r="A663" s="6" t="inlineStr">
        <x:is>
          <x:t xml:space="preserve">450 x 706 cm</x:t>
        </x:is>
      </x:c>
      <x:c r="B663" s="6" t="inlineStr">
        <x:is>
          <x:t xml:space="preserve">LED2</x:t>
        </x:is>
      </x:c>
      <x:c r="C663" s="6" t="inlineStr">
        <x:is>
          <x:t xml:space="preserve">Oświetlenie LED 2 punkty</x:t>
        </x:is>
      </x:c>
      <x:c r="D663" s="6" t="inlineStr">
        <x:is>
          <x:t xml:space="preserve">LED 2 PKT</x:t>
        </x:is>
      </x:c>
      <x:c r="E663" s="8" t="n">
        <x:f>IFERROR(INDEX('02_RAW_INDEX'!$N:$N,MATCH($A663,'02_RAW_INDEX'!$A:$A,0)),"")</x:f>
        <x:v>707</x:v>
      </x:c>
      <x:c r="F663" s="8" t="n">
        <x:f>IFERROR(INDEX('02_RAW_INDEX'!$M:$M,MATCH($A663,'02_RAW_INDEX'!$A:$A,0)),"")</x:f>
        <x:v>870</x:v>
      </x:c>
      <x:c r="G663" s="7" t="n">
        <x:f>'01_Ustawienia'!$B$6</x:f>
        <x:v>0</x:v>
      </x:c>
      <x:c r="H663" s="8" t="n">
        <x:f>IF(E663="","",ROUND(IF('01_Ustawienia'!$B$5="BRUTTO",F663,E663)*(1-G663),0))</x:f>
        <x:v>707</x:v>
      </x:c>
      <x:c r="I663" s="7" t="n">
        <x:f>IFERROR(IFERROR(INDEX('01_Ustawienia'!$B$15:$B$33,MATCH(B663,'01_Ustawienia'!$A$15:$A$33,0)),0.45),0.45)</x:f>
        <x:v>0.45</x:v>
      </x:c>
      <x:c r="J663" s="8" t="n">
        <x:f>IF(H663="","",ROUND(H663*(1+I663),0))</x:f>
        <x:v>1025</x:v>
      </x:c>
      <x:c r="K663" s="8" t="n">
        <x:f>0</x:f>
        <x:v>0</x:v>
      </x:c>
      <x:c r="L663" s="8" t="n">
        <x:f>IFERROR(IFERROR(INDEX(EG_Cennik_uslug!$CO:$CO,MATCH($A663,EG_Cennik_uslug!$A:$A,0)),0),0)</x:f>
        <x:v>0</x:v>
      </x:c>
      <x:c r="M663" s="7" t="n">
        <x:f>IF('01_Ustawienia'!$B$4="ZWOLNIONY",0,'01_Ustawienia'!$B$7)</x:f>
        <x:v>0.08</x:v>
      </x:c>
      <x:c r="N663" s="8" t="n">
        <x:f>IF(J663="","",ROUND((J663+K663)*(1+M663),0))</x:f>
        <x:v>1107</x:v>
      </x:c>
      <x:c r="O663" s="8" t="n">
        <x:f>IF(J663="","",J663+K663-H663-L663)</x:f>
        <x:v>318</x:v>
      </x:c>
      <x:c r="P663" s="7" t="n">
        <x:f>IFERROR(O663/(J663+K663),"")</x:f>
        <x:v>0.3102439024390244</x:v>
      </x:c>
      <x:c r="Q663" s="6" t="inlineStr">
        <x:is>
          <x:t xml:space="preserve">RAW_ZP P/Q</x:t>
        </x:is>
      </x:c>
      <x:c r="R663" s="6" t="inlineStr">
        <x:is>
          <x:t xml:space="preserve">OŚWIETLENIE</x:t>
        </x:is>
      </x:c>
      <x:c r="S663" s="6" t="inlineStr">
        <x:is>
          <x:t xml:space="preserve">website+crm</x:t>
        </x:is>
      </x:c>
      <x:c r="T663" s="6" t="n"/>
    </x:row>
    <x:row r="664">
      <x:c r="A664" s="6" t="inlineStr">
        <x:is>
          <x:t xml:space="preserve">450 x 706 cm</x:t>
        </x:is>
      </x:c>
      <x:c r="B664" s="6" t="inlineStr">
        <x:is>
          <x:t xml:space="preserve">LED3</x:t>
        </x:is>
      </x:c>
      <x:c r="C664" s="6" t="inlineStr">
        <x:is>
          <x:t xml:space="preserve">Oświetlenie LED 3 punkty</x:t>
        </x:is>
      </x:c>
      <x:c r="D664" s="6" t="inlineStr">
        <x:is>
          <x:t xml:space="preserve">LED 3 PKT</x:t>
        </x:is>
      </x:c>
      <x:c r="E664" s="8" t="n">
        <x:f>IFERROR(INDEX('02_RAW_INDEX'!$P:$P,MATCH($A664,'02_RAW_INDEX'!$A:$A,0)),"")</x:f>
        <x:v>984</x:v>
      </x:c>
      <x:c r="F664" s="8" t="n">
        <x:f>IFERROR(INDEX('02_RAW_INDEX'!$O:$O,MATCH($A664,'02_RAW_INDEX'!$A:$A,0)),"")</x:f>
        <x:v>1210</x:v>
      </x:c>
      <x:c r="G664" s="7" t="n">
        <x:f>'01_Ustawienia'!$B$6</x:f>
        <x:v>0</x:v>
      </x:c>
      <x:c r="H664" s="8" t="n">
        <x:f>IF(E664="","",ROUND(IF('01_Ustawienia'!$B$5="BRUTTO",F664,E664)*(1-G664),0))</x:f>
        <x:v>984</x:v>
      </x:c>
      <x:c r="I664" s="7" t="n">
        <x:f>IFERROR(IFERROR(INDEX('01_Ustawienia'!$B$15:$B$33,MATCH(B664,'01_Ustawienia'!$A$15:$A$33,0)),0.45),0.45)</x:f>
        <x:v>0.45</x:v>
      </x:c>
      <x:c r="J664" s="8" t="n">
        <x:f>IF(H664="","",ROUND(H664*(1+I664),0))</x:f>
        <x:v>1427</x:v>
      </x:c>
      <x:c r="K664" s="8" t="n">
        <x:f>0</x:f>
        <x:v>0</x:v>
      </x:c>
      <x:c r="L664" s="8" t="n">
        <x:f>IFERROR(IFERROR(INDEX(EG_Cennik_uslug!$CV:$CV,MATCH($A664,EG_Cennik_uslug!$A:$A,0)),0),0)</x:f>
        <x:v>0</x:v>
      </x:c>
      <x:c r="M664" s="7" t="n">
        <x:f>IF('01_Ustawienia'!$B$4="ZWOLNIONY",0,'01_Ustawienia'!$B$7)</x:f>
        <x:v>0.08</x:v>
      </x:c>
      <x:c r="N664" s="8" t="n">
        <x:f>IF(J664="","",ROUND((J664+K664)*(1+M664),0))</x:f>
        <x:v>1541</x:v>
      </x:c>
      <x:c r="O664" s="8" t="n">
        <x:f>IF(J664="","",J664+K664-H664-L664)</x:f>
        <x:v>443</x:v>
      </x:c>
      <x:c r="P664" s="7" t="n">
        <x:f>IFERROR(O664/(J664+K664),"")</x:f>
        <x:v>0.3104414856341976</x:v>
      </x:c>
      <x:c r="Q664" s="6" t="inlineStr">
        <x:is>
          <x:t xml:space="preserve">RAW_ZP R/S</x:t>
        </x:is>
      </x:c>
      <x:c r="R664" s="6" t="inlineStr">
        <x:is>
          <x:t xml:space="preserve">OŚWIETLENIE</x:t>
        </x:is>
      </x:c>
      <x:c r="S664" s="6" t="inlineStr">
        <x:is>
          <x:t xml:space="preserve">website+crm</x:t>
        </x:is>
      </x:c>
      <x:c r="T664" s="6" t="inlineStr">
        <x:is>
          <x:t xml:space="preserve">Nazwa do potwierdzenia</x:t>
        </x:is>
      </x:c>
    </x:row>
    <x:row r="665">
      <x:c r="A665" s="6" t="inlineStr">
        <x:is>
          <x:t xml:space="preserve">450 x 706 cm</x:t>
        </x:is>
      </x:c>
      <x:c r="B665" s="6" t="inlineStr">
        <x:is>
          <x:t xml:space="preserve">LEDCCT</x:t>
        </x:is>
      </x:c>
      <x:c r="C665" s="6" t="inlineStr">
        <x:is>
          <x:t xml:space="preserve">Oświetlenie LED CCT</x:t>
        </x:is>
      </x:c>
      <x:c r="D665" s="6" t="inlineStr">
        <x:is>
          <x:t xml:space="preserve">OŚWIETLENIE</x:t>
        </x:is>
      </x:c>
      <x:c r="E665" s="8" t="n">
        <x:f>IFERROR(INDEX('02_RAW_INDEX'!$R:$R,MATCH($A665,'02_RAW_INDEX'!$A:$A,0)),"")</x:f>
        <x:v>1989</x:v>
      </x:c>
      <x:c r="F665" s="8" t="n">
        <x:f>IFERROR(INDEX('02_RAW_INDEX'!$Q:$Q,MATCH($A665,'02_RAW_INDEX'!$A:$A,0)),"")</x:f>
        <x:v>2446</x:v>
      </x:c>
      <x:c r="G665" s="7" t="n">
        <x:f>'01_Ustawienia'!$B$6</x:f>
        <x:v>0</x:v>
      </x:c>
      <x:c r="H665" s="8" t="n">
        <x:f>IF(E665="","",ROUND(IF('01_Ustawienia'!$B$5="BRUTTO",F665,E665)*(1-G665),0))</x:f>
        <x:v>1989</x:v>
      </x:c>
      <x:c r="I665" s="7" t="n">
        <x:f>IFERROR(IFERROR(INDEX('01_Ustawienia'!$B$15:$B$33,MATCH(B665,'01_Ustawienia'!$A$15:$A$33,0)),0.45),0.45)</x:f>
        <x:v>0.45</x:v>
      </x:c>
      <x:c r="J665" s="8" t="n">
        <x:f>IF(H665="","",ROUND(H665*(1+I665),0)+700)</x:f>
        <x:v>3584</x:v>
      </x:c>
      <x:c r="K665" s="8" t="n">
        <x:f>0</x:f>
        <x:v>0</x:v>
      </x:c>
      <x:c r="L665" s="8" t="n">
        <x:f>0</x:f>
        <x:v>0</x:v>
      </x:c>
      <x:c r="M665" s="7" t="n">
        <x:f>IF('01_Ustawienia'!$B$4="ZWOLNIONY",0,'01_Ustawienia'!$B$7)</x:f>
        <x:v>0.08</x:v>
      </x:c>
      <x:c r="N665" s="8" t="n">
        <x:f>IF(J665="","",ROUND((J665+K665)*(1+M665),0))</x:f>
        <x:v>3871</x:v>
      </x:c>
      <x:c r="O665" s="8" t="n">
        <x:f>IF(J665="","",J665+K665-H665-L665)</x:f>
        <x:v>1595</x:v>
      </x:c>
      <x:c r="P665" s="7" t="n">
        <x:f>IFERROR(O665/(J665+K665),"")</x:f>
        <x:v>0.44503348214285715</x:v>
      </x:c>
      <x:c r="Q665" s="715" t="inlineStr">
        <x:is>
          <x:t xml:space="preserve">MODEL_FIX15_LED</x:t>
        </x:is>
      </x:c>
      <x:c r="R665" s="6" t="inlineStr">
        <x:is>
          <x:t xml:space="preserve">OŚWIETLENIE</x:t>
        </x:is>
      </x:c>
      <x:c r="S665" s="6" t="inlineStr">
        <x:is>
          <x:t xml:space="preserve">website+crm</x:t>
        </x:is>
      </x:c>
      <x:c r="T665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666">
      <x:c r="A666" s="6" t="inlineStr">
        <x:is>
          <x:t xml:space="preserve">450 x 706 cm</x:t>
        </x:is>
      </x:c>
      <x:c r="B666" s="6" t="inlineStr">
        <x:is>
          <x:t xml:space="preserve">LEDRGBCCT</x:t>
        </x:is>
      </x:c>
      <x:c r="C666" s="6" t="inlineStr">
        <x:is>
          <x:t xml:space="preserve">Oświetlenie LED RGB CCT</x:t>
        </x:is>
      </x:c>
      <x:c r="D666" s="6" t="inlineStr">
        <x:is>
          <x:t xml:space="preserve">OŚWIETLENIE</x:t>
        </x:is>
      </x:c>
      <x:c r="E666" s="8" t="n">
        <x:f>IFERROR(INDEX('02_RAW_INDEX'!$T:$T,MATCH($A666,'02_RAW_INDEX'!$A:$A,0)),"")</x:f>
        <x:v>2704</x:v>
      </x:c>
      <x:c r="F666" s="8" t="n">
        <x:f>IFERROR(INDEX('02_RAW_INDEX'!$S:$S,MATCH($A666,'02_RAW_INDEX'!$A:$A,0)),"")</x:f>
        <x:v>3326</x:v>
      </x:c>
      <x:c r="G666" s="7" t="n">
        <x:f>'01_Ustawienia'!$B$6</x:f>
        <x:v>0</x:v>
      </x:c>
      <x:c r="H666" s="8" t="n">
        <x:f>IF(E666="","",ROUND(IF('01_Ustawienia'!$B$5="BRUTTO",F666,E666)*(1-G666),0))</x:f>
        <x:v>2704</x:v>
      </x:c>
      <x:c r="I666" s="7" t="n">
        <x:f>IFERROR(IFERROR(INDEX('01_Ustawienia'!$B$15:$B$33,MATCH(B666,'01_Ustawienia'!$A$15:$A$33,0)),0.45),0.45)</x:f>
        <x:v>0.45</x:v>
      </x:c>
      <x:c r="J666" s="8" t="n">
        <x:f>IF(H666="","",ROUND(H666*(1+I666),0))</x:f>
        <x:v>3921</x:v>
      </x:c>
      <x:c r="K666" s="8" t="n">
        <x:f>0</x:f>
        <x:v>0</x:v>
      </x:c>
      <x:c r="L666" s="8" t="n">
        <x:f>0</x:f>
        <x:v>0</x:v>
      </x:c>
      <x:c r="M666" s="7" t="n">
        <x:f>IF('01_Ustawienia'!$B$4="ZWOLNIONY",0,'01_Ustawienia'!$B$7)</x:f>
        <x:v>0.08</x:v>
      </x:c>
      <x:c r="N666" s="8" t="n">
        <x:f>IF(J666="","",ROUND((J666+K666)*(1+M666),0))</x:f>
        <x:v>4235</x:v>
      </x:c>
      <x:c r="O666" s="8" t="n">
        <x:f>IF(J666="","",J666+K666-H666-L666)</x:f>
        <x:v>1217</x:v>
      </x:c>
      <x:c r="P666" s="7" t="n">
        <x:f>IFERROR(O666/(J666+K666),"")</x:f>
        <x:v>0.3103800051007396</x:v>
      </x:c>
      <x:c r="Q666" s="715" t="inlineStr">
        <x:is>
          <x:t xml:space="preserve">MODEL_FIX15_LED</x:t>
        </x:is>
      </x:c>
      <x:c r="R666" s="6" t="inlineStr">
        <x:is>
          <x:t xml:space="preserve">OŚWIETLENIE</x:t>
        </x:is>
      </x:c>
      <x:c r="S666" s="6" t="inlineStr">
        <x:is>
          <x:t xml:space="preserve">crm_only</x:t>
        </x:is>
      </x:c>
      <x:c r="T666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667" s="655" customFormat="1" ht="30" customHeight="1">
      <x:c r="A667" s="6" t="inlineStr">
        <x:is>
          <x:t xml:space="preserve">450 x 806 cm</x:t>
        </x:is>
      </x:c>
      <x:c r="B667" s="6" t="inlineStr">
        <x:is>
          <x:t xml:space="preserve">ZP</x:t>
        </x:is>
      </x:c>
      <x:c r="C667" s="6" t="inlineStr">
        <x:is>
          <x:t xml:space="preserve">Zadaszenie poliwęglan - baza</x:t>
        </x:is>
      </x:c>
      <x:c r="D667" s="6" t="inlineStr">
        <x:is>
          <x:t xml:space="preserve">ZADASZENIE POLIWĘGLAN</x:t>
        </x:is>
      </x:c>
      <x:c r="E667" s="8" t="n">
        <x:f>IFERROR(INDEX('02_RAW_INDEX'!$D:$D,MATCH($A667,'02_RAW_INDEX'!$A:$A,0)),"")</x:f>
        <x:v>14659</x:v>
      </x:c>
      <x:c r="F667" s="8" t="n">
        <x:f>IFERROR(INDEX('02_RAW_INDEX'!$C:$C,MATCH($A667,'02_RAW_INDEX'!$A:$A,0)),"")</x:f>
        <x:v>18030</x:v>
      </x:c>
      <x:c r="G667" s="7" t="n">
        <x:f>'01_Ustawienia'!$B$6</x:f>
        <x:v>0</x:v>
      </x:c>
      <x:c r="H667" s="8" t="n">
        <x:f>IF(E667="","",ROUND(IF('01_Ustawienia'!$B$5="BRUTTO",F667,E667)*(1-G667),0))</x:f>
        <x:v>14659</x:v>
      </x:c>
      <x:c r="I667" s="7" t="n">
        <x:f>IFERROR(IFERROR(INDEX('01_Ustawienia'!$B$15:$B$33,MATCH(B667,'01_Ustawienia'!$A$15:$A$33,0)),0.45),0.45)</x:f>
        <x:v>0.45</x:v>
      </x:c>
      <x:c r="J667" s="8" t="n">
        <x:f>IF(H667="","",ROUND(H667*(1+I667),0))</x:f>
        <x:v>21256</x:v>
      </x:c>
      <x:c r="K667" s="8" t="n">
        <x:f>IFERROR(IFERROR(INDEX(EG_Cennik_uslug!$F:$F,MATCH($A667,EG_Cennik_uslug!$A:$A,0)),0),0)</x:f>
        <x:v>4550</x:v>
      </x:c>
      <x:c r="L667" s="8" t="n">
        <x:f>IFERROR(IFERROR(INDEX(EG_Cennik_uslug!$G:$G,MATCH($A667,EG_Cennik_uslug!$A:$A,0)),0),0)</x:f>
        <x:v>1670</x:v>
      </x:c>
      <x:c r="M667" s="7" t="n">
        <x:f>IF('01_Ustawienia'!$B$4="ZWOLNIONY",0,'01_Ustawienia'!$B$7)</x:f>
        <x:v>0.08</x:v>
      </x:c>
      <x:c r="N667" s="8" t="n">
        <x:f>IF(J667="","",ROUND((J667+K667)*(1+M667),0))</x:f>
        <x:v>27870</x:v>
      </x:c>
      <x:c r="O667" s="8" t="n">
        <x:f>IF(J667="","",J667+K667-H667-L667)</x:f>
        <x:v>9477</x:v>
      </x:c>
      <x:c r="P667" s="7" t="n">
        <x:f>IFERROR(O667/(J667+K667),"")</x:f>
        <x:v>0.3672401767030923</x:v>
      </x:c>
      <x:c r="Q667" s="6" t="inlineStr">
        <x:is>
          <x:t xml:space="preserve">RAW_ZP B/C</x:t>
        </x:is>
      </x:c>
      <x:c r="R667" s="6" t="inlineStr">
        <x:is>
          <x:t xml:space="preserve">ZADASZENIE TARASU KONSTRUKCJA</x:t>
        </x:is>
      </x:c>
      <x:c r="S667" s="6" t="inlineStr">
        <x:is>
          <x:t xml:space="preserve">website+crm</x:t>
        </x:is>
      </x:c>
      <x:c r="T667" s="6" t="inlineStr">
        <x:is>
          <x:t xml:space="preserve">Baza dla kalkulatora</x:t>
        </x:is>
      </x:c>
    </x:row>
    <x:row r="668" s="655" customFormat="1" ht="30" customHeight="1">
      <x:c r="A668" s="6" t="inlineStr">
        <x:is>
          <x:t xml:space="preserve">450 x 806 cm</x:t>
        </x:is>
      </x:c>
      <x:c r="B668" s="6" t="inlineStr">
        <x:is>
          <x:t xml:space="preserve">ZS</x:t>
        </x:is>
      </x:c>
      <x:c r="C668" s="6" t="inlineStr">
        <x:is>
          <x:t xml:space="preserve">Zadaszenie szkło - pełna konstrukcja</x:t>
        </x:is>
      </x:c>
      <x:c r="D668" s="6" t="inlineStr">
        <x:is>
          <x:t xml:space="preserve">ZADASZENIE SZKŁO</x:t>
        </x:is>
      </x:c>
      <x:c r="E668" s="8" t="n">
        <x:f>IFERROR(INDEX('02_RAW_INDEX'!$V:$V,MATCH($A668,'02_RAW_INDEX'!$A:$A,0)),"")</x:f>
        <x:v>23041</x:v>
      </x:c>
      <x:c r="F668" s="8" t="n">
        <x:f>IFERROR(INDEX('02_RAW_INDEX'!$U:$U,MATCH($A668,'02_RAW_INDEX'!$A:$A,0)),"")</x:f>
        <x:v>28340</x:v>
      </x:c>
      <x:c r="G668" s="7" t="n">
        <x:f>'01_Ustawienia'!$B$6</x:f>
        <x:v>0</x:v>
      </x:c>
      <x:c r="H668" s="8" t="n">
        <x:f>IF(E668="","",ROUND(IF('01_Ustawienia'!$B$5="BRUTTO",F668,E668)*(1-G668),0))</x:f>
        <x:v>23041</x:v>
      </x:c>
      <x:c r="I668" s="7" t="n">
        <x:f>IFERROR(IFERROR(INDEX('01_Ustawienia'!$B$15:$B$33,MATCH(B668,'01_Ustawienia'!$A$15:$A$33,0)),0.45),0.45)</x:f>
        <x:v>0.45</x:v>
      </x:c>
      <x:c r="J668" s="8" t="n">
        <x:f>IF(H668="","",ROUND(H668*(1+I668),0))</x:f>
        <x:v>33409</x:v>
      </x:c>
      <x:c r="K668" s="8" t="n">
        <x:f>IFERROR(IFERROR(INDEX(EG_Cennik_uslug!$F:$F,MATCH($A668,EG_Cennik_uslug!$A:$A,0)),0),0)</x:f>
        <x:v>4550</x:v>
      </x:c>
      <x:c r="L668" s="8" t="n">
        <x:f>IFERROR(IFERROR(INDEX(EG_Cennik_uslug!$G:$G,MATCH($A668,EG_Cennik_uslug!$A:$A,0)),0),0)</x:f>
        <x:v>1670</x:v>
      </x:c>
      <x:c r="M668" s="7" t="n">
        <x:f>IF('01_Ustawienia'!$B$4="ZWOLNIONY",0,'01_Ustawienia'!$B$7)</x:f>
        <x:v>0.08</x:v>
      </x:c>
      <x:c r="N668" s="8" t="n">
        <x:f>IF(J668="","",ROUND((J668+K668)*(1+M668),0))</x:f>
        <x:v>40996</x:v>
      </x:c>
      <x:c r="O668" s="8" t="n">
        <x:f>IF(J668="","",J668+K668-H668-L668)</x:f>
        <x:v>13248</x:v>
      </x:c>
      <x:c r="P668" s="7" t="n">
        <x:f>IFERROR(O668/(J668+K668),"")</x:f>
        <x:v>0.3490081403619695</x:v>
      </x:c>
      <x:c r="Q668" s="6" t="inlineStr">
        <x:is>
          <x:t xml:space="preserve">RAW_ZS B/C</x:t>
        </x:is>
      </x:c>
      <x:c r="R668" s="6" t="inlineStr">
        <x:is>
          <x:t xml:space="preserve">ZADASZENIE TARASU KONSTRUKCJA</x:t>
        </x:is>
      </x:c>
      <x:c r="S668" s="6" t="inlineStr">
        <x:is>
          <x:t xml:space="preserve">crm_only</x:t>
        </x:is>
      </x:c>
      <x:c r="T668" s="6" t="inlineStr">
        <x:is>
          <x:t xml:space="preserve">Referencyjne/full; strona zwykle używa ZP + PDS</x:t>
        </x:is>
      </x:c>
    </x:row>
    <x:row r="669" s="655" customFormat="1" ht="30" customHeight="1">
      <x:c r="A669" s="6" t="inlineStr">
        <x:is>
          <x:t xml:space="preserve">450 x 806 cm</x:t>
        </x:is>
      </x:c>
      <x:c r="B669" s="6" t="inlineStr">
        <x:is>
          <x:t xml:space="preserve">OP</x:t>
        </x:is>
      </x:c>
      <x:c r="C669" s="6" t="inlineStr">
        <x:is>
          <x:t xml:space="preserve">Ogród zimowy poliwęglan - baza</x:t>
        </x:is>
      </x:c>
      <x:c r="D669" s="6" t="inlineStr">
        <x:is>
          <x:t xml:space="preserve">OGRODY POLIWĘGLAN</x:t>
        </x:is>
      </x:c>
      <x:c r="E669" s="8" t="n">
        <x:f>IFERROR(INDEX('02_RAW_INDEX'!$Z:$Z,MATCH($A669,'02_RAW_INDEX'!$A:$A,0)),"")</x:f>
        <x:v>30220</x:v>
      </x:c>
      <x:c r="F669" s="8" t="n">
        <x:f>IFERROR(INDEX('02_RAW_INDEX'!$Y:$Y,MATCH($A669,'02_RAW_INDEX'!$A:$A,0)),"")</x:f>
        <x:v>37170</x:v>
      </x:c>
      <x:c r="G669" s="7" t="n">
        <x:f>'01_Ustawienia'!$B$6</x:f>
        <x:v>0</x:v>
      </x:c>
      <x:c r="H669" s="8" t="n">
        <x:f>IF(E669="","",ROUND(IF('01_Ustawienia'!$B$5="BRUTTO",F669,E669)*(1-G669),0))</x:f>
        <x:v>30220</x:v>
      </x:c>
      <x:c r="I669" s="7" t="n">
        <x:f>IFERROR(IFERROR(INDEX('01_Ustawienia'!$B$15:$B$33,MATCH(B669,'01_Ustawienia'!$A$15:$A$33,0)),0.45),0.45)</x:f>
        <x:v>0.45</x:v>
      </x:c>
      <x:c r="J669" s="8" t="n">
        <x:f>IF(H669="","",ROUND(H669*(1+I669),0))</x:f>
        <x:v>43819</x:v>
      </x:c>
      <x:c r="K669" s="8" t="n">
        <x:f>IFERROR(IFERROR(INDEX(EG_Cennik_uslug!$N:$N,MATCH($A669,EG_Cennik_uslug!$A:$A,0)),0),0)</x:f>
        <x:v>5820</x:v>
      </x:c>
      <x:c r="L669" s="8" t="n">
        <x:f>IFERROR(IFERROR(INDEX(EG_Cennik_uslug!$O:$O,MATCH($A669,EG_Cennik_uslug!$A:$A,0)),0),0)</x:f>
        <x:v>2340</x:v>
      </x:c>
      <x:c r="M669" s="7" t="n">
        <x:f>IF('01_Ustawienia'!$B$4="ZWOLNIONY",0,'01_Ustawienia'!$B$7)</x:f>
        <x:v>0.08</x:v>
      </x:c>
      <x:c r="N669" s="8" t="n">
        <x:f>IF(J669="","",ROUND((J669+K669)*(1+M669),0))</x:f>
        <x:v>53610</x:v>
      </x:c>
      <x:c r="O669" s="8" t="n">
        <x:f>IF(J669="","",J669+K669-H669-L669)</x:f>
        <x:v>17079</x:v>
      </x:c>
      <x:c r="P669" s="7" t="n">
        <x:f>IFERROR(O669/(J669+K669),"")</x:f>
        <x:v>0.3440641431132779</x:v>
      </x:c>
      <x:c r="Q669" s="6" t="inlineStr">
        <x:is>
          <x:t xml:space="preserve">RAW_OP B/C</x:t>
        </x:is>
      </x:c>
      <x:c r="R669" s="6" t="inlineStr">
        <x:is>
          <x:t xml:space="preserve">OGRÓD ZIMOWY (KONSTRUKCJA)</x:t>
        </x:is>
      </x:c>
      <x:c r="S669" s="6" t="inlineStr">
        <x:is>
          <x:t xml:space="preserve">website+crm</x:t>
        </x:is>
      </x:c>
      <x:c r="T669" s="6" t="inlineStr">
        <x:is>
          <x:t xml:space="preserve">Do wyliczenia dopłaty za ściany</x:t>
        </x:is>
      </x:c>
    </x:row>
    <x:row r="670" s="655" customFormat="1" ht="30" customHeight="1">
      <x:c r="A670" s="6" t="inlineStr">
        <x:is>
          <x:t xml:space="preserve">450 x 806 cm</x:t>
        </x:is>
      </x:c>
      <x:c r="B670" s="6" t="inlineStr">
        <x:is>
          <x:t xml:space="preserve">OS</x:t>
        </x:is>
      </x:c>
      <x:c r="C670" s="6" t="inlineStr">
        <x:is>
          <x:t xml:space="preserve">Ogród zimowy szkło - pełna konstrukcja</x:t>
        </x:is>
      </x:c>
      <x:c r="D670" s="6" t="inlineStr">
        <x:is>
          <x:t xml:space="preserve">OGRODY SZKŁO</x:t>
        </x:is>
      </x:c>
      <x:c r="E670" s="8" t="n">
        <x:f>IFERROR(INDEX('02_RAW_INDEX'!$AL:$AL,MATCH($A670,'02_RAW_INDEX'!$A:$A,0)),"")</x:f>
        <x:v>38610</x:v>
      </x:c>
      <x:c r="F670" s="8" t="n">
        <x:f>IFERROR(INDEX('02_RAW_INDEX'!$AK:$AK,MATCH($A670,'02_RAW_INDEX'!$A:$A,0)),"")</x:f>
        <x:v>47490</x:v>
      </x:c>
      <x:c r="G670" s="7" t="n">
        <x:f>'01_Ustawienia'!$B$6</x:f>
        <x:v>0</x:v>
      </x:c>
      <x:c r="H670" s="8" t="n">
        <x:f>IF(E670="","",ROUND(IF('01_Ustawienia'!$B$5="BRUTTO",F670,E670)*(1-G670),0))</x:f>
        <x:v>38610</x:v>
      </x:c>
      <x:c r="I670" s="7" t="n">
        <x:f>IFERROR(IFERROR(INDEX('01_Ustawienia'!$B$15:$B$33,MATCH(B670,'01_Ustawienia'!$A$15:$A$33,0)),0.45),0.45)</x:f>
        <x:v>0.45</x:v>
      </x:c>
      <x:c r="J670" s="8" t="n">
        <x:f>IF(H670="","",ROUND(H670*(1+I670),0))</x:f>
        <x:v>55985</x:v>
      </x:c>
      <x:c r="K670" s="8" t="n">
        <x:f>IFERROR(IFERROR(INDEX(EG_Cennik_uslug!$N:$N,MATCH($A670,EG_Cennik_uslug!$A:$A,0)),0),0)</x:f>
        <x:v>5820</x:v>
      </x:c>
      <x:c r="L670" s="8" t="n">
        <x:f>IFERROR(IFERROR(INDEX(EG_Cennik_uslug!$O:$O,MATCH($A670,EG_Cennik_uslug!$A:$A,0)),0),0)</x:f>
        <x:v>2340</x:v>
      </x:c>
      <x:c r="M670" s="7" t="n">
        <x:f>IF('01_Ustawienia'!$B$4="ZWOLNIONY",0,'01_Ustawienia'!$B$7)</x:f>
        <x:v>0.08</x:v>
      </x:c>
      <x:c r="N670" s="8" t="n">
        <x:f>IF(J670="","",ROUND((J670+K670)*(1+M670),0))</x:f>
        <x:v>66749</x:v>
      </x:c>
      <x:c r="O670" s="8" t="n">
        <x:f>IF(J670="","",J670+K670-H670-L670)</x:f>
        <x:v>20855</x:v>
      </x:c>
      <x:c r="P670" s="7" t="n">
        <x:f>IFERROR(O670/(J670+K670),"")</x:f>
        <x:v>0.3374322465819917</x:v>
      </x:c>
      <x:c r="Q670" s="6" t="inlineStr">
        <x:is>
          <x:t xml:space="preserve">RAW_OS B/C</x:t>
        </x:is>
      </x:c>
      <x:c r="R670" s="6" t="inlineStr">
        <x:is>
          <x:t xml:space="preserve">OGRÓD ZIMOWY (KONSTRUKCJA)</x:t>
        </x:is>
      </x:c>
      <x:c r="S670" s="6" t="inlineStr">
        <x:is>
          <x:t xml:space="preserve">crm_only</x:t>
        </x:is>
      </x:c>
      <x:c r="T670" s="6" t="inlineStr">
        <x:is>
          <x:t xml:space="preserve">Referencyjne/full</x:t>
        </x:is>
      </x:c>
    </x:row>
    <x:row r="671" s="655" customFormat="1" ht="30" customHeight="1">
      <x:c r="A671" s="6" t="inlineStr">
        <x:is>
          <x:t xml:space="preserve">450 x 806 cm</x:t>
        </x:is>
      </x:c>
      <x:c r="B671" s="6" t="inlineStr">
        <x:is>
          <x:t xml:space="preserve">PDS</x:t>
        </x:is>
      </x:c>
      <x:c r="C671" s="6" t="inlineStr">
        <x:is>
          <x:t xml:space="preserve">Dopłata dach szkło przezroczyste</x:t>
        </x:is>
      </x:c>
      <x:c r="D671" s="6" t="inlineStr">
        <x:is>
          <x:t xml:space="preserve">POKRYCIE DACHU SZKŁO</x:t>
        </x:is>
      </x:c>
      <x:c r="E671" s="8" t="n">
        <x:f>IFERROR(IFERROR(INDEX('02_RAW_INDEX'!$V:$V,MATCH($A671,'02_RAW_INDEX'!$A:$A,0)),"")-IFERROR(INDEX('02_RAW_INDEX'!$D:$D,MATCH($A671,'02_RAW_INDEX'!$A:$A,0)),""),"")</x:f>
        <x:v>8382</x:v>
      </x:c>
      <x:c r="F671" s="8" t="n">
        <x:f>IFERROR(IFERROR(INDEX('02_RAW_INDEX'!$U:$U,MATCH($A671,'02_RAW_INDEX'!$A:$A,0)),"")-IFERROR(INDEX('02_RAW_INDEX'!$C:$C,MATCH($A671,'02_RAW_INDEX'!$A:$A,0)),""),"")</x:f>
        <x:v>10310</x:v>
      </x:c>
      <x:c r="G671" s="7" t="n">
        <x:f>'01_Ustawienia'!$B$6</x:f>
        <x:v>0</x:v>
      </x:c>
      <x:c r="H671" s="8" t="n">
        <x:f>IF(E671="","",ROUND(IF('01_Ustawienia'!$B$5="BRUTTO",F671,E671)*(1-G671),0))</x:f>
        <x:v>8382</x:v>
      </x:c>
      <x:c r="I671" s="7" t="n">
        <x:f>IFERROR(IFERROR(INDEX('01_Ustawienia'!$B$15:$B$33,MATCH(B671,'01_Ustawienia'!$A$15:$A$33,0)),0.45),0.45)</x:f>
        <x:v>0.45</x:v>
      </x:c>
      <x:c r="J671" s="8" t="n">
        <x:f>IF(H671="","",ROUND(H671*(1+I671),0))</x:f>
        <x:v>12154</x:v>
      </x:c>
      <x:c r="K671" s="8" t="n">
        <x:f>0</x:f>
        <x:v>0</x:v>
      </x:c>
      <x:c r="L671" s="8" t="n">
        <x:v>0</x:v>
      </x:c>
      <x:c r="M671" s="7" t="n">
        <x:f>IF('01_Ustawienia'!$B$4="ZWOLNIONY",0,'01_Ustawienia'!$B$7)</x:f>
        <x:v>0.08</x:v>
      </x:c>
      <x:c r="N671" s="8" t="n">
        <x:f>IF(J671="","",ROUND((J671+K671)*(1+M671),0))</x:f>
        <x:v>13126</x:v>
      </x:c>
      <x:c r="O671" s="8" t="n">
        <x:f>IF(J671="","",J671+K671-H671-L671)</x:f>
        <x:v>3772</x:v>
      </x:c>
      <x:c r="P671" s="7" t="n">
        <x:f>IFERROR(O671/(J671+K671),"")</x:f>
        <x:v>0.3103505018923811</x:v>
      </x:c>
      <x:c r="Q671" s="6" t="inlineStr">
        <x:is>
          <x:t xml:space="preserve">RAW_ZS - RAW_ZP</x:t>
        </x:is>
      </x:c>
      <x:c r="R671" s="6" t="inlineStr">
        <x:is>
          <x:t xml:space="preserve">POKRYCIE DACHU</x:t>
        </x:is>
      </x:c>
      <x:c r="S671" s="6" t="inlineStr">
        <x:is>
          <x:t xml:space="preserve">website+crm</x:t>
        </x:is>
      </x:c>
      <x:c r="T671" s="6" t="inlineStr">
        <x:is>
          <x:t xml:space="preserve">Dopłata do bazowego dachu poliwęglan | FIX17: Wynagr.+koszty = 0 dla dopłaty; nie jest osobnym montażem ekipy.</x:t>
        </x:is>
      </x:c>
    </x:row>
    <x:row r="672" s="655" customFormat="1" ht="30" customHeight="1">
      <x:c r="A672" s="6" t="inlineStr">
        <x:is>
          <x:t xml:space="preserve">450 x 806 cm</x:t>
        </x:is>
      </x:c>
      <x:c r="B672" s="6" t="inlineStr">
        <x:is>
          <x:t xml:space="preserve">PDSB</x:t>
        </x:is>
      </x:c>
      <x:c r="C672" s="6" t="inlineStr">
        <x:is>
          <x:t xml:space="preserve">Dopłata dach szkło barwione/mleczne</x:t>
        </x:is>
      </x:c>
      <x:c r="D672" s="6" t="inlineStr">
        <x:is>
          <x:t xml:space="preserve">POKRYCIE DACHU SZKŁO BARWIONE</x:t>
        </x:is>
      </x:c>
      <x:c r="E672" s="8" t="n">
        <x:f>IFERROR(INDEX('02_RAW_INDEX'!$X:$X,MATCH($A672,'02_RAW_INDEX'!$A:$A,0)),"")</x:f>
        <x:v>821</x:v>
      </x:c>
      <x:c r="F672" s="8" t="n">
        <x:f>IFERROR(INDEX('02_RAW_INDEX'!$W:$W,MATCH($A672,'02_RAW_INDEX'!$A:$A,0)),"")</x:f>
        <x:v>1010</x:v>
      </x:c>
      <x:c r="G672" s="7" t="n">
        <x:f>'01_Ustawienia'!$B$6</x:f>
        <x:v>0</x:v>
      </x:c>
      <x:c r="H672" s="8" t="n">
        <x:f>IF(E672="","",ROUND(IF('01_Ustawienia'!$B$5="BRUTTO",F672,E672)*(1-G672),0))</x:f>
        <x:v>821</x:v>
      </x:c>
      <x:c r="I672" s="7" t="n">
        <x:f>IFERROR(IFERROR(INDEX('01_Ustawienia'!$B$15:$B$33,MATCH(B672,'01_Ustawienia'!$A$15:$A$33,0)),0.45),0.45)</x:f>
        <x:v>0.45</x:v>
      </x:c>
      <x:c r="J672" s="8" t="n">
        <x:f>IF(H672="","",ROUND(H672*(1+I672),0))</x:f>
        <x:v>1190</x:v>
      </x:c>
      <x:c r="K672" s="8" t="n">
        <x:f>0</x:f>
        <x:v>0</x:v>
      </x:c>
      <x:c r="L672" s="8" t="n">
        <x:v>0</x:v>
      </x:c>
      <x:c r="M672" s="7" t="n">
        <x:f>IF('01_Ustawienia'!$B$4="ZWOLNIONY",0,'01_Ustawienia'!$B$7)</x:f>
        <x:v>0.08</x:v>
      </x:c>
      <x:c r="N672" s="8" t="n">
        <x:f>IF(J672="","",ROUND((J672+K672)*(1+M672),0))</x:f>
        <x:v>1285</x:v>
      </x:c>
      <x:c r="O672" s="8" t="n">
        <x:f>IF(J672="","",J672+K672-H672-L672)</x:f>
        <x:v>369</x:v>
      </x:c>
      <x:c r="P672" s="7" t="n">
        <x:f>IFERROR(O672/(J672+K672),"")</x:f>
        <x:v>0.3100840336134454</x:v>
      </x:c>
      <x:c r="Q672" s="6" t="inlineStr">
        <x:is>
          <x:t xml:space="preserve">RAW_ZS D/E</x:t>
        </x:is>
      </x:c>
      <x:c r="R672" s="6" t="inlineStr">
        <x:is>
          <x:t xml:space="preserve">POKRYCIE DACHU</x:t>
        </x:is>
      </x:c>
      <x:c r="S672" s="6" t="inlineStr">
        <x:is>
          <x:t xml:space="preserve">website+crm</x:t>
        </x:is>
      </x:c>
      <x:c r="T672" s="6" t="inlineStr">
        <x:is>
          <x:t xml:space="preserve">Dodawane do PDS | FIX17: Wynagr.+koszty = 0 dla dopłaty; nie jest osobnym montażem ekipy.</x:t>
        </x:is>
      </x:c>
    </x:row>
    <x:row r="673" s="655" customFormat="1" ht="30" customHeight="1">
      <x:c r="A673" s="6" t="inlineStr">
        <x:is>
          <x:t xml:space="preserve">450 x 806 cm</x:t>
        </x:is>
      </x:c>
      <x:c r="B673" s="6" t="inlineStr">
        <x:is>
          <x:t xml:space="preserve">PDPB</x:t>
        </x:is>
      </x:c>
      <x:c r="C673" s="6" t="inlineStr">
        <x:is>
          <x:t xml:space="preserve">Dopłata poliwęglan barwiony</x:t>
        </x:is>
      </x:c>
      <x:c r="D673" s="6" t="inlineStr">
        <x:is>
          <x:t xml:space="preserve">POKRYCIE DACHU POLIWĘGLAN BARWIONY</x:t>
        </x:is>
      </x:c>
      <x:c r="E673" s="8" t="n">
        <x:f>IFERROR(INDEX('02_RAW_INDEX'!$F:$F,MATCH($A673,'02_RAW_INDEX'!$A:$A,0)),"")</x:f>
        <x:v>626</x:v>
      </x:c>
      <x:c r="F673" s="8" t="n">
        <x:f>IFERROR(INDEX('02_RAW_INDEX'!$E:$E,MATCH($A673,'02_RAW_INDEX'!$A:$A,0)),"")</x:f>
        <x:v>770</x:v>
      </x:c>
      <x:c r="G673" s="7" t="n">
        <x:f>'01_Ustawienia'!$B$6</x:f>
        <x:v>0</x:v>
      </x:c>
      <x:c r="H673" s="8" t="n">
        <x:f>IF(E673="","",ROUND(IF('01_Ustawienia'!$B$5="BRUTTO",F673,E673)*(1-G673),0))</x:f>
        <x:v>626</x:v>
      </x:c>
      <x:c r="I673" s="7" t="n">
        <x:f>IFERROR(IFERROR(INDEX('01_Ustawienia'!$B$15:$B$33,MATCH(B673,'01_Ustawienia'!$A$15:$A$33,0)),0.45),0.45)</x:f>
        <x:v>0.45</x:v>
      </x:c>
      <x:c r="J673" s="8" t="n">
        <x:f>IF(H673="","",ROUND(H673*(1+I673),0))</x:f>
        <x:v>908</x:v>
      </x:c>
      <x:c r="K673" s="8" t="n">
        <x:f>0</x:f>
        <x:v>0</x:v>
      </x:c>
      <x:c r="L673" s="8" t="n">
        <x:v>0</x:v>
      </x:c>
      <x:c r="M673" s="7" t="n">
        <x:f>IF('01_Ustawienia'!$B$4="ZWOLNIONY",0,'01_Ustawienia'!$B$7)</x:f>
        <x:v>0.08</x:v>
      </x:c>
      <x:c r="N673" s="8" t="n">
        <x:f>IF(J673="","",ROUND((J673+K673)*(1+M673),0))</x:f>
        <x:v>981</x:v>
      </x:c>
      <x:c r="O673" s="8" t="n">
        <x:f>IF(J673="","",J673+K673-H673-L673)</x:f>
        <x:v>282</x:v>
      </x:c>
      <x:c r="P673" s="7" t="n">
        <x:f>IFERROR(O673/(J673+K673),"")</x:f>
        <x:v>0.31057268722466963</x:v>
      </x:c>
      <x:c r="Q673" s="6" t="inlineStr">
        <x:is>
          <x:t xml:space="preserve">RAW_ZP D/E</x:t>
        </x:is>
      </x:c>
      <x:c r="R673" s="6" t="inlineStr">
        <x:is>
          <x:t xml:space="preserve">POKRYCIE DACHU</x:t>
        </x:is>
      </x:c>
      <x:c r="S673" s="6" t="inlineStr">
        <x:is>
          <x:t xml:space="preserve">website+crm</x:t>
        </x:is>
      </x:c>
      <x:c r="T673" s="6" t="inlineStr">
        <x:is>
          <x:t xml:space="preserve">FIX17: Wynagr.+koszty = 0 dla dopłaty; nie jest osobnym montażem ekipy.</x:t>
        </x:is>
      </x:c>
    </x:row>
    <x:row r="674" s="655" customFormat="1" ht="30" customHeight="1">
      <x:c r="A674" s="6" t="inlineStr">
        <x:is>
          <x:t xml:space="preserve">450 x 806 cm</x:t>
        </x:is>
      </x:c>
      <x:c r="B674" s="6" t="inlineStr">
        <x:is>
          <x:t xml:space="preserve">SBB</x:t>
        </x:is>
      </x:c>
      <x:c r="C674" s="6" t="inlineStr">
        <x:is>
          <x:t xml:space="preserve">Dopłata szkło boczne przyciemniane</x:t>
        </x:is>
      </x:c>
      <x:c r="D674" s="6" t="inlineStr">
        <x:is>
          <x:t xml:space="preserve">SZKŁO BOCZNE BARWIONE</x:t>
        </x:is>
      </x:c>
      <x:c r="E674" s="8" t="n">
        <x:f>IFERROR(INDEX('02_RAW_INDEX'!$AB:$AB,MATCH($A674,'02_RAW_INDEX'!$A:$A,0)),"")</x:f>
        <x:v>1756</x:v>
      </x:c>
      <x:c r="F674" s="8" t="n">
        <x:f>IFERROR(INDEX('02_RAW_INDEX'!$AA:$AA,MATCH($A674,'02_RAW_INDEX'!$A:$A,0)),"")</x:f>
        <x:v>2160</x:v>
      </x:c>
      <x:c r="G674" s="7" t="n">
        <x:f>'01_Ustawienia'!$B$6</x:f>
        <x:v>0</x:v>
      </x:c>
      <x:c r="H674" s="8" t="n">
        <x:f>IF(E674="","",ROUND(IF('01_Ustawienia'!$B$5="BRUTTO",F674,E674)*(1-G674),0))</x:f>
        <x:v>1756</x:v>
      </x:c>
      <x:c r="I674" s="7" t="n">
        <x:f>IFERROR(IFERROR(INDEX('01_Ustawienia'!$B$15:$B$33,MATCH(B674,'01_Ustawienia'!$A$15:$A$33,0)),0.45),0.45)</x:f>
        <x:v>0.45</x:v>
      </x:c>
      <x:c r="J674" s="8" t="n">
        <x:f>IF(H674="","",ROUND(H674*(1+I674),0))</x:f>
        <x:v>2546</x:v>
      </x:c>
      <x:c r="K674" s="8" t="n">
        <x:f>0</x:f>
        <x:v>0</x:v>
      </x:c>
      <x:c r="L674" s="8" t="n">
        <x:v>0</x:v>
      </x:c>
      <x:c r="M674" s="7" t="n">
        <x:f>IF('01_Ustawienia'!$B$4="ZWOLNIONY",0,'01_Ustawienia'!$B$7)</x:f>
        <x:v>0.08</x:v>
      </x:c>
      <x:c r="N674" s="8" t="n">
        <x:f>IF(J674="","",ROUND((J674+K674)*(1+M674),0))</x:f>
        <x:v>2750</x:v>
      </x:c>
      <x:c r="O674" s="8" t="n">
        <x:f>IF(J674="","",J674+K674-H674-L674)</x:f>
        <x:v>790</x:v>
      </x:c>
      <x:c r="P674" s="7" t="n">
        <x:f>IFERROR(O674/(J674+K674),"")</x:f>
        <x:v>0.3102906520031422</x:v>
      </x:c>
      <x:c r="Q674" s="6" t="inlineStr">
        <x:is>
          <x:t xml:space="preserve">RAW_OP H/I</x:t>
        </x:is>
      </x:c>
      <x:c r="R674" s="6" t="inlineStr">
        <x:is>
          <x:t xml:space="preserve">SZYBY BOCZNE</x:t>
        </x:is>
      </x:c>
      <x:c r="S674" s="6" t="inlineStr">
        <x:is>
          <x:t xml:space="preserve">website+crm</x:t>
        </x:is>
      </x:c>
      <x:c r="T674" s="6" t="inlineStr">
        <x:is>
          <x:t xml:space="preserve">Dodawane do ścian przezroczystych | FIX17: Wynagr.+koszty = 0 dla dopłaty; nie jest osobnym montażem ekipy.</x:t>
        </x:is>
      </x:c>
    </x:row>
    <x:row r="675">
      <x:c r="A675" s="6" t="inlineStr">
        <x:is>
          <x:t xml:space="preserve">450 x 806 cm</x:t>
        </x:is>
      </x:c>
      <x:c r="B675" s="6" t="inlineStr">
        <x:is>
          <x:t xml:space="preserve">RB</x:t>
        </x:is>
      </x:c>
      <x:c r="C675" s="6" t="inlineStr">
        <x:is>
          <x:t xml:space="preserve">Roleta boczna ZIP</x:t>
        </x:is>
      </x:c>
      <x:c r="D675" s="6" t="inlineStr">
        <x:is>
          <x:t xml:space="preserve">ROLETA BOCZNA</x:t>
        </x:is>
      </x:c>
      <x:c r="E675" s="8" t="n">
        <x:f>IFERROR(INDEX('02_RAW_INDEX'!$J:$J,MATCH($A675,'02_RAW_INDEX'!$A:$A,0)),"")</x:f>
        <x:v>2569</x:v>
      </x:c>
      <x:c r="F675" s="8" t="n">
        <x:f>IFERROR(INDEX('02_RAW_INDEX'!$I:$I,MATCH($A675,'02_RAW_INDEX'!$A:$A,0)),"")</x:f>
        <x:v>3160</x:v>
      </x:c>
      <x:c r="G675" s="7" t="n">
        <x:f>'01_Ustawienia'!$B$6</x:f>
        <x:v>0</x:v>
      </x:c>
      <x:c r="H675" s="8" t="n">
        <x:f>IF(E675="","",ROUND(IF('01_Ustawienia'!$B$5="BRUTTO",F675,E675)*(1-G675),0))</x:f>
        <x:v>2569</x:v>
      </x:c>
      <x:c r="I675" s="7" t="n">
        <x:f>IFERROR(IFERROR(INDEX('01_Ustawienia'!$B$15:$B$33,MATCH(B675,'01_Ustawienia'!$A$15:$A$33,0)),0.45),0.45)</x:f>
        <x:v>0.45</x:v>
      </x:c>
      <x:c r="J675" s="8" t="n">
        <x:f>IF(H675="","",ROUND(H675*(1+I675),0))</x:f>
        <x:v>3725</x:v>
      </x:c>
      <x:c r="K675" s="8" t="n">
        <x:f>0</x:f>
        <x:v>0</x:v>
      </x:c>
      <x:c r="L675" s="8" t="n">
        <x:f>IFERROR(IFERROR(INDEX(EG_Cennik_uslug!$AC:$AC,MATCH($A675,EG_Cennik_uslug!$A:$A,0)),0),0)</x:f>
        <x:v>150</x:v>
      </x:c>
      <x:c r="M675" s="7" t="n">
        <x:f>IF('01_Ustawienia'!$B$4="ZWOLNIONY",0,'01_Ustawienia'!$B$7)</x:f>
        <x:v>0.08</x:v>
      </x:c>
      <x:c r="N675" s="8" t="n">
        <x:f>IF(J675="","",ROUND((J675+K675)*(1+M675),0))</x:f>
        <x:v>4023</x:v>
      </x:c>
      <x:c r="O675" s="8" t="n">
        <x:f>IF(J675="","",J675+K675-H675-L675)</x:f>
        <x:v>1006</x:v>
      </x:c>
      <x:c r="P675" s="7" t="n">
        <x:f>IFERROR(O675/(J675+K675),"")</x:f>
        <x:v>0.2700671140939597</x:v>
      </x:c>
      <x:c r="Q675" s="6" t="inlineStr">
        <x:is>
          <x:t xml:space="preserve">RAW_ZP J/K</x:t>
        </x:is>
      </x:c>
      <x:c r="R675" s="6" t="inlineStr">
        <x:is>
          <x:t xml:space="preserve">ROLETY BOCZNE</x:t>
        </x:is>
      </x:c>
      <x:c r="S675" s="6" t="inlineStr">
        <x:is>
          <x:t xml:space="preserve">website+crm</x:t>
        </x:is>
      </x:c>
      <x:c r="T675" s="6" t="inlineStr">
        <x:is>
          <x:t xml:space="preserve">Używana dla lewej i prawej</x:t>
        </x:is>
      </x:c>
    </x:row>
    <x:row r="676">
      <x:c r="A676" s="6" t="inlineStr">
        <x:is>
          <x:t xml:space="preserve">450 x 806 cm</x:t>
        </x:is>
      </x:c>
      <x:c r="B676" s="6" t="inlineStr">
        <x:is>
          <x:t xml:space="preserve">RP</x:t>
        </x:is>
      </x:c>
      <x:c r="C676" s="6" t="inlineStr">
        <x:is>
          <x:t xml:space="preserve">Roleta przednia ZIP</x:t>
        </x:is>
      </x:c>
      <x:c r="D676" s="6" t="inlineStr">
        <x:is>
          <x:t xml:space="preserve">ROLETA PRZÓD</x:t>
        </x:is>
      </x:c>
      <x:c r="E676" s="8" t="n">
        <x:f>IFERROR(INDEX('02_RAW_INDEX'!$L:$L,MATCH($A676,'02_RAW_INDEX'!$A:$A,0)),"")</x:f>
        <x:v>4293</x:v>
      </x:c>
      <x:c r="F676" s="8" t="n">
        <x:f>IFERROR(INDEX('02_RAW_INDEX'!$K:$K,MATCH($A676,'02_RAW_INDEX'!$A:$A,0)),"")</x:f>
        <x:v>5280</x:v>
      </x:c>
      <x:c r="G676" s="7" t="n">
        <x:f>'01_Ustawienia'!$B$6</x:f>
        <x:v>0</x:v>
      </x:c>
      <x:c r="H676" s="8" t="n">
        <x:f>IF(E676="","",ROUND(IF('01_Ustawienia'!$B$5="BRUTTO",F676,E676)*(1-G676),0))</x:f>
        <x:v>4293</x:v>
      </x:c>
      <x:c r="I676" s="7" t="n">
        <x:f>IFERROR(IFERROR(INDEX('01_Ustawienia'!$B$15:$B$33,MATCH(B676,'01_Ustawienia'!$A$15:$A$33,0)),0.45),0.45)</x:f>
        <x:v>0.45</x:v>
      </x:c>
      <x:c r="J676" s="8" t="n">
        <x:f>IF(H676="","",ROUND(H676*(1+I676),0))</x:f>
        <x:v>6225</x:v>
      </x:c>
      <x:c r="K676" s="8" t="n">
        <x:f>0</x:f>
        <x:v>0</x:v>
      </x:c>
      <x:c r="L676" s="8" t="n">
        <x:f>IFERROR(IFERROR(INDEX(EG_Cennik_uslug!$AJ:$AJ,MATCH($A676,EG_Cennik_uslug!$A:$A,0)),0),0)</x:f>
        <x:v>300</x:v>
      </x:c>
      <x:c r="M676" s="7" t="n">
        <x:f>IF('01_Ustawienia'!$B$4="ZWOLNIONY",0,'01_Ustawienia'!$B$7)</x:f>
        <x:v>0.08</x:v>
      </x:c>
      <x:c r="N676" s="8" t="n">
        <x:f>IF(J676="","",ROUND((J676+K676)*(1+M676),0))</x:f>
        <x:v>6723</x:v>
      </x:c>
      <x:c r="O676" s="8" t="n">
        <x:f>IF(J676="","",J676+K676-H676-L676)</x:f>
        <x:v>1632</x:v>
      </x:c>
      <x:c r="P676" s="7" t="n">
        <x:f>IFERROR(O676/(J676+K676),"")</x:f>
        <x:v>0.2621686746987952</x:v>
      </x:c>
      <x:c r="Q676" s="6" t="inlineStr">
        <x:is>
          <x:t xml:space="preserve">RAW_ZP N/O</x:t>
        </x:is>
      </x:c>
      <x:c r="R676" s="6" t="inlineStr">
        <x:is>
          <x:t xml:space="preserve">ROLETY BOCZNE</x:t>
        </x:is>
      </x:c>
      <x:c r="S676" s="6" t="inlineStr">
        <x:is>
          <x:t xml:space="preserve">website+crm</x:t>
        </x:is>
      </x:c>
      <x:c r="T676" s="6" t="n"/>
    </x:row>
    <x:row r="677">
      <x:c r="A677" s="6" t="inlineStr">
        <x:is>
          <x:t xml:space="preserve">450 x 806 cm</x:t>
        </x:is>
      </x:c>
      <x:c r="B677" s="6" t="inlineStr">
        <x:is>
          <x:t xml:space="preserve">M</x:t>
        </x:is>
      </x:c>
      <x:c r="C677" s="6" t="inlineStr">
        <x:is>
          <x:t xml:space="preserve">Markiza dachowa</x:t>
        </x:is>
      </x:c>
      <x:c r="D677" s="6" t="inlineStr">
        <x:is>
          <x:t xml:space="preserve">MARKIZA</x:t>
        </x:is>
      </x:c>
      <x:c r="E677" s="8" t="n">
        <x:f>IFERROR(INDEX('02_RAW_INDEX'!$H:$H,MATCH($A677,'02_RAW_INDEX'!$A:$A,0)),"")</x:f>
        <x:v>7593</x:v>
      </x:c>
      <x:c r="F677" s="8" t="n">
        <x:f>IFERROR(INDEX('02_RAW_INDEX'!$G:$G,MATCH($A677,'02_RAW_INDEX'!$A:$A,0)),"")</x:f>
        <x:v>9340</x:v>
      </x:c>
      <x:c r="G677" s="7" t="n">
        <x:f>'01_Ustawienia'!$B$6</x:f>
        <x:v>0</x:v>
      </x:c>
      <x:c r="H677" s="8" t="n">
        <x:f>IF(E677="","",ROUND(IF('01_Ustawienia'!$B$5="BRUTTO",F677,E677)*(1-G677),0))</x:f>
        <x:v>7593</x:v>
      </x:c>
      <x:c r="I677" s="7" t="n">
        <x:f>IFERROR(IFERROR(INDEX('01_Ustawienia'!$B$15:$B$33,MATCH(B677,'01_Ustawienia'!$A$15:$A$33,0)),0.45),0.45)</x:f>
        <x:v>0.45</x:v>
      </x:c>
      <x:c r="J677" s="8" t="n">
        <x:f>IF(H677="","",ROUND(H677*(1+I677),0))</x:f>
        <x:v>11010</x:v>
      </x:c>
      <x:c r="K677" s="8" t="n">
        <x:f>0</x:f>
        <x:v>0</x:v>
      </x:c>
      <x:c r="L677" s="8" t="n">
        <x:f>IFERROR(IFERROR(INDEX(EG_Cennik_uslug!$AQ:$AQ,MATCH($A677,EG_Cennik_uslug!$A:$A,0)),0),0)</x:f>
        <x:v>500</x:v>
      </x:c>
      <x:c r="M677" s="7" t="n">
        <x:f>IF('01_Ustawienia'!$B$4="ZWOLNIONY",0,'01_Ustawienia'!$B$7)</x:f>
        <x:v>0.08</x:v>
      </x:c>
      <x:c r="N677" s="8" t="n">
        <x:f>IF(J677="","",ROUND((J677+K677)*(1+M677),0))</x:f>
        <x:v>11891</x:v>
      </x:c>
      <x:c r="O677" s="8" t="n">
        <x:f>IF(J677="","",J677+K677-H677-L677)</x:f>
        <x:v>2917</x:v>
      </x:c>
      <x:c r="P677" s="7" t="n">
        <x:f>IFERROR(O677/(J677+K677),"")</x:f>
        <x:v>0.2649409627611263</x:v>
      </x:c>
      <x:c r="Q677" s="6" t="inlineStr">
        <x:is>
          <x:t xml:space="preserve">RAW_ZP H/I</x:t>
        </x:is>
      </x:c>
      <x:c r="R677" s="6" t="inlineStr">
        <x:is>
          <x:t xml:space="preserve">MARKIZA</x:t>
        </x:is>
      </x:c>
      <x:c r="S677" s="6" t="inlineStr">
        <x:is>
          <x:t xml:space="preserve">website+crm</x:t>
        </x:is>
      </x:c>
      <x:c r="T677" s="6" t="n"/>
    </x:row>
    <x:row r="678">
      <x:c r="A678" s="6" t="inlineStr">
        <x:is>
          <x:t xml:space="preserve">450 x 806 cm</x:t>
        </x:is>
      </x:c>
      <x:c r="B678" s="6" t="inlineStr">
        <x:is>
          <x:t xml:space="preserve">PDWP</x:t>
        </x:is>
      </x:c>
      <x:c r="C678" s="6" t="inlineStr">
        <x:is>
          <x:t xml:space="preserve">Fundament/profile</x:t>
        </x:is>
      </x:c>
      <x:c r="D678" s="6" t="inlineStr">
        <x:is>
          <x:t xml:space="preserve">FUNDAMENT / PROFILE</x:t>
        </x:is>
      </x:c>
      <x:c r="E678" s="8" t="n">
        <x:f>IFERROR(INDEX('02_RAW_INDEX'!$AH:$AH,MATCH($A678,'02_RAW_INDEX'!$A:$A,0)),"")</x:f>
        <x:v>1309</x:v>
      </x:c>
      <x:c r="F678" s="8" t="n">
        <x:f>IFERROR(INDEX('02_RAW_INDEX'!$AG:$AG,MATCH($A678,'02_RAW_INDEX'!$A:$A,0)),"")</x:f>
        <x:v>1610</x:v>
      </x:c>
      <x:c r="G678" s="7" t="n">
        <x:f>'01_Ustawienia'!$B$6</x:f>
        <x:v>0</x:v>
      </x:c>
      <x:c r="H678" s="8" t="n">
        <x:f>IF(E678="","",ROUND(IF('01_Ustawienia'!$B$5="BRUTTO",F678,E678)*(1-G678),0))</x:f>
        <x:v>1309</x:v>
      </x:c>
      <x:c r="I678" s="7" t="n">
        <x:f>IFERROR(IFERROR(INDEX('01_Ustawienia'!$B$15:$B$33,MATCH(B678,'01_Ustawienia'!$A$15:$A$33,0)),0.45),0.45)</x:f>
        <x:v>1.2</x:v>
      </x:c>
      <x:c r="J678" s="8" t="n">
        <x:f>IF(H678="","",ROUND(H678*(1+I678),0))</x:f>
        <x:v>2880</x:v>
      </x:c>
      <x:c r="K678" s="8" t="n">
        <x:f>0</x:f>
        <x:v>0</x:v>
      </x:c>
      <x:c r="L678" s="8" t="n">
        <x:f>IFERROR(IFERROR(INDEX(EG_Cennik_uslug!$BT:$BT,MATCH($A678,EG_Cennik_uslug!$A:$A,0)),0),0)</x:f>
        <x:v>610</x:v>
      </x:c>
      <x:c r="M678" s="7" t="n">
        <x:f>IF('01_Ustawienia'!$B$4="ZWOLNIONY",0,'01_Ustawienia'!$B$7)</x:f>
        <x:v>0.08</x:v>
      </x:c>
      <x:c r="N678" s="8" t="n">
        <x:f>IF(J678="","",ROUND((J678+K678)*(1+M678),0))</x:f>
        <x:v>3110</x:v>
      </x:c>
      <x:c r="O678" s="8" t="n">
        <x:f>IF(J678="","",J678+K678-H678-L678)</x:f>
        <x:v>961</x:v>
      </x:c>
      <x:c r="P678" s="7" t="n">
        <x:f>IFERROR(O678/(J678+K678),"")</x:f>
        <x:v>0.33368055555555554</x:v>
      </x:c>
      <x:c r="Q678" s="6" t="inlineStr">
        <x:is>
          <x:t xml:space="preserve">RAW_OP AB/AC</x:t>
        </x:is>
      </x:c>
      <x:c r="R678" s="6" t="inlineStr">
        <x:is>
          <x:t xml:space="preserve">FUNDAMENT (PROFILE)</x:t>
        </x:is>
      </x:c>
      <x:c r="S678" s="6" t="inlineStr">
        <x:is>
          <x:t xml:space="preserve">website+crm</x:t>
        </x:is>
      </x:c>
      <x:c r="T678" s="6" t="n"/>
    </x:row>
    <x:row r="679" s="655" customFormat="1" ht="30" customHeight="1">
      <x:c r="A679" s="6" t="inlineStr">
        <x:is>
          <x:t xml:space="preserve">450 x 806 cm</x:t>
        </x:is>
      </x:c>
      <x:c r="B679" s="6" t="inlineStr">
        <x:is>
          <x:t xml:space="preserve">ZAB</x:t>
        </x:is>
      </x:c>
      <x:c r="C679" s="6" t="inlineStr">
        <x:is>
          <x:t xml:space="preserve">Zabieraki do ścian przesuwnych</x:t>
        </x:is>
      </x:c>
      <x:c r="D679" s="6" t="inlineStr">
        <x:is>
          <x:t xml:space="preserve">DODATKI</x:t>
        </x:is>
      </x:c>
      <x:c r="E679" s="8" t="n">
        <x:f>IFERROR(INDEX('02_RAW_INDEX'!$AJ:$AJ,MATCH($A679,'02_RAW_INDEX'!$A:$A,0)),"")</x:f>
        <x:v>455</x:v>
      </x:c>
      <x:c r="F679" s="8" t="n">
        <x:f>IFERROR(INDEX('02_RAW_INDEX'!$AI:$AI,MATCH($A679,'02_RAW_INDEX'!$A:$A,0)),"")</x:f>
        <x:v>560</x:v>
      </x:c>
      <x:c r="G679" s="7" t="n">
        <x:f>'01_Ustawienia'!$B$6</x:f>
        <x:v>0</x:v>
      </x:c>
      <x:c r="H679" s="8" t="n">
        <x:f>IF(E679="","",ROUND(IF('01_Ustawienia'!$B$5="BRUTTO",F679,E679)*(1-G679),0))</x:f>
        <x:v>455</x:v>
      </x:c>
      <x:c r="I679" s="7" t="n">
        <x:f>IFERROR(IFERROR(INDEX('01_Ustawienia'!$B$15:$B$33,MATCH(B679,'01_Ustawienia'!$A$15:$A$33,0)),0.45),0.45)</x:f>
        <x:v>0.45</x:v>
      </x:c>
      <x:c r="J679" s="8" t="n">
        <x:f>IF(H679="","",ROUND(H679*(1+I679),0))</x:f>
        <x:v>660</x:v>
      </x:c>
      <x:c r="K679" s="8" t="n">
        <x:f>0</x:f>
        <x:v>0</x:v>
      </x:c>
      <x:c r="L679" s="8" t="n">
        <x:f>0</x:f>
        <x:v>0</x:v>
      </x:c>
      <x:c r="M679" s="7" t="n">
        <x:f>IF('01_Ustawienia'!$B$4="ZWOLNIONY",0,'01_Ustawienia'!$B$7)</x:f>
        <x:v>0.08</x:v>
      </x:c>
      <x:c r="N679" s="8" t="n">
        <x:f>IF(J679="","",ROUND((J679+K679)*(1+M679),0))</x:f>
        <x:v>713</x:v>
      </x:c>
      <x:c r="O679" s="8" t="n">
        <x:f>IF(J679="","",J679+K679-H679-L679)</x:f>
        <x:v>205</x:v>
      </x:c>
      <x:c r="P679" s="7" t="n">
        <x:f>IFERROR(O679/(J679+K679),"")</x:f>
        <x:v>0.3106060606060606</x:v>
      </x:c>
      <x:c r="Q679" s="6" t="inlineStr">
        <x:is>
          <x:t xml:space="preserve">RAW_OP AD/AE</x:t>
        </x:is>
      </x:c>
      <x:c r="R679" s="6" t="inlineStr">
        <x:is>
          <x:t xml:space="preserve">DODATKI</x:t>
        </x:is>
      </x:c>
      <x:c r="S679" s="6" t="inlineStr">
        <x:is>
          <x:t xml:space="preserve">crm_only</x:t>
        </x:is>
      </x:c>
      <x:c r="T679" s="6" t="n"/>
    </x:row>
    <x:row r="680">
      <x:c r="A680" s="6" t="inlineStr">
        <x:is>
          <x:t xml:space="preserve">450 x 806 cm</x:t>
        </x:is>
      </x:c>
      <x:c r="B680" s="6" t="inlineStr">
        <x:is>
          <x:t xml:space="preserve">S</x:t>
        </x:is>
      </x:c>
      <x:c r="C680" s="6" t="inlineStr">
        <x:is>
          <x:t xml:space="preserve">Szczotki przeciwkurzowe</x:t>
        </x:is>
      </x:c>
      <x:c r="D680" s="6" t="inlineStr">
        <x:is>
          <x:t xml:space="preserve">SZCZOTKI</x:t>
        </x:is>
      </x:c>
      <x:c r="E680" s="8" t="n">
        <x:f>IFERROR(INDEX('02_RAW_INDEX'!$AD:$AD,MATCH($A680,'02_RAW_INDEX'!$A:$A,0)),"")</x:f>
        <x:v>561</x:v>
      </x:c>
      <x:c r="F680" s="8" t="n">
        <x:f>IFERROR(INDEX('02_RAW_INDEX'!$AC:$AC,MATCH($A680,'02_RAW_INDEX'!$A:$A,0)),"")</x:f>
        <x:v>690</x:v>
      </x:c>
      <x:c r="G680" s="7" t="n">
        <x:f>'01_Ustawienia'!$B$6</x:f>
        <x:v>0</x:v>
      </x:c>
      <x:c r="H680" s="8" t="n">
        <x:f>IF(E680="","",ROUND(IF('01_Ustawienia'!$B$5="BRUTTO",F680,E680)*(1-G680),0))</x:f>
        <x:v>561</x:v>
      </x:c>
      <x:c r="I680" s="7" t="n">
        <x:f>IFERROR(IFERROR(INDEX('01_Ustawienia'!$B$15:$B$33,MATCH(B680,'01_Ustawienia'!$A$15:$A$33,0)),0.45),0.45)</x:f>
        <x:v>0.45</x:v>
      </x:c>
      <x:c r="J680" s="8" t="n">
        <x:f>IF(H680="","",ROUND(H680*(1+I680),0))</x:f>
        <x:v>813</x:v>
      </x:c>
      <x:c r="K680" s="8" t="n">
        <x:f>0</x:f>
        <x:v>0</x:v>
      </x:c>
      <x:c r="L680" s="8" t="n">
        <x:f>IFERROR(IFERROR(INDEX(EG_Cennik_uslug!$CA:$CA,MATCH($A680,EG_Cennik_uslug!$A:$A,0)),0),0)</x:f>
        <x:v>0</x:v>
      </x:c>
      <x:c r="M680" s="7" t="n">
        <x:f>IF('01_Ustawienia'!$B$4="ZWOLNIONY",0,'01_Ustawienia'!$B$7)</x:f>
        <x:v>0.08</x:v>
      </x:c>
      <x:c r="N680" s="8" t="n">
        <x:f>IF(J680="","",ROUND((J680+K680)*(1+M680),0))</x:f>
        <x:v>878</x:v>
      </x:c>
      <x:c r="O680" s="8" t="n">
        <x:f>IF(J680="","",J680+K680-H680-L680)</x:f>
        <x:v>252</x:v>
      </x:c>
      <x:c r="P680" s="7" t="n">
        <x:f>IFERROR(O680/(J680+K680),"")</x:f>
        <x:v>0.30996309963099633</x:v>
      </x:c>
      <x:c r="Q680" s="6" t="inlineStr">
        <x:is>
          <x:t xml:space="preserve">RAW_OP L/M</x:t>
        </x:is>
      </x:c>
      <x:c r="R680" s="6" t="inlineStr">
        <x:is>
          <x:t xml:space="preserve">DODATKI</x:t>
        </x:is>
      </x:c>
      <x:c r="S680" s="6" t="inlineStr">
        <x:is>
          <x:t xml:space="preserve">website+crm</x:t>
        </x:is>
      </x:c>
      <x:c r="T680" s="6" t="n"/>
    </x:row>
    <x:row r="681">
      <x:c r="A681" s="6" t="inlineStr">
        <x:is>
          <x:t xml:space="preserve">450 x 806 cm</x:t>
        </x:is>
      </x:c>
      <x:c r="B681" s="6" t="inlineStr">
        <x:is>
          <x:t xml:space="preserve">U</x:t>
        </x:is>
      </x:c>
      <x:c r="C681" s="6" t="inlineStr">
        <x:is>
          <x:t xml:space="preserve">Uchwyty na szkło ścienne</x:t>
        </x:is>
      </x:c>
      <x:c r="D681" s="6" t="inlineStr">
        <x:is>
          <x:t xml:space="preserve">UCHWYTY</x:t>
        </x:is>
      </x:c>
      <x:c r="E681" s="8" t="n">
        <x:f>IFERROR(INDEX('02_RAW_INDEX'!$AF:$AF,MATCH($A681,'02_RAW_INDEX'!$A:$A,0)),"")</x:f>
        <x:v>504</x:v>
      </x:c>
      <x:c r="F681" s="8" t="n">
        <x:f>IFERROR(INDEX('02_RAW_INDEX'!$AE:$AE,MATCH($A681,'02_RAW_INDEX'!$A:$A,0)),"")</x:f>
        <x:v>620</x:v>
      </x:c>
      <x:c r="G681" s="7" t="n">
        <x:f>'01_Ustawienia'!$B$6</x:f>
        <x:v>0</x:v>
      </x:c>
      <x:c r="H681" s="8" t="n">
        <x:f>IF(E681="","",ROUND(IF('01_Ustawienia'!$B$5="BRUTTO",F681,E681)*(1-G681),0))</x:f>
        <x:v>504</x:v>
      </x:c>
      <x:c r="I681" s="7" t="n">
        <x:f>IFERROR(IFERROR(INDEX('01_Ustawienia'!$B$15:$B$33,MATCH(B681,'01_Ustawienia'!$A$15:$A$33,0)),0.45),0.45)</x:f>
        <x:v>0.45</x:v>
      </x:c>
      <x:c r="J681" s="8" t="n">
        <x:f>IF(H681="","",ROUND(H681*(1+I681),0))</x:f>
        <x:v>731</x:v>
      </x:c>
      <x:c r="K681" s="8" t="n">
        <x:f>0</x:f>
        <x:v>0</x:v>
      </x:c>
      <x:c r="L681" s="8" t="n">
        <x:f>IFERROR(IFERROR(INDEX(EG_Cennik_uslug!$CH:$CH,MATCH($A681,EG_Cennik_uslug!$A:$A,0)),0),0)</x:f>
        <x:v>0</x:v>
      </x:c>
      <x:c r="M681" s="7" t="n">
        <x:f>IF('01_Ustawienia'!$B$4="ZWOLNIONY",0,'01_Ustawienia'!$B$7)</x:f>
        <x:v>0.08</x:v>
      </x:c>
      <x:c r="N681" s="8" t="n">
        <x:f>IF(J681="","",ROUND((J681+K681)*(1+M681),0))</x:f>
        <x:v>789</x:v>
      </x:c>
      <x:c r="O681" s="8" t="n">
        <x:f>IF(J681="","",J681+K681-H681-L681)</x:f>
        <x:v>227</x:v>
      </x:c>
      <x:c r="P681" s="7" t="n">
        <x:f>IFERROR(O681/(J681+K681),"")</x:f>
        <x:v>0.31053351573187415</x:v>
      </x:c>
      <x:c r="Q681" s="6" t="inlineStr">
        <x:is>
          <x:t xml:space="preserve">RAW_OP N/O</x:t>
        </x:is>
      </x:c>
      <x:c r="R681" s="6" t="inlineStr">
        <x:is>
          <x:t xml:space="preserve">DODATKI</x:t>
        </x:is>
      </x:c>
      <x:c r="S681" s="6" t="inlineStr">
        <x:is>
          <x:t xml:space="preserve">website+crm</x:t>
        </x:is>
      </x:c>
      <x:c r="T681" s="6" t="n"/>
    </x:row>
    <x:row r="682">
      <x:c r="A682" s="6" t="inlineStr">
        <x:is>
          <x:t xml:space="preserve">450 x 806 cm</x:t>
        </x:is>
      </x:c>
      <x:c r="B682" s="6" t="inlineStr">
        <x:is>
          <x:t xml:space="preserve">LED2</x:t>
        </x:is>
      </x:c>
      <x:c r="C682" s="6" t="inlineStr">
        <x:is>
          <x:t xml:space="preserve">Oświetlenie LED 2 punkty</x:t>
        </x:is>
      </x:c>
      <x:c r="D682" s="6" t="inlineStr">
        <x:is>
          <x:t xml:space="preserve">LED 2 PKT</x:t>
        </x:is>
      </x:c>
      <x:c r="E682" s="8" t="n">
        <x:f>IFERROR(INDEX('02_RAW_INDEX'!$N:$N,MATCH($A682,'02_RAW_INDEX'!$A:$A,0)),"")</x:f>
        <x:v>780</x:v>
      </x:c>
      <x:c r="F682" s="8" t="n">
        <x:f>IFERROR(INDEX('02_RAW_INDEX'!$M:$M,MATCH($A682,'02_RAW_INDEX'!$A:$A,0)),"")</x:f>
        <x:v>960</x:v>
      </x:c>
      <x:c r="G682" s="7" t="n">
        <x:f>'01_Ustawienia'!$B$6</x:f>
        <x:v>0</x:v>
      </x:c>
      <x:c r="H682" s="8" t="n">
        <x:f>IF(E682="","",ROUND(IF('01_Ustawienia'!$B$5="BRUTTO",F682,E682)*(1-G682),0))</x:f>
        <x:v>780</x:v>
      </x:c>
      <x:c r="I682" s="7" t="n">
        <x:f>IFERROR(IFERROR(INDEX('01_Ustawienia'!$B$15:$B$33,MATCH(B682,'01_Ustawienia'!$A$15:$A$33,0)),0.45),0.45)</x:f>
        <x:v>0.45</x:v>
      </x:c>
      <x:c r="J682" s="8" t="n">
        <x:f>IF(H682="","",ROUND(H682*(1+I682),0))</x:f>
        <x:v>1131</x:v>
      </x:c>
      <x:c r="K682" s="8" t="n">
        <x:f>0</x:f>
        <x:v>0</x:v>
      </x:c>
      <x:c r="L682" s="8" t="n">
        <x:f>IFERROR(IFERROR(INDEX(EG_Cennik_uslug!$CO:$CO,MATCH($A682,EG_Cennik_uslug!$A:$A,0)),0),0)</x:f>
        <x:v>0</x:v>
      </x:c>
      <x:c r="M682" s="7" t="n">
        <x:f>IF('01_Ustawienia'!$B$4="ZWOLNIONY",0,'01_Ustawienia'!$B$7)</x:f>
        <x:v>0.08</x:v>
      </x:c>
      <x:c r="N682" s="8" t="n">
        <x:f>IF(J682="","",ROUND((J682+K682)*(1+M682),0))</x:f>
        <x:v>1221</x:v>
      </x:c>
      <x:c r="O682" s="8" t="n">
        <x:f>IF(J682="","",J682+K682-H682-L682)</x:f>
        <x:v>351</x:v>
      </x:c>
      <x:c r="P682" s="7" t="n">
        <x:f>IFERROR(O682/(J682+K682),"")</x:f>
        <x:v>0.3103448275862069</x:v>
      </x:c>
      <x:c r="Q682" s="6" t="inlineStr">
        <x:is>
          <x:t xml:space="preserve">RAW_ZP P/Q</x:t>
        </x:is>
      </x:c>
      <x:c r="R682" s="6" t="inlineStr">
        <x:is>
          <x:t xml:space="preserve">OŚWIETLENIE</x:t>
        </x:is>
      </x:c>
      <x:c r="S682" s="6" t="inlineStr">
        <x:is>
          <x:t xml:space="preserve">website+crm</x:t>
        </x:is>
      </x:c>
      <x:c r="T682" s="6" t="n"/>
    </x:row>
    <x:row r="683">
      <x:c r="A683" s="6" t="inlineStr">
        <x:is>
          <x:t xml:space="preserve">450 x 806 cm</x:t>
        </x:is>
      </x:c>
      <x:c r="B683" s="6" t="inlineStr">
        <x:is>
          <x:t xml:space="preserve">LED3</x:t>
        </x:is>
      </x:c>
      <x:c r="C683" s="6" t="inlineStr">
        <x:is>
          <x:t xml:space="preserve">Oświetlenie LED 3 punkty</x:t>
        </x:is>
      </x:c>
      <x:c r="D683" s="6" t="inlineStr">
        <x:is>
          <x:t xml:space="preserve">LED 3 PKT</x:t>
        </x:is>
      </x:c>
      <x:c r="E683" s="8" t="n">
        <x:f>IFERROR(INDEX('02_RAW_INDEX'!$P:$P,MATCH($A683,'02_RAW_INDEX'!$A:$A,0)),"")</x:f>
        <x:v>1171</x:v>
      </x:c>
      <x:c r="F683" s="8" t="n">
        <x:f>IFERROR(INDEX('02_RAW_INDEX'!$O:$O,MATCH($A683,'02_RAW_INDEX'!$A:$A,0)),"")</x:f>
        <x:v>1440</x:v>
      </x:c>
      <x:c r="G683" s="7" t="n">
        <x:f>'01_Ustawienia'!$B$6</x:f>
        <x:v>0</x:v>
      </x:c>
      <x:c r="H683" s="8" t="n">
        <x:f>IF(E683="","",ROUND(IF('01_Ustawienia'!$B$5="BRUTTO",F683,E683)*(1-G683),0))</x:f>
        <x:v>1171</x:v>
      </x:c>
      <x:c r="I683" s="7" t="n">
        <x:f>IFERROR(IFERROR(INDEX('01_Ustawienia'!$B$15:$B$33,MATCH(B683,'01_Ustawienia'!$A$15:$A$33,0)),0.45),0.45)</x:f>
        <x:v>0.45</x:v>
      </x:c>
      <x:c r="J683" s="8" t="n">
        <x:f>IF(H683="","",ROUND(H683*(1+I683),0))</x:f>
        <x:v>1698</x:v>
      </x:c>
      <x:c r="K683" s="8" t="n">
        <x:f>0</x:f>
        <x:v>0</x:v>
      </x:c>
      <x:c r="L683" s="8" t="n">
        <x:f>IFERROR(IFERROR(INDEX(EG_Cennik_uslug!$CV:$CV,MATCH($A683,EG_Cennik_uslug!$A:$A,0)),0),0)</x:f>
        <x:v>0</x:v>
      </x:c>
      <x:c r="M683" s="7" t="n">
        <x:f>IF('01_Ustawienia'!$B$4="ZWOLNIONY",0,'01_Ustawienia'!$B$7)</x:f>
        <x:v>0.08</x:v>
      </x:c>
      <x:c r="N683" s="8" t="n">
        <x:f>IF(J683="","",ROUND((J683+K683)*(1+M683),0))</x:f>
        <x:v>1834</x:v>
      </x:c>
      <x:c r="O683" s="8" t="n">
        <x:f>IF(J683="","",J683+K683-H683-L683)</x:f>
        <x:v>527</x:v>
      </x:c>
      <x:c r="P683" s="7" t="n">
        <x:f>IFERROR(O683/(J683+K683),"")</x:f>
        <x:v>0.31036513545347466</x:v>
      </x:c>
      <x:c r="Q683" s="6" t="inlineStr">
        <x:is>
          <x:t xml:space="preserve">RAW_ZP R/S</x:t>
        </x:is>
      </x:c>
      <x:c r="R683" s="6" t="inlineStr">
        <x:is>
          <x:t xml:space="preserve">OŚWIETLENIE</x:t>
        </x:is>
      </x:c>
      <x:c r="S683" s="6" t="inlineStr">
        <x:is>
          <x:t xml:space="preserve">website+crm</x:t>
        </x:is>
      </x:c>
      <x:c r="T683" s="6" t="inlineStr">
        <x:is>
          <x:t xml:space="preserve">Nazwa do potwierdzenia</x:t>
        </x:is>
      </x:c>
    </x:row>
    <x:row r="684">
      <x:c r="A684" s="6" t="inlineStr">
        <x:is>
          <x:t xml:space="preserve">450 x 806 cm</x:t>
        </x:is>
      </x:c>
      <x:c r="B684" s="6" t="inlineStr">
        <x:is>
          <x:t xml:space="preserve">LEDCCT</x:t>
        </x:is>
      </x:c>
      <x:c r="C684" s="6" t="inlineStr">
        <x:is>
          <x:t xml:space="preserve">Oświetlenie LED CCT</x:t>
        </x:is>
      </x:c>
      <x:c r="D684" s="6" t="inlineStr">
        <x:is>
          <x:t xml:space="preserve">OŚWIETLENIE</x:t>
        </x:is>
      </x:c>
      <x:c r="E684" s="8" t="n">
        <x:f>IFERROR(INDEX('02_RAW_INDEX'!$R:$R,MATCH($A684,'02_RAW_INDEX'!$A:$A,0)),"")</x:f>
        <x:v>2200</x:v>
      </x:c>
      <x:c r="F684" s="8" t="n">
        <x:f>IFERROR(INDEX('02_RAW_INDEX'!$Q:$Q,MATCH($A684,'02_RAW_INDEX'!$A:$A,0)),"")</x:f>
        <x:v>2706</x:v>
      </x:c>
      <x:c r="G684" s="7" t="n">
        <x:f>'01_Ustawienia'!$B$6</x:f>
        <x:v>0</x:v>
      </x:c>
      <x:c r="H684" s="8" t="n">
        <x:f>IF(E684="","",ROUND(IF('01_Ustawienia'!$B$5="BRUTTO",F684,E684)*(1-G684),0))</x:f>
        <x:v>2200</x:v>
      </x:c>
      <x:c r="I684" s="7" t="n">
        <x:f>IFERROR(IFERROR(INDEX('01_Ustawienia'!$B$15:$B$33,MATCH(B684,'01_Ustawienia'!$A$15:$A$33,0)),0.45),0.45)</x:f>
        <x:v>0.45</x:v>
      </x:c>
      <x:c r="J684" s="8" t="n">
        <x:f>IF(H684="","",ROUND(H684*(1+I684),0)+700)</x:f>
        <x:v>3890</x:v>
      </x:c>
      <x:c r="K684" s="8" t="n">
        <x:f>0</x:f>
        <x:v>0</x:v>
      </x:c>
      <x:c r="L684" s="8" t="n">
        <x:f>0</x:f>
        <x:v>0</x:v>
      </x:c>
      <x:c r="M684" s="7" t="n">
        <x:f>IF('01_Ustawienia'!$B$4="ZWOLNIONY",0,'01_Ustawienia'!$B$7)</x:f>
        <x:v>0.08</x:v>
      </x:c>
      <x:c r="N684" s="8" t="n">
        <x:f>IF(J684="","",ROUND((J684+K684)*(1+M684),0))</x:f>
        <x:v>4201</x:v>
      </x:c>
      <x:c r="O684" s="8" t="n">
        <x:f>IF(J684="","",J684+K684-H684-L684)</x:f>
        <x:v>1690</x:v>
      </x:c>
      <x:c r="P684" s="7" t="n">
        <x:f>IFERROR(O684/(J684+K684),"")</x:f>
        <x:v>0.43444730077120824</x:v>
      </x:c>
      <x:c r="Q684" s="715" t="inlineStr">
        <x:is>
          <x:t xml:space="preserve">MODEL_FIX15_LED</x:t>
        </x:is>
      </x:c>
      <x:c r="R684" s="6" t="inlineStr">
        <x:is>
          <x:t xml:space="preserve">OŚWIETLENIE</x:t>
        </x:is>
      </x:c>
      <x:c r="S684" s="6" t="inlineStr">
        <x:is>
          <x:t xml:space="preserve">website+crm</x:t>
        </x:is>
      </x:c>
      <x:c r="T684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685">
      <x:c r="A685" s="6" t="inlineStr">
        <x:is>
          <x:t xml:space="preserve">450 x 806 cm</x:t>
        </x:is>
      </x:c>
      <x:c r="B685" s="6" t="inlineStr">
        <x:is>
          <x:t xml:space="preserve">LEDRGBCCT</x:t>
        </x:is>
      </x:c>
      <x:c r="C685" s="6" t="inlineStr">
        <x:is>
          <x:t xml:space="preserve">Oświetlenie LED RGB CCT</x:t>
        </x:is>
      </x:c>
      <x:c r="D685" s="6" t="inlineStr">
        <x:is>
          <x:t xml:space="preserve">OŚWIETLENIE</x:t>
        </x:is>
      </x:c>
      <x:c r="E685" s="8" t="n">
        <x:f>IFERROR(INDEX('02_RAW_INDEX'!$T:$T,MATCH($A685,'02_RAW_INDEX'!$A:$A,0)),"")</x:f>
        <x:v>3034</x:v>
      </x:c>
      <x:c r="F685" s="8" t="n">
        <x:f>IFERROR(INDEX('02_RAW_INDEX'!$S:$S,MATCH($A685,'02_RAW_INDEX'!$A:$A,0)),"")</x:f>
        <x:v>3732</x:v>
      </x:c>
      <x:c r="G685" s="7" t="n">
        <x:f>'01_Ustawienia'!$B$6</x:f>
        <x:v>0</x:v>
      </x:c>
      <x:c r="H685" s="8" t="n">
        <x:f>IF(E685="","",ROUND(IF('01_Ustawienia'!$B$5="BRUTTO",F685,E685)*(1-G685),0))</x:f>
        <x:v>3034</x:v>
      </x:c>
      <x:c r="I685" s="7" t="n">
        <x:f>IFERROR(IFERROR(INDEX('01_Ustawienia'!$B$15:$B$33,MATCH(B685,'01_Ustawienia'!$A$15:$A$33,0)),0.45),0.45)</x:f>
        <x:v>0.45</x:v>
      </x:c>
      <x:c r="J685" s="8" t="n">
        <x:f>IF(H685="","",ROUND(H685*(1+I685),0))</x:f>
        <x:v>4399</x:v>
      </x:c>
      <x:c r="K685" s="8" t="n">
        <x:f>0</x:f>
        <x:v>0</x:v>
      </x:c>
      <x:c r="L685" s="8" t="n">
        <x:f>0</x:f>
        <x:v>0</x:v>
      </x:c>
      <x:c r="M685" s="7" t="n">
        <x:f>IF('01_Ustawienia'!$B$4="ZWOLNIONY",0,'01_Ustawienia'!$B$7)</x:f>
        <x:v>0.08</x:v>
      </x:c>
      <x:c r="N685" s="8" t="n">
        <x:f>IF(J685="","",ROUND((J685+K685)*(1+M685),0))</x:f>
        <x:v>4751</x:v>
      </x:c>
      <x:c r="O685" s="8" t="n">
        <x:f>IF(J685="","",J685+K685-H685-L685)</x:f>
        <x:v>1365</x:v>
      </x:c>
      <x:c r="P685" s="7" t="n">
        <x:f>IFERROR(O685/(J685+K685),"")</x:f>
        <x:v>0.3102977949533985</x:v>
      </x:c>
      <x:c r="Q685" s="715" t="inlineStr">
        <x:is>
          <x:t xml:space="preserve">MODEL_FIX15_LED</x:t>
        </x:is>
      </x:c>
      <x:c r="R685" s="6" t="inlineStr">
        <x:is>
          <x:t xml:space="preserve">OŚWIETLENIE</x:t>
        </x:is>
      </x:c>
      <x:c r="S685" s="6" t="inlineStr">
        <x:is>
          <x:t xml:space="preserve">crm_only</x:t>
        </x:is>
      </x:c>
      <x:c r="T685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686" s="655" customFormat="1" ht="30" customHeight="1">
      <x:c r="A686" s="6" t="inlineStr">
        <x:is>
          <x:t xml:space="preserve">450 x 906 cm</x:t>
        </x:is>
      </x:c>
      <x:c r="B686" s="6" t="inlineStr">
        <x:is>
          <x:t xml:space="preserve">ZP</x:t>
        </x:is>
      </x:c>
      <x:c r="C686" s="6" t="inlineStr">
        <x:is>
          <x:t xml:space="preserve">Zadaszenie poliwęglan - baza</x:t>
        </x:is>
      </x:c>
      <x:c r="D686" s="6" t="inlineStr">
        <x:is>
          <x:t xml:space="preserve">ZADASZENIE POLIWĘGLAN</x:t>
        </x:is>
      </x:c>
      <x:c r="E686" s="8" t="n">
        <x:f>IFERROR(INDEX('02_RAW_INDEX'!$D:$D,MATCH($A686,'02_RAW_INDEX'!$A:$A,0)),"")</x:f>
        <x:v>16577</x:v>
      </x:c>
      <x:c r="F686" s="8" t="n">
        <x:f>IFERROR(INDEX('02_RAW_INDEX'!$C:$C,MATCH($A686,'02_RAW_INDEX'!$A:$A,0)),"")</x:f>
        <x:v>20390</x:v>
      </x:c>
      <x:c r="G686" s="7" t="n">
        <x:f>'01_Ustawienia'!$B$6</x:f>
        <x:v>0</x:v>
      </x:c>
      <x:c r="H686" s="8" t="n">
        <x:f>IF(E686="","",ROUND(IF('01_Ustawienia'!$B$5="BRUTTO",F686,E686)*(1-G686),0))</x:f>
        <x:v>16577</x:v>
      </x:c>
      <x:c r="I686" s="7" t="n">
        <x:f>IFERROR(IFERROR(INDEX('01_Ustawienia'!$B$15:$B$33,MATCH(B686,'01_Ustawienia'!$A$15:$A$33,0)),0.45),0.45)</x:f>
        <x:v>0.45</x:v>
      </x:c>
      <x:c r="J686" s="8" t="n">
        <x:f>IF(H686="","",ROUND(H686*(1+I686),0))</x:f>
        <x:v>24037</x:v>
      </x:c>
      <x:c r="K686" s="8" t="n">
        <x:f>IFERROR(IFERROR(INDEX(EG_Cennik_uslug!$F:$F,MATCH($A686,EG_Cennik_uslug!$A:$A,0)),0),0)</x:f>
        <x:v>4820</x:v>
      </x:c>
      <x:c r="L686" s="8" t="n">
        <x:f>IFERROR(IFERROR(INDEX(EG_Cennik_uslug!$G:$G,MATCH($A686,EG_Cennik_uslug!$A:$A,0)),0),0)</x:f>
        <x:v>1800</x:v>
      </x:c>
      <x:c r="M686" s="7" t="n">
        <x:f>IF('01_Ustawienia'!$B$4="ZWOLNIONY",0,'01_Ustawienia'!$B$7)</x:f>
        <x:v>0.08</x:v>
      </x:c>
      <x:c r="N686" s="8" t="n">
        <x:f>IF(J686="","",ROUND((J686+K686)*(1+M686),0))</x:f>
        <x:v>31166</x:v>
      </x:c>
      <x:c r="O686" s="8" t="n">
        <x:f>IF(J686="","",J686+K686-H686-L686)</x:f>
        <x:v>10480</x:v>
      </x:c>
      <x:c r="P686" s="7" t="n">
        <x:f>IFERROR(O686/(J686+K686),"")</x:f>
        <x:v>0.36317011470353816</x:v>
      </x:c>
      <x:c r="Q686" s="6" t="inlineStr">
        <x:is>
          <x:t xml:space="preserve">RAW_ZP B/C</x:t>
        </x:is>
      </x:c>
      <x:c r="R686" s="6" t="inlineStr">
        <x:is>
          <x:t xml:space="preserve">ZADASZENIE TARASU KONSTRUKCJA</x:t>
        </x:is>
      </x:c>
      <x:c r="S686" s="6" t="inlineStr">
        <x:is>
          <x:t xml:space="preserve">website+crm</x:t>
        </x:is>
      </x:c>
      <x:c r="T686" s="6" t="inlineStr">
        <x:is>
          <x:t xml:space="preserve">Baza dla kalkulatora</x:t>
        </x:is>
      </x:c>
    </x:row>
    <x:row r="687" s="655" customFormat="1" ht="30" customHeight="1">
      <x:c r="A687" s="6" t="inlineStr">
        <x:is>
          <x:t xml:space="preserve">450 x 906 cm</x:t>
        </x:is>
      </x:c>
      <x:c r="B687" s="6" t="inlineStr">
        <x:is>
          <x:t xml:space="preserve">ZS</x:t>
        </x:is>
      </x:c>
      <x:c r="C687" s="6" t="inlineStr">
        <x:is>
          <x:t xml:space="preserve">Zadaszenie szkło - pełna konstrukcja</x:t>
        </x:is>
      </x:c>
      <x:c r="D687" s="6" t="inlineStr">
        <x:is>
          <x:t xml:space="preserve">ZADASZENIE SZKŁO</x:t>
        </x:is>
      </x:c>
      <x:c r="E687" s="8" t="n">
        <x:f>IFERROR(INDEX('02_RAW_INDEX'!$V:$V,MATCH($A687,'02_RAW_INDEX'!$A:$A,0)),"")</x:f>
        <x:v>26089</x:v>
      </x:c>
      <x:c r="F687" s="8" t="n">
        <x:f>IFERROR(INDEX('02_RAW_INDEX'!$U:$U,MATCH($A687,'02_RAW_INDEX'!$A:$A,0)),"")</x:f>
        <x:v>32090</x:v>
      </x:c>
      <x:c r="G687" s="7" t="n">
        <x:f>'01_Ustawienia'!$B$6</x:f>
        <x:v>0</x:v>
      </x:c>
      <x:c r="H687" s="8" t="n">
        <x:f>IF(E687="","",ROUND(IF('01_Ustawienia'!$B$5="BRUTTO",F687,E687)*(1-G687),0))</x:f>
        <x:v>26089</x:v>
      </x:c>
      <x:c r="I687" s="7" t="n">
        <x:f>IFERROR(IFERROR(INDEX('01_Ustawienia'!$B$15:$B$33,MATCH(B687,'01_Ustawienia'!$A$15:$A$33,0)),0.45),0.45)</x:f>
        <x:v>0.45</x:v>
      </x:c>
      <x:c r="J687" s="8" t="n">
        <x:f>IF(H687="","",ROUND(H687*(1+I687),0))</x:f>
        <x:v>37829</x:v>
      </x:c>
      <x:c r="K687" s="8" t="n">
        <x:f>IFERROR(IFERROR(INDEX(EG_Cennik_uslug!$F:$F,MATCH($A687,EG_Cennik_uslug!$A:$A,0)),0),0)</x:f>
        <x:v>4820</x:v>
      </x:c>
      <x:c r="L687" s="8" t="n">
        <x:f>IFERROR(IFERROR(INDEX(EG_Cennik_uslug!$G:$G,MATCH($A687,EG_Cennik_uslug!$A:$A,0)),0),0)</x:f>
        <x:v>1800</x:v>
      </x:c>
      <x:c r="M687" s="7" t="n">
        <x:f>IF('01_Ustawienia'!$B$4="ZWOLNIONY",0,'01_Ustawienia'!$B$7)</x:f>
        <x:v>0.08</x:v>
      </x:c>
      <x:c r="N687" s="8" t="n">
        <x:f>IF(J687="","",ROUND((J687+K687)*(1+M687),0))</x:f>
        <x:v>46061</x:v>
      </x:c>
      <x:c r="O687" s="8" t="n">
        <x:f>IF(J687="","",J687+K687-H687-L687)</x:f>
        <x:v>14760</x:v>
      </x:c>
      <x:c r="P687" s="7" t="n">
        <x:f>IFERROR(O687/(J687+K687),"")</x:f>
        <x:v>0.3460807990808694</x:v>
      </x:c>
      <x:c r="Q687" s="6" t="inlineStr">
        <x:is>
          <x:t xml:space="preserve">RAW_ZS B/C</x:t>
        </x:is>
      </x:c>
      <x:c r="R687" s="6" t="inlineStr">
        <x:is>
          <x:t xml:space="preserve">ZADASZENIE TARASU KONSTRUKCJA</x:t>
        </x:is>
      </x:c>
      <x:c r="S687" s="6" t="inlineStr">
        <x:is>
          <x:t xml:space="preserve">crm_only</x:t>
        </x:is>
      </x:c>
      <x:c r="T687" s="6" t="inlineStr">
        <x:is>
          <x:t xml:space="preserve">Referencyjne/full; strona zwykle używa ZP + PDS</x:t>
        </x:is>
      </x:c>
    </x:row>
    <x:row r="688" s="655" customFormat="1" ht="30" customHeight="1">
      <x:c r="A688" s="6" t="inlineStr">
        <x:is>
          <x:t xml:space="preserve">450 x 906 cm</x:t>
        </x:is>
      </x:c>
      <x:c r="B688" s="6" t="inlineStr">
        <x:is>
          <x:t xml:space="preserve">OP</x:t>
        </x:is>
      </x:c>
      <x:c r="C688" s="6" t="inlineStr">
        <x:is>
          <x:t xml:space="preserve">Ogród zimowy poliwęglan - baza</x:t>
        </x:is>
      </x:c>
      <x:c r="D688" s="6" t="inlineStr">
        <x:is>
          <x:t xml:space="preserve">OGRODY POLIWĘGLAN</x:t>
        </x:is>
      </x:c>
      <x:c r="E688" s="8" t="n">
        <x:f>IFERROR(INDEX('02_RAW_INDEX'!$Z:$Z,MATCH($A688,'02_RAW_INDEX'!$A:$A,0)),"")</x:f>
        <x:v>33041</x:v>
      </x:c>
      <x:c r="F688" s="8" t="n">
        <x:f>IFERROR(INDEX('02_RAW_INDEX'!$Y:$Y,MATCH($A688,'02_RAW_INDEX'!$A:$A,0)),"")</x:f>
        <x:v>40640</x:v>
      </x:c>
      <x:c r="G688" s="7" t="n">
        <x:f>'01_Ustawienia'!$B$6</x:f>
        <x:v>0</x:v>
      </x:c>
      <x:c r="H688" s="8" t="n">
        <x:f>IF(E688="","",ROUND(IF('01_Ustawienia'!$B$5="BRUTTO",F688,E688)*(1-G688),0))</x:f>
        <x:v>33041</x:v>
      </x:c>
      <x:c r="I688" s="7" t="n">
        <x:f>IFERROR(IFERROR(INDEX('01_Ustawienia'!$B$15:$B$33,MATCH(B688,'01_Ustawienia'!$A$15:$A$33,0)),0.45),0.45)</x:f>
        <x:v>0.45</x:v>
      </x:c>
      <x:c r="J688" s="8" t="n">
        <x:f>IF(H688="","",ROUND(H688*(1+I688),0))</x:f>
        <x:v>47909</x:v>
      </x:c>
      <x:c r="K688" s="8" t="n">
        <x:f>IFERROR(IFERROR(INDEX(EG_Cennik_uslug!$N:$N,MATCH($A688,EG_Cennik_uslug!$A:$A,0)),0),0)</x:f>
        <x:v>6190</x:v>
      </x:c>
      <x:c r="L688" s="8" t="n">
        <x:f>IFERROR(IFERROR(INDEX(EG_Cennik_uslug!$O:$O,MATCH($A688,EG_Cennik_uslug!$A:$A,0)),0),0)</x:f>
        <x:v>2520</x:v>
      </x:c>
      <x:c r="M688" s="7" t="n">
        <x:f>IF('01_Ustawienia'!$B$4="ZWOLNIONY",0,'01_Ustawienia'!$B$7)</x:f>
        <x:v>0.08</x:v>
      </x:c>
      <x:c r="N688" s="8" t="n">
        <x:f>IF(J688="","",ROUND((J688+K688)*(1+M688),0))</x:f>
        <x:v>58427</x:v>
      </x:c>
      <x:c r="O688" s="8" t="n">
        <x:f>IF(J688="","",J688+K688-H688-L688)</x:f>
        <x:v>18538</x:v>
      </x:c>
      <x:c r="P688" s="7" t="n">
        <x:f>IFERROR(O688/(J688+K688),"")</x:f>
        <x:v>0.34266807149854894</x:v>
      </x:c>
      <x:c r="Q688" s="6" t="inlineStr">
        <x:is>
          <x:t xml:space="preserve">RAW_OP B/C</x:t>
        </x:is>
      </x:c>
      <x:c r="R688" s="6" t="inlineStr">
        <x:is>
          <x:t xml:space="preserve">OGRÓD ZIMOWY (KONSTRUKCJA)</x:t>
        </x:is>
      </x:c>
      <x:c r="S688" s="6" t="inlineStr">
        <x:is>
          <x:t xml:space="preserve">website+crm</x:t>
        </x:is>
      </x:c>
      <x:c r="T688" s="6" t="inlineStr">
        <x:is>
          <x:t xml:space="preserve">Do wyliczenia dopłaty za ściany</x:t>
        </x:is>
      </x:c>
    </x:row>
    <x:row r="689" s="655" customFormat="1" ht="30" customHeight="1">
      <x:c r="A689" s="6" t="inlineStr">
        <x:is>
          <x:t xml:space="preserve">450 x 906 cm</x:t>
        </x:is>
      </x:c>
      <x:c r="B689" s="6" t="inlineStr">
        <x:is>
          <x:t xml:space="preserve">OS</x:t>
        </x:is>
      </x:c>
      <x:c r="C689" s="6" t="inlineStr">
        <x:is>
          <x:t xml:space="preserve">Ogród zimowy szkło - pełna konstrukcja</x:t>
        </x:is>
      </x:c>
      <x:c r="D689" s="6" t="inlineStr">
        <x:is>
          <x:t xml:space="preserve">OGRODY SZKŁO</x:t>
        </x:is>
      </x:c>
      <x:c r="E689" s="8" t="n">
        <x:f>IFERROR(INDEX('02_RAW_INDEX'!$AL:$AL,MATCH($A689,'02_RAW_INDEX'!$A:$A,0)),"")</x:f>
        <x:v>42553</x:v>
      </x:c>
      <x:c r="F689" s="8" t="n">
        <x:f>IFERROR(INDEX('02_RAW_INDEX'!$AK:$AK,MATCH($A689,'02_RAW_INDEX'!$A:$A,0)),"")</x:f>
        <x:v>52340</x:v>
      </x:c>
      <x:c r="G689" s="7" t="n">
        <x:f>'01_Ustawienia'!$B$6</x:f>
        <x:v>0</x:v>
      </x:c>
      <x:c r="H689" s="8" t="n">
        <x:f>IF(E689="","",ROUND(IF('01_Ustawienia'!$B$5="BRUTTO",F689,E689)*(1-G689),0))</x:f>
        <x:v>42553</x:v>
      </x:c>
      <x:c r="I689" s="7" t="n">
        <x:f>IFERROR(IFERROR(INDEX('01_Ustawienia'!$B$15:$B$33,MATCH(B689,'01_Ustawienia'!$A$15:$A$33,0)),0.45),0.45)</x:f>
        <x:v>0.45</x:v>
      </x:c>
      <x:c r="J689" s="8" t="n">
        <x:f>IF(H689="","",ROUND(H689*(1+I689),0))</x:f>
        <x:v>61702</x:v>
      </x:c>
      <x:c r="K689" s="8" t="n">
        <x:f>IFERROR(IFERROR(INDEX(EG_Cennik_uslug!$N:$N,MATCH($A689,EG_Cennik_uslug!$A:$A,0)),0),0)</x:f>
        <x:v>6190</x:v>
      </x:c>
      <x:c r="L689" s="8" t="n">
        <x:f>IFERROR(IFERROR(INDEX(EG_Cennik_uslug!$O:$O,MATCH($A689,EG_Cennik_uslug!$A:$A,0)),0),0)</x:f>
        <x:v>2520</x:v>
      </x:c>
      <x:c r="M689" s="7" t="n">
        <x:f>IF('01_Ustawienia'!$B$4="ZWOLNIONY",0,'01_Ustawienia'!$B$7)</x:f>
        <x:v>0.08</x:v>
      </x:c>
      <x:c r="N689" s="8" t="n">
        <x:f>IF(J689="","",ROUND((J689+K689)*(1+M689),0))</x:f>
        <x:v>73323</x:v>
      </x:c>
      <x:c r="O689" s="8" t="n">
        <x:f>IF(J689="","",J689+K689-H689-L689)</x:f>
        <x:v>22819</x:v>
      </x:c>
      <x:c r="P689" s="7" t="n">
        <x:f>IFERROR(O689/(J689+K689),"")</x:f>
        <x:v>0.3361073469628233</x:v>
      </x:c>
      <x:c r="Q689" s="6" t="inlineStr">
        <x:is>
          <x:t xml:space="preserve">RAW_OS B/C</x:t>
        </x:is>
      </x:c>
      <x:c r="R689" s="6" t="inlineStr">
        <x:is>
          <x:t xml:space="preserve">OGRÓD ZIMOWY (KONSTRUKCJA)</x:t>
        </x:is>
      </x:c>
      <x:c r="S689" s="6" t="inlineStr">
        <x:is>
          <x:t xml:space="preserve">crm_only</x:t>
        </x:is>
      </x:c>
      <x:c r="T689" s="6" t="inlineStr">
        <x:is>
          <x:t xml:space="preserve">Referencyjne/full</x:t>
        </x:is>
      </x:c>
    </x:row>
    <x:row r="690" s="655" customFormat="1" ht="30" customHeight="1">
      <x:c r="A690" s="6" t="inlineStr">
        <x:is>
          <x:t xml:space="preserve">450 x 906 cm</x:t>
        </x:is>
      </x:c>
      <x:c r="B690" s="6" t="inlineStr">
        <x:is>
          <x:t xml:space="preserve">PDS</x:t>
        </x:is>
      </x:c>
      <x:c r="C690" s="6" t="inlineStr">
        <x:is>
          <x:t xml:space="preserve">Dopłata dach szkło przezroczyste</x:t>
        </x:is>
      </x:c>
      <x:c r="D690" s="6" t="inlineStr">
        <x:is>
          <x:t xml:space="preserve">POKRYCIE DACHU SZKŁO</x:t>
        </x:is>
      </x:c>
      <x:c r="E690" s="8" t="n">
        <x:f>IFERROR(IFERROR(INDEX('02_RAW_INDEX'!$V:$V,MATCH($A690,'02_RAW_INDEX'!$A:$A,0)),"")-IFERROR(INDEX('02_RAW_INDEX'!$D:$D,MATCH($A690,'02_RAW_INDEX'!$A:$A,0)),""),"")</x:f>
        <x:v>9512</x:v>
      </x:c>
      <x:c r="F690" s="8" t="n">
        <x:f>IFERROR(IFERROR(INDEX('02_RAW_INDEX'!$U:$U,MATCH($A690,'02_RAW_INDEX'!$A:$A,0)),"")-IFERROR(INDEX('02_RAW_INDEX'!$C:$C,MATCH($A690,'02_RAW_INDEX'!$A:$A,0)),""),"")</x:f>
        <x:v>11700</x:v>
      </x:c>
      <x:c r="G690" s="7" t="n">
        <x:f>'01_Ustawienia'!$B$6</x:f>
        <x:v>0</x:v>
      </x:c>
      <x:c r="H690" s="8" t="n">
        <x:f>IF(E690="","",ROUND(IF('01_Ustawienia'!$B$5="BRUTTO",F690,E690)*(1-G690),0))</x:f>
        <x:v>9512</x:v>
      </x:c>
      <x:c r="I690" s="7" t="n">
        <x:f>IFERROR(IFERROR(INDEX('01_Ustawienia'!$B$15:$B$33,MATCH(B690,'01_Ustawienia'!$A$15:$A$33,0)),0.45),0.45)</x:f>
        <x:v>0.45</x:v>
      </x:c>
      <x:c r="J690" s="8" t="n">
        <x:f>IF(H690="","",ROUND(H690*(1+I690),0))</x:f>
        <x:v>13792</x:v>
      </x:c>
      <x:c r="K690" s="8" t="n">
        <x:f>0</x:f>
        <x:v>0</x:v>
      </x:c>
      <x:c r="L690" s="8" t="n">
        <x:v>0</x:v>
      </x:c>
      <x:c r="M690" s="7" t="n">
        <x:f>IF('01_Ustawienia'!$B$4="ZWOLNIONY",0,'01_Ustawienia'!$B$7)</x:f>
        <x:v>0.08</x:v>
      </x:c>
      <x:c r="N690" s="8" t="n">
        <x:f>IF(J690="","",ROUND((J690+K690)*(1+M690),0))</x:f>
        <x:v>14895</x:v>
      </x:c>
      <x:c r="O690" s="8" t="n">
        <x:f>IF(J690="","",J690+K690-H690-L690)</x:f>
        <x:v>4280</x:v>
      </x:c>
      <x:c r="P690" s="7" t="n">
        <x:f>IFERROR(O690/(J690+K690),"")</x:f>
        <x:v>0.3103248259860789</x:v>
      </x:c>
      <x:c r="Q690" s="6" t="inlineStr">
        <x:is>
          <x:t xml:space="preserve">RAW_ZS - RAW_ZP</x:t>
        </x:is>
      </x:c>
      <x:c r="R690" s="6" t="inlineStr">
        <x:is>
          <x:t xml:space="preserve">POKRYCIE DACHU</x:t>
        </x:is>
      </x:c>
      <x:c r="S690" s="6" t="inlineStr">
        <x:is>
          <x:t xml:space="preserve">website+crm</x:t>
        </x:is>
      </x:c>
      <x:c r="T690" s="6" t="inlineStr">
        <x:is>
          <x:t xml:space="preserve">Dopłata do bazowego dachu poliwęglan | FIX17: Wynagr.+koszty = 0 dla dopłaty; nie jest osobnym montażem ekipy.</x:t>
        </x:is>
      </x:c>
    </x:row>
    <x:row r="691" s="655" customFormat="1" ht="30" customHeight="1">
      <x:c r="A691" s="6" t="inlineStr">
        <x:is>
          <x:t xml:space="preserve">450 x 906 cm</x:t>
        </x:is>
      </x:c>
      <x:c r="B691" s="6" t="inlineStr">
        <x:is>
          <x:t xml:space="preserve">PDSB</x:t>
        </x:is>
      </x:c>
      <x:c r="C691" s="6" t="inlineStr">
        <x:is>
          <x:t xml:space="preserve">Dopłata dach szkło barwione/mleczne</x:t>
        </x:is>
      </x:c>
      <x:c r="D691" s="6" t="inlineStr">
        <x:is>
          <x:t xml:space="preserve">POKRYCIE DACHU SZKŁO BARWIONE</x:t>
        </x:is>
      </x:c>
      <x:c r="E691" s="8" t="n">
        <x:f>IFERROR(INDEX('02_RAW_INDEX'!$X:$X,MATCH($A691,'02_RAW_INDEX'!$A:$A,0)),"")</x:f>
        <x:v>927</x:v>
      </x:c>
      <x:c r="F691" s="8" t="n">
        <x:f>IFERROR(INDEX('02_RAW_INDEX'!$W:$W,MATCH($A691,'02_RAW_INDEX'!$A:$A,0)),"")</x:f>
        <x:v>1140</x:v>
      </x:c>
      <x:c r="G691" s="7" t="n">
        <x:f>'01_Ustawienia'!$B$6</x:f>
        <x:v>0</x:v>
      </x:c>
      <x:c r="H691" s="8" t="n">
        <x:f>IF(E691="","",ROUND(IF('01_Ustawienia'!$B$5="BRUTTO",F691,E691)*(1-G691),0))</x:f>
        <x:v>927</x:v>
      </x:c>
      <x:c r="I691" s="7" t="n">
        <x:f>IFERROR(IFERROR(INDEX('01_Ustawienia'!$B$15:$B$33,MATCH(B691,'01_Ustawienia'!$A$15:$A$33,0)),0.45),0.45)</x:f>
        <x:v>0.45</x:v>
      </x:c>
      <x:c r="J691" s="8" t="n">
        <x:f>IF(H691="","",ROUND(H691*(1+I691),0))</x:f>
        <x:v>1344</x:v>
      </x:c>
      <x:c r="K691" s="8" t="n">
        <x:f>0</x:f>
        <x:v>0</x:v>
      </x:c>
      <x:c r="L691" s="8" t="n">
        <x:v>0</x:v>
      </x:c>
      <x:c r="M691" s="7" t="n">
        <x:f>IF('01_Ustawienia'!$B$4="ZWOLNIONY",0,'01_Ustawienia'!$B$7)</x:f>
        <x:v>0.08</x:v>
      </x:c>
      <x:c r="N691" s="8" t="n">
        <x:f>IF(J691="","",ROUND((J691+K691)*(1+M691),0))</x:f>
        <x:v>1452</x:v>
      </x:c>
      <x:c r="O691" s="8" t="n">
        <x:f>IF(J691="","",J691+K691-H691-L691)</x:f>
        <x:v>417</x:v>
      </x:c>
      <x:c r="P691" s="7" t="n">
        <x:f>IFERROR(O691/(J691+K691),"")</x:f>
        <x:v>0.31026785714285715</x:v>
      </x:c>
      <x:c r="Q691" s="6" t="inlineStr">
        <x:is>
          <x:t xml:space="preserve">RAW_ZS D/E</x:t>
        </x:is>
      </x:c>
      <x:c r="R691" s="6" t="inlineStr">
        <x:is>
          <x:t xml:space="preserve">POKRYCIE DACHU</x:t>
        </x:is>
      </x:c>
      <x:c r="S691" s="6" t="inlineStr">
        <x:is>
          <x:t xml:space="preserve">website+crm</x:t>
        </x:is>
      </x:c>
      <x:c r="T691" s="6" t="inlineStr">
        <x:is>
          <x:t xml:space="preserve">Dodawane do PDS | FIX17: Wynagr.+koszty = 0 dla dopłaty; nie jest osobnym montażem ekipy.</x:t>
        </x:is>
      </x:c>
    </x:row>
    <x:row r="692" s="655" customFormat="1" ht="30" customHeight="1">
      <x:c r="A692" s="6" t="inlineStr">
        <x:is>
          <x:t xml:space="preserve">450 x 906 cm</x:t>
        </x:is>
      </x:c>
      <x:c r="B692" s="6" t="inlineStr">
        <x:is>
          <x:t xml:space="preserve">PDPB</x:t>
        </x:is>
      </x:c>
      <x:c r="C692" s="6" t="inlineStr">
        <x:is>
          <x:t xml:space="preserve">Dopłata poliwęglan barwiony</x:t>
        </x:is>
      </x:c>
      <x:c r="D692" s="6" t="inlineStr">
        <x:is>
          <x:t xml:space="preserve">POKRYCIE DACHU POLIWĘGLAN BARWIONY</x:t>
        </x:is>
      </x:c>
      <x:c r="E692" s="8" t="n">
        <x:f>IFERROR(INDEX('02_RAW_INDEX'!$F:$F,MATCH($A692,'02_RAW_INDEX'!$A:$A,0)),"")</x:f>
        <x:v>699</x:v>
      </x:c>
      <x:c r="F692" s="8" t="n">
        <x:f>IFERROR(INDEX('02_RAW_INDEX'!$E:$E,MATCH($A692,'02_RAW_INDEX'!$A:$A,0)),"")</x:f>
        <x:v>860</x:v>
      </x:c>
      <x:c r="G692" s="7" t="n">
        <x:f>'01_Ustawienia'!$B$6</x:f>
        <x:v>0</x:v>
      </x:c>
      <x:c r="H692" s="8" t="n">
        <x:f>IF(E692="","",ROUND(IF('01_Ustawienia'!$B$5="BRUTTO",F692,E692)*(1-G692),0))</x:f>
        <x:v>699</x:v>
      </x:c>
      <x:c r="I692" s="7" t="n">
        <x:f>IFERROR(IFERROR(INDEX('01_Ustawienia'!$B$15:$B$33,MATCH(B692,'01_Ustawienia'!$A$15:$A$33,0)),0.45),0.45)</x:f>
        <x:v>0.45</x:v>
      </x:c>
      <x:c r="J692" s="8" t="n">
        <x:f>IF(H692="","",ROUND(H692*(1+I692),0))</x:f>
        <x:v>1014</x:v>
      </x:c>
      <x:c r="K692" s="8" t="n">
        <x:f>0</x:f>
        <x:v>0</x:v>
      </x:c>
      <x:c r="L692" s="8" t="n">
        <x:v>0</x:v>
      </x:c>
      <x:c r="M692" s="7" t="n">
        <x:f>IF('01_Ustawienia'!$B$4="ZWOLNIONY",0,'01_Ustawienia'!$B$7)</x:f>
        <x:v>0.08</x:v>
      </x:c>
      <x:c r="N692" s="8" t="n">
        <x:f>IF(J692="","",ROUND((J692+K692)*(1+M692),0))</x:f>
        <x:v>1095</x:v>
      </x:c>
      <x:c r="O692" s="8" t="n">
        <x:f>IF(J692="","",J692+K692-H692-L692)</x:f>
        <x:v>315</x:v>
      </x:c>
      <x:c r="P692" s="7" t="n">
        <x:f>IFERROR(O692/(J692+K692),"")</x:f>
        <x:v>0.3106508875739645</x:v>
      </x:c>
      <x:c r="Q692" s="6" t="inlineStr">
        <x:is>
          <x:t xml:space="preserve">RAW_ZP D/E</x:t>
        </x:is>
      </x:c>
      <x:c r="R692" s="6" t="inlineStr">
        <x:is>
          <x:t xml:space="preserve">POKRYCIE DACHU</x:t>
        </x:is>
      </x:c>
      <x:c r="S692" s="6" t="inlineStr">
        <x:is>
          <x:t xml:space="preserve">website+crm</x:t>
        </x:is>
      </x:c>
      <x:c r="T692" s="6" t="inlineStr">
        <x:is>
          <x:t xml:space="preserve">FIX17: Wynagr.+koszty = 0 dla dopłaty; nie jest osobnym montażem ekipy.</x:t>
        </x:is>
      </x:c>
    </x:row>
    <x:row r="693" s="655" customFormat="1" ht="30" customHeight="1">
      <x:c r="A693" s="6" t="inlineStr">
        <x:is>
          <x:t xml:space="preserve">450 x 906 cm</x:t>
        </x:is>
      </x:c>
      <x:c r="B693" s="6" t="inlineStr">
        <x:is>
          <x:t xml:space="preserve">SBB</x:t>
        </x:is>
      </x:c>
      <x:c r="C693" s="6" t="inlineStr">
        <x:is>
          <x:t xml:space="preserve">Dopłata szkło boczne przyciemniane</x:t>
        </x:is>
      </x:c>
      <x:c r="D693" s="6" t="inlineStr">
        <x:is>
          <x:t xml:space="preserve">SZKŁO BOCZNE BARWIONE</x:t>
        </x:is>
      </x:c>
      <x:c r="E693" s="8" t="n">
        <x:f>IFERROR(INDEX('02_RAW_INDEX'!$AB:$AB,MATCH($A693,'02_RAW_INDEX'!$A:$A,0)),"")</x:f>
        <x:v>1854</x:v>
      </x:c>
      <x:c r="F693" s="8" t="n">
        <x:f>IFERROR(INDEX('02_RAW_INDEX'!$AA:$AA,MATCH($A693,'02_RAW_INDEX'!$A:$A,0)),"")</x:f>
        <x:v>2280</x:v>
      </x:c>
      <x:c r="G693" s="7" t="n">
        <x:f>'01_Ustawienia'!$B$6</x:f>
        <x:v>0</x:v>
      </x:c>
      <x:c r="H693" s="8" t="n">
        <x:f>IF(E693="","",ROUND(IF('01_Ustawienia'!$B$5="BRUTTO",F693,E693)*(1-G693),0))</x:f>
        <x:v>1854</x:v>
      </x:c>
      <x:c r="I693" s="7" t="n">
        <x:f>IFERROR(IFERROR(INDEX('01_Ustawienia'!$B$15:$B$33,MATCH(B693,'01_Ustawienia'!$A$15:$A$33,0)),0.45),0.45)</x:f>
        <x:v>0.45</x:v>
      </x:c>
      <x:c r="J693" s="8" t="n">
        <x:f>IF(H693="","",ROUND(H693*(1+I693),0))</x:f>
        <x:v>2688</x:v>
      </x:c>
      <x:c r="K693" s="8" t="n">
        <x:f>0</x:f>
        <x:v>0</x:v>
      </x:c>
      <x:c r="L693" s="8" t="n">
        <x:v>0</x:v>
      </x:c>
      <x:c r="M693" s="7" t="n">
        <x:f>IF('01_Ustawienia'!$B$4="ZWOLNIONY",0,'01_Ustawienia'!$B$7)</x:f>
        <x:v>0.08</x:v>
      </x:c>
      <x:c r="N693" s="8" t="n">
        <x:f>IF(J693="","",ROUND((J693+K693)*(1+M693),0))</x:f>
        <x:v>2903</x:v>
      </x:c>
      <x:c r="O693" s="8" t="n">
        <x:f>IF(J693="","",J693+K693-H693-L693)</x:f>
        <x:v>834</x:v>
      </x:c>
      <x:c r="P693" s="7" t="n">
        <x:f>IFERROR(O693/(J693+K693),"")</x:f>
        <x:v>0.31026785714285715</x:v>
      </x:c>
      <x:c r="Q693" s="6" t="inlineStr">
        <x:is>
          <x:t xml:space="preserve">RAW_OP H/I</x:t>
        </x:is>
      </x:c>
      <x:c r="R693" s="6" t="inlineStr">
        <x:is>
          <x:t xml:space="preserve">SZYBY BOCZNE</x:t>
        </x:is>
      </x:c>
      <x:c r="S693" s="6" t="inlineStr">
        <x:is>
          <x:t xml:space="preserve">website+crm</x:t>
        </x:is>
      </x:c>
      <x:c r="T693" s="6" t="inlineStr">
        <x:is>
          <x:t xml:space="preserve">Dodawane do ścian przezroczystych | FIX17: Wynagr.+koszty = 0 dla dopłaty; nie jest osobnym montażem ekipy.</x:t>
        </x:is>
      </x:c>
    </x:row>
    <x:row r="694">
      <x:c r="A694" s="6" t="inlineStr">
        <x:is>
          <x:t xml:space="preserve">450 x 906 cm</x:t>
        </x:is>
      </x:c>
      <x:c r="B694" s="6" t="inlineStr">
        <x:is>
          <x:t xml:space="preserve">RB</x:t>
        </x:is>
      </x:c>
      <x:c r="C694" s="6" t="inlineStr">
        <x:is>
          <x:t xml:space="preserve">Roleta boczna ZIP</x:t>
        </x:is>
      </x:c>
      <x:c r="D694" s="6" t="inlineStr">
        <x:is>
          <x:t xml:space="preserve">ROLETA BOCZNA</x:t>
        </x:is>
      </x:c>
      <x:c r="E694" s="8" t="n">
        <x:f>IFERROR(INDEX('02_RAW_INDEX'!$J:$J,MATCH($A694,'02_RAW_INDEX'!$A:$A,0)),"")</x:f>
        <x:v>2569</x:v>
      </x:c>
      <x:c r="F694" s="8" t="n">
        <x:f>IFERROR(INDEX('02_RAW_INDEX'!$I:$I,MATCH($A694,'02_RAW_INDEX'!$A:$A,0)),"")</x:f>
        <x:v>3160</x:v>
      </x:c>
      <x:c r="G694" s="7" t="n">
        <x:f>'01_Ustawienia'!$B$6</x:f>
        <x:v>0</x:v>
      </x:c>
      <x:c r="H694" s="8" t="n">
        <x:f>IF(E694="","",ROUND(IF('01_Ustawienia'!$B$5="BRUTTO",F694,E694)*(1-G694),0))</x:f>
        <x:v>2569</x:v>
      </x:c>
      <x:c r="I694" s="7" t="n">
        <x:f>IFERROR(IFERROR(INDEX('01_Ustawienia'!$B$15:$B$33,MATCH(B694,'01_Ustawienia'!$A$15:$A$33,0)),0.45),0.45)</x:f>
        <x:v>0.45</x:v>
      </x:c>
      <x:c r="J694" s="8" t="n">
        <x:f>IF(H694="","",ROUND(H694*(1+I694),0))</x:f>
        <x:v>3725</x:v>
      </x:c>
      <x:c r="K694" s="8" t="n">
        <x:f>0</x:f>
        <x:v>0</x:v>
      </x:c>
      <x:c r="L694" s="8" t="n">
        <x:f>IFERROR(IFERROR(INDEX(EG_Cennik_uslug!$AC:$AC,MATCH($A694,EG_Cennik_uslug!$A:$A,0)),0),0)</x:f>
        <x:v>150</x:v>
      </x:c>
      <x:c r="M694" s="7" t="n">
        <x:f>IF('01_Ustawienia'!$B$4="ZWOLNIONY",0,'01_Ustawienia'!$B$7)</x:f>
        <x:v>0.08</x:v>
      </x:c>
      <x:c r="N694" s="8" t="n">
        <x:f>IF(J694="","",ROUND((J694+K694)*(1+M694),0))</x:f>
        <x:v>4023</x:v>
      </x:c>
      <x:c r="O694" s="8" t="n">
        <x:f>IF(J694="","",J694+K694-H694-L694)</x:f>
        <x:v>1006</x:v>
      </x:c>
      <x:c r="P694" s="7" t="n">
        <x:f>IFERROR(O694/(J694+K694),"")</x:f>
        <x:v>0.2700671140939597</x:v>
      </x:c>
      <x:c r="Q694" s="6" t="inlineStr">
        <x:is>
          <x:t xml:space="preserve">RAW_ZP J/K</x:t>
        </x:is>
      </x:c>
      <x:c r="R694" s="6" t="inlineStr">
        <x:is>
          <x:t xml:space="preserve">ROLETY BOCZNE</x:t>
        </x:is>
      </x:c>
      <x:c r="S694" s="6" t="inlineStr">
        <x:is>
          <x:t xml:space="preserve">website+crm</x:t>
        </x:is>
      </x:c>
      <x:c r="T694" s="6" t="inlineStr">
        <x:is>
          <x:t xml:space="preserve">Używana dla lewej i prawej</x:t>
        </x:is>
      </x:c>
    </x:row>
    <x:row r="695">
      <x:c r="A695" s="6" t="inlineStr">
        <x:is>
          <x:t xml:space="preserve">450 x 906 cm</x:t>
        </x:is>
      </x:c>
      <x:c r="B695" s="6" t="inlineStr">
        <x:is>
          <x:t xml:space="preserve">RP</x:t>
        </x:is>
      </x:c>
      <x:c r="C695" s="6" t="inlineStr">
        <x:is>
          <x:t xml:space="preserve">Roleta przednia ZIP</x:t>
        </x:is>
      </x:c>
      <x:c r="D695" s="6" t="inlineStr">
        <x:is>
          <x:t xml:space="preserve">ROLETA PRZÓD</x:t>
        </x:is>
      </x:c>
      <x:c r="E695" s="8" t="n">
        <x:f>IFERROR(INDEX('02_RAW_INDEX'!$L:$L,MATCH($A695,'02_RAW_INDEX'!$A:$A,0)),"")</x:f>
        <x:v>5203</x:v>
      </x:c>
      <x:c r="F695" s="8" t="n">
        <x:f>IFERROR(INDEX('02_RAW_INDEX'!$K:$K,MATCH($A695,'02_RAW_INDEX'!$A:$A,0)),"")</x:f>
        <x:v>6400</x:v>
      </x:c>
      <x:c r="G695" s="7" t="n">
        <x:f>'01_Ustawienia'!$B$6</x:f>
        <x:v>0</x:v>
      </x:c>
      <x:c r="H695" s="8" t="n">
        <x:f>IF(E695="","",ROUND(IF('01_Ustawienia'!$B$5="BRUTTO",F695,E695)*(1-G695),0))</x:f>
        <x:v>5203</x:v>
      </x:c>
      <x:c r="I695" s="7" t="n">
        <x:f>IFERROR(IFERROR(INDEX('01_Ustawienia'!$B$15:$B$33,MATCH(B695,'01_Ustawienia'!$A$15:$A$33,0)),0.45),0.45)</x:f>
        <x:v>0.45</x:v>
      </x:c>
      <x:c r="J695" s="8" t="n">
        <x:f>IF(H695="","",ROUND(H695*(1+I695),0))</x:f>
        <x:v>7544</x:v>
      </x:c>
      <x:c r="K695" s="8" t="n">
        <x:f>0</x:f>
        <x:v>0</x:v>
      </x:c>
      <x:c r="L695" s="8" t="n">
        <x:f>IFERROR(IFERROR(INDEX(EG_Cennik_uslug!$AJ:$AJ,MATCH($A695,EG_Cennik_uslug!$A:$A,0)),0),0)</x:f>
        <x:v>450</x:v>
      </x:c>
      <x:c r="M695" s="7" t="n">
        <x:f>IF('01_Ustawienia'!$B$4="ZWOLNIONY",0,'01_Ustawienia'!$B$7)</x:f>
        <x:v>0.08</x:v>
      </x:c>
      <x:c r="N695" s="8" t="n">
        <x:f>IF(J695="","",ROUND((J695+K695)*(1+M695),0))</x:f>
        <x:v>8148</x:v>
      </x:c>
      <x:c r="O695" s="8" t="n">
        <x:f>IF(J695="","",J695+K695-H695-L695)</x:f>
        <x:v>1891</x:v>
      </x:c>
      <x:c r="P695" s="7" t="n">
        <x:f>IFERROR(O695/(J695+K695),"")</x:f>
        <x:v>0.2506627783669141</x:v>
      </x:c>
      <x:c r="Q695" s="6" t="inlineStr">
        <x:is>
          <x:t xml:space="preserve">RAW_ZP N/O</x:t>
        </x:is>
      </x:c>
      <x:c r="R695" s="6" t="inlineStr">
        <x:is>
          <x:t xml:space="preserve">ROLETY BOCZNE</x:t>
        </x:is>
      </x:c>
      <x:c r="S695" s="6" t="inlineStr">
        <x:is>
          <x:t xml:space="preserve">website+crm</x:t>
        </x:is>
      </x:c>
      <x:c r="T695" s="6" t="n"/>
    </x:row>
    <x:row r="696">
      <x:c r="A696" s="6" t="inlineStr">
        <x:is>
          <x:t xml:space="preserve">450 x 906 cm</x:t>
        </x:is>
      </x:c>
      <x:c r="B696" s="6" t="inlineStr">
        <x:is>
          <x:t xml:space="preserve">M</x:t>
        </x:is>
      </x:c>
      <x:c r="C696" s="6" t="inlineStr">
        <x:is>
          <x:t xml:space="preserve">Markiza dachowa</x:t>
        </x:is>
      </x:c>
      <x:c r="D696" s="6" t="inlineStr">
        <x:is>
          <x:t xml:space="preserve">MARKIZA</x:t>
        </x:is>
      </x:c>
      <x:c r="E696" s="8" t="n">
        <x:f>IFERROR(INDEX('02_RAW_INDEX'!$H:$H,MATCH($A696,'02_RAW_INDEX'!$A:$A,0)),"")</x:f>
        <x:v>8203</x:v>
      </x:c>
      <x:c r="F696" s="8" t="n">
        <x:f>IFERROR(INDEX('02_RAW_INDEX'!$G:$G,MATCH($A696,'02_RAW_INDEX'!$A:$A,0)),"")</x:f>
        <x:v>10090</x:v>
      </x:c>
      <x:c r="G696" s="7" t="n">
        <x:f>'01_Ustawienia'!$B$6</x:f>
        <x:v>0</x:v>
      </x:c>
      <x:c r="H696" s="8" t="n">
        <x:f>IF(E696="","",ROUND(IF('01_Ustawienia'!$B$5="BRUTTO",F696,E696)*(1-G696),0))</x:f>
        <x:v>8203</x:v>
      </x:c>
      <x:c r="I696" s="7" t="n">
        <x:f>IFERROR(IFERROR(INDEX('01_Ustawienia'!$B$15:$B$33,MATCH(B696,'01_Ustawienia'!$A$15:$A$33,0)),0.45),0.45)</x:f>
        <x:v>0.45</x:v>
      </x:c>
      <x:c r="J696" s="8" t="n">
        <x:f>IF(H696="","",ROUND(H696*(1+I696),0))</x:f>
        <x:v>11894</x:v>
      </x:c>
      <x:c r="K696" s="8" t="n">
        <x:f>0</x:f>
        <x:v>0</x:v>
      </x:c>
      <x:c r="L696" s="8" t="n">
        <x:f>IFERROR(IFERROR(INDEX(EG_Cennik_uslug!$AQ:$AQ,MATCH($A696,EG_Cennik_uslug!$A:$A,0)),0),0)</x:f>
        <x:v>550</x:v>
      </x:c>
      <x:c r="M696" s="7" t="n">
        <x:f>IF('01_Ustawienia'!$B$4="ZWOLNIONY",0,'01_Ustawienia'!$B$7)</x:f>
        <x:v>0.08</x:v>
      </x:c>
      <x:c r="N696" s="8" t="n">
        <x:f>IF(J696="","",ROUND((J696+K696)*(1+M696),0))</x:f>
        <x:v>12846</x:v>
      </x:c>
      <x:c r="O696" s="8" t="n">
        <x:f>IF(J696="","",J696+K696-H696-L696)</x:f>
        <x:v>3141</x:v>
      </x:c>
      <x:c r="P696" s="7" t="n">
        <x:f>IFERROR(O696/(J696+K696),"")</x:f>
        <x:v>0.2640827307886329</x:v>
      </x:c>
      <x:c r="Q696" s="6" t="inlineStr">
        <x:is>
          <x:t xml:space="preserve">RAW_ZP H/I</x:t>
        </x:is>
      </x:c>
      <x:c r="R696" s="6" t="inlineStr">
        <x:is>
          <x:t xml:space="preserve">MARKIZA</x:t>
        </x:is>
      </x:c>
      <x:c r="S696" s="6" t="inlineStr">
        <x:is>
          <x:t xml:space="preserve">website+crm</x:t>
        </x:is>
      </x:c>
      <x:c r="T696" s="6" t="n"/>
    </x:row>
    <x:row r="697">
      <x:c r="A697" s="6" t="inlineStr">
        <x:is>
          <x:t xml:space="preserve">450 x 906 cm</x:t>
        </x:is>
      </x:c>
      <x:c r="B697" s="6" t="inlineStr">
        <x:is>
          <x:t xml:space="preserve">PDWP</x:t>
        </x:is>
      </x:c>
      <x:c r="C697" s="6" t="inlineStr">
        <x:is>
          <x:t xml:space="preserve">Fundament/profile</x:t>
        </x:is>
      </x:c>
      <x:c r="D697" s="6" t="inlineStr">
        <x:is>
          <x:t xml:space="preserve">FUNDAMENT / PROFILE</x:t>
        </x:is>
      </x:c>
      <x:c r="E697" s="8" t="n">
        <x:f>IFERROR(INDEX('02_RAW_INDEX'!$AH:$AH,MATCH($A697,'02_RAW_INDEX'!$A:$A,0)),"")</x:f>
        <x:v>1423</x:v>
      </x:c>
      <x:c r="F697" s="8" t="n">
        <x:f>IFERROR(INDEX('02_RAW_INDEX'!$AG:$AG,MATCH($A697,'02_RAW_INDEX'!$A:$A,0)),"")</x:f>
        <x:v>1750</x:v>
      </x:c>
      <x:c r="G697" s="7" t="n">
        <x:f>'01_Ustawienia'!$B$6</x:f>
        <x:v>0</x:v>
      </x:c>
      <x:c r="H697" s="8" t="n">
        <x:f>IF(E697="","",ROUND(IF('01_Ustawienia'!$B$5="BRUTTO",F697,E697)*(1-G697),0))</x:f>
        <x:v>1423</x:v>
      </x:c>
      <x:c r="I697" s="7" t="n">
        <x:f>IFERROR(IFERROR(INDEX('01_Ustawienia'!$B$15:$B$33,MATCH(B697,'01_Ustawienia'!$A$15:$A$33,0)),0.45),0.45)</x:f>
        <x:v>1.2</x:v>
      </x:c>
      <x:c r="J697" s="8" t="n">
        <x:f>IF(H697="","",ROUND(H697*(1+I697),0))</x:f>
        <x:v>3131</x:v>
      </x:c>
      <x:c r="K697" s="8" t="n">
        <x:f>0</x:f>
        <x:v>0</x:v>
      </x:c>
      <x:c r="L697" s="8" t="n">
        <x:f>IFERROR(IFERROR(INDEX(EG_Cennik_uslug!$BT:$BT,MATCH($A697,EG_Cennik_uslug!$A:$A,0)),0),0)</x:f>
        <x:v>610</x:v>
      </x:c>
      <x:c r="M697" s="7" t="n">
        <x:f>IF('01_Ustawienia'!$B$4="ZWOLNIONY",0,'01_Ustawienia'!$B$7)</x:f>
        <x:v>0.08</x:v>
      </x:c>
      <x:c r="N697" s="8" t="n">
        <x:f>IF(J697="","",ROUND((J697+K697)*(1+M697),0))</x:f>
        <x:v>3381</x:v>
      </x:c>
      <x:c r="O697" s="8" t="n">
        <x:f>IF(J697="","",J697+K697-H697-L697)</x:f>
        <x:v>1098</x:v>
      </x:c>
      <x:c r="P697" s="7" t="n">
        <x:f>IFERROR(O697/(J697+K697),"")</x:f>
        <x:v>0.35068668157138294</x:v>
      </x:c>
      <x:c r="Q697" s="6" t="inlineStr">
        <x:is>
          <x:t xml:space="preserve">RAW_OP AB/AC</x:t>
        </x:is>
      </x:c>
      <x:c r="R697" s="6" t="inlineStr">
        <x:is>
          <x:t xml:space="preserve">FUNDAMENT (PROFILE)</x:t>
        </x:is>
      </x:c>
      <x:c r="S697" s="6" t="inlineStr">
        <x:is>
          <x:t xml:space="preserve">website+crm</x:t>
        </x:is>
      </x:c>
      <x:c r="T697" s="6" t="n"/>
    </x:row>
    <x:row r="698" s="655" customFormat="1" ht="30" customHeight="1">
      <x:c r="A698" s="6" t="inlineStr">
        <x:is>
          <x:t xml:space="preserve">450 x 906 cm</x:t>
        </x:is>
      </x:c>
      <x:c r="B698" s="6" t="inlineStr">
        <x:is>
          <x:t xml:space="preserve">ZAB</x:t>
        </x:is>
      </x:c>
      <x:c r="C698" s="6" t="inlineStr">
        <x:is>
          <x:t xml:space="preserve">Zabieraki do ścian przesuwnych</x:t>
        </x:is>
      </x:c>
      <x:c r="D698" s="6" t="inlineStr">
        <x:is>
          <x:t xml:space="preserve">DODATKI</x:t>
        </x:is>
      </x:c>
      <x:c r="E698" s="8" t="n">
        <x:f>IFERROR(INDEX('02_RAW_INDEX'!$AJ:$AJ,MATCH($A698,'02_RAW_INDEX'!$A:$A,0)),"")</x:f>
        <x:v>455</x:v>
      </x:c>
      <x:c r="F698" s="8" t="n">
        <x:f>IFERROR(INDEX('02_RAW_INDEX'!$AI:$AI,MATCH($A698,'02_RAW_INDEX'!$A:$A,0)),"")</x:f>
        <x:v>560</x:v>
      </x:c>
      <x:c r="G698" s="7" t="n">
        <x:f>'01_Ustawienia'!$B$6</x:f>
        <x:v>0</x:v>
      </x:c>
      <x:c r="H698" s="8" t="n">
        <x:f>IF(E698="","",ROUND(IF('01_Ustawienia'!$B$5="BRUTTO",F698,E698)*(1-G698),0))</x:f>
        <x:v>455</x:v>
      </x:c>
      <x:c r="I698" s="7" t="n">
        <x:f>IFERROR(IFERROR(INDEX('01_Ustawienia'!$B$15:$B$33,MATCH(B698,'01_Ustawienia'!$A$15:$A$33,0)),0.45),0.45)</x:f>
        <x:v>0.45</x:v>
      </x:c>
      <x:c r="J698" s="8" t="n">
        <x:f>IF(H698="","",ROUND(H698*(1+I698),0))</x:f>
        <x:v>660</x:v>
      </x:c>
      <x:c r="K698" s="8" t="n">
        <x:f>0</x:f>
        <x:v>0</x:v>
      </x:c>
      <x:c r="L698" s="8" t="n">
        <x:f>0</x:f>
        <x:v>0</x:v>
      </x:c>
      <x:c r="M698" s="7" t="n">
        <x:f>IF('01_Ustawienia'!$B$4="ZWOLNIONY",0,'01_Ustawienia'!$B$7)</x:f>
        <x:v>0.08</x:v>
      </x:c>
      <x:c r="N698" s="8" t="n">
        <x:f>IF(J698="","",ROUND((J698+K698)*(1+M698),0))</x:f>
        <x:v>713</x:v>
      </x:c>
      <x:c r="O698" s="8" t="n">
        <x:f>IF(J698="","",J698+K698-H698-L698)</x:f>
        <x:v>205</x:v>
      </x:c>
      <x:c r="P698" s="7" t="n">
        <x:f>IFERROR(O698/(J698+K698),"")</x:f>
        <x:v>0.3106060606060606</x:v>
      </x:c>
      <x:c r="Q698" s="6" t="inlineStr">
        <x:is>
          <x:t xml:space="preserve">RAW_OP AD/AE</x:t>
        </x:is>
      </x:c>
      <x:c r="R698" s="6" t="inlineStr">
        <x:is>
          <x:t xml:space="preserve">DODATKI</x:t>
        </x:is>
      </x:c>
      <x:c r="S698" s="6" t="inlineStr">
        <x:is>
          <x:t xml:space="preserve">crm_only</x:t>
        </x:is>
      </x:c>
      <x:c r="T698" s="6" t="n"/>
    </x:row>
    <x:row r="699">
      <x:c r="A699" s="6" t="inlineStr">
        <x:is>
          <x:t xml:space="preserve">450 x 906 cm</x:t>
        </x:is>
      </x:c>
      <x:c r="B699" s="6" t="inlineStr">
        <x:is>
          <x:t xml:space="preserve">S</x:t>
        </x:is>
      </x:c>
      <x:c r="C699" s="6" t="inlineStr">
        <x:is>
          <x:t xml:space="preserve">Szczotki przeciwkurzowe</x:t>
        </x:is>
      </x:c>
      <x:c r="D699" s="6" t="inlineStr">
        <x:is>
          <x:t xml:space="preserve">SZCZOTKI</x:t>
        </x:is>
      </x:c>
      <x:c r="E699" s="8" t="n">
        <x:f>IFERROR(INDEX('02_RAW_INDEX'!$AD:$AD,MATCH($A699,'02_RAW_INDEX'!$A:$A,0)),"")</x:f>
        <x:v>585</x:v>
      </x:c>
      <x:c r="F699" s="8" t="n">
        <x:f>IFERROR(INDEX('02_RAW_INDEX'!$AC:$AC,MATCH($A699,'02_RAW_INDEX'!$A:$A,0)),"")</x:f>
        <x:v>720</x:v>
      </x:c>
      <x:c r="G699" s="7" t="n">
        <x:f>'01_Ustawienia'!$B$6</x:f>
        <x:v>0</x:v>
      </x:c>
      <x:c r="H699" s="8" t="n">
        <x:f>IF(E699="","",ROUND(IF('01_Ustawienia'!$B$5="BRUTTO",F699,E699)*(1-G699),0))</x:f>
        <x:v>585</x:v>
      </x:c>
      <x:c r="I699" s="7" t="n">
        <x:f>IFERROR(IFERROR(INDEX('01_Ustawienia'!$B$15:$B$33,MATCH(B699,'01_Ustawienia'!$A$15:$A$33,0)),0.45),0.45)</x:f>
        <x:v>0.45</x:v>
      </x:c>
      <x:c r="J699" s="8" t="n">
        <x:f>IF(H699="","",ROUND(H699*(1+I699),0))</x:f>
        <x:v>848</x:v>
      </x:c>
      <x:c r="K699" s="8" t="n">
        <x:f>0</x:f>
        <x:v>0</x:v>
      </x:c>
      <x:c r="L699" s="8" t="n">
        <x:f>IFERROR(IFERROR(INDEX(EG_Cennik_uslug!$CA:$CA,MATCH($A699,EG_Cennik_uslug!$A:$A,0)),0),0)</x:f>
        <x:v>0</x:v>
      </x:c>
      <x:c r="M699" s="7" t="n">
        <x:f>IF('01_Ustawienia'!$B$4="ZWOLNIONY",0,'01_Ustawienia'!$B$7)</x:f>
        <x:v>0.08</x:v>
      </x:c>
      <x:c r="N699" s="8" t="n">
        <x:f>IF(J699="","",ROUND((J699+K699)*(1+M699),0))</x:f>
        <x:v>916</x:v>
      </x:c>
      <x:c r="O699" s="8" t="n">
        <x:f>IF(J699="","",J699+K699-H699-L699)</x:f>
        <x:v>263</x:v>
      </x:c>
      <x:c r="P699" s="7" t="n">
        <x:f>IFERROR(O699/(J699+K699),"")</x:f>
        <x:v>0.31014150943396224</x:v>
      </x:c>
      <x:c r="Q699" s="6" t="inlineStr">
        <x:is>
          <x:t xml:space="preserve">RAW_OP L/M</x:t>
        </x:is>
      </x:c>
      <x:c r="R699" s="6" t="inlineStr">
        <x:is>
          <x:t xml:space="preserve">DODATKI</x:t>
        </x:is>
      </x:c>
      <x:c r="S699" s="6" t="inlineStr">
        <x:is>
          <x:t xml:space="preserve">website+crm</x:t>
        </x:is>
      </x:c>
      <x:c r="T699" s="6" t="n"/>
    </x:row>
    <x:row r="700">
      <x:c r="A700" s="6" t="inlineStr">
        <x:is>
          <x:t xml:space="preserve">450 x 906 cm</x:t>
        </x:is>
      </x:c>
      <x:c r="B700" s="6" t="inlineStr">
        <x:is>
          <x:t xml:space="preserve">U</x:t>
        </x:is>
      </x:c>
      <x:c r="C700" s="6" t="inlineStr">
        <x:is>
          <x:t xml:space="preserve">Uchwyty na szkło ścienne</x:t>
        </x:is>
      </x:c>
      <x:c r="D700" s="6" t="inlineStr">
        <x:is>
          <x:t xml:space="preserve">UCHWYTY</x:t>
        </x:is>
      </x:c>
      <x:c r="E700" s="8" t="n">
        <x:f>IFERROR(INDEX('02_RAW_INDEX'!$AF:$AF,MATCH($A700,'02_RAW_INDEX'!$A:$A,0)),"")</x:f>
        <x:v>528</x:v>
      </x:c>
      <x:c r="F700" s="8" t="n">
        <x:f>IFERROR(INDEX('02_RAW_INDEX'!$AE:$AE,MATCH($A700,'02_RAW_INDEX'!$A:$A,0)),"")</x:f>
        <x:v>650</x:v>
      </x:c>
      <x:c r="G700" s="7" t="n">
        <x:f>'01_Ustawienia'!$B$6</x:f>
        <x:v>0</x:v>
      </x:c>
      <x:c r="H700" s="8" t="n">
        <x:f>IF(E700="","",ROUND(IF('01_Ustawienia'!$B$5="BRUTTO",F700,E700)*(1-G700),0))</x:f>
        <x:v>528</x:v>
      </x:c>
      <x:c r="I700" s="7" t="n">
        <x:f>IFERROR(IFERROR(INDEX('01_Ustawienia'!$B$15:$B$33,MATCH(B700,'01_Ustawienia'!$A$15:$A$33,0)),0.45),0.45)</x:f>
        <x:v>0.45</x:v>
      </x:c>
      <x:c r="J700" s="8" t="n">
        <x:f>IF(H700="","",ROUND(H700*(1+I700),0))</x:f>
        <x:v>766</x:v>
      </x:c>
      <x:c r="K700" s="8" t="n">
        <x:f>0</x:f>
        <x:v>0</x:v>
      </x:c>
      <x:c r="L700" s="8" t="n">
        <x:f>IFERROR(IFERROR(INDEX(EG_Cennik_uslug!$CH:$CH,MATCH($A700,EG_Cennik_uslug!$A:$A,0)),0),0)</x:f>
        <x:v>0</x:v>
      </x:c>
      <x:c r="M700" s="7" t="n">
        <x:f>IF('01_Ustawienia'!$B$4="ZWOLNIONY",0,'01_Ustawienia'!$B$7)</x:f>
        <x:v>0.08</x:v>
      </x:c>
      <x:c r="N700" s="8" t="n">
        <x:f>IF(J700="","",ROUND((J700+K700)*(1+M700),0))</x:f>
        <x:v>827</x:v>
      </x:c>
      <x:c r="O700" s="8" t="n">
        <x:f>IF(J700="","",J700+K700-H700-L700)</x:f>
        <x:v>238</x:v>
      </x:c>
      <x:c r="P700" s="7" t="n">
        <x:f>IFERROR(O700/(J700+K700),"")</x:f>
        <x:v>0.31070496083550914</x:v>
      </x:c>
      <x:c r="Q700" s="6" t="inlineStr">
        <x:is>
          <x:t xml:space="preserve">RAW_OP N/O</x:t>
        </x:is>
      </x:c>
      <x:c r="R700" s="6" t="inlineStr">
        <x:is>
          <x:t xml:space="preserve">DODATKI</x:t>
        </x:is>
      </x:c>
      <x:c r="S700" s="6" t="inlineStr">
        <x:is>
          <x:t xml:space="preserve">website+crm</x:t>
        </x:is>
      </x:c>
      <x:c r="T700" s="6" t="n"/>
    </x:row>
    <x:row r="701">
      <x:c r="A701" s="6" t="inlineStr">
        <x:is>
          <x:t xml:space="preserve">450 x 906 cm</x:t>
        </x:is>
      </x:c>
      <x:c r="B701" s="6" t="inlineStr">
        <x:is>
          <x:t xml:space="preserve">LED2</x:t>
        </x:is>
      </x:c>
      <x:c r="C701" s="6" t="inlineStr">
        <x:is>
          <x:t xml:space="preserve">Oświetlenie LED 2 punkty</x:t>
        </x:is>
      </x:c>
      <x:c r="D701" s="6" t="inlineStr">
        <x:is>
          <x:t xml:space="preserve">LED 2 PKT</x:t>
        </x:is>
      </x:c>
      <x:c r="E701" s="8" t="n">
        <x:f>IFERROR(INDEX('02_RAW_INDEX'!$N:$N,MATCH($A701,'02_RAW_INDEX'!$A:$A,0)),"")</x:f>
        <x:v>846</x:v>
      </x:c>
      <x:c r="F701" s="8" t="n">
        <x:f>IFERROR(INDEX('02_RAW_INDEX'!$M:$M,MATCH($A701,'02_RAW_INDEX'!$A:$A,0)),"")</x:f>
        <x:v>1040</x:v>
      </x:c>
      <x:c r="G701" s="7" t="n">
        <x:f>'01_Ustawienia'!$B$6</x:f>
        <x:v>0</x:v>
      </x:c>
      <x:c r="H701" s="8" t="n">
        <x:f>IF(E701="","",ROUND(IF('01_Ustawienia'!$B$5="BRUTTO",F701,E701)*(1-G701),0))</x:f>
        <x:v>846</x:v>
      </x:c>
      <x:c r="I701" s="7" t="n">
        <x:f>IFERROR(IFERROR(INDEX('01_Ustawienia'!$B$15:$B$33,MATCH(B701,'01_Ustawienia'!$A$15:$A$33,0)),0.45),0.45)</x:f>
        <x:v>0.45</x:v>
      </x:c>
      <x:c r="J701" s="8" t="n">
        <x:f>IF(H701="","",ROUND(H701*(1+I701),0))</x:f>
        <x:v>1227</x:v>
      </x:c>
      <x:c r="K701" s="8" t="n">
        <x:f>0</x:f>
        <x:v>0</x:v>
      </x:c>
      <x:c r="L701" s="8" t="n">
        <x:f>IFERROR(IFERROR(INDEX(EG_Cennik_uslug!$CO:$CO,MATCH($A701,EG_Cennik_uslug!$A:$A,0)),0),0)</x:f>
        <x:v>0</x:v>
      </x:c>
      <x:c r="M701" s="7" t="n">
        <x:f>IF('01_Ustawienia'!$B$4="ZWOLNIONY",0,'01_Ustawienia'!$B$7)</x:f>
        <x:v>0.08</x:v>
      </x:c>
      <x:c r="N701" s="8" t="n">
        <x:f>IF(J701="","",ROUND((J701+K701)*(1+M701),0))</x:f>
        <x:v>1325</x:v>
      </x:c>
      <x:c r="O701" s="8" t="n">
        <x:f>IF(J701="","",J701+K701-H701-L701)</x:f>
        <x:v>381</x:v>
      </x:c>
      <x:c r="P701" s="7" t="n">
        <x:f>IFERROR(O701/(J701+K701),"")</x:f>
        <x:v>0.3105134474327628</x:v>
      </x:c>
      <x:c r="Q701" s="6" t="inlineStr">
        <x:is>
          <x:t xml:space="preserve">RAW_ZP P/Q</x:t>
        </x:is>
      </x:c>
      <x:c r="R701" s="6" t="inlineStr">
        <x:is>
          <x:t xml:space="preserve">OŚWIETLENIE</x:t>
        </x:is>
      </x:c>
      <x:c r="S701" s="6" t="inlineStr">
        <x:is>
          <x:t xml:space="preserve">website+crm</x:t>
        </x:is>
      </x:c>
      <x:c r="T701" s="6" t="n"/>
    </x:row>
    <x:row r="702">
      <x:c r="A702" s="6" t="inlineStr">
        <x:is>
          <x:t xml:space="preserve">450 x 906 cm</x:t>
        </x:is>
      </x:c>
      <x:c r="B702" s="6" t="inlineStr">
        <x:is>
          <x:t xml:space="preserve">LED3</x:t>
        </x:is>
      </x:c>
      <x:c r="C702" s="6" t="inlineStr">
        <x:is>
          <x:t xml:space="preserve">Oświetlenie LED 3 punkty</x:t>
        </x:is>
      </x:c>
      <x:c r="D702" s="6" t="inlineStr">
        <x:is>
          <x:t xml:space="preserve">LED 3 PKT</x:t>
        </x:is>
      </x:c>
      <x:c r="E702" s="8" t="n">
        <x:f>IFERROR(INDEX('02_RAW_INDEX'!$P:$P,MATCH($A702,'02_RAW_INDEX'!$A:$A,0)),"")</x:f>
        <x:v>1268</x:v>
      </x:c>
      <x:c r="F702" s="8" t="n">
        <x:f>IFERROR(INDEX('02_RAW_INDEX'!$O:$O,MATCH($A702,'02_RAW_INDEX'!$A:$A,0)),"")</x:f>
        <x:v>1560</x:v>
      </x:c>
      <x:c r="G702" s="7" t="n">
        <x:f>'01_Ustawienia'!$B$6</x:f>
        <x:v>0</x:v>
      </x:c>
      <x:c r="H702" s="8" t="n">
        <x:f>IF(E702="","",ROUND(IF('01_Ustawienia'!$B$5="BRUTTO",F702,E702)*(1-G702),0))</x:f>
        <x:v>1268</x:v>
      </x:c>
      <x:c r="I702" s="7" t="n">
        <x:f>IFERROR(IFERROR(INDEX('01_Ustawienia'!$B$15:$B$33,MATCH(B702,'01_Ustawienia'!$A$15:$A$33,0)),0.45),0.45)</x:f>
        <x:v>0.45</x:v>
      </x:c>
      <x:c r="J702" s="8" t="n">
        <x:f>IF(H702="","",ROUND(H702*(1+I702),0))</x:f>
        <x:v>1839</x:v>
      </x:c>
      <x:c r="K702" s="8" t="n">
        <x:f>0</x:f>
        <x:v>0</x:v>
      </x:c>
      <x:c r="L702" s="8" t="n">
        <x:f>IFERROR(IFERROR(INDEX(EG_Cennik_uslug!$CV:$CV,MATCH($A702,EG_Cennik_uslug!$A:$A,0)),0),0)</x:f>
        <x:v>0</x:v>
      </x:c>
      <x:c r="M702" s="7" t="n">
        <x:f>IF('01_Ustawienia'!$B$4="ZWOLNIONY",0,'01_Ustawienia'!$B$7)</x:f>
        <x:v>0.08</x:v>
      </x:c>
      <x:c r="N702" s="8" t="n">
        <x:f>IF(J702="","",ROUND((J702+K702)*(1+M702),0))</x:f>
        <x:v>1986</x:v>
      </x:c>
      <x:c r="O702" s="8" t="n">
        <x:f>IF(J702="","",J702+K702-H702-L702)</x:f>
        <x:v>571</x:v>
      </x:c>
      <x:c r="P702" s="7" t="n">
        <x:f>IFERROR(O702/(J702+K702),"")</x:f>
        <x:v>0.31049483414899404</x:v>
      </x:c>
      <x:c r="Q702" s="6" t="inlineStr">
        <x:is>
          <x:t xml:space="preserve">RAW_ZP R/S</x:t>
        </x:is>
      </x:c>
      <x:c r="R702" s="6" t="inlineStr">
        <x:is>
          <x:t xml:space="preserve">OŚWIETLENIE</x:t>
        </x:is>
      </x:c>
      <x:c r="S702" s="6" t="inlineStr">
        <x:is>
          <x:t xml:space="preserve">website+crm</x:t>
        </x:is>
      </x:c>
      <x:c r="T702" s="6" t="inlineStr">
        <x:is>
          <x:t xml:space="preserve">Nazwa do potwierdzenia</x:t>
        </x:is>
      </x:c>
    </x:row>
    <x:row r="703">
      <x:c r="A703" s="6" t="inlineStr">
        <x:is>
          <x:t xml:space="preserve">450 x 906 cm</x:t>
        </x:is>
      </x:c>
      <x:c r="B703" s="6" t="inlineStr">
        <x:is>
          <x:t xml:space="preserve">LEDCCT</x:t>
        </x:is>
      </x:c>
      <x:c r="C703" s="6" t="inlineStr">
        <x:is>
          <x:t xml:space="preserve">Oświetlenie LED CCT</x:t>
        </x:is>
      </x:c>
      <x:c r="D703" s="6" t="inlineStr">
        <x:is>
          <x:t xml:space="preserve">OŚWIETLENIE</x:t>
        </x:is>
      </x:c>
      <x:c r="E703" s="8" t="n">
        <x:f>IFERROR(INDEX('02_RAW_INDEX'!$R:$R,MATCH($A703,'02_RAW_INDEX'!$A:$A,0)),"")</x:f>
        <x:v>2393</x:v>
      </x:c>
      <x:c r="F703" s="8" t="n">
        <x:f>IFERROR(INDEX('02_RAW_INDEX'!$Q:$Q,MATCH($A703,'02_RAW_INDEX'!$A:$A,0)),"")</x:f>
        <x:v>2944</x:v>
      </x:c>
      <x:c r="G703" s="7" t="n">
        <x:f>'01_Ustawienia'!$B$6</x:f>
        <x:v>0</x:v>
      </x:c>
      <x:c r="H703" s="8" t="n">
        <x:f>IF(E703="","",ROUND(IF('01_Ustawienia'!$B$5="BRUTTO",F703,E703)*(1-G703),0))</x:f>
        <x:v>2393</x:v>
      </x:c>
      <x:c r="I703" s="7" t="n">
        <x:f>IFERROR(IFERROR(INDEX('01_Ustawienia'!$B$15:$B$33,MATCH(B703,'01_Ustawienia'!$A$15:$A$33,0)),0.45),0.45)</x:f>
        <x:v>0.45</x:v>
      </x:c>
      <x:c r="J703" s="8" t="n">
        <x:f>IF(H703="","",ROUND(H703*(1+I703),0)+700)</x:f>
        <x:v>4170</x:v>
      </x:c>
      <x:c r="K703" s="8" t="n">
        <x:f>0</x:f>
        <x:v>0</x:v>
      </x:c>
      <x:c r="L703" s="8" t="n">
        <x:f>0</x:f>
        <x:v>0</x:v>
      </x:c>
      <x:c r="M703" s="7" t="n">
        <x:f>IF('01_Ustawienia'!$B$4="ZWOLNIONY",0,'01_Ustawienia'!$B$7)</x:f>
        <x:v>0.08</x:v>
      </x:c>
      <x:c r="N703" s="8" t="n">
        <x:f>IF(J703="","",ROUND((J703+K703)*(1+M703),0))</x:f>
        <x:v>4504</x:v>
      </x:c>
      <x:c r="O703" s="8" t="n">
        <x:f>IF(J703="","",J703+K703-H703-L703)</x:f>
        <x:v>1777</x:v>
      </x:c>
      <x:c r="P703" s="7" t="n">
        <x:f>IFERROR(O703/(J703+K703),"")</x:f>
        <x:v>0.4261390887290168</x:v>
      </x:c>
      <x:c r="Q703" s="715" t="inlineStr">
        <x:is>
          <x:t xml:space="preserve">MODEL_FIX15_LED</x:t>
        </x:is>
      </x:c>
      <x:c r="R703" s="6" t="inlineStr">
        <x:is>
          <x:t xml:space="preserve">OŚWIETLENIE</x:t>
        </x:is>
      </x:c>
      <x:c r="S703" s="6" t="inlineStr">
        <x:is>
          <x:t xml:space="preserve">website+crm</x:t>
        </x:is>
      </x:c>
      <x:c r="T703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704">
      <x:c r="A704" s="6" t="inlineStr">
        <x:is>
          <x:t xml:space="preserve">450 x 906 cm</x:t>
        </x:is>
      </x:c>
      <x:c r="B704" s="6" t="inlineStr">
        <x:is>
          <x:t xml:space="preserve">LEDRGBCCT</x:t>
        </x:is>
      </x:c>
      <x:c r="C704" s="6" t="inlineStr">
        <x:is>
          <x:t xml:space="preserve">Oświetlenie LED RGB CCT</x:t>
        </x:is>
      </x:c>
      <x:c r="D704" s="6" t="inlineStr">
        <x:is>
          <x:t xml:space="preserve">OŚWIETLENIE</x:t>
        </x:is>
      </x:c>
      <x:c r="E704" s="8" t="n">
        <x:f>IFERROR(INDEX('02_RAW_INDEX'!$T:$T,MATCH($A704,'02_RAW_INDEX'!$A:$A,0)),"")</x:f>
        <x:v>3364</x:v>
      </x:c>
      <x:c r="F704" s="8" t="n">
        <x:f>IFERROR(INDEX('02_RAW_INDEX'!$S:$S,MATCH($A704,'02_RAW_INDEX'!$A:$A,0)),"")</x:f>
        <x:v>4138</x:v>
      </x:c>
      <x:c r="G704" s="7" t="n">
        <x:f>'01_Ustawienia'!$B$6</x:f>
        <x:v>0</x:v>
      </x:c>
      <x:c r="H704" s="8" t="n">
        <x:f>IF(E704="","",ROUND(IF('01_Ustawienia'!$B$5="BRUTTO",F704,E704)*(1-G704),0))</x:f>
        <x:v>3364</x:v>
      </x:c>
      <x:c r="I704" s="7" t="n">
        <x:f>IFERROR(IFERROR(INDEX('01_Ustawienia'!$B$15:$B$33,MATCH(B704,'01_Ustawienia'!$A$15:$A$33,0)),0.45),0.45)</x:f>
        <x:v>0.45</x:v>
      </x:c>
      <x:c r="J704" s="8" t="n">
        <x:f>IF(H704="","",ROUND(H704*(1+I704),0))</x:f>
        <x:v>4878</x:v>
      </x:c>
      <x:c r="K704" s="8" t="n">
        <x:f>0</x:f>
        <x:v>0</x:v>
      </x:c>
      <x:c r="L704" s="8" t="n">
        <x:f>0</x:f>
        <x:v>0</x:v>
      </x:c>
      <x:c r="M704" s="7" t="n">
        <x:f>IF('01_Ustawienia'!$B$4="ZWOLNIONY",0,'01_Ustawienia'!$B$7)</x:f>
        <x:v>0.08</x:v>
      </x:c>
      <x:c r="N704" s="8" t="n">
        <x:f>IF(J704="","",ROUND((J704+K704)*(1+M704),0))</x:f>
        <x:v>5268</x:v>
      </x:c>
      <x:c r="O704" s="8" t="n">
        <x:f>IF(J704="","",J704+K704-H704-L704)</x:f>
        <x:v>1514</x:v>
      </x:c>
      <x:c r="P704" s="7" t="n">
        <x:f>IFERROR(O704/(J704+K704),"")</x:f>
        <x:v>0.3103731037310373</x:v>
      </x:c>
      <x:c r="Q704" s="715" t="inlineStr">
        <x:is>
          <x:t xml:space="preserve">MODEL_FIX15_LED</x:t>
        </x:is>
      </x:c>
      <x:c r="R704" s="6" t="inlineStr">
        <x:is>
          <x:t xml:space="preserve">OŚWIETLENIE</x:t>
        </x:is>
      </x:c>
      <x:c r="S704" s="6" t="inlineStr">
        <x:is>
          <x:t xml:space="preserve">crm_only</x:t>
        </x:is>
      </x:c>
      <x:c r="T704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705" s="655" customFormat="1" ht="30" customHeight="1">
      <x:c r="A705" s="6" t="inlineStr">
        <x:is>
          <x:t xml:space="preserve">450 x 1006 cm</x:t>
        </x:is>
      </x:c>
      <x:c r="B705" s="6" t="inlineStr">
        <x:is>
          <x:t xml:space="preserve">ZP</x:t>
        </x:is>
      </x:c>
      <x:c r="C705" s="6" t="inlineStr">
        <x:is>
          <x:t xml:space="preserve">Zadaszenie poliwęglan - baza</x:t>
        </x:is>
      </x:c>
      <x:c r="D705" s="6" t="inlineStr">
        <x:is>
          <x:t xml:space="preserve">ZADASZENIE POLIWĘGLAN</x:t>
        </x:is>
      </x:c>
      <x:c r="E705" s="8" t="n">
        <x:f>IFERROR(INDEX('02_RAW_INDEX'!$D:$D,MATCH($A705,'02_RAW_INDEX'!$A:$A,0)),"")</x:f>
        <x:v>18098</x:v>
      </x:c>
      <x:c r="F705" s="8" t="n">
        <x:f>IFERROR(INDEX('02_RAW_INDEX'!$C:$C,MATCH($A705,'02_RAW_INDEX'!$A:$A,0)),"")</x:f>
        <x:v>22260</x:v>
      </x:c>
      <x:c r="G705" s="7" t="n">
        <x:f>'01_Ustawienia'!$B$6</x:f>
        <x:v>0</x:v>
      </x:c>
      <x:c r="H705" s="8" t="n">
        <x:f>IF(E705="","",ROUND(IF('01_Ustawienia'!$B$5="BRUTTO",F705,E705)*(1-G705),0))</x:f>
        <x:v>18098</x:v>
      </x:c>
      <x:c r="I705" s="7" t="n">
        <x:f>IFERROR(IFERROR(INDEX('01_Ustawienia'!$B$15:$B$33,MATCH(B705,'01_Ustawienia'!$A$15:$A$33,0)),0.45),0.45)</x:f>
        <x:v>0.45</x:v>
      </x:c>
      <x:c r="J705" s="8" t="n">
        <x:f>IF(H705="","",ROUND(H705*(1+I705),0))</x:f>
        <x:v>26242</x:v>
      </x:c>
      <x:c r="K705" s="8" t="n">
        <x:f>IFERROR(IFERROR(INDEX(EG_Cennik_uslug!$F:$F,MATCH($A705,EG_Cennik_uslug!$A:$A,0)),0),0)</x:f>
        <x:v>5100</x:v>
      </x:c>
      <x:c r="L705" s="8" t="n">
        <x:f>IFERROR(IFERROR(INDEX(EG_Cennik_uslug!$G:$G,MATCH($A705,EG_Cennik_uslug!$A:$A,0)),0),0)</x:f>
        <x:v>1930</x:v>
      </x:c>
      <x:c r="M705" s="7" t="n">
        <x:f>IF('01_Ustawienia'!$B$4="ZWOLNIONY",0,'01_Ustawienia'!$B$7)</x:f>
        <x:v>0.08</x:v>
      </x:c>
      <x:c r="N705" s="8" t="n">
        <x:f>IF(J705="","",ROUND((J705+K705)*(1+M705),0))</x:f>
        <x:v>33849</x:v>
      </x:c>
      <x:c r="O705" s="8" t="n">
        <x:f>IF(J705="","",J705+K705-H705-L705)</x:f>
        <x:v>11314</x:v>
      </x:c>
      <x:c r="P705" s="7" t="n">
        <x:f>IFERROR(O705/(J705+K705),"")</x:f>
        <x:v>0.3609852593963372</x:v>
      </x:c>
      <x:c r="Q705" s="6" t="inlineStr">
        <x:is>
          <x:t xml:space="preserve">RAW_ZP B/C</x:t>
        </x:is>
      </x:c>
      <x:c r="R705" s="6" t="inlineStr">
        <x:is>
          <x:t xml:space="preserve">ZADASZENIE TARASU KONSTRUKCJA</x:t>
        </x:is>
      </x:c>
      <x:c r="S705" s="6" t="inlineStr">
        <x:is>
          <x:t xml:space="preserve">website+crm</x:t>
        </x:is>
      </x:c>
      <x:c r="T705" s="6" t="inlineStr">
        <x:is>
          <x:t xml:space="preserve">Baza dla kalkulatora</x:t>
        </x:is>
      </x:c>
    </x:row>
    <x:row r="706" s="655" customFormat="1" ht="30" customHeight="1">
      <x:c r="A706" s="6" t="inlineStr">
        <x:is>
          <x:t xml:space="preserve">450 x 1006 cm</x:t>
        </x:is>
      </x:c>
      <x:c r="B706" s="6" t="inlineStr">
        <x:is>
          <x:t xml:space="preserve">ZS</x:t>
        </x:is>
      </x:c>
      <x:c r="C706" s="6" t="inlineStr">
        <x:is>
          <x:t xml:space="preserve">Zadaszenie szkło - pełna konstrukcja</x:t>
        </x:is>
      </x:c>
      <x:c r="D706" s="6" t="inlineStr">
        <x:is>
          <x:t xml:space="preserve">ZADASZENIE SZKŁO</x:t>
        </x:is>
      </x:c>
      <x:c r="E706" s="8" t="n">
        <x:f>IFERROR(INDEX('02_RAW_INDEX'!$V:$V,MATCH($A706,'02_RAW_INDEX'!$A:$A,0)),"")</x:f>
        <x:v>28740</x:v>
      </x:c>
      <x:c r="F706" s="8" t="n">
        <x:f>IFERROR(INDEX('02_RAW_INDEX'!$U:$U,MATCH($A706,'02_RAW_INDEX'!$A:$A,0)),"")</x:f>
        <x:v>35350</x:v>
      </x:c>
      <x:c r="G706" s="7" t="n">
        <x:f>'01_Ustawienia'!$B$6</x:f>
        <x:v>0</x:v>
      </x:c>
      <x:c r="H706" s="8" t="n">
        <x:f>IF(E706="","",ROUND(IF('01_Ustawienia'!$B$5="BRUTTO",F706,E706)*(1-G706),0))</x:f>
        <x:v>28740</x:v>
      </x:c>
      <x:c r="I706" s="7" t="n">
        <x:f>IFERROR(IFERROR(INDEX('01_Ustawienia'!$B$15:$B$33,MATCH(B706,'01_Ustawienia'!$A$15:$A$33,0)),0.45),0.45)</x:f>
        <x:v>0.45</x:v>
      </x:c>
      <x:c r="J706" s="8" t="n">
        <x:f>IF(H706="","",ROUND(H706*(1+I706),0))</x:f>
        <x:v>41673</x:v>
      </x:c>
      <x:c r="K706" s="8" t="n">
        <x:f>IFERROR(IFERROR(INDEX(EG_Cennik_uslug!$F:$F,MATCH($A706,EG_Cennik_uslug!$A:$A,0)),0),0)</x:f>
        <x:v>5100</x:v>
      </x:c>
      <x:c r="L706" s="8" t="n">
        <x:f>IFERROR(IFERROR(INDEX(EG_Cennik_uslug!$G:$G,MATCH($A706,EG_Cennik_uslug!$A:$A,0)),0),0)</x:f>
        <x:v>1930</x:v>
      </x:c>
      <x:c r="M706" s="7" t="n">
        <x:f>IF('01_Ustawienia'!$B$4="ZWOLNIONY",0,'01_Ustawienia'!$B$7)</x:f>
        <x:v>0.08</x:v>
      </x:c>
      <x:c r="N706" s="8" t="n">
        <x:f>IF(J706="","",ROUND((J706+K706)*(1+M706),0))</x:f>
        <x:v>50515</x:v>
      </x:c>
      <x:c r="O706" s="8" t="n">
        <x:f>IF(J706="","",J706+K706-H706-L706)</x:f>
        <x:v>16103</x:v>
      </x:c>
      <x:c r="P706" s="7" t="n">
        <x:f>IFERROR(O706/(J706+K706),"")</x:f>
        <x:v>0.3442798195540162</x:v>
      </x:c>
      <x:c r="Q706" s="6" t="inlineStr">
        <x:is>
          <x:t xml:space="preserve">RAW_ZS B/C</x:t>
        </x:is>
      </x:c>
      <x:c r="R706" s="6" t="inlineStr">
        <x:is>
          <x:t xml:space="preserve">ZADASZENIE TARASU KONSTRUKCJA</x:t>
        </x:is>
      </x:c>
      <x:c r="S706" s="6" t="inlineStr">
        <x:is>
          <x:t xml:space="preserve">crm_only</x:t>
        </x:is>
      </x:c>
      <x:c r="T706" s="6" t="inlineStr">
        <x:is>
          <x:t xml:space="preserve">Referencyjne/full; strona zwykle używa ZP + PDS</x:t>
        </x:is>
      </x:c>
    </x:row>
    <x:row r="707" s="655" customFormat="1" ht="30" customHeight="1">
      <x:c r="A707" s="6" t="inlineStr">
        <x:is>
          <x:t xml:space="preserve">450 x 1006 cm</x:t>
        </x:is>
      </x:c>
      <x:c r="B707" s="6" t="inlineStr">
        <x:is>
          <x:t xml:space="preserve">OP</x:t>
        </x:is>
      </x:c>
      <x:c r="C707" s="6" t="inlineStr">
        <x:is>
          <x:t xml:space="preserve">Ogród zimowy poliwęglan - baza</x:t>
        </x:is>
      </x:c>
      <x:c r="D707" s="6" t="inlineStr">
        <x:is>
          <x:t xml:space="preserve">OGRODY POLIWĘGLAN</x:t>
        </x:is>
      </x:c>
      <x:c r="E707" s="8" t="n">
        <x:f>IFERROR(INDEX('02_RAW_INDEX'!$Z:$Z,MATCH($A707,'02_RAW_INDEX'!$A:$A,0)),"")</x:f>
        <x:v>35480</x:v>
      </x:c>
      <x:c r="F707" s="8" t="n">
        <x:f>IFERROR(INDEX('02_RAW_INDEX'!$Y:$Y,MATCH($A707,'02_RAW_INDEX'!$A:$A,0)),"")</x:f>
        <x:v>43640</x:v>
      </x:c>
      <x:c r="G707" s="7" t="n">
        <x:f>'01_Ustawienia'!$B$6</x:f>
        <x:v>0</x:v>
      </x:c>
      <x:c r="H707" s="8" t="n">
        <x:f>IF(E707="","",ROUND(IF('01_Ustawienia'!$B$5="BRUTTO",F707,E707)*(1-G707),0))</x:f>
        <x:v>35480</x:v>
      </x:c>
      <x:c r="I707" s="7" t="n">
        <x:f>IFERROR(IFERROR(INDEX('01_Ustawienia'!$B$15:$B$33,MATCH(B707,'01_Ustawienia'!$A$15:$A$33,0)),0.45),0.45)</x:f>
        <x:v>0.45</x:v>
      </x:c>
      <x:c r="J707" s="8" t="n">
        <x:f>IF(H707="","",ROUND(H707*(1+I707),0))</x:f>
        <x:v>51446</x:v>
      </x:c>
      <x:c r="K707" s="8" t="n">
        <x:f>IFERROR(IFERROR(INDEX(EG_Cennik_uslug!$N:$N,MATCH($A707,EG_Cennik_uslug!$A:$A,0)),0),0)</x:f>
        <x:v>6550</x:v>
      </x:c>
      <x:c r="L707" s="8" t="n">
        <x:f>IFERROR(IFERROR(INDEX(EG_Cennik_uslug!$O:$O,MATCH($A707,EG_Cennik_uslug!$A:$A,0)),0),0)</x:f>
        <x:v>2700</x:v>
      </x:c>
      <x:c r="M707" s="7" t="n">
        <x:f>IF('01_Ustawienia'!$B$4="ZWOLNIONY",0,'01_Ustawienia'!$B$7)</x:f>
        <x:v>0.08</x:v>
      </x:c>
      <x:c r="N707" s="8" t="n">
        <x:f>IF(J707="","",ROUND((J707+K707)*(1+M707),0))</x:f>
        <x:v>62636</x:v>
      </x:c>
      <x:c r="O707" s="8" t="n">
        <x:f>IF(J707="","",J707+K707-H707-L707)</x:f>
        <x:v>19816</x:v>
      </x:c>
      <x:c r="P707" s="7" t="n">
        <x:f>IFERROR(O707/(J707+K707),"")</x:f>
        <x:v>0.34167873646458374</x:v>
      </x:c>
      <x:c r="Q707" s="6" t="inlineStr">
        <x:is>
          <x:t xml:space="preserve">RAW_OP B/C</x:t>
        </x:is>
      </x:c>
      <x:c r="R707" s="6" t="inlineStr">
        <x:is>
          <x:t xml:space="preserve">OGRÓD ZIMOWY (KONSTRUKCJA)</x:t>
        </x:is>
      </x:c>
      <x:c r="S707" s="6" t="inlineStr">
        <x:is>
          <x:t xml:space="preserve">website+crm</x:t>
        </x:is>
      </x:c>
      <x:c r="T707" s="6" t="inlineStr">
        <x:is>
          <x:t xml:space="preserve">Do wyliczenia dopłaty za ściany</x:t>
        </x:is>
      </x:c>
    </x:row>
    <x:row r="708" s="655" customFormat="1" ht="30" customHeight="1">
      <x:c r="A708" s="6" t="inlineStr">
        <x:is>
          <x:t xml:space="preserve">450 x 1006 cm</x:t>
        </x:is>
      </x:c>
      <x:c r="B708" s="6" t="inlineStr">
        <x:is>
          <x:t xml:space="preserve">OS</x:t>
        </x:is>
      </x:c>
      <x:c r="C708" s="6" t="inlineStr">
        <x:is>
          <x:t xml:space="preserve">Ogród zimowy szkło - pełna konstrukcja</x:t>
        </x:is>
      </x:c>
      <x:c r="D708" s="6" t="inlineStr">
        <x:is>
          <x:t xml:space="preserve">OGRODY SZKŁO</x:t>
        </x:is>
      </x:c>
      <x:c r="E708" s="8" t="n">
        <x:f>IFERROR(INDEX('02_RAW_INDEX'!$AL:$AL,MATCH($A708,'02_RAW_INDEX'!$A:$A,0)),"")</x:f>
        <x:v>46122</x:v>
      </x:c>
      <x:c r="F708" s="8" t="n">
        <x:f>IFERROR(INDEX('02_RAW_INDEX'!$AK:$AK,MATCH($A708,'02_RAW_INDEX'!$A:$A,0)),"")</x:f>
        <x:v>56730</x:v>
      </x:c>
      <x:c r="G708" s="7" t="n">
        <x:f>'01_Ustawienia'!$B$6</x:f>
        <x:v>0</x:v>
      </x:c>
      <x:c r="H708" s="8" t="n">
        <x:f>IF(E708="","",ROUND(IF('01_Ustawienia'!$B$5="BRUTTO",F708,E708)*(1-G708),0))</x:f>
        <x:v>46122</x:v>
      </x:c>
      <x:c r="I708" s="7" t="n">
        <x:f>IFERROR(IFERROR(INDEX('01_Ustawienia'!$B$15:$B$33,MATCH(B708,'01_Ustawienia'!$A$15:$A$33,0)),0.45),0.45)</x:f>
        <x:v>0.45</x:v>
      </x:c>
      <x:c r="J708" s="8" t="n">
        <x:f>IF(H708="","",ROUND(H708*(1+I708),0))</x:f>
        <x:v>66877</x:v>
      </x:c>
      <x:c r="K708" s="8" t="n">
        <x:f>IFERROR(IFERROR(INDEX(EG_Cennik_uslug!$N:$N,MATCH($A708,EG_Cennik_uslug!$A:$A,0)),0),0)</x:f>
        <x:v>6550</x:v>
      </x:c>
      <x:c r="L708" s="8" t="n">
        <x:f>IFERROR(IFERROR(INDEX(EG_Cennik_uslug!$O:$O,MATCH($A708,EG_Cennik_uslug!$A:$A,0)),0),0)</x:f>
        <x:v>2700</x:v>
      </x:c>
      <x:c r="M708" s="7" t="n">
        <x:f>IF('01_Ustawienia'!$B$4="ZWOLNIONY",0,'01_Ustawienia'!$B$7)</x:f>
        <x:v>0.08</x:v>
      </x:c>
      <x:c r="N708" s="8" t="n">
        <x:f>IF(J708="","",ROUND((J708+K708)*(1+M708),0))</x:f>
        <x:v>79301</x:v>
      </x:c>
      <x:c r="O708" s="8" t="n">
        <x:f>IF(J708="","",J708+K708-H708-L708)</x:f>
        <x:v>24605</x:v>
      </x:c>
      <x:c r="P708" s="7" t="n">
        <x:f>IFERROR(O708/(J708+K708),"")</x:f>
        <x:v>0.33509471992591283</x:v>
      </x:c>
      <x:c r="Q708" s="6" t="inlineStr">
        <x:is>
          <x:t xml:space="preserve">RAW_OS B/C</x:t>
        </x:is>
      </x:c>
      <x:c r="R708" s="6" t="inlineStr">
        <x:is>
          <x:t xml:space="preserve">OGRÓD ZIMOWY (KONSTRUKCJA)</x:t>
        </x:is>
      </x:c>
      <x:c r="S708" s="6" t="inlineStr">
        <x:is>
          <x:t xml:space="preserve">crm_only</x:t>
        </x:is>
      </x:c>
      <x:c r="T708" s="6" t="inlineStr">
        <x:is>
          <x:t xml:space="preserve">Referencyjne/full</x:t>
        </x:is>
      </x:c>
    </x:row>
    <x:row r="709" s="655" customFormat="1" ht="30" customHeight="1">
      <x:c r="A709" s="6" t="inlineStr">
        <x:is>
          <x:t xml:space="preserve">450 x 1006 cm</x:t>
        </x:is>
      </x:c>
      <x:c r="B709" s="6" t="inlineStr">
        <x:is>
          <x:t xml:space="preserve">PDS</x:t>
        </x:is>
      </x:c>
      <x:c r="C709" s="6" t="inlineStr">
        <x:is>
          <x:t xml:space="preserve">Dopłata dach szkło przezroczyste</x:t>
        </x:is>
      </x:c>
      <x:c r="D709" s="6" t="inlineStr">
        <x:is>
          <x:t xml:space="preserve">POKRYCIE DACHU SZKŁO</x:t>
        </x:is>
      </x:c>
      <x:c r="E709" s="8" t="n">
        <x:f>IFERROR(IFERROR(INDEX('02_RAW_INDEX'!$V:$V,MATCH($A709,'02_RAW_INDEX'!$A:$A,0)),"")-IFERROR(INDEX('02_RAW_INDEX'!$D:$D,MATCH($A709,'02_RAW_INDEX'!$A:$A,0)),""),"")</x:f>
        <x:v>10642</x:v>
      </x:c>
      <x:c r="F709" s="8" t="n">
        <x:f>IFERROR(IFERROR(INDEX('02_RAW_INDEX'!$U:$U,MATCH($A709,'02_RAW_INDEX'!$A:$A,0)),"")-IFERROR(INDEX('02_RAW_INDEX'!$C:$C,MATCH($A709,'02_RAW_INDEX'!$A:$A,0)),""),"")</x:f>
        <x:v>13090</x:v>
      </x:c>
      <x:c r="G709" s="7" t="n">
        <x:f>'01_Ustawienia'!$B$6</x:f>
        <x:v>0</x:v>
      </x:c>
      <x:c r="H709" s="8" t="n">
        <x:f>IF(E709="","",ROUND(IF('01_Ustawienia'!$B$5="BRUTTO",F709,E709)*(1-G709),0))</x:f>
        <x:v>10642</x:v>
      </x:c>
      <x:c r="I709" s="7" t="n">
        <x:f>IFERROR(IFERROR(INDEX('01_Ustawienia'!$B$15:$B$33,MATCH(B709,'01_Ustawienia'!$A$15:$A$33,0)),0.45),0.45)</x:f>
        <x:v>0.45</x:v>
      </x:c>
      <x:c r="J709" s="8" t="n">
        <x:f>IF(H709="","",ROUND(H709*(1+I709),0))</x:f>
        <x:v>15431</x:v>
      </x:c>
      <x:c r="K709" s="8" t="n">
        <x:f>0</x:f>
        <x:v>0</x:v>
      </x:c>
      <x:c r="L709" s="8" t="n">
        <x:v>0</x:v>
      </x:c>
      <x:c r="M709" s="7" t="n">
        <x:f>IF('01_Ustawienia'!$B$4="ZWOLNIONY",0,'01_Ustawienia'!$B$7)</x:f>
        <x:v>0.08</x:v>
      </x:c>
      <x:c r="N709" s="8" t="n">
        <x:f>IF(J709="","",ROUND((J709+K709)*(1+M709),0))</x:f>
        <x:v>16665</x:v>
      </x:c>
      <x:c r="O709" s="8" t="n">
        <x:f>IF(J709="","",J709+K709-H709-L709)</x:f>
        <x:v>4789</x:v>
      </x:c>
      <x:c r="P709" s="7" t="n">
        <x:f>IFERROR(O709/(J709+K709),"")</x:f>
        <x:v>0.3103492968699371</x:v>
      </x:c>
      <x:c r="Q709" s="6" t="inlineStr">
        <x:is>
          <x:t xml:space="preserve">RAW_ZS - RAW_ZP</x:t>
        </x:is>
      </x:c>
      <x:c r="R709" s="6" t="inlineStr">
        <x:is>
          <x:t xml:space="preserve">POKRYCIE DACHU</x:t>
        </x:is>
      </x:c>
      <x:c r="S709" s="6" t="inlineStr">
        <x:is>
          <x:t xml:space="preserve">website+crm</x:t>
        </x:is>
      </x:c>
      <x:c r="T709" s="6" t="inlineStr">
        <x:is>
          <x:t xml:space="preserve">Dopłata do bazowego dachu poliwęglan | FIX17: Wynagr.+koszty = 0 dla dopłaty; nie jest osobnym montażem ekipy.</x:t>
        </x:is>
      </x:c>
    </x:row>
    <x:row r="710" s="655" customFormat="1" ht="30" customHeight="1">
      <x:c r="A710" s="6" t="inlineStr">
        <x:is>
          <x:t xml:space="preserve">450 x 1006 cm</x:t>
        </x:is>
      </x:c>
      <x:c r="B710" s="6" t="inlineStr">
        <x:is>
          <x:t xml:space="preserve">PDSB</x:t>
        </x:is>
      </x:c>
      <x:c r="C710" s="6" t="inlineStr">
        <x:is>
          <x:t xml:space="preserve">Dopłata dach szkło barwione/mleczne</x:t>
        </x:is>
      </x:c>
      <x:c r="D710" s="6" t="inlineStr">
        <x:is>
          <x:t xml:space="preserve">POKRYCIE DACHU SZKŁO BARWIONE</x:t>
        </x:is>
      </x:c>
      <x:c r="E710" s="8" t="n">
        <x:f>IFERROR(INDEX('02_RAW_INDEX'!$X:$X,MATCH($A710,'02_RAW_INDEX'!$A:$A,0)),"")</x:f>
        <x:v>1024</x:v>
      </x:c>
      <x:c r="F710" s="8" t="n">
        <x:f>IFERROR(INDEX('02_RAW_INDEX'!$W:$W,MATCH($A710,'02_RAW_INDEX'!$A:$A,0)),"")</x:f>
        <x:v>1260</x:v>
      </x:c>
      <x:c r="G710" s="7" t="n">
        <x:f>'01_Ustawienia'!$B$6</x:f>
        <x:v>0</x:v>
      </x:c>
      <x:c r="H710" s="8" t="n">
        <x:f>IF(E710="","",ROUND(IF('01_Ustawienia'!$B$5="BRUTTO",F710,E710)*(1-G710),0))</x:f>
        <x:v>1024</x:v>
      </x:c>
      <x:c r="I710" s="7" t="n">
        <x:f>IFERROR(IFERROR(INDEX('01_Ustawienia'!$B$15:$B$33,MATCH(B710,'01_Ustawienia'!$A$15:$A$33,0)),0.45),0.45)</x:f>
        <x:v>0.45</x:v>
      </x:c>
      <x:c r="J710" s="8" t="n">
        <x:f>IF(H710="","",ROUND(H710*(1+I710),0))</x:f>
        <x:v>1485</x:v>
      </x:c>
      <x:c r="K710" s="8" t="n">
        <x:f>0</x:f>
        <x:v>0</x:v>
      </x:c>
      <x:c r="L710" s="8" t="n">
        <x:v>0</x:v>
      </x:c>
      <x:c r="M710" s="7" t="n">
        <x:f>IF('01_Ustawienia'!$B$4="ZWOLNIONY",0,'01_Ustawienia'!$B$7)</x:f>
        <x:v>0.08</x:v>
      </x:c>
      <x:c r="N710" s="8" t="n">
        <x:f>IF(J710="","",ROUND((J710+K710)*(1+M710),0))</x:f>
        <x:v>1604</x:v>
      </x:c>
      <x:c r="O710" s="8" t="n">
        <x:f>IF(J710="","",J710+K710-H710-L710)</x:f>
        <x:v>461</x:v>
      </x:c>
      <x:c r="P710" s="7" t="n">
        <x:f>IFERROR(O710/(J710+K710),"")</x:f>
        <x:v>0.31043771043771046</x:v>
      </x:c>
      <x:c r="Q710" s="6" t="inlineStr">
        <x:is>
          <x:t xml:space="preserve">RAW_ZS D/E</x:t>
        </x:is>
      </x:c>
      <x:c r="R710" s="6" t="inlineStr">
        <x:is>
          <x:t xml:space="preserve">POKRYCIE DACHU</x:t>
        </x:is>
      </x:c>
      <x:c r="S710" s="6" t="inlineStr">
        <x:is>
          <x:t xml:space="preserve">website+crm</x:t>
        </x:is>
      </x:c>
      <x:c r="T710" s="6" t="inlineStr">
        <x:is>
          <x:t xml:space="preserve">Dodawane do PDS | FIX17: Wynagr.+koszty = 0 dla dopłaty; nie jest osobnym montażem ekipy.</x:t>
        </x:is>
      </x:c>
    </x:row>
    <x:row r="711" s="655" customFormat="1" ht="30" customHeight="1">
      <x:c r="A711" s="6" t="inlineStr">
        <x:is>
          <x:t xml:space="preserve">450 x 1006 cm</x:t>
        </x:is>
      </x:c>
      <x:c r="B711" s="6" t="inlineStr">
        <x:is>
          <x:t xml:space="preserve">PDPB</x:t>
        </x:is>
      </x:c>
      <x:c r="C711" s="6" t="inlineStr">
        <x:is>
          <x:t xml:space="preserve">Dopłata poliwęglan barwiony</x:t>
        </x:is>
      </x:c>
      <x:c r="D711" s="6" t="inlineStr">
        <x:is>
          <x:t xml:space="preserve">POKRYCIE DACHU POLIWĘGLAN BARWIONY</x:t>
        </x:is>
      </x:c>
      <x:c r="E711" s="8" t="n">
        <x:f>IFERROR(INDEX('02_RAW_INDEX'!$F:$F,MATCH($A711,'02_RAW_INDEX'!$A:$A,0)),"")</x:f>
        <x:v>780</x:v>
      </x:c>
      <x:c r="F711" s="8" t="n">
        <x:f>IFERROR(INDEX('02_RAW_INDEX'!$E:$E,MATCH($A711,'02_RAW_INDEX'!$A:$A,0)),"")</x:f>
        <x:v>960</x:v>
      </x:c>
      <x:c r="G711" s="7" t="n">
        <x:f>'01_Ustawienia'!$B$6</x:f>
        <x:v>0</x:v>
      </x:c>
      <x:c r="H711" s="8" t="n">
        <x:f>IF(E711="","",ROUND(IF('01_Ustawienia'!$B$5="BRUTTO",F711,E711)*(1-G711),0))</x:f>
        <x:v>780</x:v>
      </x:c>
      <x:c r="I711" s="7" t="n">
        <x:f>IFERROR(IFERROR(INDEX('01_Ustawienia'!$B$15:$B$33,MATCH(B711,'01_Ustawienia'!$A$15:$A$33,0)),0.45),0.45)</x:f>
        <x:v>0.45</x:v>
      </x:c>
      <x:c r="J711" s="8" t="n">
        <x:f>IF(H711="","",ROUND(H711*(1+I711),0))</x:f>
        <x:v>1131</x:v>
      </x:c>
      <x:c r="K711" s="8" t="n">
        <x:f>0</x:f>
        <x:v>0</x:v>
      </x:c>
      <x:c r="L711" s="8" t="n">
        <x:v>0</x:v>
      </x:c>
      <x:c r="M711" s="7" t="n">
        <x:f>IF('01_Ustawienia'!$B$4="ZWOLNIONY",0,'01_Ustawienia'!$B$7)</x:f>
        <x:v>0.08</x:v>
      </x:c>
      <x:c r="N711" s="8" t="n">
        <x:f>IF(J711="","",ROUND((J711+K711)*(1+M711),0))</x:f>
        <x:v>1221</x:v>
      </x:c>
      <x:c r="O711" s="8" t="n">
        <x:f>IF(J711="","",J711+K711-H711-L711)</x:f>
        <x:v>351</x:v>
      </x:c>
      <x:c r="P711" s="7" t="n">
        <x:f>IFERROR(O711/(J711+K711),"")</x:f>
        <x:v>0.3103448275862069</x:v>
      </x:c>
      <x:c r="Q711" s="6" t="inlineStr">
        <x:is>
          <x:t xml:space="preserve">RAW_ZP D/E</x:t>
        </x:is>
      </x:c>
      <x:c r="R711" s="6" t="inlineStr">
        <x:is>
          <x:t xml:space="preserve">POKRYCIE DACHU</x:t>
        </x:is>
      </x:c>
      <x:c r="S711" s="6" t="inlineStr">
        <x:is>
          <x:t xml:space="preserve">website+crm</x:t>
        </x:is>
      </x:c>
      <x:c r="T711" s="6" t="inlineStr">
        <x:is>
          <x:t xml:space="preserve">FIX17: Wynagr.+koszty = 0 dla dopłaty; nie jest osobnym montażem ekipy.</x:t>
        </x:is>
      </x:c>
    </x:row>
    <x:row r="712" s="655" customFormat="1" ht="30" customHeight="1">
      <x:c r="A712" s="6" t="inlineStr">
        <x:is>
          <x:t xml:space="preserve">450 x 1006 cm</x:t>
        </x:is>
      </x:c>
      <x:c r="B712" s="6" t="inlineStr">
        <x:is>
          <x:t xml:space="preserve">SBB</x:t>
        </x:is>
      </x:c>
      <x:c r="C712" s="6" t="inlineStr">
        <x:is>
          <x:t xml:space="preserve">Dopłata szkło boczne przyciemniane</x:t>
        </x:is>
      </x:c>
      <x:c r="D712" s="6" t="inlineStr">
        <x:is>
          <x:t xml:space="preserve">SZKŁO BOCZNE BARWIONE</x:t>
        </x:is>
      </x:c>
      <x:c r="E712" s="8" t="n">
        <x:f>IFERROR(INDEX('02_RAW_INDEX'!$AB:$AB,MATCH($A712,'02_RAW_INDEX'!$A:$A,0)),"")</x:f>
        <x:v>1951</x:v>
      </x:c>
      <x:c r="F712" s="8" t="n">
        <x:f>IFERROR(INDEX('02_RAW_INDEX'!$AA:$AA,MATCH($A712,'02_RAW_INDEX'!$A:$A,0)),"")</x:f>
        <x:v>2400</x:v>
      </x:c>
      <x:c r="G712" s="7" t="n">
        <x:f>'01_Ustawienia'!$B$6</x:f>
        <x:v>0</x:v>
      </x:c>
      <x:c r="H712" s="8" t="n">
        <x:f>IF(E712="","",ROUND(IF('01_Ustawienia'!$B$5="BRUTTO",F712,E712)*(1-G712),0))</x:f>
        <x:v>1951</x:v>
      </x:c>
      <x:c r="I712" s="7" t="n">
        <x:f>IFERROR(IFERROR(INDEX('01_Ustawienia'!$B$15:$B$33,MATCH(B712,'01_Ustawienia'!$A$15:$A$33,0)),0.45),0.45)</x:f>
        <x:v>0.45</x:v>
      </x:c>
      <x:c r="J712" s="8" t="n">
        <x:f>IF(H712="","",ROUND(H712*(1+I712),0))</x:f>
        <x:v>2829</x:v>
      </x:c>
      <x:c r="K712" s="8" t="n">
        <x:f>0</x:f>
        <x:v>0</x:v>
      </x:c>
      <x:c r="L712" s="8" t="n">
        <x:v>0</x:v>
      </x:c>
      <x:c r="M712" s="7" t="n">
        <x:f>IF('01_Ustawienia'!$B$4="ZWOLNIONY",0,'01_Ustawienia'!$B$7)</x:f>
        <x:v>0.08</x:v>
      </x:c>
      <x:c r="N712" s="8" t="n">
        <x:f>IF(J712="","",ROUND((J712+K712)*(1+M712),0))</x:f>
        <x:v>3055</x:v>
      </x:c>
      <x:c r="O712" s="8" t="n">
        <x:f>IF(J712="","",J712+K712-H712-L712)</x:f>
        <x:v>878</x:v>
      </x:c>
      <x:c r="P712" s="7" t="n">
        <x:f>IFERROR(O712/(J712+K712),"")</x:f>
        <x:v>0.3103570166136444</x:v>
      </x:c>
      <x:c r="Q712" s="6" t="inlineStr">
        <x:is>
          <x:t xml:space="preserve">RAW_OP H/I</x:t>
        </x:is>
      </x:c>
      <x:c r="R712" s="6" t="inlineStr">
        <x:is>
          <x:t xml:space="preserve">SZYBY BOCZNE</x:t>
        </x:is>
      </x:c>
      <x:c r="S712" s="6" t="inlineStr">
        <x:is>
          <x:t xml:space="preserve">website+crm</x:t>
        </x:is>
      </x:c>
      <x:c r="T712" s="6" t="inlineStr">
        <x:is>
          <x:t xml:space="preserve">Dodawane do ścian przezroczystych | FIX17: Wynagr.+koszty = 0 dla dopłaty; nie jest osobnym montażem ekipy.</x:t>
        </x:is>
      </x:c>
    </x:row>
    <x:row r="713">
      <x:c r="A713" s="6" t="inlineStr">
        <x:is>
          <x:t xml:space="preserve">450 x 1006 cm</x:t>
        </x:is>
      </x:c>
      <x:c r="B713" s="6" t="inlineStr">
        <x:is>
          <x:t xml:space="preserve">RB</x:t>
        </x:is>
      </x:c>
      <x:c r="C713" s="6" t="inlineStr">
        <x:is>
          <x:t xml:space="preserve">Roleta boczna ZIP</x:t>
        </x:is>
      </x:c>
      <x:c r="D713" s="6" t="inlineStr">
        <x:is>
          <x:t xml:space="preserve">ROLETA BOCZNA</x:t>
        </x:is>
      </x:c>
      <x:c r="E713" s="8" t="n">
        <x:f>IFERROR(INDEX('02_RAW_INDEX'!$J:$J,MATCH($A713,'02_RAW_INDEX'!$A:$A,0)),"")</x:f>
        <x:v>2569</x:v>
      </x:c>
      <x:c r="F713" s="8" t="n">
        <x:f>IFERROR(INDEX('02_RAW_INDEX'!$I:$I,MATCH($A713,'02_RAW_INDEX'!$A:$A,0)),"")</x:f>
        <x:v>3160</x:v>
      </x:c>
      <x:c r="G713" s="7" t="n">
        <x:f>'01_Ustawienia'!$B$6</x:f>
        <x:v>0</x:v>
      </x:c>
      <x:c r="H713" s="8" t="n">
        <x:f>IF(E713="","",ROUND(IF('01_Ustawienia'!$B$5="BRUTTO",F713,E713)*(1-G713),0))</x:f>
        <x:v>2569</x:v>
      </x:c>
      <x:c r="I713" s="7" t="n">
        <x:f>IFERROR(IFERROR(INDEX('01_Ustawienia'!$B$15:$B$33,MATCH(B713,'01_Ustawienia'!$A$15:$A$33,0)),0.45),0.45)</x:f>
        <x:v>0.45</x:v>
      </x:c>
      <x:c r="J713" s="8" t="n">
        <x:f>IF(H713="","",ROUND(H713*(1+I713),0))</x:f>
        <x:v>3725</x:v>
      </x:c>
      <x:c r="K713" s="8" t="n">
        <x:f>0</x:f>
        <x:v>0</x:v>
      </x:c>
      <x:c r="L713" s="8" t="n">
        <x:f>IFERROR(IFERROR(INDEX(EG_Cennik_uslug!$AC:$AC,MATCH($A713,EG_Cennik_uslug!$A:$A,0)),0),0)</x:f>
        <x:v>150</x:v>
      </x:c>
      <x:c r="M713" s="7" t="n">
        <x:f>IF('01_Ustawienia'!$B$4="ZWOLNIONY",0,'01_Ustawienia'!$B$7)</x:f>
        <x:v>0.08</x:v>
      </x:c>
      <x:c r="N713" s="8" t="n">
        <x:f>IF(J713="","",ROUND((J713+K713)*(1+M713),0))</x:f>
        <x:v>4023</x:v>
      </x:c>
      <x:c r="O713" s="8" t="n">
        <x:f>IF(J713="","",J713+K713-H713-L713)</x:f>
        <x:v>1006</x:v>
      </x:c>
      <x:c r="P713" s="7" t="n">
        <x:f>IFERROR(O713/(J713+K713),"")</x:f>
        <x:v>0.2700671140939597</x:v>
      </x:c>
      <x:c r="Q713" s="6" t="inlineStr">
        <x:is>
          <x:t xml:space="preserve">RAW_ZP J/K</x:t>
        </x:is>
      </x:c>
      <x:c r="R713" s="6" t="inlineStr">
        <x:is>
          <x:t xml:space="preserve">ROLETY BOCZNE</x:t>
        </x:is>
      </x:c>
      <x:c r="S713" s="6" t="inlineStr">
        <x:is>
          <x:t xml:space="preserve">website+crm</x:t>
        </x:is>
      </x:c>
      <x:c r="T713" s="6" t="inlineStr">
        <x:is>
          <x:t xml:space="preserve">Używana dla lewej i prawej</x:t>
        </x:is>
      </x:c>
    </x:row>
    <x:row r="714">
      <x:c r="A714" s="6" t="inlineStr">
        <x:is>
          <x:t xml:space="preserve">450 x 1006 cm</x:t>
        </x:is>
      </x:c>
      <x:c r="B714" s="6" t="inlineStr">
        <x:is>
          <x:t xml:space="preserve">RP</x:t>
        </x:is>
      </x:c>
      <x:c r="C714" s="6" t="inlineStr">
        <x:is>
          <x:t xml:space="preserve">Roleta przednia ZIP</x:t>
        </x:is>
      </x:c>
      <x:c r="D714" s="6" t="inlineStr">
        <x:is>
          <x:t xml:space="preserve">ROLETA PRZÓD</x:t>
        </x:is>
      </x:c>
      <x:c r="E714" s="8" t="n">
        <x:f>IFERROR(INDEX('02_RAW_INDEX'!$L:$L,MATCH($A714,'02_RAW_INDEX'!$A:$A,0)),"")</x:f>
        <x:v>5618</x:v>
      </x:c>
      <x:c r="F714" s="8" t="n">
        <x:f>IFERROR(INDEX('02_RAW_INDEX'!$K:$K,MATCH($A714,'02_RAW_INDEX'!$A:$A,0)),"")</x:f>
        <x:v>6910</x:v>
      </x:c>
      <x:c r="G714" s="7" t="n">
        <x:f>'01_Ustawienia'!$B$6</x:f>
        <x:v>0</x:v>
      </x:c>
      <x:c r="H714" s="8" t="n">
        <x:f>IF(E714="","",ROUND(IF('01_Ustawienia'!$B$5="BRUTTO",F714,E714)*(1-G714),0))</x:f>
        <x:v>5618</x:v>
      </x:c>
      <x:c r="I714" s="7" t="n">
        <x:f>IFERROR(IFERROR(INDEX('01_Ustawienia'!$B$15:$B$33,MATCH(B714,'01_Ustawienia'!$A$15:$A$33,0)),0.45),0.45)</x:f>
        <x:v>0.45</x:v>
      </x:c>
      <x:c r="J714" s="8" t="n">
        <x:f>IF(H714="","",ROUND(H714*(1+I714),0))</x:f>
        <x:v>8146</x:v>
      </x:c>
      <x:c r="K714" s="8" t="n">
        <x:f>0</x:f>
        <x:v>0</x:v>
      </x:c>
      <x:c r="L714" s="8" t="n">
        <x:f>IFERROR(IFERROR(INDEX(EG_Cennik_uslug!$AJ:$AJ,MATCH($A714,EG_Cennik_uslug!$A:$A,0)),0),0)</x:f>
        <x:v>450</x:v>
      </x:c>
      <x:c r="M714" s="7" t="n">
        <x:f>IF('01_Ustawienia'!$B$4="ZWOLNIONY",0,'01_Ustawienia'!$B$7)</x:f>
        <x:v>0.08</x:v>
      </x:c>
      <x:c r="N714" s="8" t="n">
        <x:f>IF(J714="","",ROUND((J714+K714)*(1+M714),0))</x:f>
        <x:v>8798</x:v>
      </x:c>
      <x:c r="O714" s="8" t="n">
        <x:f>IF(J714="","",J714+K714-H714-L714)</x:f>
        <x:v>2078</x:v>
      </x:c>
      <x:c r="P714" s="7" t="n">
        <x:f>IFERROR(O714/(J714+K714),"")</x:f>
        <x:v>0.25509452492020623</x:v>
      </x:c>
      <x:c r="Q714" s="6" t="inlineStr">
        <x:is>
          <x:t xml:space="preserve">RAW_ZP N/O</x:t>
        </x:is>
      </x:c>
      <x:c r="R714" s="6" t="inlineStr">
        <x:is>
          <x:t xml:space="preserve">ROLETY BOCZNE</x:t>
        </x:is>
      </x:c>
      <x:c r="S714" s="6" t="inlineStr">
        <x:is>
          <x:t xml:space="preserve">website+crm</x:t>
        </x:is>
      </x:c>
      <x:c r="T714" s="6" t="n"/>
    </x:row>
    <x:row r="715">
      <x:c r="A715" s="6" t="inlineStr">
        <x:is>
          <x:t xml:space="preserve">450 x 1006 cm</x:t>
        </x:is>
      </x:c>
      <x:c r="B715" s="6" t="inlineStr">
        <x:is>
          <x:t xml:space="preserve">M</x:t>
        </x:is>
      </x:c>
      <x:c r="C715" s="6" t="inlineStr">
        <x:is>
          <x:t xml:space="preserve">Markiza dachowa</x:t>
        </x:is>
      </x:c>
      <x:c r="D715" s="6" t="inlineStr">
        <x:is>
          <x:t xml:space="preserve">MARKIZA</x:t>
        </x:is>
      </x:c>
      <x:c r="E715" s="8" t="n">
        <x:f>IFERROR(INDEX('02_RAW_INDEX'!$H:$H,MATCH($A715,'02_RAW_INDEX'!$A:$A,0)),"")</x:f>
        <x:v>8805</x:v>
      </x:c>
      <x:c r="F715" s="8" t="n">
        <x:f>IFERROR(INDEX('02_RAW_INDEX'!$G:$G,MATCH($A715,'02_RAW_INDEX'!$A:$A,0)),"")</x:f>
        <x:v>10830</x:v>
      </x:c>
      <x:c r="G715" s="7" t="n">
        <x:f>'01_Ustawienia'!$B$6</x:f>
        <x:v>0</x:v>
      </x:c>
      <x:c r="H715" s="8" t="n">
        <x:f>IF(E715="","",ROUND(IF('01_Ustawienia'!$B$5="BRUTTO",F715,E715)*(1-G715),0))</x:f>
        <x:v>8805</x:v>
      </x:c>
      <x:c r="I715" s="7" t="n">
        <x:f>IFERROR(IFERROR(INDEX('01_Ustawienia'!$B$15:$B$33,MATCH(B715,'01_Ustawienia'!$A$15:$A$33,0)),0.45),0.45)</x:f>
        <x:v>0.45</x:v>
      </x:c>
      <x:c r="J715" s="8" t="n">
        <x:f>IF(H715="","",ROUND(H715*(1+I715),0))</x:f>
        <x:v>12767</x:v>
      </x:c>
      <x:c r="K715" s="8" t="n">
        <x:f>0</x:f>
        <x:v>0</x:v>
      </x:c>
      <x:c r="L715" s="8" t="n">
        <x:f>IFERROR(IFERROR(INDEX(EG_Cennik_uslug!$AQ:$AQ,MATCH($A715,EG_Cennik_uslug!$A:$A,0)),0),0)</x:f>
        <x:v>600</x:v>
      </x:c>
      <x:c r="M715" s="7" t="n">
        <x:f>IF('01_Ustawienia'!$B$4="ZWOLNIONY",0,'01_Ustawienia'!$B$7)</x:f>
        <x:v>0.08</x:v>
      </x:c>
      <x:c r="N715" s="8" t="n">
        <x:f>IF(J715="","",ROUND((J715+K715)*(1+M715),0))</x:f>
        <x:v>13788</x:v>
      </x:c>
      <x:c r="O715" s="8" t="n">
        <x:f>IF(J715="","",J715+K715-H715-L715)</x:f>
        <x:v>3362</x:v>
      </x:c>
      <x:c r="P715" s="7" t="n">
        <x:f>IFERROR(O715/(J715+K715),"")</x:f>
        <x:v>0.2633351609618548</x:v>
      </x:c>
      <x:c r="Q715" s="6" t="inlineStr">
        <x:is>
          <x:t xml:space="preserve">RAW_ZP H/I</x:t>
        </x:is>
      </x:c>
      <x:c r="R715" s="6" t="inlineStr">
        <x:is>
          <x:t xml:space="preserve">MARKIZA</x:t>
        </x:is>
      </x:c>
      <x:c r="S715" s="6" t="inlineStr">
        <x:is>
          <x:t xml:space="preserve">website+crm</x:t>
        </x:is>
      </x:c>
      <x:c r="T715" s="6" t="n"/>
    </x:row>
    <x:row r="716">
      <x:c r="A716" s="6" t="inlineStr">
        <x:is>
          <x:t xml:space="preserve">450 x 1006 cm</x:t>
        </x:is>
      </x:c>
      <x:c r="B716" s="6" t="inlineStr">
        <x:is>
          <x:t xml:space="preserve">PDWP</x:t>
        </x:is>
      </x:c>
      <x:c r="C716" s="6" t="inlineStr">
        <x:is>
          <x:t xml:space="preserve">Fundament/profile</x:t>
        </x:is>
      </x:c>
      <x:c r="D716" s="6" t="inlineStr">
        <x:is>
          <x:t xml:space="preserve">FUNDAMENT / PROFILE</x:t>
        </x:is>
      </x:c>
      <x:c r="E716" s="8" t="n">
        <x:f>IFERROR(INDEX('02_RAW_INDEX'!$AH:$AH,MATCH($A716,'02_RAW_INDEX'!$A:$A,0)),"")</x:f>
        <x:v>1528</x:v>
      </x:c>
      <x:c r="F716" s="8" t="n">
        <x:f>IFERROR(INDEX('02_RAW_INDEX'!$AG:$AG,MATCH($A716,'02_RAW_INDEX'!$A:$A,0)),"")</x:f>
        <x:v>1880</x:v>
      </x:c>
      <x:c r="G716" s="7" t="n">
        <x:f>'01_Ustawienia'!$B$6</x:f>
        <x:v>0</x:v>
      </x:c>
      <x:c r="H716" s="8" t="n">
        <x:f>IF(E716="","",ROUND(IF('01_Ustawienia'!$B$5="BRUTTO",F716,E716)*(1-G716),0))</x:f>
        <x:v>1528</x:v>
      </x:c>
      <x:c r="I716" s="7" t="n">
        <x:f>IFERROR(IFERROR(INDEX('01_Ustawienia'!$B$15:$B$33,MATCH(B716,'01_Ustawienia'!$A$15:$A$33,0)),0.45),0.45)</x:f>
        <x:v>1.2</x:v>
      </x:c>
      <x:c r="J716" s="8" t="n">
        <x:f>IF(H716="","",ROUND(H716*(1+I716),0))</x:f>
        <x:v>3362</x:v>
      </x:c>
      <x:c r="K716" s="8" t="n">
        <x:f>0</x:f>
        <x:v>0</x:v>
      </x:c>
      <x:c r="L716" s="8" t="n">
        <x:f>IFERROR(IFERROR(INDEX(EG_Cennik_uslug!$BT:$BT,MATCH($A716,EG_Cennik_uslug!$A:$A,0)),0),0)</x:f>
        <x:v>650</x:v>
      </x:c>
      <x:c r="M716" s="7" t="n">
        <x:f>IF('01_Ustawienia'!$B$4="ZWOLNIONY",0,'01_Ustawienia'!$B$7)</x:f>
        <x:v>0.08</x:v>
      </x:c>
      <x:c r="N716" s="8" t="n">
        <x:f>IF(J716="","",ROUND((J716+K716)*(1+M716),0))</x:f>
        <x:v>3631</x:v>
      </x:c>
      <x:c r="O716" s="8" t="n">
        <x:f>IF(J716="","",J716+K716-H716-L716)</x:f>
        <x:v>1184</x:v>
      </x:c>
      <x:c r="P716" s="7" t="n">
        <x:f>IFERROR(O716/(J716+K716),"")</x:f>
        <x:v>0.35217132659131467</x:v>
      </x:c>
      <x:c r="Q716" s="6" t="inlineStr">
        <x:is>
          <x:t xml:space="preserve">RAW_OP AB/AC</x:t>
        </x:is>
      </x:c>
      <x:c r="R716" s="6" t="inlineStr">
        <x:is>
          <x:t xml:space="preserve">FUNDAMENT (PROFILE)</x:t>
        </x:is>
      </x:c>
      <x:c r="S716" s="6" t="inlineStr">
        <x:is>
          <x:t xml:space="preserve">website+crm</x:t>
        </x:is>
      </x:c>
      <x:c r="T716" s="6" t="n"/>
    </x:row>
    <x:row r="717" s="655" customFormat="1" ht="30" customHeight="1">
      <x:c r="A717" s="6" t="inlineStr">
        <x:is>
          <x:t xml:space="preserve">450 x 1006 cm</x:t>
        </x:is>
      </x:c>
      <x:c r="B717" s="6" t="inlineStr">
        <x:is>
          <x:t xml:space="preserve">ZAB</x:t>
        </x:is>
      </x:c>
      <x:c r="C717" s="6" t="inlineStr">
        <x:is>
          <x:t xml:space="preserve">Zabieraki do ścian przesuwnych</x:t>
        </x:is>
      </x:c>
      <x:c r="D717" s="6" t="inlineStr">
        <x:is>
          <x:t xml:space="preserve">DODATKI</x:t>
        </x:is>
      </x:c>
      <x:c r="E717" s="8" t="n">
        <x:f>IFERROR(INDEX('02_RAW_INDEX'!$AJ:$AJ,MATCH($A717,'02_RAW_INDEX'!$A:$A,0)),"")</x:f>
        <x:v>488</x:v>
      </x:c>
      <x:c r="F717" s="8" t="n">
        <x:f>IFERROR(INDEX('02_RAW_INDEX'!$AI:$AI,MATCH($A717,'02_RAW_INDEX'!$A:$A,0)),"")</x:f>
        <x:v>600</x:v>
      </x:c>
      <x:c r="G717" s="7" t="n">
        <x:f>'01_Ustawienia'!$B$6</x:f>
        <x:v>0</x:v>
      </x:c>
      <x:c r="H717" s="8" t="n">
        <x:f>IF(E717="","",ROUND(IF('01_Ustawienia'!$B$5="BRUTTO",F717,E717)*(1-G717),0))</x:f>
        <x:v>488</x:v>
      </x:c>
      <x:c r="I717" s="7" t="n">
        <x:f>IFERROR(IFERROR(INDEX('01_Ustawienia'!$B$15:$B$33,MATCH(B717,'01_Ustawienia'!$A$15:$A$33,0)),0.45),0.45)</x:f>
        <x:v>0.45</x:v>
      </x:c>
      <x:c r="J717" s="8" t="n">
        <x:f>IF(H717="","",ROUND(H717*(1+I717),0))</x:f>
        <x:v>708</x:v>
      </x:c>
      <x:c r="K717" s="8" t="n">
        <x:f>0</x:f>
        <x:v>0</x:v>
      </x:c>
      <x:c r="L717" s="8" t="n">
        <x:f>0</x:f>
        <x:v>0</x:v>
      </x:c>
      <x:c r="M717" s="7" t="n">
        <x:f>IF('01_Ustawienia'!$B$4="ZWOLNIONY",0,'01_Ustawienia'!$B$7)</x:f>
        <x:v>0.08</x:v>
      </x:c>
      <x:c r="N717" s="8" t="n">
        <x:f>IF(J717="","",ROUND((J717+K717)*(1+M717),0))</x:f>
        <x:v>765</x:v>
      </x:c>
      <x:c r="O717" s="8" t="n">
        <x:f>IF(J717="","",J717+K717-H717-L717)</x:f>
        <x:v>220</x:v>
      </x:c>
      <x:c r="P717" s="7" t="n">
        <x:f>IFERROR(O717/(J717+K717),"")</x:f>
        <x:v>0.3107344632768362</x:v>
      </x:c>
      <x:c r="Q717" s="6" t="inlineStr">
        <x:is>
          <x:t xml:space="preserve">RAW_OP AD/AE</x:t>
        </x:is>
      </x:c>
      <x:c r="R717" s="6" t="inlineStr">
        <x:is>
          <x:t xml:space="preserve">DODATKI</x:t>
        </x:is>
      </x:c>
      <x:c r="S717" s="6" t="inlineStr">
        <x:is>
          <x:t xml:space="preserve">crm_only</x:t>
        </x:is>
      </x:c>
      <x:c r="T717" s="6" t="n"/>
    </x:row>
    <x:row r="718">
      <x:c r="A718" s="6" t="inlineStr">
        <x:is>
          <x:t xml:space="preserve">450 x 1006 cm</x:t>
        </x:is>
      </x:c>
      <x:c r="B718" s="6" t="inlineStr">
        <x:is>
          <x:t xml:space="preserve">S</x:t>
        </x:is>
      </x:c>
      <x:c r="C718" s="6" t="inlineStr">
        <x:is>
          <x:t xml:space="preserve">Szczotki przeciwkurzowe</x:t>
        </x:is>
      </x:c>
      <x:c r="D718" s="6" t="inlineStr">
        <x:is>
          <x:t xml:space="preserve">SZCZOTKI</x:t>
        </x:is>
      </x:c>
      <x:c r="E718" s="8" t="n">
        <x:f>IFERROR(INDEX('02_RAW_INDEX'!$AD:$AD,MATCH($A718,'02_RAW_INDEX'!$A:$A,0)),"")</x:f>
        <x:v>618</x:v>
      </x:c>
      <x:c r="F718" s="8" t="n">
        <x:f>IFERROR(INDEX('02_RAW_INDEX'!$AC:$AC,MATCH($A718,'02_RAW_INDEX'!$A:$A,0)),"")</x:f>
        <x:v>760</x:v>
      </x:c>
      <x:c r="G718" s="7" t="n">
        <x:f>'01_Ustawienia'!$B$6</x:f>
        <x:v>0</x:v>
      </x:c>
      <x:c r="H718" s="8" t="n">
        <x:f>IF(E718="","",ROUND(IF('01_Ustawienia'!$B$5="BRUTTO",F718,E718)*(1-G718),0))</x:f>
        <x:v>618</x:v>
      </x:c>
      <x:c r="I718" s="7" t="n">
        <x:f>IFERROR(IFERROR(INDEX('01_Ustawienia'!$B$15:$B$33,MATCH(B718,'01_Ustawienia'!$A$15:$A$33,0)),0.45),0.45)</x:f>
        <x:v>0.45</x:v>
      </x:c>
      <x:c r="J718" s="8" t="n">
        <x:f>IF(H718="","",ROUND(H718*(1+I718),0))</x:f>
        <x:v>896</x:v>
      </x:c>
      <x:c r="K718" s="8" t="n">
        <x:f>0</x:f>
        <x:v>0</x:v>
      </x:c>
      <x:c r="L718" s="8" t="n">
        <x:f>IFERROR(IFERROR(INDEX(EG_Cennik_uslug!$CA:$CA,MATCH($A718,EG_Cennik_uslug!$A:$A,0)),0),0)</x:f>
        <x:v>0</x:v>
      </x:c>
      <x:c r="M718" s="7" t="n">
        <x:f>IF('01_Ustawienia'!$B$4="ZWOLNIONY",0,'01_Ustawienia'!$B$7)</x:f>
        <x:v>0.08</x:v>
      </x:c>
      <x:c r="N718" s="8" t="n">
        <x:f>IF(J718="","",ROUND((J718+K718)*(1+M718),0))</x:f>
        <x:v>968</x:v>
      </x:c>
      <x:c r="O718" s="8" t="n">
        <x:f>IF(J718="","",J718+K718-H718-L718)</x:f>
        <x:v>278</x:v>
      </x:c>
      <x:c r="P718" s="7" t="n">
        <x:f>IFERROR(O718/(J718+K718),"")</x:f>
        <x:v>0.31026785714285715</x:v>
      </x:c>
      <x:c r="Q718" s="6" t="inlineStr">
        <x:is>
          <x:t xml:space="preserve">RAW_OP L/M</x:t>
        </x:is>
      </x:c>
      <x:c r="R718" s="6" t="inlineStr">
        <x:is>
          <x:t xml:space="preserve">DODATKI</x:t>
        </x:is>
      </x:c>
      <x:c r="S718" s="6" t="inlineStr">
        <x:is>
          <x:t xml:space="preserve">website+crm</x:t>
        </x:is>
      </x:c>
      <x:c r="T718" s="6" t="n"/>
    </x:row>
    <x:row r="719">
      <x:c r="A719" s="6" t="inlineStr">
        <x:is>
          <x:t xml:space="preserve">450 x 1006 cm</x:t>
        </x:is>
      </x:c>
      <x:c r="B719" s="6" t="inlineStr">
        <x:is>
          <x:t xml:space="preserve">U</x:t>
        </x:is>
      </x:c>
      <x:c r="C719" s="6" t="inlineStr">
        <x:is>
          <x:t xml:space="preserve">Uchwyty na szkło ścienne</x:t>
        </x:is>
      </x:c>
      <x:c r="D719" s="6" t="inlineStr">
        <x:is>
          <x:t xml:space="preserve">UCHWYTY</x:t>
        </x:is>
      </x:c>
      <x:c r="E719" s="8" t="n">
        <x:f>IFERROR(INDEX('02_RAW_INDEX'!$AF:$AF,MATCH($A719,'02_RAW_INDEX'!$A:$A,0)),"")</x:f>
        <x:v>561</x:v>
      </x:c>
      <x:c r="F719" s="8" t="n">
        <x:f>IFERROR(INDEX('02_RAW_INDEX'!$AE:$AE,MATCH($A719,'02_RAW_INDEX'!$A:$A,0)),"")</x:f>
        <x:v>690</x:v>
      </x:c>
      <x:c r="G719" s="7" t="n">
        <x:f>'01_Ustawienia'!$B$6</x:f>
        <x:v>0</x:v>
      </x:c>
      <x:c r="H719" s="8" t="n">
        <x:f>IF(E719="","",ROUND(IF('01_Ustawienia'!$B$5="BRUTTO",F719,E719)*(1-G719),0))</x:f>
        <x:v>561</x:v>
      </x:c>
      <x:c r="I719" s="7" t="n">
        <x:f>IFERROR(IFERROR(INDEX('01_Ustawienia'!$B$15:$B$33,MATCH(B719,'01_Ustawienia'!$A$15:$A$33,0)),0.45),0.45)</x:f>
        <x:v>0.45</x:v>
      </x:c>
      <x:c r="J719" s="8" t="n">
        <x:f>IF(H719="","",ROUND(H719*(1+I719),0))</x:f>
        <x:v>813</x:v>
      </x:c>
      <x:c r="K719" s="8" t="n">
        <x:f>0</x:f>
        <x:v>0</x:v>
      </x:c>
      <x:c r="L719" s="8" t="n">
        <x:f>IFERROR(IFERROR(INDEX(EG_Cennik_uslug!$CH:$CH,MATCH($A719,EG_Cennik_uslug!$A:$A,0)),0),0)</x:f>
        <x:v>0</x:v>
      </x:c>
      <x:c r="M719" s="7" t="n">
        <x:f>IF('01_Ustawienia'!$B$4="ZWOLNIONY",0,'01_Ustawienia'!$B$7)</x:f>
        <x:v>0.08</x:v>
      </x:c>
      <x:c r="N719" s="8" t="n">
        <x:f>IF(J719="","",ROUND((J719+K719)*(1+M719),0))</x:f>
        <x:v>878</x:v>
      </x:c>
      <x:c r="O719" s="8" t="n">
        <x:f>IF(J719="","",J719+K719-H719-L719)</x:f>
        <x:v>252</x:v>
      </x:c>
      <x:c r="P719" s="7" t="n">
        <x:f>IFERROR(O719/(J719+K719),"")</x:f>
        <x:v>0.30996309963099633</x:v>
      </x:c>
      <x:c r="Q719" s="6" t="inlineStr">
        <x:is>
          <x:t xml:space="preserve">RAW_OP N/O</x:t>
        </x:is>
      </x:c>
      <x:c r="R719" s="6" t="inlineStr">
        <x:is>
          <x:t xml:space="preserve">DODATKI</x:t>
        </x:is>
      </x:c>
      <x:c r="S719" s="6" t="inlineStr">
        <x:is>
          <x:t xml:space="preserve">website+crm</x:t>
        </x:is>
      </x:c>
      <x:c r="T719" s="6" t="n"/>
    </x:row>
    <x:row r="720">
      <x:c r="A720" s="6" t="inlineStr">
        <x:is>
          <x:t xml:space="preserve">450 x 1006 cm</x:t>
        </x:is>
      </x:c>
      <x:c r="B720" s="6" t="inlineStr">
        <x:is>
          <x:t xml:space="preserve">LED2</x:t>
        </x:is>
      </x:c>
      <x:c r="C720" s="6" t="inlineStr">
        <x:is>
          <x:t xml:space="preserve">Oświetlenie LED 2 punkty</x:t>
        </x:is>
      </x:c>
      <x:c r="D720" s="6" t="inlineStr">
        <x:is>
          <x:t xml:space="preserve">LED 2 PKT</x:t>
        </x:is>
      </x:c>
      <x:c r="E720" s="8" t="n">
        <x:f>IFERROR(INDEX('02_RAW_INDEX'!$N:$N,MATCH($A720,'02_RAW_INDEX'!$A:$A,0)),"")</x:f>
        <x:v>1000</x:v>
      </x:c>
      <x:c r="F720" s="8" t="n">
        <x:f>IFERROR(INDEX('02_RAW_INDEX'!$M:$M,MATCH($A720,'02_RAW_INDEX'!$A:$A,0)),"")</x:f>
        <x:v>1230</x:v>
      </x:c>
      <x:c r="G720" s="7" t="n">
        <x:f>'01_Ustawienia'!$B$6</x:f>
        <x:v>0</x:v>
      </x:c>
      <x:c r="H720" s="8" t="n">
        <x:f>IF(E720="","",ROUND(IF('01_Ustawienia'!$B$5="BRUTTO",F720,E720)*(1-G720),0))</x:f>
        <x:v>1000</x:v>
      </x:c>
      <x:c r="I720" s="7" t="n">
        <x:f>IFERROR(IFERROR(INDEX('01_Ustawienia'!$B$15:$B$33,MATCH(B720,'01_Ustawienia'!$A$15:$A$33,0)),0.45),0.45)</x:f>
        <x:v>0.45</x:v>
      </x:c>
      <x:c r="J720" s="8" t="n">
        <x:f>IF(H720="","",ROUND(H720*(1+I720),0))</x:f>
        <x:v>1450</x:v>
      </x:c>
      <x:c r="K720" s="8" t="n">
        <x:f>0</x:f>
        <x:v>0</x:v>
      </x:c>
      <x:c r="L720" s="8" t="n">
        <x:f>IFERROR(IFERROR(INDEX(EG_Cennik_uslug!$CO:$CO,MATCH($A720,EG_Cennik_uslug!$A:$A,0)),0),0)</x:f>
        <x:v>0</x:v>
      </x:c>
      <x:c r="M720" s="7" t="n">
        <x:f>IF('01_Ustawienia'!$B$4="ZWOLNIONY",0,'01_Ustawienia'!$B$7)</x:f>
        <x:v>0.08</x:v>
      </x:c>
      <x:c r="N720" s="8" t="n">
        <x:f>IF(J720="","",ROUND((J720+K720)*(1+M720),0))</x:f>
        <x:v>1566</x:v>
      </x:c>
      <x:c r="O720" s="8" t="n">
        <x:f>IF(J720="","",J720+K720-H720-L720)</x:f>
        <x:v>450</x:v>
      </x:c>
      <x:c r="P720" s="7" t="n">
        <x:f>IFERROR(O720/(J720+K720),"")</x:f>
        <x:v>0.3103448275862069</x:v>
      </x:c>
      <x:c r="Q720" s="6" t="inlineStr">
        <x:is>
          <x:t xml:space="preserve">RAW_ZP P/Q</x:t>
        </x:is>
      </x:c>
      <x:c r="R720" s="6" t="inlineStr">
        <x:is>
          <x:t xml:space="preserve">OŚWIETLENIE</x:t>
        </x:is>
      </x:c>
      <x:c r="S720" s="6" t="inlineStr">
        <x:is>
          <x:t xml:space="preserve">website+crm</x:t>
        </x:is>
      </x:c>
      <x:c r="T720" s="6" t="n"/>
    </x:row>
    <x:row r="721">
      <x:c r="A721" s="6" t="inlineStr">
        <x:is>
          <x:t xml:space="preserve">450 x 1006 cm</x:t>
        </x:is>
      </x:c>
      <x:c r="B721" s="6" t="inlineStr">
        <x:is>
          <x:t xml:space="preserve">LED3</x:t>
        </x:is>
      </x:c>
      <x:c r="C721" s="6" t="inlineStr">
        <x:is>
          <x:t xml:space="preserve">Oświetlenie LED 3 punkty</x:t>
        </x:is>
      </x:c>
      <x:c r="D721" s="6" t="inlineStr">
        <x:is>
          <x:t xml:space="preserve">LED 3 PKT</x:t>
        </x:is>
      </x:c>
      <x:c r="E721" s="8" t="n">
        <x:f>IFERROR(INDEX('02_RAW_INDEX'!$P:$P,MATCH($A721,'02_RAW_INDEX'!$A:$A,0)),"")</x:f>
        <x:v>1341</x:v>
      </x:c>
      <x:c r="F721" s="8" t="n">
        <x:f>IFERROR(INDEX('02_RAW_INDEX'!$O:$O,MATCH($A721,'02_RAW_INDEX'!$A:$A,0)),"")</x:f>
        <x:v>1650</x:v>
      </x:c>
      <x:c r="G721" s="7" t="n">
        <x:f>'01_Ustawienia'!$B$6</x:f>
        <x:v>0</x:v>
      </x:c>
      <x:c r="H721" s="8" t="n">
        <x:f>IF(E721="","",ROUND(IF('01_Ustawienia'!$B$5="BRUTTO",F721,E721)*(1-G721),0))</x:f>
        <x:v>1341</x:v>
      </x:c>
      <x:c r="I721" s="7" t="n">
        <x:f>IFERROR(IFERROR(INDEX('01_Ustawienia'!$B$15:$B$33,MATCH(B721,'01_Ustawienia'!$A$15:$A$33,0)),0.45),0.45)</x:f>
        <x:v>0.45</x:v>
      </x:c>
      <x:c r="J721" s="8" t="n">
        <x:f>IF(H721="","",ROUND(H721*(1+I721),0))</x:f>
        <x:v>1944</x:v>
      </x:c>
      <x:c r="K721" s="8" t="n">
        <x:f>0</x:f>
        <x:v>0</x:v>
      </x:c>
      <x:c r="L721" s="8" t="n">
        <x:f>IFERROR(IFERROR(INDEX(EG_Cennik_uslug!$CV:$CV,MATCH($A721,EG_Cennik_uslug!$A:$A,0)),0),0)</x:f>
        <x:v>0</x:v>
      </x:c>
      <x:c r="M721" s="7" t="n">
        <x:f>IF('01_Ustawienia'!$B$4="ZWOLNIONY",0,'01_Ustawienia'!$B$7)</x:f>
        <x:v>0.08</x:v>
      </x:c>
      <x:c r="N721" s="8" t="n">
        <x:f>IF(J721="","",ROUND((J721+K721)*(1+M721),0))</x:f>
        <x:v>2100</x:v>
      </x:c>
      <x:c r="O721" s="8" t="n">
        <x:f>IF(J721="","",J721+K721-H721-L721)</x:f>
        <x:v>603</x:v>
      </x:c>
      <x:c r="P721" s="7" t="n">
        <x:f>IFERROR(O721/(J721+K721),"")</x:f>
        <x:v>0.3101851851851852</x:v>
      </x:c>
      <x:c r="Q721" s="6" t="inlineStr">
        <x:is>
          <x:t xml:space="preserve">RAW_ZP R/S</x:t>
        </x:is>
      </x:c>
      <x:c r="R721" s="6" t="inlineStr">
        <x:is>
          <x:t xml:space="preserve">OŚWIETLENIE</x:t>
        </x:is>
      </x:c>
      <x:c r="S721" s="6" t="inlineStr">
        <x:is>
          <x:t xml:space="preserve">website+crm</x:t>
        </x:is>
      </x:c>
      <x:c r="T721" s="6" t="inlineStr">
        <x:is>
          <x:t xml:space="preserve">Nazwa do potwierdzenia</x:t>
        </x:is>
      </x:c>
    </x:row>
    <x:row r="722">
      <x:c r="A722" s="6" t="inlineStr">
        <x:is>
          <x:t xml:space="preserve">450 x 1006 cm</x:t>
        </x:is>
      </x:c>
      <x:c r="B722" s="6" t="inlineStr">
        <x:is>
          <x:t xml:space="preserve">LEDCCT</x:t>
        </x:is>
      </x:c>
      <x:c r="C722" s="6" t="inlineStr">
        <x:is>
          <x:t xml:space="preserve">Oświetlenie LED CCT</x:t>
        </x:is>
      </x:c>
      <x:c r="D722" s="6" t="inlineStr">
        <x:is>
          <x:t xml:space="preserve">OŚWIETLENIE</x:t>
        </x:is>
      </x:c>
      <x:c r="E722" s="8" t="n">
        <x:f>IFERROR(INDEX('02_RAW_INDEX'!$R:$R,MATCH($A722,'02_RAW_INDEX'!$A:$A,0)),"")</x:f>
        <x:v>2519</x:v>
      </x:c>
      <x:c r="F722" s="8" t="n">
        <x:f>IFERROR(INDEX('02_RAW_INDEX'!$Q:$Q,MATCH($A722,'02_RAW_INDEX'!$A:$A,0)),"")</x:f>
        <x:v>3098</x:v>
      </x:c>
      <x:c r="G722" s="7" t="n">
        <x:f>'01_Ustawienia'!$B$6</x:f>
        <x:v>0</x:v>
      </x:c>
      <x:c r="H722" s="8" t="n">
        <x:f>IF(E722="","",ROUND(IF('01_Ustawienia'!$B$5="BRUTTO",F722,E722)*(1-G722),0))</x:f>
        <x:v>2519</x:v>
      </x:c>
      <x:c r="I722" s="7" t="n">
        <x:f>IFERROR(IFERROR(INDEX('01_Ustawienia'!$B$15:$B$33,MATCH(B722,'01_Ustawienia'!$A$15:$A$33,0)),0.45),0.45)</x:f>
        <x:v>0.45</x:v>
      </x:c>
      <x:c r="J722" s="8" t="n">
        <x:f>IF(H722="","",ROUND(H722*(1+I722),0)+700)</x:f>
        <x:v>4353</x:v>
      </x:c>
      <x:c r="K722" s="8" t="n">
        <x:f>0</x:f>
        <x:v>0</x:v>
      </x:c>
      <x:c r="L722" s="8" t="n">
        <x:f>0</x:f>
        <x:v>0</x:v>
      </x:c>
      <x:c r="M722" s="7" t="n">
        <x:f>IF('01_Ustawienia'!$B$4="ZWOLNIONY",0,'01_Ustawienia'!$B$7)</x:f>
        <x:v>0.08</x:v>
      </x:c>
      <x:c r="N722" s="8" t="n">
        <x:f>IF(J722="","",ROUND((J722+K722)*(1+M722),0))</x:f>
        <x:v>4701</x:v>
      </x:c>
      <x:c r="O722" s="8" t="n">
        <x:f>IF(J722="","",J722+K722-H722-L722)</x:f>
        <x:v>1834</x:v>
      </x:c>
      <x:c r="P722" s="7" t="n">
        <x:f>IFERROR(O722/(J722+K722),"")</x:f>
        <x:v>0.4213186308293131</x:v>
      </x:c>
      <x:c r="Q722" s="715" t="inlineStr">
        <x:is>
          <x:t xml:space="preserve">MODEL_FIX15_LED</x:t>
        </x:is>
      </x:c>
      <x:c r="R722" s="6" t="inlineStr">
        <x:is>
          <x:t xml:space="preserve">OŚWIETLENIE</x:t>
        </x:is>
      </x:c>
      <x:c r="S722" s="6" t="inlineStr">
        <x:is>
          <x:t xml:space="preserve">website+crm</x:t>
        </x:is>
      </x:c>
      <x:c r="T722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723">
      <x:c r="A723" s="6" t="inlineStr">
        <x:is>
          <x:t xml:space="preserve">450 x 1006 cm</x:t>
        </x:is>
      </x:c>
      <x:c r="B723" s="6" t="inlineStr">
        <x:is>
          <x:t xml:space="preserve">LEDRGBCCT</x:t>
        </x:is>
      </x:c>
      <x:c r="C723" s="6" t="inlineStr">
        <x:is>
          <x:t xml:space="preserve">Oświetlenie LED RGB CCT</x:t>
        </x:is>
      </x:c>
      <x:c r="D723" s="6" t="inlineStr">
        <x:is>
          <x:t xml:space="preserve">OŚWIETLENIE</x:t>
        </x:is>
      </x:c>
      <x:c r="E723" s="8" t="n">
        <x:f>IFERROR(INDEX('02_RAW_INDEX'!$T:$T,MATCH($A723,'02_RAW_INDEX'!$A:$A,0)),"")</x:f>
        <x:v>3699</x:v>
      </x:c>
      <x:c r="F723" s="8" t="n">
        <x:f>IFERROR(INDEX('02_RAW_INDEX'!$S:$S,MATCH($A723,'02_RAW_INDEX'!$A:$A,0)),"")</x:f>
        <x:v>4550</x:v>
      </x:c>
      <x:c r="G723" s="7" t="n">
        <x:f>'01_Ustawienia'!$B$6</x:f>
        <x:v>0</x:v>
      </x:c>
      <x:c r="H723" s="8" t="n">
        <x:f>IF(E723="","",ROUND(IF('01_Ustawienia'!$B$5="BRUTTO",F723,E723)*(1-G723),0))</x:f>
        <x:v>3699</x:v>
      </x:c>
      <x:c r="I723" s="7" t="n">
        <x:f>IFERROR(IFERROR(INDEX('01_Ustawienia'!$B$15:$B$33,MATCH(B723,'01_Ustawienia'!$A$15:$A$33,0)),0.45),0.45)</x:f>
        <x:v>0.45</x:v>
      </x:c>
      <x:c r="J723" s="8" t="n">
        <x:f>IF(H723="","",ROUND(H723*(1+I723),0))</x:f>
        <x:v>5364</x:v>
      </x:c>
      <x:c r="K723" s="8" t="n">
        <x:f>0</x:f>
        <x:v>0</x:v>
      </x:c>
      <x:c r="L723" s="8" t="n">
        <x:f>0</x:f>
        <x:v>0</x:v>
      </x:c>
      <x:c r="M723" s="7" t="n">
        <x:f>IF('01_Ustawienia'!$B$4="ZWOLNIONY",0,'01_Ustawienia'!$B$7)</x:f>
        <x:v>0.08</x:v>
      </x:c>
      <x:c r="N723" s="8" t="n">
        <x:f>IF(J723="","",ROUND((J723+K723)*(1+M723),0))</x:f>
        <x:v>5793</x:v>
      </x:c>
      <x:c r="O723" s="8" t="n">
        <x:f>IF(J723="","",J723+K723-H723-L723)</x:f>
        <x:v>1665</x:v>
      </x:c>
      <x:c r="P723" s="7" t="n">
        <x:f>IFERROR(O723/(J723+K723),"")</x:f>
        <x:v>0.3104026845637584</x:v>
      </x:c>
      <x:c r="Q723" s="715" t="inlineStr">
        <x:is>
          <x:t xml:space="preserve">MODEL_FIX15_LED</x:t>
        </x:is>
      </x:c>
      <x:c r="R723" s="6" t="inlineStr">
        <x:is>
          <x:t xml:space="preserve">OŚWIETLENIE</x:t>
        </x:is>
      </x:c>
      <x:c r="S723" s="6" t="inlineStr">
        <x:is>
          <x:t xml:space="preserve">crm_only</x:t>
        </x:is>
      </x:c>
      <x:c r="T723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724" s="655" customFormat="1" ht="30" customHeight="1">
      <x:c r="A724" s="6" t="inlineStr">
        <x:is>
          <x:t xml:space="preserve">450 x 1106 cm</x:t>
        </x:is>
      </x:c>
      <x:c r="B724" s="6" t="inlineStr">
        <x:is>
          <x:t xml:space="preserve">ZP</x:t>
        </x:is>
      </x:c>
      <x:c r="C724" s="6" t="inlineStr">
        <x:is>
          <x:t xml:space="preserve">Zadaszenie poliwęglan - baza</x:t>
        </x:is>
      </x:c>
      <x:c r="D724" s="6" t="inlineStr">
        <x:is>
          <x:t xml:space="preserve">ZADASZENIE POLIWĘGLAN</x:t>
        </x:is>
      </x:c>
      <x:c r="E724" s="8" t="n">
        <x:f>IFERROR(INDEX('02_RAW_INDEX'!$D:$D,MATCH($A724,'02_RAW_INDEX'!$A:$A,0)),"")</x:f>
        <x:v>20325</x:v>
      </x:c>
      <x:c r="F724" s="8" t="n">
        <x:f>IFERROR(INDEX('02_RAW_INDEX'!$C:$C,MATCH($A724,'02_RAW_INDEX'!$A:$A,0)),"")</x:f>
        <x:v>25000</x:v>
      </x:c>
      <x:c r="G724" s="7" t="n">
        <x:f>'01_Ustawienia'!$B$6</x:f>
        <x:v>0</x:v>
      </x:c>
      <x:c r="H724" s="8" t="n">
        <x:f>IF(E724="","",ROUND(IF('01_Ustawienia'!$B$5="BRUTTO",F724,E724)*(1-G724),0))</x:f>
        <x:v>20325</x:v>
      </x:c>
      <x:c r="I724" s="7" t="n">
        <x:f>IFERROR(IFERROR(INDEX('01_Ustawienia'!$B$15:$B$33,MATCH(B724,'01_Ustawienia'!$A$15:$A$33,0)),0.45),0.45)</x:f>
        <x:v>0.45</x:v>
      </x:c>
      <x:c r="J724" s="8" t="n">
        <x:f>IF(H724="","",ROUND(H724*(1+I724),0))</x:f>
        <x:v>29471</x:v>
      </x:c>
      <x:c r="K724" s="8" t="n">
        <x:f>IFERROR(IFERROR(INDEX(EG_Cennik_uslug!$F:$F,MATCH($A724,EG_Cennik_uslug!$A:$A,0)),0),0)</x:f>
        <x:v>5370</x:v>
      </x:c>
      <x:c r="L724" s="8" t="n">
        <x:f>IFERROR(IFERROR(INDEX(EG_Cennik_uslug!$G:$G,MATCH($A724,EG_Cennik_uslug!$A:$A,0)),0),0)</x:f>
        <x:v>2060</x:v>
      </x:c>
      <x:c r="M724" s="7" t="n">
        <x:f>IF('01_Ustawienia'!$B$4="ZWOLNIONY",0,'01_Ustawienia'!$B$7)</x:f>
        <x:v>0.08</x:v>
      </x:c>
      <x:c r="N724" s="8" t="n">
        <x:f>IF(J724="","",ROUND((J724+K724)*(1+M724),0))</x:f>
        <x:v>37628</x:v>
      </x:c>
      <x:c r="O724" s="8" t="n">
        <x:f>IF(J724="","",J724+K724-H724-L724)</x:f>
        <x:v>12456</x:v>
      </x:c>
      <x:c r="P724" s="7" t="n">
        <x:f>IFERROR(O724/(J724+K724),"")</x:f>
        <x:v>0.3575098303722626</x:v>
      </x:c>
      <x:c r="Q724" s="6" t="inlineStr">
        <x:is>
          <x:t xml:space="preserve">RAW_ZP B/C</x:t>
        </x:is>
      </x:c>
      <x:c r="R724" s="6" t="inlineStr">
        <x:is>
          <x:t xml:space="preserve">ZADASZENIE TARASU KONSTRUKCJA</x:t>
        </x:is>
      </x:c>
      <x:c r="S724" s="6" t="inlineStr">
        <x:is>
          <x:t xml:space="preserve">website+crm</x:t>
        </x:is>
      </x:c>
      <x:c r="T724" s="6" t="inlineStr">
        <x:is>
          <x:t xml:space="preserve">Baza dla kalkulatora</x:t>
        </x:is>
      </x:c>
    </x:row>
    <x:row r="725" s="655" customFormat="1" ht="30" customHeight="1">
      <x:c r="A725" s="6" t="inlineStr">
        <x:is>
          <x:t xml:space="preserve">450 x 1106 cm</x:t>
        </x:is>
      </x:c>
      <x:c r="B725" s="6" t="inlineStr">
        <x:is>
          <x:t xml:space="preserve">ZS</x:t>
        </x:is>
      </x:c>
      <x:c r="C725" s="6" t="inlineStr">
        <x:is>
          <x:t xml:space="preserve">Zadaszenie szkło - pełna konstrukcja</x:t>
        </x:is>
      </x:c>
      <x:c r="D725" s="6" t="inlineStr">
        <x:is>
          <x:t xml:space="preserve">ZADASZENIE SZKŁO</x:t>
        </x:is>
      </x:c>
      <x:c r="E725" s="8" t="n">
        <x:f>IFERROR(INDEX('02_RAW_INDEX'!$V:$V,MATCH($A725,'02_RAW_INDEX'!$A:$A,0)),"")</x:f>
        <x:v>32106</x:v>
      </x:c>
      <x:c r="F725" s="8" t="n">
        <x:f>IFERROR(INDEX('02_RAW_INDEX'!$U:$U,MATCH($A725,'02_RAW_INDEX'!$A:$A,0)),"")</x:f>
        <x:v>39490</x:v>
      </x:c>
      <x:c r="G725" s="7" t="n">
        <x:f>'01_Ustawienia'!$B$6</x:f>
        <x:v>0</x:v>
      </x:c>
      <x:c r="H725" s="8" t="n">
        <x:f>IF(E725="","",ROUND(IF('01_Ustawienia'!$B$5="BRUTTO",F725,E725)*(1-G725),0))</x:f>
        <x:v>32106</x:v>
      </x:c>
      <x:c r="I725" s="7" t="n">
        <x:f>IFERROR(IFERROR(INDEX('01_Ustawienia'!$B$15:$B$33,MATCH(B725,'01_Ustawienia'!$A$15:$A$33,0)),0.45),0.45)</x:f>
        <x:v>0.45</x:v>
      </x:c>
      <x:c r="J725" s="8" t="n">
        <x:f>IF(H725="","",ROUND(H725*(1+I725),0))</x:f>
        <x:v>46554</x:v>
      </x:c>
      <x:c r="K725" s="8" t="n">
        <x:f>IFERROR(IFERROR(INDEX(EG_Cennik_uslug!$F:$F,MATCH($A725,EG_Cennik_uslug!$A:$A,0)),0),0)</x:f>
        <x:v>5370</x:v>
      </x:c>
      <x:c r="L725" s="8" t="n">
        <x:f>IFERROR(IFERROR(INDEX(EG_Cennik_uslug!$G:$G,MATCH($A725,EG_Cennik_uslug!$A:$A,0)),0),0)</x:f>
        <x:v>2060</x:v>
      </x:c>
      <x:c r="M725" s="7" t="n">
        <x:f>IF('01_Ustawienia'!$B$4="ZWOLNIONY",0,'01_Ustawienia'!$B$7)</x:f>
        <x:v>0.08</x:v>
      </x:c>
      <x:c r="N725" s="8" t="n">
        <x:f>IF(J725="","",ROUND((J725+K725)*(1+M725),0))</x:f>
        <x:v>56078</x:v>
      </x:c>
      <x:c r="O725" s="8" t="n">
        <x:f>IF(J725="","",J725+K725-H725-L725)</x:f>
        <x:v>17758</x:v>
      </x:c>
      <x:c r="P725" s="7" t="n">
        <x:f>IFERROR(O725/(J725+K725),"")</x:f>
        <x:v>0.34199984592866495</x:v>
      </x:c>
      <x:c r="Q725" s="6" t="inlineStr">
        <x:is>
          <x:t xml:space="preserve">RAW_ZS B/C</x:t>
        </x:is>
      </x:c>
      <x:c r="R725" s="6" t="inlineStr">
        <x:is>
          <x:t xml:space="preserve">ZADASZENIE TARASU KONSTRUKCJA</x:t>
        </x:is>
      </x:c>
      <x:c r="S725" s="6" t="inlineStr">
        <x:is>
          <x:t xml:space="preserve">crm_only</x:t>
        </x:is>
      </x:c>
      <x:c r="T725" s="6" t="inlineStr">
        <x:is>
          <x:t xml:space="preserve">Referencyjne/full; strona zwykle używa ZP + PDS</x:t>
        </x:is>
      </x:c>
    </x:row>
    <x:row r="726" s="655" customFormat="1" ht="30" customHeight="1">
      <x:c r="A726" s="6" t="inlineStr">
        <x:is>
          <x:t xml:space="preserve">450 x 1106 cm</x:t>
        </x:is>
      </x:c>
      <x:c r="B726" s="6" t="inlineStr">
        <x:is>
          <x:t xml:space="preserve">OP</x:t>
        </x:is>
      </x:c>
      <x:c r="C726" s="6" t="inlineStr">
        <x:is>
          <x:t xml:space="preserve">Ogród zimowy poliwęglan - baza</x:t>
        </x:is>
      </x:c>
      <x:c r="D726" s="6" t="inlineStr">
        <x:is>
          <x:t xml:space="preserve">OGRODY POLIWĘGLAN</x:t>
        </x:is>
      </x:c>
      <x:c r="E726" s="8" t="n">
        <x:f>IFERROR(INDEX('02_RAW_INDEX'!$Z:$Z,MATCH($A726,'02_RAW_INDEX'!$A:$A,0)),"")</x:f>
        <x:v>38642</x:v>
      </x:c>
      <x:c r="F726" s="8" t="n">
        <x:f>IFERROR(INDEX('02_RAW_INDEX'!$Y:$Y,MATCH($A726,'02_RAW_INDEX'!$A:$A,0)),"")</x:f>
        <x:v>47530</x:v>
      </x:c>
      <x:c r="G726" s="7" t="n">
        <x:f>'01_Ustawienia'!$B$6</x:f>
        <x:v>0</x:v>
      </x:c>
      <x:c r="H726" s="8" t="n">
        <x:f>IF(E726="","",ROUND(IF('01_Ustawienia'!$B$5="BRUTTO",F726,E726)*(1-G726),0))</x:f>
        <x:v>38642</x:v>
      </x:c>
      <x:c r="I726" s="7" t="n">
        <x:f>IFERROR(IFERROR(INDEX('01_Ustawienia'!$B$15:$B$33,MATCH(B726,'01_Ustawienia'!$A$15:$A$33,0)),0.45),0.45)</x:f>
        <x:v>0.45</x:v>
      </x:c>
      <x:c r="J726" s="8" t="n">
        <x:f>IF(H726="","",ROUND(H726*(1+I726),0))</x:f>
        <x:v>56031</x:v>
      </x:c>
      <x:c r="K726" s="8" t="n">
        <x:f>IFERROR(IFERROR(INDEX(EG_Cennik_uslug!$N:$N,MATCH($A726,EG_Cennik_uslug!$A:$A,0)),0),0)</x:f>
        <x:v>6910</x:v>
      </x:c>
      <x:c r="L726" s="8" t="n">
        <x:f>IFERROR(IFERROR(INDEX(EG_Cennik_uslug!$O:$O,MATCH($A726,EG_Cennik_uslug!$A:$A,0)),0),0)</x:f>
        <x:v>2880</x:v>
      </x:c>
      <x:c r="M726" s="7" t="n">
        <x:f>IF('01_Ustawienia'!$B$4="ZWOLNIONY",0,'01_Ustawienia'!$B$7)</x:f>
        <x:v>0.08</x:v>
      </x:c>
      <x:c r="N726" s="8" t="n">
        <x:f>IF(J726="","",ROUND((J726+K726)*(1+M726),0))</x:f>
        <x:v>67976</x:v>
      </x:c>
      <x:c r="O726" s="8" t="n">
        <x:f>IF(J726="","",J726+K726-H726-L726)</x:f>
        <x:v>21419</x:v>
      </x:c>
      <x:c r="P726" s="7" t="n">
        <x:f>IFERROR(O726/(J726+K726),"")</x:f>
        <x:v>0.3403028232789438</x:v>
      </x:c>
      <x:c r="Q726" s="6" t="inlineStr">
        <x:is>
          <x:t xml:space="preserve">RAW_OP B/C</x:t>
        </x:is>
      </x:c>
      <x:c r="R726" s="6" t="inlineStr">
        <x:is>
          <x:t xml:space="preserve">OGRÓD ZIMOWY (KONSTRUKCJA)</x:t>
        </x:is>
      </x:c>
      <x:c r="S726" s="6" t="inlineStr">
        <x:is>
          <x:t xml:space="preserve">website+crm</x:t>
        </x:is>
      </x:c>
      <x:c r="T726" s="6" t="inlineStr">
        <x:is>
          <x:t xml:space="preserve">Do wyliczenia dopłaty za ściany</x:t>
        </x:is>
      </x:c>
    </x:row>
    <x:row r="727" s="655" customFormat="1" ht="30" customHeight="1">
      <x:c r="A727" s="6" t="inlineStr">
        <x:is>
          <x:t xml:space="preserve">450 x 1106 cm</x:t>
        </x:is>
      </x:c>
      <x:c r="B727" s="6" t="inlineStr">
        <x:is>
          <x:t xml:space="preserve">OS</x:t>
        </x:is>
      </x:c>
      <x:c r="C727" s="6" t="inlineStr">
        <x:is>
          <x:t xml:space="preserve">Ogród zimowy szkło - pełna konstrukcja</x:t>
        </x:is>
      </x:c>
      <x:c r="D727" s="6" t="inlineStr">
        <x:is>
          <x:t xml:space="preserve">OGRODY SZKŁO</x:t>
        </x:is>
      </x:c>
      <x:c r="E727" s="8" t="n">
        <x:f>IFERROR(INDEX('02_RAW_INDEX'!$AL:$AL,MATCH($A727,'02_RAW_INDEX'!$A:$A,0)),"")</x:f>
        <x:v>50415</x:v>
      </x:c>
      <x:c r="F727" s="8" t="n">
        <x:f>IFERROR(INDEX('02_RAW_INDEX'!$AK:$AK,MATCH($A727,'02_RAW_INDEX'!$A:$A,0)),"")</x:f>
        <x:v>62010</x:v>
      </x:c>
      <x:c r="G727" s="7" t="n">
        <x:f>'01_Ustawienia'!$B$6</x:f>
        <x:v>0</x:v>
      </x:c>
      <x:c r="H727" s="8" t="n">
        <x:f>IF(E727="","",ROUND(IF('01_Ustawienia'!$B$5="BRUTTO",F727,E727)*(1-G727),0))</x:f>
        <x:v>50415</x:v>
      </x:c>
      <x:c r="I727" s="7" t="n">
        <x:f>IFERROR(IFERROR(INDEX('01_Ustawienia'!$B$15:$B$33,MATCH(B727,'01_Ustawienia'!$A$15:$A$33,0)),0.45),0.45)</x:f>
        <x:v>0.45</x:v>
      </x:c>
      <x:c r="J727" s="8" t="n">
        <x:f>IF(H727="","",ROUND(H727*(1+I727),0))</x:f>
        <x:v>73102</x:v>
      </x:c>
      <x:c r="K727" s="8" t="n">
        <x:f>IFERROR(IFERROR(INDEX(EG_Cennik_uslug!$N:$N,MATCH($A727,EG_Cennik_uslug!$A:$A,0)),0),0)</x:f>
        <x:v>6910</x:v>
      </x:c>
      <x:c r="L727" s="8" t="n">
        <x:f>IFERROR(IFERROR(INDEX(EG_Cennik_uslug!$O:$O,MATCH($A727,EG_Cennik_uslug!$A:$A,0)),0),0)</x:f>
        <x:v>2880</x:v>
      </x:c>
      <x:c r="M727" s="7" t="n">
        <x:f>IF('01_Ustawienia'!$B$4="ZWOLNIONY",0,'01_Ustawienia'!$B$7)</x:f>
        <x:v>0.08</x:v>
      </x:c>
      <x:c r="N727" s="8" t="n">
        <x:f>IF(J727="","",ROUND((J727+K727)*(1+M727),0))</x:f>
        <x:v>86413</x:v>
      </x:c>
      <x:c r="O727" s="8" t="n">
        <x:f>IF(J727="","",J727+K727-H727-L727)</x:f>
        <x:v>26717</x:v>
      </x:c>
      <x:c r="P727" s="7" t="n">
        <x:f>IFERROR(O727/(J727+K727),"")</x:f>
        <x:v>0.3339124131380293</x:v>
      </x:c>
      <x:c r="Q727" s="6" t="inlineStr">
        <x:is>
          <x:t xml:space="preserve">RAW_OS B/C</x:t>
        </x:is>
      </x:c>
      <x:c r="R727" s="6" t="inlineStr">
        <x:is>
          <x:t xml:space="preserve">OGRÓD ZIMOWY (KONSTRUKCJA)</x:t>
        </x:is>
      </x:c>
      <x:c r="S727" s="6" t="inlineStr">
        <x:is>
          <x:t xml:space="preserve">crm_only</x:t>
        </x:is>
      </x:c>
      <x:c r="T727" s="6" t="inlineStr">
        <x:is>
          <x:t xml:space="preserve">Referencyjne/full</x:t>
        </x:is>
      </x:c>
    </x:row>
    <x:row r="728" s="655" customFormat="1" ht="30" customHeight="1">
      <x:c r="A728" s="6" t="inlineStr">
        <x:is>
          <x:t xml:space="preserve">450 x 1106 cm</x:t>
        </x:is>
      </x:c>
      <x:c r="B728" s="6" t="inlineStr">
        <x:is>
          <x:t xml:space="preserve">PDS</x:t>
        </x:is>
      </x:c>
      <x:c r="C728" s="6" t="inlineStr">
        <x:is>
          <x:t xml:space="preserve">Dopłata dach szkło przezroczyste</x:t>
        </x:is>
      </x:c>
      <x:c r="D728" s="6" t="inlineStr">
        <x:is>
          <x:t xml:space="preserve">POKRYCIE DACHU SZKŁO</x:t>
        </x:is>
      </x:c>
      <x:c r="E728" s="8" t="n">
        <x:f>IFERROR(IFERROR(INDEX('02_RAW_INDEX'!$V:$V,MATCH($A728,'02_RAW_INDEX'!$A:$A,0)),"")-IFERROR(INDEX('02_RAW_INDEX'!$D:$D,MATCH($A728,'02_RAW_INDEX'!$A:$A,0)),""),"")</x:f>
        <x:v>11781</x:v>
      </x:c>
      <x:c r="F728" s="8" t="n">
        <x:f>IFERROR(IFERROR(INDEX('02_RAW_INDEX'!$U:$U,MATCH($A728,'02_RAW_INDEX'!$A:$A,0)),"")-IFERROR(INDEX('02_RAW_INDEX'!$C:$C,MATCH($A728,'02_RAW_INDEX'!$A:$A,0)),""),"")</x:f>
        <x:v>14490</x:v>
      </x:c>
      <x:c r="G728" s="7" t="n">
        <x:f>'01_Ustawienia'!$B$6</x:f>
        <x:v>0</x:v>
      </x:c>
      <x:c r="H728" s="8" t="n">
        <x:f>IF(E728="","",ROUND(IF('01_Ustawienia'!$B$5="BRUTTO",F728,E728)*(1-G728),0))</x:f>
        <x:v>11781</x:v>
      </x:c>
      <x:c r="I728" s="7" t="n">
        <x:f>IFERROR(IFERROR(INDEX('01_Ustawienia'!$B$15:$B$33,MATCH(B728,'01_Ustawienia'!$A$15:$A$33,0)),0.45),0.45)</x:f>
        <x:v>0.45</x:v>
      </x:c>
      <x:c r="J728" s="8" t="n">
        <x:f>IF(H728="","",ROUND(H728*(1+I728),0))</x:f>
        <x:v>17082</x:v>
      </x:c>
      <x:c r="K728" s="8" t="n">
        <x:f>0</x:f>
        <x:v>0</x:v>
      </x:c>
      <x:c r="L728" s="8" t="n">
        <x:v>0</x:v>
      </x:c>
      <x:c r="M728" s="7" t="n">
        <x:f>IF('01_Ustawienia'!$B$4="ZWOLNIONY",0,'01_Ustawienia'!$B$7)</x:f>
        <x:v>0.08</x:v>
      </x:c>
      <x:c r="N728" s="8" t="n">
        <x:f>IF(J728="","",ROUND((J728+K728)*(1+M728),0))</x:f>
        <x:v>18449</x:v>
      </x:c>
      <x:c r="O728" s="8" t="n">
        <x:f>IF(J728="","",J728+K728-H728-L728)</x:f>
        <x:v>5301</x:v>
      </x:c>
      <x:c r="P728" s="7" t="n">
        <x:f>IFERROR(O728/(J728+K728),"")</x:f>
        <x:v>0.3103266596417281</x:v>
      </x:c>
      <x:c r="Q728" s="6" t="inlineStr">
        <x:is>
          <x:t xml:space="preserve">RAW_ZS - RAW_ZP</x:t>
        </x:is>
      </x:c>
      <x:c r="R728" s="6" t="inlineStr">
        <x:is>
          <x:t xml:space="preserve">POKRYCIE DACHU</x:t>
        </x:is>
      </x:c>
      <x:c r="S728" s="6" t="inlineStr">
        <x:is>
          <x:t xml:space="preserve">website+crm</x:t>
        </x:is>
      </x:c>
      <x:c r="T728" s="6" t="inlineStr">
        <x:is>
          <x:t xml:space="preserve">Dopłata do bazowego dachu poliwęglan | FIX17: Wynagr.+koszty = 0 dla dopłaty; nie jest osobnym montażem ekipy.</x:t>
        </x:is>
      </x:c>
    </x:row>
    <x:row r="729" s="655" customFormat="1" ht="30" customHeight="1">
      <x:c r="A729" s="6" t="inlineStr">
        <x:is>
          <x:t xml:space="preserve">450 x 1106 cm</x:t>
        </x:is>
      </x:c>
      <x:c r="B729" s="6" t="inlineStr">
        <x:is>
          <x:t xml:space="preserve">PDSB</x:t>
        </x:is>
      </x:c>
      <x:c r="C729" s="6" t="inlineStr">
        <x:is>
          <x:t xml:space="preserve">Dopłata dach szkło barwione/mleczne</x:t>
        </x:is>
      </x:c>
      <x:c r="D729" s="6" t="inlineStr">
        <x:is>
          <x:t xml:space="preserve">POKRYCIE DACHU SZKŁO BARWIONE</x:t>
        </x:is>
      </x:c>
      <x:c r="E729" s="8" t="n">
        <x:f>IFERROR(INDEX('02_RAW_INDEX'!$X:$X,MATCH($A729,'02_RAW_INDEX'!$A:$A,0)),"")</x:f>
        <x:v>1122</x:v>
      </x:c>
      <x:c r="F729" s="8" t="n">
        <x:f>IFERROR(INDEX('02_RAW_INDEX'!$W:$W,MATCH($A729,'02_RAW_INDEX'!$A:$A,0)),"")</x:f>
        <x:v>1380</x:v>
      </x:c>
      <x:c r="G729" s="7" t="n">
        <x:f>'01_Ustawienia'!$B$6</x:f>
        <x:v>0</x:v>
      </x:c>
      <x:c r="H729" s="8" t="n">
        <x:f>IF(E729="","",ROUND(IF('01_Ustawienia'!$B$5="BRUTTO",F729,E729)*(1-G729),0))</x:f>
        <x:v>1122</x:v>
      </x:c>
      <x:c r="I729" s="7" t="n">
        <x:f>IFERROR(IFERROR(INDEX('01_Ustawienia'!$B$15:$B$33,MATCH(B729,'01_Ustawienia'!$A$15:$A$33,0)),0.45),0.45)</x:f>
        <x:v>0.45</x:v>
      </x:c>
      <x:c r="J729" s="8" t="n">
        <x:f>IF(H729="","",ROUND(H729*(1+I729),0))</x:f>
        <x:v>1627</x:v>
      </x:c>
      <x:c r="K729" s="8" t="n">
        <x:f>0</x:f>
        <x:v>0</x:v>
      </x:c>
      <x:c r="L729" s="8" t="n">
        <x:v>0</x:v>
      </x:c>
      <x:c r="M729" s="7" t="n">
        <x:f>IF('01_Ustawienia'!$B$4="ZWOLNIONY",0,'01_Ustawienia'!$B$7)</x:f>
        <x:v>0.08</x:v>
      </x:c>
      <x:c r="N729" s="8" t="n">
        <x:f>IF(J729="","",ROUND((J729+K729)*(1+M729),0))</x:f>
        <x:v>1757</x:v>
      </x:c>
      <x:c r="O729" s="8" t="n">
        <x:f>IF(J729="","",J729+K729-H729-L729)</x:f>
        <x:v>505</x:v>
      </x:c>
      <x:c r="P729" s="7" t="n">
        <x:f>IFERROR(O729/(J729+K729),"")</x:f>
        <x:v>0.31038721573448064</x:v>
      </x:c>
      <x:c r="Q729" s="6" t="inlineStr">
        <x:is>
          <x:t xml:space="preserve">RAW_ZS D/E</x:t>
        </x:is>
      </x:c>
      <x:c r="R729" s="6" t="inlineStr">
        <x:is>
          <x:t xml:space="preserve">POKRYCIE DACHU</x:t>
        </x:is>
      </x:c>
      <x:c r="S729" s="6" t="inlineStr">
        <x:is>
          <x:t xml:space="preserve">website+crm</x:t>
        </x:is>
      </x:c>
      <x:c r="T729" s="6" t="inlineStr">
        <x:is>
          <x:t xml:space="preserve">Dodawane do PDS | FIX17: Wynagr.+koszty = 0 dla dopłaty; nie jest osobnym montażem ekipy.</x:t>
        </x:is>
      </x:c>
    </x:row>
    <x:row r="730" s="655" customFormat="1" ht="30" customHeight="1">
      <x:c r="A730" s="6" t="inlineStr">
        <x:is>
          <x:t xml:space="preserve">450 x 1106 cm</x:t>
        </x:is>
      </x:c>
      <x:c r="B730" s="6" t="inlineStr">
        <x:is>
          <x:t xml:space="preserve">PDPB</x:t>
        </x:is>
      </x:c>
      <x:c r="C730" s="6" t="inlineStr">
        <x:is>
          <x:t xml:space="preserve">Dopłata poliwęglan barwiony</x:t>
        </x:is>
      </x:c>
      <x:c r="D730" s="6" t="inlineStr">
        <x:is>
          <x:t xml:space="preserve">POKRYCIE DACHU POLIWĘGLAN BARWIONY</x:t>
        </x:is>
      </x:c>
      <x:c r="E730" s="8" t="n">
        <x:f>IFERROR(INDEX('02_RAW_INDEX'!$F:$F,MATCH($A730,'02_RAW_INDEX'!$A:$A,0)),"")</x:f>
        <x:v>862</x:v>
      </x:c>
      <x:c r="F730" s="8" t="n">
        <x:f>IFERROR(INDEX('02_RAW_INDEX'!$E:$E,MATCH($A730,'02_RAW_INDEX'!$A:$A,0)),"")</x:f>
        <x:v>1060</x:v>
      </x:c>
      <x:c r="G730" s="7" t="n">
        <x:f>'01_Ustawienia'!$B$6</x:f>
        <x:v>0</x:v>
      </x:c>
      <x:c r="H730" s="8" t="n">
        <x:f>IF(E730="","",ROUND(IF('01_Ustawienia'!$B$5="BRUTTO",F730,E730)*(1-G730),0))</x:f>
        <x:v>862</x:v>
      </x:c>
      <x:c r="I730" s="7" t="n">
        <x:f>IFERROR(IFERROR(INDEX('01_Ustawienia'!$B$15:$B$33,MATCH(B730,'01_Ustawienia'!$A$15:$A$33,0)),0.45),0.45)</x:f>
        <x:v>0.45</x:v>
      </x:c>
      <x:c r="J730" s="8" t="n">
        <x:f>IF(H730="","",ROUND(H730*(1+I730),0))</x:f>
        <x:v>1250</x:v>
      </x:c>
      <x:c r="K730" s="8" t="n">
        <x:f>0</x:f>
        <x:v>0</x:v>
      </x:c>
      <x:c r="L730" s="8" t="n">
        <x:v>0</x:v>
      </x:c>
      <x:c r="M730" s="7" t="n">
        <x:f>IF('01_Ustawienia'!$B$4="ZWOLNIONY",0,'01_Ustawienia'!$B$7)</x:f>
        <x:v>0.08</x:v>
      </x:c>
      <x:c r="N730" s="8" t="n">
        <x:f>IF(J730="","",ROUND((J730+K730)*(1+M730),0))</x:f>
        <x:v>1350</x:v>
      </x:c>
      <x:c r="O730" s="8" t="n">
        <x:f>IF(J730="","",J730+K730-H730-L730)</x:f>
        <x:v>388</x:v>
      </x:c>
      <x:c r="P730" s="7" t="n">
        <x:f>IFERROR(O730/(J730+K730),"")</x:f>
        <x:v>0.3104</x:v>
      </x:c>
      <x:c r="Q730" s="6" t="inlineStr">
        <x:is>
          <x:t xml:space="preserve">RAW_ZP D/E</x:t>
        </x:is>
      </x:c>
      <x:c r="R730" s="6" t="inlineStr">
        <x:is>
          <x:t xml:space="preserve">POKRYCIE DACHU</x:t>
        </x:is>
      </x:c>
      <x:c r="S730" s="6" t="inlineStr">
        <x:is>
          <x:t xml:space="preserve">website+crm</x:t>
        </x:is>
      </x:c>
      <x:c r="T730" s="6" t="inlineStr">
        <x:is>
          <x:t xml:space="preserve">FIX17: Wynagr.+koszty = 0 dla dopłaty; nie jest osobnym montażem ekipy.</x:t>
        </x:is>
      </x:c>
    </x:row>
    <x:row r="731" s="655" customFormat="1" ht="30" customHeight="1">
      <x:c r="A731" s="6" t="inlineStr">
        <x:is>
          <x:t xml:space="preserve">450 x 1106 cm</x:t>
        </x:is>
      </x:c>
      <x:c r="B731" s="6" t="inlineStr">
        <x:is>
          <x:t xml:space="preserve">SBB</x:t>
        </x:is>
      </x:c>
      <x:c r="C731" s="6" t="inlineStr">
        <x:is>
          <x:t xml:space="preserve">Dopłata szkło boczne przyciemniane</x:t>
        </x:is>
      </x:c>
      <x:c r="D731" s="6" t="inlineStr">
        <x:is>
          <x:t xml:space="preserve">SZKŁO BOCZNE BARWIONE</x:t>
        </x:is>
      </x:c>
      <x:c r="E731" s="8" t="n">
        <x:f>IFERROR(INDEX('02_RAW_INDEX'!$AB:$AB,MATCH($A731,'02_RAW_INDEX'!$A:$A,0)),"")</x:f>
        <x:v>2049</x:v>
      </x:c>
      <x:c r="F731" s="8" t="n">
        <x:f>IFERROR(INDEX('02_RAW_INDEX'!$AA:$AA,MATCH($A731,'02_RAW_INDEX'!$A:$A,0)),"")</x:f>
        <x:v>2520</x:v>
      </x:c>
      <x:c r="G731" s="7" t="n">
        <x:f>'01_Ustawienia'!$B$6</x:f>
        <x:v>0</x:v>
      </x:c>
      <x:c r="H731" s="8" t="n">
        <x:f>IF(E731="","",ROUND(IF('01_Ustawienia'!$B$5="BRUTTO",F731,E731)*(1-G731),0))</x:f>
        <x:v>2049</x:v>
      </x:c>
      <x:c r="I731" s="7" t="n">
        <x:f>IFERROR(IFERROR(INDEX('01_Ustawienia'!$B$15:$B$33,MATCH(B731,'01_Ustawienia'!$A$15:$A$33,0)),0.45),0.45)</x:f>
        <x:v>0.45</x:v>
      </x:c>
      <x:c r="J731" s="8" t="n">
        <x:f>IF(H731="","",ROUND(H731*(1+I731),0))</x:f>
        <x:v>2971</x:v>
      </x:c>
      <x:c r="K731" s="8" t="n">
        <x:f>0</x:f>
        <x:v>0</x:v>
      </x:c>
      <x:c r="L731" s="8" t="n">
        <x:v>0</x:v>
      </x:c>
      <x:c r="M731" s="7" t="n">
        <x:f>IF('01_Ustawienia'!$B$4="ZWOLNIONY",0,'01_Ustawienia'!$B$7)</x:f>
        <x:v>0.08</x:v>
      </x:c>
      <x:c r="N731" s="8" t="n">
        <x:f>IF(J731="","",ROUND((J731+K731)*(1+M731),0))</x:f>
        <x:v>3209</x:v>
      </x:c>
      <x:c r="O731" s="8" t="n">
        <x:f>IF(J731="","",J731+K731-H731-L731)</x:f>
        <x:v>922</x:v>
      </x:c>
      <x:c r="P731" s="7" t="n">
        <x:f>IFERROR(O731/(J731+K731),"")</x:f>
        <x:v>0.3103332211376641</x:v>
      </x:c>
      <x:c r="Q731" s="6" t="inlineStr">
        <x:is>
          <x:t xml:space="preserve">RAW_OP H/I</x:t>
        </x:is>
      </x:c>
      <x:c r="R731" s="6" t="inlineStr">
        <x:is>
          <x:t xml:space="preserve">SZYBY BOCZNE</x:t>
        </x:is>
      </x:c>
      <x:c r="S731" s="6" t="inlineStr">
        <x:is>
          <x:t xml:space="preserve">website+crm</x:t>
        </x:is>
      </x:c>
      <x:c r="T731" s="6" t="inlineStr">
        <x:is>
          <x:t xml:space="preserve">Dodawane do ścian przezroczystych | FIX17: Wynagr.+koszty = 0 dla dopłaty; nie jest osobnym montażem ekipy.</x:t>
        </x:is>
      </x:c>
    </x:row>
    <x:row r="732">
      <x:c r="A732" s="6" t="inlineStr">
        <x:is>
          <x:t xml:space="preserve">450 x 1106 cm</x:t>
        </x:is>
      </x:c>
      <x:c r="B732" s="6" t="inlineStr">
        <x:is>
          <x:t xml:space="preserve">RB</x:t>
        </x:is>
      </x:c>
      <x:c r="C732" s="6" t="inlineStr">
        <x:is>
          <x:t xml:space="preserve">Roleta boczna ZIP</x:t>
        </x:is>
      </x:c>
      <x:c r="D732" s="6" t="inlineStr">
        <x:is>
          <x:t xml:space="preserve">ROLETA BOCZNA</x:t>
        </x:is>
      </x:c>
      <x:c r="E732" s="8" t="n">
        <x:f>IFERROR(INDEX('02_RAW_INDEX'!$J:$J,MATCH($A732,'02_RAW_INDEX'!$A:$A,0)),"")</x:f>
        <x:v>2569</x:v>
      </x:c>
      <x:c r="F732" s="8" t="n">
        <x:f>IFERROR(INDEX('02_RAW_INDEX'!$I:$I,MATCH($A732,'02_RAW_INDEX'!$A:$A,0)),"")</x:f>
        <x:v>3160</x:v>
      </x:c>
      <x:c r="G732" s="7" t="n">
        <x:f>'01_Ustawienia'!$B$6</x:f>
        <x:v>0</x:v>
      </x:c>
      <x:c r="H732" s="8" t="n">
        <x:f>IF(E732="","",ROUND(IF('01_Ustawienia'!$B$5="BRUTTO",F732,E732)*(1-G732),0))</x:f>
        <x:v>2569</x:v>
      </x:c>
      <x:c r="I732" s="7" t="n">
        <x:f>IFERROR(IFERROR(INDEX('01_Ustawienia'!$B$15:$B$33,MATCH(B732,'01_Ustawienia'!$A$15:$A$33,0)),0.45),0.45)</x:f>
        <x:v>0.45</x:v>
      </x:c>
      <x:c r="J732" s="8" t="n">
        <x:f>IF(H732="","",ROUND(H732*(1+I732),0))</x:f>
        <x:v>3725</x:v>
      </x:c>
      <x:c r="K732" s="8" t="n">
        <x:f>0</x:f>
        <x:v>0</x:v>
      </x:c>
      <x:c r="L732" s="8" t="n">
        <x:f>IFERROR(IFERROR(INDEX(EG_Cennik_uslug!$AC:$AC,MATCH($A732,EG_Cennik_uslug!$A:$A,0)),0),0)</x:f>
        <x:v>150</x:v>
      </x:c>
      <x:c r="M732" s="7" t="n">
        <x:f>IF('01_Ustawienia'!$B$4="ZWOLNIONY",0,'01_Ustawienia'!$B$7)</x:f>
        <x:v>0.08</x:v>
      </x:c>
      <x:c r="N732" s="8" t="n">
        <x:f>IF(J732="","",ROUND((J732+K732)*(1+M732),0))</x:f>
        <x:v>4023</x:v>
      </x:c>
      <x:c r="O732" s="8" t="n">
        <x:f>IF(J732="","",J732+K732-H732-L732)</x:f>
        <x:v>1006</x:v>
      </x:c>
      <x:c r="P732" s="7" t="n">
        <x:f>IFERROR(O732/(J732+K732),"")</x:f>
        <x:v>0.2700671140939597</x:v>
      </x:c>
      <x:c r="Q732" s="6" t="inlineStr">
        <x:is>
          <x:t xml:space="preserve">RAW_ZP J/K</x:t>
        </x:is>
      </x:c>
      <x:c r="R732" s="6" t="inlineStr">
        <x:is>
          <x:t xml:space="preserve">ROLETY BOCZNE</x:t>
        </x:is>
      </x:c>
      <x:c r="S732" s="6" t="inlineStr">
        <x:is>
          <x:t xml:space="preserve">website+crm</x:t>
        </x:is>
      </x:c>
      <x:c r="T732" s="6" t="inlineStr">
        <x:is>
          <x:t xml:space="preserve">Używana dla lewej i prawej</x:t>
        </x:is>
      </x:c>
    </x:row>
    <x:row r="733">
      <x:c r="A733" s="6" t="inlineStr">
        <x:is>
          <x:t xml:space="preserve">450 x 1106 cm</x:t>
        </x:is>
      </x:c>
      <x:c r="B733" s="6" t="inlineStr">
        <x:is>
          <x:t xml:space="preserve">RP</x:t>
        </x:is>
      </x:c>
      <x:c r="C733" s="6" t="inlineStr">
        <x:is>
          <x:t xml:space="preserve">Roleta przednia ZIP</x:t>
        </x:is>
      </x:c>
      <x:c r="D733" s="6" t="inlineStr">
        <x:is>
          <x:t xml:space="preserve">ROLETA PRZÓD</x:t>
        </x:is>
      </x:c>
      <x:c r="E733" s="8" t="n">
        <x:f>IFERROR(INDEX('02_RAW_INDEX'!$L:$L,MATCH($A733,'02_RAW_INDEX'!$A:$A,0)),"")</x:f>
        <x:v>6033</x:v>
      </x:c>
      <x:c r="F733" s="8" t="n">
        <x:f>IFERROR(INDEX('02_RAW_INDEX'!$K:$K,MATCH($A733,'02_RAW_INDEX'!$A:$A,0)),"")</x:f>
        <x:v>7420</x:v>
      </x:c>
      <x:c r="G733" s="7" t="n">
        <x:f>'01_Ustawienia'!$B$6</x:f>
        <x:v>0</x:v>
      </x:c>
      <x:c r="H733" s="8" t="n">
        <x:f>IF(E733="","",ROUND(IF('01_Ustawienia'!$B$5="BRUTTO",F733,E733)*(1-G733),0))</x:f>
        <x:v>6033</x:v>
      </x:c>
      <x:c r="I733" s="7" t="n">
        <x:f>IFERROR(IFERROR(INDEX('01_Ustawienia'!$B$15:$B$33,MATCH(B733,'01_Ustawienia'!$A$15:$A$33,0)),0.45),0.45)</x:f>
        <x:v>0.45</x:v>
      </x:c>
      <x:c r="J733" s="8" t="n">
        <x:f>IF(H733="","",ROUND(H733*(1+I733),0))</x:f>
        <x:v>8748</x:v>
      </x:c>
      <x:c r="K733" s="8" t="n">
        <x:f>0</x:f>
        <x:v>0</x:v>
      </x:c>
      <x:c r="L733" s="8" t="n">
        <x:f>IFERROR(IFERROR(INDEX(EG_Cennik_uslug!$AJ:$AJ,MATCH($A733,EG_Cennik_uslug!$A:$A,0)),0),0)</x:f>
        <x:v>450</x:v>
      </x:c>
      <x:c r="M733" s="7" t="n">
        <x:f>IF('01_Ustawienia'!$B$4="ZWOLNIONY",0,'01_Ustawienia'!$B$7)</x:f>
        <x:v>0.08</x:v>
      </x:c>
      <x:c r="N733" s="8" t="n">
        <x:f>IF(J733="","",ROUND((J733+K733)*(1+M733),0))</x:f>
        <x:v>9448</x:v>
      </x:c>
      <x:c r="O733" s="8" t="n">
        <x:f>IF(J733="","",J733+K733-H733-L733)</x:f>
        <x:v>2265</x:v>
      </x:c>
      <x:c r="P733" s="7" t="n">
        <x:f>IFERROR(O733/(J733+K733),"")</x:f>
        <x:v>0.25891632373113854</x:v>
      </x:c>
      <x:c r="Q733" s="6" t="inlineStr">
        <x:is>
          <x:t xml:space="preserve">RAW_ZP N/O</x:t>
        </x:is>
      </x:c>
      <x:c r="R733" s="6" t="inlineStr">
        <x:is>
          <x:t xml:space="preserve">ROLETY BOCZNE</x:t>
        </x:is>
      </x:c>
      <x:c r="S733" s="6" t="inlineStr">
        <x:is>
          <x:t xml:space="preserve">website+crm</x:t>
        </x:is>
      </x:c>
      <x:c r="T733" s="6" t="n"/>
    </x:row>
    <x:row r="734">
      <x:c r="A734" s="6" t="inlineStr">
        <x:is>
          <x:t xml:space="preserve">450 x 1106 cm</x:t>
        </x:is>
      </x:c>
      <x:c r="B734" s="6" t="inlineStr">
        <x:is>
          <x:t xml:space="preserve">M</x:t>
        </x:is>
      </x:c>
      <x:c r="C734" s="6" t="inlineStr">
        <x:is>
          <x:t xml:space="preserve">Markiza dachowa</x:t>
        </x:is>
      </x:c>
      <x:c r="D734" s="6" t="inlineStr">
        <x:is>
          <x:t xml:space="preserve">MARKIZA</x:t>
        </x:is>
      </x:c>
      <x:c r="E734" s="8" t="n">
        <x:f>IFERROR(INDEX('02_RAW_INDEX'!$H:$H,MATCH($A734,'02_RAW_INDEX'!$A:$A,0)),"")</x:f>
        <x:v>10911</x:v>
      </x:c>
      <x:c r="F734" s="8" t="n">
        <x:f>IFERROR(INDEX('02_RAW_INDEX'!$G:$G,MATCH($A734,'02_RAW_INDEX'!$A:$A,0)),"")</x:f>
        <x:v>13420</x:v>
      </x:c>
      <x:c r="G734" s="7" t="n">
        <x:f>'01_Ustawienia'!$B$6</x:f>
        <x:v>0</x:v>
      </x:c>
      <x:c r="H734" s="8" t="n">
        <x:f>IF(E734="","",ROUND(IF('01_Ustawienia'!$B$5="BRUTTO",F734,E734)*(1-G734),0))</x:f>
        <x:v>10911</x:v>
      </x:c>
      <x:c r="I734" s="7" t="n">
        <x:f>IFERROR(IFERROR(INDEX('01_Ustawienia'!$B$15:$B$33,MATCH(B734,'01_Ustawienia'!$A$15:$A$33,0)),0.45),0.45)</x:f>
        <x:v>0.45</x:v>
      </x:c>
      <x:c r="J734" s="8" t="n">
        <x:f>IF(H734="","",ROUND(H734*(1+I734),0))</x:f>
        <x:v>15821</x:v>
      </x:c>
      <x:c r="K734" s="8" t="n">
        <x:f>0</x:f>
        <x:v>0</x:v>
      </x:c>
      <x:c r="L734" s="8" t="n">
        <x:f>IFERROR(IFERROR(INDEX(EG_Cennik_uslug!$AQ:$AQ,MATCH($A734,EG_Cennik_uslug!$A:$A,0)),0),0)</x:f>
        <x:v>650</x:v>
      </x:c>
      <x:c r="M734" s="7" t="n">
        <x:f>IF('01_Ustawienia'!$B$4="ZWOLNIONY",0,'01_Ustawienia'!$B$7)</x:f>
        <x:v>0.08</x:v>
      </x:c>
      <x:c r="N734" s="8" t="n">
        <x:f>IF(J734="","",ROUND((J734+K734)*(1+M734),0))</x:f>
        <x:v>17087</x:v>
      </x:c>
      <x:c r="O734" s="8" t="n">
        <x:f>IF(J734="","",J734+K734-H734-L734)</x:f>
        <x:v>4260</x:v>
      </x:c>
      <x:c r="P734" s="7" t="n">
        <x:f>IFERROR(O734/(J734+K734),"")</x:f>
        <x:v>0.26926237279565135</x:v>
      </x:c>
      <x:c r="Q734" s="6" t="inlineStr">
        <x:is>
          <x:t xml:space="preserve">RAW_ZP H/I</x:t>
        </x:is>
      </x:c>
      <x:c r="R734" s="6" t="inlineStr">
        <x:is>
          <x:t xml:space="preserve">MARKIZA</x:t>
        </x:is>
      </x:c>
      <x:c r="S734" s="6" t="inlineStr">
        <x:is>
          <x:t xml:space="preserve">website+crm</x:t>
        </x:is>
      </x:c>
      <x:c r="T734" s="6" t="n"/>
    </x:row>
    <x:row r="735">
      <x:c r="A735" s="6" t="inlineStr">
        <x:is>
          <x:t xml:space="preserve">450 x 1106 cm</x:t>
        </x:is>
      </x:c>
      <x:c r="B735" s="6" t="inlineStr">
        <x:is>
          <x:t xml:space="preserve">PDWP</x:t>
        </x:is>
      </x:c>
      <x:c r="C735" s="6" t="inlineStr">
        <x:is>
          <x:t xml:space="preserve">Fundament/profile</x:t>
        </x:is>
      </x:c>
      <x:c r="D735" s="6" t="inlineStr">
        <x:is>
          <x:t xml:space="preserve">FUNDAMENT / PROFILE</x:t>
        </x:is>
      </x:c>
      <x:c r="E735" s="8" t="n">
        <x:f>IFERROR(INDEX('02_RAW_INDEX'!$AH:$AH,MATCH($A735,'02_RAW_INDEX'!$A:$A,0)),"")</x:f>
        <x:v>1764</x:v>
      </x:c>
      <x:c r="F735" s="8" t="n">
        <x:f>IFERROR(INDEX('02_RAW_INDEX'!$AG:$AG,MATCH($A735,'02_RAW_INDEX'!$A:$A,0)),"")</x:f>
        <x:v>2170</x:v>
      </x:c>
      <x:c r="G735" s="7" t="n">
        <x:f>'01_Ustawienia'!$B$6</x:f>
        <x:v>0</x:v>
      </x:c>
      <x:c r="H735" s="8" t="n">
        <x:f>IF(E735="","",ROUND(IF('01_Ustawienia'!$B$5="BRUTTO",F735,E735)*(1-G735),0))</x:f>
        <x:v>1764</x:v>
      </x:c>
      <x:c r="I735" s="7" t="n">
        <x:f>IFERROR(IFERROR(INDEX('01_Ustawienia'!$B$15:$B$33,MATCH(B735,'01_Ustawienia'!$A$15:$A$33,0)),0.45),0.45)</x:f>
        <x:v>1.2</x:v>
      </x:c>
      <x:c r="J735" s="8" t="n">
        <x:f>IF(H735="","",ROUND(H735*(1+I735),0))</x:f>
        <x:v>3881</x:v>
      </x:c>
      <x:c r="K735" s="8" t="n">
        <x:f>0</x:f>
        <x:v>0</x:v>
      </x:c>
      <x:c r="L735" s="8" t="n">
        <x:f>IFERROR(IFERROR(INDEX(EG_Cennik_uslug!$BT:$BT,MATCH($A735,EG_Cennik_uslug!$A:$A,0)),0),0)</x:f>
        <x:v>690</x:v>
      </x:c>
      <x:c r="M735" s="7" t="n">
        <x:f>IF('01_Ustawienia'!$B$4="ZWOLNIONY",0,'01_Ustawienia'!$B$7)</x:f>
        <x:v>0.08</x:v>
      </x:c>
      <x:c r="N735" s="8" t="n">
        <x:f>IF(J735="","",ROUND((J735+K735)*(1+M735),0))</x:f>
        <x:v>4191</x:v>
      </x:c>
      <x:c r="O735" s="8" t="n">
        <x:f>IF(J735="","",J735+K735-H735-L735)</x:f>
        <x:v>1427</x:v>
      </x:c>
      <x:c r="P735" s="7" t="n">
        <x:f>IFERROR(O735/(J735+K735),"")</x:f>
        <x:v>0.3676887400154599</x:v>
      </x:c>
      <x:c r="Q735" s="6" t="inlineStr">
        <x:is>
          <x:t xml:space="preserve">RAW_OP AB/AC</x:t>
        </x:is>
      </x:c>
      <x:c r="R735" s="6" t="inlineStr">
        <x:is>
          <x:t xml:space="preserve">FUNDAMENT (PROFILE)</x:t>
        </x:is>
      </x:c>
      <x:c r="S735" s="6" t="inlineStr">
        <x:is>
          <x:t xml:space="preserve">website+crm</x:t>
        </x:is>
      </x:c>
      <x:c r="T735" s="6" t="n"/>
    </x:row>
    <x:row r="736" s="655" customFormat="1" ht="30" customHeight="1">
      <x:c r="A736" s="6" t="inlineStr">
        <x:is>
          <x:t xml:space="preserve">450 x 1106 cm</x:t>
        </x:is>
      </x:c>
      <x:c r="B736" s="6" t="inlineStr">
        <x:is>
          <x:t xml:space="preserve">ZAB</x:t>
        </x:is>
      </x:c>
      <x:c r="C736" s="6" t="inlineStr">
        <x:is>
          <x:t xml:space="preserve">Zabieraki do ścian przesuwnych</x:t>
        </x:is>
      </x:c>
      <x:c r="D736" s="6" t="inlineStr">
        <x:is>
          <x:t xml:space="preserve">DODATKI</x:t>
        </x:is>
      </x:c>
      <x:c r="E736" s="8" t="n">
        <x:f>IFERROR(INDEX('02_RAW_INDEX'!$AJ:$AJ,MATCH($A736,'02_RAW_INDEX'!$A:$A,0)),"")</x:f>
        <x:v>520</x:v>
      </x:c>
      <x:c r="F736" s="8" t="n">
        <x:f>IFERROR(INDEX('02_RAW_INDEX'!$AI:$AI,MATCH($A736,'02_RAW_INDEX'!$A:$A,0)),"")</x:f>
        <x:v>640</x:v>
      </x:c>
      <x:c r="G736" s="7" t="n">
        <x:f>'01_Ustawienia'!$B$6</x:f>
        <x:v>0</x:v>
      </x:c>
      <x:c r="H736" s="8" t="n">
        <x:f>IF(E736="","",ROUND(IF('01_Ustawienia'!$B$5="BRUTTO",F736,E736)*(1-G736),0))</x:f>
        <x:v>520</x:v>
      </x:c>
      <x:c r="I736" s="7" t="n">
        <x:f>IFERROR(IFERROR(INDEX('01_Ustawienia'!$B$15:$B$33,MATCH(B736,'01_Ustawienia'!$A$15:$A$33,0)),0.45),0.45)</x:f>
        <x:v>0.45</x:v>
      </x:c>
      <x:c r="J736" s="8" t="n">
        <x:f>IF(H736="","",ROUND(H736*(1+I736),0))</x:f>
        <x:v>754</x:v>
      </x:c>
      <x:c r="K736" s="8" t="n">
        <x:f>0</x:f>
        <x:v>0</x:v>
      </x:c>
      <x:c r="L736" s="8" t="n">
        <x:f>0</x:f>
        <x:v>0</x:v>
      </x:c>
      <x:c r="M736" s="7" t="n">
        <x:f>IF('01_Ustawienia'!$B$4="ZWOLNIONY",0,'01_Ustawienia'!$B$7)</x:f>
        <x:v>0.08</x:v>
      </x:c>
      <x:c r="N736" s="8" t="n">
        <x:f>IF(J736="","",ROUND((J736+K736)*(1+M736),0))</x:f>
        <x:v>814</x:v>
      </x:c>
      <x:c r="O736" s="8" t="n">
        <x:f>IF(J736="","",J736+K736-H736-L736)</x:f>
        <x:v>234</x:v>
      </x:c>
      <x:c r="P736" s="7" t="n">
        <x:f>IFERROR(O736/(J736+K736),"")</x:f>
        <x:v>0.3103448275862069</x:v>
      </x:c>
      <x:c r="Q736" s="6" t="inlineStr">
        <x:is>
          <x:t xml:space="preserve">RAW_OP AD/AE</x:t>
        </x:is>
      </x:c>
      <x:c r="R736" s="6" t="inlineStr">
        <x:is>
          <x:t xml:space="preserve">DODATKI</x:t>
        </x:is>
      </x:c>
      <x:c r="S736" s="6" t="inlineStr">
        <x:is>
          <x:t xml:space="preserve">crm_only</x:t>
        </x:is>
      </x:c>
      <x:c r="T736" s="6" t="n"/>
    </x:row>
    <x:row r="737">
      <x:c r="A737" s="6" t="inlineStr">
        <x:is>
          <x:t xml:space="preserve">450 x 1106 cm</x:t>
        </x:is>
      </x:c>
      <x:c r="B737" s="6" t="inlineStr">
        <x:is>
          <x:t xml:space="preserve">S</x:t>
        </x:is>
      </x:c>
      <x:c r="C737" s="6" t="inlineStr">
        <x:is>
          <x:t xml:space="preserve">Szczotki przeciwkurzowe</x:t>
        </x:is>
      </x:c>
      <x:c r="D737" s="6" t="inlineStr">
        <x:is>
          <x:t xml:space="preserve">SZCZOTKI</x:t>
        </x:is>
      </x:c>
      <x:c r="E737" s="8" t="n">
        <x:f>IFERROR(INDEX('02_RAW_INDEX'!$AD:$AD,MATCH($A737,'02_RAW_INDEX'!$A:$A,0)),"")</x:f>
        <x:v>650</x:v>
      </x:c>
      <x:c r="F737" s="8" t="n">
        <x:f>IFERROR(INDEX('02_RAW_INDEX'!$AC:$AC,MATCH($A737,'02_RAW_INDEX'!$A:$A,0)),"")</x:f>
        <x:v>800</x:v>
      </x:c>
      <x:c r="G737" s="7" t="n">
        <x:f>'01_Ustawienia'!$B$6</x:f>
        <x:v>0</x:v>
      </x:c>
      <x:c r="H737" s="8" t="n">
        <x:f>IF(E737="","",ROUND(IF('01_Ustawienia'!$B$5="BRUTTO",F737,E737)*(1-G737),0))</x:f>
        <x:v>650</x:v>
      </x:c>
      <x:c r="I737" s="7" t="n">
        <x:f>IFERROR(IFERROR(INDEX('01_Ustawienia'!$B$15:$B$33,MATCH(B737,'01_Ustawienia'!$A$15:$A$33,0)),0.45),0.45)</x:f>
        <x:v>0.45</x:v>
      </x:c>
      <x:c r="J737" s="8" t="n">
        <x:f>IF(H737="","",ROUND(H737*(1+I737),0))</x:f>
        <x:v>943</x:v>
      </x:c>
      <x:c r="K737" s="8" t="n">
        <x:f>0</x:f>
        <x:v>0</x:v>
      </x:c>
      <x:c r="L737" s="8" t="n">
        <x:f>IFERROR(IFERROR(INDEX(EG_Cennik_uslug!$CA:$CA,MATCH($A737,EG_Cennik_uslug!$A:$A,0)),0),0)</x:f>
        <x:v>0</x:v>
      </x:c>
      <x:c r="M737" s="7" t="n">
        <x:f>IF('01_Ustawienia'!$B$4="ZWOLNIONY",0,'01_Ustawienia'!$B$7)</x:f>
        <x:v>0.08</x:v>
      </x:c>
      <x:c r="N737" s="8" t="n">
        <x:f>IF(J737="","",ROUND((J737+K737)*(1+M737),0))</x:f>
        <x:v>1018</x:v>
      </x:c>
      <x:c r="O737" s="8" t="n">
        <x:f>IF(J737="","",J737+K737-H737-L737)</x:f>
        <x:v>293</x:v>
      </x:c>
      <x:c r="P737" s="7" t="n">
        <x:f>IFERROR(O737/(J737+K737),"")</x:f>
        <x:v>0.3107104984093319</x:v>
      </x:c>
      <x:c r="Q737" s="6" t="inlineStr">
        <x:is>
          <x:t xml:space="preserve">RAW_OP L/M</x:t>
        </x:is>
      </x:c>
      <x:c r="R737" s="6" t="inlineStr">
        <x:is>
          <x:t xml:space="preserve">DODATKI</x:t>
        </x:is>
      </x:c>
      <x:c r="S737" s="6" t="inlineStr">
        <x:is>
          <x:t xml:space="preserve">website+crm</x:t>
        </x:is>
      </x:c>
      <x:c r="T737" s="6" t="n"/>
    </x:row>
    <x:row r="738">
      <x:c r="A738" s="6" t="inlineStr">
        <x:is>
          <x:t xml:space="preserve">450 x 1106 cm</x:t>
        </x:is>
      </x:c>
      <x:c r="B738" s="6" t="inlineStr">
        <x:is>
          <x:t xml:space="preserve">U</x:t>
        </x:is>
      </x:c>
      <x:c r="C738" s="6" t="inlineStr">
        <x:is>
          <x:t xml:space="preserve">Uchwyty na szkło ścienne</x:t>
        </x:is>
      </x:c>
      <x:c r="D738" s="6" t="inlineStr">
        <x:is>
          <x:t xml:space="preserve">UCHWYTY</x:t>
        </x:is>
      </x:c>
      <x:c r="E738" s="8" t="n">
        <x:f>IFERROR(INDEX('02_RAW_INDEX'!$AF:$AF,MATCH($A738,'02_RAW_INDEX'!$A:$A,0)),"")</x:f>
        <x:v>585</x:v>
      </x:c>
      <x:c r="F738" s="8" t="n">
        <x:f>IFERROR(INDEX('02_RAW_INDEX'!$AE:$AE,MATCH($A738,'02_RAW_INDEX'!$A:$A,0)),"")</x:f>
        <x:v>720</x:v>
      </x:c>
      <x:c r="G738" s="7" t="n">
        <x:f>'01_Ustawienia'!$B$6</x:f>
        <x:v>0</x:v>
      </x:c>
      <x:c r="H738" s="8" t="n">
        <x:f>IF(E738="","",ROUND(IF('01_Ustawienia'!$B$5="BRUTTO",F738,E738)*(1-G738),0))</x:f>
        <x:v>585</x:v>
      </x:c>
      <x:c r="I738" s="7" t="n">
        <x:f>IFERROR(IFERROR(INDEX('01_Ustawienia'!$B$15:$B$33,MATCH(B738,'01_Ustawienia'!$A$15:$A$33,0)),0.45),0.45)</x:f>
        <x:v>0.45</x:v>
      </x:c>
      <x:c r="J738" s="8" t="n">
        <x:f>IF(H738="","",ROUND(H738*(1+I738),0))</x:f>
        <x:v>848</x:v>
      </x:c>
      <x:c r="K738" s="8" t="n">
        <x:f>0</x:f>
        <x:v>0</x:v>
      </x:c>
      <x:c r="L738" s="8" t="n">
        <x:f>IFERROR(IFERROR(INDEX(EG_Cennik_uslug!$CH:$CH,MATCH($A738,EG_Cennik_uslug!$A:$A,0)),0),0)</x:f>
        <x:v>0</x:v>
      </x:c>
      <x:c r="M738" s="7" t="n">
        <x:f>IF('01_Ustawienia'!$B$4="ZWOLNIONY",0,'01_Ustawienia'!$B$7)</x:f>
        <x:v>0.08</x:v>
      </x:c>
      <x:c r="N738" s="8" t="n">
        <x:f>IF(J738="","",ROUND((J738+K738)*(1+M738),0))</x:f>
        <x:v>916</x:v>
      </x:c>
      <x:c r="O738" s="8" t="n">
        <x:f>IF(J738="","",J738+K738-H738-L738)</x:f>
        <x:v>263</x:v>
      </x:c>
      <x:c r="P738" s="7" t="n">
        <x:f>IFERROR(O738/(J738+K738),"")</x:f>
        <x:v>0.31014150943396224</x:v>
      </x:c>
      <x:c r="Q738" s="6" t="inlineStr">
        <x:is>
          <x:t xml:space="preserve">RAW_OP N/O</x:t>
        </x:is>
      </x:c>
      <x:c r="R738" s="6" t="inlineStr">
        <x:is>
          <x:t xml:space="preserve">DODATKI</x:t>
        </x:is>
      </x:c>
      <x:c r="S738" s="6" t="inlineStr">
        <x:is>
          <x:t xml:space="preserve">website+crm</x:t>
        </x:is>
      </x:c>
      <x:c r="T738" s="6" t="n"/>
    </x:row>
    <x:row r="739">
      <x:c r="A739" s="6" t="inlineStr">
        <x:is>
          <x:t xml:space="preserve">450 x 1106 cm</x:t>
        </x:is>
      </x:c>
      <x:c r="B739" s="6" t="inlineStr">
        <x:is>
          <x:t xml:space="preserve">LED2</x:t>
        </x:is>
      </x:c>
      <x:c r="C739" s="6" t="inlineStr">
        <x:is>
          <x:t xml:space="preserve">Oświetlenie LED 2 punkty</x:t>
        </x:is>
      </x:c>
      <x:c r="D739" s="6" t="inlineStr">
        <x:is>
          <x:t xml:space="preserve">LED 2 PKT</x:t>
        </x:is>
      </x:c>
      <x:c r="E739" s="8" t="n">
        <x:f>IFERROR(INDEX('02_RAW_INDEX'!$N:$N,MATCH($A739,'02_RAW_INDEX'!$A:$A,0)),"")</x:f>
        <x:v>1163</x:v>
      </x:c>
      <x:c r="F739" s="8" t="n">
        <x:f>IFERROR(INDEX('02_RAW_INDEX'!$M:$M,MATCH($A739,'02_RAW_INDEX'!$A:$A,0)),"")</x:f>
        <x:v>1430</x:v>
      </x:c>
      <x:c r="G739" s="7" t="n">
        <x:f>'01_Ustawienia'!$B$6</x:f>
        <x:v>0</x:v>
      </x:c>
      <x:c r="H739" s="8" t="n">
        <x:f>IF(E739="","",ROUND(IF('01_Ustawienia'!$B$5="BRUTTO",F739,E739)*(1-G739),0))</x:f>
        <x:v>1163</x:v>
      </x:c>
      <x:c r="I739" s="7" t="n">
        <x:f>IFERROR(IFERROR(INDEX('01_Ustawienia'!$B$15:$B$33,MATCH(B739,'01_Ustawienia'!$A$15:$A$33,0)),0.45),0.45)</x:f>
        <x:v>0.45</x:v>
      </x:c>
      <x:c r="J739" s="8" t="n">
        <x:f>IF(H739="","",ROUND(H739*(1+I739),0))</x:f>
        <x:v>1686</x:v>
      </x:c>
      <x:c r="K739" s="8" t="n">
        <x:f>0</x:f>
        <x:v>0</x:v>
      </x:c>
      <x:c r="L739" s="8" t="n">
        <x:f>IFERROR(IFERROR(INDEX(EG_Cennik_uslug!$CO:$CO,MATCH($A739,EG_Cennik_uslug!$A:$A,0)),0),0)</x:f>
        <x:v>0</x:v>
      </x:c>
      <x:c r="M739" s="7" t="n">
        <x:f>IF('01_Ustawienia'!$B$4="ZWOLNIONY",0,'01_Ustawienia'!$B$7)</x:f>
        <x:v>0.08</x:v>
      </x:c>
      <x:c r="N739" s="8" t="n">
        <x:f>IF(J739="","",ROUND((J739+K739)*(1+M739),0))</x:f>
        <x:v>1821</x:v>
      </x:c>
      <x:c r="O739" s="8" t="n">
        <x:f>IF(J739="","",J739+K739-H739-L739)</x:f>
        <x:v>523</x:v>
      </x:c>
      <x:c r="P739" s="7" t="n">
        <x:f>IFERROR(O739/(J739+K739),"")</x:f>
        <x:v>0.31020166073546857</x:v>
      </x:c>
      <x:c r="Q739" s="6" t="inlineStr">
        <x:is>
          <x:t xml:space="preserve">RAW_ZP P/Q</x:t>
        </x:is>
      </x:c>
      <x:c r="R739" s="6" t="inlineStr">
        <x:is>
          <x:t xml:space="preserve">OŚWIETLENIE</x:t>
        </x:is>
      </x:c>
      <x:c r="S739" s="6" t="inlineStr">
        <x:is>
          <x:t xml:space="preserve">website+crm</x:t>
        </x:is>
      </x:c>
      <x:c r="T739" s="6" t="n"/>
    </x:row>
    <x:row r="740">
      <x:c r="A740" s="6" t="inlineStr">
        <x:is>
          <x:t xml:space="preserve">450 x 1106 cm</x:t>
        </x:is>
      </x:c>
      <x:c r="B740" s="6" t="inlineStr">
        <x:is>
          <x:t xml:space="preserve">LED3</x:t>
        </x:is>
      </x:c>
      <x:c r="C740" s="6" t="inlineStr">
        <x:is>
          <x:t xml:space="preserve">Oświetlenie LED 3 punkty</x:t>
        </x:is>
      </x:c>
      <x:c r="D740" s="6" t="inlineStr">
        <x:is>
          <x:t xml:space="preserve">LED 3 PKT</x:t>
        </x:is>
      </x:c>
      <x:c r="E740" s="8" t="n">
        <x:f>IFERROR(INDEX('02_RAW_INDEX'!$P:$P,MATCH($A740,'02_RAW_INDEX'!$A:$A,0)),"")</x:f>
        <x:v>1439</x:v>
      </x:c>
      <x:c r="F740" s="8" t="n">
        <x:f>IFERROR(INDEX('02_RAW_INDEX'!$O:$O,MATCH($A740,'02_RAW_INDEX'!$A:$A,0)),"")</x:f>
        <x:v>1770</x:v>
      </x:c>
      <x:c r="G740" s="7" t="n">
        <x:f>'01_Ustawienia'!$B$6</x:f>
        <x:v>0</x:v>
      </x:c>
      <x:c r="H740" s="8" t="n">
        <x:f>IF(E740="","",ROUND(IF('01_Ustawienia'!$B$5="BRUTTO",F740,E740)*(1-G740),0))</x:f>
        <x:v>1439</x:v>
      </x:c>
      <x:c r="I740" s="7" t="n">
        <x:f>IFERROR(IFERROR(INDEX('01_Ustawienia'!$B$15:$B$33,MATCH(B740,'01_Ustawienia'!$A$15:$A$33,0)),0.45),0.45)</x:f>
        <x:v>0.45</x:v>
      </x:c>
      <x:c r="J740" s="8" t="n">
        <x:f>IF(H740="","",ROUND(H740*(1+I740),0))</x:f>
        <x:v>2087</x:v>
      </x:c>
      <x:c r="K740" s="8" t="n">
        <x:f>0</x:f>
        <x:v>0</x:v>
      </x:c>
      <x:c r="L740" s="8" t="n">
        <x:f>IFERROR(IFERROR(INDEX(EG_Cennik_uslug!$CV:$CV,MATCH($A740,EG_Cennik_uslug!$A:$A,0)),0),0)</x:f>
        <x:v>0</x:v>
      </x:c>
      <x:c r="M740" s="7" t="n">
        <x:f>IF('01_Ustawienia'!$B$4="ZWOLNIONY",0,'01_Ustawienia'!$B$7)</x:f>
        <x:v>0.08</x:v>
      </x:c>
      <x:c r="N740" s="8" t="n">
        <x:f>IF(J740="","",ROUND((J740+K740)*(1+M740),0))</x:f>
        <x:v>2254</x:v>
      </x:c>
      <x:c r="O740" s="8" t="n">
        <x:f>IF(J740="","",J740+K740-H740-L740)</x:f>
        <x:v>648</x:v>
      </x:c>
      <x:c r="P740" s="7" t="n">
        <x:f>IFERROR(O740/(J740+K740),"")</x:f>
        <x:v>0.3104935313847628</x:v>
      </x:c>
      <x:c r="Q740" s="6" t="inlineStr">
        <x:is>
          <x:t xml:space="preserve">RAW_ZP R/S</x:t>
        </x:is>
      </x:c>
      <x:c r="R740" s="6" t="inlineStr">
        <x:is>
          <x:t xml:space="preserve">OŚWIETLENIE</x:t>
        </x:is>
      </x:c>
      <x:c r="S740" s="6" t="inlineStr">
        <x:is>
          <x:t xml:space="preserve">website+crm</x:t>
        </x:is>
      </x:c>
      <x:c r="T740" s="6" t="inlineStr">
        <x:is>
          <x:t xml:space="preserve">Nazwa do potwierdzenia</x:t>
        </x:is>
      </x:c>
    </x:row>
    <x:row r="741">
      <x:c r="A741" s="6" t="inlineStr">
        <x:is>
          <x:t xml:space="preserve">450 x 1106 cm</x:t>
        </x:is>
      </x:c>
      <x:c r="B741" s="6" t="inlineStr">
        <x:is>
          <x:t xml:space="preserve">LEDCCT</x:t>
        </x:is>
      </x:c>
      <x:c r="C741" s="6" t="inlineStr">
        <x:is>
          <x:t xml:space="preserve">Oświetlenie LED CCT</x:t>
        </x:is>
      </x:c>
      <x:c r="D741" s="6" t="inlineStr">
        <x:is>
          <x:t xml:space="preserve">OŚWIETLENIE</x:t>
        </x:is>
      </x:c>
      <x:c r="E741" s="8" t="n">
        <x:f>IFERROR(INDEX('02_RAW_INDEX'!$R:$R,MATCH($A741,'02_RAW_INDEX'!$A:$A,0)),"")</x:f>
        <x:v>2728</x:v>
      </x:c>
      <x:c r="F741" s="8" t="n">
        <x:f>IFERROR(INDEX('02_RAW_INDEX'!$Q:$Q,MATCH($A741,'02_RAW_INDEX'!$A:$A,0)),"")</x:f>
        <x:v>3356</x:v>
      </x:c>
      <x:c r="G741" s="7" t="n">
        <x:f>'01_Ustawienia'!$B$6</x:f>
        <x:v>0</x:v>
      </x:c>
      <x:c r="H741" s="8" t="n">
        <x:f>IF(E741="","",ROUND(IF('01_Ustawienia'!$B$5="BRUTTO",F741,E741)*(1-G741),0))</x:f>
        <x:v>2728</x:v>
      </x:c>
      <x:c r="I741" s="7" t="n">
        <x:f>IFERROR(IFERROR(INDEX('01_Ustawienia'!$B$15:$B$33,MATCH(B741,'01_Ustawienia'!$A$15:$A$33,0)),0.45),0.45)</x:f>
        <x:v>0.45</x:v>
      </x:c>
      <x:c r="J741" s="8" t="n">
        <x:f>IF(H741="","",ROUND(H741*(1+I741),0)+700)</x:f>
        <x:v>4656</x:v>
      </x:c>
      <x:c r="K741" s="8" t="n">
        <x:f>0</x:f>
        <x:v>0</x:v>
      </x:c>
      <x:c r="L741" s="8" t="n">
        <x:f>0</x:f>
        <x:v>0</x:v>
      </x:c>
      <x:c r="M741" s="7" t="n">
        <x:f>IF('01_Ustawienia'!$B$4="ZWOLNIONY",0,'01_Ustawienia'!$B$7)</x:f>
        <x:v>0.08</x:v>
      </x:c>
      <x:c r="N741" s="8" t="n">
        <x:f>IF(J741="","",ROUND((J741+K741)*(1+M741),0))</x:f>
        <x:v>5028</x:v>
      </x:c>
      <x:c r="O741" s="8" t="n">
        <x:f>IF(J741="","",J741+K741-H741-L741)</x:f>
        <x:v>1928</x:v>
      </x:c>
      <x:c r="P741" s="7" t="n">
        <x:f>IFERROR(O741/(J741+K741),"")</x:f>
        <x:v>0.41408934707903783</x:v>
      </x:c>
      <x:c r="Q741" s="715" t="inlineStr">
        <x:is>
          <x:t xml:space="preserve">MODEL_FIX15_LED</x:t>
        </x:is>
      </x:c>
      <x:c r="R741" s="6" t="inlineStr">
        <x:is>
          <x:t xml:space="preserve">OŚWIETLENIE</x:t>
        </x:is>
      </x:c>
      <x:c r="S741" s="6" t="inlineStr">
        <x:is>
          <x:t xml:space="preserve">website+crm</x:t>
        </x:is>
      </x:c>
      <x:c r="T741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742">
      <x:c r="A742" s="6" t="inlineStr">
        <x:is>
          <x:t xml:space="preserve">450 x 1106 cm</x:t>
        </x:is>
      </x:c>
      <x:c r="B742" s="6" t="inlineStr">
        <x:is>
          <x:t xml:space="preserve">LEDRGBCCT</x:t>
        </x:is>
      </x:c>
      <x:c r="C742" s="6" t="inlineStr">
        <x:is>
          <x:t xml:space="preserve">Oświetlenie LED RGB CCT</x:t>
        </x:is>
      </x:c>
      <x:c r="D742" s="6" t="inlineStr">
        <x:is>
          <x:t xml:space="preserve">OŚWIETLENIE</x:t>
        </x:is>
      </x:c>
      <x:c r="E742" s="8" t="n">
        <x:f>IFERROR(INDEX('02_RAW_INDEX'!$T:$T,MATCH($A742,'02_RAW_INDEX'!$A:$A,0)),"")</x:f>
        <x:v>4029</x:v>
      </x:c>
      <x:c r="F742" s="8" t="n">
        <x:f>IFERROR(INDEX('02_RAW_INDEX'!$S:$S,MATCH($A742,'02_RAW_INDEX'!$A:$A,0)),"")</x:f>
        <x:v>4956</x:v>
      </x:c>
      <x:c r="G742" s="7" t="n">
        <x:f>'01_Ustawienia'!$B$6</x:f>
        <x:v>0</x:v>
      </x:c>
      <x:c r="H742" s="8" t="n">
        <x:f>IF(E742="","",ROUND(IF('01_Ustawienia'!$B$5="BRUTTO",F742,E742)*(1-G742),0))</x:f>
        <x:v>4029</x:v>
      </x:c>
      <x:c r="I742" s="7" t="n">
        <x:f>IFERROR(IFERROR(INDEX('01_Ustawienia'!$B$15:$B$33,MATCH(B742,'01_Ustawienia'!$A$15:$A$33,0)),0.45),0.45)</x:f>
        <x:v>0.45</x:v>
      </x:c>
      <x:c r="J742" s="8" t="n">
        <x:f>IF(H742="","",ROUND(H742*(1+I742),0))</x:f>
        <x:v>5842</x:v>
      </x:c>
      <x:c r="K742" s="8" t="n">
        <x:f>0</x:f>
        <x:v>0</x:v>
      </x:c>
      <x:c r="L742" s="8" t="n">
        <x:f>0</x:f>
        <x:v>0</x:v>
      </x:c>
      <x:c r="M742" s="7" t="n">
        <x:f>IF('01_Ustawienia'!$B$4="ZWOLNIONY",0,'01_Ustawienia'!$B$7)</x:f>
        <x:v>0.08</x:v>
      </x:c>
      <x:c r="N742" s="8" t="n">
        <x:f>IF(J742="","",ROUND((J742+K742)*(1+M742),0))</x:f>
        <x:v>6309</x:v>
      </x:c>
      <x:c r="O742" s="8" t="n">
        <x:f>IF(J742="","",J742+K742-H742-L742)</x:f>
        <x:v>1813</x:v>
      </x:c>
      <x:c r="P742" s="7" t="n">
        <x:f>IFERROR(O742/(J742+K742),"")</x:f>
        <x:v>0.3103389250256761</x:v>
      </x:c>
      <x:c r="Q742" s="715" t="inlineStr">
        <x:is>
          <x:t xml:space="preserve">MODEL_FIX15_LED</x:t>
        </x:is>
      </x:c>
      <x:c r="R742" s="6" t="inlineStr">
        <x:is>
          <x:t xml:space="preserve">OŚWIETLENIE</x:t>
        </x:is>
      </x:c>
      <x:c r="S742" s="6" t="inlineStr">
        <x:is>
          <x:t xml:space="preserve">crm_only</x:t>
        </x:is>
      </x:c>
      <x:c r="T742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743" s="655" customFormat="1" ht="30" customHeight="1">
      <x:c r="A743" s="6" t="inlineStr">
        <x:is>
          <x:t xml:space="preserve">450 x 1206 cm</x:t>
        </x:is>
      </x:c>
      <x:c r="B743" s="6" t="inlineStr">
        <x:is>
          <x:t xml:space="preserve">ZP</x:t>
        </x:is>
      </x:c>
      <x:c r="C743" s="6" t="inlineStr">
        <x:is>
          <x:t xml:space="preserve">Zadaszenie poliwęglan - baza</x:t>
        </x:is>
      </x:c>
      <x:c r="D743" s="6" t="inlineStr">
        <x:is>
          <x:t xml:space="preserve">ZADASZENIE POLIWĘGLAN</x:t>
        </x:is>
      </x:c>
      <x:c r="E743" s="8" t="n">
        <x:f>IFERROR(INDEX('02_RAW_INDEX'!$D:$D,MATCH($A743,'02_RAW_INDEX'!$A:$A,0)),"")</x:f>
        <x:v>21846</x:v>
      </x:c>
      <x:c r="F743" s="8" t="n">
        <x:f>IFERROR(INDEX('02_RAW_INDEX'!$C:$C,MATCH($A743,'02_RAW_INDEX'!$A:$A,0)),"")</x:f>
        <x:v>26870</x:v>
      </x:c>
      <x:c r="G743" s="7" t="n">
        <x:f>'01_Ustawienia'!$B$6</x:f>
        <x:v>0</x:v>
      </x:c>
      <x:c r="H743" s="8" t="n">
        <x:f>IF(E743="","",ROUND(IF('01_Ustawienia'!$B$5="BRUTTO",F743,E743)*(1-G743),0))</x:f>
        <x:v>21846</x:v>
      </x:c>
      <x:c r="I743" s="7" t="n">
        <x:f>IFERROR(IFERROR(INDEX('01_Ustawienia'!$B$15:$B$33,MATCH(B743,'01_Ustawienia'!$A$15:$A$33,0)),0.45),0.45)</x:f>
        <x:v>0.45</x:v>
      </x:c>
      <x:c r="J743" s="8" t="n">
        <x:f>IF(H743="","",ROUND(H743*(1+I743),0))</x:f>
        <x:v>31677</x:v>
      </x:c>
      <x:c r="K743" s="8" t="n">
        <x:f>IFERROR(IFERROR(INDEX(EG_Cennik_uslug!$F:$F,MATCH($A743,EG_Cennik_uslug!$A:$A,0)),0),0)</x:f>
        <x:v>5640</x:v>
      </x:c>
      <x:c r="L743" s="8" t="n">
        <x:f>IFERROR(IFERROR(INDEX(EG_Cennik_uslug!$G:$G,MATCH($A743,EG_Cennik_uslug!$A:$A,0)),0),0)</x:f>
        <x:v>2190</x:v>
      </x:c>
      <x:c r="M743" s="7" t="n">
        <x:f>IF('01_Ustawienia'!$B$4="ZWOLNIONY",0,'01_Ustawienia'!$B$7)</x:f>
        <x:v>0.08</x:v>
      </x:c>
      <x:c r="N743" s="8" t="n">
        <x:f>IF(J743="","",ROUND((J743+K743)*(1+M743),0))</x:f>
        <x:v>40302</x:v>
      </x:c>
      <x:c r="O743" s="8" t="n">
        <x:f>IF(J743="","",J743+K743-H743-L743)</x:f>
        <x:v>13281</x:v>
      </x:c>
      <x:c r="P743" s="7" t="n">
        <x:f>IFERROR(O743/(J743+K743),"")</x:f>
        <x:v>0.3558967762681888</x:v>
      </x:c>
      <x:c r="Q743" s="6" t="inlineStr">
        <x:is>
          <x:t xml:space="preserve">RAW_ZP B/C</x:t>
        </x:is>
      </x:c>
      <x:c r="R743" s="6" t="inlineStr">
        <x:is>
          <x:t xml:space="preserve">ZADASZENIE TARASU KONSTRUKCJA</x:t>
        </x:is>
      </x:c>
      <x:c r="S743" s="6" t="inlineStr">
        <x:is>
          <x:t xml:space="preserve">website+crm</x:t>
        </x:is>
      </x:c>
      <x:c r="T743" s="6" t="inlineStr">
        <x:is>
          <x:t xml:space="preserve">Baza dla kalkulatora</x:t>
        </x:is>
      </x:c>
    </x:row>
    <x:row r="744" s="655" customFormat="1" ht="30" customHeight="1">
      <x:c r="A744" s="6" t="inlineStr">
        <x:is>
          <x:t xml:space="preserve">450 x 1206 cm</x:t>
        </x:is>
      </x:c>
      <x:c r="B744" s="6" t="inlineStr">
        <x:is>
          <x:t xml:space="preserve">ZS</x:t>
        </x:is>
      </x:c>
      <x:c r="C744" s="6" t="inlineStr">
        <x:is>
          <x:t xml:space="preserve">Zadaszenie szkło - pełna konstrukcja</x:t>
        </x:is>
      </x:c>
      <x:c r="D744" s="6" t="inlineStr">
        <x:is>
          <x:t xml:space="preserve">ZADASZENIE SZKŁO</x:t>
        </x:is>
      </x:c>
      <x:c r="E744" s="8" t="n">
        <x:f>IFERROR(INDEX('02_RAW_INDEX'!$V:$V,MATCH($A744,'02_RAW_INDEX'!$A:$A,0)),"")</x:f>
        <x:v>34748</x:v>
      </x:c>
      <x:c r="F744" s="8" t="n">
        <x:f>IFERROR(INDEX('02_RAW_INDEX'!$U:$U,MATCH($A744,'02_RAW_INDEX'!$A:$A,0)),"")</x:f>
        <x:v>42740</x:v>
      </x:c>
      <x:c r="G744" s="7" t="n">
        <x:f>'01_Ustawienia'!$B$6</x:f>
        <x:v>0</x:v>
      </x:c>
      <x:c r="H744" s="8" t="n">
        <x:f>IF(E744="","",ROUND(IF('01_Ustawienia'!$B$5="BRUTTO",F744,E744)*(1-G744),0))</x:f>
        <x:v>34748</x:v>
      </x:c>
      <x:c r="I744" s="7" t="n">
        <x:f>IFERROR(IFERROR(INDEX('01_Ustawienia'!$B$15:$B$33,MATCH(B744,'01_Ustawienia'!$A$15:$A$33,0)),0.45),0.45)</x:f>
        <x:v>0.45</x:v>
      </x:c>
      <x:c r="J744" s="8" t="n">
        <x:f>IF(H744="","",ROUND(H744*(1+I744),0))</x:f>
        <x:v>50385</x:v>
      </x:c>
      <x:c r="K744" s="8" t="n">
        <x:f>IFERROR(IFERROR(INDEX(EG_Cennik_uslug!$F:$F,MATCH($A744,EG_Cennik_uslug!$A:$A,0)),0),0)</x:f>
        <x:v>5640</x:v>
      </x:c>
      <x:c r="L744" s="8" t="n">
        <x:f>IFERROR(IFERROR(INDEX(EG_Cennik_uslug!$G:$G,MATCH($A744,EG_Cennik_uslug!$A:$A,0)),0),0)</x:f>
        <x:v>2190</x:v>
      </x:c>
      <x:c r="M744" s="7" t="n">
        <x:f>IF('01_Ustawienia'!$B$4="ZWOLNIONY",0,'01_Ustawienia'!$B$7)</x:f>
        <x:v>0.08</x:v>
      </x:c>
      <x:c r="N744" s="8" t="n">
        <x:f>IF(J744="","",ROUND((J744+K744)*(1+M744),0))</x:f>
        <x:v>60507</x:v>
      </x:c>
      <x:c r="O744" s="8" t="n">
        <x:f>IF(J744="","",J744+K744-H744-L744)</x:f>
        <x:v>19087</x:v>
      </x:c>
      <x:c r="P744" s="7" t="n">
        <x:f>IFERROR(O744/(J744+K744),"")</x:f>
        <x:v>0.3406871932173137</x:v>
      </x:c>
      <x:c r="Q744" s="6" t="inlineStr">
        <x:is>
          <x:t xml:space="preserve">RAW_ZS B/C</x:t>
        </x:is>
      </x:c>
      <x:c r="R744" s="6" t="inlineStr">
        <x:is>
          <x:t xml:space="preserve">ZADASZENIE TARASU KONSTRUKCJA</x:t>
        </x:is>
      </x:c>
      <x:c r="S744" s="6" t="inlineStr">
        <x:is>
          <x:t xml:space="preserve">crm_only</x:t>
        </x:is>
      </x:c>
      <x:c r="T744" s="6" t="inlineStr">
        <x:is>
          <x:t xml:space="preserve">Referencyjne/full; strona zwykle używa ZP + PDS</x:t>
        </x:is>
      </x:c>
    </x:row>
    <x:row r="745" s="655" customFormat="1" ht="30" customHeight="1">
      <x:c r="A745" s="6" t="inlineStr">
        <x:is>
          <x:t xml:space="preserve">450 x 1206 cm</x:t>
        </x:is>
      </x:c>
      <x:c r="B745" s="6" t="inlineStr">
        <x:is>
          <x:t xml:space="preserve">OP</x:t>
        </x:is>
      </x:c>
      <x:c r="C745" s="6" t="inlineStr">
        <x:is>
          <x:t xml:space="preserve">Ogród zimowy poliwęglan - baza</x:t>
        </x:is>
      </x:c>
      <x:c r="D745" s="6" t="inlineStr">
        <x:is>
          <x:t xml:space="preserve">OGRODY POLIWĘGLAN</x:t>
        </x:is>
      </x:c>
      <x:c r="E745" s="8" t="n">
        <x:f>IFERROR(INDEX('02_RAW_INDEX'!$Z:$Z,MATCH($A745,'02_RAW_INDEX'!$A:$A,0)),"")</x:f>
        <x:v>41122</x:v>
      </x:c>
      <x:c r="F745" s="8" t="n">
        <x:f>IFERROR(INDEX('02_RAW_INDEX'!$Y:$Y,MATCH($A745,'02_RAW_INDEX'!$A:$A,0)),"")</x:f>
        <x:v>50580</x:v>
      </x:c>
      <x:c r="G745" s="7" t="n">
        <x:f>'01_Ustawienia'!$B$6</x:f>
        <x:v>0</x:v>
      </x:c>
      <x:c r="H745" s="8" t="n">
        <x:f>IF(E745="","",ROUND(IF('01_Ustawienia'!$B$5="BRUTTO",F745,E745)*(1-G745),0))</x:f>
        <x:v>41122</x:v>
      </x:c>
      <x:c r="I745" s="7" t="n">
        <x:f>IFERROR(IFERROR(INDEX('01_Ustawienia'!$B$15:$B$33,MATCH(B745,'01_Ustawienia'!$A$15:$A$33,0)),0.45),0.45)</x:f>
        <x:v>0.45</x:v>
      </x:c>
      <x:c r="J745" s="8" t="n">
        <x:f>IF(H745="","",ROUND(H745*(1+I745),0))</x:f>
        <x:v>59627</x:v>
      </x:c>
      <x:c r="K745" s="8" t="n">
        <x:f>IFERROR(IFERROR(INDEX(EG_Cennik_uslug!$N:$N,MATCH($A745,EG_Cennik_uslug!$A:$A,0)),0),0)</x:f>
        <x:v>7280</x:v>
      </x:c>
      <x:c r="L745" s="8" t="n">
        <x:f>IFERROR(IFERROR(INDEX(EG_Cennik_uslug!$O:$O,MATCH($A745,EG_Cennik_uslug!$A:$A,0)),0),0)</x:f>
        <x:v>3060</x:v>
      </x:c>
      <x:c r="M745" s="7" t="n">
        <x:f>IF('01_Ustawienia'!$B$4="ZWOLNIONY",0,'01_Ustawienia'!$B$7)</x:f>
        <x:v>0.08</x:v>
      </x:c>
      <x:c r="N745" s="8" t="n">
        <x:f>IF(J745="","",ROUND((J745+K745)*(1+M745),0))</x:f>
        <x:v>72260</x:v>
      </x:c>
      <x:c r="O745" s="8" t="n">
        <x:f>IF(J745="","",J745+K745-H745-L745)</x:f>
        <x:v>22725</x:v>
      </x:c>
      <x:c r="P745" s="7" t="n">
        <x:f>IFERROR(O745/(J745+K745),"")</x:f>
        <x:v>0.33965055973216557</x:v>
      </x:c>
      <x:c r="Q745" s="6" t="inlineStr">
        <x:is>
          <x:t xml:space="preserve">RAW_OP B/C</x:t>
        </x:is>
      </x:c>
      <x:c r="R745" s="6" t="inlineStr">
        <x:is>
          <x:t xml:space="preserve">OGRÓD ZIMOWY (KONSTRUKCJA)</x:t>
        </x:is>
      </x:c>
      <x:c r="S745" s="6" t="inlineStr">
        <x:is>
          <x:t xml:space="preserve">website+crm</x:t>
        </x:is>
      </x:c>
      <x:c r="T745" s="6" t="inlineStr">
        <x:is>
          <x:t xml:space="preserve">Do wyliczenia dopłaty za ściany</x:t>
        </x:is>
      </x:c>
    </x:row>
    <x:row r="746" s="655" customFormat="1" ht="30" customHeight="1">
      <x:c r="A746" s="6" t="inlineStr">
        <x:is>
          <x:t xml:space="preserve">450 x 1206 cm</x:t>
        </x:is>
      </x:c>
      <x:c r="B746" s="6" t="inlineStr">
        <x:is>
          <x:t xml:space="preserve">OS</x:t>
        </x:is>
      </x:c>
      <x:c r="C746" s="6" t="inlineStr">
        <x:is>
          <x:t xml:space="preserve">Ogród zimowy szkło - pełna konstrukcja</x:t>
        </x:is>
      </x:c>
      <x:c r="D746" s="6" t="inlineStr">
        <x:is>
          <x:t xml:space="preserve">OGRODY SZKŁO</x:t>
        </x:is>
      </x:c>
      <x:c r="E746" s="8" t="n">
        <x:f>IFERROR(INDEX('02_RAW_INDEX'!$AL:$AL,MATCH($A746,'02_RAW_INDEX'!$A:$A,0)),"")</x:f>
        <x:v>52398</x:v>
      </x:c>
      <x:c r="F746" s="8" t="n">
        <x:f>IFERROR(INDEX('02_RAW_INDEX'!$AK:$AK,MATCH($A746,'02_RAW_INDEX'!$A:$A,0)),"")</x:f>
        <x:v>64450</x:v>
      </x:c>
      <x:c r="G746" s="7" t="n">
        <x:f>'01_Ustawienia'!$B$6</x:f>
        <x:v>0</x:v>
      </x:c>
      <x:c r="H746" s="8" t="n">
        <x:f>IF(E746="","",ROUND(IF('01_Ustawienia'!$B$5="BRUTTO",F746,E746)*(1-G746),0))</x:f>
        <x:v>52398</x:v>
      </x:c>
      <x:c r="I746" s="7" t="n">
        <x:f>IFERROR(IFERROR(INDEX('01_Ustawienia'!$B$15:$B$33,MATCH(B746,'01_Ustawienia'!$A$15:$A$33,0)),0.45),0.45)</x:f>
        <x:v>0.45</x:v>
      </x:c>
      <x:c r="J746" s="8" t="n">
        <x:f>IF(H746="","",ROUND(H746*(1+I746),0))</x:f>
        <x:v>75977</x:v>
      </x:c>
      <x:c r="K746" s="8" t="n">
        <x:f>IFERROR(IFERROR(INDEX(EG_Cennik_uslug!$N:$N,MATCH($A746,EG_Cennik_uslug!$A:$A,0)),0),0)</x:f>
        <x:v>7280</x:v>
      </x:c>
      <x:c r="L746" s="8" t="n">
        <x:f>IFERROR(IFERROR(INDEX(EG_Cennik_uslug!$O:$O,MATCH($A746,EG_Cennik_uslug!$A:$A,0)),0),0)</x:f>
        <x:v>3060</x:v>
      </x:c>
      <x:c r="M746" s="7" t="n">
        <x:f>IF('01_Ustawienia'!$B$4="ZWOLNIONY",0,'01_Ustawienia'!$B$7)</x:f>
        <x:v>0.08</x:v>
      </x:c>
      <x:c r="N746" s="8" t="n">
        <x:f>IF(J746="","",ROUND((J746+K746)*(1+M746),0))</x:f>
        <x:v>89918</x:v>
      </x:c>
      <x:c r="O746" s="8" t="n">
        <x:f>IF(J746="","",J746+K746-H746-L746)</x:f>
        <x:v>27799</x:v>
      </x:c>
      <x:c r="P746" s="7" t="n">
        <x:f>IFERROR(O746/(J746+K746),"")</x:f>
        <x:v>0.3338938467636355</x:v>
      </x:c>
      <x:c r="Q746" s="6" t="inlineStr">
        <x:is>
          <x:t xml:space="preserve">RAW_OS B/C</x:t>
        </x:is>
      </x:c>
      <x:c r="R746" s="6" t="inlineStr">
        <x:is>
          <x:t xml:space="preserve">OGRÓD ZIMOWY (KONSTRUKCJA)</x:t>
        </x:is>
      </x:c>
      <x:c r="S746" s="6" t="inlineStr">
        <x:is>
          <x:t xml:space="preserve">crm_only</x:t>
        </x:is>
      </x:c>
      <x:c r="T746" s="6" t="inlineStr">
        <x:is>
          <x:t xml:space="preserve">Referencyjne/full</x:t>
        </x:is>
      </x:c>
    </x:row>
    <x:row r="747" s="655" customFormat="1" ht="30" customHeight="1">
      <x:c r="A747" s="6" t="inlineStr">
        <x:is>
          <x:t xml:space="preserve">450 x 1206 cm</x:t>
        </x:is>
      </x:c>
      <x:c r="B747" s="6" t="inlineStr">
        <x:is>
          <x:t xml:space="preserve">PDS</x:t>
        </x:is>
      </x:c>
      <x:c r="C747" s="6" t="inlineStr">
        <x:is>
          <x:t xml:space="preserve">Dopłata dach szkło przezroczyste</x:t>
        </x:is>
      </x:c>
      <x:c r="D747" s="6" t="inlineStr">
        <x:is>
          <x:t xml:space="preserve">POKRYCIE DACHU SZKŁO</x:t>
        </x:is>
      </x:c>
      <x:c r="E747" s="8" t="n">
        <x:f>IFERROR(IFERROR(INDEX('02_RAW_INDEX'!$V:$V,MATCH($A747,'02_RAW_INDEX'!$A:$A,0)),"")-IFERROR(INDEX('02_RAW_INDEX'!$D:$D,MATCH($A747,'02_RAW_INDEX'!$A:$A,0)),""),"")</x:f>
        <x:v>12902</x:v>
      </x:c>
      <x:c r="F747" s="8" t="n">
        <x:f>IFERROR(IFERROR(INDEX('02_RAW_INDEX'!$U:$U,MATCH($A747,'02_RAW_INDEX'!$A:$A,0)),"")-IFERROR(INDEX('02_RAW_INDEX'!$C:$C,MATCH($A747,'02_RAW_INDEX'!$A:$A,0)),""),"")</x:f>
        <x:v>15870</x:v>
      </x:c>
      <x:c r="G747" s="7" t="n">
        <x:f>'01_Ustawienia'!$B$6</x:f>
        <x:v>0</x:v>
      </x:c>
      <x:c r="H747" s="8" t="n">
        <x:f>IF(E747="","",ROUND(IF('01_Ustawienia'!$B$5="BRUTTO",F747,E747)*(1-G747),0))</x:f>
        <x:v>12902</x:v>
      </x:c>
      <x:c r="I747" s="7" t="n">
        <x:f>IFERROR(IFERROR(INDEX('01_Ustawienia'!$B$15:$B$33,MATCH(B747,'01_Ustawienia'!$A$15:$A$33,0)),0.45),0.45)</x:f>
        <x:v>0.45</x:v>
      </x:c>
      <x:c r="J747" s="8" t="n">
        <x:f>IF(H747="","",ROUND(H747*(1+I747),0))</x:f>
        <x:v>18708</x:v>
      </x:c>
      <x:c r="K747" s="8" t="n">
        <x:f>0</x:f>
        <x:v>0</x:v>
      </x:c>
      <x:c r="L747" s="8" t="n">
        <x:v>0</x:v>
      </x:c>
      <x:c r="M747" s="7" t="n">
        <x:f>IF('01_Ustawienia'!$B$4="ZWOLNIONY",0,'01_Ustawienia'!$B$7)</x:f>
        <x:v>0.08</x:v>
      </x:c>
      <x:c r="N747" s="8" t="n">
        <x:f>IF(J747="","",ROUND((J747+K747)*(1+M747),0))</x:f>
        <x:v>20205</x:v>
      </x:c>
      <x:c r="O747" s="8" t="n">
        <x:f>IF(J747="","",J747+K747-H747-L747)</x:f>
        <x:v>5806</x:v>
      </x:c>
      <x:c r="P747" s="7" t="n">
        <x:f>IFERROR(O747/(J747+K747),"")</x:f>
        <x:v>0.31034851400470387</x:v>
      </x:c>
      <x:c r="Q747" s="6" t="inlineStr">
        <x:is>
          <x:t xml:space="preserve">RAW_ZS - RAW_ZP</x:t>
        </x:is>
      </x:c>
      <x:c r="R747" s="6" t="inlineStr">
        <x:is>
          <x:t xml:space="preserve">POKRYCIE DACHU</x:t>
        </x:is>
      </x:c>
      <x:c r="S747" s="6" t="inlineStr">
        <x:is>
          <x:t xml:space="preserve">website+crm</x:t>
        </x:is>
      </x:c>
      <x:c r="T747" s="6" t="inlineStr">
        <x:is>
          <x:t xml:space="preserve">Dopłata do bazowego dachu poliwęglan | FIX17: Wynagr.+koszty = 0 dla dopłaty; nie jest osobnym montażem ekipy.</x:t>
        </x:is>
      </x:c>
    </x:row>
    <x:row r="748" s="655" customFormat="1" ht="30" customHeight="1">
      <x:c r="A748" s="6" t="inlineStr">
        <x:is>
          <x:t xml:space="preserve">450 x 1206 cm</x:t>
        </x:is>
      </x:c>
      <x:c r="B748" s="6" t="inlineStr">
        <x:is>
          <x:t xml:space="preserve">PDSB</x:t>
        </x:is>
      </x:c>
      <x:c r="C748" s="6" t="inlineStr">
        <x:is>
          <x:t xml:space="preserve">Dopłata dach szkło barwione/mleczne</x:t>
        </x:is>
      </x:c>
      <x:c r="D748" s="6" t="inlineStr">
        <x:is>
          <x:t xml:space="preserve">POKRYCIE DACHU SZKŁO BARWIONE</x:t>
        </x:is>
      </x:c>
      <x:c r="E748" s="8" t="n">
        <x:f>IFERROR(INDEX('02_RAW_INDEX'!$X:$X,MATCH($A748,'02_RAW_INDEX'!$A:$A,0)),"")</x:f>
        <x:v>1228</x:v>
      </x:c>
      <x:c r="F748" s="8" t="n">
        <x:f>IFERROR(INDEX('02_RAW_INDEX'!$W:$W,MATCH($A748,'02_RAW_INDEX'!$A:$A,0)),"")</x:f>
        <x:v>1510</x:v>
      </x:c>
      <x:c r="G748" s="7" t="n">
        <x:f>'01_Ustawienia'!$B$6</x:f>
        <x:v>0</x:v>
      </x:c>
      <x:c r="H748" s="8" t="n">
        <x:f>IF(E748="","",ROUND(IF('01_Ustawienia'!$B$5="BRUTTO",F748,E748)*(1-G748),0))</x:f>
        <x:v>1228</x:v>
      </x:c>
      <x:c r="I748" s="7" t="n">
        <x:f>IFERROR(IFERROR(INDEX('01_Ustawienia'!$B$15:$B$33,MATCH(B748,'01_Ustawienia'!$A$15:$A$33,0)),0.45),0.45)</x:f>
        <x:v>0.45</x:v>
      </x:c>
      <x:c r="J748" s="8" t="n">
        <x:f>IF(H748="","",ROUND(H748*(1+I748),0))</x:f>
        <x:v>1781</x:v>
      </x:c>
      <x:c r="K748" s="8" t="n">
        <x:f>0</x:f>
        <x:v>0</x:v>
      </x:c>
      <x:c r="L748" s="8" t="n">
        <x:v>0</x:v>
      </x:c>
      <x:c r="M748" s="7" t="n">
        <x:f>IF('01_Ustawienia'!$B$4="ZWOLNIONY",0,'01_Ustawienia'!$B$7)</x:f>
        <x:v>0.08</x:v>
      </x:c>
      <x:c r="N748" s="8" t="n">
        <x:f>IF(J748="","",ROUND((J748+K748)*(1+M748),0))</x:f>
        <x:v>1923</x:v>
      </x:c>
      <x:c r="O748" s="8" t="n">
        <x:f>IF(J748="","",J748+K748-H748-L748)</x:f>
        <x:v>553</x:v>
      </x:c>
      <x:c r="P748" s="7" t="n">
        <x:f>IFERROR(O748/(J748+K748),"")</x:f>
        <x:v>0.31049971925884334</x:v>
      </x:c>
      <x:c r="Q748" s="6" t="inlineStr">
        <x:is>
          <x:t xml:space="preserve">RAW_ZS D/E</x:t>
        </x:is>
      </x:c>
      <x:c r="R748" s="6" t="inlineStr">
        <x:is>
          <x:t xml:space="preserve">POKRYCIE DACHU</x:t>
        </x:is>
      </x:c>
      <x:c r="S748" s="6" t="inlineStr">
        <x:is>
          <x:t xml:space="preserve">website+crm</x:t>
        </x:is>
      </x:c>
      <x:c r="T748" s="6" t="inlineStr">
        <x:is>
          <x:t xml:space="preserve">Dodawane do PDS | FIX17: Wynagr.+koszty = 0 dla dopłaty; nie jest osobnym montażem ekipy.</x:t>
        </x:is>
      </x:c>
    </x:row>
    <x:row r="749" s="655" customFormat="1" ht="30" customHeight="1">
      <x:c r="A749" s="6" t="inlineStr">
        <x:is>
          <x:t xml:space="preserve">450 x 1206 cm</x:t>
        </x:is>
      </x:c>
      <x:c r="B749" s="6" t="inlineStr">
        <x:is>
          <x:t xml:space="preserve">PDPB</x:t>
        </x:is>
      </x:c>
      <x:c r="C749" s="6" t="inlineStr">
        <x:is>
          <x:t xml:space="preserve">Dopłata poliwęglan barwiony</x:t>
        </x:is>
      </x:c>
      <x:c r="D749" s="6" t="inlineStr">
        <x:is>
          <x:t xml:space="preserve">POKRYCIE DACHU POLIWĘGLAN BARWIONY</x:t>
        </x:is>
      </x:c>
      <x:c r="E749" s="8" t="n">
        <x:f>IFERROR(INDEX('02_RAW_INDEX'!$F:$F,MATCH($A749,'02_RAW_INDEX'!$A:$A,0)),"")</x:f>
        <x:v>935</x:v>
      </x:c>
      <x:c r="F749" s="8" t="n">
        <x:f>IFERROR(INDEX('02_RAW_INDEX'!$E:$E,MATCH($A749,'02_RAW_INDEX'!$A:$A,0)),"")</x:f>
        <x:v>1150</x:v>
      </x:c>
      <x:c r="G749" s="7" t="n">
        <x:f>'01_Ustawienia'!$B$6</x:f>
        <x:v>0</x:v>
      </x:c>
      <x:c r="H749" s="8" t="n">
        <x:f>IF(E749="","",ROUND(IF('01_Ustawienia'!$B$5="BRUTTO",F749,E749)*(1-G749),0))</x:f>
        <x:v>935</x:v>
      </x:c>
      <x:c r="I749" s="7" t="n">
        <x:f>IFERROR(IFERROR(INDEX('01_Ustawienia'!$B$15:$B$33,MATCH(B749,'01_Ustawienia'!$A$15:$A$33,0)),0.45),0.45)</x:f>
        <x:v>0.45</x:v>
      </x:c>
      <x:c r="J749" s="8" t="n">
        <x:f>IF(H749="","",ROUND(H749*(1+I749),0))</x:f>
        <x:v>1356</x:v>
      </x:c>
      <x:c r="K749" s="8" t="n">
        <x:f>0</x:f>
        <x:v>0</x:v>
      </x:c>
      <x:c r="L749" s="8" t="n">
        <x:v>0</x:v>
      </x:c>
      <x:c r="M749" s="7" t="n">
        <x:f>IF('01_Ustawienia'!$B$4="ZWOLNIONY",0,'01_Ustawienia'!$B$7)</x:f>
        <x:v>0.08</x:v>
      </x:c>
      <x:c r="N749" s="8" t="n">
        <x:f>IF(J749="","",ROUND((J749+K749)*(1+M749),0))</x:f>
        <x:v>1464</x:v>
      </x:c>
      <x:c r="O749" s="8" t="n">
        <x:f>IF(J749="","",J749+K749-H749-L749)</x:f>
        <x:v>421</x:v>
      </x:c>
      <x:c r="P749" s="7" t="n">
        <x:f>IFERROR(O749/(J749+K749),"")</x:f>
        <x:v>0.31047197640117996</x:v>
      </x:c>
      <x:c r="Q749" s="6" t="inlineStr">
        <x:is>
          <x:t xml:space="preserve">RAW_ZP D/E</x:t>
        </x:is>
      </x:c>
      <x:c r="R749" s="6" t="inlineStr">
        <x:is>
          <x:t xml:space="preserve">POKRYCIE DACHU</x:t>
        </x:is>
      </x:c>
      <x:c r="S749" s="6" t="inlineStr">
        <x:is>
          <x:t xml:space="preserve">website+crm</x:t>
        </x:is>
      </x:c>
      <x:c r="T749" s="6" t="inlineStr">
        <x:is>
          <x:t xml:space="preserve">FIX17: Wynagr.+koszty = 0 dla dopłaty; nie jest osobnym montażem ekipy.</x:t>
        </x:is>
      </x:c>
    </x:row>
    <x:row r="750" s="655" customFormat="1" ht="30" customHeight="1">
      <x:c r="A750" s="6" t="inlineStr">
        <x:is>
          <x:t xml:space="preserve">450 x 1206 cm</x:t>
        </x:is>
      </x:c>
      <x:c r="B750" s="6" t="inlineStr">
        <x:is>
          <x:t xml:space="preserve">SBB</x:t>
        </x:is>
      </x:c>
      <x:c r="C750" s="6" t="inlineStr">
        <x:is>
          <x:t xml:space="preserve">Dopłata szkło boczne przyciemniane</x:t>
        </x:is>
      </x:c>
      <x:c r="D750" s="6" t="inlineStr">
        <x:is>
          <x:t xml:space="preserve">SZKŁO BOCZNE BARWIONE</x:t>
        </x:is>
      </x:c>
      <x:c r="E750" s="8" t="n">
        <x:f>IFERROR(INDEX('02_RAW_INDEX'!$AB:$AB,MATCH($A750,'02_RAW_INDEX'!$A:$A,0)),"")</x:f>
        <x:v>2146</x:v>
      </x:c>
      <x:c r="F750" s="8" t="n">
        <x:f>IFERROR(INDEX('02_RAW_INDEX'!$AA:$AA,MATCH($A750,'02_RAW_INDEX'!$A:$A,0)),"")</x:f>
        <x:v>2640</x:v>
      </x:c>
      <x:c r="G750" s="7" t="n">
        <x:f>'01_Ustawienia'!$B$6</x:f>
        <x:v>0</x:v>
      </x:c>
      <x:c r="H750" s="8" t="n">
        <x:f>IF(E750="","",ROUND(IF('01_Ustawienia'!$B$5="BRUTTO",F750,E750)*(1-G750),0))</x:f>
        <x:v>2146</x:v>
      </x:c>
      <x:c r="I750" s="7" t="n">
        <x:f>IFERROR(IFERROR(INDEX('01_Ustawienia'!$B$15:$B$33,MATCH(B750,'01_Ustawienia'!$A$15:$A$33,0)),0.45),0.45)</x:f>
        <x:v>0.45</x:v>
      </x:c>
      <x:c r="J750" s="8" t="n">
        <x:f>IF(H750="","",ROUND(H750*(1+I750),0))</x:f>
        <x:v>3112</x:v>
      </x:c>
      <x:c r="K750" s="8" t="n">
        <x:f>0</x:f>
        <x:v>0</x:v>
      </x:c>
      <x:c r="L750" s="8" t="n">
        <x:v>0</x:v>
      </x:c>
      <x:c r="M750" s="7" t="n">
        <x:f>IF('01_Ustawienia'!$B$4="ZWOLNIONY",0,'01_Ustawienia'!$B$7)</x:f>
        <x:v>0.08</x:v>
      </x:c>
      <x:c r="N750" s="8" t="n">
        <x:f>IF(J750="","",ROUND((J750+K750)*(1+M750),0))</x:f>
        <x:v>3361</x:v>
      </x:c>
      <x:c r="O750" s="8" t="n">
        <x:f>IF(J750="","",J750+K750-H750-L750)</x:f>
        <x:v>966</x:v>
      </x:c>
      <x:c r="P750" s="7" t="n">
        <x:f>IFERROR(O750/(J750+K750),"")</x:f>
        <x:v>0.31041131105398456</x:v>
      </x:c>
      <x:c r="Q750" s="6" t="inlineStr">
        <x:is>
          <x:t xml:space="preserve">RAW_OP H/I</x:t>
        </x:is>
      </x:c>
      <x:c r="R750" s="6" t="inlineStr">
        <x:is>
          <x:t xml:space="preserve">SZYBY BOCZNE</x:t>
        </x:is>
      </x:c>
      <x:c r="S750" s="6" t="inlineStr">
        <x:is>
          <x:t xml:space="preserve">website+crm</x:t>
        </x:is>
      </x:c>
      <x:c r="T750" s="6" t="inlineStr">
        <x:is>
          <x:t xml:space="preserve">Dodawane do ścian przezroczystych | FIX17: Wynagr.+koszty = 0 dla dopłaty; nie jest osobnym montażem ekipy.</x:t>
        </x:is>
      </x:c>
    </x:row>
    <x:row r="751">
      <x:c r="A751" s="6" t="inlineStr">
        <x:is>
          <x:t xml:space="preserve">450 x 1206 cm</x:t>
        </x:is>
      </x:c>
      <x:c r="B751" s="6" t="inlineStr">
        <x:is>
          <x:t xml:space="preserve">RB</x:t>
        </x:is>
      </x:c>
      <x:c r="C751" s="6" t="inlineStr">
        <x:is>
          <x:t xml:space="preserve">Roleta boczna ZIP</x:t>
        </x:is>
      </x:c>
      <x:c r="D751" s="6" t="inlineStr">
        <x:is>
          <x:t xml:space="preserve">ROLETA BOCZNA</x:t>
        </x:is>
      </x:c>
      <x:c r="E751" s="8" t="n">
        <x:f>IFERROR(INDEX('02_RAW_INDEX'!$J:$J,MATCH($A751,'02_RAW_INDEX'!$A:$A,0)),"")</x:f>
        <x:v>2569</x:v>
      </x:c>
      <x:c r="F751" s="8" t="n">
        <x:f>IFERROR(INDEX('02_RAW_INDEX'!$I:$I,MATCH($A751,'02_RAW_INDEX'!$A:$A,0)),"")</x:f>
        <x:v>3160</x:v>
      </x:c>
      <x:c r="G751" s="7" t="n">
        <x:f>'01_Ustawienia'!$B$6</x:f>
        <x:v>0</x:v>
      </x:c>
      <x:c r="H751" s="8" t="n">
        <x:f>IF(E751="","",ROUND(IF('01_Ustawienia'!$B$5="BRUTTO",F751,E751)*(1-G751),0))</x:f>
        <x:v>2569</x:v>
      </x:c>
      <x:c r="I751" s="7" t="n">
        <x:f>IFERROR(IFERROR(INDEX('01_Ustawienia'!$B$15:$B$33,MATCH(B751,'01_Ustawienia'!$A$15:$A$33,0)),0.45),0.45)</x:f>
        <x:v>0.45</x:v>
      </x:c>
      <x:c r="J751" s="8" t="n">
        <x:f>IF(H751="","",ROUND(H751*(1+I751),0))</x:f>
        <x:v>3725</x:v>
      </x:c>
      <x:c r="K751" s="8" t="n">
        <x:f>0</x:f>
        <x:v>0</x:v>
      </x:c>
      <x:c r="L751" s="8" t="n">
        <x:f>IFERROR(IFERROR(INDEX(EG_Cennik_uslug!$AC:$AC,MATCH($A751,EG_Cennik_uslug!$A:$A,0)),0),0)</x:f>
        <x:v>150</x:v>
      </x:c>
      <x:c r="M751" s="7" t="n">
        <x:f>IF('01_Ustawienia'!$B$4="ZWOLNIONY",0,'01_Ustawienia'!$B$7)</x:f>
        <x:v>0.08</x:v>
      </x:c>
      <x:c r="N751" s="8" t="n">
        <x:f>IF(J751="","",ROUND((J751+K751)*(1+M751),0))</x:f>
        <x:v>4023</x:v>
      </x:c>
      <x:c r="O751" s="8" t="n">
        <x:f>IF(J751="","",J751+K751-H751-L751)</x:f>
        <x:v>1006</x:v>
      </x:c>
      <x:c r="P751" s="7" t="n">
        <x:f>IFERROR(O751/(J751+K751),"")</x:f>
        <x:v>0.2700671140939597</x:v>
      </x:c>
      <x:c r="Q751" s="6" t="inlineStr">
        <x:is>
          <x:t xml:space="preserve">RAW_ZP J/K</x:t>
        </x:is>
      </x:c>
      <x:c r="R751" s="6" t="inlineStr">
        <x:is>
          <x:t xml:space="preserve">ROLETY BOCZNE</x:t>
        </x:is>
      </x:c>
      <x:c r="S751" s="6" t="inlineStr">
        <x:is>
          <x:t xml:space="preserve">website+crm</x:t>
        </x:is>
      </x:c>
      <x:c r="T751" s="6" t="inlineStr">
        <x:is>
          <x:t xml:space="preserve">Używana dla lewej i prawej</x:t>
        </x:is>
      </x:c>
    </x:row>
    <x:row r="752">
      <x:c r="A752" s="6" t="inlineStr">
        <x:is>
          <x:t xml:space="preserve">450 x 1206 cm</x:t>
        </x:is>
      </x:c>
      <x:c r="B752" s="6" t="inlineStr">
        <x:is>
          <x:t xml:space="preserve">RP</x:t>
        </x:is>
      </x:c>
      <x:c r="C752" s="6" t="inlineStr">
        <x:is>
          <x:t xml:space="preserve">Roleta przednia ZIP</x:t>
        </x:is>
      </x:c>
      <x:c r="D752" s="6" t="inlineStr">
        <x:is>
          <x:t xml:space="preserve">ROLETA PRZÓD</x:t>
        </x:is>
      </x:c>
      <x:c r="E752" s="8" t="n">
        <x:f>IFERROR(INDEX('02_RAW_INDEX'!$L:$L,MATCH($A752,'02_RAW_INDEX'!$A:$A,0)),"")</x:f>
        <x:v>6439</x:v>
      </x:c>
      <x:c r="F752" s="8" t="n">
        <x:f>IFERROR(INDEX('02_RAW_INDEX'!$K:$K,MATCH($A752,'02_RAW_INDEX'!$A:$A,0)),"")</x:f>
        <x:v>7920</x:v>
      </x:c>
      <x:c r="G752" s="7" t="n">
        <x:f>'01_Ustawienia'!$B$6</x:f>
        <x:v>0</x:v>
      </x:c>
      <x:c r="H752" s="8" t="n">
        <x:f>IF(E752="","",ROUND(IF('01_Ustawienia'!$B$5="BRUTTO",F752,E752)*(1-G752),0))</x:f>
        <x:v>6439</x:v>
      </x:c>
      <x:c r="I752" s="7" t="n">
        <x:f>IFERROR(IFERROR(INDEX('01_Ustawienia'!$B$15:$B$33,MATCH(B752,'01_Ustawienia'!$A$15:$A$33,0)),0.45),0.45)</x:f>
        <x:v>0.45</x:v>
      </x:c>
      <x:c r="J752" s="8" t="n">
        <x:f>IF(H752="","",ROUND(H752*(1+I752),0))</x:f>
        <x:v>9337</x:v>
      </x:c>
      <x:c r="K752" s="8" t="n">
        <x:f>0</x:f>
        <x:v>0</x:v>
      </x:c>
      <x:c r="L752" s="8" t="n">
        <x:f>IFERROR(IFERROR(INDEX(EG_Cennik_uslug!$AJ:$AJ,MATCH($A752,EG_Cennik_uslug!$A:$A,0)),0),0)</x:f>
        <x:v>450</x:v>
      </x:c>
      <x:c r="M752" s="7" t="n">
        <x:f>IF('01_Ustawienia'!$B$4="ZWOLNIONY",0,'01_Ustawienia'!$B$7)</x:f>
        <x:v>0.08</x:v>
      </x:c>
      <x:c r="N752" s="8" t="n">
        <x:f>IF(J752="","",ROUND((J752+K752)*(1+M752),0))</x:f>
        <x:v>10084</x:v>
      </x:c>
      <x:c r="O752" s="8" t="n">
        <x:f>IF(J752="","",J752+K752-H752-L752)</x:f>
        <x:v>2448</x:v>
      </x:c>
      <x:c r="P752" s="7" t="n">
        <x:f>IFERROR(O752/(J752+K752),"")</x:f>
        <x:v>0.2621827139338117</x:v>
      </x:c>
      <x:c r="Q752" s="6" t="inlineStr">
        <x:is>
          <x:t xml:space="preserve">RAW_ZP N/O</x:t>
        </x:is>
      </x:c>
      <x:c r="R752" s="6" t="inlineStr">
        <x:is>
          <x:t xml:space="preserve">ROLETY BOCZNE</x:t>
        </x:is>
      </x:c>
      <x:c r="S752" s="6" t="inlineStr">
        <x:is>
          <x:t xml:space="preserve">website+crm</x:t>
        </x:is>
      </x:c>
      <x:c r="T752" s="6" t="n"/>
    </x:row>
    <x:row r="753">
      <x:c r="A753" s="6" t="inlineStr">
        <x:is>
          <x:t xml:space="preserve">450 x 1206 cm</x:t>
        </x:is>
      </x:c>
      <x:c r="B753" s="6" t="inlineStr">
        <x:is>
          <x:t xml:space="preserve">M</x:t>
        </x:is>
      </x:c>
      <x:c r="C753" s="6" t="inlineStr">
        <x:is>
          <x:t xml:space="preserve">Markiza dachowa</x:t>
        </x:is>
      </x:c>
      <x:c r="D753" s="6" t="inlineStr">
        <x:is>
          <x:t xml:space="preserve">MARKIZA</x:t>
        </x:is>
      </x:c>
      <x:c r="E753" s="8" t="n">
        <x:f>IFERROR(INDEX('02_RAW_INDEX'!$H:$H,MATCH($A753,'02_RAW_INDEX'!$A:$A,0)),"")</x:f>
        <x:v>11390</x:v>
      </x:c>
      <x:c r="F753" s="8" t="n">
        <x:f>IFERROR(INDEX('02_RAW_INDEX'!$G:$G,MATCH($A753,'02_RAW_INDEX'!$A:$A,0)),"")</x:f>
        <x:v>14010</x:v>
      </x:c>
      <x:c r="G753" s="7" t="n">
        <x:f>'01_Ustawienia'!$B$6</x:f>
        <x:v>0</x:v>
      </x:c>
      <x:c r="H753" s="8" t="n">
        <x:f>IF(E753="","",ROUND(IF('01_Ustawienia'!$B$5="BRUTTO",F753,E753)*(1-G753),0))</x:f>
        <x:v>11390</x:v>
      </x:c>
      <x:c r="I753" s="7" t="n">
        <x:f>IFERROR(IFERROR(INDEX('01_Ustawienia'!$B$15:$B$33,MATCH(B753,'01_Ustawienia'!$A$15:$A$33,0)),0.45),0.45)</x:f>
        <x:v>0.45</x:v>
      </x:c>
      <x:c r="J753" s="8" t="n">
        <x:f>IF(H753="","",ROUND(H753*(1+I753),0))</x:f>
        <x:v>16516</x:v>
      </x:c>
      <x:c r="K753" s="8" t="n">
        <x:f>0</x:f>
        <x:v>0</x:v>
      </x:c>
      <x:c r="L753" s="8" t="n">
        <x:f>IFERROR(IFERROR(INDEX(EG_Cennik_uslug!$AQ:$AQ,MATCH($A753,EG_Cennik_uslug!$A:$A,0)),0),0)</x:f>
        <x:v>700</x:v>
      </x:c>
      <x:c r="M753" s="7" t="n">
        <x:f>IF('01_Ustawienia'!$B$4="ZWOLNIONY",0,'01_Ustawienia'!$B$7)</x:f>
        <x:v>0.08</x:v>
      </x:c>
      <x:c r="N753" s="8" t="n">
        <x:f>IF(J753="","",ROUND((J753+K753)*(1+M753),0))</x:f>
        <x:v>17837</x:v>
      </x:c>
      <x:c r="O753" s="8" t="n">
        <x:f>IF(J753="","",J753+K753-H753-L753)</x:f>
        <x:v>4426</x:v>
      </x:c>
      <x:c r="P753" s="7" t="n">
        <x:f>IFERROR(O753/(J753+K753),"")</x:f>
        <x:v>0.26798256236376844</x:v>
      </x:c>
      <x:c r="Q753" s="6" t="inlineStr">
        <x:is>
          <x:t xml:space="preserve">RAW_ZP H/I</x:t>
        </x:is>
      </x:c>
      <x:c r="R753" s="6" t="inlineStr">
        <x:is>
          <x:t xml:space="preserve">MARKIZA</x:t>
        </x:is>
      </x:c>
      <x:c r="S753" s="6" t="inlineStr">
        <x:is>
          <x:t xml:space="preserve">website+crm</x:t>
        </x:is>
      </x:c>
      <x:c r="T753" s="6" t="n"/>
    </x:row>
    <x:row r="754">
      <x:c r="A754" s="6" t="inlineStr">
        <x:is>
          <x:t xml:space="preserve">450 x 1206 cm</x:t>
        </x:is>
      </x:c>
      <x:c r="B754" s="6" t="inlineStr">
        <x:is>
          <x:t xml:space="preserve">PDWP</x:t>
        </x:is>
      </x:c>
      <x:c r="C754" s="6" t="inlineStr">
        <x:is>
          <x:t xml:space="preserve">Fundament/profile</x:t>
        </x:is>
      </x:c>
      <x:c r="D754" s="6" t="inlineStr">
        <x:is>
          <x:t xml:space="preserve">FUNDAMENT / PROFILE</x:t>
        </x:is>
      </x:c>
      <x:c r="E754" s="8" t="n">
        <x:f>IFERROR(INDEX('02_RAW_INDEX'!$AH:$AH,MATCH($A754,'02_RAW_INDEX'!$A:$A,0)),"")</x:f>
        <x:v>2000</x:v>
      </x:c>
      <x:c r="F754" s="8" t="n">
        <x:f>IFERROR(INDEX('02_RAW_INDEX'!$AG:$AG,MATCH($A754,'02_RAW_INDEX'!$A:$A,0)),"")</x:f>
        <x:v>2460</x:v>
      </x:c>
      <x:c r="G754" s="7" t="n">
        <x:f>'01_Ustawienia'!$B$6</x:f>
        <x:v>0</x:v>
      </x:c>
      <x:c r="H754" s="8" t="n">
        <x:f>IF(E754="","",ROUND(IF('01_Ustawienia'!$B$5="BRUTTO",F754,E754)*(1-G754),0))</x:f>
        <x:v>2000</x:v>
      </x:c>
      <x:c r="I754" s="7" t="n">
        <x:f>IFERROR(IFERROR(INDEX('01_Ustawienia'!$B$15:$B$33,MATCH(B754,'01_Ustawienia'!$A$15:$A$33,0)),0.45),0.45)</x:f>
        <x:v>1.2</x:v>
      </x:c>
      <x:c r="J754" s="8" t="n">
        <x:f>IF(H754="","",ROUND(H754*(1+I754),0))</x:f>
        <x:v>4400</x:v>
      </x:c>
      <x:c r="K754" s="8" t="n">
        <x:f>0</x:f>
        <x:v>0</x:v>
      </x:c>
      <x:c r="L754" s="8" t="n">
        <x:f>IFERROR(IFERROR(INDEX(EG_Cennik_uslug!$BT:$BT,MATCH($A754,EG_Cennik_uslug!$A:$A,0)),0),0)</x:f>
        <x:v>740</x:v>
      </x:c>
      <x:c r="M754" s="7" t="n">
        <x:f>IF('01_Ustawienia'!$B$4="ZWOLNIONY",0,'01_Ustawienia'!$B$7)</x:f>
        <x:v>0.08</x:v>
      </x:c>
      <x:c r="N754" s="8" t="n">
        <x:f>IF(J754="","",ROUND((J754+K754)*(1+M754),0))</x:f>
        <x:v>4752</x:v>
      </x:c>
      <x:c r="O754" s="8" t="n">
        <x:f>IF(J754="","",J754+K754-H754-L754)</x:f>
        <x:v>1660</x:v>
      </x:c>
      <x:c r="P754" s="7" t="n">
        <x:f>IFERROR(O754/(J754+K754),"")</x:f>
        <x:v>0.37727272727272726</x:v>
      </x:c>
      <x:c r="Q754" s="6" t="inlineStr">
        <x:is>
          <x:t xml:space="preserve">RAW_OP AB/AC</x:t>
        </x:is>
      </x:c>
      <x:c r="R754" s="6" t="inlineStr">
        <x:is>
          <x:t xml:space="preserve">FUNDAMENT (PROFILE)</x:t>
        </x:is>
      </x:c>
      <x:c r="S754" s="6" t="inlineStr">
        <x:is>
          <x:t xml:space="preserve">website+crm</x:t>
        </x:is>
      </x:c>
      <x:c r="T754" s="6" t="n"/>
    </x:row>
    <x:row r="755" s="655" customFormat="1" ht="30" customHeight="1">
      <x:c r="A755" s="6" t="inlineStr">
        <x:is>
          <x:t xml:space="preserve">450 x 1206 cm</x:t>
        </x:is>
      </x:c>
      <x:c r="B755" s="6" t="inlineStr">
        <x:is>
          <x:t xml:space="preserve">ZAB</x:t>
        </x:is>
      </x:c>
      <x:c r="C755" s="6" t="inlineStr">
        <x:is>
          <x:t xml:space="preserve">Zabieraki do ścian przesuwnych</x:t>
        </x:is>
      </x:c>
      <x:c r="D755" s="6" t="inlineStr">
        <x:is>
          <x:t xml:space="preserve">DODATKI</x:t>
        </x:is>
      </x:c>
      <x:c r="E755" s="8" t="n">
        <x:f>IFERROR(INDEX('02_RAW_INDEX'!$AJ:$AJ,MATCH($A755,'02_RAW_INDEX'!$A:$A,0)),"")</x:f>
        <x:v>553</x:v>
      </x:c>
      <x:c r="F755" s="8" t="n">
        <x:f>IFERROR(INDEX('02_RAW_INDEX'!$AI:$AI,MATCH($A755,'02_RAW_INDEX'!$A:$A,0)),"")</x:f>
        <x:v>680</x:v>
      </x:c>
      <x:c r="G755" s="7" t="n">
        <x:f>'01_Ustawienia'!$B$6</x:f>
        <x:v>0</x:v>
      </x:c>
      <x:c r="H755" s="8" t="n">
        <x:f>IF(E755="","",ROUND(IF('01_Ustawienia'!$B$5="BRUTTO",F755,E755)*(1-G755),0))</x:f>
        <x:v>553</x:v>
      </x:c>
      <x:c r="I755" s="7" t="n">
        <x:f>IFERROR(IFERROR(INDEX('01_Ustawienia'!$B$15:$B$33,MATCH(B755,'01_Ustawienia'!$A$15:$A$33,0)),0.45),0.45)</x:f>
        <x:v>0.45</x:v>
      </x:c>
      <x:c r="J755" s="8" t="n">
        <x:f>IF(H755="","",ROUND(H755*(1+I755),0))</x:f>
        <x:v>802</x:v>
      </x:c>
      <x:c r="K755" s="8" t="n">
        <x:f>0</x:f>
        <x:v>0</x:v>
      </x:c>
      <x:c r="L755" s="8" t="n">
        <x:f>0</x:f>
        <x:v>0</x:v>
      </x:c>
      <x:c r="M755" s="7" t="n">
        <x:f>IF('01_Ustawienia'!$B$4="ZWOLNIONY",0,'01_Ustawienia'!$B$7)</x:f>
        <x:v>0.08</x:v>
      </x:c>
      <x:c r="N755" s="8" t="n">
        <x:f>IF(J755="","",ROUND((J755+K755)*(1+M755),0))</x:f>
        <x:v>866</x:v>
      </x:c>
      <x:c r="O755" s="8" t="n">
        <x:f>IF(J755="","",J755+K755-H755-L755)</x:f>
        <x:v>249</x:v>
      </x:c>
      <x:c r="P755" s="7" t="n">
        <x:f>IFERROR(O755/(J755+K755),"")</x:f>
        <x:v>0.3104738154613466</x:v>
      </x:c>
      <x:c r="Q755" s="6" t="inlineStr">
        <x:is>
          <x:t xml:space="preserve">RAW_OP AD/AE</x:t>
        </x:is>
      </x:c>
      <x:c r="R755" s="6" t="inlineStr">
        <x:is>
          <x:t xml:space="preserve">DODATKI</x:t>
        </x:is>
      </x:c>
      <x:c r="S755" s="6" t="inlineStr">
        <x:is>
          <x:t xml:space="preserve">crm_only</x:t>
        </x:is>
      </x:c>
      <x:c r="T755" s="6" t="n"/>
    </x:row>
    <x:row r="756">
      <x:c r="A756" s="6" t="inlineStr">
        <x:is>
          <x:t xml:space="preserve">450 x 1206 cm</x:t>
        </x:is>
      </x:c>
      <x:c r="B756" s="6" t="inlineStr">
        <x:is>
          <x:t xml:space="preserve">S</x:t>
        </x:is>
      </x:c>
      <x:c r="C756" s="6" t="inlineStr">
        <x:is>
          <x:t xml:space="preserve">Szczotki przeciwkurzowe</x:t>
        </x:is>
      </x:c>
      <x:c r="D756" s="6" t="inlineStr">
        <x:is>
          <x:t xml:space="preserve">SZCZOTKI</x:t>
        </x:is>
      </x:c>
      <x:c r="E756" s="8" t="n">
        <x:f>IFERROR(INDEX('02_RAW_INDEX'!$AD:$AD,MATCH($A756,'02_RAW_INDEX'!$A:$A,0)),"")</x:f>
        <x:v>683</x:v>
      </x:c>
      <x:c r="F756" s="8" t="n">
        <x:f>IFERROR(INDEX('02_RAW_INDEX'!$AC:$AC,MATCH($A756,'02_RAW_INDEX'!$A:$A,0)),"")</x:f>
        <x:v>840</x:v>
      </x:c>
      <x:c r="G756" s="7" t="n">
        <x:f>'01_Ustawienia'!$B$6</x:f>
        <x:v>0</x:v>
      </x:c>
      <x:c r="H756" s="8" t="n">
        <x:f>IF(E756="","",ROUND(IF('01_Ustawienia'!$B$5="BRUTTO",F756,E756)*(1-G756),0))</x:f>
        <x:v>683</x:v>
      </x:c>
      <x:c r="I756" s="7" t="n">
        <x:f>IFERROR(IFERROR(INDEX('01_Ustawienia'!$B$15:$B$33,MATCH(B756,'01_Ustawienia'!$A$15:$A$33,0)),0.45),0.45)</x:f>
        <x:v>0.45</x:v>
      </x:c>
      <x:c r="J756" s="8" t="n">
        <x:f>IF(H756="","",ROUND(H756*(1+I756),0))</x:f>
        <x:v>990</x:v>
      </x:c>
      <x:c r="K756" s="8" t="n">
        <x:f>0</x:f>
        <x:v>0</x:v>
      </x:c>
      <x:c r="L756" s="8" t="n">
        <x:f>IFERROR(IFERROR(INDEX(EG_Cennik_uslug!$CA:$CA,MATCH($A756,EG_Cennik_uslug!$A:$A,0)),0),0)</x:f>
        <x:v>0</x:v>
      </x:c>
      <x:c r="M756" s="7" t="n">
        <x:f>IF('01_Ustawienia'!$B$4="ZWOLNIONY",0,'01_Ustawienia'!$B$7)</x:f>
        <x:v>0.08</x:v>
      </x:c>
      <x:c r="N756" s="8" t="n">
        <x:f>IF(J756="","",ROUND((J756+K756)*(1+M756),0))</x:f>
        <x:v>1069</x:v>
      </x:c>
      <x:c r="O756" s="8" t="n">
        <x:f>IF(J756="","",J756+K756-H756-L756)</x:f>
        <x:v>307</x:v>
      </x:c>
      <x:c r="P756" s="7" t="n">
        <x:f>IFERROR(O756/(J756+K756),"")</x:f>
        <x:v>0.3101010101010101</x:v>
      </x:c>
      <x:c r="Q756" s="6" t="inlineStr">
        <x:is>
          <x:t xml:space="preserve">RAW_OP L/M</x:t>
        </x:is>
      </x:c>
      <x:c r="R756" s="6" t="inlineStr">
        <x:is>
          <x:t xml:space="preserve">DODATKI</x:t>
        </x:is>
      </x:c>
      <x:c r="S756" s="6" t="inlineStr">
        <x:is>
          <x:t xml:space="preserve">website+crm</x:t>
        </x:is>
      </x:c>
      <x:c r="T756" s="6" t="n"/>
    </x:row>
    <x:row r="757">
      <x:c r="A757" s="6" t="inlineStr">
        <x:is>
          <x:t xml:space="preserve">450 x 1206 cm</x:t>
        </x:is>
      </x:c>
      <x:c r="B757" s="6" t="inlineStr">
        <x:is>
          <x:t xml:space="preserve">U</x:t>
        </x:is>
      </x:c>
      <x:c r="C757" s="6" t="inlineStr">
        <x:is>
          <x:t xml:space="preserve">Uchwyty na szkło ścienne</x:t>
        </x:is>
      </x:c>
      <x:c r="D757" s="6" t="inlineStr">
        <x:is>
          <x:t xml:space="preserve">UCHWYTY</x:t>
        </x:is>
      </x:c>
      <x:c r="E757" s="8" t="n">
        <x:f>IFERROR(INDEX('02_RAW_INDEX'!$AF:$AF,MATCH($A757,'02_RAW_INDEX'!$A:$A,0)),"")</x:f>
        <x:v>618</x:v>
      </x:c>
      <x:c r="F757" s="8" t="n">
        <x:f>IFERROR(INDEX('02_RAW_INDEX'!$AE:$AE,MATCH($A757,'02_RAW_INDEX'!$A:$A,0)),"")</x:f>
        <x:v>760</x:v>
      </x:c>
      <x:c r="G757" s="7" t="n">
        <x:f>'01_Ustawienia'!$B$6</x:f>
        <x:v>0</x:v>
      </x:c>
      <x:c r="H757" s="8" t="n">
        <x:f>IF(E757="","",ROUND(IF('01_Ustawienia'!$B$5="BRUTTO",F757,E757)*(1-G757),0))</x:f>
        <x:v>618</x:v>
      </x:c>
      <x:c r="I757" s="7" t="n">
        <x:f>IFERROR(IFERROR(INDEX('01_Ustawienia'!$B$15:$B$33,MATCH(B757,'01_Ustawienia'!$A$15:$A$33,0)),0.45),0.45)</x:f>
        <x:v>0.45</x:v>
      </x:c>
      <x:c r="J757" s="8" t="n">
        <x:f>IF(H757="","",ROUND(H757*(1+I757),0))</x:f>
        <x:v>896</x:v>
      </x:c>
      <x:c r="K757" s="8" t="n">
        <x:f>0</x:f>
        <x:v>0</x:v>
      </x:c>
      <x:c r="L757" s="8" t="n">
        <x:f>IFERROR(IFERROR(INDEX(EG_Cennik_uslug!$CH:$CH,MATCH($A757,EG_Cennik_uslug!$A:$A,0)),0),0)</x:f>
        <x:v>0</x:v>
      </x:c>
      <x:c r="M757" s="7" t="n">
        <x:f>IF('01_Ustawienia'!$B$4="ZWOLNIONY",0,'01_Ustawienia'!$B$7)</x:f>
        <x:v>0.08</x:v>
      </x:c>
      <x:c r="N757" s="8" t="n">
        <x:f>IF(J757="","",ROUND((J757+K757)*(1+M757),0))</x:f>
        <x:v>968</x:v>
      </x:c>
      <x:c r="O757" s="8" t="n">
        <x:f>IF(J757="","",J757+K757-H757-L757)</x:f>
        <x:v>278</x:v>
      </x:c>
      <x:c r="P757" s="7" t="n">
        <x:f>IFERROR(O757/(J757+K757),"")</x:f>
        <x:v>0.31026785714285715</x:v>
      </x:c>
      <x:c r="Q757" s="6" t="inlineStr">
        <x:is>
          <x:t xml:space="preserve">RAW_OP N/O</x:t>
        </x:is>
      </x:c>
      <x:c r="R757" s="6" t="inlineStr">
        <x:is>
          <x:t xml:space="preserve">DODATKI</x:t>
        </x:is>
      </x:c>
      <x:c r="S757" s="6" t="inlineStr">
        <x:is>
          <x:t xml:space="preserve">website+crm</x:t>
        </x:is>
      </x:c>
      <x:c r="T757" s="6" t="n"/>
    </x:row>
    <x:row r="758">
      <x:c r="A758" s="6" t="inlineStr">
        <x:is>
          <x:t xml:space="preserve">450 x 1206 cm</x:t>
        </x:is>
      </x:c>
      <x:c r="B758" s="6" t="inlineStr">
        <x:is>
          <x:t xml:space="preserve">LED2</x:t>
        </x:is>
      </x:c>
      <x:c r="C758" s="6" t="inlineStr">
        <x:is>
          <x:t xml:space="preserve">Oświetlenie LED 2 punkty</x:t>
        </x:is>
      </x:c>
      <x:c r="D758" s="6" t="inlineStr">
        <x:is>
          <x:t xml:space="preserve">LED 2 PKT</x:t>
        </x:is>
      </x:c>
      <x:c r="E758" s="8" t="n">
        <x:f>IFERROR(INDEX('02_RAW_INDEX'!$N:$N,MATCH($A758,'02_RAW_INDEX'!$A:$A,0)),"")</x:f>
        <x:v>1228</x:v>
      </x:c>
      <x:c r="F758" s="8" t="n">
        <x:f>IFERROR(INDEX('02_RAW_INDEX'!$M:$M,MATCH($A758,'02_RAW_INDEX'!$A:$A,0)),"")</x:f>
        <x:v>1510</x:v>
      </x:c>
      <x:c r="G758" s="7" t="n">
        <x:f>'01_Ustawienia'!$B$6</x:f>
        <x:v>0</x:v>
      </x:c>
      <x:c r="H758" s="8" t="n">
        <x:f>IF(E758="","",ROUND(IF('01_Ustawienia'!$B$5="BRUTTO",F758,E758)*(1-G758),0))</x:f>
        <x:v>1228</x:v>
      </x:c>
      <x:c r="I758" s="7" t="n">
        <x:f>IFERROR(IFERROR(INDEX('01_Ustawienia'!$B$15:$B$33,MATCH(B758,'01_Ustawienia'!$A$15:$A$33,0)),0.45),0.45)</x:f>
        <x:v>0.45</x:v>
      </x:c>
      <x:c r="J758" s="8" t="n">
        <x:f>IF(H758="","",ROUND(H758*(1+I758),0))</x:f>
        <x:v>1781</x:v>
      </x:c>
      <x:c r="K758" s="8" t="n">
        <x:f>0</x:f>
        <x:v>0</x:v>
      </x:c>
      <x:c r="L758" s="8" t="n">
        <x:f>IFERROR(IFERROR(INDEX(EG_Cennik_uslug!$CO:$CO,MATCH($A758,EG_Cennik_uslug!$A:$A,0)),0),0)</x:f>
        <x:v>0</x:v>
      </x:c>
      <x:c r="M758" s="7" t="n">
        <x:f>IF('01_Ustawienia'!$B$4="ZWOLNIONY",0,'01_Ustawienia'!$B$7)</x:f>
        <x:v>0.08</x:v>
      </x:c>
      <x:c r="N758" s="8" t="n">
        <x:f>IF(J758="","",ROUND((J758+K758)*(1+M758),0))</x:f>
        <x:v>1923</x:v>
      </x:c>
      <x:c r="O758" s="8" t="n">
        <x:f>IF(J758="","",J758+K758-H758-L758)</x:f>
        <x:v>553</x:v>
      </x:c>
      <x:c r="P758" s="7" t="n">
        <x:f>IFERROR(O758/(J758+K758),"")</x:f>
        <x:v>0.31049971925884334</x:v>
      </x:c>
      <x:c r="Q758" s="6" t="inlineStr">
        <x:is>
          <x:t xml:space="preserve">RAW_ZP P/Q</x:t>
        </x:is>
      </x:c>
      <x:c r="R758" s="6" t="inlineStr">
        <x:is>
          <x:t xml:space="preserve">OŚWIETLENIE</x:t>
        </x:is>
      </x:c>
      <x:c r="S758" s="6" t="inlineStr">
        <x:is>
          <x:t xml:space="preserve">website+crm</x:t>
        </x:is>
      </x:c>
      <x:c r="T758" s="6" t="n"/>
    </x:row>
    <x:row r="759">
      <x:c r="A759" s="6" t="inlineStr">
        <x:is>
          <x:t xml:space="preserve">450 x 1206 cm</x:t>
        </x:is>
      </x:c>
      <x:c r="B759" s="6" t="inlineStr">
        <x:is>
          <x:t xml:space="preserve">LED3</x:t>
        </x:is>
      </x:c>
      <x:c r="C759" s="6" t="inlineStr">
        <x:is>
          <x:t xml:space="preserve">Oświetlenie LED 3 punkty</x:t>
        </x:is>
      </x:c>
      <x:c r="D759" s="6" t="inlineStr">
        <x:is>
          <x:t xml:space="preserve">LED 3 PKT</x:t>
        </x:is>
      </x:c>
      <x:c r="E759" s="8" t="n">
        <x:f>IFERROR(INDEX('02_RAW_INDEX'!$P:$P,MATCH($A759,'02_RAW_INDEX'!$A:$A,0)),"")</x:f>
        <x:v>1545</x:v>
      </x:c>
      <x:c r="F759" s="8" t="n">
        <x:f>IFERROR(INDEX('02_RAW_INDEX'!$O:$O,MATCH($A759,'02_RAW_INDEX'!$A:$A,0)),"")</x:f>
        <x:v>1900</x:v>
      </x:c>
      <x:c r="G759" s="7" t="n">
        <x:f>'01_Ustawienia'!$B$6</x:f>
        <x:v>0</x:v>
      </x:c>
      <x:c r="H759" s="8" t="n">
        <x:f>IF(E759="","",ROUND(IF('01_Ustawienia'!$B$5="BRUTTO",F759,E759)*(1-G759),0))</x:f>
        <x:v>1545</x:v>
      </x:c>
      <x:c r="I759" s="7" t="n">
        <x:f>IFERROR(IFERROR(INDEX('01_Ustawienia'!$B$15:$B$33,MATCH(B759,'01_Ustawienia'!$A$15:$A$33,0)),0.45),0.45)</x:f>
        <x:v>0.45</x:v>
      </x:c>
      <x:c r="J759" s="8" t="n">
        <x:f>IF(H759="","",ROUND(H759*(1+I759),0))</x:f>
        <x:v>2240</x:v>
      </x:c>
      <x:c r="K759" s="8" t="n">
        <x:f>0</x:f>
        <x:v>0</x:v>
      </x:c>
      <x:c r="L759" s="8" t="n">
        <x:f>IFERROR(IFERROR(INDEX(EG_Cennik_uslug!$CV:$CV,MATCH($A759,EG_Cennik_uslug!$A:$A,0)),0),0)</x:f>
        <x:v>0</x:v>
      </x:c>
      <x:c r="M759" s="7" t="n">
        <x:f>IF('01_Ustawienia'!$B$4="ZWOLNIONY",0,'01_Ustawienia'!$B$7)</x:f>
        <x:v>0.08</x:v>
      </x:c>
      <x:c r="N759" s="8" t="n">
        <x:f>IF(J759="","",ROUND((J759+K759)*(1+M759),0))</x:f>
        <x:v>2419</x:v>
      </x:c>
      <x:c r="O759" s="8" t="n">
        <x:f>IF(J759="","",J759+K759-H759-L759)</x:f>
        <x:v>695</x:v>
      </x:c>
      <x:c r="P759" s="7" t="n">
        <x:f>IFERROR(O759/(J759+K759),"")</x:f>
        <x:v>0.31026785714285715</x:v>
      </x:c>
      <x:c r="Q759" s="6" t="inlineStr">
        <x:is>
          <x:t xml:space="preserve">RAW_ZP R/S</x:t>
        </x:is>
      </x:c>
      <x:c r="R759" s="6" t="inlineStr">
        <x:is>
          <x:t xml:space="preserve">OŚWIETLENIE</x:t>
        </x:is>
      </x:c>
      <x:c r="S759" s="6" t="inlineStr">
        <x:is>
          <x:t xml:space="preserve">website+crm</x:t>
        </x:is>
      </x:c>
      <x:c r="T759" s="6" t="inlineStr">
        <x:is>
          <x:t xml:space="preserve">Nazwa do potwierdzenia</x:t>
        </x:is>
      </x:c>
    </x:row>
    <x:row r="760">
      <x:c r="A760" s="6" t="inlineStr">
        <x:is>
          <x:t xml:space="preserve">450 x 1206 cm</x:t>
        </x:is>
      </x:c>
      <x:c r="B760" s="6" t="inlineStr">
        <x:is>
          <x:t xml:space="preserve">LEDCCT</x:t>
        </x:is>
      </x:c>
      <x:c r="C760" s="6" t="inlineStr">
        <x:is>
          <x:t xml:space="preserve">Oświetlenie LED CCT</x:t>
        </x:is>
      </x:c>
      <x:c r="D760" s="6" t="inlineStr">
        <x:is>
          <x:t xml:space="preserve">OŚWIETLENIE</x:t>
        </x:is>
      </x:c>
      <x:c r="E760" s="8" t="n">
        <x:f>IFERROR(INDEX('02_RAW_INDEX'!$R:$R,MATCH($A760,'02_RAW_INDEX'!$A:$A,0)),"")</x:f>
        <x:v>2928</x:v>
      </x:c>
      <x:c r="F760" s="8" t="n">
        <x:f>IFERROR(INDEX('02_RAW_INDEX'!$Q:$Q,MATCH($A760,'02_RAW_INDEX'!$A:$A,0)),"")</x:f>
        <x:v>3602</x:v>
      </x:c>
      <x:c r="G760" s="7" t="n">
        <x:f>'01_Ustawienia'!$B$6</x:f>
        <x:v>0</x:v>
      </x:c>
      <x:c r="H760" s="8" t="n">
        <x:f>IF(E760="","",ROUND(IF('01_Ustawienia'!$B$5="BRUTTO",F760,E760)*(1-G760),0))</x:f>
        <x:v>2928</x:v>
      </x:c>
      <x:c r="I760" s="7" t="n">
        <x:f>IFERROR(IFERROR(INDEX('01_Ustawienia'!$B$15:$B$33,MATCH(B760,'01_Ustawienia'!$A$15:$A$33,0)),0.45),0.45)</x:f>
        <x:v>0.45</x:v>
      </x:c>
      <x:c r="J760" s="8" t="n">
        <x:f>IF(H760="","",ROUND(H760*(1+I760),0)+700)</x:f>
        <x:v>4946</x:v>
      </x:c>
      <x:c r="K760" s="8" t="n">
        <x:f>0</x:f>
        <x:v>0</x:v>
      </x:c>
      <x:c r="L760" s="8" t="n">
        <x:f>0</x:f>
        <x:v>0</x:v>
      </x:c>
      <x:c r="M760" s="7" t="n">
        <x:f>IF('01_Ustawienia'!$B$4="ZWOLNIONY",0,'01_Ustawienia'!$B$7)</x:f>
        <x:v>0.08</x:v>
      </x:c>
      <x:c r="N760" s="8" t="n">
        <x:f>IF(J760="","",ROUND((J760+K760)*(1+M760),0))</x:f>
        <x:v>5342</x:v>
      </x:c>
      <x:c r="O760" s="8" t="n">
        <x:f>IF(J760="","",J760+K760-H760-L760)</x:f>
        <x:v>2018</x:v>
      </x:c>
      <x:c r="P760" s="7" t="n">
        <x:f>IFERROR(O760/(J760+K760),"")</x:f>
        <x:v>0.40800646987464617</x:v>
      </x:c>
      <x:c r="Q760" s="715" t="inlineStr">
        <x:is>
          <x:t xml:space="preserve">MODEL_FIX15_LED</x:t>
        </x:is>
      </x:c>
      <x:c r="R760" s="6" t="inlineStr">
        <x:is>
          <x:t xml:space="preserve">OŚWIETLENIE</x:t>
        </x:is>
      </x:c>
      <x:c r="S760" s="6" t="inlineStr">
        <x:is>
          <x:t xml:space="preserve">website+crm</x:t>
        </x:is>
      </x:c>
      <x:c r="T760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761">
      <x:c r="A761" s="6" t="inlineStr">
        <x:is>
          <x:t xml:space="preserve">450 x 1206 cm</x:t>
        </x:is>
      </x:c>
      <x:c r="B761" s="6" t="inlineStr">
        <x:is>
          <x:t xml:space="preserve">LEDRGBCCT</x:t>
        </x:is>
      </x:c>
      <x:c r="C761" s="6" t="inlineStr">
        <x:is>
          <x:t xml:space="preserve">Oświetlenie LED RGB CCT</x:t>
        </x:is>
      </x:c>
      <x:c r="D761" s="6" t="inlineStr">
        <x:is>
          <x:t xml:space="preserve">OŚWIETLENIE</x:t>
        </x:is>
      </x:c>
      <x:c r="E761" s="8" t="n">
        <x:f>IFERROR(INDEX('02_RAW_INDEX'!$T:$T,MATCH($A761,'02_RAW_INDEX'!$A:$A,0)),"")</x:f>
        <x:v>4359</x:v>
      </x:c>
      <x:c r="F761" s="8" t="n">
        <x:f>IFERROR(INDEX('02_RAW_INDEX'!$S:$S,MATCH($A761,'02_RAW_INDEX'!$A:$A,0)),"")</x:f>
        <x:v>5362</x:v>
      </x:c>
      <x:c r="G761" s="7" t="n">
        <x:f>'01_Ustawienia'!$B$6</x:f>
        <x:v>0</x:v>
      </x:c>
      <x:c r="H761" s="8" t="n">
        <x:f>IF(E761="","",ROUND(IF('01_Ustawienia'!$B$5="BRUTTO",F761,E761)*(1-G761),0))</x:f>
        <x:v>4359</x:v>
      </x:c>
      <x:c r="I761" s="7" t="n">
        <x:f>IFERROR(IFERROR(INDEX('01_Ustawienia'!$B$15:$B$33,MATCH(B761,'01_Ustawienia'!$A$15:$A$33,0)),0.45),0.45)</x:f>
        <x:v>0.45</x:v>
      </x:c>
      <x:c r="J761" s="8" t="n">
        <x:f>IF(H761="","",ROUND(H761*(1+I761),0))</x:f>
        <x:v>6321</x:v>
      </x:c>
      <x:c r="K761" s="8" t="n">
        <x:f>0</x:f>
        <x:v>0</x:v>
      </x:c>
      <x:c r="L761" s="8" t="n">
        <x:f>0</x:f>
        <x:v>0</x:v>
      </x:c>
      <x:c r="M761" s="7" t="n">
        <x:f>IF('01_Ustawienia'!$B$4="ZWOLNIONY",0,'01_Ustawienia'!$B$7)</x:f>
        <x:v>0.08</x:v>
      </x:c>
      <x:c r="N761" s="8" t="n">
        <x:f>IF(J761="","",ROUND((J761+K761)*(1+M761),0))</x:f>
        <x:v>6827</x:v>
      </x:c>
      <x:c r="O761" s="8" t="n">
        <x:f>IF(J761="","",J761+K761-H761-L761)</x:f>
        <x:v>1962</x:v>
      </x:c>
      <x:c r="P761" s="7" t="n">
        <x:f>IFERROR(O761/(J761+K761),"")</x:f>
        <x:v>0.3103939250118652</x:v>
      </x:c>
      <x:c r="Q761" s="715" t="inlineStr">
        <x:is>
          <x:t xml:space="preserve">MODEL_FIX15_LED</x:t>
        </x:is>
      </x:c>
      <x:c r="R761" s="6" t="inlineStr">
        <x:is>
          <x:t xml:space="preserve">OŚWIETLENIE</x:t>
        </x:is>
      </x:c>
      <x:c r="S761" s="6" t="inlineStr">
        <x:is>
          <x:t xml:space="preserve">crm_only</x:t>
        </x:is>
      </x:c>
      <x:c r="T761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762" s="655" customFormat="1" ht="30" customHeight="1">
      <x:c r="A762" s="6" t="inlineStr">
        <x:is>
          <x:t xml:space="preserve">500 x 306 cm</x:t>
        </x:is>
      </x:c>
      <x:c r="B762" s="6" t="inlineStr">
        <x:is>
          <x:t xml:space="preserve">ZP</x:t>
        </x:is>
      </x:c>
      <x:c r="C762" s="6" t="inlineStr">
        <x:is>
          <x:t xml:space="preserve">Zadaszenie poliwęglan - baza</x:t>
        </x:is>
      </x:c>
      <x:c r="D762" s="6" t="inlineStr">
        <x:is>
          <x:t xml:space="preserve">ZADASZENIE POLIWĘGLAN</x:t>
        </x:is>
      </x:c>
      <x:c r="E762" s="8" t="n">
        <x:f>IFERROR(INDEX('02_RAW_INDEX'!$D:$D,MATCH($A762,'02_RAW_INDEX'!$A:$A,0)),"")</x:f>
        <x:v>6244</x:v>
      </x:c>
      <x:c r="F762" s="8" t="n">
        <x:f>IFERROR(INDEX('02_RAW_INDEX'!$C:$C,MATCH($A762,'02_RAW_INDEX'!$A:$A,0)),"")</x:f>
        <x:v>7680</x:v>
      </x:c>
      <x:c r="G762" s="7" t="n">
        <x:f>'01_Ustawienia'!$B$6</x:f>
        <x:v>0</x:v>
      </x:c>
      <x:c r="H762" s="8" t="n">
        <x:f>IF(E762="","",ROUND(IF('01_Ustawienia'!$B$5="BRUTTO",F762,E762)*(1-G762),0))</x:f>
        <x:v>6244</x:v>
      </x:c>
      <x:c r="I762" s="7" t="n">
        <x:f>IFERROR(IFERROR(INDEX('01_Ustawienia'!$B$15:$B$33,MATCH(B762,'01_Ustawienia'!$A$15:$A$33,0)),0.45),0.45)</x:f>
        <x:v>0.45</x:v>
      </x:c>
      <x:c r="J762" s="8" t="n">
        <x:f>IF(H762="","",ROUND(H762*(1+I762),0))</x:f>
        <x:v>9054</x:v>
      </x:c>
      <x:c r="K762" s="8" t="n">
        <x:f>IFERROR(IFERROR(INDEX(EG_Cennik_uslug!$F:$F,MATCH($A762,EG_Cennik_uslug!$A:$A,0)),0),0)</x:f>
        <x:v>3320</x:v>
      </x:c>
      <x:c r="L762" s="8" t="n">
        <x:f>IFERROR(IFERROR(INDEX(EG_Cennik_uslug!$G:$G,MATCH($A762,EG_Cennik_uslug!$A:$A,0)),0),0)</x:f>
        <x:v>1090</x:v>
      </x:c>
      <x:c r="M762" s="7" t="n">
        <x:f>IF('01_Ustawienia'!$B$4="ZWOLNIONY",0,'01_Ustawienia'!$B$7)</x:f>
        <x:v>0.08</x:v>
      </x:c>
      <x:c r="N762" s="8" t="n">
        <x:f>IF(J762="","",ROUND((J762+K762)*(1+M762),0))</x:f>
        <x:v>13364</x:v>
      </x:c>
      <x:c r="O762" s="8" t="n">
        <x:f>IF(J762="","",J762+K762-H762-L762)</x:f>
        <x:v>5040</x:v>
      </x:c>
      <x:c r="P762" s="7" t="n">
        <x:f>IFERROR(O762/(J762+K762),"")</x:f>
        <x:v>0.4073056408598675</x:v>
      </x:c>
      <x:c r="Q762" s="6" t="inlineStr">
        <x:is>
          <x:t xml:space="preserve">RAW_ZP B/C</x:t>
        </x:is>
      </x:c>
      <x:c r="R762" s="6" t="inlineStr">
        <x:is>
          <x:t xml:space="preserve">ZADASZENIE TARASU KONSTRUKCJA</x:t>
        </x:is>
      </x:c>
      <x:c r="S762" s="6" t="inlineStr">
        <x:is>
          <x:t xml:space="preserve">website+crm</x:t>
        </x:is>
      </x:c>
      <x:c r="T762" s="6" t="inlineStr">
        <x:is>
          <x:t xml:space="preserve">Baza dla kalkulatora</x:t>
        </x:is>
      </x:c>
    </x:row>
    <x:row r="763" s="655" customFormat="1" ht="30" customHeight="1">
      <x:c r="A763" s="6" t="inlineStr">
        <x:is>
          <x:t xml:space="preserve">500 x 306 cm</x:t>
        </x:is>
      </x:c>
      <x:c r="B763" s="6" t="inlineStr">
        <x:is>
          <x:t xml:space="preserve">ZS</x:t>
        </x:is>
      </x:c>
      <x:c r="C763" s="6" t="inlineStr">
        <x:is>
          <x:t xml:space="preserve">Zadaszenie szkło - pełna konstrukcja</x:t>
        </x:is>
      </x:c>
      <x:c r="D763" s="6" t="inlineStr">
        <x:is>
          <x:t xml:space="preserve">ZADASZENIE SZKŁO</x:t>
        </x:is>
      </x:c>
      <x:c r="E763" s="8" t="n">
        <x:f>IFERROR(INDEX('02_RAW_INDEX'!$V:$V,MATCH($A763,'02_RAW_INDEX'!$A:$A,0)),"")</x:f>
        <x:v>9293</x:v>
      </x:c>
      <x:c r="F763" s="8" t="n">
        <x:f>IFERROR(INDEX('02_RAW_INDEX'!$U:$U,MATCH($A763,'02_RAW_INDEX'!$A:$A,0)),"")</x:f>
        <x:v>11430</x:v>
      </x:c>
      <x:c r="G763" s="7" t="n">
        <x:f>'01_Ustawienia'!$B$6</x:f>
        <x:v>0</x:v>
      </x:c>
      <x:c r="H763" s="8" t="n">
        <x:f>IF(E763="","",ROUND(IF('01_Ustawienia'!$B$5="BRUTTO",F763,E763)*(1-G763),0))</x:f>
        <x:v>9293</x:v>
      </x:c>
      <x:c r="I763" s="7" t="n">
        <x:f>IFERROR(IFERROR(INDEX('01_Ustawienia'!$B$15:$B$33,MATCH(B763,'01_Ustawienia'!$A$15:$A$33,0)),0.45),0.45)</x:f>
        <x:v>0.45</x:v>
      </x:c>
      <x:c r="J763" s="8" t="n">
        <x:f>IF(H763="","",ROUND(H763*(1+I763),0))</x:f>
        <x:v>13475</x:v>
      </x:c>
      <x:c r="K763" s="8" t="n">
        <x:f>IFERROR(IFERROR(INDEX(EG_Cennik_uslug!$F:$F,MATCH($A763,EG_Cennik_uslug!$A:$A,0)),0),0)</x:f>
        <x:v>3320</x:v>
      </x:c>
      <x:c r="L763" s="8" t="n">
        <x:f>IFERROR(IFERROR(INDEX(EG_Cennik_uslug!$G:$G,MATCH($A763,EG_Cennik_uslug!$A:$A,0)),0),0)</x:f>
        <x:v>1090</x:v>
      </x:c>
      <x:c r="M763" s="7" t="n">
        <x:f>IF('01_Ustawienia'!$B$4="ZWOLNIONY",0,'01_Ustawienia'!$B$7)</x:f>
        <x:v>0.08</x:v>
      </x:c>
      <x:c r="N763" s="8" t="n">
        <x:f>IF(J763="","",ROUND((J763+K763)*(1+M763),0))</x:f>
        <x:v>18139</x:v>
      </x:c>
      <x:c r="O763" s="8" t="n">
        <x:f>IF(J763="","",J763+K763-H763-L763)</x:f>
        <x:v>6412</x:v>
      </x:c>
      <x:c r="P763" s="7" t="n">
        <x:f>IFERROR(O763/(J763+K763),"")</x:f>
        <x:v>0.3817802917534981</x:v>
      </x:c>
      <x:c r="Q763" s="6" t="inlineStr">
        <x:is>
          <x:t xml:space="preserve">RAW_ZS B/C</x:t>
        </x:is>
      </x:c>
      <x:c r="R763" s="6" t="inlineStr">
        <x:is>
          <x:t xml:space="preserve">ZADASZENIE TARASU KONSTRUKCJA</x:t>
        </x:is>
      </x:c>
      <x:c r="S763" s="6" t="inlineStr">
        <x:is>
          <x:t xml:space="preserve">crm_only</x:t>
        </x:is>
      </x:c>
      <x:c r="T763" s="6" t="inlineStr">
        <x:is>
          <x:t xml:space="preserve">Referencyjne/full; strona zwykle używa ZP + PDS</x:t>
        </x:is>
      </x:c>
    </x:row>
    <x:row r="764" s="655" customFormat="1" ht="30" customHeight="1">
      <x:c r="A764" s="6" t="inlineStr">
        <x:is>
          <x:t xml:space="preserve">500 x 306 cm</x:t>
        </x:is>
      </x:c>
      <x:c r="B764" s="6" t="inlineStr">
        <x:is>
          <x:t xml:space="preserve">OP</x:t>
        </x:is>
      </x:c>
      <x:c r="C764" s="6" t="inlineStr">
        <x:is>
          <x:t xml:space="preserve">Ogród zimowy poliwęglan - baza</x:t>
        </x:is>
      </x:c>
      <x:c r="D764" s="6" t="inlineStr">
        <x:is>
          <x:t xml:space="preserve">OGRODY POLIWĘGLAN</x:t>
        </x:is>
      </x:c>
      <x:c r="E764" s="8" t="n">
        <x:f>IFERROR(INDEX('02_RAW_INDEX'!$Z:$Z,MATCH($A764,'02_RAW_INDEX'!$A:$A,0)),"")</x:f>
        <x:v>18659</x:v>
      </x:c>
      <x:c r="F764" s="8" t="n">
        <x:f>IFERROR(INDEX('02_RAW_INDEX'!$Y:$Y,MATCH($A764,'02_RAW_INDEX'!$A:$A,0)),"")</x:f>
        <x:v>22950</x:v>
      </x:c>
      <x:c r="G764" s="7" t="n">
        <x:f>'01_Ustawienia'!$B$6</x:f>
        <x:v>0</x:v>
      </x:c>
      <x:c r="H764" s="8" t="n">
        <x:f>IF(E764="","",ROUND(IF('01_Ustawienia'!$B$5="BRUTTO",F764,E764)*(1-G764),0))</x:f>
        <x:v>18659</x:v>
      </x:c>
      <x:c r="I764" s="7" t="n">
        <x:f>IFERROR(IFERROR(INDEX('01_Ustawienia'!$B$15:$B$33,MATCH(B764,'01_Ustawienia'!$A$15:$A$33,0)),0.45),0.45)</x:f>
        <x:v>0.45</x:v>
      </x:c>
      <x:c r="J764" s="8" t="n">
        <x:f>IF(H764="","",ROUND(H764*(1+I764),0))</x:f>
        <x:v>27056</x:v>
      </x:c>
      <x:c r="K764" s="8" t="n">
        <x:f>IFERROR(IFERROR(INDEX(EG_Cennik_uslug!$N:$N,MATCH($A764,EG_Cennik_uslug!$A:$A,0)),0),0)</x:f>
        <x:v>4190</x:v>
      </x:c>
      <x:c r="L764" s="8" t="n">
        <x:f>IFERROR(IFERROR(INDEX(EG_Cennik_uslug!$O:$O,MATCH($A764,EG_Cennik_uslug!$A:$A,0)),0),0)</x:f>
        <x:v>1530</x:v>
      </x:c>
      <x:c r="M764" s="7" t="n">
        <x:f>IF('01_Ustawienia'!$B$4="ZWOLNIONY",0,'01_Ustawienia'!$B$7)</x:f>
        <x:v>0.08</x:v>
      </x:c>
      <x:c r="N764" s="8" t="n">
        <x:f>IF(J764="","",ROUND((J764+K764)*(1+M764),0))</x:f>
        <x:v>33746</x:v>
      </x:c>
      <x:c r="O764" s="8" t="n">
        <x:f>IF(J764="","",J764+K764-H764-L764)</x:f>
        <x:v>11057</x:v>
      </x:c>
      <x:c r="P764" s="7" t="n">
        <x:f>IFERROR(O764/(J764+K764),"")</x:f>
        <x:v>0.35386929526979455</x:v>
      </x:c>
      <x:c r="Q764" s="6" t="inlineStr">
        <x:is>
          <x:t xml:space="preserve">RAW_OP B/C</x:t>
        </x:is>
      </x:c>
      <x:c r="R764" s="6" t="inlineStr">
        <x:is>
          <x:t xml:space="preserve">OGRÓD ZIMOWY (KONSTRUKCJA)</x:t>
        </x:is>
      </x:c>
      <x:c r="S764" s="6" t="inlineStr">
        <x:is>
          <x:t xml:space="preserve">website+crm</x:t>
        </x:is>
      </x:c>
      <x:c r="T764" s="6" t="inlineStr">
        <x:is>
          <x:t xml:space="preserve">Do wyliczenia dopłaty za ściany</x:t>
        </x:is>
      </x:c>
    </x:row>
    <x:row r="765" s="655" customFormat="1" ht="30" customHeight="1">
      <x:c r="A765" s="6" t="inlineStr">
        <x:is>
          <x:t xml:space="preserve">500 x 306 cm</x:t>
        </x:is>
      </x:c>
      <x:c r="B765" s="6" t="inlineStr">
        <x:is>
          <x:t xml:space="preserve">OS</x:t>
        </x:is>
      </x:c>
      <x:c r="C765" s="6" t="inlineStr">
        <x:is>
          <x:t xml:space="preserve">Ogród zimowy szkło - pełna konstrukcja</x:t>
        </x:is>
      </x:c>
      <x:c r="D765" s="6" t="inlineStr">
        <x:is>
          <x:t xml:space="preserve">OGRODY SZKŁO</x:t>
        </x:is>
      </x:c>
      <x:c r="E765" s="8" t="n">
        <x:f>IFERROR(INDEX('02_RAW_INDEX'!$AL:$AL,MATCH($A765,'02_RAW_INDEX'!$A:$A,0)),"")</x:f>
        <x:v>21707</x:v>
      </x:c>
      <x:c r="F765" s="8" t="n">
        <x:f>IFERROR(INDEX('02_RAW_INDEX'!$AK:$AK,MATCH($A765,'02_RAW_INDEX'!$A:$A,0)),"")</x:f>
        <x:v>26700</x:v>
      </x:c>
      <x:c r="G765" s="7" t="n">
        <x:f>'01_Ustawienia'!$B$6</x:f>
        <x:v>0</x:v>
      </x:c>
      <x:c r="H765" s="8" t="n">
        <x:f>IF(E765="","",ROUND(IF('01_Ustawienia'!$B$5="BRUTTO",F765,E765)*(1-G765),0))</x:f>
        <x:v>21707</x:v>
      </x:c>
      <x:c r="I765" s="7" t="n">
        <x:f>IFERROR(IFERROR(INDEX('01_Ustawienia'!$B$15:$B$33,MATCH(B765,'01_Ustawienia'!$A$15:$A$33,0)),0.45),0.45)</x:f>
        <x:v>0.45</x:v>
      </x:c>
      <x:c r="J765" s="8" t="n">
        <x:f>IF(H765="","",ROUND(H765*(1+I765),0))</x:f>
        <x:v>31475</x:v>
      </x:c>
      <x:c r="K765" s="8" t="n">
        <x:f>IFERROR(IFERROR(INDEX(EG_Cennik_uslug!$N:$N,MATCH($A765,EG_Cennik_uslug!$A:$A,0)),0),0)</x:f>
        <x:v>4190</x:v>
      </x:c>
      <x:c r="L765" s="8" t="n">
        <x:f>IFERROR(IFERROR(INDEX(EG_Cennik_uslug!$O:$O,MATCH($A765,EG_Cennik_uslug!$A:$A,0)),0),0)</x:f>
        <x:v>1530</x:v>
      </x:c>
      <x:c r="M765" s="7" t="n">
        <x:f>IF('01_Ustawienia'!$B$4="ZWOLNIONY",0,'01_Ustawienia'!$B$7)</x:f>
        <x:v>0.08</x:v>
      </x:c>
      <x:c r="N765" s="8" t="n">
        <x:f>IF(J765="","",ROUND((J765+K765)*(1+M765),0))</x:f>
        <x:v>38518</x:v>
      </x:c>
      <x:c r="O765" s="8" t="n">
        <x:f>IF(J765="","",J765+K765-H765-L765)</x:f>
        <x:v>12428</x:v>
      </x:c>
      <x:c r="P765" s="7" t="n">
        <x:f>IFERROR(O765/(J765+K765),"")</x:f>
        <x:v>0.3484648815365204</x:v>
      </x:c>
      <x:c r="Q765" s="6" t="inlineStr">
        <x:is>
          <x:t xml:space="preserve">RAW_OS B/C</x:t>
        </x:is>
      </x:c>
      <x:c r="R765" s="6" t="inlineStr">
        <x:is>
          <x:t xml:space="preserve">OGRÓD ZIMOWY (KONSTRUKCJA)</x:t>
        </x:is>
      </x:c>
      <x:c r="S765" s="6" t="inlineStr">
        <x:is>
          <x:t xml:space="preserve">crm_only</x:t>
        </x:is>
      </x:c>
      <x:c r="T765" s="6" t="inlineStr">
        <x:is>
          <x:t xml:space="preserve">Referencyjne/full</x:t>
        </x:is>
      </x:c>
    </x:row>
    <x:row r="766" s="655" customFormat="1" ht="30" customHeight="1">
      <x:c r="A766" s="6" t="inlineStr">
        <x:is>
          <x:t xml:space="preserve">500 x 306 cm</x:t>
        </x:is>
      </x:c>
      <x:c r="B766" s="6" t="inlineStr">
        <x:is>
          <x:t xml:space="preserve">PDS</x:t>
        </x:is>
      </x:c>
      <x:c r="C766" s="6" t="inlineStr">
        <x:is>
          <x:t xml:space="preserve">Dopłata dach szkło przezroczyste</x:t>
        </x:is>
      </x:c>
      <x:c r="D766" s="6" t="inlineStr">
        <x:is>
          <x:t xml:space="preserve">POKRYCIE DACHU SZKŁO</x:t>
        </x:is>
      </x:c>
      <x:c r="E766" s="8" t="n">
        <x:f>IFERROR(IFERROR(INDEX('02_RAW_INDEX'!$V:$V,MATCH($A766,'02_RAW_INDEX'!$A:$A,0)),"")-IFERROR(INDEX('02_RAW_INDEX'!$D:$D,MATCH($A766,'02_RAW_INDEX'!$A:$A,0)),""),"")</x:f>
        <x:v>3049</x:v>
      </x:c>
      <x:c r="F766" s="8" t="n">
        <x:f>IFERROR(IFERROR(INDEX('02_RAW_INDEX'!$U:$U,MATCH($A766,'02_RAW_INDEX'!$A:$A,0)),"")-IFERROR(INDEX('02_RAW_INDEX'!$C:$C,MATCH($A766,'02_RAW_INDEX'!$A:$A,0)),""),"")</x:f>
        <x:v>3750</x:v>
      </x:c>
      <x:c r="G766" s="7" t="n">
        <x:f>'01_Ustawienia'!$B$6</x:f>
        <x:v>0</x:v>
      </x:c>
      <x:c r="H766" s="8" t="n">
        <x:f>IF(E766="","",ROUND(IF('01_Ustawienia'!$B$5="BRUTTO",F766,E766)*(1-G766),0))</x:f>
        <x:v>3049</x:v>
      </x:c>
      <x:c r="I766" s="7" t="n">
        <x:f>IFERROR(IFERROR(INDEX('01_Ustawienia'!$B$15:$B$33,MATCH(B766,'01_Ustawienia'!$A$15:$A$33,0)),0.45),0.45)</x:f>
        <x:v>0.45</x:v>
      </x:c>
      <x:c r="J766" s="8" t="n">
        <x:f>IF(H766="","",ROUND(H766*(1+I766),0))</x:f>
        <x:v>4421</x:v>
      </x:c>
      <x:c r="K766" s="8" t="n">
        <x:f>0</x:f>
        <x:v>0</x:v>
      </x:c>
      <x:c r="L766" s="8" t="n">
        <x:v>0</x:v>
      </x:c>
      <x:c r="M766" s="7" t="n">
        <x:f>IF('01_Ustawienia'!$B$4="ZWOLNIONY",0,'01_Ustawienia'!$B$7)</x:f>
        <x:v>0.08</x:v>
      </x:c>
      <x:c r="N766" s="8" t="n">
        <x:f>IF(J766="","",ROUND((J766+K766)*(1+M766),0))</x:f>
        <x:v>4775</x:v>
      </x:c>
      <x:c r="O766" s="8" t="n">
        <x:f>IF(J766="","",J766+K766-H766-L766)</x:f>
        <x:v>1372</x:v>
      </x:c>
      <x:c r="P766" s="7" t="n">
        <x:f>IFERROR(O766/(J766+K766),"")</x:f>
        <x:v>0.31033702782175976</x:v>
      </x:c>
      <x:c r="Q766" s="6" t="inlineStr">
        <x:is>
          <x:t xml:space="preserve">RAW_ZS - RAW_ZP</x:t>
        </x:is>
      </x:c>
      <x:c r="R766" s="6" t="inlineStr">
        <x:is>
          <x:t xml:space="preserve">POKRYCIE DACHU</x:t>
        </x:is>
      </x:c>
      <x:c r="S766" s="6" t="inlineStr">
        <x:is>
          <x:t xml:space="preserve">website+crm</x:t>
        </x:is>
      </x:c>
      <x:c r="T766" s="6" t="inlineStr">
        <x:is>
          <x:t xml:space="preserve">Dopłata do bazowego dachu poliwęglan | FIX17: Wynagr.+koszty = 0 dla dopłaty; nie jest osobnym montażem ekipy.</x:t>
        </x:is>
      </x:c>
    </x:row>
    <x:row r="767" s="655" customFormat="1" ht="30" customHeight="1">
      <x:c r="A767" s="6" t="inlineStr">
        <x:is>
          <x:t xml:space="preserve">500 x 306 cm</x:t>
        </x:is>
      </x:c>
      <x:c r="B767" s="6" t="inlineStr">
        <x:is>
          <x:t xml:space="preserve">PDSB</x:t>
        </x:is>
      </x:c>
      <x:c r="C767" s="6" t="inlineStr">
        <x:is>
          <x:t xml:space="preserve">Dopłata dach szkło barwione/mleczne</x:t>
        </x:is>
      </x:c>
      <x:c r="D767" s="6" t="inlineStr">
        <x:is>
          <x:t xml:space="preserve">POKRYCIE DACHU SZKŁO BARWIONE</x:t>
        </x:is>
      </x:c>
      <x:c r="E767" s="8" t="n">
        <x:f>IFERROR(INDEX('02_RAW_INDEX'!$X:$X,MATCH($A767,'02_RAW_INDEX'!$A:$A,0)),"")</x:f>
        <x:v>341</x:v>
      </x:c>
      <x:c r="F767" s="8" t="n">
        <x:f>IFERROR(INDEX('02_RAW_INDEX'!$W:$W,MATCH($A767,'02_RAW_INDEX'!$A:$A,0)),"")</x:f>
        <x:v>420</x:v>
      </x:c>
      <x:c r="G767" s="7" t="n">
        <x:f>'01_Ustawienia'!$B$6</x:f>
        <x:v>0</x:v>
      </x:c>
      <x:c r="H767" s="8" t="n">
        <x:f>IF(E767="","",ROUND(IF('01_Ustawienia'!$B$5="BRUTTO",F767,E767)*(1-G767),0))</x:f>
        <x:v>341</x:v>
      </x:c>
      <x:c r="I767" s="7" t="n">
        <x:f>IFERROR(IFERROR(INDEX('01_Ustawienia'!$B$15:$B$33,MATCH(B767,'01_Ustawienia'!$A$15:$A$33,0)),0.45),0.45)</x:f>
        <x:v>0.45</x:v>
      </x:c>
      <x:c r="J767" s="8" t="n">
        <x:f>IF(H767="","",ROUND(H767*(1+I767),0))</x:f>
        <x:v>494</x:v>
      </x:c>
      <x:c r="K767" s="8" t="n">
        <x:f>0</x:f>
        <x:v>0</x:v>
      </x:c>
      <x:c r="L767" s="8" t="n">
        <x:v>0</x:v>
      </x:c>
      <x:c r="M767" s="7" t="n">
        <x:f>IF('01_Ustawienia'!$B$4="ZWOLNIONY",0,'01_Ustawienia'!$B$7)</x:f>
        <x:v>0.08</x:v>
      </x:c>
      <x:c r="N767" s="8" t="n">
        <x:f>IF(J767="","",ROUND((J767+K767)*(1+M767),0))</x:f>
        <x:v>534</x:v>
      </x:c>
      <x:c r="O767" s="8" t="n">
        <x:f>IF(J767="","",J767+K767-H767-L767)</x:f>
        <x:v>153</x:v>
      </x:c>
      <x:c r="P767" s="7" t="n">
        <x:f>IFERROR(O767/(J767+K767),"")</x:f>
        <x:v>0.3097165991902834</x:v>
      </x:c>
      <x:c r="Q767" s="6" t="inlineStr">
        <x:is>
          <x:t xml:space="preserve">RAW_ZS D/E</x:t>
        </x:is>
      </x:c>
      <x:c r="R767" s="6" t="inlineStr">
        <x:is>
          <x:t xml:space="preserve">POKRYCIE DACHU</x:t>
        </x:is>
      </x:c>
      <x:c r="S767" s="6" t="inlineStr">
        <x:is>
          <x:t xml:space="preserve">website+crm</x:t>
        </x:is>
      </x:c>
      <x:c r="T767" s="6" t="inlineStr">
        <x:is>
          <x:t xml:space="preserve">Dodawane do PDS | FIX17: Wynagr.+koszty = 0 dla dopłaty; nie jest osobnym montażem ekipy.</x:t>
        </x:is>
      </x:c>
    </x:row>
    <x:row r="768" s="655" customFormat="1" ht="30" customHeight="1">
      <x:c r="A768" s="6" t="inlineStr">
        <x:is>
          <x:t xml:space="preserve">500 x 306 cm</x:t>
        </x:is>
      </x:c>
      <x:c r="B768" s="6" t="inlineStr">
        <x:is>
          <x:t xml:space="preserve">PDPB</x:t>
        </x:is>
      </x:c>
      <x:c r="C768" s="6" t="inlineStr">
        <x:is>
          <x:t xml:space="preserve">Dopłata poliwęglan barwiony</x:t>
        </x:is>
      </x:c>
      <x:c r="D768" s="6" t="inlineStr">
        <x:is>
          <x:t xml:space="preserve">POKRYCIE DACHU POLIWĘGLAN BARWIONY</x:t>
        </x:is>
      </x:c>
      <x:c r="E768" s="8" t="n">
        <x:f>IFERROR(INDEX('02_RAW_INDEX'!$F:$F,MATCH($A768,'02_RAW_INDEX'!$A:$A,0)),"")</x:f>
        <x:v>252</x:v>
      </x:c>
      <x:c r="F768" s="8" t="n">
        <x:f>IFERROR(INDEX('02_RAW_INDEX'!$E:$E,MATCH($A768,'02_RAW_INDEX'!$A:$A,0)),"")</x:f>
        <x:v>310</x:v>
      </x:c>
      <x:c r="G768" s="7" t="n">
        <x:f>'01_Ustawienia'!$B$6</x:f>
        <x:v>0</x:v>
      </x:c>
      <x:c r="H768" s="8" t="n">
        <x:f>IF(E768="","",ROUND(IF('01_Ustawienia'!$B$5="BRUTTO",F768,E768)*(1-G768),0))</x:f>
        <x:v>252</x:v>
      </x:c>
      <x:c r="I768" s="7" t="n">
        <x:f>IFERROR(IFERROR(INDEX('01_Ustawienia'!$B$15:$B$33,MATCH(B768,'01_Ustawienia'!$A$15:$A$33,0)),0.45),0.45)</x:f>
        <x:v>0.45</x:v>
      </x:c>
      <x:c r="J768" s="8" t="n">
        <x:f>IF(H768="","",ROUND(H768*(1+I768),0))</x:f>
        <x:v>365</x:v>
      </x:c>
      <x:c r="K768" s="8" t="n">
        <x:f>0</x:f>
        <x:v>0</x:v>
      </x:c>
      <x:c r="L768" s="8" t="n">
        <x:v>0</x:v>
      </x:c>
      <x:c r="M768" s="7" t="n">
        <x:f>IF('01_Ustawienia'!$B$4="ZWOLNIONY",0,'01_Ustawienia'!$B$7)</x:f>
        <x:v>0.08</x:v>
      </x:c>
      <x:c r="N768" s="8" t="n">
        <x:f>IF(J768="","",ROUND((J768+K768)*(1+M768),0))</x:f>
        <x:v>394</x:v>
      </x:c>
      <x:c r="O768" s="8" t="n">
        <x:f>IF(J768="","",J768+K768-H768-L768)</x:f>
        <x:v>113</x:v>
      </x:c>
      <x:c r="P768" s="7" t="n">
        <x:f>IFERROR(O768/(J768+K768),"")</x:f>
        <x:v>0.3095890410958904</x:v>
      </x:c>
      <x:c r="Q768" s="6" t="inlineStr">
        <x:is>
          <x:t xml:space="preserve">RAW_ZP D/E</x:t>
        </x:is>
      </x:c>
      <x:c r="R768" s="6" t="inlineStr">
        <x:is>
          <x:t xml:space="preserve">POKRYCIE DACHU</x:t>
        </x:is>
      </x:c>
      <x:c r="S768" s="6" t="inlineStr">
        <x:is>
          <x:t xml:space="preserve">website+crm</x:t>
        </x:is>
      </x:c>
      <x:c r="T768" s="6" t="inlineStr">
        <x:is>
          <x:t xml:space="preserve">FIX17: Wynagr.+koszty = 0 dla dopłaty; nie jest osobnym montażem ekipy.</x:t>
        </x:is>
      </x:c>
    </x:row>
    <x:row r="769" s="655" customFormat="1" ht="30" customHeight="1">
      <x:c r="A769" s="6" t="inlineStr">
        <x:is>
          <x:t xml:space="preserve">500 x 306 cm</x:t>
        </x:is>
      </x:c>
      <x:c r="B769" s="6" t="inlineStr">
        <x:is>
          <x:t xml:space="preserve">SBB</x:t>
        </x:is>
      </x:c>
      <x:c r="C769" s="6" t="inlineStr">
        <x:is>
          <x:t xml:space="preserve">Dopłata szkło boczne przyciemniane</x:t>
        </x:is>
      </x:c>
      <x:c r="D769" s="6" t="inlineStr">
        <x:is>
          <x:t xml:space="preserve">SZKŁO BOCZNE BARWIONE</x:t>
        </x:is>
      </x:c>
      <x:c r="E769" s="8" t="n">
        <x:f>IFERROR(INDEX('02_RAW_INDEX'!$AB:$AB,MATCH($A769,'02_RAW_INDEX'!$A:$A,0)),"")</x:f>
        <x:v>1268</x:v>
      </x:c>
      <x:c r="F769" s="8" t="n">
        <x:f>IFERROR(INDEX('02_RAW_INDEX'!$AA:$AA,MATCH($A769,'02_RAW_INDEX'!$A:$A,0)),"")</x:f>
        <x:v>1560</x:v>
      </x:c>
      <x:c r="G769" s="7" t="n">
        <x:f>'01_Ustawienia'!$B$6</x:f>
        <x:v>0</x:v>
      </x:c>
      <x:c r="H769" s="8" t="n">
        <x:f>IF(E769="","",ROUND(IF('01_Ustawienia'!$B$5="BRUTTO",F769,E769)*(1-G769),0))</x:f>
        <x:v>1268</x:v>
      </x:c>
      <x:c r="I769" s="7" t="n">
        <x:f>IFERROR(IFERROR(INDEX('01_Ustawienia'!$B$15:$B$33,MATCH(B769,'01_Ustawienia'!$A$15:$A$33,0)),0.45),0.45)</x:f>
        <x:v>0.45</x:v>
      </x:c>
      <x:c r="J769" s="8" t="n">
        <x:f>IF(H769="","",ROUND(H769*(1+I769),0))</x:f>
        <x:v>1839</x:v>
      </x:c>
      <x:c r="K769" s="8" t="n">
        <x:f>0</x:f>
        <x:v>0</x:v>
      </x:c>
      <x:c r="L769" s="8" t="n">
        <x:v>0</x:v>
      </x:c>
      <x:c r="M769" s="7" t="n">
        <x:f>IF('01_Ustawienia'!$B$4="ZWOLNIONY",0,'01_Ustawienia'!$B$7)</x:f>
        <x:v>0.08</x:v>
      </x:c>
      <x:c r="N769" s="8" t="n">
        <x:f>IF(J769="","",ROUND((J769+K769)*(1+M769),0))</x:f>
        <x:v>1986</x:v>
      </x:c>
      <x:c r="O769" s="8" t="n">
        <x:f>IF(J769="","",J769+K769-H769-L769)</x:f>
        <x:v>571</x:v>
      </x:c>
      <x:c r="P769" s="7" t="n">
        <x:f>IFERROR(O769/(J769+K769),"")</x:f>
        <x:v>0.31049483414899404</x:v>
      </x:c>
      <x:c r="Q769" s="6" t="inlineStr">
        <x:is>
          <x:t xml:space="preserve">RAW_OP H/I</x:t>
        </x:is>
      </x:c>
      <x:c r="R769" s="6" t="inlineStr">
        <x:is>
          <x:t xml:space="preserve">SZYBY BOCZNE</x:t>
        </x:is>
      </x:c>
      <x:c r="S769" s="6" t="inlineStr">
        <x:is>
          <x:t xml:space="preserve">website+crm</x:t>
        </x:is>
      </x:c>
      <x:c r="T769" s="6" t="inlineStr">
        <x:is>
          <x:t xml:space="preserve">Dodawane do ścian przezroczystych | FIX17: Wynagr.+koszty = 0 dla dopłaty; nie jest osobnym montażem ekipy.</x:t>
        </x:is>
      </x:c>
    </x:row>
    <x:row r="770">
      <x:c r="A770" s="6" t="inlineStr">
        <x:is>
          <x:t xml:space="preserve">500 x 306 cm</x:t>
        </x:is>
      </x:c>
      <x:c r="B770" s="6" t="inlineStr">
        <x:is>
          <x:t xml:space="preserve">RB</x:t>
        </x:is>
      </x:c>
      <x:c r="C770" s="6" t="inlineStr">
        <x:is>
          <x:t xml:space="preserve">Roleta boczna ZIP</x:t>
        </x:is>
      </x:c>
      <x:c r="D770" s="6" t="inlineStr">
        <x:is>
          <x:t xml:space="preserve">ROLETA BOCZNA</x:t>
        </x:is>
      </x:c>
      <x:c r="E770" s="8" t="n">
        <x:f>IFERROR(INDEX('02_RAW_INDEX'!$J:$J,MATCH($A770,'02_RAW_INDEX'!$A:$A,0)),"")</x:f>
        <x:v>3008</x:v>
      </x:c>
      <x:c r="F770" s="8" t="n">
        <x:f>IFERROR(INDEX('02_RAW_INDEX'!$I:$I,MATCH($A770,'02_RAW_INDEX'!$A:$A,0)),"")</x:f>
        <x:v>3700</x:v>
      </x:c>
      <x:c r="G770" s="7" t="n">
        <x:f>'01_Ustawienia'!$B$6</x:f>
        <x:v>0</x:v>
      </x:c>
      <x:c r="H770" s="8" t="n">
        <x:f>IF(E770="","",ROUND(IF('01_Ustawienia'!$B$5="BRUTTO",F770,E770)*(1-G770),0))</x:f>
        <x:v>3008</x:v>
      </x:c>
      <x:c r="I770" s="7" t="n">
        <x:f>IFERROR(IFERROR(INDEX('01_Ustawienia'!$B$15:$B$33,MATCH(B770,'01_Ustawienia'!$A$15:$A$33,0)),0.45),0.45)</x:f>
        <x:v>0.45</x:v>
      </x:c>
      <x:c r="J770" s="8" t="n">
        <x:f>IF(H770="","",ROUND(H770*(1+I770),0))</x:f>
        <x:v>4362</x:v>
      </x:c>
      <x:c r="K770" s="8" t="n">
        <x:f>0</x:f>
        <x:v>0</x:v>
      </x:c>
      <x:c r="L770" s="8" t="n">
        <x:f>IFERROR(IFERROR(INDEX(EG_Cennik_uslug!$AC:$AC,MATCH($A770,EG_Cennik_uslug!$A:$A,0)),0),0)</x:f>
        <x:v>150</x:v>
      </x:c>
      <x:c r="M770" s="7" t="n">
        <x:f>IF('01_Ustawienia'!$B$4="ZWOLNIONY",0,'01_Ustawienia'!$B$7)</x:f>
        <x:v>0.08</x:v>
      </x:c>
      <x:c r="N770" s="8" t="n">
        <x:f>IF(J770="","",ROUND((J770+K770)*(1+M770),0))</x:f>
        <x:v>4711</x:v>
      </x:c>
      <x:c r="O770" s="8" t="n">
        <x:f>IF(J770="","",J770+K770-H770-L770)</x:f>
        <x:v>1204</x:v>
      </x:c>
      <x:c r="P770" s="7" t="n">
        <x:f>IFERROR(O770/(J770+K770),"")</x:f>
        <x:v>0.27602017423200365</x:v>
      </x:c>
      <x:c r="Q770" s="6" t="inlineStr">
        <x:is>
          <x:t xml:space="preserve">RAW_ZP J/K</x:t>
        </x:is>
      </x:c>
      <x:c r="R770" s="6" t="inlineStr">
        <x:is>
          <x:t xml:space="preserve">ROLETY BOCZNE</x:t>
        </x:is>
      </x:c>
      <x:c r="S770" s="6" t="inlineStr">
        <x:is>
          <x:t xml:space="preserve">website+crm</x:t>
        </x:is>
      </x:c>
      <x:c r="T770" s="6" t="inlineStr">
        <x:is>
          <x:t xml:space="preserve">Używana dla lewej i prawej</x:t>
        </x:is>
      </x:c>
    </x:row>
    <x:row r="771">
      <x:c r="A771" s="6" t="inlineStr">
        <x:is>
          <x:t xml:space="preserve">500 x 306 cm</x:t>
        </x:is>
      </x:c>
      <x:c r="B771" s="6" t="inlineStr">
        <x:is>
          <x:t xml:space="preserve">RP</x:t>
        </x:is>
      </x:c>
      <x:c r="C771" s="6" t="inlineStr">
        <x:is>
          <x:t xml:space="preserve">Roleta przednia ZIP</x:t>
        </x:is>
      </x:c>
      <x:c r="D771" s="6" t="inlineStr">
        <x:is>
          <x:t xml:space="preserve">ROLETA PRZÓD</x:t>
        </x:is>
      </x:c>
      <x:c r="E771" s="8" t="n">
        <x:f>IFERROR(INDEX('02_RAW_INDEX'!$L:$L,MATCH($A771,'02_RAW_INDEX'!$A:$A,0)),"")</x:f>
        <x:v>1740</x:v>
      </x:c>
      <x:c r="F771" s="8" t="n">
        <x:f>IFERROR(INDEX('02_RAW_INDEX'!$K:$K,MATCH($A771,'02_RAW_INDEX'!$A:$A,0)),"")</x:f>
        <x:v>2140</x:v>
      </x:c>
      <x:c r="G771" s="7" t="n">
        <x:f>'01_Ustawienia'!$B$6</x:f>
        <x:v>0</x:v>
      </x:c>
      <x:c r="H771" s="8" t="n">
        <x:f>IF(E771="","",ROUND(IF('01_Ustawienia'!$B$5="BRUTTO",F771,E771)*(1-G771),0))</x:f>
        <x:v>1740</x:v>
      </x:c>
      <x:c r="I771" s="7" t="n">
        <x:f>IFERROR(IFERROR(INDEX('01_Ustawienia'!$B$15:$B$33,MATCH(B771,'01_Ustawienia'!$A$15:$A$33,0)),0.45),0.45)</x:f>
        <x:v>0.45</x:v>
      </x:c>
      <x:c r="J771" s="8" t="n">
        <x:f>IF(H771="","",ROUND(H771*(1+I771),0))</x:f>
        <x:v>2523</x:v>
      </x:c>
      <x:c r="K771" s="8" t="n">
        <x:f>0</x:f>
        <x:v>0</x:v>
      </x:c>
      <x:c r="L771" s="8" t="n">
        <x:f>IFERROR(IFERROR(INDEX(EG_Cennik_uslug!$AJ:$AJ,MATCH($A771,EG_Cennik_uslug!$A:$A,0)),0),0)</x:f>
        <x:v>150</x:v>
      </x:c>
      <x:c r="M771" s="7" t="n">
        <x:f>IF('01_Ustawienia'!$B$4="ZWOLNIONY",0,'01_Ustawienia'!$B$7)</x:f>
        <x:v>0.08</x:v>
      </x:c>
      <x:c r="N771" s="8" t="n">
        <x:f>IF(J771="","",ROUND((J771+K771)*(1+M771),0))</x:f>
        <x:v>2725</x:v>
      </x:c>
      <x:c r="O771" s="8" t="n">
        <x:f>IF(J771="","",J771+K771-H771-L771)</x:f>
        <x:v>633</x:v>
      </x:c>
      <x:c r="P771" s="7" t="n">
        <x:f>IFERROR(O771/(J771+K771),"")</x:f>
        <x:v>0.25089179548156954</x:v>
      </x:c>
      <x:c r="Q771" s="6" t="inlineStr">
        <x:is>
          <x:t xml:space="preserve">RAW_ZP N/O</x:t>
        </x:is>
      </x:c>
      <x:c r="R771" s="6" t="inlineStr">
        <x:is>
          <x:t xml:space="preserve">ROLETY BOCZNE</x:t>
        </x:is>
      </x:c>
      <x:c r="S771" s="6" t="inlineStr">
        <x:is>
          <x:t xml:space="preserve">website+crm</x:t>
        </x:is>
      </x:c>
      <x:c r="T771" s="6" t="n"/>
    </x:row>
    <x:row r="772">
      <x:c r="A772" s="6" t="inlineStr">
        <x:is>
          <x:t xml:space="preserve">500 x 306 cm</x:t>
        </x:is>
      </x:c>
      <x:c r="B772" s="6" t="inlineStr">
        <x:is>
          <x:t xml:space="preserve">M</x:t>
        </x:is>
      </x:c>
      <x:c r="C772" s="6" t="inlineStr">
        <x:is>
          <x:t xml:space="preserve">Markiza dachowa</x:t>
        </x:is>
      </x:c>
      <x:c r="D772" s="6" t="inlineStr">
        <x:is>
          <x:t xml:space="preserve">MARKIZA</x:t>
        </x:is>
      </x:c>
      <x:c r="E772" s="8" t="n">
        <x:f>IFERROR(INDEX('02_RAW_INDEX'!$H:$H,MATCH($A772,'02_RAW_INDEX'!$A:$A,0)),"")</x:f>
        <x:v>3317</x:v>
      </x:c>
      <x:c r="F772" s="8" t="n">
        <x:f>IFERROR(INDEX('02_RAW_INDEX'!$G:$G,MATCH($A772,'02_RAW_INDEX'!$A:$A,0)),"")</x:f>
        <x:v>4080</x:v>
      </x:c>
      <x:c r="G772" s="7" t="n">
        <x:f>'01_Ustawienia'!$B$6</x:f>
        <x:v>0</x:v>
      </x:c>
      <x:c r="H772" s="8" t="n">
        <x:f>IF(E772="","",ROUND(IF('01_Ustawienia'!$B$5="BRUTTO",F772,E772)*(1-G772),0))</x:f>
        <x:v>3317</x:v>
      </x:c>
      <x:c r="I772" s="7" t="n">
        <x:f>IFERROR(IFERROR(INDEX('01_Ustawienia'!$B$15:$B$33,MATCH(B772,'01_Ustawienia'!$A$15:$A$33,0)),0.45),0.45)</x:f>
        <x:v>0.45</x:v>
      </x:c>
      <x:c r="J772" s="8" t="n">
        <x:f>IF(H772="","",ROUND(H772*(1+I772),0))</x:f>
        <x:v>4810</x:v>
      </x:c>
      <x:c r="K772" s="8" t="n">
        <x:f>0</x:f>
        <x:v>0</x:v>
      </x:c>
      <x:c r="L772" s="8" t="n">
        <x:f>IFERROR(IFERROR(INDEX(EG_Cennik_uslug!$AQ:$AQ,MATCH($A772,EG_Cennik_uslug!$A:$A,0)),0),0)</x:f>
        <x:v>200</x:v>
      </x:c>
      <x:c r="M772" s="7" t="n">
        <x:f>IF('01_Ustawienia'!$B$4="ZWOLNIONY",0,'01_Ustawienia'!$B$7)</x:f>
        <x:v>0.08</x:v>
      </x:c>
      <x:c r="N772" s="8" t="n">
        <x:f>IF(J772="","",ROUND((J772+K772)*(1+M772),0))</x:f>
        <x:v>5195</x:v>
      </x:c>
      <x:c r="O772" s="8" t="n">
        <x:f>IF(J772="","",J772+K772-H772-L772)</x:f>
        <x:v>1293</x:v>
      </x:c>
      <x:c r="P772" s="7" t="n">
        <x:f>IFERROR(O772/(J772+K772),"")</x:f>
        <x:v>0.2688149688149688</x:v>
      </x:c>
      <x:c r="Q772" s="6" t="inlineStr">
        <x:is>
          <x:t xml:space="preserve">RAW_ZP H/I</x:t>
        </x:is>
      </x:c>
      <x:c r="R772" s="6" t="inlineStr">
        <x:is>
          <x:t xml:space="preserve">MARKIZA</x:t>
        </x:is>
      </x:c>
      <x:c r="S772" s="6" t="inlineStr">
        <x:is>
          <x:t xml:space="preserve">website+crm</x:t>
        </x:is>
      </x:c>
      <x:c r="T772" s="6" t="n"/>
    </x:row>
    <x:row r="773">
      <x:c r="A773" s="6" t="inlineStr">
        <x:is>
          <x:t xml:space="preserve">500 x 306 cm</x:t>
        </x:is>
      </x:c>
      <x:c r="B773" s="6" t="inlineStr">
        <x:is>
          <x:t xml:space="preserve">PDWP</x:t>
        </x:is>
      </x:c>
      <x:c r="C773" s="6" t="inlineStr">
        <x:is>
          <x:t xml:space="preserve">Fundament/profile</x:t>
        </x:is>
      </x:c>
      <x:c r="D773" s="6" t="inlineStr">
        <x:is>
          <x:t xml:space="preserve">FUNDAMENT / PROFILE</x:t>
        </x:is>
      </x:c>
      <x:c r="E773" s="8" t="n">
        <x:f>IFERROR(INDEX('02_RAW_INDEX'!$AH:$AH,MATCH($A773,'02_RAW_INDEX'!$A:$A,0)),"")</x:f>
        <x:v>943</x:v>
      </x:c>
      <x:c r="F773" s="8" t="n">
        <x:f>IFERROR(INDEX('02_RAW_INDEX'!$AG:$AG,MATCH($A773,'02_RAW_INDEX'!$A:$A,0)),"")</x:f>
        <x:v>1160</x:v>
      </x:c>
      <x:c r="G773" s="7" t="n">
        <x:f>'01_Ustawienia'!$B$6</x:f>
        <x:v>0</x:v>
      </x:c>
      <x:c r="H773" s="8" t="n">
        <x:f>IF(E773="","",ROUND(IF('01_Ustawienia'!$B$5="BRUTTO",F773,E773)*(1-G773),0))</x:f>
        <x:v>943</x:v>
      </x:c>
      <x:c r="I773" s="7" t="n">
        <x:f>IFERROR(IFERROR(INDEX('01_Ustawienia'!$B$15:$B$33,MATCH(B773,'01_Ustawienia'!$A$15:$A$33,0)),0.45),0.45)</x:f>
        <x:v>1.2</x:v>
      </x:c>
      <x:c r="J773" s="8" t="n">
        <x:f>IF(H773="","",ROUND(H773*(1+I773),0))</x:f>
        <x:v>2075</x:v>
      </x:c>
      <x:c r="K773" s="8" t="n">
        <x:f>0</x:f>
        <x:v>0</x:v>
      </x:c>
      <x:c r="L773" s="8" t="n">
        <x:f>IFERROR(IFERROR(INDEX(EG_Cennik_uslug!$BT:$BT,MATCH($A773,EG_Cennik_uslug!$A:$A,0)),0),0)</x:f>
        <x:v>440</x:v>
      </x:c>
      <x:c r="M773" s="7" t="n">
        <x:f>IF('01_Ustawienia'!$B$4="ZWOLNIONY",0,'01_Ustawienia'!$B$7)</x:f>
        <x:v>0.08</x:v>
      </x:c>
      <x:c r="N773" s="8" t="n">
        <x:f>IF(J773="","",ROUND((J773+K773)*(1+M773),0))</x:f>
        <x:v>2241</x:v>
      </x:c>
      <x:c r="O773" s="8" t="n">
        <x:f>IF(J773="","",J773+K773-H773-L773)</x:f>
        <x:v>692</x:v>
      </x:c>
      <x:c r="P773" s="7" t="n">
        <x:f>IFERROR(O773/(J773+K773),"")</x:f>
        <x:v>0.33349397590361446</x:v>
      </x:c>
      <x:c r="Q773" s="6" t="inlineStr">
        <x:is>
          <x:t xml:space="preserve">RAW_OP AB/AC</x:t>
        </x:is>
      </x:c>
      <x:c r="R773" s="6" t="inlineStr">
        <x:is>
          <x:t xml:space="preserve">FUNDAMENT (PROFILE)</x:t>
        </x:is>
      </x:c>
      <x:c r="S773" s="6" t="inlineStr">
        <x:is>
          <x:t xml:space="preserve">website+crm</x:t>
        </x:is>
      </x:c>
      <x:c r="T773" s="6" t="n"/>
    </x:row>
    <x:row r="774" s="655" customFormat="1" ht="30" customHeight="1">
      <x:c r="A774" s="6" t="inlineStr">
        <x:is>
          <x:t xml:space="preserve">500 x 306 cm</x:t>
        </x:is>
      </x:c>
      <x:c r="B774" s="6" t="inlineStr">
        <x:is>
          <x:t xml:space="preserve">ZAB</x:t>
        </x:is>
      </x:c>
      <x:c r="C774" s="6" t="inlineStr">
        <x:is>
          <x:t xml:space="preserve">Zabieraki do ścian przesuwnych</x:t>
        </x:is>
      </x:c>
      <x:c r="D774" s="6" t="inlineStr">
        <x:is>
          <x:t xml:space="preserve">DODATKI</x:t>
        </x:is>
      </x:c>
      <x:c r="E774" s="8" t="n">
        <x:f>IFERROR(INDEX('02_RAW_INDEX'!$AJ:$AJ,MATCH($A774,'02_RAW_INDEX'!$A:$A,0)),"")</x:f>
        <x:v>325</x:v>
      </x:c>
      <x:c r="F774" s="8" t="n">
        <x:f>IFERROR(INDEX('02_RAW_INDEX'!$AI:$AI,MATCH($A774,'02_RAW_INDEX'!$A:$A,0)),"")</x:f>
        <x:v>400</x:v>
      </x:c>
      <x:c r="G774" s="7" t="n">
        <x:f>'01_Ustawienia'!$B$6</x:f>
        <x:v>0</x:v>
      </x:c>
      <x:c r="H774" s="8" t="n">
        <x:f>IF(E774="","",ROUND(IF('01_Ustawienia'!$B$5="BRUTTO",F774,E774)*(1-G774),0))</x:f>
        <x:v>325</x:v>
      </x:c>
      <x:c r="I774" s="7" t="n">
        <x:f>IFERROR(IFERROR(INDEX('01_Ustawienia'!$B$15:$B$33,MATCH(B774,'01_Ustawienia'!$A$15:$A$33,0)),0.45),0.45)</x:f>
        <x:v>0.45</x:v>
      </x:c>
      <x:c r="J774" s="8" t="n">
        <x:f>IF(H774="","",ROUND(H774*(1+I774),0))</x:f>
        <x:v>471</x:v>
      </x:c>
      <x:c r="K774" s="8" t="n">
        <x:f>0</x:f>
        <x:v>0</x:v>
      </x:c>
      <x:c r="L774" s="8" t="n">
        <x:f>0</x:f>
        <x:v>0</x:v>
      </x:c>
      <x:c r="M774" s="7" t="n">
        <x:f>IF('01_Ustawienia'!$B$4="ZWOLNIONY",0,'01_Ustawienia'!$B$7)</x:f>
        <x:v>0.08</x:v>
      </x:c>
      <x:c r="N774" s="8" t="n">
        <x:f>IF(J774="","",ROUND((J774+K774)*(1+M774),0))</x:f>
        <x:v>509</x:v>
      </x:c>
      <x:c r="O774" s="8" t="n">
        <x:f>IF(J774="","",J774+K774-H774-L774)</x:f>
        <x:v>146</x:v>
      </x:c>
      <x:c r="P774" s="7" t="n">
        <x:f>IFERROR(O774/(J774+K774),"")</x:f>
        <x:v>0.3099787685774947</x:v>
      </x:c>
      <x:c r="Q774" s="6" t="inlineStr">
        <x:is>
          <x:t xml:space="preserve">RAW_OP AD/AE</x:t>
        </x:is>
      </x:c>
      <x:c r="R774" s="6" t="inlineStr">
        <x:is>
          <x:t xml:space="preserve">DODATKI</x:t>
        </x:is>
      </x:c>
      <x:c r="S774" s="6" t="inlineStr">
        <x:is>
          <x:t xml:space="preserve">crm_only</x:t>
        </x:is>
      </x:c>
      <x:c r="T774" s="6" t="n"/>
    </x:row>
    <x:row r="775">
      <x:c r="A775" s="6" t="inlineStr">
        <x:is>
          <x:t xml:space="preserve">500 x 306 cm</x:t>
        </x:is>
      </x:c>
      <x:c r="B775" s="6" t="inlineStr">
        <x:is>
          <x:t xml:space="preserve">S</x:t>
        </x:is>
      </x:c>
      <x:c r="C775" s="6" t="inlineStr">
        <x:is>
          <x:t xml:space="preserve">Szczotki przeciwkurzowe</x:t>
        </x:is>
      </x:c>
      <x:c r="D775" s="6" t="inlineStr">
        <x:is>
          <x:t xml:space="preserve">SZCZOTKI</x:t>
        </x:is>
      </x:c>
      <x:c r="E775" s="8" t="n">
        <x:f>IFERROR(INDEX('02_RAW_INDEX'!$AD:$AD,MATCH($A775,'02_RAW_INDEX'!$A:$A,0)),"")</x:f>
        <x:v>407</x:v>
      </x:c>
      <x:c r="F775" s="8" t="n">
        <x:f>IFERROR(INDEX('02_RAW_INDEX'!$AC:$AC,MATCH($A775,'02_RAW_INDEX'!$A:$A,0)),"")</x:f>
        <x:v>500</x:v>
      </x:c>
      <x:c r="G775" s="7" t="n">
        <x:f>'01_Ustawienia'!$B$6</x:f>
        <x:v>0</x:v>
      </x:c>
      <x:c r="H775" s="8" t="n">
        <x:f>IF(E775="","",ROUND(IF('01_Ustawienia'!$B$5="BRUTTO",F775,E775)*(1-G775),0))</x:f>
        <x:v>407</x:v>
      </x:c>
      <x:c r="I775" s="7" t="n">
        <x:f>IFERROR(IFERROR(INDEX('01_Ustawienia'!$B$15:$B$33,MATCH(B775,'01_Ustawienia'!$A$15:$A$33,0)),0.45),0.45)</x:f>
        <x:v>0.45</x:v>
      </x:c>
      <x:c r="J775" s="8" t="n">
        <x:f>IF(H775="","",ROUND(H775*(1+I775),0))</x:f>
        <x:v>590</x:v>
      </x:c>
      <x:c r="K775" s="8" t="n">
        <x:f>0</x:f>
        <x:v>0</x:v>
      </x:c>
      <x:c r="L775" s="8" t="n">
        <x:f>IFERROR(IFERROR(INDEX(EG_Cennik_uslug!$CA:$CA,MATCH($A775,EG_Cennik_uslug!$A:$A,0)),0),0)</x:f>
        <x:v>0</x:v>
      </x:c>
      <x:c r="M775" s="7" t="n">
        <x:f>IF('01_Ustawienia'!$B$4="ZWOLNIONY",0,'01_Ustawienia'!$B$7)</x:f>
        <x:v>0.08</x:v>
      </x:c>
      <x:c r="N775" s="8" t="n">
        <x:f>IF(J775="","",ROUND((J775+K775)*(1+M775),0))</x:f>
        <x:v>637</x:v>
      </x:c>
      <x:c r="O775" s="8" t="n">
        <x:f>IF(J775="","",J775+K775-H775-L775)</x:f>
        <x:v>183</x:v>
      </x:c>
      <x:c r="P775" s="7" t="n">
        <x:f>IFERROR(O775/(J775+K775),"")</x:f>
        <x:v>0.3101694915254237</x:v>
      </x:c>
      <x:c r="Q775" s="6" t="inlineStr">
        <x:is>
          <x:t xml:space="preserve">RAW_OP L/M</x:t>
        </x:is>
      </x:c>
      <x:c r="R775" s="6" t="inlineStr">
        <x:is>
          <x:t xml:space="preserve">DODATKI</x:t>
        </x:is>
      </x:c>
      <x:c r="S775" s="6" t="inlineStr">
        <x:is>
          <x:t xml:space="preserve">website+crm</x:t>
        </x:is>
      </x:c>
      <x:c r="T775" s="6" t="n"/>
    </x:row>
    <x:row r="776">
      <x:c r="A776" s="6" t="inlineStr">
        <x:is>
          <x:t xml:space="preserve">500 x 306 cm</x:t>
        </x:is>
      </x:c>
      <x:c r="B776" s="6" t="inlineStr">
        <x:is>
          <x:t xml:space="preserve">U</x:t>
        </x:is>
      </x:c>
      <x:c r="C776" s="6" t="inlineStr">
        <x:is>
          <x:t xml:space="preserve">Uchwyty na szkło ścienne</x:t>
        </x:is>
      </x:c>
      <x:c r="D776" s="6" t="inlineStr">
        <x:is>
          <x:t xml:space="preserve">UCHWYTY</x:t>
        </x:is>
      </x:c>
      <x:c r="E776" s="8" t="n">
        <x:f>IFERROR(INDEX('02_RAW_INDEX'!$AF:$AF,MATCH($A776,'02_RAW_INDEX'!$A:$A,0)),"")</x:f>
        <x:v>366</x:v>
      </x:c>
      <x:c r="F776" s="8" t="n">
        <x:f>IFERROR(INDEX('02_RAW_INDEX'!$AE:$AE,MATCH($A776,'02_RAW_INDEX'!$A:$A,0)),"")</x:f>
        <x:v>450</x:v>
      </x:c>
      <x:c r="G776" s="7" t="n">
        <x:f>'01_Ustawienia'!$B$6</x:f>
        <x:v>0</x:v>
      </x:c>
      <x:c r="H776" s="8" t="n">
        <x:f>IF(E776="","",ROUND(IF('01_Ustawienia'!$B$5="BRUTTO",F776,E776)*(1-G776),0))</x:f>
        <x:v>366</x:v>
      </x:c>
      <x:c r="I776" s="7" t="n">
        <x:f>IFERROR(IFERROR(INDEX('01_Ustawienia'!$B$15:$B$33,MATCH(B776,'01_Ustawienia'!$A$15:$A$33,0)),0.45),0.45)</x:f>
        <x:v>0.45</x:v>
      </x:c>
      <x:c r="J776" s="8" t="n">
        <x:f>IF(H776="","",ROUND(H776*(1+I776),0))</x:f>
        <x:v>531</x:v>
      </x:c>
      <x:c r="K776" s="8" t="n">
        <x:f>0</x:f>
        <x:v>0</x:v>
      </x:c>
      <x:c r="L776" s="8" t="n">
        <x:f>IFERROR(IFERROR(INDEX(EG_Cennik_uslug!$CH:$CH,MATCH($A776,EG_Cennik_uslug!$A:$A,0)),0),0)</x:f>
        <x:v>0</x:v>
      </x:c>
      <x:c r="M776" s="7" t="n">
        <x:f>IF('01_Ustawienia'!$B$4="ZWOLNIONY",0,'01_Ustawienia'!$B$7)</x:f>
        <x:v>0.08</x:v>
      </x:c>
      <x:c r="N776" s="8" t="n">
        <x:f>IF(J776="","",ROUND((J776+K776)*(1+M776),0))</x:f>
        <x:v>573</x:v>
      </x:c>
      <x:c r="O776" s="8" t="n">
        <x:f>IF(J776="","",J776+K776-H776-L776)</x:f>
        <x:v>165</x:v>
      </x:c>
      <x:c r="P776" s="7" t="n">
        <x:f>IFERROR(O776/(J776+K776),"")</x:f>
        <x:v>0.3107344632768362</x:v>
      </x:c>
      <x:c r="Q776" s="6" t="inlineStr">
        <x:is>
          <x:t xml:space="preserve">RAW_OP N/O</x:t>
        </x:is>
      </x:c>
      <x:c r="R776" s="6" t="inlineStr">
        <x:is>
          <x:t xml:space="preserve">DODATKI</x:t>
        </x:is>
      </x:c>
      <x:c r="S776" s="6" t="inlineStr">
        <x:is>
          <x:t xml:space="preserve">website+crm</x:t>
        </x:is>
      </x:c>
      <x:c r="T776" s="6" t="n"/>
    </x:row>
    <x:row r="777">
      <x:c r="A777" s="6" t="inlineStr">
        <x:is>
          <x:t xml:space="preserve">500 x 306 cm</x:t>
        </x:is>
      </x:c>
      <x:c r="B777" s="6" t="inlineStr">
        <x:is>
          <x:t xml:space="preserve">LED2</x:t>
        </x:is>
      </x:c>
      <x:c r="C777" s="6" t="inlineStr">
        <x:is>
          <x:t xml:space="preserve">Oświetlenie LED 2 punkty</x:t>
        </x:is>
      </x:c>
      <x:c r="D777" s="6" t="inlineStr">
        <x:is>
          <x:t xml:space="preserve">LED 2 PKT</x:t>
        </x:is>
      </x:c>
      <x:c r="E777" s="8" t="n">
        <x:f>IFERROR(INDEX('02_RAW_INDEX'!$N:$N,MATCH($A777,'02_RAW_INDEX'!$A:$A,0)),"")</x:f>
        <x:v>341</x:v>
      </x:c>
      <x:c r="F777" s="8" t="n">
        <x:f>IFERROR(INDEX('02_RAW_INDEX'!$M:$M,MATCH($A777,'02_RAW_INDEX'!$A:$A,0)),"")</x:f>
        <x:v>420</x:v>
      </x:c>
      <x:c r="G777" s="7" t="n">
        <x:f>'01_Ustawienia'!$B$6</x:f>
        <x:v>0</x:v>
      </x:c>
      <x:c r="H777" s="8" t="n">
        <x:f>IF(E777="","",ROUND(IF('01_Ustawienia'!$B$5="BRUTTO",F777,E777)*(1-G777),0))</x:f>
        <x:v>341</x:v>
      </x:c>
      <x:c r="I777" s="7" t="n">
        <x:f>IFERROR(IFERROR(INDEX('01_Ustawienia'!$B$15:$B$33,MATCH(B777,'01_Ustawienia'!$A$15:$A$33,0)),0.45),0.45)</x:f>
        <x:v>0.45</x:v>
      </x:c>
      <x:c r="J777" s="8" t="n">
        <x:f>IF(H777="","",ROUND(H777*(1+I777),0))</x:f>
        <x:v>494</x:v>
      </x:c>
      <x:c r="K777" s="8" t="n">
        <x:f>0</x:f>
        <x:v>0</x:v>
      </x:c>
      <x:c r="L777" s="8" t="n">
        <x:f>IFERROR(IFERROR(INDEX(EG_Cennik_uslug!$CO:$CO,MATCH($A777,EG_Cennik_uslug!$A:$A,0)),0),0)</x:f>
        <x:v>0</x:v>
      </x:c>
      <x:c r="M777" s="7" t="n">
        <x:f>IF('01_Ustawienia'!$B$4="ZWOLNIONY",0,'01_Ustawienia'!$B$7)</x:f>
        <x:v>0.08</x:v>
      </x:c>
      <x:c r="N777" s="8" t="n">
        <x:f>IF(J777="","",ROUND((J777+K777)*(1+M777),0))</x:f>
        <x:v>534</x:v>
      </x:c>
      <x:c r="O777" s="8" t="n">
        <x:f>IF(J777="","",J777+K777-H777-L777)</x:f>
        <x:v>153</x:v>
      </x:c>
      <x:c r="P777" s="7" t="n">
        <x:f>IFERROR(O777/(J777+K777),"")</x:f>
        <x:v>0.3097165991902834</x:v>
      </x:c>
      <x:c r="Q777" s="6" t="inlineStr">
        <x:is>
          <x:t xml:space="preserve">RAW_ZP P/Q</x:t>
        </x:is>
      </x:c>
      <x:c r="R777" s="6" t="inlineStr">
        <x:is>
          <x:t xml:space="preserve">OŚWIETLENIE</x:t>
        </x:is>
      </x:c>
      <x:c r="S777" s="6" t="inlineStr">
        <x:is>
          <x:t xml:space="preserve">website+crm</x:t>
        </x:is>
      </x:c>
      <x:c r="T777" s="6" t="n"/>
    </x:row>
    <x:row r="778">
      <x:c r="A778" s="6" t="inlineStr">
        <x:is>
          <x:t xml:space="preserve">500 x 306 cm</x:t>
        </x:is>
      </x:c>
      <x:c r="B778" s="6" t="inlineStr">
        <x:is>
          <x:t xml:space="preserve">LED3</x:t>
        </x:is>
      </x:c>
      <x:c r="C778" s="6" t="inlineStr">
        <x:is>
          <x:t xml:space="preserve">Oświetlenie LED 3 punkty</x:t>
        </x:is>
      </x:c>
      <x:c r="D778" s="6" t="inlineStr">
        <x:is>
          <x:t xml:space="preserve">LED 3 PKT</x:t>
        </x:is>
      </x:c>
      <x:c r="E778" s="8" t="n">
        <x:f>IFERROR(INDEX('02_RAW_INDEX'!$P:$P,MATCH($A778,'02_RAW_INDEX'!$A:$A,0)),"")</x:f>
        <x:v>520</x:v>
      </x:c>
      <x:c r="F778" s="8" t="n">
        <x:f>IFERROR(INDEX('02_RAW_INDEX'!$O:$O,MATCH($A778,'02_RAW_INDEX'!$A:$A,0)),"")</x:f>
        <x:v>640</x:v>
      </x:c>
      <x:c r="G778" s="7" t="n">
        <x:f>'01_Ustawienia'!$B$6</x:f>
        <x:v>0</x:v>
      </x:c>
      <x:c r="H778" s="8" t="n">
        <x:f>IF(E778="","",ROUND(IF('01_Ustawienia'!$B$5="BRUTTO",F778,E778)*(1-G778),0))</x:f>
        <x:v>520</x:v>
      </x:c>
      <x:c r="I778" s="7" t="n">
        <x:f>IFERROR(IFERROR(INDEX('01_Ustawienia'!$B$15:$B$33,MATCH(B778,'01_Ustawienia'!$A$15:$A$33,0)),0.45),0.45)</x:f>
        <x:v>0.45</x:v>
      </x:c>
      <x:c r="J778" s="8" t="n">
        <x:f>IF(H778="","",ROUND(H778*(1+I778),0))</x:f>
        <x:v>754</x:v>
      </x:c>
      <x:c r="K778" s="8" t="n">
        <x:f>0</x:f>
        <x:v>0</x:v>
      </x:c>
      <x:c r="L778" s="8" t="n">
        <x:f>IFERROR(IFERROR(INDEX(EG_Cennik_uslug!$CV:$CV,MATCH($A778,EG_Cennik_uslug!$A:$A,0)),0),0)</x:f>
        <x:v>0</x:v>
      </x:c>
      <x:c r="M778" s="7" t="n">
        <x:f>IF('01_Ustawienia'!$B$4="ZWOLNIONY",0,'01_Ustawienia'!$B$7)</x:f>
        <x:v>0.08</x:v>
      </x:c>
      <x:c r="N778" s="8" t="n">
        <x:f>IF(J778="","",ROUND((J778+K778)*(1+M778),0))</x:f>
        <x:v>814</x:v>
      </x:c>
      <x:c r="O778" s="8" t="n">
        <x:f>IF(J778="","",J778+K778-H778-L778)</x:f>
        <x:v>234</x:v>
      </x:c>
      <x:c r="P778" s="7" t="n">
        <x:f>IFERROR(O778/(J778+K778),"")</x:f>
        <x:v>0.3103448275862069</x:v>
      </x:c>
      <x:c r="Q778" s="6" t="inlineStr">
        <x:is>
          <x:t xml:space="preserve">RAW_ZP R/S</x:t>
        </x:is>
      </x:c>
      <x:c r="R778" s="6" t="inlineStr">
        <x:is>
          <x:t xml:space="preserve">OŚWIETLENIE</x:t>
        </x:is>
      </x:c>
      <x:c r="S778" s="6" t="inlineStr">
        <x:is>
          <x:t xml:space="preserve">website+crm</x:t>
        </x:is>
      </x:c>
      <x:c r="T778" s="6" t="inlineStr">
        <x:is>
          <x:t xml:space="preserve">Nazwa do potwierdzenia</x:t>
        </x:is>
      </x:c>
    </x:row>
    <x:row r="779">
      <x:c r="A779" s="6" t="inlineStr">
        <x:is>
          <x:t xml:space="preserve">500 x 306 cm</x:t>
        </x:is>
      </x:c>
      <x:c r="B779" s="6" t="inlineStr">
        <x:is>
          <x:t xml:space="preserve">LEDCCT</x:t>
        </x:is>
      </x:c>
      <x:c r="C779" s="6" t="inlineStr">
        <x:is>
          <x:t xml:space="preserve">Oświetlenie LED CCT</x:t>
        </x:is>
      </x:c>
      <x:c r="D779" s="6" t="inlineStr">
        <x:is>
          <x:t xml:space="preserve">OŚWIETLENIE</x:t>
        </x:is>
      </x:c>
      <x:c r="E779" s="8" t="n">
        <x:f>IFERROR(INDEX('02_RAW_INDEX'!$R:$R,MATCH($A779,'02_RAW_INDEX'!$A:$A,0)),"")</x:f>
        <x:v>1174</x:v>
      </x:c>
      <x:c r="F779" s="8" t="n">
        <x:f>IFERROR(INDEX('02_RAW_INDEX'!$Q:$Q,MATCH($A779,'02_RAW_INDEX'!$A:$A,0)),"")</x:f>
        <x:v>1444</x:v>
      </x:c>
      <x:c r="G779" s="7" t="n">
        <x:f>'01_Ustawienia'!$B$6</x:f>
        <x:v>0</x:v>
      </x:c>
      <x:c r="H779" s="8" t="n">
        <x:f>IF(E779="","",ROUND(IF('01_Ustawienia'!$B$5="BRUTTO",F779,E779)*(1-G779),0))</x:f>
        <x:v>1174</x:v>
      </x:c>
      <x:c r="I779" s="7" t="n">
        <x:f>IFERROR(IFERROR(INDEX('01_Ustawienia'!$B$15:$B$33,MATCH(B779,'01_Ustawienia'!$A$15:$A$33,0)),0.45),0.45)</x:f>
        <x:v>0.45</x:v>
      </x:c>
      <x:c r="J779" s="8" t="n">
        <x:f>IF(H779="","",ROUND(H779*(1+I779),0)+700)</x:f>
        <x:v>2402</x:v>
      </x:c>
      <x:c r="K779" s="8" t="n">
        <x:f>0</x:f>
        <x:v>0</x:v>
      </x:c>
      <x:c r="L779" s="8" t="n">
        <x:f>0</x:f>
        <x:v>0</x:v>
      </x:c>
      <x:c r="M779" s="7" t="n">
        <x:f>IF('01_Ustawienia'!$B$4="ZWOLNIONY",0,'01_Ustawienia'!$B$7)</x:f>
        <x:v>0.08</x:v>
      </x:c>
      <x:c r="N779" s="8" t="n">
        <x:f>IF(J779="","",ROUND((J779+K779)*(1+M779),0))</x:f>
        <x:v>2594</x:v>
      </x:c>
      <x:c r="O779" s="8" t="n">
        <x:f>IF(J779="","",J779+K779-H779-L779)</x:f>
        <x:v>1228</x:v>
      </x:c>
      <x:c r="P779" s="7" t="n">
        <x:f>IFERROR(O779/(J779+K779),"")</x:f>
        <x:v>0.511240632805995</x:v>
      </x:c>
      <x:c r="Q779" s="715" t="inlineStr">
        <x:is>
          <x:t xml:space="preserve">MODEL_FIX15_LED</x:t>
        </x:is>
      </x:c>
      <x:c r="R779" s="6" t="inlineStr">
        <x:is>
          <x:t xml:space="preserve">OŚWIETLENIE</x:t>
        </x:is>
      </x:c>
      <x:c r="S779" s="6" t="inlineStr">
        <x:is>
          <x:t xml:space="preserve">website+crm</x:t>
        </x:is>
      </x:c>
      <x:c r="T779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780">
      <x:c r="A780" s="6" t="inlineStr">
        <x:is>
          <x:t xml:space="preserve">500 x 306 cm</x:t>
        </x:is>
      </x:c>
      <x:c r="B780" s="6" t="inlineStr">
        <x:is>
          <x:t xml:space="preserve">LEDRGBCCT</x:t>
        </x:is>
      </x:c>
      <x:c r="C780" s="6" t="inlineStr">
        <x:is>
          <x:t xml:space="preserve">Oświetlenie LED RGB CCT</x:t>
        </x:is>
      </x:c>
      <x:c r="D780" s="6" t="inlineStr">
        <x:is>
          <x:t xml:space="preserve">OŚWIETLENIE</x:t>
        </x:is>
      </x:c>
      <x:c r="E780" s="8" t="n">
        <x:f>IFERROR(INDEX('02_RAW_INDEX'!$T:$T,MATCH($A780,'02_RAW_INDEX'!$A:$A,0)),"")</x:f>
        <x:v>1484</x:v>
      </x:c>
      <x:c r="F780" s="8" t="n">
        <x:f>IFERROR(INDEX('02_RAW_INDEX'!$S:$S,MATCH($A780,'02_RAW_INDEX'!$A:$A,0)),"")</x:f>
        <x:v>1825</x:v>
      </x:c>
      <x:c r="G780" s="7" t="n">
        <x:f>'01_Ustawienia'!$B$6</x:f>
        <x:v>0</x:v>
      </x:c>
      <x:c r="H780" s="8" t="n">
        <x:f>IF(E780="","",ROUND(IF('01_Ustawienia'!$B$5="BRUTTO",F780,E780)*(1-G780),0))</x:f>
        <x:v>1484</x:v>
      </x:c>
      <x:c r="I780" s="7" t="n">
        <x:f>IFERROR(IFERROR(INDEX('01_Ustawienia'!$B$15:$B$33,MATCH(B780,'01_Ustawienia'!$A$15:$A$33,0)),0.45),0.45)</x:f>
        <x:v>0.45</x:v>
      </x:c>
      <x:c r="J780" s="8" t="n">
        <x:f>IF(H780="","",ROUND(H780*(1+I780),0))</x:f>
        <x:v>2152</x:v>
      </x:c>
      <x:c r="K780" s="8" t="n">
        <x:f>0</x:f>
        <x:v>0</x:v>
      </x:c>
      <x:c r="L780" s="8" t="n">
        <x:f>0</x:f>
        <x:v>0</x:v>
      </x:c>
      <x:c r="M780" s="7" t="n">
        <x:f>IF('01_Ustawienia'!$B$4="ZWOLNIONY",0,'01_Ustawienia'!$B$7)</x:f>
        <x:v>0.08</x:v>
      </x:c>
      <x:c r="N780" s="8" t="n">
        <x:f>IF(J780="","",ROUND((J780+K780)*(1+M780),0))</x:f>
        <x:v>2324</x:v>
      </x:c>
      <x:c r="O780" s="8" t="n">
        <x:f>IF(J780="","",J780+K780-H780-L780)</x:f>
        <x:v>668</x:v>
      </x:c>
      <x:c r="P780" s="7" t="n">
        <x:f>IFERROR(O780/(J780+K780),"")</x:f>
        <x:v>0.3104089219330855</x:v>
      </x:c>
      <x:c r="Q780" s="715" t="inlineStr">
        <x:is>
          <x:t xml:space="preserve">MODEL_FIX15_LED</x:t>
        </x:is>
      </x:c>
      <x:c r="R780" s="6" t="inlineStr">
        <x:is>
          <x:t xml:space="preserve">OŚWIETLENIE</x:t>
        </x:is>
      </x:c>
      <x:c r="S780" s="6" t="inlineStr">
        <x:is>
          <x:t xml:space="preserve">crm_only</x:t>
        </x:is>
      </x:c>
      <x:c r="T780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781" s="655" customFormat="1" ht="30" customHeight="1">
      <x:c r="A781" s="6" t="inlineStr">
        <x:is>
          <x:t xml:space="preserve">500 x 406 cm</x:t>
        </x:is>
      </x:c>
      <x:c r="B781" s="6" t="inlineStr">
        <x:is>
          <x:t xml:space="preserve">ZP</x:t>
        </x:is>
      </x:c>
      <x:c r="C781" s="6" t="inlineStr">
        <x:is>
          <x:t xml:space="preserve">Zadaszenie poliwęglan - baza</x:t>
        </x:is>
      </x:c>
      <x:c r="D781" s="6" t="inlineStr">
        <x:is>
          <x:t xml:space="preserve">ZADASZENIE POLIWĘGLAN</x:t>
        </x:is>
      </x:c>
      <x:c r="E781" s="8" t="n">
        <x:f>IFERROR(INDEX('02_RAW_INDEX'!$D:$D,MATCH($A781,'02_RAW_INDEX'!$A:$A,0)),"")</x:f>
        <x:v>7878</x:v>
      </x:c>
      <x:c r="F781" s="8" t="n">
        <x:f>IFERROR(INDEX('02_RAW_INDEX'!$C:$C,MATCH($A781,'02_RAW_INDEX'!$A:$A,0)),"")</x:f>
        <x:v>9690</x:v>
      </x:c>
      <x:c r="G781" s="7" t="n">
        <x:f>'01_Ustawienia'!$B$6</x:f>
        <x:v>0</x:v>
      </x:c>
      <x:c r="H781" s="8" t="n">
        <x:f>IF(E781="","",ROUND(IF('01_Ustawienia'!$B$5="BRUTTO",F781,E781)*(1-G781),0))</x:f>
        <x:v>7878</x:v>
      </x:c>
      <x:c r="I781" s="7" t="n">
        <x:f>IFERROR(IFERROR(INDEX('01_Ustawienia'!$B$15:$B$33,MATCH(B781,'01_Ustawienia'!$A$15:$A$33,0)),0.45),0.45)</x:f>
        <x:v>0.45</x:v>
      </x:c>
      <x:c r="J781" s="8" t="n">
        <x:f>IF(H781="","",ROUND(H781*(1+I781),0))</x:f>
        <x:v>11423</x:v>
      </x:c>
      <x:c r="K781" s="8" t="n">
        <x:f>IFERROR(IFERROR(INDEX(EG_Cennik_uslug!$F:$F,MATCH($A781,EG_Cennik_uslug!$A:$A,0)),0),0)</x:f>
        <x:v>3600</x:v>
      </x:c>
      <x:c r="L781" s="8" t="n">
        <x:f>IFERROR(IFERROR(INDEX(EG_Cennik_uslug!$G:$G,MATCH($A781,EG_Cennik_uslug!$A:$A,0)),0),0)</x:f>
        <x:v>1220</x:v>
      </x:c>
      <x:c r="M781" s="7" t="n">
        <x:f>IF('01_Ustawienia'!$B$4="ZWOLNIONY",0,'01_Ustawienia'!$B$7)</x:f>
        <x:v>0.08</x:v>
      </x:c>
      <x:c r="N781" s="8" t="n">
        <x:f>IF(J781="","",ROUND((J781+K781)*(1+M781),0))</x:f>
        <x:v>16225</x:v>
      </x:c>
      <x:c r="O781" s="8" t="n">
        <x:f>IF(J781="","",J781+K781-H781-L781)</x:f>
        <x:v>5925</x:v>
      </x:c>
      <x:c r="P781" s="7" t="n">
        <x:f>IFERROR(O781/(J781+K781),"")</x:f>
        <x:v>0.3943952606004127</x:v>
      </x:c>
      <x:c r="Q781" s="6" t="inlineStr">
        <x:is>
          <x:t xml:space="preserve">RAW_ZP B/C</x:t>
        </x:is>
      </x:c>
      <x:c r="R781" s="6" t="inlineStr">
        <x:is>
          <x:t xml:space="preserve">ZADASZENIE TARASU KONSTRUKCJA</x:t>
        </x:is>
      </x:c>
      <x:c r="S781" s="6" t="inlineStr">
        <x:is>
          <x:t xml:space="preserve">website+crm</x:t>
        </x:is>
      </x:c>
      <x:c r="T781" s="6" t="inlineStr">
        <x:is>
          <x:t xml:space="preserve">Baza dla kalkulatora</x:t>
        </x:is>
      </x:c>
    </x:row>
    <x:row r="782" s="655" customFormat="1" ht="30" customHeight="1">
      <x:c r="A782" s="6" t="inlineStr">
        <x:is>
          <x:t xml:space="preserve">500 x 406 cm</x:t>
        </x:is>
      </x:c>
      <x:c r="B782" s="6" t="inlineStr">
        <x:is>
          <x:t xml:space="preserve">ZS</x:t>
        </x:is>
      </x:c>
      <x:c r="C782" s="6" t="inlineStr">
        <x:is>
          <x:t xml:space="preserve">Zadaszenie szkło - pełna konstrukcja</x:t>
        </x:is>
      </x:c>
      <x:c r="D782" s="6" t="inlineStr">
        <x:is>
          <x:t xml:space="preserve">ZADASZENIE SZKŁO</x:t>
        </x:is>
      </x:c>
      <x:c r="E782" s="8" t="n">
        <x:f>IFERROR(INDEX('02_RAW_INDEX'!$V:$V,MATCH($A782,'02_RAW_INDEX'!$A:$A,0)),"")</x:f>
        <x:v>12179</x:v>
      </x:c>
      <x:c r="F782" s="8" t="n">
        <x:f>IFERROR(INDEX('02_RAW_INDEX'!$U:$U,MATCH($A782,'02_RAW_INDEX'!$A:$A,0)),"")</x:f>
        <x:v>14980</x:v>
      </x:c>
      <x:c r="G782" s="7" t="n">
        <x:f>'01_Ustawienia'!$B$6</x:f>
        <x:v>0</x:v>
      </x:c>
      <x:c r="H782" s="8" t="n">
        <x:f>IF(E782="","",ROUND(IF('01_Ustawienia'!$B$5="BRUTTO",F782,E782)*(1-G782),0))</x:f>
        <x:v>12179</x:v>
      </x:c>
      <x:c r="I782" s="7" t="n">
        <x:f>IFERROR(IFERROR(INDEX('01_Ustawienia'!$B$15:$B$33,MATCH(B782,'01_Ustawienia'!$A$15:$A$33,0)),0.45),0.45)</x:f>
        <x:v>0.45</x:v>
      </x:c>
      <x:c r="J782" s="8" t="n">
        <x:f>IF(H782="","",ROUND(H782*(1+I782),0))</x:f>
        <x:v>17660</x:v>
      </x:c>
      <x:c r="K782" s="8" t="n">
        <x:f>IFERROR(IFERROR(INDEX(EG_Cennik_uslug!$F:$F,MATCH($A782,EG_Cennik_uslug!$A:$A,0)),0),0)</x:f>
        <x:v>3600</x:v>
      </x:c>
      <x:c r="L782" s="8" t="n">
        <x:f>IFERROR(IFERROR(INDEX(EG_Cennik_uslug!$G:$G,MATCH($A782,EG_Cennik_uslug!$A:$A,0)),0),0)</x:f>
        <x:v>1220</x:v>
      </x:c>
      <x:c r="M782" s="7" t="n">
        <x:f>IF('01_Ustawienia'!$B$4="ZWOLNIONY",0,'01_Ustawienia'!$B$7)</x:f>
        <x:v>0.08</x:v>
      </x:c>
      <x:c r="N782" s="8" t="n">
        <x:f>IF(J782="","",ROUND((J782+K782)*(1+M782),0))</x:f>
        <x:v>22961</x:v>
      </x:c>
      <x:c r="O782" s="8" t="n">
        <x:f>IF(J782="","",J782+K782-H782-L782)</x:f>
        <x:v>7861</x:v>
      </x:c>
      <x:c r="P782" s="7" t="n">
        <x:f>IFERROR(O782/(J782+K782),"")</x:f>
        <x:v>0.369755409219191</x:v>
      </x:c>
      <x:c r="Q782" s="6" t="inlineStr">
        <x:is>
          <x:t xml:space="preserve">RAW_ZS B/C</x:t>
        </x:is>
      </x:c>
      <x:c r="R782" s="6" t="inlineStr">
        <x:is>
          <x:t xml:space="preserve">ZADASZENIE TARASU KONSTRUKCJA</x:t>
        </x:is>
      </x:c>
      <x:c r="S782" s="6" t="inlineStr">
        <x:is>
          <x:t xml:space="preserve">crm_only</x:t>
        </x:is>
      </x:c>
      <x:c r="T782" s="6" t="inlineStr">
        <x:is>
          <x:t xml:space="preserve">Referencyjne/full; strona zwykle używa ZP + PDS</x:t>
        </x:is>
      </x:c>
    </x:row>
    <x:row r="783" s="655" customFormat="1" ht="30" customHeight="1">
      <x:c r="A783" s="6" t="inlineStr">
        <x:is>
          <x:t xml:space="preserve">500 x 406 cm</x:t>
        </x:is>
      </x:c>
      <x:c r="B783" s="6" t="inlineStr">
        <x:is>
          <x:t xml:space="preserve">OP</x:t>
        </x:is>
      </x:c>
      <x:c r="C783" s="6" t="inlineStr">
        <x:is>
          <x:t xml:space="preserve">Ogród zimowy poliwęglan - baza</x:t>
        </x:is>
      </x:c>
      <x:c r="D783" s="6" t="inlineStr">
        <x:is>
          <x:t xml:space="preserve">OGRODY POLIWĘGLAN</x:t>
        </x:is>
      </x:c>
      <x:c r="E783" s="8" t="n">
        <x:f>IFERROR(INDEX('02_RAW_INDEX'!$Z:$Z,MATCH($A783,'02_RAW_INDEX'!$A:$A,0)),"")</x:f>
        <x:v>21000</x:v>
      </x:c>
      <x:c r="F783" s="8" t="n">
        <x:f>IFERROR(INDEX('02_RAW_INDEX'!$Y:$Y,MATCH($A783,'02_RAW_INDEX'!$A:$A,0)),"")</x:f>
        <x:v>25830</x:v>
      </x:c>
      <x:c r="G783" s="7" t="n">
        <x:f>'01_Ustawienia'!$B$6</x:f>
        <x:v>0</x:v>
      </x:c>
      <x:c r="H783" s="8" t="n">
        <x:f>IF(E783="","",ROUND(IF('01_Ustawienia'!$B$5="BRUTTO",F783,E783)*(1-G783),0))</x:f>
        <x:v>21000</x:v>
      </x:c>
      <x:c r="I783" s="7" t="n">
        <x:f>IFERROR(IFERROR(INDEX('01_Ustawienia'!$B$15:$B$33,MATCH(B783,'01_Ustawienia'!$A$15:$A$33,0)),0.45),0.45)</x:f>
        <x:v>0.45</x:v>
      </x:c>
      <x:c r="J783" s="8" t="n">
        <x:f>IF(H783="","",ROUND(H783*(1+I783),0))</x:f>
        <x:v>30450</x:v>
      </x:c>
      <x:c r="K783" s="8" t="n">
        <x:f>IFERROR(IFERROR(INDEX(EG_Cennik_uslug!$N:$N,MATCH($A783,EG_Cennik_uslug!$A:$A,0)),0),0)</x:f>
        <x:v>4550</x:v>
      </x:c>
      <x:c r="L783" s="8" t="n">
        <x:f>IFERROR(IFERROR(INDEX(EG_Cennik_uslug!$O:$O,MATCH($A783,EG_Cennik_uslug!$A:$A,0)),0),0)</x:f>
        <x:v>1710</x:v>
      </x:c>
      <x:c r="M783" s="7" t="n">
        <x:f>IF('01_Ustawienia'!$B$4="ZWOLNIONY",0,'01_Ustawienia'!$B$7)</x:f>
        <x:v>0.08</x:v>
      </x:c>
      <x:c r="N783" s="8" t="n">
        <x:f>IF(J783="","",ROUND((J783+K783)*(1+M783),0))</x:f>
        <x:v>37800</x:v>
      </x:c>
      <x:c r="O783" s="8" t="n">
        <x:f>IF(J783="","",J783+K783-H783-L783)</x:f>
        <x:v>12290</x:v>
      </x:c>
      <x:c r="P783" s="7" t="n">
        <x:f>IFERROR(O783/(J783+K783),"")</x:f>
        <x:v>0.35114285714285715</x:v>
      </x:c>
      <x:c r="Q783" s="6" t="inlineStr">
        <x:is>
          <x:t xml:space="preserve">RAW_OP B/C</x:t>
        </x:is>
      </x:c>
      <x:c r="R783" s="6" t="inlineStr">
        <x:is>
          <x:t xml:space="preserve">OGRÓD ZIMOWY (KONSTRUKCJA)</x:t>
        </x:is>
      </x:c>
      <x:c r="S783" s="6" t="inlineStr">
        <x:is>
          <x:t xml:space="preserve">website+crm</x:t>
        </x:is>
      </x:c>
      <x:c r="T783" s="6" t="inlineStr">
        <x:is>
          <x:t xml:space="preserve">Do wyliczenia dopłaty za ściany</x:t>
        </x:is>
      </x:c>
    </x:row>
    <x:row r="784" s="655" customFormat="1" ht="30" customHeight="1">
      <x:c r="A784" s="6" t="inlineStr">
        <x:is>
          <x:t xml:space="preserve">500 x 406 cm</x:t>
        </x:is>
      </x:c>
      <x:c r="B784" s="6" t="inlineStr">
        <x:is>
          <x:t xml:space="preserve">OS</x:t>
        </x:is>
      </x:c>
      <x:c r="C784" s="6" t="inlineStr">
        <x:is>
          <x:t xml:space="preserve">Ogród zimowy szkło - pełna konstrukcja</x:t>
        </x:is>
      </x:c>
      <x:c r="D784" s="6" t="inlineStr">
        <x:is>
          <x:t xml:space="preserve">OGRODY SZKŁO</x:t>
        </x:is>
      </x:c>
      <x:c r="E784" s="8" t="n">
        <x:f>IFERROR(INDEX('02_RAW_INDEX'!$AL:$AL,MATCH($A784,'02_RAW_INDEX'!$A:$A,0)),"")</x:f>
        <x:v>25301</x:v>
      </x:c>
      <x:c r="F784" s="8" t="n">
        <x:f>IFERROR(INDEX('02_RAW_INDEX'!$AK:$AK,MATCH($A784,'02_RAW_INDEX'!$A:$A,0)),"")</x:f>
        <x:v>31120</x:v>
      </x:c>
      <x:c r="G784" s="7" t="n">
        <x:f>'01_Ustawienia'!$B$6</x:f>
        <x:v>0</x:v>
      </x:c>
      <x:c r="H784" s="8" t="n">
        <x:f>IF(E784="","",ROUND(IF('01_Ustawienia'!$B$5="BRUTTO",F784,E784)*(1-G784),0))</x:f>
        <x:v>25301</x:v>
      </x:c>
      <x:c r="I784" s="7" t="n">
        <x:f>IFERROR(IFERROR(INDEX('01_Ustawienia'!$B$15:$B$33,MATCH(B784,'01_Ustawienia'!$A$15:$A$33,0)),0.45),0.45)</x:f>
        <x:v>0.45</x:v>
      </x:c>
      <x:c r="J784" s="8" t="n">
        <x:f>IF(H784="","",ROUND(H784*(1+I784),0))</x:f>
        <x:v>36686</x:v>
      </x:c>
      <x:c r="K784" s="8" t="n">
        <x:f>IFERROR(IFERROR(INDEX(EG_Cennik_uslug!$N:$N,MATCH($A784,EG_Cennik_uslug!$A:$A,0)),0),0)</x:f>
        <x:v>4550</x:v>
      </x:c>
      <x:c r="L784" s="8" t="n">
        <x:f>IFERROR(IFERROR(INDEX(EG_Cennik_uslug!$O:$O,MATCH($A784,EG_Cennik_uslug!$A:$A,0)),0),0)</x:f>
        <x:v>1710</x:v>
      </x:c>
      <x:c r="M784" s="7" t="n">
        <x:f>IF('01_Ustawienia'!$B$4="ZWOLNIONY",0,'01_Ustawienia'!$B$7)</x:f>
        <x:v>0.08</x:v>
      </x:c>
      <x:c r="N784" s="8" t="n">
        <x:f>IF(J784="","",ROUND((J784+K784)*(1+M784),0))</x:f>
        <x:v>44535</x:v>
      </x:c>
      <x:c r="O784" s="8" t="n">
        <x:f>IF(J784="","",J784+K784-H784-L784)</x:f>
        <x:v>14225</x:v>
      </x:c>
      <x:c r="P784" s="7" t="n">
        <x:f>IFERROR(O784/(J784+K784),"")</x:f>
        <x:v>0.3449655640702299</x:v>
      </x:c>
      <x:c r="Q784" s="6" t="inlineStr">
        <x:is>
          <x:t xml:space="preserve">RAW_OS B/C</x:t>
        </x:is>
      </x:c>
      <x:c r="R784" s="6" t="inlineStr">
        <x:is>
          <x:t xml:space="preserve">OGRÓD ZIMOWY (KONSTRUKCJA)</x:t>
        </x:is>
      </x:c>
      <x:c r="S784" s="6" t="inlineStr">
        <x:is>
          <x:t xml:space="preserve">crm_only</x:t>
        </x:is>
      </x:c>
      <x:c r="T784" s="6" t="inlineStr">
        <x:is>
          <x:t xml:space="preserve">Referencyjne/full</x:t>
        </x:is>
      </x:c>
    </x:row>
    <x:row r="785" s="655" customFormat="1" ht="30" customHeight="1">
      <x:c r="A785" s="6" t="inlineStr">
        <x:is>
          <x:t xml:space="preserve">500 x 406 cm</x:t>
        </x:is>
      </x:c>
      <x:c r="B785" s="6" t="inlineStr">
        <x:is>
          <x:t xml:space="preserve">PDS</x:t>
        </x:is>
      </x:c>
      <x:c r="C785" s="6" t="inlineStr">
        <x:is>
          <x:t xml:space="preserve">Dopłata dach szkło przezroczyste</x:t>
        </x:is>
      </x:c>
      <x:c r="D785" s="6" t="inlineStr">
        <x:is>
          <x:t xml:space="preserve">POKRYCIE DACHU SZKŁO</x:t>
        </x:is>
      </x:c>
      <x:c r="E785" s="8" t="n">
        <x:f>IFERROR(IFERROR(INDEX('02_RAW_INDEX'!$V:$V,MATCH($A785,'02_RAW_INDEX'!$A:$A,0)),"")-IFERROR(INDEX('02_RAW_INDEX'!$D:$D,MATCH($A785,'02_RAW_INDEX'!$A:$A,0)),""),"")</x:f>
        <x:v>4301</x:v>
      </x:c>
      <x:c r="F785" s="8" t="n">
        <x:f>IFERROR(IFERROR(INDEX('02_RAW_INDEX'!$U:$U,MATCH($A785,'02_RAW_INDEX'!$A:$A,0)),"")-IFERROR(INDEX('02_RAW_INDEX'!$C:$C,MATCH($A785,'02_RAW_INDEX'!$A:$A,0)),""),"")</x:f>
        <x:v>5290</x:v>
      </x:c>
      <x:c r="G785" s="7" t="n">
        <x:f>'01_Ustawienia'!$B$6</x:f>
        <x:v>0</x:v>
      </x:c>
      <x:c r="H785" s="8" t="n">
        <x:f>IF(E785="","",ROUND(IF('01_Ustawienia'!$B$5="BRUTTO",F785,E785)*(1-G785),0))</x:f>
        <x:v>4301</x:v>
      </x:c>
      <x:c r="I785" s="7" t="n">
        <x:f>IFERROR(IFERROR(INDEX('01_Ustawienia'!$B$15:$B$33,MATCH(B785,'01_Ustawienia'!$A$15:$A$33,0)),0.45),0.45)</x:f>
        <x:v>0.45</x:v>
      </x:c>
      <x:c r="J785" s="8" t="n">
        <x:f>IF(H785="","",ROUND(H785*(1+I785),0))</x:f>
        <x:v>6236</x:v>
      </x:c>
      <x:c r="K785" s="8" t="n">
        <x:f>0</x:f>
        <x:v>0</x:v>
      </x:c>
      <x:c r="L785" s="8" t="n">
        <x:v>0</x:v>
      </x:c>
      <x:c r="M785" s="7" t="n">
        <x:f>IF('01_Ustawienia'!$B$4="ZWOLNIONY",0,'01_Ustawienia'!$B$7)</x:f>
        <x:v>0.08</x:v>
      </x:c>
      <x:c r="N785" s="8" t="n">
        <x:f>IF(J785="","",ROUND((J785+K785)*(1+M785),0))</x:f>
        <x:v>6735</x:v>
      </x:c>
      <x:c r="O785" s="8" t="n">
        <x:f>IF(J785="","",J785+K785-H785-L785)</x:f>
        <x:v>1935</x:v>
      </x:c>
      <x:c r="P785" s="7" t="n">
        <x:f>IFERROR(O785/(J785+K785),"")</x:f>
        <x:v>0.3102950609364978</x:v>
      </x:c>
      <x:c r="Q785" s="6" t="inlineStr">
        <x:is>
          <x:t xml:space="preserve">RAW_ZS - RAW_ZP</x:t>
        </x:is>
      </x:c>
      <x:c r="R785" s="6" t="inlineStr">
        <x:is>
          <x:t xml:space="preserve">POKRYCIE DACHU</x:t>
        </x:is>
      </x:c>
      <x:c r="S785" s="6" t="inlineStr">
        <x:is>
          <x:t xml:space="preserve">website+crm</x:t>
        </x:is>
      </x:c>
      <x:c r="T785" s="6" t="inlineStr">
        <x:is>
          <x:t xml:space="preserve">Dopłata do bazowego dachu poliwęglan | FIX17: Wynagr.+koszty = 0 dla dopłaty; nie jest osobnym montażem ekipy.</x:t>
        </x:is>
      </x:c>
    </x:row>
    <x:row r="786" s="655" customFormat="1" ht="30" customHeight="1">
      <x:c r="A786" s="6" t="inlineStr">
        <x:is>
          <x:t xml:space="preserve">500 x 406 cm</x:t>
        </x:is>
      </x:c>
      <x:c r="B786" s="6" t="inlineStr">
        <x:is>
          <x:t xml:space="preserve">PDSB</x:t>
        </x:is>
      </x:c>
      <x:c r="C786" s="6" t="inlineStr">
        <x:is>
          <x:t xml:space="preserve">Dopłata dach szkło barwione/mleczne</x:t>
        </x:is>
      </x:c>
      <x:c r="D786" s="6" t="inlineStr">
        <x:is>
          <x:t xml:space="preserve">POKRYCIE DACHU SZKŁO BARWIONE</x:t>
        </x:is>
      </x:c>
      <x:c r="E786" s="8" t="n">
        <x:f>IFERROR(INDEX('02_RAW_INDEX'!$X:$X,MATCH($A786,'02_RAW_INDEX'!$A:$A,0)),"")</x:f>
        <x:v>455</x:v>
      </x:c>
      <x:c r="F786" s="8" t="n">
        <x:f>IFERROR(INDEX('02_RAW_INDEX'!$W:$W,MATCH($A786,'02_RAW_INDEX'!$A:$A,0)),"")</x:f>
        <x:v>560</x:v>
      </x:c>
      <x:c r="G786" s="7" t="n">
        <x:f>'01_Ustawienia'!$B$6</x:f>
        <x:v>0</x:v>
      </x:c>
      <x:c r="H786" s="8" t="n">
        <x:f>IF(E786="","",ROUND(IF('01_Ustawienia'!$B$5="BRUTTO",F786,E786)*(1-G786),0))</x:f>
        <x:v>455</x:v>
      </x:c>
      <x:c r="I786" s="7" t="n">
        <x:f>IFERROR(IFERROR(INDEX('01_Ustawienia'!$B$15:$B$33,MATCH(B786,'01_Ustawienia'!$A$15:$A$33,0)),0.45),0.45)</x:f>
        <x:v>0.45</x:v>
      </x:c>
      <x:c r="J786" s="8" t="n">
        <x:f>IF(H786="","",ROUND(H786*(1+I786),0))</x:f>
        <x:v>660</x:v>
      </x:c>
      <x:c r="K786" s="8" t="n">
        <x:f>0</x:f>
        <x:v>0</x:v>
      </x:c>
      <x:c r="L786" s="8" t="n">
        <x:v>0</x:v>
      </x:c>
      <x:c r="M786" s="7" t="n">
        <x:f>IF('01_Ustawienia'!$B$4="ZWOLNIONY",0,'01_Ustawienia'!$B$7)</x:f>
        <x:v>0.08</x:v>
      </x:c>
      <x:c r="N786" s="8" t="n">
        <x:f>IF(J786="","",ROUND((J786+K786)*(1+M786),0))</x:f>
        <x:v>713</x:v>
      </x:c>
      <x:c r="O786" s="8" t="n">
        <x:f>IF(J786="","",J786+K786-H786-L786)</x:f>
        <x:v>205</x:v>
      </x:c>
      <x:c r="P786" s="7" t="n">
        <x:f>IFERROR(O786/(J786+K786),"")</x:f>
        <x:v>0.3106060606060606</x:v>
      </x:c>
      <x:c r="Q786" s="6" t="inlineStr">
        <x:is>
          <x:t xml:space="preserve">RAW_ZS D/E</x:t>
        </x:is>
      </x:c>
      <x:c r="R786" s="6" t="inlineStr">
        <x:is>
          <x:t xml:space="preserve">POKRYCIE DACHU</x:t>
        </x:is>
      </x:c>
      <x:c r="S786" s="6" t="inlineStr">
        <x:is>
          <x:t xml:space="preserve">website+crm</x:t>
        </x:is>
      </x:c>
      <x:c r="T786" s="6" t="inlineStr">
        <x:is>
          <x:t xml:space="preserve">Dodawane do PDS | FIX17: Wynagr.+koszty = 0 dla dopłaty; nie jest osobnym montażem ekipy.</x:t>
        </x:is>
      </x:c>
    </x:row>
    <x:row r="787" s="655" customFormat="1" ht="30" customHeight="1">
      <x:c r="A787" s="6" t="inlineStr">
        <x:is>
          <x:t xml:space="preserve">500 x 406 cm</x:t>
        </x:is>
      </x:c>
      <x:c r="B787" s="6" t="inlineStr">
        <x:is>
          <x:t xml:space="preserve">PDPB</x:t>
        </x:is>
      </x:c>
      <x:c r="C787" s="6" t="inlineStr">
        <x:is>
          <x:t xml:space="preserve">Dopłata poliwęglan barwiony</x:t>
        </x:is>
      </x:c>
      <x:c r="D787" s="6" t="inlineStr">
        <x:is>
          <x:t xml:space="preserve">POKRYCIE DACHU POLIWĘGLAN BARWIONY</x:t>
        </x:is>
      </x:c>
      <x:c r="E787" s="8" t="n">
        <x:f>IFERROR(INDEX('02_RAW_INDEX'!$F:$F,MATCH($A787,'02_RAW_INDEX'!$A:$A,0)),"")</x:f>
        <x:v>341</x:v>
      </x:c>
      <x:c r="F787" s="8" t="n">
        <x:f>IFERROR(INDEX('02_RAW_INDEX'!$E:$E,MATCH($A787,'02_RAW_INDEX'!$A:$A,0)),"")</x:f>
        <x:v>420</x:v>
      </x:c>
      <x:c r="G787" s="7" t="n">
        <x:f>'01_Ustawienia'!$B$6</x:f>
        <x:v>0</x:v>
      </x:c>
      <x:c r="H787" s="8" t="n">
        <x:f>IF(E787="","",ROUND(IF('01_Ustawienia'!$B$5="BRUTTO",F787,E787)*(1-G787),0))</x:f>
        <x:v>341</x:v>
      </x:c>
      <x:c r="I787" s="7" t="n">
        <x:f>IFERROR(IFERROR(INDEX('01_Ustawienia'!$B$15:$B$33,MATCH(B787,'01_Ustawienia'!$A$15:$A$33,0)),0.45),0.45)</x:f>
        <x:v>0.45</x:v>
      </x:c>
      <x:c r="J787" s="8" t="n">
        <x:f>IF(H787="","",ROUND(H787*(1+I787),0))</x:f>
        <x:v>494</x:v>
      </x:c>
      <x:c r="K787" s="8" t="n">
        <x:f>0</x:f>
        <x:v>0</x:v>
      </x:c>
      <x:c r="L787" s="8" t="n">
        <x:v>0</x:v>
      </x:c>
      <x:c r="M787" s="7" t="n">
        <x:f>IF('01_Ustawienia'!$B$4="ZWOLNIONY",0,'01_Ustawienia'!$B$7)</x:f>
        <x:v>0.08</x:v>
      </x:c>
      <x:c r="N787" s="8" t="n">
        <x:f>IF(J787="","",ROUND((J787+K787)*(1+M787),0))</x:f>
        <x:v>534</x:v>
      </x:c>
      <x:c r="O787" s="8" t="n">
        <x:f>IF(J787="","",J787+K787-H787-L787)</x:f>
        <x:v>153</x:v>
      </x:c>
      <x:c r="P787" s="7" t="n">
        <x:f>IFERROR(O787/(J787+K787),"")</x:f>
        <x:v>0.3097165991902834</x:v>
      </x:c>
      <x:c r="Q787" s="6" t="inlineStr">
        <x:is>
          <x:t xml:space="preserve">RAW_ZP D/E</x:t>
        </x:is>
      </x:c>
      <x:c r="R787" s="6" t="inlineStr">
        <x:is>
          <x:t xml:space="preserve">POKRYCIE DACHU</x:t>
        </x:is>
      </x:c>
      <x:c r="S787" s="6" t="inlineStr">
        <x:is>
          <x:t xml:space="preserve">website+crm</x:t>
        </x:is>
      </x:c>
      <x:c r="T787" s="6" t="inlineStr">
        <x:is>
          <x:t xml:space="preserve">FIX17: Wynagr.+koszty = 0 dla dopłaty; nie jest osobnym montażem ekipy.</x:t>
        </x:is>
      </x:c>
    </x:row>
    <x:row r="788" s="655" customFormat="1" ht="30" customHeight="1">
      <x:c r="A788" s="6" t="inlineStr">
        <x:is>
          <x:t xml:space="preserve">500 x 406 cm</x:t>
        </x:is>
      </x:c>
      <x:c r="B788" s="6" t="inlineStr">
        <x:is>
          <x:t xml:space="preserve">SBB</x:t>
        </x:is>
      </x:c>
      <x:c r="C788" s="6" t="inlineStr">
        <x:is>
          <x:t xml:space="preserve">Dopłata szkło boczne przyciemniane</x:t>
        </x:is>
      </x:c>
      <x:c r="D788" s="6" t="inlineStr">
        <x:is>
          <x:t xml:space="preserve">SZKŁO BOCZNE BARWIONE</x:t>
        </x:is>
      </x:c>
      <x:c r="E788" s="8" t="n">
        <x:f>IFERROR(INDEX('02_RAW_INDEX'!$AB:$AB,MATCH($A788,'02_RAW_INDEX'!$A:$A,0)),"")</x:f>
        <x:v>1366</x:v>
      </x:c>
      <x:c r="F788" s="8" t="n">
        <x:f>IFERROR(INDEX('02_RAW_INDEX'!$AA:$AA,MATCH($A788,'02_RAW_INDEX'!$A:$A,0)),"")</x:f>
        <x:v>1680</x:v>
      </x:c>
      <x:c r="G788" s="7" t="n">
        <x:f>'01_Ustawienia'!$B$6</x:f>
        <x:v>0</x:v>
      </x:c>
      <x:c r="H788" s="8" t="n">
        <x:f>IF(E788="","",ROUND(IF('01_Ustawienia'!$B$5="BRUTTO",F788,E788)*(1-G788),0))</x:f>
        <x:v>1366</x:v>
      </x:c>
      <x:c r="I788" s="7" t="n">
        <x:f>IFERROR(IFERROR(INDEX('01_Ustawienia'!$B$15:$B$33,MATCH(B788,'01_Ustawienia'!$A$15:$A$33,0)),0.45),0.45)</x:f>
        <x:v>0.45</x:v>
      </x:c>
      <x:c r="J788" s="8" t="n">
        <x:f>IF(H788="","",ROUND(H788*(1+I788),0))</x:f>
        <x:v>1981</x:v>
      </x:c>
      <x:c r="K788" s="8" t="n">
        <x:f>0</x:f>
        <x:v>0</x:v>
      </x:c>
      <x:c r="L788" s="8" t="n">
        <x:v>0</x:v>
      </x:c>
      <x:c r="M788" s="7" t="n">
        <x:f>IF('01_Ustawienia'!$B$4="ZWOLNIONY",0,'01_Ustawienia'!$B$7)</x:f>
        <x:v>0.08</x:v>
      </x:c>
      <x:c r="N788" s="8" t="n">
        <x:f>IF(J788="","",ROUND((J788+K788)*(1+M788),0))</x:f>
        <x:v>2139</x:v>
      </x:c>
      <x:c r="O788" s="8" t="n">
        <x:f>IF(J788="","",J788+K788-H788-L788)</x:f>
        <x:v>615</x:v>
      </x:c>
      <x:c r="P788" s="7" t="n">
        <x:f>IFERROR(O788/(J788+K788),"")</x:f>
        <x:v>0.3104492680464412</x:v>
      </x:c>
      <x:c r="Q788" s="6" t="inlineStr">
        <x:is>
          <x:t xml:space="preserve">RAW_OP H/I</x:t>
        </x:is>
      </x:c>
      <x:c r="R788" s="6" t="inlineStr">
        <x:is>
          <x:t xml:space="preserve">SZYBY BOCZNE</x:t>
        </x:is>
      </x:c>
      <x:c r="S788" s="6" t="inlineStr">
        <x:is>
          <x:t xml:space="preserve">website+crm</x:t>
        </x:is>
      </x:c>
      <x:c r="T788" s="6" t="inlineStr">
        <x:is>
          <x:t xml:space="preserve">Dodawane do ścian przezroczystych | FIX17: Wynagr.+koszty = 0 dla dopłaty; nie jest osobnym montażem ekipy.</x:t>
        </x:is>
      </x:c>
    </x:row>
    <x:row r="789">
      <x:c r="A789" s="6" t="inlineStr">
        <x:is>
          <x:t xml:space="preserve">500 x 406 cm</x:t>
        </x:is>
      </x:c>
      <x:c r="B789" s="6" t="inlineStr">
        <x:is>
          <x:t xml:space="preserve">RB</x:t>
        </x:is>
      </x:c>
      <x:c r="C789" s="6" t="inlineStr">
        <x:is>
          <x:t xml:space="preserve">Roleta boczna ZIP</x:t>
        </x:is>
      </x:c>
      <x:c r="D789" s="6" t="inlineStr">
        <x:is>
          <x:t xml:space="preserve">ROLETA BOCZNA</x:t>
        </x:is>
      </x:c>
      <x:c r="E789" s="8" t="n">
        <x:f>IFERROR(INDEX('02_RAW_INDEX'!$J:$J,MATCH($A789,'02_RAW_INDEX'!$A:$A,0)),"")</x:f>
        <x:v>3008</x:v>
      </x:c>
      <x:c r="F789" s="8" t="n">
        <x:f>IFERROR(INDEX('02_RAW_INDEX'!$I:$I,MATCH($A789,'02_RAW_INDEX'!$A:$A,0)),"")</x:f>
        <x:v>3700</x:v>
      </x:c>
      <x:c r="G789" s="7" t="n">
        <x:f>'01_Ustawienia'!$B$6</x:f>
        <x:v>0</x:v>
      </x:c>
      <x:c r="H789" s="8" t="n">
        <x:f>IF(E789="","",ROUND(IF('01_Ustawienia'!$B$5="BRUTTO",F789,E789)*(1-G789),0))</x:f>
        <x:v>3008</x:v>
      </x:c>
      <x:c r="I789" s="7" t="n">
        <x:f>IFERROR(IFERROR(INDEX('01_Ustawienia'!$B$15:$B$33,MATCH(B789,'01_Ustawienia'!$A$15:$A$33,0)),0.45),0.45)</x:f>
        <x:v>0.45</x:v>
      </x:c>
      <x:c r="J789" s="8" t="n">
        <x:f>IF(H789="","",ROUND(H789*(1+I789),0))</x:f>
        <x:v>4362</x:v>
      </x:c>
      <x:c r="K789" s="8" t="n">
        <x:f>0</x:f>
        <x:v>0</x:v>
      </x:c>
      <x:c r="L789" s="8" t="n">
        <x:f>IFERROR(IFERROR(INDEX(EG_Cennik_uslug!$AC:$AC,MATCH($A789,EG_Cennik_uslug!$A:$A,0)),0),0)</x:f>
        <x:v>150</x:v>
      </x:c>
      <x:c r="M789" s="7" t="n">
        <x:f>IF('01_Ustawienia'!$B$4="ZWOLNIONY",0,'01_Ustawienia'!$B$7)</x:f>
        <x:v>0.08</x:v>
      </x:c>
      <x:c r="N789" s="8" t="n">
        <x:f>IF(J789="","",ROUND((J789+K789)*(1+M789),0))</x:f>
        <x:v>4711</x:v>
      </x:c>
      <x:c r="O789" s="8" t="n">
        <x:f>IF(J789="","",J789+K789-H789-L789)</x:f>
        <x:v>1204</x:v>
      </x:c>
      <x:c r="P789" s="7" t="n">
        <x:f>IFERROR(O789/(J789+K789),"")</x:f>
        <x:v>0.27602017423200365</x:v>
      </x:c>
      <x:c r="Q789" s="6" t="inlineStr">
        <x:is>
          <x:t xml:space="preserve">RAW_ZP J/K</x:t>
        </x:is>
      </x:c>
      <x:c r="R789" s="6" t="inlineStr">
        <x:is>
          <x:t xml:space="preserve">ROLETY BOCZNE</x:t>
        </x:is>
      </x:c>
      <x:c r="S789" s="6" t="inlineStr">
        <x:is>
          <x:t xml:space="preserve">website+crm</x:t>
        </x:is>
      </x:c>
      <x:c r="T789" s="6" t="inlineStr">
        <x:is>
          <x:t xml:space="preserve">Używana dla lewej i prawej</x:t>
        </x:is>
      </x:c>
    </x:row>
    <x:row r="790">
      <x:c r="A790" s="6" t="inlineStr">
        <x:is>
          <x:t xml:space="preserve">500 x 406 cm</x:t>
        </x:is>
      </x:c>
      <x:c r="B790" s="6" t="inlineStr">
        <x:is>
          <x:t xml:space="preserve">RP</x:t>
        </x:is>
      </x:c>
      <x:c r="C790" s="6" t="inlineStr">
        <x:is>
          <x:t xml:space="preserve">Roleta przednia ZIP</x:t>
        </x:is>
      </x:c>
      <x:c r="D790" s="6" t="inlineStr">
        <x:is>
          <x:t xml:space="preserve">ROLETA PRZÓD</x:t>
        </x:is>
      </x:c>
      <x:c r="E790" s="8" t="n">
        <x:f>IFERROR(INDEX('02_RAW_INDEX'!$L:$L,MATCH($A790,'02_RAW_INDEX'!$A:$A,0)),"")</x:f>
        <x:v>2146</x:v>
      </x:c>
      <x:c r="F790" s="8" t="n">
        <x:f>IFERROR(INDEX('02_RAW_INDEX'!$K:$K,MATCH($A790,'02_RAW_INDEX'!$A:$A,0)),"")</x:f>
        <x:v>2640</x:v>
      </x:c>
      <x:c r="G790" s="7" t="n">
        <x:f>'01_Ustawienia'!$B$6</x:f>
        <x:v>0</x:v>
      </x:c>
      <x:c r="H790" s="8" t="n">
        <x:f>IF(E790="","",ROUND(IF('01_Ustawienia'!$B$5="BRUTTO",F790,E790)*(1-G790),0))</x:f>
        <x:v>2146</x:v>
      </x:c>
      <x:c r="I790" s="7" t="n">
        <x:f>IFERROR(IFERROR(INDEX('01_Ustawienia'!$B$15:$B$33,MATCH(B790,'01_Ustawienia'!$A$15:$A$33,0)),0.45),0.45)</x:f>
        <x:v>0.45</x:v>
      </x:c>
      <x:c r="J790" s="8" t="n">
        <x:f>IF(H790="","",ROUND(H790*(1+I790),0))</x:f>
        <x:v>3112</x:v>
      </x:c>
      <x:c r="K790" s="8" t="n">
        <x:f>0</x:f>
        <x:v>0</x:v>
      </x:c>
      <x:c r="L790" s="8" t="n">
        <x:f>IFERROR(IFERROR(INDEX(EG_Cennik_uslug!$AJ:$AJ,MATCH($A790,EG_Cennik_uslug!$A:$A,0)),0),0)</x:f>
        <x:v>150</x:v>
      </x:c>
      <x:c r="M790" s="7" t="n">
        <x:f>IF('01_Ustawienia'!$B$4="ZWOLNIONY",0,'01_Ustawienia'!$B$7)</x:f>
        <x:v>0.08</x:v>
      </x:c>
      <x:c r="N790" s="8" t="n">
        <x:f>IF(J790="","",ROUND((J790+K790)*(1+M790),0))</x:f>
        <x:v>3361</x:v>
      </x:c>
      <x:c r="O790" s="8" t="n">
        <x:f>IF(J790="","",J790+K790-H790-L790)</x:f>
        <x:v>816</x:v>
      </x:c>
      <x:c r="P790" s="7" t="n">
        <x:f>IFERROR(O790/(J790+K790),"")</x:f>
        <x:v>0.2622107969151671</x:v>
      </x:c>
      <x:c r="Q790" s="6" t="inlineStr">
        <x:is>
          <x:t xml:space="preserve">RAW_ZP N/O</x:t>
        </x:is>
      </x:c>
      <x:c r="R790" s="6" t="inlineStr">
        <x:is>
          <x:t xml:space="preserve">ROLETY BOCZNE</x:t>
        </x:is>
      </x:c>
      <x:c r="S790" s="6" t="inlineStr">
        <x:is>
          <x:t xml:space="preserve">website+crm</x:t>
        </x:is>
      </x:c>
      <x:c r="T790" s="6" t="n"/>
    </x:row>
    <x:row r="791">
      <x:c r="A791" s="6" t="inlineStr">
        <x:is>
          <x:t xml:space="preserve">500 x 406 cm</x:t>
        </x:is>
      </x:c>
      <x:c r="B791" s="6" t="inlineStr">
        <x:is>
          <x:t xml:space="preserve">M</x:t>
        </x:is>
      </x:c>
      <x:c r="C791" s="6" t="inlineStr">
        <x:is>
          <x:t xml:space="preserve">Markiza dachowa</x:t>
        </x:is>
      </x:c>
      <x:c r="D791" s="6" t="inlineStr">
        <x:is>
          <x:t xml:space="preserve">MARKIZA</x:t>
        </x:is>
      </x:c>
      <x:c r="E791" s="8" t="n">
        <x:f>IFERROR(INDEX('02_RAW_INDEX'!$H:$H,MATCH($A791,'02_RAW_INDEX'!$A:$A,0)),"")</x:f>
        <x:v>3797</x:v>
      </x:c>
      <x:c r="F791" s="8" t="n">
        <x:f>IFERROR(INDEX('02_RAW_INDEX'!$G:$G,MATCH($A791,'02_RAW_INDEX'!$A:$A,0)),"")</x:f>
        <x:v>4670</x:v>
      </x:c>
      <x:c r="G791" s="7" t="n">
        <x:f>'01_Ustawienia'!$B$6</x:f>
        <x:v>0</x:v>
      </x:c>
      <x:c r="H791" s="8" t="n">
        <x:f>IF(E791="","",ROUND(IF('01_Ustawienia'!$B$5="BRUTTO",F791,E791)*(1-G791),0))</x:f>
        <x:v>3797</x:v>
      </x:c>
      <x:c r="I791" s="7" t="n">
        <x:f>IFERROR(IFERROR(INDEX('01_Ustawienia'!$B$15:$B$33,MATCH(B791,'01_Ustawienia'!$A$15:$A$33,0)),0.45),0.45)</x:f>
        <x:v>0.45</x:v>
      </x:c>
      <x:c r="J791" s="8" t="n">
        <x:f>IF(H791="","",ROUND(H791*(1+I791),0))</x:f>
        <x:v>5506</x:v>
      </x:c>
      <x:c r="K791" s="8" t="n">
        <x:f>0</x:f>
        <x:v>0</x:v>
      </x:c>
      <x:c r="L791" s="8" t="n">
        <x:f>IFERROR(IFERROR(INDEX(EG_Cennik_uslug!$AQ:$AQ,MATCH($A791,EG_Cennik_uslug!$A:$A,0)),0),0)</x:f>
        <x:v>250</x:v>
      </x:c>
      <x:c r="M791" s="7" t="n">
        <x:f>IF('01_Ustawienia'!$B$4="ZWOLNIONY",0,'01_Ustawienia'!$B$7)</x:f>
        <x:v>0.08</x:v>
      </x:c>
      <x:c r="N791" s="8" t="n">
        <x:f>IF(J791="","",ROUND((J791+K791)*(1+M791),0))</x:f>
        <x:v>5946</x:v>
      </x:c>
      <x:c r="O791" s="8" t="n">
        <x:f>IF(J791="","",J791+K791-H791-L791)</x:f>
        <x:v>1459</x:v>
      </x:c>
      <x:c r="P791" s="7" t="n">
        <x:f>IFERROR(O791/(J791+K791),"")</x:f>
        <x:v>0.2649836541954232</x:v>
      </x:c>
      <x:c r="Q791" s="6" t="inlineStr">
        <x:is>
          <x:t xml:space="preserve">RAW_ZP H/I</x:t>
        </x:is>
      </x:c>
      <x:c r="R791" s="6" t="inlineStr">
        <x:is>
          <x:t xml:space="preserve">MARKIZA</x:t>
        </x:is>
      </x:c>
      <x:c r="S791" s="6" t="inlineStr">
        <x:is>
          <x:t xml:space="preserve">website+crm</x:t>
        </x:is>
      </x:c>
      <x:c r="T791" s="6" t="n"/>
    </x:row>
    <x:row r="792">
      <x:c r="A792" s="6" t="inlineStr">
        <x:is>
          <x:t xml:space="preserve">500 x 406 cm</x:t>
        </x:is>
      </x:c>
      <x:c r="B792" s="6" t="inlineStr">
        <x:is>
          <x:t xml:space="preserve">PDWP</x:t>
        </x:is>
      </x:c>
      <x:c r="C792" s="6" t="inlineStr">
        <x:is>
          <x:t xml:space="preserve">Fundament/profile</x:t>
        </x:is>
      </x:c>
      <x:c r="D792" s="6" t="inlineStr">
        <x:is>
          <x:t xml:space="preserve">FUNDAMENT / PROFILE</x:t>
        </x:is>
      </x:c>
      <x:c r="E792" s="8" t="n">
        <x:f>IFERROR(INDEX('02_RAW_INDEX'!$AH:$AH,MATCH($A792,'02_RAW_INDEX'!$A:$A,0)),"")</x:f>
        <x:v>1041</x:v>
      </x:c>
      <x:c r="F792" s="8" t="n">
        <x:f>IFERROR(INDEX('02_RAW_INDEX'!$AG:$AG,MATCH($A792,'02_RAW_INDEX'!$A:$A,0)),"")</x:f>
        <x:v>1280</x:v>
      </x:c>
      <x:c r="G792" s="7" t="n">
        <x:f>'01_Ustawienia'!$B$6</x:f>
        <x:v>0</x:v>
      </x:c>
      <x:c r="H792" s="8" t="n">
        <x:f>IF(E792="","",ROUND(IF('01_Ustawienia'!$B$5="BRUTTO",F792,E792)*(1-G792),0))</x:f>
        <x:v>1041</x:v>
      </x:c>
      <x:c r="I792" s="7" t="n">
        <x:f>IFERROR(IFERROR(INDEX('01_Ustawienia'!$B$15:$B$33,MATCH(B792,'01_Ustawienia'!$A$15:$A$33,0)),0.45),0.45)</x:f>
        <x:v>1.2</x:v>
      </x:c>
      <x:c r="J792" s="8" t="n">
        <x:f>IF(H792="","",ROUND(H792*(1+I792),0))</x:f>
        <x:v>2290</x:v>
      </x:c>
      <x:c r="K792" s="8" t="n">
        <x:f>0</x:f>
        <x:v>0</x:v>
      </x:c>
      <x:c r="L792" s="8" t="n">
        <x:f>IFERROR(IFERROR(INDEX(EG_Cennik_uslug!$BT:$BT,MATCH($A792,EG_Cennik_uslug!$A:$A,0)),0),0)</x:f>
        <x:v>490</x:v>
      </x:c>
      <x:c r="M792" s="7" t="n">
        <x:f>IF('01_Ustawienia'!$B$4="ZWOLNIONY",0,'01_Ustawienia'!$B$7)</x:f>
        <x:v>0.08</x:v>
      </x:c>
      <x:c r="N792" s="8" t="n">
        <x:f>IF(J792="","",ROUND((J792+K792)*(1+M792),0))</x:f>
        <x:v>2473</x:v>
      </x:c>
      <x:c r="O792" s="8" t="n">
        <x:f>IF(J792="","",J792+K792-H792-L792)</x:f>
        <x:v>759</x:v>
      </x:c>
      <x:c r="P792" s="7" t="n">
        <x:f>IFERROR(O792/(J792+K792),"")</x:f>
        <x:v>0.3314410480349345</x:v>
      </x:c>
      <x:c r="Q792" s="6" t="inlineStr">
        <x:is>
          <x:t xml:space="preserve">RAW_OP AB/AC</x:t>
        </x:is>
      </x:c>
      <x:c r="R792" s="6" t="inlineStr">
        <x:is>
          <x:t xml:space="preserve">FUNDAMENT (PROFILE)</x:t>
        </x:is>
      </x:c>
      <x:c r="S792" s="6" t="inlineStr">
        <x:is>
          <x:t xml:space="preserve">website+crm</x:t>
        </x:is>
      </x:c>
      <x:c r="T792" s="6" t="n"/>
    </x:row>
    <x:row r="793" s="655" customFormat="1" ht="30" customHeight="1">
      <x:c r="A793" s="6" t="inlineStr">
        <x:is>
          <x:t xml:space="preserve">500 x 406 cm</x:t>
        </x:is>
      </x:c>
      <x:c r="B793" s="6" t="inlineStr">
        <x:is>
          <x:t xml:space="preserve">ZAB</x:t>
        </x:is>
      </x:c>
      <x:c r="C793" s="6" t="inlineStr">
        <x:is>
          <x:t xml:space="preserve">Zabieraki do ścian przesuwnych</x:t>
        </x:is>
      </x:c>
      <x:c r="D793" s="6" t="inlineStr">
        <x:is>
          <x:t xml:space="preserve">DODATKI</x:t>
        </x:is>
      </x:c>
      <x:c r="E793" s="8" t="n">
        <x:f>IFERROR(INDEX('02_RAW_INDEX'!$AJ:$AJ,MATCH($A793,'02_RAW_INDEX'!$A:$A,0)),"")</x:f>
        <x:v>358</x:v>
      </x:c>
      <x:c r="F793" s="8" t="n">
        <x:f>IFERROR(INDEX('02_RAW_INDEX'!$AI:$AI,MATCH($A793,'02_RAW_INDEX'!$A:$A,0)),"")</x:f>
        <x:v>440</x:v>
      </x:c>
      <x:c r="G793" s="7" t="n">
        <x:f>'01_Ustawienia'!$B$6</x:f>
        <x:v>0</x:v>
      </x:c>
      <x:c r="H793" s="8" t="n">
        <x:f>IF(E793="","",ROUND(IF('01_Ustawienia'!$B$5="BRUTTO",F793,E793)*(1-G793),0))</x:f>
        <x:v>358</x:v>
      </x:c>
      <x:c r="I793" s="7" t="n">
        <x:f>IFERROR(IFERROR(INDEX('01_Ustawienia'!$B$15:$B$33,MATCH(B793,'01_Ustawienia'!$A$15:$A$33,0)),0.45),0.45)</x:f>
        <x:v>0.45</x:v>
      </x:c>
      <x:c r="J793" s="8" t="n">
        <x:f>IF(H793="","",ROUND(H793*(1+I793),0))</x:f>
        <x:v>519</x:v>
      </x:c>
      <x:c r="K793" s="8" t="n">
        <x:f>0</x:f>
        <x:v>0</x:v>
      </x:c>
      <x:c r="L793" s="8" t="n">
        <x:f>0</x:f>
        <x:v>0</x:v>
      </x:c>
      <x:c r="M793" s="7" t="n">
        <x:f>IF('01_Ustawienia'!$B$4="ZWOLNIONY",0,'01_Ustawienia'!$B$7)</x:f>
        <x:v>0.08</x:v>
      </x:c>
      <x:c r="N793" s="8" t="n">
        <x:f>IF(J793="","",ROUND((J793+K793)*(1+M793),0))</x:f>
        <x:v>561</x:v>
      </x:c>
      <x:c r="O793" s="8" t="n">
        <x:f>IF(J793="","",J793+K793-H793-L793)</x:f>
        <x:v>161</x:v>
      </x:c>
      <x:c r="P793" s="7" t="n">
        <x:f>IFERROR(O793/(J793+K793),"")</x:f>
        <x:v>0.31021194605009633</x:v>
      </x:c>
      <x:c r="Q793" s="6" t="inlineStr">
        <x:is>
          <x:t xml:space="preserve">RAW_OP AD/AE</x:t>
        </x:is>
      </x:c>
      <x:c r="R793" s="6" t="inlineStr">
        <x:is>
          <x:t xml:space="preserve">DODATKI</x:t>
        </x:is>
      </x:c>
      <x:c r="S793" s="6" t="inlineStr">
        <x:is>
          <x:t xml:space="preserve">crm_only</x:t>
        </x:is>
      </x:c>
      <x:c r="T793" s="6" t="n"/>
    </x:row>
    <x:row r="794">
      <x:c r="A794" s="6" t="inlineStr">
        <x:is>
          <x:t xml:space="preserve">500 x 406 cm</x:t>
        </x:is>
      </x:c>
      <x:c r="B794" s="6" t="inlineStr">
        <x:is>
          <x:t xml:space="preserve">S</x:t>
        </x:is>
      </x:c>
      <x:c r="C794" s="6" t="inlineStr">
        <x:is>
          <x:t xml:space="preserve">Szczotki przeciwkurzowe</x:t>
        </x:is>
      </x:c>
      <x:c r="D794" s="6" t="inlineStr">
        <x:is>
          <x:t xml:space="preserve">SZCZOTKI</x:t>
        </x:is>
      </x:c>
      <x:c r="E794" s="8" t="n">
        <x:f>IFERROR(INDEX('02_RAW_INDEX'!$AD:$AD,MATCH($A794,'02_RAW_INDEX'!$A:$A,0)),"")</x:f>
        <x:v>431</x:v>
      </x:c>
      <x:c r="F794" s="8" t="n">
        <x:f>IFERROR(INDEX('02_RAW_INDEX'!$AC:$AC,MATCH($A794,'02_RAW_INDEX'!$A:$A,0)),"")</x:f>
        <x:v>530</x:v>
      </x:c>
      <x:c r="G794" s="7" t="n">
        <x:f>'01_Ustawienia'!$B$6</x:f>
        <x:v>0</x:v>
      </x:c>
      <x:c r="H794" s="8" t="n">
        <x:f>IF(E794="","",ROUND(IF('01_Ustawienia'!$B$5="BRUTTO",F794,E794)*(1-G794),0))</x:f>
        <x:v>431</x:v>
      </x:c>
      <x:c r="I794" s="7" t="n">
        <x:f>IFERROR(IFERROR(INDEX('01_Ustawienia'!$B$15:$B$33,MATCH(B794,'01_Ustawienia'!$A$15:$A$33,0)),0.45),0.45)</x:f>
        <x:v>0.45</x:v>
      </x:c>
      <x:c r="J794" s="8" t="n">
        <x:f>IF(H794="","",ROUND(H794*(1+I794),0))</x:f>
        <x:v>625</x:v>
      </x:c>
      <x:c r="K794" s="8" t="n">
        <x:f>0</x:f>
        <x:v>0</x:v>
      </x:c>
      <x:c r="L794" s="8" t="n">
        <x:f>IFERROR(IFERROR(INDEX(EG_Cennik_uslug!$CA:$CA,MATCH($A794,EG_Cennik_uslug!$A:$A,0)),0),0)</x:f>
        <x:v>0</x:v>
      </x:c>
      <x:c r="M794" s="7" t="n">
        <x:f>IF('01_Ustawienia'!$B$4="ZWOLNIONY",0,'01_Ustawienia'!$B$7)</x:f>
        <x:v>0.08</x:v>
      </x:c>
      <x:c r="N794" s="8" t="n">
        <x:f>IF(J794="","",ROUND((J794+K794)*(1+M794),0))</x:f>
        <x:v>675</x:v>
      </x:c>
      <x:c r="O794" s="8" t="n">
        <x:f>IF(J794="","",J794+K794-H794-L794)</x:f>
        <x:v>194</x:v>
      </x:c>
      <x:c r="P794" s="7" t="n">
        <x:f>IFERROR(O794/(J794+K794),"")</x:f>
        <x:v>0.3104</x:v>
      </x:c>
      <x:c r="Q794" s="6" t="inlineStr">
        <x:is>
          <x:t xml:space="preserve">RAW_OP L/M</x:t>
        </x:is>
      </x:c>
      <x:c r="R794" s="6" t="inlineStr">
        <x:is>
          <x:t xml:space="preserve">DODATKI</x:t>
        </x:is>
      </x:c>
      <x:c r="S794" s="6" t="inlineStr">
        <x:is>
          <x:t xml:space="preserve">website+crm</x:t>
        </x:is>
      </x:c>
      <x:c r="T794" s="6" t="n"/>
    </x:row>
    <x:row r="795">
      <x:c r="A795" s="6" t="inlineStr">
        <x:is>
          <x:t xml:space="preserve">500 x 406 cm</x:t>
        </x:is>
      </x:c>
      <x:c r="B795" s="6" t="inlineStr">
        <x:is>
          <x:t xml:space="preserve">U</x:t>
        </x:is>
      </x:c>
      <x:c r="C795" s="6" t="inlineStr">
        <x:is>
          <x:t xml:space="preserve">Uchwyty na szkło ścienne</x:t>
        </x:is>
      </x:c>
      <x:c r="D795" s="6" t="inlineStr">
        <x:is>
          <x:t xml:space="preserve">UCHWYTY</x:t>
        </x:is>
      </x:c>
      <x:c r="E795" s="8" t="n">
        <x:f>IFERROR(INDEX('02_RAW_INDEX'!$AF:$AF,MATCH($A795,'02_RAW_INDEX'!$A:$A,0)),"")</x:f>
        <x:v>390</x:v>
      </x:c>
      <x:c r="F795" s="8" t="n">
        <x:f>IFERROR(INDEX('02_RAW_INDEX'!$AE:$AE,MATCH($A795,'02_RAW_INDEX'!$A:$A,0)),"")</x:f>
        <x:v>480</x:v>
      </x:c>
      <x:c r="G795" s="7" t="n">
        <x:f>'01_Ustawienia'!$B$6</x:f>
        <x:v>0</x:v>
      </x:c>
      <x:c r="H795" s="8" t="n">
        <x:f>IF(E795="","",ROUND(IF('01_Ustawienia'!$B$5="BRUTTO",F795,E795)*(1-G795),0))</x:f>
        <x:v>390</x:v>
      </x:c>
      <x:c r="I795" s="7" t="n">
        <x:f>IFERROR(IFERROR(INDEX('01_Ustawienia'!$B$15:$B$33,MATCH(B795,'01_Ustawienia'!$A$15:$A$33,0)),0.45),0.45)</x:f>
        <x:v>0.45</x:v>
      </x:c>
      <x:c r="J795" s="8" t="n">
        <x:f>IF(H795="","",ROUND(H795*(1+I795),0))</x:f>
        <x:v>566</x:v>
      </x:c>
      <x:c r="K795" s="8" t="n">
        <x:f>0</x:f>
        <x:v>0</x:v>
      </x:c>
      <x:c r="L795" s="8" t="n">
        <x:f>IFERROR(IFERROR(INDEX(EG_Cennik_uslug!$CH:$CH,MATCH($A795,EG_Cennik_uslug!$A:$A,0)),0),0)</x:f>
        <x:v>0</x:v>
      </x:c>
      <x:c r="M795" s="7" t="n">
        <x:f>IF('01_Ustawienia'!$B$4="ZWOLNIONY",0,'01_Ustawienia'!$B$7)</x:f>
        <x:v>0.08</x:v>
      </x:c>
      <x:c r="N795" s="8" t="n">
        <x:f>IF(J795="","",ROUND((J795+K795)*(1+M795),0))</x:f>
        <x:v>611</x:v>
      </x:c>
      <x:c r="O795" s="8" t="n">
        <x:f>IF(J795="","",J795+K795-H795-L795)</x:f>
        <x:v>176</x:v>
      </x:c>
      <x:c r="P795" s="7" t="n">
        <x:f>IFERROR(O795/(J795+K795),"")</x:f>
        <x:v>0.31095406360424027</x:v>
      </x:c>
      <x:c r="Q795" s="6" t="inlineStr">
        <x:is>
          <x:t xml:space="preserve">RAW_OP N/O</x:t>
        </x:is>
      </x:c>
      <x:c r="R795" s="6" t="inlineStr">
        <x:is>
          <x:t xml:space="preserve">DODATKI</x:t>
        </x:is>
      </x:c>
      <x:c r="S795" s="6" t="inlineStr">
        <x:is>
          <x:t xml:space="preserve">website+crm</x:t>
        </x:is>
      </x:c>
      <x:c r="T795" s="6" t="n"/>
    </x:row>
    <x:row r="796">
      <x:c r="A796" s="6" t="inlineStr">
        <x:is>
          <x:t xml:space="preserve">500 x 406 cm</x:t>
        </x:is>
      </x:c>
      <x:c r="B796" s="6" t="inlineStr">
        <x:is>
          <x:t xml:space="preserve">LED2</x:t>
        </x:is>
      </x:c>
      <x:c r="C796" s="6" t="inlineStr">
        <x:is>
          <x:t xml:space="preserve">Oświetlenie LED 2 punkty</x:t>
        </x:is>
      </x:c>
      <x:c r="D796" s="6" t="inlineStr">
        <x:is>
          <x:t xml:space="preserve">LED 2 PKT</x:t>
        </x:is>
      </x:c>
      <x:c r="E796" s="8" t="n">
        <x:f>IFERROR(INDEX('02_RAW_INDEX'!$N:$N,MATCH($A796,'02_RAW_INDEX'!$A:$A,0)),"")</x:f>
        <x:v>415</x:v>
      </x:c>
      <x:c r="F796" s="8" t="n">
        <x:f>IFERROR(INDEX('02_RAW_INDEX'!$M:$M,MATCH($A796,'02_RAW_INDEX'!$A:$A,0)),"")</x:f>
        <x:v>510</x:v>
      </x:c>
      <x:c r="G796" s="7" t="n">
        <x:f>'01_Ustawienia'!$B$6</x:f>
        <x:v>0</x:v>
      </x:c>
      <x:c r="H796" s="8" t="n">
        <x:f>IF(E796="","",ROUND(IF('01_Ustawienia'!$B$5="BRUTTO",F796,E796)*(1-G796),0))</x:f>
        <x:v>415</x:v>
      </x:c>
      <x:c r="I796" s="7" t="n">
        <x:f>IFERROR(IFERROR(INDEX('01_Ustawienia'!$B$15:$B$33,MATCH(B796,'01_Ustawienia'!$A$15:$A$33,0)),0.45),0.45)</x:f>
        <x:v>0.45</x:v>
      </x:c>
      <x:c r="J796" s="8" t="n">
        <x:f>IF(H796="","",ROUND(H796*(1+I796),0))</x:f>
        <x:v>602</x:v>
      </x:c>
      <x:c r="K796" s="8" t="n">
        <x:f>0</x:f>
        <x:v>0</x:v>
      </x:c>
      <x:c r="L796" s="8" t="n">
        <x:f>IFERROR(IFERROR(INDEX(EG_Cennik_uslug!$CO:$CO,MATCH($A796,EG_Cennik_uslug!$A:$A,0)),0),0)</x:f>
        <x:v>0</x:v>
      </x:c>
      <x:c r="M796" s="7" t="n">
        <x:f>IF('01_Ustawienia'!$B$4="ZWOLNIONY",0,'01_Ustawienia'!$B$7)</x:f>
        <x:v>0.08</x:v>
      </x:c>
      <x:c r="N796" s="8" t="n">
        <x:f>IF(J796="","",ROUND((J796+K796)*(1+M796),0))</x:f>
        <x:v>650</x:v>
      </x:c>
      <x:c r="O796" s="8" t="n">
        <x:f>IF(J796="","",J796+K796-H796-L796)</x:f>
        <x:v>187</x:v>
      </x:c>
      <x:c r="P796" s="7" t="n">
        <x:f>IFERROR(O796/(J796+K796),"")</x:f>
        <x:v>0.3106312292358804</x:v>
      </x:c>
      <x:c r="Q796" s="6" t="inlineStr">
        <x:is>
          <x:t xml:space="preserve">RAW_ZP P/Q</x:t>
        </x:is>
      </x:c>
      <x:c r="R796" s="6" t="inlineStr">
        <x:is>
          <x:t xml:space="preserve">OŚWIETLENIE</x:t>
        </x:is>
      </x:c>
      <x:c r="S796" s="6" t="inlineStr">
        <x:is>
          <x:t xml:space="preserve">website+crm</x:t>
        </x:is>
      </x:c>
      <x:c r="T796" s="6" t="n"/>
    </x:row>
    <x:row r="797">
      <x:c r="A797" s="6" t="inlineStr">
        <x:is>
          <x:t xml:space="preserve">500 x 406 cm</x:t>
        </x:is>
      </x:c>
      <x:c r="B797" s="6" t="inlineStr">
        <x:is>
          <x:t xml:space="preserve">LED3</x:t>
        </x:is>
      </x:c>
      <x:c r="C797" s="6" t="inlineStr">
        <x:is>
          <x:t xml:space="preserve">Oświetlenie LED 3 punkty</x:t>
        </x:is>
      </x:c>
      <x:c r="D797" s="6" t="inlineStr">
        <x:is>
          <x:t xml:space="preserve">LED 3 PKT</x:t>
        </x:is>
      </x:c>
      <x:c r="E797" s="8" t="n">
        <x:f>IFERROR(INDEX('02_RAW_INDEX'!$P:$P,MATCH($A797,'02_RAW_INDEX'!$A:$A,0)),"")</x:f>
        <x:v>602</x:v>
      </x:c>
      <x:c r="F797" s="8" t="n">
        <x:f>IFERROR(INDEX('02_RAW_INDEX'!$O:$O,MATCH($A797,'02_RAW_INDEX'!$A:$A,0)),"")</x:f>
        <x:v>740</x:v>
      </x:c>
      <x:c r="G797" s="7" t="n">
        <x:f>'01_Ustawienia'!$B$6</x:f>
        <x:v>0</x:v>
      </x:c>
      <x:c r="H797" s="8" t="n">
        <x:f>IF(E797="","",ROUND(IF('01_Ustawienia'!$B$5="BRUTTO",F797,E797)*(1-G797),0))</x:f>
        <x:v>602</x:v>
      </x:c>
      <x:c r="I797" s="7" t="n">
        <x:f>IFERROR(IFERROR(INDEX('01_Ustawienia'!$B$15:$B$33,MATCH(B797,'01_Ustawienia'!$A$15:$A$33,0)),0.45),0.45)</x:f>
        <x:v>0.45</x:v>
      </x:c>
      <x:c r="J797" s="8" t="n">
        <x:f>IF(H797="","",ROUND(H797*(1+I797),0))</x:f>
        <x:v>873</x:v>
      </x:c>
      <x:c r="K797" s="8" t="n">
        <x:f>0</x:f>
        <x:v>0</x:v>
      </x:c>
      <x:c r="L797" s="8" t="n">
        <x:f>IFERROR(IFERROR(INDEX(EG_Cennik_uslug!$CV:$CV,MATCH($A797,EG_Cennik_uslug!$A:$A,0)),0),0)</x:f>
        <x:v>0</x:v>
      </x:c>
      <x:c r="M797" s="7" t="n">
        <x:f>IF('01_Ustawienia'!$B$4="ZWOLNIONY",0,'01_Ustawienia'!$B$7)</x:f>
        <x:v>0.08</x:v>
      </x:c>
      <x:c r="N797" s="8" t="n">
        <x:f>IF(J797="","",ROUND((J797+K797)*(1+M797),0))</x:f>
        <x:v>943</x:v>
      </x:c>
      <x:c r="O797" s="8" t="n">
        <x:f>IF(J797="","",J797+K797-H797-L797)</x:f>
        <x:v>271</x:v>
      </x:c>
      <x:c r="P797" s="7" t="n">
        <x:f>IFERROR(O797/(J797+K797),"")</x:f>
        <x:v>0.3104238258877434</x:v>
      </x:c>
      <x:c r="Q797" s="6" t="inlineStr">
        <x:is>
          <x:t xml:space="preserve">RAW_ZP R/S</x:t>
        </x:is>
      </x:c>
      <x:c r="R797" s="6" t="inlineStr">
        <x:is>
          <x:t xml:space="preserve">OŚWIETLENIE</x:t>
        </x:is>
      </x:c>
      <x:c r="S797" s="6" t="inlineStr">
        <x:is>
          <x:t xml:space="preserve">website+crm</x:t>
        </x:is>
      </x:c>
      <x:c r="T797" s="6" t="inlineStr">
        <x:is>
          <x:t xml:space="preserve">Nazwa do potwierdzenia</x:t>
        </x:is>
      </x:c>
    </x:row>
    <x:row r="798">
      <x:c r="A798" s="6" t="inlineStr">
        <x:is>
          <x:t xml:space="preserve">500 x 406 cm</x:t>
        </x:is>
      </x:c>
      <x:c r="B798" s="6" t="inlineStr">
        <x:is>
          <x:t xml:space="preserve">LEDCCT</x:t>
        </x:is>
      </x:c>
      <x:c r="C798" s="6" t="inlineStr">
        <x:is>
          <x:t xml:space="preserve">Oświetlenie LED CCT</x:t>
        </x:is>
      </x:c>
      <x:c r="D798" s="6" t="inlineStr">
        <x:is>
          <x:t xml:space="preserve">OŚWIETLENIE</x:t>
        </x:is>
      </x:c>
      <x:c r="E798" s="8" t="n">
        <x:f>IFERROR(INDEX('02_RAW_INDEX'!$R:$R,MATCH($A798,'02_RAW_INDEX'!$A:$A,0)),"")</x:f>
        <x:v>1403</x:v>
      </x:c>
      <x:c r="F798" s="8" t="n">
        <x:f>IFERROR(INDEX('02_RAW_INDEX'!$Q:$Q,MATCH($A798,'02_RAW_INDEX'!$A:$A,0)),"")</x:f>
        <x:v>1726</x:v>
      </x:c>
      <x:c r="G798" s="7" t="n">
        <x:f>'01_Ustawienia'!$B$6</x:f>
        <x:v>0</x:v>
      </x:c>
      <x:c r="H798" s="8" t="n">
        <x:f>IF(E798="","",ROUND(IF('01_Ustawienia'!$B$5="BRUTTO",F798,E798)*(1-G798),0))</x:f>
        <x:v>1403</x:v>
      </x:c>
      <x:c r="I798" s="7" t="n">
        <x:f>IFERROR(IFERROR(INDEX('01_Ustawienia'!$B$15:$B$33,MATCH(B798,'01_Ustawienia'!$A$15:$A$33,0)),0.45),0.45)</x:f>
        <x:v>0.45</x:v>
      </x:c>
      <x:c r="J798" s="8" t="n">
        <x:f>IF(H798="","",ROUND(H798*(1+I798),0)+700)</x:f>
        <x:v>2734</x:v>
      </x:c>
      <x:c r="K798" s="8" t="n">
        <x:f>0</x:f>
        <x:v>0</x:v>
      </x:c>
      <x:c r="L798" s="8" t="n">
        <x:f>0</x:f>
        <x:v>0</x:v>
      </x:c>
      <x:c r="M798" s="7" t="n">
        <x:f>IF('01_Ustawienia'!$B$4="ZWOLNIONY",0,'01_Ustawienia'!$B$7)</x:f>
        <x:v>0.08</x:v>
      </x:c>
      <x:c r="N798" s="8" t="n">
        <x:f>IF(J798="","",ROUND((J798+K798)*(1+M798),0))</x:f>
        <x:v>2953</x:v>
      </x:c>
      <x:c r="O798" s="8" t="n">
        <x:f>IF(J798="","",J798+K798-H798-L798)</x:f>
        <x:v>1331</x:v>
      </x:c>
      <x:c r="P798" s="7" t="n">
        <x:f>IFERROR(O798/(J798+K798),"")</x:f>
        <x:v>0.48683247988295536</x:v>
      </x:c>
      <x:c r="Q798" s="715" t="inlineStr">
        <x:is>
          <x:t xml:space="preserve">MODEL_FIX15_LED</x:t>
        </x:is>
      </x:c>
      <x:c r="R798" s="6" t="inlineStr">
        <x:is>
          <x:t xml:space="preserve">OŚWIETLENIE</x:t>
        </x:is>
      </x:c>
      <x:c r="S798" s="6" t="inlineStr">
        <x:is>
          <x:t xml:space="preserve">website+crm</x:t>
        </x:is>
      </x:c>
      <x:c r="T798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799">
      <x:c r="A799" s="6" t="inlineStr">
        <x:is>
          <x:t xml:space="preserve">500 x 406 cm</x:t>
        </x:is>
      </x:c>
      <x:c r="B799" s="6" t="inlineStr">
        <x:is>
          <x:t xml:space="preserve">LEDRGBCCT</x:t>
        </x:is>
      </x:c>
      <x:c r="C799" s="6" t="inlineStr">
        <x:is>
          <x:t xml:space="preserve">Oświetlenie LED RGB CCT</x:t>
        </x:is>
      </x:c>
      <x:c r="D799" s="6" t="inlineStr">
        <x:is>
          <x:t xml:space="preserve">OŚWIETLENIE</x:t>
        </x:is>
      </x:c>
      <x:c r="E799" s="8" t="n">
        <x:f>IFERROR(INDEX('02_RAW_INDEX'!$T:$T,MATCH($A799,'02_RAW_INDEX'!$A:$A,0)),"")</x:f>
        <x:v>1824</x:v>
      </x:c>
      <x:c r="F799" s="8" t="n">
        <x:f>IFERROR(INDEX('02_RAW_INDEX'!$S:$S,MATCH($A799,'02_RAW_INDEX'!$A:$A,0)),"")</x:f>
        <x:v>2244</x:v>
      </x:c>
      <x:c r="G799" s="7" t="n">
        <x:f>'01_Ustawienia'!$B$6</x:f>
        <x:v>0</x:v>
      </x:c>
      <x:c r="H799" s="8" t="n">
        <x:f>IF(E799="","",ROUND(IF('01_Ustawienia'!$B$5="BRUTTO",F799,E799)*(1-G799),0))</x:f>
        <x:v>1824</x:v>
      </x:c>
      <x:c r="I799" s="7" t="n">
        <x:f>IFERROR(IFERROR(INDEX('01_Ustawienia'!$B$15:$B$33,MATCH(B799,'01_Ustawienia'!$A$15:$A$33,0)),0.45),0.45)</x:f>
        <x:v>0.45</x:v>
      </x:c>
      <x:c r="J799" s="8" t="n">
        <x:f>IF(H799="","",ROUND(H799*(1+I799),0))</x:f>
        <x:v>2645</x:v>
      </x:c>
      <x:c r="K799" s="8" t="n">
        <x:f>0</x:f>
        <x:v>0</x:v>
      </x:c>
      <x:c r="L799" s="8" t="n">
        <x:f>0</x:f>
        <x:v>0</x:v>
      </x:c>
      <x:c r="M799" s="7" t="n">
        <x:f>IF('01_Ustawienia'!$B$4="ZWOLNIONY",0,'01_Ustawienia'!$B$7)</x:f>
        <x:v>0.08</x:v>
      </x:c>
      <x:c r="N799" s="8" t="n">
        <x:f>IF(J799="","",ROUND((J799+K799)*(1+M799),0))</x:f>
        <x:v>2857</x:v>
      </x:c>
      <x:c r="O799" s="8" t="n">
        <x:f>IF(J799="","",J799+K799-H799-L799)</x:f>
        <x:v>821</x:v>
      </x:c>
      <x:c r="P799" s="7" t="n">
        <x:f>IFERROR(O799/(J799+K799),"")</x:f>
        <x:v>0.3103969754253308</x:v>
      </x:c>
      <x:c r="Q799" s="715" t="inlineStr">
        <x:is>
          <x:t xml:space="preserve">MODEL_FIX15_LED</x:t>
        </x:is>
      </x:c>
      <x:c r="R799" s="6" t="inlineStr">
        <x:is>
          <x:t xml:space="preserve">OŚWIETLENIE</x:t>
        </x:is>
      </x:c>
      <x:c r="S799" s="6" t="inlineStr">
        <x:is>
          <x:t xml:space="preserve">crm_only</x:t>
        </x:is>
      </x:c>
      <x:c r="T799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800" s="655" customFormat="1" ht="30" customHeight="1">
      <x:c r="A800" s="6" t="inlineStr">
        <x:is>
          <x:t xml:space="preserve">500 x 506 cm</x:t>
        </x:is>
      </x:c>
      <x:c r="B800" s="6" t="inlineStr">
        <x:is>
          <x:t xml:space="preserve">ZP</x:t>
        </x:is>
      </x:c>
      <x:c r="C800" s="6" t="inlineStr">
        <x:is>
          <x:t xml:space="preserve">Zadaszenie poliwęglan - baza</x:t>
        </x:is>
      </x:c>
      <x:c r="D800" s="6" t="inlineStr">
        <x:is>
          <x:t xml:space="preserve">ZADASZENIE POLIWĘGLAN</x:t>
        </x:is>
      </x:c>
      <x:c r="E800" s="8" t="n">
        <x:f>IFERROR(INDEX('02_RAW_INDEX'!$D:$D,MATCH($A800,'02_RAW_INDEX'!$A:$A,0)),"")</x:f>
        <x:v>9772</x:v>
      </x:c>
      <x:c r="F800" s="8" t="n">
        <x:f>IFERROR(INDEX('02_RAW_INDEX'!$C:$C,MATCH($A800,'02_RAW_INDEX'!$A:$A,0)),"")</x:f>
        <x:v>12020</x:v>
      </x:c>
      <x:c r="G800" s="7" t="n">
        <x:f>'01_Ustawienia'!$B$6</x:f>
        <x:v>0</x:v>
      </x:c>
      <x:c r="H800" s="8" t="n">
        <x:f>IF(E800="","",ROUND(IF('01_Ustawienia'!$B$5="BRUTTO",F800,E800)*(1-G800),0))</x:f>
        <x:v>9772</x:v>
      </x:c>
      <x:c r="I800" s="7" t="n">
        <x:f>IFERROR(IFERROR(INDEX('01_Ustawienia'!$B$15:$B$33,MATCH(B800,'01_Ustawienia'!$A$15:$A$33,0)),0.45),0.45)</x:f>
        <x:v>0.45</x:v>
      </x:c>
      <x:c r="J800" s="8" t="n">
        <x:f>IF(H800="","",ROUND(H800*(1+I800),0))</x:f>
        <x:v>14169</x:v>
      </x:c>
      <x:c r="K800" s="8" t="n">
        <x:f>IFERROR(IFERROR(INDEX(EG_Cennik_uslug!$F:$F,MATCH($A800,EG_Cennik_uslug!$A:$A,0)),0),0)</x:f>
        <x:v>3870</x:v>
      </x:c>
      <x:c r="L800" s="8" t="n">
        <x:f>IFERROR(IFERROR(INDEX(EG_Cennik_uslug!$G:$G,MATCH($A800,EG_Cennik_uslug!$A:$A,0)),0),0)</x:f>
        <x:v>1350</x:v>
      </x:c>
      <x:c r="M800" s="7" t="n">
        <x:f>IF('01_Ustawienia'!$B$4="ZWOLNIONY",0,'01_Ustawienia'!$B$7)</x:f>
        <x:v>0.08</x:v>
      </x:c>
      <x:c r="N800" s="8" t="n">
        <x:f>IF(J800="","",ROUND((J800+K800)*(1+M800),0))</x:f>
        <x:v>19482</x:v>
      </x:c>
      <x:c r="O800" s="8" t="n">
        <x:f>IF(J800="","",J800+K800-H800-L800)</x:f>
        <x:v>6917</x:v>
      </x:c>
      <x:c r="P800" s="7" t="n">
        <x:f>IFERROR(O800/(J800+K800),"")</x:f>
        <x:v>0.3834469759964521</x:v>
      </x:c>
      <x:c r="Q800" s="6" t="inlineStr">
        <x:is>
          <x:t xml:space="preserve">RAW_ZP B/C</x:t>
        </x:is>
      </x:c>
      <x:c r="R800" s="6" t="inlineStr">
        <x:is>
          <x:t xml:space="preserve">ZADASZENIE TARASU KONSTRUKCJA</x:t>
        </x:is>
      </x:c>
      <x:c r="S800" s="6" t="inlineStr">
        <x:is>
          <x:t xml:space="preserve">website+crm</x:t>
        </x:is>
      </x:c>
      <x:c r="T800" s="6" t="inlineStr">
        <x:is>
          <x:t xml:space="preserve">Baza dla kalkulatora</x:t>
        </x:is>
      </x:c>
    </x:row>
    <x:row r="801" s="655" customFormat="1" ht="30" customHeight="1">
      <x:c r="A801" s="6" t="inlineStr">
        <x:is>
          <x:t xml:space="preserve">500 x 506 cm</x:t>
        </x:is>
      </x:c>
      <x:c r="B801" s="6" t="inlineStr">
        <x:is>
          <x:t xml:space="preserve">ZS</x:t>
        </x:is>
      </x:c>
      <x:c r="C801" s="6" t="inlineStr">
        <x:is>
          <x:t xml:space="preserve">Zadaszenie szkło - pełna konstrukcja</x:t>
        </x:is>
      </x:c>
      <x:c r="D801" s="6" t="inlineStr">
        <x:is>
          <x:t xml:space="preserve">ZADASZENIE SZKŁO</x:t>
        </x:is>
      </x:c>
      <x:c r="E801" s="8" t="n">
        <x:f>IFERROR(INDEX('02_RAW_INDEX'!$V:$V,MATCH($A801,'02_RAW_INDEX'!$A:$A,0)),"")</x:f>
        <x:v>15325</x:v>
      </x:c>
      <x:c r="F801" s="8" t="n">
        <x:f>IFERROR(INDEX('02_RAW_INDEX'!$U:$U,MATCH($A801,'02_RAW_INDEX'!$A:$A,0)),"")</x:f>
        <x:v>18850</x:v>
      </x:c>
      <x:c r="G801" s="7" t="n">
        <x:f>'01_Ustawienia'!$B$6</x:f>
        <x:v>0</x:v>
      </x:c>
      <x:c r="H801" s="8" t="n">
        <x:f>IF(E801="","",ROUND(IF('01_Ustawienia'!$B$5="BRUTTO",F801,E801)*(1-G801),0))</x:f>
        <x:v>15325</x:v>
      </x:c>
      <x:c r="I801" s="7" t="n">
        <x:f>IFERROR(IFERROR(INDEX('01_Ustawienia'!$B$15:$B$33,MATCH(B801,'01_Ustawienia'!$A$15:$A$33,0)),0.45),0.45)</x:f>
        <x:v>0.45</x:v>
      </x:c>
      <x:c r="J801" s="8" t="n">
        <x:f>IF(H801="","",ROUND(H801*(1+I801),0))</x:f>
        <x:v>22221</x:v>
      </x:c>
      <x:c r="K801" s="8" t="n">
        <x:f>IFERROR(IFERROR(INDEX(EG_Cennik_uslug!$F:$F,MATCH($A801,EG_Cennik_uslug!$A:$A,0)),0),0)</x:f>
        <x:v>3870</x:v>
      </x:c>
      <x:c r="L801" s="8" t="n">
        <x:f>IFERROR(IFERROR(INDEX(EG_Cennik_uslug!$G:$G,MATCH($A801,EG_Cennik_uslug!$A:$A,0)),0),0)</x:f>
        <x:v>1350</x:v>
      </x:c>
      <x:c r="M801" s="7" t="n">
        <x:f>IF('01_Ustawienia'!$B$4="ZWOLNIONY",0,'01_Ustawienia'!$B$7)</x:f>
        <x:v>0.08</x:v>
      </x:c>
      <x:c r="N801" s="8" t="n">
        <x:f>IF(J801="","",ROUND((J801+K801)*(1+M801),0))</x:f>
        <x:v>28178</x:v>
      </x:c>
      <x:c r="O801" s="8" t="n">
        <x:f>IF(J801="","",J801+K801-H801-L801)</x:f>
        <x:v>9416</x:v>
      </x:c>
      <x:c r="P801" s="7" t="n">
        <x:f>IFERROR(O801/(J801+K801),"")</x:f>
        <x:v>0.3608907286037331</x:v>
      </x:c>
      <x:c r="Q801" s="6" t="inlineStr">
        <x:is>
          <x:t xml:space="preserve">RAW_ZS B/C</x:t>
        </x:is>
      </x:c>
      <x:c r="R801" s="6" t="inlineStr">
        <x:is>
          <x:t xml:space="preserve">ZADASZENIE TARASU KONSTRUKCJA</x:t>
        </x:is>
      </x:c>
      <x:c r="S801" s="6" t="inlineStr">
        <x:is>
          <x:t xml:space="preserve">crm_only</x:t>
        </x:is>
      </x:c>
      <x:c r="T801" s="6" t="inlineStr">
        <x:is>
          <x:t xml:space="preserve">Referencyjne/full; strona zwykle używa ZP + PDS</x:t>
        </x:is>
      </x:c>
    </x:row>
    <x:row r="802" s="655" customFormat="1" ht="30" customHeight="1">
      <x:c r="A802" s="6" t="inlineStr">
        <x:is>
          <x:t xml:space="preserve">500 x 506 cm</x:t>
        </x:is>
      </x:c>
      <x:c r="B802" s="6" t="inlineStr">
        <x:is>
          <x:t xml:space="preserve">OP</x:t>
        </x:is>
      </x:c>
      <x:c r="C802" s="6" t="inlineStr">
        <x:is>
          <x:t xml:space="preserve">Ogród zimowy poliwęglan - baza</x:t>
        </x:is>
      </x:c>
      <x:c r="D802" s="6" t="inlineStr">
        <x:is>
          <x:t xml:space="preserve">OGRODY POLIWĘGLAN</x:t>
        </x:is>
      </x:c>
      <x:c r="E802" s="8" t="n">
        <x:f>IFERROR(INDEX('02_RAW_INDEX'!$Z:$Z,MATCH($A802,'02_RAW_INDEX'!$A:$A,0)),"")</x:f>
        <x:v>23789</x:v>
      </x:c>
      <x:c r="F802" s="8" t="n">
        <x:f>IFERROR(INDEX('02_RAW_INDEX'!$Y:$Y,MATCH($A802,'02_RAW_INDEX'!$A:$A,0)),"")</x:f>
        <x:v>29260</x:v>
      </x:c>
      <x:c r="G802" s="7" t="n">
        <x:f>'01_Ustawienia'!$B$6</x:f>
        <x:v>0</x:v>
      </x:c>
      <x:c r="H802" s="8" t="n">
        <x:f>IF(E802="","",ROUND(IF('01_Ustawienia'!$B$5="BRUTTO",F802,E802)*(1-G802),0))</x:f>
        <x:v>23789</x:v>
      </x:c>
      <x:c r="I802" s="7" t="n">
        <x:f>IFERROR(IFERROR(INDEX('01_Ustawienia'!$B$15:$B$33,MATCH(B802,'01_Ustawienia'!$A$15:$A$33,0)),0.45),0.45)</x:f>
        <x:v>0.45</x:v>
      </x:c>
      <x:c r="J802" s="8" t="n">
        <x:f>IF(H802="","",ROUND(H802*(1+I802),0))</x:f>
        <x:v>34494</x:v>
      </x:c>
      <x:c r="K802" s="8" t="n">
        <x:f>IFERROR(IFERROR(INDEX(EG_Cennik_uslug!$N:$N,MATCH($A802,EG_Cennik_uslug!$A:$A,0)),0),0)</x:f>
        <x:v>4910</x:v>
      </x:c>
      <x:c r="L802" s="8" t="n">
        <x:f>IFERROR(IFERROR(INDEX(EG_Cennik_uslug!$O:$O,MATCH($A802,EG_Cennik_uslug!$A:$A,0)),0),0)</x:f>
        <x:v>1890</x:v>
      </x:c>
      <x:c r="M802" s="7" t="n">
        <x:f>IF('01_Ustawienia'!$B$4="ZWOLNIONY",0,'01_Ustawienia'!$B$7)</x:f>
        <x:v>0.08</x:v>
      </x:c>
      <x:c r="N802" s="8" t="n">
        <x:f>IF(J802="","",ROUND((J802+K802)*(1+M802),0))</x:f>
        <x:v>42556</x:v>
      </x:c>
      <x:c r="O802" s="8" t="n">
        <x:f>IF(J802="","",J802+K802-H802-L802)</x:f>
        <x:v>13725</x:v>
      </x:c>
      <x:c r="P802" s="7" t="n">
        <x:f>IFERROR(O802/(J802+K802),"")</x:f>
        <x:v>0.3483148918891483</x:v>
      </x:c>
      <x:c r="Q802" s="6" t="inlineStr">
        <x:is>
          <x:t xml:space="preserve">RAW_OP B/C</x:t>
        </x:is>
      </x:c>
      <x:c r="R802" s="6" t="inlineStr">
        <x:is>
          <x:t xml:space="preserve">OGRÓD ZIMOWY (KONSTRUKCJA)</x:t>
        </x:is>
      </x:c>
      <x:c r="S802" s="6" t="inlineStr">
        <x:is>
          <x:t xml:space="preserve">website+crm</x:t>
        </x:is>
      </x:c>
      <x:c r="T802" s="6" t="inlineStr">
        <x:is>
          <x:t xml:space="preserve">Do wyliczenia dopłaty za ściany</x:t>
        </x:is>
      </x:c>
    </x:row>
    <x:row r="803" s="655" customFormat="1" ht="30" customHeight="1">
      <x:c r="A803" s="6" t="inlineStr">
        <x:is>
          <x:t xml:space="preserve">500 x 506 cm</x:t>
        </x:is>
      </x:c>
      <x:c r="B803" s="6" t="inlineStr">
        <x:is>
          <x:t xml:space="preserve">OS</x:t>
        </x:is>
      </x:c>
      <x:c r="C803" s="6" t="inlineStr">
        <x:is>
          <x:t xml:space="preserve">Ogród zimowy szkło - pełna konstrukcja</x:t>
        </x:is>
      </x:c>
      <x:c r="D803" s="6" t="inlineStr">
        <x:is>
          <x:t xml:space="preserve">OGRODY SZKŁO</x:t>
        </x:is>
      </x:c>
      <x:c r="E803" s="8" t="n">
        <x:f>IFERROR(INDEX('02_RAW_INDEX'!$AL:$AL,MATCH($A803,'02_RAW_INDEX'!$A:$A,0)),"")</x:f>
        <x:v>29350</x:v>
      </x:c>
      <x:c r="F803" s="8" t="n">
        <x:f>IFERROR(INDEX('02_RAW_INDEX'!$AK:$AK,MATCH($A803,'02_RAW_INDEX'!$A:$A,0)),"")</x:f>
        <x:v>36100</x:v>
      </x:c>
      <x:c r="G803" s="7" t="n">
        <x:f>'01_Ustawienia'!$B$6</x:f>
        <x:v>0</x:v>
      </x:c>
      <x:c r="H803" s="8" t="n">
        <x:f>IF(E803="","",ROUND(IF('01_Ustawienia'!$B$5="BRUTTO",F803,E803)*(1-G803),0))</x:f>
        <x:v>29350</x:v>
      </x:c>
      <x:c r="I803" s="7" t="n">
        <x:f>IFERROR(IFERROR(INDEX('01_Ustawienia'!$B$15:$B$33,MATCH(B803,'01_Ustawienia'!$A$15:$A$33,0)),0.45),0.45)</x:f>
        <x:v>0.45</x:v>
      </x:c>
      <x:c r="J803" s="8" t="n">
        <x:f>IF(H803="","",ROUND(H803*(1+I803),0))</x:f>
        <x:v>42558</x:v>
      </x:c>
      <x:c r="K803" s="8" t="n">
        <x:f>IFERROR(IFERROR(INDEX(EG_Cennik_uslug!$N:$N,MATCH($A803,EG_Cennik_uslug!$A:$A,0)),0),0)</x:f>
        <x:v>4910</x:v>
      </x:c>
      <x:c r="L803" s="8" t="n">
        <x:f>IFERROR(IFERROR(INDEX(EG_Cennik_uslug!$O:$O,MATCH($A803,EG_Cennik_uslug!$A:$A,0)),0),0)</x:f>
        <x:v>1890</x:v>
      </x:c>
      <x:c r="M803" s="7" t="n">
        <x:f>IF('01_Ustawienia'!$B$4="ZWOLNIONY",0,'01_Ustawienia'!$B$7)</x:f>
        <x:v>0.08</x:v>
      </x:c>
      <x:c r="N803" s="8" t="n">
        <x:f>IF(J803="","",ROUND((J803+K803)*(1+M803),0))</x:f>
        <x:v>51265</x:v>
      </x:c>
      <x:c r="O803" s="8" t="n">
        <x:f>IF(J803="","",J803+K803-H803-L803)</x:f>
        <x:v>16228</x:v>
      </x:c>
      <x:c r="P803" s="7" t="n">
        <x:f>IFERROR(O803/(J803+K803),"")</x:f>
        <x:v>0.3418724193140642</x:v>
      </x:c>
      <x:c r="Q803" s="6" t="inlineStr">
        <x:is>
          <x:t xml:space="preserve">RAW_OS B/C</x:t>
        </x:is>
      </x:c>
      <x:c r="R803" s="6" t="inlineStr">
        <x:is>
          <x:t xml:space="preserve">OGRÓD ZIMOWY (KONSTRUKCJA)</x:t>
        </x:is>
      </x:c>
      <x:c r="S803" s="6" t="inlineStr">
        <x:is>
          <x:t xml:space="preserve">crm_only</x:t>
        </x:is>
      </x:c>
      <x:c r="T803" s="6" t="inlineStr">
        <x:is>
          <x:t xml:space="preserve">Referencyjne/full</x:t>
        </x:is>
      </x:c>
    </x:row>
    <x:row r="804" s="655" customFormat="1" ht="30" customHeight="1">
      <x:c r="A804" s="6" t="inlineStr">
        <x:is>
          <x:t xml:space="preserve">500 x 506 cm</x:t>
        </x:is>
      </x:c>
      <x:c r="B804" s="6" t="inlineStr">
        <x:is>
          <x:t xml:space="preserve">PDS</x:t>
        </x:is>
      </x:c>
      <x:c r="C804" s="6" t="inlineStr">
        <x:is>
          <x:t xml:space="preserve">Dopłata dach szkło przezroczyste</x:t>
        </x:is>
      </x:c>
      <x:c r="D804" s="6" t="inlineStr">
        <x:is>
          <x:t xml:space="preserve">POKRYCIE DACHU SZKŁO</x:t>
        </x:is>
      </x:c>
      <x:c r="E804" s="8" t="n">
        <x:f>IFERROR(IFERROR(INDEX('02_RAW_INDEX'!$V:$V,MATCH($A804,'02_RAW_INDEX'!$A:$A,0)),"")-IFERROR(INDEX('02_RAW_INDEX'!$D:$D,MATCH($A804,'02_RAW_INDEX'!$A:$A,0)),""),"")</x:f>
        <x:v>5553</x:v>
      </x:c>
      <x:c r="F804" s="8" t="n">
        <x:f>IFERROR(IFERROR(INDEX('02_RAW_INDEX'!$U:$U,MATCH($A804,'02_RAW_INDEX'!$A:$A,0)),"")-IFERROR(INDEX('02_RAW_INDEX'!$C:$C,MATCH($A804,'02_RAW_INDEX'!$A:$A,0)),""),"")</x:f>
        <x:v>6830</x:v>
      </x:c>
      <x:c r="G804" s="7" t="n">
        <x:f>'01_Ustawienia'!$B$6</x:f>
        <x:v>0</x:v>
      </x:c>
      <x:c r="H804" s="8" t="n">
        <x:f>IF(E804="","",ROUND(IF('01_Ustawienia'!$B$5="BRUTTO",F804,E804)*(1-G804),0))</x:f>
        <x:v>5553</x:v>
      </x:c>
      <x:c r="I804" s="7" t="n">
        <x:f>IFERROR(IFERROR(INDEX('01_Ustawienia'!$B$15:$B$33,MATCH(B804,'01_Ustawienia'!$A$15:$A$33,0)),0.45),0.45)</x:f>
        <x:v>0.45</x:v>
      </x:c>
      <x:c r="J804" s="8" t="n">
        <x:f>IF(H804="","",ROUND(H804*(1+I804),0))</x:f>
        <x:v>8052</x:v>
      </x:c>
      <x:c r="K804" s="8" t="n">
        <x:f>0</x:f>
        <x:v>0</x:v>
      </x:c>
      <x:c r="L804" s="8" t="n">
        <x:v>0</x:v>
      </x:c>
      <x:c r="M804" s="7" t="n">
        <x:f>IF('01_Ustawienia'!$B$4="ZWOLNIONY",0,'01_Ustawienia'!$B$7)</x:f>
        <x:v>0.08</x:v>
      </x:c>
      <x:c r="N804" s="8" t="n">
        <x:f>IF(J804="","",ROUND((J804+K804)*(1+M804),0))</x:f>
        <x:v>8696</x:v>
      </x:c>
      <x:c r="O804" s="8" t="n">
        <x:f>IF(J804="","",J804+K804-H804-L804)</x:f>
        <x:v>2499</x:v>
      </x:c>
      <x:c r="P804" s="7" t="n">
        <x:f>IFERROR(O804/(J804+K804),"")</x:f>
        <x:v>0.3103576751117735</x:v>
      </x:c>
      <x:c r="Q804" s="6" t="inlineStr">
        <x:is>
          <x:t xml:space="preserve">RAW_ZS - RAW_ZP</x:t>
        </x:is>
      </x:c>
      <x:c r="R804" s="6" t="inlineStr">
        <x:is>
          <x:t xml:space="preserve">POKRYCIE DACHU</x:t>
        </x:is>
      </x:c>
      <x:c r="S804" s="6" t="inlineStr">
        <x:is>
          <x:t xml:space="preserve">website+crm</x:t>
        </x:is>
      </x:c>
      <x:c r="T804" s="6" t="inlineStr">
        <x:is>
          <x:t xml:space="preserve">Dopłata do bazowego dachu poliwęglan | FIX17: Wynagr.+koszty = 0 dla dopłaty; nie jest osobnym montażem ekipy.</x:t>
        </x:is>
      </x:c>
    </x:row>
    <x:row r="805" s="655" customFormat="1" ht="30" customHeight="1">
      <x:c r="A805" s="6" t="inlineStr">
        <x:is>
          <x:t xml:space="preserve">500 x 506 cm</x:t>
        </x:is>
      </x:c>
      <x:c r="B805" s="6" t="inlineStr">
        <x:is>
          <x:t xml:space="preserve">PDSB</x:t>
        </x:is>
      </x:c>
      <x:c r="C805" s="6" t="inlineStr">
        <x:is>
          <x:t xml:space="preserve">Dopłata dach szkło barwione/mleczne</x:t>
        </x:is>
      </x:c>
      <x:c r="D805" s="6" t="inlineStr">
        <x:is>
          <x:t xml:space="preserve">POKRYCIE DACHU SZKŁO BARWIONE</x:t>
        </x:is>
      </x:c>
      <x:c r="E805" s="8" t="n">
        <x:f>IFERROR(INDEX('02_RAW_INDEX'!$X:$X,MATCH($A805,'02_RAW_INDEX'!$A:$A,0)),"")</x:f>
        <x:v>569</x:v>
      </x:c>
      <x:c r="F805" s="8" t="n">
        <x:f>IFERROR(INDEX('02_RAW_INDEX'!$W:$W,MATCH($A805,'02_RAW_INDEX'!$A:$A,0)),"")</x:f>
        <x:v>700</x:v>
      </x:c>
      <x:c r="G805" s="7" t="n">
        <x:f>'01_Ustawienia'!$B$6</x:f>
        <x:v>0</x:v>
      </x:c>
      <x:c r="H805" s="8" t="n">
        <x:f>IF(E805="","",ROUND(IF('01_Ustawienia'!$B$5="BRUTTO",F805,E805)*(1-G805),0))</x:f>
        <x:v>569</x:v>
      </x:c>
      <x:c r="I805" s="7" t="n">
        <x:f>IFERROR(IFERROR(INDEX('01_Ustawienia'!$B$15:$B$33,MATCH(B805,'01_Ustawienia'!$A$15:$A$33,0)),0.45),0.45)</x:f>
        <x:v>0.45</x:v>
      </x:c>
      <x:c r="J805" s="8" t="n">
        <x:f>IF(H805="","",ROUND(H805*(1+I805),0))</x:f>
        <x:v>825</x:v>
      </x:c>
      <x:c r="K805" s="8" t="n">
        <x:f>0</x:f>
        <x:v>0</x:v>
      </x:c>
      <x:c r="L805" s="8" t="n">
        <x:v>0</x:v>
      </x:c>
      <x:c r="M805" s="7" t="n">
        <x:f>IF('01_Ustawienia'!$B$4="ZWOLNIONY",0,'01_Ustawienia'!$B$7)</x:f>
        <x:v>0.08</x:v>
      </x:c>
      <x:c r="N805" s="8" t="n">
        <x:f>IF(J805="","",ROUND((J805+K805)*(1+M805),0))</x:f>
        <x:v>891</x:v>
      </x:c>
      <x:c r="O805" s="8" t="n">
        <x:f>IF(J805="","",J805+K805-H805-L805)</x:f>
        <x:v>256</x:v>
      </x:c>
      <x:c r="P805" s="7" t="n">
        <x:f>IFERROR(O805/(J805+K805),"")</x:f>
        <x:v>0.3103030303030303</x:v>
      </x:c>
      <x:c r="Q805" s="6" t="inlineStr">
        <x:is>
          <x:t xml:space="preserve">RAW_ZS D/E</x:t>
        </x:is>
      </x:c>
      <x:c r="R805" s="6" t="inlineStr">
        <x:is>
          <x:t xml:space="preserve">POKRYCIE DACHU</x:t>
        </x:is>
      </x:c>
      <x:c r="S805" s="6" t="inlineStr">
        <x:is>
          <x:t xml:space="preserve">website+crm</x:t>
        </x:is>
      </x:c>
      <x:c r="T805" s="6" t="inlineStr">
        <x:is>
          <x:t xml:space="preserve">Dodawane do PDS | FIX17: Wynagr.+koszty = 0 dla dopłaty; nie jest osobnym montażem ekipy.</x:t>
        </x:is>
      </x:c>
    </x:row>
    <x:row r="806" s="655" customFormat="1" ht="30" customHeight="1">
      <x:c r="A806" s="6" t="inlineStr">
        <x:is>
          <x:t xml:space="preserve">500 x 506 cm</x:t>
        </x:is>
      </x:c>
      <x:c r="B806" s="6" t="inlineStr">
        <x:is>
          <x:t xml:space="preserve">PDPB</x:t>
        </x:is>
      </x:c>
      <x:c r="C806" s="6" t="inlineStr">
        <x:is>
          <x:t xml:space="preserve">Dopłata poliwęglan barwiony</x:t>
        </x:is>
      </x:c>
      <x:c r="D806" s="6" t="inlineStr">
        <x:is>
          <x:t xml:space="preserve">POKRYCIE DACHU POLIWĘGLAN BARWIONY</x:t>
        </x:is>
      </x:c>
      <x:c r="E806" s="8" t="n">
        <x:f>IFERROR(INDEX('02_RAW_INDEX'!$F:$F,MATCH($A806,'02_RAW_INDEX'!$A:$A,0)),"")</x:f>
        <x:v>423</x:v>
      </x:c>
      <x:c r="F806" s="8" t="n">
        <x:f>IFERROR(INDEX('02_RAW_INDEX'!$E:$E,MATCH($A806,'02_RAW_INDEX'!$A:$A,0)),"")</x:f>
        <x:v>520</x:v>
      </x:c>
      <x:c r="G806" s="7" t="n">
        <x:f>'01_Ustawienia'!$B$6</x:f>
        <x:v>0</x:v>
      </x:c>
      <x:c r="H806" s="8" t="n">
        <x:f>IF(E806="","",ROUND(IF('01_Ustawienia'!$B$5="BRUTTO",F806,E806)*(1-G806),0))</x:f>
        <x:v>423</x:v>
      </x:c>
      <x:c r="I806" s="7" t="n">
        <x:f>IFERROR(IFERROR(INDEX('01_Ustawienia'!$B$15:$B$33,MATCH(B806,'01_Ustawienia'!$A$15:$A$33,0)),0.45),0.45)</x:f>
        <x:v>0.45</x:v>
      </x:c>
      <x:c r="J806" s="8" t="n">
        <x:f>IF(H806="","",ROUND(H806*(1+I806),0))</x:f>
        <x:v>613</x:v>
      </x:c>
      <x:c r="K806" s="8" t="n">
        <x:f>0</x:f>
        <x:v>0</x:v>
      </x:c>
      <x:c r="L806" s="8" t="n">
        <x:v>0</x:v>
      </x:c>
      <x:c r="M806" s="7" t="n">
        <x:f>IF('01_Ustawienia'!$B$4="ZWOLNIONY",0,'01_Ustawienia'!$B$7)</x:f>
        <x:v>0.08</x:v>
      </x:c>
      <x:c r="N806" s="8" t="n">
        <x:f>IF(J806="","",ROUND((J806+K806)*(1+M806),0))</x:f>
        <x:v>662</x:v>
      </x:c>
      <x:c r="O806" s="8" t="n">
        <x:f>IF(J806="","",J806+K806-H806-L806)</x:f>
        <x:v>190</x:v>
      </x:c>
      <x:c r="P806" s="7" t="n">
        <x:f>IFERROR(O806/(J806+K806),"")</x:f>
        <x:v>0.3099510603588907</x:v>
      </x:c>
      <x:c r="Q806" s="6" t="inlineStr">
        <x:is>
          <x:t xml:space="preserve">RAW_ZP D/E</x:t>
        </x:is>
      </x:c>
      <x:c r="R806" s="6" t="inlineStr">
        <x:is>
          <x:t xml:space="preserve">POKRYCIE DACHU</x:t>
        </x:is>
      </x:c>
      <x:c r="S806" s="6" t="inlineStr">
        <x:is>
          <x:t xml:space="preserve">website+crm</x:t>
        </x:is>
      </x:c>
      <x:c r="T806" s="6" t="inlineStr">
        <x:is>
          <x:t xml:space="preserve">FIX17: Wynagr.+koszty = 0 dla dopłaty; nie jest osobnym montażem ekipy.</x:t>
        </x:is>
      </x:c>
    </x:row>
    <x:row r="807" s="655" customFormat="1" ht="30" customHeight="1">
      <x:c r="A807" s="6" t="inlineStr">
        <x:is>
          <x:t xml:space="preserve">500 x 506 cm</x:t>
        </x:is>
      </x:c>
      <x:c r="B807" s="6" t="inlineStr">
        <x:is>
          <x:t xml:space="preserve">SBB</x:t>
        </x:is>
      </x:c>
      <x:c r="C807" s="6" t="inlineStr">
        <x:is>
          <x:t xml:space="preserve">Dopłata szkło boczne przyciemniane</x:t>
        </x:is>
      </x:c>
      <x:c r="D807" s="6" t="inlineStr">
        <x:is>
          <x:t xml:space="preserve">SZKŁO BOCZNE BARWIONE</x:t>
        </x:is>
      </x:c>
      <x:c r="E807" s="8" t="n">
        <x:f>IFERROR(INDEX('02_RAW_INDEX'!$AB:$AB,MATCH($A807,'02_RAW_INDEX'!$A:$A,0)),"")</x:f>
        <x:v>1463</x:v>
      </x:c>
      <x:c r="F807" s="8" t="n">
        <x:f>IFERROR(INDEX('02_RAW_INDEX'!$AA:$AA,MATCH($A807,'02_RAW_INDEX'!$A:$A,0)),"")</x:f>
        <x:v>1800</x:v>
      </x:c>
      <x:c r="G807" s="7" t="n">
        <x:f>'01_Ustawienia'!$B$6</x:f>
        <x:v>0</x:v>
      </x:c>
      <x:c r="H807" s="8" t="n">
        <x:f>IF(E807="","",ROUND(IF('01_Ustawienia'!$B$5="BRUTTO",F807,E807)*(1-G807),0))</x:f>
        <x:v>1463</x:v>
      </x:c>
      <x:c r="I807" s="7" t="n">
        <x:f>IFERROR(IFERROR(INDEX('01_Ustawienia'!$B$15:$B$33,MATCH(B807,'01_Ustawienia'!$A$15:$A$33,0)),0.45),0.45)</x:f>
        <x:v>0.45</x:v>
      </x:c>
      <x:c r="J807" s="8" t="n">
        <x:f>IF(H807="","",ROUND(H807*(1+I807),0))</x:f>
        <x:v>2121</x:v>
      </x:c>
      <x:c r="K807" s="8" t="n">
        <x:f>0</x:f>
        <x:v>0</x:v>
      </x:c>
      <x:c r="L807" s="8" t="n">
        <x:v>0</x:v>
      </x:c>
      <x:c r="M807" s="7" t="n">
        <x:f>IF('01_Ustawienia'!$B$4="ZWOLNIONY",0,'01_Ustawienia'!$B$7)</x:f>
        <x:v>0.08</x:v>
      </x:c>
      <x:c r="N807" s="8" t="n">
        <x:f>IF(J807="","",ROUND((J807+K807)*(1+M807),0))</x:f>
        <x:v>2291</x:v>
      </x:c>
      <x:c r="O807" s="8" t="n">
        <x:f>IF(J807="","",J807+K807-H807-L807)</x:f>
        <x:v>658</x:v>
      </x:c>
      <x:c r="P807" s="7" t="n">
        <x:f>IFERROR(O807/(J807+K807),"")</x:f>
        <x:v>0.3102310231023102</x:v>
      </x:c>
      <x:c r="Q807" s="6" t="inlineStr">
        <x:is>
          <x:t xml:space="preserve">RAW_OP H/I</x:t>
        </x:is>
      </x:c>
      <x:c r="R807" s="6" t="inlineStr">
        <x:is>
          <x:t xml:space="preserve">SZYBY BOCZNE</x:t>
        </x:is>
      </x:c>
      <x:c r="S807" s="6" t="inlineStr">
        <x:is>
          <x:t xml:space="preserve">website+crm</x:t>
        </x:is>
      </x:c>
      <x:c r="T807" s="6" t="inlineStr">
        <x:is>
          <x:t xml:space="preserve">Dodawane do ścian przezroczystych | FIX17: Wynagr.+koszty = 0 dla dopłaty; nie jest osobnym montażem ekipy.</x:t>
        </x:is>
      </x:c>
    </x:row>
    <x:row r="808">
      <x:c r="A808" s="6" t="inlineStr">
        <x:is>
          <x:t xml:space="preserve">500 x 506 cm</x:t>
        </x:is>
      </x:c>
      <x:c r="B808" s="6" t="inlineStr">
        <x:is>
          <x:t xml:space="preserve">RB</x:t>
        </x:is>
      </x:c>
      <x:c r="C808" s="6" t="inlineStr">
        <x:is>
          <x:t xml:space="preserve">Roleta boczna ZIP</x:t>
        </x:is>
      </x:c>
      <x:c r="D808" s="6" t="inlineStr">
        <x:is>
          <x:t xml:space="preserve">ROLETA BOCZNA</x:t>
        </x:is>
      </x:c>
      <x:c r="E808" s="8" t="n">
        <x:f>IFERROR(INDEX('02_RAW_INDEX'!$J:$J,MATCH($A808,'02_RAW_INDEX'!$A:$A,0)),"")</x:f>
        <x:v>3008</x:v>
      </x:c>
      <x:c r="F808" s="8" t="n">
        <x:f>IFERROR(INDEX('02_RAW_INDEX'!$I:$I,MATCH($A808,'02_RAW_INDEX'!$A:$A,0)),"")</x:f>
        <x:v>3700</x:v>
      </x:c>
      <x:c r="G808" s="7" t="n">
        <x:f>'01_Ustawienia'!$B$6</x:f>
        <x:v>0</x:v>
      </x:c>
      <x:c r="H808" s="8" t="n">
        <x:f>IF(E808="","",ROUND(IF('01_Ustawienia'!$B$5="BRUTTO",F808,E808)*(1-G808),0))</x:f>
        <x:v>3008</x:v>
      </x:c>
      <x:c r="I808" s="7" t="n">
        <x:f>IFERROR(IFERROR(INDEX('01_Ustawienia'!$B$15:$B$33,MATCH(B808,'01_Ustawienia'!$A$15:$A$33,0)),0.45),0.45)</x:f>
        <x:v>0.45</x:v>
      </x:c>
      <x:c r="J808" s="8" t="n">
        <x:f>IF(H808="","",ROUND(H808*(1+I808),0))</x:f>
        <x:v>4362</x:v>
      </x:c>
      <x:c r="K808" s="8" t="n">
        <x:f>0</x:f>
        <x:v>0</x:v>
      </x:c>
      <x:c r="L808" s="8" t="n">
        <x:f>IFERROR(IFERROR(INDEX(EG_Cennik_uslug!$AC:$AC,MATCH($A808,EG_Cennik_uslug!$A:$A,0)),0),0)</x:f>
        <x:v>150</x:v>
      </x:c>
      <x:c r="M808" s="7" t="n">
        <x:f>IF('01_Ustawienia'!$B$4="ZWOLNIONY",0,'01_Ustawienia'!$B$7)</x:f>
        <x:v>0.08</x:v>
      </x:c>
      <x:c r="N808" s="8" t="n">
        <x:f>IF(J808="","",ROUND((J808+K808)*(1+M808),0))</x:f>
        <x:v>4711</x:v>
      </x:c>
      <x:c r="O808" s="8" t="n">
        <x:f>IF(J808="","",J808+K808-H808-L808)</x:f>
        <x:v>1204</x:v>
      </x:c>
      <x:c r="P808" s="7" t="n">
        <x:f>IFERROR(O808/(J808+K808),"")</x:f>
        <x:v>0.27602017423200365</x:v>
      </x:c>
      <x:c r="Q808" s="6" t="inlineStr">
        <x:is>
          <x:t xml:space="preserve">RAW_ZP J/K</x:t>
        </x:is>
      </x:c>
      <x:c r="R808" s="6" t="inlineStr">
        <x:is>
          <x:t xml:space="preserve">ROLETY BOCZNE</x:t>
        </x:is>
      </x:c>
      <x:c r="S808" s="6" t="inlineStr">
        <x:is>
          <x:t xml:space="preserve">website+crm</x:t>
        </x:is>
      </x:c>
      <x:c r="T808" s="6" t="inlineStr">
        <x:is>
          <x:t xml:space="preserve">Używana dla lewej i prawej</x:t>
        </x:is>
      </x:c>
    </x:row>
    <x:row r="809">
      <x:c r="A809" s="6" t="inlineStr">
        <x:is>
          <x:t xml:space="preserve">500 x 506 cm</x:t>
        </x:is>
      </x:c>
      <x:c r="B809" s="6" t="inlineStr">
        <x:is>
          <x:t xml:space="preserve">RP</x:t>
        </x:is>
      </x:c>
      <x:c r="C809" s="6" t="inlineStr">
        <x:is>
          <x:t xml:space="preserve">Roleta przednia ZIP</x:t>
        </x:is>
      </x:c>
      <x:c r="D809" s="6" t="inlineStr">
        <x:is>
          <x:t xml:space="preserve">ROLETA PRZÓD</x:t>
        </x:is>
      </x:c>
      <x:c r="E809" s="8" t="n">
        <x:f>IFERROR(INDEX('02_RAW_INDEX'!$L:$L,MATCH($A809,'02_RAW_INDEX'!$A:$A,0)),"")</x:f>
        <x:v>3008</x:v>
      </x:c>
      <x:c r="F809" s="8" t="n">
        <x:f>IFERROR(INDEX('02_RAW_INDEX'!$K:$K,MATCH($A809,'02_RAW_INDEX'!$A:$A,0)),"")</x:f>
        <x:v>3700</x:v>
      </x:c>
      <x:c r="G809" s="7" t="n">
        <x:f>'01_Ustawienia'!$B$6</x:f>
        <x:v>0</x:v>
      </x:c>
      <x:c r="H809" s="8" t="n">
        <x:f>IF(E809="","",ROUND(IF('01_Ustawienia'!$B$5="BRUTTO",F809,E809)*(1-G809),0))</x:f>
        <x:v>3008</x:v>
      </x:c>
      <x:c r="I809" s="7" t="n">
        <x:f>IFERROR(IFERROR(INDEX('01_Ustawienia'!$B$15:$B$33,MATCH(B809,'01_Ustawienia'!$A$15:$A$33,0)),0.45),0.45)</x:f>
        <x:v>0.45</x:v>
      </x:c>
      <x:c r="J809" s="8" t="n">
        <x:f>IF(H809="","",ROUND(H809*(1+I809),0))</x:f>
        <x:v>4362</x:v>
      </x:c>
      <x:c r="K809" s="8" t="n">
        <x:f>0</x:f>
        <x:v>0</x:v>
      </x:c>
      <x:c r="L809" s="8" t="n">
        <x:f>IFERROR(IFERROR(INDEX(EG_Cennik_uslug!$AJ:$AJ,MATCH($A809,EG_Cennik_uslug!$A:$A,0)),0),0)</x:f>
        <x:v>300</x:v>
      </x:c>
      <x:c r="M809" s="7" t="n">
        <x:f>IF('01_Ustawienia'!$B$4="ZWOLNIONY",0,'01_Ustawienia'!$B$7)</x:f>
        <x:v>0.08</x:v>
      </x:c>
      <x:c r="N809" s="8" t="n">
        <x:f>IF(J809="","",ROUND((J809+K809)*(1+M809),0))</x:f>
        <x:v>4711</x:v>
      </x:c>
      <x:c r="O809" s="8" t="n">
        <x:f>IF(J809="","",J809+K809-H809-L809)</x:f>
        <x:v>1054</x:v>
      </x:c>
      <x:c r="P809" s="7" t="n">
        <x:f>IFERROR(O809/(J809+K809),"")</x:f>
        <x:v>0.24163227877120586</x:v>
      </x:c>
      <x:c r="Q809" s="6" t="inlineStr">
        <x:is>
          <x:t xml:space="preserve">RAW_ZP N/O</x:t>
        </x:is>
      </x:c>
      <x:c r="R809" s="6" t="inlineStr">
        <x:is>
          <x:t xml:space="preserve">ROLETY BOCZNE</x:t>
        </x:is>
      </x:c>
      <x:c r="S809" s="6" t="inlineStr">
        <x:is>
          <x:t xml:space="preserve">website+crm</x:t>
        </x:is>
      </x:c>
      <x:c r="T809" s="6" t="n"/>
    </x:row>
    <x:row r="810">
      <x:c r="A810" s="6" t="inlineStr">
        <x:is>
          <x:t xml:space="preserve">500 x 506 cm</x:t>
        </x:is>
      </x:c>
      <x:c r="B810" s="6" t="inlineStr">
        <x:is>
          <x:t xml:space="preserve">M</x:t>
        </x:is>
      </x:c>
      <x:c r="C810" s="6" t="inlineStr">
        <x:is>
          <x:t xml:space="preserve">Markiza dachowa</x:t>
        </x:is>
      </x:c>
      <x:c r="D810" s="6" t="inlineStr">
        <x:is>
          <x:t xml:space="preserve">MARKIZA</x:t>
        </x:is>
      </x:c>
      <x:c r="E810" s="8" t="n">
        <x:f>IFERROR(INDEX('02_RAW_INDEX'!$H:$H,MATCH($A810,'02_RAW_INDEX'!$A:$A,0)),"")</x:f>
        <x:v>4407</x:v>
      </x:c>
      <x:c r="F810" s="8" t="n">
        <x:f>IFERROR(INDEX('02_RAW_INDEX'!$G:$G,MATCH($A810,'02_RAW_INDEX'!$A:$A,0)),"")</x:f>
        <x:v>5420</x:v>
      </x:c>
      <x:c r="G810" s="7" t="n">
        <x:f>'01_Ustawienia'!$B$6</x:f>
        <x:v>0</x:v>
      </x:c>
      <x:c r="H810" s="8" t="n">
        <x:f>IF(E810="","",ROUND(IF('01_Ustawienia'!$B$5="BRUTTO",F810,E810)*(1-G810),0))</x:f>
        <x:v>4407</x:v>
      </x:c>
      <x:c r="I810" s="7" t="n">
        <x:f>IFERROR(IFERROR(INDEX('01_Ustawienia'!$B$15:$B$33,MATCH(B810,'01_Ustawienia'!$A$15:$A$33,0)),0.45),0.45)</x:f>
        <x:v>0.45</x:v>
      </x:c>
      <x:c r="J810" s="8" t="n">
        <x:f>IF(H810="","",ROUND(H810*(1+I810),0))</x:f>
        <x:v>6390</x:v>
      </x:c>
      <x:c r="K810" s="8" t="n">
        <x:f>0</x:f>
        <x:v>0</x:v>
      </x:c>
      <x:c r="L810" s="8" t="n">
        <x:f>IFERROR(IFERROR(INDEX(EG_Cennik_uslug!$AQ:$AQ,MATCH($A810,EG_Cennik_uslug!$A:$A,0)),0),0)</x:f>
        <x:v>300</x:v>
      </x:c>
      <x:c r="M810" s="7" t="n">
        <x:f>IF('01_Ustawienia'!$B$4="ZWOLNIONY",0,'01_Ustawienia'!$B$7)</x:f>
        <x:v>0.08</x:v>
      </x:c>
      <x:c r="N810" s="8" t="n">
        <x:f>IF(J810="","",ROUND((J810+K810)*(1+M810),0))</x:f>
        <x:v>6901</x:v>
      </x:c>
      <x:c r="O810" s="8" t="n">
        <x:f>IF(J810="","",J810+K810-H810-L810)</x:f>
        <x:v>1683</x:v>
      </x:c>
      <x:c r="P810" s="7" t="n">
        <x:f>IFERROR(O810/(J810+K810),"")</x:f>
        <x:v>0.2633802816901408</x:v>
      </x:c>
      <x:c r="Q810" s="6" t="inlineStr">
        <x:is>
          <x:t xml:space="preserve">RAW_ZP H/I</x:t>
        </x:is>
      </x:c>
      <x:c r="R810" s="6" t="inlineStr">
        <x:is>
          <x:t xml:space="preserve">MARKIZA</x:t>
        </x:is>
      </x:c>
      <x:c r="S810" s="6" t="inlineStr">
        <x:is>
          <x:t xml:space="preserve">website+crm</x:t>
        </x:is>
      </x:c>
      <x:c r="T810" s="6" t="n"/>
    </x:row>
    <x:row r="811">
      <x:c r="A811" s="6" t="inlineStr">
        <x:is>
          <x:t xml:space="preserve">500 x 506 cm</x:t>
        </x:is>
      </x:c>
      <x:c r="B811" s="6" t="inlineStr">
        <x:is>
          <x:t xml:space="preserve">PDWP</x:t>
        </x:is>
      </x:c>
      <x:c r="C811" s="6" t="inlineStr">
        <x:is>
          <x:t xml:space="preserve">Fundament/profile</x:t>
        </x:is>
      </x:c>
      <x:c r="D811" s="6" t="inlineStr">
        <x:is>
          <x:t xml:space="preserve">FUNDAMENT / PROFILE</x:t>
        </x:is>
      </x:c>
      <x:c r="E811" s="8" t="n">
        <x:f>IFERROR(INDEX('02_RAW_INDEX'!$AH:$AH,MATCH($A811,'02_RAW_INDEX'!$A:$A,0)),"")</x:f>
        <x:v>1146</x:v>
      </x:c>
      <x:c r="F811" s="8" t="n">
        <x:f>IFERROR(INDEX('02_RAW_INDEX'!$AG:$AG,MATCH($A811,'02_RAW_INDEX'!$A:$A,0)),"")</x:f>
        <x:v>1410</x:v>
      </x:c>
      <x:c r="G811" s="7" t="n">
        <x:f>'01_Ustawienia'!$B$6</x:f>
        <x:v>0</x:v>
      </x:c>
      <x:c r="H811" s="8" t="n">
        <x:f>IF(E811="","",ROUND(IF('01_Ustawienia'!$B$5="BRUTTO",F811,E811)*(1-G811),0))</x:f>
        <x:v>1146</x:v>
      </x:c>
      <x:c r="I811" s="7" t="n">
        <x:f>IFERROR(IFERROR(INDEX('01_Ustawienia'!$B$15:$B$33,MATCH(B811,'01_Ustawienia'!$A$15:$A$33,0)),0.45),0.45)</x:f>
        <x:v>1.2</x:v>
      </x:c>
      <x:c r="J811" s="8" t="n">
        <x:f>IF(H811="","",ROUND(H811*(1+I811),0))</x:f>
        <x:v>2521</x:v>
      </x:c>
      <x:c r="K811" s="8" t="n">
        <x:f>0</x:f>
        <x:v>0</x:v>
      </x:c>
      <x:c r="L811" s="8" t="n">
        <x:f>IFERROR(IFERROR(INDEX(EG_Cennik_uslug!$BT:$BT,MATCH($A811,EG_Cennik_uslug!$A:$A,0)),0),0)</x:f>
        <x:v>540</x:v>
      </x:c>
      <x:c r="M811" s="7" t="n">
        <x:f>IF('01_Ustawienia'!$B$4="ZWOLNIONY",0,'01_Ustawienia'!$B$7)</x:f>
        <x:v>0.08</x:v>
      </x:c>
      <x:c r="N811" s="8" t="n">
        <x:f>IF(J811="","",ROUND((J811+K811)*(1+M811),0))</x:f>
        <x:v>2723</x:v>
      </x:c>
      <x:c r="O811" s="8" t="n">
        <x:f>IF(J811="","",J811+K811-H811-L811)</x:f>
        <x:v>835</x:v>
      </x:c>
      <x:c r="P811" s="7" t="n">
        <x:f>IFERROR(O811/(J811+K811),"")</x:f>
        <x:v>0.3312177707259024</x:v>
      </x:c>
      <x:c r="Q811" s="6" t="inlineStr">
        <x:is>
          <x:t xml:space="preserve">RAW_OP AB/AC</x:t>
        </x:is>
      </x:c>
      <x:c r="R811" s="6" t="inlineStr">
        <x:is>
          <x:t xml:space="preserve">FUNDAMENT (PROFILE)</x:t>
        </x:is>
      </x:c>
      <x:c r="S811" s="6" t="inlineStr">
        <x:is>
          <x:t xml:space="preserve">website+crm</x:t>
        </x:is>
      </x:c>
      <x:c r="T811" s="6" t="n"/>
    </x:row>
    <x:row r="812" s="655" customFormat="1" ht="30" customHeight="1">
      <x:c r="A812" s="6" t="inlineStr">
        <x:is>
          <x:t xml:space="preserve">500 x 506 cm</x:t>
        </x:is>
      </x:c>
      <x:c r="B812" s="6" t="inlineStr">
        <x:is>
          <x:t xml:space="preserve">ZAB</x:t>
        </x:is>
      </x:c>
      <x:c r="C812" s="6" t="inlineStr">
        <x:is>
          <x:t xml:space="preserve">Zabieraki do ścian przesuwnych</x:t>
        </x:is>
      </x:c>
      <x:c r="D812" s="6" t="inlineStr">
        <x:is>
          <x:t xml:space="preserve">DODATKI</x:t>
        </x:is>
      </x:c>
      <x:c r="E812" s="8" t="n">
        <x:f>IFERROR(INDEX('02_RAW_INDEX'!$AJ:$AJ,MATCH($A812,'02_RAW_INDEX'!$A:$A,0)),"")</x:f>
        <x:v>358</x:v>
      </x:c>
      <x:c r="F812" s="8" t="n">
        <x:f>IFERROR(INDEX('02_RAW_INDEX'!$AI:$AI,MATCH($A812,'02_RAW_INDEX'!$A:$A,0)),"")</x:f>
        <x:v>440</x:v>
      </x:c>
      <x:c r="G812" s="7" t="n">
        <x:f>'01_Ustawienia'!$B$6</x:f>
        <x:v>0</x:v>
      </x:c>
      <x:c r="H812" s="8" t="n">
        <x:f>IF(E812="","",ROUND(IF('01_Ustawienia'!$B$5="BRUTTO",F812,E812)*(1-G812),0))</x:f>
        <x:v>358</x:v>
      </x:c>
      <x:c r="I812" s="7" t="n">
        <x:f>IFERROR(IFERROR(INDEX('01_Ustawienia'!$B$15:$B$33,MATCH(B812,'01_Ustawienia'!$A$15:$A$33,0)),0.45),0.45)</x:f>
        <x:v>0.45</x:v>
      </x:c>
      <x:c r="J812" s="8" t="n">
        <x:f>IF(H812="","",ROUND(H812*(1+I812),0))</x:f>
        <x:v>519</x:v>
      </x:c>
      <x:c r="K812" s="8" t="n">
        <x:f>0</x:f>
        <x:v>0</x:v>
      </x:c>
      <x:c r="L812" s="8" t="n">
        <x:f>0</x:f>
        <x:v>0</x:v>
      </x:c>
      <x:c r="M812" s="7" t="n">
        <x:f>IF('01_Ustawienia'!$B$4="ZWOLNIONY",0,'01_Ustawienia'!$B$7)</x:f>
        <x:v>0.08</x:v>
      </x:c>
      <x:c r="N812" s="8" t="n">
        <x:f>IF(J812="","",ROUND((J812+K812)*(1+M812),0))</x:f>
        <x:v>561</x:v>
      </x:c>
      <x:c r="O812" s="8" t="n">
        <x:f>IF(J812="","",J812+K812-H812-L812)</x:f>
        <x:v>161</x:v>
      </x:c>
      <x:c r="P812" s="7" t="n">
        <x:f>IFERROR(O812/(J812+K812),"")</x:f>
        <x:v>0.31021194605009633</x:v>
      </x:c>
      <x:c r="Q812" s="6" t="inlineStr">
        <x:is>
          <x:t xml:space="preserve">RAW_OP AD/AE</x:t>
        </x:is>
      </x:c>
      <x:c r="R812" s="6" t="inlineStr">
        <x:is>
          <x:t xml:space="preserve">DODATKI</x:t>
        </x:is>
      </x:c>
      <x:c r="S812" s="6" t="inlineStr">
        <x:is>
          <x:t xml:space="preserve">crm_only</x:t>
        </x:is>
      </x:c>
      <x:c r="T812" s="6" t="n"/>
    </x:row>
    <x:row r="813">
      <x:c r="A813" s="6" t="inlineStr">
        <x:is>
          <x:t xml:space="preserve">500 x 506 cm</x:t>
        </x:is>
      </x:c>
      <x:c r="B813" s="6" t="inlineStr">
        <x:is>
          <x:t xml:space="preserve">S</x:t>
        </x:is>
      </x:c>
      <x:c r="C813" s="6" t="inlineStr">
        <x:is>
          <x:t xml:space="preserve">Szczotki przeciwkurzowe</x:t>
        </x:is>
      </x:c>
      <x:c r="D813" s="6" t="inlineStr">
        <x:is>
          <x:t xml:space="preserve">SZCZOTKI</x:t>
        </x:is>
      </x:c>
      <x:c r="E813" s="8" t="n">
        <x:f>IFERROR(INDEX('02_RAW_INDEX'!$AD:$AD,MATCH($A813,'02_RAW_INDEX'!$A:$A,0)),"")</x:f>
        <x:v>463</x:v>
      </x:c>
      <x:c r="F813" s="8" t="n">
        <x:f>IFERROR(INDEX('02_RAW_INDEX'!$AC:$AC,MATCH($A813,'02_RAW_INDEX'!$A:$A,0)),"")</x:f>
        <x:v>570</x:v>
      </x:c>
      <x:c r="G813" s="7" t="n">
        <x:f>'01_Ustawienia'!$B$6</x:f>
        <x:v>0</x:v>
      </x:c>
      <x:c r="H813" s="8" t="n">
        <x:f>IF(E813="","",ROUND(IF('01_Ustawienia'!$B$5="BRUTTO",F813,E813)*(1-G813),0))</x:f>
        <x:v>463</x:v>
      </x:c>
      <x:c r="I813" s="7" t="n">
        <x:f>IFERROR(IFERROR(INDEX('01_Ustawienia'!$B$15:$B$33,MATCH(B813,'01_Ustawienia'!$A$15:$A$33,0)),0.45),0.45)</x:f>
        <x:v>0.45</x:v>
      </x:c>
      <x:c r="J813" s="8" t="n">
        <x:f>IF(H813="","",ROUND(H813*(1+I813),0))</x:f>
        <x:v>671</x:v>
      </x:c>
      <x:c r="K813" s="8" t="n">
        <x:f>0</x:f>
        <x:v>0</x:v>
      </x:c>
      <x:c r="L813" s="8" t="n">
        <x:f>IFERROR(IFERROR(INDEX(EG_Cennik_uslug!$CA:$CA,MATCH($A813,EG_Cennik_uslug!$A:$A,0)),0),0)</x:f>
        <x:v>0</x:v>
      </x:c>
      <x:c r="M813" s="7" t="n">
        <x:f>IF('01_Ustawienia'!$B$4="ZWOLNIONY",0,'01_Ustawienia'!$B$7)</x:f>
        <x:v>0.08</x:v>
      </x:c>
      <x:c r="N813" s="8" t="n">
        <x:f>IF(J813="","",ROUND((J813+K813)*(1+M813),0))</x:f>
        <x:v>725</x:v>
      </x:c>
      <x:c r="O813" s="8" t="n">
        <x:f>IF(J813="","",J813+K813-H813-L813)</x:f>
        <x:v>208</x:v>
      </x:c>
      <x:c r="P813" s="7" t="n">
        <x:f>IFERROR(O813/(J813+K813),"")</x:f>
        <x:v>0.30998509687034276</x:v>
      </x:c>
      <x:c r="Q813" s="6" t="inlineStr">
        <x:is>
          <x:t xml:space="preserve">RAW_OP L/M</x:t>
        </x:is>
      </x:c>
      <x:c r="R813" s="6" t="inlineStr">
        <x:is>
          <x:t xml:space="preserve">DODATKI</x:t>
        </x:is>
      </x:c>
      <x:c r="S813" s="6" t="inlineStr">
        <x:is>
          <x:t xml:space="preserve">website+crm</x:t>
        </x:is>
      </x:c>
      <x:c r="T813" s="6" t="n"/>
    </x:row>
    <x:row r="814">
      <x:c r="A814" s="6" t="inlineStr">
        <x:is>
          <x:t xml:space="preserve">500 x 506 cm</x:t>
        </x:is>
      </x:c>
      <x:c r="B814" s="6" t="inlineStr">
        <x:is>
          <x:t xml:space="preserve">U</x:t>
        </x:is>
      </x:c>
      <x:c r="C814" s="6" t="inlineStr">
        <x:is>
          <x:t xml:space="preserve">Uchwyty na szkło ścienne</x:t>
        </x:is>
      </x:c>
      <x:c r="D814" s="6" t="inlineStr">
        <x:is>
          <x:t xml:space="preserve">UCHWYTY</x:t>
        </x:is>
      </x:c>
      <x:c r="E814" s="8" t="n">
        <x:f>IFERROR(INDEX('02_RAW_INDEX'!$AF:$AF,MATCH($A814,'02_RAW_INDEX'!$A:$A,0)),"")</x:f>
        <x:v>423</x:v>
      </x:c>
      <x:c r="F814" s="8" t="n">
        <x:f>IFERROR(INDEX('02_RAW_INDEX'!$AE:$AE,MATCH($A814,'02_RAW_INDEX'!$A:$A,0)),"")</x:f>
        <x:v>520</x:v>
      </x:c>
      <x:c r="G814" s="7" t="n">
        <x:f>'01_Ustawienia'!$B$6</x:f>
        <x:v>0</x:v>
      </x:c>
      <x:c r="H814" s="8" t="n">
        <x:f>IF(E814="","",ROUND(IF('01_Ustawienia'!$B$5="BRUTTO",F814,E814)*(1-G814),0))</x:f>
        <x:v>423</x:v>
      </x:c>
      <x:c r="I814" s="7" t="n">
        <x:f>IFERROR(IFERROR(INDEX('01_Ustawienia'!$B$15:$B$33,MATCH(B814,'01_Ustawienia'!$A$15:$A$33,0)),0.45),0.45)</x:f>
        <x:v>0.45</x:v>
      </x:c>
      <x:c r="J814" s="8" t="n">
        <x:f>IF(H814="","",ROUND(H814*(1+I814),0))</x:f>
        <x:v>613</x:v>
      </x:c>
      <x:c r="K814" s="8" t="n">
        <x:f>0</x:f>
        <x:v>0</x:v>
      </x:c>
      <x:c r="L814" s="8" t="n">
        <x:f>IFERROR(IFERROR(INDEX(EG_Cennik_uslug!$CH:$CH,MATCH($A814,EG_Cennik_uslug!$A:$A,0)),0),0)</x:f>
        <x:v>0</x:v>
      </x:c>
      <x:c r="M814" s="7" t="n">
        <x:f>IF('01_Ustawienia'!$B$4="ZWOLNIONY",0,'01_Ustawienia'!$B$7)</x:f>
        <x:v>0.08</x:v>
      </x:c>
      <x:c r="N814" s="8" t="n">
        <x:f>IF(J814="","",ROUND((J814+K814)*(1+M814),0))</x:f>
        <x:v>662</x:v>
      </x:c>
      <x:c r="O814" s="8" t="n">
        <x:f>IF(J814="","",J814+K814-H814-L814)</x:f>
        <x:v>190</x:v>
      </x:c>
      <x:c r="P814" s="7" t="n">
        <x:f>IFERROR(O814/(J814+K814),"")</x:f>
        <x:v>0.3099510603588907</x:v>
      </x:c>
      <x:c r="Q814" s="6" t="inlineStr">
        <x:is>
          <x:t xml:space="preserve">RAW_OP N/O</x:t>
        </x:is>
      </x:c>
      <x:c r="R814" s="6" t="inlineStr">
        <x:is>
          <x:t xml:space="preserve">DODATKI</x:t>
        </x:is>
      </x:c>
      <x:c r="S814" s="6" t="inlineStr">
        <x:is>
          <x:t xml:space="preserve">website+crm</x:t>
        </x:is>
      </x:c>
      <x:c r="T814" s="6" t="n"/>
    </x:row>
    <x:row r="815">
      <x:c r="A815" s="6" t="inlineStr">
        <x:is>
          <x:t xml:space="preserve">500 x 506 cm</x:t>
        </x:is>
      </x:c>
      <x:c r="B815" s="6" t="inlineStr">
        <x:is>
          <x:t xml:space="preserve">LED2</x:t>
        </x:is>
      </x:c>
      <x:c r="C815" s="6" t="inlineStr">
        <x:is>
          <x:t xml:space="preserve">Oświetlenie LED 2 punkty</x:t>
        </x:is>
      </x:c>
      <x:c r="D815" s="6" t="inlineStr">
        <x:is>
          <x:t xml:space="preserve">LED 2 PKT</x:t>
        </x:is>
      </x:c>
      <x:c r="E815" s="8" t="n">
        <x:f>IFERROR(INDEX('02_RAW_INDEX'!$N:$N,MATCH($A815,'02_RAW_INDEX'!$A:$A,0)),"")</x:f>
        <x:v>488</x:v>
      </x:c>
      <x:c r="F815" s="8" t="n">
        <x:f>IFERROR(INDEX('02_RAW_INDEX'!$M:$M,MATCH($A815,'02_RAW_INDEX'!$A:$A,0)),"")</x:f>
        <x:v>600</x:v>
      </x:c>
      <x:c r="G815" s="7" t="n">
        <x:f>'01_Ustawienia'!$B$6</x:f>
        <x:v>0</x:v>
      </x:c>
      <x:c r="H815" s="8" t="n">
        <x:f>IF(E815="","",ROUND(IF('01_Ustawienia'!$B$5="BRUTTO",F815,E815)*(1-G815),0))</x:f>
        <x:v>488</x:v>
      </x:c>
      <x:c r="I815" s="7" t="n">
        <x:f>IFERROR(IFERROR(INDEX('01_Ustawienia'!$B$15:$B$33,MATCH(B815,'01_Ustawienia'!$A$15:$A$33,0)),0.45),0.45)</x:f>
        <x:v>0.45</x:v>
      </x:c>
      <x:c r="J815" s="8" t="n">
        <x:f>IF(H815="","",ROUND(H815*(1+I815),0))</x:f>
        <x:v>708</x:v>
      </x:c>
      <x:c r="K815" s="8" t="n">
        <x:f>0</x:f>
        <x:v>0</x:v>
      </x:c>
      <x:c r="L815" s="8" t="n">
        <x:f>IFERROR(IFERROR(INDEX(EG_Cennik_uslug!$CO:$CO,MATCH($A815,EG_Cennik_uslug!$A:$A,0)),0),0)</x:f>
        <x:v>0</x:v>
      </x:c>
      <x:c r="M815" s="7" t="n">
        <x:f>IF('01_Ustawienia'!$B$4="ZWOLNIONY",0,'01_Ustawienia'!$B$7)</x:f>
        <x:v>0.08</x:v>
      </x:c>
      <x:c r="N815" s="8" t="n">
        <x:f>IF(J815="","",ROUND((J815+K815)*(1+M815),0))</x:f>
        <x:v>765</x:v>
      </x:c>
      <x:c r="O815" s="8" t="n">
        <x:f>IF(J815="","",J815+K815-H815-L815)</x:f>
        <x:v>220</x:v>
      </x:c>
      <x:c r="P815" s="7" t="n">
        <x:f>IFERROR(O815/(J815+K815),"")</x:f>
        <x:v>0.3107344632768362</x:v>
      </x:c>
      <x:c r="Q815" s="6" t="inlineStr">
        <x:is>
          <x:t xml:space="preserve">RAW_ZP P/Q</x:t>
        </x:is>
      </x:c>
      <x:c r="R815" s="6" t="inlineStr">
        <x:is>
          <x:t xml:space="preserve">OŚWIETLENIE</x:t>
        </x:is>
      </x:c>
      <x:c r="S815" s="6" t="inlineStr">
        <x:is>
          <x:t xml:space="preserve">website+crm</x:t>
        </x:is>
      </x:c>
      <x:c r="T815" s="6" t="n"/>
    </x:row>
    <x:row r="816">
      <x:c r="A816" s="6" t="inlineStr">
        <x:is>
          <x:t xml:space="preserve">500 x 506 cm</x:t>
        </x:is>
      </x:c>
      <x:c r="B816" s="6" t="inlineStr">
        <x:is>
          <x:t xml:space="preserve">LED3</x:t>
        </x:is>
      </x:c>
      <x:c r="C816" s="6" t="inlineStr">
        <x:is>
          <x:t xml:space="preserve">Oświetlenie LED 3 punkty</x:t>
        </x:is>
      </x:c>
      <x:c r="D816" s="6" t="inlineStr">
        <x:is>
          <x:t xml:space="preserve">LED 3 PKT</x:t>
        </x:is>
      </x:c>
      <x:c r="E816" s="8" t="n">
        <x:f>IFERROR(INDEX('02_RAW_INDEX'!$P:$P,MATCH($A816,'02_RAW_INDEX'!$A:$A,0)),"")</x:f>
        <x:v>780</x:v>
      </x:c>
      <x:c r="F816" s="8" t="n">
        <x:f>IFERROR(INDEX('02_RAW_INDEX'!$O:$O,MATCH($A816,'02_RAW_INDEX'!$A:$A,0)),"")</x:f>
        <x:v>960</x:v>
      </x:c>
      <x:c r="G816" s="7" t="n">
        <x:f>'01_Ustawienia'!$B$6</x:f>
        <x:v>0</x:v>
      </x:c>
      <x:c r="H816" s="8" t="n">
        <x:f>IF(E816="","",ROUND(IF('01_Ustawienia'!$B$5="BRUTTO",F816,E816)*(1-G816),0))</x:f>
        <x:v>780</x:v>
      </x:c>
      <x:c r="I816" s="7" t="n">
        <x:f>IFERROR(IFERROR(INDEX('01_Ustawienia'!$B$15:$B$33,MATCH(B816,'01_Ustawienia'!$A$15:$A$33,0)),0.45),0.45)</x:f>
        <x:v>0.45</x:v>
      </x:c>
      <x:c r="J816" s="8" t="n">
        <x:f>IF(H816="","",ROUND(H816*(1+I816),0))</x:f>
        <x:v>1131</x:v>
      </x:c>
      <x:c r="K816" s="8" t="n">
        <x:f>0</x:f>
        <x:v>0</x:v>
      </x:c>
      <x:c r="L816" s="8" t="n">
        <x:f>IFERROR(IFERROR(INDEX(EG_Cennik_uslug!$CV:$CV,MATCH($A816,EG_Cennik_uslug!$A:$A,0)),0),0)</x:f>
        <x:v>0</x:v>
      </x:c>
      <x:c r="M816" s="7" t="n">
        <x:f>IF('01_Ustawienia'!$B$4="ZWOLNIONY",0,'01_Ustawienia'!$B$7)</x:f>
        <x:v>0.08</x:v>
      </x:c>
      <x:c r="N816" s="8" t="n">
        <x:f>IF(J816="","",ROUND((J816+K816)*(1+M816),0))</x:f>
        <x:v>1221</x:v>
      </x:c>
      <x:c r="O816" s="8" t="n">
        <x:f>IF(J816="","",J816+K816-H816-L816)</x:f>
        <x:v>351</x:v>
      </x:c>
      <x:c r="P816" s="7" t="n">
        <x:f>IFERROR(O816/(J816+K816),"")</x:f>
        <x:v>0.3103448275862069</x:v>
      </x:c>
      <x:c r="Q816" s="6" t="inlineStr">
        <x:is>
          <x:t xml:space="preserve">RAW_ZP R/S</x:t>
        </x:is>
      </x:c>
      <x:c r="R816" s="6" t="inlineStr">
        <x:is>
          <x:t xml:space="preserve">OŚWIETLENIE</x:t>
        </x:is>
      </x:c>
      <x:c r="S816" s="6" t="inlineStr">
        <x:is>
          <x:t xml:space="preserve">website+crm</x:t>
        </x:is>
      </x:c>
      <x:c r="T816" s="6" t="inlineStr">
        <x:is>
          <x:t xml:space="preserve">Nazwa do potwierdzenia</x:t>
        </x:is>
      </x:c>
    </x:row>
    <x:row r="817">
      <x:c r="A817" s="6" t="inlineStr">
        <x:is>
          <x:t xml:space="preserve">500 x 506 cm</x:t>
        </x:is>
      </x:c>
      <x:c r="B817" s="6" t="inlineStr">
        <x:is>
          <x:t xml:space="preserve">LEDCCT</x:t>
        </x:is>
      </x:c>
      <x:c r="C817" s="6" t="inlineStr">
        <x:is>
          <x:t xml:space="preserve">Oświetlenie LED CCT</x:t>
        </x:is>
      </x:c>
      <x:c r="D817" s="6" t="inlineStr">
        <x:is>
          <x:t xml:space="preserve">OŚWIETLENIE</x:t>
        </x:is>
      </x:c>
      <x:c r="E817" s="8" t="n">
        <x:f>IFERROR(INDEX('02_RAW_INDEX'!$R:$R,MATCH($A817,'02_RAW_INDEX'!$A:$A,0)),"")</x:f>
        <x:v>1603</x:v>
      </x:c>
      <x:c r="F817" s="8" t="n">
        <x:f>IFERROR(INDEX('02_RAW_INDEX'!$Q:$Q,MATCH($A817,'02_RAW_INDEX'!$A:$A,0)),"")</x:f>
        <x:v>1972</x:v>
      </x:c>
      <x:c r="G817" s="7" t="n">
        <x:f>'01_Ustawienia'!$B$6</x:f>
        <x:v>0</x:v>
      </x:c>
      <x:c r="H817" s="8" t="n">
        <x:f>IF(E817="","",ROUND(IF('01_Ustawienia'!$B$5="BRUTTO",F817,E817)*(1-G817),0))</x:f>
        <x:v>1603</x:v>
      </x:c>
      <x:c r="I817" s="7" t="n">
        <x:f>IFERROR(IFERROR(INDEX('01_Ustawienia'!$B$15:$B$33,MATCH(B817,'01_Ustawienia'!$A$15:$A$33,0)),0.45),0.45)</x:f>
        <x:v>0.45</x:v>
      </x:c>
      <x:c r="J817" s="8" t="n">
        <x:f>IF(H817="","",ROUND(H817*(1+I817),0)+700)</x:f>
        <x:v>3024</x:v>
      </x:c>
      <x:c r="K817" s="8" t="n">
        <x:f>0</x:f>
        <x:v>0</x:v>
      </x:c>
      <x:c r="L817" s="8" t="n">
        <x:f>0</x:f>
        <x:v>0</x:v>
      </x:c>
      <x:c r="M817" s="7" t="n">
        <x:f>IF('01_Ustawienia'!$B$4="ZWOLNIONY",0,'01_Ustawienia'!$B$7)</x:f>
        <x:v>0.08</x:v>
      </x:c>
      <x:c r="N817" s="8" t="n">
        <x:f>IF(J817="","",ROUND((J817+K817)*(1+M817),0))</x:f>
        <x:v>3266</x:v>
      </x:c>
      <x:c r="O817" s="8" t="n">
        <x:f>IF(J817="","",J817+K817-H817-L817)</x:f>
        <x:v>1421</x:v>
      </x:c>
      <x:c r="P817" s="7" t="n">
        <x:f>IFERROR(O817/(J817+K817),"")</x:f>
        <x:v>0.4699074074074074</x:v>
      </x:c>
      <x:c r="Q817" s="715" t="inlineStr">
        <x:is>
          <x:t xml:space="preserve">MODEL_FIX15_LED</x:t>
        </x:is>
      </x:c>
      <x:c r="R817" s="6" t="inlineStr">
        <x:is>
          <x:t xml:space="preserve">OŚWIETLENIE</x:t>
        </x:is>
      </x:c>
      <x:c r="S817" s="6" t="inlineStr">
        <x:is>
          <x:t xml:space="preserve">website+crm</x:t>
        </x:is>
      </x:c>
      <x:c r="T817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818">
      <x:c r="A818" s="6" t="inlineStr">
        <x:is>
          <x:t xml:space="preserve">500 x 506 cm</x:t>
        </x:is>
      </x:c>
      <x:c r="B818" s="6" t="inlineStr">
        <x:is>
          <x:t xml:space="preserve">LEDRGBCCT</x:t>
        </x:is>
      </x:c>
      <x:c r="C818" s="6" t="inlineStr">
        <x:is>
          <x:t xml:space="preserve">Oświetlenie LED RGB CCT</x:t>
        </x:is>
      </x:c>
      <x:c r="D818" s="6" t="inlineStr">
        <x:is>
          <x:t xml:space="preserve">OŚWIETLENIE</x:t>
        </x:is>
      </x:c>
      <x:c r="E818" s="8" t="n">
        <x:f>IFERROR(INDEX('02_RAW_INDEX'!$T:$T,MATCH($A818,'02_RAW_INDEX'!$A:$A,0)),"")</x:f>
        <x:v>2163</x:v>
      </x:c>
      <x:c r="F818" s="8" t="n">
        <x:f>IFERROR(INDEX('02_RAW_INDEX'!$S:$S,MATCH($A818,'02_RAW_INDEX'!$A:$A,0)),"")</x:f>
        <x:v>2661</x:v>
      </x:c>
      <x:c r="G818" s="7" t="n">
        <x:f>'01_Ustawienia'!$B$6</x:f>
        <x:v>0</x:v>
      </x:c>
      <x:c r="H818" s="8" t="n">
        <x:f>IF(E818="","",ROUND(IF('01_Ustawienia'!$B$5="BRUTTO",F818,E818)*(1-G818),0))</x:f>
        <x:v>2163</x:v>
      </x:c>
      <x:c r="I818" s="7" t="n">
        <x:f>IFERROR(IFERROR(INDEX('01_Ustawienia'!$B$15:$B$33,MATCH(B818,'01_Ustawienia'!$A$15:$A$33,0)),0.45),0.45)</x:f>
        <x:v>0.45</x:v>
      </x:c>
      <x:c r="J818" s="8" t="n">
        <x:f>IF(H818="","",ROUND(H818*(1+I818),0))</x:f>
        <x:v>3136</x:v>
      </x:c>
      <x:c r="K818" s="8" t="n">
        <x:f>0</x:f>
        <x:v>0</x:v>
      </x:c>
      <x:c r="L818" s="8" t="n">
        <x:f>0</x:f>
        <x:v>0</x:v>
      </x:c>
      <x:c r="M818" s="7" t="n">
        <x:f>IF('01_Ustawienia'!$B$4="ZWOLNIONY",0,'01_Ustawienia'!$B$7)</x:f>
        <x:v>0.08</x:v>
      </x:c>
      <x:c r="N818" s="8" t="n">
        <x:f>IF(J818="","",ROUND((J818+K818)*(1+M818),0))</x:f>
        <x:v>3387</x:v>
      </x:c>
      <x:c r="O818" s="8" t="n">
        <x:f>IF(J818="","",J818+K818-H818-L818)</x:f>
        <x:v>973</x:v>
      </x:c>
      <x:c r="P818" s="7" t="n">
        <x:f>IFERROR(O818/(J818+K818),"")</x:f>
        <x:v>0.31026785714285715</x:v>
      </x:c>
      <x:c r="Q818" s="715" t="inlineStr">
        <x:is>
          <x:t xml:space="preserve">MODEL_FIX15_LED</x:t>
        </x:is>
      </x:c>
      <x:c r="R818" s="6" t="inlineStr">
        <x:is>
          <x:t xml:space="preserve">OŚWIETLENIE</x:t>
        </x:is>
      </x:c>
      <x:c r="S818" s="6" t="inlineStr">
        <x:is>
          <x:t xml:space="preserve">crm_only</x:t>
        </x:is>
      </x:c>
      <x:c r="T818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819" s="655" customFormat="1" ht="30" customHeight="1">
      <x:c r="A819" s="6" t="inlineStr">
        <x:is>
          <x:t xml:space="preserve">500 x 606 cm</x:t>
        </x:is>
      </x:c>
      <x:c r="B819" s="6" t="inlineStr">
        <x:is>
          <x:t xml:space="preserve">ZP</x:t>
        </x:is>
      </x:c>
      <x:c r="C819" s="6" t="inlineStr">
        <x:is>
          <x:t xml:space="preserve">Zadaszenie poliwęglan - baza</x:t>
        </x:is>
      </x:c>
      <x:c r="D819" s="6" t="inlineStr">
        <x:is>
          <x:t xml:space="preserve">ZADASZENIE POLIWĘGLAN</x:t>
        </x:is>
      </x:c>
      <x:c r="E819" s="8" t="n">
        <x:f>IFERROR(INDEX('02_RAW_INDEX'!$D:$D,MATCH($A819,'02_RAW_INDEX'!$A:$A,0)),"")</x:f>
        <x:v>11398</x:v>
      </x:c>
      <x:c r="F819" s="8" t="n">
        <x:f>IFERROR(INDEX('02_RAW_INDEX'!$C:$C,MATCH($A819,'02_RAW_INDEX'!$A:$A,0)),"")</x:f>
        <x:v>14020</x:v>
      </x:c>
      <x:c r="G819" s="7" t="n">
        <x:f>'01_Ustawienia'!$B$6</x:f>
        <x:v>0</x:v>
      </x:c>
      <x:c r="H819" s="8" t="n">
        <x:f>IF(E819="","",ROUND(IF('01_Ustawienia'!$B$5="BRUTTO",F819,E819)*(1-G819),0))</x:f>
        <x:v>11398</x:v>
      </x:c>
      <x:c r="I819" s="7" t="n">
        <x:f>IFERROR(IFERROR(INDEX('01_Ustawienia'!$B$15:$B$33,MATCH(B819,'01_Ustawienia'!$A$15:$A$33,0)),0.45),0.45)</x:f>
        <x:v>0.45</x:v>
      </x:c>
      <x:c r="J819" s="8" t="n">
        <x:f>IF(H819="","",ROUND(H819*(1+I819),0))</x:f>
        <x:v>16527</x:v>
      </x:c>
      <x:c r="K819" s="8" t="n">
        <x:f>IFERROR(IFERROR(INDEX(EG_Cennik_uslug!$F:$F,MATCH($A819,EG_Cennik_uslug!$A:$A,0)),0),0)</x:f>
        <x:v>4140</x:v>
      </x:c>
      <x:c r="L819" s="8" t="n">
        <x:f>IFERROR(IFERROR(INDEX(EG_Cennik_uslug!$G:$G,MATCH($A819,EG_Cennik_uslug!$A:$A,0)),0),0)</x:f>
        <x:v>1480</x:v>
      </x:c>
      <x:c r="M819" s="7" t="n">
        <x:f>IF('01_Ustawienia'!$B$4="ZWOLNIONY",0,'01_Ustawienia'!$B$7)</x:f>
        <x:v>0.08</x:v>
      </x:c>
      <x:c r="N819" s="8" t="n">
        <x:f>IF(J819="","",ROUND((J819+K819)*(1+M819),0))</x:f>
        <x:v>22320</x:v>
      </x:c>
      <x:c r="O819" s="8" t="n">
        <x:f>IF(J819="","",J819+K819-H819-L819)</x:f>
        <x:v>7789</x:v>
      </x:c>
      <x:c r="P819" s="7" t="n">
        <x:f>IFERROR(O819/(J819+K819),"")</x:f>
        <x:v>0.376881018048096</x:v>
      </x:c>
      <x:c r="Q819" s="6" t="inlineStr">
        <x:is>
          <x:t xml:space="preserve">RAW_ZP B/C</x:t>
        </x:is>
      </x:c>
      <x:c r="R819" s="6" t="inlineStr">
        <x:is>
          <x:t xml:space="preserve">ZADASZENIE TARASU KONSTRUKCJA</x:t>
        </x:is>
      </x:c>
      <x:c r="S819" s="6" t="inlineStr">
        <x:is>
          <x:t xml:space="preserve">website+crm</x:t>
        </x:is>
      </x:c>
      <x:c r="T819" s="6" t="inlineStr">
        <x:is>
          <x:t xml:space="preserve">Baza dla kalkulatora</x:t>
        </x:is>
      </x:c>
    </x:row>
    <x:row r="820" s="655" customFormat="1" ht="30" customHeight="1">
      <x:c r="A820" s="6" t="inlineStr">
        <x:is>
          <x:t xml:space="preserve">500 x 606 cm</x:t>
        </x:is>
      </x:c>
      <x:c r="B820" s="6" t="inlineStr">
        <x:is>
          <x:t xml:space="preserve">ZS</x:t>
        </x:is>
      </x:c>
      <x:c r="C820" s="6" t="inlineStr">
        <x:is>
          <x:t xml:space="preserve">Zadaszenie szkło - pełna konstrukcja</x:t>
        </x:is>
      </x:c>
      <x:c r="D820" s="6" t="inlineStr">
        <x:is>
          <x:t xml:space="preserve">ZADASZENIE SZKŁO</x:t>
        </x:is>
      </x:c>
      <x:c r="E820" s="8" t="n">
        <x:f>IFERROR(INDEX('02_RAW_INDEX'!$V:$V,MATCH($A820,'02_RAW_INDEX'!$A:$A,0)),"")</x:f>
        <x:v>18211</x:v>
      </x:c>
      <x:c r="F820" s="8" t="n">
        <x:f>IFERROR(INDEX('02_RAW_INDEX'!$U:$U,MATCH($A820,'02_RAW_INDEX'!$A:$A,0)),"")</x:f>
        <x:v>22400</x:v>
      </x:c>
      <x:c r="G820" s="7" t="n">
        <x:f>'01_Ustawienia'!$B$6</x:f>
        <x:v>0</x:v>
      </x:c>
      <x:c r="H820" s="8" t="n">
        <x:f>IF(E820="","",ROUND(IF('01_Ustawienia'!$B$5="BRUTTO",F820,E820)*(1-G820),0))</x:f>
        <x:v>18211</x:v>
      </x:c>
      <x:c r="I820" s="7" t="n">
        <x:f>IFERROR(IFERROR(INDEX('01_Ustawienia'!$B$15:$B$33,MATCH(B820,'01_Ustawienia'!$A$15:$A$33,0)),0.45),0.45)</x:f>
        <x:v>0.45</x:v>
      </x:c>
      <x:c r="J820" s="8" t="n">
        <x:f>IF(H820="","",ROUND(H820*(1+I820),0))</x:f>
        <x:v>26406</x:v>
      </x:c>
      <x:c r="K820" s="8" t="n">
        <x:f>IFERROR(IFERROR(INDEX(EG_Cennik_uslug!$F:$F,MATCH($A820,EG_Cennik_uslug!$A:$A,0)),0),0)</x:f>
        <x:v>4140</x:v>
      </x:c>
      <x:c r="L820" s="8" t="n">
        <x:f>IFERROR(IFERROR(INDEX(EG_Cennik_uslug!$G:$G,MATCH($A820,EG_Cennik_uslug!$A:$A,0)),0),0)</x:f>
        <x:v>1480</x:v>
      </x:c>
      <x:c r="M820" s="7" t="n">
        <x:f>IF('01_Ustawienia'!$B$4="ZWOLNIONY",0,'01_Ustawienia'!$B$7)</x:f>
        <x:v>0.08</x:v>
      </x:c>
      <x:c r="N820" s="8" t="n">
        <x:f>IF(J820="","",ROUND((J820+K820)*(1+M820),0))</x:f>
        <x:v>32990</x:v>
      </x:c>
      <x:c r="O820" s="8" t="n">
        <x:f>IF(J820="","",J820+K820-H820-L820)</x:f>
        <x:v>10855</x:v>
      </x:c>
      <x:c r="P820" s="7" t="n">
        <x:f>IFERROR(O820/(J820+K820),"")</x:f>
        <x:v>0.35536567799384533</x:v>
      </x:c>
      <x:c r="Q820" s="6" t="inlineStr">
        <x:is>
          <x:t xml:space="preserve">RAW_ZS B/C</x:t>
        </x:is>
      </x:c>
      <x:c r="R820" s="6" t="inlineStr">
        <x:is>
          <x:t xml:space="preserve">ZADASZENIE TARASU KONSTRUKCJA</x:t>
        </x:is>
      </x:c>
      <x:c r="S820" s="6" t="inlineStr">
        <x:is>
          <x:t xml:space="preserve">crm_only</x:t>
        </x:is>
      </x:c>
      <x:c r="T820" s="6" t="inlineStr">
        <x:is>
          <x:t xml:space="preserve">Referencyjne/full; strona zwykle używa ZP + PDS</x:t>
        </x:is>
      </x:c>
    </x:row>
    <x:row r="821" s="655" customFormat="1" ht="30" customHeight="1">
      <x:c r="A821" s="6" t="inlineStr">
        <x:is>
          <x:t xml:space="preserve">500 x 606 cm</x:t>
        </x:is>
      </x:c>
      <x:c r="B821" s="6" t="inlineStr">
        <x:is>
          <x:t xml:space="preserve">OP</x:t>
        </x:is>
      </x:c>
      <x:c r="C821" s="6" t="inlineStr">
        <x:is>
          <x:t xml:space="preserve">Ogród zimowy poliwęglan - baza</x:t>
        </x:is>
      </x:c>
      <x:c r="D821" s="6" t="inlineStr">
        <x:is>
          <x:t xml:space="preserve">OGRODY POLIWĘGLAN</x:t>
        </x:is>
      </x:c>
      <x:c r="E821" s="8" t="n">
        <x:f>IFERROR(INDEX('02_RAW_INDEX'!$Z:$Z,MATCH($A821,'02_RAW_INDEX'!$A:$A,0)),"")</x:f>
        <x:v>26382</x:v>
      </x:c>
      <x:c r="F821" s="8" t="n">
        <x:f>IFERROR(INDEX('02_RAW_INDEX'!$Y:$Y,MATCH($A821,'02_RAW_INDEX'!$A:$A,0)),"")</x:f>
        <x:v>32450</x:v>
      </x:c>
      <x:c r="G821" s="7" t="n">
        <x:f>'01_Ustawienia'!$B$6</x:f>
        <x:v>0</x:v>
      </x:c>
      <x:c r="H821" s="8" t="n">
        <x:f>IF(E821="","",ROUND(IF('01_Ustawienia'!$B$5="BRUTTO",F821,E821)*(1-G821),0))</x:f>
        <x:v>26382</x:v>
      </x:c>
      <x:c r="I821" s="7" t="n">
        <x:f>IFERROR(IFERROR(INDEX('01_Ustawienia'!$B$15:$B$33,MATCH(B821,'01_Ustawienia'!$A$15:$A$33,0)),0.45),0.45)</x:f>
        <x:v>0.45</x:v>
      </x:c>
      <x:c r="J821" s="8" t="n">
        <x:f>IF(H821="","",ROUND(H821*(1+I821),0))</x:f>
        <x:v>38254</x:v>
      </x:c>
      <x:c r="K821" s="8" t="n">
        <x:f>IFERROR(IFERROR(INDEX(EG_Cennik_uslug!$N:$N,MATCH($A821,EG_Cennik_uslug!$A:$A,0)),0),0)</x:f>
        <x:v>5280</x:v>
      </x:c>
      <x:c r="L821" s="8" t="n">
        <x:f>IFERROR(IFERROR(INDEX(EG_Cennik_uslug!$O:$O,MATCH($A821,EG_Cennik_uslug!$A:$A,0)),0),0)</x:f>
        <x:v>2070</x:v>
      </x:c>
      <x:c r="M821" s="7" t="n">
        <x:f>IF('01_Ustawienia'!$B$4="ZWOLNIONY",0,'01_Ustawienia'!$B$7)</x:f>
        <x:v>0.08</x:v>
      </x:c>
      <x:c r="N821" s="8" t="n">
        <x:f>IF(J821="","",ROUND((J821+K821)*(1+M821),0))</x:f>
        <x:v>47017</x:v>
      </x:c>
      <x:c r="O821" s="8" t="n">
        <x:f>IF(J821="","",J821+K821-H821-L821)</x:f>
        <x:v>15082</x:v>
      </x:c>
      <x:c r="P821" s="7" t="n">
        <x:f>IFERROR(O821/(J821+K821),"")</x:f>
        <x:v>0.34644186153351403</x:v>
      </x:c>
      <x:c r="Q821" s="6" t="inlineStr">
        <x:is>
          <x:t xml:space="preserve">RAW_OP B/C</x:t>
        </x:is>
      </x:c>
      <x:c r="R821" s="6" t="inlineStr">
        <x:is>
          <x:t xml:space="preserve">OGRÓD ZIMOWY (KONSTRUKCJA)</x:t>
        </x:is>
      </x:c>
      <x:c r="S821" s="6" t="inlineStr">
        <x:is>
          <x:t xml:space="preserve">website+crm</x:t>
        </x:is>
      </x:c>
      <x:c r="T821" s="6" t="inlineStr">
        <x:is>
          <x:t xml:space="preserve">Do wyliczenia dopłaty za ściany</x:t>
        </x:is>
      </x:c>
    </x:row>
    <x:row r="822" s="655" customFormat="1" ht="30" customHeight="1">
      <x:c r="A822" s="6" t="inlineStr">
        <x:is>
          <x:t xml:space="preserve">500 x 606 cm</x:t>
        </x:is>
      </x:c>
      <x:c r="B822" s="6" t="inlineStr">
        <x:is>
          <x:t xml:space="preserve">OS</x:t>
        </x:is>
      </x:c>
      <x:c r="C822" s="6" t="inlineStr">
        <x:is>
          <x:t xml:space="preserve">Ogród zimowy szkło - pełna konstrukcja</x:t>
        </x:is>
      </x:c>
      <x:c r="D822" s="6" t="inlineStr">
        <x:is>
          <x:t xml:space="preserve">OGRODY SZKŁO</x:t>
        </x:is>
      </x:c>
      <x:c r="E822" s="8" t="n">
        <x:f>IFERROR(INDEX('02_RAW_INDEX'!$AL:$AL,MATCH($A822,'02_RAW_INDEX'!$A:$A,0)),"")</x:f>
        <x:v>33187</x:v>
      </x:c>
      <x:c r="F822" s="8" t="n">
        <x:f>IFERROR(INDEX('02_RAW_INDEX'!$AK:$AK,MATCH($A822,'02_RAW_INDEX'!$A:$A,0)),"")</x:f>
        <x:v>40820</x:v>
      </x:c>
      <x:c r="G822" s="7" t="n">
        <x:f>'01_Ustawienia'!$B$6</x:f>
        <x:v>0</x:v>
      </x:c>
      <x:c r="H822" s="8" t="n">
        <x:f>IF(E822="","",ROUND(IF('01_Ustawienia'!$B$5="BRUTTO",F822,E822)*(1-G822),0))</x:f>
        <x:v>33187</x:v>
      </x:c>
      <x:c r="I822" s="7" t="n">
        <x:f>IFERROR(IFERROR(INDEX('01_Ustawienia'!$B$15:$B$33,MATCH(B822,'01_Ustawienia'!$A$15:$A$33,0)),0.45),0.45)</x:f>
        <x:v>0.45</x:v>
      </x:c>
      <x:c r="J822" s="8" t="n">
        <x:f>IF(H822="","",ROUND(H822*(1+I822),0))</x:f>
        <x:v>48121</x:v>
      </x:c>
      <x:c r="K822" s="8" t="n">
        <x:f>IFERROR(IFERROR(INDEX(EG_Cennik_uslug!$N:$N,MATCH($A822,EG_Cennik_uslug!$A:$A,0)),0),0)</x:f>
        <x:v>5280</x:v>
      </x:c>
      <x:c r="L822" s="8" t="n">
        <x:f>IFERROR(IFERROR(INDEX(EG_Cennik_uslug!$O:$O,MATCH($A822,EG_Cennik_uslug!$A:$A,0)),0),0)</x:f>
        <x:v>2070</x:v>
      </x:c>
      <x:c r="M822" s="7" t="n">
        <x:f>IF('01_Ustawienia'!$B$4="ZWOLNIONY",0,'01_Ustawienia'!$B$7)</x:f>
        <x:v>0.08</x:v>
      </x:c>
      <x:c r="N822" s="8" t="n">
        <x:f>IF(J822="","",ROUND((J822+K822)*(1+M822),0))</x:f>
        <x:v>57673</x:v>
      </x:c>
      <x:c r="O822" s="8" t="n">
        <x:f>IF(J822="","",J822+K822-H822-L822)</x:f>
        <x:v>18144</x:v>
      </x:c>
      <x:c r="P822" s="7" t="n">
        <x:f>IFERROR(O822/(J822+K822),"")</x:f>
        <x:v>0.3397689181850527</x:v>
      </x:c>
      <x:c r="Q822" s="6" t="inlineStr">
        <x:is>
          <x:t xml:space="preserve">RAW_OS B/C</x:t>
        </x:is>
      </x:c>
      <x:c r="R822" s="6" t="inlineStr">
        <x:is>
          <x:t xml:space="preserve">OGRÓD ZIMOWY (KONSTRUKCJA)</x:t>
        </x:is>
      </x:c>
      <x:c r="S822" s="6" t="inlineStr">
        <x:is>
          <x:t xml:space="preserve">crm_only</x:t>
        </x:is>
      </x:c>
      <x:c r="T822" s="6" t="inlineStr">
        <x:is>
          <x:t xml:space="preserve">Referencyjne/full</x:t>
        </x:is>
      </x:c>
    </x:row>
    <x:row r="823" s="655" customFormat="1" ht="30" customHeight="1">
      <x:c r="A823" s="6" t="inlineStr">
        <x:is>
          <x:t xml:space="preserve">500 x 606 cm</x:t>
        </x:is>
      </x:c>
      <x:c r="B823" s="6" t="inlineStr">
        <x:is>
          <x:t xml:space="preserve">PDS</x:t>
        </x:is>
      </x:c>
      <x:c r="C823" s="6" t="inlineStr">
        <x:is>
          <x:t xml:space="preserve">Dopłata dach szkło przezroczyste</x:t>
        </x:is>
      </x:c>
      <x:c r="D823" s="6" t="inlineStr">
        <x:is>
          <x:t xml:space="preserve">POKRYCIE DACHU SZKŁO</x:t>
        </x:is>
      </x:c>
      <x:c r="E823" s="8" t="n">
        <x:f>IFERROR(IFERROR(INDEX('02_RAW_INDEX'!$V:$V,MATCH($A823,'02_RAW_INDEX'!$A:$A,0)),"")-IFERROR(INDEX('02_RAW_INDEX'!$D:$D,MATCH($A823,'02_RAW_INDEX'!$A:$A,0)),""),"")</x:f>
        <x:v>6813</x:v>
      </x:c>
      <x:c r="F823" s="8" t="n">
        <x:f>IFERROR(IFERROR(INDEX('02_RAW_INDEX'!$U:$U,MATCH($A823,'02_RAW_INDEX'!$A:$A,0)),"")-IFERROR(INDEX('02_RAW_INDEX'!$C:$C,MATCH($A823,'02_RAW_INDEX'!$A:$A,0)),""),"")</x:f>
        <x:v>8380</x:v>
      </x:c>
      <x:c r="G823" s="7" t="n">
        <x:f>'01_Ustawienia'!$B$6</x:f>
        <x:v>0</x:v>
      </x:c>
      <x:c r="H823" s="8" t="n">
        <x:f>IF(E823="","",ROUND(IF('01_Ustawienia'!$B$5="BRUTTO",F823,E823)*(1-G823),0))</x:f>
        <x:v>6813</x:v>
      </x:c>
      <x:c r="I823" s="7" t="n">
        <x:f>IFERROR(IFERROR(INDEX('01_Ustawienia'!$B$15:$B$33,MATCH(B823,'01_Ustawienia'!$A$15:$A$33,0)),0.45),0.45)</x:f>
        <x:v>0.45</x:v>
      </x:c>
      <x:c r="J823" s="8" t="n">
        <x:f>IF(H823="","",ROUND(H823*(1+I823),0))</x:f>
        <x:v>9879</x:v>
      </x:c>
      <x:c r="K823" s="8" t="n">
        <x:f>0</x:f>
        <x:v>0</x:v>
      </x:c>
      <x:c r="L823" s="8" t="n">
        <x:v>0</x:v>
      </x:c>
      <x:c r="M823" s="7" t="n">
        <x:f>IF('01_Ustawienia'!$B$4="ZWOLNIONY",0,'01_Ustawienia'!$B$7)</x:f>
        <x:v>0.08</x:v>
      </x:c>
      <x:c r="N823" s="8" t="n">
        <x:f>IF(J823="","",ROUND((J823+K823)*(1+M823),0))</x:f>
        <x:v>10669</x:v>
      </x:c>
      <x:c r="O823" s="8" t="n">
        <x:f>IF(J823="","",J823+K823-H823-L823)</x:f>
        <x:v>3066</x:v>
      </x:c>
      <x:c r="P823" s="7" t="n">
        <x:f>IFERROR(O823/(J823+K823),"")</x:f>
        <x:v>0.31035529911934406</x:v>
      </x:c>
      <x:c r="Q823" s="6" t="inlineStr">
        <x:is>
          <x:t xml:space="preserve">RAW_ZS - RAW_ZP</x:t>
        </x:is>
      </x:c>
      <x:c r="R823" s="6" t="inlineStr">
        <x:is>
          <x:t xml:space="preserve">POKRYCIE DACHU</x:t>
        </x:is>
      </x:c>
      <x:c r="S823" s="6" t="inlineStr">
        <x:is>
          <x:t xml:space="preserve">website+crm</x:t>
        </x:is>
      </x:c>
      <x:c r="T823" s="6" t="inlineStr">
        <x:is>
          <x:t xml:space="preserve">Dopłata do bazowego dachu poliwęglan | FIX17: Wynagr.+koszty = 0 dla dopłaty; nie jest osobnym montażem ekipy.</x:t>
        </x:is>
      </x:c>
    </x:row>
    <x:row r="824" s="655" customFormat="1" ht="30" customHeight="1">
      <x:c r="A824" s="6" t="inlineStr">
        <x:is>
          <x:t xml:space="preserve">500 x 606 cm</x:t>
        </x:is>
      </x:c>
      <x:c r="B824" s="6" t="inlineStr">
        <x:is>
          <x:t xml:space="preserve">PDSB</x:t>
        </x:is>
      </x:c>
      <x:c r="C824" s="6" t="inlineStr">
        <x:is>
          <x:t xml:space="preserve">Dopłata dach szkło barwione/mleczne</x:t>
        </x:is>
      </x:c>
      <x:c r="D824" s="6" t="inlineStr">
        <x:is>
          <x:t xml:space="preserve">POKRYCIE DACHU SZKŁO BARWIONE</x:t>
        </x:is>
      </x:c>
      <x:c r="E824" s="8" t="n">
        <x:f>IFERROR(INDEX('02_RAW_INDEX'!$X:$X,MATCH($A824,'02_RAW_INDEX'!$A:$A,0)),"")</x:f>
        <x:v>683</x:v>
      </x:c>
      <x:c r="F824" s="8" t="n">
        <x:f>IFERROR(INDEX('02_RAW_INDEX'!$W:$W,MATCH($A824,'02_RAW_INDEX'!$A:$A,0)),"")</x:f>
        <x:v>840</x:v>
      </x:c>
      <x:c r="G824" s="7" t="n">
        <x:f>'01_Ustawienia'!$B$6</x:f>
        <x:v>0</x:v>
      </x:c>
      <x:c r="H824" s="8" t="n">
        <x:f>IF(E824="","",ROUND(IF('01_Ustawienia'!$B$5="BRUTTO",F824,E824)*(1-G824),0))</x:f>
        <x:v>683</x:v>
      </x:c>
      <x:c r="I824" s="7" t="n">
        <x:f>IFERROR(IFERROR(INDEX('01_Ustawienia'!$B$15:$B$33,MATCH(B824,'01_Ustawienia'!$A$15:$A$33,0)),0.45),0.45)</x:f>
        <x:v>0.45</x:v>
      </x:c>
      <x:c r="J824" s="8" t="n">
        <x:f>IF(H824="","",ROUND(H824*(1+I824),0))</x:f>
        <x:v>990</x:v>
      </x:c>
      <x:c r="K824" s="8" t="n">
        <x:f>0</x:f>
        <x:v>0</x:v>
      </x:c>
      <x:c r="L824" s="8" t="n">
        <x:v>0</x:v>
      </x:c>
      <x:c r="M824" s="7" t="n">
        <x:f>IF('01_Ustawienia'!$B$4="ZWOLNIONY",0,'01_Ustawienia'!$B$7)</x:f>
        <x:v>0.08</x:v>
      </x:c>
      <x:c r="N824" s="8" t="n">
        <x:f>IF(J824="","",ROUND((J824+K824)*(1+M824),0))</x:f>
        <x:v>1069</x:v>
      </x:c>
      <x:c r="O824" s="8" t="n">
        <x:f>IF(J824="","",J824+K824-H824-L824)</x:f>
        <x:v>307</x:v>
      </x:c>
      <x:c r="P824" s="7" t="n">
        <x:f>IFERROR(O824/(J824+K824),"")</x:f>
        <x:v>0.3101010101010101</x:v>
      </x:c>
      <x:c r="Q824" s="6" t="inlineStr">
        <x:is>
          <x:t xml:space="preserve">RAW_ZS D/E</x:t>
        </x:is>
      </x:c>
      <x:c r="R824" s="6" t="inlineStr">
        <x:is>
          <x:t xml:space="preserve">POKRYCIE DACHU</x:t>
        </x:is>
      </x:c>
      <x:c r="S824" s="6" t="inlineStr">
        <x:is>
          <x:t xml:space="preserve">website+crm</x:t>
        </x:is>
      </x:c>
      <x:c r="T824" s="6" t="inlineStr">
        <x:is>
          <x:t xml:space="preserve">Dodawane do PDS | FIX17: Wynagr.+koszty = 0 dla dopłaty; nie jest osobnym montażem ekipy.</x:t>
        </x:is>
      </x:c>
    </x:row>
    <x:row r="825" s="655" customFormat="1" ht="30" customHeight="1">
      <x:c r="A825" s="6" t="inlineStr">
        <x:is>
          <x:t xml:space="preserve">500 x 606 cm</x:t>
        </x:is>
      </x:c>
      <x:c r="B825" s="6" t="inlineStr">
        <x:is>
          <x:t xml:space="preserve">PDPB</x:t>
        </x:is>
      </x:c>
      <x:c r="C825" s="6" t="inlineStr">
        <x:is>
          <x:t xml:space="preserve">Dopłata poliwęglan barwiony</x:t>
        </x:is>
      </x:c>
      <x:c r="D825" s="6" t="inlineStr">
        <x:is>
          <x:t xml:space="preserve">POKRYCIE DACHU POLIWĘGLAN BARWIONY</x:t>
        </x:is>
      </x:c>
      <x:c r="E825" s="8" t="n">
        <x:f>IFERROR(INDEX('02_RAW_INDEX'!$F:$F,MATCH($A825,'02_RAW_INDEX'!$A:$A,0)),"")</x:f>
        <x:v>504</x:v>
      </x:c>
      <x:c r="F825" s="8" t="n">
        <x:f>IFERROR(INDEX('02_RAW_INDEX'!$E:$E,MATCH($A825,'02_RAW_INDEX'!$A:$A,0)),"")</x:f>
        <x:v>620</x:v>
      </x:c>
      <x:c r="G825" s="7" t="n">
        <x:f>'01_Ustawienia'!$B$6</x:f>
        <x:v>0</x:v>
      </x:c>
      <x:c r="H825" s="8" t="n">
        <x:f>IF(E825="","",ROUND(IF('01_Ustawienia'!$B$5="BRUTTO",F825,E825)*(1-G825),0))</x:f>
        <x:v>504</x:v>
      </x:c>
      <x:c r="I825" s="7" t="n">
        <x:f>IFERROR(IFERROR(INDEX('01_Ustawienia'!$B$15:$B$33,MATCH(B825,'01_Ustawienia'!$A$15:$A$33,0)),0.45),0.45)</x:f>
        <x:v>0.45</x:v>
      </x:c>
      <x:c r="J825" s="8" t="n">
        <x:f>IF(H825="","",ROUND(H825*(1+I825),0))</x:f>
        <x:v>731</x:v>
      </x:c>
      <x:c r="K825" s="8" t="n">
        <x:f>0</x:f>
        <x:v>0</x:v>
      </x:c>
      <x:c r="L825" s="8" t="n">
        <x:v>0</x:v>
      </x:c>
      <x:c r="M825" s="7" t="n">
        <x:f>IF('01_Ustawienia'!$B$4="ZWOLNIONY",0,'01_Ustawienia'!$B$7)</x:f>
        <x:v>0.08</x:v>
      </x:c>
      <x:c r="N825" s="8" t="n">
        <x:f>IF(J825="","",ROUND((J825+K825)*(1+M825),0))</x:f>
        <x:v>789</x:v>
      </x:c>
      <x:c r="O825" s="8" t="n">
        <x:f>IF(J825="","",J825+K825-H825-L825)</x:f>
        <x:v>227</x:v>
      </x:c>
      <x:c r="P825" s="7" t="n">
        <x:f>IFERROR(O825/(J825+K825),"")</x:f>
        <x:v>0.31053351573187415</x:v>
      </x:c>
      <x:c r="Q825" s="6" t="inlineStr">
        <x:is>
          <x:t xml:space="preserve">RAW_ZP D/E</x:t>
        </x:is>
      </x:c>
      <x:c r="R825" s="6" t="inlineStr">
        <x:is>
          <x:t xml:space="preserve">POKRYCIE DACHU</x:t>
        </x:is>
      </x:c>
      <x:c r="S825" s="6" t="inlineStr">
        <x:is>
          <x:t xml:space="preserve">website+crm</x:t>
        </x:is>
      </x:c>
      <x:c r="T825" s="6" t="inlineStr">
        <x:is>
          <x:t xml:space="preserve">FIX17: Wynagr.+koszty = 0 dla dopłaty; nie jest osobnym montażem ekipy.</x:t>
        </x:is>
      </x:c>
    </x:row>
    <x:row r="826" s="655" customFormat="1" ht="30" customHeight="1">
      <x:c r="A826" s="6" t="inlineStr">
        <x:is>
          <x:t xml:space="preserve">500 x 606 cm</x:t>
        </x:is>
      </x:c>
      <x:c r="B826" s="6" t="inlineStr">
        <x:is>
          <x:t xml:space="preserve">SBB</x:t>
        </x:is>
      </x:c>
      <x:c r="C826" s="6" t="inlineStr">
        <x:is>
          <x:t xml:space="preserve">Dopłata szkło boczne przyciemniane</x:t>
        </x:is>
      </x:c>
      <x:c r="D826" s="6" t="inlineStr">
        <x:is>
          <x:t xml:space="preserve">SZKŁO BOCZNE BARWIONE</x:t>
        </x:is>
      </x:c>
      <x:c r="E826" s="8" t="n">
        <x:f>IFERROR(INDEX('02_RAW_INDEX'!$AB:$AB,MATCH($A826,'02_RAW_INDEX'!$A:$A,0)),"")</x:f>
        <x:v>1561</x:v>
      </x:c>
      <x:c r="F826" s="8" t="n">
        <x:f>IFERROR(INDEX('02_RAW_INDEX'!$AA:$AA,MATCH($A826,'02_RAW_INDEX'!$A:$A,0)),"")</x:f>
        <x:v>1920</x:v>
      </x:c>
      <x:c r="G826" s="7" t="n">
        <x:f>'01_Ustawienia'!$B$6</x:f>
        <x:v>0</x:v>
      </x:c>
      <x:c r="H826" s="8" t="n">
        <x:f>IF(E826="","",ROUND(IF('01_Ustawienia'!$B$5="BRUTTO",F826,E826)*(1-G826),0))</x:f>
        <x:v>1561</x:v>
      </x:c>
      <x:c r="I826" s="7" t="n">
        <x:f>IFERROR(IFERROR(INDEX('01_Ustawienia'!$B$15:$B$33,MATCH(B826,'01_Ustawienia'!$A$15:$A$33,0)),0.45),0.45)</x:f>
        <x:v>0.45</x:v>
      </x:c>
      <x:c r="J826" s="8" t="n">
        <x:f>IF(H826="","",ROUND(H826*(1+I826),0))</x:f>
        <x:v>2263</x:v>
      </x:c>
      <x:c r="K826" s="8" t="n">
        <x:f>0</x:f>
        <x:v>0</x:v>
      </x:c>
      <x:c r="L826" s="8" t="n">
        <x:v>0</x:v>
      </x:c>
      <x:c r="M826" s="7" t="n">
        <x:f>IF('01_Ustawienia'!$B$4="ZWOLNIONY",0,'01_Ustawienia'!$B$7)</x:f>
        <x:v>0.08</x:v>
      </x:c>
      <x:c r="N826" s="8" t="n">
        <x:f>IF(J826="","",ROUND((J826+K826)*(1+M826),0))</x:f>
        <x:v>2444</x:v>
      </x:c>
      <x:c r="O826" s="8" t="n">
        <x:f>IF(J826="","",J826+K826-H826-L826)</x:f>
        <x:v>702</x:v>
      </x:c>
      <x:c r="P826" s="7" t="n">
        <x:f>IFERROR(O826/(J826+K826),"")</x:f>
        <x:v>0.3102076889085285</x:v>
      </x:c>
      <x:c r="Q826" s="6" t="inlineStr">
        <x:is>
          <x:t xml:space="preserve">RAW_OP H/I</x:t>
        </x:is>
      </x:c>
      <x:c r="R826" s="6" t="inlineStr">
        <x:is>
          <x:t xml:space="preserve">SZYBY BOCZNE</x:t>
        </x:is>
      </x:c>
      <x:c r="S826" s="6" t="inlineStr">
        <x:is>
          <x:t xml:space="preserve">website+crm</x:t>
        </x:is>
      </x:c>
      <x:c r="T826" s="6" t="inlineStr">
        <x:is>
          <x:t xml:space="preserve">Dodawane do ścian przezroczystych | FIX17: Wynagr.+koszty = 0 dla dopłaty; nie jest osobnym montażem ekipy.</x:t>
        </x:is>
      </x:c>
    </x:row>
    <x:row r="827">
      <x:c r="A827" s="6" t="inlineStr">
        <x:is>
          <x:t xml:space="preserve">500 x 606 cm</x:t>
        </x:is>
      </x:c>
      <x:c r="B827" s="6" t="inlineStr">
        <x:is>
          <x:t xml:space="preserve">RB</x:t>
        </x:is>
      </x:c>
      <x:c r="C827" s="6" t="inlineStr">
        <x:is>
          <x:t xml:space="preserve">Roleta boczna ZIP</x:t>
        </x:is>
      </x:c>
      <x:c r="D827" s="6" t="inlineStr">
        <x:is>
          <x:t xml:space="preserve">ROLETA BOCZNA</x:t>
        </x:is>
      </x:c>
      <x:c r="E827" s="8" t="n">
        <x:f>IFERROR(INDEX('02_RAW_INDEX'!$J:$J,MATCH($A827,'02_RAW_INDEX'!$A:$A,0)),"")</x:f>
        <x:v>3008</x:v>
      </x:c>
      <x:c r="F827" s="8" t="n">
        <x:f>IFERROR(INDEX('02_RAW_INDEX'!$I:$I,MATCH($A827,'02_RAW_INDEX'!$A:$A,0)),"")</x:f>
        <x:v>3700</x:v>
      </x:c>
      <x:c r="G827" s="7" t="n">
        <x:f>'01_Ustawienia'!$B$6</x:f>
        <x:v>0</x:v>
      </x:c>
      <x:c r="H827" s="8" t="n">
        <x:f>IF(E827="","",ROUND(IF('01_Ustawienia'!$B$5="BRUTTO",F827,E827)*(1-G827),0))</x:f>
        <x:v>3008</x:v>
      </x:c>
      <x:c r="I827" s="7" t="n">
        <x:f>IFERROR(IFERROR(INDEX('01_Ustawienia'!$B$15:$B$33,MATCH(B827,'01_Ustawienia'!$A$15:$A$33,0)),0.45),0.45)</x:f>
        <x:v>0.45</x:v>
      </x:c>
      <x:c r="J827" s="8" t="n">
        <x:f>IF(H827="","",ROUND(H827*(1+I827),0))</x:f>
        <x:v>4362</x:v>
      </x:c>
      <x:c r="K827" s="8" t="n">
        <x:f>0</x:f>
        <x:v>0</x:v>
      </x:c>
      <x:c r="L827" s="8" t="n">
        <x:f>IFERROR(IFERROR(INDEX(EG_Cennik_uslug!$AC:$AC,MATCH($A827,EG_Cennik_uslug!$A:$A,0)),0),0)</x:f>
        <x:v>150</x:v>
      </x:c>
      <x:c r="M827" s="7" t="n">
        <x:f>IF('01_Ustawienia'!$B$4="ZWOLNIONY",0,'01_Ustawienia'!$B$7)</x:f>
        <x:v>0.08</x:v>
      </x:c>
      <x:c r="N827" s="8" t="n">
        <x:f>IF(J827="","",ROUND((J827+K827)*(1+M827),0))</x:f>
        <x:v>4711</x:v>
      </x:c>
      <x:c r="O827" s="8" t="n">
        <x:f>IF(J827="","",J827+K827-H827-L827)</x:f>
        <x:v>1204</x:v>
      </x:c>
      <x:c r="P827" s="7" t="n">
        <x:f>IFERROR(O827/(J827+K827),"")</x:f>
        <x:v>0.27602017423200365</x:v>
      </x:c>
      <x:c r="Q827" s="6" t="inlineStr">
        <x:is>
          <x:t xml:space="preserve">RAW_ZP J/K</x:t>
        </x:is>
      </x:c>
      <x:c r="R827" s="6" t="inlineStr">
        <x:is>
          <x:t xml:space="preserve">ROLETY BOCZNE</x:t>
        </x:is>
      </x:c>
      <x:c r="S827" s="6" t="inlineStr">
        <x:is>
          <x:t xml:space="preserve">website+crm</x:t>
        </x:is>
      </x:c>
      <x:c r="T827" s="6" t="inlineStr">
        <x:is>
          <x:t xml:space="preserve">Używana dla lewej i prawej</x:t>
        </x:is>
      </x:c>
    </x:row>
    <x:row r="828">
      <x:c r="A828" s="6" t="inlineStr">
        <x:is>
          <x:t xml:space="preserve">500 x 606 cm</x:t>
        </x:is>
      </x:c>
      <x:c r="B828" s="6" t="inlineStr">
        <x:is>
          <x:t xml:space="preserve">RP</x:t>
        </x:is>
      </x:c>
      <x:c r="C828" s="6" t="inlineStr">
        <x:is>
          <x:t xml:space="preserve">Roleta przednia ZIP</x:t>
        </x:is>
      </x:c>
      <x:c r="D828" s="6" t="inlineStr">
        <x:is>
          <x:t xml:space="preserve">ROLETA PRZÓD</x:t>
        </x:is>
      </x:c>
      <x:c r="E828" s="8" t="n">
        <x:f>IFERROR(INDEX('02_RAW_INDEX'!$L:$L,MATCH($A828,'02_RAW_INDEX'!$A:$A,0)),"")</x:f>
        <x:v>3472</x:v>
      </x:c>
      <x:c r="F828" s="8" t="n">
        <x:f>IFERROR(INDEX('02_RAW_INDEX'!$K:$K,MATCH($A828,'02_RAW_INDEX'!$A:$A,0)),"")</x:f>
        <x:v>4270</x:v>
      </x:c>
      <x:c r="G828" s="7" t="n">
        <x:f>'01_Ustawienia'!$B$6</x:f>
        <x:v>0</x:v>
      </x:c>
      <x:c r="H828" s="8" t="n">
        <x:f>IF(E828="","",ROUND(IF('01_Ustawienia'!$B$5="BRUTTO",F828,E828)*(1-G828),0))</x:f>
        <x:v>3472</x:v>
      </x:c>
      <x:c r="I828" s="7" t="n">
        <x:f>IFERROR(IFERROR(INDEX('01_Ustawienia'!$B$15:$B$33,MATCH(B828,'01_Ustawienia'!$A$15:$A$33,0)),0.45),0.45)</x:f>
        <x:v>0.45</x:v>
      </x:c>
      <x:c r="J828" s="8" t="n">
        <x:f>IF(H828="","",ROUND(H828*(1+I828),0))</x:f>
        <x:v>5034</x:v>
      </x:c>
      <x:c r="K828" s="8" t="n">
        <x:f>0</x:f>
        <x:v>0</x:v>
      </x:c>
      <x:c r="L828" s="8" t="n">
        <x:f>IFERROR(IFERROR(INDEX(EG_Cennik_uslug!$AJ:$AJ,MATCH($A828,EG_Cennik_uslug!$A:$A,0)),0),0)</x:f>
        <x:v>300</x:v>
      </x:c>
      <x:c r="M828" s="7" t="n">
        <x:f>IF('01_Ustawienia'!$B$4="ZWOLNIONY",0,'01_Ustawienia'!$B$7)</x:f>
        <x:v>0.08</x:v>
      </x:c>
      <x:c r="N828" s="8" t="n">
        <x:f>IF(J828="","",ROUND((J828+K828)*(1+M828),0))</x:f>
        <x:v>5437</x:v>
      </x:c>
      <x:c r="O828" s="8" t="n">
        <x:f>IF(J828="","",J828+K828-H828-L828)</x:f>
        <x:v>1262</x:v>
      </x:c>
      <x:c r="P828" s="7" t="n">
        <x:f>IFERROR(O828/(J828+K828),"")</x:f>
        <x:v>0.2506952721493842</x:v>
      </x:c>
      <x:c r="Q828" s="6" t="inlineStr">
        <x:is>
          <x:t xml:space="preserve">RAW_ZP N/O</x:t>
        </x:is>
      </x:c>
      <x:c r="R828" s="6" t="inlineStr">
        <x:is>
          <x:t xml:space="preserve">ROLETY BOCZNE</x:t>
        </x:is>
      </x:c>
      <x:c r="S828" s="6" t="inlineStr">
        <x:is>
          <x:t xml:space="preserve">website+crm</x:t>
        </x:is>
      </x:c>
      <x:c r="T828" s="6" t="n"/>
    </x:row>
    <x:row r="829">
      <x:c r="A829" s="6" t="inlineStr">
        <x:is>
          <x:t xml:space="preserve">500 x 606 cm</x:t>
        </x:is>
      </x:c>
      <x:c r="B829" s="6" t="inlineStr">
        <x:is>
          <x:t xml:space="preserve">M</x:t>
        </x:is>
      </x:c>
      <x:c r="C829" s="6" t="inlineStr">
        <x:is>
          <x:t xml:space="preserve">Markiza dachowa</x:t>
        </x:is>
      </x:c>
      <x:c r="D829" s="6" t="inlineStr">
        <x:is>
          <x:t xml:space="preserve">MARKIZA</x:t>
        </x:is>
      </x:c>
      <x:c r="E829" s="8" t="n">
        <x:f>IFERROR(INDEX('02_RAW_INDEX'!$H:$H,MATCH($A829,'02_RAW_INDEX'!$A:$A,0)),"")</x:f>
        <x:v>6634</x:v>
      </x:c>
      <x:c r="F829" s="8" t="n">
        <x:f>IFERROR(INDEX('02_RAW_INDEX'!$G:$G,MATCH($A829,'02_RAW_INDEX'!$A:$A,0)),"")</x:f>
        <x:v>8160</x:v>
      </x:c>
      <x:c r="G829" s="7" t="n">
        <x:f>'01_Ustawienia'!$B$6</x:f>
        <x:v>0</x:v>
      </x:c>
      <x:c r="H829" s="8" t="n">
        <x:f>IF(E829="","",ROUND(IF('01_Ustawienia'!$B$5="BRUTTO",F829,E829)*(1-G829),0))</x:f>
        <x:v>6634</x:v>
      </x:c>
      <x:c r="I829" s="7" t="n">
        <x:f>IFERROR(IFERROR(INDEX('01_Ustawienia'!$B$15:$B$33,MATCH(B829,'01_Ustawienia'!$A$15:$A$33,0)),0.45),0.45)</x:f>
        <x:v>0.45</x:v>
      </x:c>
      <x:c r="J829" s="8" t="n">
        <x:f>IF(H829="","",ROUND(H829*(1+I829),0))</x:f>
        <x:v>9619</x:v>
      </x:c>
      <x:c r="K829" s="8" t="n">
        <x:f>0</x:f>
        <x:v>0</x:v>
      </x:c>
      <x:c r="L829" s="8" t="n">
        <x:f>IFERROR(IFERROR(INDEX(EG_Cennik_uslug!$AQ:$AQ,MATCH($A829,EG_Cennik_uslug!$A:$A,0)),0),0)</x:f>
        <x:v>350</x:v>
      </x:c>
      <x:c r="M829" s="7" t="n">
        <x:f>IF('01_Ustawienia'!$B$4="ZWOLNIONY",0,'01_Ustawienia'!$B$7)</x:f>
        <x:v>0.08</x:v>
      </x:c>
      <x:c r="N829" s="8" t="n">
        <x:f>IF(J829="","",ROUND((J829+K829)*(1+M829),0))</x:f>
        <x:v>10389</x:v>
      </x:c>
      <x:c r="O829" s="8" t="n">
        <x:f>IF(J829="","",J829+K829-H829-L829)</x:f>
        <x:v>2635</x:v>
      </x:c>
      <x:c r="P829" s="7" t="n">
        <x:f>IFERROR(O829/(J829+K829),"")</x:f>
        <x:v>0.27393699968811724</x:v>
      </x:c>
      <x:c r="Q829" s="6" t="inlineStr">
        <x:is>
          <x:t xml:space="preserve">RAW_ZP H/I</x:t>
        </x:is>
      </x:c>
      <x:c r="R829" s="6" t="inlineStr">
        <x:is>
          <x:t xml:space="preserve">MARKIZA</x:t>
        </x:is>
      </x:c>
      <x:c r="S829" s="6" t="inlineStr">
        <x:is>
          <x:t xml:space="preserve">website+crm</x:t>
        </x:is>
      </x:c>
      <x:c r="T829" s="6" t="n"/>
    </x:row>
    <x:row r="830">
      <x:c r="A830" s="6" t="inlineStr">
        <x:is>
          <x:t xml:space="preserve">500 x 606 cm</x:t>
        </x:is>
      </x:c>
      <x:c r="B830" s="6" t="inlineStr">
        <x:is>
          <x:t xml:space="preserve">PDWP</x:t>
        </x:is>
      </x:c>
      <x:c r="C830" s="6" t="inlineStr">
        <x:is>
          <x:t xml:space="preserve">Fundament/profile</x:t>
        </x:is>
      </x:c>
      <x:c r="D830" s="6" t="inlineStr">
        <x:is>
          <x:t xml:space="preserve">FUNDAMENT / PROFILE</x:t>
        </x:is>
      </x:c>
      <x:c r="E830" s="8" t="n">
        <x:f>IFERROR(INDEX('02_RAW_INDEX'!$AH:$AH,MATCH($A830,'02_RAW_INDEX'!$A:$A,0)),"")</x:f>
        <x:v>1382</x:v>
      </x:c>
      <x:c r="F830" s="8" t="n">
        <x:f>IFERROR(INDEX('02_RAW_INDEX'!$AG:$AG,MATCH($A830,'02_RAW_INDEX'!$A:$A,0)),"")</x:f>
        <x:v>1700</x:v>
      </x:c>
      <x:c r="G830" s="7" t="n">
        <x:f>'01_Ustawienia'!$B$6</x:f>
        <x:v>0</x:v>
      </x:c>
      <x:c r="H830" s="8" t="n">
        <x:f>IF(E830="","",ROUND(IF('01_Ustawienia'!$B$5="BRUTTO",F830,E830)*(1-G830),0))</x:f>
        <x:v>1382</x:v>
      </x:c>
      <x:c r="I830" s="7" t="n">
        <x:f>IFERROR(IFERROR(INDEX('01_Ustawienia'!$B$15:$B$33,MATCH(B830,'01_Ustawienia'!$A$15:$A$33,0)),0.45),0.45)</x:f>
        <x:v>1.2</x:v>
      </x:c>
      <x:c r="J830" s="8" t="n">
        <x:f>IF(H830="","",ROUND(H830*(1+I830),0))</x:f>
        <x:v>3040</x:v>
      </x:c>
      <x:c r="K830" s="8" t="n">
        <x:f>0</x:f>
        <x:v>0</x:v>
      </x:c>
      <x:c r="L830" s="8" t="n">
        <x:f>IFERROR(IFERROR(INDEX(EG_Cennik_uslug!$BT:$BT,MATCH($A830,EG_Cennik_uslug!$A:$A,0)),0),0)</x:f>
        <x:v>640</x:v>
      </x:c>
      <x:c r="M830" s="7" t="n">
        <x:f>IF('01_Ustawienia'!$B$4="ZWOLNIONY",0,'01_Ustawienia'!$B$7)</x:f>
        <x:v>0.08</x:v>
      </x:c>
      <x:c r="N830" s="8" t="n">
        <x:f>IF(J830="","",ROUND((J830+K830)*(1+M830),0))</x:f>
        <x:v>3283</x:v>
      </x:c>
      <x:c r="O830" s="8" t="n">
        <x:f>IF(J830="","",J830+K830-H830-L830)</x:f>
        <x:v>1018</x:v>
      </x:c>
      <x:c r="P830" s="7" t="n">
        <x:f>IFERROR(O830/(J830+K830),"")</x:f>
        <x:v>0.3348684210526316</x:v>
      </x:c>
      <x:c r="Q830" s="6" t="inlineStr">
        <x:is>
          <x:t xml:space="preserve">RAW_OP AB/AC</x:t>
        </x:is>
      </x:c>
      <x:c r="R830" s="6" t="inlineStr">
        <x:is>
          <x:t xml:space="preserve">FUNDAMENT (PROFILE)</x:t>
        </x:is>
      </x:c>
      <x:c r="S830" s="6" t="inlineStr">
        <x:is>
          <x:t xml:space="preserve">website+crm</x:t>
        </x:is>
      </x:c>
      <x:c r="T830" s="6" t="n"/>
    </x:row>
    <x:row r="831" s="655" customFormat="1" ht="30" customHeight="1">
      <x:c r="A831" s="6" t="inlineStr">
        <x:is>
          <x:t xml:space="preserve">500 x 606 cm</x:t>
        </x:is>
      </x:c>
      <x:c r="B831" s="6" t="inlineStr">
        <x:is>
          <x:t xml:space="preserve">ZAB</x:t>
        </x:is>
      </x:c>
      <x:c r="C831" s="6" t="inlineStr">
        <x:is>
          <x:t xml:space="preserve">Zabieraki do ścian przesuwnych</x:t>
        </x:is>
      </x:c>
      <x:c r="D831" s="6" t="inlineStr">
        <x:is>
          <x:t xml:space="preserve">DODATKI</x:t>
        </x:is>
      </x:c>
      <x:c r="E831" s="8" t="n">
        <x:f>IFERROR(INDEX('02_RAW_INDEX'!$AJ:$AJ,MATCH($A831,'02_RAW_INDEX'!$A:$A,0)),"")</x:f>
        <x:v>390</x:v>
      </x:c>
      <x:c r="F831" s="8" t="n">
        <x:f>IFERROR(INDEX('02_RAW_INDEX'!$AI:$AI,MATCH($A831,'02_RAW_INDEX'!$A:$A,0)),"")</x:f>
        <x:v>480</x:v>
      </x:c>
      <x:c r="G831" s="7" t="n">
        <x:f>'01_Ustawienia'!$B$6</x:f>
        <x:v>0</x:v>
      </x:c>
      <x:c r="H831" s="8" t="n">
        <x:f>IF(E831="","",ROUND(IF('01_Ustawienia'!$B$5="BRUTTO",F831,E831)*(1-G831),0))</x:f>
        <x:v>390</x:v>
      </x:c>
      <x:c r="I831" s="7" t="n">
        <x:f>IFERROR(IFERROR(INDEX('01_Ustawienia'!$B$15:$B$33,MATCH(B831,'01_Ustawienia'!$A$15:$A$33,0)),0.45),0.45)</x:f>
        <x:v>0.45</x:v>
      </x:c>
      <x:c r="J831" s="8" t="n">
        <x:f>IF(H831="","",ROUND(H831*(1+I831),0))</x:f>
        <x:v>566</x:v>
      </x:c>
      <x:c r="K831" s="8" t="n">
        <x:f>0</x:f>
        <x:v>0</x:v>
      </x:c>
      <x:c r="L831" s="8" t="n">
        <x:f>0</x:f>
        <x:v>0</x:v>
      </x:c>
      <x:c r="M831" s="7" t="n">
        <x:f>IF('01_Ustawienia'!$B$4="ZWOLNIONY",0,'01_Ustawienia'!$B$7)</x:f>
        <x:v>0.08</x:v>
      </x:c>
      <x:c r="N831" s="8" t="n">
        <x:f>IF(J831="","",ROUND((J831+K831)*(1+M831),0))</x:f>
        <x:v>611</x:v>
      </x:c>
      <x:c r="O831" s="8" t="n">
        <x:f>IF(J831="","",J831+K831-H831-L831)</x:f>
        <x:v>176</x:v>
      </x:c>
      <x:c r="P831" s="7" t="n">
        <x:f>IFERROR(O831/(J831+K831),"")</x:f>
        <x:v>0.31095406360424027</x:v>
      </x:c>
      <x:c r="Q831" s="6" t="inlineStr">
        <x:is>
          <x:t xml:space="preserve">RAW_OP AD/AE</x:t>
        </x:is>
      </x:c>
      <x:c r="R831" s="6" t="inlineStr">
        <x:is>
          <x:t xml:space="preserve">DODATKI</x:t>
        </x:is>
      </x:c>
      <x:c r="S831" s="6" t="inlineStr">
        <x:is>
          <x:t xml:space="preserve">crm_only</x:t>
        </x:is>
      </x:c>
      <x:c r="T831" s="6" t="n"/>
    </x:row>
    <x:row r="832">
      <x:c r="A832" s="6" t="inlineStr">
        <x:is>
          <x:t xml:space="preserve">500 x 606 cm</x:t>
        </x:is>
      </x:c>
      <x:c r="B832" s="6" t="inlineStr">
        <x:is>
          <x:t xml:space="preserve">S</x:t>
        </x:is>
      </x:c>
      <x:c r="C832" s="6" t="inlineStr">
        <x:is>
          <x:t xml:space="preserve">Szczotki przeciwkurzowe</x:t>
        </x:is>
      </x:c>
      <x:c r="D832" s="6" t="inlineStr">
        <x:is>
          <x:t xml:space="preserve">SZCZOTKI</x:t>
        </x:is>
      </x:c>
      <x:c r="E832" s="8" t="n">
        <x:f>IFERROR(INDEX('02_RAW_INDEX'!$AD:$AD,MATCH($A832,'02_RAW_INDEX'!$A:$A,0)),"")</x:f>
        <x:v>496</x:v>
      </x:c>
      <x:c r="F832" s="8" t="n">
        <x:f>IFERROR(INDEX('02_RAW_INDEX'!$AC:$AC,MATCH($A832,'02_RAW_INDEX'!$A:$A,0)),"")</x:f>
        <x:v>610</x:v>
      </x:c>
      <x:c r="G832" s="7" t="n">
        <x:f>'01_Ustawienia'!$B$6</x:f>
        <x:v>0</x:v>
      </x:c>
      <x:c r="H832" s="8" t="n">
        <x:f>IF(E832="","",ROUND(IF('01_Ustawienia'!$B$5="BRUTTO",F832,E832)*(1-G832),0))</x:f>
        <x:v>496</x:v>
      </x:c>
      <x:c r="I832" s="7" t="n">
        <x:f>IFERROR(IFERROR(INDEX('01_Ustawienia'!$B$15:$B$33,MATCH(B832,'01_Ustawienia'!$A$15:$A$33,0)),0.45),0.45)</x:f>
        <x:v>0.45</x:v>
      </x:c>
      <x:c r="J832" s="8" t="n">
        <x:f>IF(H832="","",ROUND(H832*(1+I832),0))</x:f>
        <x:v>719</x:v>
      </x:c>
      <x:c r="K832" s="8" t="n">
        <x:f>0</x:f>
        <x:v>0</x:v>
      </x:c>
      <x:c r="L832" s="8" t="n">
        <x:f>IFERROR(IFERROR(INDEX(EG_Cennik_uslug!$CA:$CA,MATCH($A832,EG_Cennik_uslug!$A:$A,0)),0),0)</x:f>
        <x:v>0</x:v>
      </x:c>
      <x:c r="M832" s="7" t="n">
        <x:f>IF('01_Ustawienia'!$B$4="ZWOLNIONY",0,'01_Ustawienia'!$B$7)</x:f>
        <x:v>0.08</x:v>
      </x:c>
      <x:c r="N832" s="8" t="n">
        <x:f>IF(J832="","",ROUND((J832+K832)*(1+M832),0))</x:f>
        <x:v>777</x:v>
      </x:c>
      <x:c r="O832" s="8" t="n">
        <x:f>IF(J832="","",J832+K832-H832-L832)</x:f>
        <x:v>223</x:v>
      </x:c>
      <x:c r="P832" s="7" t="n">
        <x:f>IFERROR(O832/(J832+K832),"")</x:f>
        <x:v>0.3101529902642559</x:v>
      </x:c>
      <x:c r="Q832" s="6" t="inlineStr">
        <x:is>
          <x:t xml:space="preserve">RAW_OP L/M</x:t>
        </x:is>
      </x:c>
      <x:c r="R832" s="6" t="inlineStr">
        <x:is>
          <x:t xml:space="preserve">DODATKI</x:t>
        </x:is>
      </x:c>
      <x:c r="S832" s="6" t="inlineStr">
        <x:is>
          <x:t xml:space="preserve">website+crm</x:t>
        </x:is>
      </x:c>
      <x:c r="T832" s="6" t="n"/>
    </x:row>
    <x:row r="833">
      <x:c r="A833" s="6" t="inlineStr">
        <x:is>
          <x:t xml:space="preserve">500 x 606 cm</x:t>
        </x:is>
      </x:c>
      <x:c r="B833" s="6" t="inlineStr">
        <x:is>
          <x:t xml:space="preserve">U</x:t>
        </x:is>
      </x:c>
      <x:c r="C833" s="6" t="inlineStr">
        <x:is>
          <x:t xml:space="preserve">Uchwyty na szkło ścienne</x:t>
        </x:is>
      </x:c>
      <x:c r="D833" s="6" t="inlineStr">
        <x:is>
          <x:t xml:space="preserve">UCHWYTY</x:t>
        </x:is>
      </x:c>
      <x:c r="E833" s="8" t="n">
        <x:f>IFERROR(INDEX('02_RAW_INDEX'!$AF:$AF,MATCH($A833,'02_RAW_INDEX'!$A:$A,0)),"")</x:f>
        <x:v>447</x:v>
      </x:c>
      <x:c r="F833" s="8" t="n">
        <x:f>IFERROR(INDEX('02_RAW_INDEX'!$AE:$AE,MATCH($A833,'02_RAW_INDEX'!$A:$A,0)),"")</x:f>
        <x:v>550</x:v>
      </x:c>
      <x:c r="G833" s="7" t="n">
        <x:f>'01_Ustawienia'!$B$6</x:f>
        <x:v>0</x:v>
      </x:c>
      <x:c r="H833" s="8" t="n">
        <x:f>IF(E833="","",ROUND(IF('01_Ustawienia'!$B$5="BRUTTO",F833,E833)*(1-G833),0))</x:f>
        <x:v>447</x:v>
      </x:c>
      <x:c r="I833" s="7" t="n">
        <x:f>IFERROR(IFERROR(INDEX('01_Ustawienia'!$B$15:$B$33,MATCH(B833,'01_Ustawienia'!$A$15:$A$33,0)),0.45),0.45)</x:f>
        <x:v>0.45</x:v>
      </x:c>
      <x:c r="J833" s="8" t="n">
        <x:f>IF(H833="","",ROUND(H833*(1+I833),0))</x:f>
        <x:v>648</x:v>
      </x:c>
      <x:c r="K833" s="8" t="n">
        <x:f>0</x:f>
        <x:v>0</x:v>
      </x:c>
      <x:c r="L833" s="8" t="n">
        <x:f>IFERROR(IFERROR(INDEX(EG_Cennik_uslug!$CH:$CH,MATCH($A833,EG_Cennik_uslug!$A:$A,0)),0),0)</x:f>
        <x:v>0</x:v>
      </x:c>
      <x:c r="M833" s="7" t="n">
        <x:f>IF('01_Ustawienia'!$B$4="ZWOLNIONY",0,'01_Ustawienia'!$B$7)</x:f>
        <x:v>0.08</x:v>
      </x:c>
      <x:c r="N833" s="8" t="n">
        <x:f>IF(J833="","",ROUND((J833+K833)*(1+M833),0))</x:f>
        <x:v>700</x:v>
      </x:c>
      <x:c r="O833" s="8" t="n">
        <x:f>IF(J833="","",J833+K833-H833-L833)</x:f>
        <x:v>201</x:v>
      </x:c>
      <x:c r="P833" s="7" t="n">
        <x:f>IFERROR(O833/(J833+K833),"")</x:f>
        <x:v>0.3101851851851852</x:v>
      </x:c>
      <x:c r="Q833" s="6" t="inlineStr">
        <x:is>
          <x:t xml:space="preserve">RAW_OP N/O</x:t>
        </x:is>
      </x:c>
      <x:c r="R833" s="6" t="inlineStr">
        <x:is>
          <x:t xml:space="preserve">DODATKI</x:t>
        </x:is>
      </x:c>
      <x:c r="S833" s="6" t="inlineStr">
        <x:is>
          <x:t xml:space="preserve">website+crm</x:t>
        </x:is>
      </x:c>
      <x:c r="T833" s="6" t="n"/>
    </x:row>
    <x:row r="834">
      <x:c r="A834" s="6" t="inlineStr">
        <x:is>
          <x:t xml:space="preserve">500 x 606 cm</x:t>
        </x:is>
      </x:c>
      <x:c r="B834" s="6" t="inlineStr">
        <x:is>
          <x:t xml:space="preserve">LED2</x:t>
        </x:is>
      </x:c>
      <x:c r="C834" s="6" t="inlineStr">
        <x:is>
          <x:t xml:space="preserve">Oświetlenie LED 2 punkty</x:t>
        </x:is>
      </x:c>
      <x:c r="D834" s="6" t="inlineStr">
        <x:is>
          <x:t xml:space="preserve">LED 2 PKT</x:t>
        </x:is>
      </x:c>
      <x:c r="E834" s="8" t="n">
        <x:f>IFERROR(INDEX('02_RAW_INDEX'!$N:$N,MATCH($A834,'02_RAW_INDEX'!$A:$A,0)),"")</x:f>
        <x:v>642</x:v>
      </x:c>
      <x:c r="F834" s="8" t="n">
        <x:f>IFERROR(INDEX('02_RAW_INDEX'!$M:$M,MATCH($A834,'02_RAW_INDEX'!$A:$A,0)),"")</x:f>
        <x:v>790</x:v>
      </x:c>
      <x:c r="G834" s="7" t="n">
        <x:f>'01_Ustawienia'!$B$6</x:f>
        <x:v>0</x:v>
      </x:c>
      <x:c r="H834" s="8" t="n">
        <x:f>IF(E834="","",ROUND(IF('01_Ustawienia'!$B$5="BRUTTO",F834,E834)*(1-G834),0))</x:f>
        <x:v>642</x:v>
      </x:c>
      <x:c r="I834" s="7" t="n">
        <x:f>IFERROR(IFERROR(INDEX('01_Ustawienia'!$B$15:$B$33,MATCH(B834,'01_Ustawienia'!$A$15:$A$33,0)),0.45),0.45)</x:f>
        <x:v>0.45</x:v>
      </x:c>
      <x:c r="J834" s="8" t="n">
        <x:f>IF(H834="","",ROUND(H834*(1+I834),0))</x:f>
        <x:v>931</x:v>
      </x:c>
      <x:c r="K834" s="8" t="n">
        <x:f>0</x:f>
        <x:v>0</x:v>
      </x:c>
      <x:c r="L834" s="8" t="n">
        <x:f>IFERROR(IFERROR(INDEX(EG_Cennik_uslug!$CO:$CO,MATCH($A834,EG_Cennik_uslug!$A:$A,0)),0),0)</x:f>
        <x:v>0</x:v>
      </x:c>
      <x:c r="M834" s="7" t="n">
        <x:f>IF('01_Ustawienia'!$B$4="ZWOLNIONY",0,'01_Ustawienia'!$B$7)</x:f>
        <x:v>0.08</x:v>
      </x:c>
      <x:c r="N834" s="8" t="n">
        <x:f>IF(J834="","",ROUND((J834+K834)*(1+M834),0))</x:f>
        <x:v>1005</x:v>
      </x:c>
      <x:c r="O834" s="8" t="n">
        <x:f>IF(J834="","",J834+K834-H834-L834)</x:f>
        <x:v>289</x:v>
      </x:c>
      <x:c r="P834" s="7" t="n">
        <x:f>IFERROR(O834/(J834+K834),"")</x:f>
        <x:v>0.3104189044038668</x:v>
      </x:c>
      <x:c r="Q834" s="6" t="inlineStr">
        <x:is>
          <x:t xml:space="preserve">RAW_ZP P/Q</x:t>
        </x:is>
      </x:c>
      <x:c r="R834" s="6" t="inlineStr">
        <x:is>
          <x:t xml:space="preserve">OŚWIETLENIE</x:t>
        </x:is>
      </x:c>
      <x:c r="S834" s="6" t="inlineStr">
        <x:is>
          <x:t xml:space="preserve">website+crm</x:t>
        </x:is>
      </x:c>
      <x:c r="T834" s="6" t="n"/>
    </x:row>
    <x:row r="835">
      <x:c r="A835" s="6" t="inlineStr">
        <x:is>
          <x:t xml:space="preserve">500 x 606 cm</x:t>
        </x:is>
      </x:c>
      <x:c r="B835" s="6" t="inlineStr">
        <x:is>
          <x:t xml:space="preserve">LED3</x:t>
        </x:is>
      </x:c>
      <x:c r="C835" s="6" t="inlineStr">
        <x:is>
          <x:t xml:space="preserve">Oświetlenie LED 3 punkty</x:t>
        </x:is>
      </x:c>
      <x:c r="D835" s="6" t="inlineStr">
        <x:is>
          <x:t xml:space="preserve">LED 3 PKT</x:t>
        </x:is>
      </x:c>
      <x:c r="E835" s="8" t="n">
        <x:f>IFERROR(INDEX('02_RAW_INDEX'!$P:$P,MATCH($A835,'02_RAW_INDEX'!$A:$A,0)),"")</x:f>
        <x:v>886</x:v>
      </x:c>
      <x:c r="F835" s="8" t="n">
        <x:f>IFERROR(INDEX('02_RAW_INDEX'!$O:$O,MATCH($A835,'02_RAW_INDEX'!$A:$A,0)),"")</x:f>
        <x:v>1090</x:v>
      </x:c>
      <x:c r="G835" s="7" t="n">
        <x:f>'01_Ustawienia'!$B$6</x:f>
        <x:v>0</x:v>
      </x:c>
      <x:c r="H835" s="8" t="n">
        <x:f>IF(E835="","",ROUND(IF('01_Ustawienia'!$B$5="BRUTTO",F835,E835)*(1-G835),0))</x:f>
        <x:v>886</x:v>
      </x:c>
      <x:c r="I835" s="7" t="n">
        <x:f>IFERROR(IFERROR(INDEX('01_Ustawienia'!$B$15:$B$33,MATCH(B835,'01_Ustawienia'!$A$15:$A$33,0)),0.45),0.45)</x:f>
        <x:v>0.45</x:v>
      </x:c>
      <x:c r="J835" s="8" t="n">
        <x:f>IF(H835="","",ROUND(H835*(1+I835),0))</x:f>
        <x:v>1285</x:v>
      </x:c>
      <x:c r="K835" s="8" t="n">
        <x:f>0</x:f>
        <x:v>0</x:v>
      </x:c>
      <x:c r="L835" s="8" t="n">
        <x:f>IFERROR(IFERROR(INDEX(EG_Cennik_uslug!$CV:$CV,MATCH($A835,EG_Cennik_uslug!$A:$A,0)),0),0)</x:f>
        <x:v>0</x:v>
      </x:c>
      <x:c r="M835" s="7" t="n">
        <x:f>IF('01_Ustawienia'!$B$4="ZWOLNIONY",0,'01_Ustawienia'!$B$7)</x:f>
        <x:v>0.08</x:v>
      </x:c>
      <x:c r="N835" s="8" t="n">
        <x:f>IF(J835="","",ROUND((J835+K835)*(1+M835),0))</x:f>
        <x:v>1388</x:v>
      </x:c>
      <x:c r="O835" s="8" t="n">
        <x:f>IF(J835="","",J835+K835-H835-L835)</x:f>
        <x:v>399</x:v>
      </x:c>
      <x:c r="P835" s="7" t="n">
        <x:f>IFERROR(O835/(J835+K835),"")</x:f>
        <x:v>0.3105058365758755</x:v>
      </x:c>
      <x:c r="Q835" s="6" t="inlineStr">
        <x:is>
          <x:t xml:space="preserve">RAW_ZP R/S</x:t>
        </x:is>
      </x:c>
      <x:c r="R835" s="6" t="inlineStr">
        <x:is>
          <x:t xml:space="preserve">OŚWIETLENIE</x:t>
        </x:is>
      </x:c>
      <x:c r="S835" s="6" t="inlineStr">
        <x:is>
          <x:t xml:space="preserve">website+crm</x:t>
        </x:is>
      </x:c>
      <x:c r="T835" s="6" t="inlineStr">
        <x:is>
          <x:t xml:space="preserve">Nazwa do potwierdzenia</x:t>
        </x:is>
      </x:c>
    </x:row>
    <x:row r="836">
      <x:c r="A836" s="6" t="inlineStr">
        <x:is>
          <x:t xml:space="preserve">500 x 606 cm</x:t>
        </x:is>
      </x:c>
      <x:c r="B836" s="6" t="inlineStr">
        <x:is>
          <x:t xml:space="preserve">LEDCCT</x:t>
        </x:is>
      </x:c>
      <x:c r="C836" s="6" t="inlineStr">
        <x:is>
          <x:t xml:space="preserve">Oświetlenie LED CCT</x:t>
        </x:is>
      </x:c>
      <x:c r="D836" s="6" t="inlineStr">
        <x:is>
          <x:t xml:space="preserve">OŚWIETLENIE</x:t>
        </x:is>
      </x:c>
      <x:c r="E836" s="8" t="n">
        <x:f>IFERROR(INDEX('02_RAW_INDEX'!$R:$R,MATCH($A836,'02_RAW_INDEX'!$A:$A,0)),"")</x:f>
        <x:v>1943</x:v>
      </x:c>
      <x:c r="F836" s="8" t="n">
        <x:f>IFERROR(INDEX('02_RAW_INDEX'!$Q:$Q,MATCH($A836,'02_RAW_INDEX'!$A:$A,0)),"")</x:f>
        <x:v>2390</x:v>
      </x:c>
      <x:c r="G836" s="7" t="n">
        <x:f>'01_Ustawienia'!$B$6</x:f>
        <x:v>0</x:v>
      </x:c>
      <x:c r="H836" s="8" t="n">
        <x:f>IF(E836="","",ROUND(IF('01_Ustawienia'!$B$5="BRUTTO",F836,E836)*(1-G836),0))</x:f>
        <x:v>1943</x:v>
      </x:c>
      <x:c r="I836" s="7" t="n">
        <x:f>IFERROR(IFERROR(INDEX('01_Ustawienia'!$B$15:$B$33,MATCH(B836,'01_Ustawienia'!$A$15:$A$33,0)),0.45),0.45)</x:f>
        <x:v>0.45</x:v>
      </x:c>
      <x:c r="J836" s="8" t="n">
        <x:f>IF(H836="","",ROUND(H836*(1+I836),0)+700)</x:f>
        <x:v>3517</x:v>
      </x:c>
      <x:c r="K836" s="8" t="n">
        <x:f>0</x:f>
        <x:v>0</x:v>
      </x:c>
      <x:c r="L836" s="8" t="n">
        <x:f>0</x:f>
        <x:v>0</x:v>
      </x:c>
      <x:c r="M836" s="7" t="n">
        <x:f>IF('01_Ustawienia'!$B$4="ZWOLNIONY",0,'01_Ustawienia'!$B$7)</x:f>
        <x:v>0.08</x:v>
      </x:c>
      <x:c r="N836" s="8" t="n">
        <x:f>IF(J836="","",ROUND((J836+K836)*(1+M836),0))</x:f>
        <x:v>3798</x:v>
      </x:c>
      <x:c r="O836" s="8" t="n">
        <x:f>IF(J836="","",J836+K836-H836-L836)</x:f>
        <x:v>1574</x:v>
      </x:c>
      <x:c r="P836" s="7" t="n">
        <x:f>IFERROR(O836/(J836+K836),"")</x:f>
        <x:v>0.44754051748649415</x:v>
      </x:c>
      <x:c r="Q836" s="715" t="inlineStr">
        <x:is>
          <x:t xml:space="preserve">MODEL_FIX15_LED</x:t>
        </x:is>
      </x:c>
      <x:c r="R836" s="6" t="inlineStr">
        <x:is>
          <x:t xml:space="preserve">OŚWIETLENIE</x:t>
        </x:is>
      </x:c>
      <x:c r="S836" s="6" t="inlineStr">
        <x:is>
          <x:t xml:space="preserve">website+crm</x:t>
        </x:is>
      </x:c>
      <x:c r="T836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837">
      <x:c r="A837" s="6" t="inlineStr">
        <x:is>
          <x:t xml:space="preserve">500 x 606 cm</x:t>
        </x:is>
      </x:c>
      <x:c r="B837" s="6" t="inlineStr">
        <x:is>
          <x:t xml:space="preserve">LEDRGBCCT</x:t>
        </x:is>
      </x:c>
      <x:c r="C837" s="6" t="inlineStr">
        <x:is>
          <x:t xml:space="preserve">Oświetlenie LED RGB CCT</x:t>
        </x:is>
      </x:c>
      <x:c r="D837" s="6" t="inlineStr">
        <x:is>
          <x:t xml:space="preserve">OŚWIETLENIE</x:t>
        </x:is>
      </x:c>
      <x:c r="E837" s="8" t="n">
        <x:f>IFERROR(INDEX('02_RAW_INDEX'!$T:$T,MATCH($A837,'02_RAW_INDEX'!$A:$A,0)),"")</x:f>
        <x:v>2524</x:v>
      </x:c>
      <x:c r="F837" s="8" t="n">
        <x:f>IFERROR(INDEX('02_RAW_INDEX'!$S:$S,MATCH($A837,'02_RAW_INDEX'!$A:$A,0)),"")</x:f>
        <x:v>3104</x:v>
      </x:c>
      <x:c r="G837" s="7" t="n">
        <x:f>'01_Ustawienia'!$B$6</x:f>
        <x:v>0</x:v>
      </x:c>
      <x:c r="H837" s="8" t="n">
        <x:f>IF(E837="","",ROUND(IF('01_Ustawienia'!$B$5="BRUTTO",F837,E837)*(1-G837),0))</x:f>
        <x:v>2524</x:v>
      </x:c>
      <x:c r="I837" s="7" t="n">
        <x:f>IFERROR(IFERROR(INDEX('01_Ustawienia'!$B$15:$B$33,MATCH(B837,'01_Ustawienia'!$A$15:$A$33,0)),0.45),0.45)</x:f>
        <x:v>0.45</x:v>
      </x:c>
      <x:c r="J837" s="8" t="n">
        <x:f>IF(H837="","",ROUND(H837*(1+I837),0))</x:f>
        <x:v>3660</x:v>
      </x:c>
      <x:c r="K837" s="8" t="n">
        <x:f>0</x:f>
        <x:v>0</x:v>
      </x:c>
      <x:c r="L837" s="8" t="n">
        <x:f>0</x:f>
        <x:v>0</x:v>
      </x:c>
      <x:c r="M837" s="7" t="n">
        <x:f>IF('01_Ustawienia'!$B$4="ZWOLNIONY",0,'01_Ustawienia'!$B$7)</x:f>
        <x:v>0.08</x:v>
      </x:c>
      <x:c r="N837" s="8" t="n">
        <x:f>IF(J837="","",ROUND((J837+K837)*(1+M837),0))</x:f>
        <x:v>3953</x:v>
      </x:c>
      <x:c r="O837" s="8" t="n">
        <x:f>IF(J837="","",J837+K837-H837-L837)</x:f>
        <x:v>1136</x:v>
      </x:c>
      <x:c r="P837" s="7" t="n">
        <x:f>IFERROR(O837/(J837+K837),"")</x:f>
        <x:v>0.3103825136612022</x:v>
      </x:c>
      <x:c r="Q837" s="715" t="inlineStr">
        <x:is>
          <x:t xml:space="preserve">MODEL_FIX15_LED</x:t>
        </x:is>
      </x:c>
      <x:c r="R837" s="6" t="inlineStr">
        <x:is>
          <x:t xml:space="preserve">OŚWIETLENIE</x:t>
        </x:is>
      </x:c>
      <x:c r="S837" s="6" t="inlineStr">
        <x:is>
          <x:t xml:space="preserve">crm_only</x:t>
        </x:is>
      </x:c>
      <x:c r="T837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838" s="655" customFormat="1" ht="30" customHeight="1">
      <x:c r="A838" s="6" t="inlineStr">
        <x:is>
          <x:t xml:space="preserve">500 x 706 cm</x:t>
        </x:is>
      </x:c>
      <x:c r="B838" s="6" t="inlineStr">
        <x:is>
          <x:t xml:space="preserve">ZP</x:t>
        </x:is>
      </x:c>
      <x:c r="C838" s="6" t="inlineStr">
        <x:is>
          <x:t xml:space="preserve">Zadaszenie poliwęglan - baza</x:t>
        </x:is>
      </x:c>
      <x:c r="D838" s="6" t="inlineStr">
        <x:is>
          <x:t xml:space="preserve">ZADASZENIE POLIWĘGLAN</x:t>
        </x:is>
      </x:c>
      <x:c r="E838" s="8" t="n">
        <x:f>IFERROR(INDEX('02_RAW_INDEX'!$D:$D,MATCH($A838,'02_RAW_INDEX'!$A:$A,0)),"")</x:f>
        <x:v>14016</x:v>
      </x:c>
      <x:c r="F838" s="8" t="n">
        <x:f>IFERROR(INDEX('02_RAW_INDEX'!$C:$C,MATCH($A838,'02_RAW_INDEX'!$A:$A,0)),"")</x:f>
        <x:v>17240</x:v>
      </x:c>
      <x:c r="G838" s="7" t="n">
        <x:f>'01_Ustawienia'!$B$6</x:f>
        <x:v>0</x:v>
      </x:c>
      <x:c r="H838" s="8" t="n">
        <x:f>IF(E838="","",ROUND(IF('01_Ustawienia'!$B$5="BRUTTO",F838,E838)*(1-G838),0))</x:f>
        <x:v>14016</x:v>
      </x:c>
      <x:c r="I838" s="7" t="n">
        <x:f>IFERROR(IFERROR(INDEX('01_Ustawienia'!$B$15:$B$33,MATCH(B838,'01_Ustawienia'!$A$15:$A$33,0)),0.45),0.45)</x:f>
        <x:v>0.45</x:v>
      </x:c>
      <x:c r="J838" s="8" t="n">
        <x:f>IF(H838="","",ROUND(H838*(1+I838),0))</x:f>
        <x:v>20323</x:v>
      </x:c>
      <x:c r="K838" s="8" t="n">
        <x:f>IFERROR(IFERROR(INDEX(EG_Cennik_uslug!$F:$F,MATCH($A838,EG_Cennik_uslug!$A:$A,0)),0),0)</x:f>
        <x:v>4410</x:v>
      </x:c>
      <x:c r="L838" s="8" t="n">
        <x:f>IFERROR(IFERROR(INDEX(EG_Cennik_uslug!$G:$G,MATCH($A838,EG_Cennik_uslug!$A:$A,0)),0),0)</x:f>
        <x:v>1610</x:v>
      </x:c>
      <x:c r="M838" s="7" t="n">
        <x:f>IF('01_Ustawienia'!$B$4="ZWOLNIONY",0,'01_Ustawienia'!$B$7)</x:f>
        <x:v>0.08</x:v>
      </x:c>
      <x:c r="N838" s="8" t="n">
        <x:f>IF(J838="","",ROUND((J838+K838)*(1+M838),0))</x:f>
        <x:v>26712</x:v>
      </x:c>
      <x:c r="O838" s="8" t="n">
        <x:f>IF(J838="","",J838+K838-H838-L838)</x:f>
        <x:v>9107</x:v>
      </x:c>
      <x:c r="P838" s="7" t="n">
        <x:f>IFERROR(O838/(J838+K838),"")</x:f>
        <x:v>0.3682125096025553</x:v>
      </x:c>
      <x:c r="Q838" s="6" t="inlineStr">
        <x:is>
          <x:t xml:space="preserve">RAW_ZP B/C</x:t>
        </x:is>
      </x:c>
      <x:c r="R838" s="6" t="inlineStr">
        <x:is>
          <x:t xml:space="preserve">ZADASZENIE TARASU KONSTRUKCJA</x:t>
        </x:is>
      </x:c>
      <x:c r="S838" s="6" t="inlineStr">
        <x:is>
          <x:t xml:space="preserve">website+crm</x:t>
        </x:is>
      </x:c>
      <x:c r="T838" s="6" t="inlineStr">
        <x:is>
          <x:t xml:space="preserve">Baza dla kalkulatora</x:t>
        </x:is>
      </x:c>
    </x:row>
    <x:row r="839" s="655" customFormat="1" ht="30" customHeight="1">
      <x:c r="A839" s="6" t="inlineStr">
        <x:is>
          <x:t xml:space="preserve">500 x 706 cm</x:t>
        </x:is>
      </x:c>
      <x:c r="B839" s="6" t="inlineStr">
        <x:is>
          <x:t xml:space="preserve">ZS</x:t>
        </x:is>
      </x:c>
      <x:c r="C839" s="6" t="inlineStr">
        <x:is>
          <x:t xml:space="preserve">Zadaszenie szkło - pełna konstrukcja</x:t>
        </x:is>
      </x:c>
      <x:c r="D839" s="6" t="inlineStr">
        <x:is>
          <x:t xml:space="preserve">ZADASZENIE SZKŁO</x:t>
        </x:is>
      </x:c>
      <x:c r="E839" s="8" t="n">
        <x:f>IFERROR(INDEX('02_RAW_INDEX'!$V:$V,MATCH($A839,'02_RAW_INDEX'!$A:$A,0)),"")</x:f>
        <x:v>22073</x:v>
      </x:c>
      <x:c r="F839" s="8" t="n">
        <x:f>IFERROR(INDEX('02_RAW_INDEX'!$U:$U,MATCH($A839,'02_RAW_INDEX'!$A:$A,0)),"")</x:f>
        <x:v>27150</x:v>
      </x:c>
      <x:c r="G839" s="7" t="n">
        <x:f>'01_Ustawienia'!$B$6</x:f>
        <x:v>0</x:v>
      </x:c>
      <x:c r="H839" s="8" t="n">
        <x:f>IF(E839="","",ROUND(IF('01_Ustawienia'!$B$5="BRUTTO",F839,E839)*(1-G839),0))</x:f>
        <x:v>22073</x:v>
      </x:c>
      <x:c r="I839" s="7" t="n">
        <x:f>IFERROR(IFERROR(INDEX('01_Ustawienia'!$B$15:$B$33,MATCH(B839,'01_Ustawienia'!$A$15:$A$33,0)),0.45),0.45)</x:f>
        <x:v>0.45</x:v>
      </x:c>
      <x:c r="J839" s="8" t="n">
        <x:f>IF(H839="","",ROUND(H839*(1+I839),0))</x:f>
        <x:v>32006</x:v>
      </x:c>
      <x:c r="K839" s="8" t="n">
        <x:f>IFERROR(IFERROR(INDEX(EG_Cennik_uslug!$F:$F,MATCH($A839,EG_Cennik_uslug!$A:$A,0)),0),0)</x:f>
        <x:v>4410</x:v>
      </x:c>
      <x:c r="L839" s="8" t="n">
        <x:f>IFERROR(IFERROR(INDEX(EG_Cennik_uslug!$G:$G,MATCH($A839,EG_Cennik_uslug!$A:$A,0)),0),0)</x:f>
        <x:v>1610</x:v>
      </x:c>
      <x:c r="M839" s="7" t="n">
        <x:f>IF('01_Ustawienia'!$B$4="ZWOLNIONY",0,'01_Ustawienia'!$B$7)</x:f>
        <x:v>0.08</x:v>
      </x:c>
      <x:c r="N839" s="8" t="n">
        <x:f>IF(J839="","",ROUND((J839+K839)*(1+M839),0))</x:f>
        <x:v>39329</x:v>
      </x:c>
      <x:c r="O839" s="8" t="n">
        <x:f>IF(J839="","",J839+K839-H839-L839)</x:f>
        <x:v>12733</x:v>
      </x:c>
      <x:c r="P839" s="7" t="n">
        <x:f>IFERROR(O839/(J839+K839),"")</x:f>
        <x:v>0.34965399824253074</x:v>
      </x:c>
      <x:c r="Q839" s="6" t="inlineStr">
        <x:is>
          <x:t xml:space="preserve">RAW_ZS B/C</x:t>
        </x:is>
      </x:c>
      <x:c r="R839" s="6" t="inlineStr">
        <x:is>
          <x:t xml:space="preserve">ZADASZENIE TARASU KONSTRUKCJA</x:t>
        </x:is>
      </x:c>
      <x:c r="S839" s="6" t="inlineStr">
        <x:is>
          <x:t xml:space="preserve">crm_only</x:t>
        </x:is>
      </x:c>
      <x:c r="T839" s="6" t="inlineStr">
        <x:is>
          <x:t xml:space="preserve">Referencyjne/full; strona zwykle używa ZP + PDS</x:t>
        </x:is>
      </x:c>
    </x:row>
    <x:row r="840" s="655" customFormat="1" ht="30" customHeight="1">
      <x:c r="A840" s="6" t="inlineStr">
        <x:is>
          <x:t xml:space="preserve">500 x 706 cm</x:t>
        </x:is>
      </x:c>
      <x:c r="B840" s="6" t="inlineStr">
        <x:is>
          <x:t xml:space="preserve">OP</x:t>
        </x:is>
      </x:c>
      <x:c r="C840" s="6" t="inlineStr">
        <x:is>
          <x:t xml:space="preserve">Ogród zimowy poliwęglan - baza</x:t>
        </x:is>
      </x:c>
      <x:c r="D840" s="6" t="inlineStr">
        <x:is>
          <x:t xml:space="preserve">OGRODY POLIWĘGLAN</x:t>
        </x:is>
      </x:c>
      <x:c r="E840" s="8" t="n">
        <x:f>IFERROR(INDEX('02_RAW_INDEX'!$Z:$Z,MATCH($A840,'02_RAW_INDEX'!$A:$A,0)),"")</x:f>
        <x:v>28984</x:v>
      </x:c>
      <x:c r="F840" s="8" t="n">
        <x:f>IFERROR(INDEX('02_RAW_INDEX'!$Y:$Y,MATCH($A840,'02_RAW_INDEX'!$A:$A,0)),"")</x:f>
        <x:v>35650</x:v>
      </x:c>
      <x:c r="G840" s="7" t="n">
        <x:f>'01_Ustawienia'!$B$6</x:f>
        <x:v>0</x:v>
      </x:c>
      <x:c r="H840" s="8" t="n">
        <x:f>IF(E840="","",ROUND(IF('01_Ustawienia'!$B$5="BRUTTO",F840,E840)*(1-G840),0))</x:f>
        <x:v>28984</x:v>
      </x:c>
      <x:c r="I840" s="7" t="n">
        <x:f>IFERROR(IFERROR(INDEX('01_Ustawienia'!$B$15:$B$33,MATCH(B840,'01_Ustawienia'!$A$15:$A$33,0)),0.45),0.45)</x:f>
        <x:v>0.45</x:v>
      </x:c>
      <x:c r="J840" s="8" t="n">
        <x:f>IF(H840="","",ROUND(H840*(1+I840),0))</x:f>
        <x:v>42027</x:v>
      </x:c>
      <x:c r="K840" s="8" t="n">
        <x:f>IFERROR(IFERROR(INDEX(EG_Cennik_uslug!$N:$N,MATCH($A840,EG_Cennik_uslug!$A:$A,0)),0),0)</x:f>
        <x:v>5640</x:v>
      </x:c>
      <x:c r="L840" s="8" t="n">
        <x:f>IFERROR(IFERROR(INDEX(EG_Cennik_uslug!$O:$O,MATCH($A840,EG_Cennik_uslug!$A:$A,0)),0),0)</x:f>
        <x:v>2250</x:v>
      </x:c>
      <x:c r="M840" s="7" t="n">
        <x:f>IF('01_Ustawienia'!$B$4="ZWOLNIONY",0,'01_Ustawienia'!$B$7)</x:f>
        <x:v>0.08</x:v>
      </x:c>
      <x:c r="N840" s="8" t="n">
        <x:f>IF(J840="","",ROUND((J840+K840)*(1+M840),0))</x:f>
        <x:v>51480</x:v>
      </x:c>
      <x:c r="O840" s="8" t="n">
        <x:f>IF(J840="","",J840+K840-H840-L840)</x:f>
        <x:v>16433</x:v>
      </x:c>
      <x:c r="P840" s="7" t="n">
        <x:f>IFERROR(O840/(J840+K840),"")</x:f>
        <x:v>0.34474584093817523</x:v>
      </x:c>
      <x:c r="Q840" s="6" t="inlineStr">
        <x:is>
          <x:t xml:space="preserve">RAW_OP B/C</x:t>
        </x:is>
      </x:c>
      <x:c r="R840" s="6" t="inlineStr">
        <x:is>
          <x:t xml:space="preserve">OGRÓD ZIMOWY (KONSTRUKCJA)</x:t>
        </x:is>
      </x:c>
      <x:c r="S840" s="6" t="inlineStr">
        <x:is>
          <x:t xml:space="preserve">website+crm</x:t>
        </x:is>
      </x:c>
      <x:c r="T840" s="6" t="inlineStr">
        <x:is>
          <x:t xml:space="preserve">Do wyliczenia dopłaty za ściany</x:t>
        </x:is>
      </x:c>
    </x:row>
    <x:row r="841" s="655" customFormat="1" ht="30" customHeight="1">
      <x:c r="A841" s="6" t="inlineStr">
        <x:is>
          <x:t xml:space="preserve">500 x 706 cm</x:t>
        </x:is>
      </x:c>
      <x:c r="B841" s="6" t="inlineStr">
        <x:is>
          <x:t xml:space="preserve">OS</x:t>
        </x:is>
      </x:c>
      <x:c r="C841" s="6" t="inlineStr">
        <x:is>
          <x:t xml:space="preserve">Ogród zimowy szkło - pełna konstrukcja</x:t>
        </x:is>
      </x:c>
      <x:c r="D841" s="6" t="inlineStr">
        <x:is>
          <x:t xml:space="preserve">OGRODY SZKŁO</x:t>
        </x:is>
      </x:c>
      <x:c r="E841" s="8" t="n">
        <x:f>IFERROR(INDEX('02_RAW_INDEX'!$AL:$AL,MATCH($A841,'02_RAW_INDEX'!$A:$A,0)),"")</x:f>
        <x:v>37041</x:v>
      </x:c>
      <x:c r="F841" s="8" t="n">
        <x:f>IFERROR(INDEX('02_RAW_INDEX'!$AK:$AK,MATCH($A841,'02_RAW_INDEX'!$A:$A,0)),"")</x:f>
        <x:v>45560</x:v>
      </x:c>
      <x:c r="G841" s="7" t="n">
        <x:f>'01_Ustawienia'!$B$6</x:f>
        <x:v>0</x:v>
      </x:c>
      <x:c r="H841" s="8" t="n">
        <x:f>IF(E841="","",ROUND(IF('01_Ustawienia'!$B$5="BRUTTO",F841,E841)*(1-G841),0))</x:f>
        <x:v>37041</x:v>
      </x:c>
      <x:c r="I841" s="7" t="n">
        <x:f>IFERROR(IFERROR(INDEX('01_Ustawienia'!$B$15:$B$33,MATCH(B841,'01_Ustawienia'!$A$15:$A$33,0)),0.45),0.45)</x:f>
        <x:v>0.45</x:v>
      </x:c>
      <x:c r="J841" s="8" t="n">
        <x:f>IF(H841="","",ROUND(H841*(1+I841),0))</x:f>
        <x:v>53709</x:v>
      </x:c>
      <x:c r="K841" s="8" t="n">
        <x:f>IFERROR(IFERROR(INDEX(EG_Cennik_uslug!$N:$N,MATCH($A841,EG_Cennik_uslug!$A:$A,0)),0),0)</x:f>
        <x:v>5640</x:v>
      </x:c>
      <x:c r="L841" s="8" t="n">
        <x:f>IFERROR(IFERROR(INDEX(EG_Cennik_uslug!$O:$O,MATCH($A841,EG_Cennik_uslug!$A:$A,0)),0),0)</x:f>
        <x:v>2250</x:v>
      </x:c>
      <x:c r="M841" s="7" t="n">
        <x:f>IF('01_Ustawienia'!$B$4="ZWOLNIONY",0,'01_Ustawienia'!$B$7)</x:f>
        <x:v>0.08</x:v>
      </x:c>
      <x:c r="N841" s="8" t="n">
        <x:f>IF(J841="","",ROUND((J841+K841)*(1+M841),0))</x:f>
        <x:v>64097</x:v>
      </x:c>
      <x:c r="O841" s="8" t="n">
        <x:f>IF(J841="","",J841+K841-H841-L841)</x:f>
        <x:v>20058</x:v>
      </x:c>
      <x:c r="P841" s="7" t="n">
        <x:f>IFERROR(O841/(J841+K841),"")</x:f>
        <x:v>0.3379669413132487</x:v>
      </x:c>
      <x:c r="Q841" s="6" t="inlineStr">
        <x:is>
          <x:t xml:space="preserve">RAW_OS B/C</x:t>
        </x:is>
      </x:c>
      <x:c r="R841" s="6" t="inlineStr">
        <x:is>
          <x:t xml:space="preserve">OGRÓD ZIMOWY (KONSTRUKCJA)</x:t>
        </x:is>
      </x:c>
      <x:c r="S841" s="6" t="inlineStr">
        <x:is>
          <x:t xml:space="preserve">crm_only</x:t>
        </x:is>
      </x:c>
      <x:c r="T841" s="6" t="inlineStr">
        <x:is>
          <x:t xml:space="preserve">Referencyjne/full</x:t>
        </x:is>
      </x:c>
    </x:row>
    <x:row r="842" s="655" customFormat="1" ht="30" customHeight="1">
      <x:c r="A842" s="6" t="inlineStr">
        <x:is>
          <x:t xml:space="preserve">500 x 706 cm</x:t>
        </x:is>
      </x:c>
      <x:c r="B842" s="6" t="inlineStr">
        <x:is>
          <x:t xml:space="preserve">PDS</x:t>
        </x:is>
      </x:c>
      <x:c r="C842" s="6" t="inlineStr">
        <x:is>
          <x:t xml:space="preserve">Dopłata dach szkło przezroczyste</x:t>
        </x:is>
      </x:c>
      <x:c r="D842" s="6" t="inlineStr">
        <x:is>
          <x:t xml:space="preserve">POKRYCIE DACHU SZKŁO</x:t>
        </x:is>
      </x:c>
      <x:c r="E842" s="8" t="n">
        <x:f>IFERROR(IFERROR(INDEX('02_RAW_INDEX'!$V:$V,MATCH($A842,'02_RAW_INDEX'!$A:$A,0)),"")-IFERROR(INDEX('02_RAW_INDEX'!$D:$D,MATCH($A842,'02_RAW_INDEX'!$A:$A,0)),""),"")</x:f>
        <x:v>8057</x:v>
      </x:c>
      <x:c r="F842" s="8" t="n">
        <x:f>IFERROR(IFERROR(INDEX('02_RAW_INDEX'!$U:$U,MATCH($A842,'02_RAW_INDEX'!$A:$A,0)),"")-IFERROR(INDEX('02_RAW_INDEX'!$C:$C,MATCH($A842,'02_RAW_INDEX'!$A:$A,0)),""),"")</x:f>
        <x:v>9910</x:v>
      </x:c>
      <x:c r="G842" s="7" t="n">
        <x:f>'01_Ustawienia'!$B$6</x:f>
        <x:v>0</x:v>
      </x:c>
      <x:c r="H842" s="8" t="n">
        <x:f>IF(E842="","",ROUND(IF('01_Ustawienia'!$B$5="BRUTTO",F842,E842)*(1-G842),0))</x:f>
        <x:v>8057</x:v>
      </x:c>
      <x:c r="I842" s="7" t="n">
        <x:f>IFERROR(IFERROR(INDEX('01_Ustawienia'!$B$15:$B$33,MATCH(B842,'01_Ustawienia'!$A$15:$A$33,0)),0.45),0.45)</x:f>
        <x:v>0.45</x:v>
      </x:c>
      <x:c r="J842" s="8" t="n">
        <x:f>IF(H842="","",ROUND(H842*(1+I842),0))</x:f>
        <x:v>11683</x:v>
      </x:c>
      <x:c r="K842" s="8" t="n">
        <x:f>0</x:f>
        <x:v>0</x:v>
      </x:c>
      <x:c r="L842" s="8" t="n">
        <x:v>0</x:v>
      </x:c>
      <x:c r="M842" s="7" t="n">
        <x:f>IF('01_Ustawienia'!$B$4="ZWOLNIONY",0,'01_Ustawienia'!$B$7)</x:f>
        <x:v>0.08</x:v>
      </x:c>
      <x:c r="N842" s="8" t="n">
        <x:f>IF(J842="","",ROUND((J842+K842)*(1+M842),0))</x:f>
        <x:v>12618</x:v>
      </x:c>
      <x:c r="O842" s="8" t="n">
        <x:f>IF(J842="","",J842+K842-H842-L842)</x:f>
        <x:v>3626</x:v>
      </x:c>
      <x:c r="P842" s="7" t="n">
        <x:f>IFERROR(O842/(J842+K842),"")</x:f>
        <x:v>0.3103654883163571</x:v>
      </x:c>
      <x:c r="Q842" s="6" t="inlineStr">
        <x:is>
          <x:t xml:space="preserve">RAW_ZS - RAW_ZP</x:t>
        </x:is>
      </x:c>
      <x:c r="R842" s="6" t="inlineStr">
        <x:is>
          <x:t xml:space="preserve">POKRYCIE DACHU</x:t>
        </x:is>
      </x:c>
      <x:c r="S842" s="6" t="inlineStr">
        <x:is>
          <x:t xml:space="preserve">website+crm</x:t>
        </x:is>
      </x:c>
      <x:c r="T842" s="6" t="inlineStr">
        <x:is>
          <x:t xml:space="preserve">Dopłata do bazowego dachu poliwęglan | FIX17: Wynagr.+koszty = 0 dla dopłaty; nie jest osobnym montażem ekipy.</x:t>
        </x:is>
      </x:c>
    </x:row>
    <x:row r="843" s="655" customFormat="1" ht="30" customHeight="1">
      <x:c r="A843" s="6" t="inlineStr">
        <x:is>
          <x:t xml:space="preserve">500 x 706 cm</x:t>
        </x:is>
      </x:c>
      <x:c r="B843" s="6" t="inlineStr">
        <x:is>
          <x:t xml:space="preserve">PDSB</x:t>
        </x:is>
      </x:c>
      <x:c r="C843" s="6" t="inlineStr">
        <x:is>
          <x:t xml:space="preserve">Dopłata dach szkło barwione/mleczne</x:t>
        </x:is>
      </x:c>
      <x:c r="D843" s="6" t="inlineStr">
        <x:is>
          <x:t xml:space="preserve">POKRYCIE DACHU SZKŁO BARWIONE</x:t>
        </x:is>
      </x:c>
      <x:c r="E843" s="8" t="n">
        <x:f>IFERROR(INDEX('02_RAW_INDEX'!$X:$X,MATCH($A843,'02_RAW_INDEX'!$A:$A,0)),"")</x:f>
        <x:v>797</x:v>
      </x:c>
      <x:c r="F843" s="8" t="n">
        <x:f>IFERROR(INDEX('02_RAW_INDEX'!$W:$W,MATCH($A843,'02_RAW_INDEX'!$A:$A,0)),"")</x:f>
        <x:v>980</x:v>
      </x:c>
      <x:c r="G843" s="7" t="n">
        <x:f>'01_Ustawienia'!$B$6</x:f>
        <x:v>0</x:v>
      </x:c>
      <x:c r="H843" s="8" t="n">
        <x:f>IF(E843="","",ROUND(IF('01_Ustawienia'!$B$5="BRUTTO",F843,E843)*(1-G843),0))</x:f>
        <x:v>797</x:v>
      </x:c>
      <x:c r="I843" s="7" t="n">
        <x:f>IFERROR(IFERROR(INDEX('01_Ustawienia'!$B$15:$B$33,MATCH(B843,'01_Ustawienia'!$A$15:$A$33,0)),0.45),0.45)</x:f>
        <x:v>0.45</x:v>
      </x:c>
      <x:c r="J843" s="8" t="n">
        <x:f>IF(H843="","",ROUND(H843*(1+I843),0))</x:f>
        <x:v>1156</x:v>
      </x:c>
      <x:c r="K843" s="8" t="n">
        <x:f>0</x:f>
        <x:v>0</x:v>
      </x:c>
      <x:c r="L843" s="8" t="n">
        <x:v>0</x:v>
      </x:c>
      <x:c r="M843" s="7" t="n">
        <x:f>IF('01_Ustawienia'!$B$4="ZWOLNIONY",0,'01_Ustawienia'!$B$7)</x:f>
        <x:v>0.08</x:v>
      </x:c>
      <x:c r="N843" s="8" t="n">
        <x:f>IF(J843="","",ROUND((J843+K843)*(1+M843),0))</x:f>
        <x:v>1248</x:v>
      </x:c>
      <x:c r="O843" s="8" t="n">
        <x:f>IF(J843="","",J843+K843-H843-L843)</x:f>
        <x:v>359</x:v>
      </x:c>
      <x:c r="P843" s="7" t="n">
        <x:f>IFERROR(O843/(J843+K843),"")</x:f>
        <x:v>0.31055363321799306</x:v>
      </x:c>
      <x:c r="Q843" s="6" t="inlineStr">
        <x:is>
          <x:t xml:space="preserve">RAW_ZS D/E</x:t>
        </x:is>
      </x:c>
      <x:c r="R843" s="6" t="inlineStr">
        <x:is>
          <x:t xml:space="preserve">POKRYCIE DACHU</x:t>
        </x:is>
      </x:c>
      <x:c r="S843" s="6" t="inlineStr">
        <x:is>
          <x:t xml:space="preserve">website+crm</x:t>
        </x:is>
      </x:c>
      <x:c r="T843" s="6" t="inlineStr">
        <x:is>
          <x:t xml:space="preserve">Dodawane do PDS | FIX17: Wynagr.+koszty = 0 dla dopłaty; nie jest osobnym montażem ekipy.</x:t>
        </x:is>
      </x:c>
    </x:row>
    <x:row r="844" s="655" customFormat="1" ht="30" customHeight="1">
      <x:c r="A844" s="6" t="inlineStr">
        <x:is>
          <x:t xml:space="preserve">500 x 706 cm</x:t>
        </x:is>
      </x:c>
      <x:c r="B844" s="6" t="inlineStr">
        <x:is>
          <x:t xml:space="preserve">PDPB</x:t>
        </x:is>
      </x:c>
      <x:c r="C844" s="6" t="inlineStr">
        <x:is>
          <x:t xml:space="preserve">Dopłata poliwęglan barwiony</x:t>
        </x:is>
      </x:c>
      <x:c r="D844" s="6" t="inlineStr">
        <x:is>
          <x:t xml:space="preserve">POKRYCIE DACHU POLIWĘGLAN BARWIONY</x:t>
        </x:is>
      </x:c>
      <x:c r="E844" s="8" t="n">
        <x:f>IFERROR(INDEX('02_RAW_INDEX'!$F:$F,MATCH($A844,'02_RAW_INDEX'!$A:$A,0)),"")</x:f>
        <x:v>593</x:v>
      </x:c>
      <x:c r="F844" s="8" t="n">
        <x:f>IFERROR(INDEX('02_RAW_INDEX'!$E:$E,MATCH($A844,'02_RAW_INDEX'!$A:$A,0)),"")</x:f>
        <x:v>730</x:v>
      </x:c>
      <x:c r="G844" s="7" t="n">
        <x:f>'01_Ustawienia'!$B$6</x:f>
        <x:v>0</x:v>
      </x:c>
      <x:c r="H844" s="8" t="n">
        <x:f>IF(E844="","",ROUND(IF('01_Ustawienia'!$B$5="BRUTTO",F844,E844)*(1-G844),0))</x:f>
        <x:v>593</x:v>
      </x:c>
      <x:c r="I844" s="7" t="n">
        <x:f>IFERROR(IFERROR(INDEX('01_Ustawienia'!$B$15:$B$33,MATCH(B844,'01_Ustawienia'!$A$15:$A$33,0)),0.45),0.45)</x:f>
        <x:v>0.45</x:v>
      </x:c>
      <x:c r="J844" s="8" t="n">
        <x:f>IF(H844="","",ROUND(H844*(1+I844),0))</x:f>
        <x:v>860</x:v>
      </x:c>
      <x:c r="K844" s="8" t="n">
        <x:f>0</x:f>
        <x:v>0</x:v>
      </x:c>
      <x:c r="L844" s="8" t="n">
        <x:v>0</x:v>
      </x:c>
      <x:c r="M844" s="7" t="n">
        <x:f>IF('01_Ustawienia'!$B$4="ZWOLNIONY",0,'01_Ustawienia'!$B$7)</x:f>
        <x:v>0.08</x:v>
      </x:c>
      <x:c r="N844" s="8" t="n">
        <x:f>IF(J844="","",ROUND((J844+K844)*(1+M844),0))</x:f>
        <x:v>929</x:v>
      </x:c>
      <x:c r="O844" s="8" t="n">
        <x:f>IF(J844="","",J844+K844-H844-L844)</x:f>
        <x:v>267</x:v>
      </x:c>
      <x:c r="P844" s="7" t="n">
        <x:f>IFERROR(O844/(J844+K844),"")</x:f>
        <x:v>0.31046511627906975</x:v>
      </x:c>
      <x:c r="Q844" s="6" t="inlineStr">
        <x:is>
          <x:t xml:space="preserve">RAW_ZP D/E</x:t>
        </x:is>
      </x:c>
      <x:c r="R844" s="6" t="inlineStr">
        <x:is>
          <x:t xml:space="preserve">POKRYCIE DACHU</x:t>
        </x:is>
      </x:c>
      <x:c r="S844" s="6" t="inlineStr">
        <x:is>
          <x:t xml:space="preserve">website+crm</x:t>
        </x:is>
      </x:c>
      <x:c r="T844" s="6" t="inlineStr">
        <x:is>
          <x:t xml:space="preserve">FIX17: Wynagr.+koszty = 0 dla dopłaty; nie jest osobnym montażem ekipy.</x:t>
        </x:is>
      </x:c>
    </x:row>
    <x:row r="845" s="655" customFormat="1" ht="30" customHeight="1">
      <x:c r="A845" s="6" t="inlineStr">
        <x:is>
          <x:t xml:space="preserve">500 x 706 cm</x:t>
        </x:is>
      </x:c>
      <x:c r="B845" s="6" t="inlineStr">
        <x:is>
          <x:t xml:space="preserve">SBB</x:t>
        </x:is>
      </x:c>
      <x:c r="C845" s="6" t="inlineStr">
        <x:is>
          <x:t xml:space="preserve">Dopłata szkło boczne przyciemniane</x:t>
        </x:is>
      </x:c>
      <x:c r="D845" s="6" t="inlineStr">
        <x:is>
          <x:t xml:space="preserve">SZKŁO BOCZNE BARWIONE</x:t>
        </x:is>
      </x:c>
      <x:c r="E845" s="8" t="n">
        <x:f>IFERROR(INDEX('02_RAW_INDEX'!$AB:$AB,MATCH($A845,'02_RAW_INDEX'!$A:$A,0)),"")</x:f>
        <x:v>1659</x:v>
      </x:c>
      <x:c r="F845" s="8" t="n">
        <x:f>IFERROR(INDEX('02_RAW_INDEX'!$AA:$AA,MATCH($A845,'02_RAW_INDEX'!$A:$A,0)),"")</x:f>
        <x:v>2040</x:v>
      </x:c>
      <x:c r="G845" s="7" t="n">
        <x:f>'01_Ustawienia'!$B$6</x:f>
        <x:v>0</x:v>
      </x:c>
      <x:c r="H845" s="8" t="n">
        <x:f>IF(E845="","",ROUND(IF('01_Ustawienia'!$B$5="BRUTTO",F845,E845)*(1-G845),0))</x:f>
        <x:v>1659</x:v>
      </x:c>
      <x:c r="I845" s="7" t="n">
        <x:f>IFERROR(IFERROR(INDEX('01_Ustawienia'!$B$15:$B$33,MATCH(B845,'01_Ustawienia'!$A$15:$A$33,0)),0.45),0.45)</x:f>
        <x:v>0.45</x:v>
      </x:c>
      <x:c r="J845" s="8" t="n">
        <x:f>IF(H845="","",ROUND(H845*(1+I845),0))</x:f>
        <x:v>2406</x:v>
      </x:c>
      <x:c r="K845" s="8" t="n">
        <x:f>0</x:f>
        <x:v>0</x:v>
      </x:c>
      <x:c r="L845" s="8" t="n">
        <x:v>0</x:v>
      </x:c>
      <x:c r="M845" s="7" t="n">
        <x:f>IF('01_Ustawienia'!$B$4="ZWOLNIONY",0,'01_Ustawienia'!$B$7)</x:f>
        <x:v>0.08</x:v>
      </x:c>
      <x:c r="N845" s="8" t="n">
        <x:f>IF(J845="","",ROUND((J845+K845)*(1+M845),0))</x:f>
        <x:v>2598</x:v>
      </x:c>
      <x:c r="O845" s="8" t="n">
        <x:f>IF(J845="","",J845+K845-H845-L845)</x:f>
        <x:v>747</x:v>
      </x:c>
      <x:c r="P845" s="7" t="n">
        <x:f>IFERROR(O845/(J845+K845),"")</x:f>
        <x:v>0.3104738154613466</x:v>
      </x:c>
      <x:c r="Q845" s="6" t="inlineStr">
        <x:is>
          <x:t xml:space="preserve">RAW_OP H/I</x:t>
        </x:is>
      </x:c>
      <x:c r="R845" s="6" t="inlineStr">
        <x:is>
          <x:t xml:space="preserve">SZYBY BOCZNE</x:t>
        </x:is>
      </x:c>
      <x:c r="S845" s="6" t="inlineStr">
        <x:is>
          <x:t xml:space="preserve">website+crm</x:t>
        </x:is>
      </x:c>
      <x:c r="T845" s="6" t="inlineStr">
        <x:is>
          <x:t xml:space="preserve">Dodawane do ścian przezroczystych | FIX17: Wynagr.+koszty = 0 dla dopłaty; nie jest osobnym montażem ekipy.</x:t>
        </x:is>
      </x:c>
    </x:row>
    <x:row r="846">
      <x:c r="A846" s="6" t="inlineStr">
        <x:is>
          <x:t xml:space="preserve">500 x 706 cm</x:t>
        </x:is>
      </x:c>
      <x:c r="B846" s="6" t="inlineStr">
        <x:is>
          <x:t xml:space="preserve">RB</x:t>
        </x:is>
      </x:c>
      <x:c r="C846" s="6" t="inlineStr">
        <x:is>
          <x:t xml:space="preserve">Roleta boczna ZIP</x:t>
        </x:is>
      </x:c>
      <x:c r="D846" s="6" t="inlineStr">
        <x:is>
          <x:t xml:space="preserve">ROLETA BOCZNA</x:t>
        </x:is>
      </x:c>
      <x:c r="E846" s="8" t="n">
        <x:f>IFERROR(INDEX('02_RAW_INDEX'!$J:$J,MATCH($A846,'02_RAW_INDEX'!$A:$A,0)),"")</x:f>
        <x:v>3008</x:v>
      </x:c>
      <x:c r="F846" s="8" t="n">
        <x:f>IFERROR(INDEX('02_RAW_INDEX'!$I:$I,MATCH($A846,'02_RAW_INDEX'!$A:$A,0)),"")</x:f>
        <x:v>3700</x:v>
      </x:c>
      <x:c r="G846" s="7" t="n">
        <x:f>'01_Ustawienia'!$B$6</x:f>
        <x:v>0</x:v>
      </x:c>
      <x:c r="H846" s="8" t="n">
        <x:f>IF(E846="","",ROUND(IF('01_Ustawienia'!$B$5="BRUTTO",F846,E846)*(1-G846),0))</x:f>
        <x:v>3008</x:v>
      </x:c>
      <x:c r="I846" s="7" t="n">
        <x:f>IFERROR(IFERROR(INDEX('01_Ustawienia'!$B$15:$B$33,MATCH(B846,'01_Ustawienia'!$A$15:$A$33,0)),0.45),0.45)</x:f>
        <x:v>0.45</x:v>
      </x:c>
      <x:c r="J846" s="8" t="n">
        <x:f>IF(H846="","",ROUND(H846*(1+I846),0))</x:f>
        <x:v>4362</x:v>
      </x:c>
      <x:c r="K846" s="8" t="n">
        <x:f>0</x:f>
        <x:v>0</x:v>
      </x:c>
      <x:c r="L846" s="8" t="n">
        <x:f>IFERROR(IFERROR(INDEX(EG_Cennik_uslug!$AC:$AC,MATCH($A846,EG_Cennik_uslug!$A:$A,0)),0),0)</x:f>
        <x:v>150</x:v>
      </x:c>
      <x:c r="M846" s="7" t="n">
        <x:f>IF('01_Ustawienia'!$B$4="ZWOLNIONY",0,'01_Ustawienia'!$B$7)</x:f>
        <x:v>0.08</x:v>
      </x:c>
      <x:c r="N846" s="8" t="n">
        <x:f>IF(J846="","",ROUND((J846+K846)*(1+M846),0))</x:f>
        <x:v>4711</x:v>
      </x:c>
      <x:c r="O846" s="8" t="n">
        <x:f>IF(J846="","",J846+K846-H846-L846)</x:f>
        <x:v>1204</x:v>
      </x:c>
      <x:c r="P846" s="7" t="n">
        <x:f>IFERROR(O846/(J846+K846),"")</x:f>
        <x:v>0.27602017423200365</x:v>
      </x:c>
      <x:c r="Q846" s="6" t="inlineStr">
        <x:is>
          <x:t xml:space="preserve">RAW_ZP J/K</x:t>
        </x:is>
      </x:c>
      <x:c r="R846" s="6" t="inlineStr">
        <x:is>
          <x:t xml:space="preserve">ROLETY BOCZNE</x:t>
        </x:is>
      </x:c>
      <x:c r="S846" s="6" t="inlineStr">
        <x:is>
          <x:t xml:space="preserve">website+crm</x:t>
        </x:is>
      </x:c>
      <x:c r="T846" s="6" t="inlineStr">
        <x:is>
          <x:t xml:space="preserve">Używana dla lewej i prawej</x:t>
        </x:is>
      </x:c>
    </x:row>
    <x:row r="847">
      <x:c r="A847" s="6" t="inlineStr">
        <x:is>
          <x:t xml:space="preserve">500 x 706 cm</x:t>
        </x:is>
      </x:c>
      <x:c r="B847" s="6" t="inlineStr">
        <x:is>
          <x:t xml:space="preserve">RP</x:t>
        </x:is>
      </x:c>
      <x:c r="C847" s="6" t="inlineStr">
        <x:is>
          <x:t xml:space="preserve">Roleta przednia ZIP</x:t>
        </x:is>
      </x:c>
      <x:c r="D847" s="6" t="inlineStr">
        <x:is>
          <x:t xml:space="preserve">ROLETA PRZÓD</x:t>
        </x:is>
      </x:c>
      <x:c r="E847" s="8" t="n">
        <x:f>IFERROR(INDEX('02_RAW_INDEX'!$L:$L,MATCH($A847,'02_RAW_INDEX'!$A:$A,0)),"")</x:f>
        <x:v>3886</x:v>
      </x:c>
      <x:c r="F847" s="8" t="n">
        <x:f>IFERROR(INDEX('02_RAW_INDEX'!$K:$K,MATCH($A847,'02_RAW_INDEX'!$A:$A,0)),"")</x:f>
        <x:v>4780</x:v>
      </x:c>
      <x:c r="G847" s="7" t="n">
        <x:f>'01_Ustawienia'!$B$6</x:f>
        <x:v>0</x:v>
      </x:c>
      <x:c r="H847" s="8" t="n">
        <x:f>IF(E847="","",ROUND(IF('01_Ustawienia'!$B$5="BRUTTO",F847,E847)*(1-G847),0))</x:f>
        <x:v>3886</x:v>
      </x:c>
      <x:c r="I847" s="7" t="n">
        <x:f>IFERROR(IFERROR(INDEX('01_Ustawienia'!$B$15:$B$33,MATCH(B847,'01_Ustawienia'!$A$15:$A$33,0)),0.45),0.45)</x:f>
        <x:v>0.45</x:v>
      </x:c>
      <x:c r="J847" s="8" t="n">
        <x:f>IF(H847="","",ROUND(H847*(1+I847),0))</x:f>
        <x:v>5635</x:v>
      </x:c>
      <x:c r="K847" s="8" t="n">
        <x:f>0</x:f>
        <x:v>0</x:v>
      </x:c>
      <x:c r="L847" s="8" t="n">
        <x:f>IFERROR(IFERROR(INDEX(EG_Cennik_uslug!$AJ:$AJ,MATCH($A847,EG_Cennik_uslug!$A:$A,0)),0),0)</x:f>
        <x:v>300</x:v>
      </x:c>
      <x:c r="M847" s="7" t="n">
        <x:f>IF('01_Ustawienia'!$B$4="ZWOLNIONY",0,'01_Ustawienia'!$B$7)</x:f>
        <x:v>0.08</x:v>
      </x:c>
      <x:c r="N847" s="8" t="n">
        <x:f>IF(J847="","",ROUND((J847+K847)*(1+M847),0))</x:f>
        <x:v>6086</x:v>
      </x:c>
      <x:c r="O847" s="8" t="n">
        <x:f>IF(J847="","",J847+K847-H847-L847)</x:f>
        <x:v>1449</x:v>
      </x:c>
      <x:c r="P847" s="7" t="n">
        <x:f>IFERROR(O847/(J847+K847),"")</x:f>
        <x:v>0.2571428571428571</x:v>
      </x:c>
      <x:c r="Q847" s="6" t="inlineStr">
        <x:is>
          <x:t xml:space="preserve">RAW_ZP N/O</x:t>
        </x:is>
      </x:c>
      <x:c r="R847" s="6" t="inlineStr">
        <x:is>
          <x:t xml:space="preserve">ROLETY BOCZNE</x:t>
        </x:is>
      </x:c>
      <x:c r="S847" s="6" t="inlineStr">
        <x:is>
          <x:t xml:space="preserve">website+crm</x:t>
        </x:is>
      </x:c>
      <x:c r="T847" s="6" t="n"/>
    </x:row>
    <x:row r="848">
      <x:c r="A848" s="6" t="inlineStr">
        <x:is>
          <x:t xml:space="preserve">500 x 706 cm</x:t>
        </x:is>
      </x:c>
      <x:c r="B848" s="6" t="inlineStr">
        <x:is>
          <x:t xml:space="preserve">M</x:t>
        </x:is>
      </x:c>
      <x:c r="C848" s="6" t="inlineStr">
        <x:is>
          <x:t xml:space="preserve">Markiza dachowa</x:t>
        </x:is>
      </x:c>
      <x:c r="D848" s="6" t="inlineStr">
        <x:is>
          <x:t xml:space="preserve">MARKIZA</x:t>
        </x:is>
      </x:c>
      <x:c r="E848" s="8" t="n">
        <x:f>IFERROR(INDEX('02_RAW_INDEX'!$H:$H,MATCH($A848,'02_RAW_INDEX'!$A:$A,0)),"")</x:f>
        <x:v>7114</x:v>
      </x:c>
      <x:c r="F848" s="8" t="n">
        <x:f>IFERROR(INDEX('02_RAW_INDEX'!$G:$G,MATCH($A848,'02_RAW_INDEX'!$A:$A,0)),"")</x:f>
        <x:v>8750</x:v>
      </x:c>
      <x:c r="G848" s="7" t="n">
        <x:f>'01_Ustawienia'!$B$6</x:f>
        <x:v>0</x:v>
      </x:c>
      <x:c r="H848" s="8" t="n">
        <x:f>IF(E848="","",ROUND(IF('01_Ustawienia'!$B$5="BRUTTO",F848,E848)*(1-G848),0))</x:f>
        <x:v>7114</x:v>
      </x:c>
      <x:c r="I848" s="7" t="n">
        <x:f>IFERROR(IFERROR(INDEX('01_Ustawienia'!$B$15:$B$33,MATCH(B848,'01_Ustawienia'!$A$15:$A$33,0)),0.45),0.45)</x:f>
        <x:v>0.45</x:v>
      </x:c>
      <x:c r="J848" s="8" t="n">
        <x:f>IF(H848="","",ROUND(H848*(1+I848),0))</x:f>
        <x:v>10315</x:v>
      </x:c>
      <x:c r="K848" s="8" t="n">
        <x:f>0</x:f>
        <x:v>0</x:v>
      </x:c>
      <x:c r="L848" s="8" t="n">
        <x:f>IFERROR(IFERROR(INDEX(EG_Cennik_uslug!$AQ:$AQ,MATCH($A848,EG_Cennik_uslug!$A:$A,0)),0),0)</x:f>
        <x:v>450</x:v>
      </x:c>
      <x:c r="M848" s="7" t="n">
        <x:f>IF('01_Ustawienia'!$B$4="ZWOLNIONY",0,'01_Ustawienia'!$B$7)</x:f>
        <x:v>0.08</x:v>
      </x:c>
      <x:c r="N848" s="8" t="n">
        <x:f>IF(J848="","",ROUND((J848+K848)*(1+M848),0))</x:f>
        <x:v>11140</x:v>
      </x:c>
      <x:c r="O848" s="8" t="n">
        <x:f>IF(J848="","",J848+K848-H848-L848)</x:f>
        <x:v>2751</x:v>
      </x:c>
      <x:c r="P848" s="7" t="n">
        <x:f>IFERROR(O848/(J848+K848),"")</x:f>
        <x:v>0.26669898206495396</x:v>
      </x:c>
      <x:c r="Q848" s="6" t="inlineStr">
        <x:is>
          <x:t xml:space="preserve">RAW_ZP H/I</x:t>
        </x:is>
      </x:c>
      <x:c r="R848" s="6" t="inlineStr">
        <x:is>
          <x:t xml:space="preserve">MARKIZA</x:t>
        </x:is>
      </x:c>
      <x:c r="S848" s="6" t="inlineStr">
        <x:is>
          <x:t xml:space="preserve">website+crm</x:t>
        </x:is>
      </x:c>
      <x:c r="T848" s="6" t="n"/>
    </x:row>
    <x:row r="849">
      <x:c r="A849" s="6" t="inlineStr">
        <x:is>
          <x:t xml:space="preserve">500 x 706 cm</x:t>
        </x:is>
      </x:c>
      <x:c r="B849" s="6" t="inlineStr">
        <x:is>
          <x:t xml:space="preserve">PDWP</x:t>
        </x:is>
      </x:c>
      <x:c r="C849" s="6" t="inlineStr">
        <x:is>
          <x:t xml:space="preserve">Fundament/profile</x:t>
        </x:is>
      </x:c>
      <x:c r="D849" s="6" t="inlineStr">
        <x:is>
          <x:t xml:space="preserve">FUNDAMENT / PROFILE</x:t>
        </x:is>
      </x:c>
      <x:c r="E849" s="8" t="n">
        <x:f>IFERROR(INDEX('02_RAW_INDEX'!$AH:$AH,MATCH($A849,'02_RAW_INDEX'!$A:$A,0)),"")</x:f>
        <x:v>1220</x:v>
      </x:c>
      <x:c r="F849" s="8" t="n">
        <x:f>IFERROR(INDEX('02_RAW_INDEX'!$AG:$AG,MATCH($A849,'02_RAW_INDEX'!$A:$A,0)),"")</x:f>
        <x:v>1500</x:v>
      </x:c>
      <x:c r="G849" s="7" t="n">
        <x:f>'01_Ustawienia'!$B$6</x:f>
        <x:v>0</x:v>
      </x:c>
      <x:c r="H849" s="8" t="n">
        <x:f>IF(E849="","",ROUND(IF('01_Ustawienia'!$B$5="BRUTTO",F849,E849)*(1-G849),0))</x:f>
        <x:v>1220</x:v>
      </x:c>
      <x:c r="I849" s="7" t="n">
        <x:f>IFERROR(IFERROR(INDEX('01_Ustawienia'!$B$15:$B$33,MATCH(B849,'01_Ustawienia'!$A$15:$A$33,0)),0.45),0.45)</x:f>
        <x:v>1.2</x:v>
      </x:c>
      <x:c r="J849" s="8" t="n">
        <x:f>IF(H849="","",ROUND(H849*(1+I849),0))</x:f>
        <x:v>2684</x:v>
      </x:c>
      <x:c r="K849" s="8" t="n">
        <x:f>0</x:f>
        <x:v>0</x:v>
      </x:c>
      <x:c r="L849" s="8" t="n">
        <x:f>IFERROR(IFERROR(INDEX(EG_Cennik_uslug!$BT:$BT,MATCH($A849,EG_Cennik_uslug!$A:$A,0)),0),0)</x:f>
        <x:v>570</x:v>
      </x:c>
      <x:c r="M849" s="7" t="n">
        <x:f>IF('01_Ustawienia'!$B$4="ZWOLNIONY",0,'01_Ustawienia'!$B$7)</x:f>
        <x:v>0.08</x:v>
      </x:c>
      <x:c r="N849" s="8" t="n">
        <x:f>IF(J849="","",ROUND((J849+K849)*(1+M849),0))</x:f>
        <x:v>2899</x:v>
      </x:c>
      <x:c r="O849" s="8" t="n">
        <x:f>IF(J849="","",J849+K849-H849-L849)</x:f>
        <x:v>894</x:v>
      </x:c>
      <x:c r="P849" s="7" t="n">
        <x:f>IFERROR(O849/(J849+K849),"")</x:f>
        <x:v>0.3330849478390462</x:v>
      </x:c>
      <x:c r="Q849" s="6" t="inlineStr">
        <x:is>
          <x:t xml:space="preserve">RAW_OP AB/AC</x:t>
        </x:is>
      </x:c>
      <x:c r="R849" s="6" t="inlineStr">
        <x:is>
          <x:t xml:space="preserve">FUNDAMENT (PROFILE)</x:t>
        </x:is>
      </x:c>
      <x:c r="S849" s="6" t="inlineStr">
        <x:is>
          <x:t xml:space="preserve">website+crm</x:t>
        </x:is>
      </x:c>
      <x:c r="T849" s="6" t="n"/>
    </x:row>
    <x:row r="850" s="655" customFormat="1" ht="30" customHeight="1">
      <x:c r="A850" s="6" t="inlineStr">
        <x:is>
          <x:t xml:space="preserve">500 x 706 cm</x:t>
        </x:is>
      </x:c>
      <x:c r="B850" s="6" t="inlineStr">
        <x:is>
          <x:t xml:space="preserve">ZAB</x:t>
        </x:is>
      </x:c>
      <x:c r="C850" s="6" t="inlineStr">
        <x:is>
          <x:t xml:space="preserve">Zabieraki do ścian przesuwnych</x:t>
        </x:is>
      </x:c>
      <x:c r="D850" s="6" t="inlineStr">
        <x:is>
          <x:t xml:space="preserve">DODATKI</x:t>
        </x:is>
      </x:c>
      <x:c r="E850" s="8" t="n">
        <x:f>IFERROR(INDEX('02_RAW_INDEX'!$AJ:$AJ,MATCH($A850,'02_RAW_INDEX'!$A:$A,0)),"")</x:f>
        <x:v>423</x:v>
      </x:c>
      <x:c r="F850" s="8" t="n">
        <x:f>IFERROR(INDEX('02_RAW_INDEX'!$AI:$AI,MATCH($A850,'02_RAW_INDEX'!$A:$A,0)),"")</x:f>
        <x:v>520</x:v>
      </x:c>
      <x:c r="G850" s="7" t="n">
        <x:f>'01_Ustawienia'!$B$6</x:f>
        <x:v>0</x:v>
      </x:c>
      <x:c r="H850" s="8" t="n">
        <x:f>IF(E850="","",ROUND(IF('01_Ustawienia'!$B$5="BRUTTO",F850,E850)*(1-G850),0))</x:f>
        <x:v>423</x:v>
      </x:c>
      <x:c r="I850" s="7" t="n">
        <x:f>IFERROR(IFERROR(INDEX('01_Ustawienia'!$B$15:$B$33,MATCH(B850,'01_Ustawienia'!$A$15:$A$33,0)),0.45),0.45)</x:f>
        <x:v>0.45</x:v>
      </x:c>
      <x:c r="J850" s="8" t="n">
        <x:f>IF(H850="","",ROUND(H850*(1+I850),0))</x:f>
        <x:v>613</x:v>
      </x:c>
      <x:c r="K850" s="8" t="n">
        <x:f>0</x:f>
        <x:v>0</x:v>
      </x:c>
      <x:c r="L850" s="8" t="n">
        <x:f>0</x:f>
        <x:v>0</x:v>
      </x:c>
      <x:c r="M850" s="7" t="n">
        <x:f>IF('01_Ustawienia'!$B$4="ZWOLNIONY",0,'01_Ustawienia'!$B$7)</x:f>
        <x:v>0.08</x:v>
      </x:c>
      <x:c r="N850" s="8" t="n">
        <x:f>IF(J850="","",ROUND((J850+K850)*(1+M850),0))</x:f>
        <x:v>662</x:v>
      </x:c>
      <x:c r="O850" s="8" t="n">
        <x:f>IF(J850="","",J850+K850-H850-L850)</x:f>
        <x:v>190</x:v>
      </x:c>
      <x:c r="P850" s="7" t="n">
        <x:f>IFERROR(O850/(J850+K850),"")</x:f>
        <x:v>0.3099510603588907</x:v>
      </x:c>
      <x:c r="Q850" s="6" t="inlineStr">
        <x:is>
          <x:t xml:space="preserve">RAW_OP AD/AE</x:t>
        </x:is>
      </x:c>
      <x:c r="R850" s="6" t="inlineStr">
        <x:is>
          <x:t xml:space="preserve">DODATKI</x:t>
        </x:is>
      </x:c>
      <x:c r="S850" s="6" t="inlineStr">
        <x:is>
          <x:t xml:space="preserve">crm_only</x:t>
        </x:is>
      </x:c>
      <x:c r="T850" s="6" t="n"/>
    </x:row>
    <x:row r="851">
      <x:c r="A851" s="6" t="inlineStr">
        <x:is>
          <x:t xml:space="preserve">500 x 706 cm</x:t>
        </x:is>
      </x:c>
      <x:c r="B851" s="6" t="inlineStr">
        <x:is>
          <x:t xml:space="preserve">S</x:t>
        </x:is>
      </x:c>
      <x:c r="C851" s="6" t="inlineStr">
        <x:is>
          <x:t xml:space="preserve">Szczotki przeciwkurzowe</x:t>
        </x:is>
      </x:c>
      <x:c r="D851" s="6" t="inlineStr">
        <x:is>
          <x:t xml:space="preserve">SZCZOTKI</x:t>
        </x:is>
      </x:c>
      <x:c r="E851" s="8" t="n">
        <x:f>IFERROR(INDEX('02_RAW_INDEX'!$AD:$AD,MATCH($A851,'02_RAW_INDEX'!$A:$A,0)),"")</x:f>
        <x:v>528</x:v>
      </x:c>
      <x:c r="F851" s="8" t="n">
        <x:f>IFERROR(INDEX('02_RAW_INDEX'!$AC:$AC,MATCH($A851,'02_RAW_INDEX'!$A:$A,0)),"")</x:f>
        <x:v>650</x:v>
      </x:c>
      <x:c r="G851" s="7" t="n">
        <x:f>'01_Ustawienia'!$B$6</x:f>
        <x:v>0</x:v>
      </x:c>
      <x:c r="H851" s="8" t="n">
        <x:f>IF(E851="","",ROUND(IF('01_Ustawienia'!$B$5="BRUTTO",F851,E851)*(1-G851),0))</x:f>
        <x:v>528</x:v>
      </x:c>
      <x:c r="I851" s="7" t="n">
        <x:f>IFERROR(IFERROR(INDEX('01_Ustawienia'!$B$15:$B$33,MATCH(B851,'01_Ustawienia'!$A$15:$A$33,0)),0.45),0.45)</x:f>
        <x:v>0.45</x:v>
      </x:c>
      <x:c r="J851" s="8" t="n">
        <x:f>IF(H851="","",ROUND(H851*(1+I851),0))</x:f>
        <x:v>766</x:v>
      </x:c>
      <x:c r="K851" s="8" t="n">
        <x:f>0</x:f>
        <x:v>0</x:v>
      </x:c>
      <x:c r="L851" s="8" t="n">
        <x:f>IFERROR(IFERROR(INDEX(EG_Cennik_uslug!$CA:$CA,MATCH($A851,EG_Cennik_uslug!$A:$A,0)),0),0)</x:f>
        <x:v>0</x:v>
      </x:c>
      <x:c r="M851" s="7" t="n">
        <x:f>IF('01_Ustawienia'!$B$4="ZWOLNIONY",0,'01_Ustawienia'!$B$7)</x:f>
        <x:v>0.08</x:v>
      </x:c>
      <x:c r="N851" s="8" t="n">
        <x:f>IF(J851="","",ROUND((J851+K851)*(1+M851),0))</x:f>
        <x:v>827</x:v>
      </x:c>
      <x:c r="O851" s="8" t="n">
        <x:f>IF(J851="","",J851+K851-H851-L851)</x:f>
        <x:v>238</x:v>
      </x:c>
      <x:c r="P851" s="7" t="n">
        <x:f>IFERROR(O851/(J851+K851),"")</x:f>
        <x:v>0.31070496083550914</x:v>
      </x:c>
      <x:c r="Q851" s="6" t="inlineStr">
        <x:is>
          <x:t xml:space="preserve">RAW_OP L/M</x:t>
        </x:is>
      </x:c>
      <x:c r="R851" s="6" t="inlineStr">
        <x:is>
          <x:t xml:space="preserve">DODATKI</x:t>
        </x:is>
      </x:c>
      <x:c r="S851" s="6" t="inlineStr">
        <x:is>
          <x:t xml:space="preserve">website+crm</x:t>
        </x:is>
      </x:c>
      <x:c r="T851" s="6" t="n"/>
    </x:row>
    <x:row r="852">
      <x:c r="A852" s="6" t="inlineStr">
        <x:is>
          <x:t xml:space="preserve">500 x 706 cm</x:t>
        </x:is>
      </x:c>
      <x:c r="B852" s="6" t="inlineStr">
        <x:is>
          <x:t xml:space="preserve">U</x:t>
        </x:is>
      </x:c>
      <x:c r="C852" s="6" t="inlineStr">
        <x:is>
          <x:t xml:space="preserve">Uchwyty na szkło ścienne</x:t>
        </x:is>
      </x:c>
      <x:c r="D852" s="6" t="inlineStr">
        <x:is>
          <x:t xml:space="preserve">UCHWYTY</x:t>
        </x:is>
      </x:c>
      <x:c r="E852" s="8" t="n">
        <x:f>IFERROR(INDEX('02_RAW_INDEX'!$AF:$AF,MATCH($A852,'02_RAW_INDEX'!$A:$A,0)),"")</x:f>
        <x:v>472</x:v>
      </x:c>
      <x:c r="F852" s="8" t="n">
        <x:f>IFERROR(INDEX('02_RAW_INDEX'!$AE:$AE,MATCH($A852,'02_RAW_INDEX'!$A:$A,0)),"")</x:f>
        <x:v>580</x:v>
      </x:c>
      <x:c r="G852" s="7" t="n">
        <x:f>'01_Ustawienia'!$B$6</x:f>
        <x:v>0</x:v>
      </x:c>
      <x:c r="H852" s="8" t="n">
        <x:f>IF(E852="","",ROUND(IF('01_Ustawienia'!$B$5="BRUTTO",F852,E852)*(1-G852),0))</x:f>
        <x:v>472</x:v>
      </x:c>
      <x:c r="I852" s="7" t="n">
        <x:f>IFERROR(IFERROR(INDEX('01_Ustawienia'!$B$15:$B$33,MATCH(B852,'01_Ustawienia'!$A$15:$A$33,0)),0.45),0.45)</x:f>
        <x:v>0.45</x:v>
      </x:c>
      <x:c r="J852" s="8" t="n">
        <x:f>IF(H852="","",ROUND(H852*(1+I852),0))</x:f>
        <x:v>684</x:v>
      </x:c>
      <x:c r="K852" s="8" t="n">
        <x:f>0</x:f>
        <x:v>0</x:v>
      </x:c>
      <x:c r="L852" s="8" t="n">
        <x:f>IFERROR(IFERROR(INDEX(EG_Cennik_uslug!$CH:$CH,MATCH($A852,EG_Cennik_uslug!$A:$A,0)),0),0)</x:f>
        <x:v>0</x:v>
      </x:c>
      <x:c r="M852" s="7" t="n">
        <x:f>IF('01_Ustawienia'!$B$4="ZWOLNIONY",0,'01_Ustawienia'!$B$7)</x:f>
        <x:v>0.08</x:v>
      </x:c>
      <x:c r="N852" s="8" t="n">
        <x:f>IF(J852="","",ROUND((J852+K852)*(1+M852),0))</x:f>
        <x:v>739</x:v>
      </x:c>
      <x:c r="O852" s="8" t="n">
        <x:f>IF(J852="","",J852+K852-H852-L852)</x:f>
        <x:v>212</x:v>
      </x:c>
      <x:c r="P852" s="7" t="n">
        <x:f>IFERROR(O852/(J852+K852),"")</x:f>
        <x:v>0.30994152046783624</x:v>
      </x:c>
      <x:c r="Q852" s="6" t="inlineStr">
        <x:is>
          <x:t xml:space="preserve">RAW_OP N/O</x:t>
        </x:is>
      </x:c>
      <x:c r="R852" s="6" t="inlineStr">
        <x:is>
          <x:t xml:space="preserve">DODATKI</x:t>
        </x:is>
      </x:c>
      <x:c r="S852" s="6" t="inlineStr">
        <x:is>
          <x:t xml:space="preserve">website+crm</x:t>
        </x:is>
      </x:c>
      <x:c r="T852" s="6" t="n"/>
    </x:row>
    <x:row r="853">
      <x:c r="A853" s="6" t="inlineStr">
        <x:is>
          <x:t xml:space="preserve">500 x 706 cm</x:t>
        </x:is>
      </x:c>
      <x:c r="B853" s="6" t="inlineStr">
        <x:is>
          <x:t xml:space="preserve">LED2</x:t>
        </x:is>
      </x:c>
      <x:c r="C853" s="6" t="inlineStr">
        <x:is>
          <x:t xml:space="preserve">Oświetlenie LED 2 punkty</x:t>
        </x:is>
      </x:c>
      <x:c r="D853" s="6" t="inlineStr">
        <x:is>
          <x:t xml:space="preserve">LED 2 PKT</x:t>
        </x:is>
      </x:c>
      <x:c r="E853" s="8" t="n">
        <x:f>IFERROR(INDEX('02_RAW_INDEX'!$N:$N,MATCH($A853,'02_RAW_INDEX'!$A:$A,0)),"")</x:f>
        <x:v>707</x:v>
      </x:c>
      <x:c r="F853" s="8" t="n">
        <x:f>IFERROR(INDEX('02_RAW_INDEX'!$M:$M,MATCH($A853,'02_RAW_INDEX'!$A:$A,0)),"")</x:f>
        <x:v>870</x:v>
      </x:c>
      <x:c r="G853" s="7" t="n">
        <x:f>'01_Ustawienia'!$B$6</x:f>
        <x:v>0</x:v>
      </x:c>
      <x:c r="H853" s="8" t="n">
        <x:f>IF(E853="","",ROUND(IF('01_Ustawienia'!$B$5="BRUTTO",F853,E853)*(1-G853),0))</x:f>
        <x:v>707</x:v>
      </x:c>
      <x:c r="I853" s="7" t="n">
        <x:f>IFERROR(IFERROR(INDEX('01_Ustawienia'!$B$15:$B$33,MATCH(B853,'01_Ustawienia'!$A$15:$A$33,0)),0.45),0.45)</x:f>
        <x:v>0.45</x:v>
      </x:c>
      <x:c r="J853" s="8" t="n">
        <x:f>IF(H853="","",ROUND(H853*(1+I853),0))</x:f>
        <x:v>1025</x:v>
      </x:c>
      <x:c r="K853" s="8" t="n">
        <x:f>0</x:f>
        <x:v>0</x:v>
      </x:c>
      <x:c r="L853" s="8" t="n">
        <x:f>IFERROR(IFERROR(INDEX(EG_Cennik_uslug!$CO:$CO,MATCH($A853,EG_Cennik_uslug!$A:$A,0)),0),0)</x:f>
        <x:v>0</x:v>
      </x:c>
      <x:c r="M853" s="7" t="n">
        <x:f>IF('01_Ustawienia'!$B$4="ZWOLNIONY",0,'01_Ustawienia'!$B$7)</x:f>
        <x:v>0.08</x:v>
      </x:c>
      <x:c r="N853" s="8" t="n">
        <x:f>IF(J853="","",ROUND((J853+K853)*(1+M853),0))</x:f>
        <x:v>1107</x:v>
      </x:c>
      <x:c r="O853" s="8" t="n">
        <x:f>IF(J853="","",J853+K853-H853-L853)</x:f>
        <x:v>318</x:v>
      </x:c>
      <x:c r="P853" s="7" t="n">
        <x:f>IFERROR(O853/(J853+K853),"")</x:f>
        <x:v>0.3102439024390244</x:v>
      </x:c>
      <x:c r="Q853" s="6" t="inlineStr">
        <x:is>
          <x:t xml:space="preserve">RAW_ZP P/Q</x:t>
        </x:is>
      </x:c>
      <x:c r="R853" s="6" t="inlineStr">
        <x:is>
          <x:t xml:space="preserve">OŚWIETLENIE</x:t>
        </x:is>
      </x:c>
      <x:c r="S853" s="6" t="inlineStr">
        <x:is>
          <x:t xml:space="preserve">website+crm</x:t>
        </x:is>
      </x:c>
      <x:c r="T853" s="6" t="n"/>
    </x:row>
    <x:row r="854">
      <x:c r="A854" s="6" t="inlineStr">
        <x:is>
          <x:t xml:space="preserve">500 x 706 cm</x:t>
        </x:is>
      </x:c>
      <x:c r="B854" s="6" t="inlineStr">
        <x:is>
          <x:t xml:space="preserve">LED3</x:t>
        </x:is>
      </x:c>
      <x:c r="C854" s="6" t="inlineStr">
        <x:is>
          <x:t xml:space="preserve">Oświetlenie LED 3 punkty</x:t>
        </x:is>
      </x:c>
      <x:c r="D854" s="6" t="inlineStr">
        <x:is>
          <x:t xml:space="preserve">LED 3 PKT</x:t>
        </x:is>
      </x:c>
      <x:c r="E854" s="8" t="n">
        <x:f>IFERROR(INDEX('02_RAW_INDEX'!$P:$P,MATCH($A854,'02_RAW_INDEX'!$A:$A,0)),"")</x:f>
        <x:v>984</x:v>
      </x:c>
      <x:c r="F854" s="8" t="n">
        <x:f>IFERROR(INDEX('02_RAW_INDEX'!$O:$O,MATCH($A854,'02_RAW_INDEX'!$A:$A,0)),"")</x:f>
        <x:v>1210</x:v>
      </x:c>
      <x:c r="G854" s="7" t="n">
        <x:f>'01_Ustawienia'!$B$6</x:f>
        <x:v>0</x:v>
      </x:c>
      <x:c r="H854" s="8" t="n">
        <x:f>IF(E854="","",ROUND(IF('01_Ustawienia'!$B$5="BRUTTO",F854,E854)*(1-G854),0))</x:f>
        <x:v>984</x:v>
      </x:c>
      <x:c r="I854" s="7" t="n">
        <x:f>IFERROR(IFERROR(INDEX('01_Ustawienia'!$B$15:$B$33,MATCH(B854,'01_Ustawienia'!$A$15:$A$33,0)),0.45),0.45)</x:f>
        <x:v>0.45</x:v>
      </x:c>
      <x:c r="J854" s="8" t="n">
        <x:f>IF(H854="","",ROUND(H854*(1+I854),0))</x:f>
        <x:v>1427</x:v>
      </x:c>
      <x:c r="K854" s="8" t="n">
        <x:f>0</x:f>
        <x:v>0</x:v>
      </x:c>
      <x:c r="L854" s="8" t="n">
        <x:f>IFERROR(IFERROR(INDEX(EG_Cennik_uslug!$CV:$CV,MATCH($A854,EG_Cennik_uslug!$A:$A,0)),0),0)</x:f>
        <x:v>0</x:v>
      </x:c>
      <x:c r="M854" s="7" t="n">
        <x:f>IF('01_Ustawienia'!$B$4="ZWOLNIONY",0,'01_Ustawienia'!$B$7)</x:f>
        <x:v>0.08</x:v>
      </x:c>
      <x:c r="N854" s="8" t="n">
        <x:f>IF(J854="","",ROUND((J854+K854)*(1+M854),0))</x:f>
        <x:v>1541</x:v>
      </x:c>
      <x:c r="O854" s="8" t="n">
        <x:f>IF(J854="","",J854+K854-H854-L854)</x:f>
        <x:v>443</x:v>
      </x:c>
      <x:c r="P854" s="7" t="n">
        <x:f>IFERROR(O854/(J854+K854),"")</x:f>
        <x:v>0.3104414856341976</x:v>
      </x:c>
      <x:c r="Q854" s="6" t="inlineStr">
        <x:is>
          <x:t xml:space="preserve">RAW_ZP R/S</x:t>
        </x:is>
      </x:c>
      <x:c r="R854" s="6" t="inlineStr">
        <x:is>
          <x:t xml:space="preserve">OŚWIETLENIE</x:t>
        </x:is>
      </x:c>
      <x:c r="S854" s="6" t="inlineStr">
        <x:is>
          <x:t xml:space="preserve">website+crm</x:t>
        </x:is>
      </x:c>
      <x:c r="T854" s="6" t="inlineStr">
        <x:is>
          <x:t xml:space="preserve">Nazwa do potwierdzenia</x:t>
        </x:is>
      </x:c>
    </x:row>
    <x:row r="855">
      <x:c r="A855" s="6" t="inlineStr">
        <x:is>
          <x:t xml:space="preserve">500 x 706 cm</x:t>
        </x:is>
      </x:c>
      <x:c r="B855" s="6" t="inlineStr">
        <x:is>
          <x:t xml:space="preserve">LEDCCT</x:t>
        </x:is>
      </x:c>
      <x:c r="C855" s="6" t="inlineStr">
        <x:is>
          <x:t xml:space="preserve">Oświetlenie LED CCT</x:t>
        </x:is>
      </x:c>
      <x:c r="D855" s="6" t="inlineStr">
        <x:is>
          <x:t xml:space="preserve">OŚWIETLENIE</x:t>
        </x:is>
      </x:c>
      <x:c r="E855" s="8" t="n">
        <x:f>IFERROR(INDEX('02_RAW_INDEX'!$R:$R,MATCH($A855,'02_RAW_INDEX'!$A:$A,0)),"")</x:f>
        <x:v>2174</x:v>
      </x:c>
      <x:c r="F855" s="8" t="n">
        <x:f>IFERROR(INDEX('02_RAW_INDEX'!$Q:$Q,MATCH($A855,'02_RAW_INDEX'!$A:$A,0)),"")</x:f>
        <x:v>2674</x:v>
      </x:c>
      <x:c r="G855" s="7" t="n">
        <x:f>'01_Ustawienia'!$B$6</x:f>
        <x:v>0</x:v>
      </x:c>
      <x:c r="H855" s="8" t="n">
        <x:f>IF(E855="","",ROUND(IF('01_Ustawienia'!$B$5="BRUTTO",F855,E855)*(1-G855),0))</x:f>
        <x:v>2174</x:v>
      </x:c>
      <x:c r="I855" s="7" t="n">
        <x:f>IFERROR(IFERROR(INDEX('01_Ustawienia'!$B$15:$B$33,MATCH(B855,'01_Ustawienia'!$A$15:$A$33,0)),0.45),0.45)</x:f>
        <x:v>0.45</x:v>
      </x:c>
      <x:c r="J855" s="8" t="n">
        <x:f>IF(H855="","",ROUND(H855*(1+I855),0)+700)</x:f>
        <x:v>3852</x:v>
      </x:c>
      <x:c r="K855" s="8" t="n">
        <x:f>0</x:f>
        <x:v>0</x:v>
      </x:c>
      <x:c r="L855" s="8" t="n">
        <x:f>0</x:f>
        <x:v>0</x:v>
      </x:c>
      <x:c r="M855" s="7" t="n">
        <x:f>IF('01_Ustawienia'!$B$4="ZWOLNIONY",0,'01_Ustawienia'!$B$7)</x:f>
        <x:v>0.08</x:v>
      </x:c>
      <x:c r="N855" s="8" t="n">
        <x:f>IF(J855="","",ROUND((J855+K855)*(1+M855),0))</x:f>
        <x:v>4160</x:v>
      </x:c>
      <x:c r="O855" s="8" t="n">
        <x:f>IF(J855="","",J855+K855-H855-L855)</x:f>
        <x:v>1678</x:v>
      </x:c>
      <x:c r="P855" s="7" t="n">
        <x:f>IFERROR(O855/(J855+K855),"")</x:f>
        <x:v>0.4356178608515057</x:v>
      </x:c>
      <x:c r="Q855" s="715" t="inlineStr">
        <x:is>
          <x:t xml:space="preserve">MODEL_FIX15_LED</x:t>
        </x:is>
      </x:c>
      <x:c r="R855" s="6" t="inlineStr">
        <x:is>
          <x:t xml:space="preserve">OŚWIETLENIE</x:t>
        </x:is>
      </x:c>
      <x:c r="S855" s="6" t="inlineStr">
        <x:is>
          <x:t xml:space="preserve">website+crm</x:t>
        </x:is>
      </x:c>
      <x:c r="T855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856">
      <x:c r="A856" s="6" t="inlineStr">
        <x:is>
          <x:t xml:space="preserve">500 x 706 cm</x:t>
        </x:is>
      </x:c>
      <x:c r="B856" s="6" t="inlineStr">
        <x:is>
          <x:t xml:space="preserve">LEDRGBCCT</x:t>
        </x:is>
      </x:c>
      <x:c r="C856" s="6" t="inlineStr">
        <x:is>
          <x:t xml:space="preserve">Oświetlenie LED RGB CCT</x:t>
        </x:is>
      </x:c>
      <x:c r="D856" s="6" t="inlineStr">
        <x:is>
          <x:t xml:space="preserve">OŚWIETLENIE</x:t>
        </x:is>
      </x:c>
      <x:c r="E856" s="8" t="n">
        <x:f>IFERROR(INDEX('02_RAW_INDEX'!$T:$T,MATCH($A856,'02_RAW_INDEX'!$A:$A,0)),"")</x:f>
        <x:v>2893</x:v>
      </x:c>
      <x:c r="F856" s="8" t="n">
        <x:f>IFERROR(INDEX('02_RAW_INDEX'!$S:$S,MATCH($A856,'02_RAW_INDEX'!$A:$A,0)),"")</x:f>
        <x:v>3559</x:v>
      </x:c>
      <x:c r="G856" s="7" t="n">
        <x:f>'01_Ustawienia'!$B$6</x:f>
        <x:v>0</x:v>
      </x:c>
      <x:c r="H856" s="8" t="n">
        <x:f>IF(E856="","",ROUND(IF('01_Ustawienia'!$B$5="BRUTTO",F856,E856)*(1-G856),0))</x:f>
        <x:v>2893</x:v>
      </x:c>
      <x:c r="I856" s="7" t="n">
        <x:f>IFERROR(IFERROR(INDEX('01_Ustawienia'!$B$15:$B$33,MATCH(B856,'01_Ustawienia'!$A$15:$A$33,0)),0.45),0.45)</x:f>
        <x:v>0.45</x:v>
      </x:c>
      <x:c r="J856" s="8" t="n">
        <x:f>IF(H856="","",ROUND(H856*(1+I856),0))</x:f>
        <x:v>4195</x:v>
      </x:c>
      <x:c r="K856" s="8" t="n">
        <x:f>0</x:f>
        <x:v>0</x:v>
      </x:c>
      <x:c r="L856" s="8" t="n">
        <x:f>0</x:f>
        <x:v>0</x:v>
      </x:c>
      <x:c r="M856" s="7" t="n">
        <x:f>IF('01_Ustawienia'!$B$4="ZWOLNIONY",0,'01_Ustawienia'!$B$7)</x:f>
        <x:v>0.08</x:v>
      </x:c>
      <x:c r="N856" s="8" t="n">
        <x:f>IF(J856="","",ROUND((J856+K856)*(1+M856),0))</x:f>
        <x:v>4531</x:v>
      </x:c>
      <x:c r="O856" s="8" t="n">
        <x:f>IF(J856="","",J856+K856-H856-L856)</x:f>
        <x:v>1302</x:v>
      </x:c>
      <x:c r="P856" s="7" t="n">
        <x:f>IFERROR(O856/(J856+K856),"")</x:f>
        <x:v>0.3103694874851013</x:v>
      </x:c>
      <x:c r="Q856" s="715" t="inlineStr">
        <x:is>
          <x:t xml:space="preserve">MODEL_FIX15_LED</x:t>
        </x:is>
      </x:c>
      <x:c r="R856" s="6" t="inlineStr">
        <x:is>
          <x:t xml:space="preserve">OŚWIETLENIE</x:t>
        </x:is>
      </x:c>
      <x:c r="S856" s="6" t="inlineStr">
        <x:is>
          <x:t xml:space="preserve">crm_only</x:t>
        </x:is>
      </x:c>
      <x:c r="T856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857" s="655" customFormat="1" ht="30" customHeight="1">
      <x:c r="A857" s="6" t="inlineStr">
        <x:is>
          <x:t xml:space="preserve">500 x 806 cm</x:t>
        </x:is>
      </x:c>
      <x:c r="B857" s="6" t="inlineStr">
        <x:is>
          <x:t xml:space="preserve">ZP</x:t>
        </x:is>
      </x:c>
      <x:c r="C857" s="6" t="inlineStr">
        <x:is>
          <x:t xml:space="preserve">Zadaszenie poliwęglan - baza</x:t>
        </x:is>
      </x:c>
      <x:c r="D857" s="6" t="inlineStr">
        <x:is>
          <x:t xml:space="preserve">ZADASZENIE POLIWĘGLAN</x:t>
        </x:is>
      </x:c>
      <x:c r="E857" s="8" t="n">
        <x:f>IFERROR(INDEX('02_RAW_INDEX'!$D:$D,MATCH($A857,'02_RAW_INDEX'!$A:$A,0)),"")</x:f>
        <x:v>15642</x:v>
      </x:c>
      <x:c r="F857" s="8" t="n">
        <x:f>IFERROR(INDEX('02_RAW_INDEX'!$C:$C,MATCH($A857,'02_RAW_INDEX'!$A:$A,0)),"")</x:f>
        <x:v>19240</x:v>
      </x:c>
      <x:c r="G857" s="7" t="n">
        <x:f>'01_Ustawienia'!$B$6</x:f>
        <x:v>0</x:v>
      </x:c>
      <x:c r="H857" s="8" t="n">
        <x:f>IF(E857="","",ROUND(IF('01_Ustawienia'!$B$5="BRUTTO",F857,E857)*(1-G857),0))</x:f>
        <x:v>15642</x:v>
      </x:c>
      <x:c r="I857" s="7" t="n">
        <x:f>IFERROR(IFERROR(INDEX('01_Ustawienia'!$B$15:$B$33,MATCH(B857,'01_Ustawienia'!$A$15:$A$33,0)),0.45),0.45)</x:f>
        <x:v>0.45</x:v>
      </x:c>
      <x:c r="J857" s="8" t="n">
        <x:f>IF(H857="","",ROUND(H857*(1+I857),0))</x:f>
        <x:v>22681</x:v>
      </x:c>
      <x:c r="K857" s="8" t="n">
        <x:f>IFERROR(IFERROR(INDEX(EG_Cennik_uslug!$F:$F,MATCH($A857,EG_Cennik_uslug!$A:$A,0)),0),0)</x:f>
        <x:v>4690</x:v>
      </x:c>
      <x:c r="L857" s="8" t="n">
        <x:f>IFERROR(IFERROR(INDEX(EG_Cennik_uslug!$G:$G,MATCH($A857,EG_Cennik_uslug!$A:$A,0)),0),0)</x:f>
        <x:v>1740</x:v>
      </x:c>
      <x:c r="M857" s="7" t="n">
        <x:f>IF('01_Ustawienia'!$B$4="ZWOLNIONY",0,'01_Ustawienia'!$B$7)</x:f>
        <x:v>0.08</x:v>
      </x:c>
      <x:c r="N857" s="8" t="n">
        <x:f>IF(J857="","",ROUND((J857+K857)*(1+M857),0))</x:f>
        <x:v>29561</x:v>
      </x:c>
      <x:c r="O857" s="8" t="n">
        <x:f>IF(J857="","",J857+K857-H857-L857)</x:f>
        <x:v>9989</x:v>
      </x:c>
      <x:c r="P857" s="7" t="n">
        <x:f>IFERROR(O857/(J857+K857),"")</x:f>
        <x:v>0.364948302948376</x:v>
      </x:c>
      <x:c r="Q857" s="6" t="inlineStr">
        <x:is>
          <x:t xml:space="preserve">RAW_ZP B/C</x:t>
        </x:is>
      </x:c>
      <x:c r="R857" s="6" t="inlineStr">
        <x:is>
          <x:t xml:space="preserve">ZADASZENIE TARASU KONSTRUKCJA</x:t>
        </x:is>
      </x:c>
      <x:c r="S857" s="6" t="inlineStr">
        <x:is>
          <x:t xml:space="preserve">website+crm</x:t>
        </x:is>
      </x:c>
      <x:c r="T857" s="6" t="inlineStr">
        <x:is>
          <x:t xml:space="preserve">Baza dla kalkulatora</x:t>
        </x:is>
      </x:c>
    </x:row>
    <x:row r="858" s="655" customFormat="1" ht="30" customHeight="1">
      <x:c r="A858" s="6" t="inlineStr">
        <x:is>
          <x:t xml:space="preserve">500 x 806 cm</x:t>
        </x:is>
      </x:c>
      <x:c r="B858" s="6" t="inlineStr">
        <x:is>
          <x:t xml:space="preserve">ZS</x:t>
        </x:is>
      </x:c>
      <x:c r="C858" s="6" t="inlineStr">
        <x:is>
          <x:t xml:space="preserve">Zadaszenie szkło - pełna konstrukcja</x:t>
        </x:is>
      </x:c>
      <x:c r="D858" s="6" t="inlineStr">
        <x:is>
          <x:t xml:space="preserve">ZADASZENIE SZKŁO</x:t>
        </x:is>
      </x:c>
      <x:c r="E858" s="8" t="n">
        <x:f>IFERROR(INDEX('02_RAW_INDEX'!$V:$V,MATCH($A858,'02_RAW_INDEX'!$A:$A,0)),"")</x:f>
        <x:v>24959</x:v>
      </x:c>
      <x:c r="F858" s="8" t="n">
        <x:f>IFERROR(INDEX('02_RAW_INDEX'!$U:$U,MATCH($A858,'02_RAW_INDEX'!$A:$A,0)),"")</x:f>
        <x:v>30700</x:v>
      </x:c>
      <x:c r="G858" s="7" t="n">
        <x:f>'01_Ustawienia'!$B$6</x:f>
        <x:v>0</x:v>
      </x:c>
      <x:c r="H858" s="8" t="n">
        <x:f>IF(E858="","",ROUND(IF('01_Ustawienia'!$B$5="BRUTTO",F858,E858)*(1-G858),0))</x:f>
        <x:v>24959</x:v>
      </x:c>
      <x:c r="I858" s="7" t="n">
        <x:f>IFERROR(IFERROR(INDEX('01_Ustawienia'!$B$15:$B$33,MATCH(B858,'01_Ustawienia'!$A$15:$A$33,0)),0.45),0.45)</x:f>
        <x:v>0.45</x:v>
      </x:c>
      <x:c r="J858" s="8" t="n">
        <x:f>IF(H858="","",ROUND(H858*(1+I858),0))</x:f>
        <x:v>36191</x:v>
      </x:c>
      <x:c r="K858" s="8" t="n">
        <x:f>IFERROR(IFERROR(INDEX(EG_Cennik_uslug!$F:$F,MATCH($A858,EG_Cennik_uslug!$A:$A,0)),0),0)</x:f>
        <x:v>4690</x:v>
      </x:c>
      <x:c r="L858" s="8" t="n">
        <x:f>IFERROR(IFERROR(INDEX(EG_Cennik_uslug!$G:$G,MATCH($A858,EG_Cennik_uslug!$A:$A,0)),0),0)</x:f>
        <x:v>1740</x:v>
      </x:c>
      <x:c r="M858" s="7" t="n">
        <x:f>IF('01_Ustawienia'!$B$4="ZWOLNIONY",0,'01_Ustawienia'!$B$7)</x:f>
        <x:v>0.08</x:v>
      </x:c>
      <x:c r="N858" s="8" t="n">
        <x:f>IF(J858="","",ROUND((J858+K858)*(1+M858),0))</x:f>
        <x:v>44151</x:v>
      </x:c>
      <x:c r="O858" s="8" t="n">
        <x:f>IF(J858="","",J858+K858-H858-L858)</x:f>
        <x:v>14182</x:v>
      </x:c>
      <x:c r="P858" s="7" t="n">
        <x:f>IFERROR(O858/(J858+K858),"")</x:f>
        <x:v>0.3469093221790074</x:v>
      </x:c>
      <x:c r="Q858" s="6" t="inlineStr">
        <x:is>
          <x:t xml:space="preserve">RAW_ZS B/C</x:t>
        </x:is>
      </x:c>
      <x:c r="R858" s="6" t="inlineStr">
        <x:is>
          <x:t xml:space="preserve">ZADASZENIE TARASU KONSTRUKCJA</x:t>
        </x:is>
      </x:c>
      <x:c r="S858" s="6" t="inlineStr">
        <x:is>
          <x:t xml:space="preserve">crm_only</x:t>
        </x:is>
      </x:c>
      <x:c r="T858" s="6" t="inlineStr">
        <x:is>
          <x:t xml:space="preserve">Referencyjne/full; strona zwykle używa ZP + PDS</x:t>
        </x:is>
      </x:c>
    </x:row>
    <x:row r="859" s="655" customFormat="1" ht="30" customHeight="1">
      <x:c r="A859" s="6" t="inlineStr">
        <x:is>
          <x:t xml:space="preserve">500 x 806 cm</x:t>
        </x:is>
      </x:c>
      <x:c r="B859" s="6" t="inlineStr">
        <x:is>
          <x:t xml:space="preserve">OP</x:t>
        </x:is>
      </x:c>
      <x:c r="C859" s="6" t="inlineStr">
        <x:is>
          <x:t xml:space="preserve">Ogród zimowy poliwęglan - baza</x:t>
        </x:is>
      </x:c>
      <x:c r="D859" s="6" t="inlineStr">
        <x:is>
          <x:t xml:space="preserve">OGRODY POLIWĘGLAN</x:t>
        </x:is>
      </x:c>
      <x:c r="E859" s="8" t="n">
        <x:f>IFERROR(INDEX('02_RAW_INDEX'!$Z:$Z,MATCH($A859,'02_RAW_INDEX'!$A:$A,0)),"")</x:f>
        <x:v>31325</x:v>
      </x:c>
      <x:c r="F859" s="8" t="n">
        <x:f>IFERROR(INDEX('02_RAW_INDEX'!$Y:$Y,MATCH($A859,'02_RAW_INDEX'!$A:$A,0)),"")</x:f>
        <x:v>38530</x:v>
      </x:c>
      <x:c r="G859" s="7" t="n">
        <x:f>'01_Ustawienia'!$B$6</x:f>
        <x:v>0</x:v>
      </x:c>
      <x:c r="H859" s="8" t="n">
        <x:f>IF(E859="","",ROUND(IF('01_Ustawienia'!$B$5="BRUTTO",F859,E859)*(1-G859),0))</x:f>
        <x:v>31325</x:v>
      </x:c>
      <x:c r="I859" s="7" t="n">
        <x:f>IFERROR(IFERROR(INDEX('01_Ustawienia'!$B$15:$B$33,MATCH(B859,'01_Ustawienia'!$A$15:$A$33,0)),0.45),0.45)</x:f>
        <x:v>0.45</x:v>
      </x:c>
      <x:c r="J859" s="8" t="n">
        <x:f>IF(H859="","",ROUND(H859*(1+I859),0))</x:f>
        <x:v>45421</x:v>
      </x:c>
      <x:c r="K859" s="8" t="n">
        <x:f>IFERROR(IFERROR(INDEX(EG_Cennik_uslug!$N:$N,MATCH($A859,EG_Cennik_uslug!$A:$A,0)),0),0)</x:f>
        <x:v>6000</x:v>
      </x:c>
      <x:c r="L859" s="8" t="n">
        <x:f>IFERROR(IFERROR(INDEX(EG_Cennik_uslug!$O:$O,MATCH($A859,EG_Cennik_uslug!$A:$A,0)),0),0)</x:f>
        <x:v>2430</x:v>
      </x:c>
      <x:c r="M859" s="7" t="n">
        <x:f>IF('01_Ustawienia'!$B$4="ZWOLNIONY",0,'01_Ustawienia'!$B$7)</x:f>
        <x:v>0.08</x:v>
      </x:c>
      <x:c r="N859" s="8" t="n">
        <x:f>IF(J859="","",ROUND((J859+K859)*(1+M859),0))</x:f>
        <x:v>55535</x:v>
      </x:c>
      <x:c r="O859" s="8" t="n">
        <x:f>IF(J859="","",J859+K859-H859-L859)</x:f>
        <x:v>17666</x:v>
      </x:c>
      <x:c r="P859" s="7" t="n">
        <x:f>IFERROR(O859/(J859+K859),"")</x:f>
        <x:v>0.34355613465315726</x:v>
      </x:c>
      <x:c r="Q859" s="6" t="inlineStr">
        <x:is>
          <x:t xml:space="preserve">RAW_OP B/C</x:t>
        </x:is>
      </x:c>
      <x:c r="R859" s="6" t="inlineStr">
        <x:is>
          <x:t xml:space="preserve">OGRÓD ZIMOWY (KONSTRUKCJA)</x:t>
        </x:is>
      </x:c>
      <x:c r="S859" s="6" t="inlineStr">
        <x:is>
          <x:t xml:space="preserve">website+crm</x:t>
        </x:is>
      </x:c>
      <x:c r="T859" s="6" t="inlineStr">
        <x:is>
          <x:t xml:space="preserve">Do wyliczenia dopłaty za ściany</x:t>
        </x:is>
      </x:c>
    </x:row>
    <x:row r="860" s="655" customFormat="1" ht="30" customHeight="1">
      <x:c r="A860" s="6" t="inlineStr">
        <x:is>
          <x:t xml:space="preserve">500 x 806 cm</x:t>
        </x:is>
      </x:c>
      <x:c r="B860" s="6" t="inlineStr">
        <x:is>
          <x:t xml:space="preserve">OS</x:t>
        </x:is>
      </x:c>
      <x:c r="C860" s="6" t="inlineStr">
        <x:is>
          <x:t xml:space="preserve">Ogród zimowy szkło - pełna konstrukcja</x:t>
        </x:is>
      </x:c>
      <x:c r="D860" s="6" t="inlineStr">
        <x:is>
          <x:t xml:space="preserve">OGRODY SZKŁO</x:t>
        </x:is>
      </x:c>
      <x:c r="E860" s="8" t="n">
        <x:f>IFERROR(INDEX('02_RAW_INDEX'!$AL:$AL,MATCH($A860,'02_RAW_INDEX'!$A:$A,0)),"")</x:f>
        <x:v>40642</x:v>
      </x:c>
      <x:c r="F860" s="8" t="n">
        <x:f>IFERROR(INDEX('02_RAW_INDEX'!$AK:$AK,MATCH($A860,'02_RAW_INDEX'!$A:$A,0)),"")</x:f>
        <x:v>49990</x:v>
      </x:c>
      <x:c r="G860" s="7" t="n">
        <x:f>'01_Ustawienia'!$B$6</x:f>
        <x:v>0</x:v>
      </x:c>
      <x:c r="H860" s="8" t="n">
        <x:f>IF(E860="","",ROUND(IF('01_Ustawienia'!$B$5="BRUTTO",F860,E860)*(1-G860),0))</x:f>
        <x:v>40642</x:v>
      </x:c>
      <x:c r="I860" s="7" t="n">
        <x:f>IFERROR(IFERROR(INDEX('01_Ustawienia'!$B$15:$B$33,MATCH(B860,'01_Ustawienia'!$A$15:$A$33,0)),0.45),0.45)</x:f>
        <x:v>0.45</x:v>
      </x:c>
      <x:c r="J860" s="8" t="n">
        <x:f>IF(H860="","",ROUND(H860*(1+I860),0))</x:f>
        <x:v>58931</x:v>
      </x:c>
      <x:c r="K860" s="8" t="n">
        <x:f>IFERROR(IFERROR(INDEX(EG_Cennik_uslug!$N:$N,MATCH($A860,EG_Cennik_uslug!$A:$A,0)),0),0)</x:f>
        <x:v>6000</x:v>
      </x:c>
      <x:c r="L860" s="8" t="n">
        <x:f>IFERROR(IFERROR(INDEX(EG_Cennik_uslug!$O:$O,MATCH($A860,EG_Cennik_uslug!$A:$A,0)),0),0)</x:f>
        <x:v>2430</x:v>
      </x:c>
      <x:c r="M860" s="7" t="n">
        <x:f>IF('01_Ustawienia'!$B$4="ZWOLNIONY",0,'01_Ustawienia'!$B$7)</x:f>
        <x:v>0.08</x:v>
      </x:c>
      <x:c r="N860" s="8" t="n">
        <x:f>IF(J860="","",ROUND((J860+K860)*(1+M860),0))</x:f>
        <x:v>70125</x:v>
      </x:c>
      <x:c r="O860" s="8" t="n">
        <x:f>IF(J860="","",J860+K860-H860-L860)</x:f>
        <x:v>21859</x:v>
      </x:c>
      <x:c r="P860" s="7" t="n">
        <x:f>IFERROR(O860/(J860+K860),"")</x:f>
        <x:v>0.3366496742696093</x:v>
      </x:c>
      <x:c r="Q860" s="6" t="inlineStr">
        <x:is>
          <x:t xml:space="preserve">RAW_OS B/C</x:t>
        </x:is>
      </x:c>
      <x:c r="R860" s="6" t="inlineStr">
        <x:is>
          <x:t xml:space="preserve">OGRÓD ZIMOWY (KONSTRUKCJA)</x:t>
        </x:is>
      </x:c>
      <x:c r="S860" s="6" t="inlineStr">
        <x:is>
          <x:t xml:space="preserve">crm_only</x:t>
        </x:is>
      </x:c>
      <x:c r="T860" s="6" t="inlineStr">
        <x:is>
          <x:t xml:space="preserve">Referencyjne/full</x:t>
        </x:is>
      </x:c>
    </x:row>
    <x:row r="861" s="655" customFormat="1" ht="30" customHeight="1">
      <x:c r="A861" s="6" t="inlineStr">
        <x:is>
          <x:t xml:space="preserve">500 x 806 cm</x:t>
        </x:is>
      </x:c>
      <x:c r="B861" s="6" t="inlineStr">
        <x:is>
          <x:t xml:space="preserve">PDS</x:t>
        </x:is>
      </x:c>
      <x:c r="C861" s="6" t="inlineStr">
        <x:is>
          <x:t xml:space="preserve">Dopłata dach szkło przezroczyste</x:t>
        </x:is>
      </x:c>
      <x:c r="D861" s="6" t="inlineStr">
        <x:is>
          <x:t xml:space="preserve">POKRYCIE DACHU SZKŁO</x:t>
        </x:is>
      </x:c>
      <x:c r="E861" s="8" t="n">
        <x:f>IFERROR(IFERROR(INDEX('02_RAW_INDEX'!$V:$V,MATCH($A861,'02_RAW_INDEX'!$A:$A,0)),"")-IFERROR(INDEX('02_RAW_INDEX'!$D:$D,MATCH($A861,'02_RAW_INDEX'!$A:$A,0)),""),"")</x:f>
        <x:v>9317</x:v>
      </x:c>
      <x:c r="F861" s="8" t="n">
        <x:f>IFERROR(IFERROR(INDEX('02_RAW_INDEX'!$U:$U,MATCH($A861,'02_RAW_INDEX'!$A:$A,0)),"")-IFERROR(INDEX('02_RAW_INDEX'!$C:$C,MATCH($A861,'02_RAW_INDEX'!$A:$A,0)),""),"")</x:f>
        <x:v>11460</x:v>
      </x:c>
      <x:c r="G861" s="7" t="n">
        <x:f>'01_Ustawienia'!$B$6</x:f>
        <x:v>0</x:v>
      </x:c>
      <x:c r="H861" s="8" t="n">
        <x:f>IF(E861="","",ROUND(IF('01_Ustawienia'!$B$5="BRUTTO",F861,E861)*(1-G861),0))</x:f>
        <x:v>9317</x:v>
      </x:c>
      <x:c r="I861" s="7" t="n">
        <x:f>IFERROR(IFERROR(INDEX('01_Ustawienia'!$B$15:$B$33,MATCH(B861,'01_Ustawienia'!$A$15:$A$33,0)),0.45),0.45)</x:f>
        <x:v>0.45</x:v>
      </x:c>
      <x:c r="J861" s="8" t="n">
        <x:f>IF(H861="","",ROUND(H861*(1+I861),0))</x:f>
        <x:v>13510</x:v>
      </x:c>
      <x:c r="K861" s="8" t="n">
        <x:f>0</x:f>
        <x:v>0</x:v>
      </x:c>
      <x:c r="L861" s="8" t="n">
        <x:v>0</x:v>
      </x:c>
      <x:c r="M861" s="7" t="n">
        <x:f>IF('01_Ustawienia'!$B$4="ZWOLNIONY",0,'01_Ustawienia'!$B$7)</x:f>
        <x:v>0.08</x:v>
      </x:c>
      <x:c r="N861" s="8" t="n">
        <x:f>IF(J861="","",ROUND((J861+K861)*(1+M861),0))</x:f>
        <x:v>14591</x:v>
      </x:c>
      <x:c r="O861" s="8" t="n">
        <x:f>IF(J861="","",J861+K861-H861-L861)</x:f>
        <x:v>4193</x:v>
      </x:c>
      <x:c r="P861" s="7" t="n">
        <x:f>IFERROR(O861/(J861+K861),"")</x:f>
        <x:v>0.31036269430051816</x:v>
      </x:c>
      <x:c r="Q861" s="6" t="inlineStr">
        <x:is>
          <x:t xml:space="preserve">RAW_ZS - RAW_ZP</x:t>
        </x:is>
      </x:c>
      <x:c r="R861" s="6" t="inlineStr">
        <x:is>
          <x:t xml:space="preserve">POKRYCIE DACHU</x:t>
        </x:is>
      </x:c>
      <x:c r="S861" s="6" t="inlineStr">
        <x:is>
          <x:t xml:space="preserve">website+crm</x:t>
        </x:is>
      </x:c>
      <x:c r="T861" s="6" t="inlineStr">
        <x:is>
          <x:t xml:space="preserve">Dopłata do bazowego dachu poliwęglan | FIX17: Wynagr.+koszty = 0 dla dopłaty; nie jest osobnym montażem ekipy.</x:t>
        </x:is>
      </x:c>
    </x:row>
    <x:row r="862" s="655" customFormat="1" ht="30" customHeight="1">
      <x:c r="A862" s="6" t="inlineStr">
        <x:is>
          <x:t xml:space="preserve">500 x 806 cm</x:t>
        </x:is>
      </x:c>
      <x:c r="B862" s="6" t="inlineStr">
        <x:is>
          <x:t xml:space="preserve">PDSB</x:t>
        </x:is>
      </x:c>
      <x:c r="C862" s="6" t="inlineStr">
        <x:is>
          <x:t xml:space="preserve">Dopłata dach szkło barwione/mleczne</x:t>
        </x:is>
      </x:c>
      <x:c r="D862" s="6" t="inlineStr">
        <x:is>
          <x:t xml:space="preserve">POKRYCIE DACHU SZKŁO BARWIONE</x:t>
        </x:is>
      </x:c>
      <x:c r="E862" s="8" t="n">
        <x:f>IFERROR(INDEX('02_RAW_INDEX'!$X:$X,MATCH($A862,'02_RAW_INDEX'!$A:$A,0)),"")</x:f>
        <x:v>911</x:v>
      </x:c>
      <x:c r="F862" s="8" t="n">
        <x:f>IFERROR(INDEX('02_RAW_INDEX'!$W:$W,MATCH($A862,'02_RAW_INDEX'!$A:$A,0)),"")</x:f>
        <x:v>1120</x:v>
      </x:c>
      <x:c r="G862" s="7" t="n">
        <x:f>'01_Ustawienia'!$B$6</x:f>
        <x:v>0</x:v>
      </x:c>
      <x:c r="H862" s="8" t="n">
        <x:f>IF(E862="","",ROUND(IF('01_Ustawienia'!$B$5="BRUTTO",F862,E862)*(1-G862),0))</x:f>
        <x:v>911</x:v>
      </x:c>
      <x:c r="I862" s="7" t="n">
        <x:f>IFERROR(IFERROR(INDEX('01_Ustawienia'!$B$15:$B$33,MATCH(B862,'01_Ustawienia'!$A$15:$A$33,0)),0.45),0.45)</x:f>
        <x:v>0.45</x:v>
      </x:c>
      <x:c r="J862" s="8" t="n">
        <x:f>IF(H862="","",ROUND(H862*(1+I862),0))</x:f>
        <x:v>1321</x:v>
      </x:c>
      <x:c r="K862" s="8" t="n">
        <x:f>0</x:f>
        <x:v>0</x:v>
      </x:c>
      <x:c r="L862" s="8" t="n">
        <x:v>0</x:v>
      </x:c>
      <x:c r="M862" s="7" t="n">
        <x:f>IF('01_Ustawienia'!$B$4="ZWOLNIONY",0,'01_Ustawienia'!$B$7)</x:f>
        <x:v>0.08</x:v>
      </x:c>
      <x:c r="N862" s="8" t="n">
        <x:f>IF(J862="","",ROUND((J862+K862)*(1+M862),0))</x:f>
        <x:v>1427</x:v>
      </x:c>
      <x:c r="O862" s="8" t="n">
        <x:f>IF(J862="","",J862+K862-H862-L862)</x:f>
        <x:v>410</x:v>
      </x:c>
      <x:c r="P862" s="7" t="n">
        <x:f>IFERROR(O862/(J862+K862),"")</x:f>
        <x:v>0.31037093111279335</x:v>
      </x:c>
      <x:c r="Q862" s="6" t="inlineStr">
        <x:is>
          <x:t xml:space="preserve">RAW_ZS D/E</x:t>
        </x:is>
      </x:c>
      <x:c r="R862" s="6" t="inlineStr">
        <x:is>
          <x:t xml:space="preserve">POKRYCIE DACHU</x:t>
        </x:is>
      </x:c>
      <x:c r="S862" s="6" t="inlineStr">
        <x:is>
          <x:t xml:space="preserve">website+crm</x:t>
        </x:is>
      </x:c>
      <x:c r="T862" s="6" t="inlineStr">
        <x:is>
          <x:t xml:space="preserve">Dodawane do PDS | FIX17: Wynagr.+koszty = 0 dla dopłaty; nie jest osobnym montażem ekipy.</x:t>
        </x:is>
      </x:c>
    </x:row>
    <x:row r="863" s="655" customFormat="1" ht="30" customHeight="1">
      <x:c r="A863" s="6" t="inlineStr">
        <x:is>
          <x:t xml:space="preserve">500 x 806 cm</x:t>
        </x:is>
      </x:c>
      <x:c r="B863" s="6" t="inlineStr">
        <x:is>
          <x:t xml:space="preserve">PDPB</x:t>
        </x:is>
      </x:c>
      <x:c r="C863" s="6" t="inlineStr">
        <x:is>
          <x:t xml:space="preserve">Dopłata poliwęglan barwiony</x:t>
        </x:is>
      </x:c>
      <x:c r="D863" s="6" t="inlineStr">
        <x:is>
          <x:t xml:space="preserve">POKRYCIE DACHU POLIWĘGLAN BARWIONY</x:t>
        </x:is>
      </x:c>
      <x:c r="E863" s="8" t="n">
        <x:f>IFERROR(INDEX('02_RAW_INDEX'!$F:$F,MATCH($A863,'02_RAW_INDEX'!$A:$A,0)),"")</x:f>
        <x:v>675</x:v>
      </x:c>
      <x:c r="F863" s="8" t="n">
        <x:f>IFERROR(INDEX('02_RAW_INDEX'!$E:$E,MATCH($A863,'02_RAW_INDEX'!$A:$A,0)),"")</x:f>
        <x:v>830</x:v>
      </x:c>
      <x:c r="G863" s="7" t="n">
        <x:f>'01_Ustawienia'!$B$6</x:f>
        <x:v>0</x:v>
      </x:c>
      <x:c r="H863" s="8" t="n">
        <x:f>IF(E863="","",ROUND(IF('01_Ustawienia'!$B$5="BRUTTO",F863,E863)*(1-G863),0))</x:f>
        <x:v>675</x:v>
      </x:c>
      <x:c r="I863" s="7" t="n">
        <x:f>IFERROR(IFERROR(INDEX('01_Ustawienia'!$B$15:$B$33,MATCH(B863,'01_Ustawienia'!$A$15:$A$33,0)),0.45),0.45)</x:f>
        <x:v>0.45</x:v>
      </x:c>
      <x:c r="J863" s="8" t="n">
        <x:f>IF(H863="","",ROUND(H863*(1+I863),0))</x:f>
        <x:v>979</x:v>
      </x:c>
      <x:c r="K863" s="8" t="n">
        <x:f>0</x:f>
        <x:v>0</x:v>
      </x:c>
      <x:c r="L863" s="8" t="n">
        <x:v>0</x:v>
      </x:c>
      <x:c r="M863" s="7" t="n">
        <x:f>IF('01_Ustawienia'!$B$4="ZWOLNIONY",0,'01_Ustawienia'!$B$7)</x:f>
        <x:v>0.08</x:v>
      </x:c>
      <x:c r="N863" s="8" t="n">
        <x:f>IF(J863="","",ROUND((J863+K863)*(1+M863),0))</x:f>
        <x:v>1057</x:v>
      </x:c>
      <x:c r="O863" s="8" t="n">
        <x:f>IF(J863="","",J863+K863-H863-L863)</x:f>
        <x:v>304</x:v>
      </x:c>
      <x:c r="P863" s="7" t="n">
        <x:f>IFERROR(O863/(J863+K863),"")</x:f>
        <x:v>0.3105209397344229</x:v>
      </x:c>
      <x:c r="Q863" s="6" t="inlineStr">
        <x:is>
          <x:t xml:space="preserve">RAW_ZP D/E</x:t>
        </x:is>
      </x:c>
      <x:c r="R863" s="6" t="inlineStr">
        <x:is>
          <x:t xml:space="preserve">POKRYCIE DACHU</x:t>
        </x:is>
      </x:c>
      <x:c r="S863" s="6" t="inlineStr">
        <x:is>
          <x:t xml:space="preserve">website+crm</x:t>
        </x:is>
      </x:c>
      <x:c r="T863" s="6" t="inlineStr">
        <x:is>
          <x:t xml:space="preserve">FIX17: Wynagr.+koszty = 0 dla dopłaty; nie jest osobnym montażem ekipy.</x:t>
        </x:is>
      </x:c>
    </x:row>
    <x:row r="864" s="655" customFormat="1" ht="30" customHeight="1">
      <x:c r="A864" s="6" t="inlineStr">
        <x:is>
          <x:t xml:space="preserve">500 x 806 cm</x:t>
        </x:is>
      </x:c>
      <x:c r="B864" s="6" t="inlineStr">
        <x:is>
          <x:t xml:space="preserve">SBB</x:t>
        </x:is>
      </x:c>
      <x:c r="C864" s="6" t="inlineStr">
        <x:is>
          <x:t xml:space="preserve">Dopłata szkło boczne przyciemniane</x:t>
        </x:is>
      </x:c>
      <x:c r="D864" s="6" t="inlineStr">
        <x:is>
          <x:t xml:space="preserve">SZKŁO BOCZNE BARWIONE</x:t>
        </x:is>
      </x:c>
      <x:c r="E864" s="8" t="n">
        <x:f>IFERROR(INDEX('02_RAW_INDEX'!$AB:$AB,MATCH($A864,'02_RAW_INDEX'!$A:$A,0)),"")</x:f>
        <x:v>1756</x:v>
      </x:c>
      <x:c r="F864" s="8" t="n">
        <x:f>IFERROR(INDEX('02_RAW_INDEX'!$AA:$AA,MATCH($A864,'02_RAW_INDEX'!$A:$A,0)),"")</x:f>
        <x:v>2160</x:v>
      </x:c>
      <x:c r="G864" s="7" t="n">
        <x:f>'01_Ustawienia'!$B$6</x:f>
        <x:v>0</x:v>
      </x:c>
      <x:c r="H864" s="8" t="n">
        <x:f>IF(E864="","",ROUND(IF('01_Ustawienia'!$B$5="BRUTTO",F864,E864)*(1-G864),0))</x:f>
        <x:v>1756</x:v>
      </x:c>
      <x:c r="I864" s="7" t="n">
        <x:f>IFERROR(IFERROR(INDEX('01_Ustawienia'!$B$15:$B$33,MATCH(B864,'01_Ustawienia'!$A$15:$A$33,0)),0.45),0.45)</x:f>
        <x:v>0.45</x:v>
      </x:c>
      <x:c r="J864" s="8" t="n">
        <x:f>IF(H864="","",ROUND(H864*(1+I864),0))</x:f>
        <x:v>2546</x:v>
      </x:c>
      <x:c r="K864" s="8" t="n">
        <x:f>0</x:f>
        <x:v>0</x:v>
      </x:c>
      <x:c r="L864" s="8" t="n">
        <x:v>0</x:v>
      </x:c>
      <x:c r="M864" s="7" t="n">
        <x:f>IF('01_Ustawienia'!$B$4="ZWOLNIONY",0,'01_Ustawienia'!$B$7)</x:f>
        <x:v>0.08</x:v>
      </x:c>
      <x:c r="N864" s="8" t="n">
        <x:f>IF(J864="","",ROUND((J864+K864)*(1+M864),0))</x:f>
        <x:v>2750</x:v>
      </x:c>
      <x:c r="O864" s="8" t="n">
        <x:f>IF(J864="","",J864+K864-H864-L864)</x:f>
        <x:v>790</x:v>
      </x:c>
      <x:c r="P864" s="7" t="n">
        <x:f>IFERROR(O864/(J864+K864),"")</x:f>
        <x:v>0.3102906520031422</x:v>
      </x:c>
      <x:c r="Q864" s="6" t="inlineStr">
        <x:is>
          <x:t xml:space="preserve">RAW_OP H/I</x:t>
        </x:is>
      </x:c>
      <x:c r="R864" s="6" t="inlineStr">
        <x:is>
          <x:t xml:space="preserve">SZYBY BOCZNE</x:t>
        </x:is>
      </x:c>
      <x:c r="S864" s="6" t="inlineStr">
        <x:is>
          <x:t xml:space="preserve">website+crm</x:t>
        </x:is>
      </x:c>
      <x:c r="T864" s="6" t="inlineStr">
        <x:is>
          <x:t xml:space="preserve">Dodawane do ścian przezroczystych | FIX17: Wynagr.+koszty = 0 dla dopłaty; nie jest osobnym montażem ekipy.</x:t>
        </x:is>
      </x:c>
    </x:row>
    <x:row r="865">
      <x:c r="A865" s="6" t="inlineStr">
        <x:is>
          <x:t xml:space="preserve">500 x 806 cm</x:t>
        </x:is>
      </x:c>
      <x:c r="B865" s="6" t="inlineStr">
        <x:is>
          <x:t xml:space="preserve">RB</x:t>
        </x:is>
      </x:c>
      <x:c r="C865" s="6" t="inlineStr">
        <x:is>
          <x:t xml:space="preserve">Roleta boczna ZIP</x:t>
        </x:is>
      </x:c>
      <x:c r="D865" s="6" t="inlineStr">
        <x:is>
          <x:t xml:space="preserve">ROLETA BOCZNA</x:t>
        </x:is>
      </x:c>
      <x:c r="E865" s="8" t="n">
        <x:f>IFERROR(INDEX('02_RAW_INDEX'!$J:$J,MATCH($A865,'02_RAW_INDEX'!$A:$A,0)),"")</x:f>
        <x:v>3008</x:v>
      </x:c>
      <x:c r="F865" s="8" t="n">
        <x:f>IFERROR(INDEX('02_RAW_INDEX'!$I:$I,MATCH($A865,'02_RAW_INDEX'!$A:$A,0)),"")</x:f>
        <x:v>3700</x:v>
      </x:c>
      <x:c r="G865" s="7" t="n">
        <x:f>'01_Ustawienia'!$B$6</x:f>
        <x:v>0</x:v>
      </x:c>
      <x:c r="H865" s="8" t="n">
        <x:f>IF(E865="","",ROUND(IF('01_Ustawienia'!$B$5="BRUTTO",F865,E865)*(1-G865),0))</x:f>
        <x:v>3008</x:v>
      </x:c>
      <x:c r="I865" s="7" t="n">
        <x:f>IFERROR(IFERROR(INDEX('01_Ustawienia'!$B$15:$B$33,MATCH(B865,'01_Ustawienia'!$A$15:$A$33,0)),0.45),0.45)</x:f>
        <x:v>0.45</x:v>
      </x:c>
      <x:c r="J865" s="8" t="n">
        <x:f>IF(H865="","",ROUND(H865*(1+I865),0))</x:f>
        <x:v>4362</x:v>
      </x:c>
      <x:c r="K865" s="8" t="n">
        <x:f>0</x:f>
        <x:v>0</x:v>
      </x:c>
      <x:c r="L865" s="8" t="n">
        <x:f>IFERROR(IFERROR(INDEX(EG_Cennik_uslug!$AC:$AC,MATCH($A865,EG_Cennik_uslug!$A:$A,0)),0),0)</x:f>
        <x:v>150</x:v>
      </x:c>
      <x:c r="M865" s="7" t="n">
        <x:f>IF('01_Ustawienia'!$B$4="ZWOLNIONY",0,'01_Ustawienia'!$B$7)</x:f>
        <x:v>0.08</x:v>
      </x:c>
      <x:c r="N865" s="8" t="n">
        <x:f>IF(J865="","",ROUND((J865+K865)*(1+M865),0))</x:f>
        <x:v>4711</x:v>
      </x:c>
      <x:c r="O865" s="8" t="n">
        <x:f>IF(J865="","",J865+K865-H865-L865)</x:f>
        <x:v>1204</x:v>
      </x:c>
      <x:c r="P865" s="7" t="n">
        <x:f>IFERROR(O865/(J865+K865),"")</x:f>
        <x:v>0.27602017423200365</x:v>
      </x:c>
      <x:c r="Q865" s="6" t="inlineStr">
        <x:is>
          <x:t xml:space="preserve">RAW_ZP J/K</x:t>
        </x:is>
      </x:c>
      <x:c r="R865" s="6" t="inlineStr">
        <x:is>
          <x:t xml:space="preserve">ROLETY BOCZNE</x:t>
        </x:is>
      </x:c>
      <x:c r="S865" s="6" t="inlineStr">
        <x:is>
          <x:t xml:space="preserve">website+crm</x:t>
        </x:is>
      </x:c>
      <x:c r="T865" s="6" t="inlineStr">
        <x:is>
          <x:t xml:space="preserve">Używana dla lewej i prawej</x:t>
        </x:is>
      </x:c>
    </x:row>
    <x:row r="866">
      <x:c r="A866" s="6" t="inlineStr">
        <x:is>
          <x:t xml:space="preserve">500 x 806 cm</x:t>
        </x:is>
      </x:c>
      <x:c r="B866" s="6" t="inlineStr">
        <x:is>
          <x:t xml:space="preserve">RP</x:t>
        </x:is>
      </x:c>
      <x:c r="C866" s="6" t="inlineStr">
        <x:is>
          <x:t xml:space="preserve">Roleta przednia ZIP</x:t>
        </x:is>
      </x:c>
      <x:c r="D866" s="6" t="inlineStr">
        <x:is>
          <x:t xml:space="preserve">ROLETA PRZÓD</x:t>
        </x:is>
      </x:c>
      <x:c r="E866" s="8" t="n">
        <x:f>IFERROR(INDEX('02_RAW_INDEX'!$L:$L,MATCH($A866,'02_RAW_INDEX'!$A:$A,0)),"")</x:f>
        <x:v>4293</x:v>
      </x:c>
      <x:c r="F866" s="8" t="n">
        <x:f>IFERROR(INDEX('02_RAW_INDEX'!$K:$K,MATCH($A866,'02_RAW_INDEX'!$A:$A,0)),"")</x:f>
        <x:v>5280</x:v>
      </x:c>
      <x:c r="G866" s="7" t="n">
        <x:f>'01_Ustawienia'!$B$6</x:f>
        <x:v>0</x:v>
      </x:c>
      <x:c r="H866" s="8" t="n">
        <x:f>IF(E866="","",ROUND(IF('01_Ustawienia'!$B$5="BRUTTO",F866,E866)*(1-G866),0))</x:f>
        <x:v>4293</x:v>
      </x:c>
      <x:c r="I866" s="7" t="n">
        <x:f>IFERROR(IFERROR(INDEX('01_Ustawienia'!$B$15:$B$33,MATCH(B866,'01_Ustawienia'!$A$15:$A$33,0)),0.45),0.45)</x:f>
        <x:v>0.45</x:v>
      </x:c>
      <x:c r="J866" s="8" t="n">
        <x:f>IF(H866="","",ROUND(H866*(1+I866),0))</x:f>
        <x:v>6225</x:v>
      </x:c>
      <x:c r="K866" s="8" t="n">
        <x:f>0</x:f>
        <x:v>0</x:v>
      </x:c>
      <x:c r="L866" s="8" t="n">
        <x:f>IFERROR(IFERROR(INDEX(EG_Cennik_uslug!$AJ:$AJ,MATCH($A866,EG_Cennik_uslug!$A:$A,0)),0),0)</x:f>
        <x:v>300</x:v>
      </x:c>
      <x:c r="M866" s="7" t="n">
        <x:f>IF('01_Ustawienia'!$B$4="ZWOLNIONY",0,'01_Ustawienia'!$B$7)</x:f>
        <x:v>0.08</x:v>
      </x:c>
      <x:c r="N866" s="8" t="n">
        <x:f>IF(J866="","",ROUND((J866+K866)*(1+M866),0))</x:f>
        <x:v>6723</x:v>
      </x:c>
      <x:c r="O866" s="8" t="n">
        <x:f>IF(J866="","",J866+K866-H866-L866)</x:f>
        <x:v>1632</x:v>
      </x:c>
      <x:c r="P866" s="7" t="n">
        <x:f>IFERROR(O866/(J866+K866),"")</x:f>
        <x:v>0.2621686746987952</x:v>
      </x:c>
      <x:c r="Q866" s="6" t="inlineStr">
        <x:is>
          <x:t xml:space="preserve">RAW_ZP N/O</x:t>
        </x:is>
      </x:c>
      <x:c r="R866" s="6" t="inlineStr">
        <x:is>
          <x:t xml:space="preserve">ROLETY BOCZNE</x:t>
        </x:is>
      </x:c>
      <x:c r="S866" s="6" t="inlineStr">
        <x:is>
          <x:t xml:space="preserve">website+crm</x:t>
        </x:is>
      </x:c>
      <x:c r="T866" s="6" t="n"/>
    </x:row>
    <x:row r="867">
      <x:c r="A867" s="6" t="inlineStr">
        <x:is>
          <x:t xml:space="preserve">500 x 806 cm</x:t>
        </x:is>
      </x:c>
      <x:c r="B867" s="6" t="inlineStr">
        <x:is>
          <x:t xml:space="preserve">M</x:t>
        </x:is>
      </x:c>
      <x:c r="C867" s="6" t="inlineStr">
        <x:is>
          <x:t xml:space="preserve">Markiza dachowa</x:t>
        </x:is>
      </x:c>
      <x:c r="D867" s="6" t="inlineStr">
        <x:is>
          <x:t xml:space="preserve">MARKIZA</x:t>
        </x:is>
      </x:c>
      <x:c r="E867" s="8" t="n">
        <x:f>IFERROR(INDEX('02_RAW_INDEX'!$H:$H,MATCH($A867,'02_RAW_INDEX'!$A:$A,0)),"")</x:f>
        <x:v>7593</x:v>
      </x:c>
      <x:c r="F867" s="8" t="n">
        <x:f>IFERROR(INDEX('02_RAW_INDEX'!$G:$G,MATCH($A867,'02_RAW_INDEX'!$A:$A,0)),"")</x:f>
        <x:v>9340</x:v>
      </x:c>
      <x:c r="G867" s="7" t="n">
        <x:f>'01_Ustawienia'!$B$6</x:f>
        <x:v>0</x:v>
      </x:c>
      <x:c r="H867" s="8" t="n">
        <x:f>IF(E867="","",ROUND(IF('01_Ustawienia'!$B$5="BRUTTO",F867,E867)*(1-G867),0))</x:f>
        <x:v>7593</x:v>
      </x:c>
      <x:c r="I867" s="7" t="n">
        <x:f>IFERROR(IFERROR(INDEX('01_Ustawienia'!$B$15:$B$33,MATCH(B867,'01_Ustawienia'!$A$15:$A$33,0)),0.45),0.45)</x:f>
        <x:v>0.45</x:v>
      </x:c>
      <x:c r="J867" s="8" t="n">
        <x:f>IF(H867="","",ROUND(H867*(1+I867),0))</x:f>
        <x:v>11010</x:v>
      </x:c>
      <x:c r="K867" s="8" t="n">
        <x:f>0</x:f>
        <x:v>0</x:v>
      </x:c>
      <x:c r="L867" s="8" t="n">
        <x:f>IFERROR(IFERROR(INDEX(EG_Cennik_uslug!$AQ:$AQ,MATCH($A867,EG_Cennik_uslug!$A:$A,0)),0),0)</x:f>
        <x:v>500</x:v>
      </x:c>
      <x:c r="M867" s="7" t="n">
        <x:f>IF('01_Ustawienia'!$B$4="ZWOLNIONY",0,'01_Ustawienia'!$B$7)</x:f>
        <x:v>0.08</x:v>
      </x:c>
      <x:c r="N867" s="8" t="n">
        <x:f>IF(J867="","",ROUND((J867+K867)*(1+M867),0))</x:f>
        <x:v>11891</x:v>
      </x:c>
      <x:c r="O867" s="8" t="n">
        <x:f>IF(J867="","",J867+K867-H867-L867)</x:f>
        <x:v>2917</x:v>
      </x:c>
      <x:c r="P867" s="7" t="n">
        <x:f>IFERROR(O867/(J867+K867),"")</x:f>
        <x:v>0.2649409627611263</x:v>
      </x:c>
      <x:c r="Q867" s="6" t="inlineStr">
        <x:is>
          <x:t xml:space="preserve">RAW_ZP H/I</x:t>
        </x:is>
      </x:c>
      <x:c r="R867" s="6" t="inlineStr">
        <x:is>
          <x:t xml:space="preserve">MARKIZA</x:t>
        </x:is>
      </x:c>
      <x:c r="S867" s="6" t="inlineStr">
        <x:is>
          <x:t xml:space="preserve">website+crm</x:t>
        </x:is>
      </x:c>
      <x:c r="T867" s="6" t="n"/>
    </x:row>
    <x:row r="868">
      <x:c r="A868" s="6" t="inlineStr">
        <x:is>
          <x:t xml:space="preserve">500 x 806 cm</x:t>
        </x:is>
      </x:c>
      <x:c r="B868" s="6" t="inlineStr">
        <x:is>
          <x:t xml:space="preserve">PDWP</x:t>
        </x:is>
      </x:c>
      <x:c r="C868" s="6" t="inlineStr">
        <x:is>
          <x:t xml:space="preserve">Fundament/profile</x:t>
        </x:is>
      </x:c>
      <x:c r="D868" s="6" t="inlineStr">
        <x:is>
          <x:t xml:space="preserve">FUNDAMENT / PROFILE</x:t>
        </x:is>
      </x:c>
      <x:c r="E868" s="8" t="n">
        <x:f>IFERROR(INDEX('02_RAW_INDEX'!$AH:$AH,MATCH($A868,'02_RAW_INDEX'!$A:$A,0)),"")</x:f>
        <x:v>1309</x:v>
      </x:c>
      <x:c r="F868" s="8" t="n">
        <x:f>IFERROR(INDEX('02_RAW_INDEX'!$AG:$AG,MATCH($A868,'02_RAW_INDEX'!$A:$A,0)),"")</x:f>
        <x:v>1610</x:v>
      </x:c>
      <x:c r="G868" s="7" t="n">
        <x:f>'01_Ustawienia'!$B$6</x:f>
        <x:v>0</x:v>
      </x:c>
      <x:c r="H868" s="8" t="n">
        <x:f>IF(E868="","",ROUND(IF('01_Ustawienia'!$B$5="BRUTTO",F868,E868)*(1-G868),0))</x:f>
        <x:v>1309</x:v>
      </x:c>
      <x:c r="I868" s="7" t="n">
        <x:f>IFERROR(IFERROR(INDEX('01_Ustawienia'!$B$15:$B$33,MATCH(B868,'01_Ustawienia'!$A$15:$A$33,0)),0.45),0.45)</x:f>
        <x:v>1.2</x:v>
      </x:c>
      <x:c r="J868" s="8" t="n">
        <x:f>IF(H868="","",ROUND(H868*(1+I868),0))</x:f>
        <x:v>2880</x:v>
      </x:c>
      <x:c r="K868" s="8" t="n">
        <x:f>0</x:f>
        <x:v>0</x:v>
      </x:c>
      <x:c r="L868" s="8" t="n">
        <x:f>IFERROR(IFERROR(INDEX(EG_Cennik_uslug!$BT:$BT,MATCH($A868,EG_Cennik_uslug!$A:$A,0)),0),0)</x:f>
        <x:v>610</x:v>
      </x:c>
      <x:c r="M868" s="7" t="n">
        <x:f>IF('01_Ustawienia'!$B$4="ZWOLNIONY",0,'01_Ustawienia'!$B$7)</x:f>
        <x:v>0.08</x:v>
      </x:c>
      <x:c r="N868" s="8" t="n">
        <x:f>IF(J868="","",ROUND((J868+K868)*(1+M868),0))</x:f>
        <x:v>3110</x:v>
      </x:c>
      <x:c r="O868" s="8" t="n">
        <x:f>IF(J868="","",J868+K868-H868-L868)</x:f>
        <x:v>961</x:v>
      </x:c>
      <x:c r="P868" s="7" t="n">
        <x:f>IFERROR(O868/(J868+K868),"")</x:f>
        <x:v>0.33368055555555554</x:v>
      </x:c>
      <x:c r="Q868" s="6" t="inlineStr">
        <x:is>
          <x:t xml:space="preserve">RAW_OP AB/AC</x:t>
        </x:is>
      </x:c>
      <x:c r="R868" s="6" t="inlineStr">
        <x:is>
          <x:t xml:space="preserve">FUNDAMENT (PROFILE)</x:t>
        </x:is>
      </x:c>
      <x:c r="S868" s="6" t="inlineStr">
        <x:is>
          <x:t xml:space="preserve">website+crm</x:t>
        </x:is>
      </x:c>
      <x:c r="T868" s="6" t="n"/>
    </x:row>
    <x:row r="869" s="655" customFormat="1" ht="30" customHeight="1">
      <x:c r="A869" s="6" t="inlineStr">
        <x:is>
          <x:t xml:space="preserve">500 x 806 cm</x:t>
        </x:is>
      </x:c>
      <x:c r="B869" s="6" t="inlineStr">
        <x:is>
          <x:t xml:space="preserve">ZAB</x:t>
        </x:is>
      </x:c>
      <x:c r="C869" s="6" t="inlineStr">
        <x:is>
          <x:t xml:space="preserve">Zabieraki do ścian przesuwnych</x:t>
        </x:is>
      </x:c>
      <x:c r="D869" s="6" t="inlineStr">
        <x:is>
          <x:t xml:space="preserve">DODATKI</x:t>
        </x:is>
      </x:c>
      <x:c r="E869" s="8" t="n">
        <x:f>IFERROR(INDEX('02_RAW_INDEX'!$AJ:$AJ,MATCH($A869,'02_RAW_INDEX'!$A:$A,0)),"")</x:f>
        <x:v>455</x:v>
      </x:c>
      <x:c r="F869" s="8" t="n">
        <x:f>IFERROR(INDEX('02_RAW_INDEX'!$AI:$AI,MATCH($A869,'02_RAW_INDEX'!$A:$A,0)),"")</x:f>
        <x:v>560</x:v>
      </x:c>
      <x:c r="G869" s="7" t="n">
        <x:f>'01_Ustawienia'!$B$6</x:f>
        <x:v>0</x:v>
      </x:c>
      <x:c r="H869" s="8" t="n">
        <x:f>IF(E869="","",ROUND(IF('01_Ustawienia'!$B$5="BRUTTO",F869,E869)*(1-G869),0))</x:f>
        <x:v>455</x:v>
      </x:c>
      <x:c r="I869" s="7" t="n">
        <x:f>IFERROR(IFERROR(INDEX('01_Ustawienia'!$B$15:$B$33,MATCH(B869,'01_Ustawienia'!$A$15:$A$33,0)),0.45),0.45)</x:f>
        <x:v>0.45</x:v>
      </x:c>
      <x:c r="J869" s="8" t="n">
        <x:f>IF(H869="","",ROUND(H869*(1+I869),0))</x:f>
        <x:v>660</x:v>
      </x:c>
      <x:c r="K869" s="8" t="n">
        <x:f>0</x:f>
        <x:v>0</x:v>
      </x:c>
      <x:c r="L869" s="8" t="n">
        <x:f>0</x:f>
        <x:v>0</x:v>
      </x:c>
      <x:c r="M869" s="7" t="n">
        <x:f>IF('01_Ustawienia'!$B$4="ZWOLNIONY",0,'01_Ustawienia'!$B$7)</x:f>
        <x:v>0.08</x:v>
      </x:c>
      <x:c r="N869" s="8" t="n">
        <x:f>IF(J869="","",ROUND((J869+K869)*(1+M869),0))</x:f>
        <x:v>713</x:v>
      </x:c>
      <x:c r="O869" s="8" t="n">
        <x:f>IF(J869="","",J869+K869-H869-L869)</x:f>
        <x:v>205</x:v>
      </x:c>
      <x:c r="P869" s="7" t="n">
        <x:f>IFERROR(O869/(J869+K869),"")</x:f>
        <x:v>0.3106060606060606</x:v>
      </x:c>
      <x:c r="Q869" s="6" t="inlineStr">
        <x:is>
          <x:t xml:space="preserve">RAW_OP AD/AE</x:t>
        </x:is>
      </x:c>
      <x:c r="R869" s="6" t="inlineStr">
        <x:is>
          <x:t xml:space="preserve">DODATKI</x:t>
        </x:is>
      </x:c>
      <x:c r="S869" s="6" t="inlineStr">
        <x:is>
          <x:t xml:space="preserve">crm_only</x:t>
        </x:is>
      </x:c>
      <x:c r="T869" s="6" t="n"/>
    </x:row>
    <x:row r="870">
      <x:c r="A870" s="6" t="inlineStr">
        <x:is>
          <x:t xml:space="preserve">500 x 806 cm</x:t>
        </x:is>
      </x:c>
      <x:c r="B870" s="6" t="inlineStr">
        <x:is>
          <x:t xml:space="preserve">S</x:t>
        </x:is>
      </x:c>
      <x:c r="C870" s="6" t="inlineStr">
        <x:is>
          <x:t xml:space="preserve">Szczotki przeciwkurzowe</x:t>
        </x:is>
      </x:c>
      <x:c r="D870" s="6" t="inlineStr">
        <x:is>
          <x:t xml:space="preserve">SZCZOTKI</x:t>
        </x:is>
      </x:c>
      <x:c r="E870" s="8" t="n">
        <x:f>IFERROR(INDEX('02_RAW_INDEX'!$AD:$AD,MATCH($A870,'02_RAW_INDEX'!$A:$A,0)),"")</x:f>
        <x:v>561</x:v>
      </x:c>
      <x:c r="F870" s="8" t="n">
        <x:f>IFERROR(INDEX('02_RAW_INDEX'!$AC:$AC,MATCH($A870,'02_RAW_INDEX'!$A:$A,0)),"")</x:f>
        <x:v>690</x:v>
      </x:c>
      <x:c r="G870" s="7" t="n">
        <x:f>'01_Ustawienia'!$B$6</x:f>
        <x:v>0</x:v>
      </x:c>
      <x:c r="H870" s="8" t="n">
        <x:f>IF(E870="","",ROUND(IF('01_Ustawienia'!$B$5="BRUTTO",F870,E870)*(1-G870),0))</x:f>
        <x:v>561</x:v>
      </x:c>
      <x:c r="I870" s="7" t="n">
        <x:f>IFERROR(IFERROR(INDEX('01_Ustawienia'!$B$15:$B$33,MATCH(B870,'01_Ustawienia'!$A$15:$A$33,0)),0.45),0.45)</x:f>
        <x:v>0.45</x:v>
      </x:c>
      <x:c r="J870" s="8" t="n">
        <x:f>IF(H870="","",ROUND(H870*(1+I870),0))</x:f>
        <x:v>813</x:v>
      </x:c>
      <x:c r="K870" s="8" t="n">
        <x:f>0</x:f>
        <x:v>0</x:v>
      </x:c>
      <x:c r="L870" s="8" t="n">
        <x:f>IFERROR(IFERROR(INDEX(EG_Cennik_uslug!$CA:$CA,MATCH($A870,EG_Cennik_uslug!$A:$A,0)),0),0)</x:f>
        <x:v>0</x:v>
      </x:c>
      <x:c r="M870" s="7" t="n">
        <x:f>IF('01_Ustawienia'!$B$4="ZWOLNIONY",0,'01_Ustawienia'!$B$7)</x:f>
        <x:v>0.08</x:v>
      </x:c>
      <x:c r="N870" s="8" t="n">
        <x:f>IF(J870="","",ROUND((J870+K870)*(1+M870),0))</x:f>
        <x:v>878</x:v>
      </x:c>
      <x:c r="O870" s="8" t="n">
        <x:f>IF(J870="","",J870+K870-H870-L870)</x:f>
        <x:v>252</x:v>
      </x:c>
      <x:c r="P870" s="7" t="n">
        <x:f>IFERROR(O870/(J870+K870),"")</x:f>
        <x:v>0.30996309963099633</x:v>
      </x:c>
      <x:c r="Q870" s="6" t="inlineStr">
        <x:is>
          <x:t xml:space="preserve">RAW_OP L/M</x:t>
        </x:is>
      </x:c>
      <x:c r="R870" s="6" t="inlineStr">
        <x:is>
          <x:t xml:space="preserve">DODATKI</x:t>
        </x:is>
      </x:c>
      <x:c r="S870" s="6" t="inlineStr">
        <x:is>
          <x:t xml:space="preserve">website+crm</x:t>
        </x:is>
      </x:c>
      <x:c r="T870" s="6" t="n"/>
    </x:row>
    <x:row r="871">
      <x:c r="A871" s="6" t="inlineStr">
        <x:is>
          <x:t xml:space="preserve">500 x 806 cm</x:t>
        </x:is>
      </x:c>
      <x:c r="B871" s="6" t="inlineStr">
        <x:is>
          <x:t xml:space="preserve">U</x:t>
        </x:is>
      </x:c>
      <x:c r="C871" s="6" t="inlineStr">
        <x:is>
          <x:t xml:space="preserve">Uchwyty na szkło ścienne</x:t>
        </x:is>
      </x:c>
      <x:c r="D871" s="6" t="inlineStr">
        <x:is>
          <x:t xml:space="preserve">UCHWYTY</x:t>
        </x:is>
      </x:c>
      <x:c r="E871" s="8" t="n">
        <x:f>IFERROR(INDEX('02_RAW_INDEX'!$AF:$AF,MATCH($A871,'02_RAW_INDEX'!$A:$A,0)),"")</x:f>
        <x:v>504</x:v>
      </x:c>
      <x:c r="F871" s="8" t="n">
        <x:f>IFERROR(INDEX('02_RAW_INDEX'!$AE:$AE,MATCH($A871,'02_RAW_INDEX'!$A:$A,0)),"")</x:f>
        <x:v>620</x:v>
      </x:c>
      <x:c r="G871" s="7" t="n">
        <x:f>'01_Ustawienia'!$B$6</x:f>
        <x:v>0</x:v>
      </x:c>
      <x:c r="H871" s="8" t="n">
        <x:f>IF(E871="","",ROUND(IF('01_Ustawienia'!$B$5="BRUTTO",F871,E871)*(1-G871),0))</x:f>
        <x:v>504</x:v>
      </x:c>
      <x:c r="I871" s="7" t="n">
        <x:f>IFERROR(IFERROR(INDEX('01_Ustawienia'!$B$15:$B$33,MATCH(B871,'01_Ustawienia'!$A$15:$A$33,0)),0.45),0.45)</x:f>
        <x:v>0.45</x:v>
      </x:c>
      <x:c r="J871" s="8" t="n">
        <x:f>IF(H871="","",ROUND(H871*(1+I871),0))</x:f>
        <x:v>731</x:v>
      </x:c>
      <x:c r="K871" s="8" t="n">
        <x:f>0</x:f>
        <x:v>0</x:v>
      </x:c>
      <x:c r="L871" s="8" t="n">
        <x:f>IFERROR(IFERROR(INDEX(EG_Cennik_uslug!$CH:$CH,MATCH($A871,EG_Cennik_uslug!$A:$A,0)),0),0)</x:f>
        <x:v>0</x:v>
      </x:c>
      <x:c r="M871" s="7" t="n">
        <x:f>IF('01_Ustawienia'!$B$4="ZWOLNIONY",0,'01_Ustawienia'!$B$7)</x:f>
        <x:v>0.08</x:v>
      </x:c>
      <x:c r="N871" s="8" t="n">
        <x:f>IF(J871="","",ROUND((J871+K871)*(1+M871),0))</x:f>
        <x:v>789</x:v>
      </x:c>
      <x:c r="O871" s="8" t="n">
        <x:f>IF(J871="","",J871+K871-H871-L871)</x:f>
        <x:v>227</x:v>
      </x:c>
      <x:c r="P871" s="7" t="n">
        <x:f>IFERROR(O871/(J871+K871),"")</x:f>
        <x:v>0.31053351573187415</x:v>
      </x:c>
      <x:c r="Q871" s="6" t="inlineStr">
        <x:is>
          <x:t xml:space="preserve">RAW_OP N/O</x:t>
        </x:is>
      </x:c>
      <x:c r="R871" s="6" t="inlineStr">
        <x:is>
          <x:t xml:space="preserve">DODATKI</x:t>
        </x:is>
      </x:c>
      <x:c r="S871" s="6" t="inlineStr">
        <x:is>
          <x:t xml:space="preserve">website+crm</x:t>
        </x:is>
      </x:c>
      <x:c r="T871" s="6" t="n"/>
    </x:row>
    <x:row r="872">
      <x:c r="A872" s="6" t="inlineStr">
        <x:is>
          <x:t xml:space="preserve">500 x 806 cm</x:t>
        </x:is>
      </x:c>
      <x:c r="B872" s="6" t="inlineStr">
        <x:is>
          <x:t xml:space="preserve">LED2</x:t>
        </x:is>
      </x:c>
      <x:c r="C872" s="6" t="inlineStr">
        <x:is>
          <x:t xml:space="preserve">Oświetlenie LED 2 punkty</x:t>
        </x:is>
      </x:c>
      <x:c r="D872" s="6" t="inlineStr">
        <x:is>
          <x:t xml:space="preserve">LED 2 PKT</x:t>
        </x:is>
      </x:c>
      <x:c r="E872" s="8" t="n">
        <x:f>IFERROR(INDEX('02_RAW_INDEX'!$N:$N,MATCH($A872,'02_RAW_INDEX'!$A:$A,0)),"")</x:f>
        <x:v>780</x:v>
      </x:c>
      <x:c r="F872" s="8" t="n">
        <x:f>IFERROR(INDEX('02_RAW_INDEX'!$M:$M,MATCH($A872,'02_RAW_INDEX'!$A:$A,0)),"")</x:f>
        <x:v>960</x:v>
      </x:c>
      <x:c r="G872" s="7" t="n">
        <x:f>'01_Ustawienia'!$B$6</x:f>
        <x:v>0</x:v>
      </x:c>
      <x:c r="H872" s="8" t="n">
        <x:f>IF(E872="","",ROUND(IF('01_Ustawienia'!$B$5="BRUTTO",F872,E872)*(1-G872),0))</x:f>
        <x:v>780</x:v>
      </x:c>
      <x:c r="I872" s="7" t="n">
        <x:f>IFERROR(IFERROR(INDEX('01_Ustawienia'!$B$15:$B$33,MATCH(B872,'01_Ustawienia'!$A$15:$A$33,0)),0.45),0.45)</x:f>
        <x:v>0.45</x:v>
      </x:c>
      <x:c r="J872" s="8" t="n">
        <x:f>IF(H872="","",ROUND(H872*(1+I872),0))</x:f>
        <x:v>1131</x:v>
      </x:c>
      <x:c r="K872" s="8" t="n">
        <x:f>0</x:f>
        <x:v>0</x:v>
      </x:c>
      <x:c r="L872" s="8" t="n">
        <x:f>IFERROR(IFERROR(INDEX(EG_Cennik_uslug!$CO:$CO,MATCH($A872,EG_Cennik_uslug!$A:$A,0)),0),0)</x:f>
        <x:v>0</x:v>
      </x:c>
      <x:c r="M872" s="7" t="n">
        <x:f>IF('01_Ustawienia'!$B$4="ZWOLNIONY",0,'01_Ustawienia'!$B$7)</x:f>
        <x:v>0.08</x:v>
      </x:c>
      <x:c r="N872" s="8" t="n">
        <x:f>IF(J872="","",ROUND((J872+K872)*(1+M872),0))</x:f>
        <x:v>1221</x:v>
      </x:c>
      <x:c r="O872" s="8" t="n">
        <x:f>IF(J872="","",J872+K872-H872-L872)</x:f>
        <x:v>351</x:v>
      </x:c>
      <x:c r="P872" s="7" t="n">
        <x:f>IFERROR(O872/(J872+K872),"")</x:f>
        <x:v>0.3103448275862069</x:v>
      </x:c>
      <x:c r="Q872" s="6" t="inlineStr">
        <x:is>
          <x:t xml:space="preserve">RAW_ZP P/Q</x:t>
        </x:is>
      </x:c>
      <x:c r="R872" s="6" t="inlineStr">
        <x:is>
          <x:t xml:space="preserve">OŚWIETLENIE</x:t>
        </x:is>
      </x:c>
      <x:c r="S872" s="6" t="inlineStr">
        <x:is>
          <x:t xml:space="preserve">website+crm</x:t>
        </x:is>
      </x:c>
      <x:c r="T872" s="6" t="n"/>
    </x:row>
    <x:row r="873">
      <x:c r="A873" s="6" t="inlineStr">
        <x:is>
          <x:t xml:space="preserve">500 x 806 cm</x:t>
        </x:is>
      </x:c>
      <x:c r="B873" s="6" t="inlineStr">
        <x:is>
          <x:t xml:space="preserve">LED3</x:t>
        </x:is>
      </x:c>
      <x:c r="C873" s="6" t="inlineStr">
        <x:is>
          <x:t xml:space="preserve">Oświetlenie LED 3 punkty</x:t>
        </x:is>
      </x:c>
      <x:c r="D873" s="6" t="inlineStr">
        <x:is>
          <x:t xml:space="preserve">LED 3 PKT</x:t>
        </x:is>
      </x:c>
      <x:c r="E873" s="8" t="n">
        <x:f>IFERROR(INDEX('02_RAW_INDEX'!$P:$P,MATCH($A873,'02_RAW_INDEX'!$A:$A,0)),"")</x:f>
        <x:v>1171</x:v>
      </x:c>
      <x:c r="F873" s="8" t="n">
        <x:f>IFERROR(INDEX('02_RAW_INDEX'!$O:$O,MATCH($A873,'02_RAW_INDEX'!$A:$A,0)),"")</x:f>
        <x:v>1440</x:v>
      </x:c>
      <x:c r="G873" s="7" t="n">
        <x:f>'01_Ustawienia'!$B$6</x:f>
        <x:v>0</x:v>
      </x:c>
      <x:c r="H873" s="8" t="n">
        <x:f>IF(E873="","",ROUND(IF('01_Ustawienia'!$B$5="BRUTTO",F873,E873)*(1-G873),0))</x:f>
        <x:v>1171</x:v>
      </x:c>
      <x:c r="I873" s="7" t="n">
        <x:f>IFERROR(IFERROR(INDEX('01_Ustawienia'!$B$15:$B$33,MATCH(B873,'01_Ustawienia'!$A$15:$A$33,0)),0.45),0.45)</x:f>
        <x:v>0.45</x:v>
      </x:c>
      <x:c r="J873" s="8" t="n">
        <x:f>IF(H873="","",ROUND(H873*(1+I873),0))</x:f>
        <x:v>1698</x:v>
      </x:c>
      <x:c r="K873" s="8" t="n">
        <x:f>0</x:f>
        <x:v>0</x:v>
      </x:c>
      <x:c r="L873" s="8" t="n">
        <x:f>IFERROR(IFERROR(INDEX(EG_Cennik_uslug!$CV:$CV,MATCH($A873,EG_Cennik_uslug!$A:$A,0)),0),0)</x:f>
        <x:v>0</x:v>
      </x:c>
      <x:c r="M873" s="7" t="n">
        <x:f>IF('01_Ustawienia'!$B$4="ZWOLNIONY",0,'01_Ustawienia'!$B$7)</x:f>
        <x:v>0.08</x:v>
      </x:c>
      <x:c r="N873" s="8" t="n">
        <x:f>IF(J873="","",ROUND((J873+K873)*(1+M873),0))</x:f>
        <x:v>1834</x:v>
      </x:c>
      <x:c r="O873" s="8" t="n">
        <x:f>IF(J873="","",J873+K873-H873-L873)</x:f>
        <x:v>527</x:v>
      </x:c>
      <x:c r="P873" s="7" t="n">
        <x:f>IFERROR(O873/(J873+K873),"")</x:f>
        <x:v>0.31036513545347466</x:v>
      </x:c>
      <x:c r="Q873" s="6" t="inlineStr">
        <x:is>
          <x:t xml:space="preserve">RAW_ZP R/S</x:t>
        </x:is>
      </x:c>
      <x:c r="R873" s="6" t="inlineStr">
        <x:is>
          <x:t xml:space="preserve">OŚWIETLENIE</x:t>
        </x:is>
      </x:c>
      <x:c r="S873" s="6" t="inlineStr">
        <x:is>
          <x:t xml:space="preserve">website+crm</x:t>
        </x:is>
      </x:c>
      <x:c r="T873" s="6" t="inlineStr">
        <x:is>
          <x:t xml:space="preserve">Nazwa do potwierdzenia</x:t>
        </x:is>
      </x:c>
    </x:row>
    <x:row r="874">
      <x:c r="A874" s="6" t="inlineStr">
        <x:is>
          <x:t xml:space="preserve">500 x 806 cm</x:t>
        </x:is>
      </x:c>
      <x:c r="B874" s="6" t="inlineStr">
        <x:is>
          <x:t xml:space="preserve">LEDCCT</x:t>
        </x:is>
      </x:c>
      <x:c r="C874" s="6" t="inlineStr">
        <x:is>
          <x:t xml:space="preserve">Oświetlenie LED CCT</x:t>
        </x:is>
      </x:c>
      <x:c r="D874" s="6" t="inlineStr">
        <x:is>
          <x:t xml:space="preserve">OŚWIETLENIE</x:t>
        </x:is>
      </x:c>
      <x:c r="E874" s="8" t="n">
        <x:f>IFERROR(INDEX('02_RAW_INDEX'!$R:$R,MATCH($A874,'02_RAW_INDEX'!$A:$A,0)),"")</x:f>
        <x:v>2405</x:v>
      </x:c>
      <x:c r="F874" s="8" t="n">
        <x:f>IFERROR(INDEX('02_RAW_INDEX'!$Q:$Q,MATCH($A874,'02_RAW_INDEX'!$A:$A,0)),"")</x:f>
        <x:v>2958</x:v>
      </x:c>
      <x:c r="G874" s="7" t="n">
        <x:f>'01_Ustawienia'!$B$6</x:f>
        <x:v>0</x:v>
      </x:c>
      <x:c r="H874" s="8" t="n">
        <x:f>IF(E874="","",ROUND(IF('01_Ustawienia'!$B$5="BRUTTO",F874,E874)*(1-G874),0))</x:f>
        <x:v>2405</x:v>
      </x:c>
      <x:c r="I874" s="7" t="n">
        <x:f>IFERROR(IFERROR(INDEX('01_Ustawienia'!$B$15:$B$33,MATCH(B874,'01_Ustawienia'!$A$15:$A$33,0)),0.45),0.45)</x:f>
        <x:v>0.45</x:v>
      </x:c>
      <x:c r="J874" s="8" t="n">
        <x:f>IF(H874="","",ROUND(H874*(1+I874),0)+700)</x:f>
        <x:v>4187</x:v>
      </x:c>
      <x:c r="K874" s="8" t="n">
        <x:f>0</x:f>
        <x:v>0</x:v>
      </x:c>
      <x:c r="L874" s="8" t="n">
        <x:f>0</x:f>
        <x:v>0</x:v>
      </x:c>
      <x:c r="M874" s="7" t="n">
        <x:f>IF('01_Ustawienia'!$B$4="ZWOLNIONY",0,'01_Ustawienia'!$B$7)</x:f>
        <x:v>0.08</x:v>
      </x:c>
      <x:c r="N874" s="8" t="n">
        <x:f>IF(J874="","",ROUND((J874+K874)*(1+M874),0))</x:f>
        <x:v>4522</x:v>
      </x:c>
      <x:c r="O874" s="8" t="n">
        <x:f>IF(J874="","",J874+K874-H874-L874)</x:f>
        <x:v>1782</x:v>
      </x:c>
      <x:c r="P874" s="7" t="n">
        <x:f>IFERROR(O874/(J874+K874),"")</x:f>
        <x:v>0.4256030570814426</x:v>
      </x:c>
      <x:c r="Q874" s="715" t="inlineStr">
        <x:is>
          <x:t xml:space="preserve">MODEL_FIX15_LED</x:t>
        </x:is>
      </x:c>
      <x:c r="R874" s="6" t="inlineStr">
        <x:is>
          <x:t xml:space="preserve">OŚWIETLENIE</x:t>
        </x:is>
      </x:c>
      <x:c r="S874" s="6" t="inlineStr">
        <x:is>
          <x:t xml:space="preserve">website+crm</x:t>
        </x:is>
      </x:c>
      <x:c r="T874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875">
      <x:c r="A875" s="6" t="inlineStr">
        <x:is>
          <x:t xml:space="preserve">500 x 806 cm</x:t>
        </x:is>
      </x:c>
      <x:c r="B875" s="6" t="inlineStr">
        <x:is>
          <x:t xml:space="preserve">LEDRGBCCT</x:t>
        </x:is>
      </x:c>
      <x:c r="C875" s="6" t="inlineStr">
        <x:is>
          <x:t xml:space="preserve">Oświetlenie LED RGB CCT</x:t>
        </x:is>
      </x:c>
      <x:c r="D875" s="6" t="inlineStr">
        <x:is>
          <x:t xml:space="preserve">OŚWIETLENIE</x:t>
        </x:is>
      </x:c>
      <x:c r="E875" s="8" t="n">
        <x:f>IFERROR(INDEX('02_RAW_INDEX'!$T:$T,MATCH($A875,'02_RAW_INDEX'!$A:$A,0)),"")</x:f>
        <x:v>3254</x:v>
      </x:c>
      <x:c r="F875" s="8" t="n">
        <x:f>IFERROR(INDEX('02_RAW_INDEX'!$S:$S,MATCH($A875,'02_RAW_INDEX'!$A:$A,0)),"")</x:f>
        <x:v>4002</x:v>
      </x:c>
      <x:c r="G875" s="7" t="n">
        <x:f>'01_Ustawienia'!$B$6</x:f>
        <x:v>0</x:v>
      </x:c>
      <x:c r="H875" s="8" t="n">
        <x:f>IF(E875="","",ROUND(IF('01_Ustawienia'!$B$5="BRUTTO",F875,E875)*(1-G875),0))</x:f>
        <x:v>3254</x:v>
      </x:c>
      <x:c r="I875" s="7" t="n">
        <x:f>IFERROR(IFERROR(INDEX('01_Ustawienia'!$B$15:$B$33,MATCH(B875,'01_Ustawienia'!$A$15:$A$33,0)),0.45),0.45)</x:f>
        <x:v>0.45</x:v>
      </x:c>
      <x:c r="J875" s="8" t="n">
        <x:f>IF(H875="","",ROUND(H875*(1+I875),0))</x:f>
        <x:v>4718</x:v>
      </x:c>
      <x:c r="K875" s="8" t="n">
        <x:f>0</x:f>
        <x:v>0</x:v>
      </x:c>
      <x:c r="L875" s="8" t="n">
        <x:f>0</x:f>
        <x:v>0</x:v>
      </x:c>
      <x:c r="M875" s="7" t="n">
        <x:f>IF('01_Ustawienia'!$B$4="ZWOLNIONY",0,'01_Ustawienia'!$B$7)</x:f>
        <x:v>0.08</x:v>
      </x:c>
      <x:c r="N875" s="8" t="n">
        <x:f>IF(J875="","",ROUND((J875+K875)*(1+M875),0))</x:f>
        <x:v>5095</x:v>
      </x:c>
      <x:c r="O875" s="8" t="n">
        <x:f>IF(J875="","",J875+K875-H875-L875)</x:f>
        <x:v>1464</x:v>
      </x:c>
      <x:c r="P875" s="7" t="n">
        <x:f>IFERROR(O875/(J875+K875),"")</x:f>
        <x:v>0.3103009749894023</x:v>
      </x:c>
      <x:c r="Q875" s="715" t="inlineStr">
        <x:is>
          <x:t xml:space="preserve">MODEL_FIX15_LED</x:t>
        </x:is>
      </x:c>
      <x:c r="R875" s="6" t="inlineStr">
        <x:is>
          <x:t xml:space="preserve">OŚWIETLENIE</x:t>
        </x:is>
      </x:c>
      <x:c r="S875" s="6" t="inlineStr">
        <x:is>
          <x:t xml:space="preserve">crm_only</x:t>
        </x:is>
      </x:c>
      <x:c r="T875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876" s="655" customFormat="1" ht="30" customHeight="1">
      <x:c r="A876" s="6" t="inlineStr">
        <x:is>
          <x:t xml:space="preserve">500 x 906 cm</x:t>
        </x:is>
      </x:c>
      <x:c r="B876" s="6" t="inlineStr">
        <x:is>
          <x:t xml:space="preserve">ZP</x:t>
        </x:is>
      </x:c>
      <x:c r="C876" s="6" t="inlineStr">
        <x:is>
          <x:t xml:space="preserve">Zadaszenie poliwęglan - baza</x:t>
        </x:is>
      </x:c>
      <x:c r="D876" s="6" t="inlineStr">
        <x:is>
          <x:t xml:space="preserve">ZADASZENIE POLIWĘGLAN</x:t>
        </x:is>
      </x:c>
      <x:c r="E876" s="8" t="n">
        <x:f>IFERROR(INDEX('02_RAW_INDEX'!$D:$D,MATCH($A876,'02_RAW_INDEX'!$A:$A,0)),"")</x:f>
        <x:v>17675</x:v>
      </x:c>
      <x:c r="F876" s="8" t="n">
        <x:f>IFERROR(INDEX('02_RAW_INDEX'!$C:$C,MATCH($A876,'02_RAW_INDEX'!$A:$A,0)),"")</x:f>
        <x:v>21740</x:v>
      </x:c>
      <x:c r="G876" s="7" t="n">
        <x:f>'01_Ustawienia'!$B$6</x:f>
        <x:v>0</x:v>
      </x:c>
      <x:c r="H876" s="8" t="n">
        <x:f>IF(E876="","",ROUND(IF('01_Ustawienia'!$B$5="BRUTTO",F876,E876)*(1-G876),0))</x:f>
        <x:v>17675</x:v>
      </x:c>
      <x:c r="I876" s="7" t="n">
        <x:f>IFERROR(IFERROR(INDEX('01_Ustawienia'!$B$15:$B$33,MATCH(B876,'01_Ustawienia'!$A$15:$A$33,0)),0.45),0.45)</x:f>
        <x:v>0.45</x:v>
      </x:c>
      <x:c r="J876" s="8" t="n">
        <x:f>IF(H876="","",ROUND(H876*(1+I876),0))</x:f>
        <x:v>25629</x:v>
      </x:c>
      <x:c r="K876" s="8" t="n">
        <x:f>IFERROR(IFERROR(INDEX(EG_Cennik_uslug!$F:$F,MATCH($A876,EG_Cennik_uslug!$A:$A,0)),0),0)</x:f>
        <x:v>4960</x:v>
      </x:c>
      <x:c r="L876" s="8" t="n">
        <x:f>IFERROR(IFERROR(INDEX(EG_Cennik_uslug!$G:$G,MATCH($A876,EG_Cennik_uslug!$A:$A,0)),0),0)</x:f>
        <x:v>1860</x:v>
      </x:c>
      <x:c r="M876" s="7" t="n">
        <x:f>IF('01_Ustawienia'!$B$4="ZWOLNIONY",0,'01_Ustawienia'!$B$7)</x:f>
        <x:v>0.08</x:v>
      </x:c>
      <x:c r="N876" s="8" t="n">
        <x:f>IF(J876="","",ROUND((J876+K876)*(1+M876),0))</x:f>
        <x:v>33036</x:v>
      </x:c>
      <x:c r="O876" s="8" t="n">
        <x:f>IF(J876="","",J876+K876-H876-L876)</x:f>
        <x:v>11054</x:v>
      </x:c>
      <x:c r="P876" s="7" t="n">
        <x:f>IFERROR(O876/(J876+K876),"")</x:f>
        <x:v>0.36137173493739577</x:v>
      </x:c>
      <x:c r="Q876" s="6" t="inlineStr">
        <x:is>
          <x:t xml:space="preserve">RAW_ZP B/C</x:t>
        </x:is>
      </x:c>
      <x:c r="R876" s="6" t="inlineStr">
        <x:is>
          <x:t xml:space="preserve">ZADASZENIE TARASU KONSTRUKCJA</x:t>
        </x:is>
      </x:c>
      <x:c r="S876" s="6" t="inlineStr">
        <x:is>
          <x:t xml:space="preserve">website+crm</x:t>
        </x:is>
      </x:c>
      <x:c r="T876" s="6" t="inlineStr">
        <x:is>
          <x:t xml:space="preserve">Baza dla kalkulatora</x:t>
        </x:is>
      </x:c>
    </x:row>
    <x:row r="877" s="655" customFormat="1" ht="30" customHeight="1">
      <x:c r="A877" s="6" t="inlineStr">
        <x:is>
          <x:t xml:space="preserve">500 x 906 cm</x:t>
        </x:is>
      </x:c>
      <x:c r="B877" s="6" t="inlineStr">
        <x:is>
          <x:t xml:space="preserve">ZS</x:t>
        </x:is>
      </x:c>
      <x:c r="C877" s="6" t="inlineStr">
        <x:is>
          <x:t xml:space="preserve">Zadaszenie szkło - pełna konstrukcja</x:t>
        </x:is>
      </x:c>
      <x:c r="D877" s="6" t="inlineStr">
        <x:is>
          <x:t xml:space="preserve">ZADASZENIE SZKŁO</x:t>
        </x:is>
      </x:c>
      <x:c r="E877" s="8" t="n">
        <x:f>IFERROR(INDEX('02_RAW_INDEX'!$V:$V,MATCH($A877,'02_RAW_INDEX'!$A:$A,0)),"")</x:f>
        <x:v>28252</x:v>
      </x:c>
      <x:c r="F877" s="8" t="n">
        <x:f>IFERROR(INDEX('02_RAW_INDEX'!$U:$U,MATCH($A877,'02_RAW_INDEX'!$A:$A,0)),"")</x:f>
        <x:v>34750</x:v>
      </x:c>
      <x:c r="G877" s="7" t="n">
        <x:f>'01_Ustawienia'!$B$6</x:f>
        <x:v>0</x:v>
      </x:c>
      <x:c r="H877" s="8" t="n">
        <x:f>IF(E877="","",ROUND(IF('01_Ustawienia'!$B$5="BRUTTO",F877,E877)*(1-G877),0))</x:f>
        <x:v>28252</x:v>
      </x:c>
      <x:c r="I877" s="7" t="n">
        <x:f>IFERROR(IFERROR(INDEX('01_Ustawienia'!$B$15:$B$33,MATCH(B877,'01_Ustawienia'!$A$15:$A$33,0)),0.45),0.45)</x:f>
        <x:v>0.45</x:v>
      </x:c>
      <x:c r="J877" s="8" t="n">
        <x:f>IF(H877="","",ROUND(H877*(1+I877),0))</x:f>
        <x:v>40965</x:v>
      </x:c>
      <x:c r="K877" s="8" t="n">
        <x:f>IFERROR(IFERROR(INDEX(EG_Cennik_uslug!$F:$F,MATCH($A877,EG_Cennik_uslug!$A:$A,0)),0),0)</x:f>
        <x:v>4960</x:v>
      </x:c>
      <x:c r="L877" s="8" t="n">
        <x:f>IFERROR(IFERROR(INDEX(EG_Cennik_uslug!$G:$G,MATCH($A877,EG_Cennik_uslug!$A:$A,0)),0),0)</x:f>
        <x:v>1860</x:v>
      </x:c>
      <x:c r="M877" s="7" t="n">
        <x:f>IF('01_Ustawienia'!$B$4="ZWOLNIONY",0,'01_Ustawienia'!$B$7)</x:f>
        <x:v>0.08</x:v>
      </x:c>
      <x:c r="N877" s="8" t="n">
        <x:f>IF(J877="","",ROUND((J877+K877)*(1+M877),0))</x:f>
        <x:v>49599</x:v>
      </x:c>
      <x:c r="O877" s="8" t="n">
        <x:f>IF(J877="","",J877+K877-H877-L877)</x:f>
        <x:v>15813</x:v>
      </x:c>
      <x:c r="P877" s="7" t="n">
        <x:f>IFERROR(O877/(J877+K877),"")</x:f>
        <x:v>0.3443222645617855</x:v>
      </x:c>
      <x:c r="Q877" s="6" t="inlineStr">
        <x:is>
          <x:t xml:space="preserve">RAW_ZS B/C</x:t>
        </x:is>
      </x:c>
      <x:c r="R877" s="6" t="inlineStr">
        <x:is>
          <x:t xml:space="preserve">ZADASZENIE TARASU KONSTRUKCJA</x:t>
        </x:is>
      </x:c>
      <x:c r="S877" s="6" t="inlineStr">
        <x:is>
          <x:t xml:space="preserve">crm_only</x:t>
        </x:is>
      </x:c>
      <x:c r="T877" s="6" t="inlineStr">
        <x:is>
          <x:t xml:space="preserve">Referencyjne/full; strona zwykle używa ZP + PDS</x:t>
        </x:is>
      </x:c>
    </x:row>
    <x:row r="878" s="655" customFormat="1" ht="30" customHeight="1">
      <x:c r="A878" s="6" t="inlineStr">
        <x:is>
          <x:t xml:space="preserve">500 x 906 cm</x:t>
        </x:is>
      </x:c>
      <x:c r="B878" s="6" t="inlineStr">
        <x:is>
          <x:t xml:space="preserve">OP</x:t>
        </x:is>
      </x:c>
      <x:c r="C878" s="6" t="inlineStr">
        <x:is>
          <x:t xml:space="preserve">Ogród zimowy poliwęglan - baza</x:t>
        </x:is>
      </x:c>
      <x:c r="D878" s="6" t="inlineStr">
        <x:is>
          <x:t xml:space="preserve">OGRODY POLIWĘGLAN</x:t>
        </x:is>
      </x:c>
      <x:c r="E878" s="8" t="n">
        <x:f>IFERROR(INDEX('02_RAW_INDEX'!$Z:$Z,MATCH($A878,'02_RAW_INDEX'!$A:$A,0)),"")</x:f>
        <x:v>34244</x:v>
      </x:c>
      <x:c r="F878" s="8" t="n">
        <x:f>IFERROR(INDEX('02_RAW_INDEX'!$Y:$Y,MATCH($A878,'02_RAW_INDEX'!$A:$A,0)),"")</x:f>
        <x:v>42120</x:v>
      </x:c>
      <x:c r="G878" s="7" t="n">
        <x:f>'01_Ustawienia'!$B$6</x:f>
        <x:v>0</x:v>
      </x:c>
      <x:c r="H878" s="8" t="n">
        <x:f>IF(E878="","",ROUND(IF('01_Ustawienia'!$B$5="BRUTTO",F878,E878)*(1-G878),0))</x:f>
        <x:v>34244</x:v>
      </x:c>
      <x:c r="I878" s="7" t="n">
        <x:f>IFERROR(IFERROR(INDEX('01_Ustawienia'!$B$15:$B$33,MATCH(B878,'01_Ustawienia'!$A$15:$A$33,0)),0.45),0.45)</x:f>
        <x:v>0.45</x:v>
      </x:c>
      <x:c r="J878" s="8" t="n">
        <x:f>IF(H878="","",ROUND(H878*(1+I878),0))</x:f>
        <x:v>49654</x:v>
      </x:c>
      <x:c r="K878" s="8" t="n">
        <x:f>IFERROR(IFERROR(INDEX(EG_Cennik_uslug!$N:$N,MATCH($A878,EG_Cennik_uslug!$A:$A,0)),0),0)</x:f>
        <x:v>6370</x:v>
      </x:c>
      <x:c r="L878" s="8" t="n">
        <x:f>IFERROR(IFERROR(INDEX(EG_Cennik_uslug!$O:$O,MATCH($A878,EG_Cennik_uslug!$A:$A,0)),0),0)</x:f>
        <x:v>2610</x:v>
      </x:c>
      <x:c r="M878" s="7" t="n">
        <x:f>IF('01_Ustawienia'!$B$4="ZWOLNIONY",0,'01_Ustawienia'!$B$7)</x:f>
        <x:v>0.08</x:v>
      </x:c>
      <x:c r="N878" s="8" t="n">
        <x:f>IF(J878="","",ROUND((J878+K878)*(1+M878),0))</x:f>
        <x:v>60506</x:v>
      </x:c>
      <x:c r="O878" s="8" t="n">
        <x:f>IF(J878="","",J878+K878-H878-L878)</x:f>
        <x:v>19170</x:v>
      </x:c>
      <x:c r="P878" s="7" t="n">
        <x:f>IFERROR(O878/(J878+K878),"")</x:f>
        <x:v>0.34217478223618447</x:v>
      </x:c>
      <x:c r="Q878" s="6" t="inlineStr">
        <x:is>
          <x:t xml:space="preserve">RAW_OP B/C</x:t>
        </x:is>
      </x:c>
      <x:c r="R878" s="6" t="inlineStr">
        <x:is>
          <x:t xml:space="preserve">OGRÓD ZIMOWY (KONSTRUKCJA)</x:t>
        </x:is>
      </x:c>
      <x:c r="S878" s="6" t="inlineStr">
        <x:is>
          <x:t xml:space="preserve">website+crm</x:t>
        </x:is>
      </x:c>
      <x:c r="T878" s="6" t="inlineStr">
        <x:is>
          <x:t xml:space="preserve">Do wyliczenia dopłaty za ściany</x:t>
        </x:is>
      </x:c>
    </x:row>
    <x:row r="879" s="655" customFormat="1" ht="30" customHeight="1">
      <x:c r="A879" s="6" t="inlineStr">
        <x:is>
          <x:t xml:space="preserve">500 x 906 cm</x:t>
        </x:is>
      </x:c>
      <x:c r="B879" s="6" t="inlineStr">
        <x:is>
          <x:t xml:space="preserve">OS</x:t>
        </x:is>
      </x:c>
      <x:c r="C879" s="6" t="inlineStr">
        <x:is>
          <x:t xml:space="preserve">Ogród zimowy szkło - pełna konstrukcja</x:t>
        </x:is>
      </x:c>
      <x:c r="D879" s="6" t="inlineStr">
        <x:is>
          <x:t xml:space="preserve">OGRODY SZKŁO</x:t>
        </x:is>
      </x:c>
      <x:c r="E879" s="8" t="n">
        <x:f>IFERROR(INDEX('02_RAW_INDEX'!$AL:$AL,MATCH($A879,'02_RAW_INDEX'!$A:$A,0)),"")</x:f>
        <x:v>44821</x:v>
      </x:c>
      <x:c r="F879" s="8" t="n">
        <x:f>IFERROR(INDEX('02_RAW_INDEX'!$AK:$AK,MATCH($A879,'02_RAW_INDEX'!$A:$A,0)),"")</x:f>
        <x:v>55130</x:v>
      </x:c>
      <x:c r="G879" s="7" t="n">
        <x:f>'01_Ustawienia'!$B$6</x:f>
        <x:v>0</x:v>
      </x:c>
      <x:c r="H879" s="8" t="n">
        <x:f>IF(E879="","",ROUND(IF('01_Ustawienia'!$B$5="BRUTTO",F879,E879)*(1-G879),0))</x:f>
        <x:v>44821</x:v>
      </x:c>
      <x:c r="I879" s="7" t="n">
        <x:f>IFERROR(IFERROR(INDEX('01_Ustawienia'!$B$15:$B$33,MATCH(B879,'01_Ustawienia'!$A$15:$A$33,0)),0.45),0.45)</x:f>
        <x:v>0.45</x:v>
      </x:c>
      <x:c r="J879" s="8" t="n">
        <x:f>IF(H879="","",ROUND(H879*(1+I879),0))</x:f>
        <x:v>64990</x:v>
      </x:c>
      <x:c r="K879" s="8" t="n">
        <x:f>IFERROR(IFERROR(INDEX(EG_Cennik_uslug!$N:$N,MATCH($A879,EG_Cennik_uslug!$A:$A,0)),0),0)</x:f>
        <x:v>6370</x:v>
      </x:c>
      <x:c r="L879" s="8" t="n">
        <x:f>IFERROR(IFERROR(INDEX(EG_Cennik_uslug!$O:$O,MATCH($A879,EG_Cennik_uslug!$A:$A,0)),0),0)</x:f>
        <x:v>2610</x:v>
      </x:c>
      <x:c r="M879" s="7" t="n">
        <x:f>IF('01_Ustawienia'!$B$4="ZWOLNIONY",0,'01_Ustawienia'!$B$7)</x:f>
        <x:v>0.08</x:v>
      </x:c>
      <x:c r="N879" s="8" t="n">
        <x:f>IF(J879="","",ROUND((J879+K879)*(1+M879),0))</x:f>
        <x:v>77069</x:v>
      </x:c>
      <x:c r="O879" s="8" t="n">
        <x:f>IF(J879="","",J879+K879-H879-L879)</x:f>
        <x:v>23929</x:v>
      </x:c>
      <x:c r="P879" s="7" t="n">
        <x:f>IFERROR(O879/(J879+K879),"")</x:f>
        <x:v>0.3353279147982063</x:v>
      </x:c>
      <x:c r="Q879" s="6" t="inlineStr">
        <x:is>
          <x:t xml:space="preserve">RAW_OS B/C</x:t>
        </x:is>
      </x:c>
      <x:c r="R879" s="6" t="inlineStr">
        <x:is>
          <x:t xml:space="preserve">OGRÓD ZIMOWY (KONSTRUKCJA)</x:t>
        </x:is>
      </x:c>
      <x:c r="S879" s="6" t="inlineStr">
        <x:is>
          <x:t xml:space="preserve">crm_only</x:t>
        </x:is>
      </x:c>
      <x:c r="T879" s="6" t="inlineStr">
        <x:is>
          <x:t xml:space="preserve">Referencyjne/full</x:t>
        </x:is>
      </x:c>
    </x:row>
    <x:row r="880" s="655" customFormat="1" ht="30" customHeight="1">
      <x:c r="A880" s="6" t="inlineStr">
        <x:is>
          <x:t xml:space="preserve">500 x 906 cm</x:t>
        </x:is>
      </x:c>
      <x:c r="B880" s="6" t="inlineStr">
        <x:is>
          <x:t xml:space="preserve">PDS</x:t>
        </x:is>
      </x:c>
      <x:c r="C880" s="6" t="inlineStr">
        <x:is>
          <x:t xml:space="preserve">Dopłata dach szkło przezroczyste</x:t>
        </x:is>
      </x:c>
      <x:c r="D880" s="6" t="inlineStr">
        <x:is>
          <x:t xml:space="preserve">POKRYCIE DACHU SZKŁO</x:t>
        </x:is>
      </x:c>
      <x:c r="E880" s="8" t="n">
        <x:f>IFERROR(IFERROR(INDEX('02_RAW_INDEX'!$V:$V,MATCH($A880,'02_RAW_INDEX'!$A:$A,0)),"")-IFERROR(INDEX('02_RAW_INDEX'!$D:$D,MATCH($A880,'02_RAW_INDEX'!$A:$A,0)),""),"")</x:f>
        <x:v>10577</x:v>
      </x:c>
      <x:c r="F880" s="8" t="n">
        <x:f>IFERROR(IFERROR(INDEX('02_RAW_INDEX'!$U:$U,MATCH($A880,'02_RAW_INDEX'!$A:$A,0)),"")-IFERROR(INDEX('02_RAW_INDEX'!$C:$C,MATCH($A880,'02_RAW_INDEX'!$A:$A,0)),""),"")</x:f>
        <x:v>13010</x:v>
      </x:c>
      <x:c r="G880" s="7" t="n">
        <x:f>'01_Ustawienia'!$B$6</x:f>
        <x:v>0</x:v>
      </x:c>
      <x:c r="H880" s="8" t="n">
        <x:f>IF(E880="","",ROUND(IF('01_Ustawienia'!$B$5="BRUTTO",F880,E880)*(1-G880),0))</x:f>
        <x:v>10577</x:v>
      </x:c>
      <x:c r="I880" s="7" t="n">
        <x:f>IFERROR(IFERROR(INDEX('01_Ustawienia'!$B$15:$B$33,MATCH(B880,'01_Ustawienia'!$A$15:$A$33,0)),0.45),0.45)</x:f>
        <x:v>0.45</x:v>
      </x:c>
      <x:c r="J880" s="8" t="n">
        <x:f>IF(H880="","",ROUND(H880*(1+I880),0))</x:f>
        <x:v>15337</x:v>
      </x:c>
      <x:c r="K880" s="8" t="n">
        <x:f>0</x:f>
        <x:v>0</x:v>
      </x:c>
      <x:c r="L880" s="8" t="n">
        <x:v>0</x:v>
      </x:c>
      <x:c r="M880" s="7" t="n">
        <x:f>IF('01_Ustawienia'!$B$4="ZWOLNIONY",0,'01_Ustawienia'!$B$7)</x:f>
        <x:v>0.08</x:v>
      </x:c>
      <x:c r="N880" s="8" t="n">
        <x:f>IF(J880="","",ROUND((J880+K880)*(1+M880),0))</x:f>
        <x:v>16564</x:v>
      </x:c>
      <x:c r="O880" s="8" t="n">
        <x:f>IF(J880="","",J880+K880-H880-L880)</x:f>
        <x:v>4760</x:v>
      </x:c>
      <x:c r="P880" s="7" t="n">
        <x:f>IFERROR(O880/(J880+K880),"")</x:f>
        <x:v>0.31036056595162026</x:v>
      </x:c>
      <x:c r="Q880" s="6" t="inlineStr">
        <x:is>
          <x:t xml:space="preserve">RAW_ZS - RAW_ZP</x:t>
        </x:is>
      </x:c>
      <x:c r="R880" s="6" t="inlineStr">
        <x:is>
          <x:t xml:space="preserve">POKRYCIE DACHU</x:t>
        </x:is>
      </x:c>
      <x:c r="S880" s="6" t="inlineStr">
        <x:is>
          <x:t xml:space="preserve">website+crm</x:t>
        </x:is>
      </x:c>
      <x:c r="T880" s="6" t="inlineStr">
        <x:is>
          <x:t xml:space="preserve">Dopłata do bazowego dachu poliwęglan | FIX17: Wynagr.+koszty = 0 dla dopłaty; nie jest osobnym montażem ekipy.</x:t>
        </x:is>
      </x:c>
    </x:row>
    <x:row r="881" s="655" customFormat="1" ht="30" customHeight="1">
      <x:c r="A881" s="6" t="inlineStr">
        <x:is>
          <x:t xml:space="preserve">500 x 906 cm</x:t>
        </x:is>
      </x:c>
      <x:c r="B881" s="6" t="inlineStr">
        <x:is>
          <x:t xml:space="preserve">PDSB</x:t>
        </x:is>
      </x:c>
      <x:c r="C881" s="6" t="inlineStr">
        <x:is>
          <x:t xml:space="preserve">Dopłata dach szkło barwione/mleczne</x:t>
        </x:is>
      </x:c>
      <x:c r="D881" s="6" t="inlineStr">
        <x:is>
          <x:t xml:space="preserve">POKRYCIE DACHU SZKŁO BARWIONE</x:t>
        </x:is>
      </x:c>
      <x:c r="E881" s="8" t="n">
        <x:f>IFERROR(INDEX('02_RAW_INDEX'!$X:$X,MATCH($A881,'02_RAW_INDEX'!$A:$A,0)),"")</x:f>
        <x:v>1024</x:v>
      </x:c>
      <x:c r="F881" s="8" t="n">
        <x:f>IFERROR(INDEX('02_RAW_INDEX'!$W:$W,MATCH($A881,'02_RAW_INDEX'!$A:$A,0)),"")</x:f>
        <x:v>1260</x:v>
      </x:c>
      <x:c r="G881" s="7" t="n">
        <x:f>'01_Ustawienia'!$B$6</x:f>
        <x:v>0</x:v>
      </x:c>
      <x:c r="H881" s="8" t="n">
        <x:f>IF(E881="","",ROUND(IF('01_Ustawienia'!$B$5="BRUTTO",F881,E881)*(1-G881),0))</x:f>
        <x:v>1024</x:v>
      </x:c>
      <x:c r="I881" s="7" t="n">
        <x:f>IFERROR(IFERROR(INDEX('01_Ustawienia'!$B$15:$B$33,MATCH(B881,'01_Ustawienia'!$A$15:$A$33,0)),0.45),0.45)</x:f>
        <x:v>0.45</x:v>
      </x:c>
      <x:c r="J881" s="8" t="n">
        <x:f>IF(H881="","",ROUND(H881*(1+I881),0))</x:f>
        <x:v>1485</x:v>
      </x:c>
      <x:c r="K881" s="8" t="n">
        <x:f>0</x:f>
        <x:v>0</x:v>
      </x:c>
      <x:c r="L881" s="8" t="n">
        <x:v>0</x:v>
      </x:c>
      <x:c r="M881" s="7" t="n">
        <x:f>IF('01_Ustawienia'!$B$4="ZWOLNIONY",0,'01_Ustawienia'!$B$7)</x:f>
        <x:v>0.08</x:v>
      </x:c>
      <x:c r="N881" s="8" t="n">
        <x:f>IF(J881="","",ROUND((J881+K881)*(1+M881),0))</x:f>
        <x:v>1604</x:v>
      </x:c>
      <x:c r="O881" s="8" t="n">
        <x:f>IF(J881="","",J881+K881-H881-L881)</x:f>
        <x:v>461</x:v>
      </x:c>
      <x:c r="P881" s="7" t="n">
        <x:f>IFERROR(O881/(J881+K881),"")</x:f>
        <x:v>0.31043771043771046</x:v>
      </x:c>
      <x:c r="Q881" s="6" t="inlineStr">
        <x:is>
          <x:t xml:space="preserve">RAW_ZS D/E</x:t>
        </x:is>
      </x:c>
      <x:c r="R881" s="6" t="inlineStr">
        <x:is>
          <x:t xml:space="preserve">POKRYCIE DACHU</x:t>
        </x:is>
      </x:c>
      <x:c r="S881" s="6" t="inlineStr">
        <x:is>
          <x:t xml:space="preserve">website+crm</x:t>
        </x:is>
      </x:c>
      <x:c r="T881" s="6" t="inlineStr">
        <x:is>
          <x:t xml:space="preserve">Dodawane do PDS | FIX17: Wynagr.+koszty = 0 dla dopłaty; nie jest osobnym montażem ekipy.</x:t>
        </x:is>
      </x:c>
    </x:row>
    <x:row r="882" s="655" customFormat="1" ht="30" customHeight="1">
      <x:c r="A882" s="6" t="inlineStr">
        <x:is>
          <x:t xml:space="preserve">500 x 906 cm</x:t>
        </x:is>
      </x:c>
      <x:c r="B882" s="6" t="inlineStr">
        <x:is>
          <x:t xml:space="preserve">PDPB</x:t>
        </x:is>
      </x:c>
      <x:c r="C882" s="6" t="inlineStr">
        <x:is>
          <x:t xml:space="preserve">Dopłata poliwęglan barwiony</x:t>
        </x:is>
      </x:c>
      <x:c r="D882" s="6" t="inlineStr">
        <x:is>
          <x:t xml:space="preserve">POKRYCIE DACHU POLIWĘGLAN BARWIONY</x:t>
        </x:is>
      </x:c>
      <x:c r="E882" s="8" t="n">
        <x:f>IFERROR(INDEX('02_RAW_INDEX'!$F:$F,MATCH($A882,'02_RAW_INDEX'!$A:$A,0)),"")</x:f>
        <x:v>764</x:v>
      </x:c>
      <x:c r="F882" s="8" t="n">
        <x:f>IFERROR(INDEX('02_RAW_INDEX'!$E:$E,MATCH($A882,'02_RAW_INDEX'!$A:$A,0)),"")</x:f>
        <x:v>940</x:v>
      </x:c>
      <x:c r="G882" s="7" t="n">
        <x:f>'01_Ustawienia'!$B$6</x:f>
        <x:v>0</x:v>
      </x:c>
      <x:c r="H882" s="8" t="n">
        <x:f>IF(E882="","",ROUND(IF('01_Ustawienia'!$B$5="BRUTTO",F882,E882)*(1-G882),0))</x:f>
        <x:v>764</x:v>
      </x:c>
      <x:c r="I882" s="7" t="n">
        <x:f>IFERROR(IFERROR(INDEX('01_Ustawienia'!$B$15:$B$33,MATCH(B882,'01_Ustawienia'!$A$15:$A$33,0)),0.45),0.45)</x:f>
        <x:v>0.45</x:v>
      </x:c>
      <x:c r="J882" s="8" t="n">
        <x:f>IF(H882="","",ROUND(H882*(1+I882),0))</x:f>
        <x:v>1108</x:v>
      </x:c>
      <x:c r="K882" s="8" t="n">
        <x:f>0</x:f>
        <x:v>0</x:v>
      </x:c>
      <x:c r="L882" s="8" t="n">
        <x:v>0</x:v>
      </x:c>
      <x:c r="M882" s="7" t="n">
        <x:f>IF('01_Ustawienia'!$B$4="ZWOLNIONY",0,'01_Ustawienia'!$B$7)</x:f>
        <x:v>0.08</x:v>
      </x:c>
      <x:c r="N882" s="8" t="n">
        <x:f>IF(J882="","",ROUND((J882+K882)*(1+M882),0))</x:f>
        <x:v>1197</x:v>
      </x:c>
      <x:c r="O882" s="8" t="n">
        <x:f>IF(J882="","",J882+K882-H882-L882)</x:f>
        <x:v>344</x:v>
      </x:c>
      <x:c r="P882" s="7" t="n">
        <x:f>IFERROR(O882/(J882+K882),"")</x:f>
        <x:v>0.3104693140794224</x:v>
      </x:c>
      <x:c r="Q882" s="6" t="inlineStr">
        <x:is>
          <x:t xml:space="preserve">RAW_ZP D/E</x:t>
        </x:is>
      </x:c>
      <x:c r="R882" s="6" t="inlineStr">
        <x:is>
          <x:t xml:space="preserve">POKRYCIE DACHU</x:t>
        </x:is>
      </x:c>
      <x:c r="S882" s="6" t="inlineStr">
        <x:is>
          <x:t xml:space="preserve">website+crm</x:t>
        </x:is>
      </x:c>
      <x:c r="T882" s="6" t="inlineStr">
        <x:is>
          <x:t xml:space="preserve">FIX17: Wynagr.+koszty = 0 dla dopłaty; nie jest osobnym montażem ekipy.</x:t>
        </x:is>
      </x:c>
    </x:row>
    <x:row r="883" s="655" customFormat="1" ht="30" customHeight="1">
      <x:c r="A883" s="6" t="inlineStr">
        <x:is>
          <x:t xml:space="preserve">500 x 906 cm</x:t>
        </x:is>
      </x:c>
      <x:c r="B883" s="6" t="inlineStr">
        <x:is>
          <x:t xml:space="preserve">SBB</x:t>
        </x:is>
      </x:c>
      <x:c r="C883" s="6" t="inlineStr">
        <x:is>
          <x:t xml:space="preserve">Dopłata szkło boczne przyciemniane</x:t>
        </x:is>
      </x:c>
      <x:c r="D883" s="6" t="inlineStr">
        <x:is>
          <x:t xml:space="preserve">SZKŁO BOCZNE BARWIONE</x:t>
        </x:is>
      </x:c>
      <x:c r="E883" s="8" t="n">
        <x:f>IFERROR(INDEX('02_RAW_INDEX'!$AB:$AB,MATCH($A883,'02_RAW_INDEX'!$A:$A,0)),"")</x:f>
        <x:v>1854</x:v>
      </x:c>
      <x:c r="F883" s="8" t="n">
        <x:f>IFERROR(INDEX('02_RAW_INDEX'!$AA:$AA,MATCH($A883,'02_RAW_INDEX'!$A:$A,0)),"")</x:f>
        <x:v>2280</x:v>
      </x:c>
      <x:c r="G883" s="7" t="n">
        <x:f>'01_Ustawienia'!$B$6</x:f>
        <x:v>0</x:v>
      </x:c>
      <x:c r="H883" s="8" t="n">
        <x:f>IF(E883="","",ROUND(IF('01_Ustawienia'!$B$5="BRUTTO",F883,E883)*(1-G883),0))</x:f>
        <x:v>1854</x:v>
      </x:c>
      <x:c r="I883" s="7" t="n">
        <x:f>IFERROR(IFERROR(INDEX('01_Ustawienia'!$B$15:$B$33,MATCH(B883,'01_Ustawienia'!$A$15:$A$33,0)),0.45),0.45)</x:f>
        <x:v>0.45</x:v>
      </x:c>
      <x:c r="J883" s="8" t="n">
        <x:f>IF(H883="","",ROUND(H883*(1+I883),0))</x:f>
        <x:v>2688</x:v>
      </x:c>
      <x:c r="K883" s="8" t="n">
        <x:f>0</x:f>
        <x:v>0</x:v>
      </x:c>
      <x:c r="L883" s="8" t="n">
        <x:v>0</x:v>
      </x:c>
      <x:c r="M883" s="7" t="n">
        <x:f>IF('01_Ustawienia'!$B$4="ZWOLNIONY",0,'01_Ustawienia'!$B$7)</x:f>
        <x:v>0.08</x:v>
      </x:c>
      <x:c r="N883" s="8" t="n">
        <x:f>IF(J883="","",ROUND((J883+K883)*(1+M883),0))</x:f>
        <x:v>2903</x:v>
      </x:c>
      <x:c r="O883" s="8" t="n">
        <x:f>IF(J883="","",J883+K883-H883-L883)</x:f>
        <x:v>834</x:v>
      </x:c>
      <x:c r="P883" s="7" t="n">
        <x:f>IFERROR(O883/(J883+K883),"")</x:f>
        <x:v>0.31026785714285715</x:v>
      </x:c>
      <x:c r="Q883" s="6" t="inlineStr">
        <x:is>
          <x:t xml:space="preserve">RAW_OP H/I</x:t>
        </x:is>
      </x:c>
      <x:c r="R883" s="6" t="inlineStr">
        <x:is>
          <x:t xml:space="preserve">SZYBY BOCZNE</x:t>
        </x:is>
      </x:c>
      <x:c r="S883" s="6" t="inlineStr">
        <x:is>
          <x:t xml:space="preserve">website+crm</x:t>
        </x:is>
      </x:c>
      <x:c r="T883" s="6" t="inlineStr">
        <x:is>
          <x:t xml:space="preserve">Dodawane do ścian przezroczystych | FIX17: Wynagr.+koszty = 0 dla dopłaty; nie jest osobnym montażem ekipy.</x:t>
        </x:is>
      </x:c>
    </x:row>
    <x:row r="884">
      <x:c r="A884" s="6" t="inlineStr">
        <x:is>
          <x:t xml:space="preserve">500 x 906 cm</x:t>
        </x:is>
      </x:c>
      <x:c r="B884" s="6" t="inlineStr">
        <x:is>
          <x:t xml:space="preserve">RB</x:t>
        </x:is>
      </x:c>
      <x:c r="C884" s="6" t="inlineStr">
        <x:is>
          <x:t xml:space="preserve">Roleta boczna ZIP</x:t>
        </x:is>
      </x:c>
      <x:c r="D884" s="6" t="inlineStr">
        <x:is>
          <x:t xml:space="preserve">ROLETA BOCZNA</x:t>
        </x:is>
      </x:c>
      <x:c r="E884" s="8" t="n">
        <x:f>IFERROR(INDEX('02_RAW_INDEX'!$J:$J,MATCH($A884,'02_RAW_INDEX'!$A:$A,0)),"")</x:f>
        <x:v>3008</x:v>
      </x:c>
      <x:c r="F884" s="8" t="n">
        <x:f>IFERROR(INDEX('02_RAW_INDEX'!$I:$I,MATCH($A884,'02_RAW_INDEX'!$A:$A,0)),"")</x:f>
        <x:v>3700</x:v>
      </x:c>
      <x:c r="G884" s="7" t="n">
        <x:f>'01_Ustawienia'!$B$6</x:f>
        <x:v>0</x:v>
      </x:c>
      <x:c r="H884" s="8" t="n">
        <x:f>IF(E884="","",ROUND(IF('01_Ustawienia'!$B$5="BRUTTO",F884,E884)*(1-G884),0))</x:f>
        <x:v>3008</x:v>
      </x:c>
      <x:c r="I884" s="7" t="n">
        <x:f>IFERROR(IFERROR(INDEX('01_Ustawienia'!$B$15:$B$33,MATCH(B884,'01_Ustawienia'!$A$15:$A$33,0)),0.45),0.45)</x:f>
        <x:v>0.45</x:v>
      </x:c>
      <x:c r="J884" s="8" t="n">
        <x:f>IF(H884="","",ROUND(H884*(1+I884),0))</x:f>
        <x:v>4362</x:v>
      </x:c>
      <x:c r="K884" s="8" t="n">
        <x:f>0</x:f>
        <x:v>0</x:v>
      </x:c>
      <x:c r="L884" s="8" t="n">
        <x:f>IFERROR(IFERROR(INDEX(EG_Cennik_uslug!$AC:$AC,MATCH($A884,EG_Cennik_uslug!$A:$A,0)),0),0)</x:f>
        <x:v>150</x:v>
      </x:c>
      <x:c r="M884" s="7" t="n">
        <x:f>IF('01_Ustawienia'!$B$4="ZWOLNIONY",0,'01_Ustawienia'!$B$7)</x:f>
        <x:v>0.08</x:v>
      </x:c>
      <x:c r="N884" s="8" t="n">
        <x:f>IF(J884="","",ROUND((J884+K884)*(1+M884),0))</x:f>
        <x:v>4711</x:v>
      </x:c>
      <x:c r="O884" s="8" t="n">
        <x:f>IF(J884="","",J884+K884-H884-L884)</x:f>
        <x:v>1204</x:v>
      </x:c>
      <x:c r="P884" s="7" t="n">
        <x:f>IFERROR(O884/(J884+K884),"")</x:f>
        <x:v>0.27602017423200365</x:v>
      </x:c>
      <x:c r="Q884" s="6" t="inlineStr">
        <x:is>
          <x:t xml:space="preserve">RAW_ZP J/K</x:t>
        </x:is>
      </x:c>
      <x:c r="R884" s="6" t="inlineStr">
        <x:is>
          <x:t xml:space="preserve">ROLETY BOCZNE</x:t>
        </x:is>
      </x:c>
      <x:c r="S884" s="6" t="inlineStr">
        <x:is>
          <x:t xml:space="preserve">website+crm</x:t>
        </x:is>
      </x:c>
      <x:c r="T884" s="6" t="inlineStr">
        <x:is>
          <x:t xml:space="preserve">Używana dla lewej i prawej</x:t>
        </x:is>
      </x:c>
    </x:row>
    <x:row r="885">
      <x:c r="A885" s="6" t="inlineStr">
        <x:is>
          <x:t xml:space="preserve">500 x 906 cm</x:t>
        </x:is>
      </x:c>
      <x:c r="B885" s="6" t="inlineStr">
        <x:is>
          <x:t xml:space="preserve">RP</x:t>
        </x:is>
      </x:c>
      <x:c r="C885" s="6" t="inlineStr">
        <x:is>
          <x:t xml:space="preserve">Roleta przednia ZIP</x:t>
        </x:is>
      </x:c>
      <x:c r="D885" s="6" t="inlineStr">
        <x:is>
          <x:t xml:space="preserve">ROLETA PRZÓD</x:t>
        </x:is>
      </x:c>
      <x:c r="E885" s="8" t="n">
        <x:f>IFERROR(INDEX('02_RAW_INDEX'!$L:$L,MATCH($A885,'02_RAW_INDEX'!$A:$A,0)),"")</x:f>
        <x:v>5203</x:v>
      </x:c>
      <x:c r="F885" s="8" t="n">
        <x:f>IFERROR(INDEX('02_RAW_INDEX'!$K:$K,MATCH($A885,'02_RAW_INDEX'!$A:$A,0)),"")</x:f>
        <x:v>6400</x:v>
      </x:c>
      <x:c r="G885" s="7" t="n">
        <x:f>'01_Ustawienia'!$B$6</x:f>
        <x:v>0</x:v>
      </x:c>
      <x:c r="H885" s="8" t="n">
        <x:f>IF(E885="","",ROUND(IF('01_Ustawienia'!$B$5="BRUTTO",F885,E885)*(1-G885),0))</x:f>
        <x:v>5203</x:v>
      </x:c>
      <x:c r="I885" s="7" t="n">
        <x:f>IFERROR(IFERROR(INDEX('01_Ustawienia'!$B$15:$B$33,MATCH(B885,'01_Ustawienia'!$A$15:$A$33,0)),0.45),0.45)</x:f>
        <x:v>0.45</x:v>
      </x:c>
      <x:c r="J885" s="8" t="n">
        <x:f>IF(H885="","",ROUND(H885*(1+I885),0))</x:f>
        <x:v>7544</x:v>
      </x:c>
      <x:c r="K885" s="8" t="n">
        <x:f>0</x:f>
        <x:v>0</x:v>
      </x:c>
      <x:c r="L885" s="8" t="n">
        <x:f>IFERROR(IFERROR(INDEX(EG_Cennik_uslug!$AJ:$AJ,MATCH($A885,EG_Cennik_uslug!$A:$A,0)),0),0)</x:f>
        <x:v>450</x:v>
      </x:c>
      <x:c r="M885" s="7" t="n">
        <x:f>IF('01_Ustawienia'!$B$4="ZWOLNIONY",0,'01_Ustawienia'!$B$7)</x:f>
        <x:v>0.08</x:v>
      </x:c>
      <x:c r="N885" s="8" t="n">
        <x:f>IF(J885="","",ROUND((J885+K885)*(1+M885),0))</x:f>
        <x:v>8148</x:v>
      </x:c>
      <x:c r="O885" s="8" t="n">
        <x:f>IF(J885="","",J885+K885-H885-L885)</x:f>
        <x:v>1891</x:v>
      </x:c>
      <x:c r="P885" s="7" t="n">
        <x:f>IFERROR(O885/(J885+K885),"")</x:f>
        <x:v>0.2506627783669141</x:v>
      </x:c>
      <x:c r="Q885" s="6" t="inlineStr">
        <x:is>
          <x:t xml:space="preserve">RAW_ZP N/O</x:t>
        </x:is>
      </x:c>
      <x:c r="R885" s="6" t="inlineStr">
        <x:is>
          <x:t xml:space="preserve">ROLETY BOCZNE</x:t>
        </x:is>
      </x:c>
      <x:c r="S885" s="6" t="inlineStr">
        <x:is>
          <x:t xml:space="preserve">website+crm</x:t>
        </x:is>
      </x:c>
      <x:c r="T885" s="6" t="n"/>
    </x:row>
    <x:row r="886">
      <x:c r="A886" s="6" t="inlineStr">
        <x:is>
          <x:t xml:space="preserve">500 x 906 cm</x:t>
        </x:is>
      </x:c>
      <x:c r="B886" s="6" t="inlineStr">
        <x:is>
          <x:t xml:space="preserve">M</x:t>
        </x:is>
      </x:c>
      <x:c r="C886" s="6" t="inlineStr">
        <x:is>
          <x:t xml:space="preserve">Markiza dachowa</x:t>
        </x:is>
      </x:c>
      <x:c r="D886" s="6" t="inlineStr">
        <x:is>
          <x:t xml:space="preserve">MARKIZA</x:t>
        </x:is>
      </x:c>
      <x:c r="E886" s="8" t="n">
        <x:f>IFERROR(INDEX('02_RAW_INDEX'!$H:$H,MATCH($A886,'02_RAW_INDEX'!$A:$A,0)),"")</x:f>
        <x:v>8203</x:v>
      </x:c>
      <x:c r="F886" s="8" t="n">
        <x:f>IFERROR(INDEX('02_RAW_INDEX'!$G:$G,MATCH($A886,'02_RAW_INDEX'!$A:$A,0)),"")</x:f>
        <x:v>10090</x:v>
      </x:c>
      <x:c r="G886" s="7" t="n">
        <x:f>'01_Ustawienia'!$B$6</x:f>
        <x:v>0</x:v>
      </x:c>
      <x:c r="H886" s="8" t="n">
        <x:f>IF(E886="","",ROUND(IF('01_Ustawienia'!$B$5="BRUTTO",F886,E886)*(1-G886),0))</x:f>
        <x:v>8203</x:v>
      </x:c>
      <x:c r="I886" s="7" t="n">
        <x:f>IFERROR(IFERROR(INDEX('01_Ustawienia'!$B$15:$B$33,MATCH(B886,'01_Ustawienia'!$A$15:$A$33,0)),0.45),0.45)</x:f>
        <x:v>0.45</x:v>
      </x:c>
      <x:c r="J886" s="8" t="n">
        <x:f>IF(H886="","",ROUND(H886*(1+I886),0))</x:f>
        <x:v>11894</x:v>
      </x:c>
      <x:c r="K886" s="8" t="n">
        <x:f>0</x:f>
        <x:v>0</x:v>
      </x:c>
      <x:c r="L886" s="8" t="n">
        <x:f>IFERROR(IFERROR(INDEX(EG_Cennik_uslug!$AQ:$AQ,MATCH($A886,EG_Cennik_uslug!$A:$A,0)),0),0)</x:f>
        <x:v>550</x:v>
      </x:c>
      <x:c r="M886" s="7" t="n">
        <x:f>IF('01_Ustawienia'!$B$4="ZWOLNIONY",0,'01_Ustawienia'!$B$7)</x:f>
        <x:v>0.08</x:v>
      </x:c>
      <x:c r="N886" s="8" t="n">
        <x:f>IF(J886="","",ROUND((J886+K886)*(1+M886),0))</x:f>
        <x:v>12846</x:v>
      </x:c>
      <x:c r="O886" s="8" t="n">
        <x:f>IF(J886="","",J886+K886-H886-L886)</x:f>
        <x:v>3141</x:v>
      </x:c>
      <x:c r="P886" s="7" t="n">
        <x:f>IFERROR(O886/(J886+K886),"")</x:f>
        <x:v>0.2640827307886329</x:v>
      </x:c>
      <x:c r="Q886" s="6" t="inlineStr">
        <x:is>
          <x:t xml:space="preserve">RAW_ZP H/I</x:t>
        </x:is>
      </x:c>
      <x:c r="R886" s="6" t="inlineStr">
        <x:is>
          <x:t xml:space="preserve">MARKIZA</x:t>
        </x:is>
      </x:c>
      <x:c r="S886" s="6" t="inlineStr">
        <x:is>
          <x:t xml:space="preserve">website+crm</x:t>
        </x:is>
      </x:c>
      <x:c r="T886" s="6" t="n"/>
    </x:row>
    <x:row r="887">
      <x:c r="A887" s="6" t="inlineStr">
        <x:is>
          <x:t xml:space="preserve">500 x 906 cm</x:t>
        </x:is>
      </x:c>
      <x:c r="B887" s="6" t="inlineStr">
        <x:is>
          <x:t xml:space="preserve">PDWP</x:t>
        </x:is>
      </x:c>
      <x:c r="C887" s="6" t="inlineStr">
        <x:is>
          <x:t xml:space="preserve">Fundament/profile</x:t>
        </x:is>
      </x:c>
      <x:c r="D887" s="6" t="inlineStr">
        <x:is>
          <x:t xml:space="preserve">FUNDAMENT / PROFILE</x:t>
        </x:is>
      </x:c>
      <x:c r="E887" s="8" t="n">
        <x:f>IFERROR(INDEX('02_RAW_INDEX'!$AH:$AH,MATCH($A887,'02_RAW_INDEX'!$A:$A,0)),"")</x:f>
        <x:v>1423</x:v>
      </x:c>
      <x:c r="F887" s="8" t="n">
        <x:f>IFERROR(INDEX('02_RAW_INDEX'!$AG:$AG,MATCH($A887,'02_RAW_INDEX'!$A:$A,0)),"")</x:f>
        <x:v>1750</x:v>
      </x:c>
      <x:c r="G887" s="7" t="n">
        <x:f>'01_Ustawienia'!$B$6</x:f>
        <x:v>0</x:v>
      </x:c>
      <x:c r="H887" s="8" t="n">
        <x:f>IF(E887="","",ROUND(IF('01_Ustawienia'!$B$5="BRUTTO",F887,E887)*(1-G887),0))</x:f>
        <x:v>1423</x:v>
      </x:c>
      <x:c r="I887" s="7" t="n">
        <x:f>IFERROR(IFERROR(INDEX('01_Ustawienia'!$B$15:$B$33,MATCH(B887,'01_Ustawienia'!$A$15:$A$33,0)),0.45),0.45)</x:f>
        <x:v>1.2</x:v>
      </x:c>
      <x:c r="J887" s="8" t="n">
        <x:f>IF(H887="","",ROUND(H887*(1+I887),0))</x:f>
        <x:v>3131</x:v>
      </x:c>
      <x:c r="K887" s="8" t="n">
        <x:f>0</x:f>
        <x:v>0</x:v>
      </x:c>
      <x:c r="L887" s="8" t="n">
        <x:f>IFERROR(IFERROR(INDEX(EG_Cennik_uslug!$BT:$BT,MATCH($A887,EG_Cennik_uslug!$A:$A,0)),0),0)</x:f>
        <x:v>610</x:v>
      </x:c>
      <x:c r="M887" s="7" t="n">
        <x:f>IF('01_Ustawienia'!$B$4="ZWOLNIONY",0,'01_Ustawienia'!$B$7)</x:f>
        <x:v>0.08</x:v>
      </x:c>
      <x:c r="N887" s="8" t="n">
        <x:f>IF(J887="","",ROUND((J887+K887)*(1+M887),0))</x:f>
        <x:v>3381</x:v>
      </x:c>
      <x:c r="O887" s="8" t="n">
        <x:f>IF(J887="","",J887+K887-H887-L887)</x:f>
        <x:v>1098</x:v>
      </x:c>
      <x:c r="P887" s="7" t="n">
        <x:f>IFERROR(O887/(J887+K887),"")</x:f>
        <x:v>0.35068668157138294</x:v>
      </x:c>
      <x:c r="Q887" s="6" t="inlineStr">
        <x:is>
          <x:t xml:space="preserve">RAW_OP AB/AC</x:t>
        </x:is>
      </x:c>
      <x:c r="R887" s="6" t="inlineStr">
        <x:is>
          <x:t xml:space="preserve">FUNDAMENT (PROFILE)</x:t>
        </x:is>
      </x:c>
      <x:c r="S887" s="6" t="inlineStr">
        <x:is>
          <x:t xml:space="preserve">website+crm</x:t>
        </x:is>
      </x:c>
      <x:c r="T887" s="6" t="n"/>
    </x:row>
    <x:row r="888" s="655" customFormat="1" ht="30" customHeight="1">
      <x:c r="A888" s="6" t="inlineStr">
        <x:is>
          <x:t xml:space="preserve">500 x 906 cm</x:t>
        </x:is>
      </x:c>
      <x:c r="B888" s="6" t="inlineStr">
        <x:is>
          <x:t xml:space="preserve">ZAB</x:t>
        </x:is>
      </x:c>
      <x:c r="C888" s="6" t="inlineStr">
        <x:is>
          <x:t xml:space="preserve">Zabieraki do ścian przesuwnych</x:t>
        </x:is>
      </x:c>
      <x:c r="D888" s="6" t="inlineStr">
        <x:is>
          <x:t xml:space="preserve">DODATKI</x:t>
        </x:is>
      </x:c>
      <x:c r="E888" s="8" t="n">
        <x:f>IFERROR(INDEX('02_RAW_INDEX'!$AJ:$AJ,MATCH($A888,'02_RAW_INDEX'!$A:$A,0)),"")</x:f>
        <x:v>455</x:v>
      </x:c>
      <x:c r="F888" s="8" t="n">
        <x:f>IFERROR(INDEX('02_RAW_INDEX'!$AI:$AI,MATCH($A888,'02_RAW_INDEX'!$A:$A,0)),"")</x:f>
        <x:v>560</x:v>
      </x:c>
      <x:c r="G888" s="7" t="n">
        <x:f>'01_Ustawienia'!$B$6</x:f>
        <x:v>0</x:v>
      </x:c>
      <x:c r="H888" s="8" t="n">
        <x:f>IF(E888="","",ROUND(IF('01_Ustawienia'!$B$5="BRUTTO",F888,E888)*(1-G888),0))</x:f>
        <x:v>455</x:v>
      </x:c>
      <x:c r="I888" s="7" t="n">
        <x:f>IFERROR(IFERROR(INDEX('01_Ustawienia'!$B$15:$B$33,MATCH(B888,'01_Ustawienia'!$A$15:$A$33,0)),0.45),0.45)</x:f>
        <x:v>0.45</x:v>
      </x:c>
      <x:c r="J888" s="8" t="n">
        <x:f>IF(H888="","",ROUND(H888*(1+I888),0))</x:f>
        <x:v>660</x:v>
      </x:c>
      <x:c r="K888" s="8" t="n">
        <x:f>0</x:f>
        <x:v>0</x:v>
      </x:c>
      <x:c r="L888" s="8" t="n">
        <x:f>0</x:f>
        <x:v>0</x:v>
      </x:c>
      <x:c r="M888" s="7" t="n">
        <x:f>IF('01_Ustawienia'!$B$4="ZWOLNIONY",0,'01_Ustawienia'!$B$7)</x:f>
        <x:v>0.08</x:v>
      </x:c>
      <x:c r="N888" s="8" t="n">
        <x:f>IF(J888="","",ROUND((J888+K888)*(1+M888),0))</x:f>
        <x:v>713</x:v>
      </x:c>
      <x:c r="O888" s="8" t="n">
        <x:f>IF(J888="","",J888+K888-H888-L888)</x:f>
        <x:v>205</x:v>
      </x:c>
      <x:c r="P888" s="7" t="n">
        <x:f>IFERROR(O888/(J888+K888),"")</x:f>
        <x:v>0.3106060606060606</x:v>
      </x:c>
      <x:c r="Q888" s="6" t="inlineStr">
        <x:is>
          <x:t xml:space="preserve">RAW_OP AD/AE</x:t>
        </x:is>
      </x:c>
      <x:c r="R888" s="6" t="inlineStr">
        <x:is>
          <x:t xml:space="preserve">DODATKI</x:t>
        </x:is>
      </x:c>
      <x:c r="S888" s="6" t="inlineStr">
        <x:is>
          <x:t xml:space="preserve">crm_only</x:t>
        </x:is>
      </x:c>
      <x:c r="T888" s="6" t="n"/>
    </x:row>
    <x:row r="889">
      <x:c r="A889" s="6" t="inlineStr">
        <x:is>
          <x:t xml:space="preserve">500 x 906 cm</x:t>
        </x:is>
      </x:c>
      <x:c r="B889" s="6" t="inlineStr">
        <x:is>
          <x:t xml:space="preserve">S</x:t>
        </x:is>
      </x:c>
      <x:c r="C889" s="6" t="inlineStr">
        <x:is>
          <x:t xml:space="preserve">Szczotki przeciwkurzowe</x:t>
        </x:is>
      </x:c>
      <x:c r="D889" s="6" t="inlineStr">
        <x:is>
          <x:t xml:space="preserve">SZCZOTKI</x:t>
        </x:is>
      </x:c>
      <x:c r="E889" s="8" t="n">
        <x:f>IFERROR(INDEX('02_RAW_INDEX'!$AD:$AD,MATCH($A889,'02_RAW_INDEX'!$A:$A,0)),"")</x:f>
        <x:v>585</x:v>
      </x:c>
      <x:c r="F889" s="8" t="n">
        <x:f>IFERROR(INDEX('02_RAW_INDEX'!$AC:$AC,MATCH($A889,'02_RAW_INDEX'!$A:$A,0)),"")</x:f>
        <x:v>720</x:v>
      </x:c>
      <x:c r="G889" s="7" t="n">
        <x:f>'01_Ustawienia'!$B$6</x:f>
        <x:v>0</x:v>
      </x:c>
      <x:c r="H889" s="8" t="n">
        <x:f>IF(E889="","",ROUND(IF('01_Ustawienia'!$B$5="BRUTTO",F889,E889)*(1-G889),0))</x:f>
        <x:v>585</x:v>
      </x:c>
      <x:c r="I889" s="7" t="n">
        <x:f>IFERROR(IFERROR(INDEX('01_Ustawienia'!$B$15:$B$33,MATCH(B889,'01_Ustawienia'!$A$15:$A$33,0)),0.45),0.45)</x:f>
        <x:v>0.45</x:v>
      </x:c>
      <x:c r="J889" s="8" t="n">
        <x:f>IF(H889="","",ROUND(H889*(1+I889),0))</x:f>
        <x:v>848</x:v>
      </x:c>
      <x:c r="K889" s="8" t="n">
        <x:f>0</x:f>
        <x:v>0</x:v>
      </x:c>
      <x:c r="L889" s="8" t="n">
        <x:f>IFERROR(IFERROR(INDEX(EG_Cennik_uslug!$CA:$CA,MATCH($A889,EG_Cennik_uslug!$A:$A,0)),0),0)</x:f>
        <x:v>0</x:v>
      </x:c>
      <x:c r="M889" s="7" t="n">
        <x:f>IF('01_Ustawienia'!$B$4="ZWOLNIONY",0,'01_Ustawienia'!$B$7)</x:f>
        <x:v>0.08</x:v>
      </x:c>
      <x:c r="N889" s="8" t="n">
        <x:f>IF(J889="","",ROUND((J889+K889)*(1+M889),0))</x:f>
        <x:v>916</x:v>
      </x:c>
      <x:c r="O889" s="8" t="n">
        <x:f>IF(J889="","",J889+K889-H889-L889)</x:f>
        <x:v>263</x:v>
      </x:c>
      <x:c r="P889" s="7" t="n">
        <x:f>IFERROR(O889/(J889+K889),"")</x:f>
        <x:v>0.31014150943396224</x:v>
      </x:c>
      <x:c r="Q889" s="6" t="inlineStr">
        <x:is>
          <x:t xml:space="preserve">RAW_OP L/M</x:t>
        </x:is>
      </x:c>
      <x:c r="R889" s="6" t="inlineStr">
        <x:is>
          <x:t xml:space="preserve">DODATKI</x:t>
        </x:is>
      </x:c>
      <x:c r="S889" s="6" t="inlineStr">
        <x:is>
          <x:t xml:space="preserve">website+crm</x:t>
        </x:is>
      </x:c>
      <x:c r="T889" s="6" t="n"/>
    </x:row>
    <x:row r="890">
      <x:c r="A890" s="6" t="inlineStr">
        <x:is>
          <x:t xml:space="preserve">500 x 906 cm</x:t>
        </x:is>
      </x:c>
      <x:c r="B890" s="6" t="inlineStr">
        <x:is>
          <x:t xml:space="preserve">U</x:t>
        </x:is>
      </x:c>
      <x:c r="C890" s="6" t="inlineStr">
        <x:is>
          <x:t xml:space="preserve">Uchwyty na szkło ścienne</x:t>
        </x:is>
      </x:c>
      <x:c r="D890" s="6" t="inlineStr">
        <x:is>
          <x:t xml:space="preserve">UCHWYTY</x:t>
        </x:is>
      </x:c>
      <x:c r="E890" s="8" t="n">
        <x:f>IFERROR(INDEX('02_RAW_INDEX'!$AF:$AF,MATCH($A890,'02_RAW_INDEX'!$A:$A,0)),"")</x:f>
        <x:v>528</x:v>
      </x:c>
      <x:c r="F890" s="8" t="n">
        <x:f>IFERROR(INDEX('02_RAW_INDEX'!$AE:$AE,MATCH($A890,'02_RAW_INDEX'!$A:$A,0)),"")</x:f>
        <x:v>650</x:v>
      </x:c>
      <x:c r="G890" s="7" t="n">
        <x:f>'01_Ustawienia'!$B$6</x:f>
        <x:v>0</x:v>
      </x:c>
      <x:c r="H890" s="8" t="n">
        <x:f>IF(E890="","",ROUND(IF('01_Ustawienia'!$B$5="BRUTTO",F890,E890)*(1-G890),0))</x:f>
        <x:v>528</x:v>
      </x:c>
      <x:c r="I890" s="7" t="n">
        <x:f>IFERROR(IFERROR(INDEX('01_Ustawienia'!$B$15:$B$33,MATCH(B890,'01_Ustawienia'!$A$15:$A$33,0)),0.45),0.45)</x:f>
        <x:v>0.45</x:v>
      </x:c>
      <x:c r="J890" s="8" t="n">
        <x:f>IF(H890="","",ROUND(H890*(1+I890),0))</x:f>
        <x:v>766</x:v>
      </x:c>
      <x:c r="K890" s="8" t="n">
        <x:f>0</x:f>
        <x:v>0</x:v>
      </x:c>
      <x:c r="L890" s="8" t="n">
        <x:f>IFERROR(IFERROR(INDEX(EG_Cennik_uslug!$CH:$CH,MATCH($A890,EG_Cennik_uslug!$A:$A,0)),0),0)</x:f>
        <x:v>0</x:v>
      </x:c>
      <x:c r="M890" s="7" t="n">
        <x:f>IF('01_Ustawienia'!$B$4="ZWOLNIONY",0,'01_Ustawienia'!$B$7)</x:f>
        <x:v>0.08</x:v>
      </x:c>
      <x:c r="N890" s="8" t="n">
        <x:f>IF(J890="","",ROUND((J890+K890)*(1+M890),0))</x:f>
        <x:v>827</x:v>
      </x:c>
      <x:c r="O890" s="8" t="n">
        <x:f>IF(J890="","",J890+K890-H890-L890)</x:f>
        <x:v>238</x:v>
      </x:c>
      <x:c r="P890" s="7" t="n">
        <x:f>IFERROR(O890/(J890+K890),"")</x:f>
        <x:v>0.31070496083550914</x:v>
      </x:c>
      <x:c r="Q890" s="6" t="inlineStr">
        <x:is>
          <x:t xml:space="preserve">RAW_OP N/O</x:t>
        </x:is>
      </x:c>
      <x:c r="R890" s="6" t="inlineStr">
        <x:is>
          <x:t xml:space="preserve">DODATKI</x:t>
        </x:is>
      </x:c>
      <x:c r="S890" s="6" t="inlineStr">
        <x:is>
          <x:t xml:space="preserve">website+crm</x:t>
        </x:is>
      </x:c>
      <x:c r="T890" s="6" t="n"/>
    </x:row>
    <x:row r="891">
      <x:c r="A891" s="6" t="inlineStr">
        <x:is>
          <x:t xml:space="preserve">500 x 906 cm</x:t>
        </x:is>
      </x:c>
      <x:c r="B891" s="6" t="inlineStr">
        <x:is>
          <x:t xml:space="preserve">LED2</x:t>
        </x:is>
      </x:c>
      <x:c r="C891" s="6" t="inlineStr">
        <x:is>
          <x:t xml:space="preserve">Oświetlenie LED 2 punkty</x:t>
        </x:is>
      </x:c>
      <x:c r="D891" s="6" t="inlineStr">
        <x:is>
          <x:t xml:space="preserve">LED 2 PKT</x:t>
        </x:is>
      </x:c>
      <x:c r="E891" s="8" t="n">
        <x:f>IFERROR(INDEX('02_RAW_INDEX'!$N:$N,MATCH($A891,'02_RAW_INDEX'!$A:$A,0)),"")</x:f>
        <x:v>846</x:v>
      </x:c>
      <x:c r="F891" s="8" t="n">
        <x:f>IFERROR(INDEX('02_RAW_INDEX'!$M:$M,MATCH($A891,'02_RAW_INDEX'!$A:$A,0)),"")</x:f>
        <x:v>1040</x:v>
      </x:c>
      <x:c r="G891" s="7" t="n">
        <x:f>'01_Ustawienia'!$B$6</x:f>
        <x:v>0</x:v>
      </x:c>
      <x:c r="H891" s="8" t="n">
        <x:f>IF(E891="","",ROUND(IF('01_Ustawienia'!$B$5="BRUTTO",F891,E891)*(1-G891),0))</x:f>
        <x:v>846</x:v>
      </x:c>
      <x:c r="I891" s="7" t="n">
        <x:f>IFERROR(IFERROR(INDEX('01_Ustawienia'!$B$15:$B$33,MATCH(B891,'01_Ustawienia'!$A$15:$A$33,0)),0.45),0.45)</x:f>
        <x:v>0.45</x:v>
      </x:c>
      <x:c r="J891" s="8" t="n">
        <x:f>IF(H891="","",ROUND(H891*(1+I891),0))</x:f>
        <x:v>1227</x:v>
      </x:c>
      <x:c r="K891" s="8" t="n">
        <x:f>0</x:f>
        <x:v>0</x:v>
      </x:c>
      <x:c r="L891" s="8" t="n">
        <x:f>IFERROR(IFERROR(INDEX(EG_Cennik_uslug!$CO:$CO,MATCH($A891,EG_Cennik_uslug!$A:$A,0)),0),0)</x:f>
        <x:v>0</x:v>
      </x:c>
      <x:c r="M891" s="7" t="n">
        <x:f>IF('01_Ustawienia'!$B$4="ZWOLNIONY",0,'01_Ustawienia'!$B$7)</x:f>
        <x:v>0.08</x:v>
      </x:c>
      <x:c r="N891" s="8" t="n">
        <x:f>IF(J891="","",ROUND((J891+K891)*(1+M891),0))</x:f>
        <x:v>1325</x:v>
      </x:c>
      <x:c r="O891" s="8" t="n">
        <x:f>IF(J891="","",J891+K891-H891-L891)</x:f>
        <x:v>381</x:v>
      </x:c>
      <x:c r="P891" s="7" t="n">
        <x:f>IFERROR(O891/(J891+K891),"")</x:f>
        <x:v>0.3105134474327628</x:v>
      </x:c>
      <x:c r="Q891" s="6" t="inlineStr">
        <x:is>
          <x:t xml:space="preserve">RAW_ZP P/Q</x:t>
        </x:is>
      </x:c>
      <x:c r="R891" s="6" t="inlineStr">
        <x:is>
          <x:t xml:space="preserve">OŚWIETLENIE</x:t>
        </x:is>
      </x:c>
      <x:c r="S891" s="6" t="inlineStr">
        <x:is>
          <x:t xml:space="preserve">website+crm</x:t>
        </x:is>
      </x:c>
      <x:c r="T891" s="6" t="n"/>
    </x:row>
    <x:row r="892">
      <x:c r="A892" s="6" t="inlineStr">
        <x:is>
          <x:t xml:space="preserve">500 x 906 cm</x:t>
        </x:is>
      </x:c>
      <x:c r="B892" s="6" t="inlineStr">
        <x:is>
          <x:t xml:space="preserve">LED3</x:t>
        </x:is>
      </x:c>
      <x:c r="C892" s="6" t="inlineStr">
        <x:is>
          <x:t xml:space="preserve">Oświetlenie LED 3 punkty</x:t>
        </x:is>
      </x:c>
      <x:c r="D892" s="6" t="inlineStr">
        <x:is>
          <x:t xml:space="preserve">LED 3 PKT</x:t>
        </x:is>
      </x:c>
      <x:c r="E892" s="8" t="n">
        <x:f>IFERROR(INDEX('02_RAW_INDEX'!$P:$P,MATCH($A892,'02_RAW_INDEX'!$A:$A,0)),"")</x:f>
        <x:v>1268</x:v>
      </x:c>
      <x:c r="F892" s="8" t="n">
        <x:f>IFERROR(INDEX('02_RAW_INDEX'!$O:$O,MATCH($A892,'02_RAW_INDEX'!$A:$A,0)),"")</x:f>
        <x:v>1560</x:v>
      </x:c>
      <x:c r="G892" s="7" t="n">
        <x:f>'01_Ustawienia'!$B$6</x:f>
        <x:v>0</x:v>
      </x:c>
      <x:c r="H892" s="8" t="n">
        <x:f>IF(E892="","",ROUND(IF('01_Ustawienia'!$B$5="BRUTTO",F892,E892)*(1-G892),0))</x:f>
        <x:v>1268</x:v>
      </x:c>
      <x:c r="I892" s="7" t="n">
        <x:f>IFERROR(IFERROR(INDEX('01_Ustawienia'!$B$15:$B$33,MATCH(B892,'01_Ustawienia'!$A$15:$A$33,0)),0.45),0.45)</x:f>
        <x:v>0.45</x:v>
      </x:c>
      <x:c r="J892" s="8" t="n">
        <x:f>IF(H892="","",ROUND(H892*(1+I892),0))</x:f>
        <x:v>1839</x:v>
      </x:c>
      <x:c r="K892" s="8" t="n">
        <x:f>0</x:f>
        <x:v>0</x:v>
      </x:c>
      <x:c r="L892" s="8" t="n">
        <x:f>IFERROR(IFERROR(INDEX(EG_Cennik_uslug!$CV:$CV,MATCH($A892,EG_Cennik_uslug!$A:$A,0)),0),0)</x:f>
        <x:v>0</x:v>
      </x:c>
      <x:c r="M892" s="7" t="n">
        <x:f>IF('01_Ustawienia'!$B$4="ZWOLNIONY",0,'01_Ustawienia'!$B$7)</x:f>
        <x:v>0.08</x:v>
      </x:c>
      <x:c r="N892" s="8" t="n">
        <x:f>IF(J892="","",ROUND((J892+K892)*(1+M892),0))</x:f>
        <x:v>1986</x:v>
      </x:c>
      <x:c r="O892" s="8" t="n">
        <x:f>IF(J892="","",J892+K892-H892-L892)</x:f>
        <x:v>571</x:v>
      </x:c>
      <x:c r="P892" s="7" t="n">
        <x:f>IFERROR(O892/(J892+K892),"")</x:f>
        <x:v>0.31049483414899404</x:v>
      </x:c>
      <x:c r="Q892" s="6" t="inlineStr">
        <x:is>
          <x:t xml:space="preserve">RAW_ZP R/S</x:t>
        </x:is>
      </x:c>
      <x:c r="R892" s="6" t="inlineStr">
        <x:is>
          <x:t xml:space="preserve">OŚWIETLENIE</x:t>
        </x:is>
      </x:c>
      <x:c r="S892" s="6" t="inlineStr">
        <x:is>
          <x:t xml:space="preserve">website+crm</x:t>
        </x:is>
      </x:c>
      <x:c r="T892" s="6" t="inlineStr">
        <x:is>
          <x:t xml:space="preserve">Nazwa do potwierdzenia</x:t>
        </x:is>
      </x:c>
    </x:row>
    <x:row r="893">
      <x:c r="A893" s="6" t="inlineStr">
        <x:is>
          <x:t xml:space="preserve">500 x 906 cm</x:t>
        </x:is>
      </x:c>
      <x:c r="B893" s="6" t="inlineStr">
        <x:is>
          <x:t xml:space="preserve">LEDCCT</x:t>
        </x:is>
      </x:c>
      <x:c r="C893" s="6" t="inlineStr">
        <x:is>
          <x:t xml:space="preserve">Oświetlenie LED CCT</x:t>
        </x:is>
      </x:c>
      <x:c r="D893" s="6" t="inlineStr">
        <x:is>
          <x:t xml:space="preserve">OŚWIETLENIE</x:t>
        </x:is>
      </x:c>
      <x:c r="E893" s="8" t="n">
        <x:f>IFERROR(INDEX('02_RAW_INDEX'!$R:$R,MATCH($A893,'02_RAW_INDEX'!$A:$A,0)),"")</x:f>
        <x:v>2614</x:v>
      </x:c>
      <x:c r="F893" s="8" t="n">
        <x:f>IFERROR(INDEX('02_RAW_INDEX'!$Q:$Q,MATCH($A893,'02_RAW_INDEX'!$A:$A,0)),"")</x:f>
        <x:v>3215</x:v>
      </x:c>
      <x:c r="G893" s="7" t="n">
        <x:f>'01_Ustawienia'!$B$6</x:f>
        <x:v>0</x:v>
      </x:c>
      <x:c r="H893" s="8" t="n">
        <x:f>IF(E893="","",ROUND(IF('01_Ustawienia'!$B$5="BRUTTO",F893,E893)*(1-G893),0))</x:f>
        <x:v>2614</x:v>
      </x:c>
      <x:c r="I893" s="7" t="n">
        <x:f>IFERROR(IFERROR(INDEX('01_Ustawienia'!$B$15:$B$33,MATCH(B893,'01_Ustawienia'!$A$15:$A$33,0)),0.45),0.45)</x:f>
        <x:v>0.45</x:v>
      </x:c>
      <x:c r="J893" s="8" t="n">
        <x:f>IF(H893="","",ROUND(H893*(1+I893),0)+700)</x:f>
        <x:v>4490</x:v>
      </x:c>
      <x:c r="K893" s="8" t="n">
        <x:f>0</x:f>
        <x:v>0</x:v>
      </x:c>
      <x:c r="L893" s="8" t="n">
        <x:f>0</x:f>
        <x:v>0</x:v>
      </x:c>
      <x:c r="M893" s="7" t="n">
        <x:f>IF('01_Ustawienia'!$B$4="ZWOLNIONY",0,'01_Ustawienia'!$B$7)</x:f>
        <x:v>0.08</x:v>
      </x:c>
      <x:c r="N893" s="8" t="n">
        <x:f>IF(J893="","",ROUND((J893+K893)*(1+M893),0))</x:f>
        <x:v>4849</x:v>
      </x:c>
      <x:c r="O893" s="8" t="n">
        <x:f>IF(J893="","",J893+K893-H893-L893)</x:f>
        <x:v>1876</x:v>
      </x:c>
      <x:c r="P893" s="7" t="n">
        <x:f>IFERROR(O893/(J893+K893),"")</x:f>
        <x:v>0.4178173719376392</x:v>
      </x:c>
      <x:c r="Q893" s="715" t="inlineStr">
        <x:is>
          <x:t xml:space="preserve">MODEL_FIX15_LED</x:t>
        </x:is>
      </x:c>
      <x:c r="R893" s="6" t="inlineStr">
        <x:is>
          <x:t xml:space="preserve">OŚWIETLENIE</x:t>
        </x:is>
      </x:c>
      <x:c r="S893" s="6" t="inlineStr">
        <x:is>
          <x:t xml:space="preserve">website+crm</x:t>
        </x:is>
      </x:c>
      <x:c r="T893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894">
      <x:c r="A894" s="6" t="inlineStr">
        <x:is>
          <x:t xml:space="preserve">500 x 906 cm</x:t>
        </x:is>
      </x:c>
      <x:c r="B894" s="6" t="inlineStr">
        <x:is>
          <x:t xml:space="preserve">LEDRGBCCT</x:t>
        </x:is>
      </x:c>
      <x:c r="C894" s="6" t="inlineStr">
        <x:is>
          <x:t xml:space="preserve">Oświetlenie LED RGB CCT</x:t>
        </x:is>
      </x:c>
      <x:c r="D894" s="6" t="inlineStr">
        <x:is>
          <x:t xml:space="preserve">OŚWIETLENIE</x:t>
        </x:is>
      </x:c>
      <x:c r="E894" s="8" t="n">
        <x:f>IFERROR(INDEX('02_RAW_INDEX'!$T:$T,MATCH($A894,'02_RAW_INDEX'!$A:$A,0)),"")</x:f>
        <x:v>3614</x:v>
      </x:c>
      <x:c r="F894" s="8" t="n">
        <x:f>IFERROR(INDEX('02_RAW_INDEX'!$S:$S,MATCH($A894,'02_RAW_INDEX'!$A:$A,0)),"")</x:f>
        <x:v>4445</x:v>
      </x:c>
      <x:c r="G894" s="7" t="n">
        <x:f>'01_Ustawienia'!$B$6</x:f>
        <x:v>0</x:v>
      </x:c>
      <x:c r="H894" s="8" t="n">
        <x:f>IF(E894="","",ROUND(IF('01_Ustawienia'!$B$5="BRUTTO",F894,E894)*(1-G894),0))</x:f>
        <x:v>3614</x:v>
      </x:c>
      <x:c r="I894" s="7" t="n">
        <x:f>IFERROR(IFERROR(INDEX('01_Ustawienia'!$B$15:$B$33,MATCH(B894,'01_Ustawienia'!$A$15:$A$33,0)),0.45),0.45)</x:f>
        <x:v>0.45</x:v>
      </x:c>
      <x:c r="J894" s="8" t="n">
        <x:f>IF(H894="","",ROUND(H894*(1+I894),0))</x:f>
        <x:v>5240</x:v>
      </x:c>
      <x:c r="K894" s="8" t="n">
        <x:f>0</x:f>
        <x:v>0</x:v>
      </x:c>
      <x:c r="L894" s="8" t="n">
        <x:f>0</x:f>
        <x:v>0</x:v>
      </x:c>
      <x:c r="M894" s="7" t="n">
        <x:f>IF('01_Ustawienia'!$B$4="ZWOLNIONY",0,'01_Ustawienia'!$B$7)</x:f>
        <x:v>0.08</x:v>
      </x:c>
      <x:c r="N894" s="8" t="n">
        <x:f>IF(J894="","",ROUND((J894+K894)*(1+M894),0))</x:f>
        <x:v>5659</x:v>
      </x:c>
      <x:c r="O894" s="8" t="n">
        <x:f>IF(J894="","",J894+K894-H894-L894)</x:f>
        <x:v>1626</x:v>
      </x:c>
      <x:c r="P894" s="7" t="n">
        <x:f>IFERROR(O894/(J894+K894),"")</x:f>
        <x:v>0.3103053435114504</x:v>
      </x:c>
      <x:c r="Q894" s="715" t="inlineStr">
        <x:is>
          <x:t xml:space="preserve">MODEL_FIX15_LED</x:t>
        </x:is>
      </x:c>
      <x:c r="R894" s="6" t="inlineStr">
        <x:is>
          <x:t xml:space="preserve">OŚWIETLENIE</x:t>
        </x:is>
      </x:c>
      <x:c r="S894" s="6" t="inlineStr">
        <x:is>
          <x:t xml:space="preserve">crm_only</x:t>
        </x:is>
      </x:c>
      <x:c r="T894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895" s="655" customFormat="1" ht="30" customHeight="1">
      <x:c r="A895" s="6" t="inlineStr">
        <x:is>
          <x:t xml:space="preserve">500 x 1006 cm</x:t>
        </x:is>
      </x:c>
      <x:c r="B895" s="6" t="inlineStr">
        <x:is>
          <x:t xml:space="preserve">ZP</x:t>
        </x:is>
      </x:c>
      <x:c r="C895" s="6" t="inlineStr">
        <x:is>
          <x:t xml:space="preserve">Zadaszenie poliwęglan - baza</x:t>
        </x:is>
      </x:c>
      <x:c r="D895" s="6" t="inlineStr">
        <x:is>
          <x:t xml:space="preserve">ZADASZENIE POLIWĘGLAN</x:t>
        </x:is>
      </x:c>
      <x:c r="E895" s="8" t="n">
        <x:f>IFERROR(INDEX('02_RAW_INDEX'!$D:$D,MATCH($A895,'02_RAW_INDEX'!$A:$A,0)),"")</x:f>
        <x:v>19309</x:v>
      </x:c>
      <x:c r="F895" s="8" t="n">
        <x:f>IFERROR(INDEX('02_RAW_INDEX'!$C:$C,MATCH($A895,'02_RAW_INDEX'!$A:$A,0)),"")</x:f>
        <x:v>23750</x:v>
      </x:c>
      <x:c r="G895" s="7" t="n">
        <x:f>'01_Ustawienia'!$B$6</x:f>
        <x:v>0</x:v>
      </x:c>
      <x:c r="H895" s="8" t="n">
        <x:f>IF(E895="","",ROUND(IF('01_Ustawienia'!$B$5="BRUTTO",F895,E895)*(1-G895),0))</x:f>
        <x:v>19309</x:v>
      </x:c>
      <x:c r="I895" s="7" t="n">
        <x:f>IFERROR(IFERROR(INDEX('01_Ustawienia'!$B$15:$B$33,MATCH(B895,'01_Ustawienia'!$A$15:$A$33,0)),0.45),0.45)</x:f>
        <x:v>0.45</x:v>
      </x:c>
      <x:c r="J895" s="8" t="n">
        <x:f>IF(H895="","",ROUND(H895*(1+I895),0))</x:f>
        <x:v>27998</x:v>
      </x:c>
      <x:c r="K895" s="8" t="n">
        <x:f>IFERROR(IFERROR(INDEX(EG_Cennik_uslug!$F:$F,MATCH($A895,EG_Cennik_uslug!$A:$A,0)),0),0)</x:f>
        <x:v>5230</x:v>
      </x:c>
      <x:c r="L895" s="8" t="n">
        <x:f>IFERROR(IFERROR(INDEX(EG_Cennik_uslug!$G:$G,MATCH($A895,EG_Cennik_uslug!$A:$A,0)),0),0)</x:f>
        <x:v>1990</x:v>
      </x:c>
      <x:c r="M895" s="7" t="n">
        <x:f>IF('01_Ustawienia'!$B$4="ZWOLNIONY",0,'01_Ustawienia'!$B$7)</x:f>
        <x:v>0.08</x:v>
      </x:c>
      <x:c r="N895" s="8" t="n">
        <x:f>IF(J895="","",ROUND((J895+K895)*(1+M895),0))</x:f>
        <x:v>35886</x:v>
      </x:c>
      <x:c r="O895" s="8" t="n">
        <x:f>IF(J895="","",J895+K895-H895-L895)</x:f>
        <x:v>11929</x:v>
      </x:c>
      <x:c r="P895" s="7" t="n">
        <x:f>IFERROR(O895/(J895+K895),"")</x:f>
        <x:v>0.35900445407487663</x:v>
      </x:c>
      <x:c r="Q895" s="6" t="inlineStr">
        <x:is>
          <x:t xml:space="preserve">RAW_ZP B/C</x:t>
        </x:is>
      </x:c>
      <x:c r="R895" s="6" t="inlineStr">
        <x:is>
          <x:t xml:space="preserve">ZADASZENIE TARASU KONSTRUKCJA</x:t>
        </x:is>
      </x:c>
      <x:c r="S895" s="6" t="inlineStr">
        <x:is>
          <x:t xml:space="preserve">website+crm</x:t>
        </x:is>
      </x:c>
      <x:c r="T895" s="6" t="inlineStr">
        <x:is>
          <x:t xml:space="preserve">Baza dla kalkulatora</x:t>
        </x:is>
      </x:c>
    </x:row>
    <x:row r="896" s="655" customFormat="1" ht="30" customHeight="1">
      <x:c r="A896" s="6" t="inlineStr">
        <x:is>
          <x:t xml:space="preserve">500 x 1006 cm</x:t>
        </x:is>
      </x:c>
      <x:c r="B896" s="6" t="inlineStr">
        <x:is>
          <x:t xml:space="preserve">ZS</x:t>
        </x:is>
      </x:c>
      <x:c r="C896" s="6" t="inlineStr">
        <x:is>
          <x:t xml:space="preserve">Zadaszenie szkło - pełna konstrukcja</x:t>
        </x:is>
      </x:c>
      <x:c r="D896" s="6" t="inlineStr">
        <x:is>
          <x:t xml:space="preserve">ZADASZENIE SZKŁO</x:t>
        </x:is>
      </x:c>
      <x:c r="E896" s="8" t="n">
        <x:f>IFERROR(INDEX('02_RAW_INDEX'!$V:$V,MATCH($A896,'02_RAW_INDEX'!$A:$A,0)),"")</x:f>
        <x:v>31130</x:v>
      </x:c>
      <x:c r="F896" s="8" t="n">
        <x:f>IFERROR(INDEX('02_RAW_INDEX'!$U:$U,MATCH($A896,'02_RAW_INDEX'!$A:$A,0)),"")</x:f>
        <x:v>38290</x:v>
      </x:c>
      <x:c r="G896" s="7" t="n">
        <x:f>'01_Ustawienia'!$B$6</x:f>
        <x:v>0</x:v>
      </x:c>
      <x:c r="H896" s="8" t="n">
        <x:f>IF(E896="","",ROUND(IF('01_Ustawienia'!$B$5="BRUTTO",F896,E896)*(1-G896),0))</x:f>
        <x:v>31130</x:v>
      </x:c>
      <x:c r="I896" s="7" t="n">
        <x:f>IFERROR(IFERROR(INDEX('01_Ustawienia'!$B$15:$B$33,MATCH(B896,'01_Ustawienia'!$A$15:$A$33,0)),0.45),0.45)</x:f>
        <x:v>0.45</x:v>
      </x:c>
      <x:c r="J896" s="8" t="n">
        <x:f>IF(H896="","",ROUND(H896*(1+I896),0))</x:f>
        <x:v>45139</x:v>
      </x:c>
      <x:c r="K896" s="8" t="n">
        <x:f>IFERROR(IFERROR(INDEX(EG_Cennik_uslug!$F:$F,MATCH($A896,EG_Cennik_uslug!$A:$A,0)),0),0)</x:f>
        <x:v>5230</x:v>
      </x:c>
      <x:c r="L896" s="8" t="n">
        <x:f>IFERROR(IFERROR(INDEX(EG_Cennik_uslug!$G:$G,MATCH($A896,EG_Cennik_uslug!$A:$A,0)),0),0)</x:f>
        <x:v>1990</x:v>
      </x:c>
      <x:c r="M896" s="7" t="n">
        <x:f>IF('01_Ustawienia'!$B$4="ZWOLNIONY",0,'01_Ustawienia'!$B$7)</x:f>
        <x:v>0.08</x:v>
      </x:c>
      <x:c r="N896" s="8" t="n">
        <x:f>IF(J896="","",ROUND((J896+K896)*(1+M896),0))</x:f>
        <x:v>54399</x:v>
      </x:c>
      <x:c r="O896" s="8" t="n">
        <x:f>IF(J896="","",J896+K896-H896-L896)</x:f>
        <x:v>17249</x:v>
      </x:c>
      <x:c r="P896" s="7" t="n">
        <x:f>IFERROR(O896/(J896+K896),"")</x:f>
        <x:v>0.3424526990807838</x:v>
      </x:c>
      <x:c r="Q896" s="6" t="inlineStr">
        <x:is>
          <x:t xml:space="preserve">RAW_ZS B/C</x:t>
        </x:is>
      </x:c>
      <x:c r="R896" s="6" t="inlineStr">
        <x:is>
          <x:t xml:space="preserve">ZADASZENIE TARASU KONSTRUKCJA</x:t>
        </x:is>
      </x:c>
      <x:c r="S896" s="6" t="inlineStr">
        <x:is>
          <x:t xml:space="preserve">crm_only</x:t>
        </x:is>
      </x:c>
      <x:c r="T896" s="6" t="inlineStr">
        <x:is>
          <x:t xml:space="preserve">Referencyjne/full; strona zwykle używa ZP + PDS</x:t>
        </x:is>
      </x:c>
    </x:row>
    <x:row r="897" s="655" customFormat="1" ht="30" customHeight="1">
      <x:c r="A897" s="6" t="inlineStr">
        <x:is>
          <x:t xml:space="preserve">500 x 1006 cm</x:t>
        </x:is>
      </x:c>
      <x:c r="B897" s="6" t="inlineStr">
        <x:is>
          <x:t xml:space="preserve">OP</x:t>
        </x:is>
      </x:c>
      <x:c r="C897" s="6" t="inlineStr">
        <x:is>
          <x:t xml:space="preserve">Ogród zimowy poliwęglan - baza</x:t>
        </x:is>
      </x:c>
      <x:c r="D897" s="6" t="inlineStr">
        <x:is>
          <x:t xml:space="preserve">OGRODY POLIWĘGLAN</x:t>
        </x:is>
      </x:c>
      <x:c r="E897" s="8" t="n">
        <x:f>IFERROR(INDEX('02_RAW_INDEX'!$Z:$Z,MATCH($A897,'02_RAW_INDEX'!$A:$A,0)),"")</x:f>
        <x:v>36789</x:v>
      </x:c>
      <x:c r="F897" s="8" t="n">
        <x:f>IFERROR(INDEX('02_RAW_INDEX'!$Y:$Y,MATCH($A897,'02_RAW_INDEX'!$A:$A,0)),"")</x:f>
        <x:v>45250</x:v>
      </x:c>
      <x:c r="G897" s="7" t="n">
        <x:f>'01_Ustawienia'!$B$6</x:f>
        <x:v>0</x:v>
      </x:c>
      <x:c r="H897" s="8" t="n">
        <x:f>IF(E897="","",ROUND(IF('01_Ustawienia'!$B$5="BRUTTO",F897,E897)*(1-G897),0))</x:f>
        <x:v>36789</x:v>
      </x:c>
      <x:c r="I897" s="7" t="n">
        <x:f>IFERROR(IFERROR(INDEX('01_Ustawienia'!$B$15:$B$33,MATCH(B897,'01_Ustawienia'!$A$15:$A$33,0)),0.45),0.45)</x:f>
        <x:v>0.45</x:v>
      </x:c>
      <x:c r="J897" s="8" t="n">
        <x:f>IF(H897="","",ROUND(H897*(1+I897),0))</x:f>
        <x:v>53344</x:v>
      </x:c>
      <x:c r="K897" s="8" t="n">
        <x:f>IFERROR(IFERROR(INDEX(EG_Cennik_uslug!$N:$N,MATCH($A897,EG_Cennik_uslug!$A:$A,0)),0),0)</x:f>
        <x:v>6730</x:v>
      </x:c>
      <x:c r="L897" s="8" t="n">
        <x:f>IFERROR(IFERROR(INDEX(EG_Cennik_uslug!$O:$O,MATCH($A897,EG_Cennik_uslug!$A:$A,0)),0),0)</x:f>
        <x:v>2790</x:v>
      </x:c>
      <x:c r="M897" s="7" t="n">
        <x:f>IF('01_Ustawienia'!$B$4="ZWOLNIONY",0,'01_Ustawienia'!$B$7)</x:f>
        <x:v>0.08</x:v>
      </x:c>
      <x:c r="N897" s="8" t="n">
        <x:f>IF(J897="","",ROUND((J897+K897)*(1+M897),0))</x:f>
        <x:v>64880</x:v>
      </x:c>
      <x:c r="O897" s="8" t="n">
        <x:f>IF(J897="","",J897+K897-H897-L897)</x:f>
        <x:v>20495</x:v>
      </x:c>
      <x:c r="P897" s="7" t="n">
        <x:f>IFERROR(O897/(J897+K897),"")</x:f>
        <x:v>0.3411625661683923</x:v>
      </x:c>
      <x:c r="Q897" s="6" t="inlineStr">
        <x:is>
          <x:t xml:space="preserve">RAW_OP B/C</x:t>
        </x:is>
      </x:c>
      <x:c r="R897" s="6" t="inlineStr">
        <x:is>
          <x:t xml:space="preserve">OGRÓD ZIMOWY (KONSTRUKCJA)</x:t>
        </x:is>
      </x:c>
      <x:c r="S897" s="6" t="inlineStr">
        <x:is>
          <x:t xml:space="preserve">website+crm</x:t>
        </x:is>
      </x:c>
      <x:c r="T897" s="6" t="inlineStr">
        <x:is>
          <x:t xml:space="preserve">Do wyliczenia dopłaty za ściany</x:t>
        </x:is>
      </x:c>
    </x:row>
    <x:row r="898" s="655" customFormat="1" ht="30" customHeight="1">
      <x:c r="A898" s="6" t="inlineStr">
        <x:is>
          <x:t xml:space="preserve">500 x 1006 cm</x:t>
        </x:is>
      </x:c>
      <x:c r="B898" s="6" t="inlineStr">
        <x:is>
          <x:t xml:space="preserve">OS</x:t>
        </x:is>
      </x:c>
      <x:c r="C898" s="6" t="inlineStr">
        <x:is>
          <x:t xml:space="preserve">Ogród zimowy szkło - pełna konstrukcja</x:t>
        </x:is>
      </x:c>
      <x:c r="D898" s="6" t="inlineStr">
        <x:is>
          <x:t xml:space="preserve">OGRODY SZKŁO</x:t>
        </x:is>
      </x:c>
      <x:c r="E898" s="8" t="n">
        <x:f>IFERROR(INDEX('02_RAW_INDEX'!$AL:$AL,MATCH($A898,'02_RAW_INDEX'!$A:$A,0)),"")</x:f>
        <x:v>48610</x:v>
      </x:c>
      <x:c r="F898" s="8" t="n">
        <x:f>IFERROR(INDEX('02_RAW_INDEX'!$AK:$AK,MATCH($A898,'02_RAW_INDEX'!$A:$A,0)),"")</x:f>
        <x:v>59790</x:v>
      </x:c>
      <x:c r="G898" s="7" t="n">
        <x:f>'01_Ustawienia'!$B$6</x:f>
        <x:v>0</x:v>
      </x:c>
      <x:c r="H898" s="8" t="n">
        <x:f>IF(E898="","",ROUND(IF('01_Ustawienia'!$B$5="BRUTTO",F898,E898)*(1-G898),0))</x:f>
        <x:v>48610</x:v>
      </x:c>
      <x:c r="I898" s="7" t="n">
        <x:f>IFERROR(IFERROR(INDEX('01_Ustawienia'!$B$15:$B$33,MATCH(B898,'01_Ustawienia'!$A$15:$A$33,0)),0.45),0.45)</x:f>
        <x:v>0.45</x:v>
      </x:c>
      <x:c r="J898" s="8" t="n">
        <x:f>IF(H898="","",ROUND(H898*(1+I898),0))</x:f>
        <x:v>70485</x:v>
      </x:c>
      <x:c r="K898" s="8" t="n">
        <x:f>IFERROR(IFERROR(INDEX(EG_Cennik_uslug!$N:$N,MATCH($A898,EG_Cennik_uslug!$A:$A,0)),0),0)</x:f>
        <x:v>6730</x:v>
      </x:c>
      <x:c r="L898" s="8" t="n">
        <x:f>IFERROR(IFERROR(INDEX(EG_Cennik_uslug!$O:$O,MATCH($A898,EG_Cennik_uslug!$A:$A,0)),0),0)</x:f>
        <x:v>2790</x:v>
      </x:c>
      <x:c r="M898" s="7" t="n">
        <x:f>IF('01_Ustawienia'!$B$4="ZWOLNIONY",0,'01_Ustawienia'!$B$7)</x:f>
        <x:v>0.08</x:v>
      </x:c>
      <x:c r="N898" s="8" t="n">
        <x:f>IF(J898="","",ROUND((J898+K898)*(1+M898),0))</x:f>
        <x:v>83392</x:v>
      </x:c>
      <x:c r="O898" s="8" t="n">
        <x:f>IF(J898="","",J898+K898-H898-L898)</x:f>
        <x:v>25815</x:v>
      </x:c>
      <x:c r="P898" s="7" t="n">
        <x:f>IFERROR(O898/(J898+K898),"")</x:f>
        <x:v>0.3343262319497507</x:v>
      </x:c>
      <x:c r="Q898" s="6" t="inlineStr">
        <x:is>
          <x:t xml:space="preserve">RAW_OS B/C</x:t>
        </x:is>
      </x:c>
      <x:c r="R898" s="6" t="inlineStr">
        <x:is>
          <x:t xml:space="preserve">OGRÓD ZIMOWY (KONSTRUKCJA)</x:t>
        </x:is>
      </x:c>
      <x:c r="S898" s="6" t="inlineStr">
        <x:is>
          <x:t xml:space="preserve">crm_only</x:t>
        </x:is>
      </x:c>
      <x:c r="T898" s="6" t="inlineStr">
        <x:is>
          <x:t xml:space="preserve">Referencyjne/full</x:t>
        </x:is>
      </x:c>
    </x:row>
    <x:row r="899" s="655" customFormat="1" ht="30" customHeight="1">
      <x:c r="A899" s="6" t="inlineStr">
        <x:is>
          <x:t xml:space="preserve">500 x 1006 cm</x:t>
        </x:is>
      </x:c>
      <x:c r="B899" s="6" t="inlineStr">
        <x:is>
          <x:t xml:space="preserve">PDS</x:t>
        </x:is>
      </x:c>
      <x:c r="C899" s="6" t="inlineStr">
        <x:is>
          <x:t xml:space="preserve">Dopłata dach szkło przezroczyste</x:t>
        </x:is>
      </x:c>
      <x:c r="D899" s="6" t="inlineStr">
        <x:is>
          <x:t xml:space="preserve">POKRYCIE DACHU SZKŁO</x:t>
        </x:is>
      </x:c>
      <x:c r="E899" s="8" t="n">
        <x:f>IFERROR(IFERROR(INDEX('02_RAW_INDEX'!$V:$V,MATCH($A899,'02_RAW_INDEX'!$A:$A,0)),"")-IFERROR(INDEX('02_RAW_INDEX'!$D:$D,MATCH($A899,'02_RAW_INDEX'!$A:$A,0)),""),"")</x:f>
        <x:v>11821</x:v>
      </x:c>
      <x:c r="F899" s="8" t="n">
        <x:f>IFERROR(IFERROR(INDEX('02_RAW_INDEX'!$U:$U,MATCH($A899,'02_RAW_INDEX'!$A:$A,0)),"")-IFERROR(INDEX('02_RAW_INDEX'!$C:$C,MATCH($A899,'02_RAW_INDEX'!$A:$A,0)),""),"")</x:f>
        <x:v>14540</x:v>
      </x:c>
      <x:c r="G899" s="7" t="n">
        <x:f>'01_Ustawienia'!$B$6</x:f>
        <x:v>0</x:v>
      </x:c>
      <x:c r="H899" s="8" t="n">
        <x:f>IF(E899="","",ROUND(IF('01_Ustawienia'!$B$5="BRUTTO",F899,E899)*(1-G899),0))</x:f>
        <x:v>11821</x:v>
      </x:c>
      <x:c r="I899" s="7" t="n">
        <x:f>IFERROR(IFERROR(INDEX('01_Ustawienia'!$B$15:$B$33,MATCH(B899,'01_Ustawienia'!$A$15:$A$33,0)),0.45),0.45)</x:f>
        <x:v>0.45</x:v>
      </x:c>
      <x:c r="J899" s="8" t="n">
        <x:f>IF(H899="","",ROUND(H899*(1+I899),0))</x:f>
        <x:v>17140</x:v>
      </x:c>
      <x:c r="K899" s="8" t="n">
        <x:f>0</x:f>
        <x:v>0</x:v>
      </x:c>
      <x:c r="L899" s="8" t="n">
        <x:v>0</x:v>
      </x:c>
      <x:c r="M899" s="7" t="n">
        <x:f>IF('01_Ustawienia'!$B$4="ZWOLNIONY",0,'01_Ustawienia'!$B$7)</x:f>
        <x:v>0.08</x:v>
      </x:c>
      <x:c r="N899" s="8" t="n">
        <x:f>IF(J899="","",ROUND((J899+K899)*(1+M899),0))</x:f>
        <x:v>18511</x:v>
      </x:c>
      <x:c r="O899" s="8" t="n">
        <x:f>IF(J899="","",J899+K899-H899-L899)</x:f>
        <x:v>5319</x:v>
      </x:c>
      <x:c r="P899" s="7" t="n">
        <x:f>IFERROR(O899/(J899+K899),"")</x:f>
        <x:v>0.3103267211201867</x:v>
      </x:c>
      <x:c r="Q899" s="6" t="inlineStr">
        <x:is>
          <x:t xml:space="preserve">RAW_ZS - RAW_ZP</x:t>
        </x:is>
      </x:c>
      <x:c r="R899" s="6" t="inlineStr">
        <x:is>
          <x:t xml:space="preserve">POKRYCIE DACHU</x:t>
        </x:is>
      </x:c>
      <x:c r="S899" s="6" t="inlineStr">
        <x:is>
          <x:t xml:space="preserve">website+crm</x:t>
        </x:is>
      </x:c>
      <x:c r="T899" s="6" t="inlineStr">
        <x:is>
          <x:t xml:space="preserve">Dopłata do bazowego dachu poliwęglan | FIX17: Wynagr.+koszty = 0 dla dopłaty; nie jest osobnym montażem ekipy.</x:t>
        </x:is>
      </x:c>
    </x:row>
    <x:row r="900" s="655" customFormat="1" ht="30" customHeight="1">
      <x:c r="A900" s="6" t="inlineStr">
        <x:is>
          <x:t xml:space="preserve">500 x 1006 cm</x:t>
        </x:is>
      </x:c>
      <x:c r="B900" s="6" t="inlineStr">
        <x:is>
          <x:t xml:space="preserve">PDSB</x:t>
        </x:is>
      </x:c>
      <x:c r="C900" s="6" t="inlineStr">
        <x:is>
          <x:t xml:space="preserve">Dopłata dach szkło barwione/mleczne</x:t>
        </x:is>
      </x:c>
      <x:c r="D900" s="6" t="inlineStr">
        <x:is>
          <x:t xml:space="preserve">POKRYCIE DACHU SZKŁO BARWIONE</x:t>
        </x:is>
      </x:c>
      <x:c r="E900" s="8" t="n">
        <x:f>IFERROR(INDEX('02_RAW_INDEX'!$X:$X,MATCH($A900,'02_RAW_INDEX'!$A:$A,0)),"")</x:f>
        <x:v>1138</x:v>
      </x:c>
      <x:c r="F900" s="8" t="n">
        <x:f>IFERROR(INDEX('02_RAW_INDEX'!$W:$W,MATCH($A900,'02_RAW_INDEX'!$A:$A,0)),"")</x:f>
        <x:v>1400</x:v>
      </x:c>
      <x:c r="G900" s="7" t="n">
        <x:f>'01_Ustawienia'!$B$6</x:f>
        <x:v>0</x:v>
      </x:c>
      <x:c r="H900" s="8" t="n">
        <x:f>IF(E900="","",ROUND(IF('01_Ustawienia'!$B$5="BRUTTO",F900,E900)*(1-G900),0))</x:f>
        <x:v>1138</x:v>
      </x:c>
      <x:c r="I900" s="7" t="n">
        <x:f>IFERROR(IFERROR(INDEX('01_Ustawienia'!$B$15:$B$33,MATCH(B900,'01_Ustawienia'!$A$15:$A$33,0)),0.45),0.45)</x:f>
        <x:v>0.45</x:v>
      </x:c>
      <x:c r="J900" s="8" t="n">
        <x:f>IF(H900="","",ROUND(H900*(1+I900),0))</x:f>
        <x:v>1650</x:v>
      </x:c>
      <x:c r="K900" s="8" t="n">
        <x:f>0</x:f>
        <x:v>0</x:v>
      </x:c>
      <x:c r="L900" s="8" t="n">
        <x:v>0</x:v>
      </x:c>
      <x:c r="M900" s="7" t="n">
        <x:f>IF('01_Ustawienia'!$B$4="ZWOLNIONY",0,'01_Ustawienia'!$B$7)</x:f>
        <x:v>0.08</x:v>
      </x:c>
      <x:c r="N900" s="8" t="n">
        <x:f>IF(J900="","",ROUND((J900+K900)*(1+M900),0))</x:f>
        <x:v>1782</x:v>
      </x:c>
      <x:c r="O900" s="8" t="n">
        <x:f>IF(J900="","",J900+K900-H900-L900)</x:f>
        <x:v>512</x:v>
      </x:c>
      <x:c r="P900" s="7" t="n">
        <x:f>IFERROR(O900/(J900+K900),"")</x:f>
        <x:v>0.3103030303030303</x:v>
      </x:c>
      <x:c r="Q900" s="6" t="inlineStr">
        <x:is>
          <x:t xml:space="preserve">RAW_ZS D/E</x:t>
        </x:is>
      </x:c>
      <x:c r="R900" s="6" t="inlineStr">
        <x:is>
          <x:t xml:space="preserve">POKRYCIE DACHU</x:t>
        </x:is>
      </x:c>
      <x:c r="S900" s="6" t="inlineStr">
        <x:is>
          <x:t xml:space="preserve">website+crm</x:t>
        </x:is>
      </x:c>
      <x:c r="T900" s="6" t="inlineStr">
        <x:is>
          <x:t xml:space="preserve">Dodawane do PDS | FIX17: Wynagr.+koszty = 0 dla dopłaty; nie jest osobnym montażem ekipy.</x:t>
        </x:is>
      </x:c>
    </x:row>
    <x:row r="901" s="655" customFormat="1" ht="30" customHeight="1">
      <x:c r="A901" s="6" t="inlineStr">
        <x:is>
          <x:t xml:space="preserve">500 x 1006 cm</x:t>
        </x:is>
      </x:c>
      <x:c r="B901" s="6" t="inlineStr">
        <x:is>
          <x:t xml:space="preserve">PDPB</x:t>
        </x:is>
      </x:c>
      <x:c r="C901" s="6" t="inlineStr">
        <x:is>
          <x:t xml:space="preserve">Dopłata poliwęglan barwiony</x:t>
        </x:is>
      </x:c>
      <x:c r="D901" s="6" t="inlineStr">
        <x:is>
          <x:t xml:space="preserve">POKRYCIE DACHU POLIWĘGLAN BARWIONY</x:t>
        </x:is>
      </x:c>
      <x:c r="E901" s="8" t="n">
        <x:f>IFERROR(INDEX('02_RAW_INDEX'!$F:$F,MATCH($A901,'02_RAW_INDEX'!$A:$A,0)),"")</x:f>
        <x:v>846</x:v>
      </x:c>
      <x:c r="F901" s="8" t="n">
        <x:f>IFERROR(INDEX('02_RAW_INDEX'!$E:$E,MATCH($A901,'02_RAW_INDEX'!$A:$A,0)),"")</x:f>
        <x:v>1040</x:v>
      </x:c>
      <x:c r="G901" s="7" t="n">
        <x:f>'01_Ustawienia'!$B$6</x:f>
        <x:v>0</x:v>
      </x:c>
      <x:c r="H901" s="8" t="n">
        <x:f>IF(E901="","",ROUND(IF('01_Ustawienia'!$B$5="BRUTTO",F901,E901)*(1-G901),0))</x:f>
        <x:v>846</x:v>
      </x:c>
      <x:c r="I901" s="7" t="n">
        <x:f>IFERROR(IFERROR(INDEX('01_Ustawienia'!$B$15:$B$33,MATCH(B901,'01_Ustawienia'!$A$15:$A$33,0)),0.45),0.45)</x:f>
        <x:v>0.45</x:v>
      </x:c>
      <x:c r="J901" s="8" t="n">
        <x:f>IF(H901="","",ROUND(H901*(1+I901),0))</x:f>
        <x:v>1227</x:v>
      </x:c>
      <x:c r="K901" s="8" t="n">
        <x:f>0</x:f>
        <x:v>0</x:v>
      </x:c>
      <x:c r="L901" s="8" t="n">
        <x:v>0</x:v>
      </x:c>
      <x:c r="M901" s="7" t="n">
        <x:f>IF('01_Ustawienia'!$B$4="ZWOLNIONY",0,'01_Ustawienia'!$B$7)</x:f>
        <x:v>0.08</x:v>
      </x:c>
      <x:c r="N901" s="8" t="n">
        <x:f>IF(J901="","",ROUND((J901+K901)*(1+M901),0))</x:f>
        <x:v>1325</x:v>
      </x:c>
      <x:c r="O901" s="8" t="n">
        <x:f>IF(J901="","",J901+K901-H901-L901)</x:f>
        <x:v>381</x:v>
      </x:c>
      <x:c r="P901" s="7" t="n">
        <x:f>IFERROR(O901/(J901+K901),"")</x:f>
        <x:v>0.3105134474327628</x:v>
      </x:c>
      <x:c r="Q901" s="6" t="inlineStr">
        <x:is>
          <x:t xml:space="preserve">RAW_ZP D/E</x:t>
        </x:is>
      </x:c>
      <x:c r="R901" s="6" t="inlineStr">
        <x:is>
          <x:t xml:space="preserve">POKRYCIE DACHU</x:t>
        </x:is>
      </x:c>
      <x:c r="S901" s="6" t="inlineStr">
        <x:is>
          <x:t xml:space="preserve">website+crm</x:t>
        </x:is>
      </x:c>
      <x:c r="T901" s="6" t="inlineStr">
        <x:is>
          <x:t xml:space="preserve">FIX17: Wynagr.+koszty = 0 dla dopłaty; nie jest osobnym montażem ekipy.</x:t>
        </x:is>
      </x:c>
    </x:row>
    <x:row r="902" s="655" customFormat="1" ht="30" customHeight="1">
      <x:c r="A902" s="6" t="inlineStr">
        <x:is>
          <x:t xml:space="preserve">500 x 1006 cm</x:t>
        </x:is>
      </x:c>
      <x:c r="B902" s="6" t="inlineStr">
        <x:is>
          <x:t xml:space="preserve">SBB</x:t>
        </x:is>
      </x:c>
      <x:c r="C902" s="6" t="inlineStr">
        <x:is>
          <x:t xml:space="preserve">Dopłata szkło boczne przyciemniane</x:t>
        </x:is>
      </x:c>
      <x:c r="D902" s="6" t="inlineStr">
        <x:is>
          <x:t xml:space="preserve">SZKŁO BOCZNE BARWIONE</x:t>
        </x:is>
      </x:c>
      <x:c r="E902" s="8" t="n">
        <x:f>IFERROR(INDEX('02_RAW_INDEX'!$AB:$AB,MATCH($A902,'02_RAW_INDEX'!$A:$A,0)),"")</x:f>
        <x:v>1951</x:v>
      </x:c>
      <x:c r="F902" s="8" t="n">
        <x:f>IFERROR(INDEX('02_RAW_INDEX'!$AA:$AA,MATCH($A902,'02_RAW_INDEX'!$A:$A,0)),"")</x:f>
        <x:v>2400</x:v>
      </x:c>
      <x:c r="G902" s="7" t="n">
        <x:f>'01_Ustawienia'!$B$6</x:f>
        <x:v>0</x:v>
      </x:c>
      <x:c r="H902" s="8" t="n">
        <x:f>IF(E902="","",ROUND(IF('01_Ustawienia'!$B$5="BRUTTO",F902,E902)*(1-G902),0))</x:f>
        <x:v>1951</x:v>
      </x:c>
      <x:c r="I902" s="7" t="n">
        <x:f>IFERROR(IFERROR(INDEX('01_Ustawienia'!$B$15:$B$33,MATCH(B902,'01_Ustawienia'!$A$15:$A$33,0)),0.45),0.45)</x:f>
        <x:v>0.45</x:v>
      </x:c>
      <x:c r="J902" s="8" t="n">
        <x:f>IF(H902="","",ROUND(H902*(1+I902),0))</x:f>
        <x:v>2829</x:v>
      </x:c>
      <x:c r="K902" s="8" t="n">
        <x:f>0</x:f>
        <x:v>0</x:v>
      </x:c>
      <x:c r="L902" s="8" t="n">
        <x:v>0</x:v>
      </x:c>
      <x:c r="M902" s="7" t="n">
        <x:f>IF('01_Ustawienia'!$B$4="ZWOLNIONY",0,'01_Ustawienia'!$B$7)</x:f>
        <x:v>0.08</x:v>
      </x:c>
      <x:c r="N902" s="8" t="n">
        <x:f>IF(J902="","",ROUND((J902+K902)*(1+M902),0))</x:f>
        <x:v>3055</x:v>
      </x:c>
      <x:c r="O902" s="8" t="n">
        <x:f>IF(J902="","",J902+K902-H902-L902)</x:f>
        <x:v>878</x:v>
      </x:c>
      <x:c r="P902" s="7" t="n">
        <x:f>IFERROR(O902/(J902+K902),"")</x:f>
        <x:v>0.3103570166136444</x:v>
      </x:c>
      <x:c r="Q902" s="6" t="inlineStr">
        <x:is>
          <x:t xml:space="preserve">RAW_OP H/I</x:t>
        </x:is>
      </x:c>
      <x:c r="R902" s="6" t="inlineStr">
        <x:is>
          <x:t xml:space="preserve">SZYBY BOCZNE</x:t>
        </x:is>
      </x:c>
      <x:c r="S902" s="6" t="inlineStr">
        <x:is>
          <x:t xml:space="preserve">website+crm</x:t>
        </x:is>
      </x:c>
      <x:c r="T902" s="6" t="inlineStr">
        <x:is>
          <x:t xml:space="preserve">Dodawane do ścian przezroczystych | FIX17: Wynagr.+koszty = 0 dla dopłaty; nie jest osobnym montażem ekipy.</x:t>
        </x:is>
      </x:c>
    </x:row>
    <x:row r="903">
      <x:c r="A903" s="6" t="inlineStr">
        <x:is>
          <x:t xml:space="preserve">500 x 1006 cm</x:t>
        </x:is>
      </x:c>
      <x:c r="B903" s="6" t="inlineStr">
        <x:is>
          <x:t xml:space="preserve">RB</x:t>
        </x:is>
      </x:c>
      <x:c r="C903" s="6" t="inlineStr">
        <x:is>
          <x:t xml:space="preserve">Roleta boczna ZIP</x:t>
        </x:is>
      </x:c>
      <x:c r="D903" s="6" t="inlineStr">
        <x:is>
          <x:t xml:space="preserve">ROLETA BOCZNA</x:t>
        </x:is>
      </x:c>
      <x:c r="E903" s="8" t="n">
        <x:f>IFERROR(INDEX('02_RAW_INDEX'!$J:$J,MATCH($A903,'02_RAW_INDEX'!$A:$A,0)),"")</x:f>
        <x:v>3008</x:v>
      </x:c>
      <x:c r="F903" s="8" t="n">
        <x:f>IFERROR(INDEX('02_RAW_INDEX'!$I:$I,MATCH($A903,'02_RAW_INDEX'!$A:$A,0)),"")</x:f>
        <x:v>3700</x:v>
      </x:c>
      <x:c r="G903" s="7" t="n">
        <x:f>'01_Ustawienia'!$B$6</x:f>
        <x:v>0</x:v>
      </x:c>
      <x:c r="H903" s="8" t="n">
        <x:f>IF(E903="","",ROUND(IF('01_Ustawienia'!$B$5="BRUTTO",F903,E903)*(1-G903),0))</x:f>
        <x:v>3008</x:v>
      </x:c>
      <x:c r="I903" s="7" t="n">
        <x:f>IFERROR(IFERROR(INDEX('01_Ustawienia'!$B$15:$B$33,MATCH(B903,'01_Ustawienia'!$A$15:$A$33,0)),0.45),0.45)</x:f>
        <x:v>0.45</x:v>
      </x:c>
      <x:c r="J903" s="8" t="n">
        <x:f>IF(H903="","",ROUND(H903*(1+I903),0))</x:f>
        <x:v>4362</x:v>
      </x:c>
      <x:c r="K903" s="8" t="n">
        <x:f>0</x:f>
        <x:v>0</x:v>
      </x:c>
      <x:c r="L903" s="8" t="n">
        <x:f>IFERROR(IFERROR(INDEX(EG_Cennik_uslug!$AC:$AC,MATCH($A903,EG_Cennik_uslug!$A:$A,0)),0),0)</x:f>
        <x:v>150</x:v>
      </x:c>
      <x:c r="M903" s="7" t="n">
        <x:f>IF('01_Ustawienia'!$B$4="ZWOLNIONY",0,'01_Ustawienia'!$B$7)</x:f>
        <x:v>0.08</x:v>
      </x:c>
      <x:c r="N903" s="8" t="n">
        <x:f>IF(J903="","",ROUND((J903+K903)*(1+M903),0))</x:f>
        <x:v>4711</x:v>
      </x:c>
      <x:c r="O903" s="8" t="n">
        <x:f>IF(J903="","",J903+K903-H903-L903)</x:f>
        <x:v>1204</x:v>
      </x:c>
      <x:c r="P903" s="7" t="n">
        <x:f>IFERROR(O903/(J903+K903),"")</x:f>
        <x:v>0.27602017423200365</x:v>
      </x:c>
      <x:c r="Q903" s="6" t="inlineStr">
        <x:is>
          <x:t xml:space="preserve">RAW_ZP J/K</x:t>
        </x:is>
      </x:c>
      <x:c r="R903" s="6" t="inlineStr">
        <x:is>
          <x:t xml:space="preserve">ROLETY BOCZNE</x:t>
        </x:is>
      </x:c>
      <x:c r="S903" s="6" t="inlineStr">
        <x:is>
          <x:t xml:space="preserve">website+crm</x:t>
        </x:is>
      </x:c>
      <x:c r="T903" s="6" t="inlineStr">
        <x:is>
          <x:t xml:space="preserve">Używana dla lewej i prawej</x:t>
        </x:is>
      </x:c>
    </x:row>
    <x:row r="904">
      <x:c r="A904" s="6" t="inlineStr">
        <x:is>
          <x:t xml:space="preserve">500 x 1006 cm</x:t>
        </x:is>
      </x:c>
      <x:c r="B904" s="6" t="inlineStr">
        <x:is>
          <x:t xml:space="preserve">RP</x:t>
        </x:is>
      </x:c>
      <x:c r="C904" s="6" t="inlineStr">
        <x:is>
          <x:t xml:space="preserve">Roleta przednia ZIP</x:t>
        </x:is>
      </x:c>
      <x:c r="D904" s="6" t="inlineStr">
        <x:is>
          <x:t xml:space="preserve">ROLETA PRZÓD</x:t>
        </x:is>
      </x:c>
      <x:c r="E904" s="8" t="n">
        <x:f>IFERROR(INDEX('02_RAW_INDEX'!$L:$L,MATCH($A904,'02_RAW_INDEX'!$A:$A,0)),"")</x:f>
        <x:v>5618</x:v>
      </x:c>
      <x:c r="F904" s="8" t="n">
        <x:f>IFERROR(INDEX('02_RAW_INDEX'!$K:$K,MATCH($A904,'02_RAW_INDEX'!$A:$A,0)),"")</x:f>
        <x:v>6910</x:v>
      </x:c>
      <x:c r="G904" s="7" t="n">
        <x:f>'01_Ustawienia'!$B$6</x:f>
        <x:v>0</x:v>
      </x:c>
      <x:c r="H904" s="8" t="n">
        <x:f>IF(E904="","",ROUND(IF('01_Ustawienia'!$B$5="BRUTTO",F904,E904)*(1-G904),0))</x:f>
        <x:v>5618</x:v>
      </x:c>
      <x:c r="I904" s="7" t="n">
        <x:f>IFERROR(IFERROR(INDEX('01_Ustawienia'!$B$15:$B$33,MATCH(B904,'01_Ustawienia'!$A$15:$A$33,0)),0.45),0.45)</x:f>
        <x:v>0.45</x:v>
      </x:c>
      <x:c r="J904" s="8" t="n">
        <x:f>IF(H904="","",ROUND(H904*(1+I904),0))</x:f>
        <x:v>8146</x:v>
      </x:c>
      <x:c r="K904" s="8" t="n">
        <x:f>0</x:f>
        <x:v>0</x:v>
      </x:c>
      <x:c r="L904" s="8" t="n">
        <x:f>IFERROR(IFERROR(INDEX(EG_Cennik_uslug!$AJ:$AJ,MATCH($A904,EG_Cennik_uslug!$A:$A,0)),0),0)</x:f>
        <x:v>450</x:v>
      </x:c>
      <x:c r="M904" s="7" t="n">
        <x:f>IF('01_Ustawienia'!$B$4="ZWOLNIONY",0,'01_Ustawienia'!$B$7)</x:f>
        <x:v>0.08</x:v>
      </x:c>
      <x:c r="N904" s="8" t="n">
        <x:f>IF(J904="","",ROUND((J904+K904)*(1+M904),0))</x:f>
        <x:v>8798</x:v>
      </x:c>
      <x:c r="O904" s="8" t="n">
        <x:f>IF(J904="","",J904+K904-H904-L904)</x:f>
        <x:v>2078</x:v>
      </x:c>
      <x:c r="P904" s="7" t="n">
        <x:f>IFERROR(O904/(J904+K904),"")</x:f>
        <x:v>0.25509452492020623</x:v>
      </x:c>
      <x:c r="Q904" s="6" t="inlineStr">
        <x:is>
          <x:t xml:space="preserve">RAW_ZP N/O</x:t>
        </x:is>
      </x:c>
      <x:c r="R904" s="6" t="inlineStr">
        <x:is>
          <x:t xml:space="preserve">ROLETY BOCZNE</x:t>
        </x:is>
      </x:c>
      <x:c r="S904" s="6" t="inlineStr">
        <x:is>
          <x:t xml:space="preserve">website+crm</x:t>
        </x:is>
      </x:c>
      <x:c r="T904" s="6" t="n"/>
    </x:row>
    <x:row r="905">
      <x:c r="A905" s="6" t="inlineStr">
        <x:is>
          <x:t xml:space="preserve">500 x 1006 cm</x:t>
        </x:is>
      </x:c>
      <x:c r="B905" s="6" t="inlineStr">
        <x:is>
          <x:t xml:space="preserve">M</x:t>
        </x:is>
      </x:c>
      <x:c r="C905" s="6" t="inlineStr">
        <x:is>
          <x:t xml:space="preserve">Markiza dachowa</x:t>
        </x:is>
      </x:c>
      <x:c r="D905" s="6" t="inlineStr">
        <x:is>
          <x:t xml:space="preserve">MARKIZA</x:t>
        </x:is>
      </x:c>
      <x:c r="E905" s="8" t="n">
        <x:f>IFERROR(INDEX('02_RAW_INDEX'!$H:$H,MATCH($A905,'02_RAW_INDEX'!$A:$A,0)),"")</x:f>
        <x:v>8805</x:v>
      </x:c>
      <x:c r="F905" s="8" t="n">
        <x:f>IFERROR(INDEX('02_RAW_INDEX'!$G:$G,MATCH($A905,'02_RAW_INDEX'!$A:$A,0)),"")</x:f>
        <x:v>10830</x:v>
      </x:c>
      <x:c r="G905" s="7" t="n">
        <x:f>'01_Ustawienia'!$B$6</x:f>
        <x:v>0</x:v>
      </x:c>
      <x:c r="H905" s="8" t="n">
        <x:f>IF(E905="","",ROUND(IF('01_Ustawienia'!$B$5="BRUTTO",F905,E905)*(1-G905),0))</x:f>
        <x:v>8805</x:v>
      </x:c>
      <x:c r="I905" s="7" t="n">
        <x:f>IFERROR(IFERROR(INDEX('01_Ustawienia'!$B$15:$B$33,MATCH(B905,'01_Ustawienia'!$A$15:$A$33,0)),0.45),0.45)</x:f>
        <x:v>0.45</x:v>
      </x:c>
      <x:c r="J905" s="8" t="n">
        <x:f>IF(H905="","",ROUND(H905*(1+I905),0))</x:f>
        <x:v>12767</x:v>
      </x:c>
      <x:c r="K905" s="8" t="n">
        <x:f>0</x:f>
        <x:v>0</x:v>
      </x:c>
      <x:c r="L905" s="8" t="n">
        <x:f>IFERROR(IFERROR(INDEX(EG_Cennik_uslug!$AQ:$AQ,MATCH($A905,EG_Cennik_uslug!$A:$A,0)),0),0)</x:f>
        <x:v>600</x:v>
      </x:c>
      <x:c r="M905" s="7" t="n">
        <x:f>IF('01_Ustawienia'!$B$4="ZWOLNIONY",0,'01_Ustawienia'!$B$7)</x:f>
        <x:v>0.08</x:v>
      </x:c>
      <x:c r="N905" s="8" t="n">
        <x:f>IF(J905="","",ROUND((J905+K905)*(1+M905),0))</x:f>
        <x:v>13788</x:v>
      </x:c>
      <x:c r="O905" s="8" t="n">
        <x:f>IF(J905="","",J905+K905-H905-L905)</x:f>
        <x:v>3362</x:v>
      </x:c>
      <x:c r="P905" s="7" t="n">
        <x:f>IFERROR(O905/(J905+K905),"")</x:f>
        <x:v>0.2633351609618548</x:v>
      </x:c>
      <x:c r="Q905" s="6" t="inlineStr">
        <x:is>
          <x:t xml:space="preserve">RAW_ZP H/I</x:t>
        </x:is>
      </x:c>
      <x:c r="R905" s="6" t="inlineStr">
        <x:is>
          <x:t xml:space="preserve">MARKIZA</x:t>
        </x:is>
      </x:c>
      <x:c r="S905" s="6" t="inlineStr">
        <x:is>
          <x:t xml:space="preserve">website+crm</x:t>
        </x:is>
      </x:c>
      <x:c r="T905" s="6" t="n"/>
    </x:row>
    <x:row r="906">
      <x:c r="A906" s="6" t="inlineStr">
        <x:is>
          <x:t xml:space="preserve">500 x 1006 cm</x:t>
        </x:is>
      </x:c>
      <x:c r="B906" s="6" t="inlineStr">
        <x:is>
          <x:t xml:space="preserve">PDWP</x:t>
        </x:is>
      </x:c>
      <x:c r="C906" s="6" t="inlineStr">
        <x:is>
          <x:t xml:space="preserve">Fundament/profile</x:t>
        </x:is>
      </x:c>
      <x:c r="D906" s="6" t="inlineStr">
        <x:is>
          <x:t xml:space="preserve">FUNDAMENT / PROFILE</x:t>
        </x:is>
      </x:c>
      <x:c r="E906" s="8" t="n">
        <x:f>IFERROR(INDEX('02_RAW_INDEX'!$AH:$AH,MATCH($A906,'02_RAW_INDEX'!$A:$A,0)),"")</x:f>
        <x:v>1528</x:v>
      </x:c>
      <x:c r="F906" s="8" t="n">
        <x:f>IFERROR(INDEX('02_RAW_INDEX'!$AG:$AG,MATCH($A906,'02_RAW_INDEX'!$A:$A,0)),"")</x:f>
        <x:v>1880</x:v>
      </x:c>
      <x:c r="G906" s="7" t="n">
        <x:f>'01_Ustawienia'!$B$6</x:f>
        <x:v>0</x:v>
      </x:c>
      <x:c r="H906" s="8" t="n">
        <x:f>IF(E906="","",ROUND(IF('01_Ustawienia'!$B$5="BRUTTO",F906,E906)*(1-G906),0))</x:f>
        <x:v>1528</x:v>
      </x:c>
      <x:c r="I906" s="7" t="n">
        <x:f>IFERROR(IFERROR(INDEX('01_Ustawienia'!$B$15:$B$33,MATCH(B906,'01_Ustawienia'!$A$15:$A$33,0)),0.45),0.45)</x:f>
        <x:v>1.2</x:v>
      </x:c>
      <x:c r="J906" s="8" t="n">
        <x:f>IF(H906="","",ROUND(H906*(1+I906),0))</x:f>
        <x:v>3362</x:v>
      </x:c>
      <x:c r="K906" s="8" t="n">
        <x:f>0</x:f>
        <x:v>0</x:v>
      </x:c>
      <x:c r="L906" s="8" t="n">
        <x:f>IFERROR(IFERROR(INDEX(EG_Cennik_uslug!$BT:$BT,MATCH($A906,EG_Cennik_uslug!$A:$A,0)),0),0)</x:f>
        <x:v>650</x:v>
      </x:c>
      <x:c r="M906" s="7" t="n">
        <x:f>IF('01_Ustawienia'!$B$4="ZWOLNIONY",0,'01_Ustawienia'!$B$7)</x:f>
        <x:v>0.08</x:v>
      </x:c>
      <x:c r="N906" s="8" t="n">
        <x:f>IF(J906="","",ROUND((J906+K906)*(1+M906),0))</x:f>
        <x:v>3631</x:v>
      </x:c>
      <x:c r="O906" s="8" t="n">
        <x:f>IF(J906="","",J906+K906-H906-L906)</x:f>
        <x:v>1184</x:v>
      </x:c>
      <x:c r="P906" s="7" t="n">
        <x:f>IFERROR(O906/(J906+K906),"")</x:f>
        <x:v>0.35217132659131467</x:v>
      </x:c>
      <x:c r="Q906" s="6" t="inlineStr">
        <x:is>
          <x:t xml:space="preserve">RAW_OP AB/AC</x:t>
        </x:is>
      </x:c>
      <x:c r="R906" s="6" t="inlineStr">
        <x:is>
          <x:t xml:space="preserve">FUNDAMENT (PROFILE)</x:t>
        </x:is>
      </x:c>
      <x:c r="S906" s="6" t="inlineStr">
        <x:is>
          <x:t xml:space="preserve">website+crm</x:t>
        </x:is>
      </x:c>
      <x:c r="T906" s="6" t="n"/>
    </x:row>
    <x:row r="907" s="655" customFormat="1" ht="30" customHeight="1">
      <x:c r="A907" s="6" t="inlineStr">
        <x:is>
          <x:t xml:space="preserve">500 x 1006 cm</x:t>
        </x:is>
      </x:c>
      <x:c r="B907" s="6" t="inlineStr">
        <x:is>
          <x:t xml:space="preserve">ZAB</x:t>
        </x:is>
      </x:c>
      <x:c r="C907" s="6" t="inlineStr">
        <x:is>
          <x:t xml:space="preserve">Zabieraki do ścian przesuwnych</x:t>
        </x:is>
      </x:c>
      <x:c r="D907" s="6" t="inlineStr">
        <x:is>
          <x:t xml:space="preserve">DODATKI</x:t>
        </x:is>
      </x:c>
      <x:c r="E907" s="8" t="n">
        <x:f>IFERROR(INDEX('02_RAW_INDEX'!$AJ:$AJ,MATCH($A907,'02_RAW_INDEX'!$A:$A,0)),"")</x:f>
        <x:v>488</x:v>
      </x:c>
      <x:c r="F907" s="8" t="n">
        <x:f>IFERROR(INDEX('02_RAW_INDEX'!$AI:$AI,MATCH($A907,'02_RAW_INDEX'!$A:$A,0)),"")</x:f>
        <x:v>600</x:v>
      </x:c>
      <x:c r="G907" s="7" t="n">
        <x:f>'01_Ustawienia'!$B$6</x:f>
        <x:v>0</x:v>
      </x:c>
      <x:c r="H907" s="8" t="n">
        <x:f>IF(E907="","",ROUND(IF('01_Ustawienia'!$B$5="BRUTTO",F907,E907)*(1-G907),0))</x:f>
        <x:v>488</x:v>
      </x:c>
      <x:c r="I907" s="7" t="n">
        <x:f>IFERROR(IFERROR(INDEX('01_Ustawienia'!$B$15:$B$33,MATCH(B907,'01_Ustawienia'!$A$15:$A$33,0)),0.45),0.45)</x:f>
        <x:v>0.45</x:v>
      </x:c>
      <x:c r="J907" s="8" t="n">
        <x:f>IF(H907="","",ROUND(H907*(1+I907),0))</x:f>
        <x:v>708</x:v>
      </x:c>
      <x:c r="K907" s="8" t="n">
        <x:f>0</x:f>
        <x:v>0</x:v>
      </x:c>
      <x:c r="L907" s="8" t="n">
        <x:f>0</x:f>
        <x:v>0</x:v>
      </x:c>
      <x:c r="M907" s="7" t="n">
        <x:f>IF('01_Ustawienia'!$B$4="ZWOLNIONY",0,'01_Ustawienia'!$B$7)</x:f>
        <x:v>0.08</x:v>
      </x:c>
      <x:c r="N907" s="8" t="n">
        <x:f>IF(J907="","",ROUND((J907+K907)*(1+M907),0))</x:f>
        <x:v>765</x:v>
      </x:c>
      <x:c r="O907" s="8" t="n">
        <x:f>IF(J907="","",J907+K907-H907-L907)</x:f>
        <x:v>220</x:v>
      </x:c>
      <x:c r="P907" s="7" t="n">
        <x:f>IFERROR(O907/(J907+K907),"")</x:f>
        <x:v>0.3107344632768362</x:v>
      </x:c>
      <x:c r="Q907" s="6" t="inlineStr">
        <x:is>
          <x:t xml:space="preserve">RAW_OP AD/AE</x:t>
        </x:is>
      </x:c>
      <x:c r="R907" s="6" t="inlineStr">
        <x:is>
          <x:t xml:space="preserve">DODATKI</x:t>
        </x:is>
      </x:c>
      <x:c r="S907" s="6" t="inlineStr">
        <x:is>
          <x:t xml:space="preserve">crm_only</x:t>
        </x:is>
      </x:c>
      <x:c r="T907" s="6" t="n"/>
    </x:row>
    <x:row r="908">
      <x:c r="A908" s="6" t="inlineStr">
        <x:is>
          <x:t xml:space="preserve">500 x 1006 cm</x:t>
        </x:is>
      </x:c>
      <x:c r="B908" s="6" t="inlineStr">
        <x:is>
          <x:t xml:space="preserve">S</x:t>
        </x:is>
      </x:c>
      <x:c r="C908" s="6" t="inlineStr">
        <x:is>
          <x:t xml:space="preserve">Szczotki przeciwkurzowe</x:t>
        </x:is>
      </x:c>
      <x:c r="D908" s="6" t="inlineStr">
        <x:is>
          <x:t xml:space="preserve">SZCZOTKI</x:t>
        </x:is>
      </x:c>
      <x:c r="E908" s="8" t="n">
        <x:f>IFERROR(INDEX('02_RAW_INDEX'!$AD:$AD,MATCH($A908,'02_RAW_INDEX'!$A:$A,0)),"")</x:f>
        <x:v>618</x:v>
      </x:c>
      <x:c r="F908" s="8" t="n">
        <x:f>IFERROR(INDEX('02_RAW_INDEX'!$AC:$AC,MATCH($A908,'02_RAW_INDEX'!$A:$A,0)),"")</x:f>
        <x:v>760</x:v>
      </x:c>
      <x:c r="G908" s="7" t="n">
        <x:f>'01_Ustawienia'!$B$6</x:f>
        <x:v>0</x:v>
      </x:c>
      <x:c r="H908" s="8" t="n">
        <x:f>IF(E908="","",ROUND(IF('01_Ustawienia'!$B$5="BRUTTO",F908,E908)*(1-G908),0))</x:f>
        <x:v>618</x:v>
      </x:c>
      <x:c r="I908" s="7" t="n">
        <x:f>IFERROR(IFERROR(INDEX('01_Ustawienia'!$B$15:$B$33,MATCH(B908,'01_Ustawienia'!$A$15:$A$33,0)),0.45),0.45)</x:f>
        <x:v>0.45</x:v>
      </x:c>
      <x:c r="J908" s="8" t="n">
        <x:f>IF(H908="","",ROUND(H908*(1+I908),0))</x:f>
        <x:v>896</x:v>
      </x:c>
      <x:c r="K908" s="8" t="n">
        <x:f>0</x:f>
        <x:v>0</x:v>
      </x:c>
      <x:c r="L908" s="8" t="n">
        <x:f>IFERROR(IFERROR(INDEX(EG_Cennik_uslug!$CA:$CA,MATCH($A908,EG_Cennik_uslug!$A:$A,0)),0),0)</x:f>
        <x:v>0</x:v>
      </x:c>
      <x:c r="M908" s="7" t="n">
        <x:f>IF('01_Ustawienia'!$B$4="ZWOLNIONY",0,'01_Ustawienia'!$B$7)</x:f>
        <x:v>0.08</x:v>
      </x:c>
      <x:c r="N908" s="8" t="n">
        <x:f>IF(J908="","",ROUND((J908+K908)*(1+M908),0))</x:f>
        <x:v>968</x:v>
      </x:c>
      <x:c r="O908" s="8" t="n">
        <x:f>IF(J908="","",J908+K908-H908-L908)</x:f>
        <x:v>278</x:v>
      </x:c>
      <x:c r="P908" s="7" t="n">
        <x:f>IFERROR(O908/(J908+K908),"")</x:f>
        <x:v>0.31026785714285715</x:v>
      </x:c>
      <x:c r="Q908" s="6" t="inlineStr">
        <x:is>
          <x:t xml:space="preserve">RAW_OP L/M</x:t>
        </x:is>
      </x:c>
      <x:c r="R908" s="6" t="inlineStr">
        <x:is>
          <x:t xml:space="preserve">DODATKI</x:t>
        </x:is>
      </x:c>
      <x:c r="S908" s="6" t="inlineStr">
        <x:is>
          <x:t xml:space="preserve">website+crm</x:t>
        </x:is>
      </x:c>
      <x:c r="T908" s="6" t="n"/>
    </x:row>
    <x:row r="909">
      <x:c r="A909" s="6" t="inlineStr">
        <x:is>
          <x:t xml:space="preserve">500 x 1006 cm</x:t>
        </x:is>
      </x:c>
      <x:c r="B909" s="6" t="inlineStr">
        <x:is>
          <x:t xml:space="preserve">U</x:t>
        </x:is>
      </x:c>
      <x:c r="C909" s="6" t="inlineStr">
        <x:is>
          <x:t xml:space="preserve">Uchwyty na szkło ścienne</x:t>
        </x:is>
      </x:c>
      <x:c r="D909" s="6" t="inlineStr">
        <x:is>
          <x:t xml:space="preserve">UCHWYTY</x:t>
        </x:is>
      </x:c>
      <x:c r="E909" s="8" t="n">
        <x:f>IFERROR(INDEX('02_RAW_INDEX'!$AF:$AF,MATCH($A909,'02_RAW_INDEX'!$A:$A,0)),"")</x:f>
        <x:v>561</x:v>
      </x:c>
      <x:c r="F909" s="8" t="n">
        <x:f>IFERROR(INDEX('02_RAW_INDEX'!$AE:$AE,MATCH($A909,'02_RAW_INDEX'!$A:$A,0)),"")</x:f>
        <x:v>690</x:v>
      </x:c>
      <x:c r="G909" s="7" t="n">
        <x:f>'01_Ustawienia'!$B$6</x:f>
        <x:v>0</x:v>
      </x:c>
      <x:c r="H909" s="8" t="n">
        <x:f>IF(E909="","",ROUND(IF('01_Ustawienia'!$B$5="BRUTTO",F909,E909)*(1-G909),0))</x:f>
        <x:v>561</x:v>
      </x:c>
      <x:c r="I909" s="7" t="n">
        <x:f>IFERROR(IFERROR(INDEX('01_Ustawienia'!$B$15:$B$33,MATCH(B909,'01_Ustawienia'!$A$15:$A$33,0)),0.45),0.45)</x:f>
        <x:v>0.45</x:v>
      </x:c>
      <x:c r="J909" s="8" t="n">
        <x:f>IF(H909="","",ROUND(H909*(1+I909),0))</x:f>
        <x:v>813</x:v>
      </x:c>
      <x:c r="K909" s="8" t="n">
        <x:f>0</x:f>
        <x:v>0</x:v>
      </x:c>
      <x:c r="L909" s="8" t="n">
        <x:f>IFERROR(IFERROR(INDEX(EG_Cennik_uslug!$CH:$CH,MATCH($A909,EG_Cennik_uslug!$A:$A,0)),0),0)</x:f>
        <x:v>0</x:v>
      </x:c>
      <x:c r="M909" s="7" t="n">
        <x:f>IF('01_Ustawienia'!$B$4="ZWOLNIONY",0,'01_Ustawienia'!$B$7)</x:f>
        <x:v>0.08</x:v>
      </x:c>
      <x:c r="N909" s="8" t="n">
        <x:f>IF(J909="","",ROUND((J909+K909)*(1+M909),0))</x:f>
        <x:v>878</x:v>
      </x:c>
      <x:c r="O909" s="8" t="n">
        <x:f>IF(J909="","",J909+K909-H909-L909)</x:f>
        <x:v>252</x:v>
      </x:c>
      <x:c r="P909" s="7" t="n">
        <x:f>IFERROR(O909/(J909+K909),"")</x:f>
        <x:v>0.30996309963099633</x:v>
      </x:c>
      <x:c r="Q909" s="6" t="inlineStr">
        <x:is>
          <x:t xml:space="preserve">RAW_OP N/O</x:t>
        </x:is>
      </x:c>
      <x:c r="R909" s="6" t="inlineStr">
        <x:is>
          <x:t xml:space="preserve">DODATKI</x:t>
        </x:is>
      </x:c>
      <x:c r="S909" s="6" t="inlineStr">
        <x:is>
          <x:t xml:space="preserve">website+crm</x:t>
        </x:is>
      </x:c>
      <x:c r="T909" s="6" t="n"/>
    </x:row>
    <x:row r="910">
      <x:c r="A910" s="6" t="inlineStr">
        <x:is>
          <x:t xml:space="preserve">500 x 1006 cm</x:t>
        </x:is>
      </x:c>
      <x:c r="B910" s="6" t="inlineStr">
        <x:is>
          <x:t xml:space="preserve">LED2</x:t>
        </x:is>
      </x:c>
      <x:c r="C910" s="6" t="inlineStr">
        <x:is>
          <x:t xml:space="preserve">Oświetlenie LED 2 punkty</x:t>
        </x:is>
      </x:c>
      <x:c r="D910" s="6" t="inlineStr">
        <x:is>
          <x:t xml:space="preserve">LED 2 PKT</x:t>
        </x:is>
      </x:c>
      <x:c r="E910" s="8" t="n">
        <x:f>IFERROR(INDEX('02_RAW_INDEX'!$N:$N,MATCH($A910,'02_RAW_INDEX'!$A:$A,0)),"")</x:f>
        <x:v>1000</x:v>
      </x:c>
      <x:c r="F910" s="8" t="n">
        <x:f>IFERROR(INDEX('02_RAW_INDEX'!$M:$M,MATCH($A910,'02_RAW_INDEX'!$A:$A,0)),"")</x:f>
        <x:v>1230</x:v>
      </x:c>
      <x:c r="G910" s="7" t="n">
        <x:f>'01_Ustawienia'!$B$6</x:f>
        <x:v>0</x:v>
      </x:c>
      <x:c r="H910" s="8" t="n">
        <x:f>IF(E910="","",ROUND(IF('01_Ustawienia'!$B$5="BRUTTO",F910,E910)*(1-G910),0))</x:f>
        <x:v>1000</x:v>
      </x:c>
      <x:c r="I910" s="7" t="n">
        <x:f>IFERROR(IFERROR(INDEX('01_Ustawienia'!$B$15:$B$33,MATCH(B910,'01_Ustawienia'!$A$15:$A$33,0)),0.45),0.45)</x:f>
        <x:v>0.45</x:v>
      </x:c>
      <x:c r="J910" s="8" t="n">
        <x:f>IF(H910="","",ROUND(H910*(1+I910),0))</x:f>
        <x:v>1450</x:v>
      </x:c>
      <x:c r="K910" s="8" t="n">
        <x:f>0</x:f>
        <x:v>0</x:v>
      </x:c>
      <x:c r="L910" s="8" t="n">
        <x:f>IFERROR(IFERROR(INDEX(EG_Cennik_uslug!$CO:$CO,MATCH($A910,EG_Cennik_uslug!$A:$A,0)),0),0)</x:f>
        <x:v>0</x:v>
      </x:c>
      <x:c r="M910" s="7" t="n">
        <x:f>IF('01_Ustawienia'!$B$4="ZWOLNIONY",0,'01_Ustawienia'!$B$7)</x:f>
        <x:v>0.08</x:v>
      </x:c>
      <x:c r="N910" s="8" t="n">
        <x:f>IF(J910="","",ROUND((J910+K910)*(1+M910),0))</x:f>
        <x:v>1566</x:v>
      </x:c>
      <x:c r="O910" s="8" t="n">
        <x:f>IF(J910="","",J910+K910-H910-L910)</x:f>
        <x:v>450</x:v>
      </x:c>
      <x:c r="P910" s="7" t="n">
        <x:f>IFERROR(O910/(J910+K910),"")</x:f>
        <x:v>0.3103448275862069</x:v>
      </x:c>
      <x:c r="Q910" s="6" t="inlineStr">
        <x:is>
          <x:t xml:space="preserve">RAW_ZP P/Q</x:t>
        </x:is>
      </x:c>
      <x:c r="R910" s="6" t="inlineStr">
        <x:is>
          <x:t xml:space="preserve">OŚWIETLENIE</x:t>
        </x:is>
      </x:c>
      <x:c r="S910" s="6" t="inlineStr">
        <x:is>
          <x:t xml:space="preserve">website+crm</x:t>
        </x:is>
      </x:c>
      <x:c r="T910" s="6" t="n"/>
    </x:row>
    <x:row r="911">
      <x:c r="A911" s="6" t="inlineStr">
        <x:is>
          <x:t xml:space="preserve">500 x 1006 cm</x:t>
        </x:is>
      </x:c>
      <x:c r="B911" s="6" t="inlineStr">
        <x:is>
          <x:t xml:space="preserve">LED3</x:t>
        </x:is>
      </x:c>
      <x:c r="C911" s="6" t="inlineStr">
        <x:is>
          <x:t xml:space="preserve">Oświetlenie LED 3 punkty</x:t>
        </x:is>
      </x:c>
      <x:c r="D911" s="6" t="inlineStr">
        <x:is>
          <x:t xml:space="preserve">LED 3 PKT</x:t>
        </x:is>
      </x:c>
      <x:c r="E911" s="8" t="n">
        <x:f>IFERROR(INDEX('02_RAW_INDEX'!$P:$P,MATCH($A911,'02_RAW_INDEX'!$A:$A,0)),"")</x:f>
        <x:v>1341</x:v>
      </x:c>
      <x:c r="F911" s="8" t="n">
        <x:f>IFERROR(INDEX('02_RAW_INDEX'!$O:$O,MATCH($A911,'02_RAW_INDEX'!$A:$A,0)),"")</x:f>
        <x:v>1650</x:v>
      </x:c>
      <x:c r="G911" s="7" t="n">
        <x:f>'01_Ustawienia'!$B$6</x:f>
        <x:v>0</x:v>
      </x:c>
      <x:c r="H911" s="8" t="n">
        <x:f>IF(E911="","",ROUND(IF('01_Ustawienia'!$B$5="BRUTTO",F911,E911)*(1-G911),0))</x:f>
        <x:v>1341</x:v>
      </x:c>
      <x:c r="I911" s="7" t="n">
        <x:f>IFERROR(IFERROR(INDEX('01_Ustawienia'!$B$15:$B$33,MATCH(B911,'01_Ustawienia'!$A$15:$A$33,0)),0.45),0.45)</x:f>
        <x:v>0.45</x:v>
      </x:c>
      <x:c r="J911" s="8" t="n">
        <x:f>IF(H911="","",ROUND(H911*(1+I911),0))</x:f>
        <x:v>1944</x:v>
      </x:c>
      <x:c r="K911" s="8" t="n">
        <x:f>0</x:f>
        <x:v>0</x:v>
      </x:c>
      <x:c r="L911" s="8" t="n">
        <x:f>IFERROR(IFERROR(INDEX(EG_Cennik_uslug!$CV:$CV,MATCH($A911,EG_Cennik_uslug!$A:$A,0)),0),0)</x:f>
        <x:v>0</x:v>
      </x:c>
      <x:c r="M911" s="7" t="n">
        <x:f>IF('01_Ustawienia'!$B$4="ZWOLNIONY",0,'01_Ustawienia'!$B$7)</x:f>
        <x:v>0.08</x:v>
      </x:c>
      <x:c r="N911" s="8" t="n">
        <x:f>IF(J911="","",ROUND((J911+K911)*(1+M911),0))</x:f>
        <x:v>2100</x:v>
      </x:c>
      <x:c r="O911" s="8" t="n">
        <x:f>IF(J911="","",J911+K911-H911-L911)</x:f>
        <x:v>603</x:v>
      </x:c>
      <x:c r="P911" s="7" t="n">
        <x:f>IFERROR(O911/(J911+K911),"")</x:f>
        <x:v>0.3101851851851852</x:v>
      </x:c>
      <x:c r="Q911" s="6" t="inlineStr">
        <x:is>
          <x:t xml:space="preserve">RAW_ZP R/S</x:t>
        </x:is>
      </x:c>
      <x:c r="R911" s="6" t="inlineStr">
        <x:is>
          <x:t xml:space="preserve">OŚWIETLENIE</x:t>
        </x:is>
      </x:c>
      <x:c r="S911" s="6" t="inlineStr">
        <x:is>
          <x:t xml:space="preserve">website+crm</x:t>
        </x:is>
      </x:c>
      <x:c r="T911" s="6" t="inlineStr">
        <x:is>
          <x:t xml:space="preserve">Nazwa do potwierdzenia</x:t>
        </x:is>
      </x:c>
    </x:row>
    <x:row r="912">
      <x:c r="A912" s="6" t="inlineStr">
        <x:is>
          <x:t xml:space="preserve">500 x 1006 cm</x:t>
        </x:is>
      </x:c>
      <x:c r="B912" s="6" t="inlineStr">
        <x:is>
          <x:t xml:space="preserve">LEDCCT</x:t>
        </x:is>
      </x:c>
      <x:c r="C912" s="6" t="inlineStr">
        <x:is>
          <x:t xml:space="preserve">Oświetlenie LED CCT</x:t>
        </x:is>
      </x:c>
      <x:c r="D912" s="6" t="inlineStr">
        <x:is>
          <x:t xml:space="preserve">OŚWIETLENIE</x:t>
        </x:is>
      </x:c>
      <x:c r="E912" s="8" t="n">
        <x:f>IFERROR(INDEX('02_RAW_INDEX'!$R:$R,MATCH($A912,'02_RAW_INDEX'!$A:$A,0)),"")</x:f>
        <x:v>2684</x:v>
      </x:c>
      <x:c r="F912" s="8" t="n">
        <x:f>IFERROR(INDEX('02_RAW_INDEX'!$Q:$Q,MATCH($A912,'02_RAW_INDEX'!$A:$A,0)),"")</x:f>
        <x:v>3301</x:v>
      </x:c>
      <x:c r="G912" s="7" t="n">
        <x:f>'01_Ustawienia'!$B$6</x:f>
        <x:v>0</x:v>
      </x:c>
      <x:c r="H912" s="8" t="n">
        <x:f>IF(E912="","",ROUND(IF('01_Ustawienia'!$B$5="BRUTTO",F912,E912)*(1-G912),0))</x:f>
        <x:v>2684</x:v>
      </x:c>
      <x:c r="I912" s="7" t="n">
        <x:f>IFERROR(IFERROR(INDEX('01_Ustawienia'!$B$15:$B$33,MATCH(B912,'01_Ustawienia'!$A$15:$A$33,0)),0.45),0.45)</x:f>
        <x:v>0.45</x:v>
      </x:c>
      <x:c r="J912" s="8" t="n">
        <x:f>IF(H912="","",ROUND(H912*(1+I912),0)+700)</x:f>
        <x:v>4592</x:v>
      </x:c>
      <x:c r="K912" s="8" t="n">
        <x:f>0</x:f>
        <x:v>0</x:v>
      </x:c>
      <x:c r="L912" s="8" t="n">
        <x:f>0</x:f>
        <x:v>0</x:v>
      </x:c>
      <x:c r="M912" s="7" t="n">
        <x:f>IF('01_Ustawienia'!$B$4="ZWOLNIONY",0,'01_Ustawienia'!$B$7)</x:f>
        <x:v>0.08</x:v>
      </x:c>
      <x:c r="N912" s="8" t="n">
        <x:f>IF(J912="","",ROUND((J912+K912)*(1+M912),0))</x:f>
        <x:v>4959</x:v>
      </x:c>
      <x:c r="O912" s="8" t="n">
        <x:f>IF(J912="","",J912+K912-H912-L912)</x:f>
        <x:v>1908</x:v>
      </x:c>
      <x:c r="P912" s="7" t="n">
        <x:f>IFERROR(O912/(J912+K912),"")</x:f>
        <x:v>0.4155052264808362</x:v>
      </x:c>
      <x:c r="Q912" s="715" t="inlineStr">
        <x:is>
          <x:t xml:space="preserve">MODEL_FIX15_LED</x:t>
        </x:is>
      </x:c>
      <x:c r="R912" s="6" t="inlineStr">
        <x:is>
          <x:t xml:space="preserve">OŚWIETLENIE</x:t>
        </x:is>
      </x:c>
      <x:c r="S912" s="6" t="inlineStr">
        <x:is>
          <x:t xml:space="preserve">website+crm</x:t>
        </x:is>
      </x:c>
      <x:c r="T912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913">
      <x:c r="A913" s="6" t="inlineStr">
        <x:is>
          <x:t xml:space="preserve">500 x 1006 cm</x:t>
        </x:is>
      </x:c>
      <x:c r="B913" s="6" t="inlineStr">
        <x:is>
          <x:t xml:space="preserve">LEDRGBCCT</x:t>
        </x:is>
      </x:c>
      <x:c r="C913" s="6" t="inlineStr">
        <x:is>
          <x:t xml:space="preserve">Oświetlenie LED RGB CCT</x:t>
        </x:is>
      </x:c>
      <x:c r="D913" s="6" t="inlineStr">
        <x:is>
          <x:t xml:space="preserve">OŚWIETLENIE</x:t>
        </x:is>
      </x:c>
      <x:c r="E913" s="8" t="n">
        <x:f>IFERROR(INDEX('02_RAW_INDEX'!$T:$T,MATCH($A913,'02_RAW_INDEX'!$A:$A,0)),"")</x:f>
        <x:v>3984</x:v>
      </x:c>
      <x:c r="F913" s="8" t="n">
        <x:f>IFERROR(INDEX('02_RAW_INDEX'!$S:$S,MATCH($A913,'02_RAW_INDEX'!$A:$A,0)),"")</x:f>
        <x:v>4900</x:v>
      </x:c>
      <x:c r="G913" s="7" t="n">
        <x:f>'01_Ustawienia'!$B$6</x:f>
        <x:v>0</x:v>
      </x:c>
      <x:c r="H913" s="8" t="n">
        <x:f>IF(E913="","",ROUND(IF('01_Ustawienia'!$B$5="BRUTTO",F913,E913)*(1-G913),0))</x:f>
        <x:v>3984</x:v>
      </x:c>
      <x:c r="I913" s="7" t="n">
        <x:f>IFERROR(IFERROR(INDEX('01_Ustawienia'!$B$15:$B$33,MATCH(B913,'01_Ustawienia'!$A$15:$A$33,0)),0.45),0.45)</x:f>
        <x:v>0.45</x:v>
      </x:c>
      <x:c r="J913" s="8" t="n">
        <x:f>IF(H913="","",ROUND(H913*(1+I913),0))</x:f>
        <x:v>5777</x:v>
      </x:c>
      <x:c r="K913" s="8" t="n">
        <x:f>0</x:f>
        <x:v>0</x:v>
      </x:c>
      <x:c r="L913" s="8" t="n">
        <x:f>0</x:f>
        <x:v>0</x:v>
      </x:c>
      <x:c r="M913" s="7" t="n">
        <x:f>IF('01_Ustawienia'!$B$4="ZWOLNIONY",0,'01_Ustawienia'!$B$7)</x:f>
        <x:v>0.08</x:v>
      </x:c>
      <x:c r="N913" s="8" t="n">
        <x:f>IF(J913="","",ROUND((J913+K913)*(1+M913),0))</x:f>
        <x:v>6239</x:v>
      </x:c>
      <x:c r="O913" s="8" t="n">
        <x:f>IF(J913="","",J913+K913-H913-L913)</x:f>
        <x:v>1793</x:v>
      </x:c>
      <x:c r="P913" s="7" t="n">
        <x:f>IFERROR(O913/(J913+K913),"")</x:f>
        <x:v>0.3103687034793145</x:v>
      </x:c>
      <x:c r="Q913" s="715" t="inlineStr">
        <x:is>
          <x:t xml:space="preserve">MODEL_FIX15_LED</x:t>
        </x:is>
      </x:c>
      <x:c r="R913" s="6" t="inlineStr">
        <x:is>
          <x:t xml:space="preserve">OŚWIETLENIE</x:t>
        </x:is>
      </x:c>
      <x:c r="S913" s="6" t="inlineStr">
        <x:is>
          <x:t xml:space="preserve">crm_only</x:t>
        </x:is>
      </x:c>
      <x:c r="T913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914" s="655" customFormat="1" ht="30" customHeight="1">
      <x:c r="A914" s="6" t="inlineStr">
        <x:is>
          <x:t xml:space="preserve">500 x 1106 cm</x:t>
        </x:is>
      </x:c>
      <x:c r="B914" s="6" t="inlineStr">
        <x:is>
          <x:t xml:space="preserve">ZP</x:t>
        </x:is>
      </x:c>
      <x:c r="C914" s="6" t="inlineStr">
        <x:is>
          <x:t xml:space="preserve">Zadaszenie poliwęglan - baza</x:t>
        </x:is>
      </x:c>
      <x:c r="D914" s="6" t="inlineStr">
        <x:is>
          <x:t xml:space="preserve">ZADASZENIE POLIWĘGLAN</x:t>
        </x:is>
      </x:c>
      <x:c r="E914" s="8" t="n">
        <x:f>IFERROR(INDEX('02_RAW_INDEX'!$D:$D,MATCH($A914,'02_RAW_INDEX'!$A:$A,0)),"")</x:f>
        <x:v>21699</x:v>
      </x:c>
      <x:c r="F914" s="8" t="n">
        <x:f>IFERROR(INDEX('02_RAW_INDEX'!$C:$C,MATCH($A914,'02_RAW_INDEX'!$A:$A,0)),"")</x:f>
        <x:v>26690</x:v>
      </x:c>
      <x:c r="G914" s="7" t="n">
        <x:f>'01_Ustawienia'!$B$6</x:f>
        <x:v>0</x:v>
      </x:c>
      <x:c r="H914" s="8" t="n">
        <x:f>IF(E914="","",ROUND(IF('01_Ustawienia'!$B$5="BRUTTO",F914,E914)*(1-G914),0))</x:f>
        <x:v>21699</x:v>
      </x:c>
      <x:c r="I914" s="7" t="n">
        <x:f>IFERROR(IFERROR(INDEX('01_Ustawienia'!$B$15:$B$33,MATCH(B914,'01_Ustawienia'!$A$15:$A$33,0)),0.45),0.45)</x:f>
        <x:v>0.45</x:v>
      </x:c>
      <x:c r="J914" s="8" t="n">
        <x:f>IF(H914="","",ROUND(H914*(1+I914),0))</x:f>
        <x:v>31464</x:v>
      </x:c>
      <x:c r="K914" s="8" t="n">
        <x:f>IFERROR(IFERROR(INDEX(EG_Cennik_uslug!$F:$F,MATCH($A914,EG_Cennik_uslug!$A:$A,0)),0),0)</x:f>
        <x:v>5500</x:v>
      </x:c>
      <x:c r="L914" s="8" t="n">
        <x:f>IFERROR(IFERROR(INDEX(EG_Cennik_uslug!$G:$G,MATCH($A914,EG_Cennik_uslug!$A:$A,0)),0),0)</x:f>
        <x:v>2120</x:v>
      </x:c>
      <x:c r="M914" s="7" t="n">
        <x:f>IF('01_Ustawienia'!$B$4="ZWOLNIONY",0,'01_Ustawienia'!$B$7)</x:f>
        <x:v>0.08</x:v>
      </x:c>
      <x:c r="N914" s="8" t="n">
        <x:f>IF(J914="","",ROUND((J914+K914)*(1+M914),0))</x:f>
        <x:v>39921</x:v>
      </x:c>
      <x:c r="O914" s="8" t="n">
        <x:f>IF(J914="","",J914+K914-H914-L914)</x:f>
        <x:v>13145</x:v>
      </x:c>
      <x:c r="P914" s="7" t="n">
        <x:f>IFERROR(O914/(J914+K914),"")</x:f>
        <x:v>0.3556162752948815</x:v>
      </x:c>
      <x:c r="Q914" s="6" t="inlineStr">
        <x:is>
          <x:t xml:space="preserve">RAW_ZP B/C</x:t>
        </x:is>
      </x:c>
      <x:c r="R914" s="6" t="inlineStr">
        <x:is>
          <x:t xml:space="preserve">ZADASZENIE TARASU KONSTRUKCJA</x:t>
        </x:is>
      </x:c>
      <x:c r="S914" s="6" t="inlineStr">
        <x:is>
          <x:t xml:space="preserve">website+crm</x:t>
        </x:is>
      </x:c>
      <x:c r="T914" s="6" t="inlineStr">
        <x:is>
          <x:t xml:space="preserve">Baza dla kalkulatora</x:t>
        </x:is>
      </x:c>
    </x:row>
    <x:row r="915" s="655" customFormat="1" ht="30" customHeight="1">
      <x:c r="A915" s="6" t="inlineStr">
        <x:is>
          <x:t xml:space="preserve">500 x 1106 cm</x:t>
        </x:is>
      </x:c>
      <x:c r="B915" s="6" t="inlineStr">
        <x:is>
          <x:t xml:space="preserve">ZS</x:t>
        </x:is>
      </x:c>
      <x:c r="C915" s="6" t="inlineStr">
        <x:is>
          <x:t xml:space="preserve">Zadaszenie szkło - pełna konstrukcja</x:t>
        </x:is>
      </x:c>
      <x:c r="D915" s="6" t="inlineStr">
        <x:is>
          <x:t xml:space="preserve">ZADASZENIE SZKŁO</x:t>
        </x:is>
      </x:c>
      <x:c r="E915" s="8" t="n">
        <x:f>IFERROR(INDEX('02_RAW_INDEX'!$V:$V,MATCH($A915,'02_RAW_INDEX'!$A:$A,0)),"")</x:f>
        <x:v>34772</x:v>
      </x:c>
      <x:c r="F915" s="8" t="n">
        <x:f>IFERROR(INDEX('02_RAW_INDEX'!$U:$U,MATCH($A915,'02_RAW_INDEX'!$A:$A,0)),"")</x:f>
        <x:v>42770</x:v>
      </x:c>
      <x:c r="G915" s="7" t="n">
        <x:f>'01_Ustawienia'!$B$6</x:f>
        <x:v>0</x:v>
      </x:c>
      <x:c r="H915" s="8" t="n">
        <x:f>IF(E915="","",ROUND(IF('01_Ustawienia'!$B$5="BRUTTO",F915,E915)*(1-G915),0))</x:f>
        <x:v>34772</x:v>
      </x:c>
      <x:c r="I915" s="7" t="n">
        <x:f>IFERROR(IFERROR(INDEX('01_Ustawienia'!$B$15:$B$33,MATCH(B915,'01_Ustawienia'!$A$15:$A$33,0)),0.45),0.45)</x:f>
        <x:v>0.45</x:v>
      </x:c>
      <x:c r="J915" s="8" t="n">
        <x:f>IF(H915="","",ROUND(H915*(1+I915),0))</x:f>
        <x:v>50419</x:v>
      </x:c>
      <x:c r="K915" s="8" t="n">
        <x:f>IFERROR(IFERROR(INDEX(EG_Cennik_uslug!$F:$F,MATCH($A915,EG_Cennik_uslug!$A:$A,0)),0),0)</x:f>
        <x:v>5500</x:v>
      </x:c>
      <x:c r="L915" s="8" t="n">
        <x:f>IFERROR(IFERROR(INDEX(EG_Cennik_uslug!$G:$G,MATCH($A915,EG_Cennik_uslug!$A:$A,0)),0),0)</x:f>
        <x:v>2120</x:v>
      </x:c>
      <x:c r="M915" s="7" t="n">
        <x:f>IF('01_Ustawienia'!$B$4="ZWOLNIONY",0,'01_Ustawienia'!$B$7)</x:f>
        <x:v>0.08</x:v>
      </x:c>
      <x:c r="N915" s="8" t="n">
        <x:f>IF(J915="","",ROUND((J915+K915)*(1+M915),0))</x:f>
        <x:v>60393</x:v>
      </x:c>
      <x:c r="O915" s="8" t="n">
        <x:f>IF(J915="","",J915+K915-H915-L915)</x:f>
        <x:v>19027</x:v>
      </x:c>
      <x:c r="P915" s="7" t="n">
        <x:f>IFERROR(O915/(J915+K915),"")</x:f>
        <x:v>0.3402600189559899</x:v>
      </x:c>
      <x:c r="Q915" s="6" t="inlineStr">
        <x:is>
          <x:t xml:space="preserve">RAW_ZS B/C</x:t>
        </x:is>
      </x:c>
      <x:c r="R915" s="6" t="inlineStr">
        <x:is>
          <x:t xml:space="preserve">ZADASZENIE TARASU KONSTRUKCJA</x:t>
        </x:is>
      </x:c>
      <x:c r="S915" s="6" t="inlineStr">
        <x:is>
          <x:t xml:space="preserve">crm_only</x:t>
        </x:is>
      </x:c>
      <x:c r="T915" s="6" t="inlineStr">
        <x:is>
          <x:t xml:space="preserve">Referencyjne/full; strona zwykle używa ZP + PDS</x:t>
        </x:is>
      </x:c>
    </x:row>
    <x:row r="916" s="655" customFormat="1" ht="30" customHeight="1">
      <x:c r="A916" s="6" t="inlineStr">
        <x:is>
          <x:t xml:space="preserve">500 x 1106 cm</x:t>
        </x:is>
      </x:c>
      <x:c r="B916" s="6" t="inlineStr">
        <x:is>
          <x:t xml:space="preserve">OP</x:t>
        </x:is>
      </x:c>
      <x:c r="C916" s="6" t="inlineStr">
        <x:is>
          <x:t xml:space="preserve">Ogród zimowy poliwęglan - baza</x:t>
        </x:is>
      </x:c>
      <x:c r="D916" s="6" t="inlineStr">
        <x:is>
          <x:t xml:space="preserve">OGRODY POLIWĘGLAN</x:t>
        </x:is>
      </x:c>
      <x:c r="E916" s="8" t="n">
        <x:f>IFERROR(INDEX('02_RAW_INDEX'!$Z:$Z,MATCH($A916,'02_RAW_INDEX'!$A:$A,0)),"")</x:f>
        <x:v>40098</x:v>
      </x:c>
      <x:c r="F916" s="8" t="n">
        <x:f>IFERROR(INDEX('02_RAW_INDEX'!$Y:$Y,MATCH($A916,'02_RAW_INDEX'!$A:$A,0)),"")</x:f>
        <x:v>49320</x:v>
      </x:c>
      <x:c r="G916" s="7" t="n">
        <x:f>'01_Ustawienia'!$B$6</x:f>
        <x:v>0</x:v>
      </x:c>
      <x:c r="H916" s="8" t="n">
        <x:f>IF(E916="","",ROUND(IF('01_Ustawienia'!$B$5="BRUTTO",F916,E916)*(1-G916),0))</x:f>
        <x:v>40098</x:v>
      </x:c>
      <x:c r="I916" s="7" t="n">
        <x:f>IFERROR(IFERROR(INDEX('01_Ustawienia'!$B$15:$B$33,MATCH(B916,'01_Ustawienia'!$A$15:$A$33,0)),0.45),0.45)</x:f>
        <x:v>0.45</x:v>
      </x:c>
      <x:c r="J916" s="8" t="n">
        <x:f>IF(H916="","",ROUND(H916*(1+I916),0))</x:f>
        <x:v>58142</x:v>
      </x:c>
      <x:c r="K916" s="8" t="n">
        <x:f>IFERROR(IFERROR(INDEX(EG_Cennik_uslug!$N:$N,MATCH($A916,EG_Cennik_uslug!$A:$A,0)),0),0)</x:f>
        <x:v>7100</x:v>
      </x:c>
      <x:c r="L916" s="8" t="n">
        <x:f>IFERROR(IFERROR(INDEX(EG_Cennik_uslug!$O:$O,MATCH($A916,EG_Cennik_uslug!$A:$A,0)),0),0)</x:f>
        <x:v>2970</x:v>
      </x:c>
      <x:c r="M916" s="7" t="n">
        <x:f>IF('01_Ustawienia'!$B$4="ZWOLNIONY",0,'01_Ustawienia'!$B$7)</x:f>
        <x:v>0.08</x:v>
      </x:c>
      <x:c r="N916" s="8" t="n">
        <x:f>IF(J916="","",ROUND((J916+K916)*(1+M916),0))</x:f>
        <x:v>70461</x:v>
      </x:c>
      <x:c r="O916" s="8" t="n">
        <x:f>IF(J916="","",J916+K916-H916-L916)</x:f>
        <x:v>22174</x:v>
      </x:c>
      <x:c r="P916" s="7" t="n">
        <x:f>IFERROR(O916/(J916+K916),"")</x:f>
        <x:v>0.3398730878881702</x:v>
      </x:c>
      <x:c r="Q916" s="6" t="inlineStr">
        <x:is>
          <x:t xml:space="preserve">RAW_OP B/C</x:t>
        </x:is>
      </x:c>
      <x:c r="R916" s="6" t="inlineStr">
        <x:is>
          <x:t xml:space="preserve">OGRÓD ZIMOWY (KONSTRUKCJA)</x:t>
        </x:is>
      </x:c>
      <x:c r="S916" s="6" t="inlineStr">
        <x:is>
          <x:t xml:space="preserve">website+crm</x:t>
        </x:is>
      </x:c>
      <x:c r="T916" s="6" t="inlineStr">
        <x:is>
          <x:t xml:space="preserve">Do wyliczenia dopłaty za ściany</x:t>
        </x:is>
      </x:c>
    </x:row>
    <x:row r="917" s="655" customFormat="1" ht="30" customHeight="1">
      <x:c r="A917" s="6" t="inlineStr">
        <x:is>
          <x:t xml:space="preserve">500 x 1106 cm</x:t>
        </x:is>
      </x:c>
      <x:c r="B917" s="6" t="inlineStr">
        <x:is>
          <x:t xml:space="preserve">OS</x:t>
        </x:is>
      </x:c>
      <x:c r="C917" s="6" t="inlineStr">
        <x:is>
          <x:t xml:space="preserve">Ogród zimowy szkło - pełna konstrukcja</x:t>
        </x:is>
      </x:c>
      <x:c r="D917" s="6" t="inlineStr">
        <x:is>
          <x:t xml:space="preserve">OGRODY SZKŁO</x:t>
        </x:is>
      </x:c>
      <x:c r="E917" s="8" t="n">
        <x:f>IFERROR(INDEX('02_RAW_INDEX'!$AL:$AL,MATCH($A917,'02_RAW_INDEX'!$A:$A,0)),"")</x:f>
        <x:v>54431</x:v>
      </x:c>
      <x:c r="F917" s="8" t="n">
        <x:f>IFERROR(INDEX('02_RAW_INDEX'!$AK:$AK,MATCH($A917,'02_RAW_INDEX'!$A:$A,0)),"")</x:f>
        <x:v>66950</x:v>
      </x:c>
      <x:c r="G917" s="7" t="n">
        <x:f>'01_Ustawienia'!$B$6</x:f>
        <x:v>0</x:v>
      </x:c>
      <x:c r="H917" s="8" t="n">
        <x:f>IF(E917="","",ROUND(IF('01_Ustawienia'!$B$5="BRUTTO",F917,E917)*(1-G917),0))</x:f>
        <x:v>54431</x:v>
      </x:c>
      <x:c r="I917" s="7" t="n">
        <x:f>IFERROR(IFERROR(INDEX('01_Ustawienia'!$B$15:$B$33,MATCH(B917,'01_Ustawienia'!$A$15:$A$33,0)),0.45),0.45)</x:f>
        <x:v>0.45</x:v>
      </x:c>
      <x:c r="J917" s="8" t="n">
        <x:f>IF(H917="","",ROUND(H917*(1+I917),0))</x:f>
        <x:v>78925</x:v>
      </x:c>
      <x:c r="K917" s="8" t="n">
        <x:f>IFERROR(IFERROR(INDEX(EG_Cennik_uslug!$N:$N,MATCH($A917,EG_Cennik_uslug!$A:$A,0)),0),0)</x:f>
        <x:v>7100</x:v>
      </x:c>
      <x:c r="L917" s="8" t="n">
        <x:f>IFERROR(IFERROR(INDEX(EG_Cennik_uslug!$O:$O,MATCH($A917,EG_Cennik_uslug!$A:$A,0)),0),0)</x:f>
        <x:v>2970</x:v>
      </x:c>
      <x:c r="M917" s="7" t="n">
        <x:f>IF('01_Ustawienia'!$B$4="ZWOLNIONY",0,'01_Ustawienia'!$B$7)</x:f>
        <x:v>0.08</x:v>
      </x:c>
      <x:c r="N917" s="8" t="n">
        <x:f>IF(J917="","",ROUND((J917+K917)*(1+M917),0))</x:f>
        <x:v>92907</x:v>
      </x:c>
      <x:c r="O917" s="8" t="n">
        <x:f>IF(J917="","",J917+K917-H917-L917)</x:f>
        <x:v>28624</x:v>
      </x:c>
      <x:c r="P917" s="7" t="n">
        <x:f>IFERROR(O917/(J917+K917),"")</x:f>
        <x:v>0.3327404824179018</x:v>
      </x:c>
      <x:c r="Q917" s="6" t="inlineStr">
        <x:is>
          <x:t xml:space="preserve">RAW_OS B/C</x:t>
        </x:is>
      </x:c>
      <x:c r="R917" s="6" t="inlineStr">
        <x:is>
          <x:t xml:space="preserve">OGRÓD ZIMOWY (KONSTRUKCJA)</x:t>
        </x:is>
      </x:c>
      <x:c r="S917" s="6" t="inlineStr">
        <x:is>
          <x:t xml:space="preserve">crm_only</x:t>
        </x:is>
      </x:c>
      <x:c r="T917" s="6" t="inlineStr">
        <x:is>
          <x:t xml:space="preserve">Referencyjne/full</x:t>
        </x:is>
      </x:c>
    </x:row>
    <x:row r="918" s="655" customFormat="1" ht="30" customHeight="1">
      <x:c r="A918" s="6" t="inlineStr">
        <x:is>
          <x:t xml:space="preserve">500 x 1106 cm</x:t>
        </x:is>
      </x:c>
      <x:c r="B918" s="6" t="inlineStr">
        <x:is>
          <x:t xml:space="preserve">PDS</x:t>
        </x:is>
      </x:c>
      <x:c r="C918" s="6" t="inlineStr">
        <x:is>
          <x:t xml:space="preserve">Dopłata dach szkło przezroczyste</x:t>
        </x:is>
      </x:c>
      <x:c r="D918" s="6" t="inlineStr">
        <x:is>
          <x:t xml:space="preserve">POKRYCIE DACHU SZKŁO</x:t>
        </x:is>
      </x:c>
      <x:c r="E918" s="8" t="n">
        <x:f>IFERROR(IFERROR(INDEX('02_RAW_INDEX'!$V:$V,MATCH($A918,'02_RAW_INDEX'!$A:$A,0)),"")-IFERROR(INDEX('02_RAW_INDEX'!$D:$D,MATCH($A918,'02_RAW_INDEX'!$A:$A,0)),""),"")</x:f>
        <x:v>13073</x:v>
      </x:c>
      <x:c r="F918" s="8" t="n">
        <x:f>IFERROR(IFERROR(INDEX('02_RAW_INDEX'!$U:$U,MATCH($A918,'02_RAW_INDEX'!$A:$A,0)),"")-IFERROR(INDEX('02_RAW_INDEX'!$C:$C,MATCH($A918,'02_RAW_INDEX'!$A:$A,0)),""),"")</x:f>
        <x:v>16080</x:v>
      </x:c>
      <x:c r="G918" s="7" t="n">
        <x:f>'01_Ustawienia'!$B$6</x:f>
        <x:v>0</x:v>
      </x:c>
      <x:c r="H918" s="8" t="n">
        <x:f>IF(E918="","",ROUND(IF('01_Ustawienia'!$B$5="BRUTTO",F918,E918)*(1-G918),0))</x:f>
        <x:v>13073</x:v>
      </x:c>
      <x:c r="I918" s="7" t="n">
        <x:f>IFERROR(IFERROR(INDEX('01_Ustawienia'!$B$15:$B$33,MATCH(B918,'01_Ustawienia'!$A$15:$A$33,0)),0.45),0.45)</x:f>
        <x:v>0.45</x:v>
      </x:c>
      <x:c r="J918" s="8" t="n">
        <x:f>IF(H918="","",ROUND(H918*(1+I918),0))</x:f>
        <x:v>18956</x:v>
      </x:c>
      <x:c r="K918" s="8" t="n">
        <x:f>0</x:f>
        <x:v>0</x:v>
      </x:c>
      <x:c r="L918" s="8" t="n">
        <x:v>0</x:v>
      </x:c>
      <x:c r="M918" s="7" t="n">
        <x:f>IF('01_Ustawienia'!$B$4="ZWOLNIONY",0,'01_Ustawienia'!$B$7)</x:f>
        <x:v>0.08</x:v>
      </x:c>
      <x:c r="N918" s="8" t="n">
        <x:f>IF(J918="","",ROUND((J918+K918)*(1+M918),0))</x:f>
        <x:v>20472</x:v>
      </x:c>
      <x:c r="O918" s="8" t="n">
        <x:f>IF(J918="","",J918+K918-H918-L918)</x:f>
        <x:v>5883</x:v>
      </x:c>
      <x:c r="P918" s="7" t="n">
        <x:f>IFERROR(O918/(J918+K918),"")</x:f>
        <x:v>0.3103502848702258</x:v>
      </x:c>
      <x:c r="Q918" s="6" t="inlineStr">
        <x:is>
          <x:t xml:space="preserve">RAW_ZS - RAW_ZP</x:t>
        </x:is>
      </x:c>
      <x:c r="R918" s="6" t="inlineStr">
        <x:is>
          <x:t xml:space="preserve">POKRYCIE DACHU</x:t>
        </x:is>
      </x:c>
      <x:c r="S918" s="6" t="inlineStr">
        <x:is>
          <x:t xml:space="preserve">website+crm</x:t>
        </x:is>
      </x:c>
      <x:c r="T918" s="6" t="inlineStr">
        <x:is>
          <x:t xml:space="preserve">Dopłata do bazowego dachu poliwęglan | FIX17: Wynagr.+koszty = 0 dla dopłaty; nie jest osobnym montażem ekipy.</x:t>
        </x:is>
      </x:c>
    </x:row>
    <x:row r="919" s="655" customFormat="1" ht="30" customHeight="1">
      <x:c r="A919" s="6" t="inlineStr">
        <x:is>
          <x:t xml:space="preserve">500 x 1106 cm</x:t>
        </x:is>
      </x:c>
      <x:c r="B919" s="6" t="inlineStr">
        <x:is>
          <x:t xml:space="preserve">PDSB</x:t>
        </x:is>
      </x:c>
      <x:c r="C919" s="6" t="inlineStr">
        <x:is>
          <x:t xml:space="preserve">Dopłata dach szkło barwione/mleczne</x:t>
        </x:is>
      </x:c>
      <x:c r="D919" s="6" t="inlineStr">
        <x:is>
          <x:t xml:space="preserve">POKRYCIE DACHU SZKŁO BARWIONE</x:t>
        </x:is>
      </x:c>
      <x:c r="E919" s="8" t="n">
        <x:f>IFERROR(INDEX('02_RAW_INDEX'!$X:$X,MATCH($A919,'02_RAW_INDEX'!$A:$A,0)),"")</x:f>
        <x:v>1252</x:v>
      </x:c>
      <x:c r="F919" s="8" t="n">
        <x:f>IFERROR(INDEX('02_RAW_INDEX'!$W:$W,MATCH($A919,'02_RAW_INDEX'!$A:$A,0)),"")</x:f>
        <x:v>1540</x:v>
      </x:c>
      <x:c r="G919" s="7" t="n">
        <x:f>'01_Ustawienia'!$B$6</x:f>
        <x:v>0</x:v>
      </x:c>
      <x:c r="H919" s="8" t="n">
        <x:f>IF(E919="","",ROUND(IF('01_Ustawienia'!$B$5="BRUTTO",F919,E919)*(1-G919),0))</x:f>
        <x:v>1252</x:v>
      </x:c>
      <x:c r="I919" s="7" t="n">
        <x:f>IFERROR(IFERROR(INDEX('01_Ustawienia'!$B$15:$B$33,MATCH(B919,'01_Ustawienia'!$A$15:$A$33,0)),0.45),0.45)</x:f>
        <x:v>0.45</x:v>
      </x:c>
      <x:c r="J919" s="8" t="n">
        <x:f>IF(H919="","",ROUND(H919*(1+I919),0))</x:f>
        <x:v>1815</x:v>
      </x:c>
      <x:c r="K919" s="8" t="n">
        <x:f>0</x:f>
        <x:v>0</x:v>
      </x:c>
      <x:c r="L919" s="8" t="n">
        <x:v>0</x:v>
      </x:c>
      <x:c r="M919" s="7" t="n">
        <x:f>IF('01_Ustawienia'!$B$4="ZWOLNIONY",0,'01_Ustawienia'!$B$7)</x:f>
        <x:v>0.08</x:v>
      </x:c>
      <x:c r="N919" s="8" t="n">
        <x:f>IF(J919="","",ROUND((J919+K919)*(1+M919),0))</x:f>
        <x:v>1960</x:v>
      </x:c>
      <x:c r="O919" s="8" t="n">
        <x:f>IF(J919="","",J919+K919-H919-L919)</x:f>
        <x:v>563</x:v>
      </x:c>
      <x:c r="P919" s="7" t="n">
        <x:f>IFERROR(O919/(J919+K919),"")</x:f>
        <x:v>0.31019283746556475</x:v>
      </x:c>
      <x:c r="Q919" s="6" t="inlineStr">
        <x:is>
          <x:t xml:space="preserve">RAW_ZS D/E</x:t>
        </x:is>
      </x:c>
      <x:c r="R919" s="6" t="inlineStr">
        <x:is>
          <x:t xml:space="preserve">POKRYCIE DACHU</x:t>
        </x:is>
      </x:c>
      <x:c r="S919" s="6" t="inlineStr">
        <x:is>
          <x:t xml:space="preserve">website+crm</x:t>
        </x:is>
      </x:c>
      <x:c r="T919" s="6" t="inlineStr">
        <x:is>
          <x:t xml:space="preserve">Dodawane do PDS | FIX17: Wynagr.+koszty = 0 dla dopłaty; nie jest osobnym montażem ekipy.</x:t>
        </x:is>
      </x:c>
    </x:row>
    <x:row r="920" s="655" customFormat="1" ht="30" customHeight="1">
      <x:c r="A920" s="6" t="inlineStr">
        <x:is>
          <x:t xml:space="preserve">500 x 1106 cm</x:t>
        </x:is>
      </x:c>
      <x:c r="B920" s="6" t="inlineStr">
        <x:is>
          <x:t xml:space="preserve">PDPB</x:t>
        </x:is>
      </x:c>
      <x:c r="C920" s="6" t="inlineStr">
        <x:is>
          <x:t xml:space="preserve">Dopłata poliwęglan barwiony</x:t>
        </x:is>
      </x:c>
      <x:c r="D920" s="6" t="inlineStr">
        <x:is>
          <x:t xml:space="preserve">POKRYCIE DACHU POLIWĘGLAN BARWIONY</x:t>
        </x:is>
      </x:c>
      <x:c r="E920" s="8" t="n">
        <x:f>IFERROR(INDEX('02_RAW_INDEX'!$F:$F,MATCH($A920,'02_RAW_INDEX'!$A:$A,0)),"")</x:f>
        <x:v>927</x:v>
      </x:c>
      <x:c r="F920" s="8" t="n">
        <x:f>IFERROR(INDEX('02_RAW_INDEX'!$E:$E,MATCH($A920,'02_RAW_INDEX'!$A:$A,0)),"")</x:f>
        <x:v>1140</x:v>
      </x:c>
      <x:c r="G920" s="7" t="n">
        <x:f>'01_Ustawienia'!$B$6</x:f>
        <x:v>0</x:v>
      </x:c>
      <x:c r="H920" s="8" t="n">
        <x:f>IF(E920="","",ROUND(IF('01_Ustawienia'!$B$5="BRUTTO",F920,E920)*(1-G920),0))</x:f>
        <x:v>927</x:v>
      </x:c>
      <x:c r="I920" s="7" t="n">
        <x:f>IFERROR(IFERROR(INDEX('01_Ustawienia'!$B$15:$B$33,MATCH(B920,'01_Ustawienia'!$A$15:$A$33,0)),0.45),0.45)</x:f>
        <x:v>0.45</x:v>
      </x:c>
      <x:c r="J920" s="8" t="n">
        <x:f>IF(H920="","",ROUND(H920*(1+I920),0))</x:f>
        <x:v>1344</x:v>
      </x:c>
      <x:c r="K920" s="8" t="n">
        <x:f>0</x:f>
        <x:v>0</x:v>
      </x:c>
      <x:c r="L920" s="8" t="n">
        <x:v>0</x:v>
      </x:c>
      <x:c r="M920" s="7" t="n">
        <x:f>IF('01_Ustawienia'!$B$4="ZWOLNIONY",0,'01_Ustawienia'!$B$7)</x:f>
        <x:v>0.08</x:v>
      </x:c>
      <x:c r="N920" s="8" t="n">
        <x:f>IF(J920="","",ROUND((J920+K920)*(1+M920),0))</x:f>
        <x:v>1452</x:v>
      </x:c>
      <x:c r="O920" s="8" t="n">
        <x:f>IF(J920="","",J920+K920-H920-L920)</x:f>
        <x:v>417</x:v>
      </x:c>
      <x:c r="P920" s="7" t="n">
        <x:f>IFERROR(O920/(J920+K920),"")</x:f>
        <x:v>0.31026785714285715</x:v>
      </x:c>
      <x:c r="Q920" s="6" t="inlineStr">
        <x:is>
          <x:t xml:space="preserve">RAW_ZP D/E</x:t>
        </x:is>
      </x:c>
      <x:c r="R920" s="6" t="inlineStr">
        <x:is>
          <x:t xml:space="preserve">POKRYCIE DACHU</x:t>
        </x:is>
      </x:c>
      <x:c r="S920" s="6" t="inlineStr">
        <x:is>
          <x:t xml:space="preserve">website+crm</x:t>
        </x:is>
      </x:c>
      <x:c r="T920" s="6" t="inlineStr">
        <x:is>
          <x:t xml:space="preserve">FIX17: Wynagr.+koszty = 0 dla dopłaty; nie jest osobnym montażem ekipy.</x:t>
        </x:is>
      </x:c>
    </x:row>
    <x:row r="921" s="655" customFormat="1" ht="30" customHeight="1">
      <x:c r="A921" s="6" t="inlineStr">
        <x:is>
          <x:t xml:space="preserve">500 x 1106 cm</x:t>
        </x:is>
      </x:c>
      <x:c r="B921" s="6" t="inlineStr">
        <x:is>
          <x:t xml:space="preserve">SBB</x:t>
        </x:is>
      </x:c>
      <x:c r="C921" s="6" t="inlineStr">
        <x:is>
          <x:t xml:space="preserve">Dopłata szkło boczne przyciemniane</x:t>
        </x:is>
      </x:c>
      <x:c r="D921" s="6" t="inlineStr">
        <x:is>
          <x:t xml:space="preserve">SZKŁO BOCZNE BARWIONE</x:t>
        </x:is>
      </x:c>
      <x:c r="E921" s="8" t="n">
        <x:f>IFERROR(INDEX('02_RAW_INDEX'!$AB:$AB,MATCH($A921,'02_RAW_INDEX'!$A:$A,0)),"")</x:f>
        <x:v>2049</x:v>
      </x:c>
      <x:c r="F921" s="8" t="n">
        <x:f>IFERROR(INDEX('02_RAW_INDEX'!$AA:$AA,MATCH($A921,'02_RAW_INDEX'!$A:$A,0)),"")</x:f>
        <x:v>2520</x:v>
      </x:c>
      <x:c r="G921" s="7" t="n">
        <x:f>'01_Ustawienia'!$B$6</x:f>
        <x:v>0</x:v>
      </x:c>
      <x:c r="H921" s="8" t="n">
        <x:f>IF(E921="","",ROUND(IF('01_Ustawienia'!$B$5="BRUTTO",F921,E921)*(1-G921),0))</x:f>
        <x:v>2049</x:v>
      </x:c>
      <x:c r="I921" s="7" t="n">
        <x:f>IFERROR(IFERROR(INDEX('01_Ustawienia'!$B$15:$B$33,MATCH(B921,'01_Ustawienia'!$A$15:$A$33,0)),0.45),0.45)</x:f>
        <x:v>0.45</x:v>
      </x:c>
      <x:c r="J921" s="8" t="n">
        <x:f>IF(H921="","",ROUND(H921*(1+I921),0))</x:f>
        <x:v>2971</x:v>
      </x:c>
      <x:c r="K921" s="8" t="n">
        <x:f>0</x:f>
        <x:v>0</x:v>
      </x:c>
      <x:c r="L921" s="8" t="n">
        <x:v>0</x:v>
      </x:c>
      <x:c r="M921" s="7" t="n">
        <x:f>IF('01_Ustawienia'!$B$4="ZWOLNIONY",0,'01_Ustawienia'!$B$7)</x:f>
        <x:v>0.08</x:v>
      </x:c>
      <x:c r="N921" s="8" t="n">
        <x:f>IF(J921="","",ROUND((J921+K921)*(1+M921),0))</x:f>
        <x:v>3209</x:v>
      </x:c>
      <x:c r="O921" s="8" t="n">
        <x:f>IF(J921="","",J921+K921-H921-L921)</x:f>
        <x:v>922</x:v>
      </x:c>
      <x:c r="P921" s="7" t="n">
        <x:f>IFERROR(O921/(J921+K921),"")</x:f>
        <x:v>0.3103332211376641</x:v>
      </x:c>
      <x:c r="Q921" s="6" t="inlineStr">
        <x:is>
          <x:t xml:space="preserve">RAW_OP H/I</x:t>
        </x:is>
      </x:c>
      <x:c r="R921" s="6" t="inlineStr">
        <x:is>
          <x:t xml:space="preserve">SZYBY BOCZNE</x:t>
        </x:is>
      </x:c>
      <x:c r="S921" s="6" t="inlineStr">
        <x:is>
          <x:t xml:space="preserve">website+crm</x:t>
        </x:is>
      </x:c>
      <x:c r="T921" s="6" t="inlineStr">
        <x:is>
          <x:t xml:space="preserve">Dodawane do ścian przezroczystych | FIX17: Wynagr.+koszty = 0 dla dopłaty; nie jest osobnym montażem ekipy.</x:t>
        </x:is>
      </x:c>
    </x:row>
    <x:row r="922">
      <x:c r="A922" s="6" t="inlineStr">
        <x:is>
          <x:t xml:space="preserve">500 x 1106 cm</x:t>
        </x:is>
      </x:c>
      <x:c r="B922" s="6" t="inlineStr">
        <x:is>
          <x:t xml:space="preserve">RB</x:t>
        </x:is>
      </x:c>
      <x:c r="C922" s="6" t="inlineStr">
        <x:is>
          <x:t xml:space="preserve">Roleta boczna ZIP</x:t>
        </x:is>
      </x:c>
      <x:c r="D922" s="6" t="inlineStr">
        <x:is>
          <x:t xml:space="preserve">ROLETA BOCZNA</x:t>
        </x:is>
      </x:c>
      <x:c r="E922" s="8" t="n">
        <x:f>IFERROR(INDEX('02_RAW_INDEX'!$J:$J,MATCH($A922,'02_RAW_INDEX'!$A:$A,0)),"")</x:f>
        <x:v>3008</x:v>
      </x:c>
      <x:c r="F922" s="8" t="n">
        <x:f>IFERROR(INDEX('02_RAW_INDEX'!$I:$I,MATCH($A922,'02_RAW_INDEX'!$A:$A,0)),"")</x:f>
        <x:v>3700</x:v>
      </x:c>
      <x:c r="G922" s="7" t="n">
        <x:f>'01_Ustawienia'!$B$6</x:f>
        <x:v>0</x:v>
      </x:c>
      <x:c r="H922" s="8" t="n">
        <x:f>IF(E922="","",ROUND(IF('01_Ustawienia'!$B$5="BRUTTO",F922,E922)*(1-G922),0))</x:f>
        <x:v>3008</x:v>
      </x:c>
      <x:c r="I922" s="7" t="n">
        <x:f>IFERROR(IFERROR(INDEX('01_Ustawienia'!$B$15:$B$33,MATCH(B922,'01_Ustawienia'!$A$15:$A$33,0)),0.45),0.45)</x:f>
        <x:v>0.45</x:v>
      </x:c>
      <x:c r="J922" s="8" t="n">
        <x:f>IF(H922="","",ROUND(H922*(1+I922),0))</x:f>
        <x:v>4362</x:v>
      </x:c>
      <x:c r="K922" s="8" t="n">
        <x:f>0</x:f>
        <x:v>0</x:v>
      </x:c>
      <x:c r="L922" s="8" t="n">
        <x:f>IFERROR(IFERROR(INDEX(EG_Cennik_uslug!$AC:$AC,MATCH($A922,EG_Cennik_uslug!$A:$A,0)),0),0)</x:f>
        <x:v>150</x:v>
      </x:c>
      <x:c r="M922" s="7" t="n">
        <x:f>IF('01_Ustawienia'!$B$4="ZWOLNIONY",0,'01_Ustawienia'!$B$7)</x:f>
        <x:v>0.08</x:v>
      </x:c>
      <x:c r="N922" s="8" t="n">
        <x:f>IF(J922="","",ROUND((J922+K922)*(1+M922),0))</x:f>
        <x:v>4711</x:v>
      </x:c>
      <x:c r="O922" s="8" t="n">
        <x:f>IF(J922="","",J922+K922-H922-L922)</x:f>
        <x:v>1204</x:v>
      </x:c>
      <x:c r="P922" s="7" t="n">
        <x:f>IFERROR(O922/(J922+K922),"")</x:f>
        <x:v>0.27602017423200365</x:v>
      </x:c>
      <x:c r="Q922" s="6" t="inlineStr">
        <x:is>
          <x:t xml:space="preserve">RAW_ZP J/K</x:t>
        </x:is>
      </x:c>
      <x:c r="R922" s="6" t="inlineStr">
        <x:is>
          <x:t xml:space="preserve">ROLETY BOCZNE</x:t>
        </x:is>
      </x:c>
      <x:c r="S922" s="6" t="inlineStr">
        <x:is>
          <x:t xml:space="preserve">website+crm</x:t>
        </x:is>
      </x:c>
      <x:c r="T922" s="6" t="inlineStr">
        <x:is>
          <x:t xml:space="preserve">Używana dla lewej i prawej</x:t>
        </x:is>
      </x:c>
    </x:row>
    <x:row r="923">
      <x:c r="A923" s="6" t="inlineStr">
        <x:is>
          <x:t xml:space="preserve">500 x 1106 cm</x:t>
        </x:is>
      </x:c>
      <x:c r="B923" s="6" t="inlineStr">
        <x:is>
          <x:t xml:space="preserve">RP</x:t>
        </x:is>
      </x:c>
      <x:c r="C923" s="6" t="inlineStr">
        <x:is>
          <x:t xml:space="preserve">Roleta przednia ZIP</x:t>
        </x:is>
      </x:c>
      <x:c r="D923" s="6" t="inlineStr">
        <x:is>
          <x:t xml:space="preserve">ROLETA PRZÓD</x:t>
        </x:is>
      </x:c>
      <x:c r="E923" s="8" t="n">
        <x:f>IFERROR(INDEX('02_RAW_INDEX'!$L:$L,MATCH($A923,'02_RAW_INDEX'!$A:$A,0)),"")</x:f>
        <x:v>6033</x:v>
      </x:c>
      <x:c r="F923" s="8" t="n">
        <x:f>IFERROR(INDEX('02_RAW_INDEX'!$K:$K,MATCH($A923,'02_RAW_INDEX'!$A:$A,0)),"")</x:f>
        <x:v>7420</x:v>
      </x:c>
      <x:c r="G923" s="7" t="n">
        <x:f>'01_Ustawienia'!$B$6</x:f>
        <x:v>0</x:v>
      </x:c>
      <x:c r="H923" s="8" t="n">
        <x:f>IF(E923="","",ROUND(IF('01_Ustawienia'!$B$5="BRUTTO",F923,E923)*(1-G923),0))</x:f>
        <x:v>6033</x:v>
      </x:c>
      <x:c r="I923" s="7" t="n">
        <x:f>IFERROR(IFERROR(INDEX('01_Ustawienia'!$B$15:$B$33,MATCH(B923,'01_Ustawienia'!$A$15:$A$33,0)),0.45),0.45)</x:f>
        <x:v>0.45</x:v>
      </x:c>
      <x:c r="J923" s="8" t="n">
        <x:f>IF(H923="","",ROUND(H923*(1+I923),0))</x:f>
        <x:v>8748</x:v>
      </x:c>
      <x:c r="K923" s="8" t="n">
        <x:f>0</x:f>
        <x:v>0</x:v>
      </x:c>
      <x:c r="L923" s="8" t="n">
        <x:f>IFERROR(IFERROR(INDEX(EG_Cennik_uslug!$AJ:$AJ,MATCH($A923,EG_Cennik_uslug!$A:$A,0)),0),0)</x:f>
        <x:v>450</x:v>
      </x:c>
      <x:c r="M923" s="7" t="n">
        <x:f>IF('01_Ustawienia'!$B$4="ZWOLNIONY",0,'01_Ustawienia'!$B$7)</x:f>
        <x:v>0.08</x:v>
      </x:c>
      <x:c r="N923" s="8" t="n">
        <x:f>IF(J923="","",ROUND((J923+K923)*(1+M923),0))</x:f>
        <x:v>9448</x:v>
      </x:c>
      <x:c r="O923" s="8" t="n">
        <x:f>IF(J923="","",J923+K923-H923-L923)</x:f>
        <x:v>2265</x:v>
      </x:c>
      <x:c r="P923" s="7" t="n">
        <x:f>IFERROR(O923/(J923+K923),"")</x:f>
        <x:v>0.25891632373113854</x:v>
      </x:c>
      <x:c r="Q923" s="6" t="inlineStr">
        <x:is>
          <x:t xml:space="preserve">RAW_ZP N/O</x:t>
        </x:is>
      </x:c>
      <x:c r="R923" s="6" t="inlineStr">
        <x:is>
          <x:t xml:space="preserve">ROLETY BOCZNE</x:t>
        </x:is>
      </x:c>
      <x:c r="S923" s="6" t="inlineStr">
        <x:is>
          <x:t xml:space="preserve">website+crm</x:t>
        </x:is>
      </x:c>
      <x:c r="T923" s="6" t="n"/>
    </x:row>
    <x:row r="924">
      <x:c r="A924" s="6" t="inlineStr">
        <x:is>
          <x:t xml:space="preserve">500 x 1106 cm</x:t>
        </x:is>
      </x:c>
      <x:c r="B924" s="6" t="inlineStr">
        <x:is>
          <x:t xml:space="preserve">M</x:t>
        </x:is>
      </x:c>
      <x:c r="C924" s="6" t="inlineStr">
        <x:is>
          <x:t xml:space="preserve">Markiza dachowa</x:t>
        </x:is>
      </x:c>
      <x:c r="D924" s="6" t="inlineStr">
        <x:is>
          <x:t xml:space="preserve">MARKIZA</x:t>
        </x:is>
      </x:c>
      <x:c r="E924" s="8" t="n">
        <x:f>IFERROR(INDEX('02_RAW_INDEX'!$H:$H,MATCH($A924,'02_RAW_INDEX'!$A:$A,0)),"")</x:f>
        <x:v>10911</x:v>
      </x:c>
      <x:c r="F924" s="8" t="n">
        <x:f>IFERROR(INDEX('02_RAW_INDEX'!$G:$G,MATCH($A924,'02_RAW_INDEX'!$A:$A,0)),"")</x:f>
        <x:v>13420</x:v>
      </x:c>
      <x:c r="G924" s="7" t="n">
        <x:f>'01_Ustawienia'!$B$6</x:f>
        <x:v>0</x:v>
      </x:c>
      <x:c r="H924" s="8" t="n">
        <x:f>IF(E924="","",ROUND(IF('01_Ustawienia'!$B$5="BRUTTO",F924,E924)*(1-G924),0))</x:f>
        <x:v>10911</x:v>
      </x:c>
      <x:c r="I924" s="7" t="n">
        <x:f>IFERROR(IFERROR(INDEX('01_Ustawienia'!$B$15:$B$33,MATCH(B924,'01_Ustawienia'!$A$15:$A$33,0)),0.45),0.45)</x:f>
        <x:v>0.45</x:v>
      </x:c>
      <x:c r="J924" s="8" t="n">
        <x:f>IF(H924="","",ROUND(H924*(1+I924),0))</x:f>
        <x:v>15821</x:v>
      </x:c>
      <x:c r="K924" s="8" t="n">
        <x:f>0</x:f>
        <x:v>0</x:v>
      </x:c>
      <x:c r="L924" s="8" t="n">
        <x:f>IFERROR(IFERROR(INDEX(EG_Cennik_uslug!$AQ:$AQ,MATCH($A924,EG_Cennik_uslug!$A:$A,0)),0),0)</x:f>
        <x:v>650</x:v>
      </x:c>
      <x:c r="M924" s="7" t="n">
        <x:f>IF('01_Ustawienia'!$B$4="ZWOLNIONY",0,'01_Ustawienia'!$B$7)</x:f>
        <x:v>0.08</x:v>
      </x:c>
      <x:c r="N924" s="8" t="n">
        <x:f>IF(J924="","",ROUND((J924+K924)*(1+M924),0))</x:f>
        <x:v>17087</x:v>
      </x:c>
      <x:c r="O924" s="8" t="n">
        <x:f>IF(J924="","",J924+K924-H924-L924)</x:f>
        <x:v>4260</x:v>
      </x:c>
      <x:c r="P924" s="7" t="n">
        <x:f>IFERROR(O924/(J924+K924),"")</x:f>
        <x:v>0.26926237279565135</x:v>
      </x:c>
      <x:c r="Q924" s="6" t="inlineStr">
        <x:is>
          <x:t xml:space="preserve">RAW_ZP H/I</x:t>
        </x:is>
      </x:c>
      <x:c r="R924" s="6" t="inlineStr">
        <x:is>
          <x:t xml:space="preserve">MARKIZA</x:t>
        </x:is>
      </x:c>
      <x:c r="S924" s="6" t="inlineStr">
        <x:is>
          <x:t xml:space="preserve">website+crm</x:t>
        </x:is>
      </x:c>
      <x:c r="T924" s="6" t="n"/>
    </x:row>
    <x:row r="925">
      <x:c r="A925" s="6" t="inlineStr">
        <x:is>
          <x:t xml:space="preserve">500 x 1106 cm</x:t>
        </x:is>
      </x:c>
      <x:c r="B925" s="6" t="inlineStr">
        <x:is>
          <x:t xml:space="preserve">PDWP</x:t>
        </x:is>
      </x:c>
      <x:c r="C925" s="6" t="inlineStr">
        <x:is>
          <x:t xml:space="preserve">Fundament/profile</x:t>
        </x:is>
      </x:c>
      <x:c r="D925" s="6" t="inlineStr">
        <x:is>
          <x:t xml:space="preserve">FUNDAMENT / PROFILE</x:t>
        </x:is>
      </x:c>
      <x:c r="E925" s="8" t="n">
        <x:f>IFERROR(INDEX('02_RAW_INDEX'!$AH:$AH,MATCH($A925,'02_RAW_INDEX'!$A:$A,0)),"")</x:f>
        <x:v>1764</x:v>
      </x:c>
      <x:c r="F925" s="8" t="n">
        <x:f>IFERROR(INDEX('02_RAW_INDEX'!$AG:$AG,MATCH($A925,'02_RAW_INDEX'!$A:$A,0)),"")</x:f>
        <x:v>2170</x:v>
      </x:c>
      <x:c r="G925" s="7" t="n">
        <x:f>'01_Ustawienia'!$B$6</x:f>
        <x:v>0</x:v>
      </x:c>
      <x:c r="H925" s="8" t="n">
        <x:f>IF(E925="","",ROUND(IF('01_Ustawienia'!$B$5="BRUTTO",F925,E925)*(1-G925),0))</x:f>
        <x:v>1764</x:v>
      </x:c>
      <x:c r="I925" s="7" t="n">
        <x:f>IFERROR(IFERROR(INDEX('01_Ustawienia'!$B$15:$B$33,MATCH(B925,'01_Ustawienia'!$A$15:$A$33,0)),0.45),0.45)</x:f>
        <x:v>1.2</x:v>
      </x:c>
      <x:c r="J925" s="8" t="n">
        <x:f>IF(H925="","",ROUND(H925*(1+I925),0))</x:f>
        <x:v>3881</x:v>
      </x:c>
      <x:c r="K925" s="8" t="n">
        <x:f>0</x:f>
        <x:v>0</x:v>
      </x:c>
      <x:c r="L925" s="8" t="n">
        <x:f>IFERROR(IFERROR(INDEX(EG_Cennik_uslug!$BT:$BT,MATCH($A925,EG_Cennik_uslug!$A:$A,0)),0),0)</x:f>
        <x:v>690</x:v>
      </x:c>
      <x:c r="M925" s="7" t="n">
        <x:f>IF('01_Ustawienia'!$B$4="ZWOLNIONY",0,'01_Ustawienia'!$B$7)</x:f>
        <x:v>0.08</x:v>
      </x:c>
      <x:c r="N925" s="8" t="n">
        <x:f>IF(J925="","",ROUND((J925+K925)*(1+M925),0))</x:f>
        <x:v>4191</x:v>
      </x:c>
      <x:c r="O925" s="8" t="n">
        <x:f>IF(J925="","",J925+K925-H925-L925)</x:f>
        <x:v>1427</x:v>
      </x:c>
      <x:c r="P925" s="7" t="n">
        <x:f>IFERROR(O925/(J925+K925),"")</x:f>
        <x:v>0.3676887400154599</x:v>
      </x:c>
      <x:c r="Q925" s="6" t="inlineStr">
        <x:is>
          <x:t xml:space="preserve">RAW_OP AB/AC</x:t>
        </x:is>
      </x:c>
      <x:c r="R925" s="6" t="inlineStr">
        <x:is>
          <x:t xml:space="preserve">FUNDAMENT (PROFILE)</x:t>
        </x:is>
      </x:c>
      <x:c r="S925" s="6" t="inlineStr">
        <x:is>
          <x:t xml:space="preserve">website+crm</x:t>
        </x:is>
      </x:c>
      <x:c r="T925" s="6" t="n"/>
    </x:row>
    <x:row r="926" s="655" customFormat="1" ht="30" customHeight="1">
      <x:c r="A926" s="6" t="inlineStr">
        <x:is>
          <x:t xml:space="preserve">500 x 1106 cm</x:t>
        </x:is>
      </x:c>
      <x:c r="B926" s="6" t="inlineStr">
        <x:is>
          <x:t xml:space="preserve">ZAB</x:t>
        </x:is>
      </x:c>
      <x:c r="C926" s="6" t="inlineStr">
        <x:is>
          <x:t xml:space="preserve">Zabieraki do ścian przesuwnych</x:t>
        </x:is>
      </x:c>
      <x:c r="D926" s="6" t="inlineStr">
        <x:is>
          <x:t xml:space="preserve">DODATKI</x:t>
        </x:is>
      </x:c>
      <x:c r="E926" s="8" t="n">
        <x:f>IFERROR(INDEX('02_RAW_INDEX'!$AJ:$AJ,MATCH($A926,'02_RAW_INDEX'!$A:$A,0)),"")</x:f>
        <x:v>520</x:v>
      </x:c>
      <x:c r="F926" s="8" t="n">
        <x:f>IFERROR(INDEX('02_RAW_INDEX'!$AI:$AI,MATCH($A926,'02_RAW_INDEX'!$A:$A,0)),"")</x:f>
        <x:v>640</x:v>
      </x:c>
      <x:c r="G926" s="7" t="n">
        <x:f>'01_Ustawienia'!$B$6</x:f>
        <x:v>0</x:v>
      </x:c>
      <x:c r="H926" s="8" t="n">
        <x:f>IF(E926="","",ROUND(IF('01_Ustawienia'!$B$5="BRUTTO",F926,E926)*(1-G926),0))</x:f>
        <x:v>520</x:v>
      </x:c>
      <x:c r="I926" s="7" t="n">
        <x:f>IFERROR(IFERROR(INDEX('01_Ustawienia'!$B$15:$B$33,MATCH(B926,'01_Ustawienia'!$A$15:$A$33,0)),0.45),0.45)</x:f>
        <x:v>0.45</x:v>
      </x:c>
      <x:c r="J926" s="8" t="n">
        <x:f>IF(H926="","",ROUND(H926*(1+I926),0))</x:f>
        <x:v>754</x:v>
      </x:c>
      <x:c r="K926" s="8" t="n">
        <x:f>0</x:f>
        <x:v>0</x:v>
      </x:c>
      <x:c r="L926" s="8" t="n">
        <x:f>0</x:f>
        <x:v>0</x:v>
      </x:c>
      <x:c r="M926" s="7" t="n">
        <x:f>IF('01_Ustawienia'!$B$4="ZWOLNIONY",0,'01_Ustawienia'!$B$7)</x:f>
        <x:v>0.08</x:v>
      </x:c>
      <x:c r="N926" s="8" t="n">
        <x:f>IF(J926="","",ROUND((J926+K926)*(1+M926),0))</x:f>
        <x:v>814</x:v>
      </x:c>
      <x:c r="O926" s="8" t="n">
        <x:f>IF(J926="","",J926+K926-H926-L926)</x:f>
        <x:v>234</x:v>
      </x:c>
      <x:c r="P926" s="7" t="n">
        <x:f>IFERROR(O926/(J926+K926),"")</x:f>
        <x:v>0.3103448275862069</x:v>
      </x:c>
      <x:c r="Q926" s="6" t="inlineStr">
        <x:is>
          <x:t xml:space="preserve">RAW_OP AD/AE</x:t>
        </x:is>
      </x:c>
      <x:c r="R926" s="6" t="inlineStr">
        <x:is>
          <x:t xml:space="preserve">DODATKI</x:t>
        </x:is>
      </x:c>
      <x:c r="S926" s="6" t="inlineStr">
        <x:is>
          <x:t xml:space="preserve">crm_only</x:t>
        </x:is>
      </x:c>
      <x:c r="T926" s="6" t="n"/>
    </x:row>
    <x:row r="927">
      <x:c r="A927" s="6" t="inlineStr">
        <x:is>
          <x:t xml:space="preserve">500 x 1106 cm</x:t>
        </x:is>
      </x:c>
      <x:c r="B927" s="6" t="inlineStr">
        <x:is>
          <x:t xml:space="preserve">S</x:t>
        </x:is>
      </x:c>
      <x:c r="C927" s="6" t="inlineStr">
        <x:is>
          <x:t xml:space="preserve">Szczotki przeciwkurzowe</x:t>
        </x:is>
      </x:c>
      <x:c r="D927" s="6" t="inlineStr">
        <x:is>
          <x:t xml:space="preserve">SZCZOTKI</x:t>
        </x:is>
      </x:c>
      <x:c r="E927" s="8" t="n">
        <x:f>IFERROR(INDEX('02_RAW_INDEX'!$AD:$AD,MATCH($A927,'02_RAW_INDEX'!$A:$A,0)),"")</x:f>
        <x:v>650</x:v>
      </x:c>
      <x:c r="F927" s="8" t="n">
        <x:f>IFERROR(INDEX('02_RAW_INDEX'!$AC:$AC,MATCH($A927,'02_RAW_INDEX'!$A:$A,0)),"")</x:f>
        <x:v>800</x:v>
      </x:c>
      <x:c r="G927" s="7" t="n">
        <x:f>'01_Ustawienia'!$B$6</x:f>
        <x:v>0</x:v>
      </x:c>
      <x:c r="H927" s="8" t="n">
        <x:f>IF(E927="","",ROUND(IF('01_Ustawienia'!$B$5="BRUTTO",F927,E927)*(1-G927),0))</x:f>
        <x:v>650</x:v>
      </x:c>
      <x:c r="I927" s="7" t="n">
        <x:f>IFERROR(IFERROR(INDEX('01_Ustawienia'!$B$15:$B$33,MATCH(B927,'01_Ustawienia'!$A$15:$A$33,0)),0.45),0.45)</x:f>
        <x:v>0.45</x:v>
      </x:c>
      <x:c r="J927" s="8" t="n">
        <x:f>IF(H927="","",ROUND(H927*(1+I927),0))</x:f>
        <x:v>943</x:v>
      </x:c>
      <x:c r="K927" s="8" t="n">
        <x:f>0</x:f>
        <x:v>0</x:v>
      </x:c>
      <x:c r="L927" s="8" t="n">
        <x:f>IFERROR(IFERROR(INDEX(EG_Cennik_uslug!$CA:$CA,MATCH($A927,EG_Cennik_uslug!$A:$A,0)),0),0)</x:f>
        <x:v>0</x:v>
      </x:c>
      <x:c r="M927" s="7" t="n">
        <x:f>IF('01_Ustawienia'!$B$4="ZWOLNIONY",0,'01_Ustawienia'!$B$7)</x:f>
        <x:v>0.08</x:v>
      </x:c>
      <x:c r="N927" s="8" t="n">
        <x:f>IF(J927="","",ROUND((J927+K927)*(1+M927),0))</x:f>
        <x:v>1018</x:v>
      </x:c>
      <x:c r="O927" s="8" t="n">
        <x:f>IF(J927="","",J927+K927-H927-L927)</x:f>
        <x:v>293</x:v>
      </x:c>
      <x:c r="P927" s="7" t="n">
        <x:f>IFERROR(O927/(J927+K927),"")</x:f>
        <x:v>0.3107104984093319</x:v>
      </x:c>
      <x:c r="Q927" s="6" t="inlineStr">
        <x:is>
          <x:t xml:space="preserve">RAW_OP L/M</x:t>
        </x:is>
      </x:c>
      <x:c r="R927" s="6" t="inlineStr">
        <x:is>
          <x:t xml:space="preserve">DODATKI</x:t>
        </x:is>
      </x:c>
      <x:c r="S927" s="6" t="inlineStr">
        <x:is>
          <x:t xml:space="preserve">website+crm</x:t>
        </x:is>
      </x:c>
      <x:c r="T927" s="6" t="n"/>
    </x:row>
    <x:row r="928">
      <x:c r="A928" s="6" t="inlineStr">
        <x:is>
          <x:t xml:space="preserve">500 x 1106 cm</x:t>
        </x:is>
      </x:c>
      <x:c r="B928" s="6" t="inlineStr">
        <x:is>
          <x:t xml:space="preserve">U</x:t>
        </x:is>
      </x:c>
      <x:c r="C928" s="6" t="inlineStr">
        <x:is>
          <x:t xml:space="preserve">Uchwyty na szkło ścienne</x:t>
        </x:is>
      </x:c>
      <x:c r="D928" s="6" t="inlineStr">
        <x:is>
          <x:t xml:space="preserve">UCHWYTY</x:t>
        </x:is>
      </x:c>
      <x:c r="E928" s="8" t="n">
        <x:f>IFERROR(INDEX('02_RAW_INDEX'!$AF:$AF,MATCH($A928,'02_RAW_INDEX'!$A:$A,0)),"")</x:f>
        <x:v>585</x:v>
      </x:c>
      <x:c r="F928" s="8" t="n">
        <x:f>IFERROR(INDEX('02_RAW_INDEX'!$AE:$AE,MATCH($A928,'02_RAW_INDEX'!$A:$A,0)),"")</x:f>
        <x:v>720</x:v>
      </x:c>
      <x:c r="G928" s="7" t="n">
        <x:f>'01_Ustawienia'!$B$6</x:f>
        <x:v>0</x:v>
      </x:c>
      <x:c r="H928" s="8" t="n">
        <x:f>IF(E928="","",ROUND(IF('01_Ustawienia'!$B$5="BRUTTO",F928,E928)*(1-G928),0))</x:f>
        <x:v>585</x:v>
      </x:c>
      <x:c r="I928" s="7" t="n">
        <x:f>IFERROR(IFERROR(INDEX('01_Ustawienia'!$B$15:$B$33,MATCH(B928,'01_Ustawienia'!$A$15:$A$33,0)),0.45),0.45)</x:f>
        <x:v>0.45</x:v>
      </x:c>
      <x:c r="J928" s="8" t="n">
        <x:f>IF(H928="","",ROUND(H928*(1+I928),0))</x:f>
        <x:v>848</x:v>
      </x:c>
      <x:c r="K928" s="8" t="n">
        <x:f>0</x:f>
        <x:v>0</x:v>
      </x:c>
      <x:c r="L928" s="8" t="n">
        <x:f>IFERROR(IFERROR(INDEX(EG_Cennik_uslug!$CH:$CH,MATCH($A928,EG_Cennik_uslug!$A:$A,0)),0),0)</x:f>
        <x:v>0</x:v>
      </x:c>
      <x:c r="M928" s="7" t="n">
        <x:f>IF('01_Ustawienia'!$B$4="ZWOLNIONY",0,'01_Ustawienia'!$B$7)</x:f>
        <x:v>0.08</x:v>
      </x:c>
      <x:c r="N928" s="8" t="n">
        <x:f>IF(J928="","",ROUND((J928+K928)*(1+M928),0))</x:f>
        <x:v>916</x:v>
      </x:c>
      <x:c r="O928" s="8" t="n">
        <x:f>IF(J928="","",J928+K928-H928-L928)</x:f>
        <x:v>263</x:v>
      </x:c>
      <x:c r="P928" s="7" t="n">
        <x:f>IFERROR(O928/(J928+K928),"")</x:f>
        <x:v>0.31014150943396224</x:v>
      </x:c>
      <x:c r="Q928" s="6" t="inlineStr">
        <x:is>
          <x:t xml:space="preserve">RAW_OP N/O</x:t>
        </x:is>
      </x:c>
      <x:c r="R928" s="6" t="inlineStr">
        <x:is>
          <x:t xml:space="preserve">DODATKI</x:t>
        </x:is>
      </x:c>
      <x:c r="S928" s="6" t="inlineStr">
        <x:is>
          <x:t xml:space="preserve">website+crm</x:t>
        </x:is>
      </x:c>
      <x:c r="T928" s="6" t="n"/>
    </x:row>
    <x:row r="929">
      <x:c r="A929" s="6" t="inlineStr">
        <x:is>
          <x:t xml:space="preserve">500 x 1106 cm</x:t>
        </x:is>
      </x:c>
      <x:c r="B929" s="6" t="inlineStr">
        <x:is>
          <x:t xml:space="preserve">LED2</x:t>
        </x:is>
      </x:c>
      <x:c r="C929" s="6" t="inlineStr">
        <x:is>
          <x:t xml:space="preserve">Oświetlenie LED 2 punkty</x:t>
        </x:is>
      </x:c>
      <x:c r="D929" s="6" t="inlineStr">
        <x:is>
          <x:t xml:space="preserve">LED 2 PKT</x:t>
        </x:is>
      </x:c>
      <x:c r="E929" s="8" t="n">
        <x:f>IFERROR(INDEX('02_RAW_INDEX'!$N:$N,MATCH($A929,'02_RAW_INDEX'!$A:$A,0)),"")</x:f>
        <x:v>1163</x:v>
      </x:c>
      <x:c r="F929" s="8" t="n">
        <x:f>IFERROR(INDEX('02_RAW_INDEX'!$M:$M,MATCH($A929,'02_RAW_INDEX'!$A:$A,0)),"")</x:f>
        <x:v>1430</x:v>
      </x:c>
      <x:c r="G929" s="7" t="n">
        <x:f>'01_Ustawienia'!$B$6</x:f>
        <x:v>0</x:v>
      </x:c>
      <x:c r="H929" s="8" t="n">
        <x:f>IF(E929="","",ROUND(IF('01_Ustawienia'!$B$5="BRUTTO",F929,E929)*(1-G929),0))</x:f>
        <x:v>1163</x:v>
      </x:c>
      <x:c r="I929" s="7" t="n">
        <x:f>IFERROR(IFERROR(INDEX('01_Ustawienia'!$B$15:$B$33,MATCH(B929,'01_Ustawienia'!$A$15:$A$33,0)),0.45),0.45)</x:f>
        <x:v>0.45</x:v>
      </x:c>
      <x:c r="J929" s="8" t="n">
        <x:f>IF(H929="","",ROUND(H929*(1+I929),0))</x:f>
        <x:v>1686</x:v>
      </x:c>
      <x:c r="K929" s="8" t="n">
        <x:f>0</x:f>
        <x:v>0</x:v>
      </x:c>
      <x:c r="L929" s="8" t="n">
        <x:f>IFERROR(IFERROR(INDEX(EG_Cennik_uslug!$CO:$CO,MATCH($A929,EG_Cennik_uslug!$A:$A,0)),0),0)</x:f>
        <x:v>0</x:v>
      </x:c>
      <x:c r="M929" s="7" t="n">
        <x:f>IF('01_Ustawienia'!$B$4="ZWOLNIONY",0,'01_Ustawienia'!$B$7)</x:f>
        <x:v>0.08</x:v>
      </x:c>
      <x:c r="N929" s="8" t="n">
        <x:f>IF(J929="","",ROUND((J929+K929)*(1+M929),0))</x:f>
        <x:v>1821</x:v>
      </x:c>
      <x:c r="O929" s="8" t="n">
        <x:f>IF(J929="","",J929+K929-H929-L929)</x:f>
        <x:v>523</x:v>
      </x:c>
      <x:c r="P929" s="7" t="n">
        <x:f>IFERROR(O929/(J929+K929),"")</x:f>
        <x:v>0.31020166073546857</x:v>
      </x:c>
      <x:c r="Q929" s="6" t="inlineStr">
        <x:is>
          <x:t xml:space="preserve">RAW_ZP P/Q</x:t>
        </x:is>
      </x:c>
      <x:c r="R929" s="6" t="inlineStr">
        <x:is>
          <x:t xml:space="preserve">OŚWIETLENIE</x:t>
        </x:is>
      </x:c>
      <x:c r="S929" s="6" t="inlineStr">
        <x:is>
          <x:t xml:space="preserve">website+crm</x:t>
        </x:is>
      </x:c>
      <x:c r="T929" s="6" t="n"/>
    </x:row>
    <x:row r="930">
      <x:c r="A930" s="6" t="inlineStr">
        <x:is>
          <x:t xml:space="preserve">500 x 1106 cm</x:t>
        </x:is>
      </x:c>
      <x:c r="B930" s="6" t="inlineStr">
        <x:is>
          <x:t xml:space="preserve">LED3</x:t>
        </x:is>
      </x:c>
      <x:c r="C930" s="6" t="inlineStr">
        <x:is>
          <x:t xml:space="preserve">Oświetlenie LED 3 punkty</x:t>
        </x:is>
      </x:c>
      <x:c r="D930" s="6" t="inlineStr">
        <x:is>
          <x:t xml:space="preserve">LED 3 PKT</x:t>
        </x:is>
      </x:c>
      <x:c r="E930" s="8" t="n">
        <x:f>IFERROR(INDEX('02_RAW_INDEX'!$P:$P,MATCH($A930,'02_RAW_INDEX'!$A:$A,0)),"")</x:f>
        <x:v>1439</x:v>
      </x:c>
      <x:c r="F930" s="8" t="n">
        <x:f>IFERROR(INDEX('02_RAW_INDEX'!$O:$O,MATCH($A930,'02_RAW_INDEX'!$A:$A,0)),"")</x:f>
        <x:v>1770</x:v>
      </x:c>
      <x:c r="G930" s="7" t="n">
        <x:f>'01_Ustawienia'!$B$6</x:f>
        <x:v>0</x:v>
      </x:c>
      <x:c r="H930" s="8" t="n">
        <x:f>IF(E930="","",ROUND(IF('01_Ustawienia'!$B$5="BRUTTO",F930,E930)*(1-G930),0))</x:f>
        <x:v>1439</x:v>
      </x:c>
      <x:c r="I930" s="7" t="n">
        <x:f>IFERROR(IFERROR(INDEX('01_Ustawienia'!$B$15:$B$33,MATCH(B930,'01_Ustawienia'!$A$15:$A$33,0)),0.45),0.45)</x:f>
        <x:v>0.45</x:v>
      </x:c>
      <x:c r="J930" s="8" t="n">
        <x:f>IF(H930="","",ROUND(H930*(1+I930),0))</x:f>
        <x:v>2087</x:v>
      </x:c>
      <x:c r="K930" s="8" t="n">
        <x:f>0</x:f>
        <x:v>0</x:v>
      </x:c>
      <x:c r="L930" s="8" t="n">
        <x:f>IFERROR(IFERROR(INDEX(EG_Cennik_uslug!$CV:$CV,MATCH($A930,EG_Cennik_uslug!$A:$A,0)),0),0)</x:f>
        <x:v>0</x:v>
      </x:c>
      <x:c r="M930" s="7" t="n">
        <x:f>IF('01_Ustawienia'!$B$4="ZWOLNIONY",0,'01_Ustawienia'!$B$7)</x:f>
        <x:v>0.08</x:v>
      </x:c>
      <x:c r="N930" s="8" t="n">
        <x:f>IF(J930="","",ROUND((J930+K930)*(1+M930),0))</x:f>
        <x:v>2254</x:v>
      </x:c>
      <x:c r="O930" s="8" t="n">
        <x:f>IF(J930="","",J930+K930-H930-L930)</x:f>
        <x:v>648</x:v>
      </x:c>
      <x:c r="P930" s="7" t="n">
        <x:f>IFERROR(O930/(J930+K930),"")</x:f>
        <x:v>0.3104935313847628</x:v>
      </x:c>
      <x:c r="Q930" s="6" t="inlineStr">
        <x:is>
          <x:t xml:space="preserve">RAW_ZP R/S</x:t>
        </x:is>
      </x:c>
      <x:c r="R930" s="6" t="inlineStr">
        <x:is>
          <x:t xml:space="preserve">OŚWIETLENIE</x:t>
        </x:is>
      </x:c>
      <x:c r="S930" s="6" t="inlineStr">
        <x:is>
          <x:t xml:space="preserve">website+crm</x:t>
        </x:is>
      </x:c>
      <x:c r="T930" s="6" t="inlineStr">
        <x:is>
          <x:t xml:space="preserve">Nazwa do potwierdzenia</x:t>
        </x:is>
      </x:c>
    </x:row>
    <x:row r="931">
      <x:c r="A931" s="6" t="inlineStr">
        <x:is>
          <x:t xml:space="preserve">500 x 1106 cm</x:t>
        </x:is>
      </x:c>
      <x:c r="B931" s="6" t="inlineStr">
        <x:is>
          <x:t xml:space="preserve">LEDCCT</x:t>
        </x:is>
      </x:c>
      <x:c r="C931" s="6" t="inlineStr">
        <x:is>
          <x:t xml:space="preserve">Oświetlenie LED CCT</x:t>
        </x:is>
      </x:c>
      <x:c r="D931" s="6" t="inlineStr">
        <x:is>
          <x:t xml:space="preserve">OŚWIETLENIE</x:t>
        </x:is>
      </x:c>
      <x:c r="E931" s="8" t="n">
        <x:f>IFERROR(INDEX('02_RAW_INDEX'!$R:$R,MATCH($A931,'02_RAW_INDEX'!$A:$A,0)),"")</x:f>
        <x:v>2914</x:v>
      </x:c>
      <x:c r="F931" s="8" t="n">
        <x:f>IFERROR(INDEX('02_RAW_INDEX'!$Q:$Q,MATCH($A931,'02_RAW_INDEX'!$A:$A,0)),"")</x:f>
        <x:v>3584</x:v>
      </x:c>
      <x:c r="G931" s="7" t="n">
        <x:f>'01_Ustawienia'!$B$6</x:f>
        <x:v>0</x:v>
      </x:c>
      <x:c r="H931" s="8" t="n">
        <x:f>IF(E931="","",ROUND(IF('01_Ustawienia'!$B$5="BRUTTO",F931,E931)*(1-G931),0))</x:f>
        <x:v>2914</x:v>
      </x:c>
      <x:c r="I931" s="7" t="n">
        <x:f>IFERROR(IFERROR(INDEX('01_Ustawienia'!$B$15:$B$33,MATCH(B931,'01_Ustawienia'!$A$15:$A$33,0)),0.45),0.45)</x:f>
        <x:v>0.45</x:v>
      </x:c>
      <x:c r="J931" s="8" t="n">
        <x:f>IF(H931="","",ROUND(H931*(1+I931),0)+700)</x:f>
        <x:v>4925</x:v>
      </x:c>
      <x:c r="K931" s="8" t="n">
        <x:f>0</x:f>
        <x:v>0</x:v>
      </x:c>
      <x:c r="L931" s="8" t="n">
        <x:f>0</x:f>
        <x:v>0</x:v>
      </x:c>
      <x:c r="M931" s="7" t="n">
        <x:f>IF('01_Ustawienia'!$B$4="ZWOLNIONY",0,'01_Ustawienia'!$B$7)</x:f>
        <x:v>0.08</x:v>
      </x:c>
      <x:c r="N931" s="8" t="n">
        <x:f>IF(J931="","",ROUND((J931+K931)*(1+M931),0))</x:f>
        <x:v>5319</x:v>
      </x:c>
      <x:c r="O931" s="8" t="n">
        <x:f>IF(J931="","",J931+K931-H931-L931)</x:f>
        <x:v>2011</x:v>
      </x:c>
      <x:c r="P931" s="7" t="n">
        <x:f>IFERROR(O931/(J931+K931),"")</x:f>
        <x:v>0.4083248730964467</x:v>
      </x:c>
      <x:c r="Q931" s="715" t="inlineStr">
        <x:is>
          <x:t xml:space="preserve">MODEL_FIX15_LED</x:t>
        </x:is>
      </x:c>
      <x:c r="R931" s="6" t="inlineStr">
        <x:is>
          <x:t xml:space="preserve">OŚWIETLENIE</x:t>
        </x:is>
      </x:c>
      <x:c r="S931" s="6" t="inlineStr">
        <x:is>
          <x:t xml:space="preserve">website+crm</x:t>
        </x:is>
      </x:c>
      <x:c r="T931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932">
      <x:c r="A932" s="6" t="inlineStr">
        <x:is>
          <x:t xml:space="preserve">500 x 1106 cm</x:t>
        </x:is>
      </x:c>
      <x:c r="B932" s="6" t="inlineStr">
        <x:is>
          <x:t xml:space="preserve">LEDRGBCCT</x:t>
        </x:is>
      </x:c>
      <x:c r="C932" s="6" t="inlineStr">
        <x:is>
          <x:t xml:space="preserve">Oświetlenie LED RGB CCT</x:t>
        </x:is>
      </x:c>
      <x:c r="D932" s="6" t="inlineStr">
        <x:is>
          <x:t xml:space="preserve">OŚWIETLENIE</x:t>
        </x:is>
      </x:c>
      <x:c r="E932" s="8" t="n">
        <x:f>IFERROR(INDEX('02_RAW_INDEX'!$T:$T,MATCH($A932,'02_RAW_INDEX'!$A:$A,0)),"")</x:f>
        <x:v>4344</x:v>
      </x:c>
      <x:c r="F932" s="8" t="n">
        <x:f>IFERROR(INDEX('02_RAW_INDEX'!$S:$S,MATCH($A932,'02_RAW_INDEX'!$A:$A,0)),"")</x:f>
        <x:v>5343</x:v>
      </x:c>
      <x:c r="G932" s="7" t="n">
        <x:f>'01_Ustawienia'!$B$6</x:f>
        <x:v>0</x:v>
      </x:c>
      <x:c r="H932" s="8" t="n">
        <x:f>IF(E932="","",ROUND(IF('01_Ustawienia'!$B$5="BRUTTO",F932,E932)*(1-G932),0))</x:f>
        <x:v>4344</x:v>
      </x:c>
      <x:c r="I932" s="7" t="n">
        <x:f>IFERROR(IFERROR(INDEX('01_Ustawienia'!$B$15:$B$33,MATCH(B932,'01_Ustawienia'!$A$15:$A$33,0)),0.45),0.45)</x:f>
        <x:v>0.45</x:v>
      </x:c>
      <x:c r="J932" s="8" t="n">
        <x:f>IF(H932="","",ROUND(H932*(1+I932),0))</x:f>
        <x:v>6299</x:v>
      </x:c>
      <x:c r="K932" s="8" t="n">
        <x:f>0</x:f>
        <x:v>0</x:v>
      </x:c>
      <x:c r="L932" s="8" t="n">
        <x:f>0</x:f>
        <x:v>0</x:v>
      </x:c>
      <x:c r="M932" s="7" t="n">
        <x:f>IF('01_Ustawienia'!$B$4="ZWOLNIONY",0,'01_Ustawienia'!$B$7)</x:f>
        <x:v>0.08</x:v>
      </x:c>
      <x:c r="N932" s="8" t="n">
        <x:f>IF(J932="","",ROUND((J932+K932)*(1+M932),0))</x:f>
        <x:v>6803</x:v>
      </x:c>
      <x:c r="O932" s="8" t="n">
        <x:f>IF(J932="","",J932+K932-H932-L932)</x:f>
        <x:v>1955</x:v>
      </x:c>
      <x:c r="P932" s="7" t="n">
        <x:f>IFERROR(O932/(J932+K932),"")</x:f>
        <x:v>0.3103667248769646</x:v>
      </x:c>
      <x:c r="Q932" s="715" t="inlineStr">
        <x:is>
          <x:t xml:space="preserve">MODEL_FIX15_LED</x:t>
        </x:is>
      </x:c>
      <x:c r="R932" s="6" t="inlineStr">
        <x:is>
          <x:t xml:space="preserve">OŚWIETLENIE</x:t>
        </x:is>
      </x:c>
      <x:c r="S932" s="6" t="inlineStr">
        <x:is>
          <x:t xml:space="preserve">crm_only</x:t>
        </x:is>
      </x:c>
      <x:c r="T932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933" s="655" customFormat="1" ht="30" customHeight="1">
      <x:c r="A933" s="6" t="inlineStr">
        <x:is>
          <x:t xml:space="preserve">500 x 1206 cm</x:t>
        </x:is>
      </x:c>
      <x:c r="B933" s="6" t="inlineStr">
        <x:is>
          <x:t xml:space="preserve">ZP</x:t>
        </x:is>
      </x:c>
      <x:c r="C933" s="6" t="inlineStr">
        <x:is>
          <x:t xml:space="preserve">Zadaszenie poliwęglan - baza</x:t>
        </x:is>
      </x:c>
      <x:c r="D933" s="6" t="inlineStr">
        <x:is>
          <x:t xml:space="preserve">ZADASZENIE POLIWĘGLAN</x:t>
        </x:is>
      </x:c>
      <x:c r="E933" s="8" t="n">
        <x:f>IFERROR(INDEX('02_RAW_INDEX'!$D:$D,MATCH($A933,'02_RAW_INDEX'!$A:$A,0)),"")</x:f>
        <x:v>23325</x:v>
      </x:c>
      <x:c r="F933" s="8" t="n">
        <x:f>IFERROR(INDEX('02_RAW_INDEX'!$C:$C,MATCH($A933,'02_RAW_INDEX'!$A:$A,0)),"")</x:f>
        <x:v>28690</x:v>
      </x:c>
      <x:c r="G933" s="7" t="n">
        <x:f>'01_Ustawienia'!$B$6</x:f>
        <x:v>0</x:v>
      </x:c>
      <x:c r="H933" s="8" t="n">
        <x:f>IF(E933="","",ROUND(IF('01_Ustawienia'!$B$5="BRUTTO",F933,E933)*(1-G933),0))</x:f>
        <x:v>23325</x:v>
      </x:c>
      <x:c r="I933" s="7" t="n">
        <x:f>IFERROR(IFERROR(INDEX('01_Ustawienia'!$B$15:$B$33,MATCH(B933,'01_Ustawienia'!$A$15:$A$33,0)),0.45),0.45)</x:f>
        <x:v>0.45</x:v>
      </x:c>
      <x:c r="J933" s="8" t="n">
        <x:f>IF(H933="","",ROUND(H933*(1+I933),0))</x:f>
        <x:v>33821</x:v>
      </x:c>
      <x:c r="K933" s="8" t="n">
        <x:f>IFERROR(IFERROR(INDEX(EG_Cennik_uslug!$F:$F,MATCH($A933,EG_Cennik_uslug!$A:$A,0)),0),0)</x:f>
        <x:v>5780</x:v>
      </x:c>
      <x:c r="L933" s="8" t="n">
        <x:f>IFERROR(IFERROR(INDEX(EG_Cennik_uslug!$G:$G,MATCH($A933,EG_Cennik_uslug!$A:$A,0)),0),0)</x:f>
        <x:v>2250</x:v>
      </x:c>
      <x:c r="M933" s="7" t="n">
        <x:f>IF('01_Ustawienia'!$B$4="ZWOLNIONY",0,'01_Ustawienia'!$B$7)</x:f>
        <x:v>0.08</x:v>
      </x:c>
      <x:c r="N933" s="8" t="n">
        <x:f>IF(J933="","",ROUND((J933+K933)*(1+M933),0))</x:f>
        <x:v>42769</x:v>
      </x:c>
      <x:c r="O933" s="8" t="n">
        <x:f>IF(J933="","",J933+K933-H933-L933)</x:f>
        <x:v>14026</x:v>
      </x:c>
      <x:c r="P933" s="7" t="n">
        <x:f>IFERROR(O933/(J933+K933),"")</x:f>
        <x:v>0.3541829751773945</x:v>
      </x:c>
      <x:c r="Q933" s="6" t="inlineStr">
        <x:is>
          <x:t xml:space="preserve">RAW_ZP B/C</x:t>
        </x:is>
      </x:c>
      <x:c r="R933" s="6" t="inlineStr">
        <x:is>
          <x:t xml:space="preserve">ZADASZENIE TARASU KONSTRUKCJA</x:t>
        </x:is>
      </x:c>
      <x:c r="S933" s="6" t="inlineStr">
        <x:is>
          <x:t xml:space="preserve">website+crm</x:t>
        </x:is>
      </x:c>
      <x:c r="T933" s="6" t="inlineStr">
        <x:is>
          <x:t xml:space="preserve">Baza dla kalkulatora</x:t>
        </x:is>
      </x:c>
    </x:row>
    <x:row r="934" s="655" customFormat="1" ht="30" customHeight="1">
      <x:c r="A934" s="6" t="inlineStr">
        <x:is>
          <x:t xml:space="preserve">500 x 1206 cm</x:t>
        </x:is>
      </x:c>
      <x:c r="B934" s="6" t="inlineStr">
        <x:is>
          <x:t xml:space="preserve">ZS</x:t>
        </x:is>
      </x:c>
      <x:c r="C934" s="6" t="inlineStr">
        <x:is>
          <x:t xml:space="preserve">Zadaszenie szkło - pełna konstrukcja</x:t>
        </x:is>
      </x:c>
      <x:c r="D934" s="6" t="inlineStr">
        <x:is>
          <x:t xml:space="preserve">ZADASZENIE SZKŁO</x:t>
        </x:is>
      </x:c>
      <x:c r="E934" s="8" t="n">
        <x:f>IFERROR(INDEX('02_RAW_INDEX'!$V:$V,MATCH($A934,'02_RAW_INDEX'!$A:$A,0)),"")</x:f>
        <x:v>37650</x:v>
      </x:c>
      <x:c r="F934" s="8" t="n">
        <x:f>IFERROR(INDEX('02_RAW_INDEX'!$U:$U,MATCH($A934,'02_RAW_INDEX'!$A:$A,0)),"")</x:f>
        <x:v>46310</x:v>
      </x:c>
      <x:c r="G934" s="7" t="n">
        <x:f>'01_Ustawienia'!$B$6</x:f>
        <x:v>0</x:v>
      </x:c>
      <x:c r="H934" s="8" t="n">
        <x:f>IF(E934="","",ROUND(IF('01_Ustawienia'!$B$5="BRUTTO",F934,E934)*(1-G934),0))</x:f>
        <x:v>37650</x:v>
      </x:c>
      <x:c r="I934" s="7" t="n">
        <x:f>IFERROR(IFERROR(INDEX('01_Ustawienia'!$B$15:$B$33,MATCH(B934,'01_Ustawienia'!$A$15:$A$33,0)),0.45),0.45)</x:f>
        <x:v>0.45</x:v>
      </x:c>
      <x:c r="J934" s="8" t="n">
        <x:f>IF(H934="","",ROUND(H934*(1+I934),0))</x:f>
        <x:v>54593</x:v>
      </x:c>
      <x:c r="K934" s="8" t="n">
        <x:f>IFERROR(IFERROR(INDEX(EG_Cennik_uslug!$F:$F,MATCH($A934,EG_Cennik_uslug!$A:$A,0)),0),0)</x:f>
        <x:v>5780</x:v>
      </x:c>
      <x:c r="L934" s="8" t="n">
        <x:f>IFERROR(IFERROR(INDEX(EG_Cennik_uslug!$G:$G,MATCH($A934,EG_Cennik_uslug!$A:$A,0)),0),0)</x:f>
        <x:v>2250</x:v>
      </x:c>
      <x:c r="M934" s="7" t="n">
        <x:f>IF('01_Ustawienia'!$B$4="ZWOLNIONY",0,'01_Ustawienia'!$B$7)</x:f>
        <x:v>0.08</x:v>
      </x:c>
      <x:c r="N934" s="8" t="n">
        <x:f>IF(J934="","",ROUND((J934+K934)*(1+M934),0))</x:f>
        <x:v>65203</x:v>
      </x:c>
      <x:c r="O934" s="8" t="n">
        <x:f>IF(J934="","",J934+K934-H934-L934)</x:f>
        <x:v>20473</x:v>
      </x:c>
      <x:c r="P934" s="7" t="n">
        <x:f>IFERROR(O934/(J934+K934),"")</x:f>
        <x:v>0.33910854189786827</x:v>
      </x:c>
      <x:c r="Q934" s="6" t="inlineStr">
        <x:is>
          <x:t xml:space="preserve">RAW_ZS B/C</x:t>
        </x:is>
      </x:c>
      <x:c r="R934" s="6" t="inlineStr">
        <x:is>
          <x:t xml:space="preserve">ZADASZENIE TARASU KONSTRUKCJA</x:t>
        </x:is>
      </x:c>
      <x:c r="S934" s="6" t="inlineStr">
        <x:is>
          <x:t xml:space="preserve">crm_only</x:t>
        </x:is>
      </x:c>
      <x:c r="T934" s="6" t="inlineStr">
        <x:is>
          <x:t xml:space="preserve">Referencyjne/full; strona zwykle używa ZP + PDS</x:t>
        </x:is>
      </x:c>
    </x:row>
    <x:row r="935" s="655" customFormat="1" ht="30" customHeight="1">
      <x:c r="A935" s="6" t="inlineStr">
        <x:is>
          <x:t xml:space="preserve">500 x 1206 cm</x:t>
        </x:is>
      </x:c>
      <x:c r="B935" s="6" t="inlineStr">
        <x:is>
          <x:t xml:space="preserve">OP</x:t>
        </x:is>
      </x:c>
      <x:c r="C935" s="6" t="inlineStr">
        <x:is>
          <x:t xml:space="preserve">Ogród zimowy poliwęglan - baza</x:t>
        </x:is>
      </x:c>
      <x:c r="D935" s="6" t="inlineStr">
        <x:is>
          <x:t xml:space="preserve">OGRODY POLIWĘGLAN</x:t>
        </x:is>
      </x:c>
      <x:c r="E935" s="8" t="n">
        <x:f>IFERROR(INDEX('02_RAW_INDEX'!$Z:$Z,MATCH($A935,'02_RAW_INDEX'!$A:$A,0)),"")</x:f>
        <x:v>42691</x:v>
      </x:c>
      <x:c r="F935" s="8" t="n">
        <x:f>IFERROR(INDEX('02_RAW_INDEX'!$Y:$Y,MATCH($A935,'02_RAW_INDEX'!$A:$A,0)),"")</x:f>
        <x:v>52510</x:v>
      </x:c>
      <x:c r="G935" s="7" t="n">
        <x:f>'01_Ustawienia'!$B$6</x:f>
        <x:v>0</x:v>
      </x:c>
      <x:c r="H935" s="8" t="n">
        <x:f>IF(E935="","",ROUND(IF('01_Ustawienia'!$B$5="BRUTTO",F935,E935)*(1-G935),0))</x:f>
        <x:v>42691</x:v>
      </x:c>
      <x:c r="I935" s="7" t="n">
        <x:f>IFERROR(IFERROR(INDEX('01_Ustawienia'!$B$15:$B$33,MATCH(B935,'01_Ustawienia'!$A$15:$A$33,0)),0.45),0.45)</x:f>
        <x:v>0.45</x:v>
      </x:c>
      <x:c r="J935" s="8" t="n">
        <x:f>IF(H935="","",ROUND(H935*(1+I935),0))</x:f>
        <x:v>61902</x:v>
      </x:c>
      <x:c r="K935" s="8" t="n">
        <x:f>IFERROR(IFERROR(INDEX(EG_Cennik_uslug!$N:$N,MATCH($A935,EG_Cennik_uslug!$A:$A,0)),0),0)</x:f>
        <x:v>7460</x:v>
      </x:c>
      <x:c r="L935" s="8" t="n">
        <x:f>IFERROR(IFERROR(INDEX(EG_Cennik_uslug!$O:$O,MATCH($A935,EG_Cennik_uslug!$A:$A,0)),0),0)</x:f>
        <x:v>3150</x:v>
      </x:c>
      <x:c r="M935" s="7" t="n">
        <x:f>IF('01_Ustawienia'!$B$4="ZWOLNIONY",0,'01_Ustawienia'!$B$7)</x:f>
        <x:v>0.08</x:v>
      </x:c>
      <x:c r="N935" s="8" t="n">
        <x:f>IF(J935="","",ROUND((J935+K935)*(1+M935),0))</x:f>
        <x:v>74911</x:v>
      </x:c>
      <x:c r="O935" s="8" t="n">
        <x:f>IF(J935="","",J935+K935-H935-L935)</x:f>
        <x:v>23521</x:v>
      </x:c>
      <x:c r="P935" s="7" t="n">
        <x:f>IFERROR(O935/(J935+K935),"")</x:f>
        <x:v>0.3391049854387128</x:v>
      </x:c>
      <x:c r="Q935" s="6" t="inlineStr">
        <x:is>
          <x:t xml:space="preserve">RAW_OP B/C</x:t>
        </x:is>
      </x:c>
      <x:c r="R935" s="6" t="inlineStr">
        <x:is>
          <x:t xml:space="preserve">OGRÓD ZIMOWY (KONSTRUKCJA)</x:t>
        </x:is>
      </x:c>
      <x:c r="S935" s="6" t="inlineStr">
        <x:is>
          <x:t xml:space="preserve">website+crm</x:t>
        </x:is>
      </x:c>
      <x:c r="T935" s="6" t="inlineStr">
        <x:is>
          <x:t xml:space="preserve">Do wyliczenia dopłaty za ściany</x:t>
        </x:is>
      </x:c>
    </x:row>
    <x:row r="936" s="655" customFormat="1" ht="30" customHeight="1">
      <x:c r="A936" s="6" t="inlineStr">
        <x:is>
          <x:t xml:space="preserve">500 x 1206 cm</x:t>
        </x:is>
      </x:c>
      <x:c r="B936" s="6" t="inlineStr">
        <x:is>
          <x:t xml:space="preserve">OS</x:t>
        </x:is>
      </x:c>
      <x:c r="C936" s="6" t="inlineStr">
        <x:is>
          <x:t xml:space="preserve">Ogród zimowy szkło - pełna konstrukcja</x:t>
        </x:is>
      </x:c>
      <x:c r="D936" s="6" t="inlineStr">
        <x:is>
          <x:t xml:space="preserve">OGRODY SZKŁO</x:t>
        </x:is>
      </x:c>
      <x:c r="E936" s="8" t="n">
        <x:f>IFERROR(INDEX('02_RAW_INDEX'!$AL:$AL,MATCH($A936,'02_RAW_INDEX'!$A:$A,0)),"")</x:f>
        <x:v>57016</x:v>
      </x:c>
      <x:c r="F936" s="8" t="n">
        <x:f>IFERROR(INDEX('02_RAW_INDEX'!$AK:$AK,MATCH($A936,'02_RAW_INDEX'!$A:$A,0)),"")</x:f>
        <x:v>70130</x:v>
      </x:c>
      <x:c r="G936" s="7" t="n">
        <x:f>'01_Ustawienia'!$B$6</x:f>
        <x:v>0</x:v>
      </x:c>
      <x:c r="H936" s="8" t="n">
        <x:f>IF(E936="","",ROUND(IF('01_Ustawienia'!$B$5="BRUTTO",F936,E936)*(1-G936),0))</x:f>
        <x:v>57016</x:v>
      </x:c>
      <x:c r="I936" s="7" t="n">
        <x:f>IFERROR(IFERROR(INDEX('01_Ustawienia'!$B$15:$B$33,MATCH(B936,'01_Ustawienia'!$A$15:$A$33,0)),0.45),0.45)</x:f>
        <x:v>0.45</x:v>
      </x:c>
      <x:c r="J936" s="8" t="n">
        <x:f>IF(H936="","",ROUND(H936*(1+I936),0))</x:f>
        <x:v>82673</x:v>
      </x:c>
      <x:c r="K936" s="8" t="n">
        <x:f>IFERROR(IFERROR(INDEX(EG_Cennik_uslug!$N:$N,MATCH($A936,EG_Cennik_uslug!$A:$A,0)),0),0)</x:f>
        <x:v>7460</x:v>
      </x:c>
      <x:c r="L936" s="8" t="n">
        <x:f>IFERROR(IFERROR(INDEX(EG_Cennik_uslug!$O:$O,MATCH($A936,EG_Cennik_uslug!$A:$A,0)),0),0)</x:f>
        <x:v>3150</x:v>
      </x:c>
      <x:c r="M936" s="7" t="n">
        <x:f>IF('01_Ustawienia'!$B$4="ZWOLNIONY",0,'01_Ustawienia'!$B$7)</x:f>
        <x:v>0.08</x:v>
      </x:c>
      <x:c r="N936" s="8" t="n">
        <x:f>IF(J936="","",ROUND((J936+K936)*(1+M936),0))</x:f>
        <x:v>97344</x:v>
      </x:c>
      <x:c r="O936" s="8" t="n">
        <x:f>IF(J936="","",J936+K936-H936-L936)</x:f>
        <x:v>29967</x:v>
      </x:c>
      <x:c r="P936" s="7" t="n">
        <x:f>IFERROR(O936/(J936+K936),"")</x:f>
        <x:v>0.332475341994608</x:v>
      </x:c>
      <x:c r="Q936" s="6" t="inlineStr">
        <x:is>
          <x:t xml:space="preserve">RAW_OS B/C</x:t>
        </x:is>
      </x:c>
      <x:c r="R936" s="6" t="inlineStr">
        <x:is>
          <x:t xml:space="preserve">OGRÓD ZIMOWY (KONSTRUKCJA)</x:t>
        </x:is>
      </x:c>
      <x:c r="S936" s="6" t="inlineStr">
        <x:is>
          <x:t xml:space="preserve">crm_only</x:t>
        </x:is>
      </x:c>
      <x:c r="T936" s="6" t="inlineStr">
        <x:is>
          <x:t xml:space="preserve">Referencyjne/full</x:t>
        </x:is>
      </x:c>
    </x:row>
    <x:row r="937" s="655" customFormat="1" ht="30" customHeight="1">
      <x:c r="A937" s="6" t="inlineStr">
        <x:is>
          <x:t xml:space="preserve">500 x 1206 cm</x:t>
        </x:is>
      </x:c>
      <x:c r="B937" s="6" t="inlineStr">
        <x:is>
          <x:t xml:space="preserve">PDS</x:t>
        </x:is>
      </x:c>
      <x:c r="C937" s="6" t="inlineStr">
        <x:is>
          <x:t xml:space="preserve">Dopłata dach szkło przezroczyste</x:t>
        </x:is>
      </x:c>
      <x:c r="D937" s="6" t="inlineStr">
        <x:is>
          <x:t xml:space="preserve">POKRYCIE DACHU SZKŁO</x:t>
        </x:is>
      </x:c>
      <x:c r="E937" s="8" t="n">
        <x:f>IFERROR(IFERROR(INDEX('02_RAW_INDEX'!$V:$V,MATCH($A937,'02_RAW_INDEX'!$A:$A,0)),"")-IFERROR(INDEX('02_RAW_INDEX'!$D:$D,MATCH($A937,'02_RAW_INDEX'!$A:$A,0)),""),"")</x:f>
        <x:v>14325</x:v>
      </x:c>
      <x:c r="F937" s="8" t="n">
        <x:f>IFERROR(IFERROR(INDEX('02_RAW_INDEX'!$U:$U,MATCH($A937,'02_RAW_INDEX'!$A:$A,0)),"")-IFERROR(INDEX('02_RAW_INDEX'!$C:$C,MATCH($A937,'02_RAW_INDEX'!$A:$A,0)),""),"")</x:f>
        <x:v>17620</x:v>
      </x:c>
      <x:c r="G937" s="7" t="n">
        <x:f>'01_Ustawienia'!$B$6</x:f>
        <x:v>0</x:v>
      </x:c>
      <x:c r="H937" s="8" t="n">
        <x:f>IF(E937="","",ROUND(IF('01_Ustawienia'!$B$5="BRUTTO",F937,E937)*(1-G937),0))</x:f>
        <x:v>14325</x:v>
      </x:c>
      <x:c r="I937" s="7" t="n">
        <x:f>IFERROR(IFERROR(INDEX('01_Ustawienia'!$B$15:$B$33,MATCH(B937,'01_Ustawienia'!$A$15:$A$33,0)),0.45),0.45)</x:f>
        <x:v>0.45</x:v>
      </x:c>
      <x:c r="J937" s="8" t="n">
        <x:f>IF(H937="","",ROUND(H937*(1+I937),0))</x:f>
        <x:v>20771</x:v>
      </x:c>
      <x:c r="K937" s="8" t="n">
        <x:f>0</x:f>
        <x:v>0</x:v>
      </x:c>
      <x:c r="L937" s="8" t="n">
        <x:v>0</x:v>
      </x:c>
      <x:c r="M937" s="7" t="n">
        <x:f>IF('01_Ustawienia'!$B$4="ZWOLNIONY",0,'01_Ustawienia'!$B$7)</x:f>
        <x:v>0.08</x:v>
      </x:c>
      <x:c r="N937" s="8" t="n">
        <x:f>IF(J937="","",ROUND((J937+K937)*(1+M937),0))</x:f>
        <x:v>22433</x:v>
      </x:c>
      <x:c r="O937" s="8" t="n">
        <x:f>IF(J937="","",J937+K937-H937-L937)</x:f>
        <x:v>6446</x:v>
      </x:c>
      <x:c r="P937" s="7" t="n">
        <x:f>IFERROR(O937/(J937+K937),"")</x:f>
        <x:v>0.31033652688845026</x:v>
      </x:c>
      <x:c r="Q937" s="6" t="inlineStr">
        <x:is>
          <x:t xml:space="preserve">RAW_ZS - RAW_ZP</x:t>
        </x:is>
      </x:c>
      <x:c r="R937" s="6" t="inlineStr">
        <x:is>
          <x:t xml:space="preserve">POKRYCIE DACHU</x:t>
        </x:is>
      </x:c>
      <x:c r="S937" s="6" t="inlineStr">
        <x:is>
          <x:t xml:space="preserve">website+crm</x:t>
        </x:is>
      </x:c>
      <x:c r="T937" s="6" t="inlineStr">
        <x:is>
          <x:t xml:space="preserve">Dopłata do bazowego dachu poliwęglan | FIX17: Wynagr.+koszty = 0 dla dopłaty; nie jest osobnym montażem ekipy.</x:t>
        </x:is>
      </x:c>
    </x:row>
    <x:row r="938" s="655" customFormat="1" ht="30" customHeight="1">
      <x:c r="A938" s="6" t="inlineStr">
        <x:is>
          <x:t xml:space="preserve">500 x 1206 cm</x:t>
        </x:is>
      </x:c>
      <x:c r="B938" s="6" t="inlineStr">
        <x:is>
          <x:t xml:space="preserve">PDSB</x:t>
        </x:is>
      </x:c>
      <x:c r="C938" s="6" t="inlineStr">
        <x:is>
          <x:t xml:space="preserve">Dopłata dach szkło barwione/mleczne</x:t>
        </x:is>
      </x:c>
      <x:c r="D938" s="6" t="inlineStr">
        <x:is>
          <x:t xml:space="preserve">POKRYCIE DACHU SZKŁO BARWIONE</x:t>
        </x:is>
      </x:c>
      <x:c r="E938" s="8" t="n">
        <x:f>IFERROR(INDEX('02_RAW_INDEX'!$X:$X,MATCH($A938,'02_RAW_INDEX'!$A:$A,0)),"")</x:f>
        <x:v>1366</x:v>
      </x:c>
      <x:c r="F938" s="8" t="n">
        <x:f>IFERROR(INDEX('02_RAW_INDEX'!$W:$W,MATCH($A938,'02_RAW_INDEX'!$A:$A,0)),"")</x:f>
        <x:v>1680</x:v>
      </x:c>
      <x:c r="G938" s="7" t="n">
        <x:f>'01_Ustawienia'!$B$6</x:f>
        <x:v>0</x:v>
      </x:c>
      <x:c r="H938" s="8" t="n">
        <x:f>IF(E938="","",ROUND(IF('01_Ustawienia'!$B$5="BRUTTO",F938,E938)*(1-G938),0))</x:f>
        <x:v>1366</x:v>
      </x:c>
      <x:c r="I938" s="7" t="n">
        <x:f>IFERROR(IFERROR(INDEX('01_Ustawienia'!$B$15:$B$33,MATCH(B938,'01_Ustawienia'!$A$15:$A$33,0)),0.45),0.45)</x:f>
        <x:v>0.45</x:v>
      </x:c>
      <x:c r="J938" s="8" t="n">
        <x:f>IF(H938="","",ROUND(H938*(1+I938),0))</x:f>
        <x:v>1981</x:v>
      </x:c>
      <x:c r="K938" s="8" t="n">
        <x:f>0</x:f>
        <x:v>0</x:v>
      </x:c>
      <x:c r="L938" s="8" t="n">
        <x:v>0</x:v>
      </x:c>
      <x:c r="M938" s="7" t="n">
        <x:f>IF('01_Ustawienia'!$B$4="ZWOLNIONY",0,'01_Ustawienia'!$B$7)</x:f>
        <x:v>0.08</x:v>
      </x:c>
      <x:c r="N938" s="8" t="n">
        <x:f>IF(J938="","",ROUND((J938+K938)*(1+M938),0))</x:f>
        <x:v>2139</x:v>
      </x:c>
      <x:c r="O938" s="8" t="n">
        <x:f>IF(J938="","",J938+K938-H938-L938)</x:f>
        <x:v>615</x:v>
      </x:c>
      <x:c r="P938" s="7" t="n">
        <x:f>IFERROR(O938/(J938+K938),"")</x:f>
        <x:v>0.3104492680464412</x:v>
      </x:c>
      <x:c r="Q938" s="6" t="inlineStr">
        <x:is>
          <x:t xml:space="preserve">RAW_ZS D/E</x:t>
        </x:is>
      </x:c>
      <x:c r="R938" s="6" t="inlineStr">
        <x:is>
          <x:t xml:space="preserve">POKRYCIE DACHU</x:t>
        </x:is>
      </x:c>
      <x:c r="S938" s="6" t="inlineStr">
        <x:is>
          <x:t xml:space="preserve">website+crm</x:t>
        </x:is>
      </x:c>
      <x:c r="T938" s="6" t="inlineStr">
        <x:is>
          <x:t xml:space="preserve">Dodawane do PDS | FIX17: Wynagr.+koszty = 0 dla dopłaty; nie jest osobnym montażem ekipy.</x:t>
        </x:is>
      </x:c>
    </x:row>
    <x:row r="939" s="655" customFormat="1" ht="30" customHeight="1">
      <x:c r="A939" s="6" t="inlineStr">
        <x:is>
          <x:t xml:space="preserve">500 x 1206 cm</x:t>
        </x:is>
      </x:c>
      <x:c r="B939" s="6" t="inlineStr">
        <x:is>
          <x:t xml:space="preserve">PDPB</x:t>
        </x:is>
      </x:c>
      <x:c r="C939" s="6" t="inlineStr">
        <x:is>
          <x:t xml:space="preserve">Dopłata poliwęglan barwiony</x:t>
        </x:is>
      </x:c>
      <x:c r="D939" s="6" t="inlineStr">
        <x:is>
          <x:t xml:space="preserve">POKRYCIE DACHU POLIWĘGLAN BARWIONY</x:t>
        </x:is>
      </x:c>
      <x:c r="E939" s="8" t="n">
        <x:f>IFERROR(INDEX('02_RAW_INDEX'!$F:$F,MATCH($A939,'02_RAW_INDEX'!$A:$A,0)),"")</x:f>
        <x:v>1016</x:v>
      </x:c>
      <x:c r="F939" s="8" t="n">
        <x:f>IFERROR(INDEX('02_RAW_INDEX'!$E:$E,MATCH($A939,'02_RAW_INDEX'!$A:$A,0)),"")</x:f>
        <x:v>1250</x:v>
      </x:c>
      <x:c r="G939" s="7" t="n">
        <x:f>'01_Ustawienia'!$B$6</x:f>
        <x:v>0</x:v>
      </x:c>
      <x:c r="H939" s="8" t="n">
        <x:f>IF(E939="","",ROUND(IF('01_Ustawienia'!$B$5="BRUTTO",F939,E939)*(1-G939),0))</x:f>
        <x:v>1016</x:v>
      </x:c>
      <x:c r="I939" s="7" t="n">
        <x:f>IFERROR(IFERROR(INDEX('01_Ustawienia'!$B$15:$B$33,MATCH(B939,'01_Ustawienia'!$A$15:$A$33,0)),0.45),0.45)</x:f>
        <x:v>0.45</x:v>
      </x:c>
      <x:c r="J939" s="8" t="n">
        <x:f>IF(H939="","",ROUND(H939*(1+I939),0))</x:f>
        <x:v>1473</x:v>
      </x:c>
      <x:c r="K939" s="8" t="n">
        <x:f>0</x:f>
        <x:v>0</x:v>
      </x:c>
      <x:c r="L939" s="8" t="n">
        <x:v>0</x:v>
      </x:c>
      <x:c r="M939" s="7" t="n">
        <x:f>IF('01_Ustawienia'!$B$4="ZWOLNIONY",0,'01_Ustawienia'!$B$7)</x:f>
        <x:v>0.08</x:v>
      </x:c>
      <x:c r="N939" s="8" t="n">
        <x:f>IF(J939="","",ROUND((J939+K939)*(1+M939),0))</x:f>
        <x:v>1591</x:v>
      </x:c>
      <x:c r="O939" s="8" t="n">
        <x:f>IF(J939="","",J939+K939-H939-L939)</x:f>
        <x:v>457</x:v>
      </x:c>
      <x:c r="P939" s="7" t="n">
        <x:f>IFERROR(O939/(J939+K939),"")</x:f>
        <x:v>0.3102511880515954</x:v>
      </x:c>
      <x:c r="Q939" s="6" t="inlineStr">
        <x:is>
          <x:t xml:space="preserve">RAW_ZP D/E</x:t>
        </x:is>
      </x:c>
      <x:c r="R939" s="6" t="inlineStr">
        <x:is>
          <x:t xml:space="preserve">POKRYCIE DACHU</x:t>
        </x:is>
      </x:c>
      <x:c r="S939" s="6" t="inlineStr">
        <x:is>
          <x:t xml:space="preserve">website+crm</x:t>
        </x:is>
      </x:c>
      <x:c r="T939" s="6" t="inlineStr">
        <x:is>
          <x:t xml:space="preserve">FIX17: Wynagr.+koszty = 0 dla dopłaty; nie jest osobnym montażem ekipy.</x:t>
        </x:is>
      </x:c>
    </x:row>
    <x:row r="940" s="655" customFormat="1" ht="30" customHeight="1">
      <x:c r="A940" s="6" t="inlineStr">
        <x:is>
          <x:t xml:space="preserve">500 x 1206 cm</x:t>
        </x:is>
      </x:c>
      <x:c r="B940" s="6" t="inlineStr">
        <x:is>
          <x:t xml:space="preserve">SBB</x:t>
        </x:is>
      </x:c>
      <x:c r="C940" s="6" t="inlineStr">
        <x:is>
          <x:t xml:space="preserve">Dopłata szkło boczne przyciemniane</x:t>
        </x:is>
      </x:c>
      <x:c r="D940" s="6" t="inlineStr">
        <x:is>
          <x:t xml:space="preserve">SZKŁO BOCZNE BARWIONE</x:t>
        </x:is>
      </x:c>
      <x:c r="E940" s="8" t="n">
        <x:f>IFERROR(INDEX('02_RAW_INDEX'!$AB:$AB,MATCH($A940,'02_RAW_INDEX'!$A:$A,0)),"")</x:f>
        <x:v>2146</x:v>
      </x:c>
      <x:c r="F940" s="8" t="n">
        <x:f>IFERROR(INDEX('02_RAW_INDEX'!$AA:$AA,MATCH($A940,'02_RAW_INDEX'!$A:$A,0)),"")</x:f>
        <x:v>2640</x:v>
      </x:c>
      <x:c r="G940" s="7" t="n">
        <x:f>'01_Ustawienia'!$B$6</x:f>
        <x:v>0</x:v>
      </x:c>
      <x:c r="H940" s="8" t="n">
        <x:f>IF(E940="","",ROUND(IF('01_Ustawienia'!$B$5="BRUTTO",F940,E940)*(1-G940),0))</x:f>
        <x:v>2146</x:v>
      </x:c>
      <x:c r="I940" s="7" t="n">
        <x:f>IFERROR(IFERROR(INDEX('01_Ustawienia'!$B$15:$B$33,MATCH(B940,'01_Ustawienia'!$A$15:$A$33,0)),0.45),0.45)</x:f>
        <x:v>0.45</x:v>
      </x:c>
      <x:c r="J940" s="8" t="n">
        <x:f>IF(H940="","",ROUND(H940*(1+I940),0))</x:f>
        <x:v>3112</x:v>
      </x:c>
      <x:c r="K940" s="8" t="n">
        <x:f>0</x:f>
        <x:v>0</x:v>
      </x:c>
      <x:c r="L940" s="8" t="n">
        <x:v>0</x:v>
      </x:c>
      <x:c r="M940" s="7" t="n">
        <x:f>IF('01_Ustawienia'!$B$4="ZWOLNIONY",0,'01_Ustawienia'!$B$7)</x:f>
        <x:v>0.08</x:v>
      </x:c>
      <x:c r="N940" s="8" t="n">
        <x:f>IF(J940="","",ROUND((J940+K940)*(1+M940),0))</x:f>
        <x:v>3361</x:v>
      </x:c>
      <x:c r="O940" s="8" t="n">
        <x:f>IF(J940="","",J940+K940-H940-L940)</x:f>
        <x:v>966</x:v>
      </x:c>
      <x:c r="P940" s="7" t="n">
        <x:f>IFERROR(O940/(J940+K940),"")</x:f>
        <x:v>0.31041131105398456</x:v>
      </x:c>
      <x:c r="Q940" s="6" t="inlineStr">
        <x:is>
          <x:t xml:space="preserve">RAW_OP H/I</x:t>
        </x:is>
      </x:c>
      <x:c r="R940" s="6" t="inlineStr">
        <x:is>
          <x:t xml:space="preserve">SZYBY BOCZNE</x:t>
        </x:is>
      </x:c>
      <x:c r="S940" s="6" t="inlineStr">
        <x:is>
          <x:t xml:space="preserve">website+crm</x:t>
        </x:is>
      </x:c>
      <x:c r="T940" s="6" t="inlineStr">
        <x:is>
          <x:t xml:space="preserve">Dodawane do ścian przezroczystych | FIX17: Wynagr.+koszty = 0 dla dopłaty; nie jest osobnym montażem ekipy.</x:t>
        </x:is>
      </x:c>
    </x:row>
    <x:row r="941">
      <x:c r="A941" s="6" t="inlineStr">
        <x:is>
          <x:t xml:space="preserve">500 x 1206 cm</x:t>
        </x:is>
      </x:c>
      <x:c r="B941" s="6" t="inlineStr">
        <x:is>
          <x:t xml:space="preserve">RB</x:t>
        </x:is>
      </x:c>
      <x:c r="C941" s="6" t="inlineStr">
        <x:is>
          <x:t xml:space="preserve">Roleta boczna ZIP</x:t>
        </x:is>
      </x:c>
      <x:c r="D941" s="6" t="inlineStr">
        <x:is>
          <x:t xml:space="preserve">ROLETA BOCZNA</x:t>
        </x:is>
      </x:c>
      <x:c r="E941" s="8" t="n">
        <x:f>IFERROR(INDEX('02_RAW_INDEX'!$J:$J,MATCH($A941,'02_RAW_INDEX'!$A:$A,0)),"")</x:f>
        <x:v>3008</x:v>
      </x:c>
      <x:c r="F941" s="8" t="n">
        <x:f>IFERROR(INDEX('02_RAW_INDEX'!$I:$I,MATCH($A941,'02_RAW_INDEX'!$A:$A,0)),"")</x:f>
        <x:v>3700</x:v>
      </x:c>
      <x:c r="G941" s="7" t="n">
        <x:f>'01_Ustawienia'!$B$6</x:f>
        <x:v>0</x:v>
      </x:c>
      <x:c r="H941" s="8" t="n">
        <x:f>IF(E941="","",ROUND(IF('01_Ustawienia'!$B$5="BRUTTO",F941,E941)*(1-G941),0))</x:f>
        <x:v>3008</x:v>
      </x:c>
      <x:c r="I941" s="7" t="n">
        <x:f>IFERROR(IFERROR(INDEX('01_Ustawienia'!$B$15:$B$33,MATCH(B941,'01_Ustawienia'!$A$15:$A$33,0)),0.45),0.45)</x:f>
        <x:v>0.45</x:v>
      </x:c>
      <x:c r="J941" s="8" t="n">
        <x:f>IF(H941="","",ROUND(H941*(1+I941),0))</x:f>
        <x:v>4362</x:v>
      </x:c>
      <x:c r="K941" s="8" t="n">
        <x:f>0</x:f>
        <x:v>0</x:v>
      </x:c>
      <x:c r="L941" s="8" t="n">
        <x:f>IFERROR(IFERROR(INDEX(EG_Cennik_uslug!$AC:$AC,MATCH($A941,EG_Cennik_uslug!$A:$A,0)),0),0)</x:f>
        <x:v>150</x:v>
      </x:c>
      <x:c r="M941" s="7" t="n">
        <x:f>IF('01_Ustawienia'!$B$4="ZWOLNIONY",0,'01_Ustawienia'!$B$7)</x:f>
        <x:v>0.08</x:v>
      </x:c>
      <x:c r="N941" s="8" t="n">
        <x:f>IF(J941="","",ROUND((J941+K941)*(1+M941),0))</x:f>
        <x:v>4711</x:v>
      </x:c>
      <x:c r="O941" s="8" t="n">
        <x:f>IF(J941="","",J941+K941-H941-L941)</x:f>
        <x:v>1204</x:v>
      </x:c>
      <x:c r="P941" s="7" t="n">
        <x:f>IFERROR(O941/(J941+K941),"")</x:f>
        <x:v>0.27602017423200365</x:v>
      </x:c>
      <x:c r="Q941" s="6" t="inlineStr">
        <x:is>
          <x:t xml:space="preserve">RAW_ZP J/K</x:t>
        </x:is>
      </x:c>
      <x:c r="R941" s="6" t="inlineStr">
        <x:is>
          <x:t xml:space="preserve">ROLETY BOCZNE</x:t>
        </x:is>
      </x:c>
      <x:c r="S941" s="6" t="inlineStr">
        <x:is>
          <x:t xml:space="preserve">website+crm</x:t>
        </x:is>
      </x:c>
      <x:c r="T941" s="6" t="inlineStr">
        <x:is>
          <x:t xml:space="preserve">Używana dla lewej i prawej</x:t>
        </x:is>
      </x:c>
    </x:row>
    <x:row r="942">
      <x:c r="A942" s="6" t="inlineStr">
        <x:is>
          <x:t xml:space="preserve">500 x 1206 cm</x:t>
        </x:is>
      </x:c>
      <x:c r="B942" s="6" t="inlineStr">
        <x:is>
          <x:t xml:space="preserve">RP</x:t>
        </x:is>
      </x:c>
      <x:c r="C942" s="6" t="inlineStr">
        <x:is>
          <x:t xml:space="preserve">Roleta przednia ZIP</x:t>
        </x:is>
      </x:c>
      <x:c r="D942" s="6" t="inlineStr">
        <x:is>
          <x:t xml:space="preserve">ROLETA PRZÓD</x:t>
        </x:is>
      </x:c>
      <x:c r="E942" s="8" t="n">
        <x:f>IFERROR(INDEX('02_RAW_INDEX'!$L:$L,MATCH($A942,'02_RAW_INDEX'!$A:$A,0)),"")</x:f>
        <x:v>6439</x:v>
      </x:c>
      <x:c r="F942" s="8" t="n">
        <x:f>IFERROR(INDEX('02_RAW_INDEX'!$K:$K,MATCH($A942,'02_RAW_INDEX'!$A:$A,0)),"")</x:f>
        <x:v>7920</x:v>
      </x:c>
      <x:c r="G942" s="7" t="n">
        <x:f>'01_Ustawienia'!$B$6</x:f>
        <x:v>0</x:v>
      </x:c>
      <x:c r="H942" s="8" t="n">
        <x:f>IF(E942="","",ROUND(IF('01_Ustawienia'!$B$5="BRUTTO",F942,E942)*(1-G942),0))</x:f>
        <x:v>6439</x:v>
      </x:c>
      <x:c r="I942" s="7" t="n">
        <x:f>IFERROR(IFERROR(INDEX('01_Ustawienia'!$B$15:$B$33,MATCH(B942,'01_Ustawienia'!$A$15:$A$33,0)),0.45),0.45)</x:f>
        <x:v>0.45</x:v>
      </x:c>
      <x:c r="J942" s="8" t="n">
        <x:f>IF(H942="","",ROUND(H942*(1+I942),0))</x:f>
        <x:v>9337</x:v>
      </x:c>
      <x:c r="K942" s="8" t="n">
        <x:f>0</x:f>
        <x:v>0</x:v>
      </x:c>
      <x:c r="L942" s="8" t="n">
        <x:f>IFERROR(IFERROR(INDEX(EG_Cennik_uslug!$AJ:$AJ,MATCH($A942,EG_Cennik_uslug!$A:$A,0)),0),0)</x:f>
        <x:v>450</x:v>
      </x:c>
      <x:c r="M942" s="7" t="n">
        <x:f>IF('01_Ustawienia'!$B$4="ZWOLNIONY",0,'01_Ustawienia'!$B$7)</x:f>
        <x:v>0.08</x:v>
      </x:c>
      <x:c r="N942" s="8" t="n">
        <x:f>IF(J942="","",ROUND((J942+K942)*(1+M942),0))</x:f>
        <x:v>10084</x:v>
      </x:c>
      <x:c r="O942" s="8" t="n">
        <x:f>IF(J942="","",J942+K942-H942-L942)</x:f>
        <x:v>2448</x:v>
      </x:c>
      <x:c r="P942" s="7" t="n">
        <x:f>IFERROR(O942/(J942+K942),"")</x:f>
        <x:v>0.2621827139338117</x:v>
      </x:c>
      <x:c r="Q942" s="6" t="inlineStr">
        <x:is>
          <x:t xml:space="preserve">RAW_ZP N/O</x:t>
        </x:is>
      </x:c>
      <x:c r="R942" s="6" t="inlineStr">
        <x:is>
          <x:t xml:space="preserve">ROLETY BOCZNE</x:t>
        </x:is>
      </x:c>
      <x:c r="S942" s="6" t="inlineStr">
        <x:is>
          <x:t xml:space="preserve">website+crm</x:t>
        </x:is>
      </x:c>
      <x:c r="T942" s="6" t="n"/>
    </x:row>
    <x:row r="943">
      <x:c r="A943" s="6" t="inlineStr">
        <x:is>
          <x:t xml:space="preserve">500 x 1206 cm</x:t>
        </x:is>
      </x:c>
      <x:c r="B943" s="6" t="inlineStr">
        <x:is>
          <x:t xml:space="preserve">M</x:t>
        </x:is>
      </x:c>
      <x:c r="C943" s="6" t="inlineStr">
        <x:is>
          <x:t xml:space="preserve">Markiza dachowa</x:t>
        </x:is>
      </x:c>
      <x:c r="D943" s="6" t="inlineStr">
        <x:is>
          <x:t xml:space="preserve">MARKIZA</x:t>
        </x:is>
      </x:c>
      <x:c r="E943" s="8" t="n">
        <x:f>IFERROR(INDEX('02_RAW_INDEX'!$H:$H,MATCH($A943,'02_RAW_INDEX'!$A:$A,0)),"")</x:f>
        <x:v>11390</x:v>
      </x:c>
      <x:c r="F943" s="8" t="n">
        <x:f>IFERROR(INDEX('02_RAW_INDEX'!$G:$G,MATCH($A943,'02_RAW_INDEX'!$A:$A,0)),"")</x:f>
        <x:v>14010</x:v>
      </x:c>
      <x:c r="G943" s="7" t="n">
        <x:f>'01_Ustawienia'!$B$6</x:f>
        <x:v>0</x:v>
      </x:c>
      <x:c r="H943" s="8" t="n">
        <x:f>IF(E943="","",ROUND(IF('01_Ustawienia'!$B$5="BRUTTO",F943,E943)*(1-G943),0))</x:f>
        <x:v>11390</x:v>
      </x:c>
      <x:c r="I943" s="7" t="n">
        <x:f>IFERROR(IFERROR(INDEX('01_Ustawienia'!$B$15:$B$33,MATCH(B943,'01_Ustawienia'!$A$15:$A$33,0)),0.45),0.45)</x:f>
        <x:v>0.45</x:v>
      </x:c>
      <x:c r="J943" s="8" t="n">
        <x:f>IF(H943="","",ROUND(H943*(1+I943),0))</x:f>
        <x:v>16516</x:v>
      </x:c>
      <x:c r="K943" s="8" t="n">
        <x:f>0</x:f>
        <x:v>0</x:v>
      </x:c>
      <x:c r="L943" s="8" t="n">
        <x:f>IFERROR(IFERROR(INDEX(EG_Cennik_uslug!$AQ:$AQ,MATCH($A943,EG_Cennik_uslug!$A:$A,0)),0),0)</x:f>
        <x:v>700</x:v>
      </x:c>
      <x:c r="M943" s="7" t="n">
        <x:f>IF('01_Ustawienia'!$B$4="ZWOLNIONY",0,'01_Ustawienia'!$B$7)</x:f>
        <x:v>0.08</x:v>
      </x:c>
      <x:c r="N943" s="8" t="n">
        <x:f>IF(J943="","",ROUND((J943+K943)*(1+M943),0))</x:f>
        <x:v>17837</x:v>
      </x:c>
      <x:c r="O943" s="8" t="n">
        <x:f>IF(J943="","",J943+K943-H943-L943)</x:f>
        <x:v>4426</x:v>
      </x:c>
      <x:c r="P943" s="7" t="n">
        <x:f>IFERROR(O943/(J943+K943),"")</x:f>
        <x:v>0.26798256236376844</x:v>
      </x:c>
      <x:c r="Q943" s="6" t="inlineStr">
        <x:is>
          <x:t xml:space="preserve">RAW_ZP H/I</x:t>
        </x:is>
      </x:c>
      <x:c r="R943" s="6" t="inlineStr">
        <x:is>
          <x:t xml:space="preserve">MARKIZA</x:t>
        </x:is>
      </x:c>
      <x:c r="S943" s="6" t="inlineStr">
        <x:is>
          <x:t xml:space="preserve">website+crm</x:t>
        </x:is>
      </x:c>
      <x:c r="T943" s="6" t="n"/>
    </x:row>
    <x:row r="944">
      <x:c r="A944" s="6" t="inlineStr">
        <x:is>
          <x:t xml:space="preserve">500 x 1206 cm</x:t>
        </x:is>
      </x:c>
      <x:c r="B944" s="6" t="inlineStr">
        <x:is>
          <x:t xml:space="preserve">PDWP</x:t>
        </x:is>
      </x:c>
      <x:c r="C944" s="6" t="inlineStr">
        <x:is>
          <x:t xml:space="preserve">Fundament/profile</x:t>
        </x:is>
      </x:c>
      <x:c r="D944" s="6" t="inlineStr">
        <x:is>
          <x:t xml:space="preserve">FUNDAMENT / PROFILE</x:t>
        </x:is>
      </x:c>
      <x:c r="E944" s="8" t="n">
        <x:f>IFERROR(INDEX('02_RAW_INDEX'!$AH:$AH,MATCH($A944,'02_RAW_INDEX'!$A:$A,0)),"")</x:f>
        <x:v>2000</x:v>
      </x:c>
      <x:c r="F944" s="8" t="n">
        <x:f>IFERROR(INDEX('02_RAW_INDEX'!$AG:$AG,MATCH($A944,'02_RAW_INDEX'!$A:$A,0)),"")</x:f>
        <x:v>2460</x:v>
      </x:c>
      <x:c r="G944" s="7" t="n">
        <x:f>'01_Ustawienia'!$B$6</x:f>
        <x:v>0</x:v>
      </x:c>
      <x:c r="H944" s="8" t="n">
        <x:f>IF(E944="","",ROUND(IF('01_Ustawienia'!$B$5="BRUTTO",F944,E944)*(1-G944),0))</x:f>
        <x:v>2000</x:v>
      </x:c>
      <x:c r="I944" s="7" t="n">
        <x:f>IFERROR(IFERROR(INDEX('01_Ustawienia'!$B$15:$B$33,MATCH(B944,'01_Ustawienia'!$A$15:$A$33,0)),0.45),0.45)</x:f>
        <x:v>1.2</x:v>
      </x:c>
      <x:c r="J944" s="8" t="n">
        <x:f>IF(H944="","",ROUND(H944*(1+I944),0))</x:f>
        <x:v>4400</x:v>
      </x:c>
      <x:c r="K944" s="8" t="n">
        <x:f>0</x:f>
        <x:v>0</x:v>
      </x:c>
      <x:c r="L944" s="8" t="n">
        <x:f>IFERROR(IFERROR(INDEX(EG_Cennik_uslug!$BT:$BT,MATCH($A944,EG_Cennik_uslug!$A:$A,0)),0),0)</x:f>
        <x:v>740</x:v>
      </x:c>
      <x:c r="M944" s="7" t="n">
        <x:f>IF('01_Ustawienia'!$B$4="ZWOLNIONY",0,'01_Ustawienia'!$B$7)</x:f>
        <x:v>0.08</x:v>
      </x:c>
      <x:c r="N944" s="8" t="n">
        <x:f>IF(J944="","",ROUND((J944+K944)*(1+M944),0))</x:f>
        <x:v>4752</x:v>
      </x:c>
      <x:c r="O944" s="8" t="n">
        <x:f>IF(J944="","",J944+K944-H944-L944)</x:f>
        <x:v>1660</x:v>
      </x:c>
      <x:c r="P944" s="7" t="n">
        <x:f>IFERROR(O944/(J944+K944),"")</x:f>
        <x:v>0.37727272727272726</x:v>
      </x:c>
      <x:c r="Q944" s="6" t="inlineStr">
        <x:is>
          <x:t xml:space="preserve">RAW_OP AB/AC</x:t>
        </x:is>
      </x:c>
      <x:c r="R944" s="6" t="inlineStr">
        <x:is>
          <x:t xml:space="preserve">FUNDAMENT (PROFILE)</x:t>
        </x:is>
      </x:c>
      <x:c r="S944" s="6" t="inlineStr">
        <x:is>
          <x:t xml:space="preserve">website+crm</x:t>
        </x:is>
      </x:c>
      <x:c r="T944" s="6" t="n"/>
    </x:row>
    <x:row r="945" s="655" customFormat="1" ht="30" customHeight="1">
      <x:c r="A945" s="6" t="inlineStr">
        <x:is>
          <x:t xml:space="preserve">500 x 1206 cm</x:t>
        </x:is>
      </x:c>
      <x:c r="B945" s="6" t="inlineStr">
        <x:is>
          <x:t xml:space="preserve">ZAB</x:t>
        </x:is>
      </x:c>
      <x:c r="C945" s="6" t="inlineStr">
        <x:is>
          <x:t xml:space="preserve">Zabieraki do ścian przesuwnych</x:t>
        </x:is>
      </x:c>
      <x:c r="D945" s="6" t="inlineStr">
        <x:is>
          <x:t xml:space="preserve">DODATKI</x:t>
        </x:is>
      </x:c>
      <x:c r="E945" s="8" t="n">
        <x:f>IFERROR(INDEX('02_RAW_INDEX'!$AJ:$AJ,MATCH($A945,'02_RAW_INDEX'!$A:$A,0)),"")</x:f>
        <x:v>553</x:v>
      </x:c>
      <x:c r="F945" s="8" t="n">
        <x:f>IFERROR(INDEX('02_RAW_INDEX'!$AI:$AI,MATCH($A945,'02_RAW_INDEX'!$A:$A,0)),"")</x:f>
        <x:v>680</x:v>
      </x:c>
      <x:c r="G945" s="7" t="n">
        <x:f>'01_Ustawienia'!$B$6</x:f>
        <x:v>0</x:v>
      </x:c>
      <x:c r="H945" s="8" t="n">
        <x:f>IF(E945="","",ROUND(IF('01_Ustawienia'!$B$5="BRUTTO",F945,E945)*(1-G945),0))</x:f>
        <x:v>553</x:v>
      </x:c>
      <x:c r="I945" s="7" t="n">
        <x:f>IFERROR(IFERROR(INDEX('01_Ustawienia'!$B$15:$B$33,MATCH(B945,'01_Ustawienia'!$A$15:$A$33,0)),0.45),0.45)</x:f>
        <x:v>0.45</x:v>
      </x:c>
      <x:c r="J945" s="8" t="n">
        <x:f>IF(H945="","",ROUND(H945*(1+I945),0))</x:f>
        <x:v>802</x:v>
      </x:c>
      <x:c r="K945" s="8" t="n">
        <x:f>0</x:f>
        <x:v>0</x:v>
      </x:c>
      <x:c r="L945" s="8" t="n">
        <x:f>0</x:f>
        <x:v>0</x:v>
      </x:c>
      <x:c r="M945" s="7" t="n">
        <x:f>IF('01_Ustawienia'!$B$4="ZWOLNIONY",0,'01_Ustawienia'!$B$7)</x:f>
        <x:v>0.08</x:v>
      </x:c>
      <x:c r="N945" s="8" t="n">
        <x:f>IF(J945="","",ROUND((J945+K945)*(1+M945),0))</x:f>
        <x:v>866</x:v>
      </x:c>
      <x:c r="O945" s="8" t="n">
        <x:f>IF(J945="","",J945+K945-H945-L945)</x:f>
        <x:v>249</x:v>
      </x:c>
      <x:c r="P945" s="7" t="n">
        <x:f>IFERROR(O945/(J945+K945),"")</x:f>
        <x:v>0.3104738154613466</x:v>
      </x:c>
      <x:c r="Q945" s="6" t="inlineStr">
        <x:is>
          <x:t xml:space="preserve">RAW_OP AD/AE</x:t>
        </x:is>
      </x:c>
      <x:c r="R945" s="6" t="inlineStr">
        <x:is>
          <x:t xml:space="preserve">DODATKI</x:t>
        </x:is>
      </x:c>
      <x:c r="S945" s="6" t="inlineStr">
        <x:is>
          <x:t xml:space="preserve">crm_only</x:t>
        </x:is>
      </x:c>
      <x:c r="T945" s="6" t="n"/>
    </x:row>
    <x:row r="946">
      <x:c r="A946" s="6" t="inlineStr">
        <x:is>
          <x:t xml:space="preserve">500 x 1206 cm</x:t>
        </x:is>
      </x:c>
      <x:c r="B946" s="6" t="inlineStr">
        <x:is>
          <x:t xml:space="preserve">S</x:t>
        </x:is>
      </x:c>
      <x:c r="C946" s="6" t="inlineStr">
        <x:is>
          <x:t xml:space="preserve">Szczotki przeciwkurzowe</x:t>
        </x:is>
      </x:c>
      <x:c r="D946" s="6" t="inlineStr">
        <x:is>
          <x:t xml:space="preserve">SZCZOTKI</x:t>
        </x:is>
      </x:c>
      <x:c r="E946" s="8" t="n">
        <x:f>IFERROR(INDEX('02_RAW_INDEX'!$AD:$AD,MATCH($A946,'02_RAW_INDEX'!$A:$A,0)),"")</x:f>
        <x:v>683</x:v>
      </x:c>
      <x:c r="F946" s="8" t="n">
        <x:f>IFERROR(INDEX('02_RAW_INDEX'!$AC:$AC,MATCH($A946,'02_RAW_INDEX'!$A:$A,0)),"")</x:f>
        <x:v>840</x:v>
      </x:c>
      <x:c r="G946" s="7" t="n">
        <x:f>'01_Ustawienia'!$B$6</x:f>
        <x:v>0</x:v>
      </x:c>
      <x:c r="H946" s="8" t="n">
        <x:f>IF(E946="","",ROUND(IF('01_Ustawienia'!$B$5="BRUTTO",F946,E946)*(1-G946),0))</x:f>
        <x:v>683</x:v>
      </x:c>
      <x:c r="I946" s="7" t="n">
        <x:f>IFERROR(IFERROR(INDEX('01_Ustawienia'!$B$15:$B$33,MATCH(B946,'01_Ustawienia'!$A$15:$A$33,0)),0.45),0.45)</x:f>
        <x:v>0.45</x:v>
      </x:c>
      <x:c r="J946" s="8" t="n">
        <x:f>IF(H946="","",ROUND(H946*(1+I946),0))</x:f>
        <x:v>990</x:v>
      </x:c>
      <x:c r="K946" s="8" t="n">
        <x:f>0</x:f>
        <x:v>0</x:v>
      </x:c>
      <x:c r="L946" s="8" t="n">
        <x:f>IFERROR(IFERROR(INDEX(EG_Cennik_uslug!$CA:$CA,MATCH($A946,EG_Cennik_uslug!$A:$A,0)),0),0)</x:f>
        <x:v>0</x:v>
      </x:c>
      <x:c r="M946" s="7" t="n">
        <x:f>IF('01_Ustawienia'!$B$4="ZWOLNIONY",0,'01_Ustawienia'!$B$7)</x:f>
        <x:v>0.08</x:v>
      </x:c>
      <x:c r="N946" s="8" t="n">
        <x:f>IF(J946="","",ROUND((J946+K946)*(1+M946),0))</x:f>
        <x:v>1069</x:v>
      </x:c>
      <x:c r="O946" s="8" t="n">
        <x:f>IF(J946="","",J946+K946-H946-L946)</x:f>
        <x:v>307</x:v>
      </x:c>
      <x:c r="P946" s="7" t="n">
        <x:f>IFERROR(O946/(J946+K946),"")</x:f>
        <x:v>0.3101010101010101</x:v>
      </x:c>
      <x:c r="Q946" s="6" t="inlineStr">
        <x:is>
          <x:t xml:space="preserve">RAW_OP L/M</x:t>
        </x:is>
      </x:c>
      <x:c r="R946" s="6" t="inlineStr">
        <x:is>
          <x:t xml:space="preserve">DODATKI</x:t>
        </x:is>
      </x:c>
      <x:c r="S946" s="6" t="inlineStr">
        <x:is>
          <x:t xml:space="preserve">website+crm</x:t>
        </x:is>
      </x:c>
      <x:c r="T946" s="6" t="n"/>
    </x:row>
    <x:row r="947">
      <x:c r="A947" s="6" t="inlineStr">
        <x:is>
          <x:t xml:space="preserve">500 x 1206 cm</x:t>
        </x:is>
      </x:c>
      <x:c r="B947" s="6" t="inlineStr">
        <x:is>
          <x:t xml:space="preserve">U</x:t>
        </x:is>
      </x:c>
      <x:c r="C947" s="6" t="inlineStr">
        <x:is>
          <x:t xml:space="preserve">Uchwyty na szkło ścienne</x:t>
        </x:is>
      </x:c>
      <x:c r="D947" s="6" t="inlineStr">
        <x:is>
          <x:t xml:space="preserve">UCHWYTY</x:t>
        </x:is>
      </x:c>
      <x:c r="E947" s="8" t="n">
        <x:f>IFERROR(INDEX('02_RAW_INDEX'!$AF:$AF,MATCH($A947,'02_RAW_INDEX'!$A:$A,0)),"")</x:f>
        <x:v>618</x:v>
      </x:c>
      <x:c r="F947" s="8" t="n">
        <x:f>IFERROR(INDEX('02_RAW_INDEX'!$AE:$AE,MATCH($A947,'02_RAW_INDEX'!$A:$A,0)),"")</x:f>
        <x:v>760</x:v>
      </x:c>
      <x:c r="G947" s="7" t="n">
        <x:f>'01_Ustawienia'!$B$6</x:f>
        <x:v>0</x:v>
      </x:c>
      <x:c r="H947" s="8" t="n">
        <x:f>IF(E947="","",ROUND(IF('01_Ustawienia'!$B$5="BRUTTO",F947,E947)*(1-G947),0))</x:f>
        <x:v>618</x:v>
      </x:c>
      <x:c r="I947" s="7" t="n">
        <x:f>IFERROR(IFERROR(INDEX('01_Ustawienia'!$B$15:$B$33,MATCH(B947,'01_Ustawienia'!$A$15:$A$33,0)),0.45),0.45)</x:f>
        <x:v>0.45</x:v>
      </x:c>
      <x:c r="J947" s="8" t="n">
        <x:f>IF(H947="","",ROUND(H947*(1+I947),0))</x:f>
        <x:v>896</x:v>
      </x:c>
      <x:c r="K947" s="8" t="n">
        <x:f>0</x:f>
        <x:v>0</x:v>
      </x:c>
      <x:c r="L947" s="8" t="n">
        <x:f>IFERROR(IFERROR(INDEX(EG_Cennik_uslug!$CH:$CH,MATCH($A947,EG_Cennik_uslug!$A:$A,0)),0),0)</x:f>
        <x:v>0</x:v>
      </x:c>
      <x:c r="M947" s="7" t="n">
        <x:f>IF('01_Ustawienia'!$B$4="ZWOLNIONY",0,'01_Ustawienia'!$B$7)</x:f>
        <x:v>0.08</x:v>
      </x:c>
      <x:c r="N947" s="8" t="n">
        <x:f>IF(J947="","",ROUND((J947+K947)*(1+M947),0))</x:f>
        <x:v>968</x:v>
      </x:c>
      <x:c r="O947" s="8" t="n">
        <x:f>IF(J947="","",J947+K947-H947-L947)</x:f>
        <x:v>278</x:v>
      </x:c>
      <x:c r="P947" s="7" t="n">
        <x:f>IFERROR(O947/(J947+K947),"")</x:f>
        <x:v>0.31026785714285715</x:v>
      </x:c>
      <x:c r="Q947" s="6" t="inlineStr">
        <x:is>
          <x:t xml:space="preserve">RAW_OP N/O</x:t>
        </x:is>
      </x:c>
      <x:c r="R947" s="6" t="inlineStr">
        <x:is>
          <x:t xml:space="preserve">DODATKI</x:t>
        </x:is>
      </x:c>
      <x:c r="S947" s="6" t="inlineStr">
        <x:is>
          <x:t xml:space="preserve">website+crm</x:t>
        </x:is>
      </x:c>
      <x:c r="T947" s="6" t="n"/>
    </x:row>
    <x:row r="948">
      <x:c r="A948" s="6" t="inlineStr">
        <x:is>
          <x:t xml:space="preserve">500 x 1206 cm</x:t>
        </x:is>
      </x:c>
      <x:c r="B948" s="6" t="inlineStr">
        <x:is>
          <x:t xml:space="preserve">LED2</x:t>
        </x:is>
      </x:c>
      <x:c r="C948" s="6" t="inlineStr">
        <x:is>
          <x:t xml:space="preserve">Oświetlenie LED 2 punkty</x:t>
        </x:is>
      </x:c>
      <x:c r="D948" s="6" t="inlineStr">
        <x:is>
          <x:t xml:space="preserve">LED 2 PKT</x:t>
        </x:is>
      </x:c>
      <x:c r="E948" s="8" t="n">
        <x:f>IFERROR(INDEX('02_RAW_INDEX'!$N:$N,MATCH($A948,'02_RAW_INDEX'!$A:$A,0)),"")</x:f>
        <x:v>1228</x:v>
      </x:c>
      <x:c r="F948" s="8" t="n">
        <x:f>IFERROR(INDEX('02_RAW_INDEX'!$M:$M,MATCH($A948,'02_RAW_INDEX'!$A:$A,0)),"")</x:f>
        <x:v>1510</x:v>
      </x:c>
      <x:c r="G948" s="7" t="n">
        <x:f>'01_Ustawienia'!$B$6</x:f>
        <x:v>0</x:v>
      </x:c>
      <x:c r="H948" s="8" t="n">
        <x:f>IF(E948="","",ROUND(IF('01_Ustawienia'!$B$5="BRUTTO",F948,E948)*(1-G948),0))</x:f>
        <x:v>1228</x:v>
      </x:c>
      <x:c r="I948" s="7" t="n">
        <x:f>IFERROR(IFERROR(INDEX('01_Ustawienia'!$B$15:$B$33,MATCH(B948,'01_Ustawienia'!$A$15:$A$33,0)),0.45),0.45)</x:f>
        <x:v>0.45</x:v>
      </x:c>
      <x:c r="J948" s="8" t="n">
        <x:f>IF(H948="","",ROUND(H948*(1+I948),0))</x:f>
        <x:v>1781</x:v>
      </x:c>
      <x:c r="K948" s="8" t="n">
        <x:f>0</x:f>
        <x:v>0</x:v>
      </x:c>
      <x:c r="L948" s="8" t="n">
        <x:f>IFERROR(IFERROR(INDEX(EG_Cennik_uslug!$CO:$CO,MATCH($A948,EG_Cennik_uslug!$A:$A,0)),0),0)</x:f>
        <x:v>0</x:v>
      </x:c>
      <x:c r="M948" s="7" t="n">
        <x:f>IF('01_Ustawienia'!$B$4="ZWOLNIONY",0,'01_Ustawienia'!$B$7)</x:f>
        <x:v>0.08</x:v>
      </x:c>
      <x:c r="N948" s="8" t="n">
        <x:f>IF(J948="","",ROUND((J948+K948)*(1+M948),0))</x:f>
        <x:v>1923</x:v>
      </x:c>
      <x:c r="O948" s="8" t="n">
        <x:f>IF(J948="","",J948+K948-H948-L948)</x:f>
        <x:v>553</x:v>
      </x:c>
      <x:c r="P948" s="7" t="n">
        <x:f>IFERROR(O948/(J948+K948),"")</x:f>
        <x:v>0.31049971925884334</x:v>
      </x:c>
      <x:c r="Q948" s="6" t="inlineStr">
        <x:is>
          <x:t xml:space="preserve">RAW_ZP P/Q</x:t>
        </x:is>
      </x:c>
      <x:c r="R948" s="6" t="inlineStr">
        <x:is>
          <x:t xml:space="preserve">OŚWIETLENIE</x:t>
        </x:is>
      </x:c>
      <x:c r="S948" s="6" t="inlineStr">
        <x:is>
          <x:t xml:space="preserve">website+crm</x:t>
        </x:is>
      </x:c>
      <x:c r="T948" s="6" t="n"/>
    </x:row>
    <x:row r="949">
      <x:c r="A949" s="6" t="inlineStr">
        <x:is>
          <x:t xml:space="preserve">500 x 1206 cm</x:t>
        </x:is>
      </x:c>
      <x:c r="B949" s="6" t="inlineStr">
        <x:is>
          <x:t xml:space="preserve">LED3</x:t>
        </x:is>
      </x:c>
      <x:c r="C949" s="6" t="inlineStr">
        <x:is>
          <x:t xml:space="preserve">Oświetlenie LED 3 punkty</x:t>
        </x:is>
      </x:c>
      <x:c r="D949" s="6" t="inlineStr">
        <x:is>
          <x:t xml:space="preserve">LED 3 PKT</x:t>
        </x:is>
      </x:c>
      <x:c r="E949" s="8" t="n">
        <x:f>IFERROR(INDEX('02_RAW_INDEX'!$P:$P,MATCH($A949,'02_RAW_INDEX'!$A:$A,0)),"")</x:f>
        <x:v>1545</x:v>
      </x:c>
      <x:c r="F949" s="8" t="n">
        <x:f>IFERROR(INDEX('02_RAW_INDEX'!$O:$O,MATCH($A949,'02_RAW_INDEX'!$A:$A,0)),"")</x:f>
        <x:v>1900</x:v>
      </x:c>
      <x:c r="G949" s="7" t="n">
        <x:f>'01_Ustawienia'!$B$6</x:f>
        <x:v>0</x:v>
      </x:c>
      <x:c r="H949" s="8" t="n">
        <x:f>IF(E949="","",ROUND(IF('01_Ustawienia'!$B$5="BRUTTO",F949,E949)*(1-G949),0))</x:f>
        <x:v>1545</x:v>
      </x:c>
      <x:c r="I949" s="7" t="n">
        <x:f>IFERROR(IFERROR(INDEX('01_Ustawienia'!$B$15:$B$33,MATCH(B949,'01_Ustawienia'!$A$15:$A$33,0)),0.45),0.45)</x:f>
        <x:v>0.45</x:v>
      </x:c>
      <x:c r="J949" s="8" t="n">
        <x:f>IF(H949="","",ROUND(H949*(1+I949),0))</x:f>
        <x:v>2240</x:v>
      </x:c>
      <x:c r="K949" s="8" t="n">
        <x:f>0</x:f>
        <x:v>0</x:v>
      </x:c>
      <x:c r="L949" s="8" t="n">
        <x:f>IFERROR(IFERROR(INDEX(EG_Cennik_uslug!$CV:$CV,MATCH($A949,EG_Cennik_uslug!$A:$A,0)),0),0)</x:f>
        <x:v>0</x:v>
      </x:c>
      <x:c r="M949" s="7" t="n">
        <x:f>IF('01_Ustawienia'!$B$4="ZWOLNIONY",0,'01_Ustawienia'!$B$7)</x:f>
        <x:v>0.08</x:v>
      </x:c>
      <x:c r="N949" s="8" t="n">
        <x:f>IF(J949="","",ROUND((J949+K949)*(1+M949),0))</x:f>
        <x:v>2419</x:v>
      </x:c>
      <x:c r="O949" s="8" t="n">
        <x:f>IF(J949="","",J949+K949-H949-L949)</x:f>
        <x:v>695</x:v>
      </x:c>
      <x:c r="P949" s="7" t="n">
        <x:f>IFERROR(O949/(J949+K949),"")</x:f>
        <x:v>0.31026785714285715</x:v>
      </x:c>
      <x:c r="Q949" s="6" t="inlineStr">
        <x:is>
          <x:t xml:space="preserve">RAW_ZP R/S</x:t>
        </x:is>
      </x:c>
      <x:c r="R949" s="6" t="inlineStr">
        <x:is>
          <x:t xml:space="preserve">OŚWIETLENIE</x:t>
        </x:is>
      </x:c>
      <x:c r="S949" s="6" t="inlineStr">
        <x:is>
          <x:t xml:space="preserve">website+crm</x:t>
        </x:is>
      </x:c>
      <x:c r="T949" s="6" t="inlineStr">
        <x:is>
          <x:t xml:space="preserve">Nazwa do potwierdzenia</x:t>
        </x:is>
      </x:c>
    </x:row>
    <x:row r="950">
      <x:c r="A950" s="6" t="inlineStr">
        <x:is>
          <x:t xml:space="preserve">500 x 1206 cm</x:t>
        </x:is>
      </x:c>
      <x:c r="B950" s="6" t="inlineStr">
        <x:is>
          <x:t xml:space="preserve">LEDCCT</x:t>
        </x:is>
      </x:c>
      <x:c r="C950" s="6" t="inlineStr">
        <x:is>
          <x:t xml:space="preserve">Oświetlenie LED CCT</x:t>
        </x:is>
      </x:c>
      <x:c r="D950" s="6" t="inlineStr">
        <x:is>
          <x:t xml:space="preserve">OŚWIETLENIE</x:t>
        </x:is>
      </x:c>
      <x:c r="E950" s="8" t="n">
        <x:f>IFERROR(INDEX('02_RAW_INDEX'!$R:$R,MATCH($A950,'02_RAW_INDEX'!$A:$A,0)),"")</x:f>
        <x:v>3133</x:v>
      </x:c>
      <x:c r="F950" s="8" t="n">
        <x:f>IFERROR(INDEX('02_RAW_INDEX'!$Q:$Q,MATCH($A950,'02_RAW_INDEX'!$A:$A,0)),"")</x:f>
        <x:v>3854</x:v>
      </x:c>
      <x:c r="G950" s="7" t="n">
        <x:f>'01_Ustawienia'!$B$6</x:f>
        <x:v>0</x:v>
      </x:c>
      <x:c r="H950" s="8" t="n">
        <x:f>IF(E950="","",ROUND(IF('01_Ustawienia'!$B$5="BRUTTO",F950,E950)*(1-G950),0))</x:f>
        <x:v>3133</x:v>
      </x:c>
      <x:c r="I950" s="7" t="n">
        <x:f>IFERROR(IFERROR(INDEX('01_Ustawienia'!$B$15:$B$33,MATCH(B950,'01_Ustawienia'!$A$15:$A$33,0)),0.45),0.45)</x:f>
        <x:v>0.45</x:v>
      </x:c>
      <x:c r="J950" s="8" t="n">
        <x:f>IF(H950="","",ROUND(H950*(1+I950),0)+700)</x:f>
        <x:v>5243</x:v>
      </x:c>
      <x:c r="K950" s="8" t="n">
        <x:f>0</x:f>
        <x:v>0</x:v>
      </x:c>
      <x:c r="L950" s="8" t="n">
        <x:f>0</x:f>
        <x:v>0</x:v>
      </x:c>
      <x:c r="M950" s="7" t="n">
        <x:f>IF('01_Ustawienia'!$B$4="ZWOLNIONY",0,'01_Ustawienia'!$B$7)</x:f>
        <x:v>0.08</x:v>
      </x:c>
      <x:c r="N950" s="8" t="n">
        <x:f>IF(J950="","",ROUND((J950+K950)*(1+M950),0))</x:f>
        <x:v>5662</x:v>
      </x:c>
      <x:c r="O950" s="8" t="n">
        <x:f>IF(J950="","",J950+K950-H950-L950)</x:f>
        <x:v>2110</x:v>
      </x:c>
      <x:c r="P950" s="7" t="n">
        <x:f>IFERROR(O950/(J950+K950),"")</x:f>
        <x:v>0.40244135037192447</x:v>
      </x:c>
      <x:c r="Q950" s="715" t="inlineStr">
        <x:is>
          <x:t xml:space="preserve">MODEL_FIX15_LED</x:t>
        </x:is>
      </x:c>
      <x:c r="R950" s="6" t="inlineStr">
        <x:is>
          <x:t xml:space="preserve">OŚWIETLENIE</x:t>
        </x:is>
      </x:c>
      <x:c r="S950" s="6" t="inlineStr">
        <x:is>
          <x:t xml:space="preserve">website+crm</x:t>
        </x:is>
      </x:c>
      <x:c r="T950" s="715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951">
      <x:c r="A951" s="6" t="inlineStr">
        <x:is>
          <x:t xml:space="preserve">500 x 1206 cm</x:t>
        </x:is>
      </x:c>
      <x:c r="B951" s="6" t="inlineStr">
        <x:is>
          <x:t xml:space="preserve">LEDRGBCCT</x:t>
        </x:is>
      </x:c>
      <x:c r="C951" s="6" t="inlineStr">
        <x:is>
          <x:t xml:space="preserve">Oświetlenie LED RGB CCT</x:t>
        </x:is>
      </x:c>
      <x:c r="D951" s="6" t="inlineStr">
        <x:is>
          <x:t xml:space="preserve">OŚWIETLENIE</x:t>
        </x:is>
      </x:c>
      <x:c r="E951" s="8" t="n">
        <x:f>IFERROR(INDEX('02_RAW_INDEX'!$T:$T,MATCH($A951,'02_RAW_INDEX'!$A:$A,0)),"")</x:f>
        <x:v>4704</x:v>
      </x:c>
      <x:c r="F951" s="8" t="n">
        <x:f>IFERROR(INDEX('02_RAW_INDEX'!$S:$S,MATCH($A951,'02_RAW_INDEX'!$A:$A,0)),"")</x:f>
        <x:v>5786</x:v>
      </x:c>
      <x:c r="G951" s="7" t="n">
        <x:f>'01_Ustawienia'!$B$6</x:f>
        <x:v>0</x:v>
      </x:c>
      <x:c r="H951" s="8" t="n">
        <x:f>IF(E951="","",ROUND(IF('01_Ustawienia'!$B$5="BRUTTO",F951,E951)*(1-G951),0))</x:f>
        <x:v>4704</x:v>
      </x:c>
      <x:c r="I951" s="7" t="n">
        <x:f>IFERROR(IFERROR(INDEX('01_Ustawienia'!$B$15:$B$33,MATCH(B951,'01_Ustawienia'!$A$15:$A$33,0)),0.45),0.45)</x:f>
        <x:v>0.45</x:v>
      </x:c>
      <x:c r="J951" s="8" t="n">
        <x:f>IF(H951="","",ROUND(H951*(1+I951),0))</x:f>
        <x:v>6821</x:v>
      </x:c>
      <x:c r="K951" s="8" t="n">
        <x:f>0</x:f>
        <x:v>0</x:v>
      </x:c>
      <x:c r="L951" s="8" t="n">
        <x:f>0</x:f>
        <x:v>0</x:v>
      </x:c>
      <x:c r="M951" s="7" t="n">
        <x:f>IF('01_Ustawienia'!$B$4="ZWOLNIONY",0,'01_Ustawienia'!$B$7)</x:f>
        <x:v>0.08</x:v>
      </x:c>
      <x:c r="N951" s="8" t="n">
        <x:f>IF(J951="","",ROUND((J951+K951)*(1+M951),0))</x:f>
        <x:v>7367</x:v>
      </x:c>
      <x:c r="O951" s="8" t="n">
        <x:f>IF(J951="","",J951+K951-H951-L951)</x:f>
        <x:v>2117</x:v>
      </x:c>
      <x:c r="P951" s="7" t="n">
        <x:f>IFERROR(O951/(J951+K951),"")</x:f>
        <x:v>0.31036504911303325</x:v>
      </x:c>
      <x:c r="Q951" s="715" t="inlineStr">
        <x:is>
          <x:t xml:space="preserve">MODEL_FIX15_LED</x:t>
        </x:is>
      </x:c>
      <x:c r="R951" s="6" t="inlineStr">
        <x:is>
          <x:t xml:space="preserve">OŚWIETLENIE</x:t>
        </x:is>
      </x:c>
      <x:c r="S951" s="6" t="inlineStr">
        <x:is>
          <x:t xml:space="preserve">crm_only</x:t>
        </x:is>
      </x:c>
      <x:c r="T951" s="715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952" s="655" customFormat="1" ht="30" customHeight="1">
      <x:c r="A952" s="6" t="inlineStr">
        <x:is>
          <x:t xml:space="preserve">550 x 306 cm</x:t>
        </x:is>
      </x:c>
      <x:c r="B952" s="6" t="inlineStr">
        <x:is>
          <x:t xml:space="preserve">ZP</x:t>
        </x:is>
      </x:c>
      <x:c r="C952" s="6" t="inlineStr">
        <x:is>
          <x:t xml:space="preserve">Zadaszenie poliwęglan - baza</x:t>
        </x:is>
      </x:c>
      <x:c r="D952" s="6" t="inlineStr">
        <x:is>
          <x:t xml:space="preserve">ZADASZENIE POLIWĘGLAN</x:t>
        </x:is>
      </x:c>
      <x:c r="E952" s="8" t="n">
        <x:f>IFERROR(INDEX('02_RAW_INDEX'!$D:$D,MATCH($A952,'02_RAW_INDEX'!$A:$A,0)),"")</x:f>
        <x:v>8098</x:v>
      </x:c>
      <x:c r="F952" s="8" t="n">
        <x:f>IFERROR(INDEX('02_RAW_INDEX'!$C:$C,MATCH($A952,'02_RAW_INDEX'!$A:$A,0)),"")</x:f>
        <x:v>9960</x:v>
      </x:c>
      <x:c r="G952" s="7" t="n">
        <x:f>'01_Ustawienia'!$B$6</x:f>
        <x:v>0</x:v>
      </x:c>
      <x:c r="H952" s="8" t="n">
        <x:f>IF(E952="","",ROUND(IF('01_Ustawienia'!$B$5="BRUTTO",F952,E952)*(1-G952),0))</x:f>
        <x:v>8098</x:v>
      </x:c>
      <x:c r="I952" s="7" t="n">
        <x:f>IFERROR(IFERROR(INDEX('01_Ustawienia'!$B$15:$B$33,MATCH(B952,'01_Ustawienia'!$A$15:$A$33,0)),0.45),0.45)</x:f>
        <x:v>0.45</x:v>
      </x:c>
      <x:c r="J952" s="8" t="n">
        <x:f>IF(H952="","",ROUND(H952*(1+I952),0))</x:f>
        <x:v>11742</x:v>
      </x:c>
      <x:c r="K952" s="580" t="n">
        <x:v>3860</x:v>
      </x:c>
      <x:c r="L952" s="580" t="n">
        <x:v>1150</x:v>
      </x:c>
      <x:c r="M952" s="7" t="n">
        <x:f>IF('01_Ustawienia'!$B$4="ZWOLNIONY",0,'01_Ustawienia'!$B$7)</x:f>
        <x:v>0.08</x:v>
      </x:c>
      <x:c r="N952" s="8" t="n">
        <x:f>IF(J952="","",ROUND((J952+K952)*(1+M952),0))</x:f>
        <x:v>16850</x:v>
      </x:c>
      <x:c r="O952" s="8" t="n">
        <x:f>IF(J952="","",J952+K952-H952-L952)</x:f>
        <x:v>6354</x:v>
      </x:c>
      <x:c r="P952" s="7" t="n">
        <x:f>IFERROR(O952/(J952+K952),"")</x:f>
        <x:v>0.4072554800666581</x:v>
      </x:c>
      <x:c r="Q952" s="6" t="inlineStr">
        <x:is>
          <x:t xml:space="preserve">RAW_ZP B/C</x:t>
        </x:is>
      </x:c>
      <x:c r="R952" s="6" t="inlineStr">
        <x:is>
          <x:t xml:space="preserve">ZADASZENIE TARASU KONSTRUKCJA</x:t>
        </x:is>
      </x:c>
      <x:c r="S952" s="6" t="inlineStr">
        <x:is>
          <x:t xml:space="preserve">website+crm</x:t>
        </x:is>
      </x:c>
      <x:c r="T952" s="581" t="inlineStr">
        <x:is>
          <x:t xml:space="preserve">Baza dla kalkulatora | FIX11: K/L 550/600 wg ark. 09 (UZUPEŁNIĆ).</x:t>
        </x:is>
      </x:c>
    </x:row>
    <x:row r="953" s="655" customFormat="1" ht="30" customHeight="1">
      <x:c r="A953" s="6" t="inlineStr">
        <x:is>
          <x:t xml:space="preserve">550 x 306 cm</x:t>
        </x:is>
      </x:c>
      <x:c r="B953" s="6" t="inlineStr">
        <x:is>
          <x:t xml:space="preserve">ZS</x:t>
        </x:is>
      </x:c>
      <x:c r="C953" s="6" t="inlineStr">
        <x:is>
          <x:t xml:space="preserve">Zadaszenie szkło - pełna konstrukcja</x:t>
        </x:is>
      </x:c>
      <x:c r="D953" s="6" t="inlineStr">
        <x:is>
          <x:t xml:space="preserve">ZADASZENIE SZKŁO</x:t>
        </x:is>
      </x:c>
      <x:c r="E953" s="8" t="str">
        <x:f>IFERROR(INDEX('02_RAW_INDEX'!$V:$V,MATCH($A953,'02_RAW_INDEX'!$A:$A,0)),"")</x:f>
      </x:c>
      <x:c r="F953" s="8" t="str">
        <x:f>IFERROR(INDEX('02_RAW_INDEX'!$U:$U,MATCH($A953,'02_RAW_INDEX'!$A:$A,0)),"")</x:f>
      </x:c>
      <x:c r="G953" s="7" t="n">
        <x:f>'01_Ustawienia'!$B$6</x:f>
        <x:v>0</x:v>
      </x:c>
      <x:c r="H953" s="8" t="str">
        <x:f>IF(E953="","",ROUND(IF('01_Ustawienia'!$B$5="BRUTTO",F953,E953)*(1-G953),0))</x:f>
      </x:c>
      <x:c r="I953" s="7" t="n">
        <x:f>IFERROR(IFERROR(INDEX('01_Ustawienia'!$B$15:$B$33,MATCH(B953,'01_Ustawienia'!$A$15:$A$33,0)),0.45),0.45)</x:f>
        <x:v>0.45</x:v>
      </x:c>
      <x:c r="J953" s="8" t="str">
        <x:f>IF(H953="","",ROUND(H953*(1+I953),0))</x:f>
      </x:c>
      <x:c r="K953" s="580" t="n">
        <x:v>3860</x:v>
      </x:c>
      <x:c r="L953" s="580" t="n">
        <x:v>1480</x:v>
      </x:c>
      <x:c r="M953" s="7" t="n">
        <x:f>IF('01_Ustawienia'!$B$4="ZWOLNIONY",0,'01_Ustawienia'!$B$7)</x:f>
        <x:v>0.08</x:v>
      </x:c>
      <x:c r="N953" s="8" t="str">
        <x:f>IF(J953="","",ROUND((J953+K953)*(1+M953),0))</x:f>
      </x:c>
      <x:c r="O953" s="8" t="str">
        <x:f>IF(J953="","",J953+K953-H953-L953)</x:f>
      </x:c>
      <x:c r="P953" s="7" t="n">
        <x:f>IFERROR(O953/(J953+K953),"")</x:f>
        <x:v>0</x:v>
      </x:c>
      <x:c r="Q953" s="6" t="inlineStr">
        <x:is>
          <x:t xml:space="preserve">RAW_ZS B/C</x:t>
        </x:is>
      </x:c>
      <x:c r="R953" s="6" t="inlineStr">
        <x:is>
          <x:t xml:space="preserve">ZADASZENIE TARASU KONSTRUKCJA</x:t>
        </x:is>
      </x:c>
      <x:c r="S953" s="6" t="inlineStr">
        <x:is>
          <x:t xml:space="preserve">crm_only</x:t>
        </x:is>
      </x:c>
      <x:c r="T953" s="581" t="inlineStr">
        <x:is>
          <x:t xml:space="preserve">Referencyjne/full; strona zwykle używa ZP + PDS | FIX11: K/L 550/600 wg ark. 09 (NIE PUBLIKOWAĆ / BRAK RAW_ZS).</x:t>
        </x:is>
      </x:c>
    </x:row>
    <x:row r="954" s="655" customFormat="1" ht="30" customHeight="1">
      <x:c r="A954" s="6" t="inlineStr">
        <x:is>
          <x:t xml:space="preserve">550 x 306 cm</x:t>
        </x:is>
      </x:c>
      <x:c r="B954" s="6" t="inlineStr">
        <x:is>
          <x:t xml:space="preserve">OP</x:t>
        </x:is>
      </x:c>
      <x:c r="C954" s="6" t="inlineStr">
        <x:is>
          <x:t xml:space="preserve">Ogród zimowy poliwęglan - baza</x:t>
        </x:is>
      </x:c>
      <x:c r="D954" s="6" t="inlineStr">
        <x:is>
          <x:t xml:space="preserve">OGRODY POLIWĘGLAN</x:t>
        </x:is>
      </x:c>
      <x:c r="E954" s="8" t="n">
        <x:f>IFERROR(INDEX('02_RAW_INDEX'!$Z:$Z,MATCH($A954,'02_RAW_INDEX'!$A:$A,0)),"")</x:f>
        <x:v>22333</x:v>
      </x:c>
      <x:c r="F954" s="8" t="n">
        <x:f>IFERROR(INDEX('02_RAW_INDEX'!$Y:$Y,MATCH($A954,'02_RAW_INDEX'!$A:$A,0)),"")</x:f>
        <x:v>27470</x:v>
      </x:c>
      <x:c r="G954" s="7" t="n">
        <x:f>'01_Ustawienia'!$B$6</x:f>
        <x:v>0</x:v>
      </x:c>
      <x:c r="H954" s="8" t="n">
        <x:f>IF(E954="","",ROUND(IF('01_Ustawienia'!$B$5="BRUTTO",F954,E954)*(1-G954),0))</x:f>
        <x:v>22333</x:v>
      </x:c>
      <x:c r="I954" s="7" t="n">
        <x:f>IFERROR(IFERROR(INDEX('01_Ustawienia'!$B$15:$B$33,MATCH(B954,'01_Ustawienia'!$A$15:$A$33,0)),0.45),0.45)</x:f>
        <x:v>0.45</x:v>
      </x:c>
      <x:c r="J954" s="8" t="n">
        <x:f>IF(H954="","",ROUND(H954*(1+I954),0))</x:f>
        <x:v>32383</x:v>
      </x:c>
      <x:c r="K954" s="580" t="n">
        <x:v>4690</x:v>
      </x:c>
      <x:c r="L954" s="580" t="n">
        <x:v>1620</x:v>
      </x:c>
      <x:c r="M954" s="7" t="n">
        <x:f>IF('01_Ustawienia'!$B$4="ZWOLNIONY",0,'01_Ustawienia'!$B$7)</x:f>
        <x:v>0.08</x:v>
      </x:c>
      <x:c r="N954" s="8" t="n">
        <x:f>IF(J954="","",ROUND((J954+K954)*(1+M954),0))</x:f>
        <x:v>40039</x:v>
      </x:c>
      <x:c r="O954" s="8" t="n">
        <x:f>IF(J954="","",J954+K954-H954-L954)</x:f>
        <x:v>13120</x:v>
      </x:c>
      <x:c r="P954" s="7" t="n">
        <x:f>IFERROR(O954/(J954+K954),"")</x:f>
        <x:v>0.3538963666280042</x:v>
      </x:c>
      <x:c r="Q954" s="6" t="inlineStr">
        <x:is>
          <x:t xml:space="preserve">RAW_OP B/C</x:t>
        </x:is>
      </x:c>
      <x:c r="R954" s="6" t="inlineStr">
        <x:is>
          <x:t xml:space="preserve">OGRÓD ZIMOWY (KONSTRUKCJA)</x:t>
        </x:is>
      </x:c>
      <x:c r="S954" s="6" t="inlineStr">
        <x:is>
          <x:t xml:space="preserve">website+crm</x:t>
        </x:is>
      </x:c>
      <x:c r="T954" s="581" t="inlineStr">
        <x:is>
          <x:t xml:space="preserve">Do wyliczenia dopłaty za ściany | FIX11: K/L 550/600 wg ark. 09 (UZUPEŁNIĆ).</x:t>
        </x:is>
      </x:c>
    </x:row>
    <x:row r="955" s="655" customFormat="1" ht="30" customHeight="1">
      <x:c r="A955" s="6" t="inlineStr">
        <x:is>
          <x:t xml:space="preserve">550 x 306 cm</x:t>
        </x:is>
      </x:c>
      <x:c r="B955" s="6" t="inlineStr">
        <x:is>
          <x:t xml:space="preserve">OS</x:t>
        </x:is>
      </x:c>
      <x:c r="C955" s="6" t="inlineStr">
        <x:is>
          <x:t xml:space="preserve">Ogród zimowy szkło - pełna konstrukcja</x:t>
        </x:is>
      </x:c>
      <x:c r="D955" s="6" t="inlineStr">
        <x:is>
          <x:t xml:space="preserve">OGRODY SZKŁO</x:t>
        </x:is>
      </x:c>
      <x:c r="E955" s="8" t="str">
        <x:f>IFERROR(INDEX('02_RAW_INDEX'!$AL:$AL,MATCH($A955,'02_RAW_INDEX'!$A:$A,0)),"")</x:f>
      </x:c>
      <x:c r="F955" s="8" t="str">
        <x:f>IFERROR(INDEX('02_RAW_INDEX'!$AK:$AK,MATCH($A955,'02_RAW_INDEX'!$A:$A,0)),"")</x:f>
      </x:c>
      <x:c r="G955" s="7" t="n">
        <x:f>'01_Ustawienia'!$B$6</x:f>
        <x:v>0</x:v>
      </x:c>
      <x:c r="H955" s="8" t="str">
        <x:f>IF(E955="","",ROUND(IF('01_Ustawienia'!$B$5="BRUTTO",F955,E955)*(1-G955),0))</x:f>
      </x:c>
      <x:c r="I955" s="7" t="n">
        <x:f>IFERROR(IFERROR(INDEX('01_Ustawienia'!$B$15:$B$33,MATCH(B955,'01_Ustawienia'!$A$15:$A$33,0)),0.45),0.45)</x:f>
        <x:v>0.45</x:v>
      </x:c>
      <x:c r="J955" s="8" t="str">
        <x:f>IF(H955="","",ROUND(H955*(1+I955),0))</x:f>
      </x:c>
      <x:c r="K955" s="580" t="n">
        <x:v>4690</x:v>
      </x:c>
      <x:c r="L955" s="580" t="n">
        <x:v>1950</x:v>
      </x:c>
      <x:c r="M955" s="7" t="n">
        <x:f>IF('01_Ustawienia'!$B$4="ZWOLNIONY",0,'01_Ustawienia'!$B$7)</x:f>
        <x:v>0.08</x:v>
      </x:c>
      <x:c r="N955" s="8" t="str">
        <x:f>IF(J955="","",ROUND((J955+K955)*(1+M955),0))</x:f>
      </x:c>
      <x:c r="O955" s="8" t="str">
        <x:f>IF(J955="","",J955+K955-H955-L955)</x:f>
      </x:c>
      <x:c r="P955" s="7" t="n">
        <x:f>IFERROR(O955/(J955+K955),"")</x:f>
        <x:v>0</x:v>
      </x:c>
      <x:c r="Q955" s="6" t="inlineStr">
        <x:is>
          <x:t xml:space="preserve">RAW_OS B/C</x:t>
        </x:is>
      </x:c>
      <x:c r="R955" s="6" t="inlineStr">
        <x:is>
          <x:t xml:space="preserve">OGRÓD ZIMOWY (KONSTRUKCJA)</x:t>
        </x:is>
      </x:c>
      <x:c r="S955" s="6" t="inlineStr">
        <x:is>
          <x:t xml:space="preserve">crm_only</x:t>
        </x:is>
      </x:c>
      <x:c r="T955" s="581" t="inlineStr">
        <x:is>
          <x:t xml:space="preserve">Referencyjne/full | FIX11: K/L 550/600 wg ark. 09 (NIE PUBLIKOWAĆ / BRAK RAW_OS).</x:t>
        </x:is>
      </x:c>
    </x:row>
    <x:row r="956" s="655" customFormat="1" ht="30" customHeight="1">
      <x:c r="A956" s="6" t="inlineStr">
        <x:is>
          <x:t xml:space="preserve">550 x 306 cm</x:t>
        </x:is>
      </x:c>
      <x:c r="B956" s="6" t="inlineStr">
        <x:is>
          <x:t xml:space="preserve">PDS</x:t>
        </x:is>
      </x:c>
      <x:c r="C956" s="6" t="inlineStr">
        <x:is>
          <x:t xml:space="preserve">Dopłata dach szkło przezroczyste</x:t>
        </x:is>
      </x:c>
      <x:c r="D956" s="6" t="inlineStr">
        <x:is>
          <x:t xml:space="preserve">POKRYCIE DACHU SZKŁO</x:t>
        </x:is>
      </x:c>
      <x:c r="E956" s="8" t="n">
        <x:f>IFERROR(IFERROR(INDEX('02_RAW_INDEX'!$V:$V,MATCH($A956,'02_RAW_INDEX'!$A:$A,0)),"")-IFERROR(INDEX('02_RAW_INDEX'!$D:$D,MATCH($A956,'02_RAW_INDEX'!$A:$A,0)),""),"")</x:f>
        <x:v>-8098</x:v>
      </x:c>
      <x:c r="F956" s="8" t="n">
        <x:f>IFERROR(IFERROR(INDEX('02_RAW_INDEX'!$U:$U,MATCH($A956,'02_RAW_INDEX'!$A:$A,0)),"")-IFERROR(INDEX('02_RAW_INDEX'!$C:$C,MATCH($A956,'02_RAW_INDEX'!$A:$A,0)),""),"")</x:f>
        <x:v>-9960</x:v>
      </x:c>
      <x:c r="G956" s="7" t="n">
        <x:f>'01_Ustawienia'!$B$6</x:f>
        <x:v>0</x:v>
      </x:c>
      <x:c r="H956" s="8" t="n">
        <x:f>IF(E956="","",ROUND(IF('01_Ustawienia'!$B$5="BRUTTO",F956,E956)*(1-G956),0))</x:f>
        <x:v>-8098</x:v>
      </x:c>
      <x:c r="I956" s="7" t="n">
        <x:f>IFERROR(IFERROR(INDEX('01_Ustawienia'!$B$15:$B$33,MATCH(B956,'01_Ustawienia'!$A$15:$A$33,0)),0.45),0.45)</x:f>
        <x:v>0.45</x:v>
      </x:c>
      <x:c r="J956" s="8" t="n">
        <x:f>IF(H956="","",ROUND(H956*(1+I956),0))</x:f>
        <x:v>-11742</x:v>
      </x:c>
      <x:c r="K956" s="580" t="n">
        <x:v>0</x:v>
      </x:c>
      <x:c r="L956" s="580" t="n">
        <x:v>0</x:v>
      </x:c>
      <x:c r="M956" s="7" t="n">
        <x:f>IF('01_Ustawienia'!$B$4="ZWOLNIONY",0,'01_Ustawienia'!$B$7)</x:f>
        <x:v>0.08</x:v>
      </x:c>
      <x:c r="N956" s="8" t="n">
        <x:f>IF(J956="","",ROUND((J956+K956)*(1+M956),0))</x:f>
        <x:v>-12681</x:v>
      </x:c>
      <x:c r="O956" s="8" t="n">
        <x:f>IF(J956="","",J956+K956-H956-L956)</x:f>
        <x:v>-3644</x:v>
      </x:c>
      <x:c r="P956" s="7" t="n">
        <x:f>IFERROR(O956/(J956+K956),"")</x:f>
        <x:v>0.3103389541815704</x:v>
      </x:c>
      <x:c r="Q956" s="6" t="inlineStr">
        <x:is>
          <x:t xml:space="preserve">RAW_ZS - RAW_ZP</x:t>
        </x:is>
      </x:c>
      <x:c r="R956" s="6" t="inlineStr">
        <x:is>
          <x:t xml:space="preserve">POKRYCIE DACHU</x:t>
        </x:is>
      </x:c>
      <x:c r="S956" s="6" t="inlineStr">
        <x:is>
          <x:t xml:space="preserve">website+crm</x:t>
        </x:is>
      </x:c>
      <x:c r="T956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957" s="655" customFormat="1" ht="30" customHeight="1">
      <x:c r="A957" s="6" t="inlineStr">
        <x:is>
          <x:t xml:space="preserve">550 x 306 cm</x:t>
        </x:is>
      </x:c>
      <x:c r="B957" s="6" t="inlineStr">
        <x:is>
          <x:t xml:space="preserve">PDSB</x:t>
        </x:is>
      </x:c>
      <x:c r="C957" s="6" t="inlineStr">
        <x:is>
          <x:t xml:space="preserve">Dopłata dach szkło barwione/mleczne</x:t>
        </x:is>
      </x:c>
      <x:c r="D957" s="6" t="inlineStr">
        <x:is>
          <x:t xml:space="preserve">POKRYCIE DACHU SZKŁO BARWIONE</x:t>
        </x:is>
      </x:c>
      <x:c r="E957" s="8" t="str">
        <x:f>IFERROR(INDEX('02_RAW_INDEX'!$X:$X,MATCH($A957,'02_RAW_INDEX'!$A:$A,0)),"")</x:f>
      </x:c>
      <x:c r="F957" s="8" t="str">
        <x:f>IFERROR(INDEX('02_RAW_INDEX'!$W:$W,MATCH($A957,'02_RAW_INDEX'!$A:$A,0)),"")</x:f>
      </x:c>
      <x:c r="G957" s="7" t="n">
        <x:f>'01_Ustawienia'!$B$6</x:f>
        <x:v>0</x:v>
      </x:c>
      <x:c r="H957" s="8" t="str">
        <x:f>IF(E957="","",ROUND(IF('01_Ustawienia'!$B$5="BRUTTO",F957,E957)*(1-G957),0))</x:f>
      </x:c>
      <x:c r="I957" s="7" t="n">
        <x:f>IFERROR(IFERROR(INDEX('01_Ustawienia'!$B$15:$B$33,MATCH(B957,'01_Ustawienia'!$A$15:$A$33,0)),0.45),0.45)</x:f>
        <x:v>0.45</x:v>
      </x:c>
      <x:c r="J957" s="8" t="str">
        <x:f>IF(H957="","",ROUND(H957*(1+I957),0))</x:f>
      </x:c>
      <x:c r="K957" s="582" t="n">
        <x:v>0</x:v>
      </x:c>
      <x:c r="L957" s="582" t="n">
        <x:v>0</x:v>
      </x:c>
      <x:c r="M957" s="7" t="n">
        <x:f>IF('01_Ustawienia'!$B$4="ZWOLNIONY",0,'01_Ustawienia'!$B$7)</x:f>
        <x:v>0.08</x:v>
      </x:c>
      <x:c r="N957" s="8" t="str">
        <x:f>IF(J957="","",ROUND((J957+K957)*(1+M957),0))</x:f>
      </x:c>
      <x:c r="O957" s="8" t="str">
        <x:f>IF(J957="","",J957+K957-H957-L957)</x:f>
      </x:c>
      <x:c r="P957" s="7" t="str">
        <x:f>IFERROR(O957/(J957+K957),"")</x:f>
      </x:c>
      <x:c r="Q957" s="6" t="inlineStr">
        <x:is>
          <x:t xml:space="preserve">RAW_ZS D/E</x:t>
        </x:is>
      </x:c>
      <x:c r="R957" s="6" t="inlineStr">
        <x:is>
          <x:t xml:space="preserve">POKRYCIE DACHU</x:t>
        </x:is>
      </x:c>
      <x:c r="S957" s="6" t="inlineStr">
        <x:is>
          <x:t xml:space="preserve">website+crm</x:t>
        </x:is>
      </x:c>
      <x:c r="T957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958" s="655" customFormat="1" ht="30" customHeight="1">
      <x:c r="A958" s="6" t="inlineStr">
        <x:is>
          <x:t xml:space="preserve">550 x 306 cm</x:t>
        </x:is>
      </x:c>
      <x:c r="B958" s="6" t="inlineStr">
        <x:is>
          <x:t xml:space="preserve">PDPB</x:t>
        </x:is>
      </x:c>
      <x:c r="C958" s="6" t="inlineStr">
        <x:is>
          <x:t xml:space="preserve">Dopłata poliwęglan barwiony</x:t>
        </x:is>
      </x:c>
      <x:c r="D958" s="6" t="inlineStr">
        <x:is>
          <x:t xml:space="preserve">POKRYCIE DACHU POLIWĘGLAN BARWIONY</x:t>
        </x:is>
      </x:c>
      <x:c r="E958" s="8" t="n">
        <x:f>IFERROR(INDEX('02_RAW_INDEX'!$F:$F,MATCH($A958,'02_RAW_INDEX'!$A:$A,0)),"")</x:f>
        <x:v>236</x:v>
      </x:c>
      <x:c r="F958" s="8" t="n">
        <x:f>IFERROR(INDEX('02_RAW_INDEX'!$E:$E,MATCH($A958,'02_RAW_INDEX'!$A:$A,0)),"")</x:f>
        <x:v>290</x:v>
      </x:c>
      <x:c r="G958" s="7" t="n">
        <x:f>'01_Ustawienia'!$B$6</x:f>
        <x:v>0</x:v>
      </x:c>
      <x:c r="H958" s="8" t="n">
        <x:f>IF(E958="","",ROUND(IF('01_Ustawienia'!$B$5="BRUTTO",F958,E958)*(1-G958),0))</x:f>
        <x:v>236</x:v>
      </x:c>
      <x:c r="I958" s="7" t="n">
        <x:f>IFERROR(IFERROR(INDEX('01_Ustawienia'!$B$15:$B$33,MATCH(B958,'01_Ustawienia'!$A$15:$A$33,0)),0.45),0.45)</x:f>
        <x:v>0.45</x:v>
      </x:c>
      <x:c r="J958" s="8" t="n">
        <x:f>IF(H958="","",ROUND(H958*(1+I958),0))</x:f>
        <x:v>342</x:v>
      </x:c>
      <x:c r="K958" s="582" t="n">
        <x:v>0</x:v>
      </x:c>
      <x:c r="L958" s="582" t="n">
        <x:v>0</x:v>
      </x:c>
      <x:c r="M958" s="7" t="n">
        <x:f>IF('01_Ustawienia'!$B$4="ZWOLNIONY",0,'01_Ustawienia'!$B$7)</x:f>
        <x:v>0.08</x:v>
      </x:c>
      <x:c r="N958" s="8" t="n">
        <x:f>IF(J958="","",ROUND((J958+K958)*(1+M958),0))</x:f>
        <x:v>369</x:v>
      </x:c>
      <x:c r="O958" s="8" t="n">
        <x:f>IF(J958="","",J958+K958-H958-L958)</x:f>
        <x:v>106</x:v>
      </x:c>
      <x:c r="P958" s="7" t="n">
        <x:f>IFERROR(O958/(J958+K958),"")</x:f>
        <x:v>0.30994152046783624</x:v>
      </x:c>
      <x:c r="Q958" s="6" t="inlineStr">
        <x:is>
          <x:t xml:space="preserve">RAW_ZP D/E</x:t>
        </x:is>
      </x:c>
      <x:c r="R958" s="6" t="inlineStr">
        <x:is>
          <x:t xml:space="preserve">POKRYCIE DACHU</x:t>
        </x:is>
      </x:c>
      <x:c r="S958" s="6" t="inlineStr">
        <x:is>
          <x:t xml:space="preserve">website+crm</x:t>
        </x:is>
      </x:c>
      <x:c r="T958" s="581" t="inlineStr">
        <x:is>
          <x:t xml:space="preserve">FIX11: K/L 550/600 wg ark. 09 (POZOSTAWIĆ 0). | FIX17: Wynagr.+koszty = 0 dla dopłaty; nie jest osobnym montażem ekipy.</x:t>
        </x:is>
      </x:c>
    </x:row>
    <x:row r="959" s="655" customFormat="1" ht="30" customHeight="1">
      <x:c r="A959" s="6" t="inlineStr">
        <x:is>
          <x:t xml:space="preserve">550 x 306 cm</x:t>
        </x:is>
      </x:c>
      <x:c r="B959" s="6" t="inlineStr">
        <x:is>
          <x:t xml:space="preserve">SBB</x:t>
        </x:is>
      </x:c>
      <x:c r="C959" s="6" t="inlineStr">
        <x:is>
          <x:t xml:space="preserve">Dopłata szkło boczne przyciemniane</x:t>
        </x:is>
      </x:c>
      <x:c r="D959" s="6" t="inlineStr">
        <x:is>
          <x:t xml:space="preserve">SZKŁO BOCZNE BARWIONE</x:t>
        </x:is>
      </x:c>
      <x:c r="E959" s="8" t="n">
        <x:f>IFERROR(INDEX('02_RAW_INDEX'!$AB:$AB,MATCH($A959,'02_RAW_INDEX'!$A:$A,0)),"")</x:f>
        <x:v>1463</x:v>
      </x:c>
      <x:c r="F959" s="8" t="n">
        <x:f>IFERROR(INDEX('02_RAW_INDEX'!$AA:$AA,MATCH($A959,'02_RAW_INDEX'!$A:$A,0)),"")</x:f>
        <x:v>1800</x:v>
      </x:c>
      <x:c r="G959" s="7" t="n">
        <x:f>'01_Ustawienia'!$B$6</x:f>
        <x:v>0</x:v>
      </x:c>
      <x:c r="H959" s="8" t="n">
        <x:f>IF(E959="","",ROUND(IF('01_Ustawienia'!$B$5="BRUTTO",F959,E959)*(1-G959),0))</x:f>
        <x:v>1463</x:v>
      </x:c>
      <x:c r="I959" s="7" t="n">
        <x:f>IFERROR(IFERROR(INDEX('01_Ustawienia'!$B$15:$B$33,MATCH(B959,'01_Ustawienia'!$A$15:$A$33,0)),0.45),0.45)</x:f>
        <x:v>0.45</x:v>
      </x:c>
      <x:c r="J959" s="8" t="n">
        <x:f>IF(H959="","",ROUND(H959*(1+I959),0))</x:f>
        <x:v>2121</x:v>
      </x:c>
      <x:c r="K959" s="582" t="n">
        <x:v>0</x:v>
      </x:c>
      <x:c r="L959" s="582" t="n">
        <x:v>0</x:v>
      </x:c>
      <x:c r="M959" s="7" t="n">
        <x:f>IF('01_Ustawienia'!$B$4="ZWOLNIONY",0,'01_Ustawienia'!$B$7)</x:f>
        <x:v>0.08</x:v>
      </x:c>
      <x:c r="N959" s="8" t="n">
        <x:f>IF(J959="","",ROUND((J959+K959)*(1+M959),0))</x:f>
        <x:v>2291</x:v>
      </x:c>
      <x:c r="O959" s="8" t="n">
        <x:f>IF(J959="","",J959+K959-H959-L959)</x:f>
        <x:v>658</x:v>
      </x:c>
      <x:c r="P959" s="7" t="n">
        <x:f>IFERROR(O959/(J959+K959),"")</x:f>
        <x:v>0.3102310231023102</x:v>
      </x:c>
      <x:c r="Q959" s="6" t="inlineStr">
        <x:is>
          <x:t xml:space="preserve">RAW_OP H/I</x:t>
        </x:is>
      </x:c>
      <x:c r="R959" s="6" t="inlineStr">
        <x:is>
          <x:t xml:space="preserve">SZYBY BOCZNE</x:t>
        </x:is>
      </x:c>
      <x:c r="S959" s="6" t="inlineStr">
        <x:is>
          <x:t xml:space="preserve">website+crm</x:t>
        </x:is>
      </x:c>
      <x:c r="T959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960" s="655" customFormat="1" ht="29.5" customHeight="1">
      <x:c r="A960" s="6" t="inlineStr">
        <x:is>
          <x:t xml:space="preserve">550 x 306 cm</x:t>
        </x:is>
      </x:c>
      <x:c r="B960" s="6" t="inlineStr">
        <x:is>
          <x:t xml:space="preserve">RB</x:t>
        </x:is>
      </x:c>
      <x:c r="C960" s="6" t="inlineStr">
        <x:is>
          <x:t xml:space="preserve">Roleta boczna ZIP</x:t>
        </x:is>
      </x:c>
      <x:c r="D960" s="6" t="inlineStr">
        <x:is>
          <x:t xml:space="preserve">ROLETA BOCZNA</x:t>
        </x:is>
      </x:c>
      <x:c r="E960" s="8" t="n">
        <x:f>IFERROR(INDEX('02_RAW_INDEX'!$J:$J,MATCH($A960,'02_RAW_INDEX'!$A:$A,0)),"")</x:f>
        <x:v>3236</x:v>
      </x:c>
      <x:c r="F960" s="8" t="n">
        <x:f>IFERROR(INDEX('02_RAW_INDEX'!$I:$I,MATCH($A960,'02_RAW_INDEX'!$A:$A,0)),"")</x:f>
        <x:v>3980</x:v>
      </x:c>
      <x:c r="G960" s="7" t="n">
        <x:f>'01_Ustawienia'!$B$6</x:f>
        <x:v>0</x:v>
      </x:c>
      <x:c r="H960" s="8" t="n">
        <x:f>IF(E960="","",ROUND(IF('01_Ustawienia'!$B$5="BRUTTO",F960,E960)*(1-G960),0))</x:f>
        <x:v>3236</x:v>
      </x:c>
      <x:c r="I960" s="7" t="n">
        <x:f>IFERROR(IFERROR(INDEX('01_Ustawienia'!$B$15:$B$33,MATCH(B960,'01_Ustawienia'!$A$15:$A$33,0)),0.45),0.45)</x:f>
        <x:v>0.45</x:v>
      </x:c>
      <x:c r="J960" s="8" t="n">
        <x:f>IF(H960="","",ROUND(H960*(1+I960),0))</x:f>
        <x:v>4692</x:v>
      </x:c>
      <x:c r="K960" s="580" t="n">
        <x:v>0</x:v>
      </x:c>
      <x:c r="L960" s="580" t="n">
        <x:v>150</x:v>
      </x:c>
      <x:c r="M960" s="7" t="n">
        <x:f>IF('01_Ustawienia'!$B$4="ZWOLNIONY",0,'01_Ustawienia'!$B$7)</x:f>
        <x:v>0.08</x:v>
      </x:c>
      <x:c r="N960" s="8" t="n">
        <x:f>IF(J960="","",ROUND((J960+K960)*(1+M960),0))</x:f>
        <x:v>5067</x:v>
      </x:c>
      <x:c r="O960" s="8" t="n">
        <x:f>IF(J960="","",J960+K960-H960-L960)</x:f>
        <x:v>1306</x:v>
      </x:c>
      <x:c r="P960" s="7" t="n">
        <x:f>IFERROR(O960/(J960+K960),"")</x:f>
        <x:v>0.2783461210571185</x:v>
      </x:c>
      <x:c r="Q960" s="6" t="inlineStr">
        <x:is>
          <x:t xml:space="preserve">RAW_ZP J/K</x:t>
        </x:is>
      </x:c>
      <x:c r="R960" s="6" t="inlineStr">
        <x:is>
          <x:t xml:space="preserve">ROLETY BOCZNE</x:t>
        </x:is>
      </x:c>
      <x:c r="S960" s="6" t="inlineStr">
        <x:is>
          <x:t xml:space="preserve">website+crm</x:t>
        </x:is>
      </x:c>
      <x:c r="T960" s="581" t="inlineStr">
        <x:is>
          <x:t xml:space="preserve">Używana dla lewej i prawej | FIX11: K/L 550/600 wg ark. 09 (UZUPEŁNIĆ L).</x:t>
        </x:is>
      </x:c>
    </x:row>
    <x:row r="961" s="655" customFormat="1" ht="29.5" customHeight="1">
      <x:c r="A961" s="6" t="inlineStr">
        <x:is>
          <x:t xml:space="preserve">550 x 306 cm</x:t>
        </x:is>
      </x:c>
      <x:c r="B961" s="6" t="inlineStr">
        <x:is>
          <x:t xml:space="preserve">RP</x:t>
        </x:is>
      </x:c>
      <x:c r="C961" s="6" t="inlineStr">
        <x:is>
          <x:t xml:space="preserve">Roleta przednia ZIP</x:t>
        </x:is>
      </x:c>
      <x:c r="D961" s="6" t="inlineStr">
        <x:is>
          <x:t xml:space="preserve">ROLETA PRZÓD</x:t>
        </x:is>
      </x:c>
      <x:c r="E961" s="8" t="n">
        <x:f>IFERROR(INDEX('02_RAW_INDEX'!$L:$L,MATCH($A961,'02_RAW_INDEX'!$A:$A,0)),"")</x:f>
        <x:v>1740</x:v>
      </x:c>
      <x:c r="F961" s="8" t="n">
        <x:f>IFERROR(INDEX('02_RAW_INDEX'!$K:$K,MATCH($A961,'02_RAW_INDEX'!$A:$A,0)),"")</x:f>
        <x:v>2140</x:v>
      </x:c>
      <x:c r="G961" s="7" t="n">
        <x:f>'01_Ustawienia'!$B$6</x:f>
        <x:v>0</x:v>
      </x:c>
      <x:c r="H961" s="8" t="n">
        <x:f>IF(E961="","",ROUND(IF('01_Ustawienia'!$B$5="BRUTTO",F961,E961)*(1-G961),0))</x:f>
        <x:v>1740</x:v>
      </x:c>
      <x:c r="I961" s="7" t="n">
        <x:f>IFERROR(IFERROR(INDEX('01_Ustawienia'!$B$15:$B$33,MATCH(B961,'01_Ustawienia'!$A$15:$A$33,0)),0.45),0.45)</x:f>
        <x:v>0.45</x:v>
      </x:c>
      <x:c r="J961" s="8" t="n">
        <x:f>IF(H961="","",ROUND(H961*(1+I961),0))</x:f>
        <x:v>2523</x:v>
      </x:c>
      <x:c r="K961" s="580" t="n">
        <x:v>0</x:v>
      </x:c>
      <x:c r="L961" s="580" t="n">
        <x:v>150</x:v>
      </x:c>
      <x:c r="M961" s="7" t="n">
        <x:f>IF('01_Ustawienia'!$B$4="ZWOLNIONY",0,'01_Ustawienia'!$B$7)</x:f>
        <x:v>0.08</x:v>
      </x:c>
      <x:c r="N961" s="8" t="n">
        <x:f>IF(J961="","",ROUND((J961+K961)*(1+M961),0))</x:f>
        <x:v>2725</x:v>
      </x:c>
      <x:c r="O961" s="8" t="n">
        <x:f>IF(J961="","",J961+K961-H961-L961)</x:f>
        <x:v>633</x:v>
      </x:c>
      <x:c r="P961" s="7" t="n">
        <x:f>IFERROR(O961/(J961+K961),"")</x:f>
        <x:v>0.25089179548156954</x:v>
      </x:c>
      <x:c r="Q961" s="6" t="inlineStr">
        <x:is>
          <x:t xml:space="preserve">RAW_ZP N/O</x:t>
        </x:is>
      </x:c>
      <x:c r="R961" s="6" t="inlineStr">
        <x:is>
          <x:t xml:space="preserve">ROLETY BOCZNE</x:t>
        </x:is>
      </x:c>
      <x:c r="S961" s="6" t="inlineStr">
        <x:is>
          <x:t xml:space="preserve">website+crm</x:t>
        </x:is>
      </x:c>
      <x:c r="T961" s="581" t="inlineStr">
        <x:is>
          <x:t xml:space="preserve">FIX11: K/L 550/600 wg ark. 09 (UZUPEŁNIĆ L).</x:t>
        </x:is>
      </x:c>
    </x:row>
    <x:row r="962" s="655" customFormat="1" ht="29.5" customHeight="1">
      <x:c r="A962" s="6" t="inlineStr">
        <x:is>
          <x:t xml:space="preserve">550 x 306 cm</x:t>
        </x:is>
      </x:c>
      <x:c r="B962" s="6" t="inlineStr">
        <x:is>
          <x:t xml:space="preserve">M</x:t>
        </x:is>
      </x:c>
      <x:c r="C962" s="6" t="inlineStr">
        <x:is>
          <x:t xml:space="preserve">Markiza dachowa</x:t>
        </x:is>
      </x:c>
      <x:c r="D962" s="6" t="inlineStr">
        <x:is>
          <x:t xml:space="preserve">MARKIZA</x:t>
        </x:is>
      </x:c>
      <x:c r="E962" s="8" t="n">
        <x:f>IFERROR(INDEX('02_RAW_INDEX'!$H:$H,MATCH($A962,'02_RAW_INDEX'!$A:$A,0)),"")</x:f>
        <x:v>3398</x:v>
      </x:c>
      <x:c r="F962" s="8" t="n">
        <x:f>IFERROR(INDEX('02_RAW_INDEX'!$G:$G,MATCH($A962,'02_RAW_INDEX'!$A:$A,0)),"")</x:f>
        <x:v>4180</x:v>
      </x:c>
      <x:c r="G962" s="7" t="n">
        <x:f>'01_Ustawienia'!$B$6</x:f>
        <x:v>0</x:v>
      </x:c>
      <x:c r="H962" s="8" t="n">
        <x:f>IF(E962="","",ROUND(IF('01_Ustawienia'!$B$5="BRUTTO",F962,E962)*(1-G962),0))</x:f>
        <x:v>3398</x:v>
      </x:c>
      <x:c r="I962" s="7" t="n">
        <x:f>IFERROR(IFERROR(INDEX('01_Ustawienia'!$B$15:$B$33,MATCH(B962,'01_Ustawienia'!$A$15:$A$33,0)),0.45),0.45)</x:f>
        <x:v>0.45</x:v>
      </x:c>
      <x:c r="J962" s="8" t="n">
        <x:f>IF(H962="","",ROUND(H962*(1+I962),0))</x:f>
        <x:v>4927</x:v>
      </x:c>
      <x:c r="K962" s="580" t="n">
        <x:v>0</x:v>
      </x:c>
      <x:c r="L962" s="580" t="n">
        <x:v>200</x:v>
      </x:c>
      <x:c r="M962" s="7" t="n">
        <x:f>IF('01_Ustawienia'!$B$4="ZWOLNIONY",0,'01_Ustawienia'!$B$7)</x:f>
        <x:v>0.08</x:v>
      </x:c>
      <x:c r="N962" s="8" t="n">
        <x:f>IF(J962="","",ROUND((J962+K962)*(1+M962),0))</x:f>
        <x:v>5321</x:v>
      </x:c>
      <x:c r="O962" s="8" t="n">
        <x:f>IF(J962="","",J962+K962-H962-L962)</x:f>
        <x:v>1329</x:v>
      </x:c>
      <x:c r="P962" s="7" t="n">
        <x:f>IFERROR(O962/(J962+K962),"")</x:f>
        <x:v>0.2697381773898924</x:v>
      </x:c>
      <x:c r="Q962" s="6" t="inlineStr">
        <x:is>
          <x:t xml:space="preserve">RAW_ZP H/I</x:t>
        </x:is>
      </x:c>
      <x:c r="R962" s="6" t="inlineStr">
        <x:is>
          <x:t xml:space="preserve">MARKIZA</x:t>
        </x:is>
      </x:c>
      <x:c r="S962" s="6" t="inlineStr">
        <x:is>
          <x:t xml:space="preserve">website+crm</x:t>
        </x:is>
      </x:c>
      <x:c r="T962" s="581" t="inlineStr">
        <x:is>
          <x:t xml:space="preserve">FIX11: K/L 550/600 wg ark. 09 (UZUPEŁNIĆ L).</x:t>
        </x:is>
      </x:c>
    </x:row>
    <x:row r="963" s="655" customFormat="1" ht="44.25" customHeight="1">
      <x:c r="A963" s="6" t="inlineStr">
        <x:is>
          <x:t xml:space="preserve">550 x 306 cm</x:t>
        </x:is>
      </x:c>
      <x:c r="B963" s="6" t="inlineStr">
        <x:is>
          <x:t xml:space="preserve">PDWP</x:t>
        </x:is>
      </x:c>
      <x:c r="C963" s="6" t="inlineStr">
        <x:is>
          <x:t xml:space="preserve">Fundament/profile</x:t>
        </x:is>
      </x:c>
      <x:c r="D963" s="6" t="inlineStr">
        <x:is>
          <x:t xml:space="preserve">FUNDAMENT / PROFILE</x:t>
        </x:is>
      </x:c>
      <x:c r="E963" s="8" t="n">
        <x:f>IFERROR(INDEX('02_RAW_INDEX'!$AH:$AH,MATCH($A963,'02_RAW_INDEX'!$A:$A,0)),"")</x:f>
        <x:v>943</x:v>
      </x:c>
      <x:c r="F963" s="8" t="n">
        <x:f>IFERROR(INDEX('02_RAW_INDEX'!$AG:$AG,MATCH($A963,'02_RAW_INDEX'!$A:$A,0)),"")</x:f>
        <x:v>1160</x:v>
      </x:c>
      <x:c r="G963" s="7" t="n">
        <x:f>'01_Ustawienia'!$B$6</x:f>
        <x:v>0</x:v>
      </x:c>
      <x:c r="H963" s="8" t="n">
        <x:f>IF(E963="","",ROUND(IF('01_Ustawienia'!$B$5="BRUTTO",F963,E963)*(1-G963),0))</x:f>
        <x:v>943</x:v>
      </x:c>
      <x:c r="I963" s="7" t="n">
        <x:f>IFERROR(IFERROR(INDEX('01_Ustawienia'!$B$15:$B$33,MATCH(B963,'01_Ustawienia'!$A$15:$A$33,0)),0.45),0.45)</x:f>
        <x:v>1.2</x:v>
      </x:c>
      <x:c r="J963" s="8" t="n">
        <x:f>IF(H963="","",ROUND(H963*(1+I963),0))</x:f>
        <x:v>2075</x:v>
      </x:c>
      <x:c r="K963" s="580" t="n">
        <x:v>480</x:v>
      </x:c>
      <x:c r="L963" s="580" t="n">
        <x:v>440</x:v>
      </x:c>
      <x:c r="M963" s="7" t="n">
        <x:f>IF('01_Ustawienia'!$B$4="ZWOLNIONY",0,'01_Ustawienia'!$B$7)</x:f>
        <x:v>0.08</x:v>
      </x:c>
      <x:c r="N963" s="8" t="n">
        <x:f>IF(J963="","",ROUND((J963+K963)*(1+M963),0))</x:f>
        <x:v>2759</x:v>
      </x:c>
      <x:c r="O963" s="8" t="n">
        <x:f>IF(J963="","",J963+K963-H963-L963)</x:f>
        <x:v>1172</x:v>
      </x:c>
      <x:c r="P963" s="7" t="n">
        <x:f>IFERROR(O963/(J963+K963),"")</x:f>
        <x:v>0.45870841487279845</x:v>
      </x:c>
      <x:c r="Q963" s="6" t="inlineStr">
        <x:is>
          <x:t xml:space="preserve">RAW_OP AB/AC</x:t>
        </x:is>
      </x:c>
      <x:c r="R963" s="6" t="inlineStr">
        <x:is>
          <x:t xml:space="preserve">FUNDAMENT (PROFILE)</x:t>
        </x:is>
      </x:c>
      <x:c r="S963" s="6" t="inlineStr">
        <x:is>
          <x:t xml:space="preserve">website+crm</x:t>
        </x:is>
      </x:c>
      <x:c r="T963" s="581" t="inlineStr">
        <x:is>
          <x:t xml:space="preserve">FIX11: K/L 550/600 wg ark. 09 (UZUPEŁNIĆ K+L / KOREKTA RENTOWNOŚCI).</x:t>
        </x:is>
      </x:c>
    </x:row>
    <x:row r="964" s="655" customFormat="1" ht="30" customHeight="1">
      <x:c r="A964" s="6" t="inlineStr">
        <x:is>
          <x:t xml:space="preserve">550 x 306 cm</x:t>
        </x:is>
      </x:c>
      <x:c r="B964" s="6" t="inlineStr">
        <x:is>
          <x:t xml:space="preserve">ZAB</x:t>
        </x:is>
      </x:c>
      <x:c r="C964" s="6" t="inlineStr">
        <x:is>
          <x:t xml:space="preserve">Zabieraki do ścian przesuwnych</x:t>
        </x:is>
      </x:c>
      <x:c r="D964" s="6" t="inlineStr">
        <x:is>
          <x:t xml:space="preserve">DODATKI</x:t>
        </x:is>
      </x:c>
      <x:c r="E964" s="8" t="n">
        <x:f>IFERROR(INDEX('02_RAW_INDEX'!$AJ:$AJ,MATCH($A964,'02_RAW_INDEX'!$A:$A,0)),"")</x:f>
        <x:v>390</x:v>
      </x:c>
      <x:c r="F964" s="8" t="n">
        <x:f>IFERROR(INDEX('02_RAW_INDEX'!$AI:$AI,MATCH($A964,'02_RAW_INDEX'!$A:$A,0)),"")</x:f>
        <x:v>480</x:v>
      </x:c>
      <x:c r="G964" s="7" t="n">
        <x:f>'01_Ustawienia'!$B$6</x:f>
        <x:v>0</x:v>
      </x:c>
      <x:c r="H964" s="8" t="n">
        <x:f>IF(E964="","",ROUND(IF('01_Ustawienia'!$B$5="BRUTTO",F964,E964)*(1-G964),0))</x:f>
        <x:v>390</x:v>
      </x:c>
      <x:c r="I964" s="7" t="n">
        <x:f>IFERROR(IFERROR(INDEX('01_Ustawienia'!$B$15:$B$33,MATCH(B964,'01_Ustawienia'!$A$15:$A$33,0)),0.45),0.45)</x:f>
        <x:v>0.45</x:v>
      </x:c>
      <x:c r="J964" s="8" t="n">
        <x:f>IF(H964="","",ROUND(H964*(1+I964),0))</x:f>
        <x:v>566</x:v>
      </x:c>
      <x:c r="K964" s="582" t="n">
        <x:v>0</x:v>
      </x:c>
      <x:c r="L964" s="582" t="n">
        <x:v>0</x:v>
      </x:c>
      <x:c r="M964" s="7" t="n">
        <x:f>IF('01_Ustawienia'!$B$4="ZWOLNIONY",0,'01_Ustawienia'!$B$7)</x:f>
        <x:v>0.08</x:v>
      </x:c>
      <x:c r="N964" s="8" t="n">
        <x:f>IF(J964="","",ROUND((J964+K964)*(1+M964),0))</x:f>
        <x:v>611</x:v>
      </x:c>
      <x:c r="O964" s="8" t="n">
        <x:f>IF(J964="","",J964+K964-H964-L964)</x:f>
        <x:v>176</x:v>
      </x:c>
      <x:c r="P964" s="7" t="n">
        <x:f>IFERROR(O964/(J964+K964),"")</x:f>
        <x:v>0.31095406360424027</x:v>
      </x:c>
      <x:c r="Q964" s="6" t="inlineStr">
        <x:is>
          <x:t xml:space="preserve">RAW_OP AD/AE</x:t>
        </x:is>
      </x:c>
      <x:c r="R964" s="6" t="inlineStr">
        <x:is>
          <x:t xml:space="preserve">DODATKI</x:t>
        </x:is>
      </x:c>
      <x:c r="S964" s="6" t="inlineStr">
        <x:is>
          <x:t xml:space="preserve">crm_only</x:t>
        </x:is>
      </x:c>
      <x:c r="T964" s="581" t="inlineStr">
        <x:is>
          <x:t xml:space="preserve">FIX11: K/L 550/600 wg ark. 09 (POZOSTAWIĆ 0).</x:t>
        </x:is>
      </x:c>
    </x:row>
    <x:row r="965" s="655" customFormat="1" ht="29.5" customHeight="1">
      <x:c r="A965" s="6" t="inlineStr">
        <x:is>
          <x:t xml:space="preserve">550 x 306 cm</x:t>
        </x:is>
      </x:c>
      <x:c r="B965" s="6" t="inlineStr">
        <x:is>
          <x:t xml:space="preserve">S</x:t>
        </x:is>
      </x:c>
      <x:c r="C965" s="6" t="inlineStr">
        <x:is>
          <x:t xml:space="preserve">Szczotki przeciwkurzowe</x:t>
        </x:is>
      </x:c>
      <x:c r="D965" s="6" t="inlineStr">
        <x:is>
          <x:t xml:space="preserve">SZCZOTKI</x:t>
        </x:is>
      </x:c>
      <x:c r="E965" s="8" t="n">
        <x:f>IFERROR(INDEX('02_RAW_INDEX'!$AD:$AD,MATCH($A965,'02_RAW_INDEX'!$A:$A,0)),"")</x:f>
        <x:v>407</x:v>
      </x:c>
      <x:c r="F965" s="8" t="n">
        <x:f>IFERROR(INDEX('02_RAW_INDEX'!$AC:$AC,MATCH($A965,'02_RAW_INDEX'!$A:$A,0)),"")</x:f>
        <x:v>500</x:v>
      </x:c>
      <x:c r="G965" s="7" t="n">
        <x:f>'01_Ustawienia'!$B$6</x:f>
        <x:v>0</x:v>
      </x:c>
      <x:c r="H965" s="8" t="n">
        <x:f>IF(E965="","",ROUND(IF('01_Ustawienia'!$B$5="BRUTTO",F965,E965)*(1-G965),0))</x:f>
        <x:v>407</x:v>
      </x:c>
      <x:c r="I965" s="7" t="n">
        <x:f>IFERROR(IFERROR(INDEX('01_Ustawienia'!$B$15:$B$33,MATCH(B965,'01_Ustawienia'!$A$15:$A$33,0)),0.45),0.45)</x:f>
        <x:v>0.45</x:v>
      </x:c>
      <x:c r="J965" s="8" t="n">
        <x:f>IF(H965="","",ROUND(H965*(1+I965),0))</x:f>
        <x:v>590</x:v>
      </x:c>
      <x:c r="K965" s="582" t="n">
        <x:v>0</x:v>
      </x:c>
      <x:c r="L965" s="582" t="n">
        <x:v>0</x:v>
      </x:c>
      <x:c r="M965" s="7" t="n">
        <x:f>IF('01_Ustawienia'!$B$4="ZWOLNIONY",0,'01_Ustawienia'!$B$7)</x:f>
        <x:v>0.08</x:v>
      </x:c>
      <x:c r="N965" s="8" t="n">
        <x:f>IF(J965="","",ROUND((J965+K965)*(1+M965),0))</x:f>
        <x:v>637</x:v>
      </x:c>
      <x:c r="O965" s="8" t="n">
        <x:f>IF(J965="","",J965+K965-H965-L965)</x:f>
        <x:v>183</x:v>
      </x:c>
      <x:c r="P965" s="7" t="n">
        <x:f>IFERROR(O965/(J965+K965),"")</x:f>
        <x:v>0.3101694915254237</x:v>
      </x:c>
      <x:c r="Q965" s="6" t="inlineStr">
        <x:is>
          <x:t xml:space="preserve">RAW_OP L/M</x:t>
        </x:is>
      </x:c>
      <x:c r="R965" s="6" t="inlineStr">
        <x:is>
          <x:t xml:space="preserve">DODATKI</x:t>
        </x:is>
      </x:c>
      <x:c r="S965" s="6" t="inlineStr">
        <x:is>
          <x:t xml:space="preserve">website+crm</x:t>
        </x:is>
      </x:c>
      <x:c r="T965" s="581" t="inlineStr">
        <x:is>
          <x:t xml:space="preserve">FIX11: K/L 550/600 wg ark. 09 (POZOSTAWIĆ 0).</x:t>
        </x:is>
      </x:c>
    </x:row>
    <x:row r="966" s="655" customFormat="1" ht="29.5" customHeight="1">
      <x:c r="A966" s="6" t="inlineStr">
        <x:is>
          <x:t xml:space="preserve">550 x 306 cm</x:t>
        </x:is>
      </x:c>
      <x:c r="B966" s="6" t="inlineStr">
        <x:is>
          <x:t xml:space="preserve">U</x:t>
        </x:is>
      </x:c>
      <x:c r="C966" s="6" t="inlineStr">
        <x:is>
          <x:t xml:space="preserve">Uchwyty na szkło ścienne</x:t>
        </x:is>
      </x:c>
      <x:c r="D966" s="6" t="inlineStr">
        <x:is>
          <x:t xml:space="preserve">UCHWYTY</x:t>
        </x:is>
      </x:c>
      <x:c r="E966" s="8" t="n">
        <x:f>IFERROR(INDEX('02_RAW_INDEX'!$AF:$AF,MATCH($A966,'02_RAW_INDEX'!$A:$A,0)),"")</x:f>
        <x:v>366</x:v>
      </x:c>
      <x:c r="F966" s="8" t="n">
        <x:f>IFERROR(INDEX('02_RAW_INDEX'!$AE:$AE,MATCH($A966,'02_RAW_INDEX'!$A:$A,0)),"")</x:f>
        <x:v>450</x:v>
      </x:c>
      <x:c r="G966" s="7" t="n">
        <x:f>'01_Ustawienia'!$B$6</x:f>
        <x:v>0</x:v>
      </x:c>
      <x:c r="H966" s="8" t="n">
        <x:f>IF(E966="","",ROUND(IF('01_Ustawienia'!$B$5="BRUTTO",F966,E966)*(1-G966),0))</x:f>
        <x:v>366</x:v>
      </x:c>
      <x:c r="I966" s="7" t="n">
        <x:f>IFERROR(IFERROR(INDEX('01_Ustawienia'!$B$15:$B$33,MATCH(B966,'01_Ustawienia'!$A$15:$A$33,0)),0.45),0.45)</x:f>
        <x:v>0.45</x:v>
      </x:c>
      <x:c r="J966" s="8" t="n">
        <x:f>IF(H966="","",ROUND(H966*(1+I966),0))</x:f>
        <x:v>531</x:v>
      </x:c>
      <x:c r="K966" s="582" t="n">
        <x:v>0</x:v>
      </x:c>
      <x:c r="L966" s="582" t="n">
        <x:v>0</x:v>
      </x:c>
      <x:c r="M966" s="7" t="n">
        <x:f>IF('01_Ustawienia'!$B$4="ZWOLNIONY",0,'01_Ustawienia'!$B$7)</x:f>
        <x:v>0.08</x:v>
      </x:c>
      <x:c r="N966" s="8" t="n">
        <x:f>IF(J966="","",ROUND((J966+K966)*(1+M966),0))</x:f>
        <x:v>573</x:v>
      </x:c>
      <x:c r="O966" s="8" t="n">
        <x:f>IF(J966="","",J966+K966-H966-L966)</x:f>
        <x:v>165</x:v>
      </x:c>
      <x:c r="P966" s="7" t="n">
        <x:f>IFERROR(O966/(J966+K966),"")</x:f>
        <x:v>0.3107344632768362</x:v>
      </x:c>
      <x:c r="Q966" s="6" t="inlineStr">
        <x:is>
          <x:t xml:space="preserve">RAW_OP N/O</x:t>
        </x:is>
      </x:c>
      <x:c r="R966" s="6" t="inlineStr">
        <x:is>
          <x:t xml:space="preserve">DODATKI</x:t>
        </x:is>
      </x:c>
      <x:c r="S966" s="6" t="inlineStr">
        <x:is>
          <x:t xml:space="preserve">website+crm</x:t>
        </x:is>
      </x:c>
      <x:c r="T966" s="581" t="inlineStr">
        <x:is>
          <x:t xml:space="preserve">FIX11: K/L 550/600 wg ark. 09 (POZOSTAWIĆ 0).</x:t>
        </x:is>
      </x:c>
    </x:row>
    <x:row r="967" s="655" customFormat="1" ht="29.5" customHeight="1">
      <x:c r="A967" s="6" t="inlineStr">
        <x:is>
          <x:t xml:space="preserve">550 x 306 cm</x:t>
        </x:is>
      </x:c>
      <x:c r="B967" s="6" t="inlineStr">
        <x:is>
          <x:t xml:space="preserve">LED2</x:t>
        </x:is>
      </x:c>
      <x:c r="C967" s="6" t="inlineStr">
        <x:is>
          <x:t xml:space="preserve">Oświetlenie LED 2 punkty</x:t>
        </x:is>
      </x:c>
      <x:c r="D967" s="6" t="inlineStr">
        <x:is>
          <x:t xml:space="preserve">LED 2 PKT</x:t>
        </x:is>
      </x:c>
      <x:c r="E967" s="8" t="n">
        <x:f>IFERROR(INDEX('02_RAW_INDEX'!$N:$N,MATCH($A967,'02_RAW_INDEX'!$A:$A,0)),"")</x:f>
        <x:v>341</x:v>
      </x:c>
      <x:c r="F967" s="8" t="n">
        <x:f>IFERROR(INDEX('02_RAW_INDEX'!$M:$M,MATCH($A967,'02_RAW_INDEX'!$A:$A,0)),"")</x:f>
        <x:v>420</x:v>
      </x:c>
      <x:c r="G967" s="7" t="n">
        <x:f>'01_Ustawienia'!$B$6</x:f>
        <x:v>0</x:v>
      </x:c>
      <x:c r="H967" s="8" t="n">
        <x:f>IF(E967="","",ROUND(IF('01_Ustawienia'!$B$5="BRUTTO",F967,E967)*(1-G967),0))</x:f>
        <x:v>341</x:v>
      </x:c>
      <x:c r="I967" s="7" t="n">
        <x:f>IFERROR(IFERROR(INDEX('01_Ustawienia'!$B$15:$B$33,MATCH(B967,'01_Ustawienia'!$A$15:$A$33,0)),0.45),0.45)</x:f>
        <x:v>0.45</x:v>
      </x:c>
      <x:c r="J967" s="8" t="n">
        <x:f>IF(H967="","",ROUND(H967*(1+I967),0))</x:f>
        <x:v>494</x:v>
      </x:c>
      <x:c r="K967" s="582" t="n">
        <x:v>0</x:v>
      </x:c>
      <x:c r="L967" s="582" t="n">
        <x:v>0</x:v>
      </x:c>
      <x:c r="M967" s="7" t="n">
        <x:f>IF('01_Ustawienia'!$B$4="ZWOLNIONY",0,'01_Ustawienia'!$B$7)</x:f>
        <x:v>0.08</x:v>
      </x:c>
      <x:c r="N967" s="8" t="n">
        <x:f>IF(J967="","",ROUND((J967+K967)*(1+M967),0))</x:f>
        <x:v>534</x:v>
      </x:c>
      <x:c r="O967" s="8" t="n">
        <x:f>IF(J967="","",J967+K967-H967-L967)</x:f>
        <x:v>153</x:v>
      </x:c>
      <x:c r="P967" s="7" t="n">
        <x:f>IFERROR(O967/(J967+K967),"")</x:f>
        <x:v>0.3097165991902834</x:v>
      </x:c>
      <x:c r="Q967" s="6" t="inlineStr">
        <x:is>
          <x:t xml:space="preserve">RAW_ZP P/Q</x:t>
        </x:is>
      </x:c>
      <x:c r="R967" s="6" t="inlineStr">
        <x:is>
          <x:t xml:space="preserve">OŚWIETLENIE</x:t>
        </x:is>
      </x:c>
      <x:c r="S967" s="6" t="inlineStr">
        <x:is>
          <x:t xml:space="preserve">website+crm</x:t>
        </x:is>
      </x:c>
      <x:c r="T967" s="581" t="inlineStr">
        <x:is>
          <x:t xml:space="preserve">FIX11: K/L 550/600 wg ark. 09 (POZOSTAWIĆ 0 NA RAZIE).</x:t>
        </x:is>
      </x:c>
    </x:row>
    <x:row r="968" s="655" customFormat="1" ht="44.25" customHeight="1">
      <x:c r="A968" s="6" t="inlineStr">
        <x:is>
          <x:t xml:space="preserve">550 x 306 cm</x:t>
        </x:is>
      </x:c>
      <x:c r="B968" s="6" t="inlineStr">
        <x:is>
          <x:t xml:space="preserve">LED3</x:t>
        </x:is>
      </x:c>
      <x:c r="C968" s="6" t="inlineStr">
        <x:is>
          <x:t xml:space="preserve">Oświetlenie LED 3 punkty</x:t>
        </x:is>
      </x:c>
      <x:c r="D968" s="6" t="inlineStr">
        <x:is>
          <x:t xml:space="preserve">LED 3 PKT</x:t>
        </x:is>
      </x:c>
      <x:c r="E968" s="8" t="n">
        <x:f>IFERROR(INDEX('02_RAW_INDEX'!$P:$P,MATCH($A968,'02_RAW_INDEX'!$A:$A,0)),"")</x:f>
        <x:v>520</x:v>
      </x:c>
      <x:c r="F968" s="8" t="n">
        <x:f>IFERROR(INDEX('02_RAW_INDEX'!$O:$O,MATCH($A968,'02_RAW_INDEX'!$A:$A,0)),"")</x:f>
        <x:v>640</x:v>
      </x:c>
      <x:c r="G968" s="7" t="n">
        <x:f>'01_Ustawienia'!$B$6</x:f>
        <x:v>0</x:v>
      </x:c>
      <x:c r="H968" s="8" t="n">
        <x:f>IF(E968="","",ROUND(IF('01_Ustawienia'!$B$5="BRUTTO",F968,E968)*(1-G968),0))</x:f>
        <x:v>520</x:v>
      </x:c>
      <x:c r="I968" s="7" t="n">
        <x:f>IFERROR(IFERROR(INDEX('01_Ustawienia'!$B$15:$B$33,MATCH(B968,'01_Ustawienia'!$A$15:$A$33,0)),0.45),0.45)</x:f>
        <x:v>0.45</x:v>
      </x:c>
      <x:c r="J968" s="8" t="n">
        <x:f>IF(H968="","",ROUND(H968*(1+I968),0))</x:f>
        <x:v>754</x:v>
      </x:c>
      <x:c r="K968" s="582" t="n">
        <x:v>0</x:v>
      </x:c>
      <x:c r="L968" s="582" t="n">
        <x:v>0</x:v>
      </x:c>
      <x:c r="M968" s="7" t="n">
        <x:f>IF('01_Ustawienia'!$B$4="ZWOLNIONY",0,'01_Ustawienia'!$B$7)</x:f>
        <x:v>0.08</x:v>
      </x:c>
      <x:c r="N968" s="8" t="n">
        <x:f>IF(J968="","",ROUND((J968+K968)*(1+M968),0))</x:f>
        <x:v>814</x:v>
      </x:c>
      <x:c r="O968" s="8" t="n">
        <x:f>IF(J968="","",J968+K968-H968-L968)</x:f>
        <x:v>234</x:v>
      </x:c>
      <x:c r="P968" s="7" t="n">
        <x:f>IFERROR(O968/(J968+K968),"")</x:f>
        <x:v>0.3103448275862069</x:v>
      </x:c>
      <x:c r="Q968" s="6" t="inlineStr">
        <x:is>
          <x:t xml:space="preserve">RAW_ZP R/S</x:t>
        </x:is>
      </x:c>
      <x:c r="R968" s="6" t="inlineStr">
        <x:is>
          <x:t xml:space="preserve">OŚWIETLENIE</x:t>
        </x:is>
      </x:c>
      <x:c r="S968" s="6" t="inlineStr">
        <x:is>
          <x:t xml:space="preserve">website+crm</x:t>
        </x:is>
      </x:c>
      <x:c r="T968" s="581" t="inlineStr">
        <x:is>
          <x:t xml:space="preserve">Nazwa do potwierdzenia | FIX11: K/L 550/600 wg ark. 09 (POZOSTAWIĆ 0 NA RAZIE).</x:t>
        </x:is>
      </x:c>
    </x:row>
    <x:row r="969" s="655" customFormat="1" ht="29.5" customHeight="1">
      <x:c r="A969" s="6" t="inlineStr">
        <x:is>
          <x:t xml:space="preserve">550 x 306 cm</x:t>
        </x:is>
      </x:c>
      <x:c r="B969" s="6" t="inlineStr">
        <x:is>
          <x:t xml:space="preserve">LEDCCT</x:t>
        </x:is>
      </x:c>
      <x:c r="C969" s="6" t="inlineStr">
        <x:is>
          <x:t xml:space="preserve">Oświetlenie LED CCT</x:t>
        </x:is>
      </x:c>
      <x:c r="D969" s="6" t="inlineStr">
        <x:is>
          <x:t xml:space="preserve">OŚWIETLENIE</x:t>
        </x:is>
      </x:c>
      <x:c r="E969" s="8" t="n">
        <x:f>IFERROR(INDEX('02_RAW_INDEX'!$R:$R,MATCH($A969,'02_RAW_INDEX'!$A:$A,0)),"")</x:f>
        <x:v>1209</x:v>
      </x:c>
      <x:c r="F969" s="8" t="n">
        <x:f>IFERROR(INDEX('02_RAW_INDEX'!$Q:$Q,MATCH($A969,'02_RAW_INDEX'!$A:$A,0)),"")</x:f>
        <x:v>1487</x:v>
      </x:c>
      <x:c r="G969" s="7" t="n">
        <x:f>'01_Ustawienia'!$B$6</x:f>
        <x:v>0</x:v>
      </x:c>
      <x:c r="H969" s="8" t="n">
        <x:f>IF(E969="","",ROUND(IF('01_Ustawienia'!$B$5="BRUTTO",F969,E969)*(1-G969),0))</x:f>
        <x:v>1209</x:v>
      </x:c>
      <x:c r="I969" s="7" t="n">
        <x:f>IFERROR(IFERROR(INDEX('01_Ustawienia'!$B$15:$B$33,MATCH(B969,'01_Ustawienia'!$A$15:$A$33,0)),0.45),0.45)</x:f>
        <x:v>0.45</x:v>
      </x:c>
      <x:c r="J969" s="8" t="n">
        <x:f>IF(H969="","",ROUND(H969*(1+I969),0)+700)</x:f>
        <x:v>2453</x:v>
      </x:c>
      <x:c r="K969" s="582" t="n">
        <x:v>0</x:v>
      </x:c>
      <x:c r="L969" s="582" t="n">
        <x:v>0</x:v>
      </x:c>
      <x:c r="M969" s="7" t="n">
        <x:f>IF('01_Ustawienia'!$B$4="ZWOLNIONY",0,'01_Ustawienia'!$B$7)</x:f>
        <x:v>0.08</x:v>
      </x:c>
      <x:c r="N969" s="8" t="n">
        <x:f>IF(J969="","",ROUND((J969+K969)*(1+M969),0))</x:f>
        <x:v>2649</x:v>
      </x:c>
      <x:c r="O969" s="8" t="n">
        <x:f>IF(J969="","",J969+K969-H969-L969)</x:f>
        <x:v>1244</x:v>
      </x:c>
      <x:c r="P969" s="7" t="n">
        <x:f>IFERROR(O969/(J969+K969),"")</x:f>
        <x:v>0.5071341214838972</x:v>
      </x:c>
      <x:c r="Q969" s="715" t="inlineStr">
        <x:is>
          <x:t xml:space="preserve">MODEL_FIX15_LED</x:t>
        </x:is>
      </x:c>
      <x:c r="R969" s="6" t="inlineStr">
        <x:is>
          <x:t xml:space="preserve">OŚWIETLENIE</x:t>
        </x:is>
      </x:c>
      <x:c r="S969" s="6" t="inlineStr">
        <x:is>
          <x:t xml:space="preserve">website+crm</x:t>
        </x:is>
      </x:c>
      <x:c r="T969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970" s="655" customFormat="1" ht="29.5" customHeight="1">
      <x:c r="A970" s="6" t="inlineStr">
        <x:is>
          <x:t xml:space="preserve">550 x 306 cm</x:t>
        </x:is>
      </x:c>
      <x:c r="B970" s="6" t="inlineStr">
        <x:is>
          <x:t xml:space="preserve">LEDRGBCCT</x:t>
        </x:is>
      </x:c>
      <x:c r="C970" s="6" t="inlineStr">
        <x:is>
          <x:t xml:space="preserve">Oświetlenie LED RGB CCT</x:t>
        </x:is>
      </x:c>
      <x:c r="D970" s="6" t="inlineStr">
        <x:is>
          <x:t xml:space="preserve">OŚWIETLENIE</x:t>
        </x:is>
      </x:c>
      <x:c r="E970" s="8" t="n">
        <x:f>IFERROR(INDEX('02_RAW_INDEX'!$T:$T,MATCH($A970,'02_RAW_INDEX'!$A:$A,0)),"")</x:f>
        <x:v>1549</x:v>
      </x:c>
      <x:c r="F970" s="8" t="n">
        <x:f>IFERROR(INDEX('02_RAW_INDEX'!$S:$S,MATCH($A970,'02_RAW_INDEX'!$A:$A,0)),"")</x:f>
        <x:v>1905</x:v>
      </x:c>
      <x:c r="G970" s="7" t="n">
        <x:f>'01_Ustawienia'!$B$6</x:f>
        <x:v>0</x:v>
      </x:c>
      <x:c r="H970" s="8" t="n">
        <x:f>IF(E970="","",ROUND(IF('01_Ustawienia'!$B$5="BRUTTO",F970,E970)*(1-G970),0))</x:f>
        <x:v>1549</x:v>
      </x:c>
      <x:c r="I970" s="7" t="n">
        <x:f>IFERROR(IFERROR(INDEX('01_Ustawienia'!$B$15:$B$33,MATCH(B970,'01_Ustawienia'!$A$15:$A$33,0)),0.45),0.45)</x:f>
        <x:v>0.45</x:v>
      </x:c>
      <x:c r="J970" s="8" t="n">
        <x:f>IF(H970="","",ROUND(H970*(1+I970),0))</x:f>
        <x:v>2246</x:v>
      </x:c>
      <x:c r="K970" s="582" t="n">
        <x:v>0</x:v>
      </x:c>
      <x:c r="L970" s="582" t="n">
        <x:v>0</x:v>
      </x:c>
      <x:c r="M970" s="7" t="n">
        <x:f>IF('01_Ustawienia'!$B$4="ZWOLNIONY",0,'01_Ustawienia'!$B$7)</x:f>
        <x:v>0.08</x:v>
      </x:c>
      <x:c r="N970" s="8" t="n">
        <x:f>IF(J970="","",ROUND((J970+K970)*(1+M970),0))</x:f>
        <x:v>2426</x:v>
      </x:c>
      <x:c r="O970" s="8" t="n">
        <x:f>IF(J970="","",J970+K970-H970-L970)</x:f>
        <x:v>697</x:v>
      </x:c>
      <x:c r="P970" s="7" t="n">
        <x:f>IFERROR(O970/(J970+K970),"")</x:f>
        <x:v>0.3103294746215494</x:v>
      </x:c>
      <x:c r="Q970" s="715" t="inlineStr">
        <x:is>
          <x:t xml:space="preserve">MODEL_FIX15_LED</x:t>
        </x:is>
      </x:c>
      <x:c r="R970" s="6" t="inlineStr">
        <x:is>
          <x:t xml:space="preserve">OŚWIETLENIE</x:t>
        </x:is>
      </x:c>
      <x:c r="S970" s="6" t="inlineStr">
        <x:is>
          <x:t xml:space="preserve">crm_only</x:t>
        </x:is>
      </x:c>
      <x:c r="T970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971" s="655" customFormat="1" ht="30" customHeight="1">
      <x:c r="A971" s="6" t="inlineStr">
        <x:is>
          <x:t xml:space="preserve">550 x 406 cm</x:t>
        </x:is>
      </x:c>
      <x:c r="B971" s="6" t="inlineStr">
        <x:is>
          <x:t xml:space="preserve">ZP</x:t>
        </x:is>
      </x:c>
      <x:c r="C971" s="6" t="inlineStr">
        <x:is>
          <x:t xml:space="preserve">Zadaszenie poliwęglan - baza</x:t>
        </x:is>
      </x:c>
      <x:c r="D971" s="6" t="inlineStr">
        <x:is>
          <x:t xml:space="preserve">ZADASZENIE POLIWĘGLAN</x:t>
        </x:is>
      </x:c>
      <x:c r="E971" s="8" t="n">
        <x:f>IFERROR(INDEX('02_RAW_INDEX'!$D:$D,MATCH($A971,'02_RAW_INDEX'!$A:$A,0)),"")</x:f>
        <x:v>10610</x:v>
      </x:c>
      <x:c r="F971" s="8" t="n">
        <x:f>IFERROR(INDEX('02_RAW_INDEX'!$C:$C,MATCH($A971,'02_RAW_INDEX'!$A:$A,0)),"")</x:f>
        <x:v>13050</x:v>
      </x:c>
      <x:c r="G971" s="7" t="n">
        <x:f>'01_Ustawienia'!$B$6</x:f>
        <x:v>0</x:v>
      </x:c>
      <x:c r="H971" s="8" t="n">
        <x:f>IF(E971="","",ROUND(IF('01_Ustawienia'!$B$5="BRUTTO",F971,E971)*(1-G971),0))</x:f>
        <x:v>10610</x:v>
      </x:c>
      <x:c r="I971" s="7" t="n">
        <x:f>IFERROR(IFERROR(INDEX('01_Ustawienia'!$B$15:$B$33,MATCH(B971,'01_Ustawienia'!$A$15:$A$33,0)),0.45),0.45)</x:f>
        <x:v>0.45</x:v>
      </x:c>
      <x:c r="J971" s="8" t="n">
        <x:f>IF(H971="","",ROUND(H971*(1+I971),0))</x:f>
        <x:v>15385</x:v>
      </x:c>
      <x:c r="K971" s="580" t="n">
        <x:v>4250</x:v>
      </x:c>
      <x:c r="L971" s="580" t="n">
        <x:v>1280</x:v>
      </x:c>
      <x:c r="M971" s="7" t="n">
        <x:f>IF('01_Ustawienia'!$B$4="ZWOLNIONY",0,'01_Ustawienia'!$B$7)</x:f>
        <x:v>0.08</x:v>
      </x:c>
      <x:c r="N971" s="8" t="n">
        <x:f>IF(J971="","",ROUND((J971+K971)*(1+M971),0))</x:f>
        <x:v>21206</x:v>
      </x:c>
      <x:c r="O971" s="8" t="n">
        <x:f>IF(J971="","",J971+K971-H971-L971)</x:f>
        <x:v>7745</x:v>
      </x:c>
      <x:c r="P971" s="7" t="n">
        <x:f>IFERROR(O971/(J971+K971),"")</x:f>
        <x:v>0.39444868856633564</x:v>
      </x:c>
      <x:c r="Q971" s="6" t="inlineStr">
        <x:is>
          <x:t xml:space="preserve">RAW_ZP B/C</x:t>
        </x:is>
      </x:c>
      <x:c r="R971" s="6" t="inlineStr">
        <x:is>
          <x:t xml:space="preserve">ZADASZENIE TARASU KONSTRUKCJA</x:t>
        </x:is>
      </x:c>
      <x:c r="S971" s="6" t="inlineStr">
        <x:is>
          <x:t xml:space="preserve">website+crm</x:t>
        </x:is>
      </x:c>
      <x:c r="T971" s="581" t="inlineStr">
        <x:is>
          <x:t xml:space="preserve">Baza dla kalkulatora | FIX11: K/L 550/600 wg ark. 09 (UZUPEŁNIĆ).</x:t>
        </x:is>
      </x:c>
    </x:row>
    <x:row r="972" s="655" customFormat="1" ht="30" customHeight="1">
      <x:c r="A972" s="6" t="inlineStr">
        <x:is>
          <x:t xml:space="preserve">550 x 406 cm</x:t>
        </x:is>
      </x:c>
      <x:c r="B972" s="6" t="inlineStr">
        <x:is>
          <x:t xml:space="preserve">ZS</x:t>
        </x:is>
      </x:c>
      <x:c r="C972" s="6" t="inlineStr">
        <x:is>
          <x:t xml:space="preserve">Zadaszenie szkło - pełna konstrukcja</x:t>
        </x:is>
      </x:c>
      <x:c r="D972" s="6" t="inlineStr">
        <x:is>
          <x:t xml:space="preserve">ZADASZENIE SZKŁO</x:t>
        </x:is>
      </x:c>
      <x:c r="E972" s="8" t="str">
        <x:f>IFERROR(INDEX('02_RAW_INDEX'!$V:$V,MATCH($A972,'02_RAW_INDEX'!$A:$A,0)),"")</x:f>
      </x:c>
      <x:c r="F972" s="8" t="str">
        <x:f>IFERROR(INDEX('02_RAW_INDEX'!$U:$U,MATCH($A972,'02_RAW_INDEX'!$A:$A,0)),"")</x:f>
      </x:c>
      <x:c r="G972" s="7" t="n">
        <x:f>'01_Ustawienia'!$B$6</x:f>
        <x:v>0</x:v>
      </x:c>
      <x:c r="H972" s="8" t="str">
        <x:f>IF(E972="","",ROUND(IF('01_Ustawienia'!$B$5="BRUTTO",F972,E972)*(1-G972),0))</x:f>
      </x:c>
      <x:c r="I972" s="7" t="n">
        <x:f>IFERROR(IFERROR(INDEX('01_Ustawienia'!$B$15:$B$33,MATCH(B972,'01_Ustawienia'!$A$15:$A$33,0)),0.45),0.45)</x:f>
        <x:v>0.45</x:v>
      </x:c>
      <x:c r="J972" s="8" t="str">
        <x:f>IF(H972="","",ROUND(H972*(1+I972),0))</x:f>
      </x:c>
      <x:c r="K972" s="580" t="n">
        <x:v>4250</x:v>
      </x:c>
      <x:c r="L972" s="580" t="n">
        <x:v>1640</x:v>
      </x:c>
      <x:c r="M972" s="7" t="n">
        <x:f>IF('01_Ustawienia'!$B$4="ZWOLNIONY",0,'01_Ustawienia'!$B$7)</x:f>
        <x:v>0.08</x:v>
      </x:c>
      <x:c r="N972" s="8" t="str">
        <x:f>IF(J972="","",ROUND((J972+K972)*(1+M972),0))</x:f>
      </x:c>
      <x:c r="O972" s="8" t="str">
        <x:f>IF(J972="","",J972+K972-H972-L972)</x:f>
      </x:c>
      <x:c r="P972" s="7" t="n">
        <x:f>IFERROR(O972/(J972+K972),"")</x:f>
        <x:v>0</x:v>
      </x:c>
      <x:c r="Q972" s="6" t="inlineStr">
        <x:is>
          <x:t xml:space="preserve">RAW_ZS B/C</x:t>
        </x:is>
      </x:c>
      <x:c r="R972" s="6" t="inlineStr">
        <x:is>
          <x:t xml:space="preserve">ZADASZENIE TARASU KONSTRUKCJA</x:t>
        </x:is>
      </x:c>
      <x:c r="S972" s="6" t="inlineStr">
        <x:is>
          <x:t xml:space="preserve">crm_only</x:t>
        </x:is>
      </x:c>
      <x:c r="T972" s="581" t="inlineStr">
        <x:is>
          <x:t xml:space="preserve">Referencyjne/full; strona zwykle używa ZP + PDS | FIX11: K/L 550/600 wg ark. 09 (NIE PUBLIKOWAĆ / BRAK RAW_ZS).</x:t>
        </x:is>
      </x:c>
    </x:row>
    <x:row r="973" s="655" customFormat="1" ht="30" customHeight="1">
      <x:c r="A973" s="6" t="inlineStr">
        <x:is>
          <x:t xml:space="preserve">550 x 406 cm</x:t>
        </x:is>
      </x:c>
      <x:c r="B973" s="6" t="inlineStr">
        <x:is>
          <x:t xml:space="preserve">OP</x:t>
        </x:is>
      </x:c>
      <x:c r="C973" s="6" t="inlineStr">
        <x:is>
          <x:t xml:space="preserve">Ogród zimowy poliwęglan - baza</x:t>
        </x:is>
      </x:c>
      <x:c r="D973" s="6" t="inlineStr">
        <x:is>
          <x:t xml:space="preserve">OGRODY POLIWĘGLAN</x:t>
        </x:is>
      </x:c>
      <x:c r="E973" s="8" t="n">
        <x:f>IFERROR(INDEX('02_RAW_INDEX'!$Z:$Z,MATCH($A973,'02_RAW_INDEX'!$A:$A,0)),"")</x:f>
        <x:v>25512</x:v>
      </x:c>
      <x:c r="F973" s="8" t="n">
        <x:f>IFERROR(INDEX('02_RAW_INDEX'!$Y:$Y,MATCH($A973,'02_RAW_INDEX'!$A:$A,0)),"")</x:f>
        <x:v>31380</x:v>
      </x:c>
      <x:c r="G973" s="7" t="n">
        <x:f>'01_Ustawienia'!$B$6</x:f>
        <x:v>0</x:v>
      </x:c>
      <x:c r="H973" s="8" t="n">
        <x:f>IF(E973="","",ROUND(IF('01_Ustawienia'!$B$5="BRUTTO",F973,E973)*(1-G973),0))</x:f>
        <x:v>25512</x:v>
      </x:c>
      <x:c r="I973" s="7" t="n">
        <x:f>IFERROR(IFERROR(INDEX('01_Ustawienia'!$B$15:$B$33,MATCH(B973,'01_Ustawienia'!$A$15:$A$33,0)),0.45),0.45)</x:f>
        <x:v>0.45</x:v>
      </x:c>
      <x:c r="J973" s="8" t="n">
        <x:f>IF(H973="","",ROUND(H973*(1+I973),0))</x:f>
        <x:v>36992</x:v>
      </x:c>
      <x:c r="K973" s="580" t="n">
        <x:v>5100</x:v>
      </x:c>
      <x:c r="L973" s="580" t="n">
        <x:v>1800</x:v>
      </x:c>
      <x:c r="M973" s="7" t="n">
        <x:f>IF('01_Ustawienia'!$B$4="ZWOLNIONY",0,'01_Ustawienia'!$B$7)</x:f>
        <x:v>0.08</x:v>
      </x:c>
      <x:c r="N973" s="8" t="n">
        <x:f>IF(J973="","",ROUND((J973+K973)*(1+M973),0))</x:f>
        <x:v>45459</x:v>
      </x:c>
      <x:c r="O973" s="8" t="n">
        <x:f>IF(J973="","",J973+K973-H973-L973)</x:f>
        <x:v>14780</x:v>
      </x:c>
      <x:c r="P973" s="7" t="n">
        <x:f>IFERROR(O973/(J973+K973),"")</x:f>
        <x:v>0.35113560771643065</x:v>
      </x:c>
      <x:c r="Q973" s="6" t="inlineStr">
        <x:is>
          <x:t xml:space="preserve">RAW_OP B/C</x:t>
        </x:is>
      </x:c>
      <x:c r="R973" s="6" t="inlineStr">
        <x:is>
          <x:t xml:space="preserve">OGRÓD ZIMOWY (KONSTRUKCJA)</x:t>
        </x:is>
      </x:c>
      <x:c r="S973" s="6" t="inlineStr">
        <x:is>
          <x:t xml:space="preserve">website+crm</x:t>
        </x:is>
      </x:c>
      <x:c r="T973" s="581" t="inlineStr">
        <x:is>
          <x:t xml:space="preserve">Do wyliczenia dopłaty za ściany | FIX11: K/L 550/600 wg ark. 09 (UZUPEŁNIĆ).</x:t>
        </x:is>
      </x:c>
    </x:row>
    <x:row r="974" s="655" customFormat="1" ht="30" customHeight="1">
      <x:c r="A974" s="6" t="inlineStr">
        <x:is>
          <x:t xml:space="preserve">550 x 406 cm</x:t>
        </x:is>
      </x:c>
      <x:c r="B974" s="6" t="inlineStr">
        <x:is>
          <x:t xml:space="preserve">OS</x:t>
        </x:is>
      </x:c>
      <x:c r="C974" s="6" t="inlineStr">
        <x:is>
          <x:t xml:space="preserve">Ogród zimowy szkło - pełna konstrukcja</x:t>
        </x:is>
      </x:c>
      <x:c r="D974" s="6" t="inlineStr">
        <x:is>
          <x:t xml:space="preserve">OGRODY SZKŁO</x:t>
        </x:is>
      </x:c>
      <x:c r="E974" s="8" t="str">
        <x:f>IFERROR(INDEX('02_RAW_INDEX'!$AL:$AL,MATCH($A974,'02_RAW_INDEX'!$A:$A,0)),"")</x:f>
      </x:c>
      <x:c r="F974" s="8" t="str">
        <x:f>IFERROR(INDEX('02_RAW_INDEX'!$AK:$AK,MATCH($A974,'02_RAW_INDEX'!$A:$A,0)),"")</x:f>
      </x:c>
      <x:c r="G974" s="7" t="n">
        <x:f>'01_Ustawienia'!$B$6</x:f>
        <x:v>0</x:v>
      </x:c>
      <x:c r="H974" s="8" t="str">
        <x:f>IF(E974="","",ROUND(IF('01_Ustawienia'!$B$5="BRUTTO",F974,E974)*(1-G974),0))</x:f>
      </x:c>
      <x:c r="I974" s="7" t="n">
        <x:f>IFERROR(IFERROR(INDEX('01_Ustawienia'!$B$15:$B$33,MATCH(B974,'01_Ustawienia'!$A$15:$A$33,0)),0.45),0.45)</x:f>
        <x:v>0.45</x:v>
      </x:c>
      <x:c r="J974" s="8" t="str">
        <x:f>IF(H974="","",ROUND(H974*(1+I974),0))</x:f>
      </x:c>
      <x:c r="K974" s="580" t="n">
        <x:v>5100</x:v>
      </x:c>
      <x:c r="L974" s="580" t="n">
        <x:v>2160</x:v>
      </x:c>
      <x:c r="M974" s="7" t="n">
        <x:f>IF('01_Ustawienia'!$B$4="ZWOLNIONY",0,'01_Ustawienia'!$B$7)</x:f>
        <x:v>0.08</x:v>
      </x:c>
      <x:c r="N974" s="8" t="str">
        <x:f>IF(J974="","",ROUND((J974+K974)*(1+M974),0))</x:f>
      </x:c>
      <x:c r="O974" s="8" t="str">
        <x:f>IF(J974="","",J974+K974-H974-L974)</x:f>
      </x:c>
      <x:c r="P974" s="7" t="n">
        <x:f>IFERROR(O974/(J974+K974),"")</x:f>
        <x:v>0</x:v>
      </x:c>
      <x:c r="Q974" s="6" t="inlineStr">
        <x:is>
          <x:t xml:space="preserve">RAW_OS B/C</x:t>
        </x:is>
      </x:c>
      <x:c r="R974" s="6" t="inlineStr">
        <x:is>
          <x:t xml:space="preserve">OGRÓD ZIMOWY (KONSTRUKCJA)</x:t>
        </x:is>
      </x:c>
      <x:c r="S974" s="6" t="inlineStr">
        <x:is>
          <x:t xml:space="preserve">crm_only</x:t>
        </x:is>
      </x:c>
      <x:c r="T974" s="581" t="inlineStr">
        <x:is>
          <x:t xml:space="preserve">Referencyjne/full | FIX11: K/L 550/600 wg ark. 09 (NIE PUBLIKOWAĆ / BRAK RAW_OS).</x:t>
        </x:is>
      </x:c>
    </x:row>
    <x:row r="975" s="655" customFormat="1" ht="30" customHeight="1">
      <x:c r="A975" s="6" t="inlineStr">
        <x:is>
          <x:t xml:space="preserve">550 x 406 cm</x:t>
        </x:is>
      </x:c>
      <x:c r="B975" s="6" t="inlineStr">
        <x:is>
          <x:t xml:space="preserve">PDS</x:t>
        </x:is>
      </x:c>
      <x:c r="C975" s="6" t="inlineStr">
        <x:is>
          <x:t xml:space="preserve">Dopłata dach szkło przezroczyste</x:t>
        </x:is>
      </x:c>
      <x:c r="D975" s="6" t="inlineStr">
        <x:is>
          <x:t xml:space="preserve">POKRYCIE DACHU SZKŁO</x:t>
        </x:is>
      </x:c>
      <x:c r="E975" s="8" t="n">
        <x:f>IFERROR(IFERROR(INDEX('02_RAW_INDEX'!$V:$V,MATCH($A975,'02_RAW_INDEX'!$A:$A,0)),"")-IFERROR(INDEX('02_RAW_INDEX'!$D:$D,MATCH($A975,'02_RAW_INDEX'!$A:$A,0)),""),"")</x:f>
        <x:v>-10610</x:v>
      </x:c>
      <x:c r="F975" s="8" t="n">
        <x:f>IFERROR(IFERROR(INDEX('02_RAW_INDEX'!$U:$U,MATCH($A975,'02_RAW_INDEX'!$A:$A,0)),"")-IFERROR(INDEX('02_RAW_INDEX'!$C:$C,MATCH($A975,'02_RAW_INDEX'!$A:$A,0)),""),"")</x:f>
        <x:v>-13050</x:v>
      </x:c>
      <x:c r="G975" s="7" t="n">
        <x:f>'01_Ustawienia'!$B$6</x:f>
        <x:v>0</x:v>
      </x:c>
      <x:c r="H975" s="8" t="n">
        <x:f>IF(E975="","",ROUND(IF('01_Ustawienia'!$B$5="BRUTTO",F975,E975)*(1-G975),0))</x:f>
        <x:v>-10610</x:v>
      </x:c>
      <x:c r="I975" s="7" t="n">
        <x:f>IFERROR(IFERROR(INDEX('01_Ustawienia'!$B$15:$B$33,MATCH(B975,'01_Ustawienia'!$A$15:$A$33,0)),0.45),0.45)</x:f>
        <x:v>0.45</x:v>
      </x:c>
      <x:c r="J975" s="8" t="n">
        <x:f>IF(H975="","",ROUND(H975*(1+I975),0))</x:f>
        <x:v>-15384</x:v>
      </x:c>
      <x:c r="K975" s="580" t="n">
        <x:v>0</x:v>
      </x:c>
      <x:c r="L975" s="580" t="n">
        <x:v>0</x:v>
      </x:c>
      <x:c r="M975" s="7" t="n">
        <x:f>IF('01_Ustawienia'!$B$4="ZWOLNIONY",0,'01_Ustawienia'!$B$7)</x:f>
        <x:v>0.08</x:v>
      </x:c>
      <x:c r="N975" s="8" t="n">
        <x:f>IF(J975="","",ROUND((J975+K975)*(1+M975),0))</x:f>
        <x:v>-16615</x:v>
      </x:c>
      <x:c r="O975" s="8" t="n">
        <x:f>IF(J975="","",J975+K975-H975-L975)</x:f>
        <x:v>-4774</x:v>
      </x:c>
      <x:c r="P975" s="7" t="n">
        <x:f>IFERROR(O975/(J975+K975),"")</x:f>
        <x:v>0.31032241289651585</x:v>
      </x:c>
      <x:c r="Q975" s="6" t="inlineStr">
        <x:is>
          <x:t xml:space="preserve">RAW_ZS - RAW_ZP</x:t>
        </x:is>
      </x:c>
      <x:c r="R975" s="6" t="inlineStr">
        <x:is>
          <x:t xml:space="preserve">POKRYCIE DACHU</x:t>
        </x:is>
      </x:c>
      <x:c r="S975" s="6" t="inlineStr">
        <x:is>
          <x:t xml:space="preserve">website+crm</x:t>
        </x:is>
      </x:c>
      <x:c r="T975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976" s="655" customFormat="1" ht="30" customHeight="1">
      <x:c r="A976" s="6" t="inlineStr">
        <x:is>
          <x:t xml:space="preserve">550 x 406 cm</x:t>
        </x:is>
      </x:c>
      <x:c r="B976" s="6" t="inlineStr">
        <x:is>
          <x:t xml:space="preserve">PDSB</x:t>
        </x:is>
      </x:c>
      <x:c r="C976" s="6" t="inlineStr">
        <x:is>
          <x:t xml:space="preserve">Dopłata dach szkło barwione/mleczne</x:t>
        </x:is>
      </x:c>
      <x:c r="D976" s="6" t="inlineStr">
        <x:is>
          <x:t xml:space="preserve">POKRYCIE DACHU SZKŁO BARWIONE</x:t>
        </x:is>
      </x:c>
      <x:c r="E976" s="8" t="str">
        <x:f>IFERROR(INDEX('02_RAW_INDEX'!$X:$X,MATCH($A976,'02_RAW_INDEX'!$A:$A,0)),"")</x:f>
      </x:c>
      <x:c r="F976" s="8" t="str">
        <x:f>IFERROR(INDEX('02_RAW_INDEX'!$W:$W,MATCH($A976,'02_RAW_INDEX'!$A:$A,0)),"")</x:f>
      </x:c>
      <x:c r="G976" s="7" t="n">
        <x:f>'01_Ustawienia'!$B$6</x:f>
        <x:v>0</x:v>
      </x:c>
      <x:c r="H976" s="8" t="str">
        <x:f>IF(E976="","",ROUND(IF('01_Ustawienia'!$B$5="BRUTTO",F976,E976)*(1-G976),0))</x:f>
      </x:c>
      <x:c r="I976" s="7" t="n">
        <x:f>IFERROR(IFERROR(INDEX('01_Ustawienia'!$B$15:$B$33,MATCH(B976,'01_Ustawienia'!$A$15:$A$33,0)),0.45),0.45)</x:f>
        <x:v>0.45</x:v>
      </x:c>
      <x:c r="J976" s="8" t="str">
        <x:f>IF(H976="","",ROUND(H976*(1+I976),0))</x:f>
      </x:c>
      <x:c r="K976" s="582" t="n">
        <x:v>0</x:v>
      </x:c>
      <x:c r="L976" s="582" t="n">
        <x:v>0</x:v>
      </x:c>
      <x:c r="M976" s="7" t="n">
        <x:f>IF('01_Ustawienia'!$B$4="ZWOLNIONY",0,'01_Ustawienia'!$B$7)</x:f>
        <x:v>0.08</x:v>
      </x:c>
      <x:c r="N976" s="8" t="str">
        <x:f>IF(J976="","",ROUND((J976+K976)*(1+M976),0))</x:f>
      </x:c>
      <x:c r="O976" s="8" t="str">
        <x:f>IF(J976="","",J976+K976-H976-L976)</x:f>
      </x:c>
      <x:c r="P976" s="7" t="str">
        <x:f>IFERROR(O976/(J976+K976),"")</x:f>
      </x:c>
      <x:c r="Q976" s="6" t="inlineStr">
        <x:is>
          <x:t xml:space="preserve">RAW_ZS D/E</x:t>
        </x:is>
      </x:c>
      <x:c r="R976" s="6" t="inlineStr">
        <x:is>
          <x:t xml:space="preserve">POKRYCIE DACHU</x:t>
        </x:is>
      </x:c>
      <x:c r="S976" s="6" t="inlineStr">
        <x:is>
          <x:t xml:space="preserve">website+crm</x:t>
        </x:is>
      </x:c>
      <x:c r="T976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977" s="655" customFormat="1" ht="30" customHeight="1">
      <x:c r="A977" s="6" t="inlineStr">
        <x:is>
          <x:t xml:space="preserve">550 x 406 cm</x:t>
        </x:is>
      </x:c>
      <x:c r="B977" s="6" t="inlineStr">
        <x:is>
          <x:t xml:space="preserve">PDPB</x:t>
        </x:is>
      </x:c>
      <x:c r="C977" s="6" t="inlineStr">
        <x:is>
          <x:t xml:space="preserve">Dopłata poliwęglan barwiony</x:t>
        </x:is>
      </x:c>
      <x:c r="D977" s="6" t="inlineStr">
        <x:is>
          <x:t xml:space="preserve">POKRYCIE DACHU POLIWĘGLAN BARWIONY</x:t>
        </x:is>
      </x:c>
      <x:c r="E977" s="8" t="n">
        <x:f>IFERROR(INDEX('02_RAW_INDEX'!$F:$F,MATCH($A977,'02_RAW_INDEX'!$A:$A,0)),"")</x:f>
        <x:v>309</x:v>
      </x:c>
      <x:c r="F977" s="8" t="n">
        <x:f>IFERROR(INDEX('02_RAW_INDEX'!$E:$E,MATCH($A977,'02_RAW_INDEX'!$A:$A,0)),"")</x:f>
        <x:v>380</x:v>
      </x:c>
      <x:c r="G977" s="7" t="n">
        <x:f>'01_Ustawienia'!$B$6</x:f>
        <x:v>0</x:v>
      </x:c>
      <x:c r="H977" s="8" t="n">
        <x:f>IF(E977="","",ROUND(IF('01_Ustawienia'!$B$5="BRUTTO",F977,E977)*(1-G977),0))</x:f>
        <x:v>309</x:v>
      </x:c>
      <x:c r="I977" s="7" t="n">
        <x:f>IFERROR(IFERROR(INDEX('01_Ustawienia'!$B$15:$B$33,MATCH(B977,'01_Ustawienia'!$A$15:$A$33,0)),0.45),0.45)</x:f>
        <x:v>0.45</x:v>
      </x:c>
      <x:c r="J977" s="8" t="n">
        <x:f>IF(H977="","",ROUND(H977*(1+I977),0))</x:f>
        <x:v>448</x:v>
      </x:c>
      <x:c r="K977" s="582" t="n">
        <x:v>0</x:v>
      </x:c>
      <x:c r="L977" s="582" t="n">
        <x:v>0</x:v>
      </x:c>
      <x:c r="M977" s="7" t="n">
        <x:f>IF('01_Ustawienia'!$B$4="ZWOLNIONY",0,'01_Ustawienia'!$B$7)</x:f>
        <x:v>0.08</x:v>
      </x:c>
      <x:c r="N977" s="8" t="n">
        <x:f>IF(J977="","",ROUND((J977+K977)*(1+M977),0))</x:f>
        <x:v>484</x:v>
      </x:c>
      <x:c r="O977" s="8" t="n">
        <x:f>IF(J977="","",J977+K977-H977-L977)</x:f>
        <x:v>139</x:v>
      </x:c>
      <x:c r="P977" s="7" t="n">
        <x:f>IFERROR(O977/(J977+K977),"")</x:f>
        <x:v>0.31026785714285715</x:v>
      </x:c>
      <x:c r="Q977" s="6" t="inlineStr">
        <x:is>
          <x:t xml:space="preserve">RAW_ZP D/E</x:t>
        </x:is>
      </x:c>
      <x:c r="R977" s="6" t="inlineStr">
        <x:is>
          <x:t xml:space="preserve">POKRYCIE DACHU</x:t>
        </x:is>
      </x:c>
      <x:c r="S977" s="6" t="inlineStr">
        <x:is>
          <x:t xml:space="preserve">website+crm</x:t>
        </x:is>
      </x:c>
      <x:c r="T977" s="581" t="inlineStr">
        <x:is>
          <x:t xml:space="preserve">FIX11: K/L 550/600 wg ark. 09 (POZOSTAWIĆ 0). | FIX17: Wynagr.+koszty = 0 dla dopłaty; nie jest osobnym montażem ekipy.</x:t>
        </x:is>
      </x:c>
    </x:row>
    <x:row r="978" s="655" customFormat="1" ht="30" customHeight="1">
      <x:c r="A978" s="6" t="inlineStr">
        <x:is>
          <x:t xml:space="preserve">550 x 406 cm</x:t>
        </x:is>
      </x:c>
      <x:c r="B978" s="6" t="inlineStr">
        <x:is>
          <x:t xml:space="preserve">SBB</x:t>
        </x:is>
      </x:c>
      <x:c r="C978" s="6" t="inlineStr">
        <x:is>
          <x:t xml:space="preserve">Dopłata szkło boczne przyciemniane</x:t>
        </x:is>
      </x:c>
      <x:c r="D978" s="6" t="inlineStr">
        <x:is>
          <x:t xml:space="preserve">SZKŁO BOCZNE BARWIONE</x:t>
        </x:is>
      </x:c>
      <x:c r="E978" s="8" t="n">
        <x:f>IFERROR(INDEX('02_RAW_INDEX'!$AB:$AB,MATCH($A978,'02_RAW_INDEX'!$A:$A,0)),"")</x:f>
        <x:v>1561</x:v>
      </x:c>
      <x:c r="F978" s="8" t="n">
        <x:f>IFERROR(INDEX('02_RAW_INDEX'!$AA:$AA,MATCH($A978,'02_RAW_INDEX'!$A:$A,0)),"")</x:f>
        <x:v>1920</x:v>
      </x:c>
      <x:c r="G978" s="7" t="n">
        <x:f>'01_Ustawienia'!$B$6</x:f>
        <x:v>0</x:v>
      </x:c>
      <x:c r="H978" s="8" t="n">
        <x:f>IF(E978="","",ROUND(IF('01_Ustawienia'!$B$5="BRUTTO",F978,E978)*(1-G978),0))</x:f>
        <x:v>1561</x:v>
      </x:c>
      <x:c r="I978" s="7" t="n">
        <x:f>IFERROR(IFERROR(INDEX('01_Ustawienia'!$B$15:$B$33,MATCH(B978,'01_Ustawienia'!$A$15:$A$33,0)),0.45),0.45)</x:f>
        <x:v>0.45</x:v>
      </x:c>
      <x:c r="J978" s="8" t="n">
        <x:f>IF(H978="","",ROUND(H978*(1+I978),0))</x:f>
        <x:v>2263</x:v>
      </x:c>
      <x:c r="K978" s="582" t="n">
        <x:v>0</x:v>
      </x:c>
      <x:c r="L978" s="582" t="n">
        <x:v>0</x:v>
      </x:c>
      <x:c r="M978" s="7" t="n">
        <x:f>IF('01_Ustawienia'!$B$4="ZWOLNIONY",0,'01_Ustawienia'!$B$7)</x:f>
        <x:v>0.08</x:v>
      </x:c>
      <x:c r="N978" s="8" t="n">
        <x:f>IF(J978="","",ROUND((J978+K978)*(1+M978),0))</x:f>
        <x:v>2444</x:v>
      </x:c>
      <x:c r="O978" s="8" t="n">
        <x:f>IF(J978="","",J978+K978-H978-L978)</x:f>
        <x:v>702</x:v>
      </x:c>
      <x:c r="P978" s="7" t="n">
        <x:f>IFERROR(O978/(J978+K978),"")</x:f>
        <x:v>0.3102076889085285</x:v>
      </x:c>
      <x:c r="Q978" s="6" t="inlineStr">
        <x:is>
          <x:t xml:space="preserve">RAW_OP H/I</x:t>
        </x:is>
      </x:c>
      <x:c r="R978" s="6" t="inlineStr">
        <x:is>
          <x:t xml:space="preserve">SZYBY BOCZNE</x:t>
        </x:is>
      </x:c>
      <x:c r="S978" s="6" t="inlineStr">
        <x:is>
          <x:t xml:space="preserve">website+crm</x:t>
        </x:is>
      </x:c>
      <x:c r="T978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979" s="655" customFormat="1" ht="29.5" customHeight="1">
      <x:c r="A979" s="6" t="inlineStr">
        <x:is>
          <x:t xml:space="preserve">550 x 406 cm</x:t>
        </x:is>
      </x:c>
      <x:c r="B979" s="6" t="inlineStr">
        <x:is>
          <x:t xml:space="preserve">RB</x:t>
        </x:is>
      </x:c>
      <x:c r="C979" s="6" t="inlineStr">
        <x:is>
          <x:t xml:space="preserve">Roleta boczna ZIP</x:t>
        </x:is>
      </x:c>
      <x:c r="D979" s="6" t="inlineStr">
        <x:is>
          <x:t xml:space="preserve">ROLETA BOCZNA</x:t>
        </x:is>
      </x:c>
      <x:c r="E979" s="8" t="n">
        <x:f>IFERROR(INDEX('02_RAW_INDEX'!$J:$J,MATCH($A979,'02_RAW_INDEX'!$A:$A,0)),"")</x:f>
        <x:v>3236</x:v>
      </x:c>
      <x:c r="F979" s="8" t="n">
        <x:f>IFERROR(INDEX('02_RAW_INDEX'!$I:$I,MATCH($A979,'02_RAW_INDEX'!$A:$A,0)),"")</x:f>
        <x:v>3980</x:v>
      </x:c>
      <x:c r="G979" s="7" t="n">
        <x:f>'01_Ustawienia'!$B$6</x:f>
        <x:v>0</x:v>
      </x:c>
      <x:c r="H979" s="8" t="n">
        <x:f>IF(E979="","",ROUND(IF('01_Ustawienia'!$B$5="BRUTTO",F979,E979)*(1-G979),0))</x:f>
        <x:v>3236</x:v>
      </x:c>
      <x:c r="I979" s="7" t="n">
        <x:f>IFERROR(IFERROR(INDEX('01_Ustawienia'!$B$15:$B$33,MATCH(B979,'01_Ustawienia'!$A$15:$A$33,0)),0.45),0.45)</x:f>
        <x:v>0.45</x:v>
      </x:c>
      <x:c r="J979" s="8" t="n">
        <x:f>IF(H979="","",ROUND(H979*(1+I979),0))</x:f>
        <x:v>4692</x:v>
      </x:c>
      <x:c r="K979" s="580" t="n">
        <x:v>0</x:v>
      </x:c>
      <x:c r="L979" s="580" t="n">
        <x:v>150</x:v>
      </x:c>
      <x:c r="M979" s="7" t="n">
        <x:f>IF('01_Ustawienia'!$B$4="ZWOLNIONY",0,'01_Ustawienia'!$B$7)</x:f>
        <x:v>0.08</x:v>
      </x:c>
      <x:c r="N979" s="8" t="n">
        <x:f>IF(J979="","",ROUND((J979+K979)*(1+M979),0))</x:f>
        <x:v>5067</x:v>
      </x:c>
      <x:c r="O979" s="8" t="n">
        <x:f>IF(J979="","",J979+K979-H979-L979)</x:f>
        <x:v>1306</x:v>
      </x:c>
      <x:c r="P979" s="7" t="n">
        <x:f>IFERROR(O979/(J979+K979),"")</x:f>
        <x:v>0.2783461210571185</x:v>
      </x:c>
      <x:c r="Q979" s="6" t="inlineStr">
        <x:is>
          <x:t xml:space="preserve">RAW_ZP J/K</x:t>
        </x:is>
      </x:c>
      <x:c r="R979" s="6" t="inlineStr">
        <x:is>
          <x:t xml:space="preserve">ROLETY BOCZNE</x:t>
        </x:is>
      </x:c>
      <x:c r="S979" s="6" t="inlineStr">
        <x:is>
          <x:t xml:space="preserve">website+crm</x:t>
        </x:is>
      </x:c>
      <x:c r="T979" s="581" t="inlineStr">
        <x:is>
          <x:t xml:space="preserve">Używana dla lewej i prawej | FIX11: K/L 550/600 wg ark. 09 (UZUPEŁNIĆ L).</x:t>
        </x:is>
      </x:c>
    </x:row>
    <x:row r="980" s="655" customFormat="1" ht="29.5" customHeight="1">
      <x:c r="A980" s="6" t="inlineStr">
        <x:is>
          <x:t xml:space="preserve">550 x 406 cm</x:t>
        </x:is>
      </x:c>
      <x:c r="B980" s="6" t="inlineStr">
        <x:is>
          <x:t xml:space="preserve">RP</x:t>
        </x:is>
      </x:c>
      <x:c r="C980" s="6" t="inlineStr">
        <x:is>
          <x:t xml:space="preserve">Roleta przednia ZIP</x:t>
        </x:is>
      </x:c>
      <x:c r="D980" s="6" t="inlineStr">
        <x:is>
          <x:t xml:space="preserve">ROLETA PRZÓD</x:t>
        </x:is>
      </x:c>
      <x:c r="E980" s="8" t="n">
        <x:f>IFERROR(INDEX('02_RAW_INDEX'!$L:$L,MATCH($A980,'02_RAW_INDEX'!$A:$A,0)),"")</x:f>
        <x:v>2146</x:v>
      </x:c>
      <x:c r="F980" s="8" t="n">
        <x:f>IFERROR(INDEX('02_RAW_INDEX'!$K:$K,MATCH($A980,'02_RAW_INDEX'!$A:$A,0)),"")</x:f>
        <x:v>2640</x:v>
      </x:c>
      <x:c r="G980" s="7" t="n">
        <x:f>'01_Ustawienia'!$B$6</x:f>
        <x:v>0</x:v>
      </x:c>
      <x:c r="H980" s="8" t="n">
        <x:f>IF(E980="","",ROUND(IF('01_Ustawienia'!$B$5="BRUTTO",F980,E980)*(1-G980),0))</x:f>
        <x:v>2146</x:v>
      </x:c>
      <x:c r="I980" s="7" t="n">
        <x:f>IFERROR(IFERROR(INDEX('01_Ustawienia'!$B$15:$B$33,MATCH(B980,'01_Ustawienia'!$A$15:$A$33,0)),0.45),0.45)</x:f>
        <x:v>0.45</x:v>
      </x:c>
      <x:c r="J980" s="8" t="n">
        <x:f>IF(H980="","",ROUND(H980*(1+I980),0))</x:f>
        <x:v>3112</x:v>
      </x:c>
      <x:c r="K980" s="580" t="n">
        <x:v>0</x:v>
      </x:c>
      <x:c r="L980" s="580" t="n">
        <x:v>150</x:v>
      </x:c>
      <x:c r="M980" s="7" t="n">
        <x:f>IF('01_Ustawienia'!$B$4="ZWOLNIONY",0,'01_Ustawienia'!$B$7)</x:f>
        <x:v>0.08</x:v>
      </x:c>
      <x:c r="N980" s="8" t="n">
        <x:f>IF(J980="","",ROUND((J980+K980)*(1+M980),0))</x:f>
        <x:v>3361</x:v>
      </x:c>
      <x:c r="O980" s="8" t="n">
        <x:f>IF(J980="","",J980+K980-H980-L980)</x:f>
        <x:v>816</x:v>
      </x:c>
      <x:c r="P980" s="7" t="n">
        <x:f>IFERROR(O980/(J980+K980),"")</x:f>
        <x:v>0.2622107969151671</x:v>
      </x:c>
      <x:c r="Q980" s="6" t="inlineStr">
        <x:is>
          <x:t xml:space="preserve">RAW_ZP N/O</x:t>
        </x:is>
      </x:c>
      <x:c r="R980" s="6" t="inlineStr">
        <x:is>
          <x:t xml:space="preserve">ROLETY BOCZNE</x:t>
        </x:is>
      </x:c>
      <x:c r="S980" s="6" t="inlineStr">
        <x:is>
          <x:t xml:space="preserve">website+crm</x:t>
        </x:is>
      </x:c>
      <x:c r="T980" s="581" t="inlineStr">
        <x:is>
          <x:t xml:space="preserve">FIX11: K/L 550/600 wg ark. 09 (UZUPEŁNIĆ L).</x:t>
        </x:is>
      </x:c>
    </x:row>
    <x:row r="981" s="655" customFormat="1" ht="29.5" customHeight="1">
      <x:c r="A981" s="6" t="inlineStr">
        <x:is>
          <x:t xml:space="preserve">550 x 406 cm</x:t>
        </x:is>
      </x:c>
      <x:c r="B981" s="6" t="inlineStr">
        <x:is>
          <x:t xml:space="preserve">M</x:t>
        </x:is>
      </x:c>
      <x:c r="C981" s="6" t="inlineStr">
        <x:is>
          <x:t xml:space="preserve">Markiza dachowa</x:t>
        </x:is>
      </x:c>
      <x:c r="D981" s="6" t="inlineStr">
        <x:is>
          <x:t xml:space="preserve">MARKIZA</x:t>
        </x:is>
      </x:c>
      <x:c r="E981" s="8" t="n">
        <x:f>IFERROR(INDEX('02_RAW_INDEX'!$H:$H,MATCH($A981,'02_RAW_INDEX'!$A:$A,0)),"")</x:f>
        <x:v>3886</x:v>
      </x:c>
      <x:c r="F981" s="8" t="n">
        <x:f>IFERROR(INDEX('02_RAW_INDEX'!$G:$G,MATCH($A981,'02_RAW_INDEX'!$A:$A,0)),"")</x:f>
        <x:v>4780</x:v>
      </x:c>
      <x:c r="G981" s="7" t="n">
        <x:f>'01_Ustawienia'!$B$6</x:f>
        <x:v>0</x:v>
      </x:c>
      <x:c r="H981" s="8" t="n">
        <x:f>IF(E981="","",ROUND(IF('01_Ustawienia'!$B$5="BRUTTO",F981,E981)*(1-G981),0))</x:f>
        <x:v>3886</x:v>
      </x:c>
      <x:c r="I981" s="7" t="n">
        <x:f>IFERROR(IFERROR(INDEX('01_Ustawienia'!$B$15:$B$33,MATCH(B981,'01_Ustawienia'!$A$15:$A$33,0)),0.45),0.45)</x:f>
        <x:v>0.45</x:v>
      </x:c>
      <x:c r="J981" s="8" t="n">
        <x:f>IF(H981="","",ROUND(H981*(1+I981),0))</x:f>
        <x:v>5635</x:v>
      </x:c>
      <x:c r="K981" s="580" t="n">
        <x:v>0</x:v>
      </x:c>
      <x:c r="L981" s="580" t="n">
        <x:v>250</x:v>
      </x:c>
      <x:c r="M981" s="7" t="n">
        <x:f>IF('01_Ustawienia'!$B$4="ZWOLNIONY",0,'01_Ustawienia'!$B$7)</x:f>
        <x:v>0.08</x:v>
      </x:c>
      <x:c r="N981" s="8" t="n">
        <x:f>IF(J981="","",ROUND((J981+K981)*(1+M981),0))</x:f>
        <x:v>6086</x:v>
      </x:c>
      <x:c r="O981" s="8" t="n">
        <x:f>IF(J981="","",J981+K981-H981-L981)</x:f>
        <x:v>1499</x:v>
      </x:c>
      <x:c r="P981" s="7" t="n">
        <x:f>IFERROR(O981/(J981+K981),"")</x:f>
        <x:v>0.26601597160603374</x:v>
      </x:c>
      <x:c r="Q981" s="6" t="inlineStr">
        <x:is>
          <x:t xml:space="preserve">RAW_ZP H/I</x:t>
        </x:is>
      </x:c>
      <x:c r="R981" s="6" t="inlineStr">
        <x:is>
          <x:t xml:space="preserve">MARKIZA</x:t>
        </x:is>
      </x:c>
      <x:c r="S981" s="6" t="inlineStr">
        <x:is>
          <x:t xml:space="preserve">website+crm</x:t>
        </x:is>
      </x:c>
      <x:c r="T981" s="581" t="inlineStr">
        <x:is>
          <x:t xml:space="preserve">FIX11: K/L 550/600 wg ark. 09 (UZUPEŁNIĆ L).</x:t>
        </x:is>
      </x:c>
    </x:row>
    <x:row r="982" s="655" customFormat="1" ht="44.25" customHeight="1">
      <x:c r="A982" s="6" t="inlineStr">
        <x:is>
          <x:t xml:space="preserve">550 x 406 cm</x:t>
        </x:is>
      </x:c>
      <x:c r="B982" s="6" t="inlineStr">
        <x:is>
          <x:t xml:space="preserve">PDWP</x:t>
        </x:is>
      </x:c>
      <x:c r="C982" s="6" t="inlineStr">
        <x:is>
          <x:t xml:space="preserve">Fundament/profile</x:t>
        </x:is>
      </x:c>
      <x:c r="D982" s="6" t="inlineStr">
        <x:is>
          <x:t xml:space="preserve">FUNDAMENT / PROFILE</x:t>
        </x:is>
      </x:c>
      <x:c r="E982" s="8" t="n">
        <x:f>IFERROR(INDEX('02_RAW_INDEX'!$AH:$AH,MATCH($A982,'02_RAW_INDEX'!$A:$A,0)),"")</x:f>
        <x:v>1041</x:v>
      </x:c>
      <x:c r="F982" s="8" t="n">
        <x:f>IFERROR(INDEX('02_RAW_INDEX'!$AG:$AG,MATCH($A982,'02_RAW_INDEX'!$A:$A,0)),"")</x:f>
        <x:v>1280</x:v>
      </x:c>
      <x:c r="G982" s="7" t="n">
        <x:f>'01_Ustawienia'!$B$6</x:f>
        <x:v>0</x:v>
      </x:c>
      <x:c r="H982" s="8" t="n">
        <x:f>IF(E982="","",ROUND(IF('01_Ustawienia'!$B$5="BRUTTO",F982,E982)*(1-G982),0))</x:f>
        <x:v>1041</x:v>
      </x:c>
      <x:c r="I982" s="7" t="n">
        <x:f>IFERROR(IFERROR(INDEX('01_Ustawienia'!$B$15:$B$33,MATCH(B982,'01_Ustawienia'!$A$15:$A$33,0)),0.45),0.45)</x:f>
        <x:v>1.2</x:v>
      </x:c>
      <x:c r="J982" s="8" t="n">
        <x:f>IF(H982="","",ROUND(H982*(1+I982),0))</x:f>
        <x:v>2290</x:v>
      </x:c>
      <x:c r="K982" s="580" t="n">
        <x:v>540</x:v>
      </x:c>
      <x:c r="L982" s="580" t="n">
        <x:v>490</x:v>
      </x:c>
      <x:c r="M982" s="7" t="n">
        <x:f>IF('01_Ustawienia'!$B$4="ZWOLNIONY",0,'01_Ustawienia'!$B$7)</x:f>
        <x:v>0.08</x:v>
      </x:c>
      <x:c r="N982" s="8" t="n">
        <x:f>IF(J982="","",ROUND((J982+K982)*(1+M982),0))</x:f>
        <x:v>3056</x:v>
      </x:c>
      <x:c r="O982" s="8" t="n">
        <x:f>IF(J982="","",J982+K982-H982-L982)</x:f>
        <x:v>1299</x:v>
      </x:c>
      <x:c r="P982" s="7" t="n">
        <x:f>IFERROR(O982/(J982+K982),"")</x:f>
        <x:v>0.4590106007067138</x:v>
      </x:c>
      <x:c r="Q982" s="6" t="inlineStr">
        <x:is>
          <x:t xml:space="preserve">RAW_OP AB/AC</x:t>
        </x:is>
      </x:c>
      <x:c r="R982" s="6" t="inlineStr">
        <x:is>
          <x:t xml:space="preserve">FUNDAMENT (PROFILE)</x:t>
        </x:is>
      </x:c>
      <x:c r="S982" s="6" t="inlineStr">
        <x:is>
          <x:t xml:space="preserve">website+crm</x:t>
        </x:is>
      </x:c>
      <x:c r="T982" s="581" t="inlineStr">
        <x:is>
          <x:t xml:space="preserve">FIX11: K/L 550/600 wg ark. 09 (UZUPEŁNIĆ K+L / KOREKTA RENTOWNOŚCI).</x:t>
        </x:is>
      </x:c>
    </x:row>
    <x:row r="983" s="655" customFormat="1" ht="30" customHeight="1">
      <x:c r="A983" s="6" t="inlineStr">
        <x:is>
          <x:t xml:space="preserve">550 x 406 cm</x:t>
        </x:is>
      </x:c>
      <x:c r="B983" s="6" t="inlineStr">
        <x:is>
          <x:t xml:space="preserve">ZAB</x:t>
        </x:is>
      </x:c>
      <x:c r="C983" s="6" t="inlineStr">
        <x:is>
          <x:t xml:space="preserve">Zabieraki do ścian przesuwnych</x:t>
        </x:is>
      </x:c>
      <x:c r="D983" s="6" t="inlineStr">
        <x:is>
          <x:t xml:space="preserve">DODATKI</x:t>
        </x:is>
      </x:c>
      <x:c r="E983" s="8" t="n">
        <x:f>IFERROR(INDEX('02_RAW_INDEX'!$AJ:$AJ,MATCH($A983,'02_RAW_INDEX'!$A:$A,0)),"")</x:f>
        <x:v>423</x:v>
      </x:c>
      <x:c r="F983" s="8" t="n">
        <x:f>IFERROR(INDEX('02_RAW_INDEX'!$AI:$AI,MATCH($A983,'02_RAW_INDEX'!$A:$A,0)),"")</x:f>
        <x:v>520</x:v>
      </x:c>
      <x:c r="G983" s="7" t="n">
        <x:f>'01_Ustawienia'!$B$6</x:f>
        <x:v>0</x:v>
      </x:c>
      <x:c r="H983" s="8" t="n">
        <x:f>IF(E983="","",ROUND(IF('01_Ustawienia'!$B$5="BRUTTO",F983,E983)*(1-G983),0))</x:f>
        <x:v>423</x:v>
      </x:c>
      <x:c r="I983" s="7" t="n">
        <x:f>IFERROR(IFERROR(INDEX('01_Ustawienia'!$B$15:$B$33,MATCH(B983,'01_Ustawienia'!$A$15:$A$33,0)),0.45),0.45)</x:f>
        <x:v>0.45</x:v>
      </x:c>
      <x:c r="J983" s="8" t="n">
        <x:f>IF(H983="","",ROUND(H983*(1+I983),0))</x:f>
        <x:v>613</x:v>
      </x:c>
      <x:c r="K983" s="582" t="n">
        <x:v>0</x:v>
      </x:c>
      <x:c r="L983" s="582" t="n">
        <x:v>0</x:v>
      </x:c>
      <x:c r="M983" s="7" t="n">
        <x:f>IF('01_Ustawienia'!$B$4="ZWOLNIONY",0,'01_Ustawienia'!$B$7)</x:f>
        <x:v>0.08</x:v>
      </x:c>
      <x:c r="N983" s="8" t="n">
        <x:f>IF(J983="","",ROUND((J983+K983)*(1+M983),0))</x:f>
        <x:v>662</x:v>
      </x:c>
      <x:c r="O983" s="8" t="n">
        <x:f>IF(J983="","",J983+K983-H983-L983)</x:f>
        <x:v>190</x:v>
      </x:c>
      <x:c r="P983" s="7" t="n">
        <x:f>IFERROR(O983/(J983+K983),"")</x:f>
        <x:v>0.3099510603588907</x:v>
      </x:c>
      <x:c r="Q983" s="6" t="inlineStr">
        <x:is>
          <x:t xml:space="preserve">RAW_OP AD/AE</x:t>
        </x:is>
      </x:c>
      <x:c r="R983" s="6" t="inlineStr">
        <x:is>
          <x:t xml:space="preserve">DODATKI</x:t>
        </x:is>
      </x:c>
      <x:c r="S983" s="6" t="inlineStr">
        <x:is>
          <x:t xml:space="preserve">crm_only</x:t>
        </x:is>
      </x:c>
      <x:c r="T983" s="581" t="inlineStr">
        <x:is>
          <x:t xml:space="preserve">FIX11: K/L 550/600 wg ark. 09 (POZOSTAWIĆ 0).</x:t>
        </x:is>
      </x:c>
    </x:row>
    <x:row r="984" s="655" customFormat="1" ht="29.5" customHeight="1">
      <x:c r="A984" s="6" t="inlineStr">
        <x:is>
          <x:t xml:space="preserve">550 x 406 cm</x:t>
        </x:is>
      </x:c>
      <x:c r="B984" s="6" t="inlineStr">
        <x:is>
          <x:t xml:space="preserve">S</x:t>
        </x:is>
      </x:c>
      <x:c r="C984" s="6" t="inlineStr">
        <x:is>
          <x:t xml:space="preserve">Szczotki przeciwkurzowe</x:t>
        </x:is>
      </x:c>
      <x:c r="D984" s="6" t="inlineStr">
        <x:is>
          <x:t xml:space="preserve">SZCZOTKI</x:t>
        </x:is>
      </x:c>
      <x:c r="E984" s="8" t="n">
        <x:f>IFERROR(INDEX('02_RAW_INDEX'!$AD:$AD,MATCH($A984,'02_RAW_INDEX'!$A:$A,0)),"")</x:f>
        <x:v>431</x:v>
      </x:c>
      <x:c r="F984" s="8" t="n">
        <x:f>IFERROR(INDEX('02_RAW_INDEX'!$AC:$AC,MATCH($A984,'02_RAW_INDEX'!$A:$A,0)),"")</x:f>
        <x:v>530</x:v>
      </x:c>
      <x:c r="G984" s="7" t="n">
        <x:f>'01_Ustawienia'!$B$6</x:f>
        <x:v>0</x:v>
      </x:c>
      <x:c r="H984" s="8" t="n">
        <x:f>IF(E984="","",ROUND(IF('01_Ustawienia'!$B$5="BRUTTO",F984,E984)*(1-G984),0))</x:f>
        <x:v>431</x:v>
      </x:c>
      <x:c r="I984" s="7" t="n">
        <x:f>IFERROR(IFERROR(INDEX('01_Ustawienia'!$B$15:$B$33,MATCH(B984,'01_Ustawienia'!$A$15:$A$33,0)),0.45),0.45)</x:f>
        <x:v>0.45</x:v>
      </x:c>
      <x:c r="J984" s="8" t="n">
        <x:f>IF(H984="","",ROUND(H984*(1+I984),0))</x:f>
        <x:v>625</x:v>
      </x:c>
      <x:c r="K984" s="582" t="n">
        <x:v>0</x:v>
      </x:c>
      <x:c r="L984" s="582" t="n">
        <x:v>0</x:v>
      </x:c>
      <x:c r="M984" s="7" t="n">
        <x:f>IF('01_Ustawienia'!$B$4="ZWOLNIONY",0,'01_Ustawienia'!$B$7)</x:f>
        <x:v>0.08</x:v>
      </x:c>
      <x:c r="N984" s="8" t="n">
        <x:f>IF(J984="","",ROUND((J984+K984)*(1+M984),0))</x:f>
        <x:v>675</x:v>
      </x:c>
      <x:c r="O984" s="8" t="n">
        <x:f>IF(J984="","",J984+K984-H984-L984)</x:f>
        <x:v>194</x:v>
      </x:c>
      <x:c r="P984" s="7" t="n">
        <x:f>IFERROR(O984/(J984+K984),"")</x:f>
        <x:v>0.3104</x:v>
      </x:c>
      <x:c r="Q984" s="6" t="inlineStr">
        <x:is>
          <x:t xml:space="preserve">RAW_OP L/M</x:t>
        </x:is>
      </x:c>
      <x:c r="R984" s="6" t="inlineStr">
        <x:is>
          <x:t xml:space="preserve">DODATKI</x:t>
        </x:is>
      </x:c>
      <x:c r="S984" s="6" t="inlineStr">
        <x:is>
          <x:t xml:space="preserve">website+crm</x:t>
        </x:is>
      </x:c>
      <x:c r="T984" s="581" t="inlineStr">
        <x:is>
          <x:t xml:space="preserve">FIX11: K/L 550/600 wg ark. 09 (POZOSTAWIĆ 0).</x:t>
        </x:is>
      </x:c>
    </x:row>
    <x:row r="985" s="655" customFormat="1" ht="29.5" customHeight="1">
      <x:c r="A985" s="6" t="inlineStr">
        <x:is>
          <x:t xml:space="preserve">550 x 406 cm</x:t>
        </x:is>
      </x:c>
      <x:c r="B985" s="6" t="inlineStr">
        <x:is>
          <x:t xml:space="preserve">U</x:t>
        </x:is>
      </x:c>
      <x:c r="C985" s="6" t="inlineStr">
        <x:is>
          <x:t xml:space="preserve">Uchwyty na szkło ścienne</x:t>
        </x:is>
      </x:c>
      <x:c r="D985" s="6" t="inlineStr">
        <x:is>
          <x:t xml:space="preserve">UCHWYTY</x:t>
        </x:is>
      </x:c>
      <x:c r="E985" s="8" t="n">
        <x:f>IFERROR(INDEX('02_RAW_INDEX'!$AF:$AF,MATCH($A985,'02_RAW_INDEX'!$A:$A,0)),"")</x:f>
        <x:v>390</x:v>
      </x:c>
      <x:c r="F985" s="8" t="n">
        <x:f>IFERROR(INDEX('02_RAW_INDEX'!$AE:$AE,MATCH($A985,'02_RAW_INDEX'!$A:$A,0)),"")</x:f>
        <x:v>480</x:v>
      </x:c>
      <x:c r="G985" s="7" t="n">
        <x:f>'01_Ustawienia'!$B$6</x:f>
        <x:v>0</x:v>
      </x:c>
      <x:c r="H985" s="8" t="n">
        <x:f>IF(E985="","",ROUND(IF('01_Ustawienia'!$B$5="BRUTTO",F985,E985)*(1-G985),0))</x:f>
        <x:v>390</x:v>
      </x:c>
      <x:c r="I985" s="7" t="n">
        <x:f>IFERROR(IFERROR(INDEX('01_Ustawienia'!$B$15:$B$33,MATCH(B985,'01_Ustawienia'!$A$15:$A$33,0)),0.45),0.45)</x:f>
        <x:v>0.45</x:v>
      </x:c>
      <x:c r="J985" s="8" t="n">
        <x:f>IF(H985="","",ROUND(H985*(1+I985),0))</x:f>
        <x:v>566</x:v>
      </x:c>
      <x:c r="K985" s="582" t="n">
        <x:v>0</x:v>
      </x:c>
      <x:c r="L985" s="582" t="n">
        <x:v>0</x:v>
      </x:c>
      <x:c r="M985" s="7" t="n">
        <x:f>IF('01_Ustawienia'!$B$4="ZWOLNIONY",0,'01_Ustawienia'!$B$7)</x:f>
        <x:v>0.08</x:v>
      </x:c>
      <x:c r="N985" s="8" t="n">
        <x:f>IF(J985="","",ROUND((J985+K985)*(1+M985),0))</x:f>
        <x:v>611</x:v>
      </x:c>
      <x:c r="O985" s="8" t="n">
        <x:f>IF(J985="","",J985+K985-H985-L985)</x:f>
        <x:v>176</x:v>
      </x:c>
      <x:c r="P985" s="7" t="n">
        <x:f>IFERROR(O985/(J985+K985),"")</x:f>
        <x:v>0.31095406360424027</x:v>
      </x:c>
      <x:c r="Q985" s="6" t="inlineStr">
        <x:is>
          <x:t xml:space="preserve">RAW_OP N/O</x:t>
        </x:is>
      </x:c>
      <x:c r="R985" s="6" t="inlineStr">
        <x:is>
          <x:t xml:space="preserve">DODATKI</x:t>
        </x:is>
      </x:c>
      <x:c r="S985" s="6" t="inlineStr">
        <x:is>
          <x:t xml:space="preserve">website+crm</x:t>
        </x:is>
      </x:c>
      <x:c r="T985" s="581" t="inlineStr">
        <x:is>
          <x:t xml:space="preserve">FIX11: K/L 550/600 wg ark. 09 (POZOSTAWIĆ 0).</x:t>
        </x:is>
      </x:c>
    </x:row>
    <x:row r="986" s="655" customFormat="1" ht="29.5" customHeight="1">
      <x:c r="A986" s="6" t="inlineStr">
        <x:is>
          <x:t xml:space="preserve">550 x 406 cm</x:t>
        </x:is>
      </x:c>
      <x:c r="B986" s="6" t="inlineStr">
        <x:is>
          <x:t xml:space="preserve">LED2</x:t>
        </x:is>
      </x:c>
      <x:c r="C986" s="6" t="inlineStr">
        <x:is>
          <x:t xml:space="preserve">Oświetlenie LED 2 punkty</x:t>
        </x:is>
      </x:c>
      <x:c r="D986" s="6" t="inlineStr">
        <x:is>
          <x:t xml:space="preserve">LED 2 PKT</x:t>
        </x:is>
      </x:c>
      <x:c r="E986" s="8" t="n">
        <x:f>IFERROR(INDEX('02_RAW_INDEX'!$N:$N,MATCH($A986,'02_RAW_INDEX'!$A:$A,0)),"")</x:f>
        <x:v>415</x:v>
      </x:c>
      <x:c r="F986" s="8" t="n">
        <x:f>IFERROR(INDEX('02_RAW_INDEX'!$M:$M,MATCH($A986,'02_RAW_INDEX'!$A:$A,0)),"")</x:f>
        <x:v>510</x:v>
      </x:c>
      <x:c r="G986" s="7" t="n">
        <x:f>'01_Ustawienia'!$B$6</x:f>
        <x:v>0</x:v>
      </x:c>
      <x:c r="H986" s="8" t="n">
        <x:f>IF(E986="","",ROUND(IF('01_Ustawienia'!$B$5="BRUTTO",F986,E986)*(1-G986),0))</x:f>
        <x:v>415</x:v>
      </x:c>
      <x:c r="I986" s="7" t="n">
        <x:f>IFERROR(IFERROR(INDEX('01_Ustawienia'!$B$15:$B$33,MATCH(B986,'01_Ustawienia'!$A$15:$A$33,0)),0.45),0.45)</x:f>
        <x:v>0.45</x:v>
      </x:c>
      <x:c r="J986" s="8" t="n">
        <x:f>IF(H986="","",ROUND(H986*(1+I986),0))</x:f>
        <x:v>602</x:v>
      </x:c>
      <x:c r="K986" s="582" t="n">
        <x:v>0</x:v>
      </x:c>
      <x:c r="L986" s="582" t="n">
        <x:v>0</x:v>
      </x:c>
      <x:c r="M986" s="7" t="n">
        <x:f>IF('01_Ustawienia'!$B$4="ZWOLNIONY",0,'01_Ustawienia'!$B$7)</x:f>
        <x:v>0.08</x:v>
      </x:c>
      <x:c r="N986" s="8" t="n">
        <x:f>IF(J986="","",ROUND((J986+K986)*(1+M986),0))</x:f>
        <x:v>650</x:v>
      </x:c>
      <x:c r="O986" s="8" t="n">
        <x:f>IF(J986="","",J986+K986-H986-L986)</x:f>
        <x:v>187</x:v>
      </x:c>
      <x:c r="P986" s="7" t="n">
        <x:f>IFERROR(O986/(J986+K986),"")</x:f>
        <x:v>0.3106312292358804</x:v>
      </x:c>
      <x:c r="Q986" s="6" t="inlineStr">
        <x:is>
          <x:t xml:space="preserve">RAW_ZP P/Q</x:t>
        </x:is>
      </x:c>
      <x:c r="R986" s="6" t="inlineStr">
        <x:is>
          <x:t xml:space="preserve">OŚWIETLENIE</x:t>
        </x:is>
      </x:c>
      <x:c r="S986" s="6" t="inlineStr">
        <x:is>
          <x:t xml:space="preserve">website+crm</x:t>
        </x:is>
      </x:c>
      <x:c r="T986" s="581" t="inlineStr">
        <x:is>
          <x:t xml:space="preserve">FIX11: K/L 550/600 wg ark. 09 (POZOSTAWIĆ 0 NA RAZIE).</x:t>
        </x:is>
      </x:c>
    </x:row>
    <x:row r="987" s="655" customFormat="1" ht="44.25" customHeight="1">
      <x:c r="A987" s="6" t="inlineStr">
        <x:is>
          <x:t xml:space="preserve">550 x 406 cm</x:t>
        </x:is>
      </x:c>
      <x:c r="B987" s="6" t="inlineStr">
        <x:is>
          <x:t xml:space="preserve">LED3</x:t>
        </x:is>
      </x:c>
      <x:c r="C987" s="6" t="inlineStr">
        <x:is>
          <x:t xml:space="preserve">Oświetlenie LED 3 punkty</x:t>
        </x:is>
      </x:c>
      <x:c r="D987" s="6" t="inlineStr">
        <x:is>
          <x:t xml:space="preserve">LED 3 PKT</x:t>
        </x:is>
      </x:c>
      <x:c r="E987" s="8" t="n">
        <x:f>IFERROR(INDEX('02_RAW_INDEX'!$P:$P,MATCH($A987,'02_RAW_INDEX'!$A:$A,0)),"")</x:f>
        <x:v>602</x:v>
      </x:c>
      <x:c r="F987" s="8" t="n">
        <x:f>IFERROR(INDEX('02_RAW_INDEX'!$O:$O,MATCH($A987,'02_RAW_INDEX'!$A:$A,0)),"")</x:f>
        <x:v>740</x:v>
      </x:c>
      <x:c r="G987" s="7" t="n">
        <x:f>'01_Ustawienia'!$B$6</x:f>
        <x:v>0</x:v>
      </x:c>
      <x:c r="H987" s="8" t="n">
        <x:f>IF(E987="","",ROUND(IF('01_Ustawienia'!$B$5="BRUTTO",F987,E987)*(1-G987),0))</x:f>
        <x:v>602</x:v>
      </x:c>
      <x:c r="I987" s="7" t="n">
        <x:f>IFERROR(IFERROR(INDEX('01_Ustawienia'!$B$15:$B$33,MATCH(B987,'01_Ustawienia'!$A$15:$A$33,0)),0.45),0.45)</x:f>
        <x:v>0.45</x:v>
      </x:c>
      <x:c r="J987" s="8" t="n">
        <x:f>IF(H987="","",ROUND(H987*(1+I987),0))</x:f>
        <x:v>873</x:v>
      </x:c>
      <x:c r="K987" s="582" t="n">
        <x:v>0</x:v>
      </x:c>
      <x:c r="L987" s="582" t="n">
        <x:v>0</x:v>
      </x:c>
      <x:c r="M987" s="7" t="n">
        <x:f>IF('01_Ustawienia'!$B$4="ZWOLNIONY",0,'01_Ustawienia'!$B$7)</x:f>
        <x:v>0.08</x:v>
      </x:c>
      <x:c r="N987" s="8" t="n">
        <x:f>IF(J987="","",ROUND((J987+K987)*(1+M987),0))</x:f>
        <x:v>943</x:v>
      </x:c>
      <x:c r="O987" s="8" t="n">
        <x:f>IF(J987="","",J987+K987-H987-L987)</x:f>
        <x:v>271</x:v>
      </x:c>
      <x:c r="P987" s="7" t="n">
        <x:f>IFERROR(O987/(J987+K987),"")</x:f>
        <x:v>0.3104238258877434</x:v>
      </x:c>
      <x:c r="Q987" s="6" t="inlineStr">
        <x:is>
          <x:t xml:space="preserve">RAW_ZP R/S</x:t>
        </x:is>
      </x:c>
      <x:c r="R987" s="6" t="inlineStr">
        <x:is>
          <x:t xml:space="preserve">OŚWIETLENIE</x:t>
        </x:is>
      </x:c>
      <x:c r="S987" s="6" t="inlineStr">
        <x:is>
          <x:t xml:space="preserve">website+crm</x:t>
        </x:is>
      </x:c>
      <x:c r="T987" s="581" t="inlineStr">
        <x:is>
          <x:t xml:space="preserve">Nazwa do potwierdzenia | FIX11: K/L 550/600 wg ark. 09 (POZOSTAWIĆ 0 NA RAZIE).</x:t>
        </x:is>
      </x:c>
    </x:row>
    <x:row r="988" s="655" customFormat="1" ht="29.5" customHeight="1">
      <x:c r="A988" s="6" t="inlineStr">
        <x:is>
          <x:t xml:space="preserve">550 x 406 cm</x:t>
        </x:is>
      </x:c>
      <x:c r="B988" s="6" t="inlineStr">
        <x:is>
          <x:t xml:space="preserve">LEDCCT</x:t>
        </x:is>
      </x:c>
      <x:c r="C988" s="6" t="inlineStr">
        <x:is>
          <x:t xml:space="preserve">Oświetlenie LED CCT</x:t>
        </x:is>
      </x:c>
      <x:c r="D988" s="6" t="inlineStr">
        <x:is>
          <x:t xml:space="preserve">OŚWIETLENIE</x:t>
        </x:is>
      </x:c>
      <x:c r="E988" s="8" t="n">
        <x:f>IFERROR(INDEX('02_RAW_INDEX'!$R:$R,MATCH($A988,'02_RAW_INDEX'!$A:$A,0)),"")</x:f>
        <x:v>1463</x:v>
      </x:c>
      <x:c r="F988" s="8" t="n">
        <x:f>IFERROR(INDEX('02_RAW_INDEX'!$Q:$Q,MATCH($A988,'02_RAW_INDEX'!$A:$A,0)),"")</x:f>
        <x:v>1800</x:v>
      </x:c>
      <x:c r="G988" s="7" t="n">
        <x:f>'01_Ustawienia'!$B$6</x:f>
        <x:v>0</x:v>
      </x:c>
      <x:c r="H988" s="8" t="n">
        <x:f>IF(E988="","",ROUND(IF('01_Ustawienia'!$B$5="BRUTTO",F988,E988)*(1-G988),0))</x:f>
        <x:v>1463</x:v>
      </x:c>
      <x:c r="I988" s="7" t="n">
        <x:f>IFERROR(IFERROR(INDEX('01_Ustawienia'!$B$15:$B$33,MATCH(B988,'01_Ustawienia'!$A$15:$A$33,0)),0.45),0.45)</x:f>
        <x:v>0.45</x:v>
      </x:c>
      <x:c r="J988" s="8" t="n">
        <x:f>IF(H988="","",ROUND(H988*(1+I988),0)+700)</x:f>
        <x:v>2821</x:v>
      </x:c>
      <x:c r="K988" s="582" t="n">
        <x:v>0</x:v>
      </x:c>
      <x:c r="L988" s="582" t="n">
        <x:v>0</x:v>
      </x:c>
      <x:c r="M988" s="7" t="n">
        <x:f>IF('01_Ustawienia'!$B$4="ZWOLNIONY",0,'01_Ustawienia'!$B$7)</x:f>
        <x:v>0.08</x:v>
      </x:c>
      <x:c r="N988" s="8" t="n">
        <x:f>IF(J988="","",ROUND((J988+K988)*(1+M988),0))</x:f>
        <x:v>3047</x:v>
      </x:c>
      <x:c r="O988" s="8" t="n">
        <x:f>IF(J988="","",J988+K988-H988-L988)</x:f>
        <x:v>1358</x:v>
      </x:c>
      <x:c r="P988" s="7" t="n">
        <x:f>IFERROR(O988/(J988+K988),"")</x:f>
        <x:v>0.4813895781637717</x:v>
      </x:c>
      <x:c r="Q988" s="715" t="inlineStr">
        <x:is>
          <x:t xml:space="preserve">MODEL_FIX15_LED</x:t>
        </x:is>
      </x:c>
      <x:c r="R988" s="6" t="inlineStr">
        <x:is>
          <x:t xml:space="preserve">OŚWIETLENIE</x:t>
        </x:is>
      </x:c>
      <x:c r="S988" s="6" t="inlineStr">
        <x:is>
          <x:t xml:space="preserve">website+crm</x:t>
        </x:is>
      </x:c>
      <x:c r="T988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989" s="655" customFormat="1" ht="29.5" customHeight="1">
      <x:c r="A989" s="6" t="inlineStr">
        <x:is>
          <x:t xml:space="preserve">550 x 406 cm</x:t>
        </x:is>
      </x:c>
      <x:c r="B989" s="6" t="inlineStr">
        <x:is>
          <x:t xml:space="preserve">LEDRGBCCT</x:t>
        </x:is>
      </x:c>
      <x:c r="C989" s="6" t="inlineStr">
        <x:is>
          <x:t xml:space="preserve">Oświetlenie LED RGB CCT</x:t>
        </x:is>
      </x:c>
      <x:c r="D989" s="6" t="inlineStr">
        <x:is>
          <x:t xml:space="preserve">OŚWIETLENIE</x:t>
        </x:is>
      </x:c>
      <x:c r="E989" s="8" t="n">
        <x:f>IFERROR(INDEX('02_RAW_INDEX'!$T:$T,MATCH($A989,'02_RAW_INDEX'!$A:$A,0)),"")</x:f>
        <x:v>1920</x:v>
      </x:c>
      <x:c r="F989" s="8" t="n">
        <x:f>IFERROR(INDEX('02_RAW_INDEX'!$S:$S,MATCH($A989,'02_RAW_INDEX'!$A:$A,0)),"")</x:f>
        <x:v>2361</x:v>
      </x:c>
      <x:c r="G989" s="7" t="n">
        <x:f>'01_Ustawienia'!$B$6</x:f>
        <x:v>0</x:v>
      </x:c>
      <x:c r="H989" s="8" t="n">
        <x:f>IF(E989="","",ROUND(IF('01_Ustawienia'!$B$5="BRUTTO",F989,E989)*(1-G989),0))</x:f>
        <x:v>1920</x:v>
      </x:c>
      <x:c r="I989" s="7" t="n">
        <x:f>IFERROR(IFERROR(INDEX('01_Ustawienia'!$B$15:$B$33,MATCH(B989,'01_Ustawienia'!$A$15:$A$33,0)),0.45),0.45)</x:f>
        <x:v>0.45</x:v>
      </x:c>
      <x:c r="J989" s="8" t="n">
        <x:f>IF(H989="","",ROUND(H989*(1+I989),0))</x:f>
        <x:v>2784</x:v>
      </x:c>
      <x:c r="K989" s="582" t="n">
        <x:v>0</x:v>
      </x:c>
      <x:c r="L989" s="582" t="n">
        <x:v>0</x:v>
      </x:c>
      <x:c r="M989" s="7" t="n">
        <x:f>IF('01_Ustawienia'!$B$4="ZWOLNIONY",0,'01_Ustawienia'!$B$7)</x:f>
        <x:v>0.08</x:v>
      </x:c>
      <x:c r="N989" s="8" t="n">
        <x:f>IF(J989="","",ROUND((J989+K989)*(1+M989),0))</x:f>
        <x:v>3007</x:v>
      </x:c>
      <x:c r="O989" s="8" t="n">
        <x:f>IF(J989="","",J989+K989-H989-L989)</x:f>
        <x:v>864</x:v>
      </x:c>
      <x:c r="P989" s="7" t="n">
        <x:f>IFERROR(O989/(J989+K989),"")</x:f>
        <x:v>0.3103448275862069</x:v>
      </x:c>
      <x:c r="Q989" s="715" t="inlineStr">
        <x:is>
          <x:t xml:space="preserve">MODEL_FIX15_LED</x:t>
        </x:is>
      </x:c>
      <x:c r="R989" s="6" t="inlineStr">
        <x:is>
          <x:t xml:space="preserve">OŚWIETLENIE</x:t>
        </x:is>
      </x:c>
      <x:c r="S989" s="6" t="inlineStr">
        <x:is>
          <x:t xml:space="preserve">crm_only</x:t>
        </x:is>
      </x:c>
      <x:c r="T989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990" s="655" customFormat="1" ht="30" customHeight="1">
      <x:c r="A990" s="6" t="inlineStr">
        <x:is>
          <x:t xml:space="preserve">550 x 506 cm</x:t>
        </x:is>
      </x:c>
      <x:c r="B990" s="6" t="inlineStr">
        <x:is>
          <x:t xml:space="preserve">ZP</x:t>
        </x:is>
      </x:c>
      <x:c r="C990" s="6" t="inlineStr">
        <x:is>
          <x:t xml:space="preserve">Zadaszenie poliwęglan - baza</x:t>
        </x:is>
      </x:c>
      <x:c r="D990" s="6" t="inlineStr">
        <x:is>
          <x:t xml:space="preserve">ZADASZENIE POLIWĘGLAN</x:t>
        </x:is>
      </x:c>
      <x:c r="E990" s="8" t="n">
        <x:f>IFERROR(INDEX('02_RAW_INDEX'!$D:$D,MATCH($A990,'02_RAW_INDEX'!$A:$A,0)),"")</x:f>
        <x:v>13528</x:v>
      </x:c>
      <x:c r="F990" s="8" t="n">
        <x:f>IFERROR(INDEX('02_RAW_INDEX'!$C:$C,MATCH($A990,'02_RAW_INDEX'!$A:$A,0)),"")</x:f>
        <x:v>16640</x:v>
      </x:c>
      <x:c r="G990" s="7" t="n">
        <x:f>'01_Ustawienia'!$B$6</x:f>
        <x:v>0</x:v>
      </x:c>
      <x:c r="H990" s="8" t="n">
        <x:f>IF(E990="","",ROUND(IF('01_Ustawienia'!$B$5="BRUTTO",F990,E990)*(1-G990),0))</x:f>
        <x:v>13528</x:v>
      </x:c>
      <x:c r="I990" s="7" t="n">
        <x:f>IFERROR(IFERROR(INDEX('01_Ustawienia'!$B$15:$B$33,MATCH(B990,'01_Ustawienia'!$A$15:$A$33,0)),0.45),0.45)</x:f>
        <x:v>0.45</x:v>
      </x:c>
      <x:c r="J990" s="8" t="n">
        <x:f>IF(H990="","",ROUND(H990*(1+I990),0))</x:f>
        <x:v>19616</x:v>
      </x:c>
      <x:c r="K990" s="580" t="n">
        <x:v>4610</x:v>
      </x:c>
      <x:c r="L990" s="580" t="n">
        <x:v>1410</x:v>
      </x:c>
      <x:c r="M990" s="7" t="n">
        <x:f>IF('01_Ustawienia'!$B$4="ZWOLNIONY",0,'01_Ustawienia'!$B$7)</x:f>
        <x:v>0.08</x:v>
      </x:c>
      <x:c r="N990" s="8" t="n">
        <x:f>IF(J990="","",ROUND((J990+K990)*(1+M990),0))</x:f>
        <x:v>26164</x:v>
      </x:c>
      <x:c r="O990" s="8" t="n">
        <x:f>IF(J990="","",J990+K990-H990-L990)</x:f>
        <x:v>9288</x:v>
      </x:c>
      <x:c r="P990" s="7" t="n">
        <x:f>IFERROR(O990/(J990+K990),"")</x:f>
        <x:v>0.38338974655328983</x:v>
      </x:c>
      <x:c r="Q990" s="6" t="inlineStr">
        <x:is>
          <x:t xml:space="preserve">RAW_ZP B/C</x:t>
        </x:is>
      </x:c>
      <x:c r="R990" s="6" t="inlineStr">
        <x:is>
          <x:t xml:space="preserve">ZADASZENIE TARASU KONSTRUKCJA</x:t>
        </x:is>
      </x:c>
      <x:c r="S990" s="6" t="inlineStr">
        <x:is>
          <x:t xml:space="preserve">website+crm</x:t>
        </x:is>
      </x:c>
      <x:c r="T990" s="581" t="inlineStr">
        <x:is>
          <x:t xml:space="preserve">Baza dla kalkulatora | FIX11: K/L 550/600 wg ark. 09 (UZUPEŁNIĆ).</x:t>
        </x:is>
      </x:c>
    </x:row>
    <x:row r="991" s="655" customFormat="1" ht="30" customHeight="1">
      <x:c r="A991" s="6" t="inlineStr">
        <x:is>
          <x:t xml:space="preserve">550 x 506 cm</x:t>
        </x:is>
      </x:c>
      <x:c r="B991" s="6" t="inlineStr">
        <x:is>
          <x:t xml:space="preserve">ZS</x:t>
        </x:is>
      </x:c>
      <x:c r="C991" s="6" t="inlineStr">
        <x:is>
          <x:t xml:space="preserve">Zadaszenie szkło - pełna konstrukcja</x:t>
        </x:is>
      </x:c>
      <x:c r="D991" s="6" t="inlineStr">
        <x:is>
          <x:t xml:space="preserve">ZADASZENIE SZKŁO</x:t>
        </x:is>
      </x:c>
      <x:c r="E991" s="8" t="str">
        <x:f>IFERROR(INDEX('02_RAW_INDEX'!$V:$V,MATCH($A991,'02_RAW_INDEX'!$A:$A,0)),"")</x:f>
      </x:c>
      <x:c r="F991" s="8" t="str">
        <x:f>IFERROR(INDEX('02_RAW_INDEX'!$U:$U,MATCH($A991,'02_RAW_INDEX'!$A:$A,0)),"")</x:f>
      </x:c>
      <x:c r="G991" s="7" t="n">
        <x:f>'01_Ustawienia'!$B$6</x:f>
        <x:v>0</x:v>
      </x:c>
      <x:c r="H991" s="8" t="str">
        <x:f>IF(E991="","",ROUND(IF('01_Ustawienia'!$B$5="BRUTTO",F991,E991)*(1-G991),0))</x:f>
      </x:c>
      <x:c r="I991" s="7" t="n">
        <x:f>IFERROR(IFERROR(INDEX('01_Ustawienia'!$B$15:$B$33,MATCH(B991,'01_Ustawienia'!$A$15:$A$33,0)),0.45),0.45)</x:f>
        <x:v>0.45</x:v>
      </x:c>
      <x:c r="J991" s="8" t="str">
        <x:f>IF(H991="","",ROUND(H991*(1+I991),0))</x:f>
      </x:c>
      <x:c r="K991" s="580" t="n">
        <x:v>4610</x:v>
      </x:c>
      <x:c r="L991" s="580" t="n">
        <x:v>1810</x:v>
      </x:c>
      <x:c r="M991" s="7" t="n">
        <x:f>IF('01_Ustawienia'!$B$4="ZWOLNIONY",0,'01_Ustawienia'!$B$7)</x:f>
        <x:v>0.08</x:v>
      </x:c>
      <x:c r="N991" s="8" t="str">
        <x:f>IF(J991="","",ROUND((J991+K991)*(1+M991),0))</x:f>
      </x:c>
      <x:c r="O991" s="8" t="str">
        <x:f>IF(J991="","",J991+K991-H991-L991)</x:f>
      </x:c>
      <x:c r="P991" s="7" t="n">
        <x:f>IFERROR(O991/(J991+K991),"")</x:f>
        <x:v>0</x:v>
      </x:c>
      <x:c r="Q991" s="6" t="inlineStr">
        <x:is>
          <x:t xml:space="preserve">RAW_ZS B/C</x:t>
        </x:is>
      </x:c>
      <x:c r="R991" s="6" t="inlineStr">
        <x:is>
          <x:t xml:space="preserve">ZADASZENIE TARASU KONSTRUKCJA</x:t>
        </x:is>
      </x:c>
      <x:c r="S991" s="6" t="inlineStr">
        <x:is>
          <x:t xml:space="preserve">crm_only</x:t>
        </x:is>
      </x:c>
      <x:c r="T991" s="581" t="inlineStr">
        <x:is>
          <x:t xml:space="preserve">Referencyjne/full; strona zwykle używa ZP + PDS | FIX11: K/L 550/600 wg ark. 09 (NIE PUBLIKOWAĆ / BRAK RAW_ZS).</x:t>
        </x:is>
      </x:c>
    </x:row>
    <x:row r="992" s="655" customFormat="1" ht="30" customHeight="1">
      <x:c r="A992" s="6" t="inlineStr">
        <x:is>
          <x:t xml:space="preserve">550 x 506 cm</x:t>
        </x:is>
      </x:c>
      <x:c r="B992" s="6" t="inlineStr">
        <x:is>
          <x:t xml:space="preserve">OP</x:t>
        </x:is>
      </x:c>
      <x:c r="C992" s="6" t="inlineStr">
        <x:is>
          <x:t xml:space="preserve">Ogród zimowy poliwęglan - baza</x:t>
        </x:is>
      </x:c>
      <x:c r="D992" s="6" t="inlineStr">
        <x:is>
          <x:t xml:space="preserve">OGRODY POLIWĘGLAN</x:t>
        </x:is>
      </x:c>
      <x:c r="E992" s="8" t="n">
        <x:f>IFERROR(INDEX('02_RAW_INDEX'!$Z:$Z,MATCH($A992,'02_RAW_INDEX'!$A:$A,0)),"")</x:f>
        <x:v>29203</x:v>
      </x:c>
      <x:c r="F992" s="8" t="n">
        <x:f>IFERROR(INDEX('02_RAW_INDEX'!$Y:$Y,MATCH($A992,'02_RAW_INDEX'!$A:$A,0)),"")</x:f>
        <x:v>35920</x:v>
      </x:c>
      <x:c r="G992" s="7" t="n">
        <x:f>'01_Ustawienia'!$B$6</x:f>
        <x:v>0</x:v>
      </x:c>
      <x:c r="H992" s="8" t="n">
        <x:f>IF(E992="","",ROUND(IF('01_Ustawienia'!$B$5="BRUTTO",F992,E992)*(1-G992),0))</x:f>
        <x:v>29203</x:v>
      </x:c>
      <x:c r="I992" s="7" t="n">
        <x:f>IFERROR(IFERROR(INDEX('01_Ustawienia'!$B$15:$B$33,MATCH(B992,'01_Ustawienia'!$A$15:$A$33,0)),0.45),0.45)</x:f>
        <x:v>0.45</x:v>
      </x:c>
      <x:c r="J992" s="8" t="n">
        <x:f>IF(H992="","",ROUND(H992*(1+I992),0))</x:f>
        <x:v>42344</x:v>
      </x:c>
      <x:c r="K992" s="580" t="n">
        <x:v>5510</x:v>
      </x:c>
      <x:c r="L992" s="580" t="n">
        <x:v>1980</x:v>
      </x:c>
      <x:c r="M992" s="7" t="n">
        <x:f>IF('01_Ustawienia'!$B$4="ZWOLNIONY",0,'01_Ustawienia'!$B$7)</x:f>
        <x:v>0.08</x:v>
      </x:c>
      <x:c r="N992" s="8" t="n">
        <x:f>IF(J992="","",ROUND((J992+K992)*(1+M992),0))</x:f>
        <x:v>51682</x:v>
      </x:c>
      <x:c r="O992" s="8" t="n">
        <x:f>IF(J992="","",J992+K992-H992-L992)</x:f>
        <x:v>16671</x:v>
      </x:c>
      <x:c r="P992" s="7" t="n">
        <x:f>IFERROR(O992/(J992+K992),"")</x:f>
        <x:v>0.3483721319011995</x:v>
      </x:c>
      <x:c r="Q992" s="6" t="inlineStr">
        <x:is>
          <x:t xml:space="preserve">RAW_OP B/C</x:t>
        </x:is>
      </x:c>
      <x:c r="R992" s="6" t="inlineStr">
        <x:is>
          <x:t xml:space="preserve">OGRÓD ZIMOWY (KONSTRUKCJA)</x:t>
        </x:is>
      </x:c>
      <x:c r="S992" s="6" t="inlineStr">
        <x:is>
          <x:t xml:space="preserve">website+crm</x:t>
        </x:is>
      </x:c>
      <x:c r="T992" s="581" t="inlineStr">
        <x:is>
          <x:t xml:space="preserve">Do wyliczenia dopłaty za ściany | FIX11: K/L 550/600 wg ark. 09 (UZUPEŁNIĆ).</x:t>
        </x:is>
      </x:c>
    </x:row>
    <x:row r="993" s="655" customFormat="1" ht="30" customHeight="1">
      <x:c r="A993" s="6" t="inlineStr">
        <x:is>
          <x:t xml:space="preserve">550 x 506 cm</x:t>
        </x:is>
      </x:c>
      <x:c r="B993" s="6" t="inlineStr">
        <x:is>
          <x:t xml:space="preserve">OS</x:t>
        </x:is>
      </x:c>
      <x:c r="C993" s="6" t="inlineStr">
        <x:is>
          <x:t xml:space="preserve">Ogród zimowy szkło - pełna konstrukcja</x:t>
        </x:is>
      </x:c>
      <x:c r="D993" s="6" t="inlineStr">
        <x:is>
          <x:t xml:space="preserve">OGRODY SZKŁO</x:t>
        </x:is>
      </x:c>
      <x:c r="E993" s="8" t="str">
        <x:f>IFERROR(INDEX('02_RAW_INDEX'!$AL:$AL,MATCH($A993,'02_RAW_INDEX'!$A:$A,0)),"")</x:f>
      </x:c>
      <x:c r="F993" s="8" t="str">
        <x:f>IFERROR(INDEX('02_RAW_INDEX'!$AK:$AK,MATCH($A993,'02_RAW_INDEX'!$A:$A,0)),"")</x:f>
      </x:c>
      <x:c r="G993" s="7" t="n">
        <x:f>'01_Ustawienia'!$B$6</x:f>
        <x:v>0</x:v>
      </x:c>
      <x:c r="H993" s="8" t="str">
        <x:f>IF(E993="","",ROUND(IF('01_Ustawienia'!$B$5="BRUTTO",F993,E993)*(1-G993),0))</x:f>
      </x:c>
      <x:c r="I993" s="7" t="n">
        <x:f>IFERROR(IFERROR(INDEX('01_Ustawienia'!$B$15:$B$33,MATCH(B993,'01_Ustawienia'!$A$15:$A$33,0)),0.45),0.45)</x:f>
        <x:v>0.45</x:v>
      </x:c>
      <x:c r="J993" s="8" t="str">
        <x:f>IF(H993="","",ROUND(H993*(1+I993),0))</x:f>
      </x:c>
      <x:c r="K993" s="580" t="n">
        <x:v>5510</x:v>
      </x:c>
      <x:c r="L993" s="580" t="n">
        <x:v>2380</x:v>
      </x:c>
      <x:c r="M993" s="7" t="n">
        <x:f>IF('01_Ustawienia'!$B$4="ZWOLNIONY",0,'01_Ustawienia'!$B$7)</x:f>
        <x:v>0.08</x:v>
      </x:c>
      <x:c r="N993" s="8" t="str">
        <x:f>IF(J993="","",ROUND((J993+K993)*(1+M993),0))</x:f>
      </x:c>
      <x:c r="O993" s="8" t="str">
        <x:f>IF(J993="","",J993+K993-H993-L993)</x:f>
      </x:c>
      <x:c r="P993" s="7" t="n">
        <x:f>IFERROR(O993/(J993+K993),"")</x:f>
        <x:v>0</x:v>
      </x:c>
      <x:c r="Q993" s="6" t="inlineStr">
        <x:is>
          <x:t xml:space="preserve">RAW_OS B/C</x:t>
        </x:is>
      </x:c>
      <x:c r="R993" s="6" t="inlineStr">
        <x:is>
          <x:t xml:space="preserve">OGRÓD ZIMOWY (KONSTRUKCJA)</x:t>
        </x:is>
      </x:c>
      <x:c r="S993" s="6" t="inlineStr">
        <x:is>
          <x:t xml:space="preserve">crm_only</x:t>
        </x:is>
      </x:c>
      <x:c r="T993" s="581" t="inlineStr">
        <x:is>
          <x:t xml:space="preserve">Referencyjne/full | FIX11: K/L 550/600 wg ark. 09 (NIE PUBLIKOWAĆ / BRAK RAW_OS).</x:t>
        </x:is>
      </x:c>
    </x:row>
    <x:row r="994" s="655" customFormat="1" ht="30" customHeight="1">
      <x:c r="A994" s="6" t="inlineStr">
        <x:is>
          <x:t xml:space="preserve">550 x 506 cm</x:t>
        </x:is>
      </x:c>
      <x:c r="B994" s="6" t="inlineStr">
        <x:is>
          <x:t xml:space="preserve">PDS</x:t>
        </x:is>
      </x:c>
      <x:c r="C994" s="6" t="inlineStr">
        <x:is>
          <x:t xml:space="preserve">Dopłata dach szkło przezroczyste</x:t>
        </x:is>
      </x:c>
      <x:c r="D994" s="6" t="inlineStr">
        <x:is>
          <x:t xml:space="preserve">POKRYCIE DACHU SZKŁO</x:t>
        </x:is>
      </x:c>
      <x:c r="E994" s="8" t="n">
        <x:f>IFERROR(IFERROR(INDEX('02_RAW_INDEX'!$V:$V,MATCH($A994,'02_RAW_INDEX'!$A:$A,0)),"")-IFERROR(INDEX('02_RAW_INDEX'!$D:$D,MATCH($A994,'02_RAW_INDEX'!$A:$A,0)),""),"")</x:f>
        <x:v>-13528</x:v>
      </x:c>
      <x:c r="F994" s="8" t="n">
        <x:f>IFERROR(IFERROR(INDEX('02_RAW_INDEX'!$U:$U,MATCH($A994,'02_RAW_INDEX'!$A:$A,0)),"")-IFERROR(INDEX('02_RAW_INDEX'!$C:$C,MATCH($A994,'02_RAW_INDEX'!$A:$A,0)),""),"")</x:f>
        <x:v>-16640</x:v>
      </x:c>
      <x:c r="G994" s="7" t="n">
        <x:f>'01_Ustawienia'!$B$6</x:f>
        <x:v>0</x:v>
      </x:c>
      <x:c r="H994" s="8" t="n">
        <x:f>IF(E994="","",ROUND(IF('01_Ustawienia'!$B$5="BRUTTO",F994,E994)*(1-G994),0))</x:f>
        <x:v>-13528</x:v>
      </x:c>
      <x:c r="I994" s="7" t="n">
        <x:f>IFERROR(IFERROR(INDEX('01_Ustawienia'!$B$15:$B$33,MATCH(B994,'01_Ustawienia'!$A$15:$A$33,0)),0.45),0.45)</x:f>
        <x:v>0.45</x:v>
      </x:c>
      <x:c r="J994" s="8" t="n">
        <x:f>IF(H994="","",ROUND(H994*(1+I994),0))</x:f>
        <x:v>-19616</x:v>
      </x:c>
      <x:c r="K994" s="580" t="n">
        <x:v>0</x:v>
      </x:c>
      <x:c r="L994" s="580" t="n">
        <x:v>0</x:v>
      </x:c>
      <x:c r="M994" s="7" t="n">
        <x:f>IF('01_Ustawienia'!$B$4="ZWOLNIONY",0,'01_Ustawienia'!$B$7)</x:f>
        <x:v>0.08</x:v>
      </x:c>
      <x:c r="N994" s="8" t="n">
        <x:f>IF(J994="","",ROUND((J994+K994)*(1+M994),0))</x:f>
        <x:v>-21185</x:v>
      </x:c>
      <x:c r="O994" s="8" t="n">
        <x:f>IF(J994="","",J994+K994-H994-L994)</x:f>
        <x:v>-6088</x:v>
      </x:c>
      <x:c r="P994" s="7" t="n">
        <x:f>IFERROR(O994/(J994+K994),"")</x:f>
        <x:v>0.3103588907014682</x:v>
      </x:c>
      <x:c r="Q994" s="6" t="inlineStr">
        <x:is>
          <x:t xml:space="preserve">RAW_ZS - RAW_ZP</x:t>
        </x:is>
      </x:c>
      <x:c r="R994" s="6" t="inlineStr">
        <x:is>
          <x:t xml:space="preserve">POKRYCIE DACHU</x:t>
        </x:is>
      </x:c>
      <x:c r="S994" s="6" t="inlineStr">
        <x:is>
          <x:t xml:space="preserve">website+crm</x:t>
        </x:is>
      </x:c>
      <x:c r="T994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995" s="655" customFormat="1" ht="30" customHeight="1">
      <x:c r="A995" s="6" t="inlineStr">
        <x:is>
          <x:t xml:space="preserve">550 x 506 cm</x:t>
        </x:is>
      </x:c>
      <x:c r="B995" s="6" t="inlineStr">
        <x:is>
          <x:t xml:space="preserve">PDSB</x:t>
        </x:is>
      </x:c>
      <x:c r="C995" s="6" t="inlineStr">
        <x:is>
          <x:t xml:space="preserve">Dopłata dach szkło barwione/mleczne</x:t>
        </x:is>
      </x:c>
      <x:c r="D995" s="6" t="inlineStr">
        <x:is>
          <x:t xml:space="preserve">POKRYCIE DACHU SZKŁO BARWIONE</x:t>
        </x:is>
      </x:c>
      <x:c r="E995" s="8" t="str">
        <x:f>IFERROR(INDEX('02_RAW_INDEX'!$X:$X,MATCH($A995,'02_RAW_INDEX'!$A:$A,0)),"")</x:f>
      </x:c>
      <x:c r="F995" s="8" t="str">
        <x:f>IFERROR(INDEX('02_RAW_INDEX'!$W:$W,MATCH($A995,'02_RAW_INDEX'!$A:$A,0)),"")</x:f>
      </x:c>
      <x:c r="G995" s="7" t="n">
        <x:f>'01_Ustawienia'!$B$6</x:f>
        <x:v>0</x:v>
      </x:c>
      <x:c r="H995" s="8" t="str">
        <x:f>IF(E995="","",ROUND(IF('01_Ustawienia'!$B$5="BRUTTO",F995,E995)*(1-G995),0))</x:f>
      </x:c>
      <x:c r="I995" s="7" t="n">
        <x:f>IFERROR(IFERROR(INDEX('01_Ustawienia'!$B$15:$B$33,MATCH(B995,'01_Ustawienia'!$A$15:$A$33,0)),0.45),0.45)</x:f>
        <x:v>0.45</x:v>
      </x:c>
      <x:c r="J995" s="8" t="str">
        <x:f>IF(H995="","",ROUND(H995*(1+I995),0))</x:f>
      </x:c>
      <x:c r="K995" s="582" t="n">
        <x:v>0</x:v>
      </x:c>
      <x:c r="L995" s="582" t="n">
        <x:v>0</x:v>
      </x:c>
      <x:c r="M995" s="7" t="n">
        <x:f>IF('01_Ustawienia'!$B$4="ZWOLNIONY",0,'01_Ustawienia'!$B$7)</x:f>
        <x:v>0.08</x:v>
      </x:c>
      <x:c r="N995" s="8" t="str">
        <x:f>IF(J995="","",ROUND((J995+K995)*(1+M995),0))</x:f>
      </x:c>
      <x:c r="O995" s="8" t="str">
        <x:f>IF(J995="","",J995+K995-H995-L995)</x:f>
      </x:c>
      <x:c r="P995" s="7" t="str">
        <x:f>IFERROR(O995/(J995+K995),"")</x:f>
      </x:c>
      <x:c r="Q995" s="6" t="inlineStr">
        <x:is>
          <x:t xml:space="preserve">RAW_ZS D/E</x:t>
        </x:is>
      </x:c>
      <x:c r="R995" s="6" t="inlineStr">
        <x:is>
          <x:t xml:space="preserve">POKRYCIE DACHU</x:t>
        </x:is>
      </x:c>
      <x:c r="S995" s="6" t="inlineStr">
        <x:is>
          <x:t xml:space="preserve">website+crm</x:t>
        </x:is>
      </x:c>
      <x:c r="T995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996" s="655" customFormat="1" ht="30" customHeight="1">
      <x:c r="A996" s="6" t="inlineStr">
        <x:is>
          <x:t xml:space="preserve">550 x 506 cm</x:t>
        </x:is>
      </x:c>
      <x:c r="B996" s="6" t="inlineStr">
        <x:is>
          <x:t xml:space="preserve">PDPB</x:t>
        </x:is>
      </x:c>
      <x:c r="C996" s="6" t="inlineStr">
        <x:is>
          <x:t xml:space="preserve">Dopłata poliwęglan barwiony</x:t>
        </x:is>
      </x:c>
      <x:c r="D996" s="6" t="inlineStr">
        <x:is>
          <x:t xml:space="preserve">POKRYCIE DACHU POLIWĘGLAN BARWIONY</x:t>
        </x:is>
      </x:c>
      <x:c r="E996" s="8" t="n">
        <x:f>IFERROR(INDEX('02_RAW_INDEX'!$F:$F,MATCH($A996,'02_RAW_INDEX'!$A:$A,0)),"")</x:f>
        <x:v>390</x:v>
      </x:c>
      <x:c r="F996" s="8" t="n">
        <x:f>IFERROR(INDEX('02_RAW_INDEX'!$E:$E,MATCH($A996,'02_RAW_INDEX'!$A:$A,0)),"")</x:f>
        <x:v>480</x:v>
      </x:c>
      <x:c r="G996" s="7" t="n">
        <x:f>'01_Ustawienia'!$B$6</x:f>
        <x:v>0</x:v>
      </x:c>
      <x:c r="H996" s="8" t="n">
        <x:f>IF(E996="","",ROUND(IF('01_Ustawienia'!$B$5="BRUTTO",F996,E996)*(1-G996),0))</x:f>
        <x:v>390</x:v>
      </x:c>
      <x:c r="I996" s="7" t="n">
        <x:f>IFERROR(IFERROR(INDEX('01_Ustawienia'!$B$15:$B$33,MATCH(B996,'01_Ustawienia'!$A$15:$A$33,0)),0.45),0.45)</x:f>
        <x:v>0.45</x:v>
      </x:c>
      <x:c r="J996" s="8" t="n">
        <x:f>IF(H996="","",ROUND(H996*(1+I996),0))</x:f>
        <x:v>566</x:v>
      </x:c>
      <x:c r="K996" s="582" t="n">
        <x:v>0</x:v>
      </x:c>
      <x:c r="L996" s="582" t="n">
        <x:v>0</x:v>
      </x:c>
      <x:c r="M996" s="7" t="n">
        <x:f>IF('01_Ustawienia'!$B$4="ZWOLNIONY",0,'01_Ustawienia'!$B$7)</x:f>
        <x:v>0.08</x:v>
      </x:c>
      <x:c r="N996" s="8" t="n">
        <x:f>IF(J996="","",ROUND((J996+K996)*(1+M996),0))</x:f>
        <x:v>611</x:v>
      </x:c>
      <x:c r="O996" s="8" t="n">
        <x:f>IF(J996="","",J996+K996-H996-L996)</x:f>
        <x:v>176</x:v>
      </x:c>
      <x:c r="P996" s="7" t="n">
        <x:f>IFERROR(O996/(J996+K996),"")</x:f>
        <x:v>0.31095406360424027</x:v>
      </x:c>
      <x:c r="Q996" s="6" t="inlineStr">
        <x:is>
          <x:t xml:space="preserve">RAW_ZP D/E</x:t>
        </x:is>
      </x:c>
      <x:c r="R996" s="6" t="inlineStr">
        <x:is>
          <x:t xml:space="preserve">POKRYCIE DACHU</x:t>
        </x:is>
      </x:c>
      <x:c r="S996" s="6" t="inlineStr">
        <x:is>
          <x:t xml:space="preserve">website+crm</x:t>
        </x:is>
      </x:c>
      <x:c r="T996" s="581" t="inlineStr">
        <x:is>
          <x:t xml:space="preserve">FIX11: K/L 550/600 wg ark. 09 (POZOSTAWIĆ 0). | FIX17: Wynagr.+koszty = 0 dla dopłaty; nie jest osobnym montażem ekipy.</x:t>
        </x:is>
      </x:c>
    </x:row>
    <x:row r="997" s="655" customFormat="1" ht="30" customHeight="1">
      <x:c r="A997" s="6" t="inlineStr">
        <x:is>
          <x:t xml:space="preserve">550 x 506 cm</x:t>
        </x:is>
      </x:c>
      <x:c r="B997" s="6" t="inlineStr">
        <x:is>
          <x:t xml:space="preserve">SBB</x:t>
        </x:is>
      </x:c>
      <x:c r="C997" s="6" t="inlineStr">
        <x:is>
          <x:t xml:space="preserve">Dopłata szkło boczne przyciemniane</x:t>
        </x:is>
      </x:c>
      <x:c r="D997" s="6" t="inlineStr">
        <x:is>
          <x:t xml:space="preserve">SZKŁO BOCZNE BARWIONE</x:t>
        </x:is>
      </x:c>
      <x:c r="E997" s="8" t="n">
        <x:f>IFERROR(INDEX('02_RAW_INDEX'!$AB:$AB,MATCH($A997,'02_RAW_INDEX'!$A:$A,0)),"")</x:f>
        <x:v>1659</x:v>
      </x:c>
      <x:c r="F997" s="8" t="n">
        <x:f>IFERROR(INDEX('02_RAW_INDEX'!$AA:$AA,MATCH($A997,'02_RAW_INDEX'!$A:$A,0)),"")</x:f>
        <x:v>2040</x:v>
      </x:c>
      <x:c r="G997" s="7" t="n">
        <x:f>'01_Ustawienia'!$B$6</x:f>
        <x:v>0</x:v>
      </x:c>
      <x:c r="H997" s="8" t="n">
        <x:f>IF(E997="","",ROUND(IF('01_Ustawienia'!$B$5="BRUTTO",F997,E997)*(1-G997),0))</x:f>
        <x:v>1659</x:v>
      </x:c>
      <x:c r="I997" s="7" t="n">
        <x:f>IFERROR(IFERROR(INDEX('01_Ustawienia'!$B$15:$B$33,MATCH(B997,'01_Ustawienia'!$A$15:$A$33,0)),0.45),0.45)</x:f>
        <x:v>0.45</x:v>
      </x:c>
      <x:c r="J997" s="8" t="n">
        <x:f>IF(H997="","",ROUND(H997*(1+I997),0))</x:f>
        <x:v>2406</x:v>
      </x:c>
      <x:c r="K997" s="582" t="n">
        <x:v>0</x:v>
      </x:c>
      <x:c r="L997" s="582" t="n">
        <x:v>0</x:v>
      </x:c>
      <x:c r="M997" s="7" t="n">
        <x:f>IF('01_Ustawienia'!$B$4="ZWOLNIONY",0,'01_Ustawienia'!$B$7)</x:f>
        <x:v>0.08</x:v>
      </x:c>
      <x:c r="N997" s="8" t="n">
        <x:f>IF(J997="","",ROUND((J997+K997)*(1+M997),0))</x:f>
        <x:v>2598</x:v>
      </x:c>
      <x:c r="O997" s="8" t="n">
        <x:f>IF(J997="","",J997+K997-H997-L997)</x:f>
        <x:v>747</x:v>
      </x:c>
      <x:c r="P997" s="7" t="n">
        <x:f>IFERROR(O997/(J997+K997),"")</x:f>
        <x:v>0.3104738154613466</x:v>
      </x:c>
      <x:c r="Q997" s="6" t="inlineStr">
        <x:is>
          <x:t xml:space="preserve">RAW_OP H/I</x:t>
        </x:is>
      </x:c>
      <x:c r="R997" s="6" t="inlineStr">
        <x:is>
          <x:t xml:space="preserve">SZYBY BOCZNE</x:t>
        </x:is>
      </x:c>
      <x:c r="S997" s="6" t="inlineStr">
        <x:is>
          <x:t xml:space="preserve">website+crm</x:t>
        </x:is>
      </x:c>
      <x:c r="T997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998" s="655" customFormat="1" ht="29.5" customHeight="1">
      <x:c r="A998" s="6" t="inlineStr">
        <x:is>
          <x:t xml:space="preserve">550 x 506 cm</x:t>
        </x:is>
      </x:c>
      <x:c r="B998" s="6" t="inlineStr">
        <x:is>
          <x:t xml:space="preserve">RB</x:t>
        </x:is>
      </x:c>
      <x:c r="C998" s="6" t="inlineStr">
        <x:is>
          <x:t xml:space="preserve">Roleta boczna ZIP</x:t>
        </x:is>
      </x:c>
      <x:c r="D998" s="6" t="inlineStr">
        <x:is>
          <x:t xml:space="preserve">ROLETA BOCZNA</x:t>
        </x:is>
      </x:c>
      <x:c r="E998" s="8" t="n">
        <x:f>IFERROR(INDEX('02_RAW_INDEX'!$J:$J,MATCH($A998,'02_RAW_INDEX'!$A:$A,0)),"")</x:f>
        <x:v>3236</x:v>
      </x:c>
      <x:c r="F998" s="8" t="n">
        <x:f>IFERROR(INDEX('02_RAW_INDEX'!$I:$I,MATCH($A998,'02_RAW_INDEX'!$A:$A,0)),"")</x:f>
        <x:v>3980</x:v>
      </x:c>
      <x:c r="G998" s="7" t="n">
        <x:f>'01_Ustawienia'!$B$6</x:f>
        <x:v>0</x:v>
      </x:c>
      <x:c r="H998" s="8" t="n">
        <x:f>IF(E998="","",ROUND(IF('01_Ustawienia'!$B$5="BRUTTO",F998,E998)*(1-G998),0))</x:f>
        <x:v>3236</x:v>
      </x:c>
      <x:c r="I998" s="7" t="n">
        <x:f>IFERROR(IFERROR(INDEX('01_Ustawienia'!$B$15:$B$33,MATCH(B998,'01_Ustawienia'!$A$15:$A$33,0)),0.45),0.45)</x:f>
        <x:v>0.45</x:v>
      </x:c>
      <x:c r="J998" s="8" t="n">
        <x:f>IF(H998="","",ROUND(H998*(1+I998),0))</x:f>
        <x:v>4692</x:v>
      </x:c>
      <x:c r="K998" s="580" t="n">
        <x:v>0</x:v>
      </x:c>
      <x:c r="L998" s="580" t="n">
        <x:v>150</x:v>
      </x:c>
      <x:c r="M998" s="7" t="n">
        <x:f>IF('01_Ustawienia'!$B$4="ZWOLNIONY",0,'01_Ustawienia'!$B$7)</x:f>
        <x:v>0.08</x:v>
      </x:c>
      <x:c r="N998" s="8" t="n">
        <x:f>IF(J998="","",ROUND((J998+K998)*(1+M998),0))</x:f>
        <x:v>5067</x:v>
      </x:c>
      <x:c r="O998" s="8" t="n">
        <x:f>IF(J998="","",J998+K998-H998-L998)</x:f>
        <x:v>1306</x:v>
      </x:c>
      <x:c r="P998" s="7" t="n">
        <x:f>IFERROR(O998/(J998+K998),"")</x:f>
        <x:v>0.2783461210571185</x:v>
      </x:c>
      <x:c r="Q998" s="6" t="inlineStr">
        <x:is>
          <x:t xml:space="preserve">RAW_ZP J/K</x:t>
        </x:is>
      </x:c>
      <x:c r="R998" s="6" t="inlineStr">
        <x:is>
          <x:t xml:space="preserve">ROLETY BOCZNE</x:t>
        </x:is>
      </x:c>
      <x:c r="S998" s="6" t="inlineStr">
        <x:is>
          <x:t xml:space="preserve">website+crm</x:t>
        </x:is>
      </x:c>
      <x:c r="T998" s="581" t="inlineStr">
        <x:is>
          <x:t xml:space="preserve">Używana dla lewej i prawej | FIX11: K/L 550/600 wg ark. 09 (UZUPEŁNIĆ L).</x:t>
        </x:is>
      </x:c>
    </x:row>
    <x:row r="999" s="655" customFormat="1" ht="29.5" customHeight="1">
      <x:c r="A999" s="6" t="inlineStr">
        <x:is>
          <x:t xml:space="preserve">550 x 506 cm</x:t>
        </x:is>
      </x:c>
      <x:c r="B999" s="6" t="inlineStr">
        <x:is>
          <x:t xml:space="preserve">RP</x:t>
        </x:is>
      </x:c>
      <x:c r="C999" s="6" t="inlineStr">
        <x:is>
          <x:t xml:space="preserve">Roleta przednia ZIP</x:t>
        </x:is>
      </x:c>
      <x:c r="D999" s="6" t="inlineStr">
        <x:is>
          <x:t xml:space="preserve">ROLETA PRZÓD</x:t>
        </x:is>
      </x:c>
      <x:c r="E999" s="8" t="n">
        <x:f>IFERROR(INDEX('02_RAW_INDEX'!$L:$L,MATCH($A999,'02_RAW_INDEX'!$A:$A,0)),"")</x:f>
        <x:v>3008</x:v>
      </x:c>
      <x:c r="F999" s="8" t="n">
        <x:f>IFERROR(INDEX('02_RAW_INDEX'!$K:$K,MATCH($A999,'02_RAW_INDEX'!$A:$A,0)),"")</x:f>
        <x:v>3700</x:v>
      </x:c>
      <x:c r="G999" s="7" t="n">
        <x:f>'01_Ustawienia'!$B$6</x:f>
        <x:v>0</x:v>
      </x:c>
      <x:c r="H999" s="8" t="n">
        <x:f>IF(E999="","",ROUND(IF('01_Ustawienia'!$B$5="BRUTTO",F999,E999)*(1-G999),0))</x:f>
        <x:v>3008</x:v>
      </x:c>
      <x:c r="I999" s="7" t="n">
        <x:f>IFERROR(IFERROR(INDEX('01_Ustawienia'!$B$15:$B$33,MATCH(B999,'01_Ustawienia'!$A$15:$A$33,0)),0.45),0.45)</x:f>
        <x:v>0.45</x:v>
      </x:c>
      <x:c r="J999" s="8" t="n">
        <x:f>IF(H999="","",ROUND(H999*(1+I999),0))</x:f>
        <x:v>4362</x:v>
      </x:c>
      <x:c r="K999" s="580" t="n">
        <x:v>0</x:v>
      </x:c>
      <x:c r="L999" s="580" t="n">
        <x:v>300</x:v>
      </x:c>
      <x:c r="M999" s="7" t="n">
        <x:f>IF('01_Ustawienia'!$B$4="ZWOLNIONY",0,'01_Ustawienia'!$B$7)</x:f>
        <x:v>0.08</x:v>
      </x:c>
      <x:c r="N999" s="8" t="n">
        <x:f>IF(J999="","",ROUND((J999+K999)*(1+M999),0))</x:f>
        <x:v>4711</x:v>
      </x:c>
      <x:c r="O999" s="8" t="n">
        <x:f>IF(J999="","",J999+K999-H999-L999)</x:f>
        <x:v>1054</x:v>
      </x:c>
      <x:c r="P999" s="7" t="n">
        <x:f>IFERROR(O999/(J999+K999),"")</x:f>
        <x:v>0.24163227877120586</x:v>
      </x:c>
      <x:c r="Q999" s="6" t="inlineStr">
        <x:is>
          <x:t xml:space="preserve">RAW_ZP N/O</x:t>
        </x:is>
      </x:c>
      <x:c r="R999" s="6" t="inlineStr">
        <x:is>
          <x:t xml:space="preserve">ROLETY BOCZNE</x:t>
        </x:is>
      </x:c>
      <x:c r="S999" s="6" t="inlineStr">
        <x:is>
          <x:t xml:space="preserve">website+crm</x:t>
        </x:is>
      </x:c>
      <x:c r="T999" s="581" t="inlineStr">
        <x:is>
          <x:t xml:space="preserve">FIX11: K/L 550/600 wg ark. 09 (UZUPEŁNIĆ L).</x:t>
        </x:is>
      </x:c>
    </x:row>
    <x:row r="1000" s="655" customFormat="1" ht="29.5" customHeight="1">
      <x:c r="A1000" s="6" t="inlineStr">
        <x:is>
          <x:t xml:space="preserve">550 x 506 cm</x:t>
        </x:is>
      </x:c>
      <x:c r="B1000" s="6" t="inlineStr">
        <x:is>
          <x:t xml:space="preserve">M</x:t>
        </x:is>
      </x:c>
      <x:c r="C1000" s="6" t="inlineStr">
        <x:is>
          <x:t xml:space="preserve">Markiza dachowa</x:t>
        </x:is>
      </x:c>
      <x:c r="D1000" s="6" t="inlineStr">
        <x:is>
          <x:t xml:space="preserve">MARKIZA</x:t>
        </x:is>
      </x:c>
      <x:c r="E1000" s="8" t="n">
        <x:f>IFERROR(INDEX('02_RAW_INDEX'!$H:$H,MATCH($A1000,'02_RAW_INDEX'!$A:$A,0)),"")</x:f>
        <x:v>4520</x:v>
      </x:c>
      <x:c r="F1000" s="8" t="n">
        <x:f>IFERROR(INDEX('02_RAW_INDEX'!$G:$G,MATCH($A1000,'02_RAW_INDEX'!$A:$A,0)),"")</x:f>
        <x:v>5560</x:v>
      </x:c>
      <x:c r="G1000" s="7" t="n">
        <x:f>'01_Ustawienia'!$B$6</x:f>
        <x:v>0</x:v>
      </x:c>
      <x:c r="H1000" s="8" t="n">
        <x:f>IF(E1000="","",ROUND(IF('01_Ustawienia'!$B$5="BRUTTO",F1000,E1000)*(1-G1000),0))</x:f>
        <x:v>4520</x:v>
      </x:c>
      <x:c r="I1000" s="7" t="n">
        <x:f>IFERROR(IFERROR(INDEX('01_Ustawienia'!$B$15:$B$33,MATCH(B1000,'01_Ustawienia'!$A$15:$A$33,0)),0.45),0.45)</x:f>
        <x:v>0.45</x:v>
      </x:c>
      <x:c r="J1000" s="8" t="n">
        <x:f>IF(H1000="","",ROUND(H1000*(1+I1000),0))</x:f>
        <x:v>6554</x:v>
      </x:c>
      <x:c r="K1000" s="580" t="n">
        <x:v>0</x:v>
      </x:c>
      <x:c r="L1000" s="580" t="n">
        <x:v>300</x:v>
      </x:c>
      <x:c r="M1000" s="7" t="n">
        <x:f>IF('01_Ustawienia'!$B$4="ZWOLNIONY",0,'01_Ustawienia'!$B$7)</x:f>
        <x:v>0.08</x:v>
      </x:c>
      <x:c r="N1000" s="8" t="n">
        <x:f>IF(J1000="","",ROUND((J1000+K1000)*(1+M1000),0))</x:f>
        <x:v>7078</x:v>
      </x:c>
      <x:c r="O1000" s="8" t="n">
        <x:f>IF(J1000="","",J1000+K1000-H1000-L1000)</x:f>
        <x:v>1734</x:v>
      </x:c>
      <x:c r="P1000" s="7" t="n">
        <x:f>IFERROR(O1000/(J1000+K1000),"")</x:f>
        <x:v>0.2645712541959109</x:v>
      </x:c>
      <x:c r="Q1000" s="6" t="inlineStr">
        <x:is>
          <x:t xml:space="preserve">RAW_ZP H/I</x:t>
        </x:is>
      </x:c>
      <x:c r="R1000" s="6" t="inlineStr">
        <x:is>
          <x:t xml:space="preserve">MARKIZA</x:t>
        </x:is>
      </x:c>
      <x:c r="S1000" s="6" t="inlineStr">
        <x:is>
          <x:t xml:space="preserve">website+crm</x:t>
        </x:is>
      </x:c>
      <x:c r="T1000" s="581" t="inlineStr">
        <x:is>
          <x:t xml:space="preserve">FIX11: K/L 550/600 wg ark. 09 (UZUPEŁNIĆ L).</x:t>
        </x:is>
      </x:c>
    </x:row>
    <x:row r="1001" s="655" customFormat="1" ht="44.25" customHeight="1">
      <x:c r="A1001" s="6" t="inlineStr">
        <x:is>
          <x:t xml:space="preserve">550 x 506 cm</x:t>
        </x:is>
      </x:c>
      <x:c r="B1001" s="6" t="inlineStr">
        <x:is>
          <x:t xml:space="preserve">PDWP</x:t>
        </x:is>
      </x:c>
      <x:c r="C1001" s="6" t="inlineStr">
        <x:is>
          <x:t xml:space="preserve">Fundament/profile</x:t>
        </x:is>
      </x:c>
      <x:c r="D1001" s="6" t="inlineStr">
        <x:is>
          <x:t xml:space="preserve">FUNDAMENT / PROFILE</x:t>
        </x:is>
      </x:c>
      <x:c r="E1001" s="8" t="n">
        <x:f>IFERROR(INDEX('02_RAW_INDEX'!$AH:$AH,MATCH($A1001,'02_RAW_INDEX'!$A:$A,0)),"")</x:f>
        <x:v>1146</x:v>
      </x:c>
      <x:c r="F1001" s="8" t="n">
        <x:f>IFERROR(INDEX('02_RAW_INDEX'!$AG:$AG,MATCH($A1001,'02_RAW_INDEX'!$A:$A,0)),"")</x:f>
        <x:v>1410</x:v>
      </x:c>
      <x:c r="G1001" s="7" t="n">
        <x:f>'01_Ustawienia'!$B$6</x:f>
        <x:v>0</x:v>
      </x:c>
      <x:c r="H1001" s="8" t="n">
        <x:f>IF(E1001="","",ROUND(IF('01_Ustawienia'!$B$5="BRUTTO",F1001,E1001)*(1-G1001),0))</x:f>
        <x:v>1146</x:v>
      </x:c>
      <x:c r="I1001" s="7" t="n">
        <x:f>IFERROR(IFERROR(INDEX('01_Ustawienia'!$B$15:$B$33,MATCH(B1001,'01_Ustawienia'!$A$15:$A$33,0)),0.45),0.45)</x:f>
        <x:v>1.2</x:v>
      </x:c>
      <x:c r="J1001" s="8" t="n">
        <x:f>IF(H1001="","",ROUND(H1001*(1+I1001),0))</x:f>
        <x:v>2521</x:v>
      </x:c>
      <x:c r="K1001" s="580" t="n">
        <x:v>590</x:v>
      </x:c>
      <x:c r="L1001" s="580" t="n">
        <x:v>540</x:v>
      </x:c>
      <x:c r="M1001" s="7" t="n">
        <x:f>IF('01_Ustawienia'!$B$4="ZWOLNIONY",0,'01_Ustawienia'!$B$7)</x:f>
        <x:v>0.08</x:v>
      </x:c>
      <x:c r="N1001" s="8" t="n">
        <x:f>IF(J1001="","",ROUND((J1001+K1001)*(1+M1001),0))</x:f>
        <x:v>3360</x:v>
      </x:c>
      <x:c r="O1001" s="8" t="n">
        <x:f>IF(J1001="","",J1001+K1001-H1001-L1001)</x:f>
        <x:v>1425</x:v>
      </x:c>
      <x:c r="P1001" s="7" t="n">
        <x:f>IFERROR(O1001/(J1001+K1001),"")</x:f>
        <x:v>0.45805207328833175</x:v>
      </x:c>
      <x:c r="Q1001" s="6" t="inlineStr">
        <x:is>
          <x:t xml:space="preserve">RAW_OP AB/AC</x:t>
        </x:is>
      </x:c>
      <x:c r="R1001" s="6" t="inlineStr">
        <x:is>
          <x:t xml:space="preserve">FUNDAMENT (PROFILE)</x:t>
        </x:is>
      </x:c>
      <x:c r="S1001" s="6" t="inlineStr">
        <x:is>
          <x:t xml:space="preserve">website+crm</x:t>
        </x:is>
      </x:c>
      <x:c r="T1001" s="581" t="inlineStr">
        <x:is>
          <x:t xml:space="preserve">FIX11: K/L 550/600 wg ark. 09 (UZUPEŁNIĆ K+L / KOREKTA RENTOWNOŚCI).</x:t>
        </x:is>
      </x:c>
    </x:row>
    <x:row r="1002" s="655" customFormat="1" ht="30" customHeight="1">
      <x:c r="A1002" s="6" t="inlineStr">
        <x:is>
          <x:t xml:space="preserve">550 x 506 cm</x:t>
        </x:is>
      </x:c>
      <x:c r="B1002" s="6" t="inlineStr">
        <x:is>
          <x:t xml:space="preserve">ZAB</x:t>
        </x:is>
      </x:c>
      <x:c r="C1002" s="6" t="inlineStr">
        <x:is>
          <x:t xml:space="preserve">Zabieraki do ścian przesuwnych</x:t>
        </x:is>
      </x:c>
      <x:c r="D1002" s="6" t="inlineStr">
        <x:is>
          <x:t xml:space="preserve">DODATKI</x:t>
        </x:is>
      </x:c>
      <x:c r="E1002" s="8" t="n">
        <x:f>IFERROR(INDEX('02_RAW_INDEX'!$AJ:$AJ,MATCH($A1002,'02_RAW_INDEX'!$A:$A,0)),"")</x:f>
        <x:v>423</x:v>
      </x:c>
      <x:c r="F1002" s="8" t="n">
        <x:f>IFERROR(INDEX('02_RAW_INDEX'!$AI:$AI,MATCH($A1002,'02_RAW_INDEX'!$A:$A,0)),"")</x:f>
        <x:v>520</x:v>
      </x:c>
      <x:c r="G1002" s="7" t="n">
        <x:f>'01_Ustawienia'!$B$6</x:f>
        <x:v>0</x:v>
      </x:c>
      <x:c r="H1002" s="8" t="n">
        <x:f>IF(E1002="","",ROUND(IF('01_Ustawienia'!$B$5="BRUTTO",F1002,E1002)*(1-G1002),0))</x:f>
        <x:v>423</x:v>
      </x:c>
      <x:c r="I1002" s="7" t="n">
        <x:f>IFERROR(IFERROR(INDEX('01_Ustawienia'!$B$15:$B$33,MATCH(B1002,'01_Ustawienia'!$A$15:$A$33,0)),0.45),0.45)</x:f>
        <x:v>0.45</x:v>
      </x:c>
      <x:c r="J1002" s="8" t="n">
        <x:f>IF(H1002="","",ROUND(H1002*(1+I1002),0))</x:f>
        <x:v>613</x:v>
      </x:c>
      <x:c r="K1002" s="582" t="n">
        <x:v>0</x:v>
      </x:c>
      <x:c r="L1002" s="582" t="n">
        <x:v>0</x:v>
      </x:c>
      <x:c r="M1002" s="7" t="n">
        <x:f>IF('01_Ustawienia'!$B$4="ZWOLNIONY",0,'01_Ustawienia'!$B$7)</x:f>
        <x:v>0.08</x:v>
      </x:c>
      <x:c r="N1002" s="8" t="n">
        <x:f>IF(J1002="","",ROUND((J1002+K1002)*(1+M1002),0))</x:f>
        <x:v>662</x:v>
      </x:c>
      <x:c r="O1002" s="8" t="n">
        <x:f>IF(J1002="","",J1002+K1002-H1002-L1002)</x:f>
        <x:v>190</x:v>
      </x:c>
      <x:c r="P1002" s="7" t="n">
        <x:f>IFERROR(O1002/(J1002+K1002),"")</x:f>
        <x:v>0.3099510603588907</x:v>
      </x:c>
      <x:c r="Q1002" s="6" t="inlineStr">
        <x:is>
          <x:t xml:space="preserve">RAW_OP AD/AE</x:t>
        </x:is>
      </x:c>
      <x:c r="R1002" s="6" t="inlineStr">
        <x:is>
          <x:t xml:space="preserve">DODATKI</x:t>
        </x:is>
      </x:c>
      <x:c r="S1002" s="6" t="inlineStr">
        <x:is>
          <x:t xml:space="preserve">crm_only</x:t>
        </x:is>
      </x:c>
      <x:c r="T1002" s="581" t="inlineStr">
        <x:is>
          <x:t xml:space="preserve">FIX11: K/L 550/600 wg ark. 09 (POZOSTAWIĆ 0).</x:t>
        </x:is>
      </x:c>
    </x:row>
    <x:row r="1003" s="655" customFormat="1" ht="29.5" customHeight="1">
      <x:c r="A1003" s="6" t="inlineStr">
        <x:is>
          <x:t xml:space="preserve">550 x 506 cm</x:t>
        </x:is>
      </x:c>
      <x:c r="B1003" s="6" t="inlineStr">
        <x:is>
          <x:t xml:space="preserve">S</x:t>
        </x:is>
      </x:c>
      <x:c r="C1003" s="6" t="inlineStr">
        <x:is>
          <x:t xml:space="preserve">Szczotki przeciwkurzowe</x:t>
        </x:is>
      </x:c>
      <x:c r="D1003" s="6" t="inlineStr">
        <x:is>
          <x:t xml:space="preserve">SZCZOTKI</x:t>
        </x:is>
      </x:c>
      <x:c r="E1003" s="8" t="n">
        <x:f>IFERROR(INDEX('02_RAW_INDEX'!$AD:$AD,MATCH($A1003,'02_RAW_INDEX'!$A:$A,0)),"")</x:f>
        <x:v>463</x:v>
      </x:c>
      <x:c r="F1003" s="8" t="n">
        <x:f>IFERROR(INDEX('02_RAW_INDEX'!$AC:$AC,MATCH($A1003,'02_RAW_INDEX'!$A:$A,0)),"")</x:f>
        <x:v>570</x:v>
      </x:c>
      <x:c r="G1003" s="7" t="n">
        <x:f>'01_Ustawienia'!$B$6</x:f>
        <x:v>0</x:v>
      </x:c>
      <x:c r="H1003" s="8" t="n">
        <x:f>IF(E1003="","",ROUND(IF('01_Ustawienia'!$B$5="BRUTTO",F1003,E1003)*(1-G1003),0))</x:f>
        <x:v>463</x:v>
      </x:c>
      <x:c r="I1003" s="7" t="n">
        <x:f>IFERROR(IFERROR(INDEX('01_Ustawienia'!$B$15:$B$33,MATCH(B1003,'01_Ustawienia'!$A$15:$A$33,0)),0.45),0.45)</x:f>
        <x:v>0.45</x:v>
      </x:c>
      <x:c r="J1003" s="8" t="n">
        <x:f>IF(H1003="","",ROUND(H1003*(1+I1003),0))</x:f>
        <x:v>671</x:v>
      </x:c>
      <x:c r="K1003" s="582" t="n">
        <x:v>0</x:v>
      </x:c>
      <x:c r="L1003" s="582" t="n">
        <x:v>0</x:v>
      </x:c>
      <x:c r="M1003" s="7" t="n">
        <x:f>IF('01_Ustawienia'!$B$4="ZWOLNIONY",0,'01_Ustawienia'!$B$7)</x:f>
        <x:v>0.08</x:v>
      </x:c>
      <x:c r="N1003" s="8" t="n">
        <x:f>IF(J1003="","",ROUND((J1003+K1003)*(1+M1003),0))</x:f>
        <x:v>725</x:v>
      </x:c>
      <x:c r="O1003" s="8" t="n">
        <x:f>IF(J1003="","",J1003+K1003-H1003-L1003)</x:f>
        <x:v>208</x:v>
      </x:c>
      <x:c r="P1003" s="7" t="n">
        <x:f>IFERROR(O1003/(J1003+K1003),"")</x:f>
        <x:v>0.30998509687034276</x:v>
      </x:c>
      <x:c r="Q1003" s="6" t="inlineStr">
        <x:is>
          <x:t xml:space="preserve">RAW_OP L/M</x:t>
        </x:is>
      </x:c>
      <x:c r="R1003" s="6" t="inlineStr">
        <x:is>
          <x:t xml:space="preserve">DODATKI</x:t>
        </x:is>
      </x:c>
      <x:c r="S1003" s="6" t="inlineStr">
        <x:is>
          <x:t xml:space="preserve">website+crm</x:t>
        </x:is>
      </x:c>
      <x:c r="T1003" s="581" t="inlineStr">
        <x:is>
          <x:t xml:space="preserve">FIX11: K/L 550/600 wg ark. 09 (POZOSTAWIĆ 0).</x:t>
        </x:is>
      </x:c>
    </x:row>
    <x:row r="1004" s="655" customFormat="1" ht="29.5" customHeight="1">
      <x:c r="A1004" s="6" t="inlineStr">
        <x:is>
          <x:t xml:space="preserve">550 x 506 cm</x:t>
        </x:is>
      </x:c>
      <x:c r="B1004" s="6" t="inlineStr">
        <x:is>
          <x:t xml:space="preserve">U</x:t>
        </x:is>
      </x:c>
      <x:c r="C1004" s="6" t="inlineStr">
        <x:is>
          <x:t xml:space="preserve">Uchwyty na szkło ścienne</x:t>
        </x:is>
      </x:c>
      <x:c r="D1004" s="6" t="inlineStr">
        <x:is>
          <x:t xml:space="preserve">UCHWYTY</x:t>
        </x:is>
      </x:c>
      <x:c r="E1004" s="8" t="n">
        <x:f>IFERROR(INDEX('02_RAW_INDEX'!$AF:$AF,MATCH($A1004,'02_RAW_INDEX'!$A:$A,0)),"")</x:f>
        <x:v>423</x:v>
      </x:c>
      <x:c r="F1004" s="8" t="n">
        <x:f>IFERROR(INDEX('02_RAW_INDEX'!$AE:$AE,MATCH($A1004,'02_RAW_INDEX'!$A:$A,0)),"")</x:f>
        <x:v>520</x:v>
      </x:c>
      <x:c r="G1004" s="7" t="n">
        <x:f>'01_Ustawienia'!$B$6</x:f>
        <x:v>0</x:v>
      </x:c>
      <x:c r="H1004" s="8" t="n">
        <x:f>IF(E1004="","",ROUND(IF('01_Ustawienia'!$B$5="BRUTTO",F1004,E1004)*(1-G1004),0))</x:f>
        <x:v>423</x:v>
      </x:c>
      <x:c r="I1004" s="7" t="n">
        <x:f>IFERROR(IFERROR(INDEX('01_Ustawienia'!$B$15:$B$33,MATCH(B1004,'01_Ustawienia'!$A$15:$A$33,0)),0.45),0.45)</x:f>
        <x:v>0.45</x:v>
      </x:c>
      <x:c r="J1004" s="8" t="n">
        <x:f>IF(H1004="","",ROUND(H1004*(1+I1004),0))</x:f>
        <x:v>613</x:v>
      </x:c>
      <x:c r="K1004" s="582" t="n">
        <x:v>0</x:v>
      </x:c>
      <x:c r="L1004" s="582" t="n">
        <x:v>0</x:v>
      </x:c>
      <x:c r="M1004" s="7" t="n">
        <x:f>IF('01_Ustawienia'!$B$4="ZWOLNIONY",0,'01_Ustawienia'!$B$7)</x:f>
        <x:v>0.08</x:v>
      </x:c>
      <x:c r="N1004" s="8" t="n">
        <x:f>IF(J1004="","",ROUND((J1004+K1004)*(1+M1004),0))</x:f>
        <x:v>662</x:v>
      </x:c>
      <x:c r="O1004" s="8" t="n">
        <x:f>IF(J1004="","",J1004+K1004-H1004-L1004)</x:f>
        <x:v>190</x:v>
      </x:c>
      <x:c r="P1004" s="7" t="n">
        <x:f>IFERROR(O1004/(J1004+K1004),"")</x:f>
        <x:v>0.3099510603588907</x:v>
      </x:c>
      <x:c r="Q1004" s="6" t="inlineStr">
        <x:is>
          <x:t xml:space="preserve">RAW_OP N/O</x:t>
        </x:is>
      </x:c>
      <x:c r="R1004" s="6" t="inlineStr">
        <x:is>
          <x:t xml:space="preserve">DODATKI</x:t>
        </x:is>
      </x:c>
      <x:c r="S1004" s="6" t="inlineStr">
        <x:is>
          <x:t xml:space="preserve">website+crm</x:t>
        </x:is>
      </x:c>
      <x:c r="T1004" s="581" t="inlineStr">
        <x:is>
          <x:t xml:space="preserve">FIX11: K/L 550/600 wg ark. 09 (POZOSTAWIĆ 0).</x:t>
        </x:is>
      </x:c>
    </x:row>
    <x:row r="1005" s="655" customFormat="1" ht="29.5" customHeight="1">
      <x:c r="A1005" s="6" t="inlineStr">
        <x:is>
          <x:t xml:space="preserve">550 x 506 cm</x:t>
        </x:is>
      </x:c>
      <x:c r="B1005" s="6" t="inlineStr">
        <x:is>
          <x:t xml:space="preserve">LED2</x:t>
        </x:is>
      </x:c>
      <x:c r="C1005" s="6" t="inlineStr">
        <x:is>
          <x:t xml:space="preserve">Oświetlenie LED 2 punkty</x:t>
        </x:is>
      </x:c>
      <x:c r="D1005" s="6" t="inlineStr">
        <x:is>
          <x:t xml:space="preserve">LED 2 PKT</x:t>
        </x:is>
      </x:c>
      <x:c r="E1005" s="8" t="n">
        <x:f>IFERROR(INDEX('02_RAW_INDEX'!$N:$N,MATCH($A1005,'02_RAW_INDEX'!$A:$A,0)),"")</x:f>
        <x:v>488</x:v>
      </x:c>
      <x:c r="F1005" s="8" t="n">
        <x:f>IFERROR(INDEX('02_RAW_INDEX'!$M:$M,MATCH($A1005,'02_RAW_INDEX'!$A:$A,0)),"")</x:f>
        <x:v>600</x:v>
      </x:c>
      <x:c r="G1005" s="7" t="n">
        <x:f>'01_Ustawienia'!$B$6</x:f>
        <x:v>0</x:v>
      </x:c>
      <x:c r="H1005" s="8" t="n">
        <x:f>IF(E1005="","",ROUND(IF('01_Ustawienia'!$B$5="BRUTTO",F1005,E1005)*(1-G1005),0))</x:f>
        <x:v>488</x:v>
      </x:c>
      <x:c r="I1005" s="7" t="n">
        <x:f>IFERROR(IFERROR(INDEX('01_Ustawienia'!$B$15:$B$33,MATCH(B1005,'01_Ustawienia'!$A$15:$A$33,0)),0.45),0.45)</x:f>
        <x:v>0.45</x:v>
      </x:c>
      <x:c r="J1005" s="8" t="n">
        <x:f>IF(H1005="","",ROUND(H1005*(1+I1005),0))</x:f>
        <x:v>708</x:v>
      </x:c>
      <x:c r="K1005" s="582" t="n">
        <x:v>0</x:v>
      </x:c>
      <x:c r="L1005" s="582" t="n">
        <x:v>0</x:v>
      </x:c>
      <x:c r="M1005" s="7" t="n">
        <x:f>IF('01_Ustawienia'!$B$4="ZWOLNIONY",0,'01_Ustawienia'!$B$7)</x:f>
        <x:v>0.08</x:v>
      </x:c>
      <x:c r="N1005" s="8" t="n">
        <x:f>IF(J1005="","",ROUND((J1005+K1005)*(1+M1005),0))</x:f>
        <x:v>765</x:v>
      </x:c>
      <x:c r="O1005" s="8" t="n">
        <x:f>IF(J1005="","",J1005+K1005-H1005-L1005)</x:f>
        <x:v>220</x:v>
      </x:c>
      <x:c r="P1005" s="7" t="n">
        <x:f>IFERROR(O1005/(J1005+K1005),"")</x:f>
        <x:v>0.3107344632768362</x:v>
      </x:c>
      <x:c r="Q1005" s="6" t="inlineStr">
        <x:is>
          <x:t xml:space="preserve">RAW_ZP P/Q</x:t>
        </x:is>
      </x:c>
      <x:c r="R1005" s="6" t="inlineStr">
        <x:is>
          <x:t xml:space="preserve">OŚWIETLENIE</x:t>
        </x:is>
      </x:c>
      <x:c r="S1005" s="6" t="inlineStr">
        <x:is>
          <x:t xml:space="preserve">website+crm</x:t>
        </x:is>
      </x:c>
      <x:c r="T1005" s="581" t="inlineStr">
        <x:is>
          <x:t xml:space="preserve">FIX11: K/L 550/600 wg ark. 09 (POZOSTAWIĆ 0 NA RAZIE).</x:t>
        </x:is>
      </x:c>
    </x:row>
    <x:row r="1006" s="655" customFormat="1" ht="44.25" customHeight="1">
      <x:c r="A1006" s="6" t="inlineStr">
        <x:is>
          <x:t xml:space="preserve">550 x 506 cm</x:t>
        </x:is>
      </x:c>
      <x:c r="B1006" s="6" t="inlineStr">
        <x:is>
          <x:t xml:space="preserve">LED3</x:t>
        </x:is>
      </x:c>
      <x:c r="C1006" s="6" t="inlineStr">
        <x:is>
          <x:t xml:space="preserve">Oświetlenie LED 3 punkty</x:t>
        </x:is>
      </x:c>
      <x:c r="D1006" s="6" t="inlineStr">
        <x:is>
          <x:t xml:space="preserve">LED 3 PKT</x:t>
        </x:is>
      </x:c>
      <x:c r="E1006" s="8" t="n">
        <x:f>IFERROR(INDEX('02_RAW_INDEX'!$P:$P,MATCH($A1006,'02_RAW_INDEX'!$A:$A,0)),"")</x:f>
        <x:v>780</x:v>
      </x:c>
      <x:c r="F1006" s="8" t="n">
        <x:f>IFERROR(INDEX('02_RAW_INDEX'!$O:$O,MATCH($A1006,'02_RAW_INDEX'!$A:$A,0)),"")</x:f>
        <x:v>960</x:v>
      </x:c>
      <x:c r="G1006" s="7" t="n">
        <x:f>'01_Ustawienia'!$B$6</x:f>
        <x:v>0</x:v>
      </x:c>
      <x:c r="H1006" s="8" t="n">
        <x:f>IF(E1006="","",ROUND(IF('01_Ustawienia'!$B$5="BRUTTO",F1006,E1006)*(1-G1006),0))</x:f>
        <x:v>780</x:v>
      </x:c>
      <x:c r="I1006" s="7" t="n">
        <x:f>IFERROR(IFERROR(INDEX('01_Ustawienia'!$B$15:$B$33,MATCH(B1006,'01_Ustawienia'!$A$15:$A$33,0)),0.45),0.45)</x:f>
        <x:v>0.45</x:v>
      </x:c>
      <x:c r="J1006" s="8" t="n">
        <x:f>IF(H1006="","",ROUND(H1006*(1+I1006),0))</x:f>
        <x:v>1131</x:v>
      </x:c>
      <x:c r="K1006" s="582" t="n">
        <x:v>0</x:v>
      </x:c>
      <x:c r="L1006" s="582" t="n">
        <x:v>0</x:v>
      </x:c>
      <x:c r="M1006" s="7" t="n">
        <x:f>IF('01_Ustawienia'!$B$4="ZWOLNIONY",0,'01_Ustawienia'!$B$7)</x:f>
        <x:v>0.08</x:v>
      </x:c>
      <x:c r="N1006" s="8" t="n">
        <x:f>IF(J1006="","",ROUND((J1006+K1006)*(1+M1006),0))</x:f>
        <x:v>1221</x:v>
      </x:c>
      <x:c r="O1006" s="8" t="n">
        <x:f>IF(J1006="","",J1006+K1006-H1006-L1006)</x:f>
        <x:v>351</x:v>
      </x:c>
      <x:c r="P1006" s="7" t="n">
        <x:f>IFERROR(O1006/(J1006+K1006),"")</x:f>
        <x:v>0.3103448275862069</x:v>
      </x:c>
      <x:c r="Q1006" s="6" t="inlineStr">
        <x:is>
          <x:t xml:space="preserve">RAW_ZP R/S</x:t>
        </x:is>
      </x:c>
      <x:c r="R1006" s="6" t="inlineStr">
        <x:is>
          <x:t xml:space="preserve">OŚWIETLENIE</x:t>
        </x:is>
      </x:c>
      <x:c r="S1006" s="6" t="inlineStr">
        <x:is>
          <x:t xml:space="preserve">website+crm</x:t>
        </x:is>
      </x:c>
      <x:c r="T1006" s="581" t="inlineStr">
        <x:is>
          <x:t xml:space="preserve">Nazwa do potwierdzenia | FIX11: K/L 550/600 wg ark. 09 (POZOSTAWIĆ 0 NA RAZIE).</x:t>
        </x:is>
      </x:c>
    </x:row>
    <x:row r="1007" s="655" customFormat="1" ht="29.5" customHeight="1">
      <x:c r="A1007" s="6" t="inlineStr">
        <x:is>
          <x:t xml:space="preserve">550 x 506 cm</x:t>
        </x:is>
      </x:c>
      <x:c r="B1007" s="6" t="inlineStr">
        <x:is>
          <x:t xml:space="preserve">LEDCCT</x:t>
        </x:is>
      </x:c>
      <x:c r="C1007" s="6" t="inlineStr">
        <x:is>
          <x:t xml:space="preserve">Oświetlenie LED CCT</x:t>
        </x:is>
      </x:c>
      <x:c r="D1007" s="6" t="inlineStr">
        <x:is>
          <x:t xml:space="preserve">OŚWIETLENIE</x:t>
        </x:is>
      </x:c>
      <x:c r="E1007" s="8" t="n">
        <x:f>IFERROR(INDEX('02_RAW_INDEX'!$R:$R,MATCH($A1007,'02_RAW_INDEX'!$A:$A,0)),"")</x:f>
        <x:v>1678</x:v>
      </x:c>
      <x:c r="F1007" s="8" t="n">
        <x:f>IFERROR(INDEX('02_RAW_INDEX'!$Q:$Q,MATCH($A1007,'02_RAW_INDEX'!$A:$A,0)),"")</x:f>
        <x:v>2064</x:v>
      </x:c>
      <x:c r="G1007" s="7" t="n">
        <x:f>'01_Ustawienia'!$B$6</x:f>
        <x:v>0</x:v>
      </x:c>
      <x:c r="H1007" s="8" t="n">
        <x:f>IF(E1007="","",ROUND(IF('01_Ustawienia'!$B$5="BRUTTO",F1007,E1007)*(1-G1007),0))</x:f>
        <x:v>1678</x:v>
      </x:c>
      <x:c r="I1007" s="7" t="n">
        <x:f>IFERROR(IFERROR(INDEX('01_Ustawienia'!$B$15:$B$33,MATCH(B1007,'01_Ustawienia'!$A$15:$A$33,0)),0.45),0.45)</x:f>
        <x:v>0.45</x:v>
      </x:c>
      <x:c r="J1007" s="8" t="n">
        <x:f>IF(H1007="","",ROUND(H1007*(1+I1007),0)+700)</x:f>
        <x:v>3133</x:v>
      </x:c>
      <x:c r="K1007" s="582" t="n">
        <x:v>0</x:v>
      </x:c>
      <x:c r="L1007" s="582" t="n">
        <x:v>0</x:v>
      </x:c>
      <x:c r="M1007" s="7" t="n">
        <x:f>IF('01_Ustawienia'!$B$4="ZWOLNIONY",0,'01_Ustawienia'!$B$7)</x:f>
        <x:v>0.08</x:v>
      </x:c>
      <x:c r="N1007" s="8" t="n">
        <x:f>IF(J1007="","",ROUND((J1007+K1007)*(1+M1007),0))</x:f>
        <x:v>3384</x:v>
      </x:c>
      <x:c r="O1007" s="8" t="n">
        <x:f>IF(J1007="","",J1007+K1007-H1007-L1007)</x:f>
        <x:v>1455</x:v>
      </x:c>
      <x:c r="P1007" s="7" t="n">
        <x:f>IFERROR(O1007/(J1007+K1007),"")</x:f>
        <x:v>0.46441110756463455</x:v>
      </x:c>
      <x:c r="Q1007" s="715" t="inlineStr">
        <x:is>
          <x:t xml:space="preserve">MODEL_FIX15_LED</x:t>
        </x:is>
      </x:c>
      <x:c r="R1007" s="6" t="inlineStr">
        <x:is>
          <x:t xml:space="preserve">OŚWIETLENIE</x:t>
        </x:is>
      </x:c>
      <x:c r="S1007" s="6" t="inlineStr">
        <x:is>
          <x:t xml:space="preserve">website+crm</x:t>
        </x:is>
      </x:c>
      <x:c r="T1007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008" s="655" customFormat="1" ht="29.5" customHeight="1">
      <x:c r="A1008" s="6" t="inlineStr">
        <x:is>
          <x:t xml:space="preserve">550 x 506 cm</x:t>
        </x:is>
      </x:c>
      <x:c r="B1008" s="6" t="inlineStr">
        <x:is>
          <x:t xml:space="preserve">LEDRGBCCT</x:t>
        </x:is>
      </x:c>
      <x:c r="C1008" s="6" t="inlineStr">
        <x:is>
          <x:t xml:space="preserve">Oświetlenie LED RGB CCT</x:t>
        </x:is>
      </x:c>
      <x:c r="D1008" s="6" t="inlineStr">
        <x:is>
          <x:t xml:space="preserve">OŚWIETLENIE</x:t>
        </x:is>
      </x:c>
      <x:c r="E1008" s="8" t="n">
        <x:f>IFERROR(INDEX('02_RAW_INDEX'!$T:$T,MATCH($A1008,'02_RAW_INDEX'!$A:$A,0)),"")</x:f>
        <x:v>2288</x:v>
      </x:c>
      <x:c r="F1008" s="8" t="n">
        <x:f>IFERROR(INDEX('02_RAW_INDEX'!$S:$S,MATCH($A1008,'02_RAW_INDEX'!$A:$A,0)),"")</x:f>
        <x:v>2814</x:v>
      </x:c>
      <x:c r="G1008" s="7" t="n">
        <x:f>'01_Ustawienia'!$B$6</x:f>
        <x:v>0</x:v>
      </x:c>
      <x:c r="H1008" s="8" t="n">
        <x:f>IF(E1008="","",ROUND(IF('01_Ustawienia'!$B$5="BRUTTO",F1008,E1008)*(1-G1008),0))</x:f>
        <x:v>2288</x:v>
      </x:c>
      <x:c r="I1008" s="7" t="n">
        <x:f>IFERROR(IFERROR(INDEX('01_Ustawienia'!$B$15:$B$33,MATCH(B1008,'01_Ustawienia'!$A$15:$A$33,0)),0.45),0.45)</x:f>
        <x:v>0.45</x:v>
      </x:c>
      <x:c r="J1008" s="8" t="n">
        <x:f>IF(H1008="","",ROUND(H1008*(1+I1008),0))</x:f>
        <x:v>3318</x:v>
      </x:c>
      <x:c r="K1008" s="582" t="n">
        <x:v>0</x:v>
      </x:c>
      <x:c r="L1008" s="582" t="n">
        <x:v>0</x:v>
      </x:c>
      <x:c r="M1008" s="7" t="n">
        <x:f>IF('01_Ustawienia'!$B$4="ZWOLNIONY",0,'01_Ustawienia'!$B$7)</x:f>
        <x:v>0.08</x:v>
      </x:c>
      <x:c r="N1008" s="8" t="n">
        <x:f>IF(J1008="","",ROUND((J1008+K1008)*(1+M1008),0))</x:f>
        <x:v>3583</x:v>
      </x:c>
      <x:c r="O1008" s="8" t="n">
        <x:f>IF(J1008="","",J1008+K1008-H1008-L1008)</x:f>
        <x:v>1030</x:v>
      </x:c>
      <x:c r="P1008" s="7" t="n">
        <x:f>IFERROR(O1008/(J1008+K1008),"")</x:f>
        <x:v>0.31042796865581673</x:v>
      </x:c>
      <x:c r="Q1008" s="715" t="inlineStr">
        <x:is>
          <x:t xml:space="preserve">MODEL_FIX15_LED</x:t>
        </x:is>
      </x:c>
      <x:c r="R1008" s="6" t="inlineStr">
        <x:is>
          <x:t xml:space="preserve">OŚWIETLENIE</x:t>
        </x:is>
      </x:c>
      <x:c r="S1008" s="6" t="inlineStr">
        <x:is>
          <x:t xml:space="preserve">crm_only</x:t>
        </x:is>
      </x:c>
      <x:c r="T1008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009" s="655" customFormat="1" ht="30" customHeight="1">
      <x:c r="A1009" s="6" t="inlineStr">
        <x:is>
          <x:t xml:space="preserve">550 x 606 cm</x:t>
        </x:is>
      </x:c>
      <x:c r="B1009" s="6" t="inlineStr">
        <x:is>
          <x:t xml:space="preserve">ZP</x:t>
        </x:is>
      </x:c>
      <x:c r="C1009" s="6" t="inlineStr">
        <x:is>
          <x:t xml:space="preserve">Zadaszenie poliwęglan - baza</x:t>
        </x:is>
      </x:c>
      <x:c r="D1009" s="6" t="inlineStr">
        <x:is>
          <x:t xml:space="preserve">ZADASZENIE POLIWĘGLAN</x:t>
        </x:is>
      </x:c>
      <x:c r="E1009" s="8" t="n">
        <x:f>IFERROR(INDEX('02_RAW_INDEX'!$D:$D,MATCH($A1009,'02_RAW_INDEX'!$A:$A,0)),"")</x:f>
        <x:v>15902</x:v>
      </x:c>
      <x:c r="F1009" s="8" t="n">
        <x:f>IFERROR(INDEX('02_RAW_INDEX'!$C:$C,MATCH($A1009,'02_RAW_INDEX'!$A:$A,0)),"")</x:f>
        <x:v>19560</x:v>
      </x:c>
      <x:c r="G1009" s="7" t="n">
        <x:f>'01_Ustawienia'!$B$6</x:f>
        <x:v>0</x:v>
      </x:c>
      <x:c r="H1009" s="8" t="n">
        <x:f>IF(E1009="","",ROUND(IF('01_Ustawienia'!$B$5="BRUTTO",F1009,E1009)*(1-G1009),0))</x:f>
        <x:v>15902</x:v>
      </x:c>
      <x:c r="I1009" s="7" t="n">
        <x:f>IFERROR(IFERROR(INDEX('01_Ustawienia'!$B$15:$B$33,MATCH(B1009,'01_Ustawienia'!$A$15:$A$33,0)),0.45),0.45)</x:f>
        <x:v>0.45</x:v>
      </x:c>
      <x:c r="J1009" s="8" t="n">
        <x:f>IF(H1009="","",ROUND(H1009*(1+I1009),0))</x:f>
        <x:v>23058</x:v>
      </x:c>
      <x:c r="K1009" s="580" t="n">
        <x:v>4950</x:v>
      </x:c>
      <x:c r="L1009" s="580" t="n">
        <x:v>1550</x:v>
      </x:c>
      <x:c r="M1009" s="7" t="n">
        <x:f>IF('01_Ustawienia'!$B$4="ZWOLNIONY",0,'01_Ustawienia'!$B$7)</x:f>
        <x:v>0.08</x:v>
      </x:c>
      <x:c r="N1009" s="8" t="n">
        <x:f>IF(J1009="","",ROUND((J1009+K1009)*(1+M1009),0))</x:f>
        <x:v>30249</x:v>
      </x:c>
      <x:c r="O1009" s="8" t="n">
        <x:f>IF(J1009="","",J1009+K1009-H1009-L1009)</x:f>
        <x:v>10556</x:v>
      </x:c>
      <x:c r="P1009" s="7" t="n">
        <x:f>IFERROR(O1009/(J1009+K1009),"")</x:f>
        <x:v>0.3768923164810054</x:v>
      </x:c>
      <x:c r="Q1009" s="6" t="inlineStr">
        <x:is>
          <x:t xml:space="preserve">RAW_ZP B/C</x:t>
        </x:is>
      </x:c>
      <x:c r="R1009" s="6" t="inlineStr">
        <x:is>
          <x:t xml:space="preserve">ZADASZENIE TARASU KONSTRUKCJA</x:t>
        </x:is>
      </x:c>
      <x:c r="S1009" s="6" t="inlineStr">
        <x:is>
          <x:t xml:space="preserve">website+crm</x:t>
        </x:is>
      </x:c>
      <x:c r="T1009" s="581" t="inlineStr">
        <x:is>
          <x:t xml:space="preserve">Baza dla kalkulatora | FIX11: K/L 550/600 wg ark. 09 (UZUPEŁNIĆ).</x:t>
        </x:is>
      </x:c>
    </x:row>
    <x:row r="1010" s="655" customFormat="1" ht="30" customHeight="1">
      <x:c r="A1010" s="6" t="inlineStr">
        <x:is>
          <x:t xml:space="preserve">550 x 606 cm</x:t>
        </x:is>
      </x:c>
      <x:c r="B1010" s="6" t="inlineStr">
        <x:is>
          <x:t xml:space="preserve">ZS</x:t>
        </x:is>
      </x:c>
      <x:c r="C1010" s="6" t="inlineStr">
        <x:is>
          <x:t xml:space="preserve">Zadaszenie szkło - pełna konstrukcja</x:t>
        </x:is>
      </x:c>
      <x:c r="D1010" s="6" t="inlineStr">
        <x:is>
          <x:t xml:space="preserve">ZADASZENIE SZKŁO</x:t>
        </x:is>
      </x:c>
      <x:c r="E1010" s="8" t="str">
        <x:f>IFERROR(INDEX('02_RAW_INDEX'!$V:$V,MATCH($A1010,'02_RAW_INDEX'!$A:$A,0)),"")</x:f>
      </x:c>
      <x:c r="F1010" s="8" t="str">
        <x:f>IFERROR(INDEX('02_RAW_INDEX'!$U:$U,MATCH($A1010,'02_RAW_INDEX'!$A:$A,0)),"")</x:f>
      </x:c>
      <x:c r="G1010" s="7" t="n">
        <x:f>'01_Ustawienia'!$B$6</x:f>
        <x:v>0</x:v>
      </x:c>
      <x:c r="H1010" s="8" t="str">
        <x:f>IF(E1010="","",ROUND(IF('01_Ustawienia'!$B$5="BRUTTO",F1010,E1010)*(1-G1010),0))</x:f>
      </x:c>
      <x:c r="I1010" s="7" t="n">
        <x:f>IFERROR(IFERROR(INDEX('01_Ustawienia'!$B$15:$B$33,MATCH(B1010,'01_Ustawienia'!$A$15:$A$33,0)),0.45),0.45)</x:f>
        <x:v>0.45</x:v>
      </x:c>
      <x:c r="J1010" s="8" t="str">
        <x:f>IF(H1010="","",ROUND(H1010*(1+I1010),0))</x:f>
      </x:c>
      <x:c r="K1010" s="580" t="n">
        <x:v>4950</x:v>
      </x:c>
      <x:c r="L1010" s="580" t="n">
        <x:v>1970</x:v>
      </x:c>
      <x:c r="M1010" s="7" t="n">
        <x:f>IF('01_Ustawienia'!$B$4="ZWOLNIONY",0,'01_Ustawienia'!$B$7)</x:f>
        <x:v>0.08</x:v>
      </x:c>
      <x:c r="N1010" s="8" t="str">
        <x:f>IF(J1010="","",ROUND((J1010+K1010)*(1+M1010),0))</x:f>
      </x:c>
      <x:c r="O1010" s="8" t="str">
        <x:f>IF(J1010="","",J1010+K1010-H1010-L1010)</x:f>
      </x:c>
      <x:c r="P1010" s="7" t="n">
        <x:f>IFERROR(O1010/(J1010+K1010),"")</x:f>
        <x:v>0</x:v>
      </x:c>
      <x:c r="Q1010" s="6" t="inlineStr">
        <x:is>
          <x:t xml:space="preserve">RAW_ZS B/C</x:t>
        </x:is>
      </x:c>
      <x:c r="R1010" s="6" t="inlineStr">
        <x:is>
          <x:t xml:space="preserve">ZADASZENIE TARASU KONSTRUKCJA</x:t>
        </x:is>
      </x:c>
      <x:c r="S1010" s="6" t="inlineStr">
        <x:is>
          <x:t xml:space="preserve">crm_only</x:t>
        </x:is>
      </x:c>
      <x:c r="T1010" s="581" t="inlineStr">
        <x:is>
          <x:t xml:space="preserve">Referencyjne/full; strona zwykle używa ZP + PDS | FIX11: K/L 550/600 wg ark. 09 (NIE PUBLIKOWAĆ / BRAK RAW_ZS).</x:t>
        </x:is>
      </x:c>
    </x:row>
    <x:row r="1011" s="655" customFormat="1" ht="30" customHeight="1">
      <x:c r="A1011" s="6" t="inlineStr">
        <x:is>
          <x:t xml:space="preserve">550 x 606 cm</x:t>
        </x:is>
      </x:c>
      <x:c r="B1011" s="6" t="inlineStr">
        <x:is>
          <x:t xml:space="preserve">OP</x:t>
        </x:is>
      </x:c>
      <x:c r="C1011" s="6" t="inlineStr">
        <x:is>
          <x:t xml:space="preserve">Ogród zimowy poliwęglan - baza</x:t>
        </x:is>
      </x:c>
      <x:c r="D1011" s="6" t="inlineStr">
        <x:is>
          <x:t xml:space="preserve">OGRODY POLIWĘGLAN</x:t>
        </x:is>
      </x:c>
      <x:c r="E1011" s="8" t="n">
        <x:f>IFERROR(INDEX('02_RAW_INDEX'!$Z:$Z,MATCH($A1011,'02_RAW_INDEX'!$A:$A,0)),"")</x:f>
        <x:v>31911</x:v>
      </x:c>
      <x:c r="F1011" s="8" t="n">
        <x:f>IFERROR(INDEX('02_RAW_INDEX'!$Y:$Y,MATCH($A1011,'02_RAW_INDEX'!$A:$A,0)),"")</x:f>
        <x:v>39250</x:v>
      </x:c>
      <x:c r="G1011" s="7" t="n">
        <x:f>'01_Ustawienia'!$B$6</x:f>
        <x:v>0</x:v>
      </x:c>
      <x:c r="H1011" s="8" t="n">
        <x:f>IF(E1011="","",ROUND(IF('01_Ustawienia'!$B$5="BRUTTO",F1011,E1011)*(1-G1011),0))</x:f>
        <x:v>31911</x:v>
      </x:c>
      <x:c r="I1011" s="7" t="n">
        <x:f>IFERROR(IFERROR(INDEX('01_Ustawienia'!$B$15:$B$33,MATCH(B1011,'01_Ustawienia'!$A$15:$A$33,0)),0.45),0.45)</x:f>
        <x:v>0.45</x:v>
      </x:c>
      <x:c r="J1011" s="8" t="n">
        <x:f>IF(H1011="","",ROUND(H1011*(1+I1011),0))</x:f>
        <x:v>46271</x:v>
      </x:c>
      <x:c r="K1011" s="580" t="n">
        <x:v>5860</x:v>
      </x:c>
      <x:c r="L1011" s="580" t="n">
        <x:v>2160</x:v>
      </x:c>
      <x:c r="M1011" s="7" t="n">
        <x:f>IF('01_Ustawienia'!$B$4="ZWOLNIONY",0,'01_Ustawienia'!$B$7)</x:f>
        <x:v>0.08</x:v>
      </x:c>
      <x:c r="N1011" s="8" t="n">
        <x:f>IF(J1011="","",ROUND((J1011+K1011)*(1+M1011),0))</x:f>
        <x:v>56301</x:v>
      </x:c>
      <x:c r="O1011" s="8" t="n">
        <x:f>IF(J1011="","",J1011+K1011-H1011-L1011)</x:f>
        <x:v>18060</x:v>
      </x:c>
      <x:c r="P1011" s="7" t="n">
        <x:f>IFERROR(O1011/(J1011+K1011),"")</x:f>
        <x:v>0.346434942740404</x:v>
      </x:c>
      <x:c r="Q1011" s="6" t="inlineStr">
        <x:is>
          <x:t xml:space="preserve">RAW_OP B/C</x:t>
        </x:is>
      </x:c>
      <x:c r="R1011" s="6" t="inlineStr">
        <x:is>
          <x:t xml:space="preserve">OGRÓD ZIMOWY (KONSTRUKCJA)</x:t>
        </x:is>
      </x:c>
      <x:c r="S1011" s="6" t="inlineStr">
        <x:is>
          <x:t xml:space="preserve">website+crm</x:t>
        </x:is>
      </x:c>
      <x:c r="T1011" s="581" t="inlineStr">
        <x:is>
          <x:t xml:space="preserve">Do wyliczenia dopłaty za ściany | FIX11: K/L 550/600 wg ark. 09 (UZUPEŁNIĆ).</x:t>
        </x:is>
      </x:c>
    </x:row>
    <x:row r="1012" s="655" customFormat="1" ht="30" customHeight="1">
      <x:c r="A1012" s="6" t="inlineStr">
        <x:is>
          <x:t xml:space="preserve">550 x 606 cm</x:t>
        </x:is>
      </x:c>
      <x:c r="B1012" s="6" t="inlineStr">
        <x:is>
          <x:t xml:space="preserve">OS</x:t>
        </x:is>
      </x:c>
      <x:c r="C1012" s="6" t="inlineStr">
        <x:is>
          <x:t xml:space="preserve">Ogród zimowy szkło - pełna konstrukcja</x:t>
        </x:is>
      </x:c>
      <x:c r="D1012" s="6" t="inlineStr">
        <x:is>
          <x:t xml:space="preserve">OGRODY SZKŁO</x:t>
        </x:is>
      </x:c>
      <x:c r="E1012" s="8" t="str">
        <x:f>IFERROR(INDEX('02_RAW_INDEX'!$AL:$AL,MATCH($A1012,'02_RAW_INDEX'!$A:$A,0)),"")</x:f>
      </x:c>
      <x:c r="F1012" s="8" t="str">
        <x:f>IFERROR(INDEX('02_RAW_INDEX'!$AK:$AK,MATCH($A1012,'02_RAW_INDEX'!$A:$A,0)),"")</x:f>
      </x:c>
      <x:c r="G1012" s="7" t="n">
        <x:f>'01_Ustawienia'!$B$6</x:f>
        <x:v>0</x:v>
      </x:c>
      <x:c r="H1012" s="8" t="str">
        <x:f>IF(E1012="","",ROUND(IF('01_Ustawienia'!$B$5="BRUTTO",F1012,E1012)*(1-G1012),0))</x:f>
      </x:c>
      <x:c r="I1012" s="7" t="n">
        <x:f>IFERROR(IFERROR(INDEX('01_Ustawienia'!$B$15:$B$33,MATCH(B1012,'01_Ustawienia'!$A$15:$A$33,0)),0.45),0.45)</x:f>
        <x:v>0.45</x:v>
      </x:c>
      <x:c r="J1012" s="8" t="str">
        <x:f>IF(H1012="","",ROUND(H1012*(1+I1012),0))</x:f>
      </x:c>
      <x:c r="K1012" s="580" t="n">
        <x:v>5860</x:v>
      </x:c>
      <x:c r="L1012" s="580" t="n">
        <x:v>2580</x:v>
      </x:c>
      <x:c r="M1012" s="7" t="n">
        <x:f>IF('01_Ustawienia'!$B$4="ZWOLNIONY",0,'01_Ustawienia'!$B$7)</x:f>
        <x:v>0.08</x:v>
      </x:c>
      <x:c r="N1012" s="8" t="str">
        <x:f>IF(J1012="","",ROUND((J1012+K1012)*(1+M1012),0))</x:f>
      </x:c>
      <x:c r="O1012" s="8" t="str">
        <x:f>IF(J1012="","",J1012+K1012-H1012-L1012)</x:f>
      </x:c>
      <x:c r="P1012" s="7" t="n">
        <x:f>IFERROR(O1012/(J1012+K1012),"")</x:f>
        <x:v>0</x:v>
      </x:c>
      <x:c r="Q1012" s="6" t="inlineStr">
        <x:is>
          <x:t xml:space="preserve">RAW_OS B/C</x:t>
        </x:is>
      </x:c>
      <x:c r="R1012" s="6" t="inlineStr">
        <x:is>
          <x:t xml:space="preserve">OGRÓD ZIMOWY (KONSTRUKCJA)</x:t>
        </x:is>
      </x:c>
      <x:c r="S1012" s="6" t="inlineStr">
        <x:is>
          <x:t xml:space="preserve">crm_only</x:t>
        </x:is>
      </x:c>
      <x:c r="T1012" s="581" t="inlineStr">
        <x:is>
          <x:t xml:space="preserve">Referencyjne/full | FIX11: K/L 550/600 wg ark. 09 (NIE PUBLIKOWAĆ / BRAK RAW_OS).</x:t>
        </x:is>
      </x:c>
    </x:row>
    <x:row r="1013" s="655" customFormat="1" ht="30" customHeight="1">
      <x:c r="A1013" s="6" t="inlineStr">
        <x:is>
          <x:t xml:space="preserve">550 x 606 cm</x:t>
        </x:is>
      </x:c>
      <x:c r="B1013" s="6" t="inlineStr">
        <x:is>
          <x:t xml:space="preserve">PDS</x:t>
        </x:is>
      </x:c>
      <x:c r="C1013" s="6" t="inlineStr">
        <x:is>
          <x:t xml:space="preserve">Dopłata dach szkło przezroczyste</x:t>
        </x:is>
      </x:c>
      <x:c r="D1013" s="6" t="inlineStr">
        <x:is>
          <x:t xml:space="preserve">POKRYCIE DACHU SZKŁO</x:t>
        </x:is>
      </x:c>
      <x:c r="E1013" s="8" t="n">
        <x:f>IFERROR(IFERROR(INDEX('02_RAW_INDEX'!$V:$V,MATCH($A1013,'02_RAW_INDEX'!$A:$A,0)),"")-IFERROR(INDEX('02_RAW_INDEX'!$D:$D,MATCH($A1013,'02_RAW_INDEX'!$A:$A,0)),""),"")</x:f>
        <x:v>-15902</x:v>
      </x:c>
      <x:c r="F1013" s="8" t="n">
        <x:f>IFERROR(IFERROR(INDEX('02_RAW_INDEX'!$U:$U,MATCH($A1013,'02_RAW_INDEX'!$A:$A,0)),"")-IFERROR(INDEX('02_RAW_INDEX'!$C:$C,MATCH($A1013,'02_RAW_INDEX'!$A:$A,0)),""),"")</x:f>
        <x:v>-19560</x:v>
      </x:c>
      <x:c r="G1013" s="7" t="n">
        <x:f>'01_Ustawienia'!$B$6</x:f>
        <x:v>0</x:v>
      </x:c>
      <x:c r="H1013" s="8" t="n">
        <x:f>IF(E1013="","",ROUND(IF('01_Ustawienia'!$B$5="BRUTTO",F1013,E1013)*(1-G1013),0))</x:f>
        <x:v>-15902</x:v>
      </x:c>
      <x:c r="I1013" s="7" t="n">
        <x:f>IFERROR(IFERROR(INDEX('01_Ustawienia'!$B$15:$B$33,MATCH(B1013,'01_Ustawienia'!$A$15:$A$33,0)),0.45),0.45)</x:f>
        <x:v>0.45</x:v>
      </x:c>
      <x:c r="J1013" s="8" t="n">
        <x:f>IF(H1013="","",ROUND(H1013*(1+I1013),0))</x:f>
        <x:v>-23058</x:v>
      </x:c>
      <x:c r="K1013" s="580" t="n">
        <x:v>0</x:v>
      </x:c>
      <x:c r="L1013" s="580" t="n">
        <x:v>0</x:v>
      </x:c>
      <x:c r="M1013" s="7" t="n">
        <x:f>IF('01_Ustawienia'!$B$4="ZWOLNIONY",0,'01_Ustawienia'!$B$7)</x:f>
        <x:v>0.08</x:v>
      </x:c>
      <x:c r="N1013" s="8" t="n">
        <x:f>IF(J1013="","",ROUND((J1013+K1013)*(1+M1013),0))</x:f>
        <x:v>-24903</x:v>
      </x:c>
      <x:c r="O1013" s="8" t="n">
        <x:f>IF(J1013="","",J1013+K1013-H1013-L1013)</x:f>
        <x:v>-7156</x:v>
      </x:c>
      <x:c r="P1013" s="7" t="n">
        <x:f>IFERROR(O1013/(J1013+K1013),"")</x:f>
        <x:v>0.31034781854453986</x:v>
      </x:c>
      <x:c r="Q1013" s="6" t="inlineStr">
        <x:is>
          <x:t xml:space="preserve">RAW_ZS - RAW_ZP</x:t>
        </x:is>
      </x:c>
      <x:c r="R1013" s="6" t="inlineStr">
        <x:is>
          <x:t xml:space="preserve">POKRYCIE DACHU</x:t>
        </x:is>
      </x:c>
      <x:c r="S1013" s="6" t="inlineStr">
        <x:is>
          <x:t xml:space="preserve">website+crm</x:t>
        </x:is>
      </x:c>
      <x:c r="T1013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014" s="655" customFormat="1" ht="30" customHeight="1">
      <x:c r="A1014" s="6" t="inlineStr">
        <x:is>
          <x:t xml:space="preserve">550 x 606 cm</x:t>
        </x:is>
      </x:c>
      <x:c r="B1014" s="6" t="inlineStr">
        <x:is>
          <x:t xml:space="preserve">PDSB</x:t>
        </x:is>
      </x:c>
      <x:c r="C1014" s="6" t="inlineStr">
        <x:is>
          <x:t xml:space="preserve">Dopłata dach szkło barwione/mleczne</x:t>
        </x:is>
      </x:c>
      <x:c r="D1014" s="6" t="inlineStr">
        <x:is>
          <x:t xml:space="preserve">POKRYCIE DACHU SZKŁO BARWIONE</x:t>
        </x:is>
      </x:c>
      <x:c r="E1014" s="8" t="str">
        <x:f>IFERROR(INDEX('02_RAW_INDEX'!$X:$X,MATCH($A1014,'02_RAW_INDEX'!$A:$A,0)),"")</x:f>
      </x:c>
      <x:c r="F1014" s="8" t="str">
        <x:f>IFERROR(INDEX('02_RAW_INDEX'!$W:$W,MATCH($A1014,'02_RAW_INDEX'!$A:$A,0)),"")</x:f>
      </x:c>
      <x:c r="G1014" s="7" t="n">
        <x:f>'01_Ustawienia'!$B$6</x:f>
        <x:v>0</x:v>
      </x:c>
      <x:c r="H1014" s="8" t="str">
        <x:f>IF(E1014="","",ROUND(IF('01_Ustawienia'!$B$5="BRUTTO",F1014,E1014)*(1-G1014),0))</x:f>
      </x:c>
      <x:c r="I1014" s="7" t="n">
        <x:f>IFERROR(IFERROR(INDEX('01_Ustawienia'!$B$15:$B$33,MATCH(B1014,'01_Ustawienia'!$A$15:$A$33,0)),0.45),0.45)</x:f>
        <x:v>0.45</x:v>
      </x:c>
      <x:c r="J1014" s="8" t="str">
        <x:f>IF(H1014="","",ROUND(H1014*(1+I1014),0))</x:f>
      </x:c>
      <x:c r="K1014" s="582" t="n">
        <x:v>0</x:v>
      </x:c>
      <x:c r="L1014" s="582" t="n">
        <x:v>0</x:v>
      </x:c>
      <x:c r="M1014" s="7" t="n">
        <x:f>IF('01_Ustawienia'!$B$4="ZWOLNIONY",0,'01_Ustawienia'!$B$7)</x:f>
        <x:v>0.08</x:v>
      </x:c>
      <x:c r="N1014" s="8" t="str">
        <x:f>IF(J1014="","",ROUND((J1014+K1014)*(1+M1014),0))</x:f>
      </x:c>
      <x:c r="O1014" s="8" t="str">
        <x:f>IF(J1014="","",J1014+K1014-H1014-L1014)</x:f>
      </x:c>
      <x:c r="P1014" s="7" t="str">
        <x:f>IFERROR(O1014/(J1014+K1014),"")</x:f>
      </x:c>
      <x:c r="Q1014" s="6" t="inlineStr">
        <x:is>
          <x:t xml:space="preserve">RAW_ZS D/E</x:t>
        </x:is>
      </x:c>
      <x:c r="R1014" s="6" t="inlineStr">
        <x:is>
          <x:t xml:space="preserve">POKRYCIE DACHU</x:t>
        </x:is>
      </x:c>
      <x:c r="S1014" s="6" t="inlineStr">
        <x:is>
          <x:t xml:space="preserve">website+crm</x:t>
        </x:is>
      </x:c>
      <x:c r="T1014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015" s="655" customFormat="1" ht="30" customHeight="1">
      <x:c r="A1015" s="6" t="inlineStr">
        <x:is>
          <x:t xml:space="preserve">550 x 606 cm</x:t>
        </x:is>
      </x:c>
      <x:c r="B1015" s="6" t="inlineStr">
        <x:is>
          <x:t xml:space="preserve">PDPB</x:t>
        </x:is>
      </x:c>
      <x:c r="C1015" s="6" t="inlineStr">
        <x:is>
          <x:t xml:space="preserve">Dopłata poliwęglan barwiony</x:t>
        </x:is>
      </x:c>
      <x:c r="D1015" s="6" t="inlineStr">
        <x:is>
          <x:t xml:space="preserve">POKRYCIE DACHU POLIWĘGLAN BARWIONY</x:t>
        </x:is>
      </x:c>
      <x:c r="E1015" s="8" t="n">
        <x:f>IFERROR(INDEX('02_RAW_INDEX'!$F:$F,MATCH($A1015,'02_RAW_INDEX'!$A:$A,0)),"")</x:f>
        <x:v>472</x:v>
      </x:c>
      <x:c r="F1015" s="8" t="n">
        <x:f>IFERROR(INDEX('02_RAW_INDEX'!$E:$E,MATCH($A1015,'02_RAW_INDEX'!$A:$A,0)),"")</x:f>
        <x:v>580</x:v>
      </x:c>
      <x:c r="G1015" s="7" t="n">
        <x:f>'01_Ustawienia'!$B$6</x:f>
        <x:v>0</x:v>
      </x:c>
      <x:c r="H1015" s="8" t="n">
        <x:f>IF(E1015="","",ROUND(IF('01_Ustawienia'!$B$5="BRUTTO",F1015,E1015)*(1-G1015),0))</x:f>
        <x:v>472</x:v>
      </x:c>
      <x:c r="I1015" s="7" t="n">
        <x:f>IFERROR(IFERROR(INDEX('01_Ustawienia'!$B$15:$B$33,MATCH(B1015,'01_Ustawienia'!$A$15:$A$33,0)),0.45),0.45)</x:f>
        <x:v>0.45</x:v>
      </x:c>
      <x:c r="J1015" s="8" t="n">
        <x:f>IF(H1015="","",ROUND(H1015*(1+I1015),0))</x:f>
        <x:v>684</x:v>
      </x:c>
      <x:c r="K1015" s="582" t="n">
        <x:v>0</x:v>
      </x:c>
      <x:c r="L1015" s="582" t="n">
        <x:v>0</x:v>
      </x:c>
      <x:c r="M1015" s="7" t="n">
        <x:f>IF('01_Ustawienia'!$B$4="ZWOLNIONY",0,'01_Ustawienia'!$B$7)</x:f>
        <x:v>0.08</x:v>
      </x:c>
      <x:c r="N1015" s="8" t="n">
        <x:f>IF(J1015="","",ROUND((J1015+K1015)*(1+M1015),0))</x:f>
        <x:v>739</x:v>
      </x:c>
      <x:c r="O1015" s="8" t="n">
        <x:f>IF(J1015="","",J1015+K1015-H1015-L1015)</x:f>
        <x:v>212</x:v>
      </x:c>
      <x:c r="P1015" s="7" t="n">
        <x:f>IFERROR(O1015/(J1015+K1015),"")</x:f>
        <x:v>0.30994152046783624</x:v>
      </x:c>
      <x:c r="Q1015" s="6" t="inlineStr">
        <x:is>
          <x:t xml:space="preserve">RAW_ZP D/E</x:t>
        </x:is>
      </x:c>
      <x:c r="R1015" s="6" t="inlineStr">
        <x:is>
          <x:t xml:space="preserve">POKRYCIE DACHU</x:t>
        </x:is>
      </x:c>
      <x:c r="S1015" s="6" t="inlineStr">
        <x:is>
          <x:t xml:space="preserve">website+crm</x:t>
        </x:is>
      </x:c>
      <x:c r="T1015" s="581" t="inlineStr">
        <x:is>
          <x:t xml:space="preserve">FIX11: K/L 550/600 wg ark. 09 (POZOSTAWIĆ 0). | FIX17: Wynagr.+koszty = 0 dla dopłaty; nie jest osobnym montażem ekipy.</x:t>
        </x:is>
      </x:c>
    </x:row>
    <x:row r="1016" s="655" customFormat="1" ht="30" customHeight="1">
      <x:c r="A1016" s="6" t="inlineStr">
        <x:is>
          <x:t xml:space="preserve">550 x 606 cm</x:t>
        </x:is>
      </x:c>
      <x:c r="B1016" s="6" t="inlineStr">
        <x:is>
          <x:t xml:space="preserve">SBB</x:t>
        </x:is>
      </x:c>
      <x:c r="C1016" s="6" t="inlineStr">
        <x:is>
          <x:t xml:space="preserve">Dopłata szkło boczne przyciemniane</x:t>
        </x:is>
      </x:c>
      <x:c r="D1016" s="6" t="inlineStr">
        <x:is>
          <x:t xml:space="preserve">SZKŁO BOCZNE BARWIONE</x:t>
        </x:is>
      </x:c>
      <x:c r="E1016" s="8" t="n">
        <x:f>IFERROR(INDEX('02_RAW_INDEX'!$AB:$AB,MATCH($A1016,'02_RAW_INDEX'!$A:$A,0)),"")</x:f>
        <x:v>1756</x:v>
      </x:c>
      <x:c r="F1016" s="8" t="n">
        <x:f>IFERROR(INDEX('02_RAW_INDEX'!$AA:$AA,MATCH($A1016,'02_RAW_INDEX'!$A:$A,0)),"")</x:f>
        <x:v>2160</x:v>
      </x:c>
      <x:c r="G1016" s="7" t="n">
        <x:f>'01_Ustawienia'!$B$6</x:f>
        <x:v>0</x:v>
      </x:c>
      <x:c r="H1016" s="8" t="n">
        <x:f>IF(E1016="","",ROUND(IF('01_Ustawienia'!$B$5="BRUTTO",F1016,E1016)*(1-G1016),0))</x:f>
        <x:v>1756</x:v>
      </x:c>
      <x:c r="I1016" s="7" t="n">
        <x:f>IFERROR(IFERROR(INDEX('01_Ustawienia'!$B$15:$B$33,MATCH(B1016,'01_Ustawienia'!$A$15:$A$33,0)),0.45),0.45)</x:f>
        <x:v>0.45</x:v>
      </x:c>
      <x:c r="J1016" s="8" t="n">
        <x:f>IF(H1016="","",ROUND(H1016*(1+I1016),0))</x:f>
        <x:v>2546</x:v>
      </x:c>
      <x:c r="K1016" s="582" t="n">
        <x:v>0</x:v>
      </x:c>
      <x:c r="L1016" s="582" t="n">
        <x:v>0</x:v>
      </x:c>
      <x:c r="M1016" s="7" t="n">
        <x:f>IF('01_Ustawienia'!$B$4="ZWOLNIONY",0,'01_Ustawienia'!$B$7)</x:f>
        <x:v>0.08</x:v>
      </x:c>
      <x:c r="N1016" s="8" t="n">
        <x:f>IF(J1016="","",ROUND((J1016+K1016)*(1+M1016),0))</x:f>
        <x:v>2750</x:v>
      </x:c>
      <x:c r="O1016" s="8" t="n">
        <x:f>IF(J1016="","",J1016+K1016-H1016-L1016)</x:f>
        <x:v>790</x:v>
      </x:c>
      <x:c r="P1016" s="7" t="n">
        <x:f>IFERROR(O1016/(J1016+K1016),"")</x:f>
        <x:v>0.3102906520031422</x:v>
      </x:c>
      <x:c r="Q1016" s="6" t="inlineStr">
        <x:is>
          <x:t xml:space="preserve">RAW_OP H/I</x:t>
        </x:is>
      </x:c>
      <x:c r="R1016" s="6" t="inlineStr">
        <x:is>
          <x:t xml:space="preserve">SZYBY BOCZNE</x:t>
        </x:is>
      </x:c>
      <x:c r="S1016" s="6" t="inlineStr">
        <x:is>
          <x:t xml:space="preserve">website+crm</x:t>
        </x:is>
      </x:c>
      <x:c r="T1016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017" s="655" customFormat="1" ht="29.5" customHeight="1">
      <x:c r="A1017" s="6" t="inlineStr">
        <x:is>
          <x:t xml:space="preserve">550 x 606 cm</x:t>
        </x:is>
      </x:c>
      <x:c r="B1017" s="6" t="inlineStr">
        <x:is>
          <x:t xml:space="preserve">RB</x:t>
        </x:is>
      </x:c>
      <x:c r="C1017" s="6" t="inlineStr">
        <x:is>
          <x:t xml:space="preserve">Roleta boczna ZIP</x:t>
        </x:is>
      </x:c>
      <x:c r="D1017" s="6" t="inlineStr">
        <x:is>
          <x:t xml:space="preserve">ROLETA BOCZNA</x:t>
        </x:is>
      </x:c>
      <x:c r="E1017" s="8" t="n">
        <x:f>IFERROR(INDEX('02_RAW_INDEX'!$J:$J,MATCH($A1017,'02_RAW_INDEX'!$A:$A,0)),"")</x:f>
        <x:v>3236</x:v>
      </x:c>
      <x:c r="F1017" s="8" t="n">
        <x:f>IFERROR(INDEX('02_RAW_INDEX'!$I:$I,MATCH($A1017,'02_RAW_INDEX'!$A:$A,0)),"")</x:f>
        <x:v>3980</x:v>
      </x:c>
      <x:c r="G1017" s="7" t="n">
        <x:f>'01_Ustawienia'!$B$6</x:f>
        <x:v>0</x:v>
      </x:c>
      <x:c r="H1017" s="8" t="n">
        <x:f>IF(E1017="","",ROUND(IF('01_Ustawienia'!$B$5="BRUTTO",F1017,E1017)*(1-G1017),0))</x:f>
        <x:v>3236</x:v>
      </x:c>
      <x:c r="I1017" s="7" t="n">
        <x:f>IFERROR(IFERROR(INDEX('01_Ustawienia'!$B$15:$B$33,MATCH(B1017,'01_Ustawienia'!$A$15:$A$33,0)),0.45),0.45)</x:f>
        <x:v>0.45</x:v>
      </x:c>
      <x:c r="J1017" s="8" t="n">
        <x:f>IF(H1017="","",ROUND(H1017*(1+I1017),0))</x:f>
        <x:v>4692</x:v>
      </x:c>
      <x:c r="K1017" s="580" t="n">
        <x:v>0</x:v>
      </x:c>
      <x:c r="L1017" s="580" t="n">
        <x:v>150</x:v>
      </x:c>
      <x:c r="M1017" s="7" t="n">
        <x:f>IF('01_Ustawienia'!$B$4="ZWOLNIONY",0,'01_Ustawienia'!$B$7)</x:f>
        <x:v>0.08</x:v>
      </x:c>
      <x:c r="N1017" s="8" t="n">
        <x:f>IF(J1017="","",ROUND((J1017+K1017)*(1+M1017),0))</x:f>
        <x:v>5067</x:v>
      </x:c>
      <x:c r="O1017" s="8" t="n">
        <x:f>IF(J1017="","",J1017+K1017-H1017-L1017)</x:f>
        <x:v>1306</x:v>
      </x:c>
      <x:c r="P1017" s="7" t="n">
        <x:f>IFERROR(O1017/(J1017+K1017),"")</x:f>
        <x:v>0.2783461210571185</x:v>
      </x:c>
      <x:c r="Q1017" s="6" t="inlineStr">
        <x:is>
          <x:t xml:space="preserve">RAW_ZP J/K</x:t>
        </x:is>
      </x:c>
      <x:c r="R1017" s="6" t="inlineStr">
        <x:is>
          <x:t xml:space="preserve">ROLETY BOCZNE</x:t>
        </x:is>
      </x:c>
      <x:c r="S1017" s="6" t="inlineStr">
        <x:is>
          <x:t xml:space="preserve">website+crm</x:t>
        </x:is>
      </x:c>
      <x:c r="T1017" s="581" t="inlineStr">
        <x:is>
          <x:t xml:space="preserve">Używana dla lewej i prawej | FIX11: K/L 550/600 wg ark. 09 (UZUPEŁNIĆ L).</x:t>
        </x:is>
      </x:c>
    </x:row>
    <x:row r="1018" s="655" customFormat="1" ht="29.5" customHeight="1">
      <x:c r="A1018" s="6" t="inlineStr">
        <x:is>
          <x:t xml:space="preserve">550 x 606 cm</x:t>
        </x:is>
      </x:c>
      <x:c r="B1018" s="6" t="inlineStr">
        <x:is>
          <x:t xml:space="preserve">RP</x:t>
        </x:is>
      </x:c>
      <x:c r="C1018" s="6" t="inlineStr">
        <x:is>
          <x:t xml:space="preserve">Roleta przednia ZIP</x:t>
        </x:is>
      </x:c>
      <x:c r="D1018" s="6" t="inlineStr">
        <x:is>
          <x:t xml:space="preserve">ROLETA PRZÓD</x:t>
        </x:is>
      </x:c>
      <x:c r="E1018" s="8" t="n">
        <x:f>IFERROR(INDEX('02_RAW_INDEX'!$L:$L,MATCH($A1018,'02_RAW_INDEX'!$A:$A,0)),"")</x:f>
        <x:v>3472</x:v>
      </x:c>
      <x:c r="F1018" s="8" t="n">
        <x:f>IFERROR(INDEX('02_RAW_INDEX'!$K:$K,MATCH($A1018,'02_RAW_INDEX'!$A:$A,0)),"")</x:f>
        <x:v>4270</x:v>
      </x:c>
      <x:c r="G1018" s="7" t="n">
        <x:f>'01_Ustawienia'!$B$6</x:f>
        <x:v>0</x:v>
      </x:c>
      <x:c r="H1018" s="8" t="n">
        <x:f>IF(E1018="","",ROUND(IF('01_Ustawienia'!$B$5="BRUTTO",F1018,E1018)*(1-G1018),0))</x:f>
        <x:v>3472</x:v>
      </x:c>
      <x:c r="I1018" s="7" t="n">
        <x:f>IFERROR(IFERROR(INDEX('01_Ustawienia'!$B$15:$B$33,MATCH(B1018,'01_Ustawienia'!$A$15:$A$33,0)),0.45),0.45)</x:f>
        <x:v>0.45</x:v>
      </x:c>
      <x:c r="J1018" s="8" t="n">
        <x:f>IF(H1018="","",ROUND(H1018*(1+I1018),0))</x:f>
        <x:v>5034</x:v>
      </x:c>
      <x:c r="K1018" s="580" t="n">
        <x:v>0</x:v>
      </x:c>
      <x:c r="L1018" s="580" t="n">
        <x:v>300</x:v>
      </x:c>
      <x:c r="M1018" s="7" t="n">
        <x:f>IF('01_Ustawienia'!$B$4="ZWOLNIONY",0,'01_Ustawienia'!$B$7)</x:f>
        <x:v>0.08</x:v>
      </x:c>
      <x:c r="N1018" s="8" t="n">
        <x:f>IF(J1018="","",ROUND((J1018+K1018)*(1+M1018),0))</x:f>
        <x:v>5437</x:v>
      </x:c>
      <x:c r="O1018" s="8" t="n">
        <x:f>IF(J1018="","",J1018+K1018-H1018-L1018)</x:f>
        <x:v>1262</x:v>
      </x:c>
      <x:c r="P1018" s="7" t="n">
        <x:f>IFERROR(O1018/(J1018+K1018),"")</x:f>
        <x:v>0.2506952721493842</x:v>
      </x:c>
      <x:c r="Q1018" s="6" t="inlineStr">
        <x:is>
          <x:t xml:space="preserve">RAW_ZP N/O</x:t>
        </x:is>
      </x:c>
      <x:c r="R1018" s="6" t="inlineStr">
        <x:is>
          <x:t xml:space="preserve">ROLETY BOCZNE</x:t>
        </x:is>
      </x:c>
      <x:c r="S1018" s="6" t="inlineStr">
        <x:is>
          <x:t xml:space="preserve">website+crm</x:t>
        </x:is>
      </x:c>
      <x:c r="T1018" s="581" t="inlineStr">
        <x:is>
          <x:t xml:space="preserve">FIX11: K/L 550/600 wg ark. 09 (UZUPEŁNIĆ L).</x:t>
        </x:is>
      </x:c>
    </x:row>
    <x:row r="1019" s="655" customFormat="1" ht="29.5" customHeight="1">
      <x:c r="A1019" s="6" t="inlineStr">
        <x:is>
          <x:t xml:space="preserve">550 x 606 cm</x:t>
        </x:is>
      </x:c>
      <x:c r="B1019" s="6" t="inlineStr">
        <x:is>
          <x:t xml:space="preserve">M</x:t>
        </x:is>
      </x:c>
      <x:c r="C1019" s="6" t="inlineStr">
        <x:is>
          <x:t xml:space="preserve">Markiza dachowa</x:t>
        </x:is>
      </x:c>
      <x:c r="D1019" s="6" t="inlineStr">
        <x:is>
          <x:t xml:space="preserve">MARKIZA</x:t>
        </x:is>
      </x:c>
      <x:c r="E1019" s="8" t="n">
        <x:f>IFERROR(INDEX('02_RAW_INDEX'!$H:$H,MATCH($A1019,'02_RAW_INDEX'!$A:$A,0)),"")</x:f>
        <x:v>6797</x:v>
      </x:c>
      <x:c r="F1019" s="8" t="n">
        <x:f>IFERROR(INDEX('02_RAW_INDEX'!$G:$G,MATCH($A1019,'02_RAW_INDEX'!$A:$A,0)),"")</x:f>
        <x:v>8360</x:v>
      </x:c>
      <x:c r="G1019" s="7" t="n">
        <x:f>'01_Ustawienia'!$B$6</x:f>
        <x:v>0</x:v>
      </x:c>
      <x:c r="H1019" s="8" t="n">
        <x:f>IF(E1019="","",ROUND(IF('01_Ustawienia'!$B$5="BRUTTO",F1019,E1019)*(1-G1019),0))</x:f>
        <x:v>6797</x:v>
      </x:c>
      <x:c r="I1019" s="7" t="n">
        <x:f>IFERROR(IFERROR(INDEX('01_Ustawienia'!$B$15:$B$33,MATCH(B1019,'01_Ustawienia'!$A$15:$A$33,0)),0.45),0.45)</x:f>
        <x:v>0.45</x:v>
      </x:c>
      <x:c r="J1019" s="8" t="n">
        <x:f>IF(H1019="","",ROUND(H1019*(1+I1019),0))</x:f>
        <x:v>9856</x:v>
      </x:c>
      <x:c r="K1019" s="580" t="n">
        <x:v>0</x:v>
      </x:c>
      <x:c r="L1019" s="580" t="n">
        <x:v>350</x:v>
      </x:c>
      <x:c r="M1019" s="7" t="n">
        <x:f>IF('01_Ustawienia'!$B$4="ZWOLNIONY",0,'01_Ustawienia'!$B$7)</x:f>
        <x:v>0.08</x:v>
      </x:c>
      <x:c r="N1019" s="8" t="n">
        <x:f>IF(J1019="","",ROUND((J1019+K1019)*(1+M1019),0))</x:f>
        <x:v>10644</x:v>
      </x:c>
      <x:c r="O1019" s="8" t="n">
        <x:f>IF(J1019="","",J1019+K1019-H1019-L1019)</x:f>
        <x:v>2709</x:v>
      </x:c>
      <x:c r="P1019" s="7" t="n">
        <x:f>IFERROR(O1019/(J1019+K1019),"")</x:f>
        <x:v>0.27485795454545453</x:v>
      </x:c>
      <x:c r="Q1019" s="6" t="inlineStr">
        <x:is>
          <x:t xml:space="preserve">RAW_ZP H/I</x:t>
        </x:is>
      </x:c>
      <x:c r="R1019" s="6" t="inlineStr">
        <x:is>
          <x:t xml:space="preserve">MARKIZA</x:t>
        </x:is>
      </x:c>
      <x:c r="S1019" s="6" t="inlineStr">
        <x:is>
          <x:t xml:space="preserve">website+crm</x:t>
        </x:is>
      </x:c>
      <x:c r="T1019" s="581" t="inlineStr">
        <x:is>
          <x:t xml:space="preserve">FIX11: K/L 550/600 wg ark. 09 (UZUPEŁNIĆ L).</x:t>
        </x:is>
      </x:c>
    </x:row>
    <x:row r="1020" s="655" customFormat="1" ht="44.25" customHeight="1">
      <x:c r="A1020" s="6" t="inlineStr">
        <x:is>
          <x:t xml:space="preserve">550 x 606 cm</x:t>
        </x:is>
      </x:c>
      <x:c r="B1020" s="6" t="inlineStr">
        <x:is>
          <x:t xml:space="preserve">PDWP</x:t>
        </x:is>
      </x:c>
      <x:c r="C1020" s="6" t="inlineStr">
        <x:is>
          <x:t xml:space="preserve">Fundament/profile</x:t>
        </x:is>
      </x:c>
      <x:c r="D1020" s="6" t="inlineStr">
        <x:is>
          <x:t xml:space="preserve">FUNDAMENT / PROFILE</x:t>
        </x:is>
      </x:c>
      <x:c r="E1020" s="8" t="n">
        <x:f>IFERROR(INDEX('02_RAW_INDEX'!$AH:$AH,MATCH($A1020,'02_RAW_INDEX'!$A:$A,0)),"")</x:f>
        <x:v>1382</x:v>
      </x:c>
      <x:c r="F1020" s="8" t="n">
        <x:f>IFERROR(INDEX('02_RAW_INDEX'!$AG:$AG,MATCH($A1020,'02_RAW_INDEX'!$A:$A,0)),"")</x:f>
        <x:v>1700</x:v>
      </x:c>
      <x:c r="G1020" s="7" t="n">
        <x:f>'01_Ustawienia'!$B$6</x:f>
        <x:v>0</x:v>
      </x:c>
      <x:c r="H1020" s="8" t="n">
        <x:f>IF(E1020="","",ROUND(IF('01_Ustawienia'!$B$5="BRUTTO",F1020,E1020)*(1-G1020),0))</x:f>
        <x:v>1382</x:v>
      </x:c>
      <x:c r="I1020" s="7" t="n">
        <x:f>IFERROR(IFERROR(INDEX('01_Ustawienia'!$B$15:$B$33,MATCH(B1020,'01_Ustawienia'!$A$15:$A$33,0)),0.45),0.45)</x:f>
        <x:v>1.2</x:v>
      </x:c>
      <x:c r="J1020" s="8" t="n">
        <x:f>IF(H1020="","",ROUND(H1020*(1+I1020),0))</x:f>
        <x:v>3040</x:v>
      </x:c>
      <x:c r="K1020" s="580" t="n">
        <x:v>700</x:v>
      </x:c>
      <x:c r="L1020" s="580" t="n">
        <x:v>640</x:v>
      </x:c>
      <x:c r="M1020" s="7" t="n">
        <x:f>IF('01_Ustawienia'!$B$4="ZWOLNIONY",0,'01_Ustawienia'!$B$7)</x:f>
        <x:v>0.08</x:v>
      </x:c>
      <x:c r="N1020" s="8" t="n">
        <x:f>IF(J1020="","",ROUND((J1020+K1020)*(1+M1020),0))</x:f>
        <x:v>4039</x:v>
      </x:c>
      <x:c r="O1020" s="8" t="n">
        <x:f>IF(J1020="","",J1020+K1020-H1020-L1020)</x:f>
        <x:v>1718</x:v>
      </x:c>
      <x:c r="P1020" s="7" t="n">
        <x:f>IFERROR(O1020/(J1020+K1020),"")</x:f>
        <x:v>0.45935828877005347</x:v>
      </x:c>
      <x:c r="Q1020" s="6" t="inlineStr">
        <x:is>
          <x:t xml:space="preserve">RAW_OP AB/AC</x:t>
        </x:is>
      </x:c>
      <x:c r="R1020" s="6" t="inlineStr">
        <x:is>
          <x:t xml:space="preserve">FUNDAMENT (PROFILE)</x:t>
        </x:is>
      </x:c>
      <x:c r="S1020" s="6" t="inlineStr">
        <x:is>
          <x:t xml:space="preserve">website+crm</x:t>
        </x:is>
      </x:c>
      <x:c r="T1020" s="581" t="inlineStr">
        <x:is>
          <x:t xml:space="preserve">FIX11: K/L 550/600 wg ark. 09 (UZUPEŁNIĆ K+L / KOREKTA RENTOWNOŚCI).</x:t>
        </x:is>
      </x:c>
    </x:row>
    <x:row r="1021" s="655" customFormat="1" ht="30" customHeight="1">
      <x:c r="A1021" s="6" t="inlineStr">
        <x:is>
          <x:t xml:space="preserve">550 x 606 cm</x:t>
        </x:is>
      </x:c>
      <x:c r="B1021" s="6" t="inlineStr">
        <x:is>
          <x:t xml:space="preserve">ZAB</x:t>
        </x:is>
      </x:c>
      <x:c r="C1021" s="6" t="inlineStr">
        <x:is>
          <x:t xml:space="preserve">Zabieraki do ścian przesuwnych</x:t>
        </x:is>
      </x:c>
      <x:c r="D1021" s="6" t="inlineStr">
        <x:is>
          <x:t xml:space="preserve">DODATKI</x:t>
        </x:is>
      </x:c>
      <x:c r="E1021" s="8" t="n">
        <x:f>IFERROR(INDEX('02_RAW_INDEX'!$AJ:$AJ,MATCH($A1021,'02_RAW_INDEX'!$A:$A,0)),"")</x:f>
        <x:v>455</x:v>
      </x:c>
      <x:c r="F1021" s="8" t="n">
        <x:f>IFERROR(INDEX('02_RAW_INDEX'!$AI:$AI,MATCH($A1021,'02_RAW_INDEX'!$A:$A,0)),"")</x:f>
        <x:v>560</x:v>
      </x:c>
      <x:c r="G1021" s="7" t="n">
        <x:f>'01_Ustawienia'!$B$6</x:f>
        <x:v>0</x:v>
      </x:c>
      <x:c r="H1021" s="8" t="n">
        <x:f>IF(E1021="","",ROUND(IF('01_Ustawienia'!$B$5="BRUTTO",F1021,E1021)*(1-G1021),0))</x:f>
        <x:v>455</x:v>
      </x:c>
      <x:c r="I1021" s="7" t="n">
        <x:f>IFERROR(IFERROR(INDEX('01_Ustawienia'!$B$15:$B$33,MATCH(B1021,'01_Ustawienia'!$A$15:$A$33,0)),0.45),0.45)</x:f>
        <x:v>0.45</x:v>
      </x:c>
      <x:c r="J1021" s="8" t="n">
        <x:f>IF(H1021="","",ROUND(H1021*(1+I1021),0))</x:f>
        <x:v>660</x:v>
      </x:c>
      <x:c r="K1021" s="582" t="n">
        <x:v>0</x:v>
      </x:c>
      <x:c r="L1021" s="582" t="n">
        <x:v>0</x:v>
      </x:c>
      <x:c r="M1021" s="7" t="n">
        <x:f>IF('01_Ustawienia'!$B$4="ZWOLNIONY",0,'01_Ustawienia'!$B$7)</x:f>
        <x:v>0.08</x:v>
      </x:c>
      <x:c r="N1021" s="8" t="n">
        <x:f>IF(J1021="","",ROUND((J1021+K1021)*(1+M1021),0))</x:f>
        <x:v>713</x:v>
      </x:c>
      <x:c r="O1021" s="8" t="n">
        <x:f>IF(J1021="","",J1021+K1021-H1021-L1021)</x:f>
        <x:v>205</x:v>
      </x:c>
      <x:c r="P1021" s="7" t="n">
        <x:f>IFERROR(O1021/(J1021+K1021),"")</x:f>
        <x:v>0.3106060606060606</x:v>
      </x:c>
      <x:c r="Q1021" s="6" t="inlineStr">
        <x:is>
          <x:t xml:space="preserve">RAW_OP AD/AE</x:t>
        </x:is>
      </x:c>
      <x:c r="R1021" s="6" t="inlineStr">
        <x:is>
          <x:t xml:space="preserve">DODATKI</x:t>
        </x:is>
      </x:c>
      <x:c r="S1021" s="6" t="inlineStr">
        <x:is>
          <x:t xml:space="preserve">crm_only</x:t>
        </x:is>
      </x:c>
      <x:c r="T1021" s="581" t="inlineStr">
        <x:is>
          <x:t xml:space="preserve">FIX11: K/L 550/600 wg ark. 09 (POZOSTAWIĆ 0).</x:t>
        </x:is>
      </x:c>
    </x:row>
    <x:row r="1022" s="655" customFormat="1" ht="29.5" customHeight="1">
      <x:c r="A1022" s="6" t="inlineStr">
        <x:is>
          <x:t xml:space="preserve">550 x 606 cm</x:t>
        </x:is>
      </x:c>
      <x:c r="B1022" s="6" t="inlineStr">
        <x:is>
          <x:t xml:space="preserve">S</x:t>
        </x:is>
      </x:c>
      <x:c r="C1022" s="6" t="inlineStr">
        <x:is>
          <x:t xml:space="preserve">Szczotki przeciwkurzowe</x:t>
        </x:is>
      </x:c>
      <x:c r="D1022" s="6" t="inlineStr">
        <x:is>
          <x:t xml:space="preserve">SZCZOTKI</x:t>
        </x:is>
      </x:c>
      <x:c r="E1022" s="8" t="n">
        <x:f>IFERROR(INDEX('02_RAW_INDEX'!$AD:$AD,MATCH($A1022,'02_RAW_INDEX'!$A:$A,0)),"")</x:f>
        <x:v>496</x:v>
      </x:c>
      <x:c r="F1022" s="8" t="n">
        <x:f>IFERROR(INDEX('02_RAW_INDEX'!$AC:$AC,MATCH($A1022,'02_RAW_INDEX'!$A:$A,0)),"")</x:f>
        <x:v>610</x:v>
      </x:c>
      <x:c r="G1022" s="7" t="n">
        <x:f>'01_Ustawienia'!$B$6</x:f>
        <x:v>0</x:v>
      </x:c>
      <x:c r="H1022" s="8" t="n">
        <x:f>IF(E1022="","",ROUND(IF('01_Ustawienia'!$B$5="BRUTTO",F1022,E1022)*(1-G1022),0))</x:f>
        <x:v>496</x:v>
      </x:c>
      <x:c r="I1022" s="7" t="n">
        <x:f>IFERROR(IFERROR(INDEX('01_Ustawienia'!$B$15:$B$33,MATCH(B1022,'01_Ustawienia'!$A$15:$A$33,0)),0.45),0.45)</x:f>
        <x:v>0.45</x:v>
      </x:c>
      <x:c r="J1022" s="8" t="n">
        <x:f>IF(H1022="","",ROUND(H1022*(1+I1022),0))</x:f>
        <x:v>719</x:v>
      </x:c>
      <x:c r="K1022" s="582" t="n">
        <x:v>0</x:v>
      </x:c>
      <x:c r="L1022" s="582" t="n">
        <x:v>0</x:v>
      </x:c>
      <x:c r="M1022" s="7" t="n">
        <x:f>IF('01_Ustawienia'!$B$4="ZWOLNIONY",0,'01_Ustawienia'!$B$7)</x:f>
        <x:v>0.08</x:v>
      </x:c>
      <x:c r="N1022" s="8" t="n">
        <x:f>IF(J1022="","",ROUND((J1022+K1022)*(1+M1022),0))</x:f>
        <x:v>777</x:v>
      </x:c>
      <x:c r="O1022" s="8" t="n">
        <x:f>IF(J1022="","",J1022+K1022-H1022-L1022)</x:f>
        <x:v>223</x:v>
      </x:c>
      <x:c r="P1022" s="7" t="n">
        <x:f>IFERROR(O1022/(J1022+K1022),"")</x:f>
        <x:v>0.3101529902642559</x:v>
      </x:c>
      <x:c r="Q1022" s="6" t="inlineStr">
        <x:is>
          <x:t xml:space="preserve">RAW_OP L/M</x:t>
        </x:is>
      </x:c>
      <x:c r="R1022" s="6" t="inlineStr">
        <x:is>
          <x:t xml:space="preserve">DODATKI</x:t>
        </x:is>
      </x:c>
      <x:c r="S1022" s="6" t="inlineStr">
        <x:is>
          <x:t xml:space="preserve">website+crm</x:t>
        </x:is>
      </x:c>
      <x:c r="T1022" s="581" t="inlineStr">
        <x:is>
          <x:t xml:space="preserve">FIX11: K/L 550/600 wg ark. 09 (POZOSTAWIĆ 0).</x:t>
        </x:is>
      </x:c>
    </x:row>
    <x:row r="1023" s="655" customFormat="1" ht="29.5" customHeight="1">
      <x:c r="A1023" s="6" t="inlineStr">
        <x:is>
          <x:t xml:space="preserve">550 x 606 cm</x:t>
        </x:is>
      </x:c>
      <x:c r="B1023" s="6" t="inlineStr">
        <x:is>
          <x:t xml:space="preserve">U</x:t>
        </x:is>
      </x:c>
      <x:c r="C1023" s="6" t="inlineStr">
        <x:is>
          <x:t xml:space="preserve">Uchwyty na szkło ścienne</x:t>
        </x:is>
      </x:c>
      <x:c r="D1023" s="6" t="inlineStr">
        <x:is>
          <x:t xml:space="preserve">UCHWYTY</x:t>
        </x:is>
      </x:c>
      <x:c r="E1023" s="8" t="n">
        <x:f>IFERROR(INDEX('02_RAW_INDEX'!$AF:$AF,MATCH($A1023,'02_RAW_INDEX'!$A:$A,0)),"")</x:f>
        <x:v>447</x:v>
      </x:c>
      <x:c r="F1023" s="8" t="n">
        <x:f>IFERROR(INDEX('02_RAW_INDEX'!$AE:$AE,MATCH($A1023,'02_RAW_INDEX'!$A:$A,0)),"")</x:f>
        <x:v>550</x:v>
      </x:c>
      <x:c r="G1023" s="7" t="n">
        <x:f>'01_Ustawienia'!$B$6</x:f>
        <x:v>0</x:v>
      </x:c>
      <x:c r="H1023" s="8" t="n">
        <x:f>IF(E1023="","",ROUND(IF('01_Ustawienia'!$B$5="BRUTTO",F1023,E1023)*(1-G1023),0))</x:f>
        <x:v>447</x:v>
      </x:c>
      <x:c r="I1023" s="7" t="n">
        <x:f>IFERROR(IFERROR(INDEX('01_Ustawienia'!$B$15:$B$33,MATCH(B1023,'01_Ustawienia'!$A$15:$A$33,0)),0.45),0.45)</x:f>
        <x:v>0.45</x:v>
      </x:c>
      <x:c r="J1023" s="8" t="n">
        <x:f>IF(H1023="","",ROUND(H1023*(1+I1023),0))</x:f>
        <x:v>648</x:v>
      </x:c>
      <x:c r="K1023" s="582" t="n">
        <x:v>0</x:v>
      </x:c>
      <x:c r="L1023" s="582" t="n">
        <x:v>0</x:v>
      </x:c>
      <x:c r="M1023" s="7" t="n">
        <x:f>IF('01_Ustawienia'!$B$4="ZWOLNIONY",0,'01_Ustawienia'!$B$7)</x:f>
        <x:v>0.08</x:v>
      </x:c>
      <x:c r="N1023" s="8" t="n">
        <x:f>IF(J1023="","",ROUND((J1023+K1023)*(1+M1023),0))</x:f>
        <x:v>700</x:v>
      </x:c>
      <x:c r="O1023" s="8" t="n">
        <x:f>IF(J1023="","",J1023+K1023-H1023-L1023)</x:f>
        <x:v>201</x:v>
      </x:c>
      <x:c r="P1023" s="7" t="n">
        <x:f>IFERROR(O1023/(J1023+K1023),"")</x:f>
        <x:v>0.3101851851851852</x:v>
      </x:c>
      <x:c r="Q1023" s="6" t="inlineStr">
        <x:is>
          <x:t xml:space="preserve">RAW_OP N/O</x:t>
        </x:is>
      </x:c>
      <x:c r="R1023" s="6" t="inlineStr">
        <x:is>
          <x:t xml:space="preserve">DODATKI</x:t>
        </x:is>
      </x:c>
      <x:c r="S1023" s="6" t="inlineStr">
        <x:is>
          <x:t xml:space="preserve">website+crm</x:t>
        </x:is>
      </x:c>
      <x:c r="T1023" s="581" t="inlineStr">
        <x:is>
          <x:t xml:space="preserve">FIX11: K/L 550/600 wg ark. 09 (POZOSTAWIĆ 0).</x:t>
        </x:is>
      </x:c>
    </x:row>
    <x:row r="1024" s="655" customFormat="1" ht="29.5" customHeight="1">
      <x:c r="A1024" s="6" t="inlineStr">
        <x:is>
          <x:t xml:space="preserve">550 x 606 cm</x:t>
        </x:is>
      </x:c>
      <x:c r="B1024" s="6" t="inlineStr">
        <x:is>
          <x:t xml:space="preserve">LED2</x:t>
        </x:is>
      </x:c>
      <x:c r="C1024" s="6" t="inlineStr">
        <x:is>
          <x:t xml:space="preserve">Oświetlenie LED 2 punkty</x:t>
        </x:is>
      </x:c>
      <x:c r="D1024" s="6" t="inlineStr">
        <x:is>
          <x:t xml:space="preserve">LED 2 PKT</x:t>
        </x:is>
      </x:c>
      <x:c r="E1024" s="8" t="n">
        <x:f>IFERROR(INDEX('02_RAW_INDEX'!$N:$N,MATCH($A1024,'02_RAW_INDEX'!$A:$A,0)),"")</x:f>
        <x:v>642</x:v>
      </x:c>
      <x:c r="F1024" s="8" t="n">
        <x:f>IFERROR(INDEX('02_RAW_INDEX'!$M:$M,MATCH($A1024,'02_RAW_INDEX'!$A:$A,0)),"")</x:f>
        <x:v>790</x:v>
      </x:c>
      <x:c r="G1024" s="7" t="n">
        <x:f>'01_Ustawienia'!$B$6</x:f>
        <x:v>0</x:v>
      </x:c>
      <x:c r="H1024" s="8" t="n">
        <x:f>IF(E1024="","",ROUND(IF('01_Ustawienia'!$B$5="BRUTTO",F1024,E1024)*(1-G1024),0))</x:f>
        <x:v>642</x:v>
      </x:c>
      <x:c r="I1024" s="7" t="n">
        <x:f>IFERROR(IFERROR(INDEX('01_Ustawienia'!$B$15:$B$33,MATCH(B1024,'01_Ustawienia'!$A$15:$A$33,0)),0.45),0.45)</x:f>
        <x:v>0.45</x:v>
      </x:c>
      <x:c r="J1024" s="8" t="n">
        <x:f>IF(H1024="","",ROUND(H1024*(1+I1024),0))</x:f>
        <x:v>931</x:v>
      </x:c>
      <x:c r="K1024" s="582" t="n">
        <x:v>0</x:v>
      </x:c>
      <x:c r="L1024" s="582" t="n">
        <x:v>0</x:v>
      </x:c>
      <x:c r="M1024" s="7" t="n">
        <x:f>IF('01_Ustawienia'!$B$4="ZWOLNIONY",0,'01_Ustawienia'!$B$7)</x:f>
        <x:v>0.08</x:v>
      </x:c>
      <x:c r="N1024" s="8" t="n">
        <x:f>IF(J1024="","",ROUND((J1024+K1024)*(1+M1024),0))</x:f>
        <x:v>1005</x:v>
      </x:c>
      <x:c r="O1024" s="8" t="n">
        <x:f>IF(J1024="","",J1024+K1024-H1024-L1024)</x:f>
        <x:v>289</x:v>
      </x:c>
      <x:c r="P1024" s="7" t="n">
        <x:f>IFERROR(O1024/(J1024+K1024),"")</x:f>
        <x:v>0.3104189044038668</x:v>
      </x:c>
      <x:c r="Q1024" s="6" t="inlineStr">
        <x:is>
          <x:t xml:space="preserve">RAW_ZP P/Q</x:t>
        </x:is>
      </x:c>
      <x:c r="R1024" s="6" t="inlineStr">
        <x:is>
          <x:t xml:space="preserve">OŚWIETLENIE</x:t>
        </x:is>
      </x:c>
      <x:c r="S1024" s="6" t="inlineStr">
        <x:is>
          <x:t xml:space="preserve">website+crm</x:t>
        </x:is>
      </x:c>
      <x:c r="T1024" s="581" t="inlineStr">
        <x:is>
          <x:t xml:space="preserve">FIX11: K/L 550/600 wg ark. 09 (POZOSTAWIĆ 0 NA RAZIE).</x:t>
        </x:is>
      </x:c>
    </x:row>
    <x:row r="1025" s="655" customFormat="1" ht="44.25" customHeight="1">
      <x:c r="A1025" s="6" t="inlineStr">
        <x:is>
          <x:t xml:space="preserve">550 x 606 cm</x:t>
        </x:is>
      </x:c>
      <x:c r="B1025" s="6" t="inlineStr">
        <x:is>
          <x:t xml:space="preserve">LED3</x:t>
        </x:is>
      </x:c>
      <x:c r="C1025" s="6" t="inlineStr">
        <x:is>
          <x:t xml:space="preserve">Oświetlenie LED 3 punkty</x:t>
        </x:is>
      </x:c>
      <x:c r="D1025" s="6" t="inlineStr">
        <x:is>
          <x:t xml:space="preserve">LED 3 PKT</x:t>
        </x:is>
      </x:c>
      <x:c r="E1025" s="8" t="n">
        <x:f>IFERROR(INDEX('02_RAW_INDEX'!$P:$P,MATCH($A1025,'02_RAW_INDEX'!$A:$A,0)),"")</x:f>
        <x:v>886</x:v>
      </x:c>
      <x:c r="F1025" s="8" t="n">
        <x:f>IFERROR(INDEX('02_RAW_INDEX'!$O:$O,MATCH($A1025,'02_RAW_INDEX'!$A:$A,0)),"")</x:f>
        <x:v>1090</x:v>
      </x:c>
      <x:c r="G1025" s="7" t="n">
        <x:f>'01_Ustawienia'!$B$6</x:f>
        <x:v>0</x:v>
      </x:c>
      <x:c r="H1025" s="8" t="n">
        <x:f>IF(E1025="","",ROUND(IF('01_Ustawienia'!$B$5="BRUTTO",F1025,E1025)*(1-G1025),0))</x:f>
        <x:v>886</x:v>
      </x:c>
      <x:c r="I1025" s="7" t="n">
        <x:f>IFERROR(IFERROR(INDEX('01_Ustawienia'!$B$15:$B$33,MATCH(B1025,'01_Ustawienia'!$A$15:$A$33,0)),0.45),0.45)</x:f>
        <x:v>0.45</x:v>
      </x:c>
      <x:c r="J1025" s="8" t="n">
        <x:f>IF(H1025="","",ROUND(H1025*(1+I1025),0))</x:f>
        <x:v>1285</x:v>
      </x:c>
      <x:c r="K1025" s="582" t="n">
        <x:v>0</x:v>
      </x:c>
      <x:c r="L1025" s="582" t="n">
        <x:v>0</x:v>
      </x:c>
      <x:c r="M1025" s="7" t="n">
        <x:f>IF('01_Ustawienia'!$B$4="ZWOLNIONY",0,'01_Ustawienia'!$B$7)</x:f>
        <x:v>0.08</x:v>
      </x:c>
      <x:c r="N1025" s="8" t="n">
        <x:f>IF(J1025="","",ROUND((J1025+K1025)*(1+M1025),0))</x:f>
        <x:v>1388</x:v>
      </x:c>
      <x:c r="O1025" s="8" t="n">
        <x:f>IF(J1025="","",J1025+K1025-H1025-L1025)</x:f>
        <x:v>399</x:v>
      </x:c>
      <x:c r="P1025" s="7" t="n">
        <x:f>IFERROR(O1025/(J1025+K1025),"")</x:f>
        <x:v>0.3105058365758755</x:v>
      </x:c>
      <x:c r="Q1025" s="6" t="inlineStr">
        <x:is>
          <x:t xml:space="preserve">RAW_ZP R/S</x:t>
        </x:is>
      </x:c>
      <x:c r="R1025" s="6" t="inlineStr">
        <x:is>
          <x:t xml:space="preserve">OŚWIETLENIE</x:t>
        </x:is>
      </x:c>
      <x:c r="S1025" s="6" t="inlineStr">
        <x:is>
          <x:t xml:space="preserve">website+crm</x:t>
        </x:is>
      </x:c>
      <x:c r="T1025" s="581" t="inlineStr">
        <x:is>
          <x:t xml:space="preserve">Nazwa do potwierdzenia | FIX11: K/L 550/600 wg ark. 09 (POZOSTAWIĆ 0 NA RAZIE).</x:t>
        </x:is>
      </x:c>
    </x:row>
    <x:row r="1026" s="655" customFormat="1" ht="29.5" customHeight="1">
      <x:c r="A1026" s="6" t="inlineStr">
        <x:is>
          <x:t xml:space="preserve">550 x 606 cm</x:t>
        </x:is>
      </x:c>
      <x:c r="B1026" s="6" t="inlineStr">
        <x:is>
          <x:t xml:space="preserve">LEDCCT</x:t>
        </x:is>
      </x:c>
      <x:c r="C1026" s="6" t="inlineStr">
        <x:is>
          <x:t xml:space="preserve">Oświetlenie LED CCT</x:t>
        </x:is>
      </x:c>
      <x:c r="D1026" s="6" t="inlineStr">
        <x:is>
          <x:t xml:space="preserve">OŚWIETLENIE</x:t>
        </x:is>
      </x:c>
      <x:c r="E1026" s="8" t="n">
        <x:f>IFERROR(INDEX('02_RAW_INDEX'!$R:$R,MATCH($A1026,'02_RAW_INDEX'!$A:$A,0)),"")</x:f>
        <x:v>2102</x:v>
      </x:c>
      <x:c r="F1026" s="8" t="n">
        <x:f>IFERROR(INDEX('02_RAW_INDEX'!$Q:$Q,MATCH($A1026,'02_RAW_INDEX'!$A:$A,0)),"")</x:f>
        <x:v>2586</x:v>
      </x:c>
      <x:c r="G1026" s="7" t="n">
        <x:f>'01_Ustawienia'!$B$6</x:f>
        <x:v>0</x:v>
      </x:c>
      <x:c r="H1026" s="8" t="n">
        <x:f>IF(E1026="","",ROUND(IF('01_Ustawienia'!$B$5="BRUTTO",F1026,E1026)*(1-G1026),0))</x:f>
        <x:v>2102</x:v>
      </x:c>
      <x:c r="I1026" s="7" t="n">
        <x:f>IFERROR(IFERROR(INDEX('01_Ustawienia'!$B$15:$B$33,MATCH(B1026,'01_Ustawienia'!$A$15:$A$33,0)),0.45),0.45)</x:f>
        <x:v>0.45</x:v>
      </x:c>
      <x:c r="J1026" s="8" t="n">
        <x:f>IF(H1026="","",ROUND(H1026*(1+I1026),0)+700)</x:f>
        <x:v>3748</x:v>
      </x:c>
      <x:c r="K1026" s="582" t="n">
        <x:v>0</x:v>
      </x:c>
      <x:c r="L1026" s="582" t="n">
        <x:v>0</x:v>
      </x:c>
      <x:c r="M1026" s="7" t="n">
        <x:f>IF('01_Ustawienia'!$B$4="ZWOLNIONY",0,'01_Ustawienia'!$B$7)</x:f>
        <x:v>0.08</x:v>
      </x:c>
      <x:c r="N1026" s="8" t="n">
        <x:f>IF(J1026="","",ROUND((J1026+K1026)*(1+M1026),0))</x:f>
        <x:v>4048</x:v>
      </x:c>
      <x:c r="O1026" s="8" t="n">
        <x:f>IF(J1026="","",J1026+K1026-H1026-L1026)</x:f>
        <x:v>1646</x:v>
      </x:c>
      <x:c r="P1026" s="7" t="n">
        <x:f>IFERROR(O1026/(J1026+K1026),"")</x:f>
        <x:v>0.4391675560298826</x:v>
      </x:c>
      <x:c r="Q1026" s="715" t="inlineStr">
        <x:is>
          <x:t xml:space="preserve">MODEL_FIX15_LED</x:t>
        </x:is>
      </x:c>
      <x:c r="R1026" s="6" t="inlineStr">
        <x:is>
          <x:t xml:space="preserve">OŚWIETLENIE</x:t>
        </x:is>
      </x:c>
      <x:c r="S1026" s="6" t="inlineStr">
        <x:is>
          <x:t xml:space="preserve">website+crm</x:t>
        </x:is>
      </x:c>
      <x:c r="T1026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027" s="655" customFormat="1" ht="29.5" customHeight="1">
      <x:c r="A1027" s="6" t="inlineStr">
        <x:is>
          <x:t xml:space="preserve">550 x 606 cm</x:t>
        </x:is>
      </x:c>
      <x:c r="B1027" s="6" t="inlineStr">
        <x:is>
          <x:t xml:space="preserve">LEDRGBCCT</x:t>
        </x:is>
      </x:c>
      <x:c r="C1027" s="6" t="inlineStr">
        <x:is>
          <x:t xml:space="preserve">Oświetlenie LED RGB CCT</x:t>
        </x:is>
      </x:c>
      <x:c r="D1027" s="6" t="inlineStr">
        <x:is>
          <x:t xml:space="preserve">OŚWIETLENIE</x:t>
        </x:is>
      </x:c>
      <x:c r="E1027" s="8" t="n">
        <x:f>IFERROR(INDEX('02_RAW_INDEX'!$T:$T,MATCH($A1027,'02_RAW_INDEX'!$A:$A,0)),"")</x:f>
        <x:v>2678</x:v>
      </x:c>
      <x:c r="F1027" s="8" t="n">
        <x:f>IFERROR(INDEX('02_RAW_INDEX'!$S:$S,MATCH($A1027,'02_RAW_INDEX'!$A:$A,0)),"")</x:f>
        <x:v>3294</x:v>
      </x:c>
      <x:c r="G1027" s="7" t="n">
        <x:f>'01_Ustawienia'!$B$6</x:f>
        <x:v>0</x:v>
      </x:c>
      <x:c r="H1027" s="8" t="n">
        <x:f>IF(E1027="","",ROUND(IF('01_Ustawienia'!$B$5="BRUTTO",F1027,E1027)*(1-G1027),0))</x:f>
        <x:v>2678</x:v>
      </x:c>
      <x:c r="I1027" s="7" t="n">
        <x:f>IFERROR(IFERROR(INDEX('01_Ustawienia'!$B$15:$B$33,MATCH(B1027,'01_Ustawienia'!$A$15:$A$33,0)),0.45),0.45)</x:f>
        <x:v>0.45</x:v>
      </x:c>
      <x:c r="J1027" s="8" t="n">
        <x:f>IF(H1027="","",ROUND(H1027*(1+I1027),0))</x:f>
        <x:v>3883</x:v>
      </x:c>
      <x:c r="K1027" s="582" t="n">
        <x:v>0</x:v>
      </x:c>
      <x:c r="L1027" s="582" t="n">
        <x:v>0</x:v>
      </x:c>
      <x:c r="M1027" s="7" t="n">
        <x:f>IF('01_Ustawienia'!$B$4="ZWOLNIONY",0,'01_Ustawienia'!$B$7)</x:f>
        <x:v>0.08</x:v>
      </x:c>
      <x:c r="N1027" s="8" t="n">
        <x:f>IF(J1027="","",ROUND((J1027+K1027)*(1+M1027),0))</x:f>
        <x:v>4194</x:v>
      </x:c>
      <x:c r="O1027" s="8" t="n">
        <x:f>IF(J1027="","",J1027+K1027-H1027-L1027)</x:f>
        <x:v>1205</x:v>
      </x:c>
      <x:c r="P1027" s="7" t="n">
        <x:f>IFERROR(O1027/(J1027+K1027),"")</x:f>
        <x:v>0.31032706670100435</x:v>
      </x:c>
      <x:c r="Q1027" s="715" t="inlineStr">
        <x:is>
          <x:t xml:space="preserve">MODEL_FIX15_LED</x:t>
        </x:is>
      </x:c>
      <x:c r="R1027" s="6" t="inlineStr">
        <x:is>
          <x:t xml:space="preserve">OŚWIETLENIE</x:t>
        </x:is>
      </x:c>
      <x:c r="S1027" s="6" t="inlineStr">
        <x:is>
          <x:t xml:space="preserve">crm_only</x:t>
        </x:is>
      </x:c>
      <x:c r="T1027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028" s="655" customFormat="1" ht="30" customHeight="1">
      <x:c r="A1028" s="6" t="inlineStr">
        <x:is>
          <x:t xml:space="preserve">550 x 706 cm</x:t>
        </x:is>
      </x:c>
      <x:c r="B1028" s="6" t="inlineStr">
        <x:is>
          <x:t xml:space="preserve">ZP</x:t>
        </x:is>
      </x:c>
      <x:c r="C1028" s="6" t="inlineStr">
        <x:is>
          <x:t xml:space="preserve">Zadaszenie poliwęglan - baza</x:t>
        </x:is>
      </x:c>
      <x:c r="D1028" s="6" t="inlineStr">
        <x:is>
          <x:t xml:space="preserve">ZADASZENIE POLIWĘGLAN</x:t>
        </x:is>
      </x:c>
      <x:c r="E1028" s="8" t="n">
        <x:f>IFERROR(INDEX('02_RAW_INDEX'!$D:$D,MATCH($A1028,'02_RAW_INDEX'!$A:$A,0)),"")</x:f>
        <x:v>18520</x:v>
      </x:c>
      <x:c r="F1028" s="8" t="n">
        <x:f>IFERROR(INDEX('02_RAW_INDEX'!$C:$C,MATCH($A1028,'02_RAW_INDEX'!$A:$A,0)),"")</x:f>
        <x:v>22780</x:v>
      </x:c>
      <x:c r="G1028" s="7" t="n">
        <x:f>'01_Ustawienia'!$B$6</x:f>
        <x:v>0</x:v>
      </x:c>
      <x:c r="H1028" s="8" t="n">
        <x:f>IF(E1028="","",ROUND(IF('01_Ustawienia'!$B$5="BRUTTO",F1028,E1028)*(1-G1028),0))</x:f>
        <x:v>18520</x:v>
      </x:c>
      <x:c r="I1028" s="7" t="n">
        <x:f>IFERROR(IFERROR(INDEX('01_Ustawienia'!$B$15:$B$33,MATCH(B1028,'01_Ustawienia'!$A$15:$A$33,0)),0.45),0.45)</x:f>
        <x:v>0.45</x:v>
      </x:c>
      <x:c r="J1028" s="8" t="n">
        <x:f>IF(H1028="","",ROUND(H1028*(1+I1028),0))</x:f>
        <x:v>26854</x:v>
      </x:c>
      <x:c r="K1028" s="580" t="n">
        <x:v>5120</x:v>
      </x:c>
      <x:c r="L1028" s="580" t="n">
        <x:v>1680</x:v>
      </x:c>
      <x:c r="M1028" s="7" t="n">
        <x:f>IF('01_Ustawienia'!$B$4="ZWOLNIONY",0,'01_Ustawienia'!$B$7)</x:f>
        <x:v>0.08</x:v>
      </x:c>
      <x:c r="N1028" s="8" t="n">
        <x:f>IF(J1028="","",ROUND((J1028+K1028)*(1+M1028),0))</x:f>
        <x:v>34532</x:v>
      </x:c>
      <x:c r="O1028" s="8" t="n">
        <x:f>IF(J1028="","",J1028+K1028-H1028-L1028)</x:f>
        <x:v>11774</x:v>
      </x:c>
      <x:c r="P1028" s="7" t="n">
        <x:f>IFERROR(O1028/(J1028+K1028),"")</x:f>
        <x:v>0.3682366923125039</x:v>
      </x:c>
      <x:c r="Q1028" s="6" t="inlineStr">
        <x:is>
          <x:t xml:space="preserve">RAW_ZP B/C</x:t>
        </x:is>
      </x:c>
      <x:c r="R1028" s="6" t="inlineStr">
        <x:is>
          <x:t xml:space="preserve">ZADASZENIE TARASU KONSTRUKCJA</x:t>
        </x:is>
      </x:c>
      <x:c r="S1028" s="6" t="inlineStr">
        <x:is>
          <x:t xml:space="preserve">website+crm</x:t>
        </x:is>
      </x:c>
      <x:c r="T1028" s="581" t="inlineStr">
        <x:is>
          <x:t xml:space="preserve">Baza dla kalkulatora | FIX11: K/L 550/600 wg ark. 09 (UZUPEŁNIĆ).</x:t>
        </x:is>
      </x:c>
    </x:row>
    <x:row r="1029" s="655" customFormat="1" ht="30" customHeight="1">
      <x:c r="A1029" s="6" t="inlineStr">
        <x:is>
          <x:t xml:space="preserve">550 x 706 cm</x:t>
        </x:is>
      </x:c>
      <x:c r="B1029" s="6" t="inlineStr">
        <x:is>
          <x:t xml:space="preserve">ZS</x:t>
        </x:is>
      </x:c>
      <x:c r="C1029" s="6" t="inlineStr">
        <x:is>
          <x:t xml:space="preserve">Zadaszenie szkło - pełna konstrukcja</x:t>
        </x:is>
      </x:c>
      <x:c r="D1029" s="6" t="inlineStr">
        <x:is>
          <x:t xml:space="preserve">ZADASZENIE SZKŁO</x:t>
        </x:is>
      </x:c>
      <x:c r="E1029" s="8" t="str">
        <x:f>IFERROR(INDEX('02_RAW_INDEX'!$V:$V,MATCH($A1029,'02_RAW_INDEX'!$A:$A,0)),"")</x:f>
      </x:c>
      <x:c r="F1029" s="8" t="str">
        <x:f>IFERROR(INDEX('02_RAW_INDEX'!$U:$U,MATCH($A1029,'02_RAW_INDEX'!$A:$A,0)),"")</x:f>
      </x:c>
      <x:c r="G1029" s="7" t="n">
        <x:f>'01_Ustawienia'!$B$6</x:f>
        <x:v>0</x:v>
      </x:c>
      <x:c r="H1029" s="8" t="str">
        <x:f>IF(E1029="","",ROUND(IF('01_Ustawienia'!$B$5="BRUTTO",F1029,E1029)*(1-G1029),0))</x:f>
      </x:c>
      <x:c r="I1029" s="7" t="n">
        <x:f>IFERROR(IFERROR(INDEX('01_Ustawienia'!$B$15:$B$33,MATCH(B1029,'01_Ustawienia'!$A$15:$A$33,0)),0.45),0.45)</x:f>
        <x:v>0.45</x:v>
      </x:c>
      <x:c r="J1029" s="8" t="str">
        <x:f>IF(H1029="","",ROUND(H1029*(1+I1029),0))</x:f>
      </x:c>
      <x:c r="K1029" s="580" t="n">
        <x:v>5120</x:v>
      </x:c>
      <x:c r="L1029" s="580" t="n">
        <x:v>2150</x:v>
      </x:c>
      <x:c r="M1029" s="7" t="n">
        <x:f>IF('01_Ustawienia'!$B$4="ZWOLNIONY",0,'01_Ustawienia'!$B$7)</x:f>
        <x:v>0.08</x:v>
      </x:c>
      <x:c r="N1029" s="8" t="str">
        <x:f>IF(J1029="","",ROUND((J1029+K1029)*(1+M1029),0))</x:f>
      </x:c>
      <x:c r="O1029" s="8" t="str">
        <x:f>IF(J1029="","",J1029+K1029-H1029-L1029)</x:f>
      </x:c>
      <x:c r="P1029" s="7" t="n">
        <x:f>IFERROR(O1029/(J1029+K1029),"")</x:f>
        <x:v>0</x:v>
      </x:c>
      <x:c r="Q1029" s="6" t="inlineStr">
        <x:is>
          <x:t xml:space="preserve">RAW_ZS B/C</x:t>
        </x:is>
      </x:c>
      <x:c r="R1029" s="6" t="inlineStr">
        <x:is>
          <x:t xml:space="preserve">ZADASZENIE TARASU KONSTRUKCJA</x:t>
        </x:is>
      </x:c>
      <x:c r="S1029" s="6" t="inlineStr">
        <x:is>
          <x:t xml:space="preserve">crm_only</x:t>
        </x:is>
      </x:c>
      <x:c r="T1029" s="581" t="inlineStr">
        <x:is>
          <x:t xml:space="preserve">Referencyjne/full; strona zwykle używa ZP + PDS | FIX11: K/L 550/600 wg ark. 09 (NIE PUBLIKOWAĆ / BRAK RAW_ZS).</x:t>
        </x:is>
      </x:c>
    </x:row>
    <x:row r="1030" s="655" customFormat="1" ht="30" customHeight="1">
      <x:c r="A1030" s="6" t="inlineStr">
        <x:is>
          <x:t xml:space="preserve">550 x 706 cm</x:t>
        </x:is>
      </x:c>
      <x:c r="B1030" s="6" t="inlineStr">
        <x:is>
          <x:t xml:space="preserve">OP</x:t>
        </x:is>
      </x:c>
      <x:c r="C1030" s="6" t="inlineStr">
        <x:is>
          <x:t xml:space="preserve">Ogród zimowy poliwęglan - baza</x:t>
        </x:is>
      </x:c>
      <x:c r="D1030" s="6" t="inlineStr">
        <x:is>
          <x:t xml:space="preserve">OGRODY POLIWĘGLAN</x:t>
        </x:is>
      </x:c>
      <x:c r="E1030" s="8" t="n">
        <x:f>IFERROR(INDEX('02_RAW_INDEX'!$Z:$Z,MATCH($A1030,'02_RAW_INDEX'!$A:$A,0)),"")</x:f>
        <x:v>35187</x:v>
      </x:c>
      <x:c r="F1030" s="8" t="n">
        <x:f>IFERROR(INDEX('02_RAW_INDEX'!$Y:$Y,MATCH($A1030,'02_RAW_INDEX'!$A:$A,0)),"")</x:f>
        <x:v>43280</x:v>
      </x:c>
      <x:c r="G1030" s="7" t="n">
        <x:f>'01_Ustawienia'!$B$6</x:f>
        <x:v>0</x:v>
      </x:c>
      <x:c r="H1030" s="8" t="n">
        <x:f>IF(E1030="","",ROUND(IF('01_Ustawienia'!$B$5="BRUTTO",F1030,E1030)*(1-G1030),0))</x:f>
        <x:v>35187</x:v>
      </x:c>
      <x:c r="I1030" s="7" t="n">
        <x:f>IFERROR(IFERROR(INDEX('01_Ustawienia'!$B$15:$B$33,MATCH(B1030,'01_Ustawienia'!$A$15:$A$33,0)),0.45),0.45)</x:f>
        <x:v>0.45</x:v>
      </x:c>
      <x:c r="J1030" s="8" t="n">
        <x:f>IF(H1030="","",ROUND(H1030*(1+I1030),0))</x:f>
        <x:v>51021</x:v>
      </x:c>
      <x:c r="K1030" s="580" t="n">
        <x:v>6250</x:v>
      </x:c>
      <x:c r="L1030" s="580" t="n">
        <x:v>2340</x:v>
      </x:c>
      <x:c r="M1030" s="7" t="n">
        <x:f>IF('01_Ustawienia'!$B$4="ZWOLNIONY",0,'01_Ustawienia'!$B$7)</x:f>
        <x:v>0.08</x:v>
      </x:c>
      <x:c r="N1030" s="8" t="n">
        <x:f>IF(J1030="","",ROUND((J1030+K1030)*(1+M1030),0))</x:f>
        <x:v>61853</x:v>
      </x:c>
      <x:c r="O1030" s="8" t="n">
        <x:f>IF(J1030="","",J1030+K1030-H1030-L1030)</x:f>
        <x:v>19744</x:v>
      </x:c>
      <x:c r="P1030" s="7" t="n">
        <x:f>IFERROR(O1030/(J1030+K1030),"")</x:f>
        <x:v>0.34474690506539085</x:v>
      </x:c>
      <x:c r="Q1030" s="6" t="inlineStr">
        <x:is>
          <x:t xml:space="preserve">RAW_OP B/C</x:t>
        </x:is>
      </x:c>
      <x:c r="R1030" s="6" t="inlineStr">
        <x:is>
          <x:t xml:space="preserve">OGRÓD ZIMOWY (KONSTRUKCJA)</x:t>
        </x:is>
      </x:c>
      <x:c r="S1030" s="6" t="inlineStr">
        <x:is>
          <x:t xml:space="preserve">website+crm</x:t>
        </x:is>
      </x:c>
      <x:c r="T1030" s="581" t="inlineStr">
        <x:is>
          <x:t xml:space="preserve">Do wyliczenia dopłaty za ściany | FIX11: K/L 550/600 wg ark. 09 (UZUPEŁNIĆ).</x:t>
        </x:is>
      </x:c>
    </x:row>
    <x:row r="1031" s="655" customFormat="1" ht="30" customHeight="1">
      <x:c r="A1031" s="6" t="inlineStr">
        <x:is>
          <x:t xml:space="preserve">550 x 706 cm</x:t>
        </x:is>
      </x:c>
      <x:c r="B1031" s="6" t="inlineStr">
        <x:is>
          <x:t xml:space="preserve">OS</x:t>
        </x:is>
      </x:c>
      <x:c r="C1031" s="6" t="inlineStr">
        <x:is>
          <x:t xml:space="preserve">Ogród zimowy szkło - pełna konstrukcja</x:t>
        </x:is>
      </x:c>
      <x:c r="D1031" s="6" t="inlineStr">
        <x:is>
          <x:t xml:space="preserve">OGRODY SZKŁO</x:t>
        </x:is>
      </x:c>
      <x:c r="E1031" s="8" t="str">
        <x:f>IFERROR(INDEX('02_RAW_INDEX'!$AL:$AL,MATCH($A1031,'02_RAW_INDEX'!$A:$A,0)),"")</x:f>
      </x:c>
      <x:c r="F1031" s="8" t="str">
        <x:f>IFERROR(INDEX('02_RAW_INDEX'!$AK:$AK,MATCH($A1031,'02_RAW_INDEX'!$A:$A,0)),"")</x:f>
      </x:c>
      <x:c r="G1031" s="7" t="n">
        <x:f>'01_Ustawienia'!$B$6</x:f>
        <x:v>0</x:v>
      </x:c>
      <x:c r="H1031" s="8" t="str">
        <x:f>IF(E1031="","",ROUND(IF('01_Ustawienia'!$B$5="BRUTTO",F1031,E1031)*(1-G1031),0))</x:f>
      </x:c>
      <x:c r="I1031" s="7" t="n">
        <x:f>IFERROR(IFERROR(INDEX('01_Ustawienia'!$B$15:$B$33,MATCH(B1031,'01_Ustawienia'!$A$15:$A$33,0)),0.45),0.45)</x:f>
        <x:v>0.45</x:v>
      </x:c>
      <x:c r="J1031" s="8" t="str">
        <x:f>IF(H1031="","",ROUND(H1031*(1+I1031),0))</x:f>
      </x:c>
      <x:c r="K1031" s="580" t="n">
        <x:v>6250</x:v>
      </x:c>
      <x:c r="L1031" s="580" t="n">
        <x:v>2810</x:v>
      </x:c>
      <x:c r="M1031" s="7" t="n">
        <x:f>IF('01_Ustawienia'!$B$4="ZWOLNIONY",0,'01_Ustawienia'!$B$7)</x:f>
        <x:v>0.08</x:v>
      </x:c>
      <x:c r="N1031" s="8" t="str">
        <x:f>IF(J1031="","",ROUND((J1031+K1031)*(1+M1031),0))</x:f>
      </x:c>
      <x:c r="O1031" s="8" t="str">
        <x:f>IF(J1031="","",J1031+K1031-H1031-L1031)</x:f>
      </x:c>
      <x:c r="P1031" s="7" t="n">
        <x:f>IFERROR(O1031/(J1031+K1031),"")</x:f>
        <x:v>0</x:v>
      </x:c>
      <x:c r="Q1031" s="6" t="inlineStr">
        <x:is>
          <x:t xml:space="preserve">RAW_OS B/C</x:t>
        </x:is>
      </x:c>
      <x:c r="R1031" s="6" t="inlineStr">
        <x:is>
          <x:t xml:space="preserve">OGRÓD ZIMOWY (KONSTRUKCJA)</x:t>
        </x:is>
      </x:c>
      <x:c r="S1031" s="6" t="inlineStr">
        <x:is>
          <x:t xml:space="preserve">crm_only</x:t>
        </x:is>
      </x:c>
      <x:c r="T1031" s="581" t="inlineStr">
        <x:is>
          <x:t xml:space="preserve">Referencyjne/full | FIX11: K/L 550/600 wg ark. 09 (NIE PUBLIKOWAĆ / BRAK RAW_OS).</x:t>
        </x:is>
      </x:c>
    </x:row>
    <x:row r="1032" s="655" customFormat="1" ht="30" customHeight="1">
      <x:c r="A1032" s="6" t="inlineStr">
        <x:is>
          <x:t xml:space="preserve">550 x 706 cm</x:t>
        </x:is>
      </x:c>
      <x:c r="B1032" s="6" t="inlineStr">
        <x:is>
          <x:t xml:space="preserve">PDS</x:t>
        </x:is>
      </x:c>
      <x:c r="C1032" s="6" t="inlineStr">
        <x:is>
          <x:t xml:space="preserve">Dopłata dach szkło przezroczyste</x:t>
        </x:is>
      </x:c>
      <x:c r="D1032" s="6" t="inlineStr">
        <x:is>
          <x:t xml:space="preserve">POKRYCIE DACHU SZKŁO</x:t>
        </x:is>
      </x:c>
      <x:c r="E1032" s="8" t="n">
        <x:f>IFERROR(IFERROR(INDEX('02_RAW_INDEX'!$V:$V,MATCH($A1032,'02_RAW_INDEX'!$A:$A,0)),"")-IFERROR(INDEX('02_RAW_INDEX'!$D:$D,MATCH($A1032,'02_RAW_INDEX'!$A:$A,0)),""),"")</x:f>
        <x:v>-18520</x:v>
      </x:c>
      <x:c r="F1032" s="8" t="n">
        <x:f>IFERROR(IFERROR(INDEX('02_RAW_INDEX'!$U:$U,MATCH($A1032,'02_RAW_INDEX'!$A:$A,0)),"")-IFERROR(INDEX('02_RAW_INDEX'!$C:$C,MATCH($A1032,'02_RAW_INDEX'!$A:$A,0)),""),"")</x:f>
        <x:v>-22780</x:v>
      </x:c>
      <x:c r="G1032" s="7" t="n">
        <x:f>'01_Ustawienia'!$B$6</x:f>
        <x:v>0</x:v>
      </x:c>
      <x:c r="H1032" s="8" t="n">
        <x:f>IF(E1032="","",ROUND(IF('01_Ustawienia'!$B$5="BRUTTO",F1032,E1032)*(1-G1032),0))</x:f>
        <x:v>-18520</x:v>
      </x:c>
      <x:c r="I1032" s="7" t="n">
        <x:f>IFERROR(IFERROR(INDEX('01_Ustawienia'!$B$15:$B$33,MATCH(B1032,'01_Ustawienia'!$A$15:$A$33,0)),0.45),0.45)</x:f>
        <x:v>0.45</x:v>
      </x:c>
      <x:c r="J1032" s="8" t="n">
        <x:f>IF(H1032="","",ROUND(H1032*(1+I1032),0))</x:f>
        <x:v>-26854</x:v>
      </x:c>
      <x:c r="K1032" s="580" t="n">
        <x:v>0</x:v>
      </x:c>
      <x:c r="L1032" s="580" t="n">
        <x:v>0</x:v>
      </x:c>
      <x:c r="M1032" s="7" t="n">
        <x:f>IF('01_Ustawienia'!$B$4="ZWOLNIONY",0,'01_Ustawienia'!$B$7)</x:f>
        <x:v>0.08</x:v>
      </x:c>
      <x:c r="N1032" s="8" t="n">
        <x:f>IF(J1032="","",ROUND((J1032+K1032)*(1+M1032),0))</x:f>
        <x:v>-29002</x:v>
      </x:c>
      <x:c r="O1032" s="8" t="n">
        <x:f>IF(J1032="","",J1032+K1032-H1032-L1032)</x:f>
        <x:v>-8334</x:v>
      </x:c>
      <x:c r="P1032" s="7" t="n">
        <x:f>IFERROR(O1032/(J1032+K1032),"")</x:f>
        <x:v>0.3103448275862069</x:v>
      </x:c>
      <x:c r="Q1032" s="6" t="inlineStr">
        <x:is>
          <x:t xml:space="preserve">RAW_ZS - RAW_ZP</x:t>
        </x:is>
      </x:c>
      <x:c r="R1032" s="6" t="inlineStr">
        <x:is>
          <x:t xml:space="preserve">POKRYCIE DACHU</x:t>
        </x:is>
      </x:c>
      <x:c r="S1032" s="6" t="inlineStr">
        <x:is>
          <x:t xml:space="preserve">website+crm</x:t>
        </x:is>
      </x:c>
      <x:c r="T1032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033" s="655" customFormat="1" ht="30" customHeight="1">
      <x:c r="A1033" s="6" t="inlineStr">
        <x:is>
          <x:t xml:space="preserve">550 x 706 cm</x:t>
        </x:is>
      </x:c>
      <x:c r="B1033" s="6" t="inlineStr">
        <x:is>
          <x:t xml:space="preserve">PDSB</x:t>
        </x:is>
      </x:c>
      <x:c r="C1033" s="6" t="inlineStr">
        <x:is>
          <x:t xml:space="preserve">Dopłata dach szkło barwione/mleczne</x:t>
        </x:is>
      </x:c>
      <x:c r="D1033" s="6" t="inlineStr">
        <x:is>
          <x:t xml:space="preserve">POKRYCIE DACHU SZKŁO BARWIONE</x:t>
        </x:is>
      </x:c>
      <x:c r="E1033" s="8" t="str">
        <x:f>IFERROR(INDEX('02_RAW_INDEX'!$X:$X,MATCH($A1033,'02_RAW_INDEX'!$A:$A,0)),"")</x:f>
      </x:c>
      <x:c r="F1033" s="8" t="str">
        <x:f>IFERROR(INDEX('02_RAW_INDEX'!$W:$W,MATCH($A1033,'02_RAW_INDEX'!$A:$A,0)),"")</x:f>
      </x:c>
      <x:c r="G1033" s="7" t="n">
        <x:f>'01_Ustawienia'!$B$6</x:f>
        <x:v>0</x:v>
      </x:c>
      <x:c r="H1033" s="8" t="str">
        <x:f>IF(E1033="","",ROUND(IF('01_Ustawienia'!$B$5="BRUTTO",F1033,E1033)*(1-G1033),0))</x:f>
      </x:c>
      <x:c r="I1033" s="7" t="n">
        <x:f>IFERROR(IFERROR(INDEX('01_Ustawienia'!$B$15:$B$33,MATCH(B1033,'01_Ustawienia'!$A$15:$A$33,0)),0.45),0.45)</x:f>
        <x:v>0.45</x:v>
      </x:c>
      <x:c r="J1033" s="8" t="str">
        <x:f>IF(H1033="","",ROUND(H1033*(1+I1033),0))</x:f>
      </x:c>
      <x:c r="K1033" s="582" t="n">
        <x:v>0</x:v>
      </x:c>
      <x:c r="L1033" s="582" t="n">
        <x:v>0</x:v>
      </x:c>
      <x:c r="M1033" s="7" t="n">
        <x:f>IF('01_Ustawienia'!$B$4="ZWOLNIONY",0,'01_Ustawienia'!$B$7)</x:f>
        <x:v>0.08</x:v>
      </x:c>
      <x:c r="N1033" s="8" t="str">
        <x:f>IF(J1033="","",ROUND((J1033+K1033)*(1+M1033),0))</x:f>
      </x:c>
      <x:c r="O1033" s="8" t="str">
        <x:f>IF(J1033="","",J1033+K1033-H1033-L1033)</x:f>
      </x:c>
      <x:c r="P1033" s="7" t="str">
        <x:f>IFERROR(O1033/(J1033+K1033),"")</x:f>
      </x:c>
      <x:c r="Q1033" s="6" t="inlineStr">
        <x:is>
          <x:t xml:space="preserve">RAW_ZS D/E</x:t>
        </x:is>
      </x:c>
      <x:c r="R1033" s="6" t="inlineStr">
        <x:is>
          <x:t xml:space="preserve">POKRYCIE DACHU</x:t>
        </x:is>
      </x:c>
      <x:c r="S1033" s="6" t="inlineStr">
        <x:is>
          <x:t xml:space="preserve">website+crm</x:t>
        </x:is>
      </x:c>
      <x:c r="T1033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034" s="655" customFormat="1" ht="30" customHeight="1">
      <x:c r="A1034" s="6" t="inlineStr">
        <x:is>
          <x:t xml:space="preserve">550 x 706 cm</x:t>
        </x:is>
      </x:c>
      <x:c r="B1034" s="6" t="inlineStr">
        <x:is>
          <x:t xml:space="preserve">PDPB</x:t>
        </x:is>
      </x:c>
      <x:c r="C1034" s="6" t="inlineStr">
        <x:is>
          <x:t xml:space="preserve">Dopłata poliwęglan barwiony</x:t>
        </x:is>
      </x:c>
      <x:c r="D1034" s="6" t="inlineStr">
        <x:is>
          <x:t xml:space="preserve">POKRYCIE DACHU POLIWĘGLAN BARWIONY</x:t>
        </x:is>
      </x:c>
      <x:c r="E1034" s="8" t="n">
        <x:f>IFERROR(INDEX('02_RAW_INDEX'!$F:$F,MATCH($A1034,'02_RAW_INDEX'!$A:$A,0)),"")</x:f>
        <x:v>545</x:v>
      </x:c>
      <x:c r="F1034" s="8" t="n">
        <x:f>IFERROR(INDEX('02_RAW_INDEX'!$E:$E,MATCH($A1034,'02_RAW_INDEX'!$A:$A,0)),"")</x:f>
        <x:v>670</x:v>
      </x:c>
      <x:c r="G1034" s="7" t="n">
        <x:f>'01_Ustawienia'!$B$6</x:f>
        <x:v>0</x:v>
      </x:c>
      <x:c r="H1034" s="8" t="n">
        <x:f>IF(E1034="","",ROUND(IF('01_Ustawienia'!$B$5="BRUTTO",F1034,E1034)*(1-G1034),0))</x:f>
        <x:v>545</x:v>
      </x:c>
      <x:c r="I1034" s="7" t="n">
        <x:f>IFERROR(IFERROR(INDEX('01_Ustawienia'!$B$15:$B$33,MATCH(B1034,'01_Ustawienia'!$A$15:$A$33,0)),0.45),0.45)</x:f>
        <x:v>0.45</x:v>
      </x:c>
      <x:c r="J1034" s="8" t="n">
        <x:f>IF(H1034="","",ROUND(H1034*(1+I1034),0))</x:f>
        <x:v>790</x:v>
      </x:c>
      <x:c r="K1034" s="582" t="n">
        <x:v>0</x:v>
      </x:c>
      <x:c r="L1034" s="582" t="n">
        <x:v>0</x:v>
      </x:c>
      <x:c r="M1034" s="7" t="n">
        <x:f>IF('01_Ustawienia'!$B$4="ZWOLNIONY",0,'01_Ustawienia'!$B$7)</x:f>
        <x:v>0.08</x:v>
      </x:c>
      <x:c r="N1034" s="8" t="n">
        <x:f>IF(J1034="","",ROUND((J1034+K1034)*(1+M1034),0))</x:f>
        <x:v>853</x:v>
      </x:c>
      <x:c r="O1034" s="8" t="n">
        <x:f>IF(J1034="","",J1034+K1034-H1034-L1034)</x:f>
        <x:v>245</x:v>
      </x:c>
      <x:c r="P1034" s="7" t="n">
        <x:f>IFERROR(O1034/(J1034+K1034),"")</x:f>
        <x:v>0.310126582278481</x:v>
      </x:c>
      <x:c r="Q1034" s="6" t="inlineStr">
        <x:is>
          <x:t xml:space="preserve">RAW_ZP D/E</x:t>
        </x:is>
      </x:c>
      <x:c r="R1034" s="6" t="inlineStr">
        <x:is>
          <x:t xml:space="preserve">POKRYCIE DACHU</x:t>
        </x:is>
      </x:c>
      <x:c r="S1034" s="6" t="inlineStr">
        <x:is>
          <x:t xml:space="preserve">website+crm</x:t>
        </x:is>
      </x:c>
      <x:c r="T1034" s="581" t="inlineStr">
        <x:is>
          <x:t xml:space="preserve">FIX11: K/L 550/600 wg ark. 09 (POZOSTAWIĆ 0). | FIX17: Wynagr.+koszty = 0 dla dopłaty; nie jest osobnym montażem ekipy.</x:t>
        </x:is>
      </x:c>
    </x:row>
    <x:row r="1035" s="655" customFormat="1" ht="30" customHeight="1">
      <x:c r="A1035" s="6" t="inlineStr">
        <x:is>
          <x:t xml:space="preserve">550 x 706 cm</x:t>
        </x:is>
      </x:c>
      <x:c r="B1035" s="6" t="inlineStr">
        <x:is>
          <x:t xml:space="preserve">SBB</x:t>
        </x:is>
      </x:c>
      <x:c r="C1035" s="6" t="inlineStr">
        <x:is>
          <x:t xml:space="preserve">Dopłata szkło boczne przyciemniane</x:t>
        </x:is>
      </x:c>
      <x:c r="D1035" s="6" t="inlineStr">
        <x:is>
          <x:t xml:space="preserve">SZKŁO BOCZNE BARWIONE</x:t>
        </x:is>
      </x:c>
      <x:c r="E1035" s="8" t="n">
        <x:f>IFERROR(INDEX('02_RAW_INDEX'!$AB:$AB,MATCH($A1035,'02_RAW_INDEX'!$A:$A,0)),"")</x:f>
        <x:v>1854</x:v>
      </x:c>
      <x:c r="F1035" s="8" t="n">
        <x:f>IFERROR(INDEX('02_RAW_INDEX'!$AA:$AA,MATCH($A1035,'02_RAW_INDEX'!$A:$A,0)),"")</x:f>
        <x:v>2280</x:v>
      </x:c>
      <x:c r="G1035" s="7" t="n">
        <x:f>'01_Ustawienia'!$B$6</x:f>
        <x:v>0</x:v>
      </x:c>
      <x:c r="H1035" s="8" t="n">
        <x:f>IF(E1035="","",ROUND(IF('01_Ustawienia'!$B$5="BRUTTO",F1035,E1035)*(1-G1035),0))</x:f>
        <x:v>1854</x:v>
      </x:c>
      <x:c r="I1035" s="7" t="n">
        <x:f>IFERROR(IFERROR(INDEX('01_Ustawienia'!$B$15:$B$33,MATCH(B1035,'01_Ustawienia'!$A$15:$A$33,0)),0.45),0.45)</x:f>
        <x:v>0.45</x:v>
      </x:c>
      <x:c r="J1035" s="8" t="n">
        <x:f>IF(H1035="","",ROUND(H1035*(1+I1035),0))</x:f>
        <x:v>2688</x:v>
      </x:c>
      <x:c r="K1035" s="582" t="n">
        <x:v>0</x:v>
      </x:c>
      <x:c r="L1035" s="582" t="n">
        <x:v>0</x:v>
      </x:c>
      <x:c r="M1035" s="7" t="n">
        <x:f>IF('01_Ustawienia'!$B$4="ZWOLNIONY",0,'01_Ustawienia'!$B$7)</x:f>
        <x:v>0.08</x:v>
      </x:c>
      <x:c r="N1035" s="8" t="n">
        <x:f>IF(J1035="","",ROUND((J1035+K1035)*(1+M1035),0))</x:f>
        <x:v>2903</x:v>
      </x:c>
      <x:c r="O1035" s="8" t="n">
        <x:f>IF(J1035="","",J1035+K1035-H1035-L1035)</x:f>
        <x:v>834</x:v>
      </x:c>
      <x:c r="P1035" s="7" t="n">
        <x:f>IFERROR(O1035/(J1035+K1035),"")</x:f>
        <x:v>0.31026785714285715</x:v>
      </x:c>
      <x:c r="Q1035" s="6" t="inlineStr">
        <x:is>
          <x:t xml:space="preserve">RAW_OP H/I</x:t>
        </x:is>
      </x:c>
      <x:c r="R1035" s="6" t="inlineStr">
        <x:is>
          <x:t xml:space="preserve">SZYBY BOCZNE</x:t>
        </x:is>
      </x:c>
      <x:c r="S1035" s="6" t="inlineStr">
        <x:is>
          <x:t xml:space="preserve">website+crm</x:t>
        </x:is>
      </x:c>
      <x:c r="T1035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036" s="655" customFormat="1" ht="29.5" customHeight="1">
      <x:c r="A1036" s="6" t="inlineStr">
        <x:is>
          <x:t xml:space="preserve">550 x 706 cm</x:t>
        </x:is>
      </x:c>
      <x:c r="B1036" s="6" t="inlineStr">
        <x:is>
          <x:t xml:space="preserve">RB</x:t>
        </x:is>
      </x:c>
      <x:c r="C1036" s="6" t="inlineStr">
        <x:is>
          <x:t xml:space="preserve">Roleta boczna ZIP</x:t>
        </x:is>
      </x:c>
      <x:c r="D1036" s="6" t="inlineStr">
        <x:is>
          <x:t xml:space="preserve">ROLETA BOCZNA</x:t>
        </x:is>
      </x:c>
      <x:c r="E1036" s="8" t="n">
        <x:f>IFERROR(INDEX('02_RAW_INDEX'!$J:$J,MATCH($A1036,'02_RAW_INDEX'!$A:$A,0)),"")</x:f>
        <x:v>3236</x:v>
      </x:c>
      <x:c r="F1036" s="8" t="n">
        <x:f>IFERROR(INDEX('02_RAW_INDEX'!$I:$I,MATCH($A1036,'02_RAW_INDEX'!$A:$A,0)),"")</x:f>
        <x:v>3980</x:v>
      </x:c>
      <x:c r="G1036" s="7" t="n">
        <x:f>'01_Ustawienia'!$B$6</x:f>
        <x:v>0</x:v>
      </x:c>
      <x:c r="H1036" s="8" t="n">
        <x:f>IF(E1036="","",ROUND(IF('01_Ustawienia'!$B$5="BRUTTO",F1036,E1036)*(1-G1036),0))</x:f>
        <x:v>3236</x:v>
      </x:c>
      <x:c r="I1036" s="7" t="n">
        <x:f>IFERROR(IFERROR(INDEX('01_Ustawienia'!$B$15:$B$33,MATCH(B1036,'01_Ustawienia'!$A$15:$A$33,0)),0.45),0.45)</x:f>
        <x:v>0.45</x:v>
      </x:c>
      <x:c r="J1036" s="8" t="n">
        <x:f>IF(H1036="","",ROUND(H1036*(1+I1036),0))</x:f>
        <x:v>4692</x:v>
      </x:c>
      <x:c r="K1036" s="580" t="n">
        <x:v>0</x:v>
      </x:c>
      <x:c r="L1036" s="580" t="n">
        <x:v>150</x:v>
      </x:c>
      <x:c r="M1036" s="7" t="n">
        <x:f>IF('01_Ustawienia'!$B$4="ZWOLNIONY",0,'01_Ustawienia'!$B$7)</x:f>
        <x:v>0.08</x:v>
      </x:c>
      <x:c r="N1036" s="8" t="n">
        <x:f>IF(J1036="","",ROUND((J1036+K1036)*(1+M1036),0))</x:f>
        <x:v>5067</x:v>
      </x:c>
      <x:c r="O1036" s="8" t="n">
        <x:f>IF(J1036="","",J1036+K1036-H1036-L1036)</x:f>
        <x:v>1306</x:v>
      </x:c>
      <x:c r="P1036" s="7" t="n">
        <x:f>IFERROR(O1036/(J1036+K1036),"")</x:f>
        <x:v>0.2783461210571185</x:v>
      </x:c>
      <x:c r="Q1036" s="6" t="inlineStr">
        <x:is>
          <x:t xml:space="preserve">RAW_ZP J/K</x:t>
        </x:is>
      </x:c>
      <x:c r="R1036" s="6" t="inlineStr">
        <x:is>
          <x:t xml:space="preserve">ROLETY BOCZNE</x:t>
        </x:is>
      </x:c>
      <x:c r="S1036" s="6" t="inlineStr">
        <x:is>
          <x:t xml:space="preserve">website+crm</x:t>
        </x:is>
      </x:c>
      <x:c r="T1036" s="581" t="inlineStr">
        <x:is>
          <x:t xml:space="preserve">Używana dla lewej i prawej | FIX11: K/L 550/600 wg ark. 09 (UZUPEŁNIĆ L).</x:t>
        </x:is>
      </x:c>
    </x:row>
    <x:row r="1037" s="655" customFormat="1" ht="29.5" customHeight="1">
      <x:c r="A1037" s="6" t="inlineStr">
        <x:is>
          <x:t xml:space="preserve">550 x 706 cm</x:t>
        </x:is>
      </x:c>
      <x:c r="B1037" s="6" t="inlineStr">
        <x:is>
          <x:t xml:space="preserve">RP</x:t>
        </x:is>
      </x:c>
      <x:c r="C1037" s="6" t="inlineStr">
        <x:is>
          <x:t xml:space="preserve">Roleta przednia ZIP</x:t>
        </x:is>
      </x:c>
      <x:c r="D1037" s="6" t="inlineStr">
        <x:is>
          <x:t xml:space="preserve">ROLETA PRZÓD</x:t>
        </x:is>
      </x:c>
      <x:c r="E1037" s="8" t="n">
        <x:f>IFERROR(INDEX('02_RAW_INDEX'!$L:$L,MATCH($A1037,'02_RAW_INDEX'!$A:$A,0)),"")</x:f>
        <x:v>3886</x:v>
      </x:c>
      <x:c r="F1037" s="8" t="n">
        <x:f>IFERROR(INDEX('02_RAW_INDEX'!$K:$K,MATCH($A1037,'02_RAW_INDEX'!$A:$A,0)),"")</x:f>
        <x:v>4780</x:v>
      </x:c>
      <x:c r="G1037" s="7" t="n">
        <x:f>'01_Ustawienia'!$B$6</x:f>
        <x:v>0</x:v>
      </x:c>
      <x:c r="H1037" s="8" t="n">
        <x:f>IF(E1037="","",ROUND(IF('01_Ustawienia'!$B$5="BRUTTO",F1037,E1037)*(1-G1037),0))</x:f>
        <x:v>3886</x:v>
      </x:c>
      <x:c r="I1037" s="7" t="n">
        <x:f>IFERROR(IFERROR(INDEX('01_Ustawienia'!$B$15:$B$33,MATCH(B1037,'01_Ustawienia'!$A$15:$A$33,0)),0.45),0.45)</x:f>
        <x:v>0.45</x:v>
      </x:c>
      <x:c r="J1037" s="8" t="n">
        <x:f>IF(H1037="","",ROUND(H1037*(1+I1037),0))</x:f>
        <x:v>5635</x:v>
      </x:c>
      <x:c r="K1037" s="580" t="n">
        <x:v>0</x:v>
      </x:c>
      <x:c r="L1037" s="580" t="n">
        <x:v>300</x:v>
      </x:c>
      <x:c r="M1037" s="7" t="n">
        <x:f>IF('01_Ustawienia'!$B$4="ZWOLNIONY",0,'01_Ustawienia'!$B$7)</x:f>
        <x:v>0.08</x:v>
      </x:c>
      <x:c r="N1037" s="8" t="n">
        <x:f>IF(J1037="","",ROUND((J1037+K1037)*(1+M1037),0))</x:f>
        <x:v>6086</x:v>
      </x:c>
      <x:c r="O1037" s="8" t="n">
        <x:f>IF(J1037="","",J1037+K1037-H1037-L1037)</x:f>
        <x:v>1449</x:v>
      </x:c>
      <x:c r="P1037" s="7" t="n">
        <x:f>IFERROR(O1037/(J1037+K1037),"")</x:f>
        <x:v>0.2571428571428571</x:v>
      </x:c>
      <x:c r="Q1037" s="6" t="inlineStr">
        <x:is>
          <x:t xml:space="preserve">RAW_ZP N/O</x:t>
        </x:is>
      </x:c>
      <x:c r="R1037" s="6" t="inlineStr">
        <x:is>
          <x:t xml:space="preserve">ROLETY BOCZNE</x:t>
        </x:is>
      </x:c>
      <x:c r="S1037" s="6" t="inlineStr">
        <x:is>
          <x:t xml:space="preserve">website+crm</x:t>
        </x:is>
      </x:c>
      <x:c r="T1037" s="581" t="inlineStr">
        <x:is>
          <x:t xml:space="preserve">FIX11: K/L 550/600 wg ark. 09 (UZUPEŁNIĆ L).</x:t>
        </x:is>
      </x:c>
    </x:row>
    <x:row r="1038" s="655" customFormat="1" ht="29.5" customHeight="1">
      <x:c r="A1038" s="6" t="inlineStr">
        <x:is>
          <x:t xml:space="preserve">550 x 706 cm</x:t>
        </x:is>
      </x:c>
      <x:c r="B1038" s="6" t="inlineStr">
        <x:is>
          <x:t xml:space="preserve">M</x:t>
        </x:is>
      </x:c>
      <x:c r="C1038" s="6" t="inlineStr">
        <x:is>
          <x:t xml:space="preserve">Markiza dachowa</x:t>
        </x:is>
      </x:c>
      <x:c r="D1038" s="6" t="inlineStr">
        <x:is>
          <x:t xml:space="preserve">MARKIZA</x:t>
        </x:is>
      </x:c>
      <x:c r="E1038" s="8" t="n">
        <x:f>IFERROR(INDEX('02_RAW_INDEX'!$H:$H,MATCH($A1038,'02_RAW_INDEX'!$A:$A,0)),"")</x:f>
        <x:v>7285</x:v>
      </x:c>
      <x:c r="F1038" s="8" t="n">
        <x:f>IFERROR(INDEX('02_RAW_INDEX'!$G:$G,MATCH($A1038,'02_RAW_INDEX'!$A:$A,0)),"")</x:f>
        <x:v>8960</x:v>
      </x:c>
      <x:c r="G1038" s="7" t="n">
        <x:f>'01_Ustawienia'!$B$6</x:f>
        <x:v>0</x:v>
      </x:c>
      <x:c r="H1038" s="8" t="n">
        <x:f>IF(E1038="","",ROUND(IF('01_Ustawienia'!$B$5="BRUTTO",F1038,E1038)*(1-G1038),0))</x:f>
        <x:v>7285</x:v>
      </x:c>
      <x:c r="I1038" s="7" t="n">
        <x:f>IFERROR(IFERROR(INDEX('01_Ustawienia'!$B$15:$B$33,MATCH(B1038,'01_Ustawienia'!$A$15:$A$33,0)),0.45),0.45)</x:f>
        <x:v>0.45</x:v>
      </x:c>
      <x:c r="J1038" s="8" t="n">
        <x:f>IF(H1038="","",ROUND(H1038*(1+I1038),0))</x:f>
        <x:v>10563</x:v>
      </x:c>
      <x:c r="K1038" s="580" t="n">
        <x:v>0</x:v>
      </x:c>
      <x:c r="L1038" s="580" t="n">
        <x:v>450</x:v>
      </x:c>
      <x:c r="M1038" s="7" t="n">
        <x:f>IF('01_Ustawienia'!$B$4="ZWOLNIONY",0,'01_Ustawienia'!$B$7)</x:f>
        <x:v>0.08</x:v>
      </x:c>
      <x:c r="N1038" s="8" t="n">
        <x:f>IF(J1038="","",ROUND((J1038+K1038)*(1+M1038),0))</x:f>
        <x:v>11408</x:v>
      </x:c>
      <x:c r="O1038" s="8" t="n">
        <x:f>IF(J1038="","",J1038+K1038-H1038-L1038)</x:f>
        <x:v>2828</x:v>
      </x:c>
      <x:c r="P1038" s="7" t="n">
        <x:f>IFERROR(O1038/(J1038+K1038),"")</x:f>
        <x:v>0.26772697150430746</x:v>
      </x:c>
      <x:c r="Q1038" s="6" t="inlineStr">
        <x:is>
          <x:t xml:space="preserve">RAW_ZP H/I</x:t>
        </x:is>
      </x:c>
      <x:c r="R1038" s="6" t="inlineStr">
        <x:is>
          <x:t xml:space="preserve">MARKIZA</x:t>
        </x:is>
      </x:c>
      <x:c r="S1038" s="6" t="inlineStr">
        <x:is>
          <x:t xml:space="preserve">website+crm</x:t>
        </x:is>
      </x:c>
      <x:c r="T1038" s="581" t="inlineStr">
        <x:is>
          <x:t xml:space="preserve">FIX11: K/L 550/600 wg ark. 09 (UZUPEŁNIĆ L).</x:t>
        </x:is>
      </x:c>
    </x:row>
    <x:row r="1039" s="655" customFormat="1" ht="44.25" customHeight="1">
      <x:c r="A1039" s="6" t="inlineStr">
        <x:is>
          <x:t xml:space="preserve">550 x 706 cm</x:t>
        </x:is>
      </x:c>
      <x:c r="B1039" s="6" t="inlineStr">
        <x:is>
          <x:t xml:space="preserve">PDWP</x:t>
        </x:is>
      </x:c>
      <x:c r="C1039" s="6" t="inlineStr">
        <x:is>
          <x:t xml:space="preserve">Fundament/profile</x:t>
        </x:is>
      </x:c>
      <x:c r="D1039" s="6" t="inlineStr">
        <x:is>
          <x:t xml:space="preserve">FUNDAMENT / PROFILE</x:t>
        </x:is>
      </x:c>
      <x:c r="E1039" s="8" t="n">
        <x:f>IFERROR(INDEX('02_RAW_INDEX'!$AH:$AH,MATCH($A1039,'02_RAW_INDEX'!$A:$A,0)),"")</x:f>
        <x:v>1220</x:v>
      </x:c>
      <x:c r="F1039" s="8" t="n">
        <x:f>IFERROR(INDEX('02_RAW_INDEX'!$AG:$AG,MATCH($A1039,'02_RAW_INDEX'!$A:$A,0)),"")</x:f>
        <x:v>1500</x:v>
      </x:c>
      <x:c r="G1039" s="7" t="n">
        <x:f>'01_Ustawienia'!$B$6</x:f>
        <x:v>0</x:v>
      </x:c>
      <x:c r="H1039" s="8" t="n">
        <x:f>IF(E1039="","",ROUND(IF('01_Ustawienia'!$B$5="BRUTTO",F1039,E1039)*(1-G1039),0))</x:f>
        <x:v>1220</x:v>
      </x:c>
      <x:c r="I1039" s="7" t="n">
        <x:f>IFERROR(IFERROR(INDEX('01_Ustawienia'!$B$15:$B$33,MATCH(B1039,'01_Ustawienia'!$A$15:$A$33,0)),0.45),0.45)</x:f>
        <x:v>1.2</x:v>
      </x:c>
      <x:c r="J1039" s="8" t="n">
        <x:f>IF(H1039="","",ROUND(H1039*(1+I1039),0))</x:f>
        <x:v>2684</x:v>
      </x:c>
      <x:c r="K1039" s="580" t="n">
        <x:v>620</x:v>
      </x:c>
      <x:c r="L1039" s="580" t="n">
        <x:v>570</x:v>
      </x:c>
      <x:c r="M1039" s="7" t="n">
        <x:f>IF('01_Ustawienia'!$B$4="ZWOLNIONY",0,'01_Ustawienia'!$B$7)</x:f>
        <x:v>0.08</x:v>
      </x:c>
      <x:c r="N1039" s="8" t="n">
        <x:f>IF(J1039="","",ROUND((J1039+K1039)*(1+M1039),0))</x:f>
        <x:v>3568</x:v>
      </x:c>
      <x:c r="O1039" s="8" t="n">
        <x:f>IF(J1039="","",J1039+K1039-H1039-L1039)</x:f>
        <x:v>1514</x:v>
      </x:c>
      <x:c r="P1039" s="7" t="n">
        <x:f>IFERROR(O1039/(J1039+K1039),"")</x:f>
        <x:v>0.4582324455205811</x:v>
      </x:c>
      <x:c r="Q1039" s="6" t="inlineStr">
        <x:is>
          <x:t xml:space="preserve">RAW_OP AB/AC</x:t>
        </x:is>
      </x:c>
      <x:c r="R1039" s="6" t="inlineStr">
        <x:is>
          <x:t xml:space="preserve">FUNDAMENT (PROFILE)</x:t>
        </x:is>
      </x:c>
      <x:c r="S1039" s="6" t="inlineStr">
        <x:is>
          <x:t xml:space="preserve">website+crm</x:t>
        </x:is>
      </x:c>
      <x:c r="T1039" s="581" t="inlineStr">
        <x:is>
          <x:t xml:space="preserve">FIX11: K/L 550/600 wg ark. 09 (UZUPEŁNIĆ K+L / KOREKTA RENTOWNOŚCI).</x:t>
        </x:is>
      </x:c>
    </x:row>
    <x:row r="1040" s="655" customFormat="1" ht="30" customHeight="1">
      <x:c r="A1040" s="6" t="inlineStr">
        <x:is>
          <x:t xml:space="preserve">550 x 706 cm</x:t>
        </x:is>
      </x:c>
      <x:c r="B1040" s="6" t="inlineStr">
        <x:is>
          <x:t xml:space="preserve">ZAB</x:t>
        </x:is>
      </x:c>
      <x:c r="C1040" s="6" t="inlineStr">
        <x:is>
          <x:t xml:space="preserve">Zabieraki do ścian przesuwnych</x:t>
        </x:is>
      </x:c>
      <x:c r="D1040" s="6" t="inlineStr">
        <x:is>
          <x:t xml:space="preserve">DODATKI</x:t>
        </x:is>
      </x:c>
      <x:c r="E1040" s="8" t="n">
        <x:f>IFERROR(INDEX('02_RAW_INDEX'!$AJ:$AJ,MATCH($A1040,'02_RAW_INDEX'!$A:$A,0)),"")</x:f>
        <x:v>488</x:v>
      </x:c>
      <x:c r="F1040" s="8" t="n">
        <x:f>IFERROR(INDEX('02_RAW_INDEX'!$AI:$AI,MATCH($A1040,'02_RAW_INDEX'!$A:$A,0)),"")</x:f>
        <x:v>600</x:v>
      </x:c>
      <x:c r="G1040" s="7" t="n">
        <x:f>'01_Ustawienia'!$B$6</x:f>
        <x:v>0</x:v>
      </x:c>
      <x:c r="H1040" s="8" t="n">
        <x:f>IF(E1040="","",ROUND(IF('01_Ustawienia'!$B$5="BRUTTO",F1040,E1040)*(1-G1040),0))</x:f>
        <x:v>488</x:v>
      </x:c>
      <x:c r="I1040" s="7" t="n">
        <x:f>IFERROR(IFERROR(INDEX('01_Ustawienia'!$B$15:$B$33,MATCH(B1040,'01_Ustawienia'!$A$15:$A$33,0)),0.45),0.45)</x:f>
        <x:v>0.45</x:v>
      </x:c>
      <x:c r="J1040" s="8" t="n">
        <x:f>IF(H1040="","",ROUND(H1040*(1+I1040),0))</x:f>
        <x:v>708</x:v>
      </x:c>
      <x:c r="K1040" s="582" t="n">
        <x:v>0</x:v>
      </x:c>
      <x:c r="L1040" s="582" t="n">
        <x:v>0</x:v>
      </x:c>
      <x:c r="M1040" s="7" t="n">
        <x:f>IF('01_Ustawienia'!$B$4="ZWOLNIONY",0,'01_Ustawienia'!$B$7)</x:f>
        <x:v>0.08</x:v>
      </x:c>
      <x:c r="N1040" s="8" t="n">
        <x:f>IF(J1040="","",ROUND((J1040+K1040)*(1+M1040),0))</x:f>
        <x:v>765</x:v>
      </x:c>
      <x:c r="O1040" s="8" t="n">
        <x:f>IF(J1040="","",J1040+K1040-H1040-L1040)</x:f>
        <x:v>220</x:v>
      </x:c>
      <x:c r="P1040" s="7" t="n">
        <x:f>IFERROR(O1040/(J1040+K1040),"")</x:f>
        <x:v>0.3107344632768362</x:v>
      </x:c>
      <x:c r="Q1040" s="6" t="inlineStr">
        <x:is>
          <x:t xml:space="preserve">RAW_OP AD/AE</x:t>
        </x:is>
      </x:c>
      <x:c r="R1040" s="6" t="inlineStr">
        <x:is>
          <x:t xml:space="preserve">DODATKI</x:t>
        </x:is>
      </x:c>
      <x:c r="S1040" s="6" t="inlineStr">
        <x:is>
          <x:t xml:space="preserve">crm_only</x:t>
        </x:is>
      </x:c>
      <x:c r="T1040" s="581" t="inlineStr">
        <x:is>
          <x:t xml:space="preserve">FIX11: K/L 550/600 wg ark. 09 (POZOSTAWIĆ 0).</x:t>
        </x:is>
      </x:c>
    </x:row>
    <x:row r="1041" s="655" customFormat="1" ht="29.5" customHeight="1">
      <x:c r="A1041" s="6" t="inlineStr">
        <x:is>
          <x:t xml:space="preserve">550 x 706 cm</x:t>
        </x:is>
      </x:c>
      <x:c r="B1041" s="6" t="inlineStr">
        <x:is>
          <x:t xml:space="preserve">S</x:t>
        </x:is>
      </x:c>
      <x:c r="C1041" s="6" t="inlineStr">
        <x:is>
          <x:t xml:space="preserve">Szczotki przeciwkurzowe</x:t>
        </x:is>
      </x:c>
      <x:c r="D1041" s="6" t="inlineStr">
        <x:is>
          <x:t xml:space="preserve">SZCZOTKI</x:t>
        </x:is>
      </x:c>
      <x:c r="E1041" s="8" t="n">
        <x:f>IFERROR(INDEX('02_RAW_INDEX'!$AD:$AD,MATCH($A1041,'02_RAW_INDEX'!$A:$A,0)),"")</x:f>
        <x:v>528</x:v>
      </x:c>
      <x:c r="F1041" s="8" t="n">
        <x:f>IFERROR(INDEX('02_RAW_INDEX'!$AC:$AC,MATCH($A1041,'02_RAW_INDEX'!$A:$A,0)),"")</x:f>
        <x:v>650</x:v>
      </x:c>
      <x:c r="G1041" s="7" t="n">
        <x:f>'01_Ustawienia'!$B$6</x:f>
        <x:v>0</x:v>
      </x:c>
      <x:c r="H1041" s="8" t="n">
        <x:f>IF(E1041="","",ROUND(IF('01_Ustawienia'!$B$5="BRUTTO",F1041,E1041)*(1-G1041),0))</x:f>
        <x:v>528</x:v>
      </x:c>
      <x:c r="I1041" s="7" t="n">
        <x:f>IFERROR(IFERROR(INDEX('01_Ustawienia'!$B$15:$B$33,MATCH(B1041,'01_Ustawienia'!$A$15:$A$33,0)),0.45),0.45)</x:f>
        <x:v>0.45</x:v>
      </x:c>
      <x:c r="J1041" s="8" t="n">
        <x:f>IF(H1041="","",ROUND(H1041*(1+I1041),0))</x:f>
        <x:v>766</x:v>
      </x:c>
      <x:c r="K1041" s="582" t="n">
        <x:v>0</x:v>
      </x:c>
      <x:c r="L1041" s="582" t="n">
        <x:v>0</x:v>
      </x:c>
      <x:c r="M1041" s="7" t="n">
        <x:f>IF('01_Ustawienia'!$B$4="ZWOLNIONY",0,'01_Ustawienia'!$B$7)</x:f>
        <x:v>0.08</x:v>
      </x:c>
      <x:c r="N1041" s="8" t="n">
        <x:f>IF(J1041="","",ROUND((J1041+K1041)*(1+M1041),0))</x:f>
        <x:v>827</x:v>
      </x:c>
      <x:c r="O1041" s="8" t="n">
        <x:f>IF(J1041="","",J1041+K1041-H1041-L1041)</x:f>
        <x:v>238</x:v>
      </x:c>
      <x:c r="P1041" s="7" t="n">
        <x:f>IFERROR(O1041/(J1041+K1041),"")</x:f>
        <x:v>0.31070496083550914</x:v>
      </x:c>
      <x:c r="Q1041" s="6" t="inlineStr">
        <x:is>
          <x:t xml:space="preserve">RAW_OP L/M</x:t>
        </x:is>
      </x:c>
      <x:c r="R1041" s="6" t="inlineStr">
        <x:is>
          <x:t xml:space="preserve">DODATKI</x:t>
        </x:is>
      </x:c>
      <x:c r="S1041" s="6" t="inlineStr">
        <x:is>
          <x:t xml:space="preserve">website+crm</x:t>
        </x:is>
      </x:c>
      <x:c r="T1041" s="581" t="inlineStr">
        <x:is>
          <x:t xml:space="preserve">FIX11: K/L 550/600 wg ark. 09 (POZOSTAWIĆ 0).</x:t>
        </x:is>
      </x:c>
    </x:row>
    <x:row r="1042" s="655" customFormat="1" ht="29.5" customHeight="1">
      <x:c r="A1042" s="6" t="inlineStr">
        <x:is>
          <x:t xml:space="preserve">550 x 706 cm</x:t>
        </x:is>
      </x:c>
      <x:c r="B1042" s="6" t="inlineStr">
        <x:is>
          <x:t xml:space="preserve">U</x:t>
        </x:is>
      </x:c>
      <x:c r="C1042" s="6" t="inlineStr">
        <x:is>
          <x:t xml:space="preserve">Uchwyty na szkło ścienne</x:t>
        </x:is>
      </x:c>
      <x:c r="D1042" s="6" t="inlineStr">
        <x:is>
          <x:t xml:space="preserve">UCHWYTY</x:t>
        </x:is>
      </x:c>
      <x:c r="E1042" s="8" t="n">
        <x:f>IFERROR(INDEX('02_RAW_INDEX'!$AF:$AF,MATCH($A1042,'02_RAW_INDEX'!$A:$A,0)),"")</x:f>
        <x:v>480</x:v>
      </x:c>
      <x:c r="F1042" s="8" t="n">
        <x:f>IFERROR(INDEX('02_RAW_INDEX'!$AE:$AE,MATCH($A1042,'02_RAW_INDEX'!$A:$A,0)),"")</x:f>
        <x:v>590</x:v>
      </x:c>
      <x:c r="G1042" s="7" t="n">
        <x:f>'01_Ustawienia'!$B$6</x:f>
        <x:v>0</x:v>
      </x:c>
      <x:c r="H1042" s="8" t="n">
        <x:f>IF(E1042="","",ROUND(IF('01_Ustawienia'!$B$5="BRUTTO",F1042,E1042)*(1-G1042),0))</x:f>
        <x:v>480</x:v>
      </x:c>
      <x:c r="I1042" s="7" t="n">
        <x:f>IFERROR(IFERROR(INDEX('01_Ustawienia'!$B$15:$B$33,MATCH(B1042,'01_Ustawienia'!$A$15:$A$33,0)),0.45),0.45)</x:f>
        <x:v>0.45</x:v>
      </x:c>
      <x:c r="J1042" s="8" t="n">
        <x:f>IF(H1042="","",ROUND(H1042*(1+I1042),0))</x:f>
        <x:v>696</x:v>
      </x:c>
      <x:c r="K1042" s="582" t="n">
        <x:v>0</x:v>
      </x:c>
      <x:c r="L1042" s="582" t="n">
        <x:v>0</x:v>
      </x:c>
      <x:c r="M1042" s="7" t="n">
        <x:f>IF('01_Ustawienia'!$B$4="ZWOLNIONY",0,'01_Ustawienia'!$B$7)</x:f>
        <x:v>0.08</x:v>
      </x:c>
      <x:c r="N1042" s="8" t="n">
        <x:f>IF(J1042="","",ROUND((J1042+K1042)*(1+M1042),0))</x:f>
        <x:v>752</x:v>
      </x:c>
      <x:c r="O1042" s="8" t="n">
        <x:f>IF(J1042="","",J1042+K1042-H1042-L1042)</x:f>
        <x:v>216</x:v>
      </x:c>
      <x:c r="P1042" s="7" t="n">
        <x:f>IFERROR(O1042/(J1042+K1042),"")</x:f>
        <x:v>0.3103448275862069</x:v>
      </x:c>
      <x:c r="Q1042" s="6" t="inlineStr">
        <x:is>
          <x:t xml:space="preserve">RAW_OP N/O</x:t>
        </x:is>
      </x:c>
      <x:c r="R1042" s="6" t="inlineStr">
        <x:is>
          <x:t xml:space="preserve">DODATKI</x:t>
        </x:is>
      </x:c>
      <x:c r="S1042" s="6" t="inlineStr">
        <x:is>
          <x:t xml:space="preserve">website+crm</x:t>
        </x:is>
      </x:c>
      <x:c r="T1042" s="581" t="inlineStr">
        <x:is>
          <x:t xml:space="preserve">FIX11: K/L 550/600 wg ark. 09 (POZOSTAWIĆ 0).</x:t>
        </x:is>
      </x:c>
    </x:row>
    <x:row r="1043" s="655" customFormat="1" ht="29.5" customHeight="1">
      <x:c r="A1043" s="6" t="inlineStr">
        <x:is>
          <x:t xml:space="preserve">550 x 706 cm</x:t>
        </x:is>
      </x:c>
      <x:c r="B1043" s="6" t="inlineStr">
        <x:is>
          <x:t xml:space="preserve">LED2</x:t>
        </x:is>
      </x:c>
      <x:c r="C1043" s="6" t="inlineStr">
        <x:is>
          <x:t xml:space="preserve">Oświetlenie LED 2 punkty</x:t>
        </x:is>
      </x:c>
      <x:c r="D1043" s="6" t="inlineStr">
        <x:is>
          <x:t xml:space="preserve">LED 2 PKT</x:t>
        </x:is>
      </x:c>
      <x:c r="E1043" s="8" t="n">
        <x:f>IFERROR(INDEX('02_RAW_INDEX'!$N:$N,MATCH($A1043,'02_RAW_INDEX'!$A:$A,0)),"")</x:f>
        <x:v>707</x:v>
      </x:c>
      <x:c r="F1043" s="8" t="n">
        <x:f>IFERROR(INDEX('02_RAW_INDEX'!$M:$M,MATCH($A1043,'02_RAW_INDEX'!$A:$A,0)),"")</x:f>
        <x:v>870</x:v>
      </x:c>
      <x:c r="G1043" s="7" t="n">
        <x:f>'01_Ustawienia'!$B$6</x:f>
        <x:v>0</x:v>
      </x:c>
      <x:c r="H1043" s="8" t="n">
        <x:f>IF(E1043="","",ROUND(IF('01_Ustawienia'!$B$5="BRUTTO",F1043,E1043)*(1-G1043),0))</x:f>
        <x:v>707</x:v>
      </x:c>
      <x:c r="I1043" s="7" t="n">
        <x:f>IFERROR(IFERROR(INDEX('01_Ustawienia'!$B$15:$B$33,MATCH(B1043,'01_Ustawienia'!$A$15:$A$33,0)),0.45),0.45)</x:f>
        <x:v>0.45</x:v>
      </x:c>
      <x:c r="J1043" s="8" t="n">
        <x:f>IF(H1043="","",ROUND(H1043*(1+I1043),0))</x:f>
        <x:v>1025</x:v>
      </x:c>
      <x:c r="K1043" s="582" t="n">
        <x:v>0</x:v>
      </x:c>
      <x:c r="L1043" s="582" t="n">
        <x:v>0</x:v>
      </x:c>
      <x:c r="M1043" s="7" t="n">
        <x:f>IF('01_Ustawienia'!$B$4="ZWOLNIONY",0,'01_Ustawienia'!$B$7)</x:f>
        <x:v>0.08</x:v>
      </x:c>
      <x:c r="N1043" s="8" t="n">
        <x:f>IF(J1043="","",ROUND((J1043+K1043)*(1+M1043),0))</x:f>
        <x:v>1107</x:v>
      </x:c>
      <x:c r="O1043" s="8" t="n">
        <x:f>IF(J1043="","",J1043+K1043-H1043-L1043)</x:f>
        <x:v>318</x:v>
      </x:c>
      <x:c r="P1043" s="7" t="n">
        <x:f>IFERROR(O1043/(J1043+K1043),"")</x:f>
        <x:v>0.3102439024390244</x:v>
      </x:c>
      <x:c r="Q1043" s="6" t="inlineStr">
        <x:is>
          <x:t xml:space="preserve">RAW_ZP P/Q</x:t>
        </x:is>
      </x:c>
      <x:c r="R1043" s="6" t="inlineStr">
        <x:is>
          <x:t xml:space="preserve">OŚWIETLENIE</x:t>
        </x:is>
      </x:c>
      <x:c r="S1043" s="6" t="inlineStr">
        <x:is>
          <x:t xml:space="preserve">website+crm</x:t>
        </x:is>
      </x:c>
      <x:c r="T1043" s="581" t="inlineStr">
        <x:is>
          <x:t xml:space="preserve">FIX11: K/L 550/600 wg ark. 09 (POZOSTAWIĆ 0 NA RAZIE).</x:t>
        </x:is>
      </x:c>
    </x:row>
    <x:row r="1044" s="655" customFormat="1" ht="44.25" customHeight="1">
      <x:c r="A1044" s="6" t="inlineStr">
        <x:is>
          <x:t xml:space="preserve">550 x 706 cm</x:t>
        </x:is>
      </x:c>
      <x:c r="B1044" s="6" t="inlineStr">
        <x:is>
          <x:t xml:space="preserve">LED3</x:t>
        </x:is>
      </x:c>
      <x:c r="C1044" s="6" t="inlineStr">
        <x:is>
          <x:t xml:space="preserve">Oświetlenie LED 3 punkty</x:t>
        </x:is>
      </x:c>
      <x:c r="D1044" s="6" t="inlineStr">
        <x:is>
          <x:t xml:space="preserve">LED 3 PKT</x:t>
        </x:is>
      </x:c>
      <x:c r="E1044" s="8" t="n">
        <x:f>IFERROR(INDEX('02_RAW_INDEX'!$P:$P,MATCH($A1044,'02_RAW_INDEX'!$A:$A,0)),"")</x:f>
        <x:v>984</x:v>
      </x:c>
      <x:c r="F1044" s="8" t="n">
        <x:f>IFERROR(INDEX('02_RAW_INDEX'!$O:$O,MATCH($A1044,'02_RAW_INDEX'!$A:$A,0)),"")</x:f>
        <x:v>1210</x:v>
      </x:c>
      <x:c r="G1044" s="7" t="n">
        <x:f>'01_Ustawienia'!$B$6</x:f>
        <x:v>0</x:v>
      </x:c>
      <x:c r="H1044" s="8" t="n">
        <x:f>IF(E1044="","",ROUND(IF('01_Ustawienia'!$B$5="BRUTTO",F1044,E1044)*(1-G1044),0))</x:f>
        <x:v>984</x:v>
      </x:c>
      <x:c r="I1044" s="7" t="n">
        <x:f>IFERROR(IFERROR(INDEX('01_Ustawienia'!$B$15:$B$33,MATCH(B1044,'01_Ustawienia'!$A$15:$A$33,0)),0.45),0.45)</x:f>
        <x:v>0.45</x:v>
      </x:c>
      <x:c r="J1044" s="8" t="n">
        <x:f>IF(H1044="","",ROUND(H1044*(1+I1044),0))</x:f>
        <x:v>1427</x:v>
      </x:c>
      <x:c r="K1044" s="582" t="n">
        <x:v>0</x:v>
      </x:c>
      <x:c r="L1044" s="582" t="n">
        <x:v>0</x:v>
      </x:c>
      <x:c r="M1044" s="7" t="n">
        <x:f>IF('01_Ustawienia'!$B$4="ZWOLNIONY",0,'01_Ustawienia'!$B$7)</x:f>
        <x:v>0.08</x:v>
      </x:c>
      <x:c r="N1044" s="8" t="n">
        <x:f>IF(J1044="","",ROUND((J1044+K1044)*(1+M1044),0))</x:f>
        <x:v>1541</x:v>
      </x:c>
      <x:c r="O1044" s="8" t="n">
        <x:f>IF(J1044="","",J1044+K1044-H1044-L1044)</x:f>
        <x:v>443</x:v>
      </x:c>
      <x:c r="P1044" s="7" t="n">
        <x:f>IFERROR(O1044/(J1044+K1044),"")</x:f>
        <x:v>0.3104414856341976</x:v>
      </x:c>
      <x:c r="Q1044" s="6" t="inlineStr">
        <x:is>
          <x:t xml:space="preserve">RAW_ZP R/S</x:t>
        </x:is>
      </x:c>
      <x:c r="R1044" s="6" t="inlineStr">
        <x:is>
          <x:t xml:space="preserve">OŚWIETLENIE</x:t>
        </x:is>
      </x:c>
      <x:c r="S1044" s="6" t="inlineStr">
        <x:is>
          <x:t xml:space="preserve">website+crm</x:t>
        </x:is>
      </x:c>
      <x:c r="T1044" s="581" t="inlineStr">
        <x:is>
          <x:t xml:space="preserve">Nazwa do potwierdzenia | FIX11: K/L 550/600 wg ark. 09 (POZOSTAWIĆ 0 NA RAZIE).</x:t>
        </x:is>
      </x:c>
    </x:row>
    <x:row r="1045" s="655" customFormat="1" ht="29.5" customHeight="1">
      <x:c r="A1045" s="6" t="inlineStr">
        <x:is>
          <x:t xml:space="preserve">550 x 706 cm</x:t>
        </x:is>
      </x:c>
      <x:c r="B1045" s="6" t="inlineStr">
        <x:is>
          <x:t xml:space="preserve">LEDCCT</x:t>
        </x:is>
      </x:c>
      <x:c r="C1045" s="6" t="inlineStr">
        <x:is>
          <x:t xml:space="preserve">Oświetlenie LED CCT</x:t>
        </x:is>
      </x:c>
      <x:c r="D1045" s="6" t="inlineStr">
        <x:is>
          <x:t xml:space="preserve">OŚWIETLENIE</x:t>
        </x:is>
      </x:c>
      <x:c r="E1045" s="8" t="n">
        <x:f>IFERROR(INDEX('02_RAW_INDEX'!$R:$R,MATCH($A1045,'02_RAW_INDEX'!$A:$A,0)),"")</x:f>
        <x:v>2359</x:v>
      </x:c>
      <x:c r="F1045" s="8" t="n">
        <x:f>IFERROR(INDEX('02_RAW_INDEX'!$Q:$Q,MATCH($A1045,'02_RAW_INDEX'!$A:$A,0)),"")</x:f>
        <x:v>2902</x:v>
      </x:c>
      <x:c r="G1045" s="7" t="n">
        <x:f>'01_Ustawienia'!$B$6</x:f>
        <x:v>0</x:v>
      </x:c>
      <x:c r="H1045" s="8" t="n">
        <x:f>IF(E1045="","",ROUND(IF('01_Ustawienia'!$B$5="BRUTTO",F1045,E1045)*(1-G1045),0))</x:f>
        <x:v>2359</x:v>
      </x:c>
      <x:c r="I1045" s="7" t="n">
        <x:f>IFERROR(IFERROR(INDEX('01_Ustawienia'!$B$15:$B$33,MATCH(B1045,'01_Ustawienia'!$A$15:$A$33,0)),0.45),0.45)</x:f>
        <x:v>0.45</x:v>
      </x:c>
      <x:c r="J1045" s="8" t="n">
        <x:f>IF(H1045="","",ROUND(H1045*(1+I1045),0)+700)</x:f>
        <x:v>4121</x:v>
      </x:c>
      <x:c r="K1045" s="582" t="n">
        <x:v>0</x:v>
      </x:c>
      <x:c r="L1045" s="582" t="n">
        <x:v>0</x:v>
      </x:c>
      <x:c r="M1045" s="7" t="n">
        <x:f>IF('01_Ustawienia'!$B$4="ZWOLNIONY",0,'01_Ustawienia'!$B$7)</x:f>
        <x:v>0.08</x:v>
      </x:c>
      <x:c r="N1045" s="8" t="n">
        <x:f>IF(J1045="","",ROUND((J1045+K1045)*(1+M1045),0))</x:f>
        <x:v>4451</x:v>
      </x:c>
      <x:c r="O1045" s="8" t="n">
        <x:f>IF(J1045="","",J1045+K1045-H1045-L1045)</x:f>
        <x:v>1762</x:v>
      </x:c>
      <x:c r="P1045" s="7" t="n">
        <x:f>IFERROR(O1045/(J1045+K1045),"")</x:f>
        <x:v>0.427566124727008</x:v>
      </x:c>
      <x:c r="Q1045" s="715" t="inlineStr">
        <x:is>
          <x:t xml:space="preserve">MODEL_FIX15_LED</x:t>
        </x:is>
      </x:c>
      <x:c r="R1045" s="6" t="inlineStr">
        <x:is>
          <x:t xml:space="preserve">OŚWIETLENIE</x:t>
        </x:is>
      </x:c>
      <x:c r="S1045" s="6" t="inlineStr">
        <x:is>
          <x:t xml:space="preserve">website+crm</x:t>
        </x:is>
      </x:c>
      <x:c r="T1045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046" s="655" customFormat="1" ht="29.5" customHeight="1">
      <x:c r="A1046" s="6" t="inlineStr">
        <x:is>
          <x:t xml:space="preserve">550 x 706 cm</x:t>
        </x:is>
      </x:c>
      <x:c r="B1046" s="6" t="inlineStr">
        <x:is>
          <x:t xml:space="preserve">LEDRGBCCT</x:t>
        </x:is>
      </x:c>
      <x:c r="C1046" s="6" t="inlineStr">
        <x:is>
          <x:t xml:space="preserve">Oświetlenie LED RGB CCT</x:t>
        </x:is>
      </x:c>
      <x:c r="D1046" s="6" t="inlineStr">
        <x:is>
          <x:t xml:space="preserve">OŚWIETLENIE</x:t>
        </x:is>
      </x:c>
      <x:c r="E1046" s="8" t="n">
        <x:f>IFERROR(INDEX('02_RAW_INDEX'!$T:$T,MATCH($A1046,'02_RAW_INDEX'!$A:$A,0)),"")</x:f>
        <x:v>3083</x:v>
      </x:c>
      <x:c r="F1046" s="8" t="n">
        <x:f>IFERROR(INDEX('02_RAW_INDEX'!$S:$S,MATCH($A1046,'02_RAW_INDEX'!$A:$A,0)),"")</x:f>
        <x:v>3792</x:v>
      </x:c>
      <x:c r="G1046" s="7" t="n">
        <x:f>'01_Ustawienia'!$B$6</x:f>
        <x:v>0</x:v>
      </x:c>
      <x:c r="H1046" s="8" t="n">
        <x:f>IF(E1046="","",ROUND(IF('01_Ustawienia'!$B$5="BRUTTO",F1046,E1046)*(1-G1046),0))</x:f>
        <x:v>3083</x:v>
      </x:c>
      <x:c r="I1046" s="7" t="n">
        <x:f>IFERROR(IFERROR(INDEX('01_Ustawienia'!$B$15:$B$33,MATCH(B1046,'01_Ustawienia'!$A$15:$A$33,0)),0.45),0.45)</x:f>
        <x:v>0.45</x:v>
      </x:c>
      <x:c r="J1046" s="8" t="n">
        <x:f>IF(H1046="","",ROUND(H1046*(1+I1046),0))</x:f>
        <x:v>4470</x:v>
      </x:c>
      <x:c r="K1046" s="582" t="n">
        <x:v>0</x:v>
      </x:c>
      <x:c r="L1046" s="582" t="n">
        <x:v>0</x:v>
      </x:c>
      <x:c r="M1046" s="7" t="n">
        <x:f>IF('01_Ustawienia'!$B$4="ZWOLNIONY",0,'01_Ustawienia'!$B$7)</x:f>
        <x:v>0.08</x:v>
      </x:c>
      <x:c r="N1046" s="8" t="n">
        <x:f>IF(J1046="","",ROUND((J1046+K1046)*(1+M1046),0))</x:f>
        <x:v>4828</x:v>
      </x:c>
      <x:c r="O1046" s="8" t="n">
        <x:f>IF(J1046="","",J1046+K1046-H1046-L1046)</x:f>
        <x:v>1387</x:v>
      </x:c>
      <x:c r="P1046" s="7" t="n">
        <x:f>IFERROR(O1046/(J1046+K1046),"")</x:f>
        <x:v>0.31029082774049216</x:v>
      </x:c>
      <x:c r="Q1046" s="715" t="inlineStr">
        <x:is>
          <x:t xml:space="preserve">MODEL_FIX15_LED</x:t>
        </x:is>
      </x:c>
      <x:c r="R1046" s="6" t="inlineStr">
        <x:is>
          <x:t xml:space="preserve">OŚWIETLENIE</x:t>
        </x:is>
      </x:c>
      <x:c r="S1046" s="6" t="inlineStr">
        <x:is>
          <x:t xml:space="preserve">crm_only</x:t>
        </x:is>
      </x:c>
      <x:c r="T1046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047" s="655" customFormat="1" ht="30" customHeight="1">
      <x:c r="A1047" s="6" t="inlineStr">
        <x:is>
          <x:t xml:space="preserve">550 x 806 cm</x:t>
        </x:is>
      </x:c>
      <x:c r="B1047" s="6" t="inlineStr">
        <x:is>
          <x:t xml:space="preserve">ZP</x:t>
        </x:is>
      </x:c>
      <x:c r="C1047" s="6" t="inlineStr">
        <x:is>
          <x:t xml:space="preserve">Zadaszenie poliwęglan - baza</x:t>
        </x:is>
      </x:c>
      <x:c r="D1047" s="6" t="inlineStr">
        <x:is>
          <x:t xml:space="preserve">ZADASZENIE POLIWĘGLAN</x:t>
        </x:is>
      </x:c>
      <x:c r="E1047" s="8" t="n">
        <x:f>IFERROR(INDEX('02_RAW_INDEX'!$D:$D,MATCH($A1047,'02_RAW_INDEX'!$A:$A,0)),"")</x:f>
        <x:v>21057</x:v>
      </x:c>
      <x:c r="F1047" s="8" t="n">
        <x:f>IFERROR(INDEX('02_RAW_INDEX'!$C:$C,MATCH($A1047,'02_RAW_INDEX'!$A:$A,0)),"")</x:f>
        <x:v>25900</x:v>
      </x:c>
      <x:c r="G1047" s="7" t="n">
        <x:f>'01_Ustawienia'!$B$6</x:f>
        <x:v>0</x:v>
      </x:c>
      <x:c r="H1047" s="8" t="n">
        <x:f>IF(E1047="","",ROUND(IF('01_Ustawienia'!$B$5="BRUTTO",F1047,E1047)*(1-G1047),0))</x:f>
        <x:v>21057</x:v>
      </x:c>
      <x:c r="I1047" s="7" t="n">
        <x:f>IFERROR(IFERROR(INDEX('01_Ustawienia'!$B$15:$B$33,MATCH(B1047,'01_Ustawienia'!$A$15:$A$33,0)),0.45),0.45)</x:f>
        <x:v>0.45</x:v>
      </x:c>
      <x:c r="J1047" s="8" t="n">
        <x:f>IF(H1047="","",ROUND(H1047*(1+I1047),0))</x:f>
        <x:v>30533</x:v>
      </x:c>
      <x:c r="K1047" s="580" t="n">
        <x:v>5480</x:v>
      </x:c>
      <x:c r="L1047" s="580" t="n">
        <x:v>1810</x:v>
      </x:c>
      <x:c r="M1047" s="7" t="n">
        <x:f>IF('01_Ustawienia'!$B$4="ZWOLNIONY",0,'01_Ustawienia'!$B$7)</x:f>
        <x:v>0.08</x:v>
      </x:c>
      <x:c r="N1047" s="8" t="n">
        <x:f>IF(J1047="","",ROUND((J1047+K1047)*(1+M1047),0))</x:f>
        <x:v>38894</x:v>
      </x:c>
      <x:c r="O1047" s="8" t="n">
        <x:f>IF(J1047="","",J1047+K1047-H1047-L1047)</x:f>
        <x:v>13146</x:v>
      </x:c>
      <x:c r="P1047" s="7" t="n">
        <x:f>IFERROR(O1047/(J1047+K1047),"")</x:f>
        <x:v>0.3650348485269208</x:v>
      </x:c>
      <x:c r="Q1047" s="6" t="inlineStr">
        <x:is>
          <x:t xml:space="preserve">RAW_ZP B/C</x:t>
        </x:is>
      </x:c>
      <x:c r="R1047" s="6" t="inlineStr">
        <x:is>
          <x:t xml:space="preserve">ZADASZENIE TARASU KONSTRUKCJA</x:t>
        </x:is>
      </x:c>
      <x:c r="S1047" s="6" t="inlineStr">
        <x:is>
          <x:t xml:space="preserve">website+crm</x:t>
        </x:is>
      </x:c>
      <x:c r="T1047" s="581" t="inlineStr">
        <x:is>
          <x:t xml:space="preserve">Baza dla kalkulatora | FIX11: K/L 550/600 wg ark. 09 (UZUPEŁNIĆ).</x:t>
        </x:is>
      </x:c>
    </x:row>
    <x:row r="1048" s="655" customFormat="1" ht="30" customHeight="1">
      <x:c r="A1048" s="6" t="inlineStr">
        <x:is>
          <x:t xml:space="preserve">550 x 806 cm</x:t>
        </x:is>
      </x:c>
      <x:c r="B1048" s="6" t="inlineStr">
        <x:is>
          <x:t xml:space="preserve">ZS</x:t>
        </x:is>
      </x:c>
      <x:c r="C1048" s="6" t="inlineStr">
        <x:is>
          <x:t xml:space="preserve">Zadaszenie szkło - pełna konstrukcja</x:t>
        </x:is>
      </x:c>
      <x:c r="D1048" s="6" t="inlineStr">
        <x:is>
          <x:t xml:space="preserve">ZADASZENIE SZKŁO</x:t>
        </x:is>
      </x:c>
      <x:c r="E1048" s="8" t="str">
        <x:f>IFERROR(INDEX('02_RAW_INDEX'!$V:$V,MATCH($A1048,'02_RAW_INDEX'!$A:$A,0)),"")</x:f>
      </x:c>
      <x:c r="F1048" s="8" t="str">
        <x:f>IFERROR(INDEX('02_RAW_INDEX'!$U:$U,MATCH($A1048,'02_RAW_INDEX'!$A:$A,0)),"")</x:f>
      </x:c>
      <x:c r="G1048" s="7" t="n">
        <x:f>'01_Ustawienia'!$B$6</x:f>
        <x:v>0</x:v>
      </x:c>
      <x:c r="H1048" s="8" t="str">
        <x:f>IF(E1048="","",ROUND(IF('01_Ustawienia'!$B$5="BRUTTO",F1048,E1048)*(1-G1048),0))</x:f>
      </x:c>
      <x:c r="I1048" s="7" t="n">
        <x:f>IFERROR(IFERROR(INDEX('01_Ustawienia'!$B$15:$B$33,MATCH(B1048,'01_Ustawienia'!$A$15:$A$33,0)),0.45),0.45)</x:f>
        <x:v>0.45</x:v>
      </x:c>
      <x:c r="J1048" s="8" t="str">
        <x:f>IF(H1048="","",ROUND(H1048*(1+I1048),0))</x:f>
      </x:c>
      <x:c r="K1048" s="580" t="n">
        <x:v>5480</x:v>
      </x:c>
      <x:c r="L1048" s="580" t="n">
        <x:v>2320</x:v>
      </x:c>
      <x:c r="M1048" s="7" t="n">
        <x:f>IF('01_Ustawienia'!$B$4="ZWOLNIONY",0,'01_Ustawienia'!$B$7)</x:f>
        <x:v>0.08</x:v>
      </x:c>
      <x:c r="N1048" s="8" t="str">
        <x:f>IF(J1048="","",ROUND((J1048+K1048)*(1+M1048),0))</x:f>
      </x:c>
      <x:c r="O1048" s="8" t="str">
        <x:f>IF(J1048="","",J1048+K1048-H1048-L1048)</x:f>
      </x:c>
      <x:c r="P1048" s="7" t="n">
        <x:f>IFERROR(O1048/(J1048+K1048),"")</x:f>
        <x:v>0</x:v>
      </x:c>
      <x:c r="Q1048" s="6" t="inlineStr">
        <x:is>
          <x:t xml:space="preserve">RAW_ZS B/C</x:t>
        </x:is>
      </x:c>
      <x:c r="R1048" s="6" t="inlineStr">
        <x:is>
          <x:t xml:space="preserve">ZADASZENIE TARASU KONSTRUKCJA</x:t>
        </x:is>
      </x:c>
      <x:c r="S1048" s="6" t="inlineStr">
        <x:is>
          <x:t xml:space="preserve">crm_only</x:t>
        </x:is>
      </x:c>
      <x:c r="T1048" s="581" t="inlineStr">
        <x:is>
          <x:t xml:space="preserve">Referencyjne/full; strona zwykle używa ZP + PDS | FIX11: K/L 550/600 wg ark. 09 (NIE PUBLIKOWAĆ / BRAK RAW_ZS).</x:t>
        </x:is>
      </x:c>
    </x:row>
    <x:row r="1049" s="655" customFormat="1" ht="30" customHeight="1">
      <x:c r="A1049" s="6" t="inlineStr">
        <x:is>
          <x:t xml:space="preserve">550 x 806 cm</x:t>
        </x:is>
      </x:c>
      <x:c r="B1049" s="6" t="inlineStr">
        <x:is>
          <x:t xml:space="preserve">OP</x:t>
        </x:is>
      </x:c>
      <x:c r="C1049" s="6" t="inlineStr">
        <x:is>
          <x:t xml:space="preserve">Ogród zimowy poliwęglan - baza</x:t>
        </x:is>
      </x:c>
      <x:c r="D1049" s="6" t="inlineStr">
        <x:is>
          <x:t xml:space="preserve">OGRODY POLIWĘGLAN</x:t>
        </x:is>
      </x:c>
      <x:c r="E1049" s="8" t="n">
        <x:f>IFERROR(INDEX('02_RAW_INDEX'!$Z:$Z,MATCH($A1049,'02_RAW_INDEX'!$A:$A,0)),"")</x:f>
        <x:v>38390</x:v>
      </x:c>
      <x:c r="F1049" s="8" t="n">
        <x:f>IFERROR(INDEX('02_RAW_INDEX'!$Y:$Y,MATCH($A1049,'02_RAW_INDEX'!$A:$A,0)),"")</x:f>
        <x:v>47220</x:v>
      </x:c>
      <x:c r="G1049" s="7" t="n">
        <x:f>'01_Ustawienia'!$B$6</x:f>
        <x:v>0</x:v>
      </x:c>
      <x:c r="H1049" s="8" t="n">
        <x:f>IF(E1049="","",ROUND(IF('01_Ustawienia'!$B$5="BRUTTO",F1049,E1049)*(1-G1049),0))</x:f>
        <x:v>38390</x:v>
      </x:c>
      <x:c r="I1049" s="7" t="n">
        <x:f>IFERROR(IFERROR(INDEX('01_Ustawienia'!$B$15:$B$33,MATCH(B1049,'01_Ustawienia'!$A$15:$A$33,0)),0.45),0.45)</x:f>
        <x:v>0.45</x:v>
      </x:c>
      <x:c r="J1049" s="8" t="n">
        <x:f>IF(H1049="","",ROUND(H1049*(1+I1049),0))</x:f>
        <x:v>55666</x:v>
      </x:c>
      <x:c r="K1049" s="580" t="n">
        <x:v>6650</x:v>
      </x:c>
      <x:c r="L1049" s="580" t="n">
        <x:v>2520</x:v>
      </x:c>
      <x:c r="M1049" s="7" t="n">
        <x:f>IF('01_Ustawienia'!$B$4="ZWOLNIONY",0,'01_Ustawienia'!$B$7)</x:f>
        <x:v>0.08</x:v>
      </x:c>
      <x:c r="N1049" s="8" t="n">
        <x:f>IF(J1049="","",ROUND((J1049+K1049)*(1+M1049),0))</x:f>
        <x:v>67301</x:v>
      </x:c>
      <x:c r="O1049" s="8" t="n">
        <x:f>IF(J1049="","",J1049+K1049-H1049-L1049)</x:f>
        <x:v>21406</x:v>
      </x:c>
      <x:c r="P1049" s="7" t="n">
        <x:f>IFERROR(O1049/(J1049+K1049),"")</x:f>
        <x:v>0.34350728544835996</x:v>
      </x:c>
      <x:c r="Q1049" s="6" t="inlineStr">
        <x:is>
          <x:t xml:space="preserve">RAW_OP B/C</x:t>
        </x:is>
      </x:c>
      <x:c r="R1049" s="6" t="inlineStr">
        <x:is>
          <x:t xml:space="preserve">OGRÓD ZIMOWY (KONSTRUKCJA)</x:t>
        </x:is>
      </x:c>
      <x:c r="S1049" s="6" t="inlineStr">
        <x:is>
          <x:t xml:space="preserve">website+crm</x:t>
        </x:is>
      </x:c>
      <x:c r="T1049" s="581" t="inlineStr">
        <x:is>
          <x:t xml:space="preserve">Do wyliczenia dopłaty za ściany | FIX11: K/L 550/600 wg ark. 09 (UZUPEŁNIĆ).</x:t>
        </x:is>
      </x:c>
    </x:row>
    <x:row r="1050" s="655" customFormat="1" ht="30" customHeight="1">
      <x:c r="A1050" s="6" t="inlineStr">
        <x:is>
          <x:t xml:space="preserve">550 x 806 cm</x:t>
        </x:is>
      </x:c>
      <x:c r="B1050" s="6" t="inlineStr">
        <x:is>
          <x:t xml:space="preserve">OS</x:t>
        </x:is>
      </x:c>
      <x:c r="C1050" s="6" t="inlineStr">
        <x:is>
          <x:t xml:space="preserve">Ogród zimowy szkło - pełna konstrukcja</x:t>
        </x:is>
      </x:c>
      <x:c r="D1050" s="6" t="inlineStr">
        <x:is>
          <x:t xml:space="preserve">OGRODY SZKŁO</x:t>
        </x:is>
      </x:c>
      <x:c r="E1050" s="8" t="str">
        <x:f>IFERROR(INDEX('02_RAW_INDEX'!$AL:$AL,MATCH($A1050,'02_RAW_INDEX'!$A:$A,0)),"")</x:f>
      </x:c>
      <x:c r="F1050" s="8" t="str">
        <x:f>IFERROR(INDEX('02_RAW_INDEX'!$AK:$AK,MATCH($A1050,'02_RAW_INDEX'!$A:$A,0)),"")</x:f>
      </x:c>
      <x:c r="G1050" s="7" t="n">
        <x:f>'01_Ustawienia'!$B$6</x:f>
        <x:v>0</x:v>
      </x:c>
      <x:c r="H1050" s="8" t="str">
        <x:f>IF(E1050="","",ROUND(IF('01_Ustawienia'!$B$5="BRUTTO",F1050,E1050)*(1-G1050),0))</x:f>
      </x:c>
      <x:c r="I1050" s="7" t="n">
        <x:f>IFERROR(IFERROR(INDEX('01_Ustawienia'!$B$15:$B$33,MATCH(B1050,'01_Ustawienia'!$A$15:$A$33,0)),0.45),0.45)</x:f>
        <x:v>0.45</x:v>
      </x:c>
      <x:c r="J1050" s="8" t="str">
        <x:f>IF(H1050="","",ROUND(H1050*(1+I1050),0))</x:f>
      </x:c>
      <x:c r="K1050" s="580" t="n">
        <x:v>6650</x:v>
      </x:c>
      <x:c r="L1050" s="580" t="n">
        <x:v>3030</x:v>
      </x:c>
      <x:c r="M1050" s="7" t="n">
        <x:f>IF('01_Ustawienia'!$B$4="ZWOLNIONY",0,'01_Ustawienia'!$B$7)</x:f>
        <x:v>0.08</x:v>
      </x:c>
      <x:c r="N1050" s="8" t="str">
        <x:f>IF(J1050="","",ROUND((J1050+K1050)*(1+M1050),0))</x:f>
      </x:c>
      <x:c r="O1050" s="8" t="str">
        <x:f>IF(J1050="","",J1050+K1050-H1050-L1050)</x:f>
      </x:c>
      <x:c r="P1050" s="7" t="n">
        <x:f>IFERROR(O1050/(J1050+K1050),"")</x:f>
        <x:v>0</x:v>
      </x:c>
      <x:c r="Q1050" s="6" t="inlineStr">
        <x:is>
          <x:t xml:space="preserve">RAW_OS B/C</x:t>
        </x:is>
      </x:c>
      <x:c r="R1050" s="6" t="inlineStr">
        <x:is>
          <x:t xml:space="preserve">OGRÓD ZIMOWY (KONSTRUKCJA)</x:t>
        </x:is>
      </x:c>
      <x:c r="S1050" s="6" t="inlineStr">
        <x:is>
          <x:t xml:space="preserve">crm_only</x:t>
        </x:is>
      </x:c>
      <x:c r="T1050" s="581" t="inlineStr">
        <x:is>
          <x:t xml:space="preserve">Referencyjne/full | FIX11: K/L 550/600 wg ark. 09 (NIE PUBLIKOWAĆ / BRAK RAW_OS).</x:t>
        </x:is>
      </x:c>
    </x:row>
    <x:row r="1051" s="655" customFormat="1" ht="30" customHeight="1">
      <x:c r="A1051" s="6" t="inlineStr">
        <x:is>
          <x:t xml:space="preserve">550 x 806 cm</x:t>
        </x:is>
      </x:c>
      <x:c r="B1051" s="6" t="inlineStr">
        <x:is>
          <x:t xml:space="preserve">PDS</x:t>
        </x:is>
      </x:c>
      <x:c r="C1051" s="6" t="inlineStr">
        <x:is>
          <x:t xml:space="preserve">Dopłata dach szkło przezroczyste</x:t>
        </x:is>
      </x:c>
      <x:c r="D1051" s="6" t="inlineStr">
        <x:is>
          <x:t xml:space="preserve">POKRYCIE DACHU SZKŁO</x:t>
        </x:is>
      </x:c>
      <x:c r="E1051" s="8" t="n">
        <x:f>IFERROR(IFERROR(INDEX('02_RAW_INDEX'!$V:$V,MATCH($A1051,'02_RAW_INDEX'!$A:$A,0)),"")-IFERROR(INDEX('02_RAW_INDEX'!$D:$D,MATCH($A1051,'02_RAW_INDEX'!$A:$A,0)),""),"")</x:f>
        <x:v>-21057</x:v>
      </x:c>
      <x:c r="F1051" s="8" t="n">
        <x:f>IFERROR(IFERROR(INDEX('02_RAW_INDEX'!$U:$U,MATCH($A1051,'02_RAW_INDEX'!$A:$A,0)),"")-IFERROR(INDEX('02_RAW_INDEX'!$C:$C,MATCH($A1051,'02_RAW_INDEX'!$A:$A,0)),""),"")</x:f>
        <x:v>-25900</x:v>
      </x:c>
      <x:c r="G1051" s="7" t="n">
        <x:f>'01_Ustawienia'!$B$6</x:f>
        <x:v>0</x:v>
      </x:c>
      <x:c r="H1051" s="8" t="n">
        <x:f>IF(E1051="","",ROUND(IF('01_Ustawienia'!$B$5="BRUTTO",F1051,E1051)*(1-G1051),0))</x:f>
        <x:v>-21057</x:v>
      </x:c>
      <x:c r="I1051" s="7" t="n">
        <x:f>IFERROR(IFERROR(INDEX('01_Ustawienia'!$B$15:$B$33,MATCH(B1051,'01_Ustawienia'!$A$15:$A$33,0)),0.45),0.45)</x:f>
        <x:v>0.45</x:v>
      </x:c>
      <x:c r="J1051" s="8" t="n">
        <x:f>IF(H1051="","",ROUND(H1051*(1+I1051),0))</x:f>
        <x:v>-30533</x:v>
      </x:c>
      <x:c r="K1051" s="580" t="n">
        <x:v>0</x:v>
      </x:c>
      <x:c r="L1051" s="580" t="n">
        <x:v>0</x:v>
      </x:c>
      <x:c r="M1051" s="7" t="n">
        <x:f>IF('01_Ustawienia'!$B$4="ZWOLNIONY",0,'01_Ustawienia'!$B$7)</x:f>
        <x:v>0.08</x:v>
      </x:c>
      <x:c r="N1051" s="8" t="n">
        <x:f>IF(J1051="","",ROUND((J1051+K1051)*(1+M1051),0))</x:f>
        <x:v>-32976</x:v>
      </x:c>
      <x:c r="O1051" s="8" t="n">
        <x:f>IF(J1051="","",J1051+K1051-H1051-L1051)</x:f>
        <x:v>-9476</x:v>
      </x:c>
      <x:c r="P1051" s="7" t="n">
        <x:f>IFERROR(O1051/(J1051+K1051),"")</x:f>
        <x:v>0.31035273310844</x:v>
      </x:c>
      <x:c r="Q1051" s="6" t="inlineStr">
        <x:is>
          <x:t xml:space="preserve">RAW_ZS - RAW_ZP</x:t>
        </x:is>
      </x:c>
      <x:c r="R1051" s="6" t="inlineStr">
        <x:is>
          <x:t xml:space="preserve">POKRYCIE DACHU</x:t>
        </x:is>
      </x:c>
      <x:c r="S1051" s="6" t="inlineStr">
        <x:is>
          <x:t xml:space="preserve">website+crm</x:t>
        </x:is>
      </x:c>
      <x:c r="T1051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052" s="655" customFormat="1" ht="30" customHeight="1">
      <x:c r="A1052" s="6" t="inlineStr">
        <x:is>
          <x:t xml:space="preserve">550 x 806 cm</x:t>
        </x:is>
      </x:c>
      <x:c r="B1052" s="6" t="inlineStr">
        <x:is>
          <x:t xml:space="preserve">PDSB</x:t>
        </x:is>
      </x:c>
      <x:c r="C1052" s="6" t="inlineStr">
        <x:is>
          <x:t xml:space="preserve">Dopłata dach szkło barwione/mleczne</x:t>
        </x:is>
      </x:c>
      <x:c r="D1052" s="6" t="inlineStr">
        <x:is>
          <x:t xml:space="preserve">POKRYCIE DACHU SZKŁO BARWIONE</x:t>
        </x:is>
      </x:c>
      <x:c r="E1052" s="8" t="str">
        <x:f>IFERROR(INDEX('02_RAW_INDEX'!$X:$X,MATCH($A1052,'02_RAW_INDEX'!$A:$A,0)),"")</x:f>
      </x:c>
      <x:c r="F1052" s="8" t="str">
        <x:f>IFERROR(INDEX('02_RAW_INDEX'!$W:$W,MATCH($A1052,'02_RAW_INDEX'!$A:$A,0)),"")</x:f>
      </x:c>
      <x:c r="G1052" s="7" t="n">
        <x:f>'01_Ustawienia'!$B$6</x:f>
        <x:v>0</x:v>
      </x:c>
      <x:c r="H1052" s="8" t="str">
        <x:f>IF(E1052="","",ROUND(IF('01_Ustawienia'!$B$5="BRUTTO",F1052,E1052)*(1-G1052),0))</x:f>
      </x:c>
      <x:c r="I1052" s="7" t="n">
        <x:f>IFERROR(IFERROR(INDEX('01_Ustawienia'!$B$15:$B$33,MATCH(B1052,'01_Ustawienia'!$A$15:$A$33,0)),0.45),0.45)</x:f>
        <x:v>0.45</x:v>
      </x:c>
      <x:c r="J1052" s="8" t="str">
        <x:f>IF(H1052="","",ROUND(H1052*(1+I1052),0))</x:f>
      </x:c>
      <x:c r="K1052" s="582" t="n">
        <x:v>0</x:v>
      </x:c>
      <x:c r="L1052" s="582" t="n">
        <x:v>0</x:v>
      </x:c>
      <x:c r="M1052" s="7" t="n">
        <x:f>IF('01_Ustawienia'!$B$4="ZWOLNIONY",0,'01_Ustawienia'!$B$7)</x:f>
        <x:v>0.08</x:v>
      </x:c>
      <x:c r="N1052" s="8" t="str">
        <x:f>IF(J1052="","",ROUND((J1052+K1052)*(1+M1052),0))</x:f>
      </x:c>
      <x:c r="O1052" s="8" t="str">
        <x:f>IF(J1052="","",J1052+K1052-H1052-L1052)</x:f>
      </x:c>
      <x:c r="P1052" s="7" t="str">
        <x:f>IFERROR(O1052/(J1052+K1052),"")</x:f>
      </x:c>
      <x:c r="Q1052" s="6" t="inlineStr">
        <x:is>
          <x:t xml:space="preserve">RAW_ZS D/E</x:t>
        </x:is>
      </x:c>
      <x:c r="R1052" s="6" t="inlineStr">
        <x:is>
          <x:t xml:space="preserve">POKRYCIE DACHU</x:t>
        </x:is>
      </x:c>
      <x:c r="S1052" s="6" t="inlineStr">
        <x:is>
          <x:t xml:space="preserve">website+crm</x:t>
        </x:is>
      </x:c>
      <x:c r="T1052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053" s="655" customFormat="1" ht="30" customHeight="1">
      <x:c r="A1053" s="6" t="inlineStr">
        <x:is>
          <x:t xml:space="preserve">550 x 806 cm</x:t>
        </x:is>
      </x:c>
      <x:c r="B1053" s="6" t="inlineStr">
        <x:is>
          <x:t xml:space="preserve">PDPB</x:t>
        </x:is>
      </x:c>
      <x:c r="C1053" s="6" t="inlineStr">
        <x:is>
          <x:t xml:space="preserve">Dopłata poliwęglan barwiony</x:t>
        </x:is>
      </x:c>
      <x:c r="D1053" s="6" t="inlineStr">
        <x:is>
          <x:t xml:space="preserve">POKRYCIE DACHU POLIWĘGLAN BARWIONY</x:t>
        </x:is>
      </x:c>
      <x:c r="E1053" s="8" t="n">
        <x:f>IFERROR(INDEX('02_RAW_INDEX'!$F:$F,MATCH($A1053,'02_RAW_INDEX'!$A:$A,0)),"")</x:f>
        <x:v>626</x:v>
      </x:c>
      <x:c r="F1053" s="8" t="n">
        <x:f>IFERROR(INDEX('02_RAW_INDEX'!$E:$E,MATCH($A1053,'02_RAW_INDEX'!$A:$A,0)),"")</x:f>
        <x:v>770</x:v>
      </x:c>
      <x:c r="G1053" s="7" t="n">
        <x:f>'01_Ustawienia'!$B$6</x:f>
        <x:v>0</x:v>
      </x:c>
      <x:c r="H1053" s="8" t="n">
        <x:f>IF(E1053="","",ROUND(IF('01_Ustawienia'!$B$5="BRUTTO",F1053,E1053)*(1-G1053),0))</x:f>
        <x:v>626</x:v>
      </x:c>
      <x:c r="I1053" s="7" t="n">
        <x:f>IFERROR(IFERROR(INDEX('01_Ustawienia'!$B$15:$B$33,MATCH(B1053,'01_Ustawienia'!$A$15:$A$33,0)),0.45),0.45)</x:f>
        <x:v>0.45</x:v>
      </x:c>
      <x:c r="J1053" s="8" t="n">
        <x:f>IF(H1053="","",ROUND(H1053*(1+I1053),0))</x:f>
        <x:v>908</x:v>
      </x:c>
      <x:c r="K1053" s="582" t="n">
        <x:v>0</x:v>
      </x:c>
      <x:c r="L1053" s="582" t="n">
        <x:v>0</x:v>
      </x:c>
      <x:c r="M1053" s="7" t="n">
        <x:f>IF('01_Ustawienia'!$B$4="ZWOLNIONY",0,'01_Ustawienia'!$B$7)</x:f>
        <x:v>0.08</x:v>
      </x:c>
      <x:c r="N1053" s="8" t="n">
        <x:f>IF(J1053="","",ROUND((J1053+K1053)*(1+M1053),0))</x:f>
        <x:v>981</x:v>
      </x:c>
      <x:c r="O1053" s="8" t="n">
        <x:f>IF(J1053="","",J1053+K1053-H1053-L1053)</x:f>
        <x:v>282</x:v>
      </x:c>
      <x:c r="P1053" s="7" t="n">
        <x:f>IFERROR(O1053/(J1053+K1053),"")</x:f>
        <x:v>0.31057268722466963</x:v>
      </x:c>
      <x:c r="Q1053" s="6" t="inlineStr">
        <x:is>
          <x:t xml:space="preserve">RAW_ZP D/E</x:t>
        </x:is>
      </x:c>
      <x:c r="R1053" s="6" t="inlineStr">
        <x:is>
          <x:t xml:space="preserve">POKRYCIE DACHU</x:t>
        </x:is>
      </x:c>
      <x:c r="S1053" s="6" t="inlineStr">
        <x:is>
          <x:t xml:space="preserve">website+crm</x:t>
        </x:is>
      </x:c>
      <x:c r="T1053" s="581" t="inlineStr">
        <x:is>
          <x:t xml:space="preserve">FIX11: K/L 550/600 wg ark. 09 (POZOSTAWIĆ 0). | FIX17: Wynagr.+koszty = 0 dla dopłaty; nie jest osobnym montażem ekipy.</x:t>
        </x:is>
      </x:c>
    </x:row>
    <x:row r="1054" s="655" customFormat="1" ht="30" customHeight="1">
      <x:c r="A1054" s="6" t="inlineStr">
        <x:is>
          <x:t xml:space="preserve">550 x 806 cm</x:t>
        </x:is>
      </x:c>
      <x:c r="B1054" s="6" t="inlineStr">
        <x:is>
          <x:t xml:space="preserve">SBB</x:t>
        </x:is>
      </x:c>
      <x:c r="C1054" s="6" t="inlineStr">
        <x:is>
          <x:t xml:space="preserve">Dopłata szkło boczne przyciemniane</x:t>
        </x:is>
      </x:c>
      <x:c r="D1054" s="6" t="inlineStr">
        <x:is>
          <x:t xml:space="preserve">SZKŁO BOCZNE BARWIONE</x:t>
        </x:is>
      </x:c>
      <x:c r="E1054" s="8" t="n">
        <x:f>IFERROR(INDEX('02_RAW_INDEX'!$AB:$AB,MATCH($A1054,'02_RAW_INDEX'!$A:$A,0)),"")</x:f>
        <x:v>1951</x:v>
      </x:c>
      <x:c r="F1054" s="8" t="n">
        <x:f>IFERROR(INDEX('02_RAW_INDEX'!$AA:$AA,MATCH($A1054,'02_RAW_INDEX'!$A:$A,0)),"")</x:f>
        <x:v>2400</x:v>
      </x:c>
      <x:c r="G1054" s="7" t="n">
        <x:f>'01_Ustawienia'!$B$6</x:f>
        <x:v>0</x:v>
      </x:c>
      <x:c r="H1054" s="8" t="n">
        <x:f>IF(E1054="","",ROUND(IF('01_Ustawienia'!$B$5="BRUTTO",F1054,E1054)*(1-G1054),0))</x:f>
        <x:v>1951</x:v>
      </x:c>
      <x:c r="I1054" s="7" t="n">
        <x:f>IFERROR(IFERROR(INDEX('01_Ustawienia'!$B$15:$B$33,MATCH(B1054,'01_Ustawienia'!$A$15:$A$33,0)),0.45),0.45)</x:f>
        <x:v>0.45</x:v>
      </x:c>
      <x:c r="J1054" s="8" t="n">
        <x:f>IF(H1054="","",ROUND(H1054*(1+I1054),0))</x:f>
        <x:v>2829</x:v>
      </x:c>
      <x:c r="K1054" s="582" t="n">
        <x:v>0</x:v>
      </x:c>
      <x:c r="L1054" s="582" t="n">
        <x:v>0</x:v>
      </x:c>
      <x:c r="M1054" s="7" t="n">
        <x:f>IF('01_Ustawienia'!$B$4="ZWOLNIONY",0,'01_Ustawienia'!$B$7)</x:f>
        <x:v>0.08</x:v>
      </x:c>
      <x:c r="N1054" s="8" t="n">
        <x:f>IF(J1054="","",ROUND((J1054+K1054)*(1+M1054),0))</x:f>
        <x:v>3055</x:v>
      </x:c>
      <x:c r="O1054" s="8" t="n">
        <x:f>IF(J1054="","",J1054+K1054-H1054-L1054)</x:f>
        <x:v>878</x:v>
      </x:c>
      <x:c r="P1054" s="7" t="n">
        <x:f>IFERROR(O1054/(J1054+K1054),"")</x:f>
        <x:v>0.3103570166136444</x:v>
      </x:c>
      <x:c r="Q1054" s="6" t="inlineStr">
        <x:is>
          <x:t xml:space="preserve">RAW_OP H/I</x:t>
        </x:is>
      </x:c>
      <x:c r="R1054" s="6" t="inlineStr">
        <x:is>
          <x:t xml:space="preserve">SZYBY BOCZNE</x:t>
        </x:is>
      </x:c>
      <x:c r="S1054" s="6" t="inlineStr">
        <x:is>
          <x:t xml:space="preserve">website+crm</x:t>
        </x:is>
      </x:c>
      <x:c r="T1054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055" s="655" customFormat="1" ht="29.5" customHeight="1">
      <x:c r="A1055" s="6" t="inlineStr">
        <x:is>
          <x:t xml:space="preserve">550 x 806 cm</x:t>
        </x:is>
      </x:c>
      <x:c r="B1055" s="6" t="inlineStr">
        <x:is>
          <x:t xml:space="preserve">RB</x:t>
        </x:is>
      </x:c>
      <x:c r="C1055" s="6" t="inlineStr">
        <x:is>
          <x:t xml:space="preserve">Roleta boczna ZIP</x:t>
        </x:is>
      </x:c>
      <x:c r="D1055" s="6" t="inlineStr">
        <x:is>
          <x:t xml:space="preserve">ROLETA BOCZNA</x:t>
        </x:is>
      </x:c>
      <x:c r="E1055" s="8" t="n">
        <x:f>IFERROR(INDEX('02_RAW_INDEX'!$J:$J,MATCH($A1055,'02_RAW_INDEX'!$A:$A,0)),"")</x:f>
        <x:v>3236</x:v>
      </x:c>
      <x:c r="F1055" s="8" t="n">
        <x:f>IFERROR(INDEX('02_RAW_INDEX'!$I:$I,MATCH($A1055,'02_RAW_INDEX'!$A:$A,0)),"")</x:f>
        <x:v>3980</x:v>
      </x:c>
      <x:c r="G1055" s="7" t="n">
        <x:f>'01_Ustawienia'!$B$6</x:f>
        <x:v>0</x:v>
      </x:c>
      <x:c r="H1055" s="8" t="n">
        <x:f>IF(E1055="","",ROUND(IF('01_Ustawienia'!$B$5="BRUTTO",F1055,E1055)*(1-G1055),0))</x:f>
        <x:v>3236</x:v>
      </x:c>
      <x:c r="I1055" s="7" t="n">
        <x:f>IFERROR(IFERROR(INDEX('01_Ustawienia'!$B$15:$B$33,MATCH(B1055,'01_Ustawienia'!$A$15:$A$33,0)),0.45),0.45)</x:f>
        <x:v>0.45</x:v>
      </x:c>
      <x:c r="J1055" s="8" t="n">
        <x:f>IF(H1055="","",ROUND(H1055*(1+I1055),0))</x:f>
        <x:v>4692</x:v>
      </x:c>
      <x:c r="K1055" s="580" t="n">
        <x:v>0</x:v>
      </x:c>
      <x:c r="L1055" s="580" t="n">
        <x:v>150</x:v>
      </x:c>
      <x:c r="M1055" s="7" t="n">
        <x:f>IF('01_Ustawienia'!$B$4="ZWOLNIONY",0,'01_Ustawienia'!$B$7)</x:f>
        <x:v>0.08</x:v>
      </x:c>
      <x:c r="N1055" s="8" t="n">
        <x:f>IF(J1055="","",ROUND((J1055+K1055)*(1+M1055),0))</x:f>
        <x:v>5067</x:v>
      </x:c>
      <x:c r="O1055" s="8" t="n">
        <x:f>IF(J1055="","",J1055+K1055-H1055-L1055)</x:f>
        <x:v>1306</x:v>
      </x:c>
      <x:c r="P1055" s="7" t="n">
        <x:f>IFERROR(O1055/(J1055+K1055),"")</x:f>
        <x:v>0.2783461210571185</x:v>
      </x:c>
      <x:c r="Q1055" s="6" t="inlineStr">
        <x:is>
          <x:t xml:space="preserve">RAW_ZP J/K</x:t>
        </x:is>
      </x:c>
      <x:c r="R1055" s="6" t="inlineStr">
        <x:is>
          <x:t xml:space="preserve">ROLETY BOCZNE</x:t>
        </x:is>
      </x:c>
      <x:c r="S1055" s="6" t="inlineStr">
        <x:is>
          <x:t xml:space="preserve">website+crm</x:t>
        </x:is>
      </x:c>
      <x:c r="T1055" s="581" t="inlineStr">
        <x:is>
          <x:t xml:space="preserve">Używana dla lewej i prawej | FIX11: K/L 550/600 wg ark. 09 (UZUPEŁNIĆ L).</x:t>
        </x:is>
      </x:c>
    </x:row>
    <x:row r="1056" s="655" customFormat="1" ht="29.5" customHeight="1">
      <x:c r="A1056" s="6" t="inlineStr">
        <x:is>
          <x:t xml:space="preserve">550 x 806 cm</x:t>
        </x:is>
      </x:c>
      <x:c r="B1056" s="6" t="inlineStr">
        <x:is>
          <x:t xml:space="preserve">RP</x:t>
        </x:is>
      </x:c>
      <x:c r="C1056" s="6" t="inlineStr">
        <x:is>
          <x:t xml:space="preserve">Roleta przednia ZIP</x:t>
        </x:is>
      </x:c>
      <x:c r="D1056" s="6" t="inlineStr">
        <x:is>
          <x:t xml:space="preserve">ROLETA PRZÓD</x:t>
        </x:is>
      </x:c>
      <x:c r="E1056" s="8" t="n">
        <x:f>IFERROR(INDEX('02_RAW_INDEX'!$L:$L,MATCH($A1056,'02_RAW_INDEX'!$A:$A,0)),"")</x:f>
        <x:v>4293</x:v>
      </x:c>
      <x:c r="F1056" s="8" t="n">
        <x:f>IFERROR(INDEX('02_RAW_INDEX'!$K:$K,MATCH($A1056,'02_RAW_INDEX'!$A:$A,0)),"")</x:f>
        <x:v>5280</x:v>
      </x:c>
      <x:c r="G1056" s="7" t="n">
        <x:f>'01_Ustawienia'!$B$6</x:f>
        <x:v>0</x:v>
      </x:c>
      <x:c r="H1056" s="8" t="n">
        <x:f>IF(E1056="","",ROUND(IF('01_Ustawienia'!$B$5="BRUTTO",F1056,E1056)*(1-G1056),0))</x:f>
        <x:v>4293</x:v>
      </x:c>
      <x:c r="I1056" s="7" t="n">
        <x:f>IFERROR(IFERROR(INDEX('01_Ustawienia'!$B$15:$B$33,MATCH(B1056,'01_Ustawienia'!$A$15:$A$33,0)),0.45),0.45)</x:f>
        <x:v>0.45</x:v>
      </x:c>
      <x:c r="J1056" s="8" t="n">
        <x:f>IF(H1056="","",ROUND(H1056*(1+I1056),0))</x:f>
        <x:v>6225</x:v>
      </x:c>
      <x:c r="K1056" s="580" t="n">
        <x:v>0</x:v>
      </x:c>
      <x:c r="L1056" s="580" t="n">
        <x:v>300</x:v>
      </x:c>
      <x:c r="M1056" s="7" t="n">
        <x:f>IF('01_Ustawienia'!$B$4="ZWOLNIONY",0,'01_Ustawienia'!$B$7)</x:f>
        <x:v>0.08</x:v>
      </x:c>
      <x:c r="N1056" s="8" t="n">
        <x:f>IF(J1056="","",ROUND((J1056+K1056)*(1+M1056),0))</x:f>
        <x:v>6723</x:v>
      </x:c>
      <x:c r="O1056" s="8" t="n">
        <x:f>IF(J1056="","",J1056+K1056-H1056-L1056)</x:f>
        <x:v>1632</x:v>
      </x:c>
      <x:c r="P1056" s="7" t="n">
        <x:f>IFERROR(O1056/(J1056+K1056),"")</x:f>
        <x:v>0.2621686746987952</x:v>
      </x:c>
      <x:c r="Q1056" s="6" t="inlineStr">
        <x:is>
          <x:t xml:space="preserve">RAW_ZP N/O</x:t>
        </x:is>
      </x:c>
      <x:c r="R1056" s="6" t="inlineStr">
        <x:is>
          <x:t xml:space="preserve">ROLETY BOCZNE</x:t>
        </x:is>
      </x:c>
      <x:c r="S1056" s="6" t="inlineStr">
        <x:is>
          <x:t xml:space="preserve">website+crm</x:t>
        </x:is>
      </x:c>
      <x:c r="T1056" s="581" t="inlineStr">
        <x:is>
          <x:t xml:space="preserve">FIX11: K/L 550/600 wg ark. 09 (UZUPEŁNIĆ L).</x:t>
        </x:is>
      </x:c>
    </x:row>
    <x:row r="1057" s="655" customFormat="1" ht="29.5" customHeight="1">
      <x:c r="A1057" s="6" t="inlineStr">
        <x:is>
          <x:t xml:space="preserve">550 x 806 cm</x:t>
        </x:is>
      </x:c>
      <x:c r="B1057" s="6" t="inlineStr">
        <x:is>
          <x:t xml:space="preserve">M</x:t>
        </x:is>
      </x:c>
      <x:c r="C1057" s="6" t="inlineStr">
        <x:is>
          <x:t xml:space="preserve">Markiza dachowa</x:t>
        </x:is>
      </x:c>
      <x:c r="D1057" s="6" t="inlineStr">
        <x:is>
          <x:t xml:space="preserve">MARKIZA</x:t>
        </x:is>
      </x:c>
      <x:c r="E1057" s="8" t="n">
        <x:f>IFERROR(INDEX('02_RAW_INDEX'!$H:$H,MATCH($A1057,'02_RAW_INDEX'!$A:$A,0)),"")</x:f>
        <x:v>7780</x:v>
      </x:c>
      <x:c r="F1057" s="8" t="n">
        <x:f>IFERROR(INDEX('02_RAW_INDEX'!$G:$G,MATCH($A1057,'02_RAW_INDEX'!$A:$A,0)),"")</x:f>
        <x:v>9570</x:v>
      </x:c>
      <x:c r="G1057" s="7" t="n">
        <x:f>'01_Ustawienia'!$B$6</x:f>
        <x:v>0</x:v>
      </x:c>
      <x:c r="H1057" s="8" t="n">
        <x:f>IF(E1057="","",ROUND(IF('01_Ustawienia'!$B$5="BRUTTO",F1057,E1057)*(1-G1057),0))</x:f>
        <x:v>7780</x:v>
      </x:c>
      <x:c r="I1057" s="7" t="n">
        <x:f>IFERROR(IFERROR(INDEX('01_Ustawienia'!$B$15:$B$33,MATCH(B1057,'01_Ustawienia'!$A$15:$A$33,0)),0.45),0.45)</x:f>
        <x:v>0.45</x:v>
      </x:c>
      <x:c r="J1057" s="8" t="n">
        <x:f>IF(H1057="","",ROUND(H1057*(1+I1057),0))</x:f>
        <x:v>11281</x:v>
      </x:c>
      <x:c r="K1057" s="580" t="n">
        <x:v>0</x:v>
      </x:c>
      <x:c r="L1057" s="580" t="n">
        <x:v>500</x:v>
      </x:c>
      <x:c r="M1057" s="7" t="n">
        <x:f>IF('01_Ustawienia'!$B$4="ZWOLNIONY",0,'01_Ustawienia'!$B$7)</x:f>
        <x:v>0.08</x:v>
      </x:c>
      <x:c r="N1057" s="8" t="n">
        <x:f>IF(J1057="","",ROUND((J1057+K1057)*(1+M1057),0))</x:f>
        <x:v>12183</x:v>
      </x:c>
      <x:c r="O1057" s="8" t="n">
        <x:f>IF(J1057="","",J1057+K1057-H1057-L1057)</x:f>
        <x:v>3001</x:v>
      </x:c>
      <x:c r="P1057" s="7" t="n">
        <x:f>IFERROR(O1057/(J1057+K1057),"")</x:f>
        <x:v>0.2660225157344207</x:v>
      </x:c>
      <x:c r="Q1057" s="6" t="inlineStr">
        <x:is>
          <x:t xml:space="preserve">RAW_ZP H/I</x:t>
        </x:is>
      </x:c>
      <x:c r="R1057" s="6" t="inlineStr">
        <x:is>
          <x:t xml:space="preserve">MARKIZA</x:t>
        </x:is>
      </x:c>
      <x:c r="S1057" s="6" t="inlineStr">
        <x:is>
          <x:t xml:space="preserve">website+crm</x:t>
        </x:is>
      </x:c>
      <x:c r="T1057" s="581" t="inlineStr">
        <x:is>
          <x:t xml:space="preserve">FIX11: K/L 550/600 wg ark. 09 (UZUPEŁNIĆ L).</x:t>
        </x:is>
      </x:c>
    </x:row>
    <x:row r="1058" s="655" customFormat="1" ht="44.25" customHeight="1">
      <x:c r="A1058" s="6" t="inlineStr">
        <x:is>
          <x:t xml:space="preserve">550 x 806 cm</x:t>
        </x:is>
      </x:c>
      <x:c r="B1058" s="6" t="inlineStr">
        <x:is>
          <x:t xml:space="preserve">PDWP</x:t>
        </x:is>
      </x:c>
      <x:c r="C1058" s="6" t="inlineStr">
        <x:is>
          <x:t xml:space="preserve">Fundament/profile</x:t>
        </x:is>
      </x:c>
      <x:c r="D1058" s="6" t="inlineStr">
        <x:is>
          <x:t xml:space="preserve">FUNDAMENT / PROFILE</x:t>
        </x:is>
      </x:c>
      <x:c r="E1058" s="8" t="n">
        <x:f>IFERROR(INDEX('02_RAW_INDEX'!$AH:$AH,MATCH($A1058,'02_RAW_INDEX'!$A:$A,0)),"")</x:f>
        <x:v>1309</x:v>
      </x:c>
      <x:c r="F1058" s="8" t="n">
        <x:f>IFERROR(INDEX('02_RAW_INDEX'!$AG:$AG,MATCH($A1058,'02_RAW_INDEX'!$A:$A,0)),"")</x:f>
        <x:v>1610</x:v>
      </x:c>
      <x:c r="G1058" s="7" t="n">
        <x:f>'01_Ustawienia'!$B$6</x:f>
        <x:v>0</x:v>
      </x:c>
      <x:c r="H1058" s="8" t="n">
        <x:f>IF(E1058="","",ROUND(IF('01_Ustawienia'!$B$5="BRUTTO",F1058,E1058)*(1-G1058),0))</x:f>
        <x:v>1309</x:v>
      </x:c>
      <x:c r="I1058" s="7" t="n">
        <x:f>IFERROR(IFERROR(INDEX('01_Ustawienia'!$B$15:$B$33,MATCH(B1058,'01_Ustawienia'!$A$15:$A$33,0)),0.45),0.45)</x:f>
        <x:v>1.2</x:v>
      </x:c>
      <x:c r="J1058" s="8" t="n">
        <x:f>IF(H1058="","",ROUND(H1058*(1+I1058),0))</x:f>
        <x:v>2880</x:v>
      </x:c>
      <x:c r="K1058" s="580" t="n">
        <x:v>670</x:v>
      </x:c>
      <x:c r="L1058" s="580" t="n">
        <x:v>610</x:v>
      </x:c>
      <x:c r="M1058" s="7" t="n">
        <x:f>IF('01_Ustawienia'!$B$4="ZWOLNIONY",0,'01_Ustawienia'!$B$7)</x:f>
        <x:v>0.08</x:v>
      </x:c>
      <x:c r="N1058" s="8" t="n">
        <x:f>IF(J1058="","",ROUND((J1058+K1058)*(1+M1058),0))</x:f>
        <x:v>3834</x:v>
      </x:c>
      <x:c r="O1058" s="8" t="n">
        <x:f>IF(J1058="","",J1058+K1058-H1058-L1058)</x:f>
        <x:v>1631</x:v>
      </x:c>
      <x:c r="P1058" s="7" t="n">
        <x:f>IFERROR(O1058/(J1058+K1058),"")</x:f>
        <x:v>0.45943661971830985</x:v>
      </x:c>
      <x:c r="Q1058" s="6" t="inlineStr">
        <x:is>
          <x:t xml:space="preserve">RAW_OP AB/AC</x:t>
        </x:is>
      </x:c>
      <x:c r="R1058" s="6" t="inlineStr">
        <x:is>
          <x:t xml:space="preserve">FUNDAMENT (PROFILE)</x:t>
        </x:is>
      </x:c>
      <x:c r="S1058" s="6" t="inlineStr">
        <x:is>
          <x:t xml:space="preserve">website+crm</x:t>
        </x:is>
      </x:c>
      <x:c r="T1058" s="581" t="inlineStr">
        <x:is>
          <x:t xml:space="preserve">FIX11: K/L 550/600 wg ark. 09 (UZUPEŁNIĆ K+L / KOREKTA RENTOWNOŚCI).</x:t>
        </x:is>
      </x:c>
    </x:row>
    <x:row r="1059" s="655" customFormat="1" ht="30" customHeight="1">
      <x:c r="A1059" s="6" t="inlineStr">
        <x:is>
          <x:t xml:space="preserve">550 x 806 cm</x:t>
        </x:is>
      </x:c>
      <x:c r="B1059" s="6" t="inlineStr">
        <x:is>
          <x:t xml:space="preserve">ZAB</x:t>
        </x:is>
      </x:c>
      <x:c r="C1059" s="6" t="inlineStr">
        <x:is>
          <x:t xml:space="preserve">Zabieraki do ścian przesuwnych</x:t>
        </x:is>
      </x:c>
      <x:c r="D1059" s="6" t="inlineStr">
        <x:is>
          <x:t xml:space="preserve">DODATKI</x:t>
        </x:is>
      </x:c>
      <x:c r="E1059" s="8" t="n">
        <x:f>IFERROR(INDEX('02_RAW_INDEX'!$AJ:$AJ,MATCH($A1059,'02_RAW_INDEX'!$A:$A,0)),"")</x:f>
        <x:v>520</x:v>
      </x:c>
      <x:c r="F1059" s="8" t="n">
        <x:f>IFERROR(INDEX('02_RAW_INDEX'!$AI:$AI,MATCH($A1059,'02_RAW_INDEX'!$A:$A,0)),"")</x:f>
        <x:v>640</x:v>
      </x:c>
      <x:c r="G1059" s="7" t="n">
        <x:f>'01_Ustawienia'!$B$6</x:f>
        <x:v>0</x:v>
      </x:c>
      <x:c r="H1059" s="8" t="n">
        <x:f>IF(E1059="","",ROUND(IF('01_Ustawienia'!$B$5="BRUTTO",F1059,E1059)*(1-G1059),0))</x:f>
        <x:v>520</x:v>
      </x:c>
      <x:c r="I1059" s="7" t="n">
        <x:f>IFERROR(IFERROR(INDEX('01_Ustawienia'!$B$15:$B$33,MATCH(B1059,'01_Ustawienia'!$A$15:$A$33,0)),0.45),0.45)</x:f>
        <x:v>0.45</x:v>
      </x:c>
      <x:c r="J1059" s="8" t="n">
        <x:f>IF(H1059="","",ROUND(H1059*(1+I1059),0))</x:f>
        <x:v>754</x:v>
      </x:c>
      <x:c r="K1059" s="582" t="n">
        <x:v>0</x:v>
      </x:c>
      <x:c r="L1059" s="582" t="n">
        <x:v>0</x:v>
      </x:c>
      <x:c r="M1059" s="7" t="n">
        <x:f>IF('01_Ustawienia'!$B$4="ZWOLNIONY",0,'01_Ustawienia'!$B$7)</x:f>
        <x:v>0.08</x:v>
      </x:c>
      <x:c r="N1059" s="8" t="n">
        <x:f>IF(J1059="","",ROUND((J1059+K1059)*(1+M1059),0))</x:f>
        <x:v>814</x:v>
      </x:c>
      <x:c r="O1059" s="8" t="n">
        <x:f>IF(J1059="","",J1059+K1059-H1059-L1059)</x:f>
        <x:v>234</x:v>
      </x:c>
      <x:c r="P1059" s="7" t="n">
        <x:f>IFERROR(O1059/(J1059+K1059),"")</x:f>
        <x:v>0.3103448275862069</x:v>
      </x:c>
      <x:c r="Q1059" s="6" t="inlineStr">
        <x:is>
          <x:t xml:space="preserve">RAW_OP AD/AE</x:t>
        </x:is>
      </x:c>
      <x:c r="R1059" s="6" t="inlineStr">
        <x:is>
          <x:t xml:space="preserve">DODATKI</x:t>
        </x:is>
      </x:c>
      <x:c r="S1059" s="6" t="inlineStr">
        <x:is>
          <x:t xml:space="preserve">crm_only</x:t>
        </x:is>
      </x:c>
      <x:c r="T1059" s="581" t="inlineStr">
        <x:is>
          <x:t xml:space="preserve">FIX11: K/L 550/600 wg ark. 09 (POZOSTAWIĆ 0).</x:t>
        </x:is>
      </x:c>
    </x:row>
    <x:row r="1060" s="655" customFormat="1" ht="29.5" customHeight="1">
      <x:c r="A1060" s="6" t="inlineStr">
        <x:is>
          <x:t xml:space="preserve">550 x 806 cm</x:t>
        </x:is>
      </x:c>
      <x:c r="B1060" s="6" t="inlineStr">
        <x:is>
          <x:t xml:space="preserve">S</x:t>
        </x:is>
      </x:c>
      <x:c r="C1060" s="6" t="inlineStr">
        <x:is>
          <x:t xml:space="preserve">Szczotki przeciwkurzowe</x:t>
        </x:is>
      </x:c>
      <x:c r="D1060" s="6" t="inlineStr">
        <x:is>
          <x:t xml:space="preserve">SZCZOTKI</x:t>
        </x:is>
      </x:c>
      <x:c r="E1060" s="8" t="n">
        <x:f>IFERROR(INDEX('02_RAW_INDEX'!$AD:$AD,MATCH($A1060,'02_RAW_INDEX'!$A:$A,0)),"")</x:f>
        <x:v>561</x:v>
      </x:c>
      <x:c r="F1060" s="8" t="n">
        <x:f>IFERROR(INDEX('02_RAW_INDEX'!$AC:$AC,MATCH($A1060,'02_RAW_INDEX'!$A:$A,0)),"")</x:f>
        <x:v>690</x:v>
      </x:c>
      <x:c r="G1060" s="7" t="n">
        <x:f>'01_Ustawienia'!$B$6</x:f>
        <x:v>0</x:v>
      </x:c>
      <x:c r="H1060" s="8" t="n">
        <x:f>IF(E1060="","",ROUND(IF('01_Ustawienia'!$B$5="BRUTTO",F1060,E1060)*(1-G1060),0))</x:f>
        <x:v>561</x:v>
      </x:c>
      <x:c r="I1060" s="7" t="n">
        <x:f>IFERROR(IFERROR(INDEX('01_Ustawienia'!$B$15:$B$33,MATCH(B1060,'01_Ustawienia'!$A$15:$A$33,0)),0.45),0.45)</x:f>
        <x:v>0.45</x:v>
      </x:c>
      <x:c r="J1060" s="8" t="n">
        <x:f>IF(H1060="","",ROUND(H1060*(1+I1060),0))</x:f>
        <x:v>813</x:v>
      </x:c>
      <x:c r="K1060" s="582" t="n">
        <x:v>0</x:v>
      </x:c>
      <x:c r="L1060" s="582" t="n">
        <x:v>0</x:v>
      </x:c>
      <x:c r="M1060" s="7" t="n">
        <x:f>IF('01_Ustawienia'!$B$4="ZWOLNIONY",0,'01_Ustawienia'!$B$7)</x:f>
        <x:v>0.08</x:v>
      </x:c>
      <x:c r="N1060" s="8" t="n">
        <x:f>IF(J1060="","",ROUND((J1060+K1060)*(1+M1060),0))</x:f>
        <x:v>878</x:v>
      </x:c>
      <x:c r="O1060" s="8" t="n">
        <x:f>IF(J1060="","",J1060+K1060-H1060-L1060)</x:f>
        <x:v>252</x:v>
      </x:c>
      <x:c r="P1060" s="7" t="n">
        <x:f>IFERROR(O1060/(J1060+K1060),"")</x:f>
        <x:v>0.30996309963099633</x:v>
      </x:c>
      <x:c r="Q1060" s="6" t="inlineStr">
        <x:is>
          <x:t xml:space="preserve">RAW_OP L/M</x:t>
        </x:is>
      </x:c>
      <x:c r="R1060" s="6" t="inlineStr">
        <x:is>
          <x:t xml:space="preserve">DODATKI</x:t>
        </x:is>
      </x:c>
      <x:c r="S1060" s="6" t="inlineStr">
        <x:is>
          <x:t xml:space="preserve">website+crm</x:t>
        </x:is>
      </x:c>
      <x:c r="T1060" s="581" t="inlineStr">
        <x:is>
          <x:t xml:space="preserve">FIX11: K/L 550/600 wg ark. 09 (POZOSTAWIĆ 0).</x:t>
        </x:is>
      </x:c>
    </x:row>
    <x:row r="1061" s="655" customFormat="1" ht="29.5" customHeight="1">
      <x:c r="A1061" s="6" t="inlineStr">
        <x:is>
          <x:t xml:space="preserve">550 x 806 cm</x:t>
        </x:is>
      </x:c>
      <x:c r="B1061" s="6" t="inlineStr">
        <x:is>
          <x:t xml:space="preserve">U</x:t>
        </x:is>
      </x:c>
      <x:c r="C1061" s="6" t="inlineStr">
        <x:is>
          <x:t xml:space="preserve">Uchwyty na szkło ścienne</x:t>
        </x:is>
      </x:c>
      <x:c r="D1061" s="6" t="inlineStr">
        <x:is>
          <x:t xml:space="preserve">UCHWYTY</x:t>
        </x:is>
      </x:c>
      <x:c r="E1061" s="8" t="n">
        <x:f>IFERROR(INDEX('02_RAW_INDEX'!$AF:$AF,MATCH($A1061,'02_RAW_INDEX'!$A:$A,0)),"")</x:f>
        <x:v>504</x:v>
      </x:c>
      <x:c r="F1061" s="8" t="n">
        <x:f>IFERROR(INDEX('02_RAW_INDEX'!$AE:$AE,MATCH($A1061,'02_RAW_INDEX'!$A:$A,0)),"")</x:f>
        <x:v>620</x:v>
      </x:c>
      <x:c r="G1061" s="7" t="n">
        <x:f>'01_Ustawienia'!$B$6</x:f>
        <x:v>0</x:v>
      </x:c>
      <x:c r="H1061" s="8" t="n">
        <x:f>IF(E1061="","",ROUND(IF('01_Ustawienia'!$B$5="BRUTTO",F1061,E1061)*(1-G1061),0))</x:f>
        <x:v>504</x:v>
      </x:c>
      <x:c r="I1061" s="7" t="n">
        <x:f>IFERROR(IFERROR(INDEX('01_Ustawienia'!$B$15:$B$33,MATCH(B1061,'01_Ustawienia'!$A$15:$A$33,0)),0.45),0.45)</x:f>
        <x:v>0.45</x:v>
      </x:c>
      <x:c r="J1061" s="8" t="n">
        <x:f>IF(H1061="","",ROUND(H1061*(1+I1061),0))</x:f>
        <x:v>731</x:v>
      </x:c>
      <x:c r="K1061" s="582" t="n">
        <x:v>0</x:v>
      </x:c>
      <x:c r="L1061" s="582" t="n">
        <x:v>0</x:v>
      </x:c>
      <x:c r="M1061" s="7" t="n">
        <x:f>IF('01_Ustawienia'!$B$4="ZWOLNIONY",0,'01_Ustawienia'!$B$7)</x:f>
        <x:v>0.08</x:v>
      </x:c>
      <x:c r="N1061" s="8" t="n">
        <x:f>IF(J1061="","",ROUND((J1061+K1061)*(1+M1061),0))</x:f>
        <x:v>789</x:v>
      </x:c>
      <x:c r="O1061" s="8" t="n">
        <x:f>IF(J1061="","",J1061+K1061-H1061-L1061)</x:f>
        <x:v>227</x:v>
      </x:c>
      <x:c r="P1061" s="7" t="n">
        <x:f>IFERROR(O1061/(J1061+K1061),"")</x:f>
        <x:v>0.31053351573187415</x:v>
      </x:c>
      <x:c r="Q1061" s="6" t="inlineStr">
        <x:is>
          <x:t xml:space="preserve">RAW_OP N/O</x:t>
        </x:is>
      </x:c>
      <x:c r="R1061" s="6" t="inlineStr">
        <x:is>
          <x:t xml:space="preserve">DODATKI</x:t>
        </x:is>
      </x:c>
      <x:c r="S1061" s="6" t="inlineStr">
        <x:is>
          <x:t xml:space="preserve">website+crm</x:t>
        </x:is>
      </x:c>
      <x:c r="T1061" s="581" t="inlineStr">
        <x:is>
          <x:t xml:space="preserve">FIX11: K/L 550/600 wg ark. 09 (POZOSTAWIĆ 0).</x:t>
        </x:is>
      </x:c>
    </x:row>
    <x:row r="1062" s="655" customFormat="1" ht="29.5" customHeight="1">
      <x:c r="A1062" s="6" t="inlineStr">
        <x:is>
          <x:t xml:space="preserve">550 x 806 cm</x:t>
        </x:is>
      </x:c>
      <x:c r="B1062" s="6" t="inlineStr">
        <x:is>
          <x:t xml:space="preserve">LED2</x:t>
        </x:is>
      </x:c>
      <x:c r="C1062" s="6" t="inlineStr">
        <x:is>
          <x:t xml:space="preserve">Oświetlenie LED 2 punkty</x:t>
        </x:is>
      </x:c>
      <x:c r="D1062" s="6" t="inlineStr">
        <x:is>
          <x:t xml:space="preserve">LED 2 PKT</x:t>
        </x:is>
      </x:c>
      <x:c r="E1062" s="8" t="n">
        <x:f>IFERROR(INDEX('02_RAW_INDEX'!$N:$N,MATCH($A1062,'02_RAW_INDEX'!$A:$A,0)),"")</x:f>
        <x:v>780</x:v>
      </x:c>
      <x:c r="F1062" s="8" t="n">
        <x:f>IFERROR(INDEX('02_RAW_INDEX'!$M:$M,MATCH($A1062,'02_RAW_INDEX'!$A:$A,0)),"")</x:f>
        <x:v>960</x:v>
      </x:c>
      <x:c r="G1062" s="7" t="n">
        <x:f>'01_Ustawienia'!$B$6</x:f>
        <x:v>0</x:v>
      </x:c>
      <x:c r="H1062" s="8" t="n">
        <x:f>IF(E1062="","",ROUND(IF('01_Ustawienia'!$B$5="BRUTTO",F1062,E1062)*(1-G1062),0))</x:f>
        <x:v>780</x:v>
      </x:c>
      <x:c r="I1062" s="7" t="n">
        <x:f>IFERROR(IFERROR(INDEX('01_Ustawienia'!$B$15:$B$33,MATCH(B1062,'01_Ustawienia'!$A$15:$A$33,0)),0.45),0.45)</x:f>
        <x:v>0.45</x:v>
      </x:c>
      <x:c r="J1062" s="8" t="n">
        <x:f>IF(H1062="","",ROUND(H1062*(1+I1062),0))</x:f>
        <x:v>1131</x:v>
      </x:c>
      <x:c r="K1062" s="582" t="n">
        <x:v>0</x:v>
      </x:c>
      <x:c r="L1062" s="582" t="n">
        <x:v>0</x:v>
      </x:c>
      <x:c r="M1062" s="7" t="n">
        <x:f>IF('01_Ustawienia'!$B$4="ZWOLNIONY",0,'01_Ustawienia'!$B$7)</x:f>
        <x:v>0.08</x:v>
      </x:c>
      <x:c r="N1062" s="8" t="n">
        <x:f>IF(J1062="","",ROUND((J1062+K1062)*(1+M1062),0))</x:f>
        <x:v>1221</x:v>
      </x:c>
      <x:c r="O1062" s="8" t="n">
        <x:f>IF(J1062="","",J1062+K1062-H1062-L1062)</x:f>
        <x:v>351</x:v>
      </x:c>
      <x:c r="P1062" s="7" t="n">
        <x:f>IFERROR(O1062/(J1062+K1062),"")</x:f>
        <x:v>0.3103448275862069</x:v>
      </x:c>
      <x:c r="Q1062" s="6" t="inlineStr">
        <x:is>
          <x:t xml:space="preserve">RAW_ZP P/Q</x:t>
        </x:is>
      </x:c>
      <x:c r="R1062" s="6" t="inlineStr">
        <x:is>
          <x:t xml:space="preserve">OŚWIETLENIE</x:t>
        </x:is>
      </x:c>
      <x:c r="S1062" s="6" t="inlineStr">
        <x:is>
          <x:t xml:space="preserve">website+crm</x:t>
        </x:is>
      </x:c>
      <x:c r="T1062" s="581" t="inlineStr">
        <x:is>
          <x:t xml:space="preserve">FIX11: K/L 550/600 wg ark. 09 (POZOSTAWIĆ 0 NA RAZIE).</x:t>
        </x:is>
      </x:c>
    </x:row>
    <x:row r="1063" s="655" customFormat="1" ht="44.25" customHeight="1">
      <x:c r="A1063" s="6" t="inlineStr">
        <x:is>
          <x:t xml:space="preserve">550 x 806 cm</x:t>
        </x:is>
      </x:c>
      <x:c r="B1063" s="6" t="inlineStr">
        <x:is>
          <x:t xml:space="preserve">LED3</x:t>
        </x:is>
      </x:c>
      <x:c r="C1063" s="6" t="inlineStr">
        <x:is>
          <x:t xml:space="preserve">Oświetlenie LED 3 punkty</x:t>
        </x:is>
      </x:c>
      <x:c r="D1063" s="6" t="inlineStr">
        <x:is>
          <x:t xml:space="preserve">LED 3 PKT</x:t>
        </x:is>
      </x:c>
      <x:c r="E1063" s="8" t="n">
        <x:f>IFERROR(INDEX('02_RAW_INDEX'!$P:$P,MATCH($A1063,'02_RAW_INDEX'!$A:$A,0)),"")</x:f>
        <x:v>1171</x:v>
      </x:c>
      <x:c r="F1063" s="8" t="n">
        <x:f>IFERROR(INDEX('02_RAW_INDEX'!$O:$O,MATCH($A1063,'02_RAW_INDEX'!$A:$A,0)),"")</x:f>
        <x:v>1440</x:v>
      </x:c>
      <x:c r="G1063" s="7" t="n">
        <x:f>'01_Ustawienia'!$B$6</x:f>
        <x:v>0</x:v>
      </x:c>
      <x:c r="H1063" s="8" t="n">
        <x:f>IF(E1063="","",ROUND(IF('01_Ustawienia'!$B$5="BRUTTO",F1063,E1063)*(1-G1063),0))</x:f>
        <x:v>1171</x:v>
      </x:c>
      <x:c r="I1063" s="7" t="n">
        <x:f>IFERROR(IFERROR(INDEX('01_Ustawienia'!$B$15:$B$33,MATCH(B1063,'01_Ustawienia'!$A$15:$A$33,0)),0.45),0.45)</x:f>
        <x:v>0.45</x:v>
      </x:c>
      <x:c r="J1063" s="8" t="n">
        <x:f>IF(H1063="","",ROUND(H1063*(1+I1063),0))</x:f>
        <x:v>1698</x:v>
      </x:c>
      <x:c r="K1063" s="582" t="n">
        <x:v>0</x:v>
      </x:c>
      <x:c r="L1063" s="582" t="n">
        <x:v>0</x:v>
      </x:c>
      <x:c r="M1063" s="7" t="n">
        <x:f>IF('01_Ustawienia'!$B$4="ZWOLNIONY",0,'01_Ustawienia'!$B$7)</x:f>
        <x:v>0.08</x:v>
      </x:c>
      <x:c r="N1063" s="8" t="n">
        <x:f>IF(J1063="","",ROUND((J1063+K1063)*(1+M1063),0))</x:f>
        <x:v>1834</x:v>
      </x:c>
      <x:c r="O1063" s="8" t="n">
        <x:f>IF(J1063="","",J1063+K1063-H1063-L1063)</x:f>
        <x:v>527</x:v>
      </x:c>
      <x:c r="P1063" s="7" t="n">
        <x:f>IFERROR(O1063/(J1063+K1063),"")</x:f>
        <x:v>0.31036513545347466</x:v>
      </x:c>
      <x:c r="Q1063" s="6" t="inlineStr">
        <x:is>
          <x:t xml:space="preserve">RAW_ZP R/S</x:t>
        </x:is>
      </x:c>
      <x:c r="R1063" s="6" t="inlineStr">
        <x:is>
          <x:t xml:space="preserve">OŚWIETLENIE</x:t>
        </x:is>
      </x:c>
      <x:c r="S1063" s="6" t="inlineStr">
        <x:is>
          <x:t xml:space="preserve">website+crm</x:t>
        </x:is>
      </x:c>
      <x:c r="T1063" s="581" t="inlineStr">
        <x:is>
          <x:t xml:space="preserve">Nazwa do potwierdzenia | FIX11: K/L 550/600 wg ark. 09 (POZOSTAWIĆ 0 NA RAZIE).</x:t>
        </x:is>
      </x:c>
    </x:row>
    <x:row r="1064" s="655" customFormat="1" ht="29.5" customHeight="1">
      <x:c r="A1064" s="6" t="inlineStr">
        <x:is>
          <x:t xml:space="preserve">550 x 806 cm</x:t>
        </x:is>
      </x:c>
      <x:c r="B1064" s="6" t="inlineStr">
        <x:is>
          <x:t xml:space="preserve">LEDCCT</x:t>
        </x:is>
      </x:c>
      <x:c r="C1064" s="6" t="inlineStr">
        <x:is>
          <x:t xml:space="preserve">Oświetlenie LED CCT</x:t>
        </x:is>
      </x:c>
      <x:c r="D1064" s="6" t="inlineStr">
        <x:is>
          <x:t xml:space="preserve">OŚWIETLENIE</x:t>
        </x:is>
      </x:c>
      <x:c r="E1064" s="8" t="n">
        <x:f>IFERROR(INDEX('02_RAW_INDEX'!$R:$R,MATCH($A1064,'02_RAW_INDEX'!$A:$A,0)),"")</x:f>
        <x:v>2610</x:v>
      </x:c>
      <x:c r="F1064" s="8" t="n">
        <x:f>IFERROR(INDEX('02_RAW_INDEX'!$Q:$Q,MATCH($A1064,'02_RAW_INDEX'!$A:$A,0)),"")</x:f>
        <x:v>3210</x:v>
      </x:c>
      <x:c r="G1064" s="7" t="n">
        <x:f>'01_Ustawienia'!$B$6</x:f>
        <x:v>0</x:v>
      </x:c>
      <x:c r="H1064" s="8" t="n">
        <x:f>IF(E1064="","",ROUND(IF('01_Ustawienia'!$B$5="BRUTTO",F1064,E1064)*(1-G1064),0))</x:f>
        <x:v>2610</x:v>
      </x:c>
      <x:c r="I1064" s="7" t="n">
        <x:f>IFERROR(IFERROR(INDEX('01_Ustawienia'!$B$15:$B$33,MATCH(B1064,'01_Ustawienia'!$A$15:$A$33,0)),0.45),0.45)</x:f>
        <x:v>0.45</x:v>
      </x:c>
      <x:c r="J1064" s="8" t="n">
        <x:f>IF(H1064="","",ROUND(H1064*(1+I1064),0)+700)</x:f>
        <x:v>4485</x:v>
      </x:c>
      <x:c r="K1064" s="582" t="n">
        <x:v>0</x:v>
      </x:c>
      <x:c r="L1064" s="582" t="n">
        <x:v>0</x:v>
      </x:c>
      <x:c r="M1064" s="7" t="n">
        <x:f>IF('01_Ustawienia'!$B$4="ZWOLNIONY",0,'01_Ustawienia'!$B$7)</x:f>
        <x:v>0.08</x:v>
      </x:c>
      <x:c r="N1064" s="8" t="n">
        <x:f>IF(J1064="","",ROUND((J1064+K1064)*(1+M1064),0))</x:f>
        <x:v>4844</x:v>
      </x:c>
      <x:c r="O1064" s="8" t="n">
        <x:f>IF(J1064="","",J1064+K1064-H1064-L1064)</x:f>
        <x:v>1875</x:v>
      </x:c>
      <x:c r="P1064" s="7" t="n">
        <x:f>IFERROR(O1064/(J1064+K1064),"")</x:f>
        <x:v>0.4180602006688963</x:v>
      </x:c>
      <x:c r="Q1064" s="715" t="inlineStr">
        <x:is>
          <x:t xml:space="preserve">MODEL_FIX15_LED</x:t>
        </x:is>
      </x:c>
      <x:c r="R1064" s="6" t="inlineStr">
        <x:is>
          <x:t xml:space="preserve">OŚWIETLENIE</x:t>
        </x:is>
      </x:c>
      <x:c r="S1064" s="6" t="inlineStr">
        <x:is>
          <x:t xml:space="preserve">website+crm</x:t>
        </x:is>
      </x:c>
      <x:c r="T1064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065" s="655" customFormat="1" ht="29.5" customHeight="1">
      <x:c r="A1065" s="6" t="inlineStr">
        <x:is>
          <x:t xml:space="preserve">550 x 806 cm</x:t>
        </x:is>
      </x:c>
      <x:c r="B1065" s="6" t="inlineStr">
        <x:is>
          <x:t xml:space="preserve">LEDRGBCCT</x:t>
        </x:is>
      </x:c>
      <x:c r="C1065" s="6" t="inlineStr">
        <x:is>
          <x:t xml:space="preserve">Oświetlenie LED RGB CCT</x:t>
        </x:is>
      </x:c>
      <x:c r="D1065" s="6" t="inlineStr">
        <x:is>
          <x:t xml:space="preserve">OŚWIETLENIE</x:t>
        </x:is>
      </x:c>
      <x:c r="E1065" s="8" t="n">
        <x:f>IFERROR(INDEX('02_RAW_INDEX'!$T:$T,MATCH($A1065,'02_RAW_INDEX'!$A:$A,0)),"")</x:f>
        <x:v>3473</x:v>
      </x:c>
      <x:c r="F1065" s="8" t="n">
        <x:f>IFERROR(INDEX('02_RAW_INDEX'!$S:$S,MATCH($A1065,'02_RAW_INDEX'!$A:$A,0)),"")</x:f>
        <x:v>4272</x:v>
      </x:c>
      <x:c r="G1065" s="7" t="n">
        <x:f>'01_Ustawienia'!$B$6</x:f>
        <x:v>0</x:v>
      </x:c>
      <x:c r="H1065" s="8" t="n">
        <x:f>IF(E1065="","",ROUND(IF('01_Ustawienia'!$B$5="BRUTTO",F1065,E1065)*(1-G1065),0))</x:f>
        <x:v>3473</x:v>
      </x:c>
      <x:c r="I1065" s="7" t="n">
        <x:f>IFERROR(IFERROR(INDEX('01_Ustawienia'!$B$15:$B$33,MATCH(B1065,'01_Ustawienia'!$A$15:$A$33,0)),0.45),0.45)</x:f>
        <x:v>0.45</x:v>
      </x:c>
      <x:c r="J1065" s="8" t="n">
        <x:f>IF(H1065="","",ROUND(H1065*(1+I1065),0))</x:f>
        <x:v>5036</x:v>
      </x:c>
      <x:c r="K1065" s="582" t="n">
        <x:v>0</x:v>
      </x:c>
      <x:c r="L1065" s="582" t="n">
        <x:v>0</x:v>
      </x:c>
      <x:c r="M1065" s="7" t="n">
        <x:f>IF('01_Ustawienia'!$B$4="ZWOLNIONY",0,'01_Ustawienia'!$B$7)</x:f>
        <x:v>0.08</x:v>
      </x:c>
      <x:c r="N1065" s="8" t="n">
        <x:f>IF(J1065="","",ROUND((J1065+K1065)*(1+M1065),0))</x:f>
        <x:v>5439</x:v>
      </x:c>
      <x:c r="O1065" s="8" t="n">
        <x:f>IF(J1065="","",J1065+K1065-H1065-L1065)</x:f>
        <x:v>1563</x:v>
      </x:c>
      <x:c r="P1065" s="7" t="n">
        <x:f>IFERROR(O1065/(J1065+K1065),"")</x:f>
        <x:v>0.3103653693407466</x:v>
      </x:c>
      <x:c r="Q1065" s="715" t="inlineStr">
        <x:is>
          <x:t xml:space="preserve">MODEL_FIX15_LED</x:t>
        </x:is>
      </x:c>
      <x:c r="R1065" s="6" t="inlineStr">
        <x:is>
          <x:t xml:space="preserve">OŚWIETLENIE</x:t>
        </x:is>
      </x:c>
      <x:c r="S1065" s="6" t="inlineStr">
        <x:is>
          <x:t xml:space="preserve">crm_only</x:t>
        </x:is>
      </x:c>
      <x:c r="T1065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066" s="655" customFormat="1" ht="30" customHeight="1">
      <x:c r="A1066" s="6" t="inlineStr">
        <x:is>
          <x:t xml:space="preserve">550 x 906 cm</x:t>
        </x:is>
      </x:c>
      <x:c r="B1066" s="6" t="inlineStr">
        <x:is>
          <x:t xml:space="preserve">ZP</x:t>
        </x:is>
      </x:c>
      <x:c r="C1066" s="6" t="inlineStr">
        <x:is>
          <x:t xml:space="preserve">Zadaszenie poliwęglan - baza</x:t>
        </x:is>
      </x:c>
      <x:c r="D1066" s="6" t="inlineStr">
        <x:is>
          <x:t xml:space="preserve">ZADASZENIE POLIWĘGLAN</x:t>
        </x:is>
      </x:c>
      <x:c r="E1066" s="8" t="n">
        <x:f>IFERROR(INDEX('02_RAW_INDEX'!$D:$D,MATCH($A1066,'02_RAW_INDEX'!$A:$A,0)),"")</x:f>
        <x:v>23943</x:v>
      </x:c>
      <x:c r="F1066" s="8" t="n">
        <x:f>IFERROR(INDEX('02_RAW_INDEX'!$C:$C,MATCH($A1066,'02_RAW_INDEX'!$A:$A,0)),"")</x:f>
        <x:v>29450</x:v>
      </x:c>
      <x:c r="G1066" s="7" t="n">
        <x:f>'01_Ustawienia'!$B$6</x:f>
        <x:v>0</x:v>
      </x:c>
      <x:c r="H1066" s="8" t="n">
        <x:f>IF(E1066="","",ROUND(IF('01_Ustawienia'!$B$5="BRUTTO",F1066,E1066)*(1-G1066),0))</x:f>
        <x:v>23943</x:v>
      </x:c>
      <x:c r="I1066" s="7" t="n">
        <x:f>IFERROR(IFERROR(INDEX('01_Ustawienia'!$B$15:$B$33,MATCH(B1066,'01_Ustawienia'!$A$15:$A$33,0)),0.45),0.45)</x:f>
        <x:v>0.45</x:v>
      </x:c>
      <x:c r="J1066" s="8" t="n">
        <x:f>IF(H1066="","",ROUND(H1066*(1+I1066),0))</x:f>
        <x:v>34717</x:v>
      </x:c>
      <x:c r="K1066" s="580" t="n">
        <x:v>5780</x:v>
      </x:c>
      <x:c r="L1066" s="580" t="n">
        <x:v>1920</x:v>
      </x:c>
      <x:c r="M1066" s="7" t="n">
        <x:f>IF('01_Ustawienia'!$B$4="ZWOLNIONY",0,'01_Ustawienia'!$B$7)</x:f>
        <x:v>0.08</x:v>
      </x:c>
      <x:c r="N1066" s="8" t="n">
        <x:f>IF(J1066="","",ROUND((J1066+K1066)*(1+M1066),0))</x:f>
        <x:v>43737</x:v>
      </x:c>
      <x:c r="O1066" s="8" t="n">
        <x:f>IF(J1066="","",J1066+K1066-H1066-L1066)</x:f>
        <x:v>14634</x:v>
      </x:c>
      <x:c r="P1066" s="7" t="n">
        <x:f>IFERROR(O1066/(J1066+K1066),"")</x:f>
        <x:v>0.36136010074820357</x:v>
      </x:c>
      <x:c r="Q1066" s="6" t="inlineStr">
        <x:is>
          <x:t xml:space="preserve">RAW_ZP B/C</x:t>
        </x:is>
      </x:c>
      <x:c r="R1066" s="6" t="inlineStr">
        <x:is>
          <x:t xml:space="preserve">ZADASZENIE TARASU KONSTRUKCJA</x:t>
        </x:is>
      </x:c>
      <x:c r="S1066" s="6" t="inlineStr">
        <x:is>
          <x:t xml:space="preserve">website+crm</x:t>
        </x:is>
      </x:c>
      <x:c r="T1066" s="581" t="inlineStr">
        <x:is>
          <x:t xml:space="preserve">Baza dla kalkulatora | FIX11: K/L 550/600 wg ark. 09 (UZUPEŁNIĆ).</x:t>
        </x:is>
      </x:c>
    </x:row>
    <x:row r="1067" s="655" customFormat="1" ht="30" customHeight="1">
      <x:c r="A1067" s="6" t="inlineStr">
        <x:is>
          <x:t xml:space="preserve">550 x 906 cm</x:t>
        </x:is>
      </x:c>
      <x:c r="B1067" s="6" t="inlineStr">
        <x:is>
          <x:t xml:space="preserve">ZS</x:t>
        </x:is>
      </x:c>
      <x:c r="C1067" s="6" t="inlineStr">
        <x:is>
          <x:t xml:space="preserve">Zadaszenie szkło - pełna konstrukcja</x:t>
        </x:is>
      </x:c>
      <x:c r="D1067" s="6" t="inlineStr">
        <x:is>
          <x:t xml:space="preserve">ZADASZENIE SZKŁO</x:t>
        </x:is>
      </x:c>
      <x:c r="E1067" s="8" t="str">
        <x:f>IFERROR(INDEX('02_RAW_INDEX'!$V:$V,MATCH($A1067,'02_RAW_INDEX'!$A:$A,0)),"")</x:f>
      </x:c>
      <x:c r="F1067" s="8" t="str">
        <x:f>IFERROR(INDEX('02_RAW_INDEX'!$U:$U,MATCH($A1067,'02_RAW_INDEX'!$A:$A,0)),"")</x:f>
      </x:c>
      <x:c r="G1067" s="7" t="n">
        <x:f>'01_Ustawienia'!$B$6</x:f>
        <x:v>0</x:v>
      </x:c>
      <x:c r="H1067" s="8" t="str">
        <x:f>IF(E1067="","",ROUND(IF('01_Ustawienia'!$B$5="BRUTTO",F1067,E1067)*(1-G1067),0))</x:f>
      </x:c>
      <x:c r="I1067" s="7" t="n">
        <x:f>IFERROR(IFERROR(INDEX('01_Ustawienia'!$B$15:$B$33,MATCH(B1067,'01_Ustawienia'!$A$15:$A$33,0)),0.45),0.45)</x:f>
        <x:v>0.45</x:v>
      </x:c>
      <x:c r="J1067" s="8" t="str">
        <x:f>IF(H1067="","",ROUND(H1067*(1+I1067),0))</x:f>
      </x:c>
      <x:c r="K1067" s="580" t="n">
        <x:v>5780</x:v>
      </x:c>
      <x:c r="L1067" s="580" t="n">
        <x:v>2460</x:v>
      </x:c>
      <x:c r="M1067" s="7" t="n">
        <x:f>IF('01_Ustawienia'!$B$4="ZWOLNIONY",0,'01_Ustawienia'!$B$7)</x:f>
        <x:v>0.08</x:v>
      </x:c>
      <x:c r="N1067" s="8" t="str">
        <x:f>IF(J1067="","",ROUND((J1067+K1067)*(1+M1067),0))</x:f>
      </x:c>
      <x:c r="O1067" s="8" t="str">
        <x:f>IF(J1067="","",J1067+K1067-H1067-L1067)</x:f>
      </x:c>
      <x:c r="P1067" s="7" t="n">
        <x:f>IFERROR(O1067/(J1067+K1067),"")</x:f>
        <x:v>0</x:v>
      </x:c>
      <x:c r="Q1067" s="6" t="inlineStr">
        <x:is>
          <x:t xml:space="preserve">RAW_ZS B/C</x:t>
        </x:is>
      </x:c>
      <x:c r="R1067" s="6" t="inlineStr">
        <x:is>
          <x:t xml:space="preserve">ZADASZENIE TARASU KONSTRUKCJA</x:t>
        </x:is>
      </x:c>
      <x:c r="S1067" s="6" t="inlineStr">
        <x:is>
          <x:t xml:space="preserve">crm_only</x:t>
        </x:is>
      </x:c>
      <x:c r="T1067" s="581" t="inlineStr">
        <x:is>
          <x:t xml:space="preserve">Referencyjne/full; strona zwykle używa ZP + PDS | FIX11: K/L 550/600 wg ark. 09 (NIE PUBLIKOWAĆ / BRAK RAW_ZS).</x:t>
        </x:is>
      </x:c>
    </x:row>
    <x:row r="1068" s="655" customFormat="1" ht="30" customHeight="1">
      <x:c r="A1068" s="6" t="inlineStr">
        <x:is>
          <x:t xml:space="preserve">550 x 906 cm</x:t>
        </x:is>
      </x:c>
      <x:c r="B1068" s="6" t="inlineStr">
        <x:is>
          <x:t xml:space="preserve">OP</x:t>
        </x:is>
      </x:c>
      <x:c r="C1068" s="6" t="inlineStr">
        <x:is>
          <x:t xml:space="preserve">Ogród zimowy poliwęglan - baza</x:t>
        </x:is>
      </x:c>
      <x:c r="D1068" s="6" t="inlineStr">
        <x:is>
          <x:t xml:space="preserve">OGRODY POLIWĘGLAN</x:t>
        </x:is>
      </x:c>
      <x:c r="E1068" s="8" t="n">
        <x:f>IFERROR(INDEX('02_RAW_INDEX'!$Z:$Z,MATCH($A1068,'02_RAW_INDEX'!$A:$A,0)),"")</x:f>
        <x:v>42122</x:v>
      </x:c>
      <x:c r="F1068" s="8" t="n">
        <x:f>IFERROR(INDEX('02_RAW_INDEX'!$Y:$Y,MATCH($A1068,'02_RAW_INDEX'!$A:$A,0)),"")</x:f>
        <x:v>51810</x:v>
      </x:c>
      <x:c r="G1068" s="7" t="n">
        <x:f>'01_Ustawienia'!$B$6</x:f>
        <x:v>0</x:v>
      </x:c>
      <x:c r="H1068" s="8" t="n">
        <x:f>IF(E1068="","",ROUND(IF('01_Ustawienia'!$B$5="BRUTTO",F1068,E1068)*(1-G1068),0))</x:f>
        <x:v>42122</x:v>
      </x:c>
      <x:c r="I1068" s="7" t="n">
        <x:f>IFERROR(IFERROR(INDEX('01_Ustawienia'!$B$15:$B$33,MATCH(B1068,'01_Ustawienia'!$A$15:$A$33,0)),0.45),0.45)</x:f>
        <x:v>0.45</x:v>
      </x:c>
      <x:c r="J1068" s="8" t="n">
        <x:f>IF(H1068="","",ROUND(H1068*(1+I1068),0))</x:f>
        <x:v>61077</x:v>
      </x:c>
      <x:c r="K1068" s="580" t="n">
        <x:v>7060</x:v>
      </x:c>
      <x:c r="L1068" s="580" t="n">
        <x:v>2700</x:v>
      </x:c>
      <x:c r="M1068" s="7" t="n">
        <x:f>IF('01_Ustawienia'!$B$4="ZWOLNIONY",0,'01_Ustawienia'!$B$7)</x:f>
        <x:v>0.08</x:v>
      </x:c>
      <x:c r="N1068" s="8" t="n">
        <x:f>IF(J1068="","",ROUND((J1068+K1068)*(1+M1068),0))</x:f>
        <x:v>73588</x:v>
      </x:c>
      <x:c r="O1068" s="8" t="n">
        <x:f>IF(J1068="","",J1068+K1068-H1068-L1068)</x:f>
        <x:v>23315</x:v>
      </x:c>
      <x:c r="P1068" s="7" t="n">
        <x:f>IFERROR(O1068/(J1068+K1068),"")</x:f>
        <x:v>0.34217825850859296</x:v>
      </x:c>
      <x:c r="Q1068" s="6" t="inlineStr">
        <x:is>
          <x:t xml:space="preserve">RAW_OP B/C</x:t>
        </x:is>
      </x:c>
      <x:c r="R1068" s="6" t="inlineStr">
        <x:is>
          <x:t xml:space="preserve">OGRÓD ZIMOWY (KONSTRUKCJA)</x:t>
        </x:is>
      </x:c>
      <x:c r="S1068" s="6" t="inlineStr">
        <x:is>
          <x:t xml:space="preserve">website+crm</x:t>
        </x:is>
      </x:c>
      <x:c r="T1068" s="581" t="inlineStr">
        <x:is>
          <x:t xml:space="preserve">Do wyliczenia dopłaty za ściany | FIX11: K/L 550/600 wg ark. 09 (UZUPEŁNIĆ).</x:t>
        </x:is>
      </x:c>
    </x:row>
    <x:row r="1069" s="655" customFormat="1" ht="30" customHeight="1">
      <x:c r="A1069" s="6" t="inlineStr">
        <x:is>
          <x:t xml:space="preserve">550 x 906 cm</x:t>
        </x:is>
      </x:c>
      <x:c r="B1069" s="6" t="inlineStr">
        <x:is>
          <x:t xml:space="preserve">OS</x:t>
        </x:is>
      </x:c>
      <x:c r="C1069" s="6" t="inlineStr">
        <x:is>
          <x:t xml:space="preserve">Ogród zimowy szkło - pełna konstrukcja</x:t>
        </x:is>
      </x:c>
      <x:c r="D1069" s="6" t="inlineStr">
        <x:is>
          <x:t xml:space="preserve">OGRODY SZKŁO</x:t>
        </x:is>
      </x:c>
      <x:c r="E1069" s="8" t="str">
        <x:f>IFERROR(INDEX('02_RAW_INDEX'!$AL:$AL,MATCH($A1069,'02_RAW_INDEX'!$A:$A,0)),"")</x:f>
      </x:c>
      <x:c r="F1069" s="8" t="str">
        <x:f>IFERROR(INDEX('02_RAW_INDEX'!$AK:$AK,MATCH($A1069,'02_RAW_INDEX'!$A:$A,0)),"")</x:f>
      </x:c>
      <x:c r="G1069" s="7" t="n">
        <x:f>'01_Ustawienia'!$B$6</x:f>
        <x:v>0</x:v>
      </x:c>
      <x:c r="H1069" s="8" t="str">
        <x:f>IF(E1069="","",ROUND(IF('01_Ustawienia'!$B$5="BRUTTO",F1069,E1069)*(1-G1069),0))</x:f>
      </x:c>
      <x:c r="I1069" s="7" t="n">
        <x:f>IFERROR(IFERROR(INDEX('01_Ustawienia'!$B$15:$B$33,MATCH(B1069,'01_Ustawienia'!$A$15:$A$33,0)),0.45),0.45)</x:f>
        <x:v>0.45</x:v>
      </x:c>
      <x:c r="J1069" s="8" t="str">
        <x:f>IF(H1069="","",ROUND(H1069*(1+I1069),0))</x:f>
      </x:c>
      <x:c r="K1069" s="580" t="n">
        <x:v>7060</x:v>
      </x:c>
      <x:c r="L1069" s="580" t="n">
        <x:v>3240</x:v>
      </x:c>
      <x:c r="M1069" s="7" t="n">
        <x:f>IF('01_Ustawienia'!$B$4="ZWOLNIONY",0,'01_Ustawienia'!$B$7)</x:f>
        <x:v>0.08</x:v>
      </x:c>
      <x:c r="N1069" s="8" t="str">
        <x:f>IF(J1069="","",ROUND((J1069+K1069)*(1+M1069),0))</x:f>
      </x:c>
      <x:c r="O1069" s="8" t="str">
        <x:f>IF(J1069="","",J1069+K1069-H1069-L1069)</x:f>
      </x:c>
      <x:c r="P1069" s="7" t="n">
        <x:f>IFERROR(O1069/(J1069+K1069),"")</x:f>
        <x:v>0</x:v>
      </x:c>
      <x:c r="Q1069" s="6" t="inlineStr">
        <x:is>
          <x:t xml:space="preserve">RAW_OS B/C</x:t>
        </x:is>
      </x:c>
      <x:c r="R1069" s="6" t="inlineStr">
        <x:is>
          <x:t xml:space="preserve">OGRÓD ZIMOWY (KONSTRUKCJA)</x:t>
        </x:is>
      </x:c>
      <x:c r="S1069" s="6" t="inlineStr">
        <x:is>
          <x:t xml:space="preserve">crm_only</x:t>
        </x:is>
      </x:c>
      <x:c r="T1069" s="581" t="inlineStr">
        <x:is>
          <x:t xml:space="preserve">Referencyjne/full | FIX11: K/L 550/600 wg ark. 09 (NIE PUBLIKOWAĆ / BRAK RAW_OS).</x:t>
        </x:is>
      </x:c>
    </x:row>
    <x:row r="1070" s="655" customFormat="1" ht="30" customHeight="1">
      <x:c r="A1070" s="6" t="inlineStr">
        <x:is>
          <x:t xml:space="preserve">550 x 906 cm</x:t>
        </x:is>
      </x:c>
      <x:c r="B1070" s="6" t="inlineStr">
        <x:is>
          <x:t xml:space="preserve">PDS</x:t>
        </x:is>
      </x:c>
      <x:c r="C1070" s="6" t="inlineStr">
        <x:is>
          <x:t xml:space="preserve">Dopłata dach szkło przezroczyste</x:t>
        </x:is>
      </x:c>
      <x:c r="D1070" s="6" t="inlineStr">
        <x:is>
          <x:t xml:space="preserve">POKRYCIE DACHU SZKŁO</x:t>
        </x:is>
      </x:c>
      <x:c r="E1070" s="8" t="n">
        <x:f>IFERROR(IFERROR(INDEX('02_RAW_INDEX'!$V:$V,MATCH($A1070,'02_RAW_INDEX'!$A:$A,0)),"")-IFERROR(INDEX('02_RAW_INDEX'!$D:$D,MATCH($A1070,'02_RAW_INDEX'!$A:$A,0)),""),"")</x:f>
        <x:v>-23943</x:v>
      </x:c>
      <x:c r="F1070" s="8" t="n">
        <x:f>IFERROR(IFERROR(INDEX('02_RAW_INDEX'!$U:$U,MATCH($A1070,'02_RAW_INDEX'!$A:$A,0)),"")-IFERROR(INDEX('02_RAW_INDEX'!$C:$C,MATCH($A1070,'02_RAW_INDEX'!$A:$A,0)),""),"")</x:f>
        <x:v>-29450</x:v>
      </x:c>
      <x:c r="G1070" s="7" t="n">
        <x:f>'01_Ustawienia'!$B$6</x:f>
        <x:v>0</x:v>
      </x:c>
      <x:c r="H1070" s="8" t="n">
        <x:f>IF(E1070="","",ROUND(IF('01_Ustawienia'!$B$5="BRUTTO",F1070,E1070)*(1-G1070),0))</x:f>
        <x:v>-23943</x:v>
      </x:c>
      <x:c r="I1070" s="7" t="n">
        <x:f>IFERROR(IFERROR(INDEX('01_Ustawienia'!$B$15:$B$33,MATCH(B1070,'01_Ustawienia'!$A$15:$A$33,0)),0.45),0.45)</x:f>
        <x:v>0.45</x:v>
      </x:c>
      <x:c r="J1070" s="8" t="n">
        <x:f>IF(H1070="","",ROUND(H1070*(1+I1070),0))</x:f>
        <x:v>-34717</x:v>
      </x:c>
      <x:c r="K1070" s="580" t="n">
        <x:v>0</x:v>
      </x:c>
      <x:c r="L1070" s="580" t="n">
        <x:v>0</x:v>
      </x:c>
      <x:c r="M1070" s="7" t="n">
        <x:f>IF('01_Ustawienia'!$B$4="ZWOLNIONY",0,'01_Ustawienia'!$B$7)</x:f>
        <x:v>0.08</x:v>
      </x:c>
      <x:c r="N1070" s="8" t="n">
        <x:f>IF(J1070="","",ROUND((J1070+K1070)*(1+M1070),0))</x:f>
        <x:v>-37494</x:v>
      </x:c>
      <x:c r="O1070" s="8" t="n">
        <x:f>IF(J1070="","",J1070+K1070-H1070-L1070)</x:f>
        <x:v>-10774</x:v>
      </x:c>
      <x:c r="P1070" s="7" t="n">
        <x:f>IFERROR(O1070/(J1070+K1070),"")</x:f>
        <x:v>0.31033787481637237</x:v>
      </x:c>
      <x:c r="Q1070" s="6" t="inlineStr">
        <x:is>
          <x:t xml:space="preserve">RAW_ZS - RAW_ZP</x:t>
        </x:is>
      </x:c>
      <x:c r="R1070" s="6" t="inlineStr">
        <x:is>
          <x:t xml:space="preserve">POKRYCIE DACHU</x:t>
        </x:is>
      </x:c>
      <x:c r="S1070" s="6" t="inlineStr">
        <x:is>
          <x:t xml:space="preserve">website+crm</x:t>
        </x:is>
      </x:c>
      <x:c r="T1070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071" s="655" customFormat="1" ht="30" customHeight="1">
      <x:c r="A1071" s="6" t="inlineStr">
        <x:is>
          <x:t xml:space="preserve">550 x 906 cm</x:t>
        </x:is>
      </x:c>
      <x:c r="B1071" s="6" t="inlineStr">
        <x:is>
          <x:t xml:space="preserve">PDSB</x:t>
        </x:is>
      </x:c>
      <x:c r="C1071" s="6" t="inlineStr">
        <x:is>
          <x:t xml:space="preserve">Dopłata dach szkło barwione/mleczne</x:t>
        </x:is>
      </x:c>
      <x:c r="D1071" s="6" t="inlineStr">
        <x:is>
          <x:t xml:space="preserve">POKRYCIE DACHU SZKŁO BARWIONE</x:t>
        </x:is>
      </x:c>
      <x:c r="E1071" s="8" t="str">
        <x:f>IFERROR(INDEX('02_RAW_INDEX'!$X:$X,MATCH($A1071,'02_RAW_INDEX'!$A:$A,0)),"")</x:f>
      </x:c>
      <x:c r="F1071" s="8" t="str">
        <x:f>IFERROR(INDEX('02_RAW_INDEX'!$W:$W,MATCH($A1071,'02_RAW_INDEX'!$A:$A,0)),"")</x:f>
      </x:c>
      <x:c r="G1071" s="7" t="n">
        <x:f>'01_Ustawienia'!$B$6</x:f>
        <x:v>0</x:v>
      </x:c>
      <x:c r="H1071" s="8" t="str">
        <x:f>IF(E1071="","",ROUND(IF('01_Ustawienia'!$B$5="BRUTTO",F1071,E1071)*(1-G1071),0))</x:f>
      </x:c>
      <x:c r="I1071" s="7" t="n">
        <x:f>IFERROR(IFERROR(INDEX('01_Ustawienia'!$B$15:$B$33,MATCH(B1071,'01_Ustawienia'!$A$15:$A$33,0)),0.45),0.45)</x:f>
        <x:v>0.45</x:v>
      </x:c>
      <x:c r="J1071" s="8" t="str">
        <x:f>IF(H1071="","",ROUND(H1071*(1+I1071),0))</x:f>
      </x:c>
      <x:c r="K1071" s="582" t="n">
        <x:v>0</x:v>
      </x:c>
      <x:c r="L1071" s="582" t="n">
        <x:v>0</x:v>
      </x:c>
      <x:c r="M1071" s="7" t="n">
        <x:f>IF('01_Ustawienia'!$B$4="ZWOLNIONY",0,'01_Ustawienia'!$B$7)</x:f>
        <x:v>0.08</x:v>
      </x:c>
      <x:c r="N1071" s="8" t="str">
        <x:f>IF(J1071="","",ROUND((J1071+K1071)*(1+M1071),0))</x:f>
      </x:c>
      <x:c r="O1071" s="8" t="str">
        <x:f>IF(J1071="","",J1071+K1071-H1071-L1071)</x:f>
      </x:c>
      <x:c r="P1071" s="7" t="str">
        <x:f>IFERROR(O1071/(J1071+K1071),"")</x:f>
      </x:c>
      <x:c r="Q1071" s="6" t="inlineStr">
        <x:is>
          <x:t xml:space="preserve">RAW_ZS D/E</x:t>
        </x:is>
      </x:c>
      <x:c r="R1071" s="6" t="inlineStr">
        <x:is>
          <x:t xml:space="preserve">POKRYCIE DACHU</x:t>
        </x:is>
      </x:c>
      <x:c r="S1071" s="6" t="inlineStr">
        <x:is>
          <x:t xml:space="preserve">website+crm</x:t>
        </x:is>
      </x:c>
      <x:c r="T1071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072" s="655" customFormat="1" ht="30" customHeight="1">
      <x:c r="A1072" s="6" t="inlineStr">
        <x:is>
          <x:t xml:space="preserve">550 x 906 cm</x:t>
        </x:is>
      </x:c>
      <x:c r="B1072" s="6" t="inlineStr">
        <x:is>
          <x:t xml:space="preserve">PDPB</x:t>
        </x:is>
      </x:c>
      <x:c r="C1072" s="6" t="inlineStr">
        <x:is>
          <x:t xml:space="preserve">Dopłata poliwęglan barwiony</x:t>
        </x:is>
      </x:c>
      <x:c r="D1072" s="6" t="inlineStr">
        <x:is>
          <x:t xml:space="preserve">POKRYCIE DACHU POLIWĘGLAN BARWIONY</x:t>
        </x:is>
      </x:c>
      <x:c r="E1072" s="8" t="n">
        <x:f>IFERROR(INDEX('02_RAW_INDEX'!$F:$F,MATCH($A1072,'02_RAW_INDEX'!$A:$A,0)),"")</x:f>
        <x:v>699</x:v>
      </x:c>
      <x:c r="F1072" s="8" t="n">
        <x:f>IFERROR(INDEX('02_RAW_INDEX'!$E:$E,MATCH($A1072,'02_RAW_INDEX'!$A:$A,0)),"")</x:f>
        <x:v>860</x:v>
      </x:c>
      <x:c r="G1072" s="7" t="n">
        <x:f>'01_Ustawienia'!$B$6</x:f>
        <x:v>0</x:v>
      </x:c>
      <x:c r="H1072" s="8" t="n">
        <x:f>IF(E1072="","",ROUND(IF('01_Ustawienia'!$B$5="BRUTTO",F1072,E1072)*(1-G1072),0))</x:f>
        <x:v>699</x:v>
      </x:c>
      <x:c r="I1072" s="7" t="n">
        <x:f>IFERROR(IFERROR(INDEX('01_Ustawienia'!$B$15:$B$33,MATCH(B1072,'01_Ustawienia'!$A$15:$A$33,0)),0.45),0.45)</x:f>
        <x:v>0.45</x:v>
      </x:c>
      <x:c r="J1072" s="8" t="n">
        <x:f>IF(H1072="","",ROUND(H1072*(1+I1072),0))</x:f>
        <x:v>1014</x:v>
      </x:c>
      <x:c r="K1072" s="582" t="n">
        <x:v>0</x:v>
      </x:c>
      <x:c r="L1072" s="582" t="n">
        <x:v>0</x:v>
      </x:c>
      <x:c r="M1072" s="7" t="n">
        <x:f>IF('01_Ustawienia'!$B$4="ZWOLNIONY",0,'01_Ustawienia'!$B$7)</x:f>
        <x:v>0.08</x:v>
      </x:c>
      <x:c r="N1072" s="8" t="n">
        <x:f>IF(J1072="","",ROUND((J1072+K1072)*(1+M1072),0))</x:f>
        <x:v>1095</x:v>
      </x:c>
      <x:c r="O1072" s="8" t="n">
        <x:f>IF(J1072="","",J1072+K1072-H1072-L1072)</x:f>
        <x:v>315</x:v>
      </x:c>
      <x:c r="P1072" s="7" t="n">
        <x:f>IFERROR(O1072/(J1072+K1072),"")</x:f>
        <x:v>0.3106508875739645</x:v>
      </x:c>
      <x:c r="Q1072" s="6" t="inlineStr">
        <x:is>
          <x:t xml:space="preserve">RAW_ZP D/E</x:t>
        </x:is>
      </x:c>
      <x:c r="R1072" s="6" t="inlineStr">
        <x:is>
          <x:t xml:space="preserve">POKRYCIE DACHU</x:t>
        </x:is>
      </x:c>
      <x:c r="S1072" s="6" t="inlineStr">
        <x:is>
          <x:t xml:space="preserve">website+crm</x:t>
        </x:is>
      </x:c>
      <x:c r="T1072" s="581" t="inlineStr">
        <x:is>
          <x:t xml:space="preserve">FIX11: K/L 550/600 wg ark. 09 (POZOSTAWIĆ 0). | FIX17: Wynagr.+koszty = 0 dla dopłaty; nie jest osobnym montażem ekipy.</x:t>
        </x:is>
      </x:c>
    </x:row>
    <x:row r="1073" s="655" customFormat="1" ht="30" customHeight="1">
      <x:c r="A1073" s="6" t="inlineStr">
        <x:is>
          <x:t xml:space="preserve">550 x 906 cm</x:t>
        </x:is>
      </x:c>
      <x:c r="B1073" s="6" t="inlineStr">
        <x:is>
          <x:t xml:space="preserve">SBB</x:t>
        </x:is>
      </x:c>
      <x:c r="C1073" s="6" t="inlineStr">
        <x:is>
          <x:t xml:space="preserve">Dopłata szkło boczne przyciemniane</x:t>
        </x:is>
      </x:c>
      <x:c r="D1073" s="6" t="inlineStr">
        <x:is>
          <x:t xml:space="preserve">SZKŁO BOCZNE BARWIONE</x:t>
        </x:is>
      </x:c>
      <x:c r="E1073" s="8" t="n">
        <x:f>IFERROR(INDEX('02_RAW_INDEX'!$AB:$AB,MATCH($A1073,'02_RAW_INDEX'!$A:$A,0)),"")</x:f>
        <x:v>2049</x:v>
      </x:c>
      <x:c r="F1073" s="8" t="n">
        <x:f>IFERROR(INDEX('02_RAW_INDEX'!$AA:$AA,MATCH($A1073,'02_RAW_INDEX'!$A:$A,0)),"")</x:f>
        <x:v>2520</x:v>
      </x:c>
      <x:c r="G1073" s="7" t="n">
        <x:f>'01_Ustawienia'!$B$6</x:f>
        <x:v>0</x:v>
      </x:c>
      <x:c r="H1073" s="8" t="n">
        <x:f>IF(E1073="","",ROUND(IF('01_Ustawienia'!$B$5="BRUTTO",F1073,E1073)*(1-G1073),0))</x:f>
        <x:v>2049</x:v>
      </x:c>
      <x:c r="I1073" s="7" t="n">
        <x:f>IFERROR(IFERROR(INDEX('01_Ustawienia'!$B$15:$B$33,MATCH(B1073,'01_Ustawienia'!$A$15:$A$33,0)),0.45),0.45)</x:f>
        <x:v>0.45</x:v>
      </x:c>
      <x:c r="J1073" s="8" t="n">
        <x:f>IF(H1073="","",ROUND(H1073*(1+I1073),0))</x:f>
        <x:v>2971</x:v>
      </x:c>
      <x:c r="K1073" s="582" t="n">
        <x:v>0</x:v>
      </x:c>
      <x:c r="L1073" s="582" t="n">
        <x:v>0</x:v>
      </x:c>
      <x:c r="M1073" s="7" t="n">
        <x:f>IF('01_Ustawienia'!$B$4="ZWOLNIONY",0,'01_Ustawienia'!$B$7)</x:f>
        <x:v>0.08</x:v>
      </x:c>
      <x:c r="N1073" s="8" t="n">
        <x:f>IF(J1073="","",ROUND((J1073+K1073)*(1+M1073),0))</x:f>
        <x:v>3209</x:v>
      </x:c>
      <x:c r="O1073" s="8" t="n">
        <x:f>IF(J1073="","",J1073+K1073-H1073-L1073)</x:f>
        <x:v>922</x:v>
      </x:c>
      <x:c r="P1073" s="7" t="n">
        <x:f>IFERROR(O1073/(J1073+K1073),"")</x:f>
        <x:v>0.3103332211376641</x:v>
      </x:c>
      <x:c r="Q1073" s="6" t="inlineStr">
        <x:is>
          <x:t xml:space="preserve">RAW_OP H/I</x:t>
        </x:is>
      </x:c>
      <x:c r="R1073" s="6" t="inlineStr">
        <x:is>
          <x:t xml:space="preserve">SZYBY BOCZNE</x:t>
        </x:is>
      </x:c>
      <x:c r="S1073" s="6" t="inlineStr">
        <x:is>
          <x:t xml:space="preserve">website+crm</x:t>
        </x:is>
      </x:c>
      <x:c r="T1073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074" s="655" customFormat="1" ht="29.5" customHeight="1">
      <x:c r="A1074" s="6" t="inlineStr">
        <x:is>
          <x:t xml:space="preserve">550 x 906 cm</x:t>
        </x:is>
      </x:c>
      <x:c r="B1074" s="6" t="inlineStr">
        <x:is>
          <x:t xml:space="preserve">RB</x:t>
        </x:is>
      </x:c>
      <x:c r="C1074" s="6" t="inlineStr">
        <x:is>
          <x:t xml:space="preserve">Roleta boczna ZIP</x:t>
        </x:is>
      </x:c>
      <x:c r="D1074" s="6" t="inlineStr">
        <x:is>
          <x:t xml:space="preserve">ROLETA BOCZNA</x:t>
        </x:is>
      </x:c>
      <x:c r="E1074" s="8" t="n">
        <x:f>IFERROR(INDEX('02_RAW_INDEX'!$J:$J,MATCH($A1074,'02_RAW_INDEX'!$A:$A,0)),"")</x:f>
        <x:v>3236</x:v>
      </x:c>
      <x:c r="F1074" s="8" t="n">
        <x:f>IFERROR(INDEX('02_RAW_INDEX'!$I:$I,MATCH($A1074,'02_RAW_INDEX'!$A:$A,0)),"")</x:f>
        <x:v>3980</x:v>
      </x:c>
      <x:c r="G1074" s="7" t="n">
        <x:f>'01_Ustawienia'!$B$6</x:f>
        <x:v>0</x:v>
      </x:c>
      <x:c r="H1074" s="8" t="n">
        <x:f>IF(E1074="","",ROUND(IF('01_Ustawienia'!$B$5="BRUTTO",F1074,E1074)*(1-G1074),0))</x:f>
        <x:v>3236</x:v>
      </x:c>
      <x:c r="I1074" s="7" t="n">
        <x:f>IFERROR(IFERROR(INDEX('01_Ustawienia'!$B$15:$B$33,MATCH(B1074,'01_Ustawienia'!$A$15:$A$33,0)),0.45),0.45)</x:f>
        <x:v>0.45</x:v>
      </x:c>
      <x:c r="J1074" s="8" t="n">
        <x:f>IF(H1074="","",ROUND(H1074*(1+I1074),0))</x:f>
        <x:v>4692</x:v>
      </x:c>
      <x:c r="K1074" s="580" t="n">
        <x:v>0</x:v>
      </x:c>
      <x:c r="L1074" s="580" t="n">
        <x:v>150</x:v>
      </x:c>
      <x:c r="M1074" s="7" t="n">
        <x:f>IF('01_Ustawienia'!$B$4="ZWOLNIONY",0,'01_Ustawienia'!$B$7)</x:f>
        <x:v>0.08</x:v>
      </x:c>
      <x:c r="N1074" s="8" t="n">
        <x:f>IF(J1074="","",ROUND((J1074+K1074)*(1+M1074),0))</x:f>
        <x:v>5067</x:v>
      </x:c>
      <x:c r="O1074" s="8" t="n">
        <x:f>IF(J1074="","",J1074+K1074-H1074-L1074)</x:f>
        <x:v>1306</x:v>
      </x:c>
      <x:c r="P1074" s="7" t="n">
        <x:f>IFERROR(O1074/(J1074+K1074),"")</x:f>
        <x:v>0.2783461210571185</x:v>
      </x:c>
      <x:c r="Q1074" s="6" t="inlineStr">
        <x:is>
          <x:t xml:space="preserve">RAW_ZP J/K</x:t>
        </x:is>
      </x:c>
      <x:c r="R1074" s="6" t="inlineStr">
        <x:is>
          <x:t xml:space="preserve">ROLETY BOCZNE</x:t>
        </x:is>
      </x:c>
      <x:c r="S1074" s="6" t="inlineStr">
        <x:is>
          <x:t xml:space="preserve">website+crm</x:t>
        </x:is>
      </x:c>
      <x:c r="T1074" s="581" t="inlineStr">
        <x:is>
          <x:t xml:space="preserve">Używana dla lewej i prawej | FIX11: K/L 550/600 wg ark. 09 (UZUPEŁNIĆ L).</x:t>
        </x:is>
      </x:c>
    </x:row>
    <x:row r="1075" s="655" customFormat="1" ht="29.5" customHeight="1">
      <x:c r="A1075" s="6" t="inlineStr">
        <x:is>
          <x:t xml:space="preserve">550 x 906 cm</x:t>
        </x:is>
      </x:c>
      <x:c r="B1075" s="6" t="inlineStr">
        <x:is>
          <x:t xml:space="preserve">RP</x:t>
        </x:is>
      </x:c>
      <x:c r="C1075" s="6" t="inlineStr">
        <x:is>
          <x:t xml:space="preserve">Roleta przednia ZIP</x:t>
        </x:is>
      </x:c>
      <x:c r="D1075" s="6" t="inlineStr">
        <x:is>
          <x:t xml:space="preserve">ROLETA PRZÓD</x:t>
        </x:is>
      </x:c>
      <x:c r="E1075" s="8" t="n">
        <x:f>IFERROR(INDEX('02_RAW_INDEX'!$L:$L,MATCH($A1075,'02_RAW_INDEX'!$A:$A,0)),"")</x:f>
        <x:v>5203</x:v>
      </x:c>
      <x:c r="F1075" s="8" t="n">
        <x:f>IFERROR(INDEX('02_RAW_INDEX'!$K:$K,MATCH($A1075,'02_RAW_INDEX'!$A:$A,0)),"")</x:f>
        <x:v>6400</x:v>
      </x:c>
      <x:c r="G1075" s="7" t="n">
        <x:f>'01_Ustawienia'!$B$6</x:f>
        <x:v>0</x:v>
      </x:c>
      <x:c r="H1075" s="8" t="n">
        <x:f>IF(E1075="","",ROUND(IF('01_Ustawienia'!$B$5="BRUTTO",F1075,E1075)*(1-G1075),0))</x:f>
        <x:v>5203</x:v>
      </x:c>
      <x:c r="I1075" s="7" t="n">
        <x:f>IFERROR(IFERROR(INDEX('01_Ustawienia'!$B$15:$B$33,MATCH(B1075,'01_Ustawienia'!$A$15:$A$33,0)),0.45),0.45)</x:f>
        <x:v>0.45</x:v>
      </x:c>
      <x:c r="J1075" s="8" t="n">
        <x:f>IF(H1075="","",ROUND(H1075*(1+I1075),0))</x:f>
        <x:v>7544</x:v>
      </x:c>
      <x:c r="K1075" s="580" t="n">
        <x:v>0</x:v>
      </x:c>
      <x:c r="L1075" s="580" t="n">
        <x:v>450</x:v>
      </x:c>
      <x:c r="M1075" s="7" t="n">
        <x:f>IF('01_Ustawienia'!$B$4="ZWOLNIONY",0,'01_Ustawienia'!$B$7)</x:f>
        <x:v>0.08</x:v>
      </x:c>
      <x:c r="N1075" s="8" t="n">
        <x:f>IF(J1075="","",ROUND((J1075+K1075)*(1+M1075),0))</x:f>
        <x:v>8148</x:v>
      </x:c>
      <x:c r="O1075" s="8" t="n">
        <x:f>IF(J1075="","",J1075+K1075-H1075-L1075)</x:f>
        <x:v>1891</x:v>
      </x:c>
      <x:c r="P1075" s="7" t="n">
        <x:f>IFERROR(O1075/(J1075+K1075),"")</x:f>
        <x:v>0.2506627783669141</x:v>
      </x:c>
      <x:c r="Q1075" s="6" t="inlineStr">
        <x:is>
          <x:t xml:space="preserve">RAW_ZP N/O</x:t>
        </x:is>
      </x:c>
      <x:c r="R1075" s="6" t="inlineStr">
        <x:is>
          <x:t xml:space="preserve">ROLETY BOCZNE</x:t>
        </x:is>
      </x:c>
      <x:c r="S1075" s="6" t="inlineStr">
        <x:is>
          <x:t xml:space="preserve">website+crm</x:t>
        </x:is>
      </x:c>
      <x:c r="T1075" s="581" t="inlineStr">
        <x:is>
          <x:t xml:space="preserve">FIX11: K/L 550/600 wg ark. 09 (UZUPEŁNIĆ L).</x:t>
        </x:is>
      </x:c>
    </x:row>
    <x:row r="1076" s="655" customFormat="1" ht="29.5" customHeight="1">
      <x:c r="A1076" s="6" t="inlineStr">
        <x:is>
          <x:t xml:space="preserve">550 x 906 cm</x:t>
        </x:is>
      </x:c>
      <x:c r="B1076" s="6" t="inlineStr">
        <x:is>
          <x:t xml:space="preserve">M</x:t>
        </x:is>
      </x:c>
      <x:c r="C1076" s="6" t="inlineStr">
        <x:is>
          <x:t xml:space="preserve">Markiza dachowa</x:t>
        </x:is>
      </x:c>
      <x:c r="D1076" s="6" t="inlineStr">
        <x:is>
          <x:t xml:space="preserve">MARKIZA</x:t>
        </x:is>
      </x:c>
      <x:c r="E1076" s="8" t="n">
        <x:f>IFERROR(INDEX('02_RAW_INDEX'!$H:$H,MATCH($A1076,'02_RAW_INDEX'!$A:$A,0)),"")</x:f>
        <x:v>8407</x:v>
      </x:c>
      <x:c r="F1076" s="8" t="n">
        <x:f>IFERROR(INDEX('02_RAW_INDEX'!$G:$G,MATCH($A1076,'02_RAW_INDEX'!$A:$A,0)),"")</x:f>
        <x:v>10340</x:v>
      </x:c>
      <x:c r="G1076" s="7" t="n">
        <x:f>'01_Ustawienia'!$B$6</x:f>
        <x:v>0</x:v>
      </x:c>
      <x:c r="H1076" s="8" t="n">
        <x:f>IF(E1076="","",ROUND(IF('01_Ustawienia'!$B$5="BRUTTO",F1076,E1076)*(1-G1076),0))</x:f>
        <x:v>8407</x:v>
      </x:c>
      <x:c r="I1076" s="7" t="n">
        <x:f>IFERROR(IFERROR(INDEX('01_Ustawienia'!$B$15:$B$33,MATCH(B1076,'01_Ustawienia'!$A$15:$A$33,0)),0.45),0.45)</x:f>
        <x:v>0.45</x:v>
      </x:c>
      <x:c r="J1076" s="8" t="n">
        <x:f>IF(H1076="","",ROUND(H1076*(1+I1076),0))</x:f>
        <x:v>12190</x:v>
      </x:c>
      <x:c r="K1076" s="580" t="n">
        <x:v>0</x:v>
      </x:c>
      <x:c r="L1076" s="580" t="n">
        <x:v>550</x:v>
      </x:c>
      <x:c r="M1076" s="7" t="n">
        <x:f>IF('01_Ustawienia'!$B$4="ZWOLNIONY",0,'01_Ustawienia'!$B$7)</x:f>
        <x:v>0.08</x:v>
      </x:c>
      <x:c r="N1076" s="8" t="n">
        <x:f>IF(J1076="","",ROUND((J1076+K1076)*(1+M1076),0))</x:f>
        <x:v>13165</x:v>
      </x:c>
      <x:c r="O1076" s="8" t="n">
        <x:f>IF(J1076="","",J1076+K1076-H1076-L1076)</x:f>
        <x:v>3233</x:v>
      </x:c>
      <x:c r="P1076" s="7" t="n">
        <x:f>IFERROR(O1076/(J1076+K1076),"")</x:f>
        <x:v>0.26521739130434785</x:v>
      </x:c>
      <x:c r="Q1076" s="6" t="inlineStr">
        <x:is>
          <x:t xml:space="preserve">RAW_ZP H/I</x:t>
        </x:is>
      </x:c>
      <x:c r="R1076" s="6" t="inlineStr">
        <x:is>
          <x:t xml:space="preserve">MARKIZA</x:t>
        </x:is>
      </x:c>
      <x:c r="S1076" s="6" t="inlineStr">
        <x:is>
          <x:t xml:space="preserve">website+crm</x:t>
        </x:is>
      </x:c>
      <x:c r="T1076" s="581" t="inlineStr">
        <x:is>
          <x:t xml:space="preserve">FIX11: K/L 550/600 wg ark. 09 (UZUPEŁNIĆ L).</x:t>
        </x:is>
      </x:c>
    </x:row>
    <x:row r="1077" s="655" customFormat="1" ht="44.25" customHeight="1">
      <x:c r="A1077" s="6" t="inlineStr">
        <x:is>
          <x:t xml:space="preserve">550 x 906 cm</x:t>
        </x:is>
      </x:c>
      <x:c r="B1077" s="6" t="inlineStr">
        <x:is>
          <x:t xml:space="preserve">PDWP</x:t>
        </x:is>
      </x:c>
      <x:c r="C1077" s="6" t="inlineStr">
        <x:is>
          <x:t xml:space="preserve">Fundament/profile</x:t>
        </x:is>
      </x:c>
      <x:c r="D1077" s="6" t="inlineStr">
        <x:is>
          <x:t xml:space="preserve">FUNDAMENT / PROFILE</x:t>
        </x:is>
      </x:c>
      <x:c r="E1077" s="8" t="n">
        <x:f>IFERROR(INDEX('02_RAW_INDEX'!$AH:$AH,MATCH($A1077,'02_RAW_INDEX'!$A:$A,0)),"")</x:f>
        <x:v>1423</x:v>
      </x:c>
      <x:c r="F1077" s="8" t="n">
        <x:f>IFERROR(INDEX('02_RAW_INDEX'!$AG:$AG,MATCH($A1077,'02_RAW_INDEX'!$A:$A,0)),"")</x:f>
        <x:v>1750</x:v>
      </x:c>
      <x:c r="G1077" s="7" t="n">
        <x:f>'01_Ustawienia'!$B$6</x:f>
        <x:v>0</x:v>
      </x:c>
      <x:c r="H1077" s="8" t="n">
        <x:f>IF(E1077="","",ROUND(IF('01_Ustawienia'!$B$5="BRUTTO",F1077,E1077)*(1-G1077),0))</x:f>
        <x:v>1423</x:v>
      </x:c>
      <x:c r="I1077" s="7" t="n">
        <x:f>IFERROR(IFERROR(INDEX('01_Ustawienia'!$B$15:$B$33,MATCH(B1077,'01_Ustawienia'!$A$15:$A$33,0)),0.45),0.45)</x:f>
        <x:v>1.2</x:v>
      </x:c>
      <x:c r="J1077" s="8" t="n">
        <x:f>IF(H1077="","",ROUND(H1077*(1+I1077),0))</x:f>
        <x:v>3131</x:v>
      </x:c>
      <x:c r="K1077" s="580" t="n">
        <x:v>650</x:v>
      </x:c>
      <x:c r="L1077" s="580" t="n">
        <x:v>610</x:v>
      </x:c>
      <x:c r="M1077" s="7" t="n">
        <x:f>IF('01_Ustawienia'!$B$4="ZWOLNIONY",0,'01_Ustawienia'!$B$7)</x:f>
        <x:v>0.08</x:v>
      </x:c>
      <x:c r="N1077" s="8" t="n">
        <x:f>IF(J1077="","",ROUND((J1077+K1077)*(1+M1077),0))</x:f>
        <x:v>4083</x:v>
      </x:c>
      <x:c r="O1077" s="8" t="n">
        <x:f>IF(J1077="","",J1077+K1077-H1077-L1077)</x:f>
        <x:v>1748</x:v>
      </x:c>
      <x:c r="P1077" s="7" t="n">
        <x:f>IFERROR(O1077/(J1077+K1077),"")</x:f>
        <x:v>0.4623115577889447</x:v>
      </x:c>
      <x:c r="Q1077" s="6" t="inlineStr">
        <x:is>
          <x:t xml:space="preserve">RAW_OP AB/AC</x:t>
        </x:is>
      </x:c>
      <x:c r="R1077" s="6" t="inlineStr">
        <x:is>
          <x:t xml:space="preserve">FUNDAMENT (PROFILE)</x:t>
        </x:is>
      </x:c>
      <x:c r="S1077" s="6" t="inlineStr">
        <x:is>
          <x:t xml:space="preserve">website+crm</x:t>
        </x:is>
      </x:c>
      <x:c r="T1077" s="581" t="inlineStr">
        <x:is>
          <x:t xml:space="preserve">FIX11: K/L 550/600 wg ark. 09 (UZUPEŁNIĆ K+L / KOREKTA RENTOWNOŚCI).</x:t>
        </x:is>
      </x:c>
    </x:row>
    <x:row r="1078" s="655" customFormat="1" ht="30" customHeight="1">
      <x:c r="A1078" s="6" t="inlineStr">
        <x:is>
          <x:t xml:space="preserve">550 x 906 cm</x:t>
        </x:is>
      </x:c>
      <x:c r="B1078" s="6" t="inlineStr">
        <x:is>
          <x:t xml:space="preserve">ZAB</x:t>
        </x:is>
      </x:c>
      <x:c r="C1078" s="6" t="inlineStr">
        <x:is>
          <x:t xml:space="preserve">Zabieraki do ścian przesuwnych</x:t>
        </x:is>
      </x:c>
      <x:c r="D1078" s="6" t="inlineStr">
        <x:is>
          <x:t xml:space="preserve">DODATKI</x:t>
        </x:is>
      </x:c>
      <x:c r="E1078" s="8" t="n">
        <x:f>IFERROR(INDEX('02_RAW_INDEX'!$AJ:$AJ,MATCH($A1078,'02_RAW_INDEX'!$A:$A,0)),"")</x:f>
        <x:v>520</x:v>
      </x:c>
      <x:c r="F1078" s="8" t="n">
        <x:f>IFERROR(INDEX('02_RAW_INDEX'!$AI:$AI,MATCH($A1078,'02_RAW_INDEX'!$A:$A,0)),"")</x:f>
        <x:v>640</x:v>
      </x:c>
      <x:c r="G1078" s="7" t="n">
        <x:f>'01_Ustawienia'!$B$6</x:f>
        <x:v>0</x:v>
      </x:c>
      <x:c r="H1078" s="8" t="n">
        <x:f>IF(E1078="","",ROUND(IF('01_Ustawienia'!$B$5="BRUTTO",F1078,E1078)*(1-G1078),0))</x:f>
        <x:v>520</x:v>
      </x:c>
      <x:c r="I1078" s="7" t="n">
        <x:f>IFERROR(IFERROR(INDEX('01_Ustawienia'!$B$15:$B$33,MATCH(B1078,'01_Ustawienia'!$A$15:$A$33,0)),0.45),0.45)</x:f>
        <x:v>0.45</x:v>
      </x:c>
      <x:c r="J1078" s="8" t="n">
        <x:f>IF(H1078="","",ROUND(H1078*(1+I1078),0))</x:f>
        <x:v>754</x:v>
      </x:c>
      <x:c r="K1078" s="582" t="n">
        <x:v>0</x:v>
      </x:c>
      <x:c r="L1078" s="582" t="n">
        <x:v>0</x:v>
      </x:c>
      <x:c r="M1078" s="7" t="n">
        <x:f>IF('01_Ustawienia'!$B$4="ZWOLNIONY",0,'01_Ustawienia'!$B$7)</x:f>
        <x:v>0.08</x:v>
      </x:c>
      <x:c r="N1078" s="8" t="n">
        <x:f>IF(J1078="","",ROUND((J1078+K1078)*(1+M1078),0))</x:f>
        <x:v>814</x:v>
      </x:c>
      <x:c r="O1078" s="8" t="n">
        <x:f>IF(J1078="","",J1078+K1078-H1078-L1078)</x:f>
        <x:v>234</x:v>
      </x:c>
      <x:c r="P1078" s="7" t="n">
        <x:f>IFERROR(O1078/(J1078+K1078),"")</x:f>
        <x:v>0.3103448275862069</x:v>
      </x:c>
      <x:c r="Q1078" s="6" t="inlineStr">
        <x:is>
          <x:t xml:space="preserve">RAW_OP AD/AE</x:t>
        </x:is>
      </x:c>
      <x:c r="R1078" s="6" t="inlineStr">
        <x:is>
          <x:t xml:space="preserve">DODATKI</x:t>
        </x:is>
      </x:c>
      <x:c r="S1078" s="6" t="inlineStr">
        <x:is>
          <x:t xml:space="preserve">crm_only</x:t>
        </x:is>
      </x:c>
      <x:c r="T1078" s="581" t="inlineStr">
        <x:is>
          <x:t xml:space="preserve">FIX11: K/L 550/600 wg ark. 09 (POZOSTAWIĆ 0).</x:t>
        </x:is>
      </x:c>
    </x:row>
    <x:row r="1079" s="655" customFormat="1" ht="29.5" customHeight="1">
      <x:c r="A1079" s="6" t="inlineStr">
        <x:is>
          <x:t xml:space="preserve">550 x 906 cm</x:t>
        </x:is>
      </x:c>
      <x:c r="B1079" s="6" t="inlineStr">
        <x:is>
          <x:t xml:space="preserve">S</x:t>
        </x:is>
      </x:c>
      <x:c r="C1079" s="6" t="inlineStr">
        <x:is>
          <x:t xml:space="preserve">Szczotki przeciwkurzowe</x:t>
        </x:is>
      </x:c>
      <x:c r="D1079" s="6" t="inlineStr">
        <x:is>
          <x:t xml:space="preserve">SZCZOTKI</x:t>
        </x:is>
      </x:c>
      <x:c r="E1079" s="8" t="n">
        <x:f>IFERROR(INDEX('02_RAW_INDEX'!$AD:$AD,MATCH($A1079,'02_RAW_INDEX'!$A:$A,0)),"")</x:f>
        <x:v>585</x:v>
      </x:c>
      <x:c r="F1079" s="8" t="n">
        <x:f>IFERROR(INDEX('02_RAW_INDEX'!$AC:$AC,MATCH($A1079,'02_RAW_INDEX'!$A:$A,0)),"")</x:f>
        <x:v>720</x:v>
      </x:c>
      <x:c r="G1079" s="7" t="n">
        <x:f>'01_Ustawienia'!$B$6</x:f>
        <x:v>0</x:v>
      </x:c>
      <x:c r="H1079" s="8" t="n">
        <x:f>IF(E1079="","",ROUND(IF('01_Ustawienia'!$B$5="BRUTTO",F1079,E1079)*(1-G1079),0))</x:f>
        <x:v>585</x:v>
      </x:c>
      <x:c r="I1079" s="7" t="n">
        <x:f>IFERROR(IFERROR(INDEX('01_Ustawienia'!$B$15:$B$33,MATCH(B1079,'01_Ustawienia'!$A$15:$A$33,0)),0.45),0.45)</x:f>
        <x:v>0.45</x:v>
      </x:c>
      <x:c r="J1079" s="8" t="n">
        <x:f>IF(H1079="","",ROUND(H1079*(1+I1079),0))</x:f>
        <x:v>848</x:v>
      </x:c>
      <x:c r="K1079" s="582" t="n">
        <x:v>0</x:v>
      </x:c>
      <x:c r="L1079" s="582" t="n">
        <x:v>0</x:v>
      </x:c>
      <x:c r="M1079" s="7" t="n">
        <x:f>IF('01_Ustawienia'!$B$4="ZWOLNIONY",0,'01_Ustawienia'!$B$7)</x:f>
        <x:v>0.08</x:v>
      </x:c>
      <x:c r="N1079" s="8" t="n">
        <x:f>IF(J1079="","",ROUND((J1079+K1079)*(1+M1079),0))</x:f>
        <x:v>916</x:v>
      </x:c>
      <x:c r="O1079" s="8" t="n">
        <x:f>IF(J1079="","",J1079+K1079-H1079-L1079)</x:f>
        <x:v>263</x:v>
      </x:c>
      <x:c r="P1079" s="7" t="n">
        <x:f>IFERROR(O1079/(J1079+K1079),"")</x:f>
        <x:v>0.31014150943396224</x:v>
      </x:c>
      <x:c r="Q1079" s="6" t="inlineStr">
        <x:is>
          <x:t xml:space="preserve">RAW_OP L/M</x:t>
        </x:is>
      </x:c>
      <x:c r="R1079" s="6" t="inlineStr">
        <x:is>
          <x:t xml:space="preserve">DODATKI</x:t>
        </x:is>
      </x:c>
      <x:c r="S1079" s="6" t="inlineStr">
        <x:is>
          <x:t xml:space="preserve">website+crm</x:t>
        </x:is>
      </x:c>
      <x:c r="T1079" s="581" t="inlineStr">
        <x:is>
          <x:t xml:space="preserve">FIX11: K/L 550/600 wg ark. 09 (POZOSTAWIĆ 0).</x:t>
        </x:is>
      </x:c>
    </x:row>
    <x:row r="1080" s="655" customFormat="1" ht="29.5" customHeight="1">
      <x:c r="A1080" s="6" t="inlineStr">
        <x:is>
          <x:t xml:space="preserve">550 x 906 cm</x:t>
        </x:is>
      </x:c>
      <x:c r="B1080" s="6" t="inlineStr">
        <x:is>
          <x:t xml:space="preserve">U</x:t>
        </x:is>
      </x:c>
      <x:c r="C1080" s="6" t="inlineStr">
        <x:is>
          <x:t xml:space="preserve">Uchwyty na szkło ścienne</x:t>
        </x:is>
      </x:c>
      <x:c r="D1080" s="6" t="inlineStr">
        <x:is>
          <x:t xml:space="preserve">UCHWYTY</x:t>
        </x:is>
      </x:c>
      <x:c r="E1080" s="8" t="n">
        <x:f>IFERROR(INDEX('02_RAW_INDEX'!$AF:$AF,MATCH($A1080,'02_RAW_INDEX'!$A:$A,0)),"")</x:f>
        <x:v>528</x:v>
      </x:c>
      <x:c r="F1080" s="8" t="n">
        <x:f>IFERROR(INDEX('02_RAW_INDEX'!$AE:$AE,MATCH($A1080,'02_RAW_INDEX'!$A:$A,0)),"")</x:f>
        <x:v>650</x:v>
      </x:c>
      <x:c r="G1080" s="7" t="n">
        <x:f>'01_Ustawienia'!$B$6</x:f>
        <x:v>0</x:v>
      </x:c>
      <x:c r="H1080" s="8" t="n">
        <x:f>IF(E1080="","",ROUND(IF('01_Ustawienia'!$B$5="BRUTTO",F1080,E1080)*(1-G1080),0))</x:f>
        <x:v>528</x:v>
      </x:c>
      <x:c r="I1080" s="7" t="n">
        <x:f>IFERROR(IFERROR(INDEX('01_Ustawienia'!$B$15:$B$33,MATCH(B1080,'01_Ustawienia'!$A$15:$A$33,0)),0.45),0.45)</x:f>
        <x:v>0.45</x:v>
      </x:c>
      <x:c r="J1080" s="8" t="n">
        <x:f>IF(H1080="","",ROUND(H1080*(1+I1080),0))</x:f>
        <x:v>766</x:v>
      </x:c>
      <x:c r="K1080" s="582" t="n">
        <x:v>0</x:v>
      </x:c>
      <x:c r="L1080" s="582" t="n">
        <x:v>0</x:v>
      </x:c>
      <x:c r="M1080" s="7" t="n">
        <x:f>IF('01_Ustawienia'!$B$4="ZWOLNIONY",0,'01_Ustawienia'!$B$7)</x:f>
        <x:v>0.08</x:v>
      </x:c>
      <x:c r="N1080" s="8" t="n">
        <x:f>IF(J1080="","",ROUND((J1080+K1080)*(1+M1080),0))</x:f>
        <x:v>827</x:v>
      </x:c>
      <x:c r="O1080" s="8" t="n">
        <x:f>IF(J1080="","",J1080+K1080-H1080-L1080)</x:f>
        <x:v>238</x:v>
      </x:c>
      <x:c r="P1080" s="7" t="n">
        <x:f>IFERROR(O1080/(J1080+K1080),"")</x:f>
        <x:v>0.31070496083550914</x:v>
      </x:c>
      <x:c r="Q1080" s="6" t="inlineStr">
        <x:is>
          <x:t xml:space="preserve">RAW_OP N/O</x:t>
        </x:is>
      </x:c>
      <x:c r="R1080" s="6" t="inlineStr">
        <x:is>
          <x:t xml:space="preserve">DODATKI</x:t>
        </x:is>
      </x:c>
      <x:c r="S1080" s="6" t="inlineStr">
        <x:is>
          <x:t xml:space="preserve">website+crm</x:t>
        </x:is>
      </x:c>
      <x:c r="T1080" s="581" t="inlineStr">
        <x:is>
          <x:t xml:space="preserve">FIX11: K/L 550/600 wg ark. 09 (POZOSTAWIĆ 0).</x:t>
        </x:is>
      </x:c>
    </x:row>
    <x:row r="1081" s="655" customFormat="1" ht="29.5" customHeight="1">
      <x:c r="A1081" s="6" t="inlineStr">
        <x:is>
          <x:t xml:space="preserve">550 x 906 cm</x:t>
        </x:is>
      </x:c>
      <x:c r="B1081" s="6" t="inlineStr">
        <x:is>
          <x:t xml:space="preserve">LED2</x:t>
        </x:is>
      </x:c>
      <x:c r="C1081" s="6" t="inlineStr">
        <x:is>
          <x:t xml:space="preserve">Oświetlenie LED 2 punkty</x:t>
        </x:is>
      </x:c>
      <x:c r="D1081" s="6" t="inlineStr">
        <x:is>
          <x:t xml:space="preserve">LED 2 PKT</x:t>
        </x:is>
      </x:c>
      <x:c r="E1081" s="8" t="n">
        <x:f>IFERROR(INDEX('02_RAW_INDEX'!$N:$N,MATCH($A1081,'02_RAW_INDEX'!$A:$A,0)),"")</x:f>
        <x:v>846</x:v>
      </x:c>
      <x:c r="F1081" s="8" t="n">
        <x:f>IFERROR(INDEX('02_RAW_INDEX'!$M:$M,MATCH($A1081,'02_RAW_INDEX'!$A:$A,0)),"")</x:f>
        <x:v>1040</x:v>
      </x:c>
      <x:c r="G1081" s="7" t="n">
        <x:f>'01_Ustawienia'!$B$6</x:f>
        <x:v>0</x:v>
      </x:c>
      <x:c r="H1081" s="8" t="n">
        <x:f>IF(E1081="","",ROUND(IF('01_Ustawienia'!$B$5="BRUTTO",F1081,E1081)*(1-G1081),0))</x:f>
        <x:v>846</x:v>
      </x:c>
      <x:c r="I1081" s="7" t="n">
        <x:f>IFERROR(IFERROR(INDEX('01_Ustawienia'!$B$15:$B$33,MATCH(B1081,'01_Ustawienia'!$A$15:$A$33,0)),0.45),0.45)</x:f>
        <x:v>0.45</x:v>
      </x:c>
      <x:c r="J1081" s="8" t="n">
        <x:f>IF(H1081="","",ROUND(H1081*(1+I1081),0))</x:f>
        <x:v>1227</x:v>
      </x:c>
      <x:c r="K1081" s="582" t="n">
        <x:v>0</x:v>
      </x:c>
      <x:c r="L1081" s="582" t="n">
        <x:v>0</x:v>
      </x:c>
      <x:c r="M1081" s="7" t="n">
        <x:f>IF('01_Ustawienia'!$B$4="ZWOLNIONY",0,'01_Ustawienia'!$B$7)</x:f>
        <x:v>0.08</x:v>
      </x:c>
      <x:c r="N1081" s="8" t="n">
        <x:f>IF(J1081="","",ROUND((J1081+K1081)*(1+M1081),0))</x:f>
        <x:v>1325</x:v>
      </x:c>
      <x:c r="O1081" s="8" t="n">
        <x:f>IF(J1081="","",J1081+K1081-H1081-L1081)</x:f>
        <x:v>381</x:v>
      </x:c>
      <x:c r="P1081" s="7" t="n">
        <x:f>IFERROR(O1081/(J1081+K1081),"")</x:f>
        <x:v>0.3105134474327628</x:v>
      </x:c>
      <x:c r="Q1081" s="6" t="inlineStr">
        <x:is>
          <x:t xml:space="preserve">RAW_ZP P/Q</x:t>
        </x:is>
      </x:c>
      <x:c r="R1081" s="6" t="inlineStr">
        <x:is>
          <x:t xml:space="preserve">OŚWIETLENIE</x:t>
        </x:is>
      </x:c>
      <x:c r="S1081" s="6" t="inlineStr">
        <x:is>
          <x:t xml:space="preserve">website+crm</x:t>
        </x:is>
      </x:c>
      <x:c r="T1081" s="581" t="inlineStr">
        <x:is>
          <x:t xml:space="preserve">FIX11: K/L 550/600 wg ark. 09 (POZOSTAWIĆ 0 NA RAZIE).</x:t>
        </x:is>
      </x:c>
    </x:row>
    <x:row r="1082" s="655" customFormat="1" ht="44.25" customHeight="1">
      <x:c r="A1082" s="6" t="inlineStr">
        <x:is>
          <x:t xml:space="preserve">550 x 906 cm</x:t>
        </x:is>
      </x:c>
      <x:c r="B1082" s="6" t="inlineStr">
        <x:is>
          <x:t xml:space="preserve">LED3</x:t>
        </x:is>
      </x:c>
      <x:c r="C1082" s="6" t="inlineStr">
        <x:is>
          <x:t xml:space="preserve">Oświetlenie LED 3 punkty</x:t>
        </x:is>
      </x:c>
      <x:c r="D1082" s="6" t="inlineStr">
        <x:is>
          <x:t xml:space="preserve">LED 3 PKT</x:t>
        </x:is>
      </x:c>
      <x:c r="E1082" s="8" t="n">
        <x:f>IFERROR(INDEX('02_RAW_INDEX'!$P:$P,MATCH($A1082,'02_RAW_INDEX'!$A:$A,0)),"")</x:f>
        <x:v>1268</x:v>
      </x:c>
      <x:c r="F1082" s="8" t="n">
        <x:f>IFERROR(INDEX('02_RAW_INDEX'!$O:$O,MATCH($A1082,'02_RAW_INDEX'!$A:$A,0)),"")</x:f>
        <x:v>1560</x:v>
      </x:c>
      <x:c r="G1082" s="7" t="n">
        <x:f>'01_Ustawienia'!$B$6</x:f>
        <x:v>0</x:v>
      </x:c>
      <x:c r="H1082" s="8" t="n">
        <x:f>IF(E1082="","",ROUND(IF('01_Ustawienia'!$B$5="BRUTTO",F1082,E1082)*(1-G1082),0))</x:f>
        <x:v>1268</x:v>
      </x:c>
      <x:c r="I1082" s="7" t="n">
        <x:f>IFERROR(IFERROR(INDEX('01_Ustawienia'!$B$15:$B$33,MATCH(B1082,'01_Ustawienia'!$A$15:$A$33,0)),0.45),0.45)</x:f>
        <x:v>0.45</x:v>
      </x:c>
      <x:c r="J1082" s="8" t="n">
        <x:f>IF(H1082="","",ROUND(H1082*(1+I1082),0))</x:f>
        <x:v>1839</x:v>
      </x:c>
      <x:c r="K1082" s="582" t="n">
        <x:v>0</x:v>
      </x:c>
      <x:c r="L1082" s="582" t="n">
        <x:v>0</x:v>
      </x:c>
      <x:c r="M1082" s="7" t="n">
        <x:f>IF('01_Ustawienia'!$B$4="ZWOLNIONY",0,'01_Ustawienia'!$B$7)</x:f>
        <x:v>0.08</x:v>
      </x:c>
      <x:c r="N1082" s="8" t="n">
        <x:f>IF(J1082="","",ROUND((J1082+K1082)*(1+M1082),0))</x:f>
        <x:v>1986</x:v>
      </x:c>
      <x:c r="O1082" s="8" t="n">
        <x:f>IF(J1082="","",J1082+K1082-H1082-L1082)</x:f>
        <x:v>571</x:v>
      </x:c>
      <x:c r="P1082" s="7" t="n">
        <x:f>IFERROR(O1082/(J1082+K1082),"")</x:f>
        <x:v>0.31049483414899404</x:v>
      </x:c>
      <x:c r="Q1082" s="6" t="inlineStr">
        <x:is>
          <x:t xml:space="preserve">RAW_ZP R/S</x:t>
        </x:is>
      </x:c>
      <x:c r="R1082" s="6" t="inlineStr">
        <x:is>
          <x:t xml:space="preserve">OŚWIETLENIE</x:t>
        </x:is>
      </x:c>
      <x:c r="S1082" s="6" t="inlineStr">
        <x:is>
          <x:t xml:space="preserve">website+crm</x:t>
        </x:is>
      </x:c>
      <x:c r="T1082" s="581" t="inlineStr">
        <x:is>
          <x:t xml:space="preserve">Nazwa do potwierdzenia | FIX11: K/L 550/600 wg ark. 09 (POZOSTAWIĆ 0 NA RAZIE).</x:t>
        </x:is>
      </x:c>
    </x:row>
    <x:row r="1083" s="655" customFormat="1" ht="29.5" customHeight="1">
      <x:c r="A1083" s="6" t="inlineStr">
        <x:is>
          <x:t xml:space="preserve">550 x 906 cm</x:t>
        </x:is>
      </x:c>
      <x:c r="B1083" s="6" t="inlineStr">
        <x:is>
          <x:t xml:space="preserve">LEDCCT</x:t>
        </x:is>
      </x:c>
      <x:c r="C1083" s="6" t="inlineStr">
        <x:is>
          <x:t xml:space="preserve">Oświetlenie LED CCT</x:t>
        </x:is>
      </x:c>
      <x:c r="D1083" s="6" t="inlineStr">
        <x:is>
          <x:t xml:space="preserve">OŚWIETLENIE</x:t>
        </x:is>
      </x:c>
      <x:c r="E1083" s="8" t="n">
        <x:f>IFERROR(INDEX('02_RAW_INDEX'!$R:$R,MATCH($A1083,'02_RAW_INDEX'!$A:$A,0)),"")</x:f>
        <x:v>2834</x:v>
      </x:c>
      <x:c r="F1083" s="8" t="n">
        <x:f>IFERROR(INDEX('02_RAW_INDEX'!$Q:$Q,MATCH($A1083,'02_RAW_INDEX'!$A:$A,0)),"")</x:f>
        <x:v>3486</x:v>
      </x:c>
      <x:c r="G1083" s="7" t="n">
        <x:f>'01_Ustawienia'!$B$6</x:f>
        <x:v>0</x:v>
      </x:c>
      <x:c r="H1083" s="8" t="n">
        <x:f>IF(E1083="","",ROUND(IF('01_Ustawienia'!$B$5="BRUTTO",F1083,E1083)*(1-G1083),0))</x:f>
        <x:v>2834</x:v>
      </x:c>
      <x:c r="I1083" s="7" t="n">
        <x:f>IFERROR(IFERROR(INDEX('01_Ustawienia'!$B$15:$B$33,MATCH(B1083,'01_Ustawienia'!$A$15:$A$33,0)),0.45),0.45)</x:f>
        <x:v>0.45</x:v>
      </x:c>
      <x:c r="J1083" s="8" t="n">
        <x:f>IF(H1083="","",ROUND(H1083*(1+I1083),0)+700)</x:f>
        <x:v>4809</x:v>
      </x:c>
      <x:c r="K1083" s="582" t="n">
        <x:v>0</x:v>
      </x:c>
      <x:c r="L1083" s="582" t="n">
        <x:v>0</x:v>
      </x:c>
      <x:c r="M1083" s="7" t="n">
        <x:f>IF('01_Ustawienia'!$B$4="ZWOLNIONY",0,'01_Ustawienia'!$B$7)</x:f>
        <x:v>0.08</x:v>
      </x:c>
      <x:c r="N1083" s="8" t="n">
        <x:f>IF(J1083="","",ROUND((J1083+K1083)*(1+M1083),0))</x:f>
        <x:v>5194</x:v>
      </x:c>
      <x:c r="O1083" s="8" t="n">
        <x:f>IF(J1083="","",J1083+K1083-H1083-L1083)</x:f>
        <x:v>1975</x:v>
      </x:c>
      <x:c r="P1083" s="7" t="n">
        <x:f>IFERROR(O1083/(J1083+K1083),"")</x:f>
        <x:v>0.41068829278436264</x:v>
      </x:c>
      <x:c r="Q1083" s="715" t="inlineStr">
        <x:is>
          <x:t xml:space="preserve">MODEL_FIX15_LED</x:t>
        </x:is>
      </x:c>
      <x:c r="R1083" s="6" t="inlineStr">
        <x:is>
          <x:t xml:space="preserve">OŚWIETLENIE</x:t>
        </x:is>
      </x:c>
      <x:c r="S1083" s="6" t="inlineStr">
        <x:is>
          <x:t xml:space="preserve">website+crm</x:t>
        </x:is>
      </x:c>
      <x:c r="T1083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084" s="655" customFormat="1" ht="29.5" customHeight="1">
      <x:c r="A1084" s="6" t="inlineStr">
        <x:is>
          <x:t xml:space="preserve">550 x 906 cm</x:t>
        </x:is>
      </x:c>
      <x:c r="B1084" s="6" t="inlineStr">
        <x:is>
          <x:t xml:space="preserve">LEDRGBCCT</x:t>
        </x:is>
      </x:c>
      <x:c r="C1084" s="6" t="inlineStr">
        <x:is>
          <x:t xml:space="preserve">Oświetlenie LED RGB CCT</x:t>
        </x:is>
      </x:c>
      <x:c r="D1084" s="6" t="inlineStr">
        <x:is>
          <x:t xml:space="preserve">OŚWIETLENIE</x:t>
        </x:is>
      </x:c>
      <x:c r="E1084" s="8" t="n">
        <x:f>IFERROR(INDEX('02_RAW_INDEX'!$T:$T,MATCH($A1084,'02_RAW_INDEX'!$A:$A,0)),"")</x:f>
        <x:v>3863</x:v>
      </x:c>
      <x:c r="F1084" s="8" t="n">
        <x:f>IFERROR(INDEX('02_RAW_INDEX'!$S:$S,MATCH($A1084,'02_RAW_INDEX'!$A:$A,0)),"")</x:f>
        <x:v>4752</x:v>
      </x:c>
      <x:c r="G1084" s="7" t="n">
        <x:f>'01_Ustawienia'!$B$6</x:f>
        <x:v>0</x:v>
      </x:c>
      <x:c r="H1084" s="8" t="n">
        <x:f>IF(E1084="","",ROUND(IF('01_Ustawienia'!$B$5="BRUTTO",F1084,E1084)*(1-G1084),0))</x:f>
        <x:v>3863</x:v>
      </x:c>
      <x:c r="I1084" s="7" t="n">
        <x:f>IFERROR(IFERROR(INDEX('01_Ustawienia'!$B$15:$B$33,MATCH(B1084,'01_Ustawienia'!$A$15:$A$33,0)),0.45),0.45)</x:f>
        <x:v>0.45</x:v>
      </x:c>
      <x:c r="J1084" s="8" t="n">
        <x:f>IF(H1084="","",ROUND(H1084*(1+I1084),0))</x:f>
        <x:v>5601</x:v>
      </x:c>
      <x:c r="K1084" s="582" t="n">
        <x:v>0</x:v>
      </x:c>
      <x:c r="L1084" s="582" t="n">
        <x:v>0</x:v>
      </x:c>
      <x:c r="M1084" s="7" t="n">
        <x:f>IF('01_Ustawienia'!$B$4="ZWOLNIONY",0,'01_Ustawienia'!$B$7)</x:f>
        <x:v>0.08</x:v>
      </x:c>
      <x:c r="N1084" s="8" t="n">
        <x:f>IF(J1084="","",ROUND((J1084+K1084)*(1+M1084),0))</x:f>
        <x:v>6049</x:v>
      </x:c>
      <x:c r="O1084" s="8" t="n">
        <x:f>IF(J1084="","",J1084+K1084-H1084-L1084)</x:f>
        <x:v>1738</x:v>
      </x:c>
      <x:c r="P1084" s="7" t="n">
        <x:f>IFERROR(O1084/(J1084+K1084),"")</x:f>
        <x:v>0.31030173183360116</x:v>
      </x:c>
      <x:c r="Q1084" s="715" t="inlineStr">
        <x:is>
          <x:t xml:space="preserve">MODEL_FIX15_LED</x:t>
        </x:is>
      </x:c>
      <x:c r="R1084" s="6" t="inlineStr">
        <x:is>
          <x:t xml:space="preserve">OŚWIETLENIE</x:t>
        </x:is>
      </x:c>
      <x:c r="S1084" s="6" t="inlineStr">
        <x:is>
          <x:t xml:space="preserve">crm_only</x:t>
        </x:is>
      </x:c>
      <x:c r="T1084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085" s="655" customFormat="1" ht="30" customHeight="1">
      <x:c r="A1085" s="6" t="inlineStr">
        <x:is>
          <x:t xml:space="preserve">550 x 1006 cm</x:t>
        </x:is>
      </x:c>
      <x:c r="B1085" s="6" t="inlineStr">
        <x:is>
          <x:t xml:space="preserve">ZP</x:t>
        </x:is>
      </x:c>
      <x:c r="C1085" s="6" t="inlineStr">
        <x:is>
          <x:t xml:space="preserve">Zadaszenie poliwęglan - baza</x:t>
        </x:is>
      </x:c>
      <x:c r="D1085" s="6" t="inlineStr">
        <x:is>
          <x:t xml:space="preserve">ZADASZENIE POLIWĘGLAN</x:t>
        </x:is>
      </x:c>
      <x:c r="E1085" s="8" t="n">
        <x:f>IFERROR(INDEX('02_RAW_INDEX'!$D:$D,MATCH($A1085,'02_RAW_INDEX'!$A:$A,0)),"")</x:f>
        <x:v>26398</x:v>
      </x:c>
      <x:c r="F1085" s="8" t="n">
        <x:f>IFERROR(INDEX('02_RAW_INDEX'!$C:$C,MATCH($A1085,'02_RAW_INDEX'!$A:$A,0)),"")</x:f>
        <x:v>32470</x:v>
      </x:c>
      <x:c r="G1085" s="7" t="n">
        <x:f>'01_Ustawienia'!$B$6</x:f>
        <x:v>0</x:v>
      </x:c>
      <x:c r="H1085" s="8" t="n">
        <x:f>IF(E1085="","",ROUND(IF('01_Ustawienia'!$B$5="BRUTTO",F1085,E1085)*(1-G1085),0))</x:f>
        <x:v>26398</x:v>
      </x:c>
      <x:c r="I1085" s="7" t="n">
        <x:f>IFERROR(IFERROR(INDEX('01_Ustawienia'!$B$15:$B$33,MATCH(B1085,'01_Ustawienia'!$A$15:$A$33,0)),0.45),0.45)</x:f>
        <x:v>0.45</x:v>
      </x:c>
      <x:c r="J1085" s="8" t="n">
        <x:f>IF(H1085="","",ROUND(H1085*(1+I1085),0))</x:f>
        <x:v>38277</x:v>
      </x:c>
      <x:c r="K1085" s="580" t="n">
        <x:v>6100</x:v>
      </x:c>
      <x:c r="L1085" s="580" t="n">
        <x:v>2050</x:v>
      </x:c>
      <x:c r="M1085" s="7" t="n">
        <x:f>IF('01_Ustawienia'!$B$4="ZWOLNIONY",0,'01_Ustawienia'!$B$7)</x:f>
        <x:v>0.08</x:v>
      </x:c>
      <x:c r="N1085" s="8" t="n">
        <x:f>IF(J1085="","",ROUND((J1085+K1085)*(1+M1085),0))</x:f>
        <x:v>47927</x:v>
      </x:c>
      <x:c r="O1085" s="8" t="n">
        <x:f>IF(J1085="","",J1085+K1085-H1085-L1085)</x:f>
        <x:v>15929</x:v>
      </x:c>
      <x:c r="P1085" s="7" t="n">
        <x:f>IFERROR(O1085/(J1085+K1085),"")</x:f>
        <x:v>0.3589472023796111</x:v>
      </x:c>
      <x:c r="Q1085" s="6" t="inlineStr">
        <x:is>
          <x:t xml:space="preserve">RAW_ZP B/C</x:t>
        </x:is>
      </x:c>
      <x:c r="R1085" s="6" t="inlineStr">
        <x:is>
          <x:t xml:space="preserve">ZADASZENIE TARASU KONSTRUKCJA</x:t>
        </x:is>
      </x:c>
      <x:c r="S1085" s="6" t="inlineStr">
        <x:is>
          <x:t xml:space="preserve">website+crm</x:t>
        </x:is>
      </x:c>
      <x:c r="T1085" s="581" t="inlineStr">
        <x:is>
          <x:t xml:space="preserve">Baza dla kalkulatora | FIX11: K/L 550/600 wg ark. 09 (UZUPEŁNIĆ).</x:t>
        </x:is>
      </x:c>
    </x:row>
    <x:row r="1086" s="655" customFormat="1" ht="30" customHeight="1">
      <x:c r="A1086" s="6" t="inlineStr">
        <x:is>
          <x:t xml:space="preserve">550 x 1006 cm</x:t>
        </x:is>
      </x:c>
      <x:c r="B1086" s="6" t="inlineStr">
        <x:is>
          <x:t xml:space="preserve">ZS</x:t>
        </x:is>
      </x:c>
      <x:c r="C1086" s="6" t="inlineStr">
        <x:is>
          <x:t xml:space="preserve">Zadaszenie szkło - pełna konstrukcja</x:t>
        </x:is>
      </x:c>
      <x:c r="D1086" s="6" t="inlineStr">
        <x:is>
          <x:t xml:space="preserve">ZADASZENIE SZKŁO</x:t>
        </x:is>
      </x:c>
      <x:c r="E1086" s="8" t="str">
        <x:f>IFERROR(INDEX('02_RAW_INDEX'!$V:$V,MATCH($A1086,'02_RAW_INDEX'!$A:$A,0)),"")</x:f>
      </x:c>
      <x:c r="F1086" s="8" t="str">
        <x:f>IFERROR(INDEX('02_RAW_INDEX'!$U:$U,MATCH($A1086,'02_RAW_INDEX'!$A:$A,0)),"")</x:f>
      </x:c>
      <x:c r="G1086" s="7" t="n">
        <x:f>'01_Ustawienia'!$B$6</x:f>
        <x:v>0</x:v>
      </x:c>
      <x:c r="H1086" s="8" t="str">
        <x:f>IF(E1086="","",ROUND(IF('01_Ustawienia'!$B$5="BRUTTO",F1086,E1086)*(1-G1086),0))</x:f>
      </x:c>
      <x:c r="I1086" s="7" t="n">
        <x:f>IFERROR(IFERROR(INDEX('01_Ustawienia'!$B$15:$B$33,MATCH(B1086,'01_Ustawienia'!$A$15:$A$33,0)),0.45),0.45)</x:f>
        <x:v>0.45</x:v>
      </x:c>
      <x:c r="J1086" s="8" t="str">
        <x:f>IF(H1086="","",ROUND(H1086*(1+I1086),0))</x:f>
      </x:c>
      <x:c r="K1086" s="580" t="n">
        <x:v>6100</x:v>
      </x:c>
      <x:c r="L1086" s="580" t="n">
        <x:v>2630</x:v>
      </x:c>
      <x:c r="M1086" s="7" t="n">
        <x:f>IF('01_Ustawienia'!$B$4="ZWOLNIONY",0,'01_Ustawienia'!$B$7)</x:f>
        <x:v>0.08</x:v>
      </x:c>
      <x:c r="N1086" s="8" t="str">
        <x:f>IF(J1086="","",ROUND((J1086+K1086)*(1+M1086),0))</x:f>
      </x:c>
      <x:c r="O1086" s="8" t="str">
        <x:f>IF(J1086="","",J1086+K1086-H1086-L1086)</x:f>
      </x:c>
      <x:c r="P1086" s="7" t="n">
        <x:f>IFERROR(O1086/(J1086+K1086),"")</x:f>
        <x:v>0</x:v>
      </x:c>
      <x:c r="Q1086" s="6" t="inlineStr">
        <x:is>
          <x:t xml:space="preserve">RAW_ZS B/C</x:t>
        </x:is>
      </x:c>
      <x:c r="R1086" s="6" t="inlineStr">
        <x:is>
          <x:t xml:space="preserve">ZADASZENIE TARASU KONSTRUKCJA</x:t>
        </x:is>
      </x:c>
      <x:c r="S1086" s="6" t="inlineStr">
        <x:is>
          <x:t xml:space="preserve">crm_only</x:t>
        </x:is>
      </x:c>
      <x:c r="T1086" s="581" t="inlineStr">
        <x:is>
          <x:t xml:space="preserve">Referencyjne/full; strona zwykle używa ZP + PDS | FIX11: K/L 550/600 wg ark. 09 (NIE PUBLIKOWAĆ / BRAK RAW_ZS).</x:t>
        </x:is>
      </x:c>
    </x:row>
    <x:row r="1087" s="655" customFormat="1" ht="30" customHeight="1">
      <x:c r="A1087" s="6" t="inlineStr">
        <x:is>
          <x:t xml:space="preserve">550 x 1006 cm</x:t>
        </x:is>
      </x:c>
      <x:c r="B1087" s="6" t="inlineStr">
        <x:is>
          <x:t xml:space="preserve">OP</x:t>
        </x:is>
      </x:c>
      <x:c r="C1087" s="6" t="inlineStr">
        <x:is>
          <x:t xml:space="preserve">Ogród zimowy poliwęglan - baza</x:t>
        </x:is>
      </x:c>
      <x:c r="D1087" s="6" t="inlineStr">
        <x:is>
          <x:t xml:space="preserve">OGRODY POLIWĘGLAN</x:t>
        </x:is>
      </x:c>
      <x:c r="E1087" s="8" t="n">
        <x:f>IFERROR(INDEX('02_RAW_INDEX'!$Z:$Z,MATCH($A1087,'02_RAW_INDEX'!$A:$A,0)),"")</x:f>
        <x:v>45447</x:v>
      </x:c>
      <x:c r="F1087" s="8" t="n">
        <x:f>IFERROR(INDEX('02_RAW_INDEX'!$Y:$Y,MATCH($A1087,'02_RAW_INDEX'!$A:$A,0)),"")</x:f>
        <x:v>55900</x:v>
      </x:c>
      <x:c r="G1087" s="7" t="n">
        <x:f>'01_Ustawienia'!$B$6</x:f>
        <x:v>0</x:v>
      </x:c>
      <x:c r="H1087" s="8" t="n">
        <x:f>IF(E1087="","",ROUND(IF('01_Ustawienia'!$B$5="BRUTTO",F1087,E1087)*(1-G1087),0))</x:f>
        <x:v>45447</x:v>
      </x:c>
      <x:c r="I1087" s="7" t="n">
        <x:f>IFERROR(IFERROR(INDEX('01_Ustawienia'!$B$15:$B$33,MATCH(B1087,'01_Ustawienia'!$A$15:$A$33,0)),0.45),0.45)</x:f>
        <x:v>0.45</x:v>
      </x:c>
      <x:c r="J1087" s="8" t="n">
        <x:f>IF(H1087="","",ROUND(H1087*(1+I1087),0))</x:f>
        <x:v>65898</x:v>
      </x:c>
      <x:c r="K1087" s="580" t="n">
        <x:v>7450</x:v>
      </x:c>
      <x:c r="L1087" s="580" t="n">
        <x:v>2880</x:v>
      </x:c>
      <x:c r="M1087" s="7" t="n">
        <x:f>IF('01_Ustawienia'!$B$4="ZWOLNIONY",0,'01_Ustawienia'!$B$7)</x:f>
        <x:v>0.08</x:v>
      </x:c>
      <x:c r="N1087" s="8" t="n">
        <x:f>IF(J1087="","",ROUND((J1087+K1087)*(1+M1087),0))</x:f>
        <x:v>79216</x:v>
      </x:c>
      <x:c r="O1087" s="8" t="n">
        <x:f>IF(J1087="","",J1087+K1087-H1087-L1087)</x:f>
        <x:v>25021</x:v>
      </x:c>
      <x:c r="P1087" s="7" t="n">
        <x:f>IFERROR(O1087/(J1087+K1087),"")</x:f>
        <x:v>0.3411272290996346</x:v>
      </x:c>
      <x:c r="Q1087" s="6" t="inlineStr">
        <x:is>
          <x:t xml:space="preserve">RAW_OP B/C</x:t>
        </x:is>
      </x:c>
      <x:c r="R1087" s="6" t="inlineStr">
        <x:is>
          <x:t xml:space="preserve">OGRÓD ZIMOWY (KONSTRUKCJA)</x:t>
        </x:is>
      </x:c>
      <x:c r="S1087" s="6" t="inlineStr">
        <x:is>
          <x:t xml:space="preserve">website+crm</x:t>
        </x:is>
      </x:c>
      <x:c r="T1087" s="581" t="inlineStr">
        <x:is>
          <x:t xml:space="preserve">Do wyliczenia dopłaty za ściany | FIX11: K/L 550/600 wg ark. 09 (UZUPEŁNIĆ).</x:t>
        </x:is>
      </x:c>
    </x:row>
    <x:row r="1088" s="655" customFormat="1" ht="30" customHeight="1">
      <x:c r="A1088" s="6" t="inlineStr">
        <x:is>
          <x:t xml:space="preserve">550 x 1006 cm</x:t>
        </x:is>
      </x:c>
      <x:c r="B1088" s="6" t="inlineStr">
        <x:is>
          <x:t xml:space="preserve">OS</x:t>
        </x:is>
      </x:c>
      <x:c r="C1088" s="6" t="inlineStr">
        <x:is>
          <x:t xml:space="preserve">Ogród zimowy szkło - pełna konstrukcja</x:t>
        </x:is>
      </x:c>
      <x:c r="D1088" s="6" t="inlineStr">
        <x:is>
          <x:t xml:space="preserve">OGRODY SZKŁO</x:t>
        </x:is>
      </x:c>
      <x:c r="E1088" s="8" t="str">
        <x:f>IFERROR(INDEX('02_RAW_INDEX'!$AL:$AL,MATCH($A1088,'02_RAW_INDEX'!$A:$A,0)),"")</x:f>
      </x:c>
      <x:c r="F1088" s="8" t="str">
        <x:f>IFERROR(INDEX('02_RAW_INDEX'!$AK:$AK,MATCH($A1088,'02_RAW_INDEX'!$A:$A,0)),"")</x:f>
      </x:c>
      <x:c r="G1088" s="7" t="n">
        <x:f>'01_Ustawienia'!$B$6</x:f>
        <x:v>0</x:v>
      </x:c>
      <x:c r="H1088" s="8" t="str">
        <x:f>IF(E1088="","",ROUND(IF('01_Ustawienia'!$B$5="BRUTTO",F1088,E1088)*(1-G1088),0))</x:f>
      </x:c>
      <x:c r="I1088" s="7" t="n">
        <x:f>IFERROR(IFERROR(INDEX('01_Ustawienia'!$B$15:$B$33,MATCH(B1088,'01_Ustawienia'!$A$15:$A$33,0)),0.45),0.45)</x:f>
        <x:v>0.45</x:v>
      </x:c>
      <x:c r="J1088" s="8" t="str">
        <x:f>IF(H1088="","",ROUND(H1088*(1+I1088),0))</x:f>
      </x:c>
      <x:c r="K1088" s="580" t="n">
        <x:v>7450</x:v>
      </x:c>
      <x:c r="L1088" s="580" t="n">
        <x:v>3460</x:v>
      </x:c>
      <x:c r="M1088" s="7" t="n">
        <x:f>IF('01_Ustawienia'!$B$4="ZWOLNIONY",0,'01_Ustawienia'!$B$7)</x:f>
        <x:v>0.08</x:v>
      </x:c>
      <x:c r="N1088" s="8" t="str">
        <x:f>IF(J1088="","",ROUND((J1088+K1088)*(1+M1088),0))</x:f>
      </x:c>
      <x:c r="O1088" s="8" t="str">
        <x:f>IF(J1088="","",J1088+K1088-H1088-L1088)</x:f>
      </x:c>
      <x:c r="P1088" s="7" t="n">
        <x:f>IFERROR(O1088/(J1088+K1088),"")</x:f>
        <x:v>0</x:v>
      </x:c>
      <x:c r="Q1088" s="6" t="inlineStr">
        <x:is>
          <x:t xml:space="preserve">RAW_OS B/C</x:t>
        </x:is>
      </x:c>
      <x:c r="R1088" s="6" t="inlineStr">
        <x:is>
          <x:t xml:space="preserve">OGRÓD ZIMOWY (KONSTRUKCJA)</x:t>
        </x:is>
      </x:c>
      <x:c r="S1088" s="6" t="inlineStr">
        <x:is>
          <x:t xml:space="preserve">crm_only</x:t>
        </x:is>
      </x:c>
      <x:c r="T1088" s="581" t="inlineStr">
        <x:is>
          <x:t xml:space="preserve">Referencyjne/full | FIX11: K/L 550/600 wg ark. 09 (NIE PUBLIKOWAĆ / BRAK RAW_OS).</x:t>
        </x:is>
      </x:c>
    </x:row>
    <x:row r="1089" s="655" customFormat="1" ht="30" customHeight="1">
      <x:c r="A1089" s="6" t="inlineStr">
        <x:is>
          <x:t xml:space="preserve">550 x 1006 cm</x:t>
        </x:is>
      </x:c>
      <x:c r="B1089" s="6" t="inlineStr">
        <x:is>
          <x:t xml:space="preserve">PDS</x:t>
        </x:is>
      </x:c>
      <x:c r="C1089" s="6" t="inlineStr">
        <x:is>
          <x:t xml:space="preserve">Dopłata dach szkło przezroczyste</x:t>
        </x:is>
      </x:c>
      <x:c r="D1089" s="6" t="inlineStr">
        <x:is>
          <x:t xml:space="preserve">POKRYCIE DACHU SZKŁO</x:t>
        </x:is>
      </x:c>
      <x:c r="E1089" s="8" t="n">
        <x:f>IFERROR(IFERROR(INDEX('02_RAW_INDEX'!$V:$V,MATCH($A1089,'02_RAW_INDEX'!$A:$A,0)),"")-IFERROR(INDEX('02_RAW_INDEX'!$D:$D,MATCH($A1089,'02_RAW_INDEX'!$A:$A,0)),""),"")</x:f>
        <x:v>-26398</x:v>
      </x:c>
      <x:c r="F1089" s="8" t="n">
        <x:f>IFERROR(IFERROR(INDEX('02_RAW_INDEX'!$U:$U,MATCH($A1089,'02_RAW_INDEX'!$A:$A,0)),"")-IFERROR(INDEX('02_RAW_INDEX'!$C:$C,MATCH($A1089,'02_RAW_INDEX'!$A:$A,0)),""),"")</x:f>
        <x:v>-32470</x:v>
      </x:c>
      <x:c r="G1089" s="7" t="n">
        <x:f>'01_Ustawienia'!$B$6</x:f>
        <x:v>0</x:v>
      </x:c>
      <x:c r="H1089" s="8" t="n">
        <x:f>IF(E1089="","",ROUND(IF('01_Ustawienia'!$B$5="BRUTTO",F1089,E1089)*(1-G1089),0))</x:f>
        <x:v>-26398</x:v>
      </x:c>
      <x:c r="I1089" s="7" t="n">
        <x:f>IFERROR(IFERROR(INDEX('01_Ustawienia'!$B$15:$B$33,MATCH(B1089,'01_Ustawienia'!$A$15:$A$33,0)),0.45),0.45)</x:f>
        <x:v>0.45</x:v>
      </x:c>
      <x:c r="J1089" s="8" t="n">
        <x:f>IF(H1089="","",ROUND(H1089*(1+I1089),0))</x:f>
        <x:v>-38277</x:v>
      </x:c>
      <x:c r="K1089" s="580" t="n">
        <x:v>0</x:v>
      </x:c>
      <x:c r="L1089" s="580" t="n">
        <x:v>0</x:v>
      </x:c>
      <x:c r="M1089" s="7" t="n">
        <x:f>IF('01_Ustawienia'!$B$4="ZWOLNIONY",0,'01_Ustawienia'!$B$7)</x:f>
        <x:v>0.08</x:v>
      </x:c>
      <x:c r="N1089" s="8" t="n">
        <x:f>IF(J1089="","",ROUND((J1089+K1089)*(1+M1089),0))</x:f>
        <x:v>-41339</x:v>
      </x:c>
      <x:c r="O1089" s="8" t="n">
        <x:f>IF(J1089="","",J1089+K1089-H1089-L1089)</x:f>
        <x:v>-11879</x:v>
      </x:c>
      <x:c r="P1089" s="7" t="n">
        <x:f>IFERROR(O1089/(J1089+K1089),"")</x:f>
        <x:v>0.3103430258379706</x:v>
      </x:c>
      <x:c r="Q1089" s="6" t="inlineStr">
        <x:is>
          <x:t xml:space="preserve">RAW_ZS - RAW_ZP</x:t>
        </x:is>
      </x:c>
      <x:c r="R1089" s="6" t="inlineStr">
        <x:is>
          <x:t xml:space="preserve">POKRYCIE DACHU</x:t>
        </x:is>
      </x:c>
      <x:c r="S1089" s="6" t="inlineStr">
        <x:is>
          <x:t xml:space="preserve">website+crm</x:t>
        </x:is>
      </x:c>
      <x:c r="T1089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090" s="655" customFormat="1" ht="30" customHeight="1">
      <x:c r="A1090" s="6" t="inlineStr">
        <x:is>
          <x:t xml:space="preserve">550 x 1006 cm</x:t>
        </x:is>
      </x:c>
      <x:c r="B1090" s="6" t="inlineStr">
        <x:is>
          <x:t xml:space="preserve">PDSB</x:t>
        </x:is>
      </x:c>
      <x:c r="C1090" s="6" t="inlineStr">
        <x:is>
          <x:t xml:space="preserve">Dopłata dach szkło barwione/mleczne</x:t>
        </x:is>
      </x:c>
      <x:c r="D1090" s="6" t="inlineStr">
        <x:is>
          <x:t xml:space="preserve">POKRYCIE DACHU SZKŁO BARWIONE</x:t>
        </x:is>
      </x:c>
      <x:c r="E1090" s="8" t="str">
        <x:f>IFERROR(INDEX('02_RAW_INDEX'!$X:$X,MATCH($A1090,'02_RAW_INDEX'!$A:$A,0)),"")</x:f>
      </x:c>
      <x:c r="F1090" s="8" t="str">
        <x:f>IFERROR(INDEX('02_RAW_INDEX'!$W:$W,MATCH($A1090,'02_RAW_INDEX'!$A:$A,0)),"")</x:f>
      </x:c>
      <x:c r="G1090" s="7" t="n">
        <x:f>'01_Ustawienia'!$B$6</x:f>
        <x:v>0</x:v>
      </x:c>
      <x:c r="H1090" s="8" t="str">
        <x:f>IF(E1090="","",ROUND(IF('01_Ustawienia'!$B$5="BRUTTO",F1090,E1090)*(1-G1090),0))</x:f>
      </x:c>
      <x:c r="I1090" s="7" t="n">
        <x:f>IFERROR(IFERROR(INDEX('01_Ustawienia'!$B$15:$B$33,MATCH(B1090,'01_Ustawienia'!$A$15:$A$33,0)),0.45),0.45)</x:f>
        <x:v>0.45</x:v>
      </x:c>
      <x:c r="J1090" s="8" t="str">
        <x:f>IF(H1090="","",ROUND(H1090*(1+I1090),0))</x:f>
      </x:c>
      <x:c r="K1090" s="582" t="n">
        <x:v>0</x:v>
      </x:c>
      <x:c r="L1090" s="582" t="n">
        <x:v>0</x:v>
      </x:c>
      <x:c r="M1090" s="7" t="n">
        <x:f>IF('01_Ustawienia'!$B$4="ZWOLNIONY",0,'01_Ustawienia'!$B$7)</x:f>
        <x:v>0.08</x:v>
      </x:c>
      <x:c r="N1090" s="8" t="str">
        <x:f>IF(J1090="","",ROUND((J1090+K1090)*(1+M1090),0))</x:f>
      </x:c>
      <x:c r="O1090" s="8" t="str">
        <x:f>IF(J1090="","",J1090+K1090-H1090-L1090)</x:f>
      </x:c>
      <x:c r="P1090" s="7" t="str">
        <x:f>IFERROR(O1090/(J1090+K1090),"")</x:f>
      </x:c>
      <x:c r="Q1090" s="6" t="inlineStr">
        <x:is>
          <x:t xml:space="preserve">RAW_ZS D/E</x:t>
        </x:is>
      </x:c>
      <x:c r="R1090" s="6" t="inlineStr">
        <x:is>
          <x:t xml:space="preserve">POKRYCIE DACHU</x:t>
        </x:is>
      </x:c>
      <x:c r="S1090" s="6" t="inlineStr">
        <x:is>
          <x:t xml:space="preserve">website+crm</x:t>
        </x:is>
      </x:c>
      <x:c r="T1090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091" s="655" customFormat="1" ht="30" customHeight="1">
      <x:c r="A1091" s="6" t="inlineStr">
        <x:is>
          <x:t xml:space="preserve">550 x 1006 cm</x:t>
        </x:is>
      </x:c>
      <x:c r="B1091" s="6" t="inlineStr">
        <x:is>
          <x:t xml:space="preserve">PDPB</x:t>
        </x:is>
      </x:c>
      <x:c r="C1091" s="6" t="inlineStr">
        <x:is>
          <x:t xml:space="preserve">Dopłata poliwęglan barwiony</x:t>
        </x:is>
      </x:c>
      <x:c r="D1091" s="6" t="inlineStr">
        <x:is>
          <x:t xml:space="preserve">POKRYCIE DACHU POLIWĘGLAN BARWIONY</x:t>
        </x:is>
      </x:c>
      <x:c r="E1091" s="8" t="n">
        <x:f>IFERROR(INDEX('02_RAW_INDEX'!$F:$F,MATCH($A1091,'02_RAW_INDEX'!$A:$A,0)),"")</x:f>
        <x:v>780</x:v>
      </x:c>
      <x:c r="F1091" s="8" t="n">
        <x:f>IFERROR(INDEX('02_RAW_INDEX'!$E:$E,MATCH($A1091,'02_RAW_INDEX'!$A:$A,0)),"")</x:f>
        <x:v>960</x:v>
      </x:c>
      <x:c r="G1091" s="7" t="n">
        <x:f>'01_Ustawienia'!$B$6</x:f>
        <x:v>0</x:v>
      </x:c>
      <x:c r="H1091" s="8" t="n">
        <x:f>IF(E1091="","",ROUND(IF('01_Ustawienia'!$B$5="BRUTTO",F1091,E1091)*(1-G1091),0))</x:f>
        <x:v>780</x:v>
      </x:c>
      <x:c r="I1091" s="7" t="n">
        <x:f>IFERROR(IFERROR(INDEX('01_Ustawienia'!$B$15:$B$33,MATCH(B1091,'01_Ustawienia'!$A$15:$A$33,0)),0.45),0.45)</x:f>
        <x:v>0.45</x:v>
      </x:c>
      <x:c r="J1091" s="8" t="n">
        <x:f>IF(H1091="","",ROUND(H1091*(1+I1091),0))</x:f>
        <x:v>1131</x:v>
      </x:c>
      <x:c r="K1091" s="582" t="n">
        <x:v>0</x:v>
      </x:c>
      <x:c r="L1091" s="582" t="n">
        <x:v>0</x:v>
      </x:c>
      <x:c r="M1091" s="7" t="n">
        <x:f>IF('01_Ustawienia'!$B$4="ZWOLNIONY",0,'01_Ustawienia'!$B$7)</x:f>
        <x:v>0.08</x:v>
      </x:c>
      <x:c r="N1091" s="8" t="n">
        <x:f>IF(J1091="","",ROUND((J1091+K1091)*(1+M1091),0))</x:f>
        <x:v>1221</x:v>
      </x:c>
      <x:c r="O1091" s="8" t="n">
        <x:f>IF(J1091="","",J1091+K1091-H1091-L1091)</x:f>
        <x:v>351</x:v>
      </x:c>
      <x:c r="P1091" s="7" t="n">
        <x:f>IFERROR(O1091/(J1091+K1091),"")</x:f>
        <x:v>0.3103448275862069</x:v>
      </x:c>
      <x:c r="Q1091" s="6" t="inlineStr">
        <x:is>
          <x:t xml:space="preserve">RAW_ZP D/E</x:t>
        </x:is>
      </x:c>
      <x:c r="R1091" s="6" t="inlineStr">
        <x:is>
          <x:t xml:space="preserve">POKRYCIE DACHU</x:t>
        </x:is>
      </x:c>
      <x:c r="S1091" s="6" t="inlineStr">
        <x:is>
          <x:t xml:space="preserve">website+crm</x:t>
        </x:is>
      </x:c>
      <x:c r="T1091" s="581" t="inlineStr">
        <x:is>
          <x:t xml:space="preserve">FIX11: K/L 550/600 wg ark. 09 (POZOSTAWIĆ 0). | FIX17: Wynagr.+koszty = 0 dla dopłaty; nie jest osobnym montażem ekipy.</x:t>
        </x:is>
      </x:c>
    </x:row>
    <x:row r="1092" s="655" customFormat="1" ht="30" customHeight="1">
      <x:c r="A1092" s="6" t="inlineStr">
        <x:is>
          <x:t xml:space="preserve">550 x 1006 cm</x:t>
        </x:is>
      </x:c>
      <x:c r="B1092" s="6" t="inlineStr">
        <x:is>
          <x:t xml:space="preserve">SBB</x:t>
        </x:is>
      </x:c>
      <x:c r="C1092" s="6" t="inlineStr">
        <x:is>
          <x:t xml:space="preserve">Dopłata szkło boczne przyciemniane</x:t>
        </x:is>
      </x:c>
      <x:c r="D1092" s="6" t="inlineStr">
        <x:is>
          <x:t xml:space="preserve">SZKŁO BOCZNE BARWIONE</x:t>
        </x:is>
      </x:c>
      <x:c r="E1092" s="8" t="n">
        <x:f>IFERROR(INDEX('02_RAW_INDEX'!$AB:$AB,MATCH($A1092,'02_RAW_INDEX'!$A:$A,0)),"")</x:f>
        <x:v>2146</x:v>
      </x:c>
      <x:c r="F1092" s="8" t="n">
        <x:f>IFERROR(INDEX('02_RAW_INDEX'!$AA:$AA,MATCH($A1092,'02_RAW_INDEX'!$A:$A,0)),"")</x:f>
        <x:v>2640</x:v>
      </x:c>
      <x:c r="G1092" s="7" t="n">
        <x:f>'01_Ustawienia'!$B$6</x:f>
        <x:v>0</x:v>
      </x:c>
      <x:c r="H1092" s="8" t="n">
        <x:f>IF(E1092="","",ROUND(IF('01_Ustawienia'!$B$5="BRUTTO",F1092,E1092)*(1-G1092),0))</x:f>
        <x:v>2146</x:v>
      </x:c>
      <x:c r="I1092" s="7" t="n">
        <x:f>IFERROR(IFERROR(INDEX('01_Ustawienia'!$B$15:$B$33,MATCH(B1092,'01_Ustawienia'!$A$15:$A$33,0)),0.45),0.45)</x:f>
        <x:v>0.45</x:v>
      </x:c>
      <x:c r="J1092" s="8" t="n">
        <x:f>IF(H1092="","",ROUND(H1092*(1+I1092),0))</x:f>
        <x:v>3112</x:v>
      </x:c>
      <x:c r="K1092" s="582" t="n">
        <x:v>0</x:v>
      </x:c>
      <x:c r="L1092" s="582" t="n">
        <x:v>0</x:v>
      </x:c>
      <x:c r="M1092" s="7" t="n">
        <x:f>IF('01_Ustawienia'!$B$4="ZWOLNIONY",0,'01_Ustawienia'!$B$7)</x:f>
        <x:v>0.08</x:v>
      </x:c>
      <x:c r="N1092" s="8" t="n">
        <x:f>IF(J1092="","",ROUND((J1092+K1092)*(1+M1092),0))</x:f>
        <x:v>3361</x:v>
      </x:c>
      <x:c r="O1092" s="8" t="n">
        <x:f>IF(J1092="","",J1092+K1092-H1092-L1092)</x:f>
        <x:v>966</x:v>
      </x:c>
      <x:c r="P1092" s="7" t="n">
        <x:f>IFERROR(O1092/(J1092+K1092),"")</x:f>
        <x:v>0.31041131105398456</x:v>
      </x:c>
      <x:c r="Q1092" s="6" t="inlineStr">
        <x:is>
          <x:t xml:space="preserve">RAW_OP H/I</x:t>
        </x:is>
      </x:c>
      <x:c r="R1092" s="6" t="inlineStr">
        <x:is>
          <x:t xml:space="preserve">SZYBY BOCZNE</x:t>
        </x:is>
      </x:c>
      <x:c r="S1092" s="6" t="inlineStr">
        <x:is>
          <x:t xml:space="preserve">website+crm</x:t>
        </x:is>
      </x:c>
      <x:c r="T1092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093" s="655" customFormat="1" ht="29.5" customHeight="1">
      <x:c r="A1093" s="6" t="inlineStr">
        <x:is>
          <x:t xml:space="preserve">550 x 1006 cm</x:t>
        </x:is>
      </x:c>
      <x:c r="B1093" s="6" t="inlineStr">
        <x:is>
          <x:t xml:space="preserve">RB</x:t>
        </x:is>
      </x:c>
      <x:c r="C1093" s="6" t="inlineStr">
        <x:is>
          <x:t xml:space="preserve">Roleta boczna ZIP</x:t>
        </x:is>
      </x:c>
      <x:c r="D1093" s="6" t="inlineStr">
        <x:is>
          <x:t xml:space="preserve">ROLETA BOCZNA</x:t>
        </x:is>
      </x:c>
      <x:c r="E1093" s="8" t="n">
        <x:f>IFERROR(INDEX('02_RAW_INDEX'!$J:$J,MATCH($A1093,'02_RAW_INDEX'!$A:$A,0)),"")</x:f>
        <x:v>3236</x:v>
      </x:c>
      <x:c r="F1093" s="8" t="n">
        <x:f>IFERROR(INDEX('02_RAW_INDEX'!$I:$I,MATCH($A1093,'02_RAW_INDEX'!$A:$A,0)),"")</x:f>
        <x:v>3980</x:v>
      </x:c>
      <x:c r="G1093" s="7" t="n">
        <x:f>'01_Ustawienia'!$B$6</x:f>
        <x:v>0</x:v>
      </x:c>
      <x:c r="H1093" s="8" t="n">
        <x:f>IF(E1093="","",ROUND(IF('01_Ustawienia'!$B$5="BRUTTO",F1093,E1093)*(1-G1093),0))</x:f>
        <x:v>3236</x:v>
      </x:c>
      <x:c r="I1093" s="7" t="n">
        <x:f>IFERROR(IFERROR(INDEX('01_Ustawienia'!$B$15:$B$33,MATCH(B1093,'01_Ustawienia'!$A$15:$A$33,0)),0.45),0.45)</x:f>
        <x:v>0.45</x:v>
      </x:c>
      <x:c r="J1093" s="8" t="n">
        <x:f>IF(H1093="","",ROUND(H1093*(1+I1093),0))</x:f>
        <x:v>4692</x:v>
      </x:c>
      <x:c r="K1093" s="580" t="n">
        <x:v>0</x:v>
      </x:c>
      <x:c r="L1093" s="580" t="n">
        <x:v>150</x:v>
      </x:c>
      <x:c r="M1093" s="7" t="n">
        <x:f>IF('01_Ustawienia'!$B$4="ZWOLNIONY",0,'01_Ustawienia'!$B$7)</x:f>
        <x:v>0.08</x:v>
      </x:c>
      <x:c r="N1093" s="8" t="n">
        <x:f>IF(J1093="","",ROUND((J1093+K1093)*(1+M1093),0))</x:f>
        <x:v>5067</x:v>
      </x:c>
      <x:c r="O1093" s="8" t="n">
        <x:f>IF(J1093="","",J1093+K1093-H1093-L1093)</x:f>
        <x:v>1306</x:v>
      </x:c>
      <x:c r="P1093" s="7" t="n">
        <x:f>IFERROR(O1093/(J1093+K1093),"")</x:f>
        <x:v>0.2783461210571185</x:v>
      </x:c>
      <x:c r="Q1093" s="6" t="inlineStr">
        <x:is>
          <x:t xml:space="preserve">RAW_ZP J/K</x:t>
        </x:is>
      </x:c>
      <x:c r="R1093" s="6" t="inlineStr">
        <x:is>
          <x:t xml:space="preserve">ROLETY BOCZNE</x:t>
        </x:is>
      </x:c>
      <x:c r="S1093" s="6" t="inlineStr">
        <x:is>
          <x:t xml:space="preserve">website+crm</x:t>
        </x:is>
      </x:c>
      <x:c r="T1093" s="581" t="inlineStr">
        <x:is>
          <x:t xml:space="preserve">Używana dla lewej i prawej | FIX11: K/L 550/600 wg ark. 09 (UZUPEŁNIĆ L).</x:t>
        </x:is>
      </x:c>
    </x:row>
    <x:row r="1094" s="655" customFormat="1" ht="29.5" customHeight="1">
      <x:c r="A1094" s="6" t="inlineStr">
        <x:is>
          <x:t xml:space="preserve">550 x 1006 cm</x:t>
        </x:is>
      </x:c>
      <x:c r="B1094" s="6" t="inlineStr">
        <x:is>
          <x:t xml:space="preserve">RP</x:t>
        </x:is>
      </x:c>
      <x:c r="C1094" s="6" t="inlineStr">
        <x:is>
          <x:t xml:space="preserve">Roleta przednia ZIP</x:t>
        </x:is>
      </x:c>
      <x:c r="D1094" s="6" t="inlineStr">
        <x:is>
          <x:t xml:space="preserve">ROLETA PRZÓD</x:t>
        </x:is>
      </x:c>
      <x:c r="E1094" s="8" t="n">
        <x:f>IFERROR(INDEX('02_RAW_INDEX'!$L:$L,MATCH($A1094,'02_RAW_INDEX'!$A:$A,0)),"")</x:f>
        <x:v>5618</x:v>
      </x:c>
      <x:c r="F1094" s="8" t="n">
        <x:f>IFERROR(INDEX('02_RAW_INDEX'!$K:$K,MATCH($A1094,'02_RAW_INDEX'!$A:$A,0)),"")</x:f>
        <x:v>6910</x:v>
      </x:c>
      <x:c r="G1094" s="7" t="n">
        <x:f>'01_Ustawienia'!$B$6</x:f>
        <x:v>0</x:v>
      </x:c>
      <x:c r="H1094" s="8" t="n">
        <x:f>IF(E1094="","",ROUND(IF('01_Ustawienia'!$B$5="BRUTTO",F1094,E1094)*(1-G1094),0))</x:f>
        <x:v>5618</x:v>
      </x:c>
      <x:c r="I1094" s="7" t="n">
        <x:f>IFERROR(IFERROR(INDEX('01_Ustawienia'!$B$15:$B$33,MATCH(B1094,'01_Ustawienia'!$A$15:$A$33,0)),0.45),0.45)</x:f>
        <x:v>0.45</x:v>
      </x:c>
      <x:c r="J1094" s="8" t="n">
        <x:f>IF(H1094="","",ROUND(H1094*(1+I1094),0))</x:f>
        <x:v>8146</x:v>
      </x:c>
      <x:c r="K1094" s="580" t="n">
        <x:v>0</x:v>
      </x:c>
      <x:c r="L1094" s="580" t="n">
        <x:v>450</x:v>
      </x:c>
      <x:c r="M1094" s="7" t="n">
        <x:f>IF('01_Ustawienia'!$B$4="ZWOLNIONY",0,'01_Ustawienia'!$B$7)</x:f>
        <x:v>0.08</x:v>
      </x:c>
      <x:c r="N1094" s="8" t="n">
        <x:f>IF(J1094="","",ROUND((J1094+K1094)*(1+M1094),0))</x:f>
        <x:v>8798</x:v>
      </x:c>
      <x:c r="O1094" s="8" t="n">
        <x:f>IF(J1094="","",J1094+K1094-H1094-L1094)</x:f>
        <x:v>2078</x:v>
      </x:c>
      <x:c r="P1094" s="7" t="n">
        <x:f>IFERROR(O1094/(J1094+K1094),"")</x:f>
        <x:v>0.25509452492020623</x:v>
      </x:c>
      <x:c r="Q1094" s="6" t="inlineStr">
        <x:is>
          <x:t xml:space="preserve">RAW_ZP N/O</x:t>
        </x:is>
      </x:c>
      <x:c r="R1094" s="6" t="inlineStr">
        <x:is>
          <x:t xml:space="preserve">ROLETY BOCZNE</x:t>
        </x:is>
      </x:c>
      <x:c r="S1094" s="6" t="inlineStr">
        <x:is>
          <x:t xml:space="preserve">website+crm</x:t>
        </x:is>
      </x:c>
      <x:c r="T1094" s="581" t="inlineStr">
        <x:is>
          <x:t xml:space="preserve">FIX11: K/L 550/600 wg ark. 09 (UZUPEŁNIĆ L).</x:t>
        </x:is>
      </x:c>
    </x:row>
    <x:row r="1095" s="655" customFormat="1" ht="29.5" customHeight="1">
      <x:c r="A1095" s="6" t="inlineStr">
        <x:is>
          <x:t xml:space="preserve">550 x 1006 cm</x:t>
        </x:is>
      </x:c>
      <x:c r="B1095" s="6" t="inlineStr">
        <x:is>
          <x:t xml:space="preserve">M</x:t>
        </x:is>
      </x:c>
      <x:c r="C1095" s="6" t="inlineStr">
        <x:is>
          <x:t xml:space="preserve">Markiza dachowa</x:t>
        </x:is>
      </x:c>
      <x:c r="D1095" s="6" t="inlineStr">
        <x:is>
          <x:t xml:space="preserve">MARKIZA</x:t>
        </x:is>
      </x:c>
      <x:c r="E1095" s="8" t="n">
        <x:f>IFERROR(INDEX('02_RAW_INDEX'!$H:$H,MATCH($A1095,'02_RAW_INDEX'!$A:$A,0)),"")</x:f>
        <x:v>9041</x:v>
      </x:c>
      <x:c r="F1095" s="8" t="n">
        <x:f>IFERROR(INDEX('02_RAW_INDEX'!$G:$G,MATCH($A1095,'02_RAW_INDEX'!$A:$A,0)),"")</x:f>
        <x:v>11120</x:v>
      </x:c>
      <x:c r="G1095" s="7" t="n">
        <x:f>'01_Ustawienia'!$B$6</x:f>
        <x:v>0</x:v>
      </x:c>
      <x:c r="H1095" s="8" t="n">
        <x:f>IF(E1095="","",ROUND(IF('01_Ustawienia'!$B$5="BRUTTO",F1095,E1095)*(1-G1095),0))</x:f>
        <x:v>9041</x:v>
      </x:c>
      <x:c r="I1095" s="7" t="n">
        <x:f>IFERROR(IFERROR(INDEX('01_Ustawienia'!$B$15:$B$33,MATCH(B1095,'01_Ustawienia'!$A$15:$A$33,0)),0.45),0.45)</x:f>
        <x:v>0.45</x:v>
      </x:c>
      <x:c r="J1095" s="8" t="n">
        <x:f>IF(H1095="","",ROUND(H1095*(1+I1095),0))</x:f>
        <x:v>13109</x:v>
      </x:c>
      <x:c r="K1095" s="580" t="n">
        <x:v>0</x:v>
      </x:c>
      <x:c r="L1095" s="580" t="n">
        <x:v>600</x:v>
      </x:c>
      <x:c r="M1095" s="7" t="n">
        <x:f>IF('01_Ustawienia'!$B$4="ZWOLNIONY",0,'01_Ustawienia'!$B$7)</x:f>
        <x:v>0.08</x:v>
      </x:c>
      <x:c r="N1095" s="8" t="n">
        <x:f>IF(J1095="","",ROUND((J1095+K1095)*(1+M1095),0))</x:f>
        <x:v>14158</x:v>
      </x:c>
      <x:c r="O1095" s="8" t="n">
        <x:f>IF(J1095="","",J1095+K1095-H1095-L1095)</x:f>
        <x:v>3468</x:v>
      </x:c>
      <x:c r="P1095" s="7" t="n">
        <x:f>IFERROR(O1095/(J1095+K1095),"")</x:f>
        <x:v>0.2645510717827447</x:v>
      </x:c>
      <x:c r="Q1095" s="6" t="inlineStr">
        <x:is>
          <x:t xml:space="preserve">RAW_ZP H/I</x:t>
        </x:is>
      </x:c>
      <x:c r="R1095" s="6" t="inlineStr">
        <x:is>
          <x:t xml:space="preserve">MARKIZA</x:t>
        </x:is>
      </x:c>
      <x:c r="S1095" s="6" t="inlineStr">
        <x:is>
          <x:t xml:space="preserve">website+crm</x:t>
        </x:is>
      </x:c>
      <x:c r="T1095" s="581" t="inlineStr">
        <x:is>
          <x:t xml:space="preserve">FIX11: K/L 550/600 wg ark. 09 (UZUPEŁNIĆ L).</x:t>
        </x:is>
      </x:c>
    </x:row>
    <x:row r="1096" s="655" customFormat="1" ht="44.25" customHeight="1">
      <x:c r="A1096" s="6" t="inlineStr">
        <x:is>
          <x:t xml:space="preserve">550 x 1006 cm</x:t>
        </x:is>
      </x:c>
      <x:c r="B1096" s="6" t="inlineStr">
        <x:is>
          <x:t xml:space="preserve">PDWP</x:t>
        </x:is>
      </x:c>
      <x:c r="C1096" s="6" t="inlineStr">
        <x:is>
          <x:t xml:space="preserve">Fundament/profile</x:t>
        </x:is>
      </x:c>
      <x:c r="D1096" s="6" t="inlineStr">
        <x:is>
          <x:t xml:space="preserve">FUNDAMENT / PROFILE</x:t>
        </x:is>
      </x:c>
      <x:c r="E1096" s="8" t="n">
        <x:f>IFERROR(INDEX('02_RAW_INDEX'!$AH:$AH,MATCH($A1096,'02_RAW_INDEX'!$A:$A,0)),"")</x:f>
        <x:v>1528</x:v>
      </x:c>
      <x:c r="F1096" s="8" t="n">
        <x:f>IFERROR(INDEX('02_RAW_INDEX'!$AG:$AG,MATCH($A1096,'02_RAW_INDEX'!$A:$A,0)),"")</x:f>
        <x:v>1880</x:v>
      </x:c>
      <x:c r="G1096" s="7" t="n">
        <x:f>'01_Ustawienia'!$B$6</x:f>
        <x:v>0</x:v>
      </x:c>
      <x:c r="H1096" s="8" t="n">
        <x:f>IF(E1096="","",ROUND(IF('01_Ustawienia'!$B$5="BRUTTO",F1096,E1096)*(1-G1096),0))</x:f>
        <x:v>1528</x:v>
      </x:c>
      <x:c r="I1096" s="7" t="n">
        <x:f>IFERROR(IFERROR(INDEX('01_Ustawienia'!$B$15:$B$33,MATCH(B1096,'01_Ustawienia'!$A$15:$A$33,0)),0.45),0.45)</x:f>
        <x:v>1.2</x:v>
      </x:c>
      <x:c r="J1096" s="8" t="n">
        <x:f>IF(H1096="","",ROUND(H1096*(1+I1096),0))</x:f>
        <x:v>3362</x:v>
      </x:c>
      <x:c r="K1096" s="580" t="n">
        <x:v>690</x:v>
      </x:c>
      <x:c r="L1096" s="580" t="n">
        <x:v>650</x:v>
      </x:c>
      <x:c r="M1096" s="7" t="n">
        <x:f>IF('01_Ustawienia'!$B$4="ZWOLNIONY",0,'01_Ustawienia'!$B$7)</x:f>
        <x:v>0.08</x:v>
      </x:c>
      <x:c r="N1096" s="8" t="n">
        <x:f>IF(J1096="","",ROUND((J1096+K1096)*(1+M1096),0))</x:f>
        <x:v>4376</x:v>
      </x:c>
      <x:c r="O1096" s="8" t="n">
        <x:f>IF(J1096="","",J1096+K1096-H1096-L1096)</x:f>
        <x:v>1874</x:v>
      </x:c>
      <x:c r="P1096" s="7" t="n">
        <x:f>IFERROR(O1096/(J1096+K1096),"")</x:f>
        <x:v>0.4624876604146101</x:v>
      </x:c>
      <x:c r="Q1096" s="6" t="inlineStr">
        <x:is>
          <x:t xml:space="preserve">RAW_OP AB/AC</x:t>
        </x:is>
      </x:c>
      <x:c r="R1096" s="6" t="inlineStr">
        <x:is>
          <x:t xml:space="preserve">FUNDAMENT (PROFILE)</x:t>
        </x:is>
      </x:c>
      <x:c r="S1096" s="6" t="inlineStr">
        <x:is>
          <x:t xml:space="preserve">website+crm</x:t>
        </x:is>
      </x:c>
      <x:c r="T1096" s="581" t="inlineStr">
        <x:is>
          <x:t xml:space="preserve">FIX11: K/L 550/600 wg ark. 09 (UZUPEŁNIĆ K+L / KOREKTA RENTOWNOŚCI).</x:t>
        </x:is>
      </x:c>
    </x:row>
    <x:row r="1097" s="655" customFormat="1" ht="30" customHeight="1">
      <x:c r="A1097" s="6" t="inlineStr">
        <x:is>
          <x:t xml:space="preserve">550 x 1006 cm</x:t>
        </x:is>
      </x:c>
      <x:c r="B1097" s="6" t="inlineStr">
        <x:is>
          <x:t xml:space="preserve">ZAB</x:t>
        </x:is>
      </x:c>
      <x:c r="C1097" s="6" t="inlineStr">
        <x:is>
          <x:t xml:space="preserve">Zabieraki do ścian przesuwnych</x:t>
        </x:is>
      </x:c>
      <x:c r="D1097" s="6" t="inlineStr">
        <x:is>
          <x:t xml:space="preserve">DODATKI</x:t>
        </x:is>
      </x:c>
      <x:c r="E1097" s="8" t="n">
        <x:f>IFERROR(INDEX('02_RAW_INDEX'!$AJ:$AJ,MATCH($A1097,'02_RAW_INDEX'!$A:$A,0)),"")</x:f>
        <x:v>553</x:v>
      </x:c>
      <x:c r="F1097" s="8" t="n">
        <x:f>IFERROR(INDEX('02_RAW_INDEX'!$AI:$AI,MATCH($A1097,'02_RAW_INDEX'!$A:$A,0)),"")</x:f>
        <x:v>680</x:v>
      </x:c>
      <x:c r="G1097" s="7" t="n">
        <x:f>'01_Ustawienia'!$B$6</x:f>
        <x:v>0</x:v>
      </x:c>
      <x:c r="H1097" s="8" t="n">
        <x:f>IF(E1097="","",ROUND(IF('01_Ustawienia'!$B$5="BRUTTO",F1097,E1097)*(1-G1097),0))</x:f>
        <x:v>553</x:v>
      </x:c>
      <x:c r="I1097" s="7" t="n">
        <x:f>IFERROR(IFERROR(INDEX('01_Ustawienia'!$B$15:$B$33,MATCH(B1097,'01_Ustawienia'!$A$15:$A$33,0)),0.45),0.45)</x:f>
        <x:v>0.45</x:v>
      </x:c>
      <x:c r="J1097" s="8" t="n">
        <x:f>IF(H1097="","",ROUND(H1097*(1+I1097),0))</x:f>
        <x:v>802</x:v>
      </x:c>
      <x:c r="K1097" s="582" t="n">
        <x:v>0</x:v>
      </x:c>
      <x:c r="L1097" s="582" t="n">
        <x:v>0</x:v>
      </x:c>
      <x:c r="M1097" s="7" t="n">
        <x:f>IF('01_Ustawienia'!$B$4="ZWOLNIONY",0,'01_Ustawienia'!$B$7)</x:f>
        <x:v>0.08</x:v>
      </x:c>
      <x:c r="N1097" s="8" t="n">
        <x:f>IF(J1097="","",ROUND((J1097+K1097)*(1+M1097),0))</x:f>
        <x:v>866</x:v>
      </x:c>
      <x:c r="O1097" s="8" t="n">
        <x:f>IF(J1097="","",J1097+K1097-H1097-L1097)</x:f>
        <x:v>249</x:v>
      </x:c>
      <x:c r="P1097" s="7" t="n">
        <x:f>IFERROR(O1097/(J1097+K1097),"")</x:f>
        <x:v>0.3104738154613466</x:v>
      </x:c>
      <x:c r="Q1097" s="6" t="inlineStr">
        <x:is>
          <x:t xml:space="preserve">RAW_OP AD/AE</x:t>
        </x:is>
      </x:c>
      <x:c r="R1097" s="6" t="inlineStr">
        <x:is>
          <x:t xml:space="preserve">DODATKI</x:t>
        </x:is>
      </x:c>
      <x:c r="S1097" s="6" t="inlineStr">
        <x:is>
          <x:t xml:space="preserve">crm_only</x:t>
        </x:is>
      </x:c>
      <x:c r="T1097" s="581" t="inlineStr">
        <x:is>
          <x:t xml:space="preserve">FIX11: K/L 550/600 wg ark. 09 (POZOSTAWIĆ 0).</x:t>
        </x:is>
      </x:c>
    </x:row>
    <x:row r="1098" s="655" customFormat="1" ht="29.5" customHeight="1">
      <x:c r="A1098" s="6" t="inlineStr">
        <x:is>
          <x:t xml:space="preserve">550 x 1006 cm</x:t>
        </x:is>
      </x:c>
      <x:c r="B1098" s="6" t="inlineStr">
        <x:is>
          <x:t xml:space="preserve">S</x:t>
        </x:is>
      </x:c>
      <x:c r="C1098" s="6" t="inlineStr">
        <x:is>
          <x:t xml:space="preserve">Szczotki przeciwkurzowe</x:t>
        </x:is>
      </x:c>
      <x:c r="D1098" s="6" t="inlineStr">
        <x:is>
          <x:t xml:space="preserve">SZCZOTKI</x:t>
        </x:is>
      </x:c>
      <x:c r="E1098" s="8" t="n">
        <x:f>IFERROR(INDEX('02_RAW_INDEX'!$AD:$AD,MATCH($A1098,'02_RAW_INDEX'!$A:$A,0)),"")</x:f>
        <x:v>618</x:v>
      </x:c>
      <x:c r="F1098" s="8" t="n">
        <x:f>IFERROR(INDEX('02_RAW_INDEX'!$AC:$AC,MATCH($A1098,'02_RAW_INDEX'!$A:$A,0)),"")</x:f>
        <x:v>760</x:v>
      </x:c>
      <x:c r="G1098" s="7" t="n">
        <x:f>'01_Ustawienia'!$B$6</x:f>
        <x:v>0</x:v>
      </x:c>
      <x:c r="H1098" s="8" t="n">
        <x:f>IF(E1098="","",ROUND(IF('01_Ustawienia'!$B$5="BRUTTO",F1098,E1098)*(1-G1098),0))</x:f>
        <x:v>618</x:v>
      </x:c>
      <x:c r="I1098" s="7" t="n">
        <x:f>IFERROR(IFERROR(INDEX('01_Ustawienia'!$B$15:$B$33,MATCH(B1098,'01_Ustawienia'!$A$15:$A$33,0)),0.45),0.45)</x:f>
        <x:v>0.45</x:v>
      </x:c>
      <x:c r="J1098" s="8" t="n">
        <x:f>IF(H1098="","",ROUND(H1098*(1+I1098),0))</x:f>
        <x:v>896</x:v>
      </x:c>
      <x:c r="K1098" s="582" t="n">
        <x:v>0</x:v>
      </x:c>
      <x:c r="L1098" s="582" t="n">
        <x:v>0</x:v>
      </x:c>
      <x:c r="M1098" s="7" t="n">
        <x:f>IF('01_Ustawienia'!$B$4="ZWOLNIONY",0,'01_Ustawienia'!$B$7)</x:f>
        <x:v>0.08</x:v>
      </x:c>
      <x:c r="N1098" s="8" t="n">
        <x:f>IF(J1098="","",ROUND((J1098+K1098)*(1+M1098),0))</x:f>
        <x:v>968</x:v>
      </x:c>
      <x:c r="O1098" s="8" t="n">
        <x:f>IF(J1098="","",J1098+K1098-H1098-L1098)</x:f>
        <x:v>278</x:v>
      </x:c>
      <x:c r="P1098" s="7" t="n">
        <x:f>IFERROR(O1098/(J1098+K1098),"")</x:f>
        <x:v>0.31026785714285715</x:v>
      </x:c>
      <x:c r="Q1098" s="6" t="inlineStr">
        <x:is>
          <x:t xml:space="preserve">RAW_OP L/M</x:t>
        </x:is>
      </x:c>
      <x:c r="R1098" s="6" t="inlineStr">
        <x:is>
          <x:t xml:space="preserve">DODATKI</x:t>
        </x:is>
      </x:c>
      <x:c r="S1098" s="6" t="inlineStr">
        <x:is>
          <x:t xml:space="preserve">website+crm</x:t>
        </x:is>
      </x:c>
      <x:c r="T1098" s="581" t="inlineStr">
        <x:is>
          <x:t xml:space="preserve">FIX11: K/L 550/600 wg ark. 09 (POZOSTAWIĆ 0).</x:t>
        </x:is>
      </x:c>
    </x:row>
    <x:row r="1099" s="655" customFormat="1" ht="29.5" customHeight="1">
      <x:c r="A1099" s="6" t="inlineStr">
        <x:is>
          <x:t xml:space="preserve">550 x 1006 cm</x:t>
        </x:is>
      </x:c>
      <x:c r="B1099" s="6" t="inlineStr">
        <x:is>
          <x:t xml:space="preserve">U</x:t>
        </x:is>
      </x:c>
      <x:c r="C1099" s="6" t="inlineStr">
        <x:is>
          <x:t xml:space="preserve">Uchwyty na szkło ścienne</x:t>
        </x:is>
      </x:c>
      <x:c r="D1099" s="6" t="inlineStr">
        <x:is>
          <x:t xml:space="preserve">UCHWYTY</x:t>
        </x:is>
      </x:c>
      <x:c r="E1099" s="8" t="n">
        <x:f>IFERROR(INDEX('02_RAW_INDEX'!$AF:$AF,MATCH($A1099,'02_RAW_INDEX'!$A:$A,0)),"")</x:f>
        <x:v>561</x:v>
      </x:c>
      <x:c r="F1099" s="8" t="n">
        <x:f>IFERROR(INDEX('02_RAW_INDEX'!$AE:$AE,MATCH($A1099,'02_RAW_INDEX'!$A:$A,0)),"")</x:f>
        <x:v>690</x:v>
      </x:c>
      <x:c r="G1099" s="7" t="n">
        <x:f>'01_Ustawienia'!$B$6</x:f>
        <x:v>0</x:v>
      </x:c>
      <x:c r="H1099" s="8" t="n">
        <x:f>IF(E1099="","",ROUND(IF('01_Ustawienia'!$B$5="BRUTTO",F1099,E1099)*(1-G1099),0))</x:f>
        <x:v>561</x:v>
      </x:c>
      <x:c r="I1099" s="7" t="n">
        <x:f>IFERROR(IFERROR(INDEX('01_Ustawienia'!$B$15:$B$33,MATCH(B1099,'01_Ustawienia'!$A$15:$A$33,0)),0.45),0.45)</x:f>
        <x:v>0.45</x:v>
      </x:c>
      <x:c r="J1099" s="8" t="n">
        <x:f>IF(H1099="","",ROUND(H1099*(1+I1099),0))</x:f>
        <x:v>813</x:v>
      </x:c>
      <x:c r="K1099" s="582" t="n">
        <x:v>0</x:v>
      </x:c>
      <x:c r="L1099" s="582" t="n">
        <x:v>0</x:v>
      </x:c>
      <x:c r="M1099" s="7" t="n">
        <x:f>IF('01_Ustawienia'!$B$4="ZWOLNIONY",0,'01_Ustawienia'!$B$7)</x:f>
        <x:v>0.08</x:v>
      </x:c>
      <x:c r="N1099" s="8" t="n">
        <x:f>IF(J1099="","",ROUND((J1099+K1099)*(1+M1099),0))</x:f>
        <x:v>878</x:v>
      </x:c>
      <x:c r="O1099" s="8" t="n">
        <x:f>IF(J1099="","",J1099+K1099-H1099-L1099)</x:f>
        <x:v>252</x:v>
      </x:c>
      <x:c r="P1099" s="7" t="n">
        <x:f>IFERROR(O1099/(J1099+K1099),"")</x:f>
        <x:v>0.30996309963099633</x:v>
      </x:c>
      <x:c r="Q1099" s="6" t="inlineStr">
        <x:is>
          <x:t xml:space="preserve">RAW_OP N/O</x:t>
        </x:is>
      </x:c>
      <x:c r="R1099" s="6" t="inlineStr">
        <x:is>
          <x:t xml:space="preserve">DODATKI</x:t>
        </x:is>
      </x:c>
      <x:c r="S1099" s="6" t="inlineStr">
        <x:is>
          <x:t xml:space="preserve">website+crm</x:t>
        </x:is>
      </x:c>
      <x:c r="T1099" s="581" t="inlineStr">
        <x:is>
          <x:t xml:space="preserve">FIX11: K/L 550/600 wg ark. 09 (POZOSTAWIĆ 0).</x:t>
        </x:is>
      </x:c>
    </x:row>
    <x:row r="1100" s="655" customFormat="1" ht="29.5" customHeight="1">
      <x:c r="A1100" s="6" t="inlineStr">
        <x:is>
          <x:t xml:space="preserve">550 x 1006 cm</x:t>
        </x:is>
      </x:c>
      <x:c r="B1100" s="6" t="inlineStr">
        <x:is>
          <x:t xml:space="preserve">LED2</x:t>
        </x:is>
      </x:c>
      <x:c r="C1100" s="6" t="inlineStr">
        <x:is>
          <x:t xml:space="preserve">Oświetlenie LED 2 punkty</x:t>
        </x:is>
      </x:c>
      <x:c r="D1100" s="6" t="inlineStr">
        <x:is>
          <x:t xml:space="preserve">LED 2 PKT</x:t>
        </x:is>
      </x:c>
      <x:c r="E1100" s="8" t="n">
        <x:f>IFERROR(INDEX('02_RAW_INDEX'!$N:$N,MATCH($A1100,'02_RAW_INDEX'!$A:$A,0)),"")</x:f>
        <x:v>1000</x:v>
      </x:c>
      <x:c r="F1100" s="8" t="n">
        <x:f>IFERROR(INDEX('02_RAW_INDEX'!$M:$M,MATCH($A1100,'02_RAW_INDEX'!$A:$A,0)),"")</x:f>
        <x:v>1230</x:v>
      </x:c>
      <x:c r="G1100" s="7" t="n">
        <x:f>'01_Ustawienia'!$B$6</x:f>
        <x:v>0</x:v>
      </x:c>
      <x:c r="H1100" s="8" t="n">
        <x:f>IF(E1100="","",ROUND(IF('01_Ustawienia'!$B$5="BRUTTO",F1100,E1100)*(1-G1100),0))</x:f>
        <x:v>1000</x:v>
      </x:c>
      <x:c r="I1100" s="7" t="n">
        <x:f>IFERROR(IFERROR(INDEX('01_Ustawienia'!$B$15:$B$33,MATCH(B1100,'01_Ustawienia'!$A$15:$A$33,0)),0.45),0.45)</x:f>
        <x:v>0.45</x:v>
      </x:c>
      <x:c r="J1100" s="8" t="n">
        <x:f>IF(H1100="","",ROUND(H1100*(1+I1100),0))</x:f>
        <x:v>1450</x:v>
      </x:c>
      <x:c r="K1100" s="582" t="n">
        <x:v>0</x:v>
      </x:c>
      <x:c r="L1100" s="582" t="n">
        <x:v>0</x:v>
      </x:c>
      <x:c r="M1100" s="7" t="n">
        <x:f>IF('01_Ustawienia'!$B$4="ZWOLNIONY",0,'01_Ustawienia'!$B$7)</x:f>
        <x:v>0.08</x:v>
      </x:c>
      <x:c r="N1100" s="8" t="n">
        <x:f>IF(J1100="","",ROUND((J1100+K1100)*(1+M1100),0))</x:f>
        <x:v>1566</x:v>
      </x:c>
      <x:c r="O1100" s="8" t="n">
        <x:f>IF(J1100="","",J1100+K1100-H1100-L1100)</x:f>
        <x:v>450</x:v>
      </x:c>
      <x:c r="P1100" s="7" t="n">
        <x:f>IFERROR(O1100/(J1100+K1100),"")</x:f>
        <x:v>0.3103448275862069</x:v>
      </x:c>
      <x:c r="Q1100" s="6" t="inlineStr">
        <x:is>
          <x:t xml:space="preserve">RAW_ZP P/Q</x:t>
        </x:is>
      </x:c>
      <x:c r="R1100" s="6" t="inlineStr">
        <x:is>
          <x:t xml:space="preserve">OŚWIETLENIE</x:t>
        </x:is>
      </x:c>
      <x:c r="S1100" s="6" t="inlineStr">
        <x:is>
          <x:t xml:space="preserve">website+crm</x:t>
        </x:is>
      </x:c>
      <x:c r="T1100" s="581" t="inlineStr">
        <x:is>
          <x:t xml:space="preserve">FIX11: K/L 550/600 wg ark. 09 (POZOSTAWIĆ 0 NA RAZIE).</x:t>
        </x:is>
      </x:c>
    </x:row>
    <x:row r="1101" s="655" customFormat="1" ht="44.25" customHeight="1">
      <x:c r="A1101" s="6" t="inlineStr">
        <x:is>
          <x:t xml:space="preserve">550 x 1006 cm</x:t>
        </x:is>
      </x:c>
      <x:c r="B1101" s="6" t="inlineStr">
        <x:is>
          <x:t xml:space="preserve">LED3</x:t>
        </x:is>
      </x:c>
      <x:c r="C1101" s="6" t="inlineStr">
        <x:is>
          <x:t xml:space="preserve">Oświetlenie LED 3 punkty</x:t>
        </x:is>
      </x:c>
      <x:c r="D1101" s="6" t="inlineStr">
        <x:is>
          <x:t xml:space="preserve">LED 3 PKT</x:t>
        </x:is>
      </x:c>
      <x:c r="E1101" s="8" t="n">
        <x:f>IFERROR(INDEX('02_RAW_INDEX'!$P:$P,MATCH($A1101,'02_RAW_INDEX'!$A:$A,0)),"")</x:f>
        <x:v>1341</x:v>
      </x:c>
      <x:c r="F1101" s="8" t="n">
        <x:f>IFERROR(INDEX('02_RAW_INDEX'!$O:$O,MATCH($A1101,'02_RAW_INDEX'!$A:$A,0)),"")</x:f>
        <x:v>1650</x:v>
      </x:c>
      <x:c r="G1101" s="7" t="n">
        <x:f>'01_Ustawienia'!$B$6</x:f>
        <x:v>0</x:v>
      </x:c>
      <x:c r="H1101" s="8" t="n">
        <x:f>IF(E1101="","",ROUND(IF('01_Ustawienia'!$B$5="BRUTTO",F1101,E1101)*(1-G1101),0))</x:f>
        <x:v>1341</x:v>
      </x:c>
      <x:c r="I1101" s="7" t="n">
        <x:f>IFERROR(IFERROR(INDEX('01_Ustawienia'!$B$15:$B$33,MATCH(B1101,'01_Ustawienia'!$A$15:$A$33,0)),0.45),0.45)</x:f>
        <x:v>0.45</x:v>
      </x:c>
      <x:c r="J1101" s="8" t="n">
        <x:f>IF(H1101="","",ROUND(H1101*(1+I1101),0))</x:f>
        <x:v>1944</x:v>
      </x:c>
      <x:c r="K1101" s="582" t="n">
        <x:v>0</x:v>
      </x:c>
      <x:c r="L1101" s="582" t="n">
        <x:v>0</x:v>
      </x:c>
      <x:c r="M1101" s="7" t="n">
        <x:f>IF('01_Ustawienia'!$B$4="ZWOLNIONY",0,'01_Ustawienia'!$B$7)</x:f>
        <x:v>0.08</x:v>
      </x:c>
      <x:c r="N1101" s="8" t="n">
        <x:f>IF(J1101="","",ROUND((J1101+K1101)*(1+M1101),0))</x:f>
        <x:v>2100</x:v>
      </x:c>
      <x:c r="O1101" s="8" t="n">
        <x:f>IF(J1101="","",J1101+K1101-H1101-L1101)</x:f>
        <x:v>603</x:v>
      </x:c>
      <x:c r="P1101" s="7" t="n">
        <x:f>IFERROR(O1101/(J1101+K1101),"")</x:f>
        <x:v>0.3101851851851852</x:v>
      </x:c>
      <x:c r="Q1101" s="6" t="inlineStr">
        <x:is>
          <x:t xml:space="preserve">RAW_ZP R/S</x:t>
        </x:is>
      </x:c>
      <x:c r="R1101" s="6" t="inlineStr">
        <x:is>
          <x:t xml:space="preserve">OŚWIETLENIE</x:t>
        </x:is>
      </x:c>
      <x:c r="S1101" s="6" t="inlineStr">
        <x:is>
          <x:t xml:space="preserve">website+crm</x:t>
        </x:is>
      </x:c>
      <x:c r="T1101" s="581" t="inlineStr">
        <x:is>
          <x:t xml:space="preserve">Nazwa do potwierdzenia | FIX11: K/L 550/600 wg ark. 09 (POZOSTAWIĆ 0 NA RAZIE).</x:t>
        </x:is>
      </x:c>
    </x:row>
    <x:row r="1102" s="655" customFormat="1" ht="29.5" customHeight="1">
      <x:c r="A1102" s="6" t="inlineStr">
        <x:is>
          <x:t xml:space="preserve">550 x 1006 cm</x:t>
        </x:is>
      </x:c>
      <x:c r="B1102" s="6" t="inlineStr">
        <x:is>
          <x:t xml:space="preserve">LEDCCT</x:t>
        </x:is>
      </x:c>
      <x:c r="C1102" s="6" t="inlineStr">
        <x:is>
          <x:t xml:space="preserve">Oświetlenie LED CCT</x:t>
        </x:is>
      </x:c>
      <x:c r="D1102" s="6" t="inlineStr">
        <x:is>
          <x:t xml:space="preserve">OŚWIETLENIE</x:t>
        </x:is>
      </x:c>
      <x:c r="E1102" s="8" t="n">
        <x:f>IFERROR(INDEX('02_RAW_INDEX'!$R:$R,MATCH($A1102,'02_RAW_INDEX'!$A:$A,0)),"")</x:f>
        <x:v>2849</x:v>
      </x:c>
      <x:c r="F1102" s="8" t="n">
        <x:f>IFERROR(INDEX('02_RAW_INDEX'!$Q:$Q,MATCH($A1102,'02_RAW_INDEX'!$A:$A,0)),"")</x:f>
        <x:v>3504</x:v>
      </x:c>
      <x:c r="G1102" s="7" t="n">
        <x:f>'01_Ustawienia'!$B$6</x:f>
        <x:v>0</x:v>
      </x:c>
      <x:c r="H1102" s="8" t="n">
        <x:f>IF(E1102="","",ROUND(IF('01_Ustawienia'!$B$5="BRUTTO",F1102,E1102)*(1-G1102),0))</x:f>
        <x:v>2849</x:v>
      </x:c>
      <x:c r="I1102" s="7" t="n">
        <x:f>IFERROR(IFERROR(INDEX('01_Ustawienia'!$B$15:$B$33,MATCH(B1102,'01_Ustawienia'!$A$15:$A$33,0)),0.45),0.45)</x:f>
        <x:v>0.45</x:v>
      </x:c>
      <x:c r="J1102" s="8" t="n">
        <x:f>IF(H1102="","",ROUND(H1102*(1+I1102),0)+700)</x:f>
        <x:v>4831</x:v>
      </x:c>
      <x:c r="K1102" s="582" t="n">
        <x:v>0</x:v>
      </x:c>
      <x:c r="L1102" s="582" t="n">
        <x:v>0</x:v>
      </x:c>
      <x:c r="M1102" s="7" t="n">
        <x:f>IF('01_Ustawienia'!$B$4="ZWOLNIONY",0,'01_Ustawienia'!$B$7)</x:f>
        <x:v>0.08</x:v>
      </x:c>
      <x:c r="N1102" s="8" t="n">
        <x:f>IF(J1102="","",ROUND((J1102+K1102)*(1+M1102),0))</x:f>
        <x:v>5217</x:v>
      </x:c>
      <x:c r="O1102" s="8" t="n">
        <x:f>IF(J1102="","",J1102+K1102-H1102-L1102)</x:f>
        <x:v>1982</x:v>
      </x:c>
      <x:c r="P1102" s="7" t="n">
        <x:f>IFERROR(O1102/(J1102+K1102),"")</x:f>
        <x:v>0.41026702546056715</x:v>
      </x:c>
      <x:c r="Q1102" s="715" t="inlineStr">
        <x:is>
          <x:t xml:space="preserve">MODEL_FIX15_LED</x:t>
        </x:is>
      </x:c>
      <x:c r="R1102" s="6" t="inlineStr">
        <x:is>
          <x:t xml:space="preserve">OŚWIETLENIE</x:t>
        </x:is>
      </x:c>
      <x:c r="S1102" s="6" t="inlineStr">
        <x:is>
          <x:t xml:space="preserve">website+crm</x:t>
        </x:is>
      </x:c>
      <x:c r="T1102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103" s="655" customFormat="1" ht="29.5" customHeight="1">
      <x:c r="A1103" s="6" t="inlineStr">
        <x:is>
          <x:t xml:space="preserve">550 x 1006 cm</x:t>
        </x:is>
      </x:c>
      <x:c r="B1103" s="6" t="inlineStr">
        <x:is>
          <x:t xml:space="preserve">LEDRGBCCT</x:t>
        </x:is>
      </x:c>
      <x:c r="C1103" s="6" t="inlineStr">
        <x:is>
          <x:t xml:space="preserve">Oświetlenie LED RGB CCT</x:t>
        </x:is>
      </x:c>
      <x:c r="D1103" s="6" t="inlineStr">
        <x:is>
          <x:t xml:space="preserve">OŚWIETLENIE</x:t>
        </x:is>
      </x:c>
      <x:c r="E1103" s="8" t="n">
        <x:f>IFERROR(INDEX('02_RAW_INDEX'!$T:$T,MATCH($A1103,'02_RAW_INDEX'!$A:$A,0)),"")</x:f>
        <x:v>4268</x:v>
      </x:c>
      <x:c r="F1103" s="8" t="n">
        <x:f>IFERROR(INDEX('02_RAW_INDEX'!$S:$S,MATCH($A1103,'02_RAW_INDEX'!$A:$A,0)),"")</x:f>
        <x:v>5250</x:v>
      </x:c>
      <x:c r="G1103" s="7" t="n">
        <x:f>'01_Ustawienia'!$B$6</x:f>
        <x:v>0</x:v>
      </x:c>
      <x:c r="H1103" s="8" t="n">
        <x:f>IF(E1103="","",ROUND(IF('01_Ustawienia'!$B$5="BRUTTO",F1103,E1103)*(1-G1103),0))</x:f>
        <x:v>4268</x:v>
      </x:c>
      <x:c r="I1103" s="7" t="n">
        <x:f>IFERROR(IFERROR(INDEX('01_Ustawienia'!$B$15:$B$33,MATCH(B1103,'01_Ustawienia'!$A$15:$A$33,0)),0.45),0.45)</x:f>
        <x:v>0.45</x:v>
      </x:c>
      <x:c r="J1103" s="8" t="n">
        <x:f>IF(H1103="","",ROUND(H1103*(1+I1103),0))</x:f>
        <x:v>6189</x:v>
      </x:c>
      <x:c r="K1103" s="582" t="n">
        <x:v>0</x:v>
      </x:c>
      <x:c r="L1103" s="582" t="n">
        <x:v>0</x:v>
      </x:c>
      <x:c r="M1103" s="7" t="n">
        <x:f>IF('01_Ustawienia'!$B$4="ZWOLNIONY",0,'01_Ustawienia'!$B$7)</x:f>
        <x:v>0.08</x:v>
      </x:c>
      <x:c r="N1103" s="8" t="n">
        <x:f>IF(J1103="","",ROUND((J1103+K1103)*(1+M1103),0))</x:f>
        <x:v>6684</x:v>
      </x:c>
      <x:c r="O1103" s="8" t="n">
        <x:f>IF(J1103="","",J1103+K1103-H1103-L1103)</x:f>
        <x:v>1921</x:v>
      </x:c>
      <x:c r="P1103" s="7" t="n">
        <x:f>IFERROR(O1103/(J1103+K1103),"")</x:f>
        <x:v>0.31038940054936176</x:v>
      </x:c>
      <x:c r="Q1103" s="715" t="inlineStr">
        <x:is>
          <x:t xml:space="preserve">MODEL_FIX15_LED</x:t>
        </x:is>
      </x:c>
      <x:c r="R1103" s="6" t="inlineStr">
        <x:is>
          <x:t xml:space="preserve">OŚWIETLENIE</x:t>
        </x:is>
      </x:c>
      <x:c r="S1103" s="6" t="inlineStr">
        <x:is>
          <x:t xml:space="preserve">crm_only</x:t>
        </x:is>
      </x:c>
      <x:c r="T1103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104" s="655" customFormat="1" ht="30" customHeight="1">
      <x:c r="A1104" s="6" t="inlineStr">
        <x:is>
          <x:t xml:space="preserve">550 x 1106 cm</x:t>
        </x:is>
      </x:c>
      <x:c r="B1104" s="6" t="inlineStr">
        <x:is>
          <x:t xml:space="preserve">ZP</x:t>
        </x:is>
      </x:c>
      <x:c r="C1104" s="6" t="inlineStr">
        <x:is>
          <x:t xml:space="preserve">Zadaszenie poliwęglan - baza</x:t>
        </x:is>
      </x:c>
      <x:c r="D1104" s="6" t="inlineStr">
        <x:is>
          <x:t xml:space="preserve">ZADASZENIE POLIWĘGLAN</x:t>
        </x:is>
      </x:c>
      <x:c r="E1104" s="8" t="n">
        <x:f>IFERROR(INDEX('02_RAW_INDEX'!$D:$D,MATCH($A1104,'02_RAW_INDEX'!$A:$A,0)),"")</x:f>
        <x:v>28927</x:v>
      </x:c>
      <x:c r="F1104" s="8" t="n">
        <x:f>IFERROR(INDEX('02_RAW_INDEX'!$C:$C,MATCH($A1104,'02_RAW_INDEX'!$A:$A,0)),"")</x:f>
        <x:v>35580</x:v>
      </x:c>
      <x:c r="G1104" s="7" t="n">
        <x:f>'01_Ustawienia'!$B$6</x:f>
        <x:v>0</x:v>
      </x:c>
      <x:c r="H1104" s="8" t="n">
        <x:f>IF(E1104="","",ROUND(IF('01_Ustawienia'!$B$5="BRUTTO",F1104,E1104)*(1-G1104),0))</x:f>
        <x:v>28927</x:v>
      </x:c>
      <x:c r="I1104" s="7" t="n">
        <x:f>IFERROR(IFERROR(INDEX('01_Ustawienia'!$B$15:$B$33,MATCH(B1104,'01_Ustawienia'!$A$15:$A$33,0)),0.45),0.45)</x:f>
        <x:v>0.45</x:v>
      </x:c>
      <x:c r="J1104" s="8" t="n">
        <x:f>IF(H1104="","",ROUND(H1104*(1+I1104),0))</x:f>
        <x:v>41944</x:v>
      </x:c>
      <x:c r="K1104" s="580" t="n">
        <x:v>6330</x:v>
      </x:c>
      <x:c r="L1104" s="580" t="n">
        <x:v>2180</x:v>
      </x:c>
      <x:c r="M1104" s="7" t="n">
        <x:f>IF('01_Ustawienia'!$B$4="ZWOLNIONY",0,'01_Ustawienia'!$B$7)</x:f>
        <x:v>0.08</x:v>
      </x:c>
      <x:c r="N1104" s="8" t="n">
        <x:f>IF(J1104="","",ROUND((J1104+K1104)*(1+M1104),0))</x:f>
        <x:v>52136</x:v>
      </x:c>
      <x:c r="O1104" s="8" t="n">
        <x:f>IF(J1104="","",J1104+K1104-H1104-L1104)</x:f>
        <x:v>17167</x:v>
      </x:c>
      <x:c r="P1104" s="7" t="n">
        <x:f>IFERROR(O1104/(J1104+K1104),"")</x:f>
        <x:v>0.3556158594688652</x:v>
      </x:c>
      <x:c r="Q1104" s="6" t="inlineStr">
        <x:is>
          <x:t xml:space="preserve">RAW_ZP B/C</x:t>
        </x:is>
      </x:c>
      <x:c r="R1104" s="6" t="inlineStr">
        <x:is>
          <x:t xml:space="preserve">ZADASZENIE TARASU KONSTRUKCJA</x:t>
        </x:is>
      </x:c>
      <x:c r="S1104" s="6" t="inlineStr">
        <x:is>
          <x:t xml:space="preserve">website+crm</x:t>
        </x:is>
      </x:c>
      <x:c r="T1104" s="581" t="inlineStr">
        <x:is>
          <x:t xml:space="preserve">Baza dla kalkulatora | FIX11: K/L 550/600 wg ark. 09 (UZUPEŁNIĆ).</x:t>
        </x:is>
      </x:c>
    </x:row>
    <x:row r="1105" s="655" customFormat="1" ht="30" customHeight="1">
      <x:c r="A1105" s="6" t="inlineStr">
        <x:is>
          <x:t xml:space="preserve">550 x 1106 cm</x:t>
        </x:is>
      </x:c>
      <x:c r="B1105" s="6" t="inlineStr">
        <x:is>
          <x:t xml:space="preserve">ZS</x:t>
        </x:is>
      </x:c>
      <x:c r="C1105" s="6" t="inlineStr">
        <x:is>
          <x:t xml:space="preserve">Zadaszenie szkło - pełna konstrukcja</x:t>
        </x:is>
      </x:c>
      <x:c r="D1105" s="6" t="inlineStr">
        <x:is>
          <x:t xml:space="preserve">ZADASZENIE SZKŁO</x:t>
        </x:is>
      </x:c>
      <x:c r="E1105" s="8" t="str">
        <x:f>IFERROR(INDEX('02_RAW_INDEX'!$V:$V,MATCH($A1105,'02_RAW_INDEX'!$A:$A,0)),"")</x:f>
      </x:c>
      <x:c r="F1105" s="8" t="str">
        <x:f>IFERROR(INDEX('02_RAW_INDEX'!$U:$U,MATCH($A1105,'02_RAW_INDEX'!$A:$A,0)),"")</x:f>
      </x:c>
      <x:c r="G1105" s="7" t="n">
        <x:f>'01_Ustawienia'!$B$6</x:f>
        <x:v>0</x:v>
      </x:c>
      <x:c r="H1105" s="8" t="str">
        <x:f>IF(E1105="","",ROUND(IF('01_Ustawienia'!$B$5="BRUTTO",F1105,E1105)*(1-G1105),0))</x:f>
      </x:c>
      <x:c r="I1105" s="7" t="n">
        <x:f>IFERROR(IFERROR(INDEX('01_Ustawienia'!$B$15:$B$33,MATCH(B1105,'01_Ustawienia'!$A$15:$A$33,0)),0.45),0.45)</x:f>
        <x:v>0.45</x:v>
      </x:c>
      <x:c r="J1105" s="8" t="str">
        <x:f>IF(H1105="","",ROUND(H1105*(1+I1105),0))</x:f>
      </x:c>
      <x:c r="K1105" s="580" t="n">
        <x:v>6330</x:v>
      </x:c>
      <x:c r="L1105" s="580" t="n">
        <x:v>2780</x:v>
      </x:c>
      <x:c r="M1105" s="7" t="n">
        <x:f>IF('01_Ustawienia'!$B$4="ZWOLNIONY",0,'01_Ustawienia'!$B$7)</x:f>
        <x:v>0.08</x:v>
      </x:c>
      <x:c r="N1105" s="8" t="str">
        <x:f>IF(J1105="","",ROUND((J1105+K1105)*(1+M1105),0))</x:f>
      </x:c>
      <x:c r="O1105" s="8" t="str">
        <x:f>IF(J1105="","",J1105+K1105-H1105-L1105)</x:f>
      </x:c>
      <x:c r="P1105" s="7" t="n">
        <x:f>IFERROR(O1105/(J1105+K1105),"")</x:f>
        <x:v>0</x:v>
      </x:c>
      <x:c r="Q1105" s="6" t="inlineStr">
        <x:is>
          <x:t xml:space="preserve">RAW_ZS B/C</x:t>
        </x:is>
      </x:c>
      <x:c r="R1105" s="6" t="inlineStr">
        <x:is>
          <x:t xml:space="preserve">ZADASZENIE TARASU KONSTRUKCJA</x:t>
        </x:is>
      </x:c>
      <x:c r="S1105" s="6" t="inlineStr">
        <x:is>
          <x:t xml:space="preserve">crm_only</x:t>
        </x:is>
      </x:c>
      <x:c r="T1105" s="581" t="inlineStr">
        <x:is>
          <x:t xml:space="preserve">Referencyjne/full; strona zwykle używa ZP + PDS | FIX11: K/L 550/600 wg ark. 09 (NIE PUBLIKOWAĆ / BRAK RAW_ZS).</x:t>
        </x:is>
      </x:c>
    </x:row>
    <x:row r="1106" s="655" customFormat="1" ht="30" customHeight="1">
      <x:c r="A1106" s="6" t="inlineStr">
        <x:is>
          <x:t xml:space="preserve">550 x 1106 cm</x:t>
        </x:is>
      </x:c>
      <x:c r="B1106" s="6" t="inlineStr">
        <x:is>
          <x:t xml:space="preserve">OP</x:t>
        </x:is>
      </x:c>
      <x:c r="C1106" s="6" t="inlineStr">
        <x:is>
          <x:t xml:space="preserve">Ogród zimowy poliwęglan - baza</x:t>
        </x:is>
      </x:c>
      <x:c r="D1106" s="6" t="inlineStr">
        <x:is>
          <x:t xml:space="preserve">OGRODY POLIWĘGLAN</x:t>
        </x:is>
      </x:c>
      <x:c r="E1106" s="8" t="n">
        <x:f>IFERROR(INDEX('02_RAW_INDEX'!$Z:$Z,MATCH($A1106,'02_RAW_INDEX'!$A:$A,0)),"")</x:f>
        <x:v>48024</x:v>
      </x:c>
      <x:c r="F1106" s="8" t="n">
        <x:f>IFERROR(INDEX('02_RAW_INDEX'!$Y:$Y,MATCH($A1106,'02_RAW_INDEX'!$A:$A,0)),"")</x:f>
        <x:v>59070</x:v>
      </x:c>
      <x:c r="G1106" s="7" t="n">
        <x:f>'01_Ustawienia'!$B$6</x:f>
        <x:v>0</x:v>
      </x:c>
      <x:c r="H1106" s="8" t="n">
        <x:f>IF(E1106="","",ROUND(IF('01_Ustawienia'!$B$5="BRUTTO",F1106,E1106)*(1-G1106),0))</x:f>
        <x:v>48024</x:v>
      </x:c>
      <x:c r="I1106" s="7" t="n">
        <x:f>IFERROR(IFERROR(INDEX('01_Ustawienia'!$B$15:$B$33,MATCH(B1106,'01_Ustawienia'!$A$15:$A$33,0)),0.45),0.45)</x:f>
        <x:v>0.45</x:v>
      </x:c>
      <x:c r="J1106" s="8" t="n">
        <x:f>IF(H1106="","",ROUND(H1106*(1+I1106),0))</x:f>
        <x:v>69635</x:v>
      </x:c>
      <x:c r="K1106" s="580" t="n">
        <x:v>7750</x:v>
      </x:c>
      <x:c r="L1106" s="580" t="n">
        <x:v>3060</x:v>
      </x:c>
      <x:c r="M1106" s="7" t="n">
        <x:f>IF('01_Ustawienia'!$B$4="ZWOLNIONY",0,'01_Ustawienia'!$B$7)</x:f>
        <x:v>0.08</x:v>
      </x:c>
      <x:c r="N1106" s="8" t="n">
        <x:f>IF(J1106="","",ROUND((J1106+K1106)*(1+M1106),0))</x:f>
        <x:v>83576</x:v>
      </x:c>
      <x:c r="O1106" s="8" t="n">
        <x:f>IF(J1106="","",J1106+K1106-H1106-L1106)</x:f>
        <x:v>26301</x:v>
      </x:c>
      <x:c r="P1106" s="7" t="n">
        <x:f>IFERROR(O1106/(J1106+K1106),"")</x:f>
        <x:v>0.33987206823027716</x:v>
      </x:c>
      <x:c r="Q1106" s="6" t="inlineStr">
        <x:is>
          <x:t xml:space="preserve">RAW_OP B/C</x:t>
        </x:is>
      </x:c>
      <x:c r="R1106" s="6" t="inlineStr">
        <x:is>
          <x:t xml:space="preserve">OGRÓD ZIMOWY (KONSTRUKCJA)</x:t>
        </x:is>
      </x:c>
      <x:c r="S1106" s="6" t="inlineStr">
        <x:is>
          <x:t xml:space="preserve">website+crm</x:t>
        </x:is>
      </x:c>
      <x:c r="T1106" s="581" t="inlineStr">
        <x:is>
          <x:t xml:space="preserve">Do wyliczenia dopłaty za ściany | FIX11: K/L 550/600 wg ark. 09 (UZUPEŁNIĆ).</x:t>
        </x:is>
      </x:c>
    </x:row>
    <x:row r="1107" s="655" customFormat="1" ht="30" customHeight="1">
      <x:c r="A1107" s="6" t="inlineStr">
        <x:is>
          <x:t xml:space="preserve">550 x 1106 cm</x:t>
        </x:is>
      </x:c>
      <x:c r="B1107" s="6" t="inlineStr">
        <x:is>
          <x:t xml:space="preserve">OS</x:t>
        </x:is>
      </x:c>
      <x:c r="C1107" s="6" t="inlineStr">
        <x:is>
          <x:t xml:space="preserve">Ogród zimowy szkło - pełna konstrukcja</x:t>
        </x:is>
      </x:c>
      <x:c r="D1107" s="6" t="inlineStr">
        <x:is>
          <x:t xml:space="preserve">OGRODY SZKŁO</x:t>
        </x:is>
      </x:c>
      <x:c r="E1107" s="8" t="str">
        <x:f>IFERROR(INDEX('02_RAW_INDEX'!$AL:$AL,MATCH($A1107,'02_RAW_INDEX'!$A:$A,0)),"")</x:f>
      </x:c>
      <x:c r="F1107" s="8" t="str">
        <x:f>IFERROR(INDEX('02_RAW_INDEX'!$AK:$AK,MATCH($A1107,'02_RAW_INDEX'!$A:$A,0)),"")</x:f>
      </x:c>
      <x:c r="G1107" s="7" t="n">
        <x:f>'01_Ustawienia'!$B$6</x:f>
        <x:v>0</x:v>
      </x:c>
      <x:c r="H1107" s="8" t="str">
        <x:f>IF(E1107="","",ROUND(IF('01_Ustawienia'!$B$5="BRUTTO",F1107,E1107)*(1-G1107),0))</x:f>
      </x:c>
      <x:c r="I1107" s="7" t="n">
        <x:f>IFERROR(IFERROR(INDEX('01_Ustawienia'!$B$15:$B$33,MATCH(B1107,'01_Ustawienia'!$A$15:$A$33,0)),0.45),0.45)</x:f>
        <x:v>0.45</x:v>
      </x:c>
      <x:c r="J1107" s="8" t="str">
        <x:f>IF(H1107="","",ROUND(H1107*(1+I1107),0))</x:f>
      </x:c>
      <x:c r="K1107" s="580" t="n">
        <x:v>7750</x:v>
      </x:c>
      <x:c r="L1107" s="580" t="n">
        <x:v>3660</x:v>
      </x:c>
      <x:c r="M1107" s="7" t="n">
        <x:f>IF('01_Ustawienia'!$B$4="ZWOLNIONY",0,'01_Ustawienia'!$B$7)</x:f>
        <x:v>0.08</x:v>
      </x:c>
      <x:c r="N1107" s="8" t="str">
        <x:f>IF(J1107="","",ROUND((J1107+K1107)*(1+M1107),0))</x:f>
      </x:c>
      <x:c r="O1107" s="8" t="str">
        <x:f>IF(J1107="","",J1107+K1107-H1107-L1107)</x:f>
      </x:c>
      <x:c r="P1107" s="7" t="n">
        <x:f>IFERROR(O1107/(J1107+K1107),"")</x:f>
        <x:v>0</x:v>
      </x:c>
      <x:c r="Q1107" s="6" t="inlineStr">
        <x:is>
          <x:t xml:space="preserve">RAW_OS B/C</x:t>
        </x:is>
      </x:c>
      <x:c r="R1107" s="6" t="inlineStr">
        <x:is>
          <x:t xml:space="preserve">OGRÓD ZIMOWY (KONSTRUKCJA)</x:t>
        </x:is>
      </x:c>
      <x:c r="S1107" s="6" t="inlineStr">
        <x:is>
          <x:t xml:space="preserve">crm_only</x:t>
        </x:is>
      </x:c>
      <x:c r="T1107" s="581" t="inlineStr">
        <x:is>
          <x:t xml:space="preserve">Referencyjne/full | FIX11: K/L 550/600 wg ark. 09 (NIE PUBLIKOWAĆ / BRAK RAW_OS).</x:t>
        </x:is>
      </x:c>
    </x:row>
    <x:row r="1108" s="655" customFormat="1" ht="30" customHeight="1">
      <x:c r="A1108" s="6" t="inlineStr">
        <x:is>
          <x:t xml:space="preserve">550 x 1106 cm</x:t>
        </x:is>
      </x:c>
      <x:c r="B1108" s="6" t="inlineStr">
        <x:is>
          <x:t xml:space="preserve">PDS</x:t>
        </x:is>
      </x:c>
      <x:c r="C1108" s="6" t="inlineStr">
        <x:is>
          <x:t xml:space="preserve">Dopłata dach szkło przezroczyste</x:t>
        </x:is>
      </x:c>
      <x:c r="D1108" s="6" t="inlineStr">
        <x:is>
          <x:t xml:space="preserve">POKRYCIE DACHU SZKŁO</x:t>
        </x:is>
      </x:c>
      <x:c r="E1108" s="8" t="n">
        <x:f>IFERROR(IFERROR(INDEX('02_RAW_INDEX'!$V:$V,MATCH($A1108,'02_RAW_INDEX'!$A:$A,0)),"")-IFERROR(INDEX('02_RAW_INDEX'!$D:$D,MATCH($A1108,'02_RAW_INDEX'!$A:$A,0)),""),"")</x:f>
        <x:v>-28927</x:v>
      </x:c>
      <x:c r="F1108" s="8" t="n">
        <x:f>IFERROR(IFERROR(INDEX('02_RAW_INDEX'!$U:$U,MATCH($A1108,'02_RAW_INDEX'!$A:$A,0)),"")-IFERROR(INDEX('02_RAW_INDEX'!$C:$C,MATCH($A1108,'02_RAW_INDEX'!$A:$A,0)),""),"")</x:f>
        <x:v>-35580</x:v>
      </x:c>
      <x:c r="G1108" s="7" t="n">
        <x:f>'01_Ustawienia'!$B$6</x:f>
        <x:v>0</x:v>
      </x:c>
      <x:c r="H1108" s="8" t="n">
        <x:f>IF(E1108="","",ROUND(IF('01_Ustawienia'!$B$5="BRUTTO",F1108,E1108)*(1-G1108),0))</x:f>
        <x:v>-28927</x:v>
      </x:c>
      <x:c r="I1108" s="7" t="n">
        <x:f>IFERROR(IFERROR(INDEX('01_Ustawienia'!$B$15:$B$33,MATCH(B1108,'01_Ustawienia'!$A$15:$A$33,0)),0.45),0.45)</x:f>
        <x:v>0.45</x:v>
      </x:c>
      <x:c r="J1108" s="8" t="n">
        <x:f>IF(H1108="","",ROUND(H1108*(1+I1108),0))</x:f>
        <x:v>-41944</x:v>
      </x:c>
      <x:c r="K1108" s="580" t="n">
        <x:v>0</x:v>
      </x:c>
      <x:c r="L1108" s="580" t="n">
        <x:v>0</x:v>
      </x:c>
      <x:c r="M1108" s="7" t="n">
        <x:f>IF('01_Ustawienia'!$B$4="ZWOLNIONY",0,'01_Ustawienia'!$B$7)</x:f>
        <x:v>0.08</x:v>
      </x:c>
      <x:c r="N1108" s="8" t="n">
        <x:f>IF(J1108="","",ROUND((J1108+K1108)*(1+M1108),0))</x:f>
        <x:v>-45300</x:v>
      </x:c>
      <x:c r="O1108" s="8" t="n">
        <x:f>IF(J1108="","",J1108+K1108-H1108-L1108)</x:f>
        <x:v>-13017</x:v>
      </x:c>
      <x:c r="P1108" s="7" t="n">
        <x:f>IFERROR(O1108/(J1108+K1108),"")</x:f>
        <x:v>0.31034236124356285</x:v>
      </x:c>
      <x:c r="Q1108" s="6" t="inlineStr">
        <x:is>
          <x:t xml:space="preserve">RAW_ZS - RAW_ZP</x:t>
        </x:is>
      </x:c>
      <x:c r="R1108" s="6" t="inlineStr">
        <x:is>
          <x:t xml:space="preserve">POKRYCIE DACHU</x:t>
        </x:is>
      </x:c>
      <x:c r="S1108" s="6" t="inlineStr">
        <x:is>
          <x:t xml:space="preserve">website+crm</x:t>
        </x:is>
      </x:c>
      <x:c r="T1108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109" s="655" customFormat="1" ht="30" customHeight="1">
      <x:c r="A1109" s="6" t="inlineStr">
        <x:is>
          <x:t xml:space="preserve">550 x 1106 cm</x:t>
        </x:is>
      </x:c>
      <x:c r="B1109" s="6" t="inlineStr">
        <x:is>
          <x:t xml:space="preserve">PDSB</x:t>
        </x:is>
      </x:c>
      <x:c r="C1109" s="6" t="inlineStr">
        <x:is>
          <x:t xml:space="preserve">Dopłata dach szkło barwione/mleczne</x:t>
        </x:is>
      </x:c>
      <x:c r="D1109" s="6" t="inlineStr">
        <x:is>
          <x:t xml:space="preserve">POKRYCIE DACHU SZKŁO BARWIONE</x:t>
        </x:is>
      </x:c>
      <x:c r="E1109" s="8" t="str">
        <x:f>IFERROR(INDEX('02_RAW_INDEX'!$X:$X,MATCH($A1109,'02_RAW_INDEX'!$A:$A,0)),"")</x:f>
      </x:c>
      <x:c r="F1109" s="8" t="str">
        <x:f>IFERROR(INDEX('02_RAW_INDEX'!$W:$W,MATCH($A1109,'02_RAW_INDEX'!$A:$A,0)),"")</x:f>
      </x:c>
      <x:c r="G1109" s="7" t="n">
        <x:f>'01_Ustawienia'!$B$6</x:f>
        <x:v>0</x:v>
      </x:c>
      <x:c r="H1109" s="8" t="str">
        <x:f>IF(E1109="","",ROUND(IF('01_Ustawienia'!$B$5="BRUTTO",F1109,E1109)*(1-G1109),0))</x:f>
      </x:c>
      <x:c r="I1109" s="7" t="n">
        <x:f>IFERROR(IFERROR(INDEX('01_Ustawienia'!$B$15:$B$33,MATCH(B1109,'01_Ustawienia'!$A$15:$A$33,0)),0.45),0.45)</x:f>
        <x:v>0.45</x:v>
      </x:c>
      <x:c r="J1109" s="8" t="str">
        <x:f>IF(H1109="","",ROUND(H1109*(1+I1109),0))</x:f>
      </x:c>
      <x:c r="K1109" s="582" t="n">
        <x:v>0</x:v>
      </x:c>
      <x:c r="L1109" s="582" t="n">
        <x:v>0</x:v>
      </x:c>
      <x:c r="M1109" s="7" t="n">
        <x:f>IF('01_Ustawienia'!$B$4="ZWOLNIONY",0,'01_Ustawienia'!$B$7)</x:f>
        <x:v>0.08</x:v>
      </x:c>
      <x:c r="N1109" s="8" t="str">
        <x:f>IF(J1109="","",ROUND((J1109+K1109)*(1+M1109),0))</x:f>
      </x:c>
      <x:c r="O1109" s="8" t="str">
        <x:f>IF(J1109="","",J1109+K1109-H1109-L1109)</x:f>
      </x:c>
      <x:c r="P1109" s="7" t="str">
        <x:f>IFERROR(O1109/(J1109+K1109),"")</x:f>
      </x:c>
      <x:c r="Q1109" s="6" t="inlineStr">
        <x:is>
          <x:t xml:space="preserve">RAW_ZS D/E</x:t>
        </x:is>
      </x:c>
      <x:c r="R1109" s="6" t="inlineStr">
        <x:is>
          <x:t xml:space="preserve">POKRYCIE DACHU</x:t>
        </x:is>
      </x:c>
      <x:c r="S1109" s="6" t="inlineStr">
        <x:is>
          <x:t xml:space="preserve">website+crm</x:t>
        </x:is>
      </x:c>
      <x:c r="T1109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110" s="655" customFormat="1" ht="30" customHeight="1">
      <x:c r="A1110" s="6" t="inlineStr">
        <x:is>
          <x:t xml:space="preserve">550 x 1106 cm</x:t>
        </x:is>
      </x:c>
      <x:c r="B1110" s="6" t="inlineStr">
        <x:is>
          <x:t xml:space="preserve">PDPB</x:t>
        </x:is>
      </x:c>
      <x:c r="C1110" s="6" t="inlineStr">
        <x:is>
          <x:t xml:space="preserve">Dopłata poliwęglan barwiony</x:t>
        </x:is>
      </x:c>
      <x:c r="D1110" s="6" t="inlineStr">
        <x:is>
          <x:t xml:space="preserve">POKRYCIE DACHU POLIWĘGLAN BARWIONY</x:t>
        </x:is>
      </x:c>
      <x:c r="E1110" s="8" t="n">
        <x:f>IFERROR(INDEX('02_RAW_INDEX'!$F:$F,MATCH($A1110,'02_RAW_INDEX'!$A:$A,0)),"")</x:f>
        <x:v>862</x:v>
      </x:c>
      <x:c r="F1110" s="8" t="n">
        <x:f>IFERROR(INDEX('02_RAW_INDEX'!$E:$E,MATCH($A1110,'02_RAW_INDEX'!$A:$A,0)),"")</x:f>
        <x:v>1060</x:v>
      </x:c>
      <x:c r="G1110" s="7" t="n">
        <x:f>'01_Ustawienia'!$B$6</x:f>
        <x:v>0</x:v>
      </x:c>
      <x:c r="H1110" s="8" t="n">
        <x:f>IF(E1110="","",ROUND(IF('01_Ustawienia'!$B$5="BRUTTO",F1110,E1110)*(1-G1110),0))</x:f>
        <x:v>862</x:v>
      </x:c>
      <x:c r="I1110" s="7" t="n">
        <x:f>IFERROR(IFERROR(INDEX('01_Ustawienia'!$B$15:$B$33,MATCH(B1110,'01_Ustawienia'!$A$15:$A$33,0)),0.45),0.45)</x:f>
        <x:v>0.45</x:v>
      </x:c>
      <x:c r="J1110" s="8" t="n">
        <x:f>IF(H1110="","",ROUND(H1110*(1+I1110),0))</x:f>
        <x:v>1250</x:v>
      </x:c>
      <x:c r="K1110" s="582" t="n">
        <x:v>0</x:v>
      </x:c>
      <x:c r="L1110" s="582" t="n">
        <x:v>0</x:v>
      </x:c>
      <x:c r="M1110" s="7" t="n">
        <x:f>IF('01_Ustawienia'!$B$4="ZWOLNIONY",0,'01_Ustawienia'!$B$7)</x:f>
        <x:v>0.08</x:v>
      </x:c>
      <x:c r="N1110" s="8" t="n">
        <x:f>IF(J1110="","",ROUND((J1110+K1110)*(1+M1110),0))</x:f>
        <x:v>1350</x:v>
      </x:c>
      <x:c r="O1110" s="8" t="n">
        <x:f>IF(J1110="","",J1110+K1110-H1110-L1110)</x:f>
        <x:v>388</x:v>
      </x:c>
      <x:c r="P1110" s="7" t="n">
        <x:f>IFERROR(O1110/(J1110+K1110),"")</x:f>
        <x:v>0.3104</x:v>
      </x:c>
      <x:c r="Q1110" s="6" t="inlineStr">
        <x:is>
          <x:t xml:space="preserve">RAW_ZP D/E</x:t>
        </x:is>
      </x:c>
      <x:c r="R1110" s="6" t="inlineStr">
        <x:is>
          <x:t xml:space="preserve">POKRYCIE DACHU</x:t>
        </x:is>
      </x:c>
      <x:c r="S1110" s="6" t="inlineStr">
        <x:is>
          <x:t xml:space="preserve">website+crm</x:t>
        </x:is>
      </x:c>
      <x:c r="T1110" s="581" t="inlineStr">
        <x:is>
          <x:t xml:space="preserve">FIX11: K/L 550/600 wg ark. 09 (POZOSTAWIĆ 0). | FIX17: Wynagr.+koszty = 0 dla dopłaty; nie jest osobnym montażem ekipy.</x:t>
        </x:is>
      </x:c>
    </x:row>
    <x:row r="1111" s="655" customFormat="1" ht="30" customHeight="1">
      <x:c r="A1111" s="6" t="inlineStr">
        <x:is>
          <x:t xml:space="preserve">550 x 1106 cm</x:t>
        </x:is>
      </x:c>
      <x:c r="B1111" s="6" t="inlineStr">
        <x:is>
          <x:t xml:space="preserve">SBB</x:t>
        </x:is>
      </x:c>
      <x:c r="C1111" s="6" t="inlineStr">
        <x:is>
          <x:t xml:space="preserve">Dopłata szkło boczne przyciemniane</x:t>
        </x:is>
      </x:c>
      <x:c r="D1111" s="6" t="inlineStr">
        <x:is>
          <x:t xml:space="preserve">SZKŁO BOCZNE BARWIONE</x:t>
        </x:is>
      </x:c>
      <x:c r="E1111" s="8" t="n">
        <x:f>IFERROR(INDEX('02_RAW_INDEX'!$AB:$AB,MATCH($A1111,'02_RAW_INDEX'!$A:$A,0)),"")</x:f>
        <x:v>2244</x:v>
      </x:c>
      <x:c r="F1111" s="8" t="n">
        <x:f>IFERROR(INDEX('02_RAW_INDEX'!$AA:$AA,MATCH($A1111,'02_RAW_INDEX'!$A:$A,0)),"")</x:f>
        <x:v>2760</x:v>
      </x:c>
      <x:c r="G1111" s="7" t="n">
        <x:f>'01_Ustawienia'!$B$6</x:f>
        <x:v>0</x:v>
      </x:c>
      <x:c r="H1111" s="8" t="n">
        <x:f>IF(E1111="","",ROUND(IF('01_Ustawienia'!$B$5="BRUTTO",F1111,E1111)*(1-G1111),0))</x:f>
        <x:v>2244</x:v>
      </x:c>
      <x:c r="I1111" s="7" t="n">
        <x:f>IFERROR(IFERROR(INDEX('01_Ustawienia'!$B$15:$B$33,MATCH(B1111,'01_Ustawienia'!$A$15:$A$33,0)),0.45),0.45)</x:f>
        <x:v>0.45</x:v>
      </x:c>
      <x:c r="J1111" s="8" t="n">
        <x:f>IF(H1111="","",ROUND(H1111*(1+I1111),0))</x:f>
        <x:v>3254</x:v>
      </x:c>
      <x:c r="K1111" s="582" t="n">
        <x:v>0</x:v>
      </x:c>
      <x:c r="L1111" s="582" t="n">
        <x:v>0</x:v>
      </x:c>
      <x:c r="M1111" s="7" t="n">
        <x:f>IF('01_Ustawienia'!$B$4="ZWOLNIONY",0,'01_Ustawienia'!$B$7)</x:f>
        <x:v>0.08</x:v>
      </x:c>
      <x:c r="N1111" s="8" t="n">
        <x:f>IF(J1111="","",ROUND((J1111+K1111)*(1+M1111),0))</x:f>
        <x:v>3514</x:v>
      </x:c>
      <x:c r="O1111" s="8" t="n">
        <x:f>IF(J1111="","",J1111+K1111-H1111-L1111)</x:f>
        <x:v>1010</x:v>
      </x:c>
      <x:c r="P1111" s="7" t="n">
        <x:f>IFERROR(O1111/(J1111+K1111),"")</x:f>
        <x:v>0.31038721573448064</x:v>
      </x:c>
      <x:c r="Q1111" s="6" t="inlineStr">
        <x:is>
          <x:t xml:space="preserve">RAW_OP H/I</x:t>
        </x:is>
      </x:c>
      <x:c r="R1111" s="6" t="inlineStr">
        <x:is>
          <x:t xml:space="preserve">SZYBY BOCZNE</x:t>
        </x:is>
      </x:c>
      <x:c r="S1111" s="6" t="inlineStr">
        <x:is>
          <x:t xml:space="preserve">website+crm</x:t>
        </x:is>
      </x:c>
      <x:c r="T1111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112" s="655" customFormat="1" ht="29.5" customHeight="1">
      <x:c r="A1112" s="6" t="inlineStr">
        <x:is>
          <x:t xml:space="preserve">550 x 1106 cm</x:t>
        </x:is>
      </x:c>
      <x:c r="B1112" s="6" t="inlineStr">
        <x:is>
          <x:t xml:space="preserve">RB</x:t>
        </x:is>
      </x:c>
      <x:c r="C1112" s="6" t="inlineStr">
        <x:is>
          <x:t xml:space="preserve">Roleta boczna ZIP</x:t>
        </x:is>
      </x:c>
      <x:c r="D1112" s="6" t="inlineStr">
        <x:is>
          <x:t xml:space="preserve">ROLETA BOCZNA</x:t>
        </x:is>
      </x:c>
      <x:c r="E1112" s="8" t="n">
        <x:f>IFERROR(INDEX('02_RAW_INDEX'!$J:$J,MATCH($A1112,'02_RAW_INDEX'!$A:$A,0)),"")</x:f>
        <x:v>3236</x:v>
      </x:c>
      <x:c r="F1112" s="8" t="n">
        <x:f>IFERROR(INDEX('02_RAW_INDEX'!$I:$I,MATCH($A1112,'02_RAW_INDEX'!$A:$A,0)),"")</x:f>
        <x:v>3980</x:v>
      </x:c>
      <x:c r="G1112" s="7" t="n">
        <x:f>'01_Ustawienia'!$B$6</x:f>
        <x:v>0</x:v>
      </x:c>
      <x:c r="H1112" s="8" t="n">
        <x:f>IF(E1112="","",ROUND(IF('01_Ustawienia'!$B$5="BRUTTO",F1112,E1112)*(1-G1112),0))</x:f>
        <x:v>3236</x:v>
      </x:c>
      <x:c r="I1112" s="7" t="n">
        <x:f>IFERROR(IFERROR(INDEX('01_Ustawienia'!$B$15:$B$33,MATCH(B1112,'01_Ustawienia'!$A$15:$A$33,0)),0.45),0.45)</x:f>
        <x:v>0.45</x:v>
      </x:c>
      <x:c r="J1112" s="8" t="n">
        <x:f>IF(H1112="","",ROUND(H1112*(1+I1112),0))</x:f>
        <x:v>4692</x:v>
      </x:c>
      <x:c r="K1112" s="580" t="n">
        <x:v>0</x:v>
      </x:c>
      <x:c r="L1112" s="580" t="n">
        <x:v>150</x:v>
      </x:c>
      <x:c r="M1112" s="7" t="n">
        <x:f>IF('01_Ustawienia'!$B$4="ZWOLNIONY",0,'01_Ustawienia'!$B$7)</x:f>
        <x:v>0.08</x:v>
      </x:c>
      <x:c r="N1112" s="8" t="n">
        <x:f>IF(J1112="","",ROUND((J1112+K1112)*(1+M1112),0))</x:f>
        <x:v>5067</x:v>
      </x:c>
      <x:c r="O1112" s="8" t="n">
        <x:f>IF(J1112="","",J1112+K1112-H1112-L1112)</x:f>
        <x:v>1306</x:v>
      </x:c>
      <x:c r="P1112" s="7" t="n">
        <x:f>IFERROR(O1112/(J1112+K1112),"")</x:f>
        <x:v>0.2783461210571185</x:v>
      </x:c>
      <x:c r="Q1112" s="6" t="inlineStr">
        <x:is>
          <x:t xml:space="preserve">RAW_ZP J/K</x:t>
        </x:is>
      </x:c>
      <x:c r="R1112" s="6" t="inlineStr">
        <x:is>
          <x:t xml:space="preserve">ROLETY BOCZNE</x:t>
        </x:is>
      </x:c>
      <x:c r="S1112" s="6" t="inlineStr">
        <x:is>
          <x:t xml:space="preserve">website+crm</x:t>
        </x:is>
      </x:c>
      <x:c r="T1112" s="581" t="inlineStr">
        <x:is>
          <x:t xml:space="preserve">Używana dla lewej i prawej | FIX11: K/L 550/600 wg ark. 09 (UZUPEŁNIĆ L).</x:t>
        </x:is>
      </x:c>
    </x:row>
    <x:row r="1113" s="655" customFormat="1" ht="29.5" customHeight="1">
      <x:c r="A1113" s="6" t="inlineStr">
        <x:is>
          <x:t xml:space="preserve">550 x 1106 cm</x:t>
        </x:is>
      </x:c>
      <x:c r="B1113" s="6" t="inlineStr">
        <x:is>
          <x:t xml:space="preserve">RP</x:t>
        </x:is>
      </x:c>
      <x:c r="C1113" s="6" t="inlineStr">
        <x:is>
          <x:t xml:space="preserve">Roleta przednia ZIP</x:t>
        </x:is>
      </x:c>
      <x:c r="D1113" s="6" t="inlineStr">
        <x:is>
          <x:t xml:space="preserve">ROLETA PRZÓD</x:t>
        </x:is>
      </x:c>
      <x:c r="E1113" s="8" t="n">
        <x:f>IFERROR(INDEX('02_RAW_INDEX'!$L:$L,MATCH($A1113,'02_RAW_INDEX'!$A:$A,0)),"")</x:f>
        <x:v>6033</x:v>
      </x:c>
      <x:c r="F1113" s="8" t="n">
        <x:f>IFERROR(INDEX('02_RAW_INDEX'!$K:$K,MATCH($A1113,'02_RAW_INDEX'!$A:$A,0)),"")</x:f>
        <x:v>7420</x:v>
      </x:c>
      <x:c r="G1113" s="7" t="n">
        <x:f>'01_Ustawienia'!$B$6</x:f>
        <x:v>0</x:v>
      </x:c>
      <x:c r="H1113" s="8" t="n">
        <x:f>IF(E1113="","",ROUND(IF('01_Ustawienia'!$B$5="BRUTTO",F1113,E1113)*(1-G1113),0))</x:f>
        <x:v>6033</x:v>
      </x:c>
      <x:c r="I1113" s="7" t="n">
        <x:f>IFERROR(IFERROR(INDEX('01_Ustawienia'!$B$15:$B$33,MATCH(B1113,'01_Ustawienia'!$A$15:$A$33,0)),0.45),0.45)</x:f>
        <x:v>0.45</x:v>
      </x:c>
      <x:c r="J1113" s="8" t="n">
        <x:f>IF(H1113="","",ROUND(H1113*(1+I1113),0))</x:f>
        <x:v>8748</x:v>
      </x:c>
      <x:c r="K1113" s="580" t="n">
        <x:v>0</x:v>
      </x:c>
      <x:c r="L1113" s="580" t="n">
        <x:v>450</x:v>
      </x:c>
      <x:c r="M1113" s="7" t="n">
        <x:f>IF('01_Ustawienia'!$B$4="ZWOLNIONY",0,'01_Ustawienia'!$B$7)</x:f>
        <x:v>0.08</x:v>
      </x:c>
      <x:c r="N1113" s="8" t="n">
        <x:f>IF(J1113="","",ROUND((J1113+K1113)*(1+M1113),0))</x:f>
        <x:v>9448</x:v>
      </x:c>
      <x:c r="O1113" s="8" t="n">
        <x:f>IF(J1113="","",J1113+K1113-H1113-L1113)</x:f>
        <x:v>2265</x:v>
      </x:c>
      <x:c r="P1113" s="7" t="n">
        <x:f>IFERROR(O1113/(J1113+K1113),"")</x:f>
        <x:v>0.25891632373113854</x:v>
      </x:c>
      <x:c r="Q1113" s="6" t="inlineStr">
        <x:is>
          <x:t xml:space="preserve">RAW_ZP N/O</x:t>
        </x:is>
      </x:c>
      <x:c r="R1113" s="6" t="inlineStr">
        <x:is>
          <x:t xml:space="preserve">ROLETY BOCZNE</x:t>
        </x:is>
      </x:c>
      <x:c r="S1113" s="6" t="inlineStr">
        <x:is>
          <x:t xml:space="preserve">website+crm</x:t>
        </x:is>
      </x:c>
      <x:c r="T1113" s="581" t="inlineStr">
        <x:is>
          <x:t xml:space="preserve">FIX11: K/L 550/600 wg ark. 09 (UZUPEŁNIĆ L).</x:t>
        </x:is>
      </x:c>
    </x:row>
    <x:row r="1114" s="655" customFormat="1" ht="29.5" customHeight="1">
      <x:c r="A1114" s="6" t="inlineStr">
        <x:is>
          <x:t xml:space="preserve">550 x 1106 cm</x:t>
        </x:is>
      </x:c>
      <x:c r="B1114" s="6" t="inlineStr">
        <x:is>
          <x:t xml:space="preserve">M</x:t>
        </x:is>
      </x:c>
      <x:c r="C1114" s="6" t="inlineStr">
        <x:is>
          <x:t xml:space="preserve">Markiza dachowa</x:t>
        </x:is>
      </x:c>
      <x:c r="D1114" s="6" t="inlineStr">
        <x:is>
          <x:t xml:space="preserve">MARKIZA</x:t>
        </x:is>
      </x:c>
      <x:c r="E1114" s="8" t="n">
        <x:f>IFERROR(INDEX('02_RAW_INDEX'!$H:$H,MATCH($A1114,'02_RAW_INDEX'!$A:$A,0)),"")</x:f>
        <x:v>11171</x:v>
      </x:c>
      <x:c r="F1114" s="8" t="n">
        <x:f>IFERROR(INDEX('02_RAW_INDEX'!$G:$G,MATCH($A1114,'02_RAW_INDEX'!$A:$A,0)),"")</x:f>
        <x:v>13740</x:v>
      </x:c>
      <x:c r="G1114" s="7" t="n">
        <x:f>'01_Ustawienia'!$B$6</x:f>
        <x:v>0</x:v>
      </x:c>
      <x:c r="H1114" s="8" t="n">
        <x:f>IF(E1114="","",ROUND(IF('01_Ustawienia'!$B$5="BRUTTO",F1114,E1114)*(1-G1114),0))</x:f>
        <x:v>11171</x:v>
      </x:c>
      <x:c r="I1114" s="7" t="n">
        <x:f>IFERROR(IFERROR(INDEX('01_Ustawienia'!$B$15:$B$33,MATCH(B1114,'01_Ustawienia'!$A$15:$A$33,0)),0.45),0.45)</x:f>
        <x:v>0.45</x:v>
      </x:c>
      <x:c r="J1114" s="8" t="n">
        <x:f>IF(H1114="","",ROUND(H1114*(1+I1114),0))</x:f>
        <x:v>16198</x:v>
      </x:c>
      <x:c r="K1114" s="580" t="n">
        <x:v>0</x:v>
      </x:c>
      <x:c r="L1114" s="580" t="n">
        <x:v>650</x:v>
      </x:c>
      <x:c r="M1114" s="7" t="n">
        <x:f>IF('01_Ustawienia'!$B$4="ZWOLNIONY",0,'01_Ustawienia'!$B$7)</x:f>
        <x:v>0.08</x:v>
      </x:c>
      <x:c r="N1114" s="8" t="n">
        <x:f>IF(J1114="","",ROUND((J1114+K1114)*(1+M1114),0))</x:f>
        <x:v>17494</x:v>
      </x:c>
      <x:c r="O1114" s="8" t="n">
        <x:f>IF(J1114="","",J1114+K1114-H1114-L1114)</x:f>
        <x:v>4377</x:v>
      </x:c>
      <x:c r="P1114" s="7" t="n">
        <x:f>IFERROR(O1114/(J1114+K1114),"")</x:f>
        <x:v>0.27021854549944435</x:v>
      </x:c>
      <x:c r="Q1114" s="6" t="inlineStr">
        <x:is>
          <x:t xml:space="preserve">RAW_ZP H/I</x:t>
        </x:is>
      </x:c>
      <x:c r="R1114" s="6" t="inlineStr">
        <x:is>
          <x:t xml:space="preserve">MARKIZA</x:t>
        </x:is>
      </x:c>
      <x:c r="S1114" s="6" t="inlineStr">
        <x:is>
          <x:t xml:space="preserve">website+crm</x:t>
        </x:is>
      </x:c>
      <x:c r="T1114" s="581" t="inlineStr">
        <x:is>
          <x:t xml:space="preserve">FIX11: K/L 550/600 wg ark. 09 (UZUPEŁNIĆ L).</x:t>
        </x:is>
      </x:c>
    </x:row>
    <x:row r="1115" s="655" customFormat="1" ht="44.25" customHeight="1">
      <x:c r="A1115" s="6" t="inlineStr">
        <x:is>
          <x:t xml:space="preserve">550 x 1106 cm</x:t>
        </x:is>
      </x:c>
      <x:c r="B1115" s="6" t="inlineStr">
        <x:is>
          <x:t xml:space="preserve">PDWP</x:t>
        </x:is>
      </x:c>
      <x:c r="C1115" s="6" t="inlineStr">
        <x:is>
          <x:t xml:space="preserve">Fundament/profile</x:t>
        </x:is>
      </x:c>
      <x:c r="D1115" s="6" t="inlineStr">
        <x:is>
          <x:t xml:space="preserve">FUNDAMENT / PROFILE</x:t>
        </x:is>
      </x:c>
      <x:c r="E1115" s="8" t="n">
        <x:f>IFERROR(INDEX('02_RAW_INDEX'!$AH:$AH,MATCH($A1115,'02_RAW_INDEX'!$A:$A,0)),"")</x:f>
        <x:v>1764</x:v>
      </x:c>
      <x:c r="F1115" s="8" t="n">
        <x:f>IFERROR(INDEX('02_RAW_INDEX'!$AG:$AG,MATCH($A1115,'02_RAW_INDEX'!$A:$A,0)),"")</x:f>
        <x:v>2170</x:v>
      </x:c>
      <x:c r="G1115" s="7" t="n">
        <x:f>'01_Ustawienia'!$B$6</x:f>
        <x:v>0</x:v>
      </x:c>
      <x:c r="H1115" s="8" t="n">
        <x:f>IF(E1115="","",ROUND(IF('01_Ustawienia'!$B$5="BRUTTO",F1115,E1115)*(1-G1115),0))</x:f>
        <x:v>1764</x:v>
      </x:c>
      <x:c r="I1115" s="7" t="n">
        <x:f>IFERROR(IFERROR(INDEX('01_Ustawienia'!$B$15:$B$33,MATCH(B1115,'01_Ustawienia'!$A$15:$A$33,0)),0.45),0.45)</x:f>
        <x:v>1.2</x:v>
      </x:c>
      <x:c r="J1115" s="8" t="n">
        <x:f>IF(H1115="","",ROUND(H1115*(1+I1115),0))</x:f>
        <x:v>3881</x:v>
      </x:c>
      <x:c r="K1115" s="580" t="n">
        <x:v>720</x:v>
      </x:c>
      <x:c r="L1115" s="580" t="n">
        <x:v>690</x:v>
      </x:c>
      <x:c r="M1115" s="7" t="n">
        <x:f>IF('01_Ustawienia'!$B$4="ZWOLNIONY",0,'01_Ustawienia'!$B$7)</x:f>
        <x:v>0.08</x:v>
      </x:c>
      <x:c r="N1115" s="8" t="n">
        <x:f>IF(J1115="","",ROUND((J1115+K1115)*(1+M1115),0))</x:f>
        <x:v>4969</x:v>
      </x:c>
      <x:c r="O1115" s="8" t="n">
        <x:f>IF(J1115="","",J1115+K1115-H1115-L1115)</x:f>
        <x:v>2147</x:v>
      </x:c>
      <x:c r="P1115" s="7" t="n">
        <x:f>IFERROR(O1115/(J1115+K1115),"")</x:f>
        <x:v>0.466637687459248</x:v>
      </x:c>
      <x:c r="Q1115" s="6" t="inlineStr">
        <x:is>
          <x:t xml:space="preserve">RAW_OP AB/AC</x:t>
        </x:is>
      </x:c>
      <x:c r="R1115" s="6" t="inlineStr">
        <x:is>
          <x:t xml:space="preserve">FUNDAMENT (PROFILE)</x:t>
        </x:is>
      </x:c>
      <x:c r="S1115" s="6" t="inlineStr">
        <x:is>
          <x:t xml:space="preserve">website+crm</x:t>
        </x:is>
      </x:c>
      <x:c r="T1115" s="581" t="inlineStr">
        <x:is>
          <x:t xml:space="preserve">FIX11: K/L 550/600 wg ark. 09 (UZUPEŁNIĆ K+L / KOREKTA RENTOWNOŚCI).</x:t>
        </x:is>
      </x:c>
    </x:row>
    <x:row r="1116" s="655" customFormat="1" ht="30" customHeight="1">
      <x:c r="A1116" s="6" t="inlineStr">
        <x:is>
          <x:t xml:space="preserve">550 x 1106 cm</x:t>
        </x:is>
      </x:c>
      <x:c r="B1116" s="6" t="inlineStr">
        <x:is>
          <x:t xml:space="preserve">ZAB</x:t>
        </x:is>
      </x:c>
      <x:c r="C1116" s="6" t="inlineStr">
        <x:is>
          <x:t xml:space="preserve">Zabieraki do ścian przesuwnych</x:t>
        </x:is>
      </x:c>
      <x:c r="D1116" s="6" t="inlineStr">
        <x:is>
          <x:t xml:space="preserve">DODATKI</x:t>
        </x:is>
      </x:c>
      <x:c r="E1116" s="8" t="n">
        <x:f>IFERROR(INDEX('02_RAW_INDEX'!$AJ:$AJ,MATCH($A1116,'02_RAW_INDEX'!$A:$A,0)),"")</x:f>
        <x:v>585</x:v>
      </x:c>
      <x:c r="F1116" s="8" t="n">
        <x:f>IFERROR(INDEX('02_RAW_INDEX'!$AI:$AI,MATCH($A1116,'02_RAW_INDEX'!$A:$A,0)),"")</x:f>
        <x:v>720</x:v>
      </x:c>
      <x:c r="G1116" s="7" t="n">
        <x:f>'01_Ustawienia'!$B$6</x:f>
        <x:v>0</x:v>
      </x:c>
      <x:c r="H1116" s="8" t="n">
        <x:f>IF(E1116="","",ROUND(IF('01_Ustawienia'!$B$5="BRUTTO",F1116,E1116)*(1-G1116),0))</x:f>
        <x:v>585</x:v>
      </x:c>
      <x:c r="I1116" s="7" t="n">
        <x:f>IFERROR(IFERROR(INDEX('01_Ustawienia'!$B$15:$B$33,MATCH(B1116,'01_Ustawienia'!$A$15:$A$33,0)),0.45),0.45)</x:f>
        <x:v>0.45</x:v>
      </x:c>
      <x:c r="J1116" s="8" t="n">
        <x:f>IF(H1116="","",ROUND(H1116*(1+I1116),0))</x:f>
        <x:v>848</x:v>
      </x:c>
      <x:c r="K1116" s="582" t="n">
        <x:v>0</x:v>
      </x:c>
      <x:c r="L1116" s="582" t="n">
        <x:v>0</x:v>
      </x:c>
      <x:c r="M1116" s="7" t="n">
        <x:f>IF('01_Ustawienia'!$B$4="ZWOLNIONY",0,'01_Ustawienia'!$B$7)</x:f>
        <x:v>0.08</x:v>
      </x:c>
      <x:c r="N1116" s="8" t="n">
        <x:f>IF(J1116="","",ROUND((J1116+K1116)*(1+M1116),0))</x:f>
        <x:v>916</x:v>
      </x:c>
      <x:c r="O1116" s="8" t="n">
        <x:f>IF(J1116="","",J1116+K1116-H1116-L1116)</x:f>
        <x:v>263</x:v>
      </x:c>
      <x:c r="P1116" s="7" t="n">
        <x:f>IFERROR(O1116/(J1116+K1116),"")</x:f>
        <x:v>0.31014150943396224</x:v>
      </x:c>
      <x:c r="Q1116" s="6" t="inlineStr">
        <x:is>
          <x:t xml:space="preserve">RAW_OP AD/AE</x:t>
        </x:is>
      </x:c>
      <x:c r="R1116" s="6" t="inlineStr">
        <x:is>
          <x:t xml:space="preserve">DODATKI</x:t>
        </x:is>
      </x:c>
      <x:c r="S1116" s="6" t="inlineStr">
        <x:is>
          <x:t xml:space="preserve">crm_only</x:t>
        </x:is>
      </x:c>
      <x:c r="T1116" s="581" t="inlineStr">
        <x:is>
          <x:t xml:space="preserve">FIX11: K/L 550/600 wg ark. 09 (POZOSTAWIĆ 0).</x:t>
        </x:is>
      </x:c>
    </x:row>
    <x:row r="1117" s="655" customFormat="1" ht="29.5" customHeight="1">
      <x:c r="A1117" s="6" t="inlineStr">
        <x:is>
          <x:t xml:space="preserve">550 x 1106 cm</x:t>
        </x:is>
      </x:c>
      <x:c r="B1117" s="6" t="inlineStr">
        <x:is>
          <x:t xml:space="preserve">S</x:t>
        </x:is>
      </x:c>
      <x:c r="C1117" s="6" t="inlineStr">
        <x:is>
          <x:t xml:space="preserve">Szczotki przeciwkurzowe</x:t>
        </x:is>
      </x:c>
      <x:c r="D1117" s="6" t="inlineStr">
        <x:is>
          <x:t xml:space="preserve">SZCZOTKI</x:t>
        </x:is>
      </x:c>
      <x:c r="E1117" s="8" t="n">
        <x:f>IFERROR(INDEX('02_RAW_INDEX'!$AD:$AD,MATCH($A1117,'02_RAW_INDEX'!$A:$A,0)),"")</x:f>
        <x:v>650</x:v>
      </x:c>
      <x:c r="F1117" s="8" t="n">
        <x:f>IFERROR(INDEX('02_RAW_INDEX'!$AC:$AC,MATCH($A1117,'02_RAW_INDEX'!$A:$A,0)),"")</x:f>
        <x:v>800</x:v>
      </x:c>
      <x:c r="G1117" s="7" t="n">
        <x:f>'01_Ustawienia'!$B$6</x:f>
        <x:v>0</x:v>
      </x:c>
      <x:c r="H1117" s="8" t="n">
        <x:f>IF(E1117="","",ROUND(IF('01_Ustawienia'!$B$5="BRUTTO",F1117,E1117)*(1-G1117),0))</x:f>
        <x:v>650</x:v>
      </x:c>
      <x:c r="I1117" s="7" t="n">
        <x:f>IFERROR(IFERROR(INDEX('01_Ustawienia'!$B$15:$B$33,MATCH(B1117,'01_Ustawienia'!$A$15:$A$33,0)),0.45),0.45)</x:f>
        <x:v>0.45</x:v>
      </x:c>
      <x:c r="J1117" s="8" t="n">
        <x:f>IF(H1117="","",ROUND(H1117*(1+I1117),0))</x:f>
        <x:v>943</x:v>
      </x:c>
      <x:c r="K1117" s="582" t="n">
        <x:v>0</x:v>
      </x:c>
      <x:c r="L1117" s="582" t="n">
        <x:v>0</x:v>
      </x:c>
      <x:c r="M1117" s="7" t="n">
        <x:f>IF('01_Ustawienia'!$B$4="ZWOLNIONY",0,'01_Ustawienia'!$B$7)</x:f>
        <x:v>0.08</x:v>
      </x:c>
      <x:c r="N1117" s="8" t="n">
        <x:f>IF(J1117="","",ROUND((J1117+K1117)*(1+M1117),0))</x:f>
        <x:v>1018</x:v>
      </x:c>
      <x:c r="O1117" s="8" t="n">
        <x:f>IF(J1117="","",J1117+K1117-H1117-L1117)</x:f>
        <x:v>293</x:v>
      </x:c>
      <x:c r="P1117" s="7" t="n">
        <x:f>IFERROR(O1117/(J1117+K1117),"")</x:f>
        <x:v>0.3107104984093319</x:v>
      </x:c>
      <x:c r="Q1117" s="6" t="inlineStr">
        <x:is>
          <x:t xml:space="preserve">RAW_OP L/M</x:t>
        </x:is>
      </x:c>
      <x:c r="R1117" s="6" t="inlineStr">
        <x:is>
          <x:t xml:space="preserve">DODATKI</x:t>
        </x:is>
      </x:c>
      <x:c r="S1117" s="6" t="inlineStr">
        <x:is>
          <x:t xml:space="preserve">website+crm</x:t>
        </x:is>
      </x:c>
      <x:c r="T1117" s="581" t="inlineStr">
        <x:is>
          <x:t xml:space="preserve">FIX11: K/L 550/600 wg ark. 09 (POZOSTAWIĆ 0).</x:t>
        </x:is>
      </x:c>
    </x:row>
    <x:row r="1118" s="655" customFormat="1" ht="29.5" customHeight="1">
      <x:c r="A1118" s="6" t="inlineStr">
        <x:is>
          <x:t xml:space="preserve">550 x 1106 cm</x:t>
        </x:is>
      </x:c>
      <x:c r="B1118" s="6" t="inlineStr">
        <x:is>
          <x:t xml:space="preserve">U</x:t>
        </x:is>
      </x:c>
      <x:c r="C1118" s="6" t="inlineStr">
        <x:is>
          <x:t xml:space="preserve">Uchwyty na szkło ścienne</x:t>
        </x:is>
      </x:c>
      <x:c r="D1118" s="6" t="inlineStr">
        <x:is>
          <x:t xml:space="preserve">UCHWYTY</x:t>
        </x:is>
      </x:c>
      <x:c r="E1118" s="8" t="n">
        <x:f>IFERROR(INDEX('02_RAW_INDEX'!$AF:$AF,MATCH($A1118,'02_RAW_INDEX'!$A:$A,0)),"")</x:f>
        <x:v>585</x:v>
      </x:c>
      <x:c r="F1118" s="8" t="n">
        <x:f>IFERROR(INDEX('02_RAW_INDEX'!$AE:$AE,MATCH($A1118,'02_RAW_INDEX'!$A:$A,0)),"")</x:f>
        <x:v>720</x:v>
      </x:c>
      <x:c r="G1118" s="7" t="n">
        <x:f>'01_Ustawienia'!$B$6</x:f>
        <x:v>0</x:v>
      </x:c>
      <x:c r="H1118" s="8" t="n">
        <x:f>IF(E1118="","",ROUND(IF('01_Ustawienia'!$B$5="BRUTTO",F1118,E1118)*(1-G1118),0))</x:f>
        <x:v>585</x:v>
      </x:c>
      <x:c r="I1118" s="7" t="n">
        <x:f>IFERROR(IFERROR(INDEX('01_Ustawienia'!$B$15:$B$33,MATCH(B1118,'01_Ustawienia'!$A$15:$A$33,0)),0.45),0.45)</x:f>
        <x:v>0.45</x:v>
      </x:c>
      <x:c r="J1118" s="8" t="n">
        <x:f>IF(H1118="","",ROUND(H1118*(1+I1118),0))</x:f>
        <x:v>848</x:v>
      </x:c>
      <x:c r="K1118" s="582" t="n">
        <x:v>0</x:v>
      </x:c>
      <x:c r="L1118" s="582" t="n">
        <x:v>0</x:v>
      </x:c>
      <x:c r="M1118" s="7" t="n">
        <x:f>IF('01_Ustawienia'!$B$4="ZWOLNIONY",0,'01_Ustawienia'!$B$7)</x:f>
        <x:v>0.08</x:v>
      </x:c>
      <x:c r="N1118" s="8" t="n">
        <x:f>IF(J1118="","",ROUND((J1118+K1118)*(1+M1118),0))</x:f>
        <x:v>916</x:v>
      </x:c>
      <x:c r="O1118" s="8" t="n">
        <x:f>IF(J1118="","",J1118+K1118-H1118-L1118)</x:f>
        <x:v>263</x:v>
      </x:c>
      <x:c r="P1118" s="7" t="n">
        <x:f>IFERROR(O1118/(J1118+K1118),"")</x:f>
        <x:v>0.31014150943396224</x:v>
      </x:c>
      <x:c r="Q1118" s="6" t="inlineStr">
        <x:is>
          <x:t xml:space="preserve">RAW_OP N/O</x:t>
        </x:is>
      </x:c>
      <x:c r="R1118" s="6" t="inlineStr">
        <x:is>
          <x:t xml:space="preserve">DODATKI</x:t>
        </x:is>
      </x:c>
      <x:c r="S1118" s="6" t="inlineStr">
        <x:is>
          <x:t xml:space="preserve">website+crm</x:t>
        </x:is>
      </x:c>
      <x:c r="T1118" s="581" t="inlineStr">
        <x:is>
          <x:t xml:space="preserve">FIX11: K/L 550/600 wg ark. 09 (POZOSTAWIĆ 0).</x:t>
        </x:is>
      </x:c>
    </x:row>
    <x:row r="1119" s="655" customFormat="1" ht="29.5" customHeight="1">
      <x:c r="A1119" s="6" t="inlineStr">
        <x:is>
          <x:t xml:space="preserve">550 x 1106 cm</x:t>
        </x:is>
      </x:c>
      <x:c r="B1119" s="6" t="inlineStr">
        <x:is>
          <x:t xml:space="preserve">LED2</x:t>
        </x:is>
      </x:c>
      <x:c r="C1119" s="6" t="inlineStr">
        <x:is>
          <x:t xml:space="preserve">Oświetlenie LED 2 punkty</x:t>
        </x:is>
      </x:c>
      <x:c r="D1119" s="6" t="inlineStr">
        <x:is>
          <x:t xml:space="preserve">LED 2 PKT</x:t>
        </x:is>
      </x:c>
      <x:c r="E1119" s="8" t="n">
        <x:f>IFERROR(INDEX('02_RAW_INDEX'!$N:$N,MATCH($A1119,'02_RAW_INDEX'!$A:$A,0)),"")</x:f>
        <x:v>1163</x:v>
      </x:c>
      <x:c r="F1119" s="8" t="n">
        <x:f>IFERROR(INDEX('02_RAW_INDEX'!$M:$M,MATCH($A1119,'02_RAW_INDEX'!$A:$A,0)),"")</x:f>
        <x:v>1430</x:v>
      </x:c>
      <x:c r="G1119" s="7" t="n">
        <x:f>'01_Ustawienia'!$B$6</x:f>
        <x:v>0</x:v>
      </x:c>
      <x:c r="H1119" s="8" t="n">
        <x:f>IF(E1119="","",ROUND(IF('01_Ustawienia'!$B$5="BRUTTO",F1119,E1119)*(1-G1119),0))</x:f>
        <x:v>1163</x:v>
      </x:c>
      <x:c r="I1119" s="7" t="n">
        <x:f>IFERROR(IFERROR(INDEX('01_Ustawienia'!$B$15:$B$33,MATCH(B1119,'01_Ustawienia'!$A$15:$A$33,0)),0.45),0.45)</x:f>
        <x:v>0.45</x:v>
      </x:c>
      <x:c r="J1119" s="8" t="n">
        <x:f>IF(H1119="","",ROUND(H1119*(1+I1119),0))</x:f>
        <x:v>1686</x:v>
      </x:c>
      <x:c r="K1119" s="582" t="n">
        <x:v>0</x:v>
      </x:c>
      <x:c r="L1119" s="582" t="n">
        <x:v>0</x:v>
      </x:c>
      <x:c r="M1119" s="7" t="n">
        <x:f>IF('01_Ustawienia'!$B$4="ZWOLNIONY",0,'01_Ustawienia'!$B$7)</x:f>
        <x:v>0.08</x:v>
      </x:c>
      <x:c r="N1119" s="8" t="n">
        <x:f>IF(J1119="","",ROUND((J1119+K1119)*(1+M1119),0))</x:f>
        <x:v>1821</x:v>
      </x:c>
      <x:c r="O1119" s="8" t="n">
        <x:f>IF(J1119="","",J1119+K1119-H1119-L1119)</x:f>
        <x:v>523</x:v>
      </x:c>
      <x:c r="P1119" s="7" t="n">
        <x:f>IFERROR(O1119/(J1119+K1119),"")</x:f>
        <x:v>0.31020166073546857</x:v>
      </x:c>
      <x:c r="Q1119" s="6" t="inlineStr">
        <x:is>
          <x:t xml:space="preserve">RAW_ZP P/Q</x:t>
        </x:is>
      </x:c>
      <x:c r="R1119" s="6" t="inlineStr">
        <x:is>
          <x:t xml:space="preserve">OŚWIETLENIE</x:t>
        </x:is>
      </x:c>
      <x:c r="S1119" s="6" t="inlineStr">
        <x:is>
          <x:t xml:space="preserve">website+crm</x:t>
        </x:is>
      </x:c>
      <x:c r="T1119" s="581" t="inlineStr">
        <x:is>
          <x:t xml:space="preserve">FIX11: K/L 550/600 wg ark. 09 (POZOSTAWIĆ 0 NA RAZIE).</x:t>
        </x:is>
      </x:c>
    </x:row>
    <x:row r="1120" s="655" customFormat="1" ht="44.25" customHeight="1">
      <x:c r="A1120" s="6" t="inlineStr">
        <x:is>
          <x:t xml:space="preserve">550 x 1106 cm</x:t>
        </x:is>
      </x:c>
      <x:c r="B1120" s="6" t="inlineStr">
        <x:is>
          <x:t xml:space="preserve">LED3</x:t>
        </x:is>
      </x:c>
      <x:c r="C1120" s="6" t="inlineStr">
        <x:is>
          <x:t xml:space="preserve">Oświetlenie LED 3 punkty</x:t>
        </x:is>
      </x:c>
      <x:c r="D1120" s="6" t="inlineStr">
        <x:is>
          <x:t xml:space="preserve">LED 3 PKT</x:t>
        </x:is>
      </x:c>
      <x:c r="E1120" s="8" t="n">
        <x:f>IFERROR(INDEX('02_RAW_INDEX'!$P:$P,MATCH($A1120,'02_RAW_INDEX'!$A:$A,0)),"")</x:f>
        <x:v>1439</x:v>
      </x:c>
      <x:c r="F1120" s="8" t="n">
        <x:f>IFERROR(INDEX('02_RAW_INDEX'!$O:$O,MATCH($A1120,'02_RAW_INDEX'!$A:$A,0)),"")</x:f>
        <x:v>1770</x:v>
      </x:c>
      <x:c r="G1120" s="7" t="n">
        <x:f>'01_Ustawienia'!$B$6</x:f>
        <x:v>0</x:v>
      </x:c>
      <x:c r="H1120" s="8" t="n">
        <x:f>IF(E1120="","",ROUND(IF('01_Ustawienia'!$B$5="BRUTTO",F1120,E1120)*(1-G1120),0))</x:f>
        <x:v>1439</x:v>
      </x:c>
      <x:c r="I1120" s="7" t="n">
        <x:f>IFERROR(IFERROR(INDEX('01_Ustawienia'!$B$15:$B$33,MATCH(B1120,'01_Ustawienia'!$A$15:$A$33,0)),0.45),0.45)</x:f>
        <x:v>0.45</x:v>
      </x:c>
      <x:c r="J1120" s="8" t="n">
        <x:f>IF(H1120="","",ROUND(H1120*(1+I1120),0))</x:f>
        <x:v>2087</x:v>
      </x:c>
      <x:c r="K1120" s="582" t="n">
        <x:v>0</x:v>
      </x:c>
      <x:c r="L1120" s="582" t="n">
        <x:v>0</x:v>
      </x:c>
      <x:c r="M1120" s="7" t="n">
        <x:f>IF('01_Ustawienia'!$B$4="ZWOLNIONY",0,'01_Ustawienia'!$B$7)</x:f>
        <x:v>0.08</x:v>
      </x:c>
      <x:c r="N1120" s="8" t="n">
        <x:f>IF(J1120="","",ROUND((J1120+K1120)*(1+M1120),0))</x:f>
        <x:v>2254</x:v>
      </x:c>
      <x:c r="O1120" s="8" t="n">
        <x:f>IF(J1120="","",J1120+K1120-H1120-L1120)</x:f>
        <x:v>648</x:v>
      </x:c>
      <x:c r="P1120" s="7" t="n">
        <x:f>IFERROR(O1120/(J1120+K1120),"")</x:f>
        <x:v>0.3104935313847628</x:v>
      </x:c>
      <x:c r="Q1120" s="6" t="inlineStr">
        <x:is>
          <x:t xml:space="preserve">RAW_ZP R/S</x:t>
        </x:is>
      </x:c>
      <x:c r="R1120" s="6" t="inlineStr">
        <x:is>
          <x:t xml:space="preserve">OŚWIETLENIE</x:t>
        </x:is>
      </x:c>
      <x:c r="S1120" s="6" t="inlineStr">
        <x:is>
          <x:t xml:space="preserve">website+crm</x:t>
        </x:is>
      </x:c>
      <x:c r="T1120" s="581" t="inlineStr">
        <x:is>
          <x:t xml:space="preserve">Nazwa do potwierdzenia | FIX11: K/L 550/600 wg ark. 09 (POZOSTAWIĆ 0 NA RAZIE).</x:t>
        </x:is>
      </x:c>
    </x:row>
    <x:row r="1121" s="655" customFormat="1" ht="29.5" customHeight="1">
      <x:c r="A1121" s="6" t="inlineStr">
        <x:is>
          <x:t xml:space="preserve">550 x 1106 cm</x:t>
        </x:is>
      </x:c>
      <x:c r="B1121" s="6" t="inlineStr">
        <x:is>
          <x:t xml:space="preserve">LEDCCT</x:t>
        </x:is>
      </x:c>
      <x:c r="C1121" s="6" t="inlineStr">
        <x:is>
          <x:t xml:space="preserve">Oświetlenie LED CCT</x:t>
        </x:is>
      </x:c>
      <x:c r="D1121" s="6" t="inlineStr">
        <x:is>
          <x:t xml:space="preserve">OŚWIETLENIE</x:t>
        </x:is>
      </x:c>
      <x:c r="E1121" s="8" t="n">
        <x:f>IFERROR(INDEX('02_RAW_INDEX'!$R:$R,MATCH($A1121,'02_RAW_INDEX'!$A:$A,0)),"")</x:f>
        <x:v>3099</x:v>
      </x:c>
      <x:c r="F1121" s="8" t="n">
        <x:f>IFERROR(INDEX('02_RAW_INDEX'!$Q:$Q,MATCH($A1121,'02_RAW_INDEX'!$A:$A,0)),"")</x:f>
        <x:v>3812</x:v>
      </x:c>
      <x:c r="G1121" s="7" t="n">
        <x:f>'01_Ustawienia'!$B$6</x:f>
        <x:v>0</x:v>
      </x:c>
      <x:c r="H1121" s="8" t="n">
        <x:f>IF(E1121="","",ROUND(IF('01_Ustawienia'!$B$5="BRUTTO",F1121,E1121)*(1-G1121),0))</x:f>
        <x:v>3099</x:v>
      </x:c>
      <x:c r="I1121" s="7" t="n">
        <x:f>IFERROR(IFERROR(INDEX('01_Ustawienia'!$B$15:$B$33,MATCH(B1121,'01_Ustawienia'!$A$15:$A$33,0)),0.45),0.45)</x:f>
        <x:v>0.45</x:v>
      </x:c>
      <x:c r="J1121" s="8" t="n">
        <x:f>IF(H1121="","",ROUND(H1121*(1+I1121),0)+700)</x:f>
        <x:v>5194</x:v>
      </x:c>
      <x:c r="K1121" s="582" t="n">
        <x:v>0</x:v>
      </x:c>
      <x:c r="L1121" s="582" t="n">
        <x:v>0</x:v>
      </x:c>
      <x:c r="M1121" s="7" t="n">
        <x:f>IF('01_Ustawienia'!$B$4="ZWOLNIONY",0,'01_Ustawienia'!$B$7)</x:f>
        <x:v>0.08</x:v>
      </x:c>
      <x:c r="N1121" s="8" t="n">
        <x:f>IF(J1121="","",ROUND((J1121+K1121)*(1+M1121),0))</x:f>
        <x:v>5610</x:v>
      </x:c>
      <x:c r="O1121" s="8" t="n">
        <x:f>IF(J1121="","",J1121+K1121-H1121-L1121)</x:f>
        <x:v>2095</x:v>
      </x:c>
      <x:c r="P1121" s="7" t="n">
        <x:f>IFERROR(O1121/(J1121+K1121),"")</x:f>
        <x:v>0.4033500192529842</x:v>
      </x:c>
      <x:c r="Q1121" s="715" t="inlineStr">
        <x:is>
          <x:t xml:space="preserve">MODEL_FIX15_LED</x:t>
        </x:is>
      </x:c>
      <x:c r="R1121" s="6" t="inlineStr">
        <x:is>
          <x:t xml:space="preserve">OŚWIETLENIE</x:t>
        </x:is>
      </x:c>
      <x:c r="S1121" s="6" t="inlineStr">
        <x:is>
          <x:t xml:space="preserve">website+crm</x:t>
        </x:is>
      </x:c>
      <x:c r="T1121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122" s="655" customFormat="1" ht="29.5" customHeight="1">
      <x:c r="A1122" s="6" t="inlineStr">
        <x:is>
          <x:t xml:space="preserve">550 x 1106 cm</x:t>
        </x:is>
      </x:c>
      <x:c r="B1122" s="6" t="inlineStr">
        <x:is>
          <x:t xml:space="preserve">LEDRGBCCT</x:t>
        </x:is>
      </x:c>
      <x:c r="C1122" s="6" t="inlineStr">
        <x:is>
          <x:t xml:space="preserve">Oświetlenie LED RGB CCT</x:t>
        </x:is>
      </x:c>
      <x:c r="D1122" s="6" t="inlineStr">
        <x:is>
          <x:t xml:space="preserve">OŚWIETLENIE</x:t>
        </x:is>
      </x:c>
      <x:c r="E1122" s="8" t="n">
        <x:f>IFERROR(INDEX('02_RAW_INDEX'!$T:$T,MATCH($A1122,'02_RAW_INDEX'!$A:$A,0)),"")</x:f>
        <x:v>4659</x:v>
      </x:c>
      <x:c r="F1122" s="8" t="n">
        <x:f>IFERROR(INDEX('02_RAW_INDEX'!$S:$S,MATCH($A1122,'02_RAW_INDEX'!$A:$A,0)),"")</x:f>
        <x:v>5730</x:v>
      </x:c>
      <x:c r="G1122" s="7" t="n">
        <x:f>'01_Ustawienia'!$B$6</x:f>
        <x:v>0</x:v>
      </x:c>
      <x:c r="H1122" s="8" t="n">
        <x:f>IF(E1122="","",ROUND(IF('01_Ustawienia'!$B$5="BRUTTO",F1122,E1122)*(1-G1122),0))</x:f>
        <x:v>4659</x:v>
      </x:c>
      <x:c r="I1122" s="7" t="n">
        <x:f>IFERROR(IFERROR(INDEX('01_Ustawienia'!$B$15:$B$33,MATCH(B1122,'01_Ustawienia'!$A$15:$A$33,0)),0.45),0.45)</x:f>
        <x:v>0.45</x:v>
      </x:c>
      <x:c r="J1122" s="8" t="n">
        <x:f>IF(H1122="","",ROUND(H1122*(1+I1122),0))</x:f>
        <x:v>6756</x:v>
      </x:c>
      <x:c r="K1122" s="582" t="n">
        <x:v>0</x:v>
      </x:c>
      <x:c r="L1122" s="582" t="n">
        <x:v>0</x:v>
      </x:c>
      <x:c r="M1122" s="7" t="n">
        <x:f>IF('01_Ustawienia'!$B$4="ZWOLNIONY",0,'01_Ustawienia'!$B$7)</x:f>
        <x:v>0.08</x:v>
      </x:c>
      <x:c r="N1122" s="8" t="n">
        <x:f>IF(J1122="","",ROUND((J1122+K1122)*(1+M1122),0))</x:f>
        <x:v>7296</x:v>
      </x:c>
      <x:c r="O1122" s="8" t="n">
        <x:f>IF(J1122="","",J1122+K1122-H1122-L1122)</x:f>
        <x:v>2097</x:v>
      </x:c>
      <x:c r="P1122" s="7" t="n">
        <x:f>IFERROR(O1122/(J1122+K1122),"")</x:f>
        <x:v>0.31039076376554176</x:v>
      </x:c>
      <x:c r="Q1122" s="715" t="inlineStr">
        <x:is>
          <x:t xml:space="preserve">MODEL_FIX15_LED</x:t>
        </x:is>
      </x:c>
      <x:c r="R1122" s="6" t="inlineStr">
        <x:is>
          <x:t xml:space="preserve">OŚWIETLENIE</x:t>
        </x:is>
      </x:c>
      <x:c r="S1122" s="6" t="inlineStr">
        <x:is>
          <x:t xml:space="preserve">crm_only</x:t>
        </x:is>
      </x:c>
      <x:c r="T1122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123" s="655" customFormat="1" ht="30" customHeight="1">
      <x:c r="A1123" s="6" t="inlineStr">
        <x:is>
          <x:t xml:space="preserve">550 x 1206 cm</x:t>
        </x:is>
      </x:c>
      <x:c r="B1123" s="6" t="inlineStr">
        <x:is>
          <x:t xml:space="preserve">ZP</x:t>
        </x:is>
      </x:c>
      <x:c r="C1123" s="6" t="inlineStr">
        <x:is>
          <x:t xml:space="preserve">Zadaszenie poliwęglan - baza</x:t>
        </x:is>
      </x:c>
      <x:c r="D1123" s="6" t="inlineStr">
        <x:is>
          <x:t xml:space="preserve">ZADASZENIE POLIWĘGLAN</x:t>
        </x:is>
      </x:c>
      <x:c r="E1123" s="8" t="n">
        <x:f>IFERROR(INDEX('02_RAW_INDEX'!$D:$D,MATCH($A1123,'02_RAW_INDEX'!$A:$A,0)),"")</x:f>
        <x:v>31358</x:v>
      </x:c>
      <x:c r="F1123" s="8" t="n">
        <x:f>IFERROR(INDEX('02_RAW_INDEX'!$C:$C,MATCH($A1123,'02_RAW_INDEX'!$A:$A,0)),"")</x:f>
        <x:v>38570</x:v>
      </x:c>
      <x:c r="G1123" s="7" t="n">
        <x:f>'01_Ustawienia'!$B$6</x:f>
        <x:v>0</x:v>
      </x:c>
      <x:c r="H1123" s="8" t="n">
        <x:f>IF(E1123="","",ROUND(IF('01_Ustawienia'!$B$5="BRUTTO",F1123,E1123)*(1-G1123),0))</x:f>
        <x:v>31358</x:v>
      </x:c>
      <x:c r="I1123" s="7" t="n">
        <x:f>IFERROR(IFERROR(INDEX('01_Ustawienia'!$B$15:$B$33,MATCH(B1123,'01_Ustawienia'!$A$15:$A$33,0)),0.45),0.45)</x:f>
        <x:v>0.45</x:v>
      </x:c>
      <x:c r="J1123" s="8" t="n">
        <x:f>IF(H1123="","",ROUND(H1123*(1+I1123),0))</x:f>
        <x:v>45469</x:v>
      </x:c>
      <x:c r="K1123" s="580" t="n">
        <x:v>6660</x:v>
      </x:c>
      <x:c r="L1123" s="580" t="n">
        <x:v>2310</x:v>
      </x:c>
      <x:c r="M1123" s="7" t="n">
        <x:f>IF('01_Ustawienia'!$B$4="ZWOLNIONY",0,'01_Ustawienia'!$B$7)</x:f>
        <x:v>0.08</x:v>
      </x:c>
      <x:c r="N1123" s="8" t="n">
        <x:f>IF(J1123="","",ROUND((J1123+K1123)*(1+M1123),0))</x:f>
        <x:v>56299</x:v>
      </x:c>
      <x:c r="O1123" s="8" t="n">
        <x:f>IF(J1123="","",J1123+K1123-H1123-L1123)</x:f>
        <x:v>18461</x:v>
      </x:c>
      <x:c r="P1123" s="7" t="n">
        <x:f>IFERROR(O1123/(J1123+K1123),"")</x:f>
        <x:v>0.3541406894434959</x:v>
      </x:c>
      <x:c r="Q1123" s="6" t="inlineStr">
        <x:is>
          <x:t xml:space="preserve">RAW_ZP B/C</x:t>
        </x:is>
      </x:c>
      <x:c r="R1123" s="6" t="inlineStr">
        <x:is>
          <x:t xml:space="preserve">ZADASZENIE TARASU KONSTRUKCJA</x:t>
        </x:is>
      </x:c>
      <x:c r="S1123" s="6" t="inlineStr">
        <x:is>
          <x:t xml:space="preserve">website+crm</x:t>
        </x:is>
      </x:c>
      <x:c r="T1123" s="581" t="inlineStr">
        <x:is>
          <x:t xml:space="preserve">Baza dla kalkulatora | FIX11: K/L 550/600 wg ark. 09 (UZUPEŁNIĆ).</x:t>
        </x:is>
      </x:c>
    </x:row>
    <x:row r="1124" s="655" customFormat="1" ht="30" customHeight="1">
      <x:c r="A1124" s="6" t="inlineStr">
        <x:is>
          <x:t xml:space="preserve">550 x 1206 cm</x:t>
        </x:is>
      </x:c>
      <x:c r="B1124" s="6" t="inlineStr">
        <x:is>
          <x:t xml:space="preserve">ZS</x:t>
        </x:is>
      </x:c>
      <x:c r="C1124" s="6" t="inlineStr">
        <x:is>
          <x:t xml:space="preserve">Zadaszenie szkło - pełna konstrukcja</x:t>
        </x:is>
      </x:c>
      <x:c r="D1124" s="6" t="inlineStr">
        <x:is>
          <x:t xml:space="preserve">ZADASZENIE SZKŁO</x:t>
        </x:is>
      </x:c>
      <x:c r="E1124" s="8" t="str">
        <x:f>IFERROR(INDEX('02_RAW_INDEX'!$V:$V,MATCH($A1124,'02_RAW_INDEX'!$A:$A,0)),"")</x:f>
      </x:c>
      <x:c r="F1124" s="8" t="str">
        <x:f>IFERROR(INDEX('02_RAW_INDEX'!$U:$U,MATCH($A1124,'02_RAW_INDEX'!$A:$A,0)),"")</x:f>
      </x:c>
      <x:c r="G1124" s="7" t="n">
        <x:f>'01_Ustawienia'!$B$6</x:f>
        <x:v>0</x:v>
      </x:c>
      <x:c r="H1124" s="8" t="str">
        <x:f>IF(E1124="","",ROUND(IF('01_Ustawienia'!$B$5="BRUTTO",F1124,E1124)*(1-G1124),0))</x:f>
      </x:c>
      <x:c r="I1124" s="7" t="n">
        <x:f>IFERROR(IFERROR(INDEX('01_Ustawienia'!$B$15:$B$33,MATCH(B1124,'01_Ustawienia'!$A$15:$A$33,0)),0.45),0.45)</x:f>
        <x:v>0.45</x:v>
      </x:c>
      <x:c r="J1124" s="8" t="str">
        <x:f>IF(H1124="","",ROUND(H1124*(1+I1124),0))</x:f>
      </x:c>
      <x:c r="K1124" s="580" t="n">
        <x:v>6660</x:v>
      </x:c>
      <x:c r="L1124" s="580" t="n">
        <x:v>2960</x:v>
      </x:c>
      <x:c r="M1124" s="7" t="n">
        <x:f>IF('01_Ustawienia'!$B$4="ZWOLNIONY",0,'01_Ustawienia'!$B$7)</x:f>
        <x:v>0.08</x:v>
      </x:c>
      <x:c r="N1124" s="8" t="str">
        <x:f>IF(J1124="","",ROUND((J1124+K1124)*(1+M1124),0))</x:f>
      </x:c>
      <x:c r="O1124" s="8" t="str">
        <x:f>IF(J1124="","",J1124+K1124-H1124-L1124)</x:f>
      </x:c>
      <x:c r="P1124" s="7" t="n">
        <x:f>IFERROR(O1124/(J1124+K1124),"")</x:f>
        <x:v>0</x:v>
      </x:c>
      <x:c r="Q1124" s="6" t="inlineStr">
        <x:is>
          <x:t xml:space="preserve">RAW_ZS B/C</x:t>
        </x:is>
      </x:c>
      <x:c r="R1124" s="6" t="inlineStr">
        <x:is>
          <x:t xml:space="preserve">ZADASZENIE TARASU KONSTRUKCJA</x:t>
        </x:is>
      </x:c>
      <x:c r="S1124" s="6" t="inlineStr">
        <x:is>
          <x:t xml:space="preserve">crm_only</x:t>
        </x:is>
      </x:c>
      <x:c r="T1124" s="581" t="inlineStr">
        <x:is>
          <x:t xml:space="preserve">Referencyjne/full; strona zwykle używa ZP + PDS | FIX11: K/L 550/600 wg ark. 09 (NIE PUBLIKOWAĆ / BRAK RAW_ZS).</x:t>
        </x:is>
      </x:c>
    </x:row>
    <x:row r="1125" s="655" customFormat="1" ht="30" customHeight="1">
      <x:c r="A1125" s="6" t="inlineStr">
        <x:is>
          <x:t xml:space="preserve">550 x 1206 cm</x:t>
        </x:is>
      </x:c>
      <x:c r="B1125" s="6" t="inlineStr">
        <x:is>
          <x:t xml:space="preserve">OP</x:t>
        </x:is>
      </x:c>
      <x:c r="C1125" s="6" t="inlineStr">
        <x:is>
          <x:t xml:space="preserve">Ogród zimowy poliwęglan - baza</x:t>
        </x:is>
      </x:c>
      <x:c r="D1125" s="6" t="inlineStr">
        <x:is>
          <x:t xml:space="preserve">OGRODY POLIWĘGLAN</x:t>
        </x:is>
      </x:c>
      <x:c r="E1125" s="8" t="n">
        <x:f>IFERROR(INDEX('02_RAW_INDEX'!$Z:$Z,MATCH($A1125,'02_RAW_INDEX'!$A:$A,0)),"")</x:f>
        <x:v>51122</x:v>
      </x:c>
      <x:c r="F1125" s="8" t="n">
        <x:f>IFERROR(INDEX('02_RAW_INDEX'!$Y:$Y,MATCH($A1125,'02_RAW_INDEX'!$A:$A,0)),"")</x:f>
        <x:v>62880</x:v>
      </x:c>
      <x:c r="G1125" s="7" t="n">
        <x:f>'01_Ustawienia'!$B$6</x:f>
        <x:v>0</x:v>
      </x:c>
      <x:c r="H1125" s="8" t="n">
        <x:f>IF(E1125="","",ROUND(IF('01_Ustawienia'!$B$5="BRUTTO",F1125,E1125)*(1-G1125),0))</x:f>
        <x:v>51122</x:v>
      </x:c>
      <x:c r="I1125" s="7" t="n">
        <x:f>IFERROR(IFERROR(INDEX('01_Ustawienia'!$B$15:$B$33,MATCH(B1125,'01_Ustawienia'!$A$15:$A$33,0)),0.45),0.45)</x:f>
        <x:v>0.45</x:v>
      </x:c>
      <x:c r="J1125" s="8" t="n">
        <x:f>IF(H1125="","",ROUND(H1125*(1+I1125),0))</x:f>
        <x:v>74127</x:v>
      </x:c>
      <x:c r="K1125" s="580" t="n">
        <x:v>8130</x:v>
      </x:c>
      <x:c r="L1125" s="580" t="n">
        <x:v>3240</x:v>
      </x:c>
      <x:c r="M1125" s="7" t="n">
        <x:f>IF('01_Ustawienia'!$B$4="ZWOLNIONY",0,'01_Ustawienia'!$B$7)</x:f>
        <x:v>0.08</x:v>
      </x:c>
      <x:c r="N1125" s="8" t="n">
        <x:f>IF(J1125="","",ROUND((J1125+K1125)*(1+M1125),0))</x:f>
        <x:v>88838</x:v>
      </x:c>
      <x:c r="O1125" s="8" t="n">
        <x:f>IF(J1125="","",J1125+K1125-H1125-L1125)</x:f>
        <x:v>27895</x:v>
      </x:c>
      <x:c r="P1125" s="7" t="n">
        <x:f>IFERROR(O1125/(J1125+K1125),"")</x:f>
        <x:v>0.33912007488724366</x:v>
      </x:c>
      <x:c r="Q1125" s="6" t="inlineStr">
        <x:is>
          <x:t xml:space="preserve">RAW_OP B/C</x:t>
        </x:is>
      </x:c>
      <x:c r="R1125" s="6" t="inlineStr">
        <x:is>
          <x:t xml:space="preserve">OGRÓD ZIMOWY (KONSTRUKCJA)</x:t>
        </x:is>
      </x:c>
      <x:c r="S1125" s="6" t="inlineStr">
        <x:is>
          <x:t xml:space="preserve">website+crm</x:t>
        </x:is>
      </x:c>
      <x:c r="T1125" s="581" t="inlineStr">
        <x:is>
          <x:t xml:space="preserve">Do wyliczenia dopłaty za ściany | FIX11: K/L 550/600 wg ark. 09 (UZUPEŁNIĆ).</x:t>
        </x:is>
      </x:c>
    </x:row>
    <x:row r="1126" s="655" customFormat="1" ht="30" customHeight="1">
      <x:c r="A1126" s="6" t="inlineStr">
        <x:is>
          <x:t xml:space="preserve">550 x 1206 cm</x:t>
        </x:is>
      </x:c>
      <x:c r="B1126" s="6" t="inlineStr">
        <x:is>
          <x:t xml:space="preserve">OS</x:t>
        </x:is>
      </x:c>
      <x:c r="C1126" s="6" t="inlineStr">
        <x:is>
          <x:t xml:space="preserve">Ogród zimowy szkło - pełna konstrukcja</x:t>
        </x:is>
      </x:c>
      <x:c r="D1126" s="6" t="inlineStr">
        <x:is>
          <x:t xml:space="preserve">OGRODY SZKŁO</x:t>
        </x:is>
      </x:c>
      <x:c r="E1126" s="8" t="str">
        <x:f>IFERROR(INDEX('02_RAW_INDEX'!$AL:$AL,MATCH($A1126,'02_RAW_INDEX'!$A:$A,0)),"")</x:f>
      </x:c>
      <x:c r="F1126" s="8" t="str">
        <x:f>IFERROR(INDEX('02_RAW_INDEX'!$AK:$AK,MATCH($A1126,'02_RAW_INDEX'!$A:$A,0)),"")</x:f>
      </x:c>
      <x:c r="G1126" s="7" t="n">
        <x:f>'01_Ustawienia'!$B$6</x:f>
        <x:v>0</x:v>
      </x:c>
      <x:c r="H1126" s="8" t="str">
        <x:f>IF(E1126="","",ROUND(IF('01_Ustawienia'!$B$5="BRUTTO",F1126,E1126)*(1-G1126),0))</x:f>
      </x:c>
      <x:c r="I1126" s="7" t="n">
        <x:f>IFERROR(IFERROR(INDEX('01_Ustawienia'!$B$15:$B$33,MATCH(B1126,'01_Ustawienia'!$A$15:$A$33,0)),0.45),0.45)</x:f>
        <x:v>0.45</x:v>
      </x:c>
      <x:c r="J1126" s="8" t="str">
        <x:f>IF(H1126="","",ROUND(H1126*(1+I1126),0))</x:f>
      </x:c>
      <x:c r="K1126" s="580" t="n">
        <x:v>8130</x:v>
      </x:c>
      <x:c r="L1126" s="580" t="n">
        <x:v>3890</x:v>
      </x:c>
      <x:c r="M1126" s="7" t="n">
        <x:f>IF('01_Ustawienia'!$B$4="ZWOLNIONY",0,'01_Ustawienia'!$B$7)</x:f>
        <x:v>0.08</x:v>
      </x:c>
      <x:c r="N1126" s="8" t="str">
        <x:f>IF(J1126="","",ROUND((J1126+K1126)*(1+M1126),0))</x:f>
      </x:c>
      <x:c r="O1126" s="8" t="str">
        <x:f>IF(J1126="","",J1126+K1126-H1126-L1126)</x:f>
      </x:c>
      <x:c r="P1126" s="7" t="n">
        <x:f>IFERROR(O1126/(J1126+K1126),"")</x:f>
        <x:v>0</x:v>
      </x:c>
      <x:c r="Q1126" s="6" t="inlineStr">
        <x:is>
          <x:t xml:space="preserve">RAW_OS B/C</x:t>
        </x:is>
      </x:c>
      <x:c r="R1126" s="6" t="inlineStr">
        <x:is>
          <x:t xml:space="preserve">OGRÓD ZIMOWY (KONSTRUKCJA)</x:t>
        </x:is>
      </x:c>
      <x:c r="S1126" s="6" t="inlineStr">
        <x:is>
          <x:t xml:space="preserve">crm_only</x:t>
        </x:is>
      </x:c>
      <x:c r="T1126" s="581" t="inlineStr">
        <x:is>
          <x:t xml:space="preserve">Referencyjne/full | FIX11: K/L 550/600 wg ark. 09 (NIE PUBLIKOWAĆ / BRAK RAW_OS).</x:t>
        </x:is>
      </x:c>
    </x:row>
    <x:row r="1127" s="655" customFormat="1" ht="30" customHeight="1">
      <x:c r="A1127" s="6" t="inlineStr">
        <x:is>
          <x:t xml:space="preserve">550 x 1206 cm</x:t>
        </x:is>
      </x:c>
      <x:c r="B1127" s="6" t="inlineStr">
        <x:is>
          <x:t xml:space="preserve">PDS</x:t>
        </x:is>
      </x:c>
      <x:c r="C1127" s="6" t="inlineStr">
        <x:is>
          <x:t xml:space="preserve">Dopłata dach szkło przezroczyste</x:t>
        </x:is>
      </x:c>
      <x:c r="D1127" s="6" t="inlineStr">
        <x:is>
          <x:t xml:space="preserve">POKRYCIE DACHU SZKŁO</x:t>
        </x:is>
      </x:c>
      <x:c r="E1127" s="8" t="n">
        <x:f>IFERROR(IFERROR(INDEX('02_RAW_INDEX'!$V:$V,MATCH($A1127,'02_RAW_INDEX'!$A:$A,0)),"")-IFERROR(INDEX('02_RAW_INDEX'!$D:$D,MATCH($A1127,'02_RAW_INDEX'!$A:$A,0)),""),"")</x:f>
        <x:v>-31358</x:v>
      </x:c>
      <x:c r="F1127" s="8" t="n">
        <x:f>IFERROR(IFERROR(INDEX('02_RAW_INDEX'!$U:$U,MATCH($A1127,'02_RAW_INDEX'!$A:$A,0)),"")-IFERROR(INDEX('02_RAW_INDEX'!$C:$C,MATCH($A1127,'02_RAW_INDEX'!$A:$A,0)),""),"")</x:f>
        <x:v>-38570</x:v>
      </x:c>
      <x:c r="G1127" s="7" t="n">
        <x:f>'01_Ustawienia'!$B$6</x:f>
        <x:v>0</x:v>
      </x:c>
      <x:c r="H1127" s="8" t="n">
        <x:f>IF(E1127="","",ROUND(IF('01_Ustawienia'!$B$5="BRUTTO",F1127,E1127)*(1-G1127),0))</x:f>
        <x:v>-31358</x:v>
      </x:c>
      <x:c r="I1127" s="7" t="n">
        <x:f>IFERROR(IFERROR(INDEX('01_Ustawienia'!$B$15:$B$33,MATCH(B1127,'01_Ustawienia'!$A$15:$A$33,0)),0.45),0.45)</x:f>
        <x:v>0.45</x:v>
      </x:c>
      <x:c r="J1127" s="8" t="n">
        <x:f>IF(H1127="","",ROUND(H1127*(1+I1127),0))</x:f>
        <x:v>-45469</x:v>
      </x:c>
      <x:c r="K1127" s="580" t="n">
        <x:v>0</x:v>
      </x:c>
      <x:c r="L1127" s="580" t="n">
        <x:v>0</x:v>
      </x:c>
      <x:c r="M1127" s="7" t="n">
        <x:f>IF('01_Ustawienia'!$B$4="ZWOLNIONY",0,'01_Ustawienia'!$B$7)</x:f>
        <x:v>0.08</x:v>
      </x:c>
      <x:c r="N1127" s="8" t="n">
        <x:f>IF(J1127="","",ROUND((J1127+K1127)*(1+M1127),0))</x:f>
        <x:v>-49107</x:v>
      </x:c>
      <x:c r="O1127" s="8" t="n">
        <x:f>IF(J1127="","",J1127+K1127-H1127-L1127)</x:f>
        <x:v>-14111</x:v>
      </x:c>
      <x:c r="P1127" s="7" t="n">
        <x:f>IFERROR(O1127/(J1127+K1127),"")</x:f>
        <x:v>0.31034331082715694</x:v>
      </x:c>
      <x:c r="Q1127" s="6" t="inlineStr">
        <x:is>
          <x:t xml:space="preserve">RAW_ZS - RAW_ZP</x:t>
        </x:is>
      </x:c>
      <x:c r="R1127" s="6" t="inlineStr">
        <x:is>
          <x:t xml:space="preserve">POKRYCIE DACHU</x:t>
        </x:is>
      </x:c>
      <x:c r="S1127" s="6" t="inlineStr">
        <x:is>
          <x:t xml:space="preserve">website+crm</x:t>
        </x:is>
      </x:c>
      <x:c r="T1127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128" s="655" customFormat="1" ht="30" customHeight="1">
      <x:c r="A1128" s="6" t="inlineStr">
        <x:is>
          <x:t xml:space="preserve">550 x 1206 cm</x:t>
        </x:is>
      </x:c>
      <x:c r="B1128" s="6" t="inlineStr">
        <x:is>
          <x:t xml:space="preserve">PDSB</x:t>
        </x:is>
      </x:c>
      <x:c r="C1128" s="6" t="inlineStr">
        <x:is>
          <x:t xml:space="preserve">Dopłata dach szkło barwione/mleczne</x:t>
        </x:is>
      </x:c>
      <x:c r="D1128" s="6" t="inlineStr">
        <x:is>
          <x:t xml:space="preserve">POKRYCIE DACHU SZKŁO BARWIONE</x:t>
        </x:is>
      </x:c>
      <x:c r="E1128" s="8" t="str">
        <x:f>IFERROR(INDEX('02_RAW_INDEX'!$X:$X,MATCH($A1128,'02_RAW_INDEX'!$A:$A,0)),"")</x:f>
      </x:c>
      <x:c r="F1128" s="8" t="str">
        <x:f>IFERROR(INDEX('02_RAW_INDEX'!$W:$W,MATCH($A1128,'02_RAW_INDEX'!$A:$A,0)),"")</x:f>
      </x:c>
      <x:c r="G1128" s="7" t="n">
        <x:f>'01_Ustawienia'!$B$6</x:f>
        <x:v>0</x:v>
      </x:c>
      <x:c r="H1128" s="8" t="str">
        <x:f>IF(E1128="","",ROUND(IF('01_Ustawienia'!$B$5="BRUTTO",F1128,E1128)*(1-G1128),0))</x:f>
      </x:c>
      <x:c r="I1128" s="7" t="n">
        <x:f>IFERROR(IFERROR(INDEX('01_Ustawienia'!$B$15:$B$33,MATCH(B1128,'01_Ustawienia'!$A$15:$A$33,0)),0.45),0.45)</x:f>
        <x:v>0.45</x:v>
      </x:c>
      <x:c r="J1128" s="8" t="str">
        <x:f>IF(H1128="","",ROUND(H1128*(1+I1128),0))</x:f>
      </x:c>
      <x:c r="K1128" s="582" t="n">
        <x:v>0</x:v>
      </x:c>
      <x:c r="L1128" s="582" t="n">
        <x:v>0</x:v>
      </x:c>
      <x:c r="M1128" s="7" t="n">
        <x:f>IF('01_Ustawienia'!$B$4="ZWOLNIONY",0,'01_Ustawienia'!$B$7)</x:f>
        <x:v>0.08</x:v>
      </x:c>
      <x:c r="N1128" s="8" t="str">
        <x:f>IF(J1128="","",ROUND((J1128+K1128)*(1+M1128),0))</x:f>
      </x:c>
      <x:c r="O1128" s="8" t="str">
        <x:f>IF(J1128="","",J1128+K1128-H1128-L1128)</x:f>
      </x:c>
      <x:c r="P1128" s="7" t="str">
        <x:f>IFERROR(O1128/(J1128+K1128),"")</x:f>
      </x:c>
      <x:c r="Q1128" s="6" t="inlineStr">
        <x:is>
          <x:t xml:space="preserve">RAW_ZS D/E</x:t>
        </x:is>
      </x:c>
      <x:c r="R1128" s="6" t="inlineStr">
        <x:is>
          <x:t xml:space="preserve">POKRYCIE DACHU</x:t>
        </x:is>
      </x:c>
      <x:c r="S1128" s="6" t="inlineStr">
        <x:is>
          <x:t xml:space="preserve">website+crm</x:t>
        </x:is>
      </x:c>
      <x:c r="T1128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129" s="655" customFormat="1" ht="30" customHeight="1">
      <x:c r="A1129" s="6" t="inlineStr">
        <x:is>
          <x:t xml:space="preserve">550 x 1206 cm</x:t>
        </x:is>
      </x:c>
      <x:c r="B1129" s="6" t="inlineStr">
        <x:is>
          <x:t xml:space="preserve">PDPB</x:t>
        </x:is>
      </x:c>
      <x:c r="C1129" s="6" t="inlineStr">
        <x:is>
          <x:t xml:space="preserve">Dopłata poliwęglan barwiony</x:t>
        </x:is>
      </x:c>
      <x:c r="D1129" s="6" t="inlineStr">
        <x:is>
          <x:t xml:space="preserve">POKRYCIE DACHU POLIWĘGLAN BARWIONY</x:t>
        </x:is>
      </x:c>
      <x:c r="E1129" s="8" t="n">
        <x:f>IFERROR(INDEX('02_RAW_INDEX'!$F:$F,MATCH($A1129,'02_RAW_INDEX'!$A:$A,0)),"")</x:f>
        <x:v>935</x:v>
      </x:c>
      <x:c r="F1129" s="8" t="n">
        <x:f>IFERROR(INDEX('02_RAW_INDEX'!$E:$E,MATCH($A1129,'02_RAW_INDEX'!$A:$A,0)),"")</x:f>
        <x:v>1150</x:v>
      </x:c>
      <x:c r="G1129" s="7" t="n">
        <x:f>'01_Ustawienia'!$B$6</x:f>
        <x:v>0</x:v>
      </x:c>
      <x:c r="H1129" s="8" t="n">
        <x:f>IF(E1129="","",ROUND(IF('01_Ustawienia'!$B$5="BRUTTO",F1129,E1129)*(1-G1129),0))</x:f>
        <x:v>935</x:v>
      </x:c>
      <x:c r="I1129" s="7" t="n">
        <x:f>IFERROR(IFERROR(INDEX('01_Ustawienia'!$B$15:$B$33,MATCH(B1129,'01_Ustawienia'!$A$15:$A$33,0)),0.45),0.45)</x:f>
        <x:v>0.45</x:v>
      </x:c>
      <x:c r="J1129" s="8" t="n">
        <x:f>IF(H1129="","",ROUND(H1129*(1+I1129),0))</x:f>
        <x:v>1356</x:v>
      </x:c>
      <x:c r="K1129" s="582" t="n">
        <x:v>0</x:v>
      </x:c>
      <x:c r="L1129" s="582" t="n">
        <x:v>0</x:v>
      </x:c>
      <x:c r="M1129" s="7" t="n">
        <x:f>IF('01_Ustawienia'!$B$4="ZWOLNIONY",0,'01_Ustawienia'!$B$7)</x:f>
        <x:v>0.08</x:v>
      </x:c>
      <x:c r="N1129" s="8" t="n">
        <x:f>IF(J1129="","",ROUND((J1129+K1129)*(1+M1129),0))</x:f>
        <x:v>1464</x:v>
      </x:c>
      <x:c r="O1129" s="8" t="n">
        <x:f>IF(J1129="","",J1129+K1129-H1129-L1129)</x:f>
        <x:v>421</x:v>
      </x:c>
      <x:c r="P1129" s="7" t="n">
        <x:f>IFERROR(O1129/(J1129+K1129),"")</x:f>
        <x:v>0.31047197640117996</x:v>
      </x:c>
      <x:c r="Q1129" s="6" t="inlineStr">
        <x:is>
          <x:t xml:space="preserve">RAW_ZP D/E</x:t>
        </x:is>
      </x:c>
      <x:c r="R1129" s="6" t="inlineStr">
        <x:is>
          <x:t xml:space="preserve">POKRYCIE DACHU</x:t>
        </x:is>
      </x:c>
      <x:c r="S1129" s="6" t="inlineStr">
        <x:is>
          <x:t xml:space="preserve">website+crm</x:t>
        </x:is>
      </x:c>
      <x:c r="T1129" s="581" t="inlineStr">
        <x:is>
          <x:t xml:space="preserve">FIX11: K/L 550/600 wg ark. 09 (POZOSTAWIĆ 0). | FIX17: Wynagr.+koszty = 0 dla dopłaty; nie jest osobnym montażem ekipy.</x:t>
        </x:is>
      </x:c>
    </x:row>
    <x:row r="1130" s="655" customFormat="1" ht="30" customHeight="1">
      <x:c r="A1130" s="6" t="inlineStr">
        <x:is>
          <x:t xml:space="preserve">550 x 1206 cm</x:t>
        </x:is>
      </x:c>
      <x:c r="B1130" s="6" t="inlineStr">
        <x:is>
          <x:t xml:space="preserve">SBB</x:t>
        </x:is>
      </x:c>
      <x:c r="C1130" s="6" t="inlineStr">
        <x:is>
          <x:t xml:space="preserve">Dopłata szkło boczne przyciemniane</x:t>
        </x:is>
      </x:c>
      <x:c r="D1130" s="6" t="inlineStr">
        <x:is>
          <x:t xml:space="preserve">SZKŁO BOCZNE BARWIONE</x:t>
        </x:is>
      </x:c>
      <x:c r="E1130" s="8" t="n">
        <x:f>IFERROR(INDEX('02_RAW_INDEX'!$AB:$AB,MATCH($A1130,'02_RAW_INDEX'!$A:$A,0)),"")</x:f>
        <x:v>2244</x:v>
      </x:c>
      <x:c r="F1130" s="8" t="n">
        <x:f>IFERROR(INDEX('02_RAW_INDEX'!$AA:$AA,MATCH($A1130,'02_RAW_INDEX'!$A:$A,0)),"")</x:f>
        <x:v>2760</x:v>
      </x:c>
      <x:c r="G1130" s="7" t="n">
        <x:f>'01_Ustawienia'!$B$6</x:f>
        <x:v>0</x:v>
      </x:c>
      <x:c r="H1130" s="8" t="n">
        <x:f>IF(E1130="","",ROUND(IF('01_Ustawienia'!$B$5="BRUTTO",F1130,E1130)*(1-G1130),0))</x:f>
        <x:v>2244</x:v>
      </x:c>
      <x:c r="I1130" s="7" t="n">
        <x:f>IFERROR(IFERROR(INDEX('01_Ustawienia'!$B$15:$B$33,MATCH(B1130,'01_Ustawienia'!$A$15:$A$33,0)),0.45),0.45)</x:f>
        <x:v>0.45</x:v>
      </x:c>
      <x:c r="J1130" s="8" t="n">
        <x:f>IF(H1130="","",ROUND(H1130*(1+I1130),0))</x:f>
        <x:v>3254</x:v>
      </x:c>
      <x:c r="K1130" s="582" t="n">
        <x:v>0</x:v>
      </x:c>
      <x:c r="L1130" s="582" t="n">
        <x:v>0</x:v>
      </x:c>
      <x:c r="M1130" s="7" t="n">
        <x:f>IF('01_Ustawienia'!$B$4="ZWOLNIONY",0,'01_Ustawienia'!$B$7)</x:f>
        <x:v>0.08</x:v>
      </x:c>
      <x:c r="N1130" s="8" t="n">
        <x:f>IF(J1130="","",ROUND((J1130+K1130)*(1+M1130),0))</x:f>
        <x:v>3514</x:v>
      </x:c>
      <x:c r="O1130" s="8" t="n">
        <x:f>IF(J1130="","",J1130+K1130-H1130-L1130)</x:f>
        <x:v>1010</x:v>
      </x:c>
      <x:c r="P1130" s="7" t="n">
        <x:f>IFERROR(O1130/(J1130+K1130),"")</x:f>
        <x:v>0.31038721573448064</x:v>
      </x:c>
      <x:c r="Q1130" s="6" t="inlineStr">
        <x:is>
          <x:t xml:space="preserve">RAW_OP H/I</x:t>
        </x:is>
      </x:c>
      <x:c r="R1130" s="6" t="inlineStr">
        <x:is>
          <x:t xml:space="preserve">SZYBY BOCZNE</x:t>
        </x:is>
      </x:c>
      <x:c r="S1130" s="6" t="inlineStr">
        <x:is>
          <x:t xml:space="preserve">website+crm</x:t>
        </x:is>
      </x:c>
      <x:c r="T1130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131" s="655" customFormat="1" ht="29.5" customHeight="1">
      <x:c r="A1131" s="6" t="inlineStr">
        <x:is>
          <x:t xml:space="preserve">550 x 1206 cm</x:t>
        </x:is>
      </x:c>
      <x:c r="B1131" s="6" t="inlineStr">
        <x:is>
          <x:t xml:space="preserve">RB</x:t>
        </x:is>
      </x:c>
      <x:c r="C1131" s="6" t="inlineStr">
        <x:is>
          <x:t xml:space="preserve">Roleta boczna ZIP</x:t>
        </x:is>
      </x:c>
      <x:c r="D1131" s="6" t="inlineStr">
        <x:is>
          <x:t xml:space="preserve">ROLETA BOCZNA</x:t>
        </x:is>
      </x:c>
      <x:c r="E1131" s="8" t="n">
        <x:f>IFERROR(INDEX('02_RAW_INDEX'!$J:$J,MATCH($A1131,'02_RAW_INDEX'!$A:$A,0)),"")</x:f>
        <x:v>3236</x:v>
      </x:c>
      <x:c r="F1131" s="8" t="n">
        <x:f>IFERROR(INDEX('02_RAW_INDEX'!$I:$I,MATCH($A1131,'02_RAW_INDEX'!$A:$A,0)),"")</x:f>
        <x:v>3980</x:v>
      </x:c>
      <x:c r="G1131" s="7" t="n">
        <x:f>'01_Ustawienia'!$B$6</x:f>
        <x:v>0</x:v>
      </x:c>
      <x:c r="H1131" s="8" t="n">
        <x:f>IF(E1131="","",ROUND(IF('01_Ustawienia'!$B$5="BRUTTO",F1131,E1131)*(1-G1131),0))</x:f>
        <x:v>3236</x:v>
      </x:c>
      <x:c r="I1131" s="7" t="n">
        <x:f>IFERROR(IFERROR(INDEX('01_Ustawienia'!$B$15:$B$33,MATCH(B1131,'01_Ustawienia'!$A$15:$A$33,0)),0.45),0.45)</x:f>
        <x:v>0.45</x:v>
      </x:c>
      <x:c r="J1131" s="8" t="n">
        <x:f>IF(H1131="","",ROUND(H1131*(1+I1131),0))</x:f>
        <x:v>4692</x:v>
      </x:c>
      <x:c r="K1131" s="580" t="n">
        <x:v>0</x:v>
      </x:c>
      <x:c r="L1131" s="580" t="n">
        <x:v>150</x:v>
      </x:c>
      <x:c r="M1131" s="7" t="n">
        <x:f>IF('01_Ustawienia'!$B$4="ZWOLNIONY",0,'01_Ustawienia'!$B$7)</x:f>
        <x:v>0.08</x:v>
      </x:c>
      <x:c r="N1131" s="8" t="n">
        <x:f>IF(J1131="","",ROUND((J1131+K1131)*(1+M1131),0))</x:f>
        <x:v>5067</x:v>
      </x:c>
      <x:c r="O1131" s="8" t="n">
        <x:f>IF(J1131="","",J1131+K1131-H1131-L1131)</x:f>
        <x:v>1306</x:v>
      </x:c>
      <x:c r="P1131" s="7" t="n">
        <x:f>IFERROR(O1131/(J1131+K1131),"")</x:f>
        <x:v>0.2783461210571185</x:v>
      </x:c>
      <x:c r="Q1131" s="6" t="inlineStr">
        <x:is>
          <x:t xml:space="preserve">RAW_ZP J/K</x:t>
        </x:is>
      </x:c>
      <x:c r="R1131" s="6" t="inlineStr">
        <x:is>
          <x:t xml:space="preserve">ROLETY BOCZNE</x:t>
        </x:is>
      </x:c>
      <x:c r="S1131" s="6" t="inlineStr">
        <x:is>
          <x:t xml:space="preserve">website+crm</x:t>
        </x:is>
      </x:c>
      <x:c r="T1131" s="581" t="inlineStr">
        <x:is>
          <x:t xml:space="preserve">Używana dla lewej i prawej | FIX11: K/L 550/600 wg ark. 09 (UZUPEŁNIĆ L).</x:t>
        </x:is>
      </x:c>
    </x:row>
    <x:row r="1132" s="655" customFormat="1" ht="29.5" customHeight="1">
      <x:c r="A1132" s="6" t="inlineStr">
        <x:is>
          <x:t xml:space="preserve">550 x 1206 cm</x:t>
        </x:is>
      </x:c>
      <x:c r="B1132" s="6" t="inlineStr">
        <x:is>
          <x:t xml:space="preserve">RP</x:t>
        </x:is>
      </x:c>
      <x:c r="C1132" s="6" t="inlineStr">
        <x:is>
          <x:t xml:space="preserve">Roleta przednia ZIP</x:t>
        </x:is>
      </x:c>
      <x:c r="D1132" s="6" t="inlineStr">
        <x:is>
          <x:t xml:space="preserve">ROLETA PRZÓD</x:t>
        </x:is>
      </x:c>
      <x:c r="E1132" s="8" t="n">
        <x:f>IFERROR(INDEX('02_RAW_INDEX'!$L:$L,MATCH($A1132,'02_RAW_INDEX'!$A:$A,0)),"")</x:f>
        <x:v>6439</x:v>
      </x:c>
      <x:c r="F1132" s="8" t="n">
        <x:f>IFERROR(INDEX('02_RAW_INDEX'!$K:$K,MATCH($A1132,'02_RAW_INDEX'!$A:$A,0)),"")</x:f>
        <x:v>7920</x:v>
      </x:c>
      <x:c r="G1132" s="7" t="n">
        <x:f>'01_Ustawienia'!$B$6</x:f>
        <x:v>0</x:v>
      </x:c>
      <x:c r="H1132" s="8" t="n">
        <x:f>IF(E1132="","",ROUND(IF('01_Ustawienia'!$B$5="BRUTTO",F1132,E1132)*(1-G1132),0))</x:f>
        <x:v>6439</x:v>
      </x:c>
      <x:c r="I1132" s="7" t="n">
        <x:f>IFERROR(IFERROR(INDEX('01_Ustawienia'!$B$15:$B$33,MATCH(B1132,'01_Ustawienia'!$A$15:$A$33,0)),0.45),0.45)</x:f>
        <x:v>0.45</x:v>
      </x:c>
      <x:c r="J1132" s="8" t="n">
        <x:f>IF(H1132="","",ROUND(H1132*(1+I1132),0))</x:f>
        <x:v>9337</x:v>
      </x:c>
      <x:c r="K1132" s="580" t="n">
        <x:v>0</x:v>
      </x:c>
      <x:c r="L1132" s="580" t="n">
        <x:v>450</x:v>
      </x:c>
      <x:c r="M1132" s="7" t="n">
        <x:f>IF('01_Ustawienia'!$B$4="ZWOLNIONY",0,'01_Ustawienia'!$B$7)</x:f>
        <x:v>0.08</x:v>
      </x:c>
      <x:c r="N1132" s="8" t="n">
        <x:f>IF(J1132="","",ROUND((J1132+K1132)*(1+M1132),0))</x:f>
        <x:v>10084</x:v>
      </x:c>
      <x:c r="O1132" s="8" t="n">
        <x:f>IF(J1132="","",J1132+K1132-H1132-L1132)</x:f>
        <x:v>2448</x:v>
      </x:c>
      <x:c r="P1132" s="7" t="n">
        <x:f>IFERROR(O1132/(J1132+K1132),"")</x:f>
        <x:v>0.2621827139338117</x:v>
      </x:c>
      <x:c r="Q1132" s="6" t="inlineStr">
        <x:is>
          <x:t xml:space="preserve">RAW_ZP N/O</x:t>
        </x:is>
      </x:c>
      <x:c r="R1132" s="6" t="inlineStr">
        <x:is>
          <x:t xml:space="preserve">ROLETY BOCZNE</x:t>
        </x:is>
      </x:c>
      <x:c r="S1132" s="6" t="inlineStr">
        <x:is>
          <x:t xml:space="preserve">website+crm</x:t>
        </x:is>
      </x:c>
      <x:c r="T1132" s="581" t="inlineStr">
        <x:is>
          <x:t xml:space="preserve">FIX11: K/L 550/600 wg ark. 09 (UZUPEŁNIĆ L).</x:t>
        </x:is>
      </x:c>
    </x:row>
    <x:row r="1133" s="655" customFormat="1" ht="29.5" customHeight="1">
      <x:c r="A1133" s="6" t="inlineStr">
        <x:is>
          <x:t xml:space="preserve">550 x 1206 cm</x:t>
        </x:is>
      </x:c>
      <x:c r="B1133" s="6" t="inlineStr">
        <x:is>
          <x:t xml:space="preserve">M</x:t>
        </x:is>
      </x:c>
      <x:c r="C1133" s="6" t="inlineStr">
        <x:is>
          <x:t xml:space="preserve">Markiza dachowa</x:t>
        </x:is>
      </x:c>
      <x:c r="D1133" s="6" t="inlineStr">
        <x:is>
          <x:t xml:space="preserve">MARKIZA</x:t>
        </x:is>
      </x:c>
      <x:c r="E1133" s="8" t="n">
        <x:f>IFERROR(INDEX('02_RAW_INDEX'!$H:$H,MATCH($A1133,'02_RAW_INDEX'!$A:$A,0)),"")</x:f>
        <x:v>11390</x:v>
      </x:c>
      <x:c r="F1133" s="8" t="n">
        <x:f>IFERROR(INDEX('02_RAW_INDEX'!$G:$G,MATCH($A1133,'02_RAW_INDEX'!$A:$A,0)),"")</x:f>
        <x:v>14010</x:v>
      </x:c>
      <x:c r="G1133" s="7" t="n">
        <x:f>'01_Ustawienia'!$B$6</x:f>
        <x:v>0</x:v>
      </x:c>
      <x:c r="H1133" s="8" t="n">
        <x:f>IF(E1133="","",ROUND(IF('01_Ustawienia'!$B$5="BRUTTO",F1133,E1133)*(1-G1133),0))</x:f>
        <x:v>11390</x:v>
      </x:c>
      <x:c r="I1133" s="7" t="n">
        <x:f>IFERROR(IFERROR(INDEX('01_Ustawienia'!$B$15:$B$33,MATCH(B1133,'01_Ustawienia'!$A$15:$A$33,0)),0.45),0.45)</x:f>
        <x:v>0.45</x:v>
      </x:c>
      <x:c r="J1133" s="8" t="n">
        <x:f>IF(H1133="","",ROUND(H1133*(1+I1133),0))</x:f>
        <x:v>16516</x:v>
      </x:c>
      <x:c r="K1133" s="580" t="n">
        <x:v>0</x:v>
      </x:c>
      <x:c r="L1133" s="580" t="n">
        <x:v>700</x:v>
      </x:c>
      <x:c r="M1133" s="7" t="n">
        <x:f>IF('01_Ustawienia'!$B$4="ZWOLNIONY",0,'01_Ustawienia'!$B$7)</x:f>
        <x:v>0.08</x:v>
      </x:c>
      <x:c r="N1133" s="8" t="n">
        <x:f>IF(J1133="","",ROUND((J1133+K1133)*(1+M1133),0))</x:f>
        <x:v>17837</x:v>
      </x:c>
      <x:c r="O1133" s="8" t="n">
        <x:f>IF(J1133="","",J1133+K1133-H1133-L1133)</x:f>
        <x:v>4426</x:v>
      </x:c>
      <x:c r="P1133" s="7" t="n">
        <x:f>IFERROR(O1133/(J1133+K1133),"")</x:f>
        <x:v>0.26798256236376844</x:v>
      </x:c>
      <x:c r="Q1133" s="6" t="inlineStr">
        <x:is>
          <x:t xml:space="preserve">RAW_ZP H/I</x:t>
        </x:is>
      </x:c>
      <x:c r="R1133" s="6" t="inlineStr">
        <x:is>
          <x:t xml:space="preserve">MARKIZA</x:t>
        </x:is>
      </x:c>
      <x:c r="S1133" s="6" t="inlineStr">
        <x:is>
          <x:t xml:space="preserve">website+crm</x:t>
        </x:is>
      </x:c>
      <x:c r="T1133" s="581" t="inlineStr">
        <x:is>
          <x:t xml:space="preserve">FIX11: K/L 550/600 wg ark. 09 (UZUPEŁNIĆ L).</x:t>
        </x:is>
      </x:c>
    </x:row>
    <x:row r="1134" s="655" customFormat="1" ht="44.25" customHeight="1">
      <x:c r="A1134" s="6" t="inlineStr">
        <x:is>
          <x:t xml:space="preserve">550 x 1206 cm</x:t>
        </x:is>
      </x:c>
      <x:c r="B1134" s="6" t="inlineStr">
        <x:is>
          <x:t xml:space="preserve">PDWP</x:t>
        </x:is>
      </x:c>
      <x:c r="C1134" s="6" t="inlineStr">
        <x:is>
          <x:t xml:space="preserve">Fundament/profile</x:t>
        </x:is>
      </x:c>
      <x:c r="D1134" s="6" t="inlineStr">
        <x:is>
          <x:t xml:space="preserve">FUNDAMENT / PROFILE</x:t>
        </x:is>
      </x:c>
      <x:c r="E1134" s="8" t="n">
        <x:f>IFERROR(INDEX('02_RAW_INDEX'!$AH:$AH,MATCH($A1134,'02_RAW_INDEX'!$A:$A,0)),"")</x:f>
        <x:v>2000</x:v>
      </x:c>
      <x:c r="F1134" s="8" t="n">
        <x:f>IFERROR(INDEX('02_RAW_INDEX'!$AG:$AG,MATCH($A1134,'02_RAW_INDEX'!$A:$A,0)),"")</x:f>
        <x:v>2460</x:v>
      </x:c>
      <x:c r="G1134" s="7" t="n">
        <x:f>'01_Ustawienia'!$B$6</x:f>
        <x:v>0</x:v>
      </x:c>
      <x:c r="H1134" s="8" t="n">
        <x:f>IF(E1134="","",ROUND(IF('01_Ustawienia'!$B$5="BRUTTO",F1134,E1134)*(1-G1134),0))</x:f>
        <x:v>2000</x:v>
      </x:c>
      <x:c r="I1134" s="7" t="n">
        <x:f>IFERROR(IFERROR(INDEX('01_Ustawienia'!$B$15:$B$33,MATCH(B1134,'01_Ustawienia'!$A$15:$A$33,0)),0.45),0.45)</x:f>
        <x:v>1.2</x:v>
      </x:c>
      <x:c r="J1134" s="8" t="n">
        <x:f>IF(H1134="","",ROUND(H1134*(1+I1134),0))</x:f>
        <x:v>4400</x:v>
      </x:c>
      <x:c r="K1134" s="580" t="n">
        <x:v>760</x:v>
      </x:c>
      <x:c r="L1134" s="580" t="n">
        <x:v>740</x:v>
      </x:c>
      <x:c r="M1134" s="7" t="n">
        <x:f>IF('01_Ustawienia'!$B$4="ZWOLNIONY",0,'01_Ustawienia'!$B$7)</x:f>
        <x:v>0.08</x:v>
      </x:c>
      <x:c r="N1134" s="8" t="n">
        <x:f>IF(J1134="","",ROUND((J1134+K1134)*(1+M1134),0))</x:f>
        <x:v>5573</x:v>
      </x:c>
      <x:c r="O1134" s="8" t="n">
        <x:f>IF(J1134="","",J1134+K1134-H1134-L1134)</x:f>
        <x:v>2420</x:v>
      </x:c>
      <x:c r="P1134" s="7" t="n">
        <x:f>IFERROR(O1134/(J1134+K1134),"")</x:f>
        <x:v>0.4689922480620155</x:v>
      </x:c>
      <x:c r="Q1134" s="6" t="inlineStr">
        <x:is>
          <x:t xml:space="preserve">RAW_OP AB/AC</x:t>
        </x:is>
      </x:c>
      <x:c r="R1134" s="6" t="inlineStr">
        <x:is>
          <x:t xml:space="preserve">FUNDAMENT (PROFILE)</x:t>
        </x:is>
      </x:c>
      <x:c r="S1134" s="6" t="inlineStr">
        <x:is>
          <x:t xml:space="preserve">website+crm</x:t>
        </x:is>
      </x:c>
      <x:c r="T1134" s="581" t="inlineStr">
        <x:is>
          <x:t xml:space="preserve">FIX11: K/L 550/600 wg ark. 09 (UZUPEŁNIĆ K+L / KOREKTA RENTOWNOŚCI).</x:t>
        </x:is>
      </x:c>
    </x:row>
    <x:row r="1135" s="655" customFormat="1" ht="30" customHeight="1">
      <x:c r="A1135" s="6" t="inlineStr">
        <x:is>
          <x:t xml:space="preserve">550 x 1206 cm</x:t>
        </x:is>
      </x:c>
      <x:c r="B1135" s="6" t="inlineStr">
        <x:is>
          <x:t xml:space="preserve">ZAB</x:t>
        </x:is>
      </x:c>
      <x:c r="C1135" s="6" t="inlineStr">
        <x:is>
          <x:t xml:space="preserve">Zabieraki do ścian przesuwnych</x:t>
        </x:is>
      </x:c>
      <x:c r="D1135" s="6" t="inlineStr">
        <x:is>
          <x:t xml:space="preserve">DODATKI</x:t>
        </x:is>
      </x:c>
      <x:c r="E1135" s="8" t="n">
        <x:f>IFERROR(INDEX('02_RAW_INDEX'!$AJ:$AJ,MATCH($A1135,'02_RAW_INDEX'!$A:$A,0)),"")</x:f>
        <x:v>618</x:v>
      </x:c>
      <x:c r="F1135" s="8" t="n">
        <x:f>IFERROR(INDEX('02_RAW_INDEX'!$AI:$AI,MATCH($A1135,'02_RAW_INDEX'!$A:$A,0)),"")</x:f>
        <x:v>760</x:v>
      </x:c>
      <x:c r="G1135" s="7" t="n">
        <x:f>'01_Ustawienia'!$B$6</x:f>
        <x:v>0</x:v>
      </x:c>
      <x:c r="H1135" s="8" t="n">
        <x:f>IF(E1135="","",ROUND(IF('01_Ustawienia'!$B$5="BRUTTO",F1135,E1135)*(1-G1135),0))</x:f>
        <x:v>618</x:v>
      </x:c>
      <x:c r="I1135" s="7" t="n">
        <x:f>IFERROR(IFERROR(INDEX('01_Ustawienia'!$B$15:$B$33,MATCH(B1135,'01_Ustawienia'!$A$15:$A$33,0)),0.45),0.45)</x:f>
        <x:v>0.45</x:v>
      </x:c>
      <x:c r="J1135" s="8" t="n">
        <x:f>IF(H1135="","",ROUND(H1135*(1+I1135),0))</x:f>
        <x:v>896</x:v>
      </x:c>
      <x:c r="K1135" s="582" t="n">
        <x:v>0</x:v>
      </x:c>
      <x:c r="L1135" s="582" t="n">
        <x:v>0</x:v>
      </x:c>
      <x:c r="M1135" s="7" t="n">
        <x:f>IF('01_Ustawienia'!$B$4="ZWOLNIONY",0,'01_Ustawienia'!$B$7)</x:f>
        <x:v>0.08</x:v>
      </x:c>
      <x:c r="N1135" s="8" t="n">
        <x:f>IF(J1135="","",ROUND((J1135+K1135)*(1+M1135),0))</x:f>
        <x:v>968</x:v>
      </x:c>
      <x:c r="O1135" s="8" t="n">
        <x:f>IF(J1135="","",J1135+K1135-H1135-L1135)</x:f>
        <x:v>278</x:v>
      </x:c>
      <x:c r="P1135" s="7" t="n">
        <x:f>IFERROR(O1135/(J1135+K1135),"")</x:f>
        <x:v>0.31026785714285715</x:v>
      </x:c>
      <x:c r="Q1135" s="6" t="inlineStr">
        <x:is>
          <x:t xml:space="preserve">RAW_OP AD/AE</x:t>
        </x:is>
      </x:c>
      <x:c r="R1135" s="6" t="inlineStr">
        <x:is>
          <x:t xml:space="preserve">DODATKI</x:t>
        </x:is>
      </x:c>
      <x:c r="S1135" s="6" t="inlineStr">
        <x:is>
          <x:t xml:space="preserve">crm_only</x:t>
        </x:is>
      </x:c>
      <x:c r="T1135" s="581" t="inlineStr">
        <x:is>
          <x:t xml:space="preserve">FIX11: K/L 550/600 wg ark. 09 (POZOSTAWIĆ 0).</x:t>
        </x:is>
      </x:c>
    </x:row>
    <x:row r="1136" s="655" customFormat="1" ht="29.5" customHeight="1">
      <x:c r="A1136" s="6" t="inlineStr">
        <x:is>
          <x:t xml:space="preserve">550 x 1206 cm</x:t>
        </x:is>
      </x:c>
      <x:c r="B1136" s="6" t="inlineStr">
        <x:is>
          <x:t xml:space="preserve">S</x:t>
        </x:is>
      </x:c>
      <x:c r="C1136" s="6" t="inlineStr">
        <x:is>
          <x:t xml:space="preserve">Szczotki przeciwkurzowe</x:t>
        </x:is>
      </x:c>
      <x:c r="D1136" s="6" t="inlineStr">
        <x:is>
          <x:t xml:space="preserve">SZCZOTKI</x:t>
        </x:is>
      </x:c>
      <x:c r="E1136" s="8" t="n">
        <x:f>IFERROR(INDEX('02_RAW_INDEX'!$AD:$AD,MATCH($A1136,'02_RAW_INDEX'!$A:$A,0)),"")</x:f>
        <x:v>683</x:v>
      </x:c>
      <x:c r="F1136" s="8" t="n">
        <x:f>IFERROR(INDEX('02_RAW_INDEX'!$AC:$AC,MATCH($A1136,'02_RAW_INDEX'!$A:$A,0)),"")</x:f>
        <x:v>840</x:v>
      </x:c>
      <x:c r="G1136" s="7" t="n">
        <x:f>'01_Ustawienia'!$B$6</x:f>
        <x:v>0</x:v>
      </x:c>
      <x:c r="H1136" s="8" t="n">
        <x:f>IF(E1136="","",ROUND(IF('01_Ustawienia'!$B$5="BRUTTO",F1136,E1136)*(1-G1136),0))</x:f>
        <x:v>683</x:v>
      </x:c>
      <x:c r="I1136" s="7" t="n">
        <x:f>IFERROR(IFERROR(INDEX('01_Ustawienia'!$B$15:$B$33,MATCH(B1136,'01_Ustawienia'!$A$15:$A$33,0)),0.45),0.45)</x:f>
        <x:v>0.45</x:v>
      </x:c>
      <x:c r="J1136" s="8" t="n">
        <x:f>IF(H1136="","",ROUND(H1136*(1+I1136),0))</x:f>
        <x:v>990</x:v>
      </x:c>
      <x:c r="K1136" s="582" t="n">
        <x:v>0</x:v>
      </x:c>
      <x:c r="L1136" s="582" t="n">
        <x:v>0</x:v>
      </x:c>
      <x:c r="M1136" s="7" t="n">
        <x:f>IF('01_Ustawienia'!$B$4="ZWOLNIONY",0,'01_Ustawienia'!$B$7)</x:f>
        <x:v>0.08</x:v>
      </x:c>
      <x:c r="N1136" s="8" t="n">
        <x:f>IF(J1136="","",ROUND((J1136+K1136)*(1+M1136),0))</x:f>
        <x:v>1069</x:v>
      </x:c>
      <x:c r="O1136" s="8" t="n">
        <x:f>IF(J1136="","",J1136+K1136-H1136-L1136)</x:f>
        <x:v>307</x:v>
      </x:c>
      <x:c r="P1136" s="7" t="n">
        <x:f>IFERROR(O1136/(J1136+K1136),"")</x:f>
        <x:v>0.3101010101010101</x:v>
      </x:c>
      <x:c r="Q1136" s="6" t="inlineStr">
        <x:is>
          <x:t xml:space="preserve">RAW_OP L/M</x:t>
        </x:is>
      </x:c>
      <x:c r="R1136" s="6" t="inlineStr">
        <x:is>
          <x:t xml:space="preserve">DODATKI</x:t>
        </x:is>
      </x:c>
      <x:c r="S1136" s="6" t="inlineStr">
        <x:is>
          <x:t xml:space="preserve">website+crm</x:t>
        </x:is>
      </x:c>
      <x:c r="T1136" s="581" t="inlineStr">
        <x:is>
          <x:t xml:space="preserve">FIX11: K/L 550/600 wg ark. 09 (POZOSTAWIĆ 0).</x:t>
        </x:is>
      </x:c>
    </x:row>
    <x:row r="1137" s="655" customFormat="1" ht="29.5" customHeight="1">
      <x:c r="A1137" s="6" t="inlineStr">
        <x:is>
          <x:t xml:space="preserve">550 x 1206 cm</x:t>
        </x:is>
      </x:c>
      <x:c r="B1137" s="6" t="inlineStr">
        <x:is>
          <x:t xml:space="preserve">U</x:t>
        </x:is>
      </x:c>
      <x:c r="C1137" s="6" t="inlineStr">
        <x:is>
          <x:t xml:space="preserve">Uchwyty na szkło ścienne</x:t>
        </x:is>
      </x:c>
      <x:c r="D1137" s="6" t="inlineStr">
        <x:is>
          <x:t xml:space="preserve">UCHWYTY</x:t>
        </x:is>
      </x:c>
      <x:c r="E1137" s="8" t="n">
        <x:f>IFERROR(INDEX('02_RAW_INDEX'!$AF:$AF,MATCH($A1137,'02_RAW_INDEX'!$A:$A,0)),"")</x:f>
        <x:v>618</x:v>
      </x:c>
      <x:c r="F1137" s="8" t="n">
        <x:f>IFERROR(INDEX('02_RAW_INDEX'!$AE:$AE,MATCH($A1137,'02_RAW_INDEX'!$A:$A,0)),"")</x:f>
        <x:v>760</x:v>
      </x:c>
      <x:c r="G1137" s="7" t="n">
        <x:f>'01_Ustawienia'!$B$6</x:f>
        <x:v>0</x:v>
      </x:c>
      <x:c r="H1137" s="8" t="n">
        <x:f>IF(E1137="","",ROUND(IF('01_Ustawienia'!$B$5="BRUTTO",F1137,E1137)*(1-G1137),0))</x:f>
        <x:v>618</x:v>
      </x:c>
      <x:c r="I1137" s="7" t="n">
        <x:f>IFERROR(IFERROR(INDEX('01_Ustawienia'!$B$15:$B$33,MATCH(B1137,'01_Ustawienia'!$A$15:$A$33,0)),0.45),0.45)</x:f>
        <x:v>0.45</x:v>
      </x:c>
      <x:c r="J1137" s="8" t="n">
        <x:f>IF(H1137="","",ROUND(H1137*(1+I1137),0))</x:f>
        <x:v>896</x:v>
      </x:c>
      <x:c r="K1137" s="582" t="n">
        <x:v>0</x:v>
      </x:c>
      <x:c r="L1137" s="582" t="n">
        <x:v>0</x:v>
      </x:c>
      <x:c r="M1137" s="7" t="n">
        <x:f>IF('01_Ustawienia'!$B$4="ZWOLNIONY",0,'01_Ustawienia'!$B$7)</x:f>
        <x:v>0.08</x:v>
      </x:c>
      <x:c r="N1137" s="8" t="n">
        <x:f>IF(J1137="","",ROUND((J1137+K1137)*(1+M1137),0))</x:f>
        <x:v>968</x:v>
      </x:c>
      <x:c r="O1137" s="8" t="n">
        <x:f>IF(J1137="","",J1137+K1137-H1137-L1137)</x:f>
        <x:v>278</x:v>
      </x:c>
      <x:c r="P1137" s="7" t="n">
        <x:f>IFERROR(O1137/(J1137+K1137),"")</x:f>
        <x:v>0.31026785714285715</x:v>
      </x:c>
      <x:c r="Q1137" s="6" t="inlineStr">
        <x:is>
          <x:t xml:space="preserve">RAW_OP N/O</x:t>
        </x:is>
      </x:c>
      <x:c r="R1137" s="6" t="inlineStr">
        <x:is>
          <x:t xml:space="preserve">DODATKI</x:t>
        </x:is>
      </x:c>
      <x:c r="S1137" s="6" t="inlineStr">
        <x:is>
          <x:t xml:space="preserve">website+crm</x:t>
        </x:is>
      </x:c>
      <x:c r="T1137" s="581" t="inlineStr">
        <x:is>
          <x:t xml:space="preserve">FIX11: K/L 550/600 wg ark. 09 (POZOSTAWIĆ 0).</x:t>
        </x:is>
      </x:c>
    </x:row>
    <x:row r="1138" s="655" customFormat="1" ht="29.5" customHeight="1">
      <x:c r="A1138" s="6" t="inlineStr">
        <x:is>
          <x:t xml:space="preserve">550 x 1206 cm</x:t>
        </x:is>
      </x:c>
      <x:c r="B1138" s="6" t="inlineStr">
        <x:is>
          <x:t xml:space="preserve">LED2</x:t>
        </x:is>
      </x:c>
      <x:c r="C1138" s="6" t="inlineStr">
        <x:is>
          <x:t xml:space="preserve">Oświetlenie LED 2 punkty</x:t>
        </x:is>
      </x:c>
      <x:c r="D1138" s="6" t="inlineStr">
        <x:is>
          <x:t xml:space="preserve">LED 2 PKT</x:t>
        </x:is>
      </x:c>
      <x:c r="E1138" s="8" t="n">
        <x:f>IFERROR(INDEX('02_RAW_INDEX'!$N:$N,MATCH($A1138,'02_RAW_INDEX'!$A:$A,0)),"")</x:f>
        <x:v>1228</x:v>
      </x:c>
      <x:c r="F1138" s="8" t="n">
        <x:f>IFERROR(INDEX('02_RAW_INDEX'!$M:$M,MATCH($A1138,'02_RAW_INDEX'!$A:$A,0)),"")</x:f>
        <x:v>1510</x:v>
      </x:c>
      <x:c r="G1138" s="7" t="n">
        <x:f>'01_Ustawienia'!$B$6</x:f>
        <x:v>0</x:v>
      </x:c>
      <x:c r="H1138" s="8" t="n">
        <x:f>IF(E1138="","",ROUND(IF('01_Ustawienia'!$B$5="BRUTTO",F1138,E1138)*(1-G1138),0))</x:f>
        <x:v>1228</x:v>
      </x:c>
      <x:c r="I1138" s="7" t="n">
        <x:f>IFERROR(IFERROR(INDEX('01_Ustawienia'!$B$15:$B$33,MATCH(B1138,'01_Ustawienia'!$A$15:$A$33,0)),0.45),0.45)</x:f>
        <x:v>0.45</x:v>
      </x:c>
      <x:c r="J1138" s="8" t="n">
        <x:f>IF(H1138="","",ROUND(H1138*(1+I1138),0))</x:f>
        <x:v>1781</x:v>
      </x:c>
      <x:c r="K1138" s="582" t="n">
        <x:v>0</x:v>
      </x:c>
      <x:c r="L1138" s="582" t="n">
        <x:v>0</x:v>
      </x:c>
      <x:c r="M1138" s="7" t="n">
        <x:f>IF('01_Ustawienia'!$B$4="ZWOLNIONY",0,'01_Ustawienia'!$B$7)</x:f>
        <x:v>0.08</x:v>
      </x:c>
      <x:c r="N1138" s="8" t="n">
        <x:f>IF(J1138="","",ROUND((J1138+K1138)*(1+M1138),0))</x:f>
        <x:v>1923</x:v>
      </x:c>
      <x:c r="O1138" s="8" t="n">
        <x:f>IF(J1138="","",J1138+K1138-H1138-L1138)</x:f>
        <x:v>553</x:v>
      </x:c>
      <x:c r="P1138" s="7" t="n">
        <x:f>IFERROR(O1138/(J1138+K1138),"")</x:f>
        <x:v>0.31049971925884334</x:v>
      </x:c>
      <x:c r="Q1138" s="6" t="inlineStr">
        <x:is>
          <x:t xml:space="preserve">RAW_ZP P/Q</x:t>
        </x:is>
      </x:c>
      <x:c r="R1138" s="6" t="inlineStr">
        <x:is>
          <x:t xml:space="preserve">OŚWIETLENIE</x:t>
        </x:is>
      </x:c>
      <x:c r="S1138" s="6" t="inlineStr">
        <x:is>
          <x:t xml:space="preserve">website+crm</x:t>
        </x:is>
      </x:c>
      <x:c r="T1138" s="581" t="inlineStr">
        <x:is>
          <x:t xml:space="preserve">FIX11: K/L 550/600 wg ark. 09 (POZOSTAWIĆ 0 NA RAZIE).</x:t>
        </x:is>
      </x:c>
    </x:row>
    <x:row r="1139" s="655" customFormat="1" ht="44.25" customHeight="1">
      <x:c r="A1139" s="6" t="inlineStr">
        <x:is>
          <x:t xml:space="preserve">550 x 1206 cm</x:t>
        </x:is>
      </x:c>
      <x:c r="B1139" s="6" t="inlineStr">
        <x:is>
          <x:t xml:space="preserve">LED3</x:t>
        </x:is>
      </x:c>
      <x:c r="C1139" s="6" t="inlineStr">
        <x:is>
          <x:t xml:space="preserve">Oświetlenie LED 3 punkty</x:t>
        </x:is>
      </x:c>
      <x:c r="D1139" s="6" t="inlineStr">
        <x:is>
          <x:t xml:space="preserve">LED 3 PKT</x:t>
        </x:is>
      </x:c>
      <x:c r="E1139" s="8" t="n">
        <x:f>IFERROR(INDEX('02_RAW_INDEX'!$P:$P,MATCH($A1139,'02_RAW_INDEX'!$A:$A,0)),"")</x:f>
        <x:v>1545</x:v>
      </x:c>
      <x:c r="F1139" s="8" t="n">
        <x:f>IFERROR(INDEX('02_RAW_INDEX'!$O:$O,MATCH($A1139,'02_RAW_INDEX'!$A:$A,0)),"")</x:f>
        <x:v>1900</x:v>
      </x:c>
      <x:c r="G1139" s="7" t="n">
        <x:f>'01_Ustawienia'!$B$6</x:f>
        <x:v>0</x:v>
      </x:c>
      <x:c r="H1139" s="8" t="n">
        <x:f>IF(E1139="","",ROUND(IF('01_Ustawienia'!$B$5="BRUTTO",F1139,E1139)*(1-G1139),0))</x:f>
        <x:v>1545</x:v>
      </x:c>
      <x:c r="I1139" s="7" t="n">
        <x:f>IFERROR(IFERROR(INDEX('01_Ustawienia'!$B$15:$B$33,MATCH(B1139,'01_Ustawienia'!$A$15:$A$33,0)),0.45),0.45)</x:f>
        <x:v>0.45</x:v>
      </x:c>
      <x:c r="J1139" s="8" t="n">
        <x:f>IF(H1139="","",ROUND(H1139*(1+I1139),0))</x:f>
        <x:v>2240</x:v>
      </x:c>
      <x:c r="K1139" s="582" t="n">
        <x:v>0</x:v>
      </x:c>
      <x:c r="L1139" s="582" t="n">
        <x:v>0</x:v>
      </x:c>
      <x:c r="M1139" s="7" t="n">
        <x:f>IF('01_Ustawienia'!$B$4="ZWOLNIONY",0,'01_Ustawienia'!$B$7)</x:f>
        <x:v>0.08</x:v>
      </x:c>
      <x:c r="N1139" s="8" t="n">
        <x:f>IF(J1139="","",ROUND((J1139+K1139)*(1+M1139),0))</x:f>
        <x:v>2419</x:v>
      </x:c>
      <x:c r="O1139" s="8" t="n">
        <x:f>IF(J1139="","",J1139+K1139-H1139-L1139)</x:f>
        <x:v>695</x:v>
      </x:c>
      <x:c r="P1139" s="7" t="n">
        <x:f>IFERROR(O1139/(J1139+K1139),"")</x:f>
        <x:v>0.31026785714285715</x:v>
      </x:c>
      <x:c r="Q1139" s="6" t="inlineStr">
        <x:is>
          <x:t xml:space="preserve">RAW_ZP R/S</x:t>
        </x:is>
      </x:c>
      <x:c r="R1139" s="6" t="inlineStr">
        <x:is>
          <x:t xml:space="preserve">OŚWIETLENIE</x:t>
        </x:is>
      </x:c>
      <x:c r="S1139" s="6" t="inlineStr">
        <x:is>
          <x:t xml:space="preserve">website+crm</x:t>
        </x:is>
      </x:c>
      <x:c r="T1139" s="581" t="inlineStr">
        <x:is>
          <x:t xml:space="preserve">Nazwa do potwierdzenia | FIX11: K/L 550/600 wg ark. 09 (POZOSTAWIĆ 0 NA RAZIE).</x:t>
        </x:is>
      </x:c>
    </x:row>
    <x:row r="1140" s="655" customFormat="1" ht="29.5" customHeight="1">
      <x:c r="A1140" s="6" t="inlineStr">
        <x:is>
          <x:t xml:space="preserve">550 x 1206 cm</x:t>
        </x:is>
      </x:c>
      <x:c r="B1140" s="6" t="inlineStr">
        <x:is>
          <x:t xml:space="preserve">LEDCCT</x:t>
        </x:is>
      </x:c>
      <x:c r="C1140" s="6" t="inlineStr">
        <x:is>
          <x:t xml:space="preserve">Oświetlenie LED CCT</x:t>
        </x:is>
      </x:c>
      <x:c r="D1140" s="6" t="inlineStr">
        <x:is>
          <x:t xml:space="preserve">OŚWIETLENIE</x:t>
        </x:is>
      </x:c>
      <x:c r="E1140" s="8" t="n">
        <x:f>IFERROR(INDEX('02_RAW_INDEX'!$R:$R,MATCH($A1140,'02_RAW_INDEX'!$A:$A,0)),"")</x:f>
        <x:v>3338</x:v>
      </x:c>
      <x:c r="F1140" s="8" t="n">
        <x:f>IFERROR(INDEX('02_RAW_INDEX'!$Q:$Q,MATCH($A1140,'02_RAW_INDEX'!$A:$A,0)),"")</x:f>
        <x:v>4106</x:v>
      </x:c>
      <x:c r="G1140" s="7" t="n">
        <x:f>'01_Ustawienia'!$B$6</x:f>
        <x:v>0</x:v>
      </x:c>
      <x:c r="H1140" s="8" t="n">
        <x:f>IF(E1140="","",ROUND(IF('01_Ustawienia'!$B$5="BRUTTO",F1140,E1140)*(1-G1140),0))</x:f>
        <x:v>3338</x:v>
      </x:c>
      <x:c r="I1140" s="7" t="n">
        <x:f>IFERROR(IFERROR(INDEX('01_Ustawienia'!$B$15:$B$33,MATCH(B1140,'01_Ustawienia'!$A$15:$A$33,0)),0.45),0.45)</x:f>
        <x:v>0.45</x:v>
      </x:c>
      <x:c r="J1140" s="8" t="n">
        <x:f>IF(H1140="","",ROUND(H1140*(1+I1140),0)+700)</x:f>
        <x:v>5540</x:v>
      </x:c>
      <x:c r="K1140" s="582" t="n">
        <x:v>0</x:v>
      </x:c>
      <x:c r="L1140" s="582" t="n">
        <x:v>0</x:v>
      </x:c>
      <x:c r="M1140" s="7" t="n">
        <x:f>IF('01_Ustawienia'!$B$4="ZWOLNIONY",0,'01_Ustawienia'!$B$7)</x:f>
        <x:v>0.08</x:v>
      </x:c>
      <x:c r="N1140" s="8" t="n">
        <x:f>IF(J1140="","",ROUND((J1140+K1140)*(1+M1140),0))</x:f>
        <x:v>5983</x:v>
      </x:c>
      <x:c r="O1140" s="8" t="n">
        <x:f>IF(J1140="","",J1140+K1140-H1140-L1140)</x:f>
        <x:v>2202</x:v>
      </x:c>
      <x:c r="P1140" s="7" t="n">
        <x:f>IFERROR(O1140/(J1140+K1140),"")</x:f>
        <x:v>0.3974729241877256</x:v>
      </x:c>
      <x:c r="Q1140" s="715" t="inlineStr">
        <x:is>
          <x:t xml:space="preserve">MODEL_FIX15_LED</x:t>
        </x:is>
      </x:c>
      <x:c r="R1140" s="6" t="inlineStr">
        <x:is>
          <x:t xml:space="preserve">OŚWIETLENIE</x:t>
        </x:is>
      </x:c>
      <x:c r="S1140" s="6" t="inlineStr">
        <x:is>
          <x:t xml:space="preserve">website+crm</x:t>
        </x:is>
      </x:c>
      <x:c r="T1140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141" s="655" customFormat="1" ht="29.5" customHeight="1">
      <x:c r="A1141" s="6" t="inlineStr">
        <x:is>
          <x:t xml:space="preserve">550 x 1206 cm</x:t>
        </x:is>
      </x:c>
      <x:c r="B1141" s="6" t="inlineStr">
        <x:is>
          <x:t xml:space="preserve">LEDRGBCCT</x:t>
        </x:is>
      </x:c>
      <x:c r="C1141" s="6" t="inlineStr">
        <x:is>
          <x:t xml:space="preserve">Oświetlenie LED RGB CCT</x:t>
        </x:is>
      </x:c>
      <x:c r="D1141" s="6" t="inlineStr">
        <x:is>
          <x:t xml:space="preserve">OŚWIETLENIE</x:t>
        </x:is>
      </x:c>
      <x:c r="E1141" s="8" t="n">
        <x:f>IFERROR(INDEX('02_RAW_INDEX'!$T:$T,MATCH($A1141,'02_RAW_INDEX'!$A:$A,0)),"")</x:f>
        <x:v>5049</x:v>
      </x:c>
      <x:c r="F1141" s="8" t="n">
        <x:f>IFERROR(INDEX('02_RAW_INDEX'!$S:$S,MATCH($A1141,'02_RAW_INDEX'!$A:$A,0)),"")</x:f>
        <x:v>6210</x:v>
      </x:c>
      <x:c r="G1141" s="7" t="n">
        <x:f>'01_Ustawienia'!$B$6</x:f>
        <x:v>0</x:v>
      </x:c>
      <x:c r="H1141" s="8" t="n">
        <x:f>IF(E1141="","",ROUND(IF('01_Ustawienia'!$B$5="BRUTTO",F1141,E1141)*(1-G1141),0))</x:f>
        <x:v>5049</x:v>
      </x:c>
      <x:c r="I1141" s="7" t="n">
        <x:f>IFERROR(IFERROR(INDEX('01_Ustawienia'!$B$15:$B$33,MATCH(B1141,'01_Ustawienia'!$A$15:$A$33,0)),0.45),0.45)</x:f>
        <x:v>0.45</x:v>
      </x:c>
      <x:c r="J1141" s="8" t="n">
        <x:f>IF(H1141="","",ROUND(H1141*(1+I1141),0))</x:f>
        <x:v>7321</x:v>
      </x:c>
      <x:c r="K1141" s="582" t="n">
        <x:v>0</x:v>
      </x:c>
      <x:c r="L1141" s="582" t="n">
        <x:v>0</x:v>
      </x:c>
      <x:c r="M1141" s="7" t="n">
        <x:f>IF('01_Ustawienia'!$B$4="ZWOLNIONY",0,'01_Ustawienia'!$B$7)</x:f>
        <x:v>0.08</x:v>
      </x:c>
      <x:c r="N1141" s="8" t="n">
        <x:f>IF(J1141="","",ROUND((J1141+K1141)*(1+M1141),0))</x:f>
        <x:v>7907</x:v>
      </x:c>
      <x:c r="O1141" s="8" t="n">
        <x:f>IF(J1141="","",J1141+K1141-H1141-L1141)</x:f>
        <x:v>2272</x:v>
      </x:c>
      <x:c r="P1141" s="7" t="n">
        <x:f>IFERROR(O1141/(J1141+K1141),"")</x:f>
        <x:v>0.31034011747029094</x:v>
      </x:c>
      <x:c r="Q1141" s="715" t="inlineStr">
        <x:is>
          <x:t xml:space="preserve">MODEL_FIX15_LED</x:t>
        </x:is>
      </x:c>
      <x:c r="R1141" s="6" t="inlineStr">
        <x:is>
          <x:t xml:space="preserve">OŚWIETLENIE</x:t>
        </x:is>
      </x:c>
      <x:c r="S1141" s="6" t="inlineStr">
        <x:is>
          <x:t xml:space="preserve">crm_only</x:t>
        </x:is>
      </x:c>
      <x:c r="T1141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142" s="655" customFormat="1" ht="30" customHeight="1">
      <x:c r="A1142" s="6" t="inlineStr">
        <x:is>
          <x:t xml:space="preserve">600 x 306 cm</x:t>
        </x:is>
      </x:c>
      <x:c r="B1142" s="6" t="inlineStr">
        <x:is>
          <x:t xml:space="preserve">ZP</x:t>
        </x:is>
      </x:c>
      <x:c r="C1142" s="6" t="inlineStr">
        <x:is>
          <x:t xml:space="preserve">Zadaszenie poliwęglan - baza</x:t>
        </x:is>
      </x:c>
      <x:c r="D1142" s="6" t="inlineStr">
        <x:is>
          <x:t xml:space="preserve">ZADASZENIE POLIWĘGLAN</x:t>
        </x:is>
      </x:c>
      <x:c r="E1142" s="8" t="n">
        <x:f>IFERROR(INDEX('02_RAW_INDEX'!$D:$D,MATCH($A1142,'02_RAW_INDEX'!$A:$A,0)),"")</x:f>
        <x:v>8691</x:v>
      </x:c>
      <x:c r="F1142" s="8" t="n">
        <x:f>IFERROR(INDEX('02_RAW_INDEX'!$C:$C,MATCH($A1142,'02_RAW_INDEX'!$A:$A,0)),"")</x:f>
        <x:v>10690</x:v>
      </x:c>
      <x:c r="G1142" s="7" t="n">
        <x:f>'01_Ustawienia'!$B$6</x:f>
        <x:v>0</x:v>
      </x:c>
      <x:c r="H1142" s="8" t="n">
        <x:f>IF(E1142="","",ROUND(IF('01_Ustawienia'!$B$5="BRUTTO",F1142,E1142)*(1-G1142),0))</x:f>
        <x:v>8691</x:v>
      </x:c>
      <x:c r="I1142" s="7" t="n">
        <x:f>IFERROR(IFERROR(INDEX('01_Ustawienia'!$B$15:$B$33,MATCH(B1142,'01_Ustawienia'!$A$15:$A$33,0)),0.45),0.45)</x:f>
        <x:v>0.45</x:v>
      </x:c>
      <x:c r="J1142" s="8" t="n">
        <x:f>IF(H1142="","",ROUND(H1142*(1+I1142),0))</x:f>
        <x:v>12602</x:v>
      </x:c>
      <x:c r="K1142" s="580" t="n">
        <x:v>4100</x:v>
      </x:c>
      <x:c r="L1142" s="580" t="n">
        <x:v>1210</x:v>
      </x:c>
      <x:c r="M1142" s="7" t="n">
        <x:f>IF('01_Ustawienia'!$B$4="ZWOLNIONY",0,'01_Ustawienia'!$B$7)</x:f>
        <x:v>0.08</x:v>
      </x:c>
      <x:c r="N1142" s="8" t="n">
        <x:f>IF(J1142="","",ROUND((J1142+K1142)*(1+M1142),0))</x:f>
        <x:v>18038</x:v>
      </x:c>
      <x:c r="O1142" s="8" t="n">
        <x:f>IF(J1142="","",J1142+K1142-H1142-L1142)</x:f>
        <x:v>6801</x:v>
      </x:c>
      <x:c r="P1142" s="7" t="n">
        <x:f>IFERROR(O1142/(J1142+K1142),"")</x:f>
        <x:v>0.4071967429050413</x:v>
      </x:c>
      <x:c r="Q1142" s="6" t="inlineStr">
        <x:is>
          <x:t xml:space="preserve">RAW_ZP B/C</x:t>
        </x:is>
      </x:c>
      <x:c r="R1142" s="6" t="inlineStr">
        <x:is>
          <x:t xml:space="preserve">ZADASZENIE TARASU KONSTRUKCJA</x:t>
        </x:is>
      </x:c>
      <x:c r="S1142" s="6" t="inlineStr">
        <x:is>
          <x:t xml:space="preserve">website+crm</x:t>
        </x:is>
      </x:c>
      <x:c r="T1142" s="581" t="inlineStr">
        <x:is>
          <x:t xml:space="preserve">Baza dla kalkulatora | FIX11: K/L 550/600 wg ark. 09 (UZUPEŁNIĆ).</x:t>
        </x:is>
      </x:c>
    </x:row>
    <x:row r="1143" s="655" customFormat="1" ht="30" customHeight="1">
      <x:c r="A1143" s="6" t="inlineStr">
        <x:is>
          <x:t xml:space="preserve">600 x 306 cm</x:t>
        </x:is>
      </x:c>
      <x:c r="B1143" s="6" t="inlineStr">
        <x:is>
          <x:t xml:space="preserve">ZS</x:t>
        </x:is>
      </x:c>
      <x:c r="C1143" s="6" t="inlineStr">
        <x:is>
          <x:t xml:space="preserve">Zadaszenie szkło - pełna konstrukcja</x:t>
        </x:is>
      </x:c>
      <x:c r="D1143" s="6" t="inlineStr">
        <x:is>
          <x:t xml:space="preserve">ZADASZENIE SZKŁO</x:t>
        </x:is>
      </x:c>
      <x:c r="E1143" s="8" t="str">
        <x:f>IFERROR(INDEX('02_RAW_INDEX'!$V:$V,MATCH($A1143,'02_RAW_INDEX'!$A:$A,0)),"")</x:f>
      </x:c>
      <x:c r="F1143" s="8" t="str">
        <x:f>IFERROR(INDEX('02_RAW_INDEX'!$U:$U,MATCH($A1143,'02_RAW_INDEX'!$A:$A,0)),"")</x:f>
      </x:c>
      <x:c r="G1143" s="7" t="n">
        <x:f>'01_Ustawienia'!$B$6</x:f>
        <x:v>0</x:v>
      </x:c>
      <x:c r="H1143" s="8" t="str">
        <x:f>IF(E1143="","",ROUND(IF('01_Ustawienia'!$B$5="BRUTTO",F1143,E1143)*(1-G1143),0))</x:f>
      </x:c>
      <x:c r="I1143" s="7" t="n">
        <x:f>IFERROR(IFERROR(INDEX('01_Ustawienia'!$B$15:$B$33,MATCH(B1143,'01_Ustawienia'!$A$15:$A$33,0)),0.45),0.45)</x:f>
        <x:v>0.45</x:v>
      </x:c>
      <x:c r="J1143" s="8" t="str">
        <x:f>IF(H1143="","",ROUND(H1143*(1+I1143),0))</x:f>
      </x:c>
      <x:c r="K1143" s="580" t="n">
        <x:v>4100</x:v>
      </x:c>
      <x:c r="L1143" s="580" t="n">
        <x:v>1560</x:v>
      </x:c>
      <x:c r="M1143" s="7" t="n">
        <x:f>IF('01_Ustawienia'!$B$4="ZWOLNIONY",0,'01_Ustawienia'!$B$7)</x:f>
        <x:v>0.08</x:v>
      </x:c>
      <x:c r="N1143" s="8" t="str">
        <x:f>IF(J1143="","",ROUND((J1143+K1143)*(1+M1143),0))</x:f>
      </x:c>
      <x:c r="O1143" s="8" t="str">
        <x:f>IF(J1143="","",J1143+K1143-H1143-L1143)</x:f>
      </x:c>
      <x:c r="P1143" s="7" t="n">
        <x:f>IFERROR(O1143/(J1143+K1143),"")</x:f>
        <x:v>0</x:v>
      </x:c>
      <x:c r="Q1143" s="6" t="inlineStr">
        <x:is>
          <x:t xml:space="preserve">RAW_ZS B/C</x:t>
        </x:is>
      </x:c>
      <x:c r="R1143" s="6" t="inlineStr">
        <x:is>
          <x:t xml:space="preserve">ZADASZENIE TARASU KONSTRUKCJA</x:t>
        </x:is>
      </x:c>
      <x:c r="S1143" s="6" t="inlineStr">
        <x:is>
          <x:t xml:space="preserve">crm_only</x:t>
        </x:is>
      </x:c>
      <x:c r="T1143" s="581" t="inlineStr">
        <x:is>
          <x:t xml:space="preserve">Referencyjne/full; strona zwykle używa ZP + PDS | FIX11: K/L 550/600 wg ark. 09 (NIE PUBLIKOWAĆ / BRAK RAW_ZS).</x:t>
        </x:is>
      </x:c>
    </x:row>
    <x:row r="1144" s="655" customFormat="1" ht="30" customHeight="1">
      <x:c r="A1144" s="6" t="inlineStr">
        <x:is>
          <x:t xml:space="preserve">600 x 306 cm</x:t>
        </x:is>
      </x:c>
      <x:c r="B1144" s="6" t="inlineStr">
        <x:is>
          <x:t xml:space="preserve">OP</x:t>
        </x:is>
      </x:c>
      <x:c r="C1144" s="6" t="inlineStr">
        <x:is>
          <x:t xml:space="preserve">Ogród zimowy poliwęglan - baza</x:t>
        </x:is>
      </x:c>
      <x:c r="D1144" s="6" t="inlineStr">
        <x:is>
          <x:t xml:space="preserve">OGRODY POLIWĘGLAN</x:t>
        </x:is>
      </x:c>
      <x:c r="E1144" s="8" t="n">
        <x:f>IFERROR(INDEX('02_RAW_INDEX'!$Z:$Z,MATCH($A1144,'02_RAW_INDEX'!$A:$A,0)),"")</x:f>
        <x:v>23065</x:v>
      </x:c>
      <x:c r="F1144" s="8" t="n">
        <x:f>IFERROR(INDEX('02_RAW_INDEX'!$Y:$Y,MATCH($A1144,'02_RAW_INDEX'!$A:$A,0)),"")</x:f>
        <x:v>28370</x:v>
      </x:c>
      <x:c r="G1144" s="7" t="n">
        <x:f>'01_Ustawienia'!$B$6</x:f>
        <x:v>0</x:v>
      </x:c>
      <x:c r="H1144" s="8" t="n">
        <x:f>IF(E1144="","",ROUND(IF('01_Ustawienia'!$B$5="BRUTTO",F1144,E1144)*(1-G1144),0))</x:f>
        <x:v>23065</x:v>
      </x:c>
      <x:c r="I1144" s="7" t="n">
        <x:f>IFERROR(IFERROR(INDEX('01_Ustawienia'!$B$15:$B$33,MATCH(B1144,'01_Ustawienia'!$A$15:$A$33,0)),0.45),0.45)</x:f>
        <x:v>0.45</x:v>
      </x:c>
      <x:c r="J1144" s="8" t="n">
        <x:f>IF(H1144="","",ROUND(H1144*(1+I1144),0))</x:f>
        <x:v>33444</x:v>
      </x:c>
      <x:c r="K1144" s="580" t="n">
        <x:v>4900</x:v>
      </x:c>
      <x:c r="L1144" s="580" t="n">
        <x:v>1710</x:v>
      </x:c>
      <x:c r="M1144" s="7" t="n">
        <x:f>IF('01_Ustawienia'!$B$4="ZWOLNIONY",0,'01_Ustawienia'!$B$7)</x:f>
        <x:v>0.08</x:v>
      </x:c>
      <x:c r="N1144" s="8" t="n">
        <x:f>IF(J1144="","",ROUND((J1144+K1144)*(1+M1144),0))</x:f>
        <x:v>41412</x:v>
      </x:c>
      <x:c r="O1144" s="8" t="n">
        <x:f>IF(J1144="","",J1144+K1144-H1144-L1144)</x:f>
        <x:v>13569</x:v>
      </x:c>
      <x:c r="P1144" s="7" t="n">
        <x:f>IFERROR(O1144/(J1144+K1144),"")</x:f>
        <x:v>0.35387544335489257</x:v>
      </x:c>
      <x:c r="Q1144" s="6" t="inlineStr">
        <x:is>
          <x:t xml:space="preserve">RAW_OP B/C</x:t>
        </x:is>
      </x:c>
      <x:c r="R1144" s="6" t="inlineStr">
        <x:is>
          <x:t xml:space="preserve">OGRÓD ZIMOWY (KONSTRUKCJA)</x:t>
        </x:is>
      </x:c>
      <x:c r="S1144" s="6" t="inlineStr">
        <x:is>
          <x:t xml:space="preserve">website+crm</x:t>
        </x:is>
      </x:c>
      <x:c r="T1144" s="581" t="inlineStr">
        <x:is>
          <x:t xml:space="preserve">Do wyliczenia dopłaty za ściany | FIX11: K/L 550/600 wg ark. 09 (UZUPEŁNIĆ).</x:t>
        </x:is>
      </x:c>
    </x:row>
    <x:row r="1145" s="655" customFormat="1" ht="30" customHeight="1">
      <x:c r="A1145" s="6" t="inlineStr">
        <x:is>
          <x:t xml:space="preserve">600 x 306 cm</x:t>
        </x:is>
      </x:c>
      <x:c r="B1145" s="6" t="inlineStr">
        <x:is>
          <x:t xml:space="preserve">OS</x:t>
        </x:is>
      </x:c>
      <x:c r="C1145" s="6" t="inlineStr">
        <x:is>
          <x:t xml:space="preserve">Ogród zimowy szkło - pełna konstrukcja</x:t>
        </x:is>
      </x:c>
      <x:c r="D1145" s="6" t="inlineStr">
        <x:is>
          <x:t xml:space="preserve">OGRODY SZKŁO</x:t>
        </x:is>
      </x:c>
      <x:c r="E1145" s="8" t="str">
        <x:f>IFERROR(INDEX('02_RAW_INDEX'!$AL:$AL,MATCH($A1145,'02_RAW_INDEX'!$A:$A,0)),"")</x:f>
      </x:c>
      <x:c r="F1145" s="8" t="str">
        <x:f>IFERROR(INDEX('02_RAW_INDEX'!$AK:$AK,MATCH($A1145,'02_RAW_INDEX'!$A:$A,0)),"")</x:f>
      </x:c>
      <x:c r="G1145" s="7" t="n">
        <x:f>'01_Ustawienia'!$B$6</x:f>
        <x:v>0</x:v>
      </x:c>
      <x:c r="H1145" s="8" t="str">
        <x:f>IF(E1145="","",ROUND(IF('01_Ustawienia'!$B$5="BRUTTO",F1145,E1145)*(1-G1145),0))</x:f>
      </x:c>
      <x:c r="I1145" s="7" t="n">
        <x:f>IFERROR(IFERROR(INDEX('01_Ustawienia'!$B$15:$B$33,MATCH(B1145,'01_Ustawienia'!$A$15:$A$33,0)),0.45),0.45)</x:f>
        <x:v>0.45</x:v>
      </x:c>
      <x:c r="J1145" s="8" t="str">
        <x:f>IF(H1145="","",ROUND(H1145*(1+I1145),0))</x:f>
      </x:c>
      <x:c r="K1145" s="580" t="n">
        <x:v>4900</x:v>
      </x:c>
      <x:c r="L1145" s="580" t="n">
        <x:v>2060</x:v>
      </x:c>
      <x:c r="M1145" s="7" t="n">
        <x:f>IF('01_Ustawienia'!$B$4="ZWOLNIONY",0,'01_Ustawienia'!$B$7)</x:f>
        <x:v>0.08</x:v>
      </x:c>
      <x:c r="N1145" s="8" t="str">
        <x:f>IF(J1145="","",ROUND((J1145+K1145)*(1+M1145),0))</x:f>
      </x:c>
      <x:c r="O1145" s="8" t="str">
        <x:f>IF(J1145="","",J1145+K1145-H1145-L1145)</x:f>
      </x:c>
      <x:c r="P1145" s="7" t="n">
        <x:f>IFERROR(O1145/(J1145+K1145),"")</x:f>
        <x:v>0</x:v>
      </x:c>
      <x:c r="Q1145" s="6" t="inlineStr">
        <x:is>
          <x:t xml:space="preserve">RAW_OS B/C</x:t>
        </x:is>
      </x:c>
      <x:c r="R1145" s="6" t="inlineStr">
        <x:is>
          <x:t xml:space="preserve">OGRÓD ZIMOWY (KONSTRUKCJA)</x:t>
        </x:is>
      </x:c>
      <x:c r="S1145" s="6" t="inlineStr">
        <x:is>
          <x:t xml:space="preserve">crm_only</x:t>
        </x:is>
      </x:c>
      <x:c r="T1145" s="581" t="inlineStr">
        <x:is>
          <x:t xml:space="preserve">Referencyjne/full | FIX11: K/L 550/600 wg ark. 09 (NIE PUBLIKOWAĆ / BRAK RAW_OS).</x:t>
        </x:is>
      </x:c>
    </x:row>
    <x:row r="1146" s="655" customFormat="1" ht="30" customHeight="1">
      <x:c r="A1146" s="6" t="inlineStr">
        <x:is>
          <x:t xml:space="preserve">600 x 306 cm</x:t>
        </x:is>
      </x:c>
      <x:c r="B1146" s="6" t="inlineStr">
        <x:is>
          <x:t xml:space="preserve">PDS</x:t>
        </x:is>
      </x:c>
      <x:c r="C1146" s="6" t="inlineStr">
        <x:is>
          <x:t xml:space="preserve">Dopłata dach szkło przezroczyste</x:t>
        </x:is>
      </x:c>
      <x:c r="D1146" s="6" t="inlineStr">
        <x:is>
          <x:t xml:space="preserve">POKRYCIE DACHU SZKŁO</x:t>
        </x:is>
      </x:c>
      <x:c r="E1146" s="8" t="n">
        <x:f>IFERROR(IFERROR(INDEX('02_RAW_INDEX'!$V:$V,MATCH($A1146,'02_RAW_INDEX'!$A:$A,0)),"")-IFERROR(INDEX('02_RAW_INDEX'!$D:$D,MATCH($A1146,'02_RAW_INDEX'!$A:$A,0)),""),"")</x:f>
        <x:v>-8691</x:v>
      </x:c>
      <x:c r="F1146" s="8" t="n">
        <x:f>IFERROR(IFERROR(INDEX('02_RAW_INDEX'!$U:$U,MATCH($A1146,'02_RAW_INDEX'!$A:$A,0)),"")-IFERROR(INDEX('02_RAW_INDEX'!$C:$C,MATCH($A1146,'02_RAW_INDEX'!$A:$A,0)),""),"")</x:f>
        <x:v>-10690</x:v>
      </x:c>
      <x:c r="G1146" s="7" t="n">
        <x:f>'01_Ustawienia'!$B$6</x:f>
        <x:v>0</x:v>
      </x:c>
      <x:c r="H1146" s="8" t="n">
        <x:f>IF(E1146="","",ROUND(IF('01_Ustawienia'!$B$5="BRUTTO",F1146,E1146)*(1-G1146),0))</x:f>
        <x:v>-8691</x:v>
      </x:c>
      <x:c r="I1146" s="7" t="n">
        <x:f>IFERROR(IFERROR(INDEX('01_Ustawienia'!$B$15:$B$33,MATCH(B1146,'01_Ustawienia'!$A$15:$A$33,0)),0.45),0.45)</x:f>
        <x:v>0.45</x:v>
      </x:c>
      <x:c r="J1146" s="8" t="n">
        <x:f>IF(H1146="","",ROUND(H1146*(1+I1146),0))</x:f>
        <x:v>-12602</x:v>
      </x:c>
      <x:c r="K1146" s="580" t="n">
        <x:v>0</x:v>
      </x:c>
      <x:c r="L1146" s="580" t="n">
        <x:v>0</x:v>
      </x:c>
      <x:c r="M1146" s="7" t="n">
        <x:f>IF('01_Ustawienia'!$B$4="ZWOLNIONY",0,'01_Ustawienia'!$B$7)</x:f>
        <x:v>0.08</x:v>
      </x:c>
      <x:c r="N1146" s="8" t="n">
        <x:f>IF(J1146="","",ROUND((J1146+K1146)*(1+M1146),0))</x:f>
        <x:v>-13610</x:v>
      </x:c>
      <x:c r="O1146" s="8" t="n">
        <x:f>IF(J1146="","",J1146+K1146-H1146-L1146)</x:f>
        <x:v>-3911</x:v>
      </x:c>
      <x:c r="P1146" s="7" t="n">
        <x:f>IFERROR(O1146/(J1146+K1146),"")</x:f>
        <x:v>0.3103475638787494</x:v>
      </x:c>
      <x:c r="Q1146" s="6" t="inlineStr">
        <x:is>
          <x:t xml:space="preserve">RAW_ZS - RAW_ZP</x:t>
        </x:is>
      </x:c>
      <x:c r="R1146" s="6" t="inlineStr">
        <x:is>
          <x:t xml:space="preserve">POKRYCIE DACHU</x:t>
        </x:is>
      </x:c>
      <x:c r="S1146" s="6" t="inlineStr">
        <x:is>
          <x:t xml:space="preserve">website+crm</x:t>
        </x:is>
      </x:c>
      <x:c r="T1146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147" s="655" customFormat="1" ht="30" customHeight="1">
      <x:c r="A1147" s="6" t="inlineStr">
        <x:is>
          <x:t xml:space="preserve">600 x 306 cm</x:t>
        </x:is>
      </x:c>
      <x:c r="B1147" s="6" t="inlineStr">
        <x:is>
          <x:t xml:space="preserve">PDSB</x:t>
        </x:is>
      </x:c>
      <x:c r="C1147" s="6" t="inlineStr">
        <x:is>
          <x:t xml:space="preserve">Dopłata dach szkło barwione/mleczne</x:t>
        </x:is>
      </x:c>
      <x:c r="D1147" s="6" t="inlineStr">
        <x:is>
          <x:t xml:space="preserve">POKRYCIE DACHU SZKŁO BARWIONE</x:t>
        </x:is>
      </x:c>
      <x:c r="E1147" s="8" t="str">
        <x:f>IFERROR(INDEX('02_RAW_INDEX'!$X:$X,MATCH($A1147,'02_RAW_INDEX'!$A:$A,0)),"")</x:f>
      </x:c>
      <x:c r="F1147" s="8" t="str">
        <x:f>IFERROR(INDEX('02_RAW_INDEX'!$W:$W,MATCH($A1147,'02_RAW_INDEX'!$A:$A,0)),"")</x:f>
      </x:c>
      <x:c r="G1147" s="7" t="n">
        <x:f>'01_Ustawienia'!$B$6</x:f>
        <x:v>0</x:v>
      </x:c>
      <x:c r="H1147" s="8" t="str">
        <x:f>IF(E1147="","",ROUND(IF('01_Ustawienia'!$B$5="BRUTTO",F1147,E1147)*(1-G1147),0))</x:f>
      </x:c>
      <x:c r="I1147" s="7" t="n">
        <x:f>IFERROR(IFERROR(INDEX('01_Ustawienia'!$B$15:$B$33,MATCH(B1147,'01_Ustawienia'!$A$15:$A$33,0)),0.45),0.45)</x:f>
        <x:v>0.45</x:v>
      </x:c>
      <x:c r="J1147" s="8" t="str">
        <x:f>IF(H1147="","",ROUND(H1147*(1+I1147),0))</x:f>
      </x:c>
      <x:c r="K1147" s="582" t="n">
        <x:v>0</x:v>
      </x:c>
      <x:c r="L1147" s="582" t="n">
        <x:v>0</x:v>
      </x:c>
      <x:c r="M1147" s="7" t="n">
        <x:f>IF('01_Ustawienia'!$B$4="ZWOLNIONY",0,'01_Ustawienia'!$B$7)</x:f>
        <x:v>0.08</x:v>
      </x:c>
      <x:c r="N1147" s="8" t="str">
        <x:f>IF(J1147="","",ROUND((J1147+K1147)*(1+M1147),0))</x:f>
      </x:c>
      <x:c r="O1147" s="8" t="str">
        <x:f>IF(J1147="","",J1147+K1147-H1147-L1147)</x:f>
      </x:c>
      <x:c r="P1147" s="7" t="str">
        <x:f>IFERROR(O1147/(J1147+K1147),"")</x:f>
      </x:c>
      <x:c r="Q1147" s="6" t="inlineStr">
        <x:is>
          <x:t xml:space="preserve">RAW_ZS D/E</x:t>
        </x:is>
      </x:c>
      <x:c r="R1147" s="6" t="inlineStr">
        <x:is>
          <x:t xml:space="preserve">POKRYCIE DACHU</x:t>
        </x:is>
      </x:c>
      <x:c r="S1147" s="6" t="inlineStr">
        <x:is>
          <x:t xml:space="preserve">website+crm</x:t>
        </x:is>
      </x:c>
      <x:c r="T1147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148" s="655" customFormat="1" ht="30" customHeight="1">
      <x:c r="A1148" s="6" t="inlineStr">
        <x:is>
          <x:t xml:space="preserve">600 x 306 cm</x:t>
        </x:is>
      </x:c>
      <x:c r="B1148" s="6" t="inlineStr">
        <x:is>
          <x:t xml:space="preserve">PDPB</x:t>
        </x:is>
      </x:c>
      <x:c r="C1148" s="6" t="inlineStr">
        <x:is>
          <x:t xml:space="preserve">Dopłata poliwęglan barwiony</x:t>
        </x:is>
      </x:c>
      <x:c r="D1148" s="6" t="inlineStr">
        <x:is>
          <x:t xml:space="preserve">POKRYCIE DACHU POLIWĘGLAN BARWIONY</x:t>
        </x:is>
      </x:c>
      <x:c r="E1148" s="8" t="n">
        <x:f>IFERROR(INDEX('02_RAW_INDEX'!$F:$F,MATCH($A1148,'02_RAW_INDEX'!$A:$A,0)),"")</x:f>
        <x:v>252</x:v>
      </x:c>
      <x:c r="F1148" s="8" t="n">
        <x:f>IFERROR(INDEX('02_RAW_INDEX'!$E:$E,MATCH($A1148,'02_RAW_INDEX'!$A:$A,0)),"")</x:f>
        <x:v>310</x:v>
      </x:c>
      <x:c r="G1148" s="7" t="n">
        <x:f>'01_Ustawienia'!$B$6</x:f>
        <x:v>0</x:v>
      </x:c>
      <x:c r="H1148" s="8" t="n">
        <x:f>IF(E1148="","",ROUND(IF('01_Ustawienia'!$B$5="BRUTTO",F1148,E1148)*(1-G1148),0))</x:f>
        <x:v>252</x:v>
      </x:c>
      <x:c r="I1148" s="7" t="n">
        <x:f>IFERROR(IFERROR(INDEX('01_Ustawienia'!$B$15:$B$33,MATCH(B1148,'01_Ustawienia'!$A$15:$A$33,0)),0.45),0.45)</x:f>
        <x:v>0.45</x:v>
      </x:c>
      <x:c r="J1148" s="8" t="n">
        <x:f>IF(H1148="","",ROUND(H1148*(1+I1148),0))</x:f>
        <x:v>365</x:v>
      </x:c>
      <x:c r="K1148" s="582" t="n">
        <x:v>0</x:v>
      </x:c>
      <x:c r="L1148" s="582" t="n">
        <x:v>0</x:v>
      </x:c>
      <x:c r="M1148" s="7" t="n">
        <x:f>IF('01_Ustawienia'!$B$4="ZWOLNIONY",0,'01_Ustawienia'!$B$7)</x:f>
        <x:v>0.08</x:v>
      </x:c>
      <x:c r="N1148" s="8" t="n">
        <x:f>IF(J1148="","",ROUND((J1148+K1148)*(1+M1148),0))</x:f>
        <x:v>394</x:v>
      </x:c>
      <x:c r="O1148" s="8" t="n">
        <x:f>IF(J1148="","",J1148+K1148-H1148-L1148)</x:f>
        <x:v>113</x:v>
      </x:c>
      <x:c r="P1148" s="7" t="n">
        <x:f>IFERROR(O1148/(J1148+K1148),"")</x:f>
        <x:v>0.3095890410958904</x:v>
      </x:c>
      <x:c r="Q1148" s="6" t="inlineStr">
        <x:is>
          <x:t xml:space="preserve">RAW_ZP D/E</x:t>
        </x:is>
      </x:c>
      <x:c r="R1148" s="6" t="inlineStr">
        <x:is>
          <x:t xml:space="preserve">POKRYCIE DACHU</x:t>
        </x:is>
      </x:c>
      <x:c r="S1148" s="6" t="inlineStr">
        <x:is>
          <x:t xml:space="preserve">website+crm</x:t>
        </x:is>
      </x:c>
      <x:c r="T1148" s="581" t="inlineStr">
        <x:is>
          <x:t xml:space="preserve">FIX11: K/L 550/600 wg ark. 09 (POZOSTAWIĆ 0). | FIX17: Wynagr.+koszty = 0 dla dopłaty; nie jest osobnym montażem ekipy.</x:t>
        </x:is>
      </x:c>
    </x:row>
    <x:row r="1149" s="655" customFormat="1" ht="30" customHeight="1">
      <x:c r="A1149" s="6" t="inlineStr">
        <x:is>
          <x:t xml:space="preserve">600 x 306 cm</x:t>
        </x:is>
      </x:c>
      <x:c r="B1149" s="6" t="inlineStr">
        <x:is>
          <x:t xml:space="preserve">SBB</x:t>
        </x:is>
      </x:c>
      <x:c r="C1149" s="6" t="inlineStr">
        <x:is>
          <x:t xml:space="preserve">Dopłata szkło boczne przyciemniane</x:t>
        </x:is>
      </x:c>
      <x:c r="D1149" s="6" t="inlineStr">
        <x:is>
          <x:t xml:space="preserve">SZKŁO BOCZNE BARWIONE</x:t>
        </x:is>
      </x:c>
      <x:c r="E1149" s="8" t="n">
        <x:f>IFERROR(INDEX('02_RAW_INDEX'!$AB:$AB,MATCH($A1149,'02_RAW_INDEX'!$A:$A,0)),"")</x:f>
        <x:v>1463</x:v>
      </x:c>
      <x:c r="F1149" s="8" t="n">
        <x:f>IFERROR(INDEX('02_RAW_INDEX'!$AA:$AA,MATCH($A1149,'02_RAW_INDEX'!$A:$A,0)),"")</x:f>
        <x:v>1800</x:v>
      </x:c>
      <x:c r="G1149" s="7" t="n">
        <x:f>'01_Ustawienia'!$B$6</x:f>
        <x:v>0</x:v>
      </x:c>
      <x:c r="H1149" s="8" t="n">
        <x:f>IF(E1149="","",ROUND(IF('01_Ustawienia'!$B$5="BRUTTO",F1149,E1149)*(1-G1149),0))</x:f>
        <x:v>1463</x:v>
      </x:c>
      <x:c r="I1149" s="7" t="n">
        <x:f>IFERROR(IFERROR(INDEX('01_Ustawienia'!$B$15:$B$33,MATCH(B1149,'01_Ustawienia'!$A$15:$A$33,0)),0.45),0.45)</x:f>
        <x:v>0.45</x:v>
      </x:c>
      <x:c r="J1149" s="8" t="n">
        <x:f>IF(H1149="","",ROUND(H1149*(1+I1149),0))</x:f>
        <x:v>2121</x:v>
      </x:c>
      <x:c r="K1149" s="582" t="n">
        <x:v>0</x:v>
      </x:c>
      <x:c r="L1149" s="582" t="n">
        <x:v>0</x:v>
      </x:c>
      <x:c r="M1149" s="7" t="n">
        <x:f>IF('01_Ustawienia'!$B$4="ZWOLNIONY",0,'01_Ustawienia'!$B$7)</x:f>
        <x:v>0.08</x:v>
      </x:c>
      <x:c r="N1149" s="8" t="n">
        <x:f>IF(J1149="","",ROUND((J1149+K1149)*(1+M1149),0))</x:f>
        <x:v>2291</x:v>
      </x:c>
      <x:c r="O1149" s="8" t="n">
        <x:f>IF(J1149="","",J1149+K1149-H1149-L1149)</x:f>
        <x:v>658</x:v>
      </x:c>
      <x:c r="P1149" s="7" t="n">
        <x:f>IFERROR(O1149/(J1149+K1149),"")</x:f>
        <x:v>0.3102310231023102</x:v>
      </x:c>
      <x:c r="Q1149" s="6" t="inlineStr">
        <x:is>
          <x:t xml:space="preserve">RAW_OP H/I</x:t>
        </x:is>
      </x:c>
      <x:c r="R1149" s="6" t="inlineStr">
        <x:is>
          <x:t xml:space="preserve">SZYBY BOCZNE</x:t>
        </x:is>
      </x:c>
      <x:c r="S1149" s="6" t="inlineStr">
        <x:is>
          <x:t xml:space="preserve">website+crm</x:t>
        </x:is>
      </x:c>
      <x:c r="T1149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150" s="655" customFormat="1" ht="29.5" customHeight="1">
      <x:c r="A1150" s="6" t="inlineStr">
        <x:is>
          <x:t xml:space="preserve">600 x 306 cm</x:t>
        </x:is>
      </x:c>
      <x:c r="B1150" s="6" t="inlineStr">
        <x:is>
          <x:t xml:space="preserve">RB</x:t>
        </x:is>
      </x:c>
      <x:c r="C1150" s="6" t="inlineStr">
        <x:is>
          <x:t xml:space="preserve">Roleta boczna ZIP</x:t>
        </x:is>
      </x:c>
      <x:c r="D1150" s="6" t="inlineStr">
        <x:is>
          <x:t xml:space="preserve">ROLETA BOCZNA</x:t>
        </x:is>
      </x:c>
      <x:c r="E1150" s="8" t="n">
        <x:f>IFERROR(INDEX('02_RAW_INDEX'!$J:$J,MATCH($A1150,'02_RAW_INDEX'!$A:$A,0)),"")</x:f>
        <x:v>3472</x:v>
      </x:c>
      <x:c r="F1150" s="8" t="n">
        <x:f>IFERROR(INDEX('02_RAW_INDEX'!$I:$I,MATCH($A1150,'02_RAW_INDEX'!$A:$A,0)),"")</x:f>
        <x:v>4270</x:v>
      </x:c>
      <x:c r="G1150" s="7" t="n">
        <x:f>'01_Ustawienia'!$B$6</x:f>
        <x:v>0</x:v>
      </x:c>
      <x:c r="H1150" s="8" t="n">
        <x:f>IF(E1150="","",ROUND(IF('01_Ustawienia'!$B$5="BRUTTO",F1150,E1150)*(1-G1150),0))</x:f>
        <x:v>3472</x:v>
      </x:c>
      <x:c r="I1150" s="7" t="n">
        <x:f>IFERROR(IFERROR(INDEX('01_Ustawienia'!$B$15:$B$33,MATCH(B1150,'01_Ustawienia'!$A$15:$A$33,0)),0.45),0.45)</x:f>
        <x:v>0.45</x:v>
      </x:c>
      <x:c r="J1150" s="8" t="n">
        <x:f>IF(H1150="","",ROUND(H1150*(1+I1150),0))</x:f>
        <x:v>5034</x:v>
      </x:c>
      <x:c r="K1150" s="580" t="n">
        <x:v>0</x:v>
      </x:c>
      <x:c r="L1150" s="580" t="n">
        <x:v>150</x:v>
      </x:c>
      <x:c r="M1150" s="7" t="n">
        <x:f>IF('01_Ustawienia'!$B$4="ZWOLNIONY",0,'01_Ustawienia'!$B$7)</x:f>
        <x:v>0.08</x:v>
      </x:c>
      <x:c r="N1150" s="8" t="n">
        <x:f>IF(J1150="","",ROUND((J1150+K1150)*(1+M1150),0))</x:f>
        <x:v>5437</x:v>
      </x:c>
      <x:c r="O1150" s="8" t="n">
        <x:f>IF(J1150="","",J1150+K1150-H1150-L1150)</x:f>
        <x:v>1412</x:v>
      </x:c>
      <x:c r="P1150" s="7" t="n">
        <x:f>IFERROR(O1150/(J1150+K1150),"")</x:f>
        <x:v>0.28049264998013507</x:v>
      </x:c>
      <x:c r="Q1150" s="6" t="inlineStr">
        <x:is>
          <x:t xml:space="preserve">RAW_ZP J/K</x:t>
        </x:is>
      </x:c>
      <x:c r="R1150" s="6" t="inlineStr">
        <x:is>
          <x:t xml:space="preserve">ROLETY BOCZNE</x:t>
        </x:is>
      </x:c>
      <x:c r="S1150" s="6" t="inlineStr">
        <x:is>
          <x:t xml:space="preserve">website+crm</x:t>
        </x:is>
      </x:c>
      <x:c r="T1150" s="581" t="inlineStr">
        <x:is>
          <x:t xml:space="preserve">Używana dla lewej i prawej | FIX11: K/L 550/600 wg ark. 09 (UZUPEŁNIĆ L).</x:t>
        </x:is>
      </x:c>
    </x:row>
    <x:row r="1151" s="655" customFormat="1" ht="29.5" customHeight="1">
      <x:c r="A1151" s="6" t="inlineStr">
        <x:is>
          <x:t xml:space="preserve">600 x 306 cm</x:t>
        </x:is>
      </x:c>
      <x:c r="B1151" s="6" t="inlineStr">
        <x:is>
          <x:t xml:space="preserve">RP</x:t>
        </x:is>
      </x:c>
      <x:c r="C1151" s="6" t="inlineStr">
        <x:is>
          <x:t xml:space="preserve">Roleta przednia ZIP</x:t>
        </x:is>
      </x:c>
      <x:c r="D1151" s="6" t="inlineStr">
        <x:is>
          <x:t xml:space="preserve">ROLETA PRZÓD</x:t>
        </x:is>
      </x:c>
      <x:c r="E1151" s="8" t="n">
        <x:f>IFERROR(INDEX('02_RAW_INDEX'!$L:$L,MATCH($A1151,'02_RAW_INDEX'!$A:$A,0)),"")</x:f>
        <x:v>1740</x:v>
      </x:c>
      <x:c r="F1151" s="8" t="n">
        <x:f>IFERROR(INDEX('02_RAW_INDEX'!$K:$K,MATCH($A1151,'02_RAW_INDEX'!$A:$A,0)),"")</x:f>
        <x:v>2140</x:v>
      </x:c>
      <x:c r="G1151" s="7" t="n">
        <x:f>'01_Ustawienia'!$B$6</x:f>
        <x:v>0</x:v>
      </x:c>
      <x:c r="H1151" s="8" t="n">
        <x:f>IF(E1151="","",ROUND(IF('01_Ustawienia'!$B$5="BRUTTO",F1151,E1151)*(1-G1151),0))</x:f>
        <x:v>1740</x:v>
      </x:c>
      <x:c r="I1151" s="7" t="n">
        <x:f>IFERROR(IFERROR(INDEX('01_Ustawienia'!$B$15:$B$33,MATCH(B1151,'01_Ustawienia'!$A$15:$A$33,0)),0.45),0.45)</x:f>
        <x:v>0.45</x:v>
      </x:c>
      <x:c r="J1151" s="8" t="n">
        <x:f>IF(H1151="","",ROUND(H1151*(1+I1151),0))</x:f>
        <x:v>2523</x:v>
      </x:c>
      <x:c r="K1151" s="580" t="n">
        <x:v>0</x:v>
      </x:c>
      <x:c r="L1151" s="580" t="n">
        <x:v>150</x:v>
      </x:c>
      <x:c r="M1151" s="7" t="n">
        <x:f>IF('01_Ustawienia'!$B$4="ZWOLNIONY",0,'01_Ustawienia'!$B$7)</x:f>
        <x:v>0.08</x:v>
      </x:c>
      <x:c r="N1151" s="8" t="n">
        <x:f>IF(J1151="","",ROUND((J1151+K1151)*(1+M1151),0))</x:f>
        <x:v>2725</x:v>
      </x:c>
      <x:c r="O1151" s="8" t="n">
        <x:f>IF(J1151="","",J1151+K1151-H1151-L1151)</x:f>
        <x:v>633</x:v>
      </x:c>
      <x:c r="P1151" s="7" t="n">
        <x:f>IFERROR(O1151/(J1151+K1151),"")</x:f>
        <x:v>0.25089179548156954</x:v>
      </x:c>
      <x:c r="Q1151" s="6" t="inlineStr">
        <x:is>
          <x:t xml:space="preserve">RAW_ZP N/O</x:t>
        </x:is>
      </x:c>
      <x:c r="R1151" s="6" t="inlineStr">
        <x:is>
          <x:t xml:space="preserve">ROLETY BOCZNE</x:t>
        </x:is>
      </x:c>
      <x:c r="S1151" s="6" t="inlineStr">
        <x:is>
          <x:t xml:space="preserve">website+crm</x:t>
        </x:is>
      </x:c>
      <x:c r="T1151" s="581" t="inlineStr">
        <x:is>
          <x:t xml:space="preserve">FIX11: K/L 550/600 wg ark. 09 (UZUPEŁNIĆ L).</x:t>
        </x:is>
      </x:c>
    </x:row>
    <x:row r="1152" s="655" customFormat="1" ht="29.5" customHeight="1">
      <x:c r="A1152" s="6" t="inlineStr">
        <x:is>
          <x:t xml:space="preserve">600 x 306 cm</x:t>
        </x:is>
      </x:c>
      <x:c r="B1152" s="6" t="inlineStr">
        <x:is>
          <x:t xml:space="preserve">M</x:t>
        </x:is>
      </x:c>
      <x:c r="C1152" s="6" t="inlineStr">
        <x:is>
          <x:t xml:space="preserve">Markiza dachowa</x:t>
        </x:is>
      </x:c>
      <x:c r="D1152" s="6" t="inlineStr">
        <x:is>
          <x:t xml:space="preserve">MARKIZA</x:t>
        </x:is>
      </x:c>
      <x:c r="E1152" s="8" t="n">
        <x:f>IFERROR(INDEX('02_RAW_INDEX'!$H:$H,MATCH($A1152,'02_RAW_INDEX'!$A:$A,0)),"")</x:f>
        <x:v>3398</x:v>
      </x:c>
      <x:c r="F1152" s="8" t="n">
        <x:f>IFERROR(INDEX('02_RAW_INDEX'!$G:$G,MATCH($A1152,'02_RAW_INDEX'!$A:$A,0)),"")</x:f>
        <x:v>4180</x:v>
      </x:c>
      <x:c r="G1152" s="7" t="n">
        <x:f>'01_Ustawienia'!$B$6</x:f>
        <x:v>0</x:v>
      </x:c>
      <x:c r="H1152" s="8" t="n">
        <x:f>IF(E1152="","",ROUND(IF('01_Ustawienia'!$B$5="BRUTTO",F1152,E1152)*(1-G1152),0))</x:f>
        <x:v>3398</x:v>
      </x:c>
      <x:c r="I1152" s="7" t="n">
        <x:f>IFERROR(IFERROR(INDEX('01_Ustawienia'!$B$15:$B$33,MATCH(B1152,'01_Ustawienia'!$A$15:$A$33,0)),0.45),0.45)</x:f>
        <x:v>0.45</x:v>
      </x:c>
      <x:c r="J1152" s="8" t="n">
        <x:f>IF(H1152="","",ROUND(H1152*(1+I1152),0))</x:f>
        <x:v>4927</x:v>
      </x:c>
      <x:c r="K1152" s="580" t="n">
        <x:v>0</x:v>
      </x:c>
      <x:c r="L1152" s="580" t="n">
        <x:v>200</x:v>
      </x:c>
      <x:c r="M1152" s="7" t="n">
        <x:f>IF('01_Ustawienia'!$B$4="ZWOLNIONY",0,'01_Ustawienia'!$B$7)</x:f>
        <x:v>0.08</x:v>
      </x:c>
      <x:c r="N1152" s="8" t="n">
        <x:f>IF(J1152="","",ROUND((J1152+K1152)*(1+M1152),0))</x:f>
        <x:v>5321</x:v>
      </x:c>
      <x:c r="O1152" s="8" t="n">
        <x:f>IF(J1152="","",J1152+K1152-H1152-L1152)</x:f>
        <x:v>1329</x:v>
      </x:c>
      <x:c r="P1152" s="7" t="n">
        <x:f>IFERROR(O1152/(J1152+K1152),"")</x:f>
        <x:v>0.2697381773898924</x:v>
      </x:c>
      <x:c r="Q1152" s="6" t="inlineStr">
        <x:is>
          <x:t xml:space="preserve">RAW_ZP H/I</x:t>
        </x:is>
      </x:c>
      <x:c r="R1152" s="6" t="inlineStr">
        <x:is>
          <x:t xml:space="preserve">MARKIZA</x:t>
        </x:is>
      </x:c>
      <x:c r="S1152" s="6" t="inlineStr">
        <x:is>
          <x:t xml:space="preserve">website+crm</x:t>
        </x:is>
      </x:c>
      <x:c r="T1152" s="581" t="inlineStr">
        <x:is>
          <x:t xml:space="preserve">FIX11: K/L 550/600 wg ark. 09 (UZUPEŁNIĆ L).</x:t>
        </x:is>
      </x:c>
    </x:row>
    <x:row r="1153" s="655" customFormat="1" ht="44.25" customHeight="1">
      <x:c r="A1153" s="6" t="inlineStr">
        <x:is>
          <x:t xml:space="preserve">600 x 306 cm</x:t>
        </x:is>
      </x:c>
      <x:c r="B1153" s="6" t="inlineStr">
        <x:is>
          <x:t xml:space="preserve">PDWP</x:t>
        </x:is>
      </x:c>
      <x:c r="C1153" s="6" t="inlineStr">
        <x:is>
          <x:t xml:space="preserve">Fundament/profile</x:t>
        </x:is>
      </x:c>
      <x:c r="D1153" s="6" t="inlineStr">
        <x:is>
          <x:t xml:space="preserve">FUNDAMENT / PROFILE</x:t>
        </x:is>
      </x:c>
      <x:c r="E1153" s="8" t="n">
        <x:f>IFERROR(INDEX('02_RAW_INDEX'!$AH:$AH,MATCH($A1153,'02_RAW_INDEX'!$A:$A,0)),"")</x:f>
        <x:v>943</x:v>
      </x:c>
      <x:c r="F1153" s="8" t="n">
        <x:f>IFERROR(INDEX('02_RAW_INDEX'!$AG:$AG,MATCH($A1153,'02_RAW_INDEX'!$A:$A,0)),"")</x:f>
        <x:v>1160</x:v>
      </x:c>
      <x:c r="G1153" s="7" t="n">
        <x:f>'01_Ustawienia'!$B$6</x:f>
        <x:v>0</x:v>
      </x:c>
      <x:c r="H1153" s="8" t="n">
        <x:f>IF(E1153="","",ROUND(IF('01_Ustawienia'!$B$5="BRUTTO",F1153,E1153)*(1-G1153),0))</x:f>
        <x:v>943</x:v>
      </x:c>
      <x:c r="I1153" s="7" t="n">
        <x:f>IFERROR(IFERROR(INDEX('01_Ustawienia'!$B$15:$B$33,MATCH(B1153,'01_Ustawienia'!$A$15:$A$33,0)),0.45),0.45)</x:f>
        <x:v>1.2</x:v>
      </x:c>
      <x:c r="J1153" s="8" t="n">
        <x:f>IF(H1153="","",ROUND(H1153*(1+I1153),0))</x:f>
        <x:v>2075</x:v>
      </x:c>
      <x:c r="K1153" s="580" t="n">
        <x:v>480</x:v>
      </x:c>
      <x:c r="L1153" s="580" t="n">
        <x:v>440</x:v>
      </x:c>
      <x:c r="M1153" s="7" t="n">
        <x:f>IF('01_Ustawienia'!$B$4="ZWOLNIONY",0,'01_Ustawienia'!$B$7)</x:f>
        <x:v>0.08</x:v>
      </x:c>
      <x:c r="N1153" s="8" t="n">
        <x:f>IF(J1153="","",ROUND((J1153+K1153)*(1+M1153),0))</x:f>
        <x:v>2759</x:v>
      </x:c>
      <x:c r="O1153" s="8" t="n">
        <x:f>IF(J1153="","",J1153+K1153-H1153-L1153)</x:f>
        <x:v>1172</x:v>
      </x:c>
      <x:c r="P1153" s="7" t="n">
        <x:f>IFERROR(O1153/(J1153+K1153),"")</x:f>
        <x:v>0.45870841487279845</x:v>
      </x:c>
      <x:c r="Q1153" s="6" t="inlineStr">
        <x:is>
          <x:t xml:space="preserve">RAW_OP AB/AC</x:t>
        </x:is>
      </x:c>
      <x:c r="R1153" s="6" t="inlineStr">
        <x:is>
          <x:t xml:space="preserve">FUNDAMENT (PROFILE)</x:t>
        </x:is>
      </x:c>
      <x:c r="S1153" s="6" t="inlineStr">
        <x:is>
          <x:t xml:space="preserve">website+crm</x:t>
        </x:is>
      </x:c>
      <x:c r="T1153" s="581" t="inlineStr">
        <x:is>
          <x:t xml:space="preserve">FIX11: K/L 550/600 wg ark. 09 (UZUPEŁNIĆ K+L / KOREKTA RENTOWNOŚCI).</x:t>
        </x:is>
      </x:c>
    </x:row>
    <x:row r="1154" s="655" customFormat="1" ht="30" customHeight="1">
      <x:c r="A1154" s="6" t="inlineStr">
        <x:is>
          <x:t xml:space="preserve">600 x 306 cm</x:t>
        </x:is>
      </x:c>
      <x:c r="B1154" s="6" t="inlineStr">
        <x:is>
          <x:t xml:space="preserve">ZAB</x:t>
        </x:is>
      </x:c>
      <x:c r="C1154" s="6" t="inlineStr">
        <x:is>
          <x:t xml:space="preserve">Zabieraki do ścian przesuwnych</x:t>
        </x:is>
      </x:c>
      <x:c r="D1154" s="6" t="inlineStr">
        <x:is>
          <x:t xml:space="preserve">DODATKI</x:t>
        </x:is>
      </x:c>
      <x:c r="E1154" s="8" t="n">
        <x:f>IFERROR(INDEX('02_RAW_INDEX'!$AJ:$AJ,MATCH($A1154,'02_RAW_INDEX'!$A:$A,0)),"")</x:f>
        <x:v>390</x:v>
      </x:c>
      <x:c r="F1154" s="8" t="n">
        <x:f>IFERROR(INDEX('02_RAW_INDEX'!$AI:$AI,MATCH($A1154,'02_RAW_INDEX'!$A:$A,0)),"")</x:f>
        <x:v>480</x:v>
      </x:c>
      <x:c r="G1154" s="7" t="n">
        <x:f>'01_Ustawienia'!$B$6</x:f>
        <x:v>0</x:v>
      </x:c>
      <x:c r="H1154" s="8" t="n">
        <x:f>IF(E1154="","",ROUND(IF('01_Ustawienia'!$B$5="BRUTTO",F1154,E1154)*(1-G1154),0))</x:f>
        <x:v>390</x:v>
      </x:c>
      <x:c r="I1154" s="7" t="n">
        <x:f>IFERROR(IFERROR(INDEX('01_Ustawienia'!$B$15:$B$33,MATCH(B1154,'01_Ustawienia'!$A$15:$A$33,0)),0.45),0.45)</x:f>
        <x:v>0.45</x:v>
      </x:c>
      <x:c r="J1154" s="8" t="n">
        <x:f>IF(H1154="","",ROUND(H1154*(1+I1154),0))</x:f>
        <x:v>566</x:v>
      </x:c>
      <x:c r="K1154" s="582" t="n">
        <x:v>0</x:v>
      </x:c>
      <x:c r="L1154" s="582" t="n">
        <x:v>0</x:v>
      </x:c>
      <x:c r="M1154" s="7" t="n">
        <x:f>IF('01_Ustawienia'!$B$4="ZWOLNIONY",0,'01_Ustawienia'!$B$7)</x:f>
        <x:v>0.08</x:v>
      </x:c>
      <x:c r="N1154" s="8" t="n">
        <x:f>IF(J1154="","",ROUND((J1154+K1154)*(1+M1154),0))</x:f>
        <x:v>611</x:v>
      </x:c>
      <x:c r="O1154" s="8" t="n">
        <x:f>IF(J1154="","",J1154+K1154-H1154-L1154)</x:f>
        <x:v>176</x:v>
      </x:c>
      <x:c r="P1154" s="7" t="n">
        <x:f>IFERROR(O1154/(J1154+K1154),"")</x:f>
        <x:v>0.31095406360424027</x:v>
      </x:c>
      <x:c r="Q1154" s="6" t="inlineStr">
        <x:is>
          <x:t xml:space="preserve">RAW_OP AD/AE</x:t>
        </x:is>
      </x:c>
      <x:c r="R1154" s="6" t="inlineStr">
        <x:is>
          <x:t xml:space="preserve">DODATKI</x:t>
        </x:is>
      </x:c>
      <x:c r="S1154" s="6" t="inlineStr">
        <x:is>
          <x:t xml:space="preserve">crm_only</x:t>
        </x:is>
      </x:c>
      <x:c r="T1154" s="581" t="inlineStr">
        <x:is>
          <x:t xml:space="preserve">FIX11: K/L 550/600 wg ark. 09 (POZOSTAWIĆ 0).</x:t>
        </x:is>
      </x:c>
    </x:row>
    <x:row r="1155" s="655" customFormat="1" ht="29.5" customHeight="1">
      <x:c r="A1155" s="6" t="inlineStr">
        <x:is>
          <x:t xml:space="preserve">600 x 306 cm</x:t>
        </x:is>
      </x:c>
      <x:c r="B1155" s="6" t="inlineStr">
        <x:is>
          <x:t xml:space="preserve">S</x:t>
        </x:is>
      </x:c>
      <x:c r="C1155" s="6" t="inlineStr">
        <x:is>
          <x:t xml:space="preserve">Szczotki przeciwkurzowe</x:t>
        </x:is>
      </x:c>
      <x:c r="D1155" s="6" t="inlineStr">
        <x:is>
          <x:t xml:space="preserve">SZCZOTKI</x:t>
        </x:is>
      </x:c>
      <x:c r="E1155" s="8" t="n">
        <x:f>IFERROR(INDEX('02_RAW_INDEX'!$AD:$AD,MATCH($A1155,'02_RAW_INDEX'!$A:$A,0)),"")</x:f>
        <x:v>407</x:v>
      </x:c>
      <x:c r="F1155" s="8" t="n">
        <x:f>IFERROR(INDEX('02_RAW_INDEX'!$AC:$AC,MATCH($A1155,'02_RAW_INDEX'!$A:$A,0)),"")</x:f>
        <x:v>500</x:v>
      </x:c>
      <x:c r="G1155" s="7" t="n">
        <x:f>'01_Ustawienia'!$B$6</x:f>
        <x:v>0</x:v>
      </x:c>
      <x:c r="H1155" s="8" t="n">
        <x:f>IF(E1155="","",ROUND(IF('01_Ustawienia'!$B$5="BRUTTO",F1155,E1155)*(1-G1155),0))</x:f>
        <x:v>407</x:v>
      </x:c>
      <x:c r="I1155" s="7" t="n">
        <x:f>IFERROR(IFERROR(INDEX('01_Ustawienia'!$B$15:$B$33,MATCH(B1155,'01_Ustawienia'!$A$15:$A$33,0)),0.45),0.45)</x:f>
        <x:v>0.45</x:v>
      </x:c>
      <x:c r="J1155" s="8" t="n">
        <x:f>IF(H1155="","",ROUND(H1155*(1+I1155),0))</x:f>
        <x:v>590</x:v>
      </x:c>
      <x:c r="K1155" s="582" t="n">
        <x:v>0</x:v>
      </x:c>
      <x:c r="L1155" s="582" t="n">
        <x:v>0</x:v>
      </x:c>
      <x:c r="M1155" s="7" t="n">
        <x:f>IF('01_Ustawienia'!$B$4="ZWOLNIONY",0,'01_Ustawienia'!$B$7)</x:f>
        <x:v>0.08</x:v>
      </x:c>
      <x:c r="N1155" s="8" t="n">
        <x:f>IF(J1155="","",ROUND((J1155+K1155)*(1+M1155),0))</x:f>
        <x:v>637</x:v>
      </x:c>
      <x:c r="O1155" s="8" t="n">
        <x:f>IF(J1155="","",J1155+K1155-H1155-L1155)</x:f>
        <x:v>183</x:v>
      </x:c>
      <x:c r="P1155" s="7" t="n">
        <x:f>IFERROR(O1155/(J1155+K1155),"")</x:f>
        <x:v>0.3101694915254237</x:v>
      </x:c>
      <x:c r="Q1155" s="6" t="inlineStr">
        <x:is>
          <x:t xml:space="preserve">RAW_OP L/M</x:t>
        </x:is>
      </x:c>
      <x:c r="R1155" s="6" t="inlineStr">
        <x:is>
          <x:t xml:space="preserve">DODATKI</x:t>
        </x:is>
      </x:c>
      <x:c r="S1155" s="6" t="inlineStr">
        <x:is>
          <x:t xml:space="preserve">website+crm</x:t>
        </x:is>
      </x:c>
      <x:c r="T1155" s="581" t="inlineStr">
        <x:is>
          <x:t xml:space="preserve">FIX11: K/L 550/600 wg ark. 09 (POZOSTAWIĆ 0).</x:t>
        </x:is>
      </x:c>
    </x:row>
    <x:row r="1156" s="655" customFormat="1" ht="29.5" customHeight="1">
      <x:c r="A1156" s="6" t="inlineStr">
        <x:is>
          <x:t xml:space="preserve">600 x 306 cm</x:t>
        </x:is>
      </x:c>
      <x:c r="B1156" s="6" t="inlineStr">
        <x:is>
          <x:t xml:space="preserve">U</x:t>
        </x:is>
      </x:c>
      <x:c r="C1156" s="6" t="inlineStr">
        <x:is>
          <x:t xml:space="preserve">Uchwyty na szkło ścienne</x:t>
        </x:is>
      </x:c>
      <x:c r="D1156" s="6" t="inlineStr">
        <x:is>
          <x:t xml:space="preserve">UCHWYTY</x:t>
        </x:is>
      </x:c>
      <x:c r="E1156" s="8" t="n">
        <x:f>IFERROR(INDEX('02_RAW_INDEX'!$AF:$AF,MATCH($A1156,'02_RAW_INDEX'!$A:$A,0)),"")</x:f>
        <x:v>366</x:v>
      </x:c>
      <x:c r="F1156" s="8" t="n">
        <x:f>IFERROR(INDEX('02_RAW_INDEX'!$AE:$AE,MATCH($A1156,'02_RAW_INDEX'!$A:$A,0)),"")</x:f>
        <x:v>450</x:v>
      </x:c>
      <x:c r="G1156" s="7" t="n">
        <x:f>'01_Ustawienia'!$B$6</x:f>
        <x:v>0</x:v>
      </x:c>
      <x:c r="H1156" s="8" t="n">
        <x:f>IF(E1156="","",ROUND(IF('01_Ustawienia'!$B$5="BRUTTO",F1156,E1156)*(1-G1156),0))</x:f>
        <x:v>366</x:v>
      </x:c>
      <x:c r="I1156" s="7" t="n">
        <x:f>IFERROR(IFERROR(INDEX('01_Ustawienia'!$B$15:$B$33,MATCH(B1156,'01_Ustawienia'!$A$15:$A$33,0)),0.45),0.45)</x:f>
        <x:v>0.45</x:v>
      </x:c>
      <x:c r="J1156" s="8" t="n">
        <x:f>IF(H1156="","",ROUND(H1156*(1+I1156),0))</x:f>
        <x:v>531</x:v>
      </x:c>
      <x:c r="K1156" s="582" t="n">
        <x:v>0</x:v>
      </x:c>
      <x:c r="L1156" s="582" t="n">
        <x:v>0</x:v>
      </x:c>
      <x:c r="M1156" s="7" t="n">
        <x:f>IF('01_Ustawienia'!$B$4="ZWOLNIONY",0,'01_Ustawienia'!$B$7)</x:f>
        <x:v>0.08</x:v>
      </x:c>
      <x:c r="N1156" s="8" t="n">
        <x:f>IF(J1156="","",ROUND((J1156+K1156)*(1+M1156),0))</x:f>
        <x:v>573</x:v>
      </x:c>
      <x:c r="O1156" s="8" t="n">
        <x:f>IF(J1156="","",J1156+K1156-H1156-L1156)</x:f>
        <x:v>165</x:v>
      </x:c>
      <x:c r="P1156" s="7" t="n">
        <x:f>IFERROR(O1156/(J1156+K1156),"")</x:f>
        <x:v>0.3107344632768362</x:v>
      </x:c>
      <x:c r="Q1156" s="6" t="inlineStr">
        <x:is>
          <x:t xml:space="preserve">RAW_OP N/O</x:t>
        </x:is>
      </x:c>
      <x:c r="R1156" s="6" t="inlineStr">
        <x:is>
          <x:t xml:space="preserve">DODATKI</x:t>
        </x:is>
      </x:c>
      <x:c r="S1156" s="6" t="inlineStr">
        <x:is>
          <x:t xml:space="preserve">website+crm</x:t>
        </x:is>
      </x:c>
      <x:c r="T1156" s="581" t="inlineStr">
        <x:is>
          <x:t xml:space="preserve">FIX11: K/L 550/600 wg ark. 09 (POZOSTAWIĆ 0).</x:t>
        </x:is>
      </x:c>
    </x:row>
    <x:row r="1157" s="655" customFormat="1" ht="29.5" customHeight="1">
      <x:c r="A1157" s="6" t="inlineStr">
        <x:is>
          <x:t xml:space="preserve">600 x 306 cm</x:t>
        </x:is>
      </x:c>
      <x:c r="B1157" s="6" t="inlineStr">
        <x:is>
          <x:t xml:space="preserve">LED2</x:t>
        </x:is>
      </x:c>
      <x:c r="C1157" s="6" t="inlineStr">
        <x:is>
          <x:t xml:space="preserve">Oświetlenie LED 2 punkty</x:t>
        </x:is>
      </x:c>
      <x:c r="D1157" s="6" t="inlineStr">
        <x:is>
          <x:t xml:space="preserve">LED 2 PKT</x:t>
        </x:is>
      </x:c>
      <x:c r="E1157" s="8" t="n">
        <x:f>IFERROR(INDEX('02_RAW_INDEX'!$N:$N,MATCH($A1157,'02_RAW_INDEX'!$A:$A,0)),"")</x:f>
        <x:v>341</x:v>
      </x:c>
      <x:c r="F1157" s="8" t="n">
        <x:f>IFERROR(INDEX('02_RAW_INDEX'!$M:$M,MATCH($A1157,'02_RAW_INDEX'!$A:$A,0)),"")</x:f>
        <x:v>420</x:v>
      </x:c>
      <x:c r="G1157" s="7" t="n">
        <x:f>'01_Ustawienia'!$B$6</x:f>
        <x:v>0</x:v>
      </x:c>
      <x:c r="H1157" s="8" t="n">
        <x:f>IF(E1157="","",ROUND(IF('01_Ustawienia'!$B$5="BRUTTO",F1157,E1157)*(1-G1157),0))</x:f>
        <x:v>341</x:v>
      </x:c>
      <x:c r="I1157" s="7" t="n">
        <x:f>IFERROR(IFERROR(INDEX('01_Ustawienia'!$B$15:$B$33,MATCH(B1157,'01_Ustawienia'!$A$15:$A$33,0)),0.45),0.45)</x:f>
        <x:v>0.45</x:v>
      </x:c>
      <x:c r="J1157" s="8" t="n">
        <x:f>IF(H1157="","",ROUND(H1157*(1+I1157),0))</x:f>
        <x:v>494</x:v>
      </x:c>
      <x:c r="K1157" s="582" t="n">
        <x:v>0</x:v>
      </x:c>
      <x:c r="L1157" s="582" t="n">
        <x:v>0</x:v>
      </x:c>
      <x:c r="M1157" s="7" t="n">
        <x:f>IF('01_Ustawienia'!$B$4="ZWOLNIONY",0,'01_Ustawienia'!$B$7)</x:f>
        <x:v>0.08</x:v>
      </x:c>
      <x:c r="N1157" s="8" t="n">
        <x:f>IF(J1157="","",ROUND((J1157+K1157)*(1+M1157),0))</x:f>
        <x:v>534</x:v>
      </x:c>
      <x:c r="O1157" s="8" t="n">
        <x:f>IF(J1157="","",J1157+K1157-H1157-L1157)</x:f>
        <x:v>153</x:v>
      </x:c>
      <x:c r="P1157" s="7" t="n">
        <x:f>IFERROR(O1157/(J1157+K1157),"")</x:f>
        <x:v>0.3097165991902834</x:v>
      </x:c>
      <x:c r="Q1157" s="6" t="inlineStr">
        <x:is>
          <x:t xml:space="preserve">RAW_ZP P/Q</x:t>
        </x:is>
      </x:c>
      <x:c r="R1157" s="6" t="inlineStr">
        <x:is>
          <x:t xml:space="preserve">OŚWIETLENIE</x:t>
        </x:is>
      </x:c>
      <x:c r="S1157" s="6" t="inlineStr">
        <x:is>
          <x:t xml:space="preserve">website+crm</x:t>
        </x:is>
      </x:c>
      <x:c r="T1157" s="581" t="inlineStr">
        <x:is>
          <x:t xml:space="preserve">FIX11: K/L 550/600 wg ark. 09 (POZOSTAWIĆ 0 NA RAZIE).</x:t>
        </x:is>
      </x:c>
    </x:row>
    <x:row r="1158" s="655" customFormat="1" ht="44.25" customHeight="1">
      <x:c r="A1158" s="6" t="inlineStr">
        <x:is>
          <x:t xml:space="preserve">600 x 306 cm</x:t>
        </x:is>
      </x:c>
      <x:c r="B1158" s="6" t="inlineStr">
        <x:is>
          <x:t xml:space="preserve">LED3</x:t>
        </x:is>
      </x:c>
      <x:c r="C1158" s="6" t="inlineStr">
        <x:is>
          <x:t xml:space="preserve">Oświetlenie LED 3 punkty</x:t>
        </x:is>
      </x:c>
      <x:c r="D1158" s="6" t="inlineStr">
        <x:is>
          <x:t xml:space="preserve">LED 3 PKT</x:t>
        </x:is>
      </x:c>
      <x:c r="E1158" s="8" t="n">
        <x:f>IFERROR(INDEX('02_RAW_INDEX'!$P:$P,MATCH($A1158,'02_RAW_INDEX'!$A:$A,0)),"")</x:f>
        <x:v>520</x:v>
      </x:c>
      <x:c r="F1158" s="8" t="n">
        <x:f>IFERROR(INDEX('02_RAW_INDEX'!$O:$O,MATCH($A1158,'02_RAW_INDEX'!$A:$A,0)),"")</x:f>
        <x:v>640</x:v>
      </x:c>
      <x:c r="G1158" s="7" t="n">
        <x:f>'01_Ustawienia'!$B$6</x:f>
        <x:v>0</x:v>
      </x:c>
      <x:c r="H1158" s="8" t="n">
        <x:f>IF(E1158="","",ROUND(IF('01_Ustawienia'!$B$5="BRUTTO",F1158,E1158)*(1-G1158),0))</x:f>
        <x:v>520</x:v>
      </x:c>
      <x:c r="I1158" s="7" t="n">
        <x:f>IFERROR(IFERROR(INDEX('01_Ustawienia'!$B$15:$B$33,MATCH(B1158,'01_Ustawienia'!$A$15:$A$33,0)),0.45),0.45)</x:f>
        <x:v>0.45</x:v>
      </x:c>
      <x:c r="J1158" s="8" t="n">
        <x:f>IF(H1158="","",ROUND(H1158*(1+I1158),0))</x:f>
        <x:v>754</x:v>
      </x:c>
      <x:c r="K1158" s="582" t="n">
        <x:v>0</x:v>
      </x:c>
      <x:c r="L1158" s="582" t="n">
        <x:v>0</x:v>
      </x:c>
      <x:c r="M1158" s="7" t="n">
        <x:f>IF('01_Ustawienia'!$B$4="ZWOLNIONY",0,'01_Ustawienia'!$B$7)</x:f>
        <x:v>0.08</x:v>
      </x:c>
      <x:c r="N1158" s="8" t="n">
        <x:f>IF(J1158="","",ROUND((J1158+K1158)*(1+M1158),0))</x:f>
        <x:v>814</x:v>
      </x:c>
      <x:c r="O1158" s="8" t="n">
        <x:f>IF(J1158="","",J1158+K1158-H1158-L1158)</x:f>
        <x:v>234</x:v>
      </x:c>
      <x:c r="P1158" s="7" t="n">
        <x:f>IFERROR(O1158/(J1158+K1158),"")</x:f>
        <x:v>0.3103448275862069</x:v>
      </x:c>
      <x:c r="Q1158" s="6" t="inlineStr">
        <x:is>
          <x:t xml:space="preserve">RAW_ZP R/S</x:t>
        </x:is>
      </x:c>
      <x:c r="R1158" s="6" t="inlineStr">
        <x:is>
          <x:t xml:space="preserve">OŚWIETLENIE</x:t>
        </x:is>
      </x:c>
      <x:c r="S1158" s="6" t="inlineStr">
        <x:is>
          <x:t xml:space="preserve">website+crm</x:t>
        </x:is>
      </x:c>
      <x:c r="T1158" s="581" t="inlineStr">
        <x:is>
          <x:t xml:space="preserve">Nazwa do potwierdzenia | FIX11: K/L 550/600 wg ark. 09 (POZOSTAWIĆ 0 NA RAZIE).</x:t>
        </x:is>
      </x:c>
    </x:row>
    <x:row r="1159" s="655" customFormat="1" ht="29.5" customHeight="1">
      <x:c r="A1159" s="6" t="inlineStr">
        <x:is>
          <x:t xml:space="preserve">600 x 306 cm</x:t>
        </x:is>
      </x:c>
      <x:c r="B1159" s="6" t="inlineStr">
        <x:is>
          <x:t xml:space="preserve">LEDCCT</x:t>
        </x:is>
      </x:c>
      <x:c r="C1159" s="6" t="inlineStr">
        <x:is>
          <x:t xml:space="preserve">Oświetlenie LED CCT</x:t>
        </x:is>
      </x:c>
      <x:c r="D1159" s="6" t="inlineStr">
        <x:is>
          <x:t xml:space="preserve">OŚWIETLENIE</x:t>
        </x:is>
      </x:c>
      <x:c r="E1159" s="8" t="n">
        <x:f>IFERROR(INDEX('02_RAW_INDEX'!$R:$R,MATCH($A1159,'02_RAW_INDEX'!$A:$A,0)),"")</x:f>
        <x:v>1244</x:v>
      </x:c>
      <x:c r="F1159" s="8" t="n">
        <x:f>IFERROR(INDEX('02_RAW_INDEX'!$Q:$Q,MATCH($A1159,'02_RAW_INDEX'!$A:$A,0)),"")</x:f>
        <x:v>1530</x:v>
      </x:c>
      <x:c r="G1159" s="7" t="n">
        <x:f>'01_Ustawienia'!$B$6</x:f>
        <x:v>0</x:v>
      </x:c>
      <x:c r="H1159" s="8" t="n">
        <x:f>IF(E1159="","",ROUND(IF('01_Ustawienia'!$B$5="BRUTTO",F1159,E1159)*(1-G1159),0))</x:f>
        <x:v>1244</x:v>
      </x:c>
      <x:c r="I1159" s="7" t="n">
        <x:f>IFERROR(IFERROR(INDEX('01_Ustawienia'!$B$15:$B$33,MATCH(B1159,'01_Ustawienia'!$A$15:$A$33,0)),0.45),0.45)</x:f>
        <x:v>0.45</x:v>
      </x:c>
      <x:c r="J1159" s="8" t="n">
        <x:f>IF(H1159="","",ROUND(H1159*(1+I1159),0)+700)</x:f>
        <x:v>2504</x:v>
      </x:c>
      <x:c r="K1159" s="582" t="n">
        <x:v>0</x:v>
      </x:c>
      <x:c r="L1159" s="582" t="n">
        <x:v>0</x:v>
      </x:c>
      <x:c r="M1159" s="7" t="n">
        <x:f>IF('01_Ustawienia'!$B$4="ZWOLNIONY",0,'01_Ustawienia'!$B$7)</x:f>
        <x:v>0.08</x:v>
      </x:c>
      <x:c r="N1159" s="8" t="n">
        <x:f>IF(J1159="","",ROUND((J1159+K1159)*(1+M1159),0))</x:f>
        <x:v>2704</x:v>
      </x:c>
      <x:c r="O1159" s="8" t="n">
        <x:f>IF(J1159="","",J1159+K1159-H1159-L1159)</x:f>
        <x:v>1260</x:v>
      </x:c>
      <x:c r="P1159" s="7" t="n">
        <x:f>IFERROR(O1159/(J1159+K1159),"")</x:f>
        <x:v>0.5031948881789138</x:v>
      </x:c>
      <x:c r="Q1159" s="715" t="inlineStr">
        <x:is>
          <x:t xml:space="preserve">MODEL_FIX15_LED</x:t>
        </x:is>
      </x:c>
      <x:c r="R1159" s="6" t="inlineStr">
        <x:is>
          <x:t xml:space="preserve">OŚWIETLENIE</x:t>
        </x:is>
      </x:c>
      <x:c r="S1159" s="6" t="inlineStr">
        <x:is>
          <x:t xml:space="preserve">website+crm</x:t>
        </x:is>
      </x:c>
      <x:c r="T1159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160" s="655" customFormat="1" ht="29.5" customHeight="1">
      <x:c r="A1160" s="6" t="inlineStr">
        <x:is>
          <x:t xml:space="preserve">600 x 306 cm</x:t>
        </x:is>
      </x:c>
      <x:c r="B1160" s="6" t="inlineStr">
        <x:is>
          <x:t xml:space="preserve">LEDRGBCCT</x:t>
        </x:is>
      </x:c>
      <x:c r="C1160" s="6" t="inlineStr">
        <x:is>
          <x:t xml:space="preserve">Oświetlenie LED RGB CCT</x:t>
        </x:is>
      </x:c>
      <x:c r="D1160" s="6" t="inlineStr">
        <x:is>
          <x:t xml:space="preserve">OŚWIETLENIE</x:t>
        </x:is>
      </x:c>
      <x:c r="E1160" s="8" t="n">
        <x:f>IFERROR(INDEX('02_RAW_INDEX'!$T:$T,MATCH($A1160,'02_RAW_INDEX'!$A:$A,0)),"")</x:f>
        <x:v>1614</x:v>
      </x:c>
      <x:c r="F1160" s="8" t="n">
        <x:f>IFERROR(INDEX('02_RAW_INDEX'!$S:$S,MATCH($A1160,'02_RAW_INDEX'!$A:$A,0)),"")</x:f>
        <x:v>1985</x:v>
      </x:c>
      <x:c r="G1160" s="7" t="n">
        <x:f>'01_Ustawienia'!$B$6</x:f>
        <x:v>0</x:v>
      </x:c>
      <x:c r="H1160" s="8" t="n">
        <x:f>IF(E1160="","",ROUND(IF('01_Ustawienia'!$B$5="BRUTTO",F1160,E1160)*(1-G1160),0))</x:f>
        <x:v>1614</x:v>
      </x:c>
      <x:c r="I1160" s="7" t="n">
        <x:f>IFERROR(IFERROR(INDEX('01_Ustawienia'!$B$15:$B$33,MATCH(B1160,'01_Ustawienia'!$A$15:$A$33,0)),0.45),0.45)</x:f>
        <x:v>0.45</x:v>
      </x:c>
      <x:c r="J1160" s="8" t="n">
        <x:f>IF(H1160="","",ROUND(H1160*(1+I1160),0))</x:f>
        <x:v>2340</x:v>
      </x:c>
      <x:c r="K1160" s="582" t="n">
        <x:v>0</x:v>
      </x:c>
      <x:c r="L1160" s="582" t="n">
        <x:v>0</x:v>
      </x:c>
      <x:c r="M1160" s="7" t="n">
        <x:f>IF('01_Ustawienia'!$B$4="ZWOLNIONY",0,'01_Ustawienia'!$B$7)</x:f>
        <x:v>0.08</x:v>
      </x:c>
      <x:c r="N1160" s="8" t="n">
        <x:f>IF(J1160="","",ROUND((J1160+K1160)*(1+M1160),0))</x:f>
        <x:v>2527</x:v>
      </x:c>
      <x:c r="O1160" s="8" t="n">
        <x:f>IF(J1160="","",J1160+K1160-H1160-L1160)</x:f>
        <x:v>726</x:v>
      </x:c>
      <x:c r="P1160" s="7" t="n">
        <x:f>IFERROR(O1160/(J1160+K1160),"")</x:f>
        <x:v>0.31025641025641026</x:v>
      </x:c>
      <x:c r="Q1160" s="715" t="inlineStr">
        <x:is>
          <x:t xml:space="preserve">MODEL_FIX15_LED</x:t>
        </x:is>
      </x:c>
      <x:c r="R1160" s="6" t="inlineStr">
        <x:is>
          <x:t xml:space="preserve">OŚWIETLENIE</x:t>
        </x:is>
      </x:c>
      <x:c r="S1160" s="6" t="inlineStr">
        <x:is>
          <x:t xml:space="preserve">crm_only</x:t>
        </x:is>
      </x:c>
      <x:c r="T1160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161" s="655" customFormat="1" ht="30" customHeight="1">
      <x:c r="A1161" s="6" t="inlineStr">
        <x:is>
          <x:t xml:space="preserve">600 x 406 cm</x:t>
        </x:is>
      </x:c>
      <x:c r="B1161" s="6" t="inlineStr">
        <x:is>
          <x:t xml:space="preserve">ZP</x:t>
        </x:is>
      </x:c>
      <x:c r="C1161" s="6" t="inlineStr">
        <x:is>
          <x:t xml:space="preserve">Zadaszenie poliwęglan - baza</x:t>
        </x:is>
      </x:c>
      <x:c r="D1161" s="6" t="inlineStr">
        <x:is>
          <x:t xml:space="preserve">ZADASZENIE POLIWĘGLAN</x:t>
        </x:is>
      </x:c>
      <x:c r="E1161" s="8" t="n">
        <x:f>IFERROR(INDEX('02_RAW_INDEX'!$D:$D,MATCH($A1161,'02_RAW_INDEX'!$A:$A,0)),"")</x:f>
        <x:v>11407</x:v>
      </x:c>
      <x:c r="F1161" s="8" t="n">
        <x:f>IFERROR(INDEX('02_RAW_INDEX'!$C:$C,MATCH($A1161,'02_RAW_INDEX'!$A:$A,0)),"")</x:f>
        <x:v>14030</x:v>
      </x:c>
      <x:c r="G1161" s="7" t="n">
        <x:f>'01_Ustawienia'!$B$6</x:f>
        <x:v>0</x:v>
      </x:c>
      <x:c r="H1161" s="8" t="n">
        <x:f>IF(E1161="","",ROUND(IF('01_Ustawienia'!$B$5="BRUTTO",F1161,E1161)*(1-G1161),0))</x:f>
        <x:v>11407</x:v>
      </x:c>
      <x:c r="I1161" s="7" t="n">
        <x:f>IFERROR(IFERROR(INDEX('01_Ustawienia'!$B$15:$B$33,MATCH(B1161,'01_Ustawienia'!$A$15:$A$33,0)),0.45),0.45)</x:f>
        <x:v>0.45</x:v>
      </x:c>
      <x:c r="J1161" s="8" t="n">
        <x:f>IF(H1161="","",ROUND(H1161*(1+I1161),0))</x:f>
        <x:v>16540</x:v>
      </x:c>
      <x:c r="K1161" s="580" t="n">
        <x:v>4510</x:v>
      </x:c>
      <x:c r="L1161" s="580" t="n">
        <x:v>1340</x:v>
      </x:c>
      <x:c r="M1161" s="7" t="n">
        <x:f>IF('01_Ustawienia'!$B$4="ZWOLNIONY",0,'01_Ustawienia'!$B$7)</x:f>
        <x:v>0.08</x:v>
      </x:c>
      <x:c r="N1161" s="8" t="n">
        <x:f>IF(J1161="","",ROUND((J1161+K1161)*(1+M1161),0))</x:f>
        <x:v>22734</x:v>
      </x:c>
      <x:c r="O1161" s="8" t="n">
        <x:f>IF(J1161="","",J1161+K1161-H1161-L1161)</x:f>
        <x:v>8303</x:v>
      </x:c>
      <x:c r="P1161" s="7" t="n">
        <x:f>IFERROR(O1161/(J1161+K1161),"")</x:f>
        <x:v>0.3944418052256532</x:v>
      </x:c>
      <x:c r="Q1161" s="6" t="inlineStr">
        <x:is>
          <x:t xml:space="preserve">RAW_ZP B/C</x:t>
        </x:is>
      </x:c>
      <x:c r="R1161" s="6" t="inlineStr">
        <x:is>
          <x:t xml:space="preserve">ZADASZENIE TARASU KONSTRUKCJA</x:t>
        </x:is>
      </x:c>
      <x:c r="S1161" s="6" t="inlineStr">
        <x:is>
          <x:t xml:space="preserve">website+crm</x:t>
        </x:is>
      </x:c>
      <x:c r="T1161" s="581" t="inlineStr">
        <x:is>
          <x:t xml:space="preserve">Baza dla kalkulatora | FIX11: K/L 550/600 wg ark. 09 (UZUPEŁNIĆ).</x:t>
        </x:is>
      </x:c>
    </x:row>
    <x:row r="1162" s="655" customFormat="1" ht="30" customHeight="1">
      <x:c r="A1162" s="6" t="inlineStr">
        <x:is>
          <x:t xml:space="preserve">600 x 406 cm</x:t>
        </x:is>
      </x:c>
      <x:c r="B1162" s="6" t="inlineStr">
        <x:is>
          <x:t xml:space="preserve">ZS</x:t>
        </x:is>
      </x:c>
      <x:c r="C1162" s="6" t="inlineStr">
        <x:is>
          <x:t xml:space="preserve">Zadaszenie szkło - pełna konstrukcja</x:t>
        </x:is>
      </x:c>
      <x:c r="D1162" s="6" t="inlineStr">
        <x:is>
          <x:t xml:space="preserve">ZADASZENIE SZKŁO</x:t>
        </x:is>
      </x:c>
      <x:c r="E1162" s="8" t="str">
        <x:f>IFERROR(INDEX('02_RAW_INDEX'!$V:$V,MATCH($A1162,'02_RAW_INDEX'!$A:$A,0)),"")</x:f>
      </x:c>
      <x:c r="F1162" s="8" t="str">
        <x:f>IFERROR(INDEX('02_RAW_INDEX'!$U:$U,MATCH($A1162,'02_RAW_INDEX'!$A:$A,0)),"")</x:f>
      </x:c>
      <x:c r="G1162" s="7" t="n">
        <x:f>'01_Ustawienia'!$B$6</x:f>
        <x:v>0</x:v>
      </x:c>
      <x:c r="H1162" s="8" t="str">
        <x:f>IF(E1162="","",ROUND(IF('01_Ustawienia'!$B$5="BRUTTO",F1162,E1162)*(1-G1162),0))</x:f>
      </x:c>
      <x:c r="I1162" s="7" t="n">
        <x:f>IFERROR(IFERROR(INDEX('01_Ustawienia'!$B$15:$B$33,MATCH(B1162,'01_Ustawienia'!$A$15:$A$33,0)),0.45),0.45)</x:f>
        <x:v>0.45</x:v>
      </x:c>
      <x:c r="J1162" s="8" t="str">
        <x:f>IF(H1162="","",ROUND(H1162*(1+I1162),0))</x:f>
      </x:c>
      <x:c r="K1162" s="580" t="n">
        <x:v>4510</x:v>
      </x:c>
      <x:c r="L1162" s="580" t="n">
        <x:v>1720</x:v>
      </x:c>
      <x:c r="M1162" s="7" t="n">
        <x:f>IF('01_Ustawienia'!$B$4="ZWOLNIONY",0,'01_Ustawienia'!$B$7)</x:f>
        <x:v>0.08</x:v>
      </x:c>
      <x:c r="N1162" s="8" t="str">
        <x:f>IF(J1162="","",ROUND((J1162+K1162)*(1+M1162),0))</x:f>
      </x:c>
      <x:c r="O1162" s="8" t="str">
        <x:f>IF(J1162="","",J1162+K1162-H1162-L1162)</x:f>
      </x:c>
      <x:c r="P1162" s="7" t="n">
        <x:f>IFERROR(O1162/(J1162+K1162),"")</x:f>
        <x:v>0</x:v>
      </x:c>
      <x:c r="Q1162" s="6" t="inlineStr">
        <x:is>
          <x:t xml:space="preserve">RAW_ZS B/C</x:t>
        </x:is>
      </x:c>
      <x:c r="R1162" s="6" t="inlineStr">
        <x:is>
          <x:t xml:space="preserve">ZADASZENIE TARASU KONSTRUKCJA</x:t>
        </x:is>
      </x:c>
      <x:c r="S1162" s="6" t="inlineStr">
        <x:is>
          <x:t xml:space="preserve">crm_only</x:t>
        </x:is>
      </x:c>
      <x:c r="T1162" s="581" t="inlineStr">
        <x:is>
          <x:t xml:space="preserve">Referencyjne/full; strona zwykle używa ZP + PDS | FIX11: K/L 550/600 wg ark. 09 (NIE PUBLIKOWAĆ / BRAK RAW_ZS).</x:t>
        </x:is>
      </x:c>
    </x:row>
    <x:row r="1163" s="655" customFormat="1" ht="30" customHeight="1">
      <x:c r="A1163" s="6" t="inlineStr">
        <x:is>
          <x:t xml:space="preserve">600 x 406 cm</x:t>
        </x:is>
      </x:c>
      <x:c r="B1163" s="6" t="inlineStr">
        <x:is>
          <x:t xml:space="preserve">OP</x:t>
        </x:is>
      </x:c>
      <x:c r="C1163" s="6" t="inlineStr">
        <x:is>
          <x:t xml:space="preserve">Ogród zimowy poliwęglan - baza</x:t>
        </x:is>
      </x:c>
      <x:c r="D1163" s="6" t="inlineStr">
        <x:is>
          <x:t xml:space="preserve">OGRODY POLIWĘGLAN</x:t>
        </x:is>
      </x:c>
      <x:c r="E1163" s="8" t="n">
        <x:f>IFERROR(INDEX('02_RAW_INDEX'!$Z:$Z,MATCH($A1163,'02_RAW_INDEX'!$A:$A,0)),"")</x:f>
        <x:v>26431</x:v>
      </x:c>
      <x:c r="F1163" s="8" t="n">
        <x:f>IFERROR(INDEX('02_RAW_INDEX'!$Y:$Y,MATCH($A1163,'02_RAW_INDEX'!$A:$A,0)),"")</x:f>
        <x:v>32510</x:v>
      </x:c>
      <x:c r="G1163" s="7" t="n">
        <x:f>'01_Ustawienia'!$B$6</x:f>
        <x:v>0</x:v>
      </x:c>
      <x:c r="H1163" s="8" t="n">
        <x:f>IF(E1163="","",ROUND(IF('01_Ustawienia'!$B$5="BRUTTO",F1163,E1163)*(1-G1163),0))</x:f>
        <x:v>26431</x:v>
      </x:c>
      <x:c r="I1163" s="7" t="n">
        <x:f>IFERROR(IFERROR(INDEX('01_Ustawienia'!$B$15:$B$33,MATCH(B1163,'01_Ustawienia'!$A$15:$A$33,0)),0.45),0.45)</x:f>
        <x:v>0.45</x:v>
      </x:c>
      <x:c r="J1163" s="8" t="n">
        <x:f>IF(H1163="","",ROUND(H1163*(1+I1163),0))</x:f>
        <x:v>38325</x:v>
      </x:c>
      <x:c r="K1163" s="580" t="n">
        <x:v>5320</x:v>
      </x:c>
      <x:c r="L1163" s="580" t="n">
        <x:v>1890</x:v>
      </x:c>
      <x:c r="M1163" s="7" t="n">
        <x:f>IF('01_Ustawienia'!$B$4="ZWOLNIONY",0,'01_Ustawienia'!$B$7)</x:f>
        <x:v>0.08</x:v>
      </x:c>
      <x:c r="N1163" s="8" t="n">
        <x:f>IF(J1163="","",ROUND((J1163+K1163)*(1+M1163),0))</x:f>
        <x:v>47137</x:v>
      </x:c>
      <x:c r="O1163" s="8" t="n">
        <x:f>IF(J1163="","",J1163+K1163-H1163-L1163)</x:f>
        <x:v>15324</x:v>
      </x:c>
      <x:c r="P1163" s="7" t="n">
        <x:f>IFERROR(O1163/(J1163+K1163),"")</x:f>
        <x:v>0.35110551036773974</x:v>
      </x:c>
      <x:c r="Q1163" s="6" t="inlineStr">
        <x:is>
          <x:t xml:space="preserve">RAW_OP B/C</x:t>
        </x:is>
      </x:c>
      <x:c r="R1163" s="6" t="inlineStr">
        <x:is>
          <x:t xml:space="preserve">OGRÓD ZIMOWY (KONSTRUKCJA)</x:t>
        </x:is>
      </x:c>
      <x:c r="S1163" s="6" t="inlineStr">
        <x:is>
          <x:t xml:space="preserve">website+crm</x:t>
        </x:is>
      </x:c>
      <x:c r="T1163" s="581" t="inlineStr">
        <x:is>
          <x:t xml:space="preserve">Do wyliczenia dopłaty za ściany | FIX11: K/L 550/600 wg ark. 09 (UZUPEŁNIĆ).</x:t>
        </x:is>
      </x:c>
    </x:row>
    <x:row r="1164" s="655" customFormat="1" ht="30" customHeight="1">
      <x:c r="A1164" s="6" t="inlineStr">
        <x:is>
          <x:t xml:space="preserve">600 x 406 cm</x:t>
        </x:is>
      </x:c>
      <x:c r="B1164" s="6" t="inlineStr">
        <x:is>
          <x:t xml:space="preserve">OS</x:t>
        </x:is>
      </x:c>
      <x:c r="C1164" s="6" t="inlineStr">
        <x:is>
          <x:t xml:space="preserve">Ogród zimowy szkło - pełna konstrukcja</x:t>
        </x:is>
      </x:c>
      <x:c r="D1164" s="6" t="inlineStr">
        <x:is>
          <x:t xml:space="preserve">OGRODY SZKŁO</x:t>
        </x:is>
      </x:c>
      <x:c r="E1164" s="8" t="str">
        <x:f>IFERROR(INDEX('02_RAW_INDEX'!$AL:$AL,MATCH($A1164,'02_RAW_INDEX'!$A:$A,0)),"")</x:f>
      </x:c>
      <x:c r="F1164" s="8" t="str">
        <x:f>IFERROR(INDEX('02_RAW_INDEX'!$AK:$AK,MATCH($A1164,'02_RAW_INDEX'!$A:$A,0)),"")</x:f>
      </x:c>
      <x:c r="G1164" s="7" t="n">
        <x:f>'01_Ustawienia'!$B$6</x:f>
        <x:v>0</x:v>
      </x:c>
      <x:c r="H1164" s="8" t="str">
        <x:f>IF(E1164="","",ROUND(IF('01_Ustawienia'!$B$5="BRUTTO",F1164,E1164)*(1-G1164),0))</x:f>
      </x:c>
      <x:c r="I1164" s="7" t="n">
        <x:f>IFERROR(IFERROR(INDEX('01_Ustawienia'!$B$15:$B$33,MATCH(B1164,'01_Ustawienia'!$A$15:$A$33,0)),0.45),0.45)</x:f>
        <x:v>0.45</x:v>
      </x:c>
      <x:c r="J1164" s="8" t="str">
        <x:f>IF(H1164="","",ROUND(H1164*(1+I1164),0))</x:f>
      </x:c>
      <x:c r="K1164" s="580" t="n">
        <x:v>5320</x:v>
      </x:c>
      <x:c r="L1164" s="580" t="n">
        <x:v>2270</x:v>
      </x:c>
      <x:c r="M1164" s="7" t="n">
        <x:f>IF('01_Ustawienia'!$B$4="ZWOLNIONY",0,'01_Ustawienia'!$B$7)</x:f>
        <x:v>0.08</x:v>
      </x:c>
      <x:c r="N1164" s="8" t="str">
        <x:f>IF(J1164="","",ROUND((J1164+K1164)*(1+M1164),0))</x:f>
      </x:c>
      <x:c r="O1164" s="8" t="str">
        <x:f>IF(J1164="","",J1164+K1164-H1164-L1164)</x:f>
      </x:c>
      <x:c r="P1164" s="7" t="n">
        <x:f>IFERROR(O1164/(J1164+K1164),"")</x:f>
        <x:v>0</x:v>
      </x:c>
      <x:c r="Q1164" s="6" t="inlineStr">
        <x:is>
          <x:t xml:space="preserve">RAW_OS B/C</x:t>
        </x:is>
      </x:c>
      <x:c r="R1164" s="6" t="inlineStr">
        <x:is>
          <x:t xml:space="preserve">OGRÓD ZIMOWY (KONSTRUKCJA)</x:t>
        </x:is>
      </x:c>
      <x:c r="S1164" s="6" t="inlineStr">
        <x:is>
          <x:t xml:space="preserve">crm_only</x:t>
        </x:is>
      </x:c>
      <x:c r="T1164" s="581" t="inlineStr">
        <x:is>
          <x:t xml:space="preserve">Referencyjne/full | FIX11: K/L 550/600 wg ark. 09 (NIE PUBLIKOWAĆ / BRAK RAW_OS).</x:t>
        </x:is>
      </x:c>
    </x:row>
    <x:row r="1165" s="655" customFormat="1" ht="30" customHeight="1">
      <x:c r="A1165" s="6" t="inlineStr">
        <x:is>
          <x:t xml:space="preserve">600 x 406 cm</x:t>
        </x:is>
      </x:c>
      <x:c r="B1165" s="6" t="inlineStr">
        <x:is>
          <x:t xml:space="preserve">PDS</x:t>
        </x:is>
      </x:c>
      <x:c r="C1165" s="6" t="inlineStr">
        <x:is>
          <x:t xml:space="preserve">Dopłata dach szkło przezroczyste</x:t>
        </x:is>
      </x:c>
      <x:c r="D1165" s="6" t="inlineStr">
        <x:is>
          <x:t xml:space="preserve">POKRYCIE DACHU SZKŁO</x:t>
        </x:is>
      </x:c>
      <x:c r="E1165" s="8" t="n">
        <x:f>IFERROR(IFERROR(INDEX('02_RAW_INDEX'!$V:$V,MATCH($A1165,'02_RAW_INDEX'!$A:$A,0)),"")-IFERROR(INDEX('02_RAW_INDEX'!$D:$D,MATCH($A1165,'02_RAW_INDEX'!$A:$A,0)),""),"")</x:f>
        <x:v>-11407</x:v>
      </x:c>
      <x:c r="F1165" s="8" t="n">
        <x:f>IFERROR(IFERROR(INDEX('02_RAW_INDEX'!$U:$U,MATCH($A1165,'02_RAW_INDEX'!$A:$A,0)),"")-IFERROR(INDEX('02_RAW_INDEX'!$C:$C,MATCH($A1165,'02_RAW_INDEX'!$A:$A,0)),""),"")</x:f>
        <x:v>-14030</x:v>
      </x:c>
      <x:c r="G1165" s="7" t="n">
        <x:f>'01_Ustawienia'!$B$6</x:f>
        <x:v>0</x:v>
      </x:c>
      <x:c r="H1165" s="8" t="n">
        <x:f>IF(E1165="","",ROUND(IF('01_Ustawienia'!$B$5="BRUTTO",F1165,E1165)*(1-G1165),0))</x:f>
        <x:v>-11407</x:v>
      </x:c>
      <x:c r="I1165" s="7" t="n">
        <x:f>IFERROR(IFERROR(INDEX('01_Ustawienia'!$B$15:$B$33,MATCH(B1165,'01_Ustawienia'!$A$15:$A$33,0)),0.45),0.45)</x:f>
        <x:v>0.45</x:v>
      </x:c>
      <x:c r="J1165" s="8" t="n">
        <x:f>IF(H1165="","",ROUND(H1165*(1+I1165),0))</x:f>
        <x:v>-16540</x:v>
      </x:c>
      <x:c r="K1165" s="580" t="n">
        <x:v>0</x:v>
      </x:c>
      <x:c r="L1165" s="580" t="n">
        <x:v>0</x:v>
      </x:c>
      <x:c r="M1165" s="7" t="n">
        <x:f>IF('01_Ustawienia'!$B$4="ZWOLNIONY",0,'01_Ustawienia'!$B$7)</x:f>
        <x:v>0.08</x:v>
      </x:c>
      <x:c r="N1165" s="8" t="n">
        <x:f>IF(J1165="","",ROUND((J1165+K1165)*(1+M1165),0))</x:f>
        <x:v>-17863</x:v>
      </x:c>
      <x:c r="O1165" s="8" t="n">
        <x:f>IF(J1165="","",J1165+K1165-H1165-L1165)</x:f>
        <x:v>-5133</x:v>
      </x:c>
      <x:c r="P1165" s="7" t="n">
        <x:f>IFERROR(O1165/(J1165+K1165),"")</x:f>
        <x:v>0.3103385731559855</x:v>
      </x:c>
      <x:c r="Q1165" s="6" t="inlineStr">
        <x:is>
          <x:t xml:space="preserve">RAW_ZS - RAW_ZP</x:t>
        </x:is>
      </x:c>
      <x:c r="R1165" s="6" t="inlineStr">
        <x:is>
          <x:t xml:space="preserve">POKRYCIE DACHU</x:t>
        </x:is>
      </x:c>
      <x:c r="S1165" s="6" t="inlineStr">
        <x:is>
          <x:t xml:space="preserve">website+crm</x:t>
        </x:is>
      </x:c>
      <x:c r="T1165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166" s="655" customFormat="1" ht="30" customHeight="1">
      <x:c r="A1166" s="6" t="inlineStr">
        <x:is>
          <x:t xml:space="preserve">600 x 406 cm</x:t>
        </x:is>
      </x:c>
      <x:c r="B1166" s="6" t="inlineStr">
        <x:is>
          <x:t xml:space="preserve">PDSB</x:t>
        </x:is>
      </x:c>
      <x:c r="C1166" s="6" t="inlineStr">
        <x:is>
          <x:t xml:space="preserve">Dopłata dach szkło barwione/mleczne</x:t>
        </x:is>
      </x:c>
      <x:c r="D1166" s="6" t="inlineStr">
        <x:is>
          <x:t xml:space="preserve">POKRYCIE DACHU SZKŁO BARWIONE</x:t>
        </x:is>
      </x:c>
      <x:c r="E1166" s="8" t="str">
        <x:f>IFERROR(INDEX('02_RAW_INDEX'!$X:$X,MATCH($A1166,'02_RAW_INDEX'!$A:$A,0)),"")</x:f>
      </x:c>
      <x:c r="F1166" s="8" t="str">
        <x:f>IFERROR(INDEX('02_RAW_INDEX'!$W:$W,MATCH($A1166,'02_RAW_INDEX'!$A:$A,0)),"")</x:f>
      </x:c>
      <x:c r="G1166" s="7" t="n">
        <x:f>'01_Ustawienia'!$B$6</x:f>
        <x:v>0</x:v>
      </x:c>
      <x:c r="H1166" s="8" t="str">
        <x:f>IF(E1166="","",ROUND(IF('01_Ustawienia'!$B$5="BRUTTO",F1166,E1166)*(1-G1166),0))</x:f>
      </x:c>
      <x:c r="I1166" s="7" t="n">
        <x:f>IFERROR(IFERROR(INDEX('01_Ustawienia'!$B$15:$B$33,MATCH(B1166,'01_Ustawienia'!$A$15:$A$33,0)),0.45),0.45)</x:f>
        <x:v>0.45</x:v>
      </x:c>
      <x:c r="J1166" s="8" t="str">
        <x:f>IF(H1166="","",ROUND(H1166*(1+I1166),0))</x:f>
      </x:c>
      <x:c r="K1166" s="582" t="n">
        <x:v>0</x:v>
      </x:c>
      <x:c r="L1166" s="582" t="n">
        <x:v>0</x:v>
      </x:c>
      <x:c r="M1166" s="7" t="n">
        <x:f>IF('01_Ustawienia'!$B$4="ZWOLNIONY",0,'01_Ustawienia'!$B$7)</x:f>
        <x:v>0.08</x:v>
      </x:c>
      <x:c r="N1166" s="8" t="str">
        <x:f>IF(J1166="","",ROUND((J1166+K1166)*(1+M1166),0))</x:f>
      </x:c>
      <x:c r="O1166" s="8" t="str">
        <x:f>IF(J1166="","",J1166+K1166-H1166-L1166)</x:f>
      </x:c>
      <x:c r="P1166" s="7" t="str">
        <x:f>IFERROR(O1166/(J1166+K1166),"")</x:f>
      </x:c>
      <x:c r="Q1166" s="6" t="inlineStr">
        <x:is>
          <x:t xml:space="preserve">RAW_ZS D/E</x:t>
        </x:is>
      </x:c>
      <x:c r="R1166" s="6" t="inlineStr">
        <x:is>
          <x:t xml:space="preserve">POKRYCIE DACHU</x:t>
        </x:is>
      </x:c>
      <x:c r="S1166" s="6" t="inlineStr">
        <x:is>
          <x:t xml:space="preserve">website+crm</x:t>
        </x:is>
      </x:c>
      <x:c r="T1166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167" s="655" customFormat="1" ht="30" customHeight="1">
      <x:c r="A1167" s="6" t="inlineStr">
        <x:is>
          <x:t xml:space="preserve">600 x 406 cm</x:t>
        </x:is>
      </x:c>
      <x:c r="B1167" s="6" t="inlineStr">
        <x:is>
          <x:t xml:space="preserve">PDPB</x:t>
        </x:is>
      </x:c>
      <x:c r="C1167" s="6" t="inlineStr">
        <x:is>
          <x:t xml:space="preserve">Dopłata poliwęglan barwiony</x:t>
        </x:is>
      </x:c>
      <x:c r="D1167" s="6" t="inlineStr">
        <x:is>
          <x:t xml:space="preserve">POKRYCIE DACHU POLIWĘGLAN BARWIONY</x:t>
        </x:is>
      </x:c>
      <x:c r="E1167" s="8" t="n">
        <x:f>IFERROR(INDEX('02_RAW_INDEX'!$F:$F,MATCH($A1167,'02_RAW_INDEX'!$A:$A,0)),"")</x:f>
        <x:v>341</x:v>
      </x:c>
      <x:c r="F1167" s="8" t="n">
        <x:f>IFERROR(INDEX('02_RAW_INDEX'!$E:$E,MATCH($A1167,'02_RAW_INDEX'!$A:$A,0)),"")</x:f>
        <x:v>420</x:v>
      </x:c>
      <x:c r="G1167" s="7" t="n">
        <x:f>'01_Ustawienia'!$B$6</x:f>
        <x:v>0</x:v>
      </x:c>
      <x:c r="H1167" s="8" t="n">
        <x:f>IF(E1167="","",ROUND(IF('01_Ustawienia'!$B$5="BRUTTO",F1167,E1167)*(1-G1167),0))</x:f>
        <x:v>341</x:v>
      </x:c>
      <x:c r="I1167" s="7" t="n">
        <x:f>IFERROR(IFERROR(INDEX('01_Ustawienia'!$B$15:$B$33,MATCH(B1167,'01_Ustawienia'!$A$15:$A$33,0)),0.45),0.45)</x:f>
        <x:v>0.45</x:v>
      </x:c>
      <x:c r="J1167" s="8" t="n">
        <x:f>IF(H1167="","",ROUND(H1167*(1+I1167),0))</x:f>
        <x:v>494</x:v>
      </x:c>
      <x:c r="K1167" s="582" t="n">
        <x:v>0</x:v>
      </x:c>
      <x:c r="L1167" s="582" t="n">
        <x:v>0</x:v>
      </x:c>
      <x:c r="M1167" s="7" t="n">
        <x:f>IF('01_Ustawienia'!$B$4="ZWOLNIONY",0,'01_Ustawienia'!$B$7)</x:f>
        <x:v>0.08</x:v>
      </x:c>
      <x:c r="N1167" s="8" t="n">
        <x:f>IF(J1167="","",ROUND((J1167+K1167)*(1+M1167),0))</x:f>
        <x:v>534</x:v>
      </x:c>
      <x:c r="O1167" s="8" t="n">
        <x:f>IF(J1167="","",J1167+K1167-H1167-L1167)</x:f>
        <x:v>153</x:v>
      </x:c>
      <x:c r="P1167" s="7" t="n">
        <x:f>IFERROR(O1167/(J1167+K1167),"")</x:f>
        <x:v>0.3097165991902834</x:v>
      </x:c>
      <x:c r="Q1167" s="6" t="inlineStr">
        <x:is>
          <x:t xml:space="preserve">RAW_ZP D/E</x:t>
        </x:is>
      </x:c>
      <x:c r="R1167" s="6" t="inlineStr">
        <x:is>
          <x:t xml:space="preserve">POKRYCIE DACHU</x:t>
        </x:is>
      </x:c>
      <x:c r="S1167" s="6" t="inlineStr">
        <x:is>
          <x:t xml:space="preserve">website+crm</x:t>
        </x:is>
      </x:c>
      <x:c r="T1167" s="581" t="inlineStr">
        <x:is>
          <x:t xml:space="preserve">FIX11: K/L 550/600 wg ark. 09 (POZOSTAWIĆ 0). | FIX17: Wynagr.+koszty = 0 dla dopłaty; nie jest osobnym montażem ekipy.</x:t>
        </x:is>
      </x:c>
    </x:row>
    <x:row r="1168" s="655" customFormat="1" ht="30" customHeight="1">
      <x:c r="A1168" s="6" t="inlineStr">
        <x:is>
          <x:t xml:space="preserve">600 x 406 cm</x:t>
        </x:is>
      </x:c>
      <x:c r="B1168" s="6" t="inlineStr">
        <x:is>
          <x:t xml:space="preserve">SBB</x:t>
        </x:is>
      </x:c>
      <x:c r="C1168" s="6" t="inlineStr">
        <x:is>
          <x:t xml:space="preserve">Dopłata szkło boczne przyciemniane</x:t>
        </x:is>
      </x:c>
      <x:c r="D1168" s="6" t="inlineStr">
        <x:is>
          <x:t xml:space="preserve">SZKŁO BOCZNE BARWIONE</x:t>
        </x:is>
      </x:c>
      <x:c r="E1168" s="8" t="n">
        <x:f>IFERROR(INDEX('02_RAW_INDEX'!$AB:$AB,MATCH($A1168,'02_RAW_INDEX'!$A:$A,0)),"")</x:f>
        <x:v>1561</x:v>
      </x:c>
      <x:c r="F1168" s="8" t="n">
        <x:f>IFERROR(INDEX('02_RAW_INDEX'!$AA:$AA,MATCH($A1168,'02_RAW_INDEX'!$A:$A,0)),"")</x:f>
        <x:v>1920</x:v>
      </x:c>
      <x:c r="G1168" s="7" t="n">
        <x:f>'01_Ustawienia'!$B$6</x:f>
        <x:v>0</x:v>
      </x:c>
      <x:c r="H1168" s="8" t="n">
        <x:f>IF(E1168="","",ROUND(IF('01_Ustawienia'!$B$5="BRUTTO",F1168,E1168)*(1-G1168),0))</x:f>
        <x:v>1561</x:v>
      </x:c>
      <x:c r="I1168" s="7" t="n">
        <x:f>IFERROR(IFERROR(INDEX('01_Ustawienia'!$B$15:$B$33,MATCH(B1168,'01_Ustawienia'!$A$15:$A$33,0)),0.45),0.45)</x:f>
        <x:v>0.45</x:v>
      </x:c>
      <x:c r="J1168" s="8" t="n">
        <x:f>IF(H1168="","",ROUND(H1168*(1+I1168),0))</x:f>
        <x:v>2263</x:v>
      </x:c>
      <x:c r="K1168" s="582" t="n">
        <x:v>0</x:v>
      </x:c>
      <x:c r="L1168" s="582" t="n">
        <x:v>0</x:v>
      </x:c>
      <x:c r="M1168" s="7" t="n">
        <x:f>IF('01_Ustawienia'!$B$4="ZWOLNIONY",0,'01_Ustawienia'!$B$7)</x:f>
        <x:v>0.08</x:v>
      </x:c>
      <x:c r="N1168" s="8" t="n">
        <x:f>IF(J1168="","",ROUND((J1168+K1168)*(1+M1168),0))</x:f>
        <x:v>2444</x:v>
      </x:c>
      <x:c r="O1168" s="8" t="n">
        <x:f>IF(J1168="","",J1168+K1168-H1168-L1168)</x:f>
        <x:v>702</x:v>
      </x:c>
      <x:c r="P1168" s="7" t="n">
        <x:f>IFERROR(O1168/(J1168+K1168),"")</x:f>
        <x:v>0.3102076889085285</x:v>
      </x:c>
      <x:c r="Q1168" s="6" t="inlineStr">
        <x:is>
          <x:t xml:space="preserve">RAW_OP H/I</x:t>
        </x:is>
      </x:c>
      <x:c r="R1168" s="6" t="inlineStr">
        <x:is>
          <x:t xml:space="preserve">SZYBY BOCZNE</x:t>
        </x:is>
      </x:c>
      <x:c r="S1168" s="6" t="inlineStr">
        <x:is>
          <x:t xml:space="preserve">website+crm</x:t>
        </x:is>
      </x:c>
      <x:c r="T1168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169" s="655" customFormat="1" ht="29.5" customHeight="1">
      <x:c r="A1169" s="6" t="inlineStr">
        <x:is>
          <x:t xml:space="preserve">600 x 406 cm</x:t>
        </x:is>
      </x:c>
      <x:c r="B1169" s="6" t="inlineStr">
        <x:is>
          <x:t xml:space="preserve">RB</x:t>
        </x:is>
      </x:c>
      <x:c r="C1169" s="6" t="inlineStr">
        <x:is>
          <x:t xml:space="preserve">Roleta boczna ZIP</x:t>
        </x:is>
      </x:c>
      <x:c r="D1169" s="6" t="inlineStr">
        <x:is>
          <x:t xml:space="preserve">ROLETA BOCZNA</x:t>
        </x:is>
      </x:c>
      <x:c r="E1169" s="8" t="n">
        <x:f>IFERROR(INDEX('02_RAW_INDEX'!$J:$J,MATCH($A1169,'02_RAW_INDEX'!$A:$A,0)),"")</x:f>
        <x:v>3472</x:v>
      </x:c>
      <x:c r="F1169" s="8" t="n">
        <x:f>IFERROR(INDEX('02_RAW_INDEX'!$I:$I,MATCH($A1169,'02_RAW_INDEX'!$A:$A,0)),"")</x:f>
        <x:v>4270</x:v>
      </x:c>
      <x:c r="G1169" s="7" t="n">
        <x:f>'01_Ustawienia'!$B$6</x:f>
        <x:v>0</x:v>
      </x:c>
      <x:c r="H1169" s="8" t="n">
        <x:f>IF(E1169="","",ROUND(IF('01_Ustawienia'!$B$5="BRUTTO",F1169,E1169)*(1-G1169),0))</x:f>
        <x:v>3472</x:v>
      </x:c>
      <x:c r="I1169" s="7" t="n">
        <x:f>IFERROR(IFERROR(INDEX('01_Ustawienia'!$B$15:$B$33,MATCH(B1169,'01_Ustawienia'!$A$15:$A$33,0)),0.45),0.45)</x:f>
        <x:v>0.45</x:v>
      </x:c>
      <x:c r="J1169" s="8" t="n">
        <x:f>IF(H1169="","",ROUND(H1169*(1+I1169),0))</x:f>
        <x:v>5034</x:v>
      </x:c>
      <x:c r="K1169" s="580" t="n">
        <x:v>0</x:v>
      </x:c>
      <x:c r="L1169" s="580" t="n">
        <x:v>150</x:v>
      </x:c>
      <x:c r="M1169" s="7" t="n">
        <x:f>IF('01_Ustawienia'!$B$4="ZWOLNIONY",0,'01_Ustawienia'!$B$7)</x:f>
        <x:v>0.08</x:v>
      </x:c>
      <x:c r="N1169" s="8" t="n">
        <x:f>IF(J1169="","",ROUND((J1169+K1169)*(1+M1169),0))</x:f>
        <x:v>5437</x:v>
      </x:c>
      <x:c r="O1169" s="8" t="n">
        <x:f>IF(J1169="","",J1169+K1169-H1169-L1169)</x:f>
        <x:v>1412</x:v>
      </x:c>
      <x:c r="P1169" s="7" t="n">
        <x:f>IFERROR(O1169/(J1169+K1169),"")</x:f>
        <x:v>0.28049264998013507</x:v>
      </x:c>
      <x:c r="Q1169" s="6" t="inlineStr">
        <x:is>
          <x:t xml:space="preserve">RAW_ZP J/K</x:t>
        </x:is>
      </x:c>
      <x:c r="R1169" s="6" t="inlineStr">
        <x:is>
          <x:t xml:space="preserve">ROLETY BOCZNE</x:t>
        </x:is>
      </x:c>
      <x:c r="S1169" s="6" t="inlineStr">
        <x:is>
          <x:t xml:space="preserve">website+crm</x:t>
        </x:is>
      </x:c>
      <x:c r="T1169" s="581" t="inlineStr">
        <x:is>
          <x:t xml:space="preserve">Używana dla lewej i prawej | FIX11: K/L 550/600 wg ark. 09 (UZUPEŁNIĆ L).</x:t>
        </x:is>
      </x:c>
    </x:row>
    <x:row r="1170" s="655" customFormat="1" ht="29.5" customHeight="1">
      <x:c r="A1170" s="6" t="inlineStr">
        <x:is>
          <x:t xml:space="preserve">600 x 406 cm</x:t>
        </x:is>
      </x:c>
      <x:c r="B1170" s="6" t="inlineStr">
        <x:is>
          <x:t xml:space="preserve">RP</x:t>
        </x:is>
      </x:c>
      <x:c r="C1170" s="6" t="inlineStr">
        <x:is>
          <x:t xml:space="preserve">Roleta przednia ZIP</x:t>
        </x:is>
      </x:c>
      <x:c r="D1170" s="6" t="inlineStr">
        <x:is>
          <x:t xml:space="preserve">ROLETA PRZÓD</x:t>
        </x:is>
      </x:c>
      <x:c r="E1170" s="8" t="n">
        <x:f>IFERROR(INDEX('02_RAW_INDEX'!$L:$L,MATCH($A1170,'02_RAW_INDEX'!$A:$A,0)),"")</x:f>
        <x:v>2146</x:v>
      </x:c>
      <x:c r="F1170" s="8" t="n">
        <x:f>IFERROR(INDEX('02_RAW_INDEX'!$K:$K,MATCH($A1170,'02_RAW_INDEX'!$A:$A,0)),"")</x:f>
        <x:v>2640</x:v>
      </x:c>
      <x:c r="G1170" s="7" t="n">
        <x:f>'01_Ustawienia'!$B$6</x:f>
        <x:v>0</x:v>
      </x:c>
      <x:c r="H1170" s="8" t="n">
        <x:f>IF(E1170="","",ROUND(IF('01_Ustawienia'!$B$5="BRUTTO",F1170,E1170)*(1-G1170),0))</x:f>
        <x:v>2146</x:v>
      </x:c>
      <x:c r="I1170" s="7" t="n">
        <x:f>IFERROR(IFERROR(INDEX('01_Ustawienia'!$B$15:$B$33,MATCH(B1170,'01_Ustawienia'!$A$15:$A$33,0)),0.45),0.45)</x:f>
        <x:v>0.45</x:v>
      </x:c>
      <x:c r="J1170" s="8" t="n">
        <x:f>IF(H1170="","",ROUND(H1170*(1+I1170),0))</x:f>
        <x:v>3112</x:v>
      </x:c>
      <x:c r="K1170" s="580" t="n">
        <x:v>0</x:v>
      </x:c>
      <x:c r="L1170" s="580" t="n">
        <x:v>150</x:v>
      </x:c>
      <x:c r="M1170" s="7" t="n">
        <x:f>IF('01_Ustawienia'!$B$4="ZWOLNIONY",0,'01_Ustawienia'!$B$7)</x:f>
        <x:v>0.08</x:v>
      </x:c>
      <x:c r="N1170" s="8" t="n">
        <x:f>IF(J1170="","",ROUND((J1170+K1170)*(1+M1170),0))</x:f>
        <x:v>3361</x:v>
      </x:c>
      <x:c r="O1170" s="8" t="n">
        <x:f>IF(J1170="","",J1170+K1170-H1170-L1170)</x:f>
        <x:v>816</x:v>
      </x:c>
      <x:c r="P1170" s="7" t="n">
        <x:f>IFERROR(O1170/(J1170+K1170),"")</x:f>
        <x:v>0.2622107969151671</x:v>
      </x:c>
      <x:c r="Q1170" s="6" t="inlineStr">
        <x:is>
          <x:t xml:space="preserve">RAW_ZP N/O</x:t>
        </x:is>
      </x:c>
      <x:c r="R1170" s="6" t="inlineStr">
        <x:is>
          <x:t xml:space="preserve">ROLETY BOCZNE</x:t>
        </x:is>
      </x:c>
      <x:c r="S1170" s="6" t="inlineStr">
        <x:is>
          <x:t xml:space="preserve">website+crm</x:t>
        </x:is>
      </x:c>
      <x:c r="T1170" s="581" t="inlineStr">
        <x:is>
          <x:t xml:space="preserve">FIX11: K/L 550/600 wg ark. 09 (UZUPEŁNIĆ L).</x:t>
        </x:is>
      </x:c>
    </x:row>
    <x:row r="1171" s="655" customFormat="1" ht="29.5" customHeight="1">
      <x:c r="A1171" s="6" t="inlineStr">
        <x:is>
          <x:t xml:space="preserve">600 x 406 cm</x:t>
        </x:is>
      </x:c>
      <x:c r="B1171" s="6" t="inlineStr">
        <x:is>
          <x:t xml:space="preserve">M</x:t>
        </x:is>
      </x:c>
      <x:c r="C1171" s="6" t="inlineStr">
        <x:is>
          <x:t xml:space="preserve">Markiza dachowa</x:t>
        </x:is>
      </x:c>
      <x:c r="D1171" s="6" t="inlineStr">
        <x:is>
          <x:t xml:space="preserve">MARKIZA</x:t>
        </x:is>
      </x:c>
      <x:c r="E1171" s="8" t="n">
        <x:f>IFERROR(INDEX('02_RAW_INDEX'!$H:$H,MATCH($A1171,'02_RAW_INDEX'!$A:$A,0)),"")</x:f>
        <x:v>3886</x:v>
      </x:c>
      <x:c r="F1171" s="8" t="n">
        <x:f>IFERROR(INDEX('02_RAW_INDEX'!$G:$G,MATCH($A1171,'02_RAW_INDEX'!$A:$A,0)),"")</x:f>
        <x:v>4780</x:v>
      </x:c>
      <x:c r="G1171" s="7" t="n">
        <x:f>'01_Ustawienia'!$B$6</x:f>
        <x:v>0</x:v>
      </x:c>
      <x:c r="H1171" s="8" t="n">
        <x:f>IF(E1171="","",ROUND(IF('01_Ustawienia'!$B$5="BRUTTO",F1171,E1171)*(1-G1171),0))</x:f>
        <x:v>3886</x:v>
      </x:c>
      <x:c r="I1171" s="7" t="n">
        <x:f>IFERROR(IFERROR(INDEX('01_Ustawienia'!$B$15:$B$33,MATCH(B1171,'01_Ustawienia'!$A$15:$A$33,0)),0.45),0.45)</x:f>
        <x:v>0.45</x:v>
      </x:c>
      <x:c r="J1171" s="8" t="n">
        <x:f>IF(H1171="","",ROUND(H1171*(1+I1171),0))</x:f>
        <x:v>5635</x:v>
      </x:c>
      <x:c r="K1171" s="580" t="n">
        <x:v>0</x:v>
      </x:c>
      <x:c r="L1171" s="580" t="n">
        <x:v>250</x:v>
      </x:c>
      <x:c r="M1171" s="7" t="n">
        <x:f>IF('01_Ustawienia'!$B$4="ZWOLNIONY",0,'01_Ustawienia'!$B$7)</x:f>
        <x:v>0.08</x:v>
      </x:c>
      <x:c r="N1171" s="8" t="n">
        <x:f>IF(J1171="","",ROUND((J1171+K1171)*(1+M1171),0))</x:f>
        <x:v>6086</x:v>
      </x:c>
      <x:c r="O1171" s="8" t="n">
        <x:f>IF(J1171="","",J1171+K1171-H1171-L1171)</x:f>
        <x:v>1499</x:v>
      </x:c>
      <x:c r="P1171" s="7" t="n">
        <x:f>IFERROR(O1171/(J1171+K1171),"")</x:f>
        <x:v>0.26601597160603374</x:v>
      </x:c>
      <x:c r="Q1171" s="6" t="inlineStr">
        <x:is>
          <x:t xml:space="preserve">RAW_ZP H/I</x:t>
        </x:is>
      </x:c>
      <x:c r="R1171" s="6" t="inlineStr">
        <x:is>
          <x:t xml:space="preserve">MARKIZA</x:t>
        </x:is>
      </x:c>
      <x:c r="S1171" s="6" t="inlineStr">
        <x:is>
          <x:t xml:space="preserve">website+crm</x:t>
        </x:is>
      </x:c>
      <x:c r="T1171" s="581" t="inlineStr">
        <x:is>
          <x:t xml:space="preserve">FIX11: K/L 550/600 wg ark. 09 (UZUPEŁNIĆ L).</x:t>
        </x:is>
      </x:c>
    </x:row>
    <x:row r="1172" s="655" customFormat="1" ht="44.25" customHeight="1">
      <x:c r="A1172" s="6" t="inlineStr">
        <x:is>
          <x:t xml:space="preserve">600 x 406 cm</x:t>
        </x:is>
      </x:c>
      <x:c r="B1172" s="6" t="inlineStr">
        <x:is>
          <x:t xml:space="preserve">PDWP</x:t>
        </x:is>
      </x:c>
      <x:c r="C1172" s="6" t="inlineStr">
        <x:is>
          <x:t xml:space="preserve">Fundament/profile</x:t>
        </x:is>
      </x:c>
      <x:c r="D1172" s="6" t="inlineStr">
        <x:is>
          <x:t xml:space="preserve">FUNDAMENT / PROFILE</x:t>
        </x:is>
      </x:c>
      <x:c r="E1172" s="8" t="n">
        <x:f>IFERROR(INDEX('02_RAW_INDEX'!$AH:$AH,MATCH($A1172,'02_RAW_INDEX'!$A:$A,0)),"")</x:f>
        <x:v>1041</x:v>
      </x:c>
      <x:c r="F1172" s="8" t="n">
        <x:f>IFERROR(INDEX('02_RAW_INDEX'!$AG:$AG,MATCH($A1172,'02_RAW_INDEX'!$A:$A,0)),"")</x:f>
        <x:v>1280</x:v>
      </x:c>
      <x:c r="G1172" s="7" t="n">
        <x:f>'01_Ustawienia'!$B$6</x:f>
        <x:v>0</x:v>
      </x:c>
      <x:c r="H1172" s="8" t="n">
        <x:f>IF(E1172="","",ROUND(IF('01_Ustawienia'!$B$5="BRUTTO",F1172,E1172)*(1-G1172),0))</x:f>
        <x:v>1041</x:v>
      </x:c>
      <x:c r="I1172" s="7" t="n">
        <x:f>IFERROR(IFERROR(INDEX('01_Ustawienia'!$B$15:$B$33,MATCH(B1172,'01_Ustawienia'!$A$15:$A$33,0)),0.45),0.45)</x:f>
        <x:v>1.2</x:v>
      </x:c>
      <x:c r="J1172" s="8" t="n">
        <x:f>IF(H1172="","",ROUND(H1172*(1+I1172),0))</x:f>
        <x:v>2290</x:v>
      </x:c>
      <x:c r="K1172" s="580" t="n">
        <x:v>540</x:v>
      </x:c>
      <x:c r="L1172" s="580" t="n">
        <x:v>490</x:v>
      </x:c>
      <x:c r="M1172" s="7" t="n">
        <x:f>IF('01_Ustawienia'!$B$4="ZWOLNIONY",0,'01_Ustawienia'!$B$7)</x:f>
        <x:v>0.08</x:v>
      </x:c>
      <x:c r="N1172" s="8" t="n">
        <x:f>IF(J1172="","",ROUND((J1172+K1172)*(1+M1172),0))</x:f>
        <x:v>3056</x:v>
      </x:c>
      <x:c r="O1172" s="8" t="n">
        <x:f>IF(J1172="","",J1172+K1172-H1172-L1172)</x:f>
        <x:v>1299</x:v>
      </x:c>
      <x:c r="P1172" s="7" t="n">
        <x:f>IFERROR(O1172/(J1172+K1172),"")</x:f>
        <x:v>0.4590106007067138</x:v>
      </x:c>
      <x:c r="Q1172" s="6" t="inlineStr">
        <x:is>
          <x:t xml:space="preserve">RAW_OP AB/AC</x:t>
        </x:is>
      </x:c>
      <x:c r="R1172" s="6" t="inlineStr">
        <x:is>
          <x:t xml:space="preserve">FUNDAMENT (PROFILE)</x:t>
        </x:is>
      </x:c>
      <x:c r="S1172" s="6" t="inlineStr">
        <x:is>
          <x:t xml:space="preserve">website+crm</x:t>
        </x:is>
      </x:c>
      <x:c r="T1172" s="581" t="inlineStr">
        <x:is>
          <x:t xml:space="preserve">FIX11: K/L 550/600 wg ark. 09 (UZUPEŁNIĆ K+L / KOREKTA RENTOWNOŚCI).</x:t>
        </x:is>
      </x:c>
    </x:row>
    <x:row r="1173" s="655" customFormat="1" ht="30" customHeight="1">
      <x:c r="A1173" s="6" t="inlineStr">
        <x:is>
          <x:t xml:space="preserve">600 x 406 cm</x:t>
        </x:is>
      </x:c>
      <x:c r="B1173" s="6" t="inlineStr">
        <x:is>
          <x:t xml:space="preserve">ZAB</x:t>
        </x:is>
      </x:c>
      <x:c r="C1173" s="6" t="inlineStr">
        <x:is>
          <x:t xml:space="preserve">Zabieraki do ścian przesuwnych</x:t>
        </x:is>
      </x:c>
      <x:c r="D1173" s="6" t="inlineStr">
        <x:is>
          <x:t xml:space="preserve">DODATKI</x:t>
        </x:is>
      </x:c>
      <x:c r="E1173" s="8" t="n">
        <x:f>IFERROR(INDEX('02_RAW_INDEX'!$AJ:$AJ,MATCH($A1173,'02_RAW_INDEX'!$A:$A,0)),"")</x:f>
        <x:v>423</x:v>
      </x:c>
      <x:c r="F1173" s="8" t="n">
        <x:f>IFERROR(INDEX('02_RAW_INDEX'!$AI:$AI,MATCH($A1173,'02_RAW_INDEX'!$A:$A,0)),"")</x:f>
        <x:v>520</x:v>
      </x:c>
      <x:c r="G1173" s="7" t="n">
        <x:f>'01_Ustawienia'!$B$6</x:f>
        <x:v>0</x:v>
      </x:c>
      <x:c r="H1173" s="8" t="n">
        <x:f>IF(E1173="","",ROUND(IF('01_Ustawienia'!$B$5="BRUTTO",F1173,E1173)*(1-G1173),0))</x:f>
        <x:v>423</x:v>
      </x:c>
      <x:c r="I1173" s="7" t="n">
        <x:f>IFERROR(IFERROR(INDEX('01_Ustawienia'!$B$15:$B$33,MATCH(B1173,'01_Ustawienia'!$A$15:$A$33,0)),0.45),0.45)</x:f>
        <x:v>0.45</x:v>
      </x:c>
      <x:c r="J1173" s="8" t="n">
        <x:f>IF(H1173="","",ROUND(H1173*(1+I1173),0))</x:f>
        <x:v>613</x:v>
      </x:c>
      <x:c r="K1173" s="582" t="n">
        <x:v>0</x:v>
      </x:c>
      <x:c r="L1173" s="582" t="n">
        <x:v>0</x:v>
      </x:c>
      <x:c r="M1173" s="7" t="n">
        <x:f>IF('01_Ustawienia'!$B$4="ZWOLNIONY",0,'01_Ustawienia'!$B$7)</x:f>
        <x:v>0.08</x:v>
      </x:c>
      <x:c r="N1173" s="8" t="n">
        <x:f>IF(J1173="","",ROUND((J1173+K1173)*(1+M1173),0))</x:f>
        <x:v>662</x:v>
      </x:c>
      <x:c r="O1173" s="8" t="n">
        <x:f>IF(J1173="","",J1173+K1173-H1173-L1173)</x:f>
        <x:v>190</x:v>
      </x:c>
      <x:c r="P1173" s="7" t="n">
        <x:f>IFERROR(O1173/(J1173+K1173),"")</x:f>
        <x:v>0.3099510603588907</x:v>
      </x:c>
      <x:c r="Q1173" s="6" t="inlineStr">
        <x:is>
          <x:t xml:space="preserve">RAW_OP AD/AE</x:t>
        </x:is>
      </x:c>
      <x:c r="R1173" s="6" t="inlineStr">
        <x:is>
          <x:t xml:space="preserve">DODATKI</x:t>
        </x:is>
      </x:c>
      <x:c r="S1173" s="6" t="inlineStr">
        <x:is>
          <x:t xml:space="preserve">crm_only</x:t>
        </x:is>
      </x:c>
      <x:c r="T1173" s="581" t="inlineStr">
        <x:is>
          <x:t xml:space="preserve">FIX11: K/L 550/600 wg ark. 09 (POZOSTAWIĆ 0).</x:t>
        </x:is>
      </x:c>
    </x:row>
    <x:row r="1174" s="655" customFormat="1" ht="29.5" customHeight="1">
      <x:c r="A1174" s="6" t="inlineStr">
        <x:is>
          <x:t xml:space="preserve">600 x 406 cm</x:t>
        </x:is>
      </x:c>
      <x:c r="B1174" s="6" t="inlineStr">
        <x:is>
          <x:t xml:space="preserve">S</x:t>
        </x:is>
      </x:c>
      <x:c r="C1174" s="6" t="inlineStr">
        <x:is>
          <x:t xml:space="preserve">Szczotki przeciwkurzowe</x:t>
        </x:is>
      </x:c>
      <x:c r="D1174" s="6" t="inlineStr">
        <x:is>
          <x:t xml:space="preserve">SZCZOTKI</x:t>
        </x:is>
      </x:c>
      <x:c r="E1174" s="8" t="n">
        <x:f>IFERROR(INDEX('02_RAW_INDEX'!$AD:$AD,MATCH($A1174,'02_RAW_INDEX'!$A:$A,0)),"")</x:f>
        <x:v>431</x:v>
      </x:c>
      <x:c r="F1174" s="8" t="n">
        <x:f>IFERROR(INDEX('02_RAW_INDEX'!$AC:$AC,MATCH($A1174,'02_RAW_INDEX'!$A:$A,0)),"")</x:f>
        <x:v>530</x:v>
      </x:c>
      <x:c r="G1174" s="7" t="n">
        <x:f>'01_Ustawienia'!$B$6</x:f>
        <x:v>0</x:v>
      </x:c>
      <x:c r="H1174" s="8" t="n">
        <x:f>IF(E1174="","",ROUND(IF('01_Ustawienia'!$B$5="BRUTTO",F1174,E1174)*(1-G1174),0))</x:f>
        <x:v>431</x:v>
      </x:c>
      <x:c r="I1174" s="7" t="n">
        <x:f>IFERROR(IFERROR(INDEX('01_Ustawienia'!$B$15:$B$33,MATCH(B1174,'01_Ustawienia'!$A$15:$A$33,0)),0.45),0.45)</x:f>
        <x:v>0.45</x:v>
      </x:c>
      <x:c r="J1174" s="8" t="n">
        <x:f>IF(H1174="","",ROUND(H1174*(1+I1174),0))</x:f>
        <x:v>625</x:v>
      </x:c>
      <x:c r="K1174" s="582" t="n">
        <x:v>0</x:v>
      </x:c>
      <x:c r="L1174" s="582" t="n">
        <x:v>0</x:v>
      </x:c>
      <x:c r="M1174" s="7" t="n">
        <x:f>IF('01_Ustawienia'!$B$4="ZWOLNIONY",0,'01_Ustawienia'!$B$7)</x:f>
        <x:v>0.08</x:v>
      </x:c>
      <x:c r="N1174" s="8" t="n">
        <x:f>IF(J1174="","",ROUND((J1174+K1174)*(1+M1174),0))</x:f>
        <x:v>675</x:v>
      </x:c>
      <x:c r="O1174" s="8" t="n">
        <x:f>IF(J1174="","",J1174+K1174-H1174-L1174)</x:f>
        <x:v>194</x:v>
      </x:c>
      <x:c r="P1174" s="7" t="n">
        <x:f>IFERROR(O1174/(J1174+K1174),"")</x:f>
        <x:v>0.3104</x:v>
      </x:c>
      <x:c r="Q1174" s="6" t="inlineStr">
        <x:is>
          <x:t xml:space="preserve">RAW_OP L/M</x:t>
        </x:is>
      </x:c>
      <x:c r="R1174" s="6" t="inlineStr">
        <x:is>
          <x:t xml:space="preserve">DODATKI</x:t>
        </x:is>
      </x:c>
      <x:c r="S1174" s="6" t="inlineStr">
        <x:is>
          <x:t xml:space="preserve">website+crm</x:t>
        </x:is>
      </x:c>
      <x:c r="T1174" s="581" t="inlineStr">
        <x:is>
          <x:t xml:space="preserve">FIX11: K/L 550/600 wg ark. 09 (POZOSTAWIĆ 0).</x:t>
        </x:is>
      </x:c>
    </x:row>
    <x:row r="1175" s="655" customFormat="1" ht="29.5" customHeight="1">
      <x:c r="A1175" s="6" t="inlineStr">
        <x:is>
          <x:t xml:space="preserve">600 x 406 cm</x:t>
        </x:is>
      </x:c>
      <x:c r="B1175" s="6" t="inlineStr">
        <x:is>
          <x:t xml:space="preserve">U</x:t>
        </x:is>
      </x:c>
      <x:c r="C1175" s="6" t="inlineStr">
        <x:is>
          <x:t xml:space="preserve">Uchwyty na szkło ścienne</x:t>
        </x:is>
      </x:c>
      <x:c r="D1175" s="6" t="inlineStr">
        <x:is>
          <x:t xml:space="preserve">UCHWYTY</x:t>
        </x:is>
      </x:c>
      <x:c r="E1175" s="8" t="n">
        <x:f>IFERROR(INDEX('02_RAW_INDEX'!$AF:$AF,MATCH($A1175,'02_RAW_INDEX'!$A:$A,0)),"")</x:f>
        <x:v>390</x:v>
      </x:c>
      <x:c r="F1175" s="8" t="n">
        <x:f>IFERROR(INDEX('02_RAW_INDEX'!$AE:$AE,MATCH($A1175,'02_RAW_INDEX'!$A:$A,0)),"")</x:f>
        <x:v>480</x:v>
      </x:c>
      <x:c r="G1175" s="7" t="n">
        <x:f>'01_Ustawienia'!$B$6</x:f>
        <x:v>0</x:v>
      </x:c>
      <x:c r="H1175" s="8" t="n">
        <x:f>IF(E1175="","",ROUND(IF('01_Ustawienia'!$B$5="BRUTTO",F1175,E1175)*(1-G1175),0))</x:f>
        <x:v>390</x:v>
      </x:c>
      <x:c r="I1175" s="7" t="n">
        <x:f>IFERROR(IFERROR(INDEX('01_Ustawienia'!$B$15:$B$33,MATCH(B1175,'01_Ustawienia'!$A$15:$A$33,0)),0.45),0.45)</x:f>
        <x:v>0.45</x:v>
      </x:c>
      <x:c r="J1175" s="8" t="n">
        <x:f>IF(H1175="","",ROUND(H1175*(1+I1175),0))</x:f>
        <x:v>566</x:v>
      </x:c>
      <x:c r="K1175" s="582" t="n">
        <x:v>0</x:v>
      </x:c>
      <x:c r="L1175" s="582" t="n">
        <x:v>0</x:v>
      </x:c>
      <x:c r="M1175" s="7" t="n">
        <x:f>IF('01_Ustawienia'!$B$4="ZWOLNIONY",0,'01_Ustawienia'!$B$7)</x:f>
        <x:v>0.08</x:v>
      </x:c>
      <x:c r="N1175" s="8" t="n">
        <x:f>IF(J1175="","",ROUND((J1175+K1175)*(1+M1175),0))</x:f>
        <x:v>611</x:v>
      </x:c>
      <x:c r="O1175" s="8" t="n">
        <x:f>IF(J1175="","",J1175+K1175-H1175-L1175)</x:f>
        <x:v>176</x:v>
      </x:c>
      <x:c r="P1175" s="7" t="n">
        <x:f>IFERROR(O1175/(J1175+K1175),"")</x:f>
        <x:v>0.31095406360424027</x:v>
      </x:c>
      <x:c r="Q1175" s="6" t="inlineStr">
        <x:is>
          <x:t xml:space="preserve">RAW_OP N/O</x:t>
        </x:is>
      </x:c>
      <x:c r="R1175" s="6" t="inlineStr">
        <x:is>
          <x:t xml:space="preserve">DODATKI</x:t>
        </x:is>
      </x:c>
      <x:c r="S1175" s="6" t="inlineStr">
        <x:is>
          <x:t xml:space="preserve">website+crm</x:t>
        </x:is>
      </x:c>
      <x:c r="T1175" s="581" t="inlineStr">
        <x:is>
          <x:t xml:space="preserve">FIX11: K/L 550/600 wg ark. 09 (POZOSTAWIĆ 0).</x:t>
        </x:is>
      </x:c>
    </x:row>
    <x:row r="1176" s="655" customFormat="1" ht="29.5" customHeight="1">
      <x:c r="A1176" s="6" t="inlineStr">
        <x:is>
          <x:t xml:space="preserve">600 x 406 cm</x:t>
        </x:is>
      </x:c>
      <x:c r="B1176" s="6" t="inlineStr">
        <x:is>
          <x:t xml:space="preserve">LED2</x:t>
        </x:is>
      </x:c>
      <x:c r="C1176" s="6" t="inlineStr">
        <x:is>
          <x:t xml:space="preserve">Oświetlenie LED 2 punkty</x:t>
        </x:is>
      </x:c>
      <x:c r="D1176" s="6" t="inlineStr">
        <x:is>
          <x:t xml:space="preserve">LED 2 PKT</x:t>
        </x:is>
      </x:c>
      <x:c r="E1176" s="8" t="n">
        <x:f>IFERROR(INDEX('02_RAW_INDEX'!$N:$N,MATCH($A1176,'02_RAW_INDEX'!$A:$A,0)),"")</x:f>
        <x:v>415</x:v>
      </x:c>
      <x:c r="F1176" s="8" t="n">
        <x:f>IFERROR(INDEX('02_RAW_INDEX'!$M:$M,MATCH($A1176,'02_RAW_INDEX'!$A:$A,0)),"")</x:f>
        <x:v>510</x:v>
      </x:c>
      <x:c r="G1176" s="7" t="n">
        <x:f>'01_Ustawienia'!$B$6</x:f>
        <x:v>0</x:v>
      </x:c>
      <x:c r="H1176" s="8" t="n">
        <x:f>IF(E1176="","",ROUND(IF('01_Ustawienia'!$B$5="BRUTTO",F1176,E1176)*(1-G1176),0))</x:f>
        <x:v>415</x:v>
      </x:c>
      <x:c r="I1176" s="7" t="n">
        <x:f>IFERROR(IFERROR(INDEX('01_Ustawienia'!$B$15:$B$33,MATCH(B1176,'01_Ustawienia'!$A$15:$A$33,0)),0.45),0.45)</x:f>
        <x:v>0.45</x:v>
      </x:c>
      <x:c r="J1176" s="8" t="n">
        <x:f>IF(H1176="","",ROUND(H1176*(1+I1176),0))</x:f>
        <x:v>602</x:v>
      </x:c>
      <x:c r="K1176" s="582" t="n">
        <x:v>0</x:v>
      </x:c>
      <x:c r="L1176" s="582" t="n">
        <x:v>0</x:v>
      </x:c>
      <x:c r="M1176" s="7" t="n">
        <x:f>IF('01_Ustawienia'!$B$4="ZWOLNIONY",0,'01_Ustawienia'!$B$7)</x:f>
        <x:v>0.08</x:v>
      </x:c>
      <x:c r="N1176" s="8" t="n">
        <x:f>IF(J1176="","",ROUND((J1176+K1176)*(1+M1176),0))</x:f>
        <x:v>650</x:v>
      </x:c>
      <x:c r="O1176" s="8" t="n">
        <x:f>IF(J1176="","",J1176+K1176-H1176-L1176)</x:f>
        <x:v>187</x:v>
      </x:c>
      <x:c r="P1176" s="7" t="n">
        <x:f>IFERROR(O1176/(J1176+K1176),"")</x:f>
        <x:v>0.3106312292358804</x:v>
      </x:c>
      <x:c r="Q1176" s="6" t="inlineStr">
        <x:is>
          <x:t xml:space="preserve">RAW_ZP P/Q</x:t>
        </x:is>
      </x:c>
      <x:c r="R1176" s="6" t="inlineStr">
        <x:is>
          <x:t xml:space="preserve">OŚWIETLENIE</x:t>
        </x:is>
      </x:c>
      <x:c r="S1176" s="6" t="inlineStr">
        <x:is>
          <x:t xml:space="preserve">website+crm</x:t>
        </x:is>
      </x:c>
      <x:c r="T1176" s="581" t="inlineStr">
        <x:is>
          <x:t xml:space="preserve">FIX11: K/L 550/600 wg ark. 09 (POZOSTAWIĆ 0 NA RAZIE).</x:t>
        </x:is>
      </x:c>
    </x:row>
    <x:row r="1177" s="655" customFormat="1" ht="44.25" customHeight="1">
      <x:c r="A1177" s="6" t="inlineStr">
        <x:is>
          <x:t xml:space="preserve">600 x 406 cm</x:t>
        </x:is>
      </x:c>
      <x:c r="B1177" s="6" t="inlineStr">
        <x:is>
          <x:t xml:space="preserve">LED3</x:t>
        </x:is>
      </x:c>
      <x:c r="C1177" s="6" t="inlineStr">
        <x:is>
          <x:t xml:space="preserve">Oświetlenie LED 3 punkty</x:t>
        </x:is>
      </x:c>
      <x:c r="D1177" s="6" t="inlineStr">
        <x:is>
          <x:t xml:space="preserve">LED 3 PKT</x:t>
        </x:is>
      </x:c>
      <x:c r="E1177" s="8" t="n">
        <x:f>IFERROR(INDEX('02_RAW_INDEX'!$P:$P,MATCH($A1177,'02_RAW_INDEX'!$A:$A,0)),"")</x:f>
        <x:v>602</x:v>
      </x:c>
      <x:c r="F1177" s="8" t="n">
        <x:f>IFERROR(INDEX('02_RAW_INDEX'!$O:$O,MATCH($A1177,'02_RAW_INDEX'!$A:$A,0)),"")</x:f>
        <x:v>740</x:v>
      </x:c>
      <x:c r="G1177" s="7" t="n">
        <x:f>'01_Ustawienia'!$B$6</x:f>
        <x:v>0</x:v>
      </x:c>
      <x:c r="H1177" s="8" t="n">
        <x:f>IF(E1177="","",ROUND(IF('01_Ustawienia'!$B$5="BRUTTO",F1177,E1177)*(1-G1177),0))</x:f>
        <x:v>602</x:v>
      </x:c>
      <x:c r="I1177" s="7" t="n">
        <x:f>IFERROR(IFERROR(INDEX('01_Ustawienia'!$B$15:$B$33,MATCH(B1177,'01_Ustawienia'!$A$15:$A$33,0)),0.45),0.45)</x:f>
        <x:v>0.45</x:v>
      </x:c>
      <x:c r="J1177" s="8" t="n">
        <x:f>IF(H1177="","",ROUND(H1177*(1+I1177),0))</x:f>
        <x:v>873</x:v>
      </x:c>
      <x:c r="K1177" s="582" t="n">
        <x:v>0</x:v>
      </x:c>
      <x:c r="L1177" s="582" t="n">
        <x:v>0</x:v>
      </x:c>
      <x:c r="M1177" s="7" t="n">
        <x:f>IF('01_Ustawienia'!$B$4="ZWOLNIONY",0,'01_Ustawienia'!$B$7)</x:f>
        <x:v>0.08</x:v>
      </x:c>
      <x:c r="N1177" s="8" t="n">
        <x:f>IF(J1177="","",ROUND((J1177+K1177)*(1+M1177),0))</x:f>
        <x:v>943</x:v>
      </x:c>
      <x:c r="O1177" s="8" t="n">
        <x:f>IF(J1177="","",J1177+K1177-H1177-L1177)</x:f>
        <x:v>271</x:v>
      </x:c>
      <x:c r="P1177" s="7" t="n">
        <x:f>IFERROR(O1177/(J1177+K1177),"")</x:f>
        <x:v>0.3104238258877434</x:v>
      </x:c>
      <x:c r="Q1177" s="6" t="inlineStr">
        <x:is>
          <x:t xml:space="preserve">RAW_ZP R/S</x:t>
        </x:is>
      </x:c>
      <x:c r="R1177" s="6" t="inlineStr">
        <x:is>
          <x:t xml:space="preserve">OŚWIETLENIE</x:t>
        </x:is>
      </x:c>
      <x:c r="S1177" s="6" t="inlineStr">
        <x:is>
          <x:t xml:space="preserve">website+crm</x:t>
        </x:is>
      </x:c>
      <x:c r="T1177" s="581" t="inlineStr">
        <x:is>
          <x:t xml:space="preserve">Nazwa do potwierdzenia | FIX11: K/L 550/600 wg ark. 09 (POZOSTAWIĆ 0 NA RAZIE).</x:t>
        </x:is>
      </x:c>
    </x:row>
    <x:row r="1178" s="655" customFormat="1" ht="29.5" customHeight="1">
      <x:c r="A1178" s="6" t="inlineStr">
        <x:is>
          <x:t xml:space="preserve">600 x 406 cm</x:t>
        </x:is>
      </x:c>
      <x:c r="B1178" s="6" t="inlineStr">
        <x:is>
          <x:t xml:space="preserve">LEDCCT</x:t>
        </x:is>
      </x:c>
      <x:c r="C1178" s="6" t="inlineStr">
        <x:is>
          <x:t xml:space="preserve">Oświetlenie LED CCT</x:t>
        </x:is>
      </x:c>
      <x:c r="D1178" s="6" t="inlineStr">
        <x:is>
          <x:t xml:space="preserve">OŚWIETLENIE</x:t>
        </x:is>
      </x:c>
      <x:c r="E1178" s="8" t="n">
        <x:f>IFERROR(INDEX('02_RAW_INDEX'!$R:$R,MATCH($A1178,'02_RAW_INDEX'!$A:$A,0)),"")</x:f>
        <x:v>1523</x:v>
      </x:c>
      <x:c r="F1178" s="8" t="n">
        <x:f>IFERROR(INDEX('02_RAW_INDEX'!$Q:$Q,MATCH($A1178,'02_RAW_INDEX'!$A:$A,0)),"")</x:f>
        <x:v>1873</x:v>
      </x:c>
      <x:c r="G1178" s="7" t="n">
        <x:f>'01_Ustawienia'!$B$6</x:f>
        <x:v>0</x:v>
      </x:c>
      <x:c r="H1178" s="8" t="n">
        <x:f>IF(E1178="","",ROUND(IF('01_Ustawienia'!$B$5="BRUTTO",F1178,E1178)*(1-G1178),0))</x:f>
        <x:v>1523</x:v>
      </x:c>
      <x:c r="I1178" s="7" t="n">
        <x:f>IFERROR(IFERROR(INDEX('01_Ustawienia'!$B$15:$B$33,MATCH(B1178,'01_Ustawienia'!$A$15:$A$33,0)),0.45),0.45)</x:f>
        <x:v>0.45</x:v>
      </x:c>
      <x:c r="J1178" s="8" t="n">
        <x:f>IF(H1178="","",ROUND(H1178*(1+I1178),0)+700)</x:f>
        <x:v>2908</x:v>
      </x:c>
      <x:c r="K1178" s="582" t="n">
        <x:v>0</x:v>
      </x:c>
      <x:c r="L1178" s="582" t="n">
        <x:v>0</x:v>
      </x:c>
      <x:c r="M1178" s="7" t="n">
        <x:f>IF('01_Ustawienia'!$B$4="ZWOLNIONY",0,'01_Ustawienia'!$B$7)</x:f>
        <x:v>0.08</x:v>
      </x:c>
      <x:c r="N1178" s="8" t="n">
        <x:f>IF(J1178="","",ROUND((J1178+K1178)*(1+M1178),0))</x:f>
        <x:v>3141</x:v>
      </x:c>
      <x:c r="O1178" s="8" t="n">
        <x:f>IF(J1178="","",J1178+K1178-H1178-L1178)</x:f>
        <x:v>1385</x:v>
      </x:c>
      <x:c r="P1178" s="7" t="n">
        <x:f>IFERROR(O1178/(J1178+K1178),"")</x:f>
        <x:v>0.4762723521320495</x:v>
      </x:c>
      <x:c r="Q1178" s="715" t="inlineStr">
        <x:is>
          <x:t xml:space="preserve">MODEL_FIX15_LED</x:t>
        </x:is>
      </x:c>
      <x:c r="R1178" s="6" t="inlineStr">
        <x:is>
          <x:t xml:space="preserve">OŚWIETLENIE</x:t>
        </x:is>
      </x:c>
      <x:c r="S1178" s="6" t="inlineStr">
        <x:is>
          <x:t xml:space="preserve">website+crm</x:t>
        </x:is>
      </x:c>
      <x:c r="T1178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179" s="655" customFormat="1" ht="29.5" customHeight="1">
      <x:c r="A1179" s="6" t="inlineStr">
        <x:is>
          <x:t xml:space="preserve">600 x 406 cm</x:t>
        </x:is>
      </x:c>
      <x:c r="B1179" s="6" t="inlineStr">
        <x:is>
          <x:t xml:space="preserve">LEDRGBCCT</x:t>
        </x:is>
      </x:c>
      <x:c r="C1179" s="6" t="inlineStr">
        <x:is>
          <x:t xml:space="preserve">Oświetlenie LED RGB CCT</x:t>
        </x:is>
      </x:c>
      <x:c r="D1179" s="6" t="inlineStr">
        <x:is>
          <x:t xml:space="preserve">OŚWIETLENIE</x:t>
        </x:is>
      </x:c>
      <x:c r="E1179" s="8" t="n">
        <x:f>IFERROR(INDEX('02_RAW_INDEX'!$T:$T,MATCH($A1179,'02_RAW_INDEX'!$A:$A,0)),"")</x:f>
        <x:v>2015</x:v>
      </x:c>
      <x:c r="F1179" s="8" t="n">
        <x:f>IFERROR(INDEX('02_RAW_INDEX'!$S:$S,MATCH($A1179,'02_RAW_INDEX'!$A:$A,0)),"")</x:f>
        <x:v>2478</x:v>
      </x:c>
      <x:c r="G1179" s="7" t="n">
        <x:f>'01_Ustawienia'!$B$6</x:f>
        <x:v>0</x:v>
      </x:c>
      <x:c r="H1179" s="8" t="n">
        <x:f>IF(E1179="","",ROUND(IF('01_Ustawienia'!$B$5="BRUTTO",F1179,E1179)*(1-G1179),0))</x:f>
        <x:v>2015</x:v>
      </x:c>
      <x:c r="I1179" s="7" t="n">
        <x:f>IFERROR(IFERROR(INDEX('01_Ustawienia'!$B$15:$B$33,MATCH(B1179,'01_Ustawienia'!$A$15:$A$33,0)),0.45),0.45)</x:f>
        <x:v>0.45</x:v>
      </x:c>
      <x:c r="J1179" s="8" t="n">
        <x:f>IF(H1179="","",ROUND(H1179*(1+I1179),0))</x:f>
        <x:v>2922</x:v>
      </x:c>
      <x:c r="K1179" s="582" t="n">
        <x:v>0</x:v>
      </x:c>
      <x:c r="L1179" s="582" t="n">
        <x:v>0</x:v>
      </x:c>
      <x:c r="M1179" s="7" t="n">
        <x:f>IF('01_Ustawienia'!$B$4="ZWOLNIONY",0,'01_Ustawienia'!$B$7)</x:f>
        <x:v>0.08</x:v>
      </x:c>
      <x:c r="N1179" s="8" t="n">
        <x:f>IF(J1179="","",ROUND((J1179+K1179)*(1+M1179),0))</x:f>
        <x:v>3156</x:v>
      </x:c>
      <x:c r="O1179" s="8" t="n">
        <x:f>IF(J1179="","",J1179+K1179-H1179-L1179)</x:f>
        <x:v>907</x:v>
      </x:c>
      <x:c r="P1179" s="7" t="n">
        <x:f>IFERROR(O1179/(J1179+K1179),"")</x:f>
        <x:v>0.31040383299110197</x:v>
      </x:c>
      <x:c r="Q1179" s="715" t="inlineStr">
        <x:is>
          <x:t xml:space="preserve">MODEL_FIX15_LED</x:t>
        </x:is>
      </x:c>
      <x:c r="R1179" s="6" t="inlineStr">
        <x:is>
          <x:t xml:space="preserve">OŚWIETLENIE</x:t>
        </x:is>
      </x:c>
      <x:c r="S1179" s="6" t="inlineStr">
        <x:is>
          <x:t xml:space="preserve">crm_only</x:t>
        </x:is>
      </x:c>
      <x:c r="T1179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180" s="655" customFormat="1" ht="30" customHeight="1">
      <x:c r="A1180" s="6" t="inlineStr">
        <x:is>
          <x:t xml:space="preserve">600 x 506 cm</x:t>
        </x:is>
      </x:c>
      <x:c r="B1180" s="6" t="inlineStr">
        <x:is>
          <x:t xml:space="preserve">ZP</x:t>
        </x:is>
      </x:c>
      <x:c r="C1180" s="6" t="inlineStr">
        <x:is>
          <x:t xml:space="preserve">Zadaszenie poliwęglan - baza</x:t>
        </x:is>
      </x:c>
      <x:c r="D1180" s="6" t="inlineStr">
        <x:is>
          <x:t xml:space="preserve">ZADASZENIE POLIWĘGLAN</x:t>
        </x:is>
      </x:c>
      <x:c r="E1180" s="8" t="n">
        <x:f>IFERROR(INDEX('02_RAW_INDEX'!$D:$D,MATCH($A1180,'02_RAW_INDEX'!$A:$A,0)),"")</x:f>
        <x:v>14333</x:v>
      </x:c>
      <x:c r="F1180" s="8" t="n">
        <x:f>IFERROR(INDEX('02_RAW_INDEX'!$C:$C,MATCH($A1180,'02_RAW_INDEX'!$A:$A,0)),"")</x:f>
        <x:v>17630</x:v>
      </x:c>
      <x:c r="G1180" s="7" t="n">
        <x:f>'01_Ustawienia'!$B$6</x:f>
        <x:v>0</x:v>
      </x:c>
      <x:c r="H1180" s="8" t="n">
        <x:f>IF(E1180="","",ROUND(IF('01_Ustawienia'!$B$5="BRUTTO",F1180,E1180)*(1-G1180),0))</x:f>
        <x:v>14333</x:v>
      </x:c>
      <x:c r="I1180" s="7" t="n">
        <x:f>IFERROR(IFERROR(INDEX('01_Ustawienia'!$B$15:$B$33,MATCH(B1180,'01_Ustawienia'!$A$15:$A$33,0)),0.45),0.45)</x:f>
        <x:v>0.45</x:v>
      </x:c>
      <x:c r="J1180" s="8" t="n">
        <x:f>IF(H1180="","",ROUND(H1180*(1+I1180),0))</x:f>
        <x:v>20783</x:v>
      </x:c>
      <x:c r="K1180" s="580" t="n">
        <x:v>4850</x:v>
      </x:c>
      <x:c r="L1180" s="580" t="n">
        <x:v>1470</x:v>
      </x:c>
      <x:c r="M1180" s="7" t="n">
        <x:f>IF('01_Ustawienia'!$B$4="ZWOLNIONY",0,'01_Ustawienia'!$B$7)</x:f>
        <x:v>0.08</x:v>
      </x:c>
      <x:c r="N1180" s="8" t="n">
        <x:f>IF(J1180="","",ROUND((J1180+K1180)*(1+M1180),0))</x:f>
        <x:v>27684</x:v>
      </x:c>
      <x:c r="O1180" s="8" t="n">
        <x:f>IF(J1180="","",J1180+K1180-H1180-L1180)</x:f>
        <x:v>9830</x:v>
      </x:c>
      <x:c r="P1180" s="7" t="n">
        <x:f>IFERROR(O1180/(J1180+K1180),"")</x:f>
        <x:v>0.38349003238013496</x:v>
      </x:c>
      <x:c r="Q1180" s="6" t="inlineStr">
        <x:is>
          <x:t xml:space="preserve">RAW_ZP B/C</x:t>
        </x:is>
      </x:c>
      <x:c r="R1180" s="6" t="inlineStr">
        <x:is>
          <x:t xml:space="preserve">ZADASZENIE TARASU KONSTRUKCJA</x:t>
        </x:is>
      </x:c>
      <x:c r="S1180" s="6" t="inlineStr">
        <x:is>
          <x:t xml:space="preserve">website+crm</x:t>
        </x:is>
      </x:c>
      <x:c r="T1180" s="581" t="inlineStr">
        <x:is>
          <x:t xml:space="preserve">Baza dla kalkulatora | FIX11: K/L 550/600 wg ark. 09 (UZUPEŁNIĆ).</x:t>
        </x:is>
      </x:c>
    </x:row>
    <x:row r="1181" s="655" customFormat="1" ht="30" customHeight="1">
      <x:c r="A1181" s="6" t="inlineStr">
        <x:is>
          <x:t xml:space="preserve">600 x 506 cm</x:t>
        </x:is>
      </x:c>
      <x:c r="B1181" s="6" t="inlineStr">
        <x:is>
          <x:t xml:space="preserve">ZS</x:t>
        </x:is>
      </x:c>
      <x:c r="C1181" s="6" t="inlineStr">
        <x:is>
          <x:t xml:space="preserve">Zadaszenie szkło - pełna konstrukcja</x:t>
        </x:is>
      </x:c>
      <x:c r="D1181" s="6" t="inlineStr">
        <x:is>
          <x:t xml:space="preserve">ZADASZENIE SZKŁO</x:t>
        </x:is>
      </x:c>
      <x:c r="E1181" s="8" t="str">
        <x:f>IFERROR(INDEX('02_RAW_INDEX'!$V:$V,MATCH($A1181,'02_RAW_INDEX'!$A:$A,0)),"")</x:f>
      </x:c>
      <x:c r="F1181" s="8" t="str">
        <x:f>IFERROR(INDEX('02_RAW_INDEX'!$U:$U,MATCH($A1181,'02_RAW_INDEX'!$A:$A,0)),"")</x:f>
      </x:c>
      <x:c r="G1181" s="7" t="n">
        <x:f>'01_Ustawienia'!$B$6</x:f>
        <x:v>0</x:v>
      </x:c>
      <x:c r="H1181" s="8" t="str">
        <x:f>IF(E1181="","",ROUND(IF('01_Ustawienia'!$B$5="BRUTTO",F1181,E1181)*(1-G1181),0))</x:f>
      </x:c>
      <x:c r="I1181" s="7" t="n">
        <x:f>IFERROR(IFERROR(INDEX('01_Ustawienia'!$B$15:$B$33,MATCH(B1181,'01_Ustawienia'!$A$15:$A$33,0)),0.45),0.45)</x:f>
        <x:v>0.45</x:v>
      </x:c>
      <x:c r="J1181" s="8" t="str">
        <x:f>IF(H1181="","",ROUND(H1181*(1+I1181),0))</x:f>
      </x:c>
      <x:c r="K1181" s="580" t="n">
        <x:v>4850</x:v>
      </x:c>
      <x:c r="L1181" s="580" t="n">
        <x:v>1890</x:v>
      </x:c>
      <x:c r="M1181" s="7" t="n">
        <x:f>IF('01_Ustawienia'!$B$4="ZWOLNIONY",0,'01_Ustawienia'!$B$7)</x:f>
        <x:v>0.08</x:v>
      </x:c>
      <x:c r="N1181" s="8" t="str">
        <x:f>IF(J1181="","",ROUND((J1181+K1181)*(1+M1181),0))</x:f>
      </x:c>
      <x:c r="O1181" s="8" t="str">
        <x:f>IF(J1181="","",J1181+K1181-H1181-L1181)</x:f>
      </x:c>
      <x:c r="P1181" s="7" t="n">
        <x:f>IFERROR(O1181/(J1181+K1181),"")</x:f>
        <x:v>0</x:v>
      </x:c>
      <x:c r="Q1181" s="6" t="inlineStr">
        <x:is>
          <x:t xml:space="preserve">RAW_ZS B/C</x:t>
        </x:is>
      </x:c>
      <x:c r="R1181" s="6" t="inlineStr">
        <x:is>
          <x:t xml:space="preserve">ZADASZENIE TARASU KONSTRUKCJA</x:t>
        </x:is>
      </x:c>
      <x:c r="S1181" s="6" t="inlineStr">
        <x:is>
          <x:t xml:space="preserve">crm_only</x:t>
        </x:is>
      </x:c>
      <x:c r="T1181" s="581" t="inlineStr">
        <x:is>
          <x:t xml:space="preserve">Referencyjne/full; strona zwykle używa ZP + PDS | FIX11: K/L 550/600 wg ark. 09 (NIE PUBLIKOWAĆ / BRAK RAW_ZS).</x:t>
        </x:is>
      </x:c>
    </x:row>
    <x:row r="1182" s="655" customFormat="1" ht="30" customHeight="1">
      <x:c r="A1182" s="6" t="inlineStr">
        <x:is>
          <x:t xml:space="preserve">600 x 506 cm</x:t>
        </x:is>
      </x:c>
      <x:c r="B1182" s="6" t="inlineStr">
        <x:is>
          <x:t xml:space="preserve">OP</x:t>
        </x:is>
      </x:c>
      <x:c r="C1182" s="6" t="inlineStr">
        <x:is>
          <x:t xml:space="preserve">Ogród zimowy poliwęglan - baza</x:t>
        </x:is>
      </x:c>
      <x:c r="D1182" s="6" t="inlineStr">
        <x:is>
          <x:t xml:space="preserve">OGRODY POLIWĘGLAN</x:t>
        </x:is>
      </x:c>
      <x:c r="E1182" s="8" t="n">
        <x:f>IFERROR(INDEX('02_RAW_INDEX'!$Z:$Z,MATCH($A1182,'02_RAW_INDEX'!$A:$A,0)),"")</x:f>
        <x:v>30211</x:v>
      </x:c>
      <x:c r="F1182" s="8" t="n">
        <x:f>IFERROR(INDEX('02_RAW_INDEX'!$Y:$Y,MATCH($A1182,'02_RAW_INDEX'!$A:$A,0)),"")</x:f>
        <x:v>37160</x:v>
      </x:c>
      <x:c r="G1182" s="7" t="n">
        <x:f>'01_Ustawienia'!$B$6</x:f>
        <x:v>0</x:v>
      </x:c>
      <x:c r="H1182" s="8" t="n">
        <x:f>IF(E1182="","",ROUND(IF('01_Ustawienia'!$B$5="BRUTTO",F1182,E1182)*(1-G1182),0))</x:f>
        <x:v>30211</x:v>
      </x:c>
      <x:c r="I1182" s="7" t="n">
        <x:f>IFERROR(IFERROR(INDEX('01_Ustawienia'!$B$15:$B$33,MATCH(B1182,'01_Ustawienia'!$A$15:$A$33,0)),0.45),0.45)</x:f>
        <x:v>0.45</x:v>
      </x:c>
      <x:c r="J1182" s="8" t="n">
        <x:f>IF(H1182="","",ROUND(H1182*(1+I1182),0))</x:f>
        <x:v>43806</x:v>
      </x:c>
      <x:c r="K1182" s="580" t="n">
        <x:v>5730</x:v>
      </x:c>
      <x:c r="L1182" s="580" t="n">
        <x:v>2070</x:v>
      </x:c>
      <x:c r="M1182" s="7" t="n">
        <x:f>IF('01_Ustawienia'!$B$4="ZWOLNIONY",0,'01_Ustawienia'!$B$7)</x:f>
        <x:v>0.08</x:v>
      </x:c>
      <x:c r="N1182" s="8" t="n">
        <x:f>IF(J1182="","",ROUND((J1182+K1182)*(1+M1182),0))</x:f>
        <x:v>53499</x:v>
      </x:c>
      <x:c r="O1182" s="8" t="n">
        <x:f>IF(J1182="","",J1182+K1182-H1182-L1182)</x:f>
        <x:v>17255</x:v>
      </x:c>
      <x:c r="P1182" s="7" t="n">
        <x:f>IFERROR(O1182/(J1182+K1182),"")</x:f>
        <x:v>0.3483325258397933</x:v>
      </x:c>
      <x:c r="Q1182" s="6" t="inlineStr">
        <x:is>
          <x:t xml:space="preserve">RAW_OP B/C</x:t>
        </x:is>
      </x:c>
      <x:c r="R1182" s="6" t="inlineStr">
        <x:is>
          <x:t xml:space="preserve">OGRÓD ZIMOWY (KONSTRUKCJA)</x:t>
        </x:is>
      </x:c>
      <x:c r="S1182" s="6" t="inlineStr">
        <x:is>
          <x:t xml:space="preserve">website+crm</x:t>
        </x:is>
      </x:c>
      <x:c r="T1182" s="581" t="inlineStr">
        <x:is>
          <x:t xml:space="preserve">Do wyliczenia dopłaty za ściany | FIX11: K/L 550/600 wg ark. 09 (UZUPEŁNIĆ).</x:t>
        </x:is>
      </x:c>
    </x:row>
    <x:row r="1183" s="655" customFormat="1" ht="30" customHeight="1">
      <x:c r="A1183" s="6" t="inlineStr">
        <x:is>
          <x:t xml:space="preserve">600 x 506 cm</x:t>
        </x:is>
      </x:c>
      <x:c r="B1183" s="6" t="inlineStr">
        <x:is>
          <x:t xml:space="preserve">OS</x:t>
        </x:is>
      </x:c>
      <x:c r="C1183" s="6" t="inlineStr">
        <x:is>
          <x:t xml:space="preserve">Ogród zimowy szkło - pełna konstrukcja</x:t>
        </x:is>
      </x:c>
      <x:c r="D1183" s="6" t="inlineStr">
        <x:is>
          <x:t xml:space="preserve">OGRODY SZKŁO</x:t>
        </x:is>
      </x:c>
      <x:c r="E1183" s="8" t="str">
        <x:f>IFERROR(INDEX('02_RAW_INDEX'!$AL:$AL,MATCH($A1183,'02_RAW_INDEX'!$A:$A,0)),"")</x:f>
      </x:c>
      <x:c r="F1183" s="8" t="str">
        <x:f>IFERROR(INDEX('02_RAW_INDEX'!$AK:$AK,MATCH($A1183,'02_RAW_INDEX'!$A:$A,0)),"")</x:f>
      </x:c>
      <x:c r="G1183" s="7" t="n">
        <x:f>'01_Ustawienia'!$B$6</x:f>
        <x:v>0</x:v>
      </x:c>
      <x:c r="H1183" s="8" t="str">
        <x:f>IF(E1183="","",ROUND(IF('01_Ustawienia'!$B$5="BRUTTO",F1183,E1183)*(1-G1183),0))</x:f>
      </x:c>
      <x:c r="I1183" s="7" t="n">
        <x:f>IFERROR(IFERROR(INDEX('01_Ustawienia'!$B$15:$B$33,MATCH(B1183,'01_Ustawienia'!$A$15:$A$33,0)),0.45),0.45)</x:f>
        <x:v>0.45</x:v>
      </x:c>
      <x:c r="J1183" s="8" t="str">
        <x:f>IF(H1183="","",ROUND(H1183*(1+I1183),0))</x:f>
      </x:c>
      <x:c r="K1183" s="580" t="n">
        <x:v>5730</x:v>
      </x:c>
      <x:c r="L1183" s="580" t="n">
        <x:v>2490</x:v>
      </x:c>
      <x:c r="M1183" s="7" t="n">
        <x:f>IF('01_Ustawienia'!$B$4="ZWOLNIONY",0,'01_Ustawienia'!$B$7)</x:f>
        <x:v>0.08</x:v>
      </x:c>
      <x:c r="N1183" s="8" t="str">
        <x:f>IF(J1183="","",ROUND((J1183+K1183)*(1+M1183),0))</x:f>
      </x:c>
      <x:c r="O1183" s="8" t="str">
        <x:f>IF(J1183="","",J1183+K1183-H1183-L1183)</x:f>
      </x:c>
      <x:c r="P1183" s="7" t="n">
        <x:f>IFERROR(O1183/(J1183+K1183),"")</x:f>
        <x:v>0</x:v>
      </x:c>
      <x:c r="Q1183" s="6" t="inlineStr">
        <x:is>
          <x:t xml:space="preserve">RAW_OS B/C</x:t>
        </x:is>
      </x:c>
      <x:c r="R1183" s="6" t="inlineStr">
        <x:is>
          <x:t xml:space="preserve">OGRÓD ZIMOWY (KONSTRUKCJA)</x:t>
        </x:is>
      </x:c>
      <x:c r="S1183" s="6" t="inlineStr">
        <x:is>
          <x:t xml:space="preserve">crm_only</x:t>
        </x:is>
      </x:c>
      <x:c r="T1183" s="581" t="inlineStr">
        <x:is>
          <x:t xml:space="preserve">Referencyjne/full | FIX11: K/L 550/600 wg ark. 09 (NIE PUBLIKOWAĆ / BRAK RAW_OS).</x:t>
        </x:is>
      </x:c>
    </x:row>
    <x:row r="1184" s="655" customFormat="1" ht="30" customHeight="1">
      <x:c r="A1184" s="6" t="inlineStr">
        <x:is>
          <x:t xml:space="preserve">600 x 506 cm</x:t>
        </x:is>
      </x:c>
      <x:c r="B1184" s="6" t="inlineStr">
        <x:is>
          <x:t xml:space="preserve">PDS</x:t>
        </x:is>
      </x:c>
      <x:c r="C1184" s="6" t="inlineStr">
        <x:is>
          <x:t xml:space="preserve">Dopłata dach szkło przezroczyste</x:t>
        </x:is>
      </x:c>
      <x:c r="D1184" s="6" t="inlineStr">
        <x:is>
          <x:t xml:space="preserve">POKRYCIE DACHU SZKŁO</x:t>
        </x:is>
      </x:c>
      <x:c r="E1184" s="8" t="n">
        <x:f>IFERROR(IFERROR(INDEX('02_RAW_INDEX'!$V:$V,MATCH($A1184,'02_RAW_INDEX'!$A:$A,0)),"")-IFERROR(INDEX('02_RAW_INDEX'!$D:$D,MATCH($A1184,'02_RAW_INDEX'!$A:$A,0)),""),"")</x:f>
        <x:v>-14333</x:v>
      </x:c>
      <x:c r="F1184" s="8" t="n">
        <x:f>IFERROR(IFERROR(INDEX('02_RAW_INDEX'!$U:$U,MATCH($A1184,'02_RAW_INDEX'!$A:$A,0)),"")-IFERROR(INDEX('02_RAW_INDEX'!$C:$C,MATCH($A1184,'02_RAW_INDEX'!$A:$A,0)),""),"")</x:f>
        <x:v>-17630</x:v>
      </x:c>
      <x:c r="G1184" s="7" t="n">
        <x:f>'01_Ustawienia'!$B$6</x:f>
        <x:v>0</x:v>
      </x:c>
      <x:c r="H1184" s="8" t="n">
        <x:f>IF(E1184="","",ROUND(IF('01_Ustawienia'!$B$5="BRUTTO",F1184,E1184)*(1-G1184),0))</x:f>
        <x:v>-14333</x:v>
      </x:c>
      <x:c r="I1184" s="7" t="n">
        <x:f>IFERROR(IFERROR(INDEX('01_Ustawienia'!$B$15:$B$33,MATCH(B1184,'01_Ustawienia'!$A$15:$A$33,0)),0.45),0.45)</x:f>
        <x:v>0.45</x:v>
      </x:c>
      <x:c r="J1184" s="8" t="n">
        <x:f>IF(H1184="","",ROUND(H1184*(1+I1184),0))</x:f>
        <x:v>-20783</x:v>
      </x:c>
      <x:c r="K1184" s="580" t="n">
        <x:v>0</x:v>
      </x:c>
      <x:c r="L1184" s="580" t="n">
        <x:v>0</x:v>
      </x:c>
      <x:c r="M1184" s="7" t="n">
        <x:f>IF('01_Ustawienia'!$B$4="ZWOLNIONY",0,'01_Ustawienia'!$B$7)</x:f>
        <x:v>0.08</x:v>
      </x:c>
      <x:c r="N1184" s="8" t="n">
        <x:f>IF(J1184="","",ROUND((J1184+K1184)*(1+M1184),0))</x:f>
        <x:v>-22446</x:v>
      </x:c>
      <x:c r="O1184" s="8" t="n">
        <x:f>IF(J1184="","",J1184+K1184-H1184-L1184)</x:f>
        <x:v>-6450</x:v>
      </x:c>
      <x:c r="P1184" s="7" t="n">
        <x:f>IFERROR(O1184/(J1184+K1184),"")</x:f>
        <x:v>0.31034980512919214</x:v>
      </x:c>
      <x:c r="Q1184" s="6" t="inlineStr">
        <x:is>
          <x:t xml:space="preserve">RAW_ZS - RAW_ZP</x:t>
        </x:is>
      </x:c>
      <x:c r="R1184" s="6" t="inlineStr">
        <x:is>
          <x:t xml:space="preserve">POKRYCIE DACHU</x:t>
        </x:is>
      </x:c>
      <x:c r="S1184" s="6" t="inlineStr">
        <x:is>
          <x:t xml:space="preserve">website+crm</x:t>
        </x:is>
      </x:c>
      <x:c r="T1184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185" s="655" customFormat="1" ht="30" customHeight="1">
      <x:c r="A1185" s="6" t="inlineStr">
        <x:is>
          <x:t xml:space="preserve">600 x 506 cm</x:t>
        </x:is>
      </x:c>
      <x:c r="B1185" s="6" t="inlineStr">
        <x:is>
          <x:t xml:space="preserve">PDSB</x:t>
        </x:is>
      </x:c>
      <x:c r="C1185" s="6" t="inlineStr">
        <x:is>
          <x:t xml:space="preserve">Dopłata dach szkło barwione/mleczne</x:t>
        </x:is>
      </x:c>
      <x:c r="D1185" s="6" t="inlineStr">
        <x:is>
          <x:t xml:space="preserve">POKRYCIE DACHU SZKŁO BARWIONE</x:t>
        </x:is>
      </x:c>
      <x:c r="E1185" s="8" t="str">
        <x:f>IFERROR(INDEX('02_RAW_INDEX'!$X:$X,MATCH($A1185,'02_RAW_INDEX'!$A:$A,0)),"")</x:f>
      </x:c>
      <x:c r="F1185" s="8" t="str">
        <x:f>IFERROR(INDEX('02_RAW_INDEX'!$W:$W,MATCH($A1185,'02_RAW_INDEX'!$A:$A,0)),"")</x:f>
      </x:c>
      <x:c r="G1185" s="7" t="n">
        <x:f>'01_Ustawienia'!$B$6</x:f>
        <x:v>0</x:v>
      </x:c>
      <x:c r="H1185" s="8" t="str">
        <x:f>IF(E1185="","",ROUND(IF('01_Ustawienia'!$B$5="BRUTTO",F1185,E1185)*(1-G1185),0))</x:f>
      </x:c>
      <x:c r="I1185" s="7" t="n">
        <x:f>IFERROR(IFERROR(INDEX('01_Ustawienia'!$B$15:$B$33,MATCH(B1185,'01_Ustawienia'!$A$15:$A$33,0)),0.45),0.45)</x:f>
        <x:v>0.45</x:v>
      </x:c>
      <x:c r="J1185" s="8" t="str">
        <x:f>IF(H1185="","",ROUND(H1185*(1+I1185),0))</x:f>
      </x:c>
      <x:c r="K1185" s="582" t="n">
        <x:v>0</x:v>
      </x:c>
      <x:c r="L1185" s="582" t="n">
        <x:v>0</x:v>
      </x:c>
      <x:c r="M1185" s="7" t="n">
        <x:f>IF('01_Ustawienia'!$B$4="ZWOLNIONY",0,'01_Ustawienia'!$B$7)</x:f>
        <x:v>0.08</x:v>
      </x:c>
      <x:c r="N1185" s="8" t="str">
        <x:f>IF(J1185="","",ROUND((J1185+K1185)*(1+M1185),0))</x:f>
      </x:c>
      <x:c r="O1185" s="8" t="str">
        <x:f>IF(J1185="","",J1185+K1185-H1185-L1185)</x:f>
      </x:c>
      <x:c r="P1185" s="7" t="str">
        <x:f>IFERROR(O1185/(J1185+K1185),"")</x:f>
      </x:c>
      <x:c r="Q1185" s="6" t="inlineStr">
        <x:is>
          <x:t xml:space="preserve">RAW_ZS D/E</x:t>
        </x:is>
      </x:c>
      <x:c r="R1185" s="6" t="inlineStr">
        <x:is>
          <x:t xml:space="preserve">POKRYCIE DACHU</x:t>
        </x:is>
      </x:c>
      <x:c r="S1185" s="6" t="inlineStr">
        <x:is>
          <x:t xml:space="preserve">website+crm</x:t>
        </x:is>
      </x:c>
      <x:c r="T1185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186" s="655" customFormat="1" ht="30" customHeight="1">
      <x:c r="A1186" s="6" t="inlineStr">
        <x:is>
          <x:t xml:space="preserve">600 x 506 cm</x:t>
        </x:is>
      </x:c>
      <x:c r="B1186" s="6" t="inlineStr">
        <x:is>
          <x:t xml:space="preserve">PDPB</x:t>
        </x:is>
      </x:c>
      <x:c r="C1186" s="6" t="inlineStr">
        <x:is>
          <x:t xml:space="preserve">Dopłata poliwęglan barwiony</x:t>
        </x:is>
      </x:c>
      <x:c r="D1186" s="6" t="inlineStr">
        <x:is>
          <x:t xml:space="preserve">POKRYCIE DACHU POLIWĘGLAN BARWIONY</x:t>
        </x:is>
      </x:c>
      <x:c r="E1186" s="8" t="n">
        <x:f>IFERROR(INDEX('02_RAW_INDEX'!$F:$F,MATCH($A1186,'02_RAW_INDEX'!$A:$A,0)),"")</x:f>
        <x:v>423</x:v>
      </x:c>
      <x:c r="F1186" s="8" t="n">
        <x:f>IFERROR(INDEX('02_RAW_INDEX'!$E:$E,MATCH($A1186,'02_RAW_INDEX'!$A:$A,0)),"")</x:f>
        <x:v>520</x:v>
      </x:c>
      <x:c r="G1186" s="7" t="n">
        <x:f>'01_Ustawienia'!$B$6</x:f>
        <x:v>0</x:v>
      </x:c>
      <x:c r="H1186" s="8" t="n">
        <x:f>IF(E1186="","",ROUND(IF('01_Ustawienia'!$B$5="BRUTTO",F1186,E1186)*(1-G1186),0))</x:f>
        <x:v>423</x:v>
      </x:c>
      <x:c r="I1186" s="7" t="n">
        <x:f>IFERROR(IFERROR(INDEX('01_Ustawienia'!$B$15:$B$33,MATCH(B1186,'01_Ustawienia'!$A$15:$A$33,0)),0.45),0.45)</x:f>
        <x:v>0.45</x:v>
      </x:c>
      <x:c r="J1186" s="8" t="n">
        <x:f>IF(H1186="","",ROUND(H1186*(1+I1186),0))</x:f>
        <x:v>613</x:v>
      </x:c>
      <x:c r="K1186" s="582" t="n">
        <x:v>0</x:v>
      </x:c>
      <x:c r="L1186" s="582" t="n">
        <x:v>0</x:v>
      </x:c>
      <x:c r="M1186" s="7" t="n">
        <x:f>IF('01_Ustawienia'!$B$4="ZWOLNIONY",0,'01_Ustawienia'!$B$7)</x:f>
        <x:v>0.08</x:v>
      </x:c>
      <x:c r="N1186" s="8" t="n">
        <x:f>IF(J1186="","",ROUND((J1186+K1186)*(1+M1186),0))</x:f>
        <x:v>662</x:v>
      </x:c>
      <x:c r="O1186" s="8" t="n">
        <x:f>IF(J1186="","",J1186+K1186-H1186-L1186)</x:f>
        <x:v>190</x:v>
      </x:c>
      <x:c r="P1186" s="7" t="n">
        <x:f>IFERROR(O1186/(J1186+K1186),"")</x:f>
        <x:v>0.3099510603588907</x:v>
      </x:c>
      <x:c r="Q1186" s="6" t="inlineStr">
        <x:is>
          <x:t xml:space="preserve">RAW_ZP D/E</x:t>
        </x:is>
      </x:c>
      <x:c r="R1186" s="6" t="inlineStr">
        <x:is>
          <x:t xml:space="preserve">POKRYCIE DACHU</x:t>
        </x:is>
      </x:c>
      <x:c r="S1186" s="6" t="inlineStr">
        <x:is>
          <x:t xml:space="preserve">website+crm</x:t>
        </x:is>
      </x:c>
      <x:c r="T1186" s="581" t="inlineStr">
        <x:is>
          <x:t xml:space="preserve">FIX11: K/L 550/600 wg ark. 09 (POZOSTAWIĆ 0). | FIX17: Wynagr.+koszty = 0 dla dopłaty; nie jest osobnym montażem ekipy.</x:t>
        </x:is>
      </x:c>
    </x:row>
    <x:row r="1187" s="655" customFormat="1" ht="30" customHeight="1">
      <x:c r="A1187" s="6" t="inlineStr">
        <x:is>
          <x:t xml:space="preserve">600 x 506 cm</x:t>
        </x:is>
      </x:c>
      <x:c r="B1187" s="6" t="inlineStr">
        <x:is>
          <x:t xml:space="preserve">SBB</x:t>
        </x:is>
      </x:c>
      <x:c r="C1187" s="6" t="inlineStr">
        <x:is>
          <x:t xml:space="preserve">Dopłata szkło boczne przyciemniane</x:t>
        </x:is>
      </x:c>
      <x:c r="D1187" s="6" t="inlineStr">
        <x:is>
          <x:t xml:space="preserve">SZKŁO BOCZNE BARWIONE</x:t>
        </x:is>
      </x:c>
      <x:c r="E1187" s="8" t="n">
        <x:f>IFERROR(INDEX('02_RAW_INDEX'!$AB:$AB,MATCH($A1187,'02_RAW_INDEX'!$A:$A,0)),"")</x:f>
        <x:v>1659</x:v>
      </x:c>
      <x:c r="F1187" s="8" t="n">
        <x:f>IFERROR(INDEX('02_RAW_INDEX'!$AA:$AA,MATCH($A1187,'02_RAW_INDEX'!$A:$A,0)),"")</x:f>
        <x:v>2040</x:v>
      </x:c>
      <x:c r="G1187" s="7" t="n">
        <x:f>'01_Ustawienia'!$B$6</x:f>
        <x:v>0</x:v>
      </x:c>
      <x:c r="H1187" s="8" t="n">
        <x:f>IF(E1187="","",ROUND(IF('01_Ustawienia'!$B$5="BRUTTO",F1187,E1187)*(1-G1187),0))</x:f>
        <x:v>1659</x:v>
      </x:c>
      <x:c r="I1187" s="7" t="n">
        <x:f>IFERROR(IFERROR(INDEX('01_Ustawienia'!$B$15:$B$33,MATCH(B1187,'01_Ustawienia'!$A$15:$A$33,0)),0.45),0.45)</x:f>
        <x:v>0.45</x:v>
      </x:c>
      <x:c r="J1187" s="8" t="n">
        <x:f>IF(H1187="","",ROUND(H1187*(1+I1187),0))</x:f>
        <x:v>2406</x:v>
      </x:c>
      <x:c r="K1187" s="582" t="n">
        <x:v>0</x:v>
      </x:c>
      <x:c r="L1187" s="582" t="n">
        <x:v>0</x:v>
      </x:c>
      <x:c r="M1187" s="7" t="n">
        <x:f>IF('01_Ustawienia'!$B$4="ZWOLNIONY",0,'01_Ustawienia'!$B$7)</x:f>
        <x:v>0.08</x:v>
      </x:c>
      <x:c r="N1187" s="8" t="n">
        <x:f>IF(J1187="","",ROUND((J1187+K1187)*(1+M1187),0))</x:f>
        <x:v>2598</x:v>
      </x:c>
      <x:c r="O1187" s="8" t="n">
        <x:f>IF(J1187="","",J1187+K1187-H1187-L1187)</x:f>
        <x:v>747</x:v>
      </x:c>
      <x:c r="P1187" s="7" t="n">
        <x:f>IFERROR(O1187/(J1187+K1187),"")</x:f>
        <x:v>0.3104738154613466</x:v>
      </x:c>
      <x:c r="Q1187" s="6" t="inlineStr">
        <x:is>
          <x:t xml:space="preserve">RAW_OP H/I</x:t>
        </x:is>
      </x:c>
      <x:c r="R1187" s="6" t="inlineStr">
        <x:is>
          <x:t xml:space="preserve">SZYBY BOCZNE</x:t>
        </x:is>
      </x:c>
      <x:c r="S1187" s="6" t="inlineStr">
        <x:is>
          <x:t xml:space="preserve">website+crm</x:t>
        </x:is>
      </x:c>
      <x:c r="T1187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188" s="655" customFormat="1" ht="29.5" customHeight="1">
      <x:c r="A1188" s="6" t="inlineStr">
        <x:is>
          <x:t xml:space="preserve">600 x 506 cm</x:t>
        </x:is>
      </x:c>
      <x:c r="B1188" s="6" t="inlineStr">
        <x:is>
          <x:t xml:space="preserve">RB</x:t>
        </x:is>
      </x:c>
      <x:c r="C1188" s="6" t="inlineStr">
        <x:is>
          <x:t xml:space="preserve">Roleta boczna ZIP</x:t>
        </x:is>
      </x:c>
      <x:c r="D1188" s="6" t="inlineStr">
        <x:is>
          <x:t xml:space="preserve">ROLETA BOCZNA</x:t>
        </x:is>
      </x:c>
      <x:c r="E1188" s="8" t="n">
        <x:f>IFERROR(INDEX('02_RAW_INDEX'!$J:$J,MATCH($A1188,'02_RAW_INDEX'!$A:$A,0)),"")</x:f>
        <x:v>3472</x:v>
      </x:c>
      <x:c r="F1188" s="8" t="n">
        <x:f>IFERROR(INDEX('02_RAW_INDEX'!$I:$I,MATCH($A1188,'02_RAW_INDEX'!$A:$A,0)),"")</x:f>
        <x:v>4270</x:v>
      </x:c>
      <x:c r="G1188" s="7" t="n">
        <x:f>'01_Ustawienia'!$B$6</x:f>
        <x:v>0</x:v>
      </x:c>
      <x:c r="H1188" s="8" t="n">
        <x:f>IF(E1188="","",ROUND(IF('01_Ustawienia'!$B$5="BRUTTO",F1188,E1188)*(1-G1188),0))</x:f>
        <x:v>3472</x:v>
      </x:c>
      <x:c r="I1188" s="7" t="n">
        <x:f>IFERROR(IFERROR(INDEX('01_Ustawienia'!$B$15:$B$33,MATCH(B1188,'01_Ustawienia'!$A$15:$A$33,0)),0.45),0.45)</x:f>
        <x:v>0.45</x:v>
      </x:c>
      <x:c r="J1188" s="8" t="n">
        <x:f>IF(H1188="","",ROUND(H1188*(1+I1188),0))</x:f>
        <x:v>5034</x:v>
      </x:c>
      <x:c r="K1188" s="580" t="n">
        <x:v>0</x:v>
      </x:c>
      <x:c r="L1188" s="580" t="n">
        <x:v>150</x:v>
      </x:c>
      <x:c r="M1188" s="7" t="n">
        <x:f>IF('01_Ustawienia'!$B$4="ZWOLNIONY",0,'01_Ustawienia'!$B$7)</x:f>
        <x:v>0.08</x:v>
      </x:c>
      <x:c r="N1188" s="8" t="n">
        <x:f>IF(J1188="","",ROUND((J1188+K1188)*(1+M1188),0))</x:f>
        <x:v>5437</x:v>
      </x:c>
      <x:c r="O1188" s="8" t="n">
        <x:f>IF(J1188="","",J1188+K1188-H1188-L1188)</x:f>
        <x:v>1412</x:v>
      </x:c>
      <x:c r="P1188" s="7" t="n">
        <x:f>IFERROR(O1188/(J1188+K1188),"")</x:f>
        <x:v>0.28049264998013507</x:v>
      </x:c>
      <x:c r="Q1188" s="6" t="inlineStr">
        <x:is>
          <x:t xml:space="preserve">RAW_ZP J/K</x:t>
        </x:is>
      </x:c>
      <x:c r="R1188" s="6" t="inlineStr">
        <x:is>
          <x:t xml:space="preserve">ROLETY BOCZNE</x:t>
        </x:is>
      </x:c>
      <x:c r="S1188" s="6" t="inlineStr">
        <x:is>
          <x:t xml:space="preserve">website+crm</x:t>
        </x:is>
      </x:c>
      <x:c r="T1188" s="581" t="inlineStr">
        <x:is>
          <x:t xml:space="preserve">Używana dla lewej i prawej | FIX11: K/L 550/600 wg ark. 09 (UZUPEŁNIĆ L).</x:t>
        </x:is>
      </x:c>
    </x:row>
    <x:row r="1189" s="655" customFormat="1" ht="29.5" customHeight="1">
      <x:c r="A1189" s="6" t="inlineStr">
        <x:is>
          <x:t xml:space="preserve">600 x 506 cm</x:t>
        </x:is>
      </x:c>
      <x:c r="B1189" s="6" t="inlineStr">
        <x:is>
          <x:t xml:space="preserve">RP</x:t>
        </x:is>
      </x:c>
      <x:c r="C1189" s="6" t="inlineStr">
        <x:is>
          <x:t xml:space="preserve">Roleta przednia ZIP</x:t>
        </x:is>
      </x:c>
      <x:c r="D1189" s="6" t="inlineStr">
        <x:is>
          <x:t xml:space="preserve">ROLETA PRZÓD</x:t>
        </x:is>
      </x:c>
      <x:c r="E1189" s="8" t="n">
        <x:f>IFERROR(INDEX('02_RAW_INDEX'!$L:$L,MATCH($A1189,'02_RAW_INDEX'!$A:$A,0)),"")</x:f>
        <x:v>3008</x:v>
      </x:c>
      <x:c r="F1189" s="8" t="n">
        <x:f>IFERROR(INDEX('02_RAW_INDEX'!$K:$K,MATCH($A1189,'02_RAW_INDEX'!$A:$A,0)),"")</x:f>
        <x:v>3700</x:v>
      </x:c>
      <x:c r="G1189" s="7" t="n">
        <x:f>'01_Ustawienia'!$B$6</x:f>
        <x:v>0</x:v>
      </x:c>
      <x:c r="H1189" s="8" t="n">
        <x:f>IF(E1189="","",ROUND(IF('01_Ustawienia'!$B$5="BRUTTO",F1189,E1189)*(1-G1189),0))</x:f>
        <x:v>3008</x:v>
      </x:c>
      <x:c r="I1189" s="7" t="n">
        <x:f>IFERROR(IFERROR(INDEX('01_Ustawienia'!$B$15:$B$33,MATCH(B1189,'01_Ustawienia'!$A$15:$A$33,0)),0.45),0.45)</x:f>
        <x:v>0.45</x:v>
      </x:c>
      <x:c r="J1189" s="8" t="n">
        <x:f>IF(H1189="","",ROUND(H1189*(1+I1189),0))</x:f>
        <x:v>4362</x:v>
      </x:c>
      <x:c r="K1189" s="580" t="n">
        <x:v>0</x:v>
      </x:c>
      <x:c r="L1189" s="580" t="n">
        <x:v>300</x:v>
      </x:c>
      <x:c r="M1189" s="7" t="n">
        <x:f>IF('01_Ustawienia'!$B$4="ZWOLNIONY",0,'01_Ustawienia'!$B$7)</x:f>
        <x:v>0.08</x:v>
      </x:c>
      <x:c r="N1189" s="8" t="n">
        <x:f>IF(J1189="","",ROUND((J1189+K1189)*(1+M1189),0))</x:f>
        <x:v>4711</x:v>
      </x:c>
      <x:c r="O1189" s="8" t="n">
        <x:f>IF(J1189="","",J1189+K1189-H1189-L1189)</x:f>
        <x:v>1054</x:v>
      </x:c>
      <x:c r="P1189" s="7" t="n">
        <x:f>IFERROR(O1189/(J1189+K1189),"")</x:f>
        <x:v>0.24163227877120586</x:v>
      </x:c>
      <x:c r="Q1189" s="6" t="inlineStr">
        <x:is>
          <x:t xml:space="preserve">RAW_ZP N/O</x:t>
        </x:is>
      </x:c>
      <x:c r="R1189" s="6" t="inlineStr">
        <x:is>
          <x:t xml:space="preserve">ROLETY BOCZNE</x:t>
        </x:is>
      </x:c>
      <x:c r="S1189" s="6" t="inlineStr">
        <x:is>
          <x:t xml:space="preserve">website+crm</x:t>
        </x:is>
      </x:c>
      <x:c r="T1189" s="581" t="inlineStr">
        <x:is>
          <x:t xml:space="preserve">FIX11: K/L 550/600 wg ark. 09 (UZUPEŁNIĆ L).</x:t>
        </x:is>
      </x:c>
    </x:row>
    <x:row r="1190" s="655" customFormat="1" ht="29.5" customHeight="1">
      <x:c r="A1190" s="6" t="inlineStr">
        <x:is>
          <x:t xml:space="preserve">600 x 506 cm</x:t>
        </x:is>
      </x:c>
      <x:c r="B1190" s="6" t="inlineStr">
        <x:is>
          <x:t xml:space="preserve">M</x:t>
        </x:is>
      </x:c>
      <x:c r="C1190" s="6" t="inlineStr">
        <x:is>
          <x:t xml:space="preserve">Markiza dachowa</x:t>
        </x:is>
      </x:c>
      <x:c r="D1190" s="6" t="inlineStr">
        <x:is>
          <x:t xml:space="preserve">MARKIZA</x:t>
        </x:is>
      </x:c>
      <x:c r="E1190" s="8" t="n">
        <x:f>IFERROR(INDEX('02_RAW_INDEX'!$H:$H,MATCH($A1190,'02_RAW_INDEX'!$A:$A,0)),"")</x:f>
        <x:v>4520</x:v>
      </x:c>
      <x:c r="F1190" s="8" t="n">
        <x:f>IFERROR(INDEX('02_RAW_INDEX'!$G:$G,MATCH($A1190,'02_RAW_INDEX'!$A:$A,0)),"")</x:f>
        <x:v>5560</x:v>
      </x:c>
      <x:c r="G1190" s="7" t="n">
        <x:f>'01_Ustawienia'!$B$6</x:f>
        <x:v>0</x:v>
      </x:c>
      <x:c r="H1190" s="8" t="n">
        <x:f>IF(E1190="","",ROUND(IF('01_Ustawienia'!$B$5="BRUTTO",F1190,E1190)*(1-G1190),0))</x:f>
        <x:v>4520</x:v>
      </x:c>
      <x:c r="I1190" s="7" t="n">
        <x:f>IFERROR(IFERROR(INDEX('01_Ustawienia'!$B$15:$B$33,MATCH(B1190,'01_Ustawienia'!$A$15:$A$33,0)),0.45),0.45)</x:f>
        <x:v>0.45</x:v>
      </x:c>
      <x:c r="J1190" s="8" t="n">
        <x:f>IF(H1190="","",ROUND(H1190*(1+I1190),0))</x:f>
        <x:v>6554</x:v>
      </x:c>
      <x:c r="K1190" s="580" t="n">
        <x:v>0</x:v>
      </x:c>
      <x:c r="L1190" s="580" t="n">
        <x:v>300</x:v>
      </x:c>
      <x:c r="M1190" s="7" t="n">
        <x:f>IF('01_Ustawienia'!$B$4="ZWOLNIONY",0,'01_Ustawienia'!$B$7)</x:f>
        <x:v>0.08</x:v>
      </x:c>
      <x:c r="N1190" s="8" t="n">
        <x:f>IF(J1190="","",ROUND((J1190+K1190)*(1+M1190),0))</x:f>
        <x:v>7078</x:v>
      </x:c>
      <x:c r="O1190" s="8" t="n">
        <x:f>IF(J1190="","",J1190+K1190-H1190-L1190)</x:f>
        <x:v>1734</x:v>
      </x:c>
      <x:c r="P1190" s="7" t="n">
        <x:f>IFERROR(O1190/(J1190+K1190),"")</x:f>
        <x:v>0.2645712541959109</x:v>
      </x:c>
      <x:c r="Q1190" s="6" t="inlineStr">
        <x:is>
          <x:t xml:space="preserve">RAW_ZP H/I</x:t>
        </x:is>
      </x:c>
      <x:c r="R1190" s="6" t="inlineStr">
        <x:is>
          <x:t xml:space="preserve">MARKIZA</x:t>
        </x:is>
      </x:c>
      <x:c r="S1190" s="6" t="inlineStr">
        <x:is>
          <x:t xml:space="preserve">website+crm</x:t>
        </x:is>
      </x:c>
      <x:c r="T1190" s="581" t="inlineStr">
        <x:is>
          <x:t xml:space="preserve">FIX11: K/L 550/600 wg ark. 09 (UZUPEŁNIĆ L).</x:t>
        </x:is>
      </x:c>
    </x:row>
    <x:row r="1191" s="655" customFormat="1" ht="44.25" customHeight="1">
      <x:c r="A1191" s="6" t="inlineStr">
        <x:is>
          <x:t xml:space="preserve">600 x 506 cm</x:t>
        </x:is>
      </x:c>
      <x:c r="B1191" s="6" t="inlineStr">
        <x:is>
          <x:t xml:space="preserve">PDWP</x:t>
        </x:is>
      </x:c>
      <x:c r="C1191" s="6" t="inlineStr">
        <x:is>
          <x:t xml:space="preserve">Fundament/profile</x:t>
        </x:is>
      </x:c>
      <x:c r="D1191" s="6" t="inlineStr">
        <x:is>
          <x:t xml:space="preserve">FUNDAMENT / PROFILE</x:t>
        </x:is>
      </x:c>
      <x:c r="E1191" s="8" t="n">
        <x:f>IFERROR(INDEX('02_RAW_INDEX'!$AH:$AH,MATCH($A1191,'02_RAW_INDEX'!$A:$A,0)),"")</x:f>
        <x:v>1146</x:v>
      </x:c>
      <x:c r="F1191" s="8" t="n">
        <x:f>IFERROR(INDEX('02_RAW_INDEX'!$AG:$AG,MATCH($A1191,'02_RAW_INDEX'!$A:$A,0)),"")</x:f>
        <x:v>1410</x:v>
      </x:c>
      <x:c r="G1191" s="7" t="n">
        <x:f>'01_Ustawienia'!$B$6</x:f>
        <x:v>0</x:v>
      </x:c>
      <x:c r="H1191" s="8" t="n">
        <x:f>IF(E1191="","",ROUND(IF('01_Ustawienia'!$B$5="BRUTTO",F1191,E1191)*(1-G1191),0))</x:f>
        <x:v>1146</x:v>
      </x:c>
      <x:c r="I1191" s="7" t="n">
        <x:f>IFERROR(IFERROR(INDEX('01_Ustawienia'!$B$15:$B$33,MATCH(B1191,'01_Ustawienia'!$A$15:$A$33,0)),0.45),0.45)</x:f>
        <x:v>1.2</x:v>
      </x:c>
      <x:c r="J1191" s="8" t="n">
        <x:f>IF(H1191="","",ROUND(H1191*(1+I1191),0))</x:f>
        <x:v>2521</x:v>
      </x:c>
      <x:c r="K1191" s="580" t="n">
        <x:v>590</x:v>
      </x:c>
      <x:c r="L1191" s="580" t="n">
        <x:v>540</x:v>
      </x:c>
      <x:c r="M1191" s="7" t="n">
        <x:f>IF('01_Ustawienia'!$B$4="ZWOLNIONY",0,'01_Ustawienia'!$B$7)</x:f>
        <x:v>0.08</x:v>
      </x:c>
      <x:c r="N1191" s="8" t="n">
        <x:f>IF(J1191="","",ROUND((J1191+K1191)*(1+M1191),0))</x:f>
        <x:v>3360</x:v>
      </x:c>
      <x:c r="O1191" s="8" t="n">
        <x:f>IF(J1191="","",J1191+K1191-H1191-L1191)</x:f>
        <x:v>1425</x:v>
      </x:c>
      <x:c r="P1191" s="7" t="n">
        <x:f>IFERROR(O1191/(J1191+K1191),"")</x:f>
        <x:v>0.45805207328833175</x:v>
      </x:c>
      <x:c r="Q1191" s="6" t="inlineStr">
        <x:is>
          <x:t xml:space="preserve">RAW_OP AB/AC</x:t>
        </x:is>
      </x:c>
      <x:c r="R1191" s="6" t="inlineStr">
        <x:is>
          <x:t xml:space="preserve">FUNDAMENT (PROFILE)</x:t>
        </x:is>
      </x:c>
      <x:c r="S1191" s="6" t="inlineStr">
        <x:is>
          <x:t xml:space="preserve">website+crm</x:t>
        </x:is>
      </x:c>
      <x:c r="T1191" s="581" t="inlineStr">
        <x:is>
          <x:t xml:space="preserve">FIX11: K/L 550/600 wg ark. 09 (UZUPEŁNIĆ K+L / KOREKTA RENTOWNOŚCI).</x:t>
        </x:is>
      </x:c>
    </x:row>
    <x:row r="1192" s="655" customFormat="1" ht="30" customHeight="1">
      <x:c r="A1192" s="6" t="inlineStr">
        <x:is>
          <x:t xml:space="preserve">600 x 506 cm</x:t>
        </x:is>
      </x:c>
      <x:c r="B1192" s="6" t="inlineStr">
        <x:is>
          <x:t xml:space="preserve">ZAB</x:t>
        </x:is>
      </x:c>
      <x:c r="C1192" s="6" t="inlineStr">
        <x:is>
          <x:t xml:space="preserve">Zabieraki do ścian przesuwnych</x:t>
        </x:is>
      </x:c>
      <x:c r="D1192" s="6" t="inlineStr">
        <x:is>
          <x:t xml:space="preserve">DODATKI</x:t>
        </x:is>
      </x:c>
      <x:c r="E1192" s="8" t="n">
        <x:f>IFERROR(INDEX('02_RAW_INDEX'!$AJ:$AJ,MATCH($A1192,'02_RAW_INDEX'!$A:$A,0)),"")</x:f>
        <x:v>423</x:v>
      </x:c>
      <x:c r="F1192" s="8" t="n">
        <x:f>IFERROR(INDEX('02_RAW_INDEX'!$AI:$AI,MATCH($A1192,'02_RAW_INDEX'!$A:$A,0)),"")</x:f>
        <x:v>520</x:v>
      </x:c>
      <x:c r="G1192" s="7" t="n">
        <x:f>'01_Ustawienia'!$B$6</x:f>
        <x:v>0</x:v>
      </x:c>
      <x:c r="H1192" s="8" t="n">
        <x:f>IF(E1192="","",ROUND(IF('01_Ustawienia'!$B$5="BRUTTO",F1192,E1192)*(1-G1192),0))</x:f>
        <x:v>423</x:v>
      </x:c>
      <x:c r="I1192" s="7" t="n">
        <x:f>IFERROR(IFERROR(INDEX('01_Ustawienia'!$B$15:$B$33,MATCH(B1192,'01_Ustawienia'!$A$15:$A$33,0)),0.45),0.45)</x:f>
        <x:v>0.45</x:v>
      </x:c>
      <x:c r="J1192" s="8" t="n">
        <x:f>IF(H1192="","",ROUND(H1192*(1+I1192),0))</x:f>
        <x:v>613</x:v>
      </x:c>
      <x:c r="K1192" s="582" t="n">
        <x:v>0</x:v>
      </x:c>
      <x:c r="L1192" s="582" t="n">
        <x:v>0</x:v>
      </x:c>
      <x:c r="M1192" s="7" t="n">
        <x:f>IF('01_Ustawienia'!$B$4="ZWOLNIONY",0,'01_Ustawienia'!$B$7)</x:f>
        <x:v>0.08</x:v>
      </x:c>
      <x:c r="N1192" s="8" t="n">
        <x:f>IF(J1192="","",ROUND((J1192+K1192)*(1+M1192),0))</x:f>
        <x:v>662</x:v>
      </x:c>
      <x:c r="O1192" s="8" t="n">
        <x:f>IF(J1192="","",J1192+K1192-H1192-L1192)</x:f>
        <x:v>190</x:v>
      </x:c>
      <x:c r="P1192" s="7" t="n">
        <x:f>IFERROR(O1192/(J1192+K1192),"")</x:f>
        <x:v>0.3099510603588907</x:v>
      </x:c>
      <x:c r="Q1192" s="6" t="inlineStr">
        <x:is>
          <x:t xml:space="preserve">RAW_OP AD/AE</x:t>
        </x:is>
      </x:c>
      <x:c r="R1192" s="6" t="inlineStr">
        <x:is>
          <x:t xml:space="preserve">DODATKI</x:t>
        </x:is>
      </x:c>
      <x:c r="S1192" s="6" t="inlineStr">
        <x:is>
          <x:t xml:space="preserve">crm_only</x:t>
        </x:is>
      </x:c>
      <x:c r="T1192" s="581" t="inlineStr">
        <x:is>
          <x:t xml:space="preserve">FIX11: K/L 550/600 wg ark. 09 (POZOSTAWIĆ 0).</x:t>
        </x:is>
      </x:c>
    </x:row>
    <x:row r="1193" s="655" customFormat="1" ht="29.5" customHeight="1">
      <x:c r="A1193" s="6" t="inlineStr">
        <x:is>
          <x:t xml:space="preserve">600 x 506 cm</x:t>
        </x:is>
      </x:c>
      <x:c r="B1193" s="6" t="inlineStr">
        <x:is>
          <x:t xml:space="preserve">S</x:t>
        </x:is>
      </x:c>
      <x:c r="C1193" s="6" t="inlineStr">
        <x:is>
          <x:t xml:space="preserve">Szczotki przeciwkurzowe</x:t>
        </x:is>
      </x:c>
      <x:c r="D1193" s="6" t="inlineStr">
        <x:is>
          <x:t xml:space="preserve">SZCZOTKI</x:t>
        </x:is>
      </x:c>
      <x:c r="E1193" s="8" t="n">
        <x:f>IFERROR(INDEX('02_RAW_INDEX'!$AD:$AD,MATCH($A1193,'02_RAW_INDEX'!$A:$A,0)),"")</x:f>
        <x:v>463</x:v>
      </x:c>
      <x:c r="F1193" s="8" t="n">
        <x:f>IFERROR(INDEX('02_RAW_INDEX'!$AC:$AC,MATCH($A1193,'02_RAW_INDEX'!$A:$A,0)),"")</x:f>
        <x:v>570</x:v>
      </x:c>
      <x:c r="G1193" s="7" t="n">
        <x:f>'01_Ustawienia'!$B$6</x:f>
        <x:v>0</x:v>
      </x:c>
      <x:c r="H1193" s="8" t="n">
        <x:f>IF(E1193="","",ROUND(IF('01_Ustawienia'!$B$5="BRUTTO",F1193,E1193)*(1-G1193),0))</x:f>
        <x:v>463</x:v>
      </x:c>
      <x:c r="I1193" s="7" t="n">
        <x:f>IFERROR(IFERROR(INDEX('01_Ustawienia'!$B$15:$B$33,MATCH(B1193,'01_Ustawienia'!$A$15:$A$33,0)),0.45),0.45)</x:f>
        <x:v>0.45</x:v>
      </x:c>
      <x:c r="J1193" s="8" t="n">
        <x:f>IF(H1193="","",ROUND(H1193*(1+I1193),0))</x:f>
        <x:v>671</x:v>
      </x:c>
      <x:c r="K1193" s="582" t="n">
        <x:v>0</x:v>
      </x:c>
      <x:c r="L1193" s="582" t="n">
        <x:v>0</x:v>
      </x:c>
      <x:c r="M1193" s="7" t="n">
        <x:f>IF('01_Ustawienia'!$B$4="ZWOLNIONY",0,'01_Ustawienia'!$B$7)</x:f>
        <x:v>0.08</x:v>
      </x:c>
      <x:c r="N1193" s="8" t="n">
        <x:f>IF(J1193="","",ROUND((J1193+K1193)*(1+M1193),0))</x:f>
        <x:v>725</x:v>
      </x:c>
      <x:c r="O1193" s="8" t="n">
        <x:f>IF(J1193="","",J1193+K1193-H1193-L1193)</x:f>
        <x:v>208</x:v>
      </x:c>
      <x:c r="P1193" s="7" t="n">
        <x:f>IFERROR(O1193/(J1193+K1193),"")</x:f>
        <x:v>0.30998509687034276</x:v>
      </x:c>
      <x:c r="Q1193" s="6" t="inlineStr">
        <x:is>
          <x:t xml:space="preserve">RAW_OP L/M</x:t>
        </x:is>
      </x:c>
      <x:c r="R1193" s="6" t="inlineStr">
        <x:is>
          <x:t xml:space="preserve">DODATKI</x:t>
        </x:is>
      </x:c>
      <x:c r="S1193" s="6" t="inlineStr">
        <x:is>
          <x:t xml:space="preserve">website+crm</x:t>
        </x:is>
      </x:c>
      <x:c r="T1193" s="581" t="inlineStr">
        <x:is>
          <x:t xml:space="preserve">FIX11: K/L 550/600 wg ark. 09 (POZOSTAWIĆ 0).</x:t>
        </x:is>
      </x:c>
    </x:row>
    <x:row r="1194" s="655" customFormat="1" ht="29.5" customHeight="1">
      <x:c r="A1194" s="6" t="inlineStr">
        <x:is>
          <x:t xml:space="preserve">600 x 506 cm</x:t>
        </x:is>
      </x:c>
      <x:c r="B1194" s="6" t="inlineStr">
        <x:is>
          <x:t xml:space="preserve">U</x:t>
        </x:is>
      </x:c>
      <x:c r="C1194" s="6" t="inlineStr">
        <x:is>
          <x:t xml:space="preserve">Uchwyty na szkło ścienne</x:t>
        </x:is>
      </x:c>
      <x:c r="D1194" s="6" t="inlineStr">
        <x:is>
          <x:t xml:space="preserve">UCHWYTY</x:t>
        </x:is>
      </x:c>
      <x:c r="E1194" s="8" t="n">
        <x:f>IFERROR(INDEX('02_RAW_INDEX'!$AF:$AF,MATCH($A1194,'02_RAW_INDEX'!$A:$A,0)),"")</x:f>
        <x:v>423</x:v>
      </x:c>
      <x:c r="F1194" s="8" t="n">
        <x:f>IFERROR(INDEX('02_RAW_INDEX'!$AE:$AE,MATCH($A1194,'02_RAW_INDEX'!$A:$A,0)),"")</x:f>
        <x:v>520</x:v>
      </x:c>
      <x:c r="G1194" s="7" t="n">
        <x:f>'01_Ustawienia'!$B$6</x:f>
        <x:v>0</x:v>
      </x:c>
      <x:c r="H1194" s="8" t="n">
        <x:f>IF(E1194="","",ROUND(IF('01_Ustawienia'!$B$5="BRUTTO",F1194,E1194)*(1-G1194),0))</x:f>
        <x:v>423</x:v>
      </x:c>
      <x:c r="I1194" s="7" t="n">
        <x:f>IFERROR(IFERROR(INDEX('01_Ustawienia'!$B$15:$B$33,MATCH(B1194,'01_Ustawienia'!$A$15:$A$33,0)),0.45),0.45)</x:f>
        <x:v>0.45</x:v>
      </x:c>
      <x:c r="J1194" s="8" t="n">
        <x:f>IF(H1194="","",ROUND(H1194*(1+I1194),0))</x:f>
        <x:v>613</x:v>
      </x:c>
      <x:c r="K1194" s="582" t="n">
        <x:v>0</x:v>
      </x:c>
      <x:c r="L1194" s="582" t="n">
        <x:v>0</x:v>
      </x:c>
      <x:c r="M1194" s="7" t="n">
        <x:f>IF('01_Ustawienia'!$B$4="ZWOLNIONY",0,'01_Ustawienia'!$B$7)</x:f>
        <x:v>0.08</x:v>
      </x:c>
      <x:c r="N1194" s="8" t="n">
        <x:f>IF(J1194="","",ROUND((J1194+K1194)*(1+M1194),0))</x:f>
        <x:v>662</x:v>
      </x:c>
      <x:c r="O1194" s="8" t="n">
        <x:f>IF(J1194="","",J1194+K1194-H1194-L1194)</x:f>
        <x:v>190</x:v>
      </x:c>
      <x:c r="P1194" s="7" t="n">
        <x:f>IFERROR(O1194/(J1194+K1194),"")</x:f>
        <x:v>0.3099510603588907</x:v>
      </x:c>
      <x:c r="Q1194" s="6" t="inlineStr">
        <x:is>
          <x:t xml:space="preserve">RAW_OP N/O</x:t>
        </x:is>
      </x:c>
      <x:c r="R1194" s="6" t="inlineStr">
        <x:is>
          <x:t xml:space="preserve">DODATKI</x:t>
        </x:is>
      </x:c>
      <x:c r="S1194" s="6" t="inlineStr">
        <x:is>
          <x:t xml:space="preserve">website+crm</x:t>
        </x:is>
      </x:c>
      <x:c r="T1194" s="581" t="inlineStr">
        <x:is>
          <x:t xml:space="preserve">FIX11: K/L 550/600 wg ark. 09 (POZOSTAWIĆ 0).</x:t>
        </x:is>
      </x:c>
    </x:row>
    <x:row r="1195" s="655" customFormat="1" ht="29.5" customHeight="1">
      <x:c r="A1195" s="6" t="inlineStr">
        <x:is>
          <x:t xml:space="preserve">600 x 506 cm</x:t>
        </x:is>
      </x:c>
      <x:c r="B1195" s="6" t="inlineStr">
        <x:is>
          <x:t xml:space="preserve">LED2</x:t>
        </x:is>
      </x:c>
      <x:c r="C1195" s="6" t="inlineStr">
        <x:is>
          <x:t xml:space="preserve">Oświetlenie LED 2 punkty</x:t>
        </x:is>
      </x:c>
      <x:c r="D1195" s="6" t="inlineStr">
        <x:is>
          <x:t xml:space="preserve">LED 2 PKT</x:t>
        </x:is>
      </x:c>
      <x:c r="E1195" s="8" t="n">
        <x:f>IFERROR(INDEX('02_RAW_INDEX'!$N:$N,MATCH($A1195,'02_RAW_INDEX'!$A:$A,0)),"")</x:f>
        <x:v>488</x:v>
      </x:c>
      <x:c r="F1195" s="8" t="n">
        <x:f>IFERROR(INDEX('02_RAW_INDEX'!$M:$M,MATCH($A1195,'02_RAW_INDEX'!$A:$A,0)),"")</x:f>
        <x:v>600</x:v>
      </x:c>
      <x:c r="G1195" s="7" t="n">
        <x:f>'01_Ustawienia'!$B$6</x:f>
        <x:v>0</x:v>
      </x:c>
      <x:c r="H1195" s="8" t="n">
        <x:f>IF(E1195="","",ROUND(IF('01_Ustawienia'!$B$5="BRUTTO",F1195,E1195)*(1-G1195),0))</x:f>
        <x:v>488</x:v>
      </x:c>
      <x:c r="I1195" s="7" t="n">
        <x:f>IFERROR(IFERROR(INDEX('01_Ustawienia'!$B$15:$B$33,MATCH(B1195,'01_Ustawienia'!$A$15:$A$33,0)),0.45),0.45)</x:f>
        <x:v>0.45</x:v>
      </x:c>
      <x:c r="J1195" s="8" t="n">
        <x:f>IF(H1195="","",ROUND(H1195*(1+I1195),0))</x:f>
        <x:v>708</x:v>
      </x:c>
      <x:c r="K1195" s="582" t="n">
        <x:v>0</x:v>
      </x:c>
      <x:c r="L1195" s="582" t="n">
        <x:v>0</x:v>
      </x:c>
      <x:c r="M1195" s="7" t="n">
        <x:f>IF('01_Ustawienia'!$B$4="ZWOLNIONY",0,'01_Ustawienia'!$B$7)</x:f>
        <x:v>0.08</x:v>
      </x:c>
      <x:c r="N1195" s="8" t="n">
        <x:f>IF(J1195="","",ROUND((J1195+K1195)*(1+M1195),0))</x:f>
        <x:v>765</x:v>
      </x:c>
      <x:c r="O1195" s="8" t="n">
        <x:f>IF(J1195="","",J1195+K1195-H1195-L1195)</x:f>
        <x:v>220</x:v>
      </x:c>
      <x:c r="P1195" s="7" t="n">
        <x:f>IFERROR(O1195/(J1195+K1195),"")</x:f>
        <x:v>0.3107344632768362</x:v>
      </x:c>
      <x:c r="Q1195" s="6" t="inlineStr">
        <x:is>
          <x:t xml:space="preserve">RAW_ZP P/Q</x:t>
        </x:is>
      </x:c>
      <x:c r="R1195" s="6" t="inlineStr">
        <x:is>
          <x:t xml:space="preserve">OŚWIETLENIE</x:t>
        </x:is>
      </x:c>
      <x:c r="S1195" s="6" t="inlineStr">
        <x:is>
          <x:t xml:space="preserve">website+crm</x:t>
        </x:is>
      </x:c>
      <x:c r="T1195" s="581" t="inlineStr">
        <x:is>
          <x:t xml:space="preserve">FIX11: K/L 550/600 wg ark. 09 (POZOSTAWIĆ 0 NA RAZIE).</x:t>
        </x:is>
      </x:c>
    </x:row>
    <x:row r="1196" s="655" customFormat="1" ht="44.25" customHeight="1">
      <x:c r="A1196" s="6" t="inlineStr">
        <x:is>
          <x:t xml:space="preserve">600 x 506 cm</x:t>
        </x:is>
      </x:c>
      <x:c r="B1196" s="6" t="inlineStr">
        <x:is>
          <x:t xml:space="preserve">LED3</x:t>
        </x:is>
      </x:c>
      <x:c r="C1196" s="6" t="inlineStr">
        <x:is>
          <x:t xml:space="preserve">Oświetlenie LED 3 punkty</x:t>
        </x:is>
      </x:c>
      <x:c r="D1196" s="6" t="inlineStr">
        <x:is>
          <x:t xml:space="preserve">LED 3 PKT</x:t>
        </x:is>
      </x:c>
      <x:c r="E1196" s="8" t="n">
        <x:f>IFERROR(INDEX('02_RAW_INDEX'!$P:$P,MATCH($A1196,'02_RAW_INDEX'!$A:$A,0)),"")</x:f>
        <x:v>780</x:v>
      </x:c>
      <x:c r="F1196" s="8" t="n">
        <x:f>IFERROR(INDEX('02_RAW_INDEX'!$O:$O,MATCH($A1196,'02_RAW_INDEX'!$A:$A,0)),"")</x:f>
        <x:v>960</x:v>
      </x:c>
      <x:c r="G1196" s="7" t="n">
        <x:f>'01_Ustawienia'!$B$6</x:f>
        <x:v>0</x:v>
      </x:c>
      <x:c r="H1196" s="8" t="n">
        <x:f>IF(E1196="","",ROUND(IF('01_Ustawienia'!$B$5="BRUTTO",F1196,E1196)*(1-G1196),0))</x:f>
        <x:v>780</x:v>
      </x:c>
      <x:c r="I1196" s="7" t="n">
        <x:f>IFERROR(IFERROR(INDEX('01_Ustawienia'!$B$15:$B$33,MATCH(B1196,'01_Ustawienia'!$A$15:$A$33,0)),0.45),0.45)</x:f>
        <x:v>0.45</x:v>
      </x:c>
      <x:c r="J1196" s="8" t="n">
        <x:f>IF(H1196="","",ROUND(H1196*(1+I1196),0))</x:f>
        <x:v>1131</x:v>
      </x:c>
      <x:c r="K1196" s="582" t="n">
        <x:v>0</x:v>
      </x:c>
      <x:c r="L1196" s="582" t="n">
        <x:v>0</x:v>
      </x:c>
      <x:c r="M1196" s="7" t="n">
        <x:f>IF('01_Ustawienia'!$B$4="ZWOLNIONY",0,'01_Ustawienia'!$B$7)</x:f>
        <x:v>0.08</x:v>
      </x:c>
      <x:c r="N1196" s="8" t="n">
        <x:f>IF(J1196="","",ROUND((J1196+K1196)*(1+M1196),0))</x:f>
        <x:v>1221</x:v>
      </x:c>
      <x:c r="O1196" s="8" t="n">
        <x:f>IF(J1196="","",J1196+K1196-H1196-L1196)</x:f>
        <x:v>351</x:v>
      </x:c>
      <x:c r="P1196" s="7" t="n">
        <x:f>IFERROR(O1196/(J1196+K1196),"")</x:f>
        <x:v>0.3103448275862069</x:v>
      </x:c>
      <x:c r="Q1196" s="6" t="inlineStr">
        <x:is>
          <x:t xml:space="preserve">RAW_ZP R/S</x:t>
        </x:is>
      </x:c>
      <x:c r="R1196" s="6" t="inlineStr">
        <x:is>
          <x:t xml:space="preserve">OŚWIETLENIE</x:t>
        </x:is>
      </x:c>
      <x:c r="S1196" s="6" t="inlineStr">
        <x:is>
          <x:t xml:space="preserve">website+crm</x:t>
        </x:is>
      </x:c>
      <x:c r="T1196" s="581" t="inlineStr">
        <x:is>
          <x:t xml:space="preserve">Nazwa do potwierdzenia | FIX11: K/L 550/600 wg ark. 09 (POZOSTAWIĆ 0 NA RAZIE).</x:t>
        </x:is>
      </x:c>
    </x:row>
    <x:row r="1197" s="655" customFormat="1" ht="29.5" customHeight="1">
      <x:c r="A1197" s="6" t="inlineStr">
        <x:is>
          <x:t xml:space="preserve">600 x 506 cm</x:t>
        </x:is>
      </x:c>
      <x:c r="B1197" s="6" t="inlineStr">
        <x:is>
          <x:t xml:space="preserve">LEDCCT</x:t>
        </x:is>
      </x:c>
      <x:c r="C1197" s="6" t="inlineStr">
        <x:is>
          <x:t xml:space="preserve">Oświetlenie LED CCT</x:t>
        </x:is>
      </x:c>
      <x:c r="D1197" s="6" t="inlineStr">
        <x:is>
          <x:t xml:space="preserve">OŚWIETLENIE</x:t>
        </x:is>
      </x:c>
      <x:c r="E1197" s="8" t="n">
        <x:f>IFERROR(INDEX('02_RAW_INDEX'!$R:$R,MATCH($A1197,'02_RAW_INDEX'!$A:$A,0)),"")</x:f>
        <x:v>1753</x:v>
      </x:c>
      <x:c r="F1197" s="8" t="n">
        <x:f>IFERROR(INDEX('02_RAW_INDEX'!$Q:$Q,MATCH($A1197,'02_RAW_INDEX'!$A:$A,0)),"")</x:f>
        <x:v>2156</x:v>
      </x:c>
      <x:c r="G1197" s="7" t="n">
        <x:f>'01_Ustawienia'!$B$6</x:f>
        <x:v>0</x:v>
      </x:c>
      <x:c r="H1197" s="8" t="n">
        <x:f>IF(E1197="","",ROUND(IF('01_Ustawienia'!$B$5="BRUTTO",F1197,E1197)*(1-G1197),0))</x:f>
        <x:v>1753</x:v>
      </x:c>
      <x:c r="I1197" s="7" t="n">
        <x:f>IFERROR(IFERROR(INDEX('01_Ustawienia'!$B$15:$B$33,MATCH(B1197,'01_Ustawienia'!$A$15:$A$33,0)),0.45),0.45)</x:f>
        <x:v>0.45</x:v>
      </x:c>
      <x:c r="J1197" s="8" t="n">
        <x:f>IF(H1197="","",ROUND(H1197*(1+I1197),0)+700)</x:f>
        <x:v>3242</x:v>
      </x:c>
      <x:c r="K1197" s="582" t="n">
        <x:v>0</x:v>
      </x:c>
      <x:c r="L1197" s="582" t="n">
        <x:v>0</x:v>
      </x:c>
      <x:c r="M1197" s="7" t="n">
        <x:f>IF('01_Ustawienia'!$B$4="ZWOLNIONY",0,'01_Ustawienia'!$B$7)</x:f>
        <x:v>0.08</x:v>
      </x:c>
      <x:c r="N1197" s="8" t="n">
        <x:f>IF(J1197="","",ROUND((J1197+K1197)*(1+M1197),0))</x:f>
        <x:v>3501</x:v>
      </x:c>
      <x:c r="O1197" s="8" t="n">
        <x:f>IF(J1197="","",J1197+K1197-H1197-L1197)</x:f>
        <x:v>1489</x:v>
      </x:c>
      <x:c r="P1197" s="7" t="n">
        <x:f>IFERROR(O1197/(J1197+K1197),"")</x:f>
        <x:v>0.45928439235040097</x:v>
      </x:c>
      <x:c r="Q1197" s="715" t="inlineStr">
        <x:is>
          <x:t xml:space="preserve">MODEL_FIX15_LED</x:t>
        </x:is>
      </x:c>
      <x:c r="R1197" s="6" t="inlineStr">
        <x:is>
          <x:t xml:space="preserve">OŚWIETLENIE</x:t>
        </x:is>
      </x:c>
      <x:c r="S1197" s="6" t="inlineStr">
        <x:is>
          <x:t xml:space="preserve">website+crm</x:t>
        </x:is>
      </x:c>
      <x:c r="T1197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198" s="655" customFormat="1" ht="29.5" customHeight="1">
      <x:c r="A1198" s="6" t="inlineStr">
        <x:is>
          <x:t xml:space="preserve">600 x 506 cm</x:t>
        </x:is>
      </x:c>
      <x:c r="B1198" s="6" t="inlineStr">
        <x:is>
          <x:t xml:space="preserve">LEDRGBCCT</x:t>
        </x:is>
      </x:c>
      <x:c r="C1198" s="6" t="inlineStr">
        <x:is>
          <x:t xml:space="preserve">Oświetlenie LED RGB CCT</x:t>
        </x:is>
      </x:c>
      <x:c r="D1198" s="6" t="inlineStr">
        <x:is>
          <x:t xml:space="preserve">OŚWIETLENIE</x:t>
        </x:is>
      </x:c>
      <x:c r="E1198" s="8" t="n">
        <x:f>IFERROR(INDEX('02_RAW_INDEX'!$T:$T,MATCH($A1198,'02_RAW_INDEX'!$A:$A,0)),"")</x:f>
        <x:v>2413</x:v>
      </x:c>
      <x:c r="F1198" s="8" t="n">
        <x:f>IFERROR(INDEX('02_RAW_INDEX'!$S:$S,MATCH($A1198,'02_RAW_INDEX'!$A:$A,0)),"")</x:f>
        <x:v>2968</x:v>
      </x:c>
      <x:c r="G1198" s="7" t="n">
        <x:f>'01_Ustawienia'!$B$6</x:f>
        <x:v>0</x:v>
      </x:c>
      <x:c r="H1198" s="8" t="n">
        <x:f>IF(E1198="","",ROUND(IF('01_Ustawienia'!$B$5="BRUTTO",F1198,E1198)*(1-G1198),0))</x:f>
        <x:v>2413</x:v>
      </x:c>
      <x:c r="I1198" s="7" t="n">
        <x:f>IFERROR(IFERROR(INDEX('01_Ustawienia'!$B$15:$B$33,MATCH(B1198,'01_Ustawienia'!$A$15:$A$33,0)),0.45),0.45)</x:f>
        <x:v>0.45</x:v>
      </x:c>
      <x:c r="J1198" s="8" t="n">
        <x:f>IF(H1198="","",ROUND(H1198*(1+I1198),0))</x:f>
        <x:v>3499</x:v>
      </x:c>
      <x:c r="K1198" s="582" t="n">
        <x:v>0</x:v>
      </x:c>
      <x:c r="L1198" s="582" t="n">
        <x:v>0</x:v>
      </x:c>
      <x:c r="M1198" s="7" t="n">
        <x:f>IF('01_Ustawienia'!$B$4="ZWOLNIONY",0,'01_Ustawienia'!$B$7)</x:f>
        <x:v>0.08</x:v>
      </x:c>
      <x:c r="N1198" s="8" t="n">
        <x:f>IF(J1198="","",ROUND((J1198+K1198)*(1+M1198),0))</x:f>
        <x:v>3779</x:v>
      </x:c>
      <x:c r="O1198" s="8" t="n">
        <x:f>IF(J1198="","",J1198+K1198-H1198-L1198)</x:f>
        <x:v>1086</x:v>
      </x:c>
      <x:c r="P1198" s="7" t="n">
        <x:f>IFERROR(O1198/(J1198+K1198),"")</x:f>
        <x:v>0.3103743926836239</x:v>
      </x:c>
      <x:c r="Q1198" s="715" t="inlineStr">
        <x:is>
          <x:t xml:space="preserve">MODEL_FIX15_LED</x:t>
        </x:is>
      </x:c>
      <x:c r="R1198" s="6" t="inlineStr">
        <x:is>
          <x:t xml:space="preserve">OŚWIETLENIE</x:t>
        </x:is>
      </x:c>
      <x:c r="S1198" s="6" t="inlineStr">
        <x:is>
          <x:t xml:space="preserve">crm_only</x:t>
        </x:is>
      </x:c>
      <x:c r="T1198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199" s="655" customFormat="1" ht="30" customHeight="1">
      <x:c r="A1199" s="6" t="inlineStr">
        <x:is>
          <x:t xml:space="preserve">600 x 606 cm</x:t>
        </x:is>
      </x:c>
      <x:c r="B1199" s="6" t="inlineStr">
        <x:is>
          <x:t xml:space="preserve">ZP</x:t>
        </x:is>
      </x:c>
      <x:c r="C1199" s="6" t="inlineStr">
        <x:is>
          <x:t xml:space="preserve">Zadaszenie poliwęglan - baza</x:t>
        </x:is>
      </x:c>
      <x:c r="D1199" s="6" t="inlineStr">
        <x:is>
          <x:t xml:space="preserve">ZADASZENIE POLIWĘGLAN</x:t>
        </x:is>
      </x:c>
      <x:c r="E1199" s="8" t="n">
        <x:f>IFERROR(INDEX('02_RAW_INDEX'!$D:$D,MATCH($A1199,'02_RAW_INDEX'!$A:$A,0)),"")</x:f>
        <x:v>16976</x:v>
      </x:c>
      <x:c r="F1199" s="8" t="n">
        <x:f>IFERROR(INDEX('02_RAW_INDEX'!$C:$C,MATCH($A1199,'02_RAW_INDEX'!$A:$A,0)),"")</x:f>
        <x:v>20880</x:v>
      </x:c>
      <x:c r="G1199" s="7" t="n">
        <x:f>'01_Ustawienia'!$B$6</x:f>
        <x:v>0</x:v>
      </x:c>
      <x:c r="H1199" s="8" t="n">
        <x:f>IF(E1199="","",ROUND(IF('01_Ustawienia'!$B$5="BRUTTO",F1199,E1199)*(1-G1199),0))</x:f>
        <x:v>16976</x:v>
      </x:c>
      <x:c r="I1199" s="7" t="n">
        <x:f>IFERROR(IFERROR(INDEX('01_Ustawienia'!$B$15:$B$33,MATCH(B1199,'01_Ustawienia'!$A$15:$A$33,0)),0.45),0.45)</x:f>
        <x:v>0.45</x:v>
      </x:c>
      <x:c r="J1199" s="8" t="n">
        <x:f>IF(H1199="","",ROUND(H1199*(1+I1199),0))</x:f>
        <x:v>24615</x:v>
      </x:c>
      <x:c r="K1199" s="580" t="n">
        <x:v>5230</x:v>
      </x:c>
      <x:c r="L1199" s="580" t="n">
        <x:v>1620</x:v>
      </x:c>
      <x:c r="M1199" s="7" t="n">
        <x:f>IF('01_Ustawienia'!$B$4="ZWOLNIONY",0,'01_Ustawienia'!$B$7)</x:f>
        <x:v>0.08</x:v>
      </x:c>
      <x:c r="N1199" s="8" t="n">
        <x:f>IF(J1199="","",ROUND((J1199+K1199)*(1+M1199),0))</x:f>
        <x:v>32233</x:v>
      </x:c>
      <x:c r="O1199" s="8" t="n">
        <x:f>IF(J1199="","",J1199+K1199-H1199-L1199)</x:f>
        <x:v>11249</x:v>
      </x:c>
      <x:c r="P1199" s="7" t="n">
        <x:f>IFERROR(O1199/(J1199+K1199),"")</x:f>
        <x:v>0.3769140559557715</x:v>
      </x:c>
      <x:c r="Q1199" s="6" t="inlineStr">
        <x:is>
          <x:t xml:space="preserve">RAW_ZP B/C</x:t>
        </x:is>
      </x:c>
      <x:c r="R1199" s="6" t="inlineStr">
        <x:is>
          <x:t xml:space="preserve">ZADASZENIE TARASU KONSTRUKCJA</x:t>
        </x:is>
      </x:c>
      <x:c r="S1199" s="6" t="inlineStr">
        <x:is>
          <x:t xml:space="preserve">website+crm</x:t>
        </x:is>
      </x:c>
      <x:c r="T1199" s="581" t="inlineStr">
        <x:is>
          <x:t xml:space="preserve">Baza dla kalkulatora | FIX11: K/L 550/600 wg ark. 09 (UZUPEŁNIĆ).</x:t>
        </x:is>
      </x:c>
    </x:row>
    <x:row r="1200" s="655" customFormat="1" ht="30" customHeight="1">
      <x:c r="A1200" s="6" t="inlineStr">
        <x:is>
          <x:t xml:space="preserve">600 x 606 cm</x:t>
        </x:is>
      </x:c>
      <x:c r="B1200" s="6" t="inlineStr">
        <x:is>
          <x:t xml:space="preserve">ZS</x:t>
        </x:is>
      </x:c>
      <x:c r="C1200" s="6" t="inlineStr">
        <x:is>
          <x:t xml:space="preserve">Zadaszenie szkło - pełna konstrukcja</x:t>
        </x:is>
      </x:c>
      <x:c r="D1200" s="6" t="inlineStr">
        <x:is>
          <x:t xml:space="preserve">ZADASZENIE SZKŁO</x:t>
        </x:is>
      </x:c>
      <x:c r="E1200" s="8" t="str">
        <x:f>IFERROR(INDEX('02_RAW_INDEX'!$V:$V,MATCH($A1200,'02_RAW_INDEX'!$A:$A,0)),"")</x:f>
      </x:c>
      <x:c r="F1200" s="8" t="str">
        <x:f>IFERROR(INDEX('02_RAW_INDEX'!$U:$U,MATCH($A1200,'02_RAW_INDEX'!$A:$A,0)),"")</x:f>
      </x:c>
      <x:c r="G1200" s="7" t="n">
        <x:f>'01_Ustawienia'!$B$6</x:f>
        <x:v>0</x:v>
      </x:c>
      <x:c r="H1200" s="8" t="str">
        <x:f>IF(E1200="","",ROUND(IF('01_Ustawienia'!$B$5="BRUTTO",F1200,E1200)*(1-G1200),0))</x:f>
      </x:c>
      <x:c r="I1200" s="7" t="n">
        <x:f>IFERROR(IFERROR(INDEX('01_Ustawienia'!$B$15:$B$33,MATCH(B1200,'01_Ustawienia'!$A$15:$A$33,0)),0.45),0.45)</x:f>
        <x:v>0.45</x:v>
      </x:c>
      <x:c r="J1200" s="8" t="str">
        <x:f>IF(H1200="","",ROUND(H1200*(1+I1200),0))</x:f>
      </x:c>
      <x:c r="K1200" s="580" t="n">
        <x:v>5230</x:v>
      </x:c>
      <x:c r="L1200" s="580" t="n">
        <x:v>2050</x:v>
      </x:c>
      <x:c r="M1200" s="7" t="n">
        <x:f>IF('01_Ustawienia'!$B$4="ZWOLNIONY",0,'01_Ustawienia'!$B$7)</x:f>
        <x:v>0.08</x:v>
      </x:c>
      <x:c r="N1200" s="8" t="str">
        <x:f>IF(J1200="","",ROUND((J1200+K1200)*(1+M1200),0))</x:f>
      </x:c>
      <x:c r="O1200" s="8" t="str">
        <x:f>IF(J1200="","",J1200+K1200-H1200-L1200)</x:f>
      </x:c>
      <x:c r="P1200" s="7" t="n">
        <x:f>IFERROR(O1200/(J1200+K1200),"")</x:f>
        <x:v>0</x:v>
      </x:c>
      <x:c r="Q1200" s="6" t="inlineStr">
        <x:is>
          <x:t xml:space="preserve">RAW_ZS B/C</x:t>
        </x:is>
      </x:c>
      <x:c r="R1200" s="6" t="inlineStr">
        <x:is>
          <x:t xml:space="preserve">ZADASZENIE TARASU KONSTRUKCJA</x:t>
        </x:is>
      </x:c>
      <x:c r="S1200" s="6" t="inlineStr">
        <x:is>
          <x:t xml:space="preserve">crm_only</x:t>
        </x:is>
      </x:c>
      <x:c r="T1200" s="581" t="inlineStr">
        <x:is>
          <x:t xml:space="preserve">Referencyjne/full; strona zwykle używa ZP + PDS | FIX11: K/L 550/600 wg ark. 09 (NIE PUBLIKOWAĆ / BRAK RAW_ZS).</x:t>
        </x:is>
      </x:c>
    </x:row>
    <x:row r="1201" s="655" customFormat="1" ht="30" customHeight="1">
      <x:c r="A1201" s="6" t="inlineStr">
        <x:is>
          <x:t xml:space="preserve">600 x 606 cm</x:t>
        </x:is>
      </x:c>
      <x:c r="B1201" s="6" t="inlineStr">
        <x:is>
          <x:t xml:space="preserve">OP</x:t>
        </x:is>
      </x:c>
      <x:c r="C1201" s="6" t="inlineStr">
        <x:is>
          <x:t xml:space="preserve">Ogród zimowy poliwęglan - baza</x:t>
        </x:is>
      </x:c>
      <x:c r="D1201" s="6" t="inlineStr">
        <x:is>
          <x:t xml:space="preserve">OGRODY POLIWĘGLAN</x:t>
        </x:is>
      </x:c>
      <x:c r="E1201" s="8" t="n">
        <x:f>IFERROR(INDEX('02_RAW_INDEX'!$Z:$Z,MATCH($A1201,'02_RAW_INDEX'!$A:$A,0)),"")</x:f>
        <x:v>33098</x:v>
      </x:c>
      <x:c r="F1201" s="8" t="n">
        <x:f>IFERROR(INDEX('02_RAW_INDEX'!$Y:$Y,MATCH($A1201,'02_RAW_INDEX'!$A:$A,0)),"")</x:f>
        <x:v>40710</x:v>
      </x:c>
      <x:c r="G1201" s="7" t="n">
        <x:f>'01_Ustawienia'!$B$6</x:f>
        <x:v>0</x:v>
      </x:c>
      <x:c r="H1201" s="8" t="n">
        <x:f>IF(E1201="","",ROUND(IF('01_Ustawienia'!$B$5="BRUTTO",F1201,E1201)*(1-G1201),0))</x:f>
        <x:v>33098</x:v>
      </x:c>
      <x:c r="I1201" s="7" t="n">
        <x:f>IFERROR(IFERROR(INDEX('01_Ustawienia'!$B$15:$B$33,MATCH(B1201,'01_Ustawienia'!$A$15:$A$33,0)),0.45),0.45)</x:f>
        <x:v>0.45</x:v>
      </x:c>
      <x:c r="J1201" s="8" t="n">
        <x:f>IF(H1201="","",ROUND(H1201*(1+I1201),0))</x:f>
        <x:v>47992</x:v>
      </x:c>
      <x:c r="K1201" s="580" t="n">
        <x:v>6090</x:v>
      </x:c>
      <x:c r="L1201" s="580" t="n">
        <x:v>2250</x:v>
      </x:c>
      <x:c r="M1201" s="7" t="n">
        <x:f>IF('01_Ustawienia'!$B$4="ZWOLNIONY",0,'01_Ustawienia'!$B$7)</x:f>
        <x:v>0.08</x:v>
      </x:c>
      <x:c r="N1201" s="8" t="n">
        <x:f>IF(J1201="","",ROUND((J1201+K1201)*(1+M1201),0))</x:f>
        <x:v>58409</x:v>
      </x:c>
      <x:c r="O1201" s="8" t="n">
        <x:f>IF(J1201="","",J1201+K1201-H1201-L1201)</x:f>
        <x:v>18734</x:v>
      </x:c>
      <x:c r="P1201" s="7" t="n">
        <x:f>IFERROR(O1201/(J1201+K1201),"")</x:f>
        <x:v>0.34639991124588587</x:v>
      </x:c>
      <x:c r="Q1201" s="6" t="inlineStr">
        <x:is>
          <x:t xml:space="preserve">RAW_OP B/C</x:t>
        </x:is>
      </x:c>
      <x:c r="R1201" s="6" t="inlineStr">
        <x:is>
          <x:t xml:space="preserve">OGRÓD ZIMOWY (KONSTRUKCJA)</x:t>
        </x:is>
      </x:c>
      <x:c r="S1201" s="6" t="inlineStr">
        <x:is>
          <x:t xml:space="preserve">website+crm</x:t>
        </x:is>
      </x:c>
      <x:c r="T1201" s="581" t="inlineStr">
        <x:is>
          <x:t xml:space="preserve">Do wyliczenia dopłaty za ściany | FIX11: K/L 550/600 wg ark. 09 (UZUPEŁNIĆ).</x:t>
        </x:is>
      </x:c>
    </x:row>
    <x:row r="1202" s="655" customFormat="1" ht="30" customHeight="1">
      <x:c r="A1202" s="6" t="inlineStr">
        <x:is>
          <x:t xml:space="preserve">600 x 606 cm</x:t>
        </x:is>
      </x:c>
      <x:c r="B1202" s="6" t="inlineStr">
        <x:is>
          <x:t xml:space="preserve">OS</x:t>
        </x:is>
      </x:c>
      <x:c r="C1202" s="6" t="inlineStr">
        <x:is>
          <x:t xml:space="preserve">Ogród zimowy szkło - pełna konstrukcja</x:t>
        </x:is>
      </x:c>
      <x:c r="D1202" s="6" t="inlineStr">
        <x:is>
          <x:t xml:space="preserve">OGRODY SZKŁO</x:t>
        </x:is>
      </x:c>
      <x:c r="E1202" s="8" t="str">
        <x:f>IFERROR(INDEX('02_RAW_INDEX'!$AL:$AL,MATCH($A1202,'02_RAW_INDEX'!$A:$A,0)),"")</x:f>
      </x:c>
      <x:c r="F1202" s="8" t="str">
        <x:f>IFERROR(INDEX('02_RAW_INDEX'!$AK:$AK,MATCH($A1202,'02_RAW_INDEX'!$A:$A,0)),"")</x:f>
      </x:c>
      <x:c r="G1202" s="7" t="n">
        <x:f>'01_Ustawienia'!$B$6</x:f>
        <x:v>0</x:v>
      </x:c>
      <x:c r="H1202" s="8" t="str">
        <x:f>IF(E1202="","",ROUND(IF('01_Ustawienia'!$B$5="BRUTTO",F1202,E1202)*(1-G1202),0))</x:f>
      </x:c>
      <x:c r="I1202" s="7" t="n">
        <x:f>IFERROR(IFERROR(INDEX('01_Ustawienia'!$B$15:$B$33,MATCH(B1202,'01_Ustawienia'!$A$15:$A$33,0)),0.45),0.45)</x:f>
        <x:v>0.45</x:v>
      </x:c>
      <x:c r="J1202" s="8" t="str">
        <x:f>IF(H1202="","",ROUND(H1202*(1+I1202),0))</x:f>
      </x:c>
      <x:c r="K1202" s="580" t="n">
        <x:v>6090</x:v>
      </x:c>
      <x:c r="L1202" s="580" t="n">
        <x:v>2680</x:v>
      </x:c>
      <x:c r="M1202" s="7" t="n">
        <x:f>IF('01_Ustawienia'!$B$4="ZWOLNIONY",0,'01_Ustawienia'!$B$7)</x:f>
        <x:v>0.08</x:v>
      </x:c>
      <x:c r="N1202" s="8" t="str">
        <x:f>IF(J1202="","",ROUND((J1202+K1202)*(1+M1202),0))</x:f>
      </x:c>
      <x:c r="O1202" s="8" t="str">
        <x:f>IF(J1202="","",J1202+K1202-H1202-L1202)</x:f>
      </x:c>
      <x:c r="P1202" s="7" t="n">
        <x:f>IFERROR(O1202/(J1202+K1202),"")</x:f>
        <x:v>0</x:v>
      </x:c>
      <x:c r="Q1202" s="6" t="inlineStr">
        <x:is>
          <x:t xml:space="preserve">RAW_OS B/C</x:t>
        </x:is>
      </x:c>
      <x:c r="R1202" s="6" t="inlineStr">
        <x:is>
          <x:t xml:space="preserve">OGRÓD ZIMOWY (KONSTRUKCJA)</x:t>
        </x:is>
      </x:c>
      <x:c r="S1202" s="6" t="inlineStr">
        <x:is>
          <x:t xml:space="preserve">crm_only</x:t>
        </x:is>
      </x:c>
      <x:c r="T1202" s="581" t="inlineStr">
        <x:is>
          <x:t xml:space="preserve">Referencyjne/full | FIX11: K/L 550/600 wg ark. 09 (NIE PUBLIKOWAĆ / BRAK RAW_OS).</x:t>
        </x:is>
      </x:c>
    </x:row>
    <x:row r="1203" s="655" customFormat="1" ht="30" customHeight="1">
      <x:c r="A1203" s="6" t="inlineStr">
        <x:is>
          <x:t xml:space="preserve">600 x 606 cm</x:t>
        </x:is>
      </x:c>
      <x:c r="B1203" s="6" t="inlineStr">
        <x:is>
          <x:t xml:space="preserve">PDS</x:t>
        </x:is>
      </x:c>
      <x:c r="C1203" s="6" t="inlineStr">
        <x:is>
          <x:t xml:space="preserve">Dopłata dach szkło przezroczyste</x:t>
        </x:is>
      </x:c>
      <x:c r="D1203" s="6" t="inlineStr">
        <x:is>
          <x:t xml:space="preserve">POKRYCIE DACHU SZKŁO</x:t>
        </x:is>
      </x:c>
      <x:c r="E1203" s="8" t="n">
        <x:f>IFERROR(IFERROR(INDEX('02_RAW_INDEX'!$V:$V,MATCH($A1203,'02_RAW_INDEX'!$A:$A,0)),"")-IFERROR(INDEX('02_RAW_INDEX'!$D:$D,MATCH($A1203,'02_RAW_INDEX'!$A:$A,0)),""),"")</x:f>
        <x:v>-16976</x:v>
      </x:c>
      <x:c r="F1203" s="8" t="n">
        <x:f>IFERROR(IFERROR(INDEX('02_RAW_INDEX'!$U:$U,MATCH($A1203,'02_RAW_INDEX'!$A:$A,0)),"")-IFERROR(INDEX('02_RAW_INDEX'!$C:$C,MATCH($A1203,'02_RAW_INDEX'!$A:$A,0)),""),"")</x:f>
        <x:v>-20880</x:v>
      </x:c>
      <x:c r="G1203" s="7" t="n">
        <x:f>'01_Ustawienia'!$B$6</x:f>
        <x:v>0</x:v>
      </x:c>
      <x:c r="H1203" s="8" t="n">
        <x:f>IF(E1203="","",ROUND(IF('01_Ustawienia'!$B$5="BRUTTO",F1203,E1203)*(1-G1203),0))</x:f>
        <x:v>-16976</x:v>
      </x:c>
      <x:c r="I1203" s="7" t="n">
        <x:f>IFERROR(IFERROR(INDEX('01_Ustawienia'!$B$15:$B$33,MATCH(B1203,'01_Ustawienia'!$A$15:$A$33,0)),0.45),0.45)</x:f>
        <x:v>0.45</x:v>
      </x:c>
      <x:c r="J1203" s="8" t="n">
        <x:f>IF(H1203="","",ROUND(H1203*(1+I1203),0))</x:f>
        <x:v>-24615</x:v>
      </x:c>
      <x:c r="K1203" s="580" t="n">
        <x:v>0</x:v>
      </x:c>
      <x:c r="L1203" s="580" t="n">
        <x:v>0</x:v>
      </x:c>
      <x:c r="M1203" s="7" t="n">
        <x:f>IF('01_Ustawienia'!$B$4="ZWOLNIONY",0,'01_Ustawienia'!$B$7)</x:f>
        <x:v>0.08</x:v>
      </x:c>
      <x:c r="N1203" s="8" t="n">
        <x:f>IF(J1203="","",ROUND((J1203+K1203)*(1+M1203),0))</x:f>
        <x:v>-26584</x:v>
      </x:c>
      <x:c r="O1203" s="8" t="n">
        <x:f>IF(J1203="","",J1203+K1203-H1203-L1203)</x:f>
        <x:v>-7639</x:v>
      </x:c>
      <x:c r="P1203" s="7" t="n">
        <x:f>IFERROR(O1203/(J1203+K1203),"")</x:f>
        <x:v>0.3103392240503758</x:v>
      </x:c>
      <x:c r="Q1203" s="6" t="inlineStr">
        <x:is>
          <x:t xml:space="preserve">RAW_ZS - RAW_ZP</x:t>
        </x:is>
      </x:c>
      <x:c r="R1203" s="6" t="inlineStr">
        <x:is>
          <x:t xml:space="preserve">POKRYCIE DACHU</x:t>
        </x:is>
      </x:c>
      <x:c r="S1203" s="6" t="inlineStr">
        <x:is>
          <x:t xml:space="preserve">website+crm</x:t>
        </x:is>
      </x:c>
      <x:c r="T1203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204" s="655" customFormat="1" ht="30" customHeight="1">
      <x:c r="A1204" s="6" t="inlineStr">
        <x:is>
          <x:t xml:space="preserve">600 x 606 cm</x:t>
        </x:is>
      </x:c>
      <x:c r="B1204" s="6" t="inlineStr">
        <x:is>
          <x:t xml:space="preserve">PDSB</x:t>
        </x:is>
      </x:c>
      <x:c r="C1204" s="6" t="inlineStr">
        <x:is>
          <x:t xml:space="preserve">Dopłata dach szkło barwione/mleczne</x:t>
        </x:is>
      </x:c>
      <x:c r="D1204" s="6" t="inlineStr">
        <x:is>
          <x:t xml:space="preserve">POKRYCIE DACHU SZKŁO BARWIONE</x:t>
        </x:is>
      </x:c>
      <x:c r="E1204" s="8" t="str">
        <x:f>IFERROR(INDEX('02_RAW_INDEX'!$X:$X,MATCH($A1204,'02_RAW_INDEX'!$A:$A,0)),"")</x:f>
      </x:c>
      <x:c r="F1204" s="8" t="str">
        <x:f>IFERROR(INDEX('02_RAW_INDEX'!$W:$W,MATCH($A1204,'02_RAW_INDEX'!$A:$A,0)),"")</x:f>
      </x:c>
      <x:c r="G1204" s="7" t="n">
        <x:f>'01_Ustawienia'!$B$6</x:f>
        <x:v>0</x:v>
      </x:c>
      <x:c r="H1204" s="8" t="str">
        <x:f>IF(E1204="","",ROUND(IF('01_Ustawienia'!$B$5="BRUTTO",F1204,E1204)*(1-G1204),0))</x:f>
      </x:c>
      <x:c r="I1204" s="7" t="n">
        <x:f>IFERROR(IFERROR(INDEX('01_Ustawienia'!$B$15:$B$33,MATCH(B1204,'01_Ustawienia'!$A$15:$A$33,0)),0.45),0.45)</x:f>
        <x:v>0.45</x:v>
      </x:c>
      <x:c r="J1204" s="8" t="str">
        <x:f>IF(H1204="","",ROUND(H1204*(1+I1204),0))</x:f>
      </x:c>
      <x:c r="K1204" s="582" t="n">
        <x:v>0</x:v>
      </x:c>
      <x:c r="L1204" s="582" t="n">
        <x:v>0</x:v>
      </x:c>
      <x:c r="M1204" s="7" t="n">
        <x:f>IF('01_Ustawienia'!$B$4="ZWOLNIONY",0,'01_Ustawienia'!$B$7)</x:f>
        <x:v>0.08</x:v>
      </x:c>
      <x:c r="N1204" s="8" t="str">
        <x:f>IF(J1204="","",ROUND((J1204+K1204)*(1+M1204),0))</x:f>
      </x:c>
      <x:c r="O1204" s="8" t="str">
        <x:f>IF(J1204="","",J1204+K1204-H1204-L1204)</x:f>
      </x:c>
      <x:c r="P1204" s="7" t="str">
        <x:f>IFERROR(O1204/(J1204+K1204),"")</x:f>
      </x:c>
      <x:c r="Q1204" s="6" t="inlineStr">
        <x:is>
          <x:t xml:space="preserve">RAW_ZS D/E</x:t>
        </x:is>
      </x:c>
      <x:c r="R1204" s="6" t="inlineStr">
        <x:is>
          <x:t xml:space="preserve">POKRYCIE DACHU</x:t>
        </x:is>
      </x:c>
      <x:c r="S1204" s="6" t="inlineStr">
        <x:is>
          <x:t xml:space="preserve">website+crm</x:t>
        </x:is>
      </x:c>
      <x:c r="T1204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205" s="655" customFormat="1" ht="30" customHeight="1">
      <x:c r="A1205" s="6" t="inlineStr">
        <x:is>
          <x:t xml:space="preserve">600 x 606 cm</x:t>
        </x:is>
      </x:c>
      <x:c r="B1205" s="6" t="inlineStr">
        <x:is>
          <x:t xml:space="preserve">PDPB</x:t>
        </x:is>
      </x:c>
      <x:c r="C1205" s="6" t="inlineStr">
        <x:is>
          <x:t xml:space="preserve">Dopłata poliwęglan barwiony</x:t>
        </x:is>
      </x:c>
      <x:c r="D1205" s="6" t="inlineStr">
        <x:is>
          <x:t xml:space="preserve">POKRYCIE DACHU POLIWĘGLAN BARWIONY</x:t>
        </x:is>
      </x:c>
      <x:c r="E1205" s="8" t="n">
        <x:f>IFERROR(INDEX('02_RAW_INDEX'!$F:$F,MATCH($A1205,'02_RAW_INDEX'!$A:$A,0)),"")</x:f>
        <x:v>504</x:v>
      </x:c>
      <x:c r="F1205" s="8" t="n">
        <x:f>IFERROR(INDEX('02_RAW_INDEX'!$E:$E,MATCH($A1205,'02_RAW_INDEX'!$A:$A,0)),"")</x:f>
        <x:v>620</x:v>
      </x:c>
      <x:c r="G1205" s="7" t="n">
        <x:f>'01_Ustawienia'!$B$6</x:f>
        <x:v>0</x:v>
      </x:c>
      <x:c r="H1205" s="8" t="n">
        <x:f>IF(E1205="","",ROUND(IF('01_Ustawienia'!$B$5="BRUTTO",F1205,E1205)*(1-G1205),0))</x:f>
        <x:v>504</x:v>
      </x:c>
      <x:c r="I1205" s="7" t="n">
        <x:f>IFERROR(IFERROR(INDEX('01_Ustawienia'!$B$15:$B$33,MATCH(B1205,'01_Ustawienia'!$A$15:$A$33,0)),0.45),0.45)</x:f>
        <x:v>0.45</x:v>
      </x:c>
      <x:c r="J1205" s="8" t="n">
        <x:f>IF(H1205="","",ROUND(H1205*(1+I1205),0))</x:f>
        <x:v>731</x:v>
      </x:c>
      <x:c r="K1205" s="582" t="n">
        <x:v>0</x:v>
      </x:c>
      <x:c r="L1205" s="582" t="n">
        <x:v>0</x:v>
      </x:c>
      <x:c r="M1205" s="7" t="n">
        <x:f>IF('01_Ustawienia'!$B$4="ZWOLNIONY",0,'01_Ustawienia'!$B$7)</x:f>
        <x:v>0.08</x:v>
      </x:c>
      <x:c r="N1205" s="8" t="n">
        <x:f>IF(J1205="","",ROUND((J1205+K1205)*(1+M1205),0))</x:f>
        <x:v>789</x:v>
      </x:c>
      <x:c r="O1205" s="8" t="n">
        <x:f>IF(J1205="","",J1205+K1205-H1205-L1205)</x:f>
        <x:v>227</x:v>
      </x:c>
      <x:c r="P1205" s="7" t="n">
        <x:f>IFERROR(O1205/(J1205+K1205),"")</x:f>
        <x:v>0.31053351573187415</x:v>
      </x:c>
      <x:c r="Q1205" s="6" t="inlineStr">
        <x:is>
          <x:t xml:space="preserve">RAW_ZP D/E</x:t>
        </x:is>
      </x:c>
      <x:c r="R1205" s="6" t="inlineStr">
        <x:is>
          <x:t xml:space="preserve">POKRYCIE DACHU</x:t>
        </x:is>
      </x:c>
      <x:c r="S1205" s="6" t="inlineStr">
        <x:is>
          <x:t xml:space="preserve">website+crm</x:t>
        </x:is>
      </x:c>
      <x:c r="T1205" s="581" t="inlineStr">
        <x:is>
          <x:t xml:space="preserve">FIX11: K/L 550/600 wg ark. 09 (POZOSTAWIĆ 0). | FIX17: Wynagr.+koszty = 0 dla dopłaty; nie jest osobnym montażem ekipy.</x:t>
        </x:is>
      </x:c>
    </x:row>
    <x:row r="1206" s="655" customFormat="1" ht="30" customHeight="1">
      <x:c r="A1206" s="6" t="inlineStr">
        <x:is>
          <x:t xml:space="preserve">600 x 606 cm</x:t>
        </x:is>
      </x:c>
      <x:c r="B1206" s="6" t="inlineStr">
        <x:is>
          <x:t xml:space="preserve">SBB</x:t>
        </x:is>
      </x:c>
      <x:c r="C1206" s="6" t="inlineStr">
        <x:is>
          <x:t xml:space="preserve">Dopłata szkło boczne przyciemniane</x:t>
        </x:is>
      </x:c>
      <x:c r="D1206" s="6" t="inlineStr">
        <x:is>
          <x:t xml:space="preserve">SZKŁO BOCZNE BARWIONE</x:t>
        </x:is>
      </x:c>
      <x:c r="E1206" s="8" t="n">
        <x:f>IFERROR(INDEX('02_RAW_INDEX'!$AB:$AB,MATCH($A1206,'02_RAW_INDEX'!$A:$A,0)),"")</x:f>
        <x:v>1756</x:v>
      </x:c>
      <x:c r="F1206" s="8" t="n">
        <x:f>IFERROR(INDEX('02_RAW_INDEX'!$AA:$AA,MATCH($A1206,'02_RAW_INDEX'!$A:$A,0)),"")</x:f>
        <x:v>2160</x:v>
      </x:c>
      <x:c r="G1206" s="7" t="n">
        <x:f>'01_Ustawienia'!$B$6</x:f>
        <x:v>0</x:v>
      </x:c>
      <x:c r="H1206" s="8" t="n">
        <x:f>IF(E1206="","",ROUND(IF('01_Ustawienia'!$B$5="BRUTTO",F1206,E1206)*(1-G1206),0))</x:f>
        <x:v>1756</x:v>
      </x:c>
      <x:c r="I1206" s="7" t="n">
        <x:f>IFERROR(IFERROR(INDEX('01_Ustawienia'!$B$15:$B$33,MATCH(B1206,'01_Ustawienia'!$A$15:$A$33,0)),0.45),0.45)</x:f>
        <x:v>0.45</x:v>
      </x:c>
      <x:c r="J1206" s="8" t="n">
        <x:f>IF(H1206="","",ROUND(H1206*(1+I1206),0))</x:f>
        <x:v>2546</x:v>
      </x:c>
      <x:c r="K1206" s="582" t="n">
        <x:v>0</x:v>
      </x:c>
      <x:c r="L1206" s="582" t="n">
        <x:v>0</x:v>
      </x:c>
      <x:c r="M1206" s="7" t="n">
        <x:f>IF('01_Ustawienia'!$B$4="ZWOLNIONY",0,'01_Ustawienia'!$B$7)</x:f>
        <x:v>0.08</x:v>
      </x:c>
      <x:c r="N1206" s="8" t="n">
        <x:f>IF(J1206="","",ROUND((J1206+K1206)*(1+M1206),0))</x:f>
        <x:v>2750</x:v>
      </x:c>
      <x:c r="O1206" s="8" t="n">
        <x:f>IF(J1206="","",J1206+K1206-H1206-L1206)</x:f>
        <x:v>790</x:v>
      </x:c>
      <x:c r="P1206" s="7" t="n">
        <x:f>IFERROR(O1206/(J1206+K1206),"")</x:f>
        <x:v>0.3102906520031422</x:v>
      </x:c>
      <x:c r="Q1206" s="6" t="inlineStr">
        <x:is>
          <x:t xml:space="preserve">RAW_OP H/I</x:t>
        </x:is>
      </x:c>
      <x:c r="R1206" s="6" t="inlineStr">
        <x:is>
          <x:t xml:space="preserve">SZYBY BOCZNE</x:t>
        </x:is>
      </x:c>
      <x:c r="S1206" s="6" t="inlineStr">
        <x:is>
          <x:t xml:space="preserve">website+crm</x:t>
        </x:is>
      </x:c>
      <x:c r="T1206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207" s="655" customFormat="1" ht="29.5" customHeight="1">
      <x:c r="A1207" s="6" t="inlineStr">
        <x:is>
          <x:t xml:space="preserve">600 x 606 cm</x:t>
        </x:is>
      </x:c>
      <x:c r="B1207" s="6" t="inlineStr">
        <x:is>
          <x:t xml:space="preserve">RB</x:t>
        </x:is>
      </x:c>
      <x:c r="C1207" s="6" t="inlineStr">
        <x:is>
          <x:t xml:space="preserve">Roleta boczna ZIP</x:t>
        </x:is>
      </x:c>
      <x:c r="D1207" s="6" t="inlineStr">
        <x:is>
          <x:t xml:space="preserve">ROLETA BOCZNA</x:t>
        </x:is>
      </x:c>
      <x:c r="E1207" s="8" t="n">
        <x:f>IFERROR(INDEX('02_RAW_INDEX'!$J:$J,MATCH($A1207,'02_RAW_INDEX'!$A:$A,0)),"")</x:f>
        <x:v>3472</x:v>
      </x:c>
      <x:c r="F1207" s="8" t="n">
        <x:f>IFERROR(INDEX('02_RAW_INDEX'!$I:$I,MATCH($A1207,'02_RAW_INDEX'!$A:$A,0)),"")</x:f>
        <x:v>4270</x:v>
      </x:c>
      <x:c r="G1207" s="7" t="n">
        <x:f>'01_Ustawienia'!$B$6</x:f>
        <x:v>0</x:v>
      </x:c>
      <x:c r="H1207" s="8" t="n">
        <x:f>IF(E1207="","",ROUND(IF('01_Ustawienia'!$B$5="BRUTTO",F1207,E1207)*(1-G1207),0))</x:f>
        <x:v>3472</x:v>
      </x:c>
      <x:c r="I1207" s="7" t="n">
        <x:f>IFERROR(IFERROR(INDEX('01_Ustawienia'!$B$15:$B$33,MATCH(B1207,'01_Ustawienia'!$A$15:$A$33,0)),0.45),0.45)</x:f>
        <x:v>0.45</x:v>
      </x:c>
      <x:c r="J1207" s="8" t="n">
        <x:f>IF(H1207="","",ROUND(H1207*(1+I1207),0))</x:f>
        <x:v>5034</x:v>
      </x:c>
      <x:c r="K1207" s="580" t="n">
        <x:v>0</x:v>
      </x:c>
      <x:c r="L1207" s="580" t="n">
        <x:v>150</x:v>
      </x:c>
      <x:c r="M1207" s="7" t="n">
        <x:f>IF('01_Ustawienia'!$B$4="ZWOLNIONY",0,'01_Ustawienia'!$B$7)</x:f>
        <x:v>0.08</x:v>
      </x:c>
      <x:c r="N1207" s="8" t="n">
        <x:f>IF(J1207="","",ROUND((J1207+K1207)*(1+M1207),0))</x:f>
        <x:v>5437</x:v>
      </x:c>
      <x:c r="O1207" s="8" t="n">
        <x:f>IF(J1207="","",J1207+K1207-H1207-L1207)</x:f>
        <x:v>1412</x:v>
      </x:c>
      <x:c r="P1207" s="7" t="n">
        <x:f>IFERROR(O1207/(J1207+K1207),"")</x:f>
        <x:v>0.28049264998013507</x:v>
      </x:c>
      <x:c r="Q1207" s="6" t="inlineStr">
        <x:is>
          <x:t xml:space="preserve">RAW_ZP J/K</x:t>
        </x:is>
      </x:c>
      <x:c r="R1207" s="6" t="inlineStr">
        <x:is>
          <x:t xml:space="preserve">ROLETY BOCZNE</x:t>
        </x:is>
      </x:c>
      <x:c r="S1207" s="6" t="inlineStr">
        <x:is>
          <x:t xml:space="preserve">website+crm</x:t>
        </x:is>
      </x:c>
      <x:c r="T1207" s="581" t="inlineStr">
        <x:is>
          <x:t xml:space="preserve">Używana dla lewej i prawej | FIX11: K/L 550/600 wg ark. 09 (UZUPEŁNIĆ L).</x:t>
        </x:is>
      </x:c>
    </x:row>
    <x:row r="1208" s="655" customFormat="1" ht="29.5" customHeight="1">
      <x:c r="A1208" s="6" t="inlineStr">
        <x:is>
          <x:t xml:space="preserve">600 x 606 cm</x:t>
        </x:is>
      </x:c>
      <x:c r="B1208" s="6" t="inlineStr">
        <x:is>
          <x:t xml:space="preserve">RP</x:t>
        </x:is>
      </x:c>
      <x:c r="C1208" s="6" t="inlineStr">
        <x:is>
          <x:t xml:space="preserve">Roleta przednia ZIP</x:t>
        </x:is>
      </x:c>
      <x:c r="D1208" s="6" t="inlineStr">
        <x:is>
          <x:t xml:space="preserve">ROLETA PRZÓD</x:t>
        </x:is>
      </x:c>
      <x:c r="E1208" s="8" t="n">
        <x:f>IFERROR(INDEX('02_RAW_INDEX'!$L:$L,MATCH($A1208,'02_RAW_INDEX'!$A:$A,0)),"")</x:f>
        <x:v>3472</x:v>
      </x:c>
      <x:c r="F1208" s="8" t="n">
        <x:f>IFERROR(INDEX('02_RAW_INDEX'!$K:$K,MATCH($A1208,'02_RAW_INDEX'!$A:$A,0)),"")</x:f>
        <x:v>4270</x:v>
      </x:c>
      <x:c r="G1208" s="7" t="n">
        <x:f>'01_Ustawienia'!$B$6</x:f>
        <x:v>0</x:v>
      </x:c>
      <x:c r="H1208" s="8" t="n">
        <x:f>IF(E1208="","",ROUND(IF('01_Ustawienia'!$B$5="BRUTTO",F1208,E1208)*(1-G1208),0))</x:f>
        <x:v>3472</x:v>
      </x:c>
      <x:c r="I1208" s="7" t="n">
        <x:f>IFERROR(IFERROR(INDEX('01_Ustawienia'!$B$15:$B$33,MATCH(B1208,'01_Ustawienia'!$A$15:$A$33,0)),0.45),0.45)</x:f>
        <x:v>0.45</x:v>
      </x:c>
      <x:c r="J1208" s="8" t="n">
        <x:f>IF(H1208="","",ROUND(H1208*(1+I1208),0))</x:f>
        <x:v>5034</x:v>
      </x:c>
      <x:c r="K1208" s="580" t="n">
        <x:v>0</x:v>
      </x:c>
      <x:c r="L1208" s="580" t="n">
        <x:v>300</x:v>
      </x:c>
      <x:c r="M1208" s="7" t="n">
        <x:f>IF('01_Ustawienia'!$B$4="ZWOLNIONY",0,'01_Ustawienia'!$B$7)</x:f>
        <x:v>0.08</x:v>
      </x:c>
      <x:c r="N1208" s="8" t="n">
        <x:f>IF(J1208="","",ROUND((J1208+K1208)*(1+M1208),0))</x:f>
        <x:v>5437</x:v>
      </x:c>
      <x:c r="O1208" s="8" t="n">
        <x:f>IF(J1208="","",J1208+K1208-H1208-L1208)</x:f>
        <x:v>1262</x:v>
      </x:c>
      <x:c r="P1208" s="7" t="n">
        <x:f>IFERROR(O1208/(J1208+K1208),"")</x:f>
        <x:v>0.2506952721493842</x:v>
      </x:c>
      <x:c r="Q1208" s="6" t="inlineStr">
        <x:is>
          <x:t xml:space="preserve">RAW_ZP N/O</x:t>
        </x:is>
      </x:c>
      <x:c r="R1208" s="6" t="inlineStr">
        <x:is>
          <x:t xml:space="preserve">ROLETY BOCZNE</x:t>
        </x:is>
      </x:c>
      <x:c r="S1208" s="6" t="inlineStr">
        <x:is>
          <x:t xml:space="preserve">website+crm</x:t>
        </x:is>
      </x:c>
      <x:c r="T1208" s="581" t="inlineStr">
        <x:is>
          <x:t xml:space="preserve">FIX11: K/L 550/600 wg ark. 09 (UZUPEŁNIĆ L).</x:t>
        </x:is>
      </x:c>
    </x:row>
    <x:row r="1209" s="655" customFormat="1" ht="29.5" customHeight="1">
      <x:c r="A1209" s="6" t="inlineStr">
        <x:is>
          <x:t xml:space="preserve">600 x 606 cm</x:t>
        </x:is>
      </x:c>
      <x:c r="B1209" s="6" t="inlineStr">
        <x:is>
          <x:t xml:space="preserve">M</x:t>
        </x:is>
      </x:c>
      <x:c r="C1209" s="6" t="inlineStr">
        <x:is>
          <x:t xml:space="preserve">Markiza dachowa</x:t>
        </x:is>
      </x:c>
      <x:c r="D1209" s="6" t="inlineStr">
        <x:is>
          <x:t xml:space="preserve">MARKIZA</x:t>
        </x:is>
      </x:c>
      <x:c r="E1209" s="8" t="n">
        <x:f>IFERROR(INDEX('02_RAW_INDEX'!$H:$H,MATCH($A1209,'02_RAW_INDEX'!$A:$A,0)),"")</x:f>
        <x:v>6797</x:v>
      </x:c>
      <x:c r="F1209" s="8" t="n">
        <x:f>IFERROR(INDEX('02_RAW_INDEX'!$G:$G,MATCH($A1209,'02_RAW_INDEX'!$A:$A,0)),"")</x:f>
        <x:v>8360</x:v>
      </x:c>
      <x:c r="G1209" s="7" t="n">
        <x:f>'01_Ustawienia'!$B$6</x:f>
        <x:v>0</x:v>
      </x:c>
      <x:c r="H1209" s="8" t="n">
        <x:f>IF(E1209="","",ROUND(IF('01_Ustawienia'!$B$5="BRUTTO",F1209,E1209)*(1-G1209),0))</x:f>
        <x:v>6797</x:v>
      </x:c>
      <x:c r="I1209" s="7" t="n">
        <x:f>IFERROR(IFERROR(INDEX('01_Ustawienia'!$B$15:$B$33,MATCH(B1209,'01_Ustawienia'!$A$15:$A$33,0)),0.45),0.45)</x:f>
        <x:v>0.45</x:v>
      </x:c>
      <x:c r="J1209" s="8" t="n">
        <x:f>IF(H1209="","",ROUND(H1209*(1+I1209),0))</x:f>
        <x:v>9856</x:v>
      </x:c>
      <x:c r="K1209" s="580" t="n">
        <x:v>0</x:v>
      </x:c>
      <x:c r="L1209" s="580" t="n">
        <x:v>350</x:v>
      </x:c>
      <x:c r="M1209" s="7" t="n">
        <x:f>IF('01_Ustawienia'!$B$4="ZWOLNIONY",0,'01_Ustawienia'!$B$7)</x:f>
        <x:v>0.08</x:v>
      </x:c>
      <x:c r="N1209" s="8" t="n">
        <x:f>IF(J1209="","",ROUND((J1209+K1209)*(1+M1209),0))</x:f>
        <x:v>10644</x:v>
      </x:c>
      <x:c r="O1209" s="8" t="n">
        <x:f>IF(J1209="","",J1209+K1209-H1209-L1209)</x:f>
        <x:v>2709</x:v>
      </x:c>
      <x:c r="P1209" s="7" t="n">
        <x:f>IFERROR(O1209/(J1209+K1209),"")</x:f>
        <x:v>0.27485795454545453</x:v>
      </x:c>
      <x:c r="Q1209" s="6" t="inlineStr">
        <x:is>
          <x:t xml:space="preserve">RAW_ZP H/I</x:t>
        </x:is>
      </x:c>
      <x:c r="R1209" s="6" t="inlineStr">
        <x:is>
          <x:t xml:space="preserve">MARKIZA</x:t>
        </x:is>
      </x:c>
      <x:c r="S1209" s="6" t="inlineStr">
        <x:is>
          <x:t xml:space="preserve">website+crm</x:t>
        </x:is>
      </x:c>
      <x:c r="T1209" s="581" t="inlineStr">
        <x:is>
          <x:t xml:space="preserve">FIX11: K/L 550/600 wg ark. 09 (UZUPEŁNIĆ L).</x:t>
        </x:is>
      </x:c>
    </x:row>
    <x:row r="1210" s="655" customFormat="1" ht="44.25" customHeight="1">
      <x:c r="A1210" s="6" t="inlineStr">
        <x:is>
          <x:t xml:space="preserve">600 x 606 cm</x:t>
        </x:is>
      </x:c>
      <x:c r="B1210" s="6" t="inlineStr">
        <x:is>
          <x:t xml:space="preserve">PDWP</x:t>
        </x:is>
      </x:c>
      <x:c r="C1210" s="6" t="inlineStr">
        <x:is>
          <x:t xml:space="preserve">Fundament/profile</x:t>
        </x:is>
      </x:c>
      <x:c r="D1210" s="6" t="inlineStr">
        <x:is>
          <x:t xml:space="preserve">FUNDAMENT / PROFILE</x:t>
        </x:is>
      </x:c>
      <x:c r="E1210" s="8" t="n">
        <x:f>IFERROR(INDEX('02_RAW_INDEX'!$AH:$AH,MATCH($A1210,'02_RAW_INDEX'!$A:$A,0)),"")</x:f>
        <x:v>1382</x:v>
      </x:c>
      <x:c r="F1210" s="8" t="n">
        <x:f>IFERROR(INDEX('02_RAW_INDEX'!$AG:$AG,MATCH($A1210,'02_RAW_INDEX'!$A:$A,0)),"")</x:f>
        <x:v>1700</x:v>
      </x:c>
      <x:c r="G1210" s="7" t="n">
        <x:f>'01_Ustawienia'!$B$6</x:f>
        <x:v>0</x:v>
      </x:c>
      <x:c r="H1210" s="8" t="n">
        <x:f>IF(E1210="","",ROUND(IF('01_Ustawienia'!$B$5="BRUTTO",F1210,E1210)*(1-G1210),0))</x:f>
        <x:v>1382</x:v>
      </x:c>
      <x:c r="I1210" s="7" t="n">
        <x:f>IFERROR(IFERROR(INDEX('01_Ustawienia'!$B$15:$B$33,MATCH(B1210,'01_Ustawienia'!$A$15:$A$33,0)),0.45),0.45)</x:f>
        <x:v>1.2</x:v>
      </x:c>
      <x:c r="J1210" s="8" t="n">
        <x:f>IF(H1210="","",ROUND(H1210*(1+I1210),0))</x:f>
        <x:v>3040</x:v>
      </x:c>
      <x:c r="K1210" s="580" t="n">
        <x:v>700</x:v>
      </x:c>
      <x:c r="L1210" s="580" t="n">
        <x:v>640</x:v>
      </x:c>
      <x:c r="M1210" s="7" t="n">
        <x:f>IF('01_Ustawienia'!$B$4="ZWOLNIONY",0,'01_Ustawienia'!$B$7)</x:f>
        <x:v>0.08</x:v>
      </x:c>
      <x:c r="N1210" s="8" t="n">
        <x:f>IF(J1210="","",ROUND((J1210+K1210)*(1+M1210),0))</x:f>
        <x:v>4039</x:v>
      </x:c>
      <x:c r="O1210" s="8" t="n">
        <x:f>IF(J1210="","",J1210+K1210-H1210-L1210)</x:f>
        <x:v>1718</x:v>
      </x:c>
      <x:c r="P1210" s="7" t="n">
        <x:f>IFERROR(O1210/(J1210+K1210),"")</x:f>
        <x:v>0.45935828877005347</x:v>
      </x:c>
      <x:c r="Q1210" s="6" t="inlineStr">
        <x:is>
          <x:t xml:space="preserve">RAW_OP AB/AC</x:t>
        </x:is>
      </x:c>
      <x:c r="R1210" s="6" t="inlineStr">
        <x:is>
          <x:t xml:space="preserve">FUNDAMENT (PROFILE)</x:t>
        </x:is>
      </x:c>
      <x:c r="S1210" s="6" t="inlineStr">
        <x:is>
          <x:t xml:space="preserve">website+crm</x:t>
        </x:is>
      </x:c>
      <x:c r="T1210" s="581" t="inlineStr">
        <x:is>
          <x:t xml:space="preserve">FIX11: K/L 550/600 wg ark. 09 (UZUPEŁNIĆ K+L / KOREKTA RENTOWNOŚCI).</x:t>
        </x:is>
      </x:c>
    </x:row>
    <x:row r="1211" s="655" customFormat="1" ht="30" customHeight="1">
      <x:c r="A1211" s="6" t="inlineStr">
        <x:is>
          <x:t xml:space="preserve">600 x 606 cm</x:t>
        </x:is>
      </x:c>
      <x:c r="B1211" s="6" t="inlineStr">
        <x:is>
          <x:t xml:space="preserve">ZAB</x:t>
        </x:is>
      </x:c>
      <x:c r="C1211" s="6" t="inlineStr">
        <x:is>
          <x:t xml:space="preserve">Zabieraki do ścian przesuwnych</x:t>
        </x:is>
      </x:c>
      <x:c r="D1211" s="6" t="inlineStr">
        <x:is>
          <x:t xml:space="preserve">DODATKI</x:t>
        </x:is>
      </x:c>
      <x:c r="E1211" s="8" t="n">
        <x:f>IFERROR(INDEX('02_RAW_INDEX'!$AJ:$AJ,MATCH($A1211,'02_RAW_INDEX'!$A:$A,0)),"")</x:f>
        <x:v>455</x:v>
      </x:c>
      <x:c r="F1211" s="8" t="n">
        <x:f>IFERROR(INDEX('02_RAW_INDEX'!$AI:$AI,MATCH($A1211,'02_RAW_INDEX'!$A:$A,0)),"")</x:f>
        <x:v>560</x:v>
      </x:c>
      <x:c r="G1211" s="7" t="n">
        <x:f>'01_Ustawienia'!$B$6</x:f>
        <x:v>0</x:v>
      </x:c>
      <x:c r="H1211" s="8" t="n">
        <x:f>IF(E1211="","",ROUND(IF('01_Ustawienia'!$B$5="BRUTTO",F1211,E1211)*(1-G1211),0))</x:f>
        <x:v>455</x:v>
      </x:c>
      <x:c r="I1211" s="7" t="n">
        <x:f>IFERROR(IFERROR(INDEX('01_Ustawienia'!$B$15:$B$33,MATCH(B1211,'01_Ustawienia'!$A$15:$A$33,0)),0.45),0.45)</x:f>
        <x:v>0.45</x:v>
      </x:c>
      <x:c r="J1211" s="8" t="n">
        <x:f>IF(H1211="","",ROUND(H1211*(1+I1211),0))</x:f>
        <x:v>660</x:v>
      </x:c>
      <x:c r="K1211" s="582" t="n">
        <x:v>0</x:v>
      </x:c>
      <x:c r="L1211" s="582" t="n">
        <x:v>0</x:v>
      </x:c>
      <x:c r="M1211" s="7" t="n">
        <x:f>IF('01_Ustawienia'!$B$4="ZWOLNIONY",0,'01_Ustawienia'!$B$7)</x:f>
        <x:v>0.08</x:v>
      </x:c>
      <x:c r="N1211" s="8" t="n">
        <x:f>IF(J1211="","",ROUND((J1211+K1211)*(1+M1211),0))</x:f>
        <x:v>713</x:v>
      </x:c>
      <x:c r="O1211" s="8" t="n">
        <x:f>IF(J1211="","",J1211+K1211-H1211-L1211)</x:f>
        <x:v>205</x:v>
      </x:c>
      <x:c r="P1211" s="7" t="n">
        <x:f>IFERROR(O1211/(J1211+K1211),"")</x:f>
        <x:v>0.3106060606060606</x:v>
      </x:c>
      <x:c r="Q1211" s="6" t="inlineStr">
        <x:is>
          <x:t xml:space="preserve">RAW_OP AD/AE</x:t>
        </x:is>
      </x:c>
      <x:c r="R1211" s="6" t="inlineStr">
        <x:is>
          <x:t xml:space="preserve">DODATKI</x:t>
        </x:is>
      </x:c>
      <x:c r="S1211" s="6" t="inlineStr">
        <x:is>
          <x:t xml:space="preserve">crm_only</x:t>
        </x:is>
      </x:c>
      <x:c r="T1211" s="581" t="inlineStr">
        <x:is>
          <x:t xml:space="preserve">FIX11: K/L 550/600 wg ark. 09 (POZOSTAWIĆ 0).</x:t>
        </x:is>
      </x:c>
    </x:row>
    <x:row r="1212" s="655" customFormat="1" ht="29.5" customHeight="1">
      <x:c r="A1212" s="6" t="inlineStr">
        <x:is>
          <x:t xml:space="preserve">600 x 606 cm</x:t>
        </x:is>
      </x:c>
      <x:c r="B1212" s="6" t="inlineStr">
        <x:is>
          <x:t xml:space="preserve">S</x:t>
        </x:is>
      </x:c>
      <x:c r="C1212" s="6" t="inlineStr">
        <x:is>
          <x:t xml:space="preserve">Szczotki przeciwkurzowe</x:t>
        </x:is>
      </x:c>
      <x:c r="D1212" s="6" t="inlineStr">
        <x:is>
          <x:t xml:space="preserve">SZCZOTKI</x:t>
        </x:is>
      </x:c>
      <x:c r="E1212" s="8" t="n">
        <x:f>IFERROR(INDEX('02_RAW_INDEX'!$AD:$AD,MATCH($A1212,'02_RAW_INDEX'!$A:$A,0)),"")</x:f>
        <x:v>496</x:v>
      </x:c>
      <x:c r="F1212" s="8" t="n">
        <x:f>IFERROR(INDEX('02_RAW_INDEX'!$AC:$AC,MATCH($A1212,'02_RAW_INDEX'!$A:$A,0)),"")</x:f>
        <x:v>610</x:v>
      </x:c>
      <x:c r="G1212" s="7" t="n">
        <x:f>'01_Ustawienia'!$B$6</x:f>
        <x:v>0</x:v>
      </x:c>
      <x:c r="H1212" s="8" t="n">
        <x:f>IF(E1212="","",ROUND(IF('01_Ustawienia'!$B$5="BRUTTO",F1212,E1212)*(1-G1212),0))</x:f>
        <x:v>496</x:v>
      </x:c>
      <x:c r="I1212" s="7" t="n">
        <x:f>IFERROR(IFERROR(INDEX('01_Ustawienia'!$B$15:$B$33,MATCH(B1212,'01_Ustawienia'!$A$15:$A$33,0)),0.45),0.45)</x:f>
        <x:v>0.45</x:v>
      </x:c>
      <x:c r="J1212" s="8" t="n">
        <x:f>IF(H1212="","",ROUND(H1212*(1+I1212),0))</x:f>
        <x:v>719</x:v>
      </x:c>
      <x:c r="K1212" s="582" t="n">
        <x:v>0</x:v>
      </x:c>
      <x:c r="L1212" s="582" t="n">
        <x:v>0</x:v>
      </x:c>
      <x:c r="M1212" s="7" t="n">
        <x:f>IF('01_Ustawienia'!$B$4="ZWOLNIONY",0,'01_Ustawienia'!$B$7)</x:f>
        <x:v>0.08</x:v>
      </x:c>
      <x:c r="N1212" s="8" t="n">
        <x:f>IF(J1212="","",ROUND((J1212+K1212)*(1+M1212),0))</x:f>
        <x:v>777</x:v>
      </x:c>
      <x:c r="O1212" s="8" t="n">
        <x:f>IF(J1212="","",J1212+K1212-H1212-L1212)</x:f>
        <x:v>223</x:v>
      </x:c>
      <x:c r="P1212" s="7" t="n">
        <x:f>IFERROR(O1212/(J1212+K1212),"")</x:f>
        <x:v>0.3101529902642559</x:v>
      </x:c>
      <x:c r="Q1212" s="6" t="inlineStr">
        <x:is>
          <x:t xml:space="preserve">RAW_OP L/M</x:t>
        </x:is>
      </x:c>
      <x:c r="R1212" s="6" t="inlineStr">
        <x:is>
          <x:t xml:space="preserve">DODATKI</x:t>
        </x:is>
      </x:c>
      <x:c r="S1212" s="6" t="inlineStr">
        <x:is>
          <x:t xml:space="preserve">website+crm</x:t>
        </x:is>
      </x:c>
      <x:c r="T1212" s="581" t="inlineStr">
        <x:is>
          <x:t xml:space="preserve">FIX11: K/L 550/600 wg ark. 09 (POZOSTAWIĆ 0).</x:t>
        </x:is>
      </x:c>
    </x:row>
    <x:row r="1213" s="655" customFormat="1" ht="29.5" customHeight="1">
      <x:c r="A1213" s="6" t="inlineStr">
        <x:is>
          <x:t xml:space="preserve">600 x 606 cm</x:t>
        </x:is>
      </x:c>
      <x:c r="B1213" s="6" t="inlineStr">
        <x:is>
          <x:t xml:space="preserve">U</x:t>
        </x:is>
      </x:c>
      <x:c r="C1213" s="6" t="inlineStr">
        <x:is>
          <x:t xml:space="preserve">Uchwyty na szkło ścienne</x:t>
        </x:is>
      </x:c>
      <x:c r="D1213" s="6" t="inlineStr">
        <x:is>
          <x:t xml:space="preserve">UCHWYTY</x:t>
        </x:is>
      </x:c>
      <x:c r="E1213" s="8" t="n">
        <x:f>IFERROR(INDEX('02_RAW_INDEX'!$AF:$AF,MATCH($A1213,'02_RAW_INDEX'!$A:$A,0)),"")</x:f>
        <x:v>447</x:v>
      </x:c>
      <x:c r="F1213" s="8" t="n">
        <x:f>IFERROR(INDEX('02_RAW_INDEX'!$AE:$AE,MATCH($A1213,'02_RAW_INDEX'!$A:$A,0)),"")</x:f>
        <x:v>550</x:v>
      </x:c>
      <x:c r="G1213" s="7" t="n">
        <x:f>'01_Ustawienia'!$B$6</x:f>
        <x:v>0</x:v>
      </x:c>
      <x:c r="H1213" s="8" t="n">
        <x:f>IF(E1213="","",ROUND(IF('01_Ustawienia'!$B$5="BRUTTO",F1213,E1213)*(1-G1213),0))</x:f>
        <x:v>447</x:v>
      </x:c>
      <x:c r="I1213" s="7" t="n">
        <x:f>IFERROR(IFERROR(INDEX('01_Ustawienia'!$B$15:$B$33,MATCH(B1213,'01_Ustawienia'!$A$15:$A$33,0)),0.45),0.45)</x:f>
        <x:v>0.45</x:v>
      </x:c>
      <x:c r="J1213" s="8" t="n">
        <x:f>IF(H1213="","",ROUND(H1213*(1+I1213),0))</x:f>
        <x:v>648</x:v>
      </x:c>
      <x:c r="K1213" s="582" t="n">
        <x:v>0</x:v>
      </x:c>
      <x:c r="L1213" s="582" t="n">
        <x:v>0</x:v>
      </x:c>
      <x:c r="M1213" s="7" t="n">
        <x:f>IF('01_Ustawienia'!$B$4="ZWOLNIONY",0,'01_Ustawienia'!$B$7)</x:f>
        <x:v>0.08</x:v>
      </x:c>
      <x:c r="N1213" s="8" t="n">
        <x:f>IF(J1213="","",ROUND((J1213+K1213)*(1+M1213),0))</x:f>
        <x:v>700</x:v>
      </x:c>
      <x:c r="O1213" s="8" t="n">
        <x:f>IF(J1213="","",J1213+K1213-H1213-L1213)</x:f>
        <x:v>201</x:v>
      </x:c>
      <x:c r="P1213" s="7" t="n">
        <x:f>IFERROR(O1213/(J1213+K1213),"")</x:f>
        <x:v>0.3101851851851852</x:v>
      </x:c>
      <x:c r="Q1213" s="6" t="inlineStr">
        <x:is>
          <x:t xml:space="preserve">RAW_OP N/O</x:t>
        </x:is>
      </x:c>
      <x:c r="R1213" s="6" t="inlineStr">
        <x:is>
          <x:t xml:space="preserve">DODATKI</x:t>
        </x:is>
      </x:c>
      <x:c r="S1213" s="6" t="inlineStr">
        <x:is>
          <x:t xml:space="preserve">website+crm</x:t>
        </x:is>
      </x:c>
      <x:c r="T1213" s="581" t="inlineStr">
        <x:is>
          <x:t xml:space="preserve">FIX11: K/L 550/600 wg ark. 09 (POZOSTAWIĆ 0).</x:t>
        </x:is>
      </x:c>
    </x:row>
    <x:row r="1214" s="655" customFormat="1" ht="29.5" customHeight="1">
      <x:c r="A1214" s="6" t="inlineStr">
        <x:is>
          <x:t xml:space="preserve">600 x 606 cm</x:t>
        </x:is>
      </x:c>
      <x:c r="B1214" s="6" t="inlineStr">
        <x:is>
          <x:t xml:space="preserve">LED2</x:t>
        </x:is>
      </x:c>
      <x:c r="C1214" s="6" t="inlineStr">
        <x:is>
          <x:t xml:space="preserve">Oświetlenie LED 2 punkty</x:t>
        </x:is>
      </x:c>
      <x:c r="D1214" s="6" t="inlineStr">
        <x:is>
          <x:t xml:space="preserve">LED 2 PKT</x:t>
        </x:is>
      </x:c>
      <x:c r="E1214" s="8" t="n">
        <x:f>IFERROR(INDEX('02_RAW_INDEX'!$N:$N,MATCH($A1214,'02_RAW_INDEX'!$A:$A,0)),"")</x:f>
        <x:v>642</x:v>
      </x:c>
      <x:c r="F1214" s="8" t="n">
        <x:f>IFERROR(INDEX('02_RAW_INDEX'!$M:$M,MATCH($A1214,'02_RAW_INDEX'!$A:$A,0)),"")</x:f>
        <x:v>790</x:v>
      </x:c>
      <x:c r="G1214" s="7" t="n">
        <x:f>'01_Ustawienia'!$B$6</x:f>
        <x:v>0</x:v>
      </x:c>
      <x:c r="H1214" s="8" t="n">
        <x:f>IF(E1214="","",ROUND(IF('01_Ustawienia'!$B$5="BRUTTO",F1214,E1214)*(1-G1214),0))</x:f>
        <x:v>642</x:v>
      </x:c>
      <x:c r="I1214" s="7" t="n">
        <x:f>IFERROR(IFERROR(INDEX('01_Ustawienia'!$B$15:$B$33,MATCH(B1214,'01_Ustawienia'!$A$15:$A$33,0)),0.45),0.45)</x:f>
        <x:v>0.45</x:v>
      </x:c>
      <x:c r="J1214" s="8" t="n">
        <x:f>IF(H1214="","",ROUND(H1214*(1+I1214),0))</x:f>
        <x:v>931</x:v>
      </x:c>
      <x:c r="K1214" s="582" t="n">
        <x:v>0</x:v>
      </x:c>
      <x:c r="L1214" s="582" t="n">
        <x:v>0</x:v>
      </x:c>
      <x:c r="M1214" s="7" t="n">
        <x:f>IF('01_Ustawienia'!$B$4="ZWOLNIONY",0,'01_Ustawienia'!$B$7)</x:f>
        <x:v>0.08</x:v>
      </x:c>
      <x:c r="N1214" s="8" t="n">
        <x:f>IF(J1214="","",ROUND((J1214+K1214)*(1+M1214),0))</x:f>
        <x:v>1005</x:v>
      </x:c>
      <x:c r="O1214" s="8" t="n">
        <x:f>IF(J1214="","",J1214+K1214-H1214-L1214)</x:f>
        <x:v>289</x:v>
      </x:c>
      <x:c r="P1214" s="7" t="n">
        <x:f>IFERROR(O1214/(J1214+K1214),"")</x:f>
        <x:v>0.3104189044038668</x:v>
      </x:c>
      <x:c r="Q1214" s="6" t="inlineStr">
        <x:is>
          <x:t xml:space="preserve">RAW_ZP P/Q</x:t>
        </x:is>
      </x:c>
      <x:c r="R1214" s="6" t="inlineStr">
        <x:is>
          <x:t xml:space="preserve">OŚWIETLENIE</x:t>
        </x:is>
      </x:c>
      <x:c r="S1214" s="6" t="inlineStr">
        <x:is>
          <x:t xml:space="preserve">website+crm</x:t>
        </x:is>
      </x:c>
      <x:c r="T1214" s="581" t="inlineStr">
        <x:is>
          <x:t xml:space="preserve">FIX11: K/L 550/600 wg ark. 09 (POZOSTAWIĆ 0 NA RAZIE).</x:t>
        </x:is>
      </x:c>
    </x:row>
    <x:row r="1215" s="655" customFormat="1" ht="44.25" customHeight="1">
      <x:c r="A1215" s="6" t="inlineStr">
        <x:is>
          <x:t xml:space="preserve">600 x 606 cm</x:t>
        </x:is>
      </x:c>
      <x:c r="B1215" s="6" t="inlineStr">
        <x:is>
          <x:t xml:space="preserve">LED3</x:t>
        </x:is>
      </x:c>
      <x:c r="C1215" s="6" t="inlineStr">
        <x:is>
          <x:t xml:space="preserve">Oświetlenie LED 3 punkty</x:t>
        </x:is>
      </x:c>
      <x:c r="D1215" s="6" t="inlineStr">
        <x:is>
          <x:t xml:space="preserve">LED 3 PKT</x:t>
        </x:is>
      </x:c>
      <x:c r="E1215" s="8" t="n">
        <x:f>IFERROR(INDEX('02_RAW_INDEX'!$P:$P,MATCH($A1215,'02_RAW_INDEX'!$A:$A,0)),"")</x:f>
        <x:v>886</x:v>
      </x:c>
      <x:c r="F1215" s="8" t="n">
        <x:f>IFERROR(INDEX('02_RAW_INDEX'!$O:$O,MATCH($A1215,'02_RAW_INDEX'!$A:$A,0)),"")</x:f>
        <x:v>1090</x:v>
      </x:c>
      <x:c r="G1215" s="7" t="n">
        <x:f>'01_Ustawienia'!$B$6</x:f>
        <x:v>0</x:v>
      </x:c>
      <x:c r="H1215" s="8" t="n">
        <x:f>IF(E1215="","",ROUND(IF('01_Ustawienia'!$B$5="BRUTTO",F1215,E1215)*(1-G1215),0))</x:f>
        <x:v>886</x:v>
      </x:c>
      <x:c r="I1215" s="7" t="n">
        <x:f>IFERROR(IFERROR(INDEX('01_Ustawienia'!$B$15:$B$33,MATCH(B1215,'01_Ustawienia'!$A$15:$A$33,0)),0.45),0.45)</x:f>
        <x:v>0.45</x:v>
      </x:c>
      <x:c r="J1215" s="8" t="n">
        <x:f>IF(H1215="","",ROUND(H1215*(1+I1215),0))</x:f>
        <x:v>1285</x:v>
      </x:c>
      <x:c r="K1215" s="582" t="n">
        <x:v>0</x:v>
      </x:c>
      <x:c r="L1215" s="582" t="n">
        <x:v>0</x:v>
      </x:c>
      <x:c r="M1215" s="7" t="n">
        <x:f>IF('01_Ustawienia'!$B$4="ZWOLNIONY",0,'01_Ustawienia'!$B$7)</x:f>
        <x:v>0.08</x:v>
      </x:c>
      <x:c r="N1215" s="8" t="n">
        <x:f>IF(J1215="","",ROUND((J1215+K1215)*(1+M1215),0))</x:f>
        <x:v>1388</x:v>
      </x:c>
      <x:c r="O1215" s="8" t="n">
        <x:f>IF(J1215="","",J1215+K1215-H1215-L1215)</x:f>
        <x:v>399</x:v>
      </x:c>
      <x:c r="P1215" s="7" t="n">
        <x:f>IFERROR(O1215/(J1215+K1215),"")</x:f>
        <x:v>0.3105058365758755</x:v>
      </x:c>
      <x:c r="Q1215" s="6" t="inlineStr">
        <x:is>
          <x:t xml:space="preserve">RAW_ZP R/S</x:t>
        </x:is>
      </x:c>
      <x:c r="R1215" s="6" t="inlineStr">
        <x:is>
          <x:t xml:space="preserve">OŚWIETLENIE</x:t>
        </x:is>
      </x:c>
      <x:c r="S1215" s="6" t="inlineStr">
        <x:is>
          <x:t xml:space="preserve">website+crm</x:t>
        </x:is>
      </x:c>
      <x:c r="T1215" s="581" t="inlineStr">
        <x:is>
          <x:t xml:space="preserve">Nazwa do potwierdzenia | FIX11: K/L 550/600 wg ark. 09 (POZOSTAWIĆ 0 NA RAZIE).</x:t>
        </x:is>
      </x:c>
    </x:row>
    <x:row r="1216" s="655" customFormat="1" ht="29.5" customHeight="1">
      <x:c r="A1216" s="6" t="inlineStr">
        <x:is>
          <x:t xml:space="preserve">600 x 606 cm</x:t>
        </x:is>
      </x:c>
      <x:c r="B1216" s="6" t="inlineStr">
        <x:is>
          <x:t xml:space="preserve">LEDCCT</x:t>
        </x:is>
      </x:c>
      <x:c r="C1216" s="6" t="inlineStr">
        <x:is>
          <x:t xml:space="preserve">Oświetlenie LED CCT</x:t>
        </x:is>
      </x:c>
      <x:c r="D1216" s="6" t="inlineStr">
        <x:is>
          <x:t xml:space="preserve">OŚWIETLENIE</x:t>
        </x:is>
      </x:c>
      <x:c r="E1216" s="8" t="n">
        <x:f>IFERROR(INDEX('02_RAW_INDEX'!$R:$R,MATCH($A1216,'02_RAW_INDEX'!$A:$A,0)),"")</x:f>
        <x:v>2263</x:v>
      </x:c>
      <x:c r="F1216" s="8" t="n">
        <x:f>IFERROR(INDEX('02_RAW_INDEX'!$Q:$Q,MATCH($A1216,'02_RAW_INDEX'!$A:$A,0)),"")</x:f>
        <x:v>2783</x:v>
      </x:c>
      <x:c r="G1216" s="7" t="n">
        <x:f>'01_Ustawienia'!$B$6</x:f>
        <x:v>0</x:v>
      </x:c>
      <x:c r="H1216" s="8" t="n">
        <x:f>IF(E1216="","",ROUND(IF('01_Ustawienia'!$B$5="BRUTTO",F1216,E1216)*(1-G1216),0))</x:f>
        <x:v>2263</x:v>
      </x:c>
      <x:c r="I1216" s="7" t="n">
        <x:f>IFERROR(IFERROR(INDEX('01_Ustawienia'!$B$15:$B$33,MATCH(B1216,'01_Ustawienia'!$A$15:$A$33,0)),0.45),0.45)</x:f>
        <x:v>0.45</x:v>
      </x:c>
      <x:c r="J1216" s="8" t="n">
        <x:f>IF(H1216="","",ROUND(H1216*(1+I1216),0)+700)</x:f>
        <x:v>3981</x:v>
      </x:c>
      <x:c r="K1216" s="582" t="n">
        <x:v>0</x:v>
      </x:c>
      <x:c r="L1216" s="582" t="n">
        <x:v>0</x:v>
      </x:c>
      <x:c r="M1216" s="7" t="n">
        <x:f>IF('01_Ustawienia'!$B$4="ZWOLNIONY",0,'01_Ustawienia'!$B$7)</x:f>
        <x:v>0.08</x:v>
      </x:c>
      <x:c r="N1216" s="8" t="n">
        <x:f>IF(J1216="","",ROUND((J1216+K1216)*(1+M1216),0))</x:f>
        <x:v>4299</x:v>
      </x:c>
      <x:c r="O1216" s="8" t="n">
        <x:f>IF(J1216="","",J1216+K1216-H1216-L1216)</x:f>
        <x:v>1718</x:v>
      </x:c>
      <x:c r="P1216" s="7" t="n">
        <x:f>IFERROR(O1216/(J1216+K1216),"")</x:f>
        <x:v>0.4315498618437579</x:v>
      </x:c>
      <x:c r="Q1216" s="715" t="inlineStr">
        <x:is>
          <x:t xml:space="preserve">MODEL_FIX15_LED</x:t>
        </x:is>
      </x:c>
      <x:c r="R1216" s="6" t="inlineStr">
        <x:is>
          <x:t xml:space="preserve">OŚWIETLENIE</x:t>
        </x:is>
      </x:c>
      <x:c r="S1216" s="6" t="inlineStr">
        <x:is>
          <x:t xml:space="preserve">website+crm</x:t>
        </x:is>
      </x:c>
      <x:c r="T1216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217" s="655" customFormat="1" ht="29.5" customHeight="1">
      <x:c r="A1217" s="6" t="inlineStr">
        <x:is>
          <x:t xml:space="preserve">600 x 606 cm</x:t>
        </x:is>
      </x:c>
      <x:c r="B1217" s="6" t="inlineStr">
        <x:is>
          <x:t xml:space="preserve">LEDRGBCCT</x:t>
        </x:is>
      </x:c>
      <x:c r="C1217" s="6" t="inlineStr">
        <x:is>
          <x:t xml:space="preserve">Oświetlenie LED RGB CCT</x:t>
        </x:is>
      </x:c>
      <x:c r="D1217" s="6" t="inlineStr">
        <x:is>
          <x:t xml:space="preserve">OŚWIETLENIE</x:t>
        </x:is>
      </x:c>
      <x:c r="E1217" s="8" t="n">
        <x:f>IFERROR(INDEX('02_RAW_INDEX'!$T:$T,MATCH($A1217,'02_RAW_INDEX'!$A:$A,0)),"")</x:f>
        <x:v>2833</x:v>
      </x:c>
      <x:c r="F1217" s="8" t="n">
        <x:f>IFERROR(INDEX('02_RAW_INDEX'!$S:$S,MATCH($A1217,'02_RAW_INDEX'!$A:$A,0)),"")</x:f>
        <x:v>3485</x:v>
      </x:c>
      <x:c r="G1217" s="7" t="n">
        <x:f>'01_Ustawienia'!$B$6</x:f>
        <x:v>0</x:v>
      </x:c>
      <x:c r="H1217" s="8" t="n">
        <x:f>IF(E1217="","",ROUND(IF('01_Ustawienia'!$B$5="BRUTTO",F1217,E1217)*(1-G1217),0))</x:f>
        <x:v>2833</x:v>
      </x:c>
      <x:c r="I1217" s="7" t="n">
        <x:f>IFERROR(IFERROR(INDEX('01_Ustawienia'!$B$15:$B$33,MATCH(B1217,'01_Ustawienia'!$A$15:$A$33,0)),0.45),0.45)</x:f>
        <x:v>0.45</x:v>
      </x:c>
      <x:c r="J1217" s="8" t="n">
        <x:f>IF(H1217="","",ROUND(H1217*(1+I1217),0))</x:f>
        <x:v>4108</x:v>
      </x:c>
      <x:c r="K1217" s="582" t="n">
        <x:v>0</x:v>
      </x:c>
      <x:c r="L1217" s="582" t="n">
        <x:v>0</x:v>
      </x:c>
      <x:c r="M1217" s="7" t="n">
        <x:f>IF('01_Ustawienia'!$B$4="ZWOLNIONY",0,'01_Ustawienia'!$B$7)</x:f>
        <x:v>0.08</x:v>
      </x:c>
      <x:c r="N1217" s="8" t="n">
        <x:f>IF(J1217="","",ROUND((J1217+K1217)*(1+M1217),0))</x:f>
        <x:v>4437</x:v>
      </x:c>
      <x:c r="O1217" s="8" t="n">
        <x:f>IF(J1217="","",J1217+K1217-H1217-L1217)</x:f>
        <x:v>1275</x:v>
      </x:c>
      <x:c r="P1217" s="7" t="n">
        <x:f>IFERROR(O1217/(J1217+K1217),"")</x:f>
        <x:v>0.31037000973709833</x:v>
      </x:c>
      <x:c r="Q1217" s="715" t="inlineStr">
        <x:is>
          <x:t xml:space="preserve">MODEL_FIX15_LED</x:t>
        </x:is>
      </x:c>
      <x:c r="R1217" s="6" t="inlineStr">
        <x:is>
          <x:t xml:space="preserve">OŚWIETLENIE</x:t>
        </x:is>
      </x:c>
      <x:c r="S1217" s="6" t="inlineStr">
        <x:is>
          <x:t xml:space="preserve">crm_only</x:t>
        </x:is>
      </x:c>
      <x:c r="T1217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218" s="655" customFormat="1" ht="30" customHeight="1">
      <x:c r="A1218" s="6" t="inlineStr">
        <x:is>
          <x:t xml:space="preserve">600 x 706 cm</x:t>
        </x:is>
      </x:c>
      <x:c r="B1218" s="6" t="inlineStr">
        <x:is>
          <x:t xml:space="preserve">ZP</x:t>
        </x:is>
      </x:c>
      <x:c r="C1218" s="6" t="inlineStr">
        <x:is>
          <x:t xml:space="preserve">Zadaszenie poliwęglan - baza</x:t>
        </x:is>
      </x:c>
      <x:c r="D1218" s="6" t="inlineStr">
        <x:is>
          <x:t xml:space="preserve">ZADASZENIE POLIWĘGLAN</x:t>
        </x:is>
      </x:c>
      <x:c r="E1218" s="8" t="n">
        <x:f>IFERROR(INDEX('02_RAW_INDEX'!$D:$D,MATCH($A1218,'02_RAW_INDEX'!$A:$A,0)),"")</x:f>
        <x:v>19772</x:v>
      </x:c>
      <x:c r="F1218" s="8" t="n">
        <x:f>IFERROR(INDEX('02_RAW_INDEX'!$C:$C,MATCH($A1218,'02_RAW_INDEX'!$A:$A,0)),"")</x:f>
        <x:v>24320</x:v>
      </x:c>
      <x:c r="G1218" s="7" t="n">
        <x:f>'01_Ustawienia'!$B$6</x:f>
        <x:v>0</x:v>
      </x:c>
      <x:c r="H1218" s="8" t="n">
        <x:f>IF(E1218="","",ROUND(IF('01_Ustawienia'!$B$5="BRUTTO",F1218,E1218)*(1-G1218),0))</x:f>
        <x:v>19772</x:v>
      </x:c>
      <x:c r="I1218" s="7" t="n">
        <x:f>IFERROR(IFERROR(INDEX('01_Ustawienia'!$B$15:$B$33,MATCH(B1218,'01_Ustawienia'!$A$15:$A$33,0)),0.45),0.45)</x:f>
        <x:v>0.45</x:v>
      </x:c>
      <x:c r="J1218" s="8" t="n">
        <x:f>IF(H1218="","",ROUND(H1218*(1+I1218),0))</x:f>
        <x:v>28669</x:v>
      </x:c>
      <x:c r="K1218" s="580" t="n">
        <x:v>5400</x:v>
      </x:c>
      <x:c r="L1218" s="580" t="n">
        <x:v>1750</x:v>
      </x:c>
      <x:c r="M1218" s="7" t="n">
        <x:f>IF('01_Ustawienia'!$B$4="ZWOLNIONY",0,'01_Ustawienia'!$B$7)</x:f>
        <x:v>0.08</x:v>
      </x:c>
      <x:c r="N1218" s="8" t="n">
        <x:f>IF(J1218="","",ROUND((J1218+K1218)*(1+M1218),0))</x:f>
        <x:v>36795</x:v>
      </x:c>
      <x:c r="O1218" s="8" t="n">
        <x:f>IF(J1218="","",J1218+K1218-H1218-L1218)</x:f>
        <x:v>12547</x:v>
      </x:c>
      <x:c r="P1218" s="7" t="n">
        <x:f>IFERROR(O1218/(J1218+K1218),"")</x:f>
        <x:v>0.36828201590889076</x:v>
      </x:c>
      <x:c r="Q1218" s="6" t="inlineStr">
        <x:is>
          <x:t xml:space="preserve">RAW_ZP B/C</x:t>
        </x:is>
      </x:c>
      <x:c r="R1218" s="6" t="inlineStr">
        <x:is>
          <x:t xml:space="preserve">ZADASZENIE TARASU KONSTRUKCJA</x:t>
        </x:is>
      </x:c>
      <x:c r="S1218" s="6" t="inlineStr">
        <x:is>
          <x:t xml:space="preserve">website+crm</x:t>
        </x:is>
      </x:c>
      <x:c r="T1218" s="581" t="inlineStr">
        <x:is>
          <x:t xml:space="preserve">Baza dla kalkulatora | FIX11: K/L 550/600 wg ark. 09 (UZUPEŁNIĆ).</x:t>
        </x:is>
      </x:c>
    </x:row>
    <x:row r="1219" s="655" customFormat="1" ht="30" customHeight="1">
      <x:c r="A1219" s="6" t="inlineStr">
        <x:is>
          <x:t xml:space="preserve">600 x 706 cm</x:t>
        </x:is>
      </x:c>
      <x:c r="B1219" s="6" t="inlineStr">
        <x:is>
          <x:t xml:space="preserve">ZS</x:t>
        </x:is>
      </x:c>
      <x:c r="C1219" s="6" t="inlineStr">
        <x:is>
          <x:t xml:space="preserve">Zadaszenie szkło - pełna konstrukcja</x:t>
        </x:is>
      </x:c>
      <x:c r="D1219" s="6" t="inlineStr">
        <x:is>
          <x:t xml:space="preserve">ZADASZENIE SZKŁO</x:t>
        </x:is>
      </x:c>
      <x:c r="E1219" s="8" t="str">
        <x:f>IFERROR(INDEX('02_RAW_INDEX'!$V:$V,MATCH($A1219,'02_RAW_INDEX'!$A:$A,0)),"")</x:f>
      </x:c>
      <x:c r="F1219" s="8" t="str">
        <x:f>IFERROR(INDEX('02_RAW_INDEX'!$U:$U,MATCH($A1219,'02_RAW_INDEX'!$A:$A,0)),"")</x:f>
      </x:c>
      <x:c r="G1219" s="7" t="n">
        <x:f>'01_Ustawienia'!$B$6</x:f>
        <x:v>0</x:v>
      </x:c>
      <x:c r="H1219" s="8" t="str">
        <x:f>IF(E1219="","",ROUND(IF('01_Ustawienia'!$B$5="BRUTTO",F1219,E1219)*(1-G1219),0))</x:f>
      </x:c>
      <x:c r="I1219" s="7" t="n">
        <x:f>IFERROR(IFERROR(INDEX('01_Ustawienia'!$B$15:$B$33,MATCH(B1219,'01_Ustawienia'!$A$15:$A$33,0)),0.45),0.45)</x:f>
        <x:v>0.45</x:v>
      </x:c>
      <x:c r="J1219" s="8" t="str">
        <x:f>IF(H1219="","",ROUND(H1219*(1+I1219),0))</x:f>
      </x:c>
      <x:c r="K1219" s="580" t="n">
        <x:v>5400</x:v>
      </x:c>
      <x:c r="L1219" s="580" t="n">
        <x:v>2240</x:v>
      </x:c>
      <x:c r="M1219" s="7" t="n">
        <x:f>IF('01_Ustawienia'!$B$4="ZWOLNIONY",0,'01_Ustawienia'!$B$7)</x:f>
        <x:v>0.08</x:v>
      </x:c>
      <x:c r="N1219" s="8" t="str">
        <x:f>IF(J1219="","",ROUND((J1219+K1219)*(1+M1219),0))</x:f>
      </x:c>
      <x:c r="O1219" s="8" t="str">
        <x:f>IF(J1219="","",J1219+K1219-H1219-L1219)</x:f>
      </x:c>
      <x:c r="P1219" s="7" t="n">
        <x:f>IFERROR(O1219/(J1219+K1219),"")</x:f>
        <x:v>0</x:v>
      </x:c>
      <x:c r="Q1219" s="6" t="inlineStr">
        <x:is>
          <x:t xml:space="preserve">RAW_ZS B/C</x:t>
        </x:is>
      </x:c>
      <x:c r="R1219" s="6" t="inlineStr">
        <x:is>
          <x:t xml:space="preserve">ZADASZENIE TARASU KONSTRUKCJA</x:t>
        </x:is>
      </x:c>
      <x:c r="S1219" s="6" t="inlineStr">
        <x:is>
          <x:t xml:space="preserve">crm_only</x:t>
        </x:is>
      </x:c>
      <x:c r="T1219" s="581" t="inlineStr">
        <x:is>
          <x:t xml:space="preserve">Referencyjne/full; strona zwykle używa ZP + PDS | FIX11: K/L 550/600 wg ark. 09 (NIE PUBLIKOWAĆ / BRAK RAW_ZS).</x:t>
        </x:is>
      </x:c>
    </x:row>
    <x:row r="1220" s="655" customFormat="1" ht="30" customHeight="1">
      <x:c r="A1220" s="6" t="inlineStr">
        <x:is>
          <x:t xml:space="preserve">600 x 706 cm</x:t>
        </x:is>
      </x:c>
      <x:c r="B1220" s="6" t="inlineStr">
        <x:is>
          <x:t xml:space="preserve">OP</x:t>
        </x:is>
      </x:c>
      <x:c r="C1220" s="6" t="inlineStr">
        <x:is>
          <x:t xml:space="preserve">Ogród zimowy poliwęglan - baza</x:t>
        </x:is>
      </x:c>
      <x:c r="D1220" s="6" t="inlineStr">
        <x:is>
          <x:t xml:space="preserve">OGRODY POLIWĘGLAN</x:t>
        </x:is>
      </x:c>
      <x:c r="E1220" s="8" t="n">
        <x:f>IFERROR(INDEX('02_RAW_INDEX'!$Z:$Z,MATCH($A1220,'02_RAW_INDEX'!$A:$A,0)),"")</x:f>
        <x:v>36537</x:v>
      </x:c>
      <x:c r="F1220" s="8" t="n">
        <x:f>IFERROR(INDEX('02_RAW_INDEX'!$Y:$Y,MATCH($A1220,'02_RAW_INDEX'!$A:$A,0)),"")</x:f>
        <x:v>44940</x:v>
      </x:c>
      <x:c r="G1220" s="7" t="n">
        <x:f>'01_Ustawienia'!$B$6</x:f>
        <x:v>0</x:v>
      </x:c>
      <x:c r="H1220" s="8" t="n">
        <x:f>IF(E1220="","",ROUND(IF('01_Ustawienia'!$B$5="BRUTTO",F1220,E1220)*(1-G1220),0))</x:f>
        <x:v>36537</x:v>
      </x:c>
      <x:c r="I1220" s="7" t="n">
        <x:f>IFERROR(IFERROR(INDEX('01_Ustawienia'!$B$15:$B$33,MATCH(B1220,'01_Ustawienia'!$A$15:$A$33,0)),0.45),0.45)</x:f>
        <x:v>0.45</x:v>
      </x:c>
      <x:c r="J1220" s="8" t="n">
        <x:f>IF(H1220="","",ROUND(H1220*(1+I1220),0))</x:f>
        <x:v>52979</x:v>
      </x:c>
      <x:c r="K1220" s="580" t="n">
        <x:v>6490</x:v>
      </x:c>
      <x:c r="L1220" s="580" t="n">
        <x:v>2430</x:v>
      </x:c>
      <x:c r="M1220" s="7" t="n">
        <x:f>IF('01_Ustawienia'!$B$4="ZWOLNIONY",0,'01_Ustawienia'!$B$7)</x:f>
        <x:v>0.08</x:v>
      </x:c>
      <x:c r="N1220" s="8" t="n">
        <x:f>IF(J1220="","",ROUND((J1220+K1220)*(1+M1220),0))</x:f>
        <x:v>64227</x:v>
      </x:c>
      <x:c r="O1220" s="8" t="n">
        <x:f>IF(J1220="","",J1220+K1220-H1220-L1220)</x:f>
        <x:v>20502</x:v>
      </x:c>
      <x:c r="P1220" s="7" t="n">
        <x:f>IFERROR(O1220/(J1220+K1220),"")</x:f>
        <x:v>0.34475104676386015</x:v>
      </x:c>
      <x:c r="Q1220" s="6" t="inlineStr">
        <x:is>
          <x:t xml:space="preserve">RAW_OP B/C</x:t>
        </x:is>
      </x:c>
      <x:c r="R1220" s="6" t="inlineStr">
        <x:is>
          <x:t xml:space="preserve">OGRÓD ZIMOWY (KONSTRUKCJA)</x:t>
        </x:is>
      </x:c>
      <x:c r="S1220" s="6" t="inlineStr">
        <x:is>
          <x:t xml:space="preserve">website+crm</x:t>
        </x:is>
      </x:c>
      <x:c r="T1220" s="581" t="inlineStr">
        <x:is>
          <x:t xml:space="preserve">Do wyliczenia dopłaty za ściany | FIX11: K/L 550/600 wg ark. 09 (UZUPEŁNIĆ).</x:t>
        </x:is>
      </x:c>
    </x:row>
    <x:row r="1221" s="655" customFormat="1" ht="30" customHeight="1">
      <x:c r="A1221" s="6" t="inlineStr">
        <x:is>
          <x:t xml:space="preserve">600 x 706 cm</x:t>
        </x:is>
      </x:c>
      <x:c r="B1221" s="6" t="inlineStr">
        <x:is>
          <x:t xml:space="preserve">OS</x:t>
        </x:is>
      </x:c>
      <x:c r="C1221" s="6" t="inlineStr">
        <x:is>
          <x:t xml:space="preserve">Ogród zimowy szkło - pełna konstrukcja</x:t>
        </x:is>
      </x:c>
      <x:c r="D1221" s="6" t="inlineStr">
        <x:is>
          <x:t xml:space="preserve">OGRODY SZKŁO</x:t>
        </x:is>
      </x:c>
      <x:c r="E1221" s="8" t="str">
        <x:f>IFERROR(INDEX('02_RAW_INDEX'!$AL:$AL,MATCH($A1221,'02_RAW_INDEX'!$A:$A,0)),"")</x:f>
      </x:c>
      <x:c r="F1221" s="8" t="str">
        <x:f>IFERROR(INDEX('02_RAW_INDEX'!$AK:$AK,MATCH($A1221,'02_RAW_INDEX'!$A:$A,0)),"")</x:f>
      </x:c>
      <x:c r="G1221" s="7" t="n">
        <x:f>'01_Ustawienia'!$B$6</x:f>
        <x:v>0</x:v>
      </x:c>
      <x:c r="H1221" s="8" t="str">
        <x:f>IF(E1221="","",ROUND(IF('01_Ustawienia'!$B$5="BRUTTO",F1221,E1221)*(1-G1221),0))</x:f>
      </x:c>
      <x:c r="I1221" s="7" t="n">
        <x:f>IFERROR(IFERROR(INDEX('01_Ustawienia'!$B$15:$B$33,MATCH(B1221,'01_Ustawienia'!$A$15:$A$33,0)),0.45),0.45)</x:f>
        <x:v>0.45</x:v>
      </x:c>
      <x:c r="J1221" s="8" t="str">
        <x:f>IF(H1221="","",ROUND(H1221*(1+I1221),0))</x:f>
      </x:c>
      <x:c r="K1221" s="580" t="n">
        <x:v>6490</x:v>
      </x:c>
      <x:c r="L1221" s="580" t="n">
        <x:v>2920</x:v>
      </x:c>
      <x:c r="M1221" s="7" t="n">
        <x:f>IF('01_Ustawienia'!$B$4="ZWOLNIONY",0,'01_Ustawienia'!$B$7)</x:f>
        <x:v>0.08</x:v>
      </x:c>
      <x:c r="N1221" s="8" t="str">
        <x:f>IF(J1221="","",ROUND((J1221+K1221)*(1+M1221),0))</x:f>
      </x:c>
      <x:c r="O1221" s="8" t="str">
        <x:f>IF(J1221="","",J1221+K1221-H1221-L1221)</x:f>
      </x:c>
      <x:c r="P1221" s="7" t="n">
        <x:f>IFERROR(O1221/(J1221+K1221),"")</x:f>
        <x:v>0</x:v>
      </x:c>
      <x:c r="Q1221" s="6" t="inlineStr">
        <x:is>
          <x:t xml:space="preserve">RAW_OS B/C</x:t>
        </x:is>
      </x:c>
      <x:c r="R1221" s="6" t="inlineStr">
        <x:is>
          <x:t xml:space="preserve">OGRÓD ZIMOWY (KONSTRUKCJA)</x:t>
        </x:is>
      </x:c>
      <x:c r="S1221" s="6" t="inlineStr">
        <x:is>
          <x:t xml:space="preserve">crm_only</x:t>
        </x:is>
      </x:c>
      <x:c r="T1221" s="581" t="inlineStr">
        <x:is>
          <x:t xml:space="preserve">Referencyjne/full | FIX11: K/L 550/600 wg ark. 09 (NIE PUBLIKOWAĆ / BRAK RAW_OS).</x:t>
        </x:is>
      </x:c>
    </x:row>
    <x:row r="1222" s="655" customFormat="1" ht="30" customHeight="1">
      <x:c r="A1222" s="6" t="inlineStr">
        <x:is>
          <x:t xml:space="preserve">600 x 706 cm</x:t>
        </x:is>
      </x:c>
      <x:c r="B1222" s="6" t="inlineStr">
        <x:is>
          <x:t xml:space="preserve">PDS</x:t>
        </x:is>
      </x:c>
      <x:c r="C1222" s="6" t="inlineStr">
        <x:is>
          <x:t xml:space="preserve">Dopłata dach szkło przezroczyste</x:t>
        </x:is>
      </x:c>
      <x:c r="D1222" s="6" t="inlineStr">
        <x:is>
          <x:t xml:space="preserve">POKRYCIE DACHU SZKŁO</x:t>
        </x:is>
      </x:c>
      <x:c r="E1222" s="8" t="n">
        <x:f>IFERROR(IFERROR(INDEX('02_RAW_INDEX'!$V:$V,MATCH($A1222,'02_RAW_INDEX'!$A:$A,0)),"")-IFERROR(INDEX('02_RAW_INDEX'!$D:$D,MATCH($A1222,'02_RAW_INDEX'!$A:$A,0)),""),"")</x:f>
        <x:v>-19772</x:v>
      </x:c>
      <x:c r="F1222" s="8" t="n">
        <x:f>IFERROR(IFERROR(INDEX('02_RAW_INDEX'!$U:$U,MATCH($A1222,'02_RAW_INDEX'!$A:$A,0)),"")-IFERROR(INDEX('02_RAW_INDEX'!$C:$C,MATCH($A1222,'02_RAW_INDEX'!$A:$A,0)),""),"")</x:f>
        <x:v>-24320</x:v>
      </x:c>
      <x:c r="G1222" s="7" t="n">
        <x:f>'01_Ustawienia'!$B$6</x:f>
        <x:v>0</x:v>
      </x:c>
      <x:c r="H1222" s="8" t="n">
        <x:f>IF(E1222="","",ROUND(IF('01_Ustawienia'!$B$5="BRUTTO",F1222,E1222)*(1-G1222),0))</x:f>
        <x:v>-19772</x:v>
      </x:c>
      <x:c r="I1222" s="7" t="n">
        <x:f>IFERROR(IFERROR(INDEX('01_Ustawienia'!$B$15:$B$33,MATCH(B1222,'01_Ustawienia'!$A$15:$A$33,0)),0.45),0.45)</x:f>
        <x:v>0.45</x:v>
      </x:c>
      <x:c r="J1222" s="8" t="n">
        <x:f>IF(H1222="","",ROUND(H1222*(1+I1222),0))</x:f>
        <x:v>-28669</x:v>
      </x:c>
      <x:c r="K1222" s="580" t="n">
        <x:v>0</x:v>
      </x:c>
      <x:c r="L1222" s="580" t="n">
        <x:v>0</x:v>
      </x:c>
      <x:c r="M1222" s="7" t="n">
        <x:f>IF('01_Ustawienia'!$B$4="ZWOLNIONY",0,'01_Ustawienia'!$B$7)</x:f>
        <x:v>0.08</x:v>
      </x:c>
      <x:c r="N1222" s="8" t="n">
        <x:f>IF(J1222="","",ROUND((J1222+K1222)*(1+M1222),0))</x:f>
        <x:v>-30963</x:v>
      </x:c>
      <x:c r="O1222" s="8" t="n">
        <x:f>IF(J1222="","",J1222+K1222-H1222-L1222)</x:f>
        <x:v>-8897</x:v>
      </x:c>
      <x:c r="P1222" s="7" t="n">
        <x:f>IFERROR(O1222/(J1222+K1222),"")</x:f>
        <x:v>0.31033520527398933</x:v>
      </x:c>
      <x:c r="Q1222" s="6" t="inlineStr">
        <x:is>
          <x:t xml:space="preserve">RAW_ZS - RAW_ZP</x:t>
        </x:is>
      </x:c>
      <x:c r="R1222" s="6" t="inlineStr">
        <x:is>
          <x:t xml:space="preserve">POKRYCIE DACHU</x:t>
        </x:is>
      </x:c>
      <x:c r="S1222" s="6" t="inlineStr">
        <x:is>
          <x:t xml:space="preserve">website+crm</x:t>
        </x:is>
      </x:c>
      <x:c r="T1222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223" s="655" customFormat="1" ht="30" customHeight="1">
      <x:c r="A1223" s="6" t="inlineStr">
        <x:is>
          <x:t xml:space="preserve">600 x 706 cm</x:t>
        </x:is>
      </x:c>
      <x:c r="B1223" s="6" t="inlineStr">
        <x:is>
          <x:t xml:space="preserve">PDSB</x:t>
        </x:is>
      </x:c>
      <x:c r="C1223" s="6" t="inlineStr">
        <x:is>
          <x:t xml:space="preserve">Dopłata dach szkło barwione/mleczne</x:t>
        </x:is>
      </x:c>
      <x:c r="D1223" s="6" t="inlineStr">
        <x:is>
          <x:t xml:space="preserve">POKRYCIE DACHU SZKŁO BARWIONE</x:t>
        </x:is>
      </x:c>
      <x:c r="E1223" s="8" t="str">
        <x:f>IFERROR(INDEX('02_RAW_INDEX'!$X:$X,MATCH($A1223,'02_RAW_INDEX'!$A:$A,0)),"")</x:f>
      </x:c>
      <x:c r="F1223" s="8" t="str">
        <x:f>IFERROR(INDEX('02_RAW_INDEX'!$W:$W,MATCH($A1223,'02_RAW_INDEX'!$A:$A,0)),"")</x:f>
      </x:c>
      <x:c r="G1223" s="7" t="n">
        <x:f>'01_Ustawienia'!$B$6</x:f>
        <x:v>0</x:v>
      </x:c>
      <x:c r="H1223" s="8" t="str">
        <x:f>IF(E1223="","",ROUND(IF('01_Ustawienia'!$B$5="BRUTTO",F1223,E1223)*(1-G1223),0))</x:f>
      </x:c>
      <x:c r="I1223" s="7" t="n">
        <x:f>IFERROR(IFERROR(INDEX('01_Ustawienia'!$B$15:$B$33,MATCH(B1223,'01_Ustawienia'!$A$15:$A$33,0)),0.45),0.45)</x:f>
        <x:v>0.45</x:v>
      </x:c>
      <x:c r="J1223" s="8" t="str">
        <x:f>IF(H1223="","",ROUND(H1223*(1+I1223),0))</x:f>
      </x:c>
      <x:c r="K1223" s="582" t="n">
        <x:v>0</x:v>
      </x:c>
      <x:c r="L1223" s="582" t="n">
        <x:v>0</x:v>
      </x:c>
      <x:c r="M1223" s="7" t="n">
        <x:f>IF('01_Ustawienia'!$B$4="ZWOLNIONY",0,'01_Ustawienia'!$B$7)</x:f>
        <x:v>0.08</x:v>
      </x:c>
      <x:c r="N1223" s="8" t="str">
        <x:f>IF(J1223="","",ROUND((J1223+K1223)*(1+M1223),0))</x:f>
      </x:c>
      <x:c r="O1223" s="8" t="str">
        <x:f>IF(J1223="","",J1223+K1223-H1223-L1223)</x:f>
      </x:c>
      <x:c r="P1223" s="7" t="str">
        <x:f>IFERROR(O1223/(J1223+K1223),"")</x:f>
      </x:c>
      <x:c r="Q1223" s="6" t="inlineStr">
        <x:is>
          <x:t xml:space="preserve">RAW_ZS D/E</x:t>
        </x:is>
      </x:c>
      <x:c r="R1223" s="6" t="inlineStr">
        <x:is>
          <x:t xml:space="preserve">POKRYCIE DACHU</x:t>
        </x:is>
      </x:c>
      <x:c r="S1223" s="6" t="inlineStr">
        <x:is>
          <x:t xml:space="preserve">website+crm</x:t>
        </x:is>
      </x:c>
      <x:c r="T1223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224" s="655" customFormat="1" ht="30" customHeight="1">
      <x:c r="A1224" s="6" t="inlineStr">
        <x:is>
          <x:t xml:space="preserve">600 x 706 cm</x:t>
        </x:is>
      </x:c>
      <x:c r="B1224" s="6" t="inlineStr">
        <x:is>
          <x:t xml:space="preserve">PDPB</x:t>
        </x:is>
      </x:c>
      <x:c r="C1224" s="6" t="inlineStr">
        <x:is>
          <x:t xml:space="preserve">Dopłata poliwęglan barwiony</x:t>
        </x:is>
      </x:c>
      <x:c r="D1224" s="6" t="inlineStr">
        <x:is>
          <x:t xml:space="preserve">POKRYCIE DACHU POLIWĘGLAN BARWIONY</x:t>
        </x:is>
      </x:c>
      <x:c r="E1224" s="8" t="n">
        <x:f>IFERROR(INDEX('02_RAW_INDEX'!$F:$F,MATCH($A1224,'02_RAW_INDEX'!$A:$A,0)),"")</x:f>
        <x:v>593</x:v>
      </x:c>
      <x:c r="F1224" s="8" t="n">
        <x:f>IFERROR(INDEX('02_RAW_INDEX'!$E:$E,MATCH($A1224,'02_RAW_INDEX'!$A:$A,0)),"")</x:f>
        <x:v>730</x:v>
      </x:c>
      <x:c r="G1224" s="7" t="n">
        <x:f>'01_Ustawienia'!$B$6</x:f>
        <x:v>0</x:v>
      </x:c>
      <x:c r="H1224" s="8" t="n">
        <x:f>IF(E1224="","",ROUND(IF('01_Ustawienia'!$B$5="BRUTTO",F1224,E1224)*(1-G1224),0))</x:f>
        <x:v>593</x:v>
      </x:c>
      <x:c r="I1224" s="7" t="n">
        <x:f>IFERROR(IFERROR(INDEX('01_Ustawienia'!$B$15:$B$33,MATCH(B1224,'01_Ustawienia'!$A$15:$A$33,0)),0.45),0.45)</x:f>
        <x:v>0.45</x:v>
      </x:c>
      <x:c r="J1224" s="8" t="n">
        <x:f>IF(H1224="","",ROUND(H1224*(1+I1224),0))</x:f>
        <x:v>860</x:v>
      </x:c>
      <x:c r="K1224" s="582" t="n">
        <x:v>0</x:v>
      </x:c>
      <x:c r="L1224" s="582" t="n">
        <x:v>0</x:v>
      </x:c>
      <x:c r="M1224" s="7" t="n">
        <x:f>IF('01_Ustawienia'!$B$4="ZWOLNIONY",0,'01_Ustawienia'!$B$7)</x:f>
        <x:v>0.08</x:v>
      </x:c>
      <x:c r="N1224" s="8" t="n">
        <x:f>IF(J1224="","",ROUND((J1224+K1224)*(1+M1224),0))</x:f>
        <x:v>929</x:v>
      </x:c>
      <x:c r="O1224" s="8" t="n">
        <x:f>IF(J1224="","",J1224+K1224-H1224-L1224)</x:f>
        <x:v>267</x:v>
      </x:c>
      <x:c r="P1224" s="7" t="n">
        <x:f>IFERROR(O1224/(J1224+K1224),"")</x:f>
        <x:v>0.31046511627906975</x:v>
      </x:c>
      <x:c r="Q1224" s="6" t="inlineStr">
        <x:is>
          <x:t xml:space="preserve">RAW_ZP D/E</x:t>
        </x:is>
      </x:c>
      <x:c r="R1224" s="6" t="inlineStr">
        <x:is>
          <x:t xml:space="preserve">POKRYCIE DACHU</x:t>
        </x:is>
      </x:c>
      <x:c r="S1224" s="6" t="inlineStr">
        <x:is>
          <x:t xml:space="preserve">website+crm</x:t>
        </x:is>
      </x:c>
      <x:c r="T1224" s="581" t="inlineStr">
        <x:is>
          <x:t xml:space="preserve">FIX11: K/L 550/600 wg ark. 09 (POZOSTAWIĆ 0). | FIX17: Wynagr.+koszty = 0 dla dopłaty; nie jest osobnym montażem ekipy.</x:t>
        </x:is>
      </x:c>
    </x:row>
    <x:row r="1225" s="655" customFormat="1" ht="30" customHeight="1">
      <x:c r="A1225" s="6" t="inlineStr">
        <x:is>
          <x:t xml:space="preserve">600 x 706 cm</x:t>
        </x:is>
      </x:c>
      <x:c r="B1225" s="6" t="inlineStr">
        <x:is>
          <x:t xml:space="preserve">SBB</x:t>
        </x:is>
      </x:c>
      <x:c r="C1225" s="6" t="inlineStr">
        <x:is>
          <x:t xml:space="preserve">Dopłata szkło boczne przyciemniane</x:t>
        </x:is>
      </x:c>
      <x:c r="D1225" s="6" t="inlineStr">
        <x:is>
          <x:t xml:space="preserve">SZKŁO BOCZNE BARWIONE</x:t>
        </x:is>
      </x:c>
      <x:c r="E1225" s="8" t="n">
        <x:f>IFERROR(INDEX('02_RAW_INDEX'!$AB:$AB,MATCH($A1225,'02_RAW_INDEX'!$A:$A,0)),"")</x:f>
        <x:v>1854</x:v>
      </x:c>
      <x:c r="F1225" s="8" t="n">
        <x:f>IFERROR(INDEX('02_RAW_INDEX'!$AA:$AA,MATCH($A1225,'02_RAW_INDEX'!$A:$A,0)),"")</x:f>
        <x:v>2280</x:v>
      </x:c>
      <x:c r="G1225" s="7" t="n">
        <x:f>'01_Ustawienia'!$B$6</x:f>
        <x:v>0</x:v>
      </x:c>
      <x:c r="H1225" s="8" t="n">
        <x:f>IF(E1225="","",ROUND(IF('01_Ustawienia'!$B$5="BRUTTO",F1225,E1225)*(1-G1225),0))</x:f>
        <x:v>1854</x:v>
      </x:c>
      <x:c r="I1225" s="7" t="n">
        <x:f>IFERROR(IFERROR(INDEX('01_Ustawienia'!$B$15:$B$33,MATCH(B1225,'01_Ustawienia'!$A$15:$A$33,0)),0.45),0.45)</x:f>
        <x:v>0.45</x:v>
      </x:c>
      <x:c r="J1225" s="8" t="n">
        <x:f>IF(H1225="","",ROUND(H1225*(1+I1225),0))</x:f>
        <x:v>2688</x:v>
      </x:c>
      <x:c r="K1225" s="582" t="n">
        <x:v>0</x:v>
      </x:c>
      <x:c r="L1225" s="582" t="n">
        <x:v>0</x:v>
      </x:c>
      <x:c r="M1225" s="7" t="n">
        <x:f>IF('01_Ustawienia'!$B$4="ZWOLNIONY",0,'01_Ustawienia'!$B$7)</x:f>
        <x:v>0.08</x:v>
      </x:c>
      <x:c r="N1225" s="8" t="n">
        <x:f>IF(J1225="","",ROUND((J1225+K1225)*(1+M1225),0))</x:f>
        <x:v>2903</x:v>
      </x:c>
      <x:c r="O1225" s="8" t="n">
        <x:f>IF(J1225="","",J1225+K1225-H1225-L1225)</x:f>
        <x:v>834</x:v>
      </x:c>
      <x:c r="P1225" s="7" t="n">
        <x:f>IFERROR(O1225/(J1225+K1225),"")</x:f>
        <x:v>0.31026785714285715</x:v>
      </x:c>
      <x:c r="Q1225" s="6" t="inlineStr">
        <x:is>
          <x:t xml:space="preserve">RAW_OP H/I</x:t>
        </x:is>
      </x:c>
      <x:c r="R1225" s="6" t="inlineStr">
        <x:is>
          <x:t xml:space="preserve">SZYBY BOCZNE</x:t>
        </x:is>
      </x:c>
      <x:c r="S1225" s="6" t="inlineStr">
        <x:is>
          <x:t xml:space="preserve">website+crm</x:t>
        </x:is>
      </x:c>
      <x:c r="T1225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226" s="655" customFormat="1" ht="29.5" customHeight="1">
      <x:c r="A1226" s="6" t="inlineStr">
        <x:is>
          <x:t xml:space="preserve">600 x 706 cm</x:t>
        </x:is>
      </x:c>
      <x:c r="B1226" s="6" t="inlineStr">
        <x:is>
          <x:t xml:space="preserve">RB</x:t>
        </x:is>
      </x:c>
      <x:c r="C1226" s="6" t="inlineStr">
        <x:is>
          <x:t xml:space="preserve">Roleta boczna ZIP</x:t>
        </x:is>
      </x:c>
      <x:c r="D1226" s="6" t="inlineStr">
        <x:is>
          <x:t xml:space="preserve">ROLETA BOCZNA</x:t>
        </x:is>
      </x:c>
      <x:c r="E1226" s="8" t="n">
        <x:f>IFERROR(INDEX('02_RAW_INDEX'!$J:$J,MATCH($A1226,'02_RAW_INDEX'!$A:$A,0)),"")</x:f>
        <x:v>3472</x:v>
      </x:c>
      <x:c r="F1226" s="8" t="n">
        <x:f>IFERROR(INDEX('02_RAW_INDEX'!$I:$I,MATCH($A1226,'02_RAW_INDEX'!$A:$A,0)),"")</x:f>
        <x:v>4270</x:v>
      </x:c>
      <x:c r="G1226" s="7" t="n">
        <x:f>'01_Ustawienia'!$B$6</x:f>
        <x:v>0</x:v>
      </x:c>
      <x:c r="H1226" s="8" t="n">
        <x:f>IF(E1226="","",ROUND(IF('01_Ustawienia'!$B$5="BRUTTO",F1226,E1226)*(1-G1226),0))</x:f>
        <x:v>3472</x:v>
      </x:c>
      <x:c r="I1226" s="7" t="n">
        <x:f>IFERROR(IFERROR(INDEX('01_Ustawienia'!$B$15:$B$33,MATCH(B1226,'01_Ustawienia'!$A$15:$A$33,0)),0.45),0.45)</x:f>
        <x:v>0.45</x:v>
      </x:c>
      <x:c r="J1226" s="8" t="n">
        <x:f>IF(H1226="","",ROUND(H1226*(1+I1226),0))</x:f>
        <x:v>5034</x:v>
      </x:c>
      <x:c r="K1226" s="580" t="n">
        <x:v>0</x:v>
      </x:c>
      <x:c r="L1226" s="580" t="n">
        <x:v>150</x:v>
      </x:c>
      <x:c r="M1226" s="7" t="n">
        <x:f>IF('01_Ustawienia'!$B$4="ZWOLNIONY",0,'01_Ustawienia'!$B$7)</x:f>
        <x:v>0.08</x:v>
      </x:c>
      <x:c r="N1226" s="8" t="n">
        <x:f>IF(J1226="","",ROUND((J1226+K1226)*(1+M1226),0))</x:f>
        <x:v>5437</x:v>
      </x:c>
      <x:c r="O1226" s="8" t="n">
        <x:f>IF(J1226="","",J1226+K1226-H1226-L1226)</x:f>
        <x:v>1412</x:v>
      </x:c>
      <x:c r="P1226" s="7" t="n">
        <x:f>IFERROR(O1226/(J1226+K1226),"")</x:f>
        <x:v>0.28049264998013507</x:v>
      </x:c>
      <x:c r="Q1226" s="6" t="inlineStr">
        <x:is>
          <x:t xml:space="preserve">RAW_ZP J/K</x:t>
        </x:is>
      </x:c>
      <x:c r="R1226" s="6" t="inlineStr">
        <x:is>
          <x:t xml:space="preserve">ROLETY BOCZNE</x:t>
        </x:is>
      </x:c>
      <x:c r="S1226" s="6" t="inlineStr">
        <x:is>
          <x:t xml:space="preserve">website+crm</x:t>
        </x:is>
      </x:c>
      <x:c r="T1226" s="581" t="inlineStr">
        <x:is>
          <x:t xml:space="preserve">Używana dla lewej i prawej | FIX11: K/L 550/600 wg ark. 09 (UZUPEŁNIĆ L).</x:t>
        </x:is>
      </x:c>
    </x:row>
    <x:row r="1227" s="655" customFormat="1" ht="29.5" customHeight="1">
      <x:c r="A1227" s="6" t="inlineStr">
        <x:is>
          <x:t xml:space="preserve">600 x 706 cm</x:t>
        </x:is>
      </x:c>
      <x:c r="B1227" s="6" t="inlineStr">
        <x:is>
          <x:t xml:space="preserve">RP</x:t>
        </x:is>
      </x:c>
      <x:c r="C1227" s="6" t="inlineStr">
        <x:is>
          <x:t xml:space="preserve">Roleta przednia ZIP</x:t>
        </x:is>
      </x:c>
      <x:c r="D1227" s="6" t="inlineStr">
        <x:is>
          <x:t xml:space="preserve">ROLETA PRZÓD</x:t>
        </x:is>
      </x:c>
      <x:c r="E1227" s="8" t="n">
        <x:f>IFERROR(INDEX('02_RAW_INDEX'!$L:$L,MATCH($A1227,'02_RAW_INDEX'!$A:$A,0)),"")</x:f>
        <x:v>3886</x:v>
      </x:c>
      <x:c r="F1227" s="8" t="n">
        <x:f>IFERROR(INDEX('02_RAW_INDEX'!$K:$K,MATCH($A1227,'02_RAW_INDEX'!$A:$A,0)),"")</x:f>
        <x:v>4780</x:v>
      </x:c>
      <x:c r="G1227" s="7" t="n">
        <x:f>'01_Ustawienia'!$B$6</x:f>
        <x:v>0</x:v>
      </x:c>
      <x:c r="H1227" s="8" t="n">
        <x:f>IF(E1227="","",ROUND(IF('01_Ustawienia'!$B$5="BRUTTO",F1227,E1227)*(1-G1227),0))</x:f>
        <x:v>3886</x:v>
      </x:c>
      <x:c r="I1227" s="7" t="n">
        <x:f>IFERROR(IFERROR(INDEX('01_Ustawienia'!$B$15:$B$33,MATCH(B1227,'01_Ustawienia'!$A$15:$A$33,0)),0.45),0.45)</x:f>
        <x:v>0.45</x:v>
      </x:c>
      <x:c r="J1227" s="8" t="n">
        <x:f>IF(H1227="","",ROUND(H1227*(1+I1227),0))</x:f>
        <x:v>5635</x:v>
      </x:c>
      <x:c r="K1227" s="580" t="n">
        <x:v>0</x:v>
      </x:c>
      <x:c r="L1227" s="580" t="n">
        <x:v>300</x:v>
      </x:c>
      <x:c r="M1227" s="7" t="n">
        <x:f>IF('01_Ustawienia'!$B$4="ZWOLNIONY",0,'01_Ustawienia'!$B$7)</x:f>
        <x:v>0.08</x:v>
      </x:c>
      <x:c r="N1227" s="8" t="n">
        <x:f>IF(J1227="","",ROUND((J1227+K1227)*(1+M1227),0))</x:f>
        <x:v>6086</x:v>
      </x:c>
      <x:c r="O1227" s="8" t="n">
        <x:f>IF(J1227="","",J1227+K1227-H1227-L1227)</x:f>
        <x:v>1449</x:v>
      </x:c>
      <x:c r="P1227" s="7" t="n">
        <x:f>IFERROR(O1227/(J1227+K1227),"")</x:f>
        <x:v>0.2571428571428571</x:v>
      </x:c>
      <x:c r="Q1227" s="6" t="inlineStr">
        <x:is>
          <x:t xml:space="preserve">RAW_ZP N/O</x:t>
        </x:is>
      </x:c>
      <x:c r="R1227" s="6" t="inlineStr">
        <x:is>
          <x:t xml:space="preserve">ROLETY BOCZNE</x:t>
        </x:is>
      </x:c>
      <x:c r="S1227" s="6" t="inlineStr">
        <x:is>
          <x:t xml:space="preserve">website+crm</x:t>
        </x:is>
      </x:c>
      <x:c r="T1227" s="581" t="inlineStr">
        <x:is>
          <x:t xml:space="preserve">FIX11: K/L 550/600 wg ark. 09 (UZUPEŁNIĆ L).</x:t>
        </x:is>
      </x:c>
    </x:row>
    <x:row r="1228" s="655" customFormat="1" ht="29.5" customHeight="1">
      <x:c r="A1228" s="6" t="inlineStr">
        <x:is>
          <x:t xml:space="preserve">600 x 706 cm</x:t>
        </x:is>
      </x:c>
      <x:c r="B1228" s="6" t="inlineStr">
        <x:is>
          <x:t xml:space="preserve">M</x:t>
        </x:is>
      </x:c>
      <x:c r="C1228" s="6" t="inlineStr">
        <x:is>
          <x:t xml:space="preserve">Markiza dachowa</x:t>
        </x:is>
      </x:c>
      <x:c r="D1228" s="6" t="inlineStr">
        <x:is>
          <x:t xml:space="preserve">MARKIZA</x:t>
        </x:is>
      </x:c>
      <x:c r="E1228" s="8" t="n">
        <x:f>IFERROR(INDEX('02_RAW_INDEX'!$H:$H,MATCH($A1228,'02_RAW_INDEX'!$A:$A,0)),"")</x:f>
        <x:v>7285</x:v>
      </x:c>
      <x:c r="F1228" s="8" t="n">
        <x:f>IFERROR(INDEX('02_RAW_INDEX'!$G:$G,MATCH($A1228,'02_RAW_INDEX'!$A:$A,0)),"")</x:f>
        <x:v>8960</x:v>
      </x:c>
      <x:c r="G1228" s="7" t="n">
        <x:f>'01_Ustawienia'!$B$6</x:f>
        <x:v>0</x:v>
      </x:c>
      <x:c r="H1228" s="8" t="n">
        <x:f>IF(E1228="","",ROUND(IF('01_Ustawienia'!$B$5="BRUTTO",F1228,E1228)*(1-G1228),0))</x:f>
        <x:v>7285</x:v>
      </x:c>
      <x:c r="I1228" s="7" t="n">
        <x:f>IFERROR(IFERROR(INDEX('01_Ustawienia'!$B$15:$B$33,MATCH(B1228,'01_Ustawienia'!$A$15:$A$33,0)),0.45),0.45)</x:f>
        <x:v>0.45</x:v>
      </x:c>
      <x:c r="J1228" s="8" t="n">
        <x:f>IF(H1228="","",ROUND(H1228*(1+I1228),0))</x:f>
        <x:v>10563</x:v>
      </x:c>
      <x:c r="K1228" s="580" t="n">
        <x:v>0</x:v>
      </x:c>
      <x:c r="L1228" s="580" t="n">
        <x:v>450</x:v>
      </x:c>
      <x:c r="M1228" s="7" t="n">
        <x:f>IF('01_Ustawienia'!$B$4="ZWOLNIONY",0,'01_Ustawienia'!$B$7)</x:f>
        <x:v>0.08</x:v>
      </x:c>
      <x:c r="N1228" s="8" t="n">
        <x:f>IF(J1228="","",ROUND((J1228+K1228)*(1+M1228),0))</x:f>
        <x:v>11408</x:v>
      </x:c>
      <x:c r="O1228" s="8" t="n">
        <x:f>IF(J1228="","",J1228+K1228-H1228-L1228)</x:f>
        <x:v>2828</x:v>
      </x:c>
      <x:c r="P1228" s="7" t="n">
        <x:f>IFERROR(O1228/(J1228+K1228),"")</x:f>
        <x:v>0.26772697150430746</x:v>
      </x:c>
      <x:c r="Q1228" s="6" t="inlineStr">
        <x:is>
          <x:t xml:space="preserve">RAW_ZP H/I</x:t>
        </x:is>
      </x:c>
      <x:c r="R1228" s="6" t="inlineStr">
        <x:is>
          <x:t xml:space="preserve">MARKIZA</x:t>
        </x:is>
      </x:c>
      <x:c r="S1228" s="6" t="inlineStr">
        <x:is>
          <x:t xml:space="preserve">website+crm</x:t>
        </x:is>
      </x:c>
      <x:c r="T1228" s="581" t="inlineStr">
        <x:is>
          <x:t xml:space="preserve">FIX11: K/L 550/600 wg ark. 09 (UZUPEŁNIĆ L).</x:t>
        </x:is>
      </x:c>
    </x:row>
    <x:row r="1229" s="655" customFormat="1" ht="44.25" customHeight="1">
      <x:c r="A1229" s="6" t="inlineStr">
        <x:is>
          <x:t xml:space="preserve">600 x 706 cm</x:t>
        </x:is>
      </x:c>
      <x:c r="B1229" s="6" t="inlineStr">
        <x:is>
          <x:t xml:space="preserve">PDWP</x:t>
        </x:is>
      </x:c>
      <x:c r="C1229" s="6" t="inlineStr">
        <x:is>
          <x:t xml:space="preserve">Fundament/profile</x:t>
        </x:is>
      </x:c>
      <x:c r="D1229" s="6" t="inlineStr">
        <x:is>
          <x:t xml:space="preserve">FUNDAMENT / PROFILE</x:t>
        </x:is>
      </x:c>
      <x:c r="E1229" s="8" t="n">
        <x:f>IFERROR(INDEX('02_RAW_INDEX'!$AH:$AH,MATCH($A1229,'02_RAW_INDEX'!$A:$A,0)),"")</x:f>
        <x:v>1220</x:v>
      </x:c>
      <x:c r="F1229" s="8" t="n">
        <x:f>IFERROR(INDEX('02_RAW_INDEX'!$AG:$AG,MATCH($A1229,'02_RAW_INDEX'!$A:$A,0)),"")</x:f>
        <x:v>1500</x:v>
      </x:c>
      <x:c r="G1229" s="7" t="n">
        <x:f>'01_Ustawienia'!$B$6</x:f>
        <x:v>0</x:v>
      </x:c>
      <x:c r="H1229" s="8" t="n">
        <x:f>IF(E1229="","",ROUND(IF('01_Ustawienia'!$B$5="BRUTTO",F1229,E1229)*(1-G1229),0))</x:f>
        <x:v>1220</x:v>
      </x:c>
      <x:c r="I1229" s="7" t="n">
        <x:f>IFERROR(IFERROR(INDEX('01_Ustawienia'!$B$15:$B$33,MATCH(B1229,'01_Ustawienia'!$A$15:$A$33,0)),0.45),0.45)</x:f>
        <x:v>1.2</x:v>
      </x:c>
      <x:c r="J1229" s="8" t="n">
        <x:f>IF(H1229="","",ROUND(H1229*(1+I1229),0))</x:f>
        <x:v>2684</x:v>
      </x:c>
      <x:c r="K1229" s="580" t="n">
        <x:v>620</x:v>
      </x:c>
      <x:c r="L1229" s="580" t="n">
        <x:v>570</x:v>
      </x:c>
      <x:c r="M1229" s="7" t="n">
        <x:f>IF('01_Ustawienia'!$B$4="ZWOLNIONY",0,'01_Ustawienia'!$B$7)</x:f>
        <x:v>0.08</x:v>
      </x:c>
      <x:c r="N1229" s="8" t="n">
        <x:f>IF(J1229="","",ROUND((J1229+K1229)*(1+M1229),0))</x:f>
        <x:v>3568</x:v>
      </x:c>
      <x:c r="O1229" s="8" t="n">
        <x:f>IF(J1229="","",J1229+K1229-H1229-L1229)</x:f>
        <x:v>1514</x:v>
      </x:c>
      <x:c r="P1229" s="7" t="n">
        <x:f>IFERROR(O1229/(J1229+K1229),"")</x:f>
        <x:v>0.4582324455205811</x:v>
      </x:c>
      <x:c r="Q1229" s="6" t="inlineStr">
        <x:is>
          <x:t xml:space="preserve">RAW_OP AB/AC</x:t>
        </x:is>
      </x:c>
      <x:c r="R1229" s="6" t="inlineStr">
        <x:is>
          <x:t xml:space="preserve">FUNDAMENT (PROFILE)</x:t>
        </x:is>
      </x:c>
      <x:c r="S1229" s="6" t="inlineStr">
        <x:is>
          <x:t xml:space="preserve">website+crm</x:t>
        </x:is>
      </x:c>
      <x:c r="T1229" s="581" t="inlineStr">
        <x:is>
          <x:t xml:space="preserve">FIX11: K/L 550/600 wg ark. 09 (UZUPEŁNIĆ K+L / KOREKTA RENTOWNOŚCI).</x:t>
        </x:is>
      </x:c>
    </x:row>
    <x:row r="1230" s="655" customFormat="1" ht="30" customHeight="1">
      <x:c r="A1230" s="6" t="inlineStr">
        <x:is>
          <x:t xml:space="preserve">600 x 706 cm</x:t>
        </x:is>
      </x:c>
      <x:c r="B1230" s="6" t="inlineStr">
        <x:is>
          <x:t xml:space="preserve">ZAB</x:t>
        </x:is>
      </x:c>
      <x:c r="C1230" s="6" t="inlineStr">
        <x:is>
          <x:t xml:space="preserve">Zabieraki do ścian przesuwnych</x:t>
        </x:is>
      </x:c>
      <x:c r="D1230" s="6" t="inlineStr">
        <x:is>
          <x:t xml:space="preserve">DODATKI</x:t>
        </x:is>
      </x:c>
      <x:c r="E1230" s="8" t="n">
        <x:f>IFERROR(INDEX('02_RAW_INDEX'!$AJ:$AJ,MATCH($A1230,'02_RAW_INDEX'!$A:$A,0)),"")</x:f>
        <x:v>488</x:v>
      </x:c>
      <x:c r="F1230" s="8" t="n">
        <x:f>IFERROR(INDEX('02_RAW_INDEX'!$AI:$AI,MATCH($A1230,'02_RAW_INDEX'!$A:$A,0)),"")</x:f>
        <x:v>600</x:v>
      </x:c>
      <x:c r="G1230" s="7" t="n">
        <x:f>'01_Ustawienia'!$B$6</x:f>
        <x:v>0</x:v>
      </x:c>
      <x:c r="H1230" s="8" t="n">
        <x:f>IF(E1230="","",ROUND(IF('01_Ustawienia'!$B$5="BRUTTO",F1230,E1230)*(1-G1230),0))</x:f>
        <x:v>488</x:v>
      </x:c>
      <x:c r="I1230" s="7" t="n">
        <x:f>IFERROR(IFERROR(INDEX('01_Ustawienia'!$B$15:$B$33,MATCH(B1230,'01_Ustawienia'!$A$15:$A$33,0)),0.45),0.45)</x:f>
        <x:v>0.45</x:v>
      </x:c>
      <x:c r="J1230" s="8" t="n">
        <x:f>IF(H1230="","",ROUND(H1230*(1+I1230),0))</x:f>
        <x:v>708</x:v>
      </x:c>
      <x:c r="K1230" s="582" t="n">
        <x:v>0</x:v>
      </x:c>
      <x:c r="L1230" s="582" t="n">
        <x:v>0</x:v>
      </x:c>
      <x:c r="M1230" s="7" t="n">
        <x:f>IF('01_Ustawienia'!$B$4="ZWOLNIONY",0,'01_Ustawienia'!$B$7)</x:f>
        <x:v>0.08</x:v>
      </x:c>
      <x:c r="N1230" s="8" t="n">
        <x:f>IF(J1230="","",ROUND((J1230+K1230)*(1+M1230),0))</x:f>
        <x:v>765</x:v>
      </x:c>
      <x:c r="O1230" s="8" t="n">
        <x:f>IF(J1230="","",J1230+K1230-H1230-L1230)</x:f>
        <x:v>220</x:v>
      </x:c>
      <x:c r="P1230" s="7" t="n">
        <x:f>IFERROR(O1230/(J1230+K1230),"")</x:f>
        <x:v>0.3107344632768362</x:v>
      </x:c>
      <x:c r="Q1230" s="6" t="inlineStr">
        <x:is>
          <x:t xml:space="preserve">RAW_OP AD/AE</x:t>
        </x:is>
      </x:c>
      <x:c r="R1230" s="6" t="inlineStr">
        <x:is>
          <x:t xml:space="preserve">DODATKI</x:t>
        </x:is>
      </x:c>
      <x:c r="S1230" s="6" t="inlineStr">
        <x:is>
          <x:t xml:space="preserve">crm_only</x:t>
        </x:is>
      </x:c>
      <x:c r="T1230" s="581" t="inlineStr">
        <x:is>
          <x:t xml:space="preserve">FIX11: K/L 550/600 wg ark. 09 (POZOSTAWIĆ 0).</x:t>
        </x:is>
      </x:c>
    </x:row>
    <x:row r="1231" s="655" customFormat="1" ht="29.5" customHeight="1">
      <x:c r="A1231" s="6" t="inlineStr">
        <x:is>
          <x:t xml:space="preserve">600 x 706 cm</x:t>
        </x:is>
      </x:c>
      <x:c r="B1231" s="6" t="inlineStr">
        <x:is>
          <x:t xml:space="preserve">S</x:t>
        </x:is>
      </x:c>
      <x:c r="C1231" s="6" t="inlineStr">
        <x:is>
          <x:t xml:space="preserve">Szczotki przeciwkurzowe</x:t>
        </x:is>
      </x:c>
      <x:c r="D1231" s="6" t="inlineStr">
        <x:is>
          <x:t xml:space="preserve">SZCZOTKI</x:t>
        </x:is>
      </x:c>
      <x:c r="E1231" s="8" t="n">
        <x:f>IFERROR(INDEX('02_RAW_INDEX'!$AD:$AD,MATCH($A1231,'02_RAW_INDEX'!$A:$A,0)),"")</x:f>
        <x:v>528</x:v>
      </x:c>
      <x:c r="F1231" s="8" t="n">
        <x:f>IFERROR(INDEX('02_RAW_INDEX'!$AC:$AC,MATCH($A1231,'02_RAW_INDEX'!$A:$A,0)),"")</x:f>
        <x:v>650</x:v>
      </x:c>
      <x:c r="G1231" s="7" t="n">
        <x:f>'01_Ustawienia'!$B$6</x:f>
        <x:v>0</x:v>
      </x:c>
      <x:c r="H1231" s="8" t="n">
        <x:f>IF(E1231="","",ROUND(IF('01_Ustawienia'!$B$5="BRUTTO",F1231,E1231)*(1-G1231),0))</x:f>
        <x:v>528</x:v>
      </x:c>
      <x:c r="I1231" s="7" t="n">
        <x:f>IFERROR(IFERROR(INDEX('01_Ustawienia'!$B$15:$B$33,MATCH(B1231,'01_Ustawienia'!$A$15:$A$33,0)),0.45),0.45)</x:f>
        <x:v>0.45</x:v>
      </x:c>
      <x:c r="J1231" s="8" t="n">
        <x:f>IF(H1231="","",ROUND(H1231*(1+I1231),0))</x:f>
        <x:v>766</x:v>
      </x:c>
      <x:c r="K1231" s="582" t="n">
        <x:v>0</x:v>
      </x:c>
      <x:c r="L1231" s="582" t="n">
        <x:v>0</x:v>
      </x:c>
      <x:c r="M1231" s="7" t="n">
        <x:f>IF('01_Ustawienia'!$B$4="ZWOLNIONY",0,'01_Ustawienia'!$B$7)</x:f>
        <x:v>0.08</x:v>
      </x:c>
      <x:c r="N1231" s="8" t="n">
        <x:f>IF(J1231="","",ROUND((J1231+K1231)*(1+M1231),0))</x:f>
        <x:v>827</x:v>
      </x:c>
      <x:c r="O1231" s="8" t="n">
        <x:f>IF(J1231="","",J1231+K1231-H1231-L1231)</x:f>
        <x:v>238</x:v>
      </x:c>
      <x:c r="P1231" s="7" t="n">
        <x:f>IFERROR(O1231/(J1231+K1231),"")</x:f>
        <x:v>0.31070496083550914</x:v>
      </x:c>
      <x:c r="Q1231" s="6" t="inlineStr">
        <x:is>
          <x:t xml:space="preserve">RAW_OP L/M</x:t>
        </x:is>
      </x:c>
      <x:c r="R1231" s="6" t="inlineStr">
        <x:is>
          <x:t xml:space="preserve">DODATKI</x:t>
        </x:is>
      </x:c>
      <x:c r="S1231" s="6" t="inlineStr">
        <x:is>
          <x:t xml:space="preserve">website+crm</x:t>
        </x:is>
      </x:c>
      <x:c r="T1231" s="581" t="inlineStr">
        <x:is>
          <x:t xml:space="preserve">FIX11: K/L 550/600 wg ark. 09 (POZOSTAWIĆ 0).</x:t>
        </x:is>
      </x:c>
    </x:row>
    <x:row r="1232" s="655" customFormat="1" ht="29.5" customHeight="1">
      <x:c r="A1232" s="6" t="inlineStr">
        <x:is>
          <x:t xml:space="preserve">600 x 706 cm</x:t>
        </x:is>
      </x:c>
      <x:c r="B1232" s="6" t="inlineStr">
        <x:is>
          <x:t xml:space="preserve">U</x:t>
        </x:is>
      </x:c>
      <x:c r="C1232" s="6" t="inlineStr">
        <x:is>
          <x:t xml:space="preserve">Uchwyty na szkło ścienne</x:t>
        </x:is>
      </x:c>
      <x:c r="D1232" s="6" t="inlineStr">
        <x:is>
          <x:t xml:space="preserve">UCHWYTY</x:t>
        </x:is>
      </x:c>
      <x:c r="E1232" s="8" t="n">
        <x:f>IFERROR(INDEX('02_RAW_INDEX'!$AF:$AF,MATCH($A1232,'02_RAW_INDEX'!$A:$A,0)),"")</x:f>
        <x:v>480</x:v>
      </x:c>
      <x:c r="F1232" s="8" t="n">
        <x:f>IFERROR(INDEX('02_RAW_INDEX'!$AE:$AE,MATCH($A1232,'02_RAW_INDEX'!$A:$A,0)),"")</x:f>
        <x:v>590</x:v>
      </x:c>
      <x:c r="G1232" s="7" t="n">
        <x:f>'01_Ustawienia'!$B$6</x:f>
        <x:v>0</x:v>
      </x:c>
      <x:c r="H1232" s="8" t="n">
        <x:f>IF(E1232="","",ROUND(IF('01_Ustawienia'!$B$5="BRUTTO",F1232,E1232)*(1-G1232),0))</x:f>
        <x:v>480</x:v>
      </x:c>
      <x:c r="I1232" s="7" t="n">
        <x:f>IFERROR(IFERROR(INDEX('01_Ustawienia'!$B$15:$B$33,MATCH(B1232,'01_Ustawienia'!$A$15:$A$33,0)),0.45),0.45)</x:f>
        <x:v>0.45</x:v>
      </x:c>
      <x:c r="J1232" s="8" t="n">
        <x:f>IF(H1232="","",ROUND(H1232*(1+I1232),0))</x:f>
        <x:v>696</x:v>
      </x:c>
      <x:c r="K1232" s="582" t="n">
        <x:v>0</x:v>
      </x:c>
      <x:c r="L1232" s="582" t="n">
        <x:v>0</x:v>
      </x:c>
      <x:c r="M1232" s="7" t="n">
        <x:f>IF('01_Ustawienia'!$B$4="ZWOLNIONY",0,'01_Ustawienia'!$B$7)</x:f>
        <x:v>0.08</x:v>
      </x:c>
      <x:c r="N1232" s="8" t="n">
        <x:f>IF(J1232="","",ROUND((J1232+K1232)*(1+M1232),0))</x:f>
        <x:v>752</x:v>
      </x:c>
      <x:c r="O1232" s="8" t="n">
        <x:f>IF(J1232="","",J1232+K1232-H1232-L1232)</x:f>
        <x:v>216</x:v>
      </x:c>
      <x:c r="P1232" s="7" t="n">
        <x:f>IFERROR(O1232/(J1232+K1232),"")</x:f>
        <x:v>0.3103448275862069</x:v>
      </x:c>
      <x:c r="Q1232" s="6" t="inlineStr">
        <x:is>
          <x:t xml:space="preserve">RAW_OP N/O</x:t>
        </x:is>
      </x:c>
      <x:c r="R1232" s="6" t="inlineStr">
        <x:is>
          <x:t xml:space="preserve">DODATKI</x:t>
        </x:is>
      </x:c>
      <x:c r="S1232" s="6" t="inlineStr">
        <x:is>
          <x:t xml:space="preserve">website+crm</x:t>
        </x:is>
      </x:c>
      <x:c r="T1232" s="581" t="inlineStr">
        <x:is>
          <x:t xml:space="preserve">FIX11: K/L 550/600 wg ark. 09 (POZOSTAWIĆ 0).</x:t>
        </x:is>
      </x:c>
    </x:row>
    <x:row r="1233" s="655" customFormat="1" ht="29.5" customHeight="1">
      <x:c r="A1233" s="6" t="inlineStr">
        <x:is>
          <x:t xml:space="preserve">600 x 706 cm</x:t>
        </x:is>
      </x:c>
      <x:c r="B1233" s="6" t="inlineStr">
        <x:is>
          <x:t xml:space="preserve">LED2</x:t>
        </x:is>
      </x:c>
      <x:c r="C1233" s="6" t="inlineStr">
        <x:is>
          <x:t xml:space="preserve">Oświetlenie LED 2 punkty</x:t>
        </x:is>
      </x:c>
      <x:c r="D1233" s="6" t="inlineStr">
        <x:is>
          <x:t xml:space="preserve">LED 2 PKT</x:t>
        </x:is>
      </x:c>
      <x:c r="E1233" s="8" t="n">
        <x:f>IFERROR(INDEX('02_RAW_INDEX'!$N:$N,MATCH($A1233,'02_RAW_INDEX'!$A:$A,0)),"")</x:f>
        <x:v>707</x:v>
      </x:c>
      <x:c r="F1233" s="8" t="n">
        <x:f>IFERROR(INDEX('02_RAW_INDEX'!$M:$M,MATCH($A1233,'02_RAW_INDEX'!$A:$A,0)),"")</x:f>
        <x:v>870</x:v>
      </x:c>
      <x:c r="G1233" s="7" t="n">
        <x:f>'01_Ustawienia'!$B$6</x:f>
        <x:v>0</x:v>
      </x:c>
      <x:c r="H1233" s="8" t="n">
        <x:f>IF(E1233="","",ROUND(IF('01_Ustawienia'!$B$5="BRUTTO",F1233,E1233)*(1-G1233),0))</x:f>
        <x:v>707</x:v>
      </x:c>
      <x:c r="I1233" s="7" t="n">
        <x:f>IFERROR(IFERROR(INDEX('01_Ustawienia'!$B$15:$B$33,MATCH(B1233,'01_Ustawienia'!$A$15:$A$33,0)),0.45),0.45)</x:f>
        <x:v>0.45</x:v>
      </x:c>
      <x:c r="J1233" s="8" t="n">
        <x:f>IF(H1233="","",ROUND(H1233*(1+I1233),0))</x:f>
        <x:v>1025</x:v>
      </x:c>
      <x:c r="K1233" s="582" t="n">
        <x:v>0</x:v>
      </x:c>
      <x:c r="L1233" s="582" t="n">
        <x:v>0</x:v>
      </x:c>
      <x:c r="M1233" s="7" t="n">
        <x:f>IF('01_Ustawienia'!$B$4="ZWOLNIONY",0,'01_Ustawienia'!$B$7)</x:f>
        <x:v>0.08</x:v>
      </x:c>
      <x:c r="N1233" s="8" t="n">
        <x:f>IF(J1233="","",ROUND((J1233+K1233)*(1+M1233),0))</x:f>
        <x:v>1107</x:v>
      </x:c>
      <x:c r="O1233" s="8" t="n">
        <x:f>IF(J1233="","",J1233+K1233-H1233-L1233)</x:f>
        <x:v>318</x:v>
      </x:c>
      <x:c r="P1233" s="7" t="n">
        <x:f>IFERROR(O1233/(J1233+K1233),"")</x:f>
        <x:v>0.3102439024390244</x:v>
      </x:c>
      <x:c r="Q1233" s="6" t="inlineStr">
        <x:is>
          <x:t xml:space="preserve">RAW_ZP P/Q</x:t>
        </x:is>
      </x:c>
      <x:c r="R1233" s="6" t="inlineStr">
        <x:is>
          <x:t xml:space="preserve">OŚWIETLENIE</x:t>
        </x:is>
      </x:c>
      <x:c r="S1233" s="6" t="inlineStr">
        <x:is>
          <x:t xml:space="preserve">website+crm</x:t>
        </x:is>
      </x:c>
      <x:c r="T1233" s="581" t="inlineStr">
        <x:is>
          <x:t xml:space="preserve">FIX11: K/L 550/600 wg ark. 09 (POZOSTAWIĆ 0 NA RAZIE).</x:t>
        </x:is>
      </x:c>
    </x:row>
    <x:row r="1234" s="655" customFormat="1" ht="44.25" customHeight="1">
      <x:c r="A1234" s="6" t="inlineStr">
        <x:is>
          <x:t xml:space="preserve">600 x 706 cm</x:t>
        </x:is>
      </x:c>
      <x:c r="B1234" s="6" t="inlineStr">
        <x:is>
          <x:t xml:space="preserve">LED3</x:t>
        </x:is>
      </x:c>
      <x:c r="C1234" s="6" t="inlineStr">
        <x:is>
          <x:t xml:space="preserve">Oświetlenie LED 3 punkty</x:t>
        </x:is>
      </x:c>
      <x:c r="D1234" s="6" t="inlineStr">
        <x:is>
          <x:t xml:space="preserve">LED 3 PKT</x:t>
        </x:is>
      </x:c>
      <x:c r="E1234" s="8" t="n">
        <x:f>IFERROR(INDEX('02_RAW_INDEX'!$P:$P,MATCH($A1234,'02_RAW_INDEX'!$A:$A,0)),"")</x:f>
        <x:v>984</x:v>
      </x:c>
      <x:c r="F1234" s="8" t="n">
        <x:f>IFERROR(INDEX('02_RAW_INDEX'!$O:$O,MATCH($A1234,'02_RAW_INDEX'!$A:$A,0)),"")</x:f>
        <x:v>1210</x:v>
      </x:c>
      <x:c r="G1234" s="7" t="n">
        <x:f>'01_Ustawienia'!$B$6</x:f>
        <x:v>0</x:v>
      </x:c>
      <x:c r="H1234" s="8" t="n">
        <x:f>IF(E1234="","",ROUND(IF('01_Ustawienia'!$B$5="BRUTTO",F1234,E1234)*(1-G1234),0))</x:f>
        <x:v>984</x:v>
      </x:c>
      <x:c r="I1234" s="7" t="n">
        <x:f>IFERROR(IFERROR(INDEX('01_Ustawienia'!$B$15:$B$33,MATCH(B1234,'01_Ustawienia'!$A$15:$A$33,0)),0.45),0.45)</x:f>
        <x:v>0.45</x:v>
      </x:c>
      <x:c r="J1234" s="8" t="n">
        <x:f>IF(H1234="","",ROUND(H1234*(1+I1234),0))</x:f>
        <x:v>1427</x:v>
      </x:c>
      <x:c r="K1234" s="582" t="n">
        <x:v>0</x:v>
      </x:c>
      <x:c r="L1234" s="582" t="n">
        <x:v>0</x:v>
      </x:c>
      <x:c r="M1234" s="7" t="n">
        <x:f>IF('01_Ustawienia'!$B$4="ZWOLNIONY",0,'01_Ustawienia'!$B$7)</x:f>
        <x:v>0.08</x:v>
      </x:c>
      <x:c r="N1234" s="8" t="n">
        <x:f>IF(J1234="","",ROUND((J1234+K1234)*(1+M1234),0))</x:f>
        <x:v>1541</x:v>
      </x:c>
      <x:c r="O1234" s="8" t="n">
        <x:f>IF(J1234="","",J1234+K1234-H1234-L1234)</x:f>
        <x:v>443</x:v>
      </x:c>
      <x:c r="P1234" s="7" t="n">
        <x:f>IFERROR(O1234/(J1234+K1234),"")</x:f>
        <x:v>0.3104414856341976</x:v>
      </x:c>
      <x:c r="Q1234" s="6" t="inlineStr">
        <x:is>
          <x:t xml:space="preserve">RAW_ZP R/S</x:t>
        </x:is>
      </x:c>
      <x:c r="R1234" s="6" t="inlineStr">
        <x:is>
          <x:t xml:space="preserve">OŚWIETLENIE</x:t>
        </x:is>
      </x:c>
      <x:c r="S1234" s="6" t="inlineStr">
        <x:is>
          <x:t xml:space="preserve">website+crm</x:t>
        </x:is>
      </x:c>
      <x:c r="T1234" s="581" t="inlineStr">
        <x:is>
          <x:t xml:space="preserve">Nazwa do potwierdzenia | FIX11: K/L 550/600 wg ark. 09 (POZOSTAWIĆ 0 NA RAZIE).</x:t>
        </x:is>
      </x:c>
    </x:row>
    <x:row r="1235" s="655" customFormat="1" ht="29.5" customHeight="1">
      <x:c r="A1235" s="6" t="inlineStr">
        <x:is>
          <x:t xml:space="preserve">600 x 706 cm</x:t>
        </x:is>
      </x:c>
      <x:c r="B1235" s="6" t="inlineStr">
        <x:is>
          <x:t xml:space="preserve">LEDCCT</x:t>
        </x:is>
      </x:c>
      <x:c r="C1235" s="6" t="inlineStr">
        <x:is>
          <x:t xml:space="preserve">Oświetlenie LED CCT</x:t>
        </x:is>
      </x:c>
      <x:c r="D1235" s="6" t="inlineStr">
        <x:is>
          <x:t xml:space="preserve">OŚWIETLENIE</x:t>
        </x:is>
      </x:c>
      <x:c r="E1235" s="8" t="n">
        <x:f>IFERROR(INDEX('02_RAW_INDEX'!$R:$R,MATCH($A1235,'02_RAW_INDEX'!$A:$A,0)),"")</x:f>
        <x:v>2544</x:v>
      </x:c>
      <x:c r="F1235" s="8" t="n">
        <x:f>IFERROR(INDEX('02_RAW_INDEX'!$Q:$Q,MATCH($A1235,'02_RAW_INDEX'!$A:$A,0)),"")</x:f>
        <x:v>3129</x:v>
      </x:c>
      <x:c r="G1235" s="7" t="n">
        <x:f>'01_Ustawienia'!$B$6</x:f>
        <x:v>0</x:v>
      </x:c>
      <x:c r="H1235" s="8" t="n">
        <x:f>IF(E1235="","",ROUND(IF('01_Ustawienia'!$B$5="BRUTTO",F1235,E1235)*(1-G1235),0))</x:f>
        <x:v>2544</x:v>
      </x:c>
      <x:c r="I1235" s="7" t="n">
        <x:f>IFERROR(IFERROR(INDEX('01_Ustawienia'!$B$15:$B$33,MATCH(B1235,'01_Ustawienia'!$A$15:$A$33,0)),0.45),0.45)</x:f>
        <x:v>0.45</x:v>
      </x:c>
      <x:c r="J1235" s="8" t="n">
        <x:f>IF(H1235="","",ROUND(H1235*(1+I1235),0)+700)</x:f>
        <x:v>4389</x:v>
      </x:c>
      <x:c r="K1235" s="582" t="n">
        <x:v>0</x:v>
      </x:c>
      <x:c r="L1235" s="582" t="n">
        <x:v>0</x:v>
      </x:c>
      <x:c r="M1235" s="7" t="n">
        <x:f>IF('01_Ustawienia'!$B$4="ZWOLNIONY",0,'01_Ustawienia'!$B$7)</x:f>
        <x:v>0.08</x:v>
      </x:c>
      <x:c r="N1235" s="8" t="n">
        <x:f>IF(J1235="","",ROUND((J1235+K1235)*(1+M1235),0))</x:f>
        <x:v>4740</x:v>
      </x:c>
      <x:c r="O1235" s="8" t="n">
        <x:f>IF(J1235="","",J1235+K1235-H1235-L1235)</x:f>
        <x:v>1845</x:v>
      </x:c>
      <x:c r="P1235" s="7" t="n">
        <x:f>IFERROR(O1235/(J1235+K1235),"")</x:f>
        <x:v>0.4203691045796309</x:v>
      </x:c>
      <x:c r="Q1235" s="715" t="inlineStr">
        <x:is>
          <x:t xml:space="preserve">MODEL_FIX15_LED</x:t>
        </x:is>
      </x:c>
      <x:c r="R1235" s="6" t="inlineStr">
        <x:is>
          <x:t xml:space="preserve">OŚWIETLENIE</x:t>
        </x:is>
      </x:c>
      <x:c r="S1235" s="6" t="inlineStr">
        <x:is>
          <x:t xml:space="preserve">website+crm</x:t>
        </x:is>
      </x:c>
      <x:c r="T1235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236" s="655" customFormat="1" ht="29.5" customHeight="1">
      <x:c r="A1236" s="6" t="inlineStr">
        <x:is>
          <x:t xml:space="preserve">600 x 706 cm</x:t>
        </x:is>
      </x:c>
      <x:c r="B1236" s="6" t="inlineStr">
        <x:is>
          <x:t xml:space="preserve">LEDRGBCCT</x:t>
        </x:is>
      </x:c>
      <x:c r="C1236" s="6" t="inlineStr">
        <x:is>
          <x:t xml:space="preserve">Oświetlenie LED RGB CCT</x:t>
        </x:is>
      </x:c>
      <x:c r="D1236" s="6" t="inlineStr">
        <x:is>
          <x:t xml:space="preserve">OŚWIETLENIE</x:t>
        </x:is>
      </x:c>
      <x:c r="E1236" s="8" t="n">
        <x:f>IFERROR(INDEX('02_RAW_INDEX'!$T:$T,MATCH($A1236,'02_RAW_INDEX'!$A:$A,0)),"")</x:f>
        <x:v>3273</x:v>
      </x:c>
      <x:c r="F1236" s="8" t="n">
        <x:f>IFERROR(INDEX('02_RAW_INDEX'!$S:$S,MATCH($A1236,'02_RAW_INDEX'!$A:$A,0)),"")</x:f>
        <x:v>4026</x:v>
      </x:c>
      <x:c r="G1236" s="7" t="n">
        <x:f>'01_Ustawienia'!$B$6</x:f>
        <x:v>0</x:v>
      </x:c>
      <x:c r="H1236" s="8" t="n">
        <x:f>IF(E1236="","",ROUND(IF('01_Ustawienia'!$B$5="BRUTTO",F1236,E1236)*(1-G1236),0))</x:f>
        <x:v>3273</x:v>
      </x:c>
      <x:c r="I1236" s="7" t="n">
        <x:f>IFERROR(IFERROR(INDEX('01_Ustawienia'!$B$15:$B$33,MATCH(B1236,'01_Ustawienia'!$A$15:$A$33,0)),0.45),0.45)</x:f>
        <x:v>0.45</x:v>
      </x:c>
      <x:c r="J1236" s="8" t="n">
        <x:f>IF(H1236="","",ROUND(H1236*(1+I1236),0))</x:f>
        <x:v>4746</x:v>
      </x:c>
      <x:c r="K1236" s="582" t="n">
        <x:v>0</x:v>
      </x:c>
      <x:c r="L1236" s="582" t="n">
        <x:v>0</x:v>
      </x:c>
      <x:c r="M1236" s="7" t="n">
        <x:f>IF('01_Ustawienia'!$B$4="ZWOLNIONY",0,'01_Ustawienia'!$B$7)</x:f>
        <x:v>0.08</x:v>
      </x:c>
      <x:c r="N1236" s="8" t="n">
        <x:f>IF(J1236="","",ROUND((J1236+K1236)*(1+M1236),0))</x:f>
        <x:v>5126</x:v>
      </x:c>
      <x:c r="O1236" s="8" t="n">
        <x:f>IF(J1236="","",J1236+K1236-H1236-L1236)</x:f>
        <x:v>1473</x:v>
      </x:c>
      <x:c r="P1236" s="7" t="n">
        <x:f>IFERROR(O1236/(J1236+K1236),"")</x:f>
        <x:v>0.31036662452591657</x:v>
      </x:c>
      <x:c r="Q1236" s="715" t="inlineStr">
        <x:is>
          <x:t xml:space="preserve">MODEL_FIX15_LED</x:t>
        </x:is>
      </x:c>
      <x:c r="R1236" s="6" t="inlineStr">
        <x:is>
          <x:t xml:space="preserve">OŚWIETLENIE</x:t>
        </x:is>
      </x:c>
      <x:c r="S1236" s="6" t="inlineStr">
        <x:is>
          <x:t xml:space="preserve">crm_only</x:t>
        </x:is>
      </x:c>
      <x:c r="T1236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237" s="655" customFormat="1" ht="30" customHeight="1">
      <x:c r="A1237" s="6" t="inlineStr">
        <x:is>
          <x:t xml:space="preserve">600 x 806 cm</x:t>
        </x:is>
      </x:c>
      <x:c r="B1237" s="6" t="inlineStr">
        <x:is>
          <x:t xml:space="preserve">ZP</x:t>
        </x:is>
      </x:c>
      <x:c r="C1237" s="6" t="inlineStr">
        <x:is>
          <x:t xml:space="preserve">Zadaszenie poliwęglan - baza</x:t>
        </x:is>
      </x:c>
      <x:c r="D1237" s="6" t="inlineStr">
        <x:is>
          <x:t xml:space="preserve">ZADASZENIE POLIWĘGLAN</x:t>
        </x:is>
      </x:c>
      <x:c r="E1237" s="8" t="n">
        <x:f>IFERROR(INDEX('02_RAW_INDEX'!$D:$D,MATCH($A1237,'02_RAW_INDEX'!$A:$A,0)),"")</x:f>
        <x:v>22504</x:v>
      </x:c>
      <x:c r="F1237" s="8" t="n">
        <x:f>IFERROR(INDEX('02_RAW_INDEX'!$C:$C,MATCH($A1237,'02_RAW_INDEX'!$A:$A,0)),"")</x:f>
        <x:v>27680</x:v>
      </x:c>
      <x:c r="G1237" s="7" t="n">
        <x:f>'01_Ustawienia'!$B$6</x:f>
        <x:v>0</x:v>
      </x:c>
      <x:c r="H1237" s="8" t="n">
        <x:f>IF(E1237="","",ROUND(IF('01_Ustawienia'!$B$5="BRUTTO",F1237,E1237)*(1-G1237),0))</x:f>
        <x:v>22504</x:v>
      </x:c>
      <x:c r="I1237" s="7" t="n">
        <x:f>IFERROR(IFERROR(INDEX('01_Ustawienia'!$B$15:$B$33,MATCH(B1237,'01_Ustawienia'!$A$15:$A$33,0)),0.45),0.45)</x:f>
        <x:v>0.45</x:v>
      </x:c>
      <x:c r="J1237" s="8" t="n">
        <x:f>IF(H1237="","",ROUND(H1237*(1+I1237),0))</x:f>
        <x:v>32631</x:v>
      </x:c>
      <x:c r="K1237" s="580" t="n">
        <x:v>5770</x:v>
      </x:c>
      <x:c r="L1237" s="580" t="n">
        <x:v>1880</x:v>
      </x:c>
      <x:c r="M1237" s="7" t="n">
        <x:f>IF('01_Ustawienia'!$B$4="ZWOLNIONY",0,'01_Ustawienia'!$B$7)</x:f>
        <x:v>0.08</x:v>
      </x:c>
      <x:c r="N1237" s="8" t="n">
        <x:f>IF(J1237="","",ROUND((J1237+K1237)*(1+M1237),0))</x:f>
        <x:v>41473</x:v>
      </x:c>
      <x:c r="O1237" s="8" t="n">
        <x:f>IF(J1237="","",J1237+K1237-H1237-L1237)</x:f>
        <x:v>14017</x:v>
      </x:c>
      <x:c r="P1237" s="7" t="n">
        <x:f>IFERROR(O1237/(J1237+K1237),"")</x:f>
        <x:v>0.3650165360277076</x:v>
      </x:c>
      <x:c r="Q1237" s="6" t="inlineStr">
        <x:is>
          <x:t xml:space="preserve">RAW_ZP B/C</x:t>
        </x:is>
      </x:c>
      <x:c r="R1237" s="6" t="inlineStr">
        <x:is>
          <x:t xml:space="preserve">ZADASZENIE TARASU KONSTRUKCJA</x:t>
        </x:is>
      </x:c>
      <x:c r="S1237" s="6" t="inlineStr">
        <x:is>
          <x:t xml:space="preserve">website+crm</x:t>
        </x:is>
      </x:c>
      <x:c r="T1237" s="581" t="inlineStr">
        <x:is>
          <x:t xml:space="preserve">Baza dla kalkulatora | FIX11: K/L 550/600 wg ark. 09 (UZUPEŁNIĆ).</x:t>
        </x:is>
      </x:c>
    </x:row>
    <x:row r="1238" s="655" customFormat="1" ht="30" customHeight="1">
      <x:c r="A1238" s="6" t="inlineStr">
        <x:is>
          <x:t xml:space="preserve">600 x 806 cm</x:t>
        </x:is>
      </x:c>
      <x:c r="B1238" s="6" t="inlineStr">
        <x:is>
          <x:t xml:space="preserve">ZS</x:t>
        </x:is>
      </x:c>
      <x:c r="C1238" s="6" t="inlineStr">
        <x:is>
          <x:t xml:space="preserve">Zadaszenie szkło - pełna konstrukcja</x:t>
        </x:is>
      </x:c>
      <x:c r="D1238" s="6" t="inlineStr">
        <x:is>
          <x:t xml:space="preserve">ZADASZENIE SZKŁO</x:t>
        </x:is>
      </x:c>
      <x:c r="E1238" s="8" t="str">
        <x:f>IFERROR(INDEX('02_RAW_INDEX'!$V:$V,MATCH($A1238,'02_RAW_INDEX'!$A:$A,0)),"")</x:f>
      </x:c>
      <x:c r="F1238" s="8" t="str">
        <x:f>IFERROR(INDEX('02_RAW_INDEX'!$U:$U,MATCH($A1238,'02_RAW_INDEX'!$A:$A,0)),"")</x:f>
      </x:c>
      <x:c r="G1238" s="7" t="n">
        <x:f>'01_Ustawienia'!$B$6</x:f>
        <x:v>0</x:v>
      </x:c>
      <x:c r="H1238" s="8" t="str">
        <x:f>IF(E1238="","",ROUND(IF('01_Ustawienia'!$B$5="BRUTTO",F1238,E1238)*(1-G1238),0))</x:f>
      </x:c>
      <x:c r="I1238" s="7" t="n">
        <x:f>IFERROR(IFERROR(INDEX('01_Ustawienia'!$B$15:$B$33,MATCH(B1238,'01_Ustawienia'!$A$15:$A$33,0)),0.45),0.45)</x:f>
        <x:v>0.45</x:v>
      </x:c>
      <x:c r="J1238" s="8" t="str">
        <x:f>IF(H1238="","",ROUND(H1238*(1+I1238),0))</x:f>
      </x:c>
      <x:c r="K1238" s="580" t="n">
        <x:v>5770</x:v>
      </x:c>
      <x:c r="L1238" s="580" t="n">
        <x:v>2410</x:v>
      </x:c>
      <x:c r="M1238" s="7" t="n">
        <x:f>IF('01_Ustawienia'!$B$4="ZWOLNIONY",0,'01_Ustawienia'!$B$7)</x:f>
        <x:v>0.08</x:v>
      </x:c>
      <x:c r="N1238" s="8" t="str">
        <x:f>IF(J1238="","",ROUND((J1238+K1238)*(1+M1238),0))</x:f>
      </x:c>
      <x:c r="O1238" s="8" t="str">
        <x:f>IF(J1238="","",J1238+K1238-H1238-L1238)</x:f>
      </x:c>
      <x:c r="P1238" s="7" t="n">
        <x:f>IFERROR(O1238/(J1238+K1238),"")</x:f>
        <x:v>0</x:v>
      </x:c>
      <x:c r="Q1238" s="6" t="inlineStr">
        <x:is>
          <x:t xml:space="preserve">RAW_ZS B/C</x:t>
        </x:is>
      </x:c>
      <x:c r="R1238" s="6" t="inlineStr">
        <x:is>
          <x:t xml:space="preserve">ZADASZENIE TARASU KONSTRUKCJA</x:t>
        </x:is>
      </x:c>
      <x:c r="S1238" s="6" t="inlineStr">
        <x:is>
          <x:t xml:space="preserve">crm_only</x:t>
        </x:is>
      </x:c>
      <x:c r="T1238" s="581" t="inlineStr">
        <x:is>
          <x:t xml:space="preserve">Referencyjne/full; strona zwykle używa ZP + PDS | FIX11: K/L 550/600 wg ark. 09 (NIE PUBLIKOWAĆ / BRAK RAW_ZS).</x:t>
        </x:is>
      </x:c>
    </x:row>
    <x:row r="1239" s="655" customFormat="1" ht="30" customHeight="1">
      <x:c r="A1239" s="6" t="inlineStr">
        <x:is>
          <x:t xml:space="preserve">600 x 806 cm</x:t>
        </x:is>
      </x:c>
      <x:c r="B1239" s="6" t="inlineStr">
        <x:is>
          <x:t xml:space="preserve">OP</x:t>
        </x:is>
      </x:c>
      <x:c r="C1239" s="6" t="inlineStr">
        <x:is>
          <x:t xml:space="preserve">Ogród zimowy poliwęglan - baza</x:t>
        </x:is>
      </x:c>
      <x:c r="D1239" s="6" t="inlineStr">
        <x:is>
          <x:t xml:space="preserve">OGRODY POLIWĘGLAN</x:t>
        </x:is>
      </x:c>
      <x:c r="E1239" s="8" t="n">
        <x:f>IFERROR(INDEX('02_RAW_INDEX'!$Z:$Z,MATCH($A1239,'02_RAW_INDEX'!$A:$A,0)),"")</x:f>
        <x:v>39919</x:v>
      </x:c>
      <x:c r="F1239" s="8" t="n">
        <x:f>IFERROR(INDEX('02_RAW_INDEX'!$Y:$Y,MATCH($A1239,'02_RAW_INDEX'!$A:$A,0)),"")</x:f>
        <x:v>49100</x:v>
      </x:c>
      <x:c r="G1239" s="7" t="n">
        <x:f>'01_Ustawienia'!$B$6</x:f>
        <x:v>0</x:v>
      </x:c>
      <x:c r="H1239" s="8" t="n">
        <x:f>IF(E1239="","",ROUND(IF('01_Ustawienia'!$B$5="BRUTTO",F1239,E1239)*(1-G1239),0))</x:f>
        <x:v>39919</x:v>
      </x:c>
      <x:c r="I1239" s="7" t="n">
        <x:f>IFERROR(IFERROR(INDEX('01_Ustawienia'!$B$15:$B$33,MATCH(B1239,'01_Ustawienia'!$A$15:$A$33,0)),0.45),0.45)</x:f>
        <x:v>0.45</x:v>
      </x:c>
      <x:c r="J1239" s="8" t="n">
        <x:f>IF(H1239="","",ROUND(H1239*(1+I1239),0))</x:f>
        <x:v>57883</x:v>
      </x:c>
      <x:c r="K1239" s="580" t="n">
        <x:v>6900</x:v>
      </x:c>
      <x:c r="L1239" s="580" t="n">
        <x:v>2610</x:v>
      </x:c>
      <x:c r="M1239" s="7" t="n">
        <x:f>IF('01_Ustawienia'!$B$4="ZWOLNIONY",0,'01_Ustawienia'!$B$7)</x:f>
        <x:v>0.08</x:v>
      </x:c>
      <x:c r="N1239" s="8" t="n">
        <x:f>IF(J1239="","",ROUND((J1239+K1239)*(1+M1239),0))</x:f>
        <x:v>69966</x:v>
      </x:c>
      <x:c r="O1239" s="8" t="n">
        <x:f>IF(J1239="","",J1239+K1239-H1239-L1239)</x:f>
        <x:v>22254</x:v>
      </x:c>
      <x:c r="P1239" s="7" t="n">
        <x:f>IFERROR(O1239/(J1239+K1239),"")</x:f>
        <x:v>0.34351604587623297</x:v>
      </x:c>
      <x:c r="Q1239" s="6" t="inlineStr">
        <x:is>
          <x:t xml:space="preserve">RAW_OP B/C</x:t>
        </x:is>
      </x:c>
      <x:c r="R1239" s="6" t="inlineStr">
        <x:is>
          <x:t xml:space="preserve">OGRÓD ZIMOWY (KONSTRUKCJA)</x:t>
        </x:is>
      </x:c>
      <x:c r="S1239" s="6" t="inlineStr">
        <x:is>
          <x:t xml:space="preserve">website+crm</x:t>
        </x:is>
      </x:c>
      <x:c r="T1239" s="581" t="inlineStr">
        <x:is>
          <x:t xml:space="preserve">Do wyliczenia dopłaty za ściany | FIX11: K/L 550/600 wg ark. 09 (UZUPEŁNIĆ).</x:t>
        </x:is>
      </x:c>
    </x:row>
    <x:row r="1240" s="655" customFormat="1" ht="30" customHeight="1">
      <x:c r="A1240" s="6" t="inlineStr">
        <x:is>
          <x:t xml:space="preserve">600 x 806 cm</x:t>
        </x:is>
      </x:c>
      <x:c r="B1240" s="6" t="inlineStr">
        <x:is>
          <x:t xml:space="preserve">OS</x:t>
        </x:is>
      </x:c>
      <x:c r="C1240" s="6" t="inlineStr">
        <x:is>
          <x:t xml:space="preserve">Ogród zimowy szkło - pełna konstrukcja</x:t>
        </x:is>
      </x:c>
      <x:c r="D1240" s="6" t="inlineStr">
        <x:is>
          <x:t xml:space="preserve">OGRODY SZKŁO</x:t>
        </x:is>
      </x:c>
      <x:c r="E1240" s="8" t="str">
        <x:f>IFERROR(INDEX('02_RAW_INDEX'!$AL:$AL,MATCH($A1240,'02_RAW_INDEX'!$A:$A,0)),"")</x:f>
      </x:c>
      <x:c r="F1240" s="8" t="str">
        <x:f>IFERROR(INDEX('02_RAW_INDEX'!$AK:$AK,MATCH($A1240,'02_RAW_INDEX'!$A:$A,0)),"")</x:f>
      </x:c>
      <x:c r="G1240" s="7" t="n">
        <x:f>'01_Ustawienia'!$B$6</x:f>
        <x:v>0</x:v>
      </x:c>
      <x:c r="H1240" s="8" t="str">
        <x:f>IF(E1240="","",ROUND(IF('01_Ustawienia'!$B$5="BRUTTO",F1240,E1240)*(1-G1240),0))</x:f>
      </x:c>
      <x:c r="I1240" s="7" t="n">
        <x:f>IFERROR(IFERROR(INDEX('01_Ustawienia'!$B$15:$B$33,MATCH(B1240,'01_Ustawienia'!$A$15:$A$33,0)),0.45),0.45)</x:f>
        <x:v>0.45</x:v>
      </x:c>
      <x:c r="J1240" s="8" t="str">
        <x:f>IF(H1240="","",ROUND(H1240*(1+I1240),0))</x:f>
      </x:c>
      <x:c r="K1240" s="580" t="n">
        <x:v>6900</x:v>
      </x:c>
      <x:c r="L1240" s="580" t="n">
        <x:v>3140</x:v>
      </x:c>
      <x:c r="M1240" s="7" t="n">
        <x:f>IF('01_Ustawienia'!$B$4="ZWOLNIONY",0,'01_Ustawienia'!$B$7)</x:f>
        <x:v>0.08</x:v>
      </x:c>
      <x:c r="N1240" s="8" t="str">
        <x:f>IF(J1240="","",ROUND((J1240+K1240)*(1+M1240),0))</x:f>
      </x:c>
      <x:c r="O1240" s="8" t="str">
        <x:f>IF(J1240="","",J1240+K1240-H1240-L1240)</x:f>
      </x:c>
      <x:c r="P1240" s="7" t="n">
        <x:f>IFERROR(O1240/(J1240+K1240),"")</x:f>
        <x:v>0</x:v>
      </x:c>
      <x:c r="Q1240" s="6" t="inlineStr">
        <x:is>
          <x:t xml:space="preserve">RAW_OS B/C</x:t>
        </x:is>
      </x:c>
      <x:c r="R1240" s="6" t="inlineStr">
        <x:is>
          <x:t xml:space="preserve">OGRÓD ZIMOWY (KONSTRUKCJA)</x:t>
        </x:is>
      </x:c>
      <x:c r="S1240" s="6" t="inlineStr">
        <x:is>
          <x:t xml:space="preserve">crm_only</x:t>
        </x:is>
      </x:c>
      <x:c r="T1240" s="581" t="inlineStr">
        <x:is>
          <x:t xml:space="preserve">Referencyjne/full | FIX11: K/L 550/600 wg ark. 09 (NIE PUBLIKOWAĆ / BRAK RAW_OS).</x:t>
        </x:is>
      </x:c>
    </x:row>
    <x:row r="1241" s="655" customFormat="1" ht="30" customHeight="1">
      <x:c r="A1241" s="6" t="inlineStr">
        <x:is>
          <x:t xml:space="preserve">600 x 806 cm</x:t>
        </x:is>
      </x:c>
      <x:c r="B1241" s="6" t="inlineStr">
        <x:is>
          <x:t xml:space="preserve">PDS</x:t>
        </x:is>
      </x:c>
      <x:c r="C1241" s="6" t="inlineStr">
        <x:is>
          <x:t xml:space="preserve">Dopłata dach szkło przezroczyste</x:t>
        </x:is>
      </x:c>
      <x:c r="D1241" s="6" t="inlineStr">
        <x:is>
          <x:t xml:space="preserve">POKRYCIE DACHU SZKŁO</x:t>
        </x:is>
      </x:c>
      <x:c r="E1241" s="8" t="n">
        <x:f>IFERROR(IFERROR(INDEX('02_RAW_INDEX'!$V:$V,MATCH($A1241,'02_RAW_INDEX'!$A:$A,0)),"")-IFERROR(INDEX('02_RAW_INDEX'!$D:$D,MATCH($A1241,'02_RAW_INDEX'!$A:$A,0)),""),"")</x:f>
        <x:v>-22504</x:v>
      </x:c>
      <x:c r="F1241" s="8" t="n">
        <x:f>IFERROR(IFERROR(INDEX('02_RAW_INDEX'!$U:$U,MATCH($A1241,'02_RAW_INDEX'!$A:$A,0)),"")-IFERROR(INDEX('02_RAW_INDEX'!$C:$C,MATCH($A1241,'02_RAW_INDEX'!$A:$A,0)),""),"")</x:f>
        <x:v>-27680</x:v>
      </x:c>
      <x:c r="G1241" s="7" t="n">
        <x:f>'01_Ustawienia'!$B$6</x:f>
        <x:v>0</x:v>
      </x:c>
      <x:c r="H1241" s="8" t="n">
        <x:f>IF(E1241="","",ROUND(IF('01_Ustawienia'!$B$5="BRUTTO",F1241,E1241)*(1-G1241),0))</x:f>
        <x:v>-22504</x:v>
      </x:c>
      <x:c r="I1241" s="7" t="n">
        <x:f>IFERROR(IFERROR(INDEX('01_Ustawienia'!$B$15:$B$33,MATCH(B1241,'01_Ustawienia'!$A$15:$A$33,0)),0.45),0.45)</x:f>
        <x:v>0.45</x:v>
      </x:c>
      <x:c r="J1241" s="8" t="n">
        <x:f>IF(H1241="","",ROUND(H1241*(1+I1241),0))</x:f>
        <x:v>-32631</x:v>
      </x:c>
      <x:c r="K1241" s="580" t="n">
        <x:v>0</x:v>
      </x:c>
      <x:c r="L1241" s="580" t="n">
        <x:v>0</x:v>
      </x:c>
      <x:c r="M1241" s="7" t="n">
        <x:f>IF('01_Ustawienia'!$B$4="ZWOLNIONY",0,'01_Ustawienia'!$B$7)</x:f>
        <x:v>0.08</x:v>
      </x:c>
      <x:c r="N1241" s="8" t="n">
        <x:f>IF(J1241="","",ROUND((J1241+K1241)*(1+M1241),0))</x:f>
        <x:v>-35241</x:v>
      </x:c>
      <x:c r="O1241" s="8" t="n">
        <x:f>IF(J1241="","",J1241+K1241-H1241-L1241)</x:f>
        <x:v>-10127</x:v>
      </x:c>
      <x:c r="P1241" s="7" t="n">
        <x:f>IFERROR(O1241/(J1241+K1241),"")</x:f>
        <x:v>0.3103490545800006</x:v>
      </x:c>
      <x:c r="Q1241" s="6" t="inlineStr">
        <x:is>
          <x:t xml:space="preserve">RAW_ZS - RAW_ZP</x:t>
        </x:is>
      </x:c>
      <x:c r="R1241" s="6" t="inlineStr">
        <x:is>
          <x:t xml:space="preserve">POKRYCIE DACHU</x:t>
        </x:is>
      </x:c>
      <x:c r="S1241" s="6" t="inlineStr">
        <x:is>
          <x:t xml:space="preserve">website+crm</x:t>
        </x:is>
      </x:c>
      <x:c r="T1241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242" s="655" customFormat="1" ht="30" customHeight="1">
      <x:c r="A1242" s="6" t="inlineStr">
        <x:is>
          <x:t xml:space="preserve">600 x 806 cm</x:t>
        </x:is>
      </x:c>
      <x:c r="B1242" s="6" t="inlineStr">
        <x:is>
          <x:t xml:space="preserve">PDSB</x:t>
        </x:is>
      </x:c>
      <x:c r="C1242" s="6" t="inlineStr">
        <x:is>
          <x:t xml:space="preserve">Dopłata dach szkło barwione/mleczne</x:t>
        </x:is>
      </x:c>
      <x:c r="D1242" s="6" t="inlineStr">
        <x:is>
          <x:t xml:space="preserve">POKRYCIE DACHU SZKŁO BARWIONE</x:t>
        </x:is>
      </x:c>
      <x:c r="E1242" s="8" t="str">
        <x:f>IFERROR(INDEX('02_RAW_INDEX'!$X:$X,MATCH($A1242,'02_RAW_INDEX'!$A:$A,0)),"")</x:f>
      </x:c>
      <x:c r="F1242" s="8" t="str">
        <x:f>IFERROR(INDEX('02_RAW_INDEX'!$W:$W,MATCH($A1242,'02_RAW_INDEX'!$A:$A,0)),"")</x:f>
      </x:c>
      <x:c r="G1242" s="7" t="n">
        <x:f>'01_Ustawienia'!$B$6</x:f>
        <x:v>0</x:v>
      </x:c>
      <x:c r="H1242" s="8" t="str">
        <x:f>IF(E1242="","",ROUND(IF('01_Ustawienia'!$B$5="BRUTTO",F1242,E1242)*(1-G1242),0))</x:f>
      </x:c>
      <x:c r="I1242" s="7" t="n">
        <x:f>IFERROR(IFERROR(INDEX('01_Ustawienia'!$B$15:$B$33,MATCH(B1242,'01_Ustawienia'!$A$15:$A$33,0)),0.45),0.45)</x:f>
        <x:v>0.45</x:v>
      </x:c>
      <x:c r="J1242" s="8" t="str">
        <x:f>IF(H1242="","",ROUND(H1242*(1+I1242),0))</x:f>
      </x:c>
      <x:c r="K1242" s="582" t="n">
        <x:v>0</x:v>
      </x:c>
      <x:c r="L1242" s="582" t="n">
        <x:v>0</x:v>
      </x:c>
      <x:c r="M1242" s="7" t="n">
        <x:f>IF('01_Ustawienia'!$B$4="ZWOLNIONY",0,'01_Ustawienia'!$B$7)</x:f>
        <x:v>0.08</x:v>
      </x:c>
      <x:c r="N1242" s="8" t="str">
        <x:f>IF(J1242="","",ROUND((J1242+K1242)*(1+M1242),0))</x:f>
      </x:c>
      <x:c r="O1242" s="8" t="str">
        <x:f>IF(J1242="","",J1242+K1242-H1242-L1242)</x:f>
      </x:c>
      <x:c r="P1242" s="7" t="str">
        <x:f>IFERROR(O1242/(J1242+K1242),"")</x:f>
      </x:c>
      <x:c r="Q1242" s="6" t="inlineStr">
        <x:is>
          <x:t xml:space="preserve">RAW_ZS D/E</x:t>
        </x:is>
      </x:c>
      <x:c r="R1242" s="6" t="inlineStr">
        <x:is>
          <x:t xml:space="preserve">POKRYCIE DACHU</x:t>
        </x:is>
      </x:c>
      <x:c r="S1242" s="6" t="inlineStr">
        <x:is>
          <x:t xml:space="preserve">website+crm</x:t>
        </x:is>
      </x:c>
      <x:c r="T1242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243" s="655" customFormat="1" ht="30" customHeight="1">
      <x:c r="A1243" s="6" t="inlineStr">
        <x:is>
          <x:t xml:space="preserve">600 x 806 cm</x:t>
        </x:is>
      </x:c>
      <x:c r="B1243" s="6" t="inlineStr">
        <x:is>
          <x:t xml:space="preserve">PDPB</x:t>
        </x:is>
      </x:c>
      <x:c r="C1243" s="6" t="inlineStr">
        <x:is>
          <x:t xml:space="preserve">Dopłata poliwęglan barwiony</x:t>
        </x:is>
      </x:c>
      <x:c r="D1243" s="6" t="inlineStr">
        <x:is>
          <x:t xml:space="preserve">POKRYCIE DACHU POLIWĘGLAN BARWIONY</x:t>
        </x:is>
      </x:c>
      <x:c r="E1243" s="8" t="n">
        <x:f>IFERROR(INDEX('02_RAW_INDEX'!$F:$F,MATCH($A1243,'02_RAW_INDEX'!$A:$A,0)),"")</x:f>
        <x:v>675</x:v>
      </x:c>
      <x:c r="F1243" s="8" t="n">
        <x:f>IFERROR(INDEX('02_RAW_INDEX'!$E:$E,MATCH($A1243,'02_RAW_INDEX'!$A:$A,0)),"")</x:f>
        <x:v>830</x:v>
      </x:c>
      <x:c r="G1243" s="7" t="n">
        <x:f>'01_Ustawienia'!$B$6</x:f>
        <x:v>0</x:v>
      </x:c>
      <x:c r="H1243" s="8" t="n">
        <x:f>IF(E1243="","",ROUND(IF('01_Ustawienia'!$B$5="BRUTTO",F1243,E1243)*(1-G1243),0))</x:f>
        <x:v>675</x:v>
      </x:c>
      <x:c r="I1243" s="7" t="n">
        <x:f>IFERROR(IFERROR(INDEX('01_Ustawienia'!$B$15:$B$33,MATCH(B1243,'01_Ustawienia'!$A$15:$A$33,0)),0.45),0.45)</x:f>
        <x:v>0.45</x:v>
      </x:c>
      <x:c r="J1243" s="8" t="n">
        <x:f>IF(H1243="","",ROUND(H1243*(1+I1243),0))</x:f>
        <x:v>979</x:v>
      </x:c>
      <x:c r="K1243" s="582" t="n">
        <x:v>0</x:v>
      </x:c>
      <x:c r="L1243" s="582" t="n">
        <x:v>0</x:v>
      </x:c>
      <x:c r="M1243" s="7" t="n">
        <x:f>IF('01_Ustawienia'!$B$4="ZWOLNIONY",0,'01_Ustawienia'!$B$7)</x:f>
        <x:v>0.08</x:v>
      </x:c>
      <x:c r="N1243" s="8" t="n">
        <x:f>IF(J1243="","",ROUND((J1243+K1243)*(1+M1243),0))</x:f>
        <x:v>1057</x:v>
      </x:c>
      <x:c r="O1243" s="8" t="n">
        <x:f>IF(J1243="","",J1243+K1243-H1243-L1243)</x:f>
        <x:v>304</x:v>
      </x:c>
      <x:c r="P1243" s="7" t="n">
        <x:f>IFERROR(O1243/(J1243+K1243),"")</x:f>
        <x:v>0.3105209397344229</x:v>
      </x:c>
      <x:c r="Q1243" s="6" t="inlineStr">
        <x:is>
          <x:t xml:space="preserve">RAW_ZP D/E</x:t>
        </x:is>
      </x:c>
      <x:c r="R1243" s="6" t="inlineStr">
        <x:is>
          <x:t xml:space="preserve">POKRYCIE DACHU</x:t>
        </x:is>
      </x:c>
      <x:c r="S1243" s="6" t="inlineStr">
        <x:is>
          <x:t xml:space="preserve">website+crm</x:t>
        </x:is>
      </x:c>
      <x:c r="T1243" s="581" t="inlineStr">
        <x:is>
          <x:t xml:space="preserve">FIX11: K/L 550/600 wg ark. 09 (POZOSTAWIĆ 0). | FIX17: Wynagr.+koszty = 0 dla dopłaty; nie jest osobnym montażem ekipy.</x:t>
        </x:is>
      </x:c>
    </x:row>
    <x:row r="1244" s="655" customFormat="1" ht="30" customHeight="1">
      <x:c r="A1244" s="6" t="inlineStr">
        <x:is>
          <x:t xml:space="preserve">600 x 806 cm</x:t>
        </x:is>
      </x:c>
      <x:c r="B1244" s="6" t="inlineStr">
        <x:is>
          <x:t xml:space="preserve">SBB</x:t>
        </x:is>
      </x:c>
      <x:c r="C1244" s="6" t="inlineStr">
        <x:is>
          <x:t xml:space="preserve">Dopłata szkło boczne przyciemniane</x:t>
        </x:is>
      </x:c>
      <x:c r="D1244" s="6" t="inlineStr">
        <x:is>
          <x:t xml:space="preserve">SZKŁO BOCZNE BARWIONE</x:t>
        </x:is>
      </x:c>
      <x:c r="E1244" s="8" t="n">
        <x:f>IFERROR(INDEX('02_RAW_INDEX'!$AB:$AB,MATCH($A1244,'02_RAW_INDEX'!$A:$A,0)),"")</x:f>
        <x:v>1951</x:v>
      </x:c>
      <x:c r="F1244" s="8" t="n">
        <x:f>IFERROR(INDEX('02_RAW_INDEX'!$AA:$AA,MATCH($A1244,'02_RAW_INDEX'!$A:$A,0)),"")</x:f>
        <x:v>2400</x:v>
      </x:c>
      <x:c r="G1244" s="7" t="n">
        <x:f>'01_Ustawienia'!$B$6</x:f>
        <x:v>0</x:v>
      </x:c>
      <x:c r="H1244" s="8" t="n">
        <x:f>IF(E1244="","",ROUND(IF('01_Ustawienia'!$B$5="BRUTTO",F1244,E1244)*(1-G1244),0))</x:f>
        <x:v>1951</x:v>
      </x:c>
      <x:c r="I1244" s="7" t="n">
        <x:f>IFERROR(IFERROR(INDEX('01_Ustawienia'!$B$15:$B$33,MATCH(B1244,'01_Ustawienia'!$A$15:$A$33,0)),0.45),0.45)</x:f>
        <x:v>0.45</x:v>
      </x:c>
      <x:c r="J1244" s="8" t="n">
        <x:f>IF(H1244="","",ROUND(H1244*(1+I1244),0))</x:f>
        <x:v>2829</x:v>
      </x:c>
      <x:c r="K1244" s="582" t="n">
        <x:v>0</x:v>
      </x:c>
      <x:c r="L1244" s="582" t="n">
        <x:v>0</x:v>
      </x:c>
      <x:c r="M1244" s="7" t="n">
        <x:f>IF('01_Ustawienia'!$B$4="ZWOLNIONY",0,'01_Ustawienia'!$B$7)</x:f>
        <x:v>0.08</x:v>
      </x:c>
      <x:c r="N1244" s="8" t="n">
        <x:f>IF(J1244="","",ROUND((J1244+K1244)*(1+M1244),0))</x:f>
        <x:v>3055</x:v>
      </x:c>
      <x:c r="O1244" s="8" t="n">
        <x:f>IF(J1244="","",J1244+K1244-H1244-L1244)</x:f>
        <x:v>878</x:v>
      </x:c>
      <x:c r="P1244" s="7" t="n">
        <x:f>IFERROR(O1244/(J1244+K1244),"")</x:f>
        <x:v>0.3103570166136444</x:v>
      </x:c>
      <x:c r="Q1244" s="6" t="inlineStr">
        <x:is>
          <x:t xml:space="preserve">RAW_OP H/I</x:t>
        </x:is>
      </x:c>
      <x:c r="R1244" s="6" t="inlineStr">
        <x:is>
          <x:t xml:space="preserve">SZYBY BOCZNE</x:t>
        </x:is>
      </x:c>
      <x:c r="S1244" s="6" t="inlineStr">
        <x:is>
          <x:t xml:space="preserve">website+crm</x:t>
        </x:is>
      </x:c>
      <x:c r="T1244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245" s="655" customFormat="1" ht="29.5" customHeight="1">
      <x:c r="A1245" s="6" t="inlineStr">
        <x:is>
          <x:t xml:space="preserve">600 x 806 cm</x:t>
        </x:is>
      </x:c>
      <x:c r="B1245" s="6" t="inlineStr">
        <x:is>
          <x:t xml:space="preserve">RB</x:t>
        </x:is>
      </x:c>
      <x:c r="C1245" s="6" t="inlineStr">
        <x:is>
          <x:t xml:space="preserve">Roleta boczna ZIP</x:t>
        </x:is>
      </x:c>
      <x:c r="D1245" s="6" t="inlineStr">
        <x:is>
          <x:t xml:space="preserve">ROLETA BOCZNA</x:t>
        </x:is>
      </x:c>
      <x:c r="E1245" s="8" t="n">
        <x:f>IFERROR(INDEX('02_RAW_INDEX'!$J:$J,MATCH($A1245,'02_RAW_INDEX'!$A:$A,0)),"")</x:f>
        <x:v>3472</x:v>
      </x:c>
      <x:c r="F1245" s="8" t="n">
        <x:f>IFERROR(INDEX('02_RAW_INDEX'!$I:$I,MATCH($A1245,'02_RAW_INDEX'!$A:$A,0)),"")</x:f>
        <x:v>4270</x:v>
      </x:c>
      <x:c r="G1245" s="7" t="n">
        <x:f>'01_Ustawienia'!$B$6</x:f>
        <x:v>0</x:v>
      </x:c>
      <x:c r="H1245" s="8" t="n">
        <x:f>IF(E1245="","",ROUND(IF('01_Ustawienia'!$B$5="BRUTTO",F1245,E1245)*(1-G1245),0))</x:f>
        <x:v>3472</x:v>
      </x:c>
      <x:c r="I1245" s="7" t="n">
        <x:f>IFERROR(IFERROR(INDEX('01_Ustawienia'!$B$15:$B$33,MATCH(B1245,'01_Ustawienia'!$A$15:$A$33,0)),0.45),0.45)</x:f>
        <x:v>0.45</x:v>
      </x:c>
      <x:c r="J1245" s="8" t="n">
        <x:f>IF(H1245="","",ROUND(H1245*(1+I1245),0))</x:f>
        <x:v>5034</x:v>
      </x:c>
      <x:c r="K1245" s="580" t="n">
        <x:v>0</x:v>
      </x:c>
      <x:c r="L1245" s="580" t="n">
        <x:v>150</x:v>
      </x:c>
      <x:c r="M1245" s="7" t="n">
        <x:f>IF('01_Ustawienia'!$B$4="ZWOLNIONY",0,'01_Ustawienia'!$B$7)</x:f>
        <x:v>0.08</x:v>
      </x:c>
      <x:c r="N1245" s="8" t="n">
        <x:f>IF(J1245="","",ROUND((J1245+K1245)*(1+M1245),0))</x:f>
        <x:v>5437</x:v>
      </x:c>
      <x:c r="O1245" s="8" t="n">
        <x:f>IF(J1245="","",J1245+K1245-H1245-L1245)</x:f>
        <x:v>1412</x:v>
      </x:c>
      <x:c r="P1245" s="7" t="n">
        <x:f>IFERROR(O1245/(J1245+K1245),"")</x:f>
        <x:v>0.28049264998013507</x:v>
      </x:c>
      <x:c r="Q1245" s="6" t="inlineStr">
        <x:is>
          <x:t xml:space="preserve">RAW_ZP J/K</x:t>
        </x:is>
      </x:c>
      <x:c r="R1245" s="6" t="inlineStr">
        <x:is>
          <x:t xml:space="preserve">ROLETY BOCZNE</x:t>
        </x:is>
      </x:c>
      <x:c r="S1245" s="6" t="inlineStr">
        <x:is>
          <x:t xml:space="preserve">website+crm</x:t>
        </x:is>
      </x:c>
      <x:c r="T1245" s="581" t="inlineStr">
        <x:is>
          <x:t xml:space="preserve">Używana dla lewej i prawej | FIX11: K/L 550/600 wg ark. 09 (UZUPEŁNIĆ L).</x:t>
        </x:is>
      </x:c>
    </x:row>
    <x:row r="1246" s="655" customFormat="1" ht="29.5" customHeight="1">
      <x:c r="A1246" s="6" t="inlineStr">
        <x:is>
          <x:t xml:space="preserve">600 x 806 cm</x:t>
        </x:is>
      </x:c>
      <x:c r="B1246" s="6" t="inlineStr">
        <x:is>
          <x:t xml:space="preserve">RP</x:t>
        </x:is>
      </x:c>
      <x:c r="C1246" s="6" t="inlineStr">
        <x:is>
          <x:t xml:space="preserve">Roleta przednia ZIP</x:t>
        </x:is>
      </x:c>
      <x:c r="D1246" s="6" t="inlineStr">
        <x:is>
          <x:t xml:space="preserve">ROLETA PRZÓD</x:t>
        </x:is>
      </x:c>
      <x:c r="E1246" s="8" t="n">
        <x:f>IFERROR(INDEX('02_RAW_INDEX'!$L:$L,MATCH($A1246,'02_RAW_INDEX'!$A:$A,0)),"")</x:f>
        <x:v>4293</x:v>
      </x:c>
      <x:c r="F1246" s="8" t="n">
        <x:f>IFERROR(INDEX('02_RAW_INDEX'!$K:$K,MATCH($A1246,'02_RAW_INDEX'!$A:$A,0)),"")</x:f>
        <x:v>5280</x:v>
      </x:c>
      <x:c r="G1246" s="7" t="n">
        <x:f>'01_Ustawienia'!$B$6</x:f>
        <x:v>0</x:v>
      </x:c>
      <x:c r="H1246" s="8" t="n">
        <x:f>IF(E1246="","",ROUND(IF('01_Ustawienia'!$B$5="BRUTTO",F1246,E1246)*(1-G1246),0))</x:f>
        <x:v>4293</x:v>
      </x:c>
      <x:c r="I1246" s="7" t="n">
        <x:f>IFERROR(IFERROR(INDEX('01_Ustawienia'!$B$15:$B$33,MATCH(B1246,'01_Ustawienia'!$A$15:$A$33,0)),0.45),0.45)</x:f>
        <x:v>0.45</x:v>
      </x:c>
      <x:c r="J1246" s="8" t="n">
        <x:f>IF(H1246="","",ROUND(H1246*(1+I1246),0))</x:f>
        <x:v>6225</x:v>
      </x:c>
      <x:c r="K1246" s="580" t="n">
        <x:v>0</x:v>
      </x:c>
      <x:c r="L1246" s="580" t="n">
        <x:v>300</x:v>
      </x:c>
      <x:c r="M1246" s="7" t="n">
        <x:f>IF('01_Ustawienia'!$B$4="ZWOLNIONY",0,'01_Ustawienia'!$B$7)</x:f>
        <x:v>0.08</x:v>
      </x:c>
      <x:c r="N1246" s="8" t="n">
        <x:f>IF(J1246="","",ROUND((J1246+K1246)*(1+M1246),0))</x:f>
        <x:v>6723</x:v>
      </x:c>
      <x:c r="O1246" s="8" t="n">
        <x:f>IF(J1246="","",J1246+K1246-H1246-L1246)</x:f>
        <x:v>1632</x:v>
      </x:c>
      <x:c r="P1246" s="7" t="n">
        <x:f>IFERROR(O1246/(J1246+K1246),"")</x:f>
        <x:v>0.2621686746987952</x:v>
      </x:c>
      <x:c r="Q1246" s="6" t="inlineStr">
        <x:is>
          <x:t xml:space="preserve">RAW_ZP N/O</x:t>
        </x:is>
      </x:c>
      <x:c r="R1246" s="6" t="inlineStr">
        <x:is>
          <x:t xml:space="preserve">ROLETY BOCZNE</x:t>
        </x:is>
      </x:c>
      <x:c r="S1246" s="6" t="inlineStr">
        <x:is>
          <x:t xml:space="preserve">website+crm</x:t>
        </x:is>
      </x:c>
      <x:c r="T1246" s="581" t="inlineStr">
        <x:is>
          <x:t xml:space="preserve">FIX11: K/L 550/600 wg ark. 09 (UZUPEŁNIĆ L).</x:t>
        </x:is>
      </x:c>
    </x:row>
    <x:row r="1247" s="655" customFormat="1" ht="29.5" customHeight="1">
      <x:c r="A1247" s="6" t="inlineStr">
        <x:is>
          <x:t xml:space="preserve">600 x 806 cm</x:t>
        </x:is>
      </x:c>
      <x:c r="B1247" s="6" t="inlineStr">
        <x:is>
          <x:t xml:space="preserve">M</x:t>
        </x:is>
      </x:c>
      <x:c r="C1247" s="6" t="inlineStr">
        <x:is>
          <x:t xml:space="preserve">Markiza dachowa</x:t>
        </x:is>
      </x:c>
      <x:c r="D1247" s="6" t="inlineStr">
        <x:is>
          <x:t xml:space="preserve">MARKIZA</x:t>
        </x:is>
      </x:c>
      <x:c r="E1247" s="8" t="n">
        <x:f>IFERROR(INDEX('02_RAW_INDEX'!$H:$H,MATCH($A1247,'02_RAW_INDEX'!$A:$A,0)),"")</x:f>
        <x:v>7780</x:v>
      </x:c>
      <x:c r="F1247" s="8" t="n">
        <x:f>IFERROR(INDEX('02_RAW_INDEX'!$G:$G,MATCH($A1247,'02_RAW_INDEX'!$A:$A,0)),"")</x:f>
        <x:v>9570</x:v>
      </x:c>
      <x:c r="G1247" s="7" t="n">
        <x:f>'01_Ustawienia'!$B$6</x:f>
        <x:v>0</x:v>
      </x:c>
      <x:c r="H1247" s="8" t="n">
        <x:f>IF(E1247="","",ROUND(IF('01_Ustawienia'!$B$5="BRUTTO",F1247,E1247)*(1-G1247),0))</x:f>
        <x:v>7780</x:v>
      </x:c>
      <x:c r="I1247" s="7" t="n">
        <x:f>IFERROR(IFERROR(INDEX('01_Ustawienia'!$B$15:$B$33,MATCH(B1247,'01_Ustawienia'!$A$15:$A$33,0)),0.45),0.45)</x:f>
        <x:v>0.45</x:v>
      </x:c>
      <x:c r="J1247" s="8" t="n">
        <x:f>IF(H1247="","",ROUND(H1247*(1+I1247),0))</x:f>
        <x:v>11281</x:v>
      </x:c>
      <x:c r="K1247" s="580" t="n">
        <x:v>0</x:v>
      </x:c>
      <x:c r="L1247" s="580" t="n">
        <x:v>500</x:v>
      </x:c>
      <x:c r="M1247" s="7" t="n">
        <x:f>IF('01_Ustawienia'!$B$4="ZWOLNIONY",0,'01_Ustawienia'!$B$7)</x:f>
        <x:v>0.08</x:v>
      </x:c>
      <x:c r="N1247" s="8" t="n">
        <x:f>IF(J1247="","",ROUND((J1247+K1247)*(1+M1247),0))</x:f>
        <x:v>12183</x:v>
      </x:c>
      <x:c r="O1247" s="8" t="n">
        <x:f>IF(J1247="","",J1247+K1247-H1247-L1247)</x:f>
        <x:v>3001</x:v>
      </x:c>
      <x:c r="P1247" s="7" t="n">
        <x:f>IFERROR(O1247/(J1247+K1247),"")</x:f>
        <x:v>0.2660225157344207</x:v>
      </x:c>
      <x:c r="Q1247" s="6" t="inlineStr">
        <x:is>
          <x:t xml:space="preserve">RAW_ZP H/I</x:t>
        </x:is>
      </x:c>
      <x:c r="R1247" s="6" t="inlineStr">
        <x:is>
          <x:t xml:space="preserve">MARKIZA</x:t>
        </x:is>
      </x:c>
      <x:c r="S1247" s="6" t="inlineStr">
        <x:is>
          <x:t xml:space="preserve">website+crm</x:t>
        </x:is>
      </x:c>
      <x:c r="T1247" s="581" t="inlineStr">
        <x:is>
          <x:t xml:space="preserve">FIX11: K/L 550/600 wg ark. 09 (UZUPEŁNIĆ L).</x:t>
        </x:is>
      </x:c>
    </x:row>
    <x:row r="1248" s="655" customFormat="1" ht="44.25" customHeight="1">
      <x:c r="A1248" s="6" t="inlineStr">
        <x:is>
          <x:t xml:space="preserve">600 x 806 cm</x:t>
        </x:is>
      </x:c>
      <x:c r="B1248" s="6" t="inlineStr">
        <x:is>
          <x:t xml:space="preserve">PDWP</x:t>
        </x:is>
      </x:c>
      <x:c r="C1248" s="6" t="inlineStr">
        <x:is>
          <x:t xml:space="preserve">Fundament/profile</x:t>
        </x:is>
      </x:c>
      <x:c r="D1248" s="6" t="inlineStr">
        <x:is>
          <x:t xml:space="preserve">FUNDAMENT / PROFILE</x:t>
        </x:is>
      </x:c>
      <x:c r="E1248" s="8" t="n">
        <x:f>IFERROR(INDEX('02_RAW_INDEX'!$AH:$AH,MATCH($A1248,'02_RAW_INDEX'!$A:$A,0)),"")</x:f>
        <x:v>1309</x:v>
      </x:c>
      <x:c r="F1248" s="8" t="n">
        <x:f>IFERROR(INDEX('02_RAW_INDEX'!$AG:$AG,MATCH($A1248,'02_RAW_INDEX'!$A:$A,0)),"")</x:f>
        <x:v>1610</x:v>
      </x:c>
      <x:c r="G1248" s="7" t="n">
        <x:f>'01_Ustawienia'!$B$6</x:f>
        <x:v>0</x:v>
      </x:c>
      <x:c r="H1248" s="8" t="n">
        <x:f>IF(E1248="","",ROUND(IF('01_Ustawienia'!$B$5="BRUTTO",F1248,E1248)*(1-G1248),0))</x:f>
        <x:v>1309</x:v>
      </x:c>
      <x:c r="I1248" s="7" t="n">
        <x:f>IFERROR(IFERROR(INDEX('01_Ustawienia'!$B$15:$B$33,MATCH(B1248,'01_Ustawienia'!$A$15:$A$33,0)),0.45),0.45)</x:f>
        <x:v>1.2</x:v>
      </x:c>
      <x:c r="J1248" s="8" t="n">
        <x:f>IF(H1248="","",ROUND(H1248*(1+I1248),0))</x:f>
        <x:v>2880</x:v>
      </x:c>
      <x:c r="K1248" s="580" t="n">
        <x:v>670</x:v>
      </x:c>
      <x:c r="L1248" s="580" t="n">
        <x:v>610</x:v>
      </x:c>
      <x:c r="M1248" s="7" t="n">
        <x:f>IF('01_Ustawienia'!$B$4="ZWOLNIONY",0,'01_Ustawienia'!$B$7)</x:f>
        <x:v>0.08</x:v>
      </x:c>
      <x:c r="N1248" s="8" t="n">
        <x:f>IF(J1248="","",ROUND((J1248+K1248)*(1+M1248),0))</x:f>
        <x:v>3834</x:v>
      </x:c>
      <x:c r="O1248" s="8" t="n">
        <x:f>IF(J1248="","",J1248+K1248-H1248-L1248)</x:f>
        <x:v>1631</x:v>
      </x:c>
      <x:c r="P1248" s="7" t="n">
        <x:f>IFERROR(O1248/(J1248+K1248),"")</x:f>
        <x:v>0.45943661971830985</x:v>
      </x:c>
      <x:c r="Q1248" s="6" t="inlineStr">
        <x:is>
          <x:t xml:space="preserve">RAW_OP AB/AC</x:t>
        </x:is>
      </x:c>
      <x:c r="R1248" s="6" t="inlineStr">
        <x:is>
          <x:t xml:space="preserve">FUNDAMENT (PROFILE)</x:t>
        </x:is>
      </x:c>
      <x:c r="S1248" s="6" t="inlineStr">
        <x:is>
          <x:t xml:space="preserve">website+crm</x:t>
        </x:is>
      </x:c>
      <x:c r="T1248" s="581" t="inlineStr">
        <x:is>
          <x:t xml:space="preserve">FIX11: K/L 550/600 wg ark. 09 (UZUPEŁNIĆ K+L / KOREKTA RENTOWNOŚCI).</x:t>
        </x:is>
      </x:c>
    </x:row>
    <x:row r="1249" s="655" customFormat="1" ht="30" customHeight="1">
      <x:c r="A1249" s="6" t="inlineStr">
        <x:is>
          <x:t xml:space="preserve">600 x 806 cm</x:t>
        </x:is>
      </x:c>
      <x:c r="B1249" s="6" t="inlineStr">
        <x:is>
          <x:t xml:space="preserve">ZAB</x:t>
        </x:is>
      </x:c>
      <x:c r="C1249" s="6" t="inlineStr">
        <x:is>
          <x:t xml:space="preserve">Zabieraki do ścian przesuwnych</x:t>
        </x:is>
      </x:c>
      <x:c r="D1249" s="6" t="inlineStr">
        <x:is>
          <x:t xml:space="preserve">DODATKI</x:t>
        </x:is>
      </x:c>
      <x:c r="E1249" s="8" t="n">
        <x:f>IFERROR(INDEX('02_RAW_INDEX'!$AJ:$AJ,MATCH($A1249,'02_RAW_INDEX'!$A:$A,0)),"")</x:f>
        <x:v>520</x:v>
      </x:c>
      <x:c r="F1249" s="8" t="n">
        <x:f>IFERROR(INDEX('02_RAW_INDEX'!$AI:$AI,MATCH($A1249,'02_RAW_INDEX'!$A:$A,0)),"")</x:f>
        <x:v>640</x:v>
      </x:c>
      <x:c r="G1249" s="7" t="n">
        <x:f>'01_Ustawienia'!$B$6</x:f>
        <x:v>0</x:v>
      </x:c>
      <x:c r="H1249" s="8" t="n">
        <x:f>IF(E1249="","",ROUND(IF('01_Ustawienia'!$B$5="BRUTTO",F1249,E1249)*(1-G1249),0))</x:f>
        <x:v>520</x:v>
      </x:c>
      <x:c r="I1249" s="7" t="n">
        <x:f>IFERROR(IFERROR(INDEX('01_Ustawienia'!$B$15:$B$33,MATCH(B1249,'01_Ustawienia'!$A$15:$A$33,0)),0.45),0.45)</x:f>
        <x:v>0.45</x:v>
      </x:c>
      <x:c r="J1249" s="8" t="n">
        <x:f>IF(H1249="","",ROUND(H1249*(1+I1249),0))</x:f>
        <x:v>754</x:v>
      </x:c>
      <x:c r="K1249" s="582" t="n">
        <x:v>0</x:v>
      </x:c>
      <x:c r="L1249" s="582" t="n">
        <x:v>0</x:v>
      </x:c>
      <x:c r="M1249" s="7" t="n">
        <x:f>IF('01_Ustawienia'!$B$4="ZWOLNIONY",0,'01_Ustawienia'!$B$7)</x:f>
        <x:v>0.08</x:v>
      </x:c>
      <x:c r="N1249" s="8" t="n">
        <x:f>IF(J1249="","",ROUND((J1249+K1249)*(1+M1249),0))</x:f>
        <x:v>814</x:v>
      </x:c>
      <x:c r="O1249" s="8" t="n">
        <x:f>IF(J1249="","",J1249+K1249-H1249-L1249)</x:f>
        <x:v>234</x:v>
      </x:c>
      <x:c r="P1249" s="7" t="n">
        <x:f>IFERROR(O1249/(J1249+K1249),"")</x:f>
        <x:v>0.3103448275862069</x:v>
      </x:c>
      <x:c r="Q1249" s="6" t="inlineStr">
        <x:is>
          <x:t xml:space="preserve">RAW_OP AD/AE</x:t>
        </x:is>
      </x:c>
      <x:c r="R1249" s="6" t="inlineStr">
        <x:is>
          <x:t xml:space="preserve">DODATKI</x:t>
        </x:is>
      </x:c>
      <x:c r="S1249" s="6" t="inlineStr">
        <x:is>
          <x:t xml:space="preserve">crm_only</x:t>
        </x:is>
      </x:c>
      <x:c r="T1249" s="581" t="inlineStr">
        <x:is>
          <x:t xml:space="preserve">FIX11: K/L 550/600 wg ark. 09 (POZOSTAWIĆ 0).</x:t>
        </x:is>
      </x:c>
    </x:row>
    <x:row r="1250" s="655" customFormat="1" ht="29.5" customHeight="1">
      <x:c r="A1250" s="6" t="inlineStr">
        <x:is>
          <x:t xml:space="preserve">600 x 806 cm</x:t>
        </x:is>
      </x:c>
      <x:c r="B1250" s="6" t="inlineStr">
        <x:is>
          <x:t xml:space="preserve">S</x:t>
        </x:is>
      </x:c>
      <x:c r="C1250" s="6" t="inlineStr">
        <x:is>
          <x:t xml:space="preserve">Szczotki przeciwkurzowe</x:t>
        </x:is>
      </x:c>
      <x:c r="D1250" s="6" t="inlineStr">
        <x:is>
          <x:t xml:space="preserve">SZCZOTKI</x:t>
        </x:is>
      </x:c>
      <x:c r="E1250" s="8" t="n">
        <x:f>IFERROR(INDEX('02_RAW_INDEX'!$AD:$AD,MATCH($A1250,'02_RAW_INDEX'!$A:$A,0)),"")</x:f>
        <x:v>561</x:v>
      </x:c>
      <x:c r="F1250" s="8" t="n">
        <x:f>IFERROR(INDEX('02_RAW_INDEX'!$AC:$AC,MATCH($A1250,'02_RAW_INDEX'!$A:$A,0)),"")</x:f>
        <x:v>690</x:v>
      </x:c>
      <x:c r="G1250" s="7" t="n">
        <x:f>'01_Ustawienia'!$B$6</x:f>
        <x:v>0</x:v>
      </x:c>
      <x:c r="H1250" s="8" t="n">
        <x:f>IF(E1250="","",ROUND(IF('01_Ustawienia'!$B$5="BRUTTO",F1250,E1250)*(1-G1250),0))</x:f>
        <x:v>561</x:v>
      </x:c>
      <x:c r="I1250" s="7" t="n">
        <x:f>IFERROR(IFERROR(INDEX('01_Ustawienia'!$B$15:$B$33,MATCH(B1250,'01_Ustawienia'!$A$15:$A$33,0)),0.45),0.45)</x:f>
        <x:v>0.45</x:v>
      </x:c>
      <x:c r="J1250" s="8" t="n">
        <x:f>IF(H1250="","",ROUND(H1250*(1+I1250),0))</x:f>
        <x:v>813</x:v>
      </x:c>
      <x:c r="K1250" s="582" t="n">
        <x:v>0</x:v>
      </x:c>
      <x:c r="L1250" s="582" t="n">
        <x:v>0</x:v>
      </x:c>
      <x:c r="M1250" s="7" t="n">
        <x:f>IF('01_Ustawienia'!$B$4="ZWOLNIONY",0,'01_Ustawienia'!$B$7)</x:f>
        <x:v>0.08</x:v>
      </x:c>
      <x:c r="N1250" s="8" t="n">
        <x:f>IF(J1250="","",ROUND((J1250+K1250)*(1+M1250),0))</x:f>
        <x:v>878</x:v>
      </x:c>
      <x:c r="O1250" s="8" t="n">
        <x:f>IF(J1250="","",J1250+K1250-H1250-L1250)</x:f>
        <x:v>252</x:v>
      </x:c>
      <x:c r="P1250" s="7" t="n">
        <x:f>IFERROR(O1250/(J1250+K1250),"")</x:f>
        <x:v>0.30996309963099633</x:v>
      </x:c>
      <x:c r="Q1250" s="6" t="inlineStr">
        <x:is>
          <x:t xml:space="preserve">RAW_OP L/M</x:t>
        </x:is>
      </x:c>
      <x:c r="R1250" s="6" t="inlineStr">
        <x:is>
          <x:t xml:space="preserve">DODATKI</x:t>
        </x:is>
      </x:c>
      <x:c r="S1250" s="6" t="inlineStr">
        <x:is>
          <x:t xml:space="preserve">website+crm</x:t>
        </x:is>
      </x:c>
      <x:c r="T1250" s="581" t="inlineStr">
        <x:is>
          <x:t xml:space="preserve">FIX11: K/L 550/600 wg ark. 09 (POZOSTAWIĆ 0).</x:t>
        </x:is>
      </x:c>
    </x:row>
    <x:row r="1251" s="655" customFormat="1" ht="29.5" customHeight="1">
      <x:c r="A1251" s="6" t="inlineStr">
        <x:is>
          <x:t xml:space="preserve">600 x 806 cm</x:t>
        </x:is>
      </x:c>
      <x:c r="B1251" s="6" t="inlineStr">
        <x:is>
          <x:t xml:space="preserve">U</x:t>
        </x:is>
      </x:c>
      <x:c r="C1251" s="6" t="inlineStr">
        <x:is>
          <x:t xml:space="preserve">Uchwyty na szkło ścienne</x:t>
        </x:is>
      </x:c>
      <x:c r="D1251" s="6" t="inlineStr">
        <x:is>
          <x:t xml:space="preserve">UCHWYTY</x:t>
        </x:is>
      </x:c>
      <x:c r="E1251" s="8" t="n">
        <x:f>IFERROR(INDEX('02_RAW_INDEX'!$AF:$AF,MATCH($A1251,'02_RAW_INDEX'!$A:$A,0)),"")</x:f>
        <x:v>504</x:v>
      </x:c>
      <x:c r="F1251" s="8" t="n">
        <x:f>IFERROR(INDEX('02_RAW_INDEX'!$AE:$AE,MATCH($A1251,'02_RAW_INDEX'!$A:$A,0)),"")</x:f>
        <x:v>620</x:v>
      </x:c>
      <x:c r="G1251" s="7" t="n">
        <x:f>'01_Ustawienia'!$B$6</x:f>
        <x:v>0</x:v>
      </x:c>
      <x:c r="H1251" s="8" t="n">
        <x:f>IF(E1251="","",ROUND(IF('01_Ustawienia'!$B$5="BRUTTO",F1251,E1251)*(1-G1251),0))</x:f>
        <x:v>504</x:v>
      </x:c>
      <x:c r="I1251" s="7" t="n">
        <x:f>IFERROR(IFERROR(INDEX('01_Ustawienia'!$B$15:$B$33,MATCH(B1251,'01_Ustawienia'!$A$15:$A$33,0)),0.45),0.45)</x:f>
        <x:v>0.45</x:v>
      </x:c>
      <x:c r="J1251" s="8" t="n">
        <x:f>IF(H1251="","",ROUND(H1251*(1+I1251),0))</x:f>
        <x:v>731</x:v>
      </x:c>
      <x:c r="K1251" s="582" t="n">
        <x:v>0</x:v>
      </x:c>
      <x:c r="L1251" s="582" t="n">
        <x:v>0</x:v>
      </x:c>
      <x:c r="M1251" s="7" t="n">
        <x:f>IF('01_Ustawienia'!$B$4="ZWOLNIONY",0,'01_Ustawienia'!$B$7)</x:f>
        <x:v>0.08</x:v>
      </x:c>
      <x:c r="N1251" s="8" t="n">
        <x:f>IF(J1251="","",ROUND((J1251+K1251)*(1+M1251),0))</x:f>
        <x:v>789</x:v>
      </x:c>
      <x:c r="O1251" s="8" t="n">
        <x:f>IF(J1251="","",J1251+K1251-H1251-L1251)</x:f>
        <x:v>227</x:v>
      </x:c>
      <x:c r="P1251" s="7" t="n">
        <x:f>IFERROR(O1251/(J1251+K1251),"")</x:f>
        <x:v>0.31053351573187415</x:v>
      </x:c>
      <x:c r="Q1251" s="6" t="inlineStr">
        <x:is>
          <x:t xml:space="preserve">RAW_OP N/O</x:t>
        </x:is>
      </x:c>
      <x:c r="R1251" s="6" t="inlineStr">
        <x:is>
          <x:t xml:space="preserve">DODATKI</x:t>
        </x:is>
      </x:c>
      <x:c r="S1251" s="6" t="inlineStr">
        <x:is>
          <x:t xml:space="preserve">website+crm</x:t>
        </x:is>
      </x:c>
      <x:c r="T1251" s="581" t="inlineStr">
        <x:is>
          <x:t xml:space="preserve">FIX11: K/L 550/600 wg ark. 09 (POZOSTAWIĆ 0).</x:t>
        </x:is>
      </x:c>
    </x:row>
    <x:row r="1252" s="655" customFormat="1" ht="29.5" customHeight="1">
      <x:c r="A1252" s="6" t="inlineStr">
        <x:is>
          <x:t xml:space="preserve">600 x 806 cm</x:t>
        </x:is>
      </x:c>
      <x:c r="B1252" s="6" t="inlineStr">
        <x:is>
          <x:t xml:space="preserve">LED2</x:t>
        </x:is>
      </x:c>
      <x:c r="C1252" s="6" t="inlineStr">
        <x:is>
          <x:t xml:space="preserve">Oświetlenie LED 2 punkty</x:t>
        </x:is>
      </x:c>
      <x:c r="D1252" s="6" t="inlineStr">
        <x:is>
          <x:t xml:space="preserve">LED 2 PKT</x:t>
        </x:is>
      </x:c>
      <x:c r="E1252" s="8" t="n">
        <x:f>IFERROR(INDEX('02_RAW_INDEX'!$N:$N,MATCH($A1252,'02_RAW_INDEX'!$A:$A,0)),"")</x:f>
        <x:v>780</x:v>
      </x:c>
      <x:c r="F1252" s="8" t="n">
        <x:f>IFERROR(INDEX('02_RAW_INDEX'!$M:$M,MATCH($A1252,'02_RAW_INDEX'!$A:$A,0)),"")</x:f>
        <x:v>960</x:v>
      </x:c>
      <x:c r="G1252" s="7" t="n">
        <x:f>'01_Ustawienia'!$B$6</x:f>
        <x:v>0</x:v>
      </x:c>
      <x:c r="H1252" s="8" t="n">
        <x:f>IF(E1252="","",ROUND(IF('01_Ustawienia'!$B$5="BRUTTO",F1252,E1252)*(1-G1252),0))</x:f>
        <x:v>780</x:v>
      </x:c>
      <x:c r="I1252" s="7" t="n">
        <x:f>IFERROR(IFERROR(INDEX('01_Ustawienia'!$B$15:$B$33,MATCH(B1252,'01_Ustawienia'!$A$15:$A$33,0)),0.45),0.45)</x:f>
        <x:v>0.45</x:v>
      </x:c>
      <x:c r="J1252" s="8" t="n">
        <x:f>IF(H1252="","",ROUND(H1252*(1+I1252),0))</x:f>
        <x:v>1131</x:v>
      </x:c>
      <x:c r="K1252" s="582" t="n">
        <x:v>0</x:v>
      </x:c>
      <x:c r="L1252" s="582" t="n">
        <x:v>0</x:v>
      </x:c>
      <x:c r="M1252" s="7" t="n">
        <x:f>IF('01_Ustawienia'!$B$4="ZWOLNIONY",0,'01_Ustawienia'!$B$7)</x:f>
        <x:v>0.08</x:v>
      </x:c>
      <x:c r="N1252" s="8" t="n">
        <x:f>IF(J1252="","",ROUND((J1252+K1252)*(1+M1252),0))</x:f>
        <x:v>1221</x:v>
      </x:c>
      <x:c r="O1252" s="8" t="n">
        <x:f>IF(J1252="","",J1252+K1252-H1252-L1252)</x:f>
        <x:v>351</x:v>
      </x:c>
      <x:c r="P1252" s="7" t="n">
        <x:f>IFERROR(O1252/(J1252+K1252),"")</x:f>
        <x:v>0.3103448275862069</x:v>
      </x:c>
      <x:c r="Q1252" s="6" t="inlineStr">
        <x:is>
          <x:t xml:space="preserve">RAW_ZP P/Q</x:t>
        </x:is>
      </x:c>
      <x:c r="R1252" s="6" t="inlineStr">
        <x:is>
          <x:t xml:space="preserve">OŚWIETLENIE</x:t>
        </x:is>
      </x:c>
      <x:c r="S1252" s="6" t="inlineStr">
        <x:is>
          <x:t xml:space="preserve">website+crm</x:t>
        </x:is>
      </x:c>
      <x:c r="T1252" s="581" t="inlineStr">
        <x:is>
          <x:t xml:space="preserve">FIX11: K/L 550/600 wg ark. 09 (POZOSTAWIĆ 0 NA RAZIE).</x:t>
        </x:is>
      </x:c>
    </x:row>
    <x:row r="1253" s="655" customFormat="1" ht="44.25" customHeight="1">
      <x:c r="A1253" s="6" t="inlineStr">
        <x:is>
          <x:t xml:space="preserve">600 x 806 cm</x:t>
        </x:is>
      </x:c>
      <x:c r="B1253" s="6" t="inlineStr">
        <x:is>
          <x:t xml:space="preserve">LED3</x:t>
        </x:is>
      </x:c>
      <x:c r="C1253" s="6" t="inlineStr">
        <x:is>
          <x:t xml:space="preserve">Oświetlenie LED 3 punkty</x:t>
        </x:is>
      </x:c>
      <x:c r="D1253" s="6" t="inlineStr">
        <x:is>
          <x:t xml:space="preserve">LED 3 PKT</x:t>
        </x:is>
      </x:c>
      <x:c r="E1253" s="8" t="n">
        <x:f>IFERROR(INDEX('02_RAW_INDEX'!$P:$P,MATCH($A1253,'02_RAW_INDEX'!$A:$A,0)),"")</x:f>
        <x:v>1171</x:v>
      </x:c>
      <x:c r="F1253" s="8" t="n">
        <x:f>IFERROR(INDEX('02_RAW_INDEX'!$O:$O,MATCH($A1253,'02_RAW_INDEX'!$A:$A,0)),"")</x:f>
        <x:v>1440</x:v>
      </x:c>
      <x:c r="G1253" s="7" t="n">
        <x:f>'01_Ustawienia'!$B$6</x:f>
        <x:v>0</x:v>
      </x:c>
      <x:c r="H1253" s="8" t="n">
        <x:f>IF(E1253="","",ROUND(IF('01_Ustawienia'!$B$5="BRUTTO",F1253,E1253)*(1-G1253),0))</x:f>
        <x:v>1171</x:v>
      </x:c>
      <x:c r="I1253" s="7" t="n">
        <x:f>IFERROR(IFERROR(INDEX('01_Ustawienia'!$B$15:$B$33,MATCH(B1253,'01_Ustawienia'!$A$15:$A$33,0)),0.45),0.45)</x:f>
        <x:v>0.45</x:v>
      </x:c>
      <x:c r="J1253" s="8" t="n">
        <x:f>IF(H1253="","",ROUND(H1253*(1+I1253),0))</x:f>
        <x:v>1698</x:v>
      </x:c>
      <x:c r="K1253" s="582" t="n">
        <x:v>0</x:v>
      </x:c>
      <x:c r="L1253" s="582" t="n">
        <x:v>0</x:v>
      </x:c>
      <x:c r="M1253" s="7" t="n">
        <x:f>IF('01_Ustawienia'!$B$4="ZWOLNIONY",0,'01_Ustawienia'!$B$7)</x:f>
        <x:v>0.08</x:v>
      </x:c>
      <x:c r="N1253" s="8" t="n">
        <x:f>IF(J1253="","",ROUND((J1253+K1253)*(1+M1253),0))</x:f>
        <x:v>1834</x:v>
      </x:c>
      <x:c r="O1253" s="8" t="n">
        <x:f>IF(J1253="","",J1253+K1253-H1253-L1253)</x:f>
        <x:v>527</x:v>
      </x:c>
      <x:c r="P1253" s="7" t="n">
        <x:f>IFERROR(O1253/(J1253+K1253),"")</x:f>
        <x:v>0.31036513545347466</x:v>
      </x:c>
      <x:c r="Q1253" s="6" t="inlineStr">
        <x:is>
          <x:t xml:space="preserve">RAW_ZP R/S</x:t>
        </x:is>
      </x:c>
      <x:c r="R1253" s="6" t="inlineStr">
        <x:is>
          <x:t xml:space="preserve">OŚWIETLENIE</x:t>
        </x:is>
      </x:c>
      <x:c r="S1253" s="6" t="inlineStr">
        <x:is>
          <x:t xml:space="preserve">website+crm</x:t>
        </x:is>
      </x:c>
      <x:c r="T1253" s="581" t="inlineStr">
        <x:is>
          <x:t xml:space="preserve">Nazwa do potwierdzenia | FIX11: K/L 550/600 wg ark. 09 (POZOSTAWIĆ 0 NA RAZIE).</x:t>
        </x:is>
      </x:c>
    </x:row>
    <x:row r="1254" s="655" customFormat="1" ht="29.5" customHeight="1">
      <x:c r="A1254" s="6" t="inlineStr">
        <x:is>
          <x:t xml:space="preserve">600 x 806 cm</x:t>
        </x:is>
      </x:c>
      <x:c r="B1254" s="6" t="inlineStr">
        <x:is>
          <x:t xml:space="preserve">LEDCCT</x:t>
        </x:is>
      </x:c>
      <x:c r="C1254" s="6" t="inlineStr">
        <x:is>
          <x:t xml:space="preserve">Oświetlenie LED CCT</x:t>
        </x:is>
      </x:c>
      <x:c r="D1254" s="6" t="inlineStr">
        <x:is>
          <x:t xml:space="preserve">OŚWIETLENIE</x:t>
        </x:is>
      </x:c>
      <x:c r="E1254" s="8" t="n">
        <x:f>IFERROR(INDEX('02_RAW_INDEX'!$R:$R,MATCH($A1254,'02_RAW_INDEX'!$A:$A,0)),"")</x:f>
        <x:v>2815</x:v>
      </x:c>
      <x:c r="F1254" s="8" t="n">
        <x:f>IFERROR(INDEX('02_RAW_INDEX'!$Q:$Q,MATCH($A1254,'02_RAW_INDEX'!$A:$A,0)),"")</x:f>
        <x:v>3463</x:v>
      </x:c>
      <x:c r="G1254" s="7" t="n">
        <x:f>'01_Ustawienia'!$B$6</x:f>
        <x:v>0</x:v>
      </x:c>
      <x:c r="H1254" s="8" t="n">
        <x:f>IF(E1254="","",ROUND(IF('01_Ustawienia'!$B$5="BRUTTO",F1254,E1254)*(1-G1254),0))</x:f>
        <x:v>2815</x:v>
      </x:c>
      <x:c r="I1254" s="7" t="n">
        <x:f>IFERROR(IFERROR(INDEX('01_Ustawienia'!$B$15:$B$33,MATCH(B1254,'01_Ustawienia'!$A$15:$A$33,0)),0.45),0.45)</x:f>
        <x:v>0.45</x:v>
      </x:c>
      <x:c r="J1254" s="8" t="n">
        <x:f>IF(H1254="","",ROUND(H1254*(1+I1254),0)+700)</x:f>
        <x:v>4782</x:v>
      </x:c>
      <x:c r="K1254" s="582" t="n">
        <x:v>0</x:v>
      </x:c>
      <x:c r="L1254" s="582" t="n">
        <x:v>0</x:v>
      </x:c>
      <x:c r="M1254" s="7" t="n">
        <x:f>IF('01_Ustawienia'!$B$4="ZWOLNIONY",0,'01_Ustawienia'!$B$7)</x:f>
        <x:v>0.08</x:v>
      </x:c>
      <x:c r="N1254" s="8" t="n">
        <x:f>IF(J1254="","",ROUND((J1254+K1254)*(1+M1254),0))</x:f>
        <x:v>5165</x:v>
      </x:c>
      <x:c r="O1254" s="8" t="n">
        <x:f>IF(J1254="","",J1254+K1254-H1254-L1254)</x:f>
        <x:v>1967</x:v>
      </x:c>
      <x:c r="P1254" s="7" t="n">
        <x:f>IFERROR(O1254/(J1254+K1254),"")</x:f>
        <x:v>0.4113341698034295</x:v>
      </x:c>
      <x:c r="Q1254" s="715" t="inlineStr">
        <x:is>
          <x:t xml:space="preserve">MODEL_FIX15_LED</x:t>
        </x:is>
      </x:c>
      <x:c r="R1254" s="6" t="inlineStr">
        <x:is>
          <x:t xml:space="preserve">OŚWIETLENIE</x:t>
        </x:is>
      </x:c>
      <x:c r="S1254" s="6" t="inlineStr">
        <x:is>
          <x:t xml:space="preserve">website+crm</x:t>
        </x:is>
      </x:c>
      <x:c r="T1254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255" s="655" customFormat="1" ht="29.5" customHeight="1">
      <x:c r="A1255" s="6" t="inlineStr">
        <x:is>
          <x:t xml:space="preserve">600 x 806 cm</x:t>
        </x:is>
      </x:c>
      <x:c r="B1255" s="6" t="inlineStr">
        <x:is>
          <x:t xml:space="preserve">LEDRGBCCT</x:t>
        </x:is>
      </x:c>
      <x:c r="C1255" s="6" t="inlineStr">
        <x:is>
          <x:t xml:space="preserve">Oświetlenie LED RGB CCT</x:t>
        </x:is>
      </x:c>
      <x:c r="D1255" s="6" t="inlineStr">
        <x:is>
          <x:t xml:space="preserve">OŚWIETLENIE</x:t>
        </x:is>
      </x:c>
      <x:c r="E1255" s="8" t="n">
        <x:f>IFERROR(INDEX('02_RAW_INDEX'!$T:$T,MATCH($A1255,'02_RAW_INDEX'!$A:$A,0)),"")</x:f>
        <x:v>3693</x:v>
      </x:c>
      <x:c r="F1255" s="8" t="n">
        <x:f>IFERROR(INDEX('02_RAW_INDEX'!$S:$S,MATCH($A1255,'02_RAW_INDEX'!$A:$A,0)),"")</x:f>
        <x:v>4543</x:v>
      </x:c>
      <x:c r="G1255" s="7" t="n">
        <x:f>'01_Ustawienia'!$B$6</x:f>
        <x:v>0</x:v>
      </x:c>
      <x:c r="H1255" s="8" t="n">
        <x:f>IF(E1255="","",ROUND(IF('01_Ustawienia'!$B$5="BRUTTO",F1255,E1255)*(1-G1255),0))</x:f>
        <x:v>3693</x:v>
      </x:c>
      <x:c r="I1255" s="7" t="n">
        <x:f>IFERROR(IFERROR(INDEX('01_Ustawienia'!$B$15:$B$33,MATCH(B1255,'01_Ustawienia'!$A$15:$A$33,0)),0.45),0.45)</x:f>
        <x:v>0.45</x:v>
      </x:c>
      <x:c r="J1255" s="8" t="n">
        <x:f>IF(H1255="","",ROUND(H1255*(1+I1255),0))</x:f>
        <x:v>5355</x:v>
      </x:c>
      <x:c r="K1255" s="582" t="n">
        <x:v>0</x:v>
      </x:c>
      <x:c r="L1255" s="582" t="n">
        <x:v>0</x:v>
      </x:c>
      <x:c r="M1255" s="7" t="n">
        <x:f>IF('01_Ustawienia'!$B$4="ZWOLNIONY",0,'01_Ustawienia'!$B$7)</x:f>
        <x:v>0.08</x:v>
      </x:c>
      <x:c r="N1255" s="8" t="n">
        <x:f>IF(J1255="","",ROUND((J1255+K1255)*(1+M1255),0))</x:f>
        <x:v>5783</x:v>
      </x:c>
      <x:c r="O1255" s="8" t="n">
        <x:f>IF(J1255="","",J1255+K1255-H1255-L1255)</x:f>
        <x:v>1662</x:v>
      </x:c>
      <x:c r="P1255" s="7" t="n">
        <x:f>IFERROR(O1255/(J1255+K1255),"")</x:f>
        <x:v>0.3103641456582633</x:v>
      </x:c>
      <x:c r="Q1255" s="715" t="inlineStr">
        <x:is>
          <x:t xml:space="preserve">MODEL_FIX15_LED</x:t>
        </x:is>
      </x:c>
      <x:c r="R1255" s="6" t="inlineStr">
        <x:is>
          <x:t xml:space="preserve">OŚWIETLENIE</x:t>
        </x:is>
      </x:c>
      <x:c r="S1255" s="6" t="inlineStr">
        <x:is>
          <x:t xml:space="preserve">crm_only</x:t>
        </x:is>
      </x:c>
      <x:c r="T1255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256" s="655" customFormat="1" ht="30" customHeight="1">
      <x:c r="A1256" s="6" t="inlineStr">
        <x:is>
          <x:t xml:space="preserve">600 x 906 cm</x:t>
        </x:is>
      </x:c>
      <x:c r="B1256" s="6" t="inlineStr">
        <x:is>
          <x:t xml:space="preserve">ZP</x:t>
        </x:is>
      </x:c>
      <x:c r="C1256" s="6" t="inlineStr">
        <x:is>
          <x:t xml:space="preserve">Zadaszenie poliwęglan - baza</x:t>
        </x:is>
      </x:c>
      <x:c r="D1256" s="6" t="inlineStr">
        <x:is>
          <x:t xml:space="preserve">ZADASZENIE POLIWĘGLAN</x:t>
        </x:is>
      </x:c>
      <x:c r="E1256" s="8" t="n">
        <x:f>IFERROR(INDEX('02_RAW_INDEX'!$D:$D,MATCH($A1256,'02_RAW_INDEX'!$A:$A,0)),"")</x:f>
        <x:v>25561</x:v>
      </x:c>
      <x:c r="F1256" s="8" t="n">
        <x:f>IFERROR(INDEX('02_RAW_INDEX'!$C:$C,MATCH($A1256,'02_RAW_INDEX'!$A:$A,0)),"")</x:f>
        <x:v>31440</x:v>
      </x:c>
      <x:c r="G1256" s="7" t="n">
        <x:f>'01_Ustawienia'!$B$6</x:f>
        <x:v>0</x:v>
      </x:c>
      <x:c r="H1256" s="8" t="n">
        <x:f>IF(E1256="","",ROUND(IF('01_Ustawienia'!$B$5="BRUTTO",F1256,E1256)*(1-G1256),0))</x:f>
        <x:v>25561</x:v>
      </x:c>
      <x:c r="I1256" s="7" t="n">
        <x:f>IFERROR(IFERROR(INDEX('01_Ustawienia'!$B$15:$B$33,MATCH(B1256,'01_Ustawienia'!$A$15:$A$33,0)),0.45),0.45)</x:f>
        <x:v>0.45</x:v>
      </x:c>
      <x:c r="J1256" s="8" t="n">
        <x:f>IF(H1256="","",ROUND(H1256*(1+I1256),0))</x:f>
        <x:v>37063</x:v>
      </x:c>
      <x:c r="K1256" s="580" t="n">
        <x:v>6060</x:v>
      </x:c>
      <x:c r="L1256" s="580" t="n">
        <x:v>1980</x:v>
      </x:c>
      <x:c r="M1256" s="7" t="n">
        <x:f>IF('01_Ustawienia'!$B$4="ZWOLNIONY",0,'01_Ustawienia'!$B$7)</x:f>
        <x:v>0.08</x:v>
      </x:c>
      <x:c r="N1256" s="8" t="n">
        <x:f>IF(J1256="","",ROUND((J1256+K1256)*(1+M1256),0))</x:f>
        <x:v>46573</x:v>
      </x:c>
      <x:c r="O1256" s="8" t="n">
        <x:f>IF(J1256="","",J1256+K1256-H1256-L1256)</x:f>
        <x:v>15582</x:v>
      </x:c>
      <x:c r="P1256" s="7" t="n">
        <x:f>IFERROR(O1256/(J1256+K1256),"")</x:f>
        <x:v>0.36133849685782526</x:v>
      </x:c>
      <x:c r="Q1256" s="6" t="inlineStr">
        <x:is>
          <x:t xml:space="preserve">RAW_ZP B/C</x:t>
        </x:is>
      </x:c>
      <x:c r="R1256" s="6" t="inlineStr">
        <x:is>
          <x:t xml:space="preserve">ZADASZENIE TARASU KONSTRUKCJA</x:t>
        </x:is>
      </x:c>
      <x:c r="S1256" s="6" t="inlineStr">
        <x:is>
          <x:t xml:space="preserve">website+crm</x:t>
        </x:is>
      </x:c>
      <x:c r="T1256" s="581" t="inlineStr">
        <x:is>
          <x:t xml:space="preserve">Baza dla kalkulatora | FIX11: K/L 550/600 wg ark. 09 (UZUPEŁNIĆ).</x:t>
        </x:is>
      </x:c>
    </x:row>
    <x:row r="1257" s="655" customFormat="1" ht="30" customHeight="1">
      <x:c r="A1257" s="6" t="inlineStr">
        <x:is>
          <x:t xml:space="preserve">600 x 906 cm</x:t>
        </x:is>
      </x:c>
      <x:c r="B1257" s="6" t="inlineStr">
        <x:is>
          <x:t xml:space="preserve">ZS</x:t>
        </x:is>
      </x:c>
      <x:c r="C1257" s="6" t="inlineStr">
        <x:is>
          <x:t xml:space="preserve">Zadaszenie szkło - pełna konstrukcja</x:t>
        </x:is>
      </x:c>
      <x:c r="D1257" s="6" t="inlineStr">
        <x:is>
          <x:t xml:space="preserve">ZADASZENIE SZKŁO</x:t>
        </x:is>
      </x:c>
      <x:c r="E1257" s="8" t="str">
        <x:f>IFERROR(INDEX('02_RAW_INDEX'!$V:$V,MATCH($A1257,'02_RAW_INDEX'!$A:$A,0)),"")</x:f>
      </x:c>
      <x:c r="F1257" s="8" t="str">
        <x:f>IFERROR(INDEX('02_RAW_INDEX'!$U:$U,MATCH($A1257,'02_RAW_INDEX'!$A:$A,0)),"")</x:f>
      </x:c>
      <x:c r="G1257" s="7" t="n">
        <x:f>'01_Ustawienia'!$B$6</x:f>
        <x:v>0</x:v>
      </x:c>
      <x:c r="H1257" s="8" t="str">
        <x:f>IF(E1257="","",ROUND(IF('01_Ustawienia'!$B$5="BRUTTO",F1257,E1257)*(1-G1257),0))</x:f>
      </x:c>
      <x:c r="I1257" s="7" t="n">
        <x:f>IFERROR(IFERROR(INDEX('01_Ustawienia'!$B$15:$B$33,MATCH(B1257,'01_Ustawienia'!$A$15:$A$33,0)),0.45),0.45)</x:f>
        <x:v>0.45</x:v>
      </x:c>
      <x:c r="J1257" s="8" t="str">
        <x:f>IF(H1257="","",ROUND(H1257*(1+I1257),0))</x:f>
      </x:c>
      <x:c r="K1257" s="580" t="n">
        <x:v>6060</x:v>
      </x:c>
      <x:c r="L1257" s="580" t="n">
        <x:v>2540</x:v>
      </x:c>
      <x:c r="M1257" s="7" t="n">
        <x:f>IF('01_Ustawienia'!$B$4="ZWOLNIONY",0,'01_Ustawienia'!$B$7)</x:f>
        <x:v>0.08</x:v>
      </x:c>
      <x:c r="N1257" s="8" t="str">
        <x:f>IF(J1257="","",ROUND((J1257+K1257)*(1+M1257),0))</x:f>
      </x:c>
      <x:c r="O1257" s="8" t="str">
        <x:f>IF(J1257="","",J1257+K1257-H1257-L1257)</x:f>
      </x:c>
      <x:c r="P1257" s="7" t="n">
        <x:f>IFERROR(O1257/(J1257+K1257),"")</x:f>
        <x:v>0</x:v>
      </x:c>
      <x:c r="Q1257" s="6" t="inlineStr">
        <x:is>
          <x:t xml:space="preserve">RAW_ZS B/C</x:t>
        </x:is>
      </x:c>
      <x:c r="R1257" s="6" t="inlineStr">
        <x:is>
          <x:t xml:space="preserve">ZADASZENIE TARASU KONSTRUKCJA</x:t>
        </x:is>
      </x:c>
      <x:c r="S1257" s="6" t="inlineStr">
        <x:is>
          <x:t xml:space="preserve">crm_only</x:t>
        </x:is>
      </x:c>
      <x:c r="T1257" s="581" t="inlineStr">
        <x:is>
          <x:t xml:space="preserve">Referencyjne/full; strona zwykle używa ZP + PDS | FIX11: K/L 550/600 wg ark. 09 (NIE PUBLIKOWAĆ / BRAK RAW_ZS).</x:t>
        </x:is>
      </x:c>
    </x:row>
    <x:row r="1258" s="655" customFormat="1" ht="30" customHeight="1">
      <x:c r="A1258" s="6" t="inlineStr">
        <x:is>
          <x:t xml:space="preserve">600 x 906 cm</x:t>
        </x:is>
      </x:c>
      <x:c r="B1258" s="6" t="inlineStr">
        <x:is>
          <x:t xml:space="preserve">OP</x:t>
        </x:is>
      </x:c>
      <x:c r="C1258" s="6" t="inlineStr">
        <x:is>
          <x:t xml:space="preserve">Ogród zimowy poliwęglan - baza</x:t>
        </x:is>
      </x:c>
      <x:c r="D1258" s="6" t="inlineStr">
        <x:is>
          <x:t xml:space="preserve">OGRODY POLIWĘGLAN</x:t>
        </x:is>
      </x:c>
      <x:c r="E1258" s="8" t="n">
        <x:f>IFERROR(INDEX('02_RAW_INDEX'!$Z:$Z,MATCH($A1258,'02_RAW_INDEX'!$A:$A,0)),"")</x:f>
        <x:v>43821</x:v>
      </x:c>
      <x:c r="F1258" s="8" t="n">
        <x:f>IFERROR(INDEX('02_RAW_INDEX'!$Y:$Y,MATCH($A1258,'02_RAW_INDEX'!$A:$A,0)),"")</x:f>
        <x:v>53900</x:v>
      </x:c>
      <x:c r="G1258" s="7" t="n">
        <x:f>'01_Ustawienia'!$B$6</x:f>
        <x:v>0</x:v>
      </x:c>
      <x:c r="H1258" s="8" t="n">
        <x:f>IF(E1258="","",ROUND(IF('01_Ustawienia'!$B$5="BRUTTO",F1258,E1258)*(1-G1258),0))</x:f>
        <x:v>43821</x:v>
      </x:c>
      <x:c r="I1258" s="7" t="n">
        <x:f>IFERROR(IFERROR(INDEX('01_Ustawienia'!$B$15:$B$33,MATCH(B1258,'01_Ustawienia'!$A$15:$A$33,0)),0.45),0.45)</x:f>
        <x:v>0.45</x:v>
      </x:c>
      <x:c r="J1258" s="8" t="n">
        <x:f>IF(H1258="","",ROUND(H1258*(1+I1258),0))</x:f>
        <x:v>63540</x:v>
      </x:c>
      <x:c r="K1258" s="580" t="n">
        <x:v>7320</x:v>
      </x:c>
      <x:c r="L1258" s="580" t="n">
        <x:v>2790</x:v>
      </x:c>
      <x:c r="M1258" s="7" t="n">
        <x:f>IF('01_Ustawienia'!$B$4="ZWOLNIONY",0,'01_Ustawienia'!$B$7)</x:f>
        <x:v>0.08</x:v>
      </x:c>
      <x:c r="N1258" s="8" t="n">
        <x:f>IF(J1258="","",ROUND((J1258+K1258)*(1+M1258),0))</x:f>
        <x:v>76529</x:v>
      </x:c>
      <x:c r="O1258" s="8" t="n">
        <x:f>IF(J1258="","",J1258+K1258-H1258-L1258)</x:f>
        <x:v>24249</x:v>
      </x:c>
      <x:c r="P1258" s="7" t="n">
        <x:f>IFERROR(O1258/(J1258+K1258),"")</x:f>
        <x:v>0.3422099915325995</x:v>
      </x:c>
      <x:c r="Q1258" s="6" t="inlineStr">
        <x:is>
          <x:t xml:space="preserve">RAW_OP B/C</x:t>
        </x:is>
      </x:c>
      <x:c r="R1258" s="6" t="inlineStr">
        <x:is>
          <x:t xml:space="preserve">OGRÓD ZIMOWY (KONSTRUKCJA)</x:t>
        </x:is>
      </x:c>
      <x:c r="S1258" s="6" t="inlineStr">
        <x:is>
          <x:t xml:space="preserve">website+crm</x:t>
        </x:is>
      </x:c>
      <x:c r="T1258" s="581" t="inlineStr">
        <x:is>
          <x:t xml:space="preserve">Do wyliczenia dopłaty za ściany | FIX11: K/L 550/600 wg ark. 09 (UZUPEŁNIĆ).</x:t>
        </x:is>
      </x:c>
    </x:row>
    <x:row r="1259" s="655" customFormat="1" ht="30" customHeight="1">
      <x:c r="A1259" s="6" t="inlineStr">
        <x:is>
          <x:t xml:space="preserve">600 x 906 cm</x:t>
        </x:is>
      </x:c>
      <x:c r="B1259" s="6" t="inlineStr">
        <x:is>
          <x:t xml:space="preserve">OS</x:t>
        </x:is>
      </x:c>
      <x:c r="C1259" s="6" t="inlineStr">
        <x:is>
          <x:t xml:space="preserve">Ogród zimowy szkło - pełna konstrukcja</x:t>
        </x:is>
      </x:c>
      <x:c r="D1259" s="6" t="inlineStr">
        <x:is>
          <x:t xml:space="preserve">OGRODY SZKŁO</x:t>
        </x:is>
      </x:c>
      <x:c r="E1259" s="8" t="str">
        <x:f>IFERROR(INDEX('02_RAW_INDEX'!$AL:$AL,MATCH($A1259,'02_RAW_INDEX'!$A:$A,0)),"")</x:f>
      </x:c>
      <x:c r="F1259" s="8" t="str">
        <x:f>IFERROR(INDEX('02_RAW_INDEX'!$AK:$AK,MATCH($A1259,'02_RAW_INDEX'!$A:$A,0)),"")</x:f>
      </x:c>
      <x:c r="G1259" s="7" t="n">
        <x:f>'01_Ustawienia'!$B$6</x:f>
        <x:v>0</x:v>
      </x:c>
      <x:c r="H1259" s="8" t="str">
        <x:f>IF(E1259="","",ROUND(IF('01_Ustawienia'!$B$5="BRUTTO",F1259,E1259)*(1-G1259),0))</x:f>
      </x:c>
      <x:c r="I1259" s="7" t="n">
        <x:f>IFERROR(IFERROR(INDEX('01_Ustawienia'!$B$15:$B$33,MATCH(B1259,'01_Ustawienia'!$A$15:$A$33,0)),0.45),0.45)</x:f>
        <x:v>0.45</x:v>
      </x:c>
      <x:c r="J1259" s="8" t="str">
        <x:f>IF(H1259="","",ROUND(H1259*(1+I1259),0))</x:f>
      </x:c>
      <x:c r="K1259" s="580" t="n">
        <x:v>7320</x:v>
      </x:c>
      <x:c r="L1259" s="580" t="n">
        <x:v>3350</x:v>
      </x:c>
      <x:c r="M1259" s="7" t="n">
        <x:f>IF('01_Ustawienia'!$B$4="ZWOLNIONY",0,'01_Ustawienia'!$B$7)</x:f>
        <x:v>0.08</x:v>
      </x:c>
      <x:c r="N1259" s="8" t="str">
        <x:f>IF(J1259="","",ROUND((J1259+K1259)*(1+M1259),0))</x:f>
      </x:c>
      <x:c r="O1259" s="8" t="str">
        <x:f>IF(J1259="","",J1259+K1259-H1259-L1259)</x:f>
      </x:c>
      <x:c r="P1259" s="7" t="n">
        <x:f>IFERROR(O1259/(J1259+K1259),"")</x:f>
        <x:v>0</x:v>
      </x:c>
      <x:c r="Q1259" s="6" t="inlineStr">
        <x:is>
          <x:t xml:space="preserve">RAW_OS B/C</x:t>
        </x:is>
      </x:c>
      <x:c r="R1259" s="6" t="inlineStr">
        <x:is>
          <x:t xml:space="preserve">OGRÓD ZIMOWY (KONSTRUKCJA)</x:t>
        </x:is>
      </x:c>
      <x:c r="S1259" s="6" t="inlineStr">
        <x:is>
          <x:t xml:space="preserve">crm_only</x:t>
        </x:is>
      </x:c>
      <x:c r="T1259" s="581" t="inlineStr">
        <x:is>
          <x:t xml:space="preserve">Referencyjne/full | FIX11: K/L 550/600 wg ark. 09 (NIE PUBLIKOWAĆ / BRAK RAW_OS).</x:t>
        </x:is>
      </x:c>
    </x:row>
    <x:row r="1260" s="655" customFormat="1" ht="30" customHeight="1">
      <x:c r="A1260" s="6" t="inlineStr">
        <x:is>
          <x:t xml:space="preserve">600 x 906 cm</x:t>
        </x:is>
      </x:c>
      <x:c r="B1260" s="6" t="inlineStr">
        <x:is>
          <x:t xml:space="preserve">PDS</x:t>
        </x:is>
      </x:c>
      <x:c r="C1260" s="6" t="inlineStr">
        <x:is>
          <x:t xml:space="preserve">Dopłata dach szkło przezroczyste</x:t>
        </x:is>
      </x:c>
      <x:c r="D1260" s="6" t="inlineStr">
        <x:is>
          <x:t xml:space="preserve">POKRYCIE DACHU SZKŁO</x:t>
        </x:is>
      </x:c>
      <x:c r="E1260" s="8" t="n">
        <x:f>IFERROR(IFERROR(INDEX('02_RAW_INDEX'!$V:$V,MATCH($A1260,'02_RAW_INDEX'!$A:$A,0)),"")-IFERROR(INDEX('02_RAW_INDEX'!$D:$D,MATCH($A1260,'02_RAW_INDEX'!$A:$A,0)),""),"")</x:f>
        <x:v>-25561</x:v>
      </x:c>
      <x:c r="F1260" s="8" t="n">
        <x:f>IFERROR(IFERROR(INDEX('02_RAW_INDEX'!$U:$U,MATCH($A1260,'02_RAW_INDEX'!$A:$A,0)),"")-IFERROR(INDEX('02_RAW_INDEX'!$C:$C,MATCH($A1260,'02_RAW_INDEX'!$A:$A,0)),""),"")</x:f>
        <x:v>-31440</x:v>
      </x:c>
      <x:c r="G1260" s="7" t="n">
        <x:f>'01_Ustawienia'!$B$6</x:f>
        <x:v>0</x:v>
      </x:c>
      <x:c r="H1260" s="8" t="n">
        <x:f>IF(E1260="","",ROUND(IF('01_Ustawienia'!$B$5="BRUTTO",F1260,E1260)*(1-G1260),0))</x:f>
        <x:v>-25561</x:v>
      </x:c>
      <x:c r="I1260" s="7" t="n">
        <x:f>IFERROR(IFERROR(INDEX('01_Ustawienia'!$B$15:$B$33,MATCH(B1260,'01_Ustawienia'!$A$15:$A$33,0)),0.45),0.45)</x:f>
        <x:v>0.45</x:v>
      </x:c>
      <x:c r="J1260" s="8" t="n">
        <x:f>IF(H1260="","",ROUND(H1260*(1+I1260),0))</x:f>
        <x:v>-37063</x:v>
      </x:c>
      <x:c r="K1260" s="580" t="n">
        <x:v>0</x:v>
      </x:c>
      <x:c r="L1260" s="580" t="n">
        <x:v>0</x:v>
      </x:c>
      <x:c r="M1260" s="7" t="n">
        <x:f>IF('01_Ustawienia'!$B$4="ZWOLNIONY",0,'01_Ustawienia'!$B$7)</x:f>
        <x:v>0.08</x:v>
      </x:c>
      <x:c r="N1260" s="8" t="n">
        <x:f>IF(J1260="","",ROUND((J1260+K1260)*(1+M1260),0))</x:f>
        <x:v>-40028</x:v>
      </x:c>
      <x:c r="O1260" s="8" t="n">
        <x:f>IF(J1260="","",J1260+K1260-H1260-L1260)</x:f>
        <x:v>-11502</x:v>
      </x:c>
      <x:c r="P1260" s="7" t="n">
        <x:f>IFERROR(O1260/(J1260+K1260),"")</x:f>
        <x:v>0.3103364541456439</x:v>
      </x:c>
      <x:c r="Q1260" s="6" t="inlineStr">
        <x:is>
          <x:t xml:space="preserve">RAW_ZS - RAW_ZP</x:t>
        </x:is>
      </x:c>
      <x:c r="R1260" s="6" t="inlineStr">
        <x:is>
          <x:t xml:space="preserve">POKRYCIE DACHU</x:t>
        </x:is>
      </x:c>
      <x:c r="S1260" s="6" t="inlineStr">
        <x:is>
          <x:t xml:space="preserve">website+crm</x:t>
        </x:is>
      </x:c>
      <x:c r="T1260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261" s="655" customFormat="1" ht="30" customHeight="1">
      <x:c r="A1261" s="6" t="inlineStr">
        <x:is>
          <x:t xml:space="preserve">600 x 906 cm</x:t>
        </x:is>
      </x:c>
      <x:c r="B1261" s="6" t="inlineStr">
        <x:is>
          <x:t xml:space="preserve">PDSB</x:t>
        </x:is>
      </x:c>
      <x:c r="C1261" s="6" t="inlineStr">
        <x:is>
          <x:t xml:space="preserve">Dopłata dach szkło barwione/mleczne</x:t>
        </x:is>
      </x:c>
      <x:c r="D1261" s="6" t="inlineStr">
        <x:is>
          <x:t xml:space="preserve">POKRYCIE DACHU SZKŁO BARWIONE</x:t>
        </x:is>
      </x:c>
      <x:c r="E1261" s="8" t="str">
        <x:f>IFERROR(INDEX('02_RAW_INDEX'!$X:$X,MATCH($A1261,'02_RAW_INDEX'!$A:$A,0)),"")</x:f>
      </x:c>
      <x:c r="F1261" s="8" t="str">
        <x:f>IFERROR(INDEX('02_RAW_INDEX'!$W:$W,MATCH($A1261,'02_RAW_INDEX'!$A:$A,0)),"")</x:f>
      </x:c>
      <x:c r="G1261" s="7" t="n">
        <x:f>'01_Ustawienia'!$B$6</x:f>
        <x:v>0</x:v>
      </x:c>
      <x:c r="H1261" s="8" t="str">
        <x:f>IF(E1261="","",ROUND(IF('01_Ustawienia'!$B$5="BRUTTO",F1261,E1261)*(1-G1261),0))</x:f>
      </x:c>
      <x:c r="I1261" s="7" t="n">
        <x:f>IFERROR(IFERROR(INDEX('01_Ustawienia'!$B$15:$B$33,MATCH(B1261,'01_Ustawienia'!$A$15:$A$33,0)),0.45),0.45)</x:f>
        <x:v>0.45</x:v>
      </x:c>
      <x:c r="J1261" s="8" t="str">
        <x:f>IF(H1261="","",ROUND(H1261*(1+I1261),0))</x:f>
      </x:c>
      <x:c r="K1261" s="582" t="n">
        <x:v>0</x:v>
      </x:c>
      <x:c r="L1261" s="582" t="n">
        <x:v>0</x:v>
      </x:c>
      <x:c r="M1261" s="7" t="n">
        <x:f>IF('01_Ustawienia'!$B$4="ZWOLNIONY",0,'01_Ustawienia'!$B$7)</x:f>
        <x:v>0.08</x:v>
      </x:c>
      <x:c r="N1261" s="8" t="str">
        <x:f>IF(J1261="","",ROUND((J1261+K1261)*(1+M1261),0))</x:f>
      </x:c>
      <x:c r="O1261" s="8" t="str">
        <x:f>IF(J1261="","",J1261+K1261-H1261-L1261)</x:f>
      </x:c>
      <x:c r="P1261" s="7" t="str">
        <x:f>IFERROR(O1261/(J1261+K1261),"")</x:f>
      </x:c>
      <x:c r="Q1261" s="6" t="inlineStr">
        <x:is>
          <x:t xml:space="preserve">RAW_ZS D/E</x:t>
        </x:is>
      </x:c>
      <x:c r="R1261" s="6" t="inlineStr">
        <x:is>
          <x:t xml:space="preserve">POKRYCIE DACHU</x:t>
        </x:is>
      </x:c>
      <x:c r="S1261" s="6" t="inlineStr">
        <x:is>
          <x:t xml:space="preserve">website+crm</x:t>
        </x:is>
      </x:c>
      <x:c r="T1261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262" s="655" customFormat="1" ht="30" customHeight="1">
      <x:c r="A1262" s="6" t="inlineStr">
        <x:is>
          <x:t xml:space="preserve">600 x 906 cm</x:t>
        </x:is>
      </x:c>
      <x:c r="B1262" s="6" t="inlineStr">
        <x:is>
          <x:t xml:space="preserve">PDPB</x:t>
        </x:is>
      </x:c>
      <x:c r="C1262" s="6" t="inlineStr">
        <x:is>
          <x:t xml:space="preserve">Dopłata poliwęglan barwiony</x:t>
        </x:is>
      </x:c>
      <x:c r="D1262" s="6" t="inlineStr">
        <x:is>
          <x:t xml:space="preserve">POKRYCIE DACHU POLIWĘGLAN BARWIONY</x:t>
        </x:is>
      </x:c>
      <x:c r="E1262" s="8" t="n">
        <x:f>IFERROR(INDEX('02_RAW_INDEX'!$F:$F,MATCH($A1262,'02_RAW_INDEX'!$A:$A,0)),"")</x:f>
        <x:v>764</x:v>
      </x:c>
      <x:c r="F1262" s="8" t="n">
        <x:f>IFERROR(INDEX('02_RAW_INDEX'!$E:$E,MATCH($A1262,'02_RAW_INDEX'!$A:$A,0)),"")</x:f>
        <x:v>940</x:v>
      </x:c>
      <x:c r="G1262" s="7" t="n">
        <x:f>'01_Ustawienia'!$B$6</x:f>
        <x:v>0</x:v>
      </x:c>
      <x:c r="H1262" s="8" t="n">
        <x:f>IF(E1262="","",ROUND(IF('01_Ustawienia'!$B$5="BRUTTO",F1262,E1262)*(1-G1262),0))</x:f>
        <x:v>764</x:v>
      </x:c>
      <x:c r="I1262" s="7" t="n">
        <x:f>IFERROR(IFERROR(INDEX('01_Ustawienia'!$B$15:$B$33,MATCH(B1262,'01_Ustawienia'!$A$15:$A$33,0)),0.45),0.45)</x:f>
        <x:v>0.45</x:v>
      </x:c>
      <x:c r="J1262" s="8" t="n">
        <x:f>IF(H1262="","",ROUND(H1262*(1+I1262),0))</x:f>
        <x:v>1108</x:v>
      </x:c>
      <x:c r="K1262" s="582" t="n">
        <x:v>0</x:v>
      </x:c>
      <x:c r="L1262" s="582" t="n">
        <x:v>0</x:v>
      </x:c>
      <x:c r="M1262" s="7" t="n">
        <x:f>IF('01_Ustawienia'!$B$4="ZWOLNIONY",0,'01_Ustawienia'!$B$7)</x:f>
        <x:v>0.08</x:v>
      </x:c>
      <x:c r="N1262" s="8" t="n">
        <x:f>IF(J1262="","",ROUND((J1262+K1262)*(1+M1262),0))</x:f>
        <x:v>1197</x:v>
      </x:c>
      <x:c r="O1262" s="8" t="n">
        <x:f>IF(J1262="","",J1262+K1262-H1262-L1262)</x:f>
        <x:v>344</x:v>
      </x:c>
      <x:c r="P1262" s="7" t="n">
        <x:f>IFERROR(O1262/(J1262+K1262),"")</x:f>
        <x:v>0.3104693140794224</x:v>
      </x:c>
      <x:c r="Q1262" s="6" t="inlineStr">
        <x:is>
          <x:t xml:space="preserve">RAW_ZP D/E</x:t>
        </x:is>
      </x:c>
      <x:c r="R1262" s="6" t="inlineStr">
        <x:is>
          <x:t xml:space="preserve">POKRYCIE DACHU</x:t>
        </x:is>
      </x:c>
      <x:c r="S1262" s="6" t="inlineStr">
        <x:is>
          <x:t xml:space="preserve">website+crm</x:t>
        </x:is>
      </x:c>
      <x:c r="T1262" s="581" t="inlineStr">
        <x:is>
          <x:t xml:space="preserve">FIX11: K/L 550/600 wg ark. 09 (POZOSTAWIĆ 0). | FIX17: Wynagr.+koszty = 0 dla dopłaty; nie jest osobnym montażem ekipy.</x:t>
        </x:is>
      </x:c>
    </x:row>
    <x:row r="1263" s="655" customFormat="1" ht="30" customHeight="1">
      <x:c r="A1263" s="6" t="inlineStr">
        <x:is>
          <x:t xml:space="preserve">600 x 906 cm</x:t>
        </x:is>
      </x:c>
      <x:c r="B1263" s="6" t="inlineStr">
        <x:is>
          <x:t xml:space="preserve">SBB</x:t>
        </x:is>
      </x:c>
      <x:c r="C1263" s="6" t="inlineStr">
        <x:is>
          <x:t xml:space="preserve">Dopłata szkło boczne przyciemniane</x:t>
        </x:is>
      </x:c>
      <x:c r="D1263" s="6" t="inlineStr">
        <x:is>
          <x:t xml:space="preserve">SZKŁO BOCZNE BARWIONE</x:t>
        </x:is>
      </x:c>
      <x:c r="E1263" s="8" t="n">
        <x:f>IFERROR(INDEX('02_RAW_INDEX'!$AB:$AB,MATCH($A1263,'02_RAW_INDEX'!$A:$A,0)),"")</x:f>
        <x:v>2049</x:v>
      </x:c>
      <x:c r="F1263" s="8" t="n">
        <x:f>IFERROR(INDEX('02_RAW_INDEX'!$AA:$AA,MATCH($A1263,'02_RAW_INDEX'!$A:$A,0)),"")</x:f>
        <x:v>2520</x:v>
      </x:c>
      <x:c r="G1263" s="7" t="n">
        <x:f>'01_Ustawienia'!$B$6</x:f>
        <x:v>0</x:v>
      </x:c>
      <x:c r="H1263" s="8" t="n">
        <x:f>IF(E1263="","",ROUND(IF('01_Ustawienia'!$B$5="BRUTTO",F1263,E1263)*(1-G1263),0))</x:f>
        <x:v>2049</x:v>
      </x:c>
      <x:c r="I1263" s="7" t="n">
        <x:f>IFERROR(IFERROR(INDEX('01_Ustawienia'!$B$15:$B$33,MATCH(B1263,'01_Ustawienia'!$A$15:$A$33,0)),0.45),0.45)</x:f>
        <x:v>0.45</x:v>
      </x:c>
      <x:c r="J1263" s="8" t="n">
        <x:f>IF(H1263="","",ROUND(H1263*(1+I1263),0))</x:f>
        <x:v>2971</x:v>
      </x:c>
      <x:c r="K1263" s="582" t="n">
        <x:v>0</x:v>
      </x:c>
      <x:c r="L1263" s="582" t="n">
        <x:v>0</x:v>
      </x:c>
      <x:c r="M1263" s="7" t="n">
        <x:f>IF('01_Ustawienia'!$B$4="ZWOLNIONY",0,'01_Ustawienia'!$B$7)</x:f>
        <x:v>0.08</x:v>
      </x:c>
      <x:c r="N1263" s="8" t="n">
        <x:f>IF(J1263="","",ROUND((J1263+K1263)*(1+M1263),0))</x:f>
        <x:v>3209</x:v>
      </x:c>
      <x:c r="O1263" s="8" t="n">
        <x:f>IF(J1263="","",J1263+K1263-H1263-L1263)</x:f>
        <x:v>922</x:v>
      </x:c>
      <x:c r="P1263" s="7" t="n">
        <x:f>IFERROR(O1263/(J1263+K1263),"")</x:f>
        <x:v>0.3103332211376641</x:v>
      </x:c>
      <x:c r="Q1263" s="6" t="inlineStr">
        <x:is>
          <x:t xml:space="preserve">RAW_OP H/I</x:t>
        </x:is>
      </x:c>
      <x:c r="R1263" s="6" t="inlineStr">
        <x:is>
          <x:t xml:space="preserve">SZYBY BOCZNE</x:t>
        </x:is>
      </x:c>
      <x:c r="S1263" s="6" t="inlineStr">
        <x:is>
          <x:t xml:space="preserve">website+crm</x:t>
        </x:is>
      </x:c>
      <x:c r="T1263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264" s="655" customFormat="1" ht="29.5" customHeight="1">
      <x:c r="A1264" s="6" t="inlineStr">
        <x:is>
          <x:t xml:space="preserve">600 x 906 cm</x:t>
        </x:is>
      </x:c>
      <x:c r="B1264" s="6" t="inlineStr">
        <x:is>
          <x:t xml:space="preserve">RB</x:t>
        </x:is>
      </x:c>
      <x:c r="C1264" s="6" t="inlineStr">
        <x:is>
          <x:t xml:space="preserve">Roleta boczna ZIP</x:t>
        </x:is>
      </x:c>
      <x:c r="D1264" s="6" t="inlineStr">
        <x:is>
          <x:t xml:space="preserve">ROLETA BOCZNA</x:t>
        </x:is>
      </x:c>
      <x:c r="E1264" s="8" t="n">
        <x:f>IFERROR(INDEX('02_RAW_INDEX'!$J:$J,MATCH($A1264,'02_RAW_INDEX'!$A:$A,0)),"")</x:f>
        <x:v>3472</x:v>
      </x:c>
      <x:c r="F1264" s="8" t="n">
        <x:f>IFERROR(INDEX('02_RAW_INDEX'!$I:$I,MATCH($A1264,'02_RAW_INDEX'!$A:$A,0)),"")</x:f>
        <x:v>4270</x:v>
      </x:c>
      <x:c r="G1264" s="7" t="n">
        <x:f>'01_Ustawienia'!$B$6</x:f>
        <x:v>0</x:v>
      </x:c>
      <x:c r="H1264" s="8" t="n">
        <x:f>IF(E1264="","",ROUND(IF('01_Ustawienia'!$B$5="BRUTTO",F1264,E1264)*(1-G1264),0))</x:f>
        <x:v>3472</x:v>
      </x:c>
      <x:c r="I1264" s="7" t="n">
        <x:f>IFERROR(IFERROR(INDEX('01_Ustawienia'!$B$15:$B$33,MATCH(B1264,'01_Ustawienia'!$A$15:$A$33,0)),0.45),0.45)</x:f>
        <x:v>0.45</x:v>
      </x:c>
      <x:c r="J1264" s="8" t="n">
        <x:f>IF(H1264="","",ROUND(H1264*(1+I1264),0))</x:f>
        <x:v>5034</x:v>
      </x:c>
      <x:c r="K1264" s="580" t="n">
        <x:v>0</x:v>
      </x:c>
      <x:c r="L1264" s="580" t="n">
        <x:v>150</x:v>
      </x:c>
      <x:c r="M1264" s="7" t="n">
        <x:f>IF('01_Ustawienia'!$B$4="ZWOLNIONY",0,'01_Ustawienia'!$B$7)</x:f>
        <x:v>0.08</x:v>
      </x:c>
      <x:c r="N1264" s="8" t="n">
        <x:f>IF(J1264="","",ROUND((J1264+K1264)*(1+M1264),0))</x:f>
        <x:v>5437</x:v>
      </x:c>
      <x:c r="O1264" s="8" t="n">
        <x:f>IF(J1264="","",J1264+K1264-H1264-L1264)</x:f>
        <x:v>1412</x:v>
      </x:c>
      <x:c r="P1264" s="7" t="n">
        <x:f>IFERROR(O1264/(J1264+K1264),"")</x:f>
        <x:v>0.28049264998013507</x:v>
      </x:c>
      <x:c r="Q1264" s="6" t="inlineStr">
        <x:is>
          <x:t xml:space="preserve">RAW_ZP J/K</x:t>
        </x:is>
      </x:c>
      <x:c r="R1264" s="6" t="inlineStr">
        <x:is>
          <x:t xml:space="preserve">ROLETY BOCZNE</x:t>
        </x:is>
      </x:c>
      <x:c r="S1264" s="6" t="inlineStr">
        <x:is>
          <x:t xml:space="preserve">website+crm</x:t>
        </x:is>
      </x:c>
      <x:c r="T1264" s="581" t="inlineStr">
        <x:is>
          <x:t xml:space="preserve">Używana dla lewej i prawej | FIX11: K/L 550/600 wg ark. 09 (UZUPEŁNIĆ L).</x:t>
        </x:is>
      </x:c>
    </x:row>
    <x:row r="1265" s="655" customFormat="1" ht="29.5" customHeight="1">
      <x:c r="A1265" s="6" t="inlineStr">
        <x:is>
          <x:t xml:space="preserve">600 x 906 cm</x:t>
        </x:is>
      </x:c>
      <x:c r="B1265" s="6" t="inlineStr">
        <x:is>
          <x:t xml:space="preserve">RP</x:t>
        </x:is>
      </x:c>
      <x:c r="C1265" s="6" t="inlineStr">
        <x:is>
          <x:t xml:space="preserve">Roleta przednia ZIP</x:t>
        </x:is>
      </x:c>
      <x:c r="D1265" s="6" t="inlineStr">
        <x:is>
          <x:t xml:space="preserve">ROLETA PRZÓD</x:t>
        </x:is>
      </x:c>
      <x:c r="E1265" s="8" t="n">
        <x:f>IFERROR(INDEX('02_RAW_INDEX'!$L:$L,MATCH($A1265,'02_RAW_INDEX'!$A:$A,0)),"")</x:f>
        <x:v>5203</x:v>
      </x:c>
      <x:c r="F1265" s="8" t="n">
        <x:f>IFERROR(INDEX('02_RAW_INDEX'!$K:$K,MATCH($A1265,'02_RAW_INDEX'!$A:$A,0)),"")</x:f>
        <x:v>6400</x:v>
      </x:c>
      <x:c r="G1265" s="7" t="n">
        <x:f>'01_Ustawienia'!$B$6</x:f>
        <x:v>0</x:v>
      </x:c>
      <x:c r="H1265" s="8" t="n">
        <x:f>IF(E1265="","",ROUND(IF('01_Ustawienia'!$B$5="BRUTTO",F1265,E1265)*(1-G1265),0))</x:f>
        <x:v>5203</x:v>
      </x:c>
      <x:c r="I1265" s="7" t="n">
        <x:f>IFERROR(IFERROR(INDEX('01_Ustawienia'!$B$15:$B$33,MATCH(B1265,'01_Ustawienia'!$A$15:$A$33,0)),0.45),0.45)</x:f>
        <x:v>0.45</x:v>
      </x:c>
      <x:c r="J1265" s="8" t="n">
        <x:f>IF(H1265="","",ROUND(H1265*(1+I1265),0))</x:f>
        <x:v>7544</x:v>
      </x:c>
      <x:c r="K1265" s="580" t="n">
        <x:v>0</x:v>
      </x:c>
      <x:c r="L1265" s="580" t="n">
        <x:v>450</x:v>
      </x:c>
      <x:c r="M1265" s="7" t="n">
        <x:f>IF('01_Ustawienia'!$B$4="ZWOLNIONY",0,'01_Ustawienia'!$B$7)</x:f>
        <x:v>0.08</x:v>
      </x:c>
      <x:c r="N1265" s="8" t="n">
        <x:f>IF(J1265="","",ROUND((J1265+K1265)*(1+M1265),0))</x:f>
        <x:v>8148</x:v>
      </x:c>
      <x:c r="O1265" s="8" t="n">
        <x:f>IF(J1265="","",J1265+K1265-H1265-L1265)</x:f>
        <x:v>1891</x:v>
      </x:c>
      <x:c r="P1265" s="7" t="n">
        <x:f>IFERROR(O1265/(J1265+K1265),"")</x:f>
        <x:v>0.2506627783669141</x:v>
      </x:c>
      <x:c r="Q1265" s="6" t="inlineStr">
        <x:is>
          <x:t xml:space="preserve">RAW_ZP N/O</x:t>
        </x:is>
      </x:c>
      <x:c r="R1265" s="6" t="inlineStr">
        <x:is>
          <x:t xml:space="preserve">ROLETY BOCZNE</x:t>
        </x:is>
      </x:c>
      <x:c r="S1265" s="6" t="inlineStr">
        <x:is>
          <x:t xml:space="preserve">website+crm</x:t>
        </x:is>
      </x:c>
      <x:c r="T1265" s="581" t="inlineStr">
        <x:is>
          <x:t xml:space="preserve">FIX11: K/L 550/600 wg ark. 09 (UZUPEŁNIĆ L).</x:t>
        </x:is>
      </x:c>
    </x:row>
    <x:row r="1266" s="655" customFormat="1" ht="29.5" customHeight="1">
      <x:c r="A1266" s="6" t="inlineStr">
        <x:is>
          <x:t xml:space="preserve">600 x 906 cm</x:t>
        </x:is>
      </x:c>
      <x:c r="B1266" s="6" t="inlineStr">
        <x:is>
          <x:t xml:space="preserve">M</x:t>
        </x:is>
      </x:c>
      <x:c r="C1266" s="6" t="inlineStr">
        <x:is>
          <x:t xml:space="preserve">Markiza dachowa</x:t>
        </x:is>
      </x:c>
      <x:c r="D1266" s="6" t="inlineStr">
        <x:is>
          <x:t xml:space="preserve">MARKIZA</x:t>
        </x:is>
      </x:c>
      <x:c r="E1266" s="8" t="n">
        <x:f>IFERROR(INDEX('02_RAW_INDEX'!$H:$H,MATCH($A1266,'02_RAW_INDEX'!$A:$A,0)),"")</x:f>
        <x:v>8407</x:v>
      </x:c>
      <x:c r="F1266" s="8" t="n">
        <x:f>IFERROR(INDEX('02_RAW_INDEX'!$G:$G,MATCH($A1266,'02_RAW_INDEX'!$A:$A,0)),"")</x:f>
        <x:v>10340</x:v>
      </x:c>
      <x:c r="G1266" s="7" t="n">
        <x:f>'01_Ustawienia'!$B$6</x:f>
        <x:v>0</x:v>
      </x:c>
      <x:c r="H1266" s="8" t="n">
        <x:f>IF(E1266="","",ROUND(IF('01_Ustawienia'!$B$5="BRUTTO",F1266,E1266)*(1-G1266),0))</x:f>
        <x:v>8407</x:v>
      </x:c>
      <x:c r="I1266" s="7" t="n">
        <x:f>IFERROR(IFERROR(INDEX('01_Ustawienia'!$B$15:$B$33,MATCH(B1266,'01_Ustawienia'!$A$15:$A$33,0)),0.45),0.45)</x:f>
        <x:v>0.45</x:v>
      </x:c>
      <x:c r="J1266" s="8" t="n">
        <x:f>IF(H1266="","",ROUND(H1266*(1+I1266),0))</x:f>
        <x:v>12190</x:v>
      </x:c>
      <x:c r="K1266" s="580" t="n">
        <x:v>0</x:v>
      </x:c>
      <x:c r="L1266" s="580" t="n">
        <x:v>550</x:v>
      </x:c>
      <x:c r="M1266" s="7" t="n">
        <x:f>IF('01_Ustawienia'!$B$4="ZWOLNIONY",0,'01_Ustawienia'!$B$7)</x:f>
        <x:v>0.08</x:v>
      </x:c>
      <x:c r="N1266" s="8" t="n">
        <x:f>IF(J1266="","",ROUND((J1266+K1266)*(1+M1266),0))</x:f>
        <x:v>13165</x:v>
      </x:c>
      <x:c r="O1266" s="8" t="n">
        <x:f>IF(J1266="","",J1266+K1266-H1266-L1266)</x:f>
        <x:v>3233</x:v>
      </x:c>
      <x:c r="P1266" s="7" t="n">
        <x:f>IFERROR(O1266/(J1266+K1266),"")</x:f>
        <x:v>0.26521739130434785</x:v>
      </x:c>
      <x:c r="Q1266" s="6" t="inlineStr">
        <x:is>
          <x:t xml:space="preserve">RAW_ZP H/I</x:t>
        </x:is>
      </x:c>
      <x:c r="R1266" s="6" t="inlineStr">
        <x:is>
          <x:t xml:space="preserve">MARKIZA</x:t>
        </x:is>
      </x:c>
      <x:c r="S1266" s="6" t="inlineStr">
        <x:is>
          <x:t xml:space="preserve">website+crm</x:t>
        </x:is>
      </x:c>
      <x:c r="T1266" s="581" t="inlineStr">
        <x:is>
          <x:t xml:space="preserve">FIX11: K/L 550/600 wg ark. 09 (UZUPEŁNIĆ L).</x:t>
        </x:is>
      </x:c>
    </x:row>
    <x:row r="1267" s="655" customFormat="1" ht="44.25" customHeight="1">
      <x:c r="A1267" s="6" t="inlineStr">
        <x:is>
          <x:t xml:space="preserve">600 x 906 cm</x:t>
        </x:is>
      </x:c>
      <x:c r="B1267" s="6" t="inlineStr">
        <x:is>
          <x:t xml:space="preserve">PDWP</x:t>
        </x:is>
      </x:c>
      <x:c r="C1267" s="6" t="inlineStr">
        <x:is>
          <x:t xml:space="preserve">Fundament/profile</x:t>
        </x:is>
      </x:c>
      <x:c r="D1267" s="6" t="inlineStr">
        <x:is>
          <x:t xml:space="preserve">FUNDAMENT / PROFILE</x:t>
        </x:is>
      </x:c>
      <x:c r="E1267" s="8" t="n">
        <x:f>IFERROR(INDEX('02_RAW_INDEX'!$AH:$AH,MATCH($A1267,'02_RAW_INDEX'!$A:$A,0)),"")</x:f>
        <x:v>1423</x:v>
      </x:c>
      <x:c r="F1267" s="8" t="n">
        <x:f>IFERROR(INDEX('02_RAW_INDEX'!$AG:$AG,MATCH($A1267,'02_RAW_INDEX'!$A:$A,0)),"")</x:f>
        <x:v>1750</x:v>
      </x:c>
      <x:c r="G1267" s="7" t="n">
        <x:f>'01_Ustawienia'!$B$6</x:f>
        <x:v>0</x:v>
      </x:c>
      <x:c r="H1267" s="8" t="n">
        <x:f>IF(E1267="","",ROUND(IF('01_Ustawienia'!$B$5="BRUTTO",F1267,E1267)*(1-G1267),0))</x:f>
        <x:v>1423</x:v>
      </x:c>
      <x:c r="I1267" s="7" t="n">
        <x:f>IFERROR(IFERROR(INDEX('01_Ustawienia'!$B$15:$B$33,MATCH(B1267,'01_Ustawienia'!$A$15:$A$33,0)),0.45),0.45)</x:f>
        <x:v>1.2</x:v>
      </x:c>
      <x:c r="J1267" s="8" t="n">
        <x:f>IF(H1267="","",ROUND(H1267*(1+I1267),0))</x:f>
        <x:v>3131</x:v>
      </x:c>
      <x:c r="K1267" s="580" t="n">
        <x:v>650</x:v>
      </x:c>
      <x:c r="L1267" s="580" t="n">
        <x:v>610</x:v>
      </x:c>
      <x:c r="M1267" s="7" t="n">
        <x:f>IF('01_Ustawienia'!$B$4="ZWOLNIONY",0,'01_Ustawienia'!$B$7)</x:f>
        <x:v>0.08</x:v>
      </x:c>
      <x:c r="N1267" s="8" t="n">
        <x:f>IF(J1267="","",ROUND((J1267+K1267)*(1+M1267),0))</x:f>
        <x:v>4083</x:v>
      </x:c>
      <x:c r="O1267" s="8" t="n">
        <x:f>IF(J1267="","",J1267+K1267-H1267-L1267)</x:f>
        <x:v>1748</x:v>
      </x:c>
      <x:c r="P1267" s="7" t="n">
        <x:f>IFERROR(O1267/(J1267+K1267),"")</x:f>
        <x:v>0.4623115577889447</x:v>
      </x:c>
      <x:c r="Q1267" s="6" t="inlineStr">
        <x:is>
          <x:t xml:space="preserve">RAW_OP AB/AC</x:t>
        </x:is>
      </x:c>
      <x:c r="R1267" s="6" t="inlineStr">
        <x:is>
          <x:t xml:space="preserve">FUNDAMENT (PROFILE)</x:t>
        </x:is>
      </x:c>
      <x:c r="S1267" s="6" t="inlineStr">
        <x:is>
          <x:t xml:space="preserve">website+crm</x:t>
        </x:is>
      </x:c>
      <x:c r="T1267" s="581" t="inlineStr">
        <x:is>
          <x:t xml:space="preserve">FIX11: K/L 550/600 wg ark. 09 (UZUPEŁNIĆ K+L / KOREKTA RENTOWNOŚCI).</x:t>
        </x:is>
      </x:c>
    </x:row>
    <x:row r="1268" s="655" customFormat="1" ht="30" customHeight="1">
      <x:c r="A1268" s="6" t="inlineStr">
        <x:is>
          <x:t xml:space="preserve">600 x 906 cm</x:t>
        </x:is>
      </x:c>
      <x:c r="B1268" s="6" t="inlineStr">
        <x:is>
          <x:t xml:space="preserve">ZAB</x:t>
        </x:is>
      </x:c>
      <x:c r="C1268" s="6" t="inlineStr">
        <x:is>
          <x:t xml:space="preserve">Zabieraki do ścian przesuwnych</x:t>
        </x:is>
      </x:c>
      <x:c r="D1268" s="6" t="inlineStr">
        <x:is>
          <x:t xml:space="preserve">DODATKI</x:t>
        </x:is>
      </x:c>
      <x:c r="E1268" s="8" t="n">
        <x:f>IFERROR(INDEX('02_RAW_INDEX'!$AJ:$AJ,MATCH($A1268,'02_RAW_INDEX'!$A:$A,0)),"")</x:f>
        <x:v>520</x:v>
      </x:c>
      <x:c r="F1268" s="8" t="n">
        <x:f>IFERROR(INDEX('02_RAW_INDEX'!$AI:$AI,MATCH($A1268,'02_RAW_INDEX'!$A:$A,0)),"")</x:f>
        <x:v>640</x:v>
      </x:c>
      <x:c r="G1268" s="7" t="n">
        <x:f>'01_Ustawienia'!$B$6</x:f>
        <x:v>0</x:v>
      </x:c>
      <x:c r="H1268" s="8" t="n">
        <x:f>IF(E1268="","",ROUND(IF('01_Ustawienia'!$B$5="BRUTTO",F1268,E1268)*(1-G1268),0))</x:f>
        <x:v>520</x:v>
      </x:c>
      <x:c r="I1268" s="7" t="n">
        <x:f>IFERROR(IFERROR(INDEX('01_Ustawienia'!$B$15:$B$33,MATCH(B1268,'01_Ustawienia'!$A$15:$A$33,0)),0.45),0.45)</x:f>
        <x:v>0.45</x:v>
      </x:c>
      <x:c r="J1268" s="8" t="n">
        <x:f>IF(H1268="","",ROUND(H1268*(1+I1268),0))</x:f>
        <x:v>754</x:v>
      </x:c>
      <x:c r="K1268" s="582" t="n">
        <x:v>0</x:v>
      </x:c>
      <x:c r="L1268" s="582" t="n">
        <x:v>0</x:v>
      </x:c>
      <x:c r="M1268" s="7" t="n">
        <x:f>IF('01_Ustawienia'!$B$4="ZWOLNIONY",0,'01_Ustawienia'!$B$7)</x:f>
        <x:v>0.08</x:v>
      </x:c>
      <x:c r="N1268" s="8" t="n">
        <x:f>IF(J1268="","",ROUND((J1268+K1268)*(1+M1268),0))</x:f>
        <x:v>814</x:v>
      </x:c>
      <x:c r="O1268" s="8" t="n">
        <x:f>IF(J1268="","",J1268+K1268-H1268-L1268)</x:f>
        <x:v>234</x:v>
      </x:c>
      <x:c r="P1268" s="7" t="n">
        <x:f>IFERROR(O1268/(J1268+K1268),"")</x:f>
        <x:v>0.3103448275862069</x:v>
      </x:c>
      <x:c r="Q1268" s="6" t="inlineStr">
        <x:is>
          <x:t xml:space="preserve">RAW_OP AD/AE</x:t>
        </x:is>
      </x:c>
      <x:c r="R1268" s="6" t="inlineStr">
        <x:is>
          <x:t xml:space="preserve">DODATKI</x:t>
        </x:is>
      </x:c>
      <x:c r="S1268" s="6" t="inlineStr">
        <x:is>
          <x:t xml:space="preserve">crm_only</x:t>
        </x:is>
      </x:c>
      <x:c r="T1268" s="581" t="inlineStr">
        <x:is>
          <x:t xml:space="preserve">FIX11: K/L 550/600 wg ark. 09 (POZOSTAWIĆ 0).</x:t>
        </x:is>
      </x:c>
    </x:row>
    <x:row r="1269" s="655" customFormat="1" ht="29.5" customHeight="1">
      <x:c r="A1269" s="6" t="inlineStr">
        <x:is>
          <x:t xml:space="preserve">600 x 906 cm</x:t>
        </x:is>
      </x:c>
      <x:c r="B1269" s="6" t="inlineStr">
        <x:is>
          <x:t xml:space="preserve">S</x:t>
        </x:is>
      </x:c>
      <x:c r="C1269" s="6" t="inlineStr">
        <x:is>
          <x:t xml:space="preserve">Szczotki przeciwkurzowe</x:t>
        </x:is>
      </x:c>
      <x:c r="D1269" s="6" t="inlineStr">
        <x:is>
          <x:t xml:space="preserve">SZCZOTKI</x:t>
        </x:is>
      </x:c>
      <x:c r="E1269" s="8" t="n">
        <x:f>IFERROR(INDEX('02_RAW_INDEX'!$AD:$AD,MATCH($A1269,'02_RAW_INDEX'!$A:$A,0)),"")</x:f>
        <x:v>585</x:v>
      </x:c>
      <x:c r="F1269" s="8" t="n">
        <x:f>IFERROR(INDEX('02_RAW_INDEX'!$AC:$AC,MATCH($A1269,'02_RAW_INDEX'!$A:$A,0)),"")</x:f>
        <x:v>720</x:v>
      </x:c>
      <x:c r="G1269" s="7" t="n">
        <x:f>'01_Ustawienia'!$B$6</x:f>
        <x:v>0</x:v>
      </x:c>
      <x:c r="H1269" s="8" t="n">
        <x:f>IF(E1269="","",ROUND(IF('01_Ustawienia'!$B$5="BRUTTO",F1269,E1269)*(1-G1269),0))</x:f>
        <x:v>585</x:v>
      </x:c>
      <x:c r="I1269" s="7" t="n">
        <x:f>IFERROR(IFERROR(INDEX('01_Ustawienia'!$B$15:$B$33,MATCH(B1269,'01_Ustawienia'!$A$15:$A$33,0)),0.45),0.45)</x:f>
        <x:v>0.45</x:v>
      </x:c>
      <x:c r="J1269" s="8" t="n">
        <x:f>IF(H1269="","",ROUND(H1269*(1+I1269),0))</x:f>
        <x:v>848</x:v>
      </x:c>
      <x:c r="K1269" s="582" t="n">
        <x:v>0</x:v>
      </x:c>
      <x:c r="L1269" s="582" t="n">
        <x:v>0</x:v>
      </x:c>
      <x:c r="M1269" s="7" t="n">
        <x:f>IF('01_Ustawienia'!$B$4="ZWOLNIONY",0,'01_Ustawienia'!$B$7)</x:f>
        <x:v>0.08</x:v>
      </x:c>
      <x:c r="N1269" s="8" t="n">
        <x:f>IF(J1269="","",ROUND((J1269+K1269)*(1+M1269),0))</x:f>
        <x:v>916</x:v>
      </x:c>
      <x:c r="O1269" s="8" t="n">
        <x:f>IF(J1269="","",J1269+K1269-H1269-L1269)</x:f>
        <x:v>263</x:v>
      </x:c>
      <x:c r="P1269" s="7" t="n">
        <x:f>IFERROR(O1269/(J1269+K1269),"")</x:f>
        <x:v>0.31014150943396224</x:v>
      </x:c>
      <x:c r="Q1269" s="6" t="inlineStr">
        <x:is>
          <x:t xml:space="preserve">RAW_OP L/M</x:t>
        </x:is>
      </x:c>
      <x:c r="R1269" s="6" t="inlineStr">
        <x:is>
          <x:t xml:space="preserve">DODATKI</x:t>
        </x:is>
      </x:c>
      <x:c r="S1269" s="6" t="inlineStr">
        <x:is>
          <x:t xml:space="preserve">website+crm</x:t>
        </x:is>
      </x:c>
      <x:c r="T1269" s="581" t="inlineStr">
        <x:is>
          <x:t xml:space="preserve">FIX11: K/L 550/600 wg ark. 09 (POZOSTAWIĆ 0).</x:t>
        </x:is>
      </x:c>
    </x:row>
    <x:row r="1270" s="655" customFormat="1" ht="29.5" customHeight="1">
      <x:c r="A1270" s="6" t="inlineStr">
        <x:is>
          <x:t xml:space="preserve">600 x 906 cm</x:t>
        </x:is>
      </x:c>
      <x:c r="B1270" s="6" t="inlineStr">
        <x:is>
          <x:t xml:space="preserve">U</x:t>
        </x:is>
      </x:c>
      <x:c r="C1270" s="6" t="inlineStr">
        <x:is>
          <x:t xml:space="preserve">Uchwyty na szkło ścienne</x:t>
        </x:is>
      </x:c>
      <x:c r="D1270" s="6" t="inlineStr">
        <x:is>
          <x:t xml:space="preserve">UCHWYTY</x:t>
        </x:is>
      </x:c>
      <x:c r="E1270" s="8" t="n">
        <x:f>IFERROR(INDEX('02_RAW_INDEX'!$AF:$AF,MATCH($A1270,'02_RAW_INDEX'!$A:$A,0)),"")</x:f>
        <x:v>537</x:v>
      </x:c>
      <x:c r="F1270" s="8" t="n">
        <x:f>IFERROR(INDEX('02_RAW_INDEX'!$AE:$AE,MATCH($A1270,'02_RAW_INDEX'!$A:$A,0)),"")</x:f>
        <x:v>660</x:v>
      </x:c>
      <x:c r="G1270" s="7" t="n">
        <x:f>'01_Ustawienia'!$B$6</x:f>
        <x:v>0</x:v>
      </x:c>
      <x:c r="H1270" s="8" t="n">
        <x:f>IF(E1270="","",ROUND(IF('01_Ustawienia'!$B$5="BRUTTO",F1270,E1270)*(1-G1270),0))</x:f>
        <x:v>537</x:v>
      </x:c>
      <x:c r="I1270" s="7" t="n">
        <x:f>IFERROR(IFERROR(INDEX('01_Ustawienia'!$B$15:$B$33,MATCH(B1270,'01_Ustawienia'!$A$15:$A$33,0)),0.45),0.45)</x:f>
        <x:v>0.45</x:v>
      </x:c>
      <x:c r="J1270" s="8" t="n">
        <x:f>IF(H1270="","",ROUND(H1270*(1+I1270),0))</x:f>
        <x:v>779</x:v>
      </x:c>
      <x:c r="K1270" s="582" t="n">
        <x:v>0</x:v>
      </x:c>
      <x:c r="L1270" s="582" t="n">
        <x:v>0</x:v>
      </x:c>
      <x:c r="M1270" s="7" t="n">
        <x:f>IF('01_Ustawienia'!$B$4="ZWOLNIONY",0,'01_Ustawienia'!$B$7)</x:f>
        <x:v>0.08</x:v>
      </x:c>
      <x:c r="N1270" s="8" t="n">
        <x:f>IF(J1270="","",ROUND((J1270+K1270)*(1+M1270),0))</x:f>
        <x:v>841</x:v>
      </x:c>
      <x:c r="O1270" s="8" t="n">
        <x:f>IF(J1270="","",J1270+K1270-H1270-L1270)</x:f>
        <x:v>242</x:v>
      </x:c>
      <x:c r="P1270" s="7" t="n">
        <x:f>IFERROR(O1270/(J1270+K1270),"")</x:f>
        <x:v>0.31065468549422337</x:v>
      </x:c>
      <x:c r="Q1270" s="6" t="inlineStr">
        <x:is>
          <x:t xml:space="preserve">RAW_OP N/O</x:t>
        </x:is>
      </x:c>
      <x:c r="R1270" s="6" t="inlineStr">
        <x:is>
          <x:t xml:space="preserve">DODATKI</x:t>
        </x:is>
      </x:c>
      <x:c r="S1270" s="6" t="inlineStr">
        <x:is>
          <x:t xml:space="preserve">website+crm</x:t>
        </x:is>
      </x:c>
      <x:c r="T1270" s="581" t="inlineStr">
        <x:is>
          <x:t xml:space="preserve">FIX11: K/L 550/600 wg ark. 09 (POZOSTAWIĆ 0).</x:t>
        </x:is>
      </x:c>
    </x:row>
    <x:row r="1271" s="655" customFormat="1" ht="29.5" customHeight="1">
      <x:c r="A1271" s="6" t="inlineStr">
        <x:is>
          <x:t xml:space="preserve">600 x 906 cm</x:t>
        </x:is>
      </x:c>
      <x:c r="B1271" s="6" t="inlineStr">
        <x:is>
          <x:t xml:space="preserve">LED2</x:t>
        </x:is>
      </x:c>
      <x:c r="C1271" s="6" t="inlineStr">
        <x:is>
          <x:t xml:space="preserve">Oświetlenie LED 2 punkty</x:t>
        </x:is>
      </x:c>
      <x:c r="D1271" s="6" t="inlineStr">
        <x:is>
          <x:t xml:space="preserve">LED 2 PKT</x:t>
        </x:is>
      </x:c>
      <x:c r="E1271" s="8" t="n">
        <x:f>IFERROR(INDEX('02_RAW_INDEX'!$N:$N,MATCH($A1271,'02_RAW_INDEX'!$A:$A,0)),"")</x:f>
        <x:v>846</x:v>
      </x:c>
      <x:c r="F1271" s="8" t="n">
        <x:f>IFERROR(INDEX('02_RAW_INDEX'!$M:$M,MATCH($A1271,'02_RAW_INDEX'!$A:$A,0)),"")</x:f>
        <x:v>1040</x:v>
      </x:c>
      <x:c r="G1271" s="7" t="n">
        <x:f>'01_Ustawienia'!$B$6</x:f>
        <x:v>0</x:v>
      </x:c>
      <x:c r="H1271" s="8" t="n">
        <x:f>IF(E1271="","",ROUND(IF('01_Ustawienia'!$B$5="BRUTTO",F1271,E1271)*(1-G1271),0))</x:f>
        <x:v>846</x:v>
      </x:c>
      <x:c r="I1271" s="7" t="n">
        <x:f>IFERROR(IFERROR(INDEX('01_Ustawienia'!$B$15:$B$33,MATCH(B1271,'01_Ustawienia'!$A$15:$A$33,0)),0.45),0.45)</x:f>
        <x:v>0.45</x:v>
      </x:c>
      <x:c r="J1271" s="8" t="n">
        <x:f>IF(H1271="","",ROUND(H1271*(1+I1271),0))</x:f>
        <x:v>1227</x:v>
      </x:c>
      <x:c r="K1271" s="582" t="n">
        <x:v>0</x:v>
      </x:c>
      <x:c r="L1271" s="582" t="n">
        <x:v>0</x:v>
      </x:c>
      <x:c r="M1271" s="7" t="n">
        <x:f>IF('01_Ustawienia'!$B$4="ZWOLNIONY",0,'01_Ustawienia'!$B$7)</x:f>
        <x:v>0.08</x:v>
      </x:c>
      <x:c r="N1271" s="8" t="n">
        <x:f>IF(J1271="","",ROUND((J1271+K1271)*(1+M1271),0))</x:f>
        <x:v>1325</x:v>
      </x:c>
      <x:c r="O1271" s="8" t="n">
        <x:f>IF(J1271="","",J1271+K1271-H1271-L1271)</x:f>
        <x:v>381</x:v>
      </x:c>
      <x:c r="P1271" s="7" t="n">
        <x:f>IFERROR(O1271/(J1271+K1271),"")</x:f>
        <x:v>0.3105134474327628</x:v>
      </x:c>
      <x:c r="Q1271" s="6" t="inlineStr">
        <x:is>
          <x:t xml:space="preserve">RAW_ZP P/Q</x:t>
        </x:is>
      </x:c>
      <x:c r="R1271" s="6" t="inlineStr">
        <x:is>
          <x:t xml:space="preserve">OŚWIETLENIE</x:t>
        </x:is>
      </x:c>
      <x:c r="S1271" s="6" t="inlineStr">
        <x:is>
          <x:t xml:space="preserve">website+crm</x:t>
        </x:is>
      </x:c>
      <x:c r="T1271" s="581" t="inlineStr">
        <x:is>
          <x:t xml:space="preserve">FIX11: K/L 550/600 wg ark. 09 (POZOSTAWIĆ 0 NA RAZIE).</x:t>
        </x:is>
      </x:c>
    </x:row>
    <x:row r="1272" s="655" customFormat="1" ht="44.25" customHeight="1">
      <x:c r="A1272" s="6" t="inlineStr">
        <x:is>
          <x:t xml:space="preserve">600 x 906 cm</x:t>
        </x:is>
      </x:c>
      <x:c r="B1272" s="6" t="inlineStr">
        <x:is>
          <x:t xml:space="preserve">LED3</x:t>
        </x:is>
      </x:c>
      <x:c r="C1272" s="6" t="inlineStr">
        <x:is>
          <x:t xml:space="preserve">Oświetlenie LED 3 punkty</x:t>
        </x:is>
      </x:c>
      <x:c r="D1272" s="6" t="inlineStr">
        <x:is>
          <x:t xml:space="preserve">LED 3 PKT</x:t>
        </x:is>
      </x:c>
      <x:c r="E1272" s="8" t="n">
        <x:f>IFERROR(INDEX('02_RAW_INDEX'!$P:$P,MATCH($A1272,'02_RAW_INDEX'!$A:$A,0)),"")</x:f>
        <x:v>1268</x:v>
      </x:c>
      <x:c r="F1272" s="8" t="n">
        <x:f>IFERROR(INDEX('02_RAW_INDEX'!$O:$O,MATCH($A1272,'02_RAW_INDEX'!$A:$A,0)),"")</x:f>
        <x:v>1560</x:v>
      </x:c>
      <x:c r="G1272" s="7" t="n">
        <x:f>'01_Ustawienia'!$B$6</x:f>
        <x:v>0</x:v>
      </x:c>
      <x:c r="H1272" s="8" t="n">
        <x:f>IF(E1272="","",ROUND(IF('01_Ustawienia'!$B$5="BRUTTO",F1272,E1272)*(1-G1272),0))</x:f>
        <x:v>1268</x:v>
      </x:c>
      <x:c r="I1272" s="7" t="n">
        <x:f>IFERROR(IFERROR(INDEX('01_Ustawienia'!$B$15:$B$33,MATCH(B1272,'01_Ustawienia'!$A$15:$A$33,0)),0.45),0.45)</x:f>
        <x:v>0.45</x:v>
      </x:c>
      <x:c r="J1272" s="8" t="n">
        <x:f>IF(H1272="","",ROUND(H1272*(1+I1272),0))</x:f>
        <x:v>1839</x:v>
      </x:c>
      <x:c r="K1272" s="582" t="n">
        <x:v>0</x:v>
      </x:c>
      <x:c r="L1272" s="582" t="n">
        <x:v>0</x:v>
      </x:c>
      <x:c r="M1272" s="7" t="n">
        <x:f>IF('01_Ustawienia'!$B$4="ZWOLNIONY",0,'01_Ustawienia'!$B$7)</x:f>
        <x:v>0.08</x:v>
      </x:c>
      <x:c r="N1272" s="8" t="n">
        <x:f>IF(J1272="","",ROUND((J1272+K1272)*(1+M1272),0))</x:f>
        <x:v>1986</x:v>
      </x:c>
      <x:c r="O1272" s="8" t="n">
        <x:f>IF(J1272="","",J1272+K1272-H1272-L1272)</x:f>
        <x:v>571</x:v>
      </x:c>
      <x:c r="P1272" s="7" t="n">
        <x:f>IFERROR(O1272/(J1272+K1272),"")</x:f>
        <x:v>0.31049483414899404</x:v>
      </x:c>
      <x:c r="Q1272" s="6" t="inlineStr">
        <x:is>
          <x:t xml:space="preserve">RAW_ZP R/S</x:t>
        </x:is>
      </x:c>
      <x:c r="R1272" s="6" t="inlineStr">
        <x:is>
          <x:t xml:space="preserve">OŚWIETLENIE</x:t>
        </x:is>
      </x:c>
      <x:c r="S1272" s="6" t="inlineStr">
        <x:is>
          <x:t xml:space="preserve">website+crm</x:t>
        </x:is>
      </x:c>
      <x:c r="T1272" s="581" t="inlineStr">
        <x:is>
          <x:t xml:space="preserve">Nazwa do potwierdzenia | FIX11: K/L 550/600 wg ark. 09 (POZOSTAWIĆ 0 NA RAZIE).</x:t>
        </x:is>
      </x:c>
    </x:row>
    <x:row r="1273" s="655" customFormat="1" ht="29.5" customHeight="1">
      <x:c r="A1273" s="6" t="inlineStr">
        <x:is>
          <x:t xml:space="preserve">600 x 906 cm</x:t>
        </x:is>
      </x:c>
      <x:c r="B1273" s="6" t="inlineStr">
        <x:is>
          <x:t xml:space="preserve">LEDCCT</x:t>
        </x:is>
      </x:c>
      <x:c r="C1273" s="6" t="inlineStr">
        <x:is>
          <x:t xml:space="preserve">Oświetlenie LED CCT</x:t>
        </x:is>
      </x:c>
      <x:c r="D1273" s="6" t="inlineStr">
        <x:is>
          <x:t xml:space="preserve">OŚWIETLENIE</x:t>
        </x:is>
      </x:c>
      <x:c r="E1273" s="8" t="n">
        <x:f>IFERROR(INDEX('02_RAW_INDEX'!$R:$R,MATCH($A1273,'02_RAW_INDEX'!$A:$A,0)),"")</x:f>
        <x:v>3054</x:v>
      </x:c>
      <x:c r="F1273" s="8" t="n">
        <x:f>IFERROR(INDEX('02_RAW_INDEX'!$Q:$Q,MATCH($A1273,'02_RAW_INDEX'!$A:$A,0)),"")</x:f>
        <x:v>3756</x:v>
      </x:c>
      <x:c r="G1273" s="7" t="n">
        <x:f>'01_Ustawienia'!$B$6</x:f>
        <x:v>0</x:v>
      </x:c>
      <x:c r="H1273" s="8" t="n">
        <x:f>IF(E1273="","",ROUND(IF('01_Ustawienia'!$B$5="BRUTTO",F1273,E1273)*(1-G1273),0))</x:f>
        <x:v>3054</x:v>
      </x:c>
      <x:c r="I1273" s="7" t="n">
        <x:f>IFERROR(IFERROR(INDEX('01_Ustawienia'!$B$15:$B$33,MATCH(B1273,'01_Ustawienia'!$A$15:$A$33,0)),0.45),0.45)</x:f>
        <x:v>0.45</x:v>
      </x:c>
      <x:c r="J1273" s="8" t="n">
        <x:f>IF(H1273="","",ROUND(H1273*(1+I1273),0)+700)</x:f>
        <x:v>5128</x:v>
      </x:c>
      <x:c r="K1273" s="582" t="n">
        <x:v>0</x:v>
      </x:c>
      <x:c r="L1273" s="582" t="n">
        <x:v>0</x:v>
      </x:c>
      <x:c r="M1273" s="7" t="n">
        <x:f>IF('01_Ustawienia'!$B$4="ZWOLNIONY",0,'01_Ustawienia'!$B$7)</x:f>
        <x:v>0.08</x:v>
      </x:c>
      <x:c r="N1273" s="8" t="n">
        <x:f>IF(J1273="","",ROUND((J1273+K1273)*(1+M1273),0))</x:f>
        <x:v>5538</x:v>
      </x:c>
      <x:c r="O1273" s="8" t="n">
        <x:f>IF(J1273="","",J1273+K1273-H1273-L1273)</x:f>
        <x:v>2074</x:v>
      </x:c>
      <x:c r="P1273" s="7" t="n">
        <x:f>IFERROR(O1273/(J1273+K1273),"")</x:f>
        <x:v>0.4044461778471139</x:v>
      </x:c>
      <x:c r="Q1273" s="715" t="inlineStr">
        <x:is>
          <x:t xml:space="preserve">MODEL_FIX15_LED</x:t>
        </x:is>
      </x:c>
      <x:c r="R1273" s="6" t="inlineStr">
        <x:is>
          <x:t xml:space="preserve">OŚWIETLENIE</x:t>
        </x:is>
      </x:c>
      <x:c r="S1273" s="6" t="inlineStr">
        <x:is>
          <x:t xml:space="preserve">website+crm</x:t>
        </x:is>
      </x:c>
      <x:c r="T1273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274" s="655" customFormat="1" ht="29.5" customHeight="1">
      <x:c r="A1274" s="6" t="inlineStr">
        <x:is>
          <x:t xml:space="preserve">600 x 906 cm</x:t>
        </x:is>
      </x:c>
      <x:c r="B1274" s="6" t="inlineStr">
        <x:is>
          <x:t xml:space="preserve">LEDRGBCCT</x:t>
        </x:is>
      </x:c>
      <x:c r="C1274" s="6" t="inlineStr">
        <x:is>
          <x:t xml:space="preserve">Oświetlenie LED RGB CCT</x:t>
        </x:is>
      </x:c>
      <x:c r="D1274" s="6" t="inlineStr">
        <x:is>
          <x:t xml:space="preserve">OŚWIETLENIE</x:t>
        </x:is>
      </x:c>
      <x:c r="E1274" s="8" t="n">
        <x:f>IFERROR(INDEX('02_RAW_INDEX'!$T:$T,MATCH($A1274,'02_RAW_INDEX'!$A:$A,0)),"")</x:f>
        <x:v>4114</x:v>
      </x:c>
      <x:c r="F1274" s="8" t="n">
        <x:f>IFERROR(INDEX('02_RAW_INDEX'!$S:$S,MATCH($A1274,'02_RAW_INDEX'!$A:$A,0)),"")</x:f>
        <x:v>5060</x:v>
      </x:c>
      <x:c r="G1274" s="7" t="n">
        <x:f>'01_Ustawienia'!$B$6</x:f>
        <x:v>0</x:v>
      </x:c>
      <x:c r="H1274" s="8" t="n">
        <x:f>IF(E1274="","",ROUND(IF('01_Ustawienia'!$B$5="BRUTTO",F1274,E1274)*(1-G1274),0))</x:f>
        <x:v>4114</x:v>
      </x:c>
      <x:c r="I1274" s="7" t="n">
        <x:f>IFERROR(IFERROR(INDEX('01_Ustawienia'!$B$15:$B$33,MATCH(B1274,'01_Ustawienia'!$A$15:$A$33,0)),0.45),0.45)</x:f>
        <x:v>0.45</x:v>
      </x:c>
      <x:c r="J1274" s="8" t="n">
        <x:f>IF(H1274="","",ROUND(H1274*(1+I1274),0))</x:f>
        <x:v>5965</x:v>
      </x:c>
      <x:c r="K1274" s="582" t="n">
        <x:v>0</x:v>
      </x:c>
      <x:c r="L1274" s="582" t="n">
        <x:v>0</x:v>
      </x:c>
      <x:c r="M1274" s="7" t="n">
        <x:f>IF('01_Ustawienia'!$B$4="ZWOLNIONY",0,'01_Ustawienia'!$B$7)</x:f>
        <x:v>0.08</x:v>
      </x:c>
      <x:c r="N1274" s="8" t="n">
        <x:f>IF(J1274="","",ROUND((J1274+K1274)*(1+M1274),0))</x:f>
        <x:v>6442</x:v>
      </x:c>
      <x:c r="O1274" s="8" t="n">
        <x:f>IF(J1274="","",J1274+K1274-H1274-L1274)</x:f>
        <x:v>1851</x:v>
      </x:c>
      <x:c r="P1274" s="7" t="n">
        <x:f>IFERROR(O1274/(J1274+K1274),"")</x:f>
        <x:v>0.31031014249790445</x:v>
      </x:c>
      <x:c r="Q1274" s="715" t="inlineStr">
        <x:is>
          <x:t xml:space="preserve">MODEL_FIX15_LED</x:t>
        </x:is>
      </x:c>
      <x:c r="R1274" s="6" t="inlineStr">
        <x:is>
          <x:t xml:space="preserve">OŚWIETLENIE</x:t>
        </x:is>
      </x:c>
      <x:c r="S1274" s="6" t="inlineStr">
        <x:is>
          <x:t xml:space="preserve">crm_only</x:t>
        </x:is>
      </x:c>
      <x:c r="T1274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275" s="655" customFormat="1" ht="30" customHeight="1">
      <x:c r="A1275" s="6" t="inlineStr">
        <x:is>
          <x:t xml:space="preserve">600 x 1006 cm</x:t>
        </x:is>
      </x:c>
      <x:c r="B1275" s="6" t="inlineStr">
        <x:is>
          <x:t xml:space="preserve">ZP</x:t>
        </x:is>
      </x:c>
      <x:c r="C1275" s="6" t="inlineStr">
        <x:is>
          <x:t xml:space="preserve">Zadaszenie poliwęglan - baza</x:t>
        </x:is>
      </x:c>
      <x:c r="D1275" s="6" t="inlineStr">
        <x:is>
          <x:t xml:space="preserve">ZADASZENIE POLIWĘGLAN</x:t>
        </x:is>
      </x:c>
      <x:c r="E1275" s="8" t="n">
        <x:f>IFERROR(INDEX('02_RAW_INDEX'!$D:$D,MATCH($A1275,'02_RAW_INDEX'!$A:$A,0)),"")</x:f>
        <x:v>28211</x:v>
      </x:c>
      <x:c r="F1275" s="8" t="n">
        <x:f>IFERROR(INDEX('02_RAW_INDEX'!$C:$C,MATCH($A1275,'02_RAW_INDEX'!$A:$A,0)),"")</x:f>
        <x:v>34700</x:v>
      </x:c>
      <x:c r="G1275" s="7" t="n">
        <x:f>'01_Ustawienia'!$B$6</x:f>
        <x:v>0</x:v>
      </x:c>
      <x:c r="H1275" s="8" t="n">
        <x:f>IF(E1275="","",ROUND(IF('01_Ustawienia'!$B$5="BRUTTO",F1275,E1275)*(1-G1275),0))</x:f>
        <x:v>28211</x:v>
      </x:c>
      <x:c r="I1275" s="7" t="n">
        <x:f>IFERROR(IFERROR(INDEX('01_Ustawienia'!$B$15:$B$33,MATCH(B1275,'01_Ustawienia'!$A$15:$A$33,0)),0.45),0.45)</x:f>
        <x:v>0.45</x:v>
      </x:c>
      <x:c r="J1275" s="8" t="n">
        <x:f>IF(H1275="","",ROUND(H1275*(1+I1275),0))</x:f>
        <x:v>40906</x:v>
      </x:c>
      <x:c r="K1275" s="580" t="n">
        <x:v>6400</x:v>
      </x:c>
      <x:c r="L1275" s="580" t="n">
        <x:v>2110</x:v>
      </x:c>
      <x:c r="M1275" s="7" t="n">
        <x:f>IF('01_Ustawienia'!$B$4="ZWOLNIONY",0,'01_Ustawienia'!$B$7)</x:f>
        <x:v>0.08</x:v>
      </x:c>
      <x:c r="N1275" s="8" t="n">
        <x:f>IF(J1275="","",ROUND((J1275+K1275)*(1+M1275),0))</x:f>
        <x:v>51090</x:v>
      </x:c>
      <x:c r="O1275" s="8" t="n">
        <x:f>IF(J1275="","",J1275+K1275-H1275-L1275)</x:f>
        <x:v>16985</x:v>
      </x:c>
      <x:c r="P1275" s="7" t="n">
        <x:f>IFERROR(O1275/(J1275+K1275),"")</x:f>
        <x:v>0.3590453642244113</x:v>
      </x:c>
      <x:c r="Q1275" s="6" t="inlineStr">
        <x:is>
          <x:t xml:space="preserve">RAW_ZP B/C</x:t>
        </x:is>
      </x:c>
      <x:c r="R1275" s="6" t="inlineStr">
        <x:is>
          <x:t xml:space="preserve">ZADASZENIE TARASU KONSTRUKCJA</x:t>
        </x:is>
      </x:c>
      <x:c r="S1275" s="6" t="inlineStr">
        <x:is>
          <x:t xml:space="preserve">website+crm</x:t>
        </x:is>
      </x:c>
      <x:c r="T1275" s="581" t="inlineStr">
        <x:is>
          <x:t xml:space="preserve">Baza dla kalkulatora | FIX11: K/L 550/600 wg ark. 09 (UZUPEŁNIĆ).</x:t>
        </x:is>
      </x:c>
    </x:row>
    <x:row r="1276" s="655" customFormat="1" ht="30" customHeight="1">
      <x:c r="A1276" s="6" t="inlineStr">
        <x:is>
          <x:t xml:space="preserve">600 x 1006 cm</x:t>
        </x:is>
      </x:c>
      <x:c r="B1276" s="6" t="inlineStr">
        <x:is>
          <x:t xml:space="preserve">ZS</x:t>
        </x:is>
      </x:c>
      <x:c r="C1276" s="6" t="inlineStr">
        <x:is>
          <x:t xml:space="preserve">Zadaszenie szkło - pełna konstrukcja</x:t>
        </x:is>
      </x:c>
      <x:c r="D1276" s="6" t="inlineStr">
        <x:is>
          <x:t xml:space="preserve">ZADASZENIE SZKŁO</x:t>
        </x:is>
      </x:c>
      <x:c r="E1276" s="8" t="str">
        <x:f>IFERROR(INDEX('02_RAW_INDEX'!$V:$V,MATCH($A1276,'02_RAW_INDEX'!$A:$A,0)),"")</x:f>
      </x:c>
      <x:c r="F1276" s="8" t="str">
        <x:f>IFERROR(INDEX('02_RAW_INDEX'!$U:$U,MATCH($A1276,'02_RAW_INDEX'!$A:$A,0)),"")</x:f>
      </x:c>
      <x:c r="G1276" s="7" t="n">
        <x:f>'01_Ustawienia'!$B$6</x:f>
        <x:v>0</x:v>
      </x:c>
      <x:c r="H1276" s="8" t="str">
        <x:f>IF(E1276="","",ROUND(IF('01_Ustawienia'!$B$5="BRUTTO",F1276,E1276)*(1-G1276),0))</x:f>
      </x:c>
      <x:c r="I1276" s="7" t="n">
        <x:f>IFERROR(IFERROR(INDEX('01_Ustawienia'!$B$15:$B$33,MATCH(B1276,'01_Ustawienia'!$A$15:$A$33,0)),0.45),0.45)</x:f>
        <x:v>0.45</x:v>
      </x:c>
      <x:c r="J1276" s="8" t="str">
        <x:f>IF(H1276="","",ROUND(H1276*(1+I1276),0))</x:f>
      </x:c>
      <x:c r="K1276" s="580" t="n">
        <x:v>6400</x:v>
      </x:c>
      <x:c r="L1276" s="580" t="n">
        <x:v>2710</x:v>
      </x:c>
      <x:c r="M1276" s="7" t="n">
        <x:f>IF('01_Ustawienia'!$B$4="ZWOLNIONY",0,'01_Ustawienia'!$B$7)</x:f>
        <x:v>0.08</x:v>
      </x:c>
      <x:c r="N1276" s="8" t="str">
        <x:f>IF(J1276="","",ROUND((J1276+K1276)*(1+M1276),0))</x:f>
      </x:c>
      <x:c r="O1276" s="8" t="str">
        <x:f>IF(J1276="","",J1276+K1276-H1276-L1276)</x:f>
      </x:c>
      <x:c r="P1276" s="7" t="n">
        <x:f>IFERROR(O1276/(J1276+K1276),"")</x:f>
        <x:v>0</x:v>
      </x:c>
      <x:c r="Q1276" s="6" t="inlineStr">
        <x:is>
          <x:t xml:space="preserve">RAW_ZS B/C</x:t>
        </x:is>
      </x:c>
      <x:c r="R1276" s="6" t="inlineStr">
        <x:is>
          <x:t xml:space="preserve">ZADASZENIE TARASU KONSTRUKCJA</x:t>
        </x:is>
      </x:c>
      <x:c r="S1276" s="6" t="inlineStr">
        <x:is>
          <x:t xml:space="preserve">crm_only</x:t>
        </x:is>
      </x:c>
      <x:c r="T1276" s="581" t="inlineStr">
        <x:is>
          <x:t xml:space="preserve">Referencyjne/full; strona zwykle używa ZP + PDS | FIX11: K/L 550/600 wg ark. 09 (NIE PUBLIKOWAĆ / BRAK RAW_ZS).</x:t>
        </x:is>
      </x:c>
    </x:row>
    <x:row r="1277" s="655" customFormat="1" ht="30" customHeight="1">
      <x:c r="A1277" s="6" t="inlineStr">
        <x:is>
          <x:t xml:space="preserve">600 x 1006 cm</x:t>
        </x:is>
      </x:c>
      <x:c r="B1277" s="6" t="inlineStr">
        <x:is>
          <x:t xml:space="preserve">OP</x:t>
        </x:is>
      </x:c>
      <x:c r="C1277" s="6" t="inlineStr">
        <x:is>
          <x:t xml:space="preserve">Ogród zimowy poliwęglan - baza</x:t>
        </x:is>
      </x:c>
      <x:c r="D1277" s="6" t="inlineStr">
        <x:is>
          <x:t xml:space="preserve">OGRODY POLIWĘGLAN</x:t>
        </x:is>
      </x:c>
      <x:c r="E1277" s="8" t="n">
        <x:f>IFERROR(INDEX('02_RAW_INDEX'!$Z:$Z,MATCH($A1277,'02_RAW_INDEX'!$A:$A,0)),"")</x:f>
        <x:v>47333</x:v>
      </x:c>
      <x:c r="F1277" s="8" t="n">
        <x:f>IFERROR(INDEX('02_RAW_INDEX'!$Y:$Y,MATCH($A1277,'02_RAW_INDEX'!$A:$A,0)),"")</x:f>
        <x:v>58220</x:v>
      </x:c>
      <x:c r="G1277" s="7" t="n">
        <x:f>'01_Ustawienia'!$B$6</x:f>
        <x:v>0</x:v>
      </x:c>
      <x:c r="H1277" s="8" t="n">
        <x:f>IF(E1277="","",ROUND(IF('01_Ustawienia'!$B$5="BRUTTO",F1277,E1277)*(1-G1277),0))</x:f>
        <x:v>47333</x:v>
      </x:c>
      <x:c r="I1277" s="7" t="n">
        <x:f>IFERROR(IFERROR(INDEX('01_Ustawienia'!$B$15:$B$33,MATCH(B1277,'01_Ustawienia'!$A$15:$A$33,0)),0.45),0.45)</x:f>
        <x:v>0.45</x:v>
      </x:c>
      <x:c r="J1277" s="8" t="n">
        <x:f>IF(H1277="","",ROUND(H1277*(1+I1277),0))</x:f>
        <x:v>68633</x:v>
      </x:c>
      <x:c r="K1277" s="580" t="n">
        <x:v>7720</x:v>
      </x:c>
      <x:c r="L1277" s="580" t="n">
        <x:v>2970</x:v>
      </x:c>
      <x:c r="M1277" s="7" t="n">
        <x:f>IF('01_Ustawienia'!$B$4="ZWOLNIONY",0,'01_Ustawienia'!$B$7)</x:f>
        <x:v>0.08</x:v>
      </x:c>
      <x:c r="N1277" s="8" t="n">
        <x:f>IF(J1277="","",ROUND((J1277+K1277)*(1+M1277),0))</x:f>
        <x:v>82461</x:v>
      </x:c>
      <x:c r="O1277" s="8" t="n">
        <x:f>IF(J1277="","",J1277+K1277-H1277-L1277)</x:f>
        <x:v>26050</x:v>
      </x:c>
      <x:c r="P1277" s="7" t="n">
        <x:f>IFERROR(O1277/(J1277+K1277),"")</x:f>
        <x:v>0.3411784736683562</x:v>
      </x:c>
      <x:c r="Q1277" s="6" t="inlineStr">
        <x:is>
          <x:t xml:space="preserve">RAW_OP B/C</x:t>
        </x:is>
      </x:c>
      <x:c r="R1277" s="6" t="inlineStr">
        <x:is>
          <x:t xml:space="preserve">OGRÓD ZIMOWY (KONSTRUKCJA)</x:t>
        </x:is>
      </x:c>
      <x:c r="S1277" s="6" t="inlineStr">
        <x:is>
          <x:t xml:space="preserve">website+crm</x:t>
        </x:is>
      </x:c>
      <x:c r="T1277" s="581" t="inlineStr">
        <x:is>
          <x:t xml:space="preserve">Do wyliczenia dopłaty za ściany | FIX11: K/L 550/600 wg ark. 09 (UZUPEŁNIĆ).</x:t>
        </x:is>
      </x:c>
    </x:row>
    <x:row r="1278" s="655" customFormat="1" ht="30" customHeight="1">
      <x:c r="A1278" s="6" t="inlineStr">
        <x:is>
          <x:t xml:space="preserve">600 x 1006 cm</x:t>
        </x:is>
      </x:c>
      <x:c r="B1278" s="6" t="inlineStr">
        <x:is>
          <x:t xml:space="preserve">OS</x:t>
        </x:is>
      </x:c>
      <x:c r="C1278" s="6" t="inlineStr">
        <x:is>
          <x:t xml:space="preserve">Ogród zimowy szkło - pełna konstrukcja</x:t>
        </x:is>
      </x:c>
      <x:c r="D1278" s="6" t="inlineStr">
        <x:is>
          <x:t xml:space="preserve">OGRODY SZKŁO</x:t>
        </x:is>
      </x:c>
      <x:c r="E1278" s="8" t="str">
        <x:f>IFERROR(INDEX('02_RAW_INDEX'!$AL:$AL,MATCH($A1278,'02_RAW_INDEX'!$A:$A,0)),"")</x:f>
      </x:c>
      <x:c r="F1278" s="8" t="str">
        <x:f>IFERROR(INDEX('02_RAW_INDEX'!$AK:$AK,MATCH($A1278,'02_RAW_INDEX'!$A:$A,0)),"")</x:f>
      </x:c>
      <x:c r="G1278" s="7" t="n">
        <x:f>'01_Ustawienia'!$B$6</x:f>
        <x:v>0</x:v>
      </x:c>
      <x:c r="H1278" s="8" t="str">
        <x:f>IF(E1278="","",ROUND(IF('01_Ustawienia'!$B$5="BRUTTO",F1278,E1278)*(1-G1278),0))</x:f>
      </x:c>
      <x:c r="I1278" s="7" t="n">
        <x:f>IFERROR(IFERROR(INDEX('01_Ustawienia'!$B$15:$B$33,MATCH(B1278,'01_Ustawienia'!$A$15:$A$33,0)),0.45),0.45)</x:f>
        <x:v>0.45</x:v>
      </x:c>
      <x:c r="J1278" s="8" t="str">
        <x:f>IF(H1278="","",ROUND(H1278*(1+I1278),0))</x:f>
      </x:c>
      <x:c r="K1278" s="580" t="n">
        <x:v>7720</x:v>
      </x:c>
      <x:c r="L1278" s="580" t="n">
        <x:v>3570</x:v>
      </x:c>
      <x:c r="M1278" s="7" t="n">
        <x:f>IF('01_Ustawienia'!$B$4="ZWOLNIONY",0,'01_Ustawienia'!$B$7)</x:f>
        <x:v>0.08</x:v>
      </x:c>
      <x:c r="N1278" s="8" t="str">
        <x:f>IF(J1278="","",ROUND((J1278+K1278)*(1+M1278),0))</x:f>
      </x:c>
      <x:c r="O1278" s="8" t="str">
        <x:f>IF(J1278="","",J1278+K1278-H1278-L1278)</x:f>
      </x:c>
      <x:c r="P1278" s="7" t="n">
        <x:f>IFERROR(O1278/(J1278+K1278),"")</x:f>
        <x:v>0</x:v>
      </x:c>
      <x:c r="Q1278" s="6" t="inlineStr">
        <x:is>
          <x:t xml:space="preserve">RAW_OS B/C</x:t>
        </x:is>
      </x:c>
      <x:c r="R1278" s="6" t="inlineStr">
        <x:is>
          <x:t xml:space="preserve">OGRÓD ZIMOWY (KONSTRUKCJA)</x:t>
        </x:is>
      </x:c>
      <x:c r="S1278" s="6" t="inlineStr">
        <x:is>
          <x:t xml:space="preserve">crm_only</x:t>
        </x:is>
      </x:c>
      <x:c r="T1278" s="581" t="inlineStr">
        <x:is>
          <x:t xml:space="preserve">Referencyjne/full | FIX11: K/L 550/600 wg ark. 09 (NIE PUBLIKOWAĆ / BRAK RAW_OS).</x:t>
        </x:is>
      </x:c>
    </x:row>
    <x:row r="1279" s="655" customFormat="1" ht="30" customHeight="1">
      <x:c r="A1279" s="6" t="inlineStr">
        <x:is>
          <x:t xml:space="preserve">600 x 1006 cm</x:t>
        </x:is>
      </x:c>
      <x:c r="B1279" s="6" t="inlineStr">
        <x:is>
          <x:t xml:space="preserve">PDS</x:t>
        </x:is>
      </x:c>
      <x:c r="C1279" s="6" t="inlineStr">
        <x:is>
          <x:t xml:space="preserve">Dopłata dach szkło przezroczyste</x:t>
        </x:is>
      </x:c>
      <x:c r="D1279" s="6" t="inlineStr">
        <x:is>
          <x:t xml:space="preserve">POKRYCIE DACHU SZKŁO</x:t>
        </x:is>
      </x:c>
      <x:c r="E1279" s="8" t="n">
        <x:f>IFERROR(IFERROR(INDEX('02_RAW_INDEX'!$V:$V,MATCH($A1279,'02_RAW_INDEX'!$A:$A,0)),"")-IFERROR(INDEX('02_RAW_INDEX'!$D:$D,MATCH($A1279,'02_RAW_INDEX'!$A:$A,0)),""),"")</x:f>
        <x:v>-28211</x:v>
      </x:c>
      <x:c r="F1279" s="8" t="n">
        <x:f>IFERROR(IFERROR(INDEX('02_RAW_INDEX'!$U:$U,MATCH($A1279,'02_RAW_INDEX'!$A:$A,0)),"")-IFERROR(INDEX('02_RAW_INDEX'!$C:$C,MATCH($A1279,'02_RAW_INDEX'!$A:$A,0)),""),"")</x:f>
        <x:v>-34700</x:v>
      </x:c>
      <x:c r="G1279" s="7" t="n">
        <x:f>'01_Ustawienia'!$B$6</x:f>
        <x:v>0</x:v>
      </x:c>
      <x:c r="H1279" s="8" t="n">
        <x:f>IF(E1279="","",ROUND(IF('01_Ustawienia'!$B$5="BRUTTO",F1279,E1279)*(1-G1279),0))</x:f>
        <x:v>-28211</x:v>
      </x:c>
      <x:c r="I1279" s="7" t="n">
        <x:f>IFERROR(IFERROR(INDEX('01_Ustawienia'!$B$15:$B$33,MATCH(B1279,'01_Ustawienia'!$A$15:$A$33,0)),0.45),0.45)</x:f>
        <x:v>0.45</x:v>
      </x:c>
      <x:c r="J1279" s="8" t="n">
        <x:f>IF(H1279="","",ROUND(H1279*(1+I1279),0))</x:f>
        <x:v>-40906</x:v>
      </x:c>
      <x:c r="K1279" s="580" t="n">
        <x:v>0</x:v>
      </x:c>
      <x:c r="L1279" s="580" t="n">
        <x:v>0</x:v>
      </x:c>
      <x:c r="M1279" s="7" t="n">
        <x:f>IF('01_Ustawienia'!$B$4="ZWOLNIONY",0,'01_Ustawienia'!$B$7)</x:f>
        <x:v>0.08</x:v>
      </x:c>
      <x:c r="N1279" s="8" t="n">
        <x:f>IF(J1279="","",ROUND((J1279+K1279)*(1+M1279),0))</x:f>
        <x:v>-44178</x:v>
      </x:c>
      <x:c r="O1279" s="8" t="n">
        <x:f>IF(J1279="","",J1279+K1279-H1279-L1279)</x:f>
        <x:v>-12695</x:v>
      </x:c>
      <x:c r="P1279" s="7" t="n">
        <x:f>IFERROR(O1279/(J1279+K1279),"")</x:f>
        <x:v>0.31034567056177575</x:v>
      </x:c>
      <x:c r="Q1279" s="6" t="inlineStr">
        <x:is>
          <x:t xml:space="preserve">RAW_ZS - RAW_ZP</x:t>
        </x:is>
      </x:c>
      <x:c r="R1279" s="6" t="inlineStr">
        <x:is>
          <x:t xml:space="preserve">POKRYCIE DACHU</x:t>
        </x:is>
      </x:c>
      <x:c r="S1279" s="6" t="inlineStr">
        <x:is>
          <x:t xml:space="preserve">website+crm</x:t>
        </x:is>
      </x:c>
      <x:c r="T1279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280" s="655" customFormat="1" ht="30" customHeight="1">
      <x:c r="A1280" s="6" t="inlineStr">
        <x:is>
          <x:t xml:space="preserve">600 x 1006 cm</x:t>
        </x:is>
      </x:c>
      <x:c r="B1280" s="6" t="inlineStr">
        <x:is>
          <x:t xml:space="preserve">PDSB</x:t>
        </x:is>
      </x:c>
      <x:c r="C1280" s="6" t="inlineStr">
        <x:is>
          <x:t xml:space="preserve">Dopłata dach szkło barwione/mleczne</x:t>
        </x:is>
      </x:c>
      <x:c r="D1280" s="6" t="inlineStr">
        <x:is>
          <x:t xml:space="preserve">POKRYCIE DACHU SZKŁO BARWIONE</x:t>
        </x:is>
      </x:c>
      <x:c r="E1280" s="8" t="str">
        <x:f>IFERROR(INDEX('02_RAW_INDEX'!$X:$X,MATCH($A1280,'02_RAW_INDEX'!$A:$A,0)),"")</x:f>
      </x:c>
      <x:c r="F1280" s="8" t="str">
        <x:f>IFERROR(INDEX('02_RAW_INDEX'!$W:$W,MATCH($A1280,'02_RAW_INDEX'!$A:$A,0)),"")</x:f>
      </x:c>
      <x:c r="G1280" s="7" t="n">
        <x:f>'01_Ustawienia'!$B$6</x:f>
        <x:v>0</x:v>
      </x:c>
      <x:c r="H1280" s="8" t="str">
        <x:f>IF(E1280="","",ROUND(IF('01_Ustawienia'!$B$5="BRUTTO",F1280,E1280)*(1-G1280),0))</x:f>
      </x:c>
      <x:c r="I1280" s="7" t="n">
        <x:f>IFERROR(IFERROR(INDEX('01_Ustawienia'!$B$15:$B$33,MATCH(B1280,'01_Ustawienia'!$A$15:$A$33,0)),0.45),0.45)</x:f>
        <x:v>0.45</x:v>
      </x:c>
      <x:c r="J1280" s="8" t="str">
        <x:f>IF(H1280="","",ROUND(H1280*(1+I1280),0))</x:f>
      </x:c>
      <x:c r="K1280" s="582" t="n">
        <x:v>0</x:v>
      </x:c>
      <x:c r="L1280" s="582" t="n">
        <x:v>0</x:v>
      </x:c>
      <x:c r="M1280" s="7" t="n">
        <x:f>IF('01_Ustawienia'!$B$4="ZWOLNIONY",0,'01_Ustawienia'!$B$7)</x:f>
        <x:v>0.08</x:v>
      </x:c>
      <x:c r="N1280" s="8" t="str">
        <x:f>IF(J1280="","",ROUND((J1280+K1280)*(1+M1280),0))</x:f>
      </x:c>
      <x:c r="O1280" s="8" t="str">
        <x:f>IF(J1280="","",J1280+K1280-H1280-L1280)</x:f>
      </x:c>
      <x:c r="P1280" s="7" t="str">
        <x:f>IFERROR(O1280/(J1280+K1280),"")</x:f>
      </x:c>
      <x:c r="Q1280" s="6" t="inlineStr">
        <x:is>
          <x:t xml:space="preserve">RAW_ZS D/E</x:t>
        </x:is>
      </x:c>
      <x:c r="R1280" s="6" t="inlineStr">
        <x:is>
          <x:t xml:space="preserve">POKRYCIE DACHU</x:t>
        </x:is>
      </x:c>
      <x:c r="S1280" s="6" t="inlineStr">
        <x:is>
          <x:t xml:space="preserve">website+crm</x:t>
        </x:is>
      </x:c>
      <x:c r="T1280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281" s="655" customFormat="1" ht="30" customHeight="1">
      <x:c r="A1281" s="6" t="inlineStr">
        <x:is>
          <x:t xml:space="preserve">600 x 1006 cm</x:t>
        </x:is>
      </x:c>
      <x:c r="B1281" s="6" t="inlineStr">
        <x:is>
          <x:t xml:space="preserve">PDPB</x:t>
        </x:is>
      </x:c>
      <x:c r="C1281" s="6" t="inlineStr">
        <x:is>
          <x:t xml:space="preserve">Dopłata poliwęglan barwiony</x:t>
        </x:is>
      </x:c>
      <x:c r="D1281" s="6" t="inlineStr">
        <x:is>
          <x:t xml:space="preserve">POKRYCIE DACHU POLIWĘGLAN BARWIONY</x:t>
        </x:is>
      </x:c>
      <x:c r="E1281" s="8" t="n">
        <x:f>IFERROR(INDEX('02_RAW_INDEX'!$F:$F,MATCH($A1281,'02_RAW_INDEX'!$A:$A,0)),"")</x:f>
        <x:v>846</x:v>
      </x:c>
      <x:c r="F1281" s="8" t="n">
        <x:f>IFERROR(INDEX('02_RAW_INDEX'!$E:$E,MATCH($A1281,'02_RAW_INDEX'!$A:$A,0)),"")</x:f>
        <x:v>1040</x:v>
      </x:c>
      <x:c r="G1281" s="7" t="n">
        <x:f>'01_Ustawienia'!$B$6</x:f>
        <x:v>0</x:v>
      </x:c>
      <x:c r="H1281" s="8" t="n">
        <x:f>IF(E1281="","",ROUND(IF('01_Ustawienia'!$B$5="BRUTTO",F1281,E1281)*(1-G1281),0))</x:f>
        <x:v>846</x:v>
      </x:c>
      <x:c r="I1281" s="7" t="n">
        <x:f>IFERROR(IFERROR(INDEX('01_Ustawienia'!$B$15:$B$33,MATCH(B1281,'01_Ustawienia'!$A$15:$A$33,0)),0.45),0.45)</x:f>
        <x:v>0.45</x:v>
      </x:c>
      <x:c r="J1281" s="8" t="n">
        <x:f>IF(H1281="","",ROUND(H1281*(1+I1281),0))</x:f>
        <x:v>1227</x:v>
      </x:c>
      <x:c r="K1281" s="582" t="n">
        <x:v>0</x:v>
      </x:c>
      <x:c r="L1281" s="582" t="n">
        <x:v>0</x:v>
      </x:c>
      <x:c r="M1281" s="7" t="n">
        <x:f>IF('01_Ustawienia'!$B$4="ZWOLNIONY",0,'01_Ustawienia'!$B$7)</x:f>
        <x:v>0.08</x:v>
      </x:c>
      <x:c r="N1281" s="8" t="n">
        <x:f>IF(J1281="","",ROUND((J1281+K1281)*(1+M1281),0))</x:f>
        <x:v>1325</x:v>
      </x:c>
      <x:c r="O1281" s="8" t="n">
        <x:f>IF(J1281="","",J1281+K1281-H1281-L1281)</x:f>
        <x:v>381</x:v>
      </x:c>
      <x:c r="P1281" s="7" t="n">
        <x:f>IFERROR(O1281/(J1281+K1281),"")</x:f>
        <x:v>0.3105134474327628</x:v>
      </x:c>
      <x:c r="Q1281" s="6" t="inlineStr">
        <x:is>
          <x:t xml:space="preserve">RAW_ZP D/E</x:t>
        </x:is>
      </x:c>
      <x:c r="R1281" s="6" t="inlineStr">
        <x:is>
          <x:t xml:space="preserve">POKRYCIE DACHU</x:t>
        </x:is>
      </x:c>
      <x:c r="S1281" s="6" t="inlineStr">
        <x:is>
          <x:t xml:space="preserve">website+crm</x:t>
        </x:is>
      </x:c>
      <x:c r="T1281" s="581" t="inlineStr">
        <x:is>
          <x:t xml:space="preserve">FIX11: K/L 550/600 wg ark. 09 (POZOSTAWIĆ 0). | FIX17: Wynagr.+koszty = 0 dla dopłaty; nie jest osobnym montażem ekipy.</x:t>
        </x:is>
      </x:c>
    </x:row>
    <x:row r="1282" s="655" customFormat="1" ht="30" customHeight="1">
      <x:c r="A1282" s="6" t="inlineStr">
        <x:is>
          <x:t xml:space="preserve">600 x 1006 cm</x:t>
        </x:is>
      </x:c>
      <x:c r="B1282" s="6" t="inlineStr">
        <x:is>
          <x:t xml:space="preserve">SBB</x:t>
        </x:is>
      </x:c>
      <x:c r="C1282" s="6" t="inlineStr">
        <x:is>
          <x:t xml:space="preserve">Dopłata szkło boczne przyciemniane</x:t>
        </x:is>
      </x:c>
      <x:c r="D1282" s="6" t="inlineStr">
        <x:is>
          <x:t xml:space="preserve">SZKŁO BOCZNE BARWIONE</x:t>
        </x:is>
      </x:c>
      <x:c r="E1282" s="8" t="n">
        <x:f>IFERROR(INDEX('02_RAW_INDEX'!$AB:$AB,MATCH($A1282,'02_RAW_INDEX'!$A:$A,0)),"")</x:f>
        <x:v>2146</x:v>
      </x:c>
      <x:c r="F1282" s="8" t="n">
        <x:f>IFERROR(INDEX('02_RAW_INDEX'!$AA:$AA,MATCH($A1282,'02_RAW_INDEX'!$A:$A,0)),"")</x:f>
        <x:v>2640</x:v>
      </x:c>
      <x:c r="G1282" s="7" t="n">
        <x:f>'01_Ustawienia'!$B$6</x:f>
        <x:v>0</x:v>
      </x:c>
      <x:c r="H1282" s="8" t="n">
        <x:f>IF(E1282="","",ROUND(IF('01_Ustawienia'!$B$5="BRUTTO",F1282,E1282)*(1-G1282),0))</x:f>
        <x:v>2146</x:v>
      </x:c>
      <x:c r="I1282" s="7" t="n">
        <x:f>IFERROR(IFERROR(INDEX('01_Ustawienia'!$B$15:$B$33,MATCH(B1282,'01_Ustawienia'!$A$15:$A$33,0)),0.45),0.45)</x:f>
        <x:v>0.45</x:v>
      </x:c>
      <x:c r="J1282" s="8" t="n">
        <x:f>IF(H1282="","",ROUND(H1282*(1+I1282),0))</x:f>
        <x:v>3112</x:v>
      </x:c>
      <x:c r="K1282" s="582" t="n">
        <x:v>0</x:v>
      </x:c>
      <x:c r="L1282" s="582" t="n">
        <x:v>0</x:v>
      </x:c>
      <x:c r="M1282" s="7" t="n">
        <x:f>IF('01_Ustawienia'!$B$4="ZWOLNIONY",0,'01_Ustawienia'!$B$7)</x:f>
        <x:v>0.08</x:v>
      </x:c>
      <x:c r="N1282" s="8" t="n">
        <x:f>IF(J1282="","",ROUND((J1282+K1282)*(1+M1282),0))</x:f>
        <x:v>3361</x:v>
      </x:c>
      <x:c r="O1282" s="8" t="n">
        <x:f>IF(J1282="","",J1282+K1282-H1282-L1282)</x:f>
        <x:v>966</x:v>
      </x:c>
      <x:c r="P1282" s="7" t="n">
        <x:f>IFERROR(O1282/(J1282+K1282),"")</x:f>
        <x:v>0.31041131105398456</x:v>
      </x:c>
      <x:c r="Q1282" s="6" t="inlineStr">
        <x:is>
          <x:t xml:space="preserve">RAW_OP H/I</x:t>
        </x:is>
      </x:c>
      <x:c r="R1282" s="6" t="inlineStr">
        <x:is>
          <x:t xml:space="preserve">SZYBY BOCZNE</x:t>
        </x:is>
      </x:c>
      <x:c r="S1282" s="6" t="inlineStr">
        <x:is>
          <x:t xml:space="preserve">website+crm</x:t>
        </x:is>
      </x:c>
      <x:c r="T1282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283" s="655" customFormat="1" ht="29.5" customHeight="1">
      <x:c r="A1283" s="6" t="inlineStr">
        <x:is>
          <x:t xml:space="preserve">600 x 1006 cm</x:t>
        </x:is>
      </x:c>
      <x:c r="B1283" s="6" t="inlineStr">
        <x:is>
          <x:t xml:space="preserve">RB</x:t>
        </x:is>
      </x:c>
      <x:c r="C1283" s="6" t="inlineStr">
        <x:is>
          <x:t xml:space="preserve">Roleta boczna ZIP</x:t>
        </x:is>
      </x:c>
      <x:c r="D1283" s="6" t="inlineStr">
        <x:is>
          <x:t xml:space="preserve">ROLETA BOCZNA</x:t>
        </x:is>
      </x:c>
      <x:c r="E1283" s="8" t="n">
        <x:f>IFERROR(INDEX('02_RAW_INDEX'!$J:$J,MATCH($A1283,'02_RAW_INDEX'!$A:$A,0)),"")</x:f>
        <x:v>3472</x:v>
      </x:c>
      <x:c r="F1283" s="8" t="n">
        <x:f>IFERROR(INDEX('02_RAW_INDEX'!$I:$I,MATCH($A1283,'02_RAW_INDEX'!$A:$A,0)),"")</x:f>
        <x:v>4270</x:v>
      </x:c>
      <x:c r="G1283" s="7" t="n">
        <x:f>'01_Ustawienia'!$B$6</x:f>
        <x:v>0</x:v>
      </x:c>
      <x:c r="H1283" s="8" t="n">
        <x:f>IF(E1283="","",ROUND(IF('01_Ustawienia'!$B$5="BRUTTO",F1283,E1283)*(1-G1283),0))</x:f>
        <x:v>3472</x:v>
      </x:c>
      <x:c r="I1283" s="7" t="n">
        <x:f>IFERROR(IFERROR(INDEX('01_Ustawienia'!$B$15:$B$33,MATCH(B1283,'01_Ustawienia'!$A$15:$A$33,0)),0.45),0.45)</x:f>
        <x:v>0.45</x:v>
      </x:c>
      <x:c r="J1283" s="8" t="n">
        <x:f>IF(H1283="","",ROUND(H1283*(1+I1283),0))</x:f>
        <x:v>5034</x:v>
      </x:c>
      <x:c r="K1283" s="580" t="n">
        <x:v>0</x:v>
      </x:c>
      <x:c r="L1283" s="580" t="n">
        <x:v>150</x:v>
      </x:c>
      <x:c r="M1283" s="7" t="n">
        <x:f>IF('01_Ustawienia'!$B$4="ZWOLNIONY",0,'01_Ustawienia'!$B$7)</x:f>
        <x:v>0.08</x:v>
      </x:c>
      <x:c r="N1283" s="8" t="n">
        <x:f>IF(J1283="","",ROUND((J1283+K1283)*(1+M1283),0))</x:f>
        <x:v>5437</x:v>
      </x:c>
      <x:c r="O1283" s="8" t="n">
        <x:f>IF(J1283="","",J1283+K1283-H1283-L1283)</x:f>
        <x:v>1412</x:v>
      </x:c>
      <x:c r="P1283" s="7" t="n">
        <x:f>IFERROR(O1283/(J1283+K1283),"")</x:f>
        <x:v>0.28049264998013507</x:v>
      </x:c>
      <x:c r="Q1283" s="6" t="inlineStr">
        <x:is>
          <x:t xml:space="preserve">RAW_ZP J/K</x:t>
        </x:is>
      </x:c>
      <x:c r="R1283" s="6" t="inlineStr">
        <x:is>
          <x:t xml:space="preserve">ROLETY BOCZNE</x:t>
        </x:is>
      </x:c>
      <x:c r="S1283" s="6" t="inlineStr">
        <x:is>
          <x:t xml:space="preserve">website+crm</x:t>
        </x:is>
      </x:c>
      <x:c r="T1283" s="581" t="inlineStr">
        <x:is>
          <x:t xml:space="preserve">Używana dla lewej i prawej | FIX11: K/L 550/600 wg ark. 09 (UZUPEŁNIĆ L).</x:t>
        </x:is>
      </x:c>
    </x:row>
    <x:row r="1284" s="655" customFormat="1" ht="29.5" customHeight="1">
      <x:c r="A1284" s="6" t="inlineStr">
        <x:is>
          <x:t xml:space="preserve">600 x 1006 cm</x:t>
        </x:is>
      </x:c>
      <x:c r="B1284" s="6" t="inlineStr">
        <x:is>
          <x:t xml:space="preserve">RP</x:t>
        </x:is>
      </x:c>
      <x:c r="C1284" s="6" t="inlineStr">
        <x:is>
          <x:t xml:space="preserve">Roleta przednia ZIP</x:t>
        </x:is>
      </x:c>
      <x:c r="D1284" s="6" t="inlineStr">
        <x:is>
          <x:t xml:space="preserve">ROLETA PRZÓD</x:t>
        </x:is>
      </x:c>
      <x:c r="E1284" s="8" t="n">
        <x:f>IFERROR(INDEX('02_RAW_INDEX'!$L:$L,MATCH($A1284,'02_RAW_INDEX'!$A:$A,0)),"")</x:f>
        <x:v>5618</x:v>
      </x:c>
      <x:c r="F1284" s="8" t="n">
        <x:f>IFERROR(INDEX('02_RAW_INDEX'!$K:$K,MATCH($A1284,'02_RAW_INDEX'!$A:$A,0)),"")</x:f>
        <x:v>6910</x:v>
      </x:c>
      <x:c r="G1284" s="7" t="n">
        <x:f>'01_Ustawienia'!$B$6</x:f>
        <x:v>0</x:v>
      </x:c>
      <x:c r="H1284" s="8" t="n">
        <x:f>IF(E1284="","",ROUND(IF('01_Ustawienia'!$B$5="BRUTTO",F1284,E1284)*(1-G1284),0))</x:f>
        <x:v>5618</x:v>
      </x:c>
      <x:c r="I1284" s="7" t="n">
        <x:f>IFERROR(IFERROR(INDEX('01_Ustawienia'!$B$15:$B$33,MATCH(B1284,'01_Ustawienia'!$A$15:$A$33,0)),0.45),0.45)</x:f>
        <x:v>0.45</x:v>
      </x:c>
      <x:c r="J1284" s="8" t="n">
        <x:f>IF(H1284="","",ROUND(H1284*(1+I1284),0))</x:f>
        <x:v>8146</x:v>
      </x:c>
      <x:c r="K1284" s="580" t="n">
        <x:v>0</x:v>
      </x:c>
      <x:c r="L1284" s="580" t="n">
        <x:v>450</x:v>
      </x:c>
      <x:c r="M1284" s="7" t="n">
        <x:f>IF('01_Ustawienia'!$B$4="ZWOLNIONY",0,'01_Ustawienia'!$B$7)</x:f>
        <x:v>0.08</x:v>
      </x:c>
      <x:c r="N1284" s="8" t="n">
        <x:f>IF(J1284="","",ROUND((J1284+K1284)*(1+M1284),0))</x:f>
        <x:v>8798</x:v>
      </x:c>
      <x:c r="O1284" s="8" t="n">
        <x:f>IF(J1284="","",J1284+K1284-H1284-L1284)</x:f>
        <x:v>2078</x:v>
      </x:c>
      <x:c r="P1284" s="7" t="n">
        <x:f>IFERROR(O1284/(J1284+K1284),"")</x:f>
        <x:v>0.25509452492020623</x:v>
      </x:c>
      <x:c r="Q1284" s="6" t="inlineStr">
        <x:is>
          <x:t xml:space="preserve">RAW_ZP N/O</x:t>
        </x:is>
      </x:c>
      <x:c r="R1284" s="6" t="inlineStr">
        <x:is>
          <x:t xml:space="preserve">ROLETY BOCZNE</x:t>
        </x:is>
      </x:c>
      <x:c r="S1284" s="6" t="inlineStr">
        <x:is>
          <x:t xml:space="preserve">website+crm</x:t>
        </x:is>
      </x:c>
      <x:c r="T1284" s="581" t="inlineStr">
        <x:is>
          <x:t xml:space="preserve">FIX11: K/L 550/600 wg ark. 09 (UZUPEŁNIĆ L).</x:t>
        </x:is>
      </x:c>
    </x:row>
    <x:row r="1285" s="655" customFormat="1" ht="29.5" customHeight="1">
      <x:c r="A1285" s="6" t="inlineStr">
        <x:is>
          <x:t xml:space="preserve">600 x 1006 cm</x:t>
        </x:is>
      </x:c>
      <x:c r="B1285" s="6" t="inlineStr">
        <x:is>
          <x:t xml:space="preserve">M</x:t>
        </x:is>
      </x:c>
      <x:c r="C1285" s="6" t="inlineStr">
        <x:is>
          <x:t xml:space="preserve">Markiza dachowa</x:t>
        </x:is>
      </x:c>
      <x:c r="D1285" s="6" t="inlineStr">
        <x:is>
          <x:t xml:space="preserve">MARKIZA</x:t>
        </x:is>
      </x:c>
      <x:c r="E1285" s="8" t="n">
        <x:f>IFERROR(INDEX('02_RAW_INDEX'!$H:$H,MATCH($A1285,'02_RAW_INDEX'!$A:$A,0)),"")</x:f>
        <x:v>9041</x:v>
      </x:c>
      <x:c r="F1285" s="8" t="n">
        <x:f>IFERROR(INDEX('02_RAW_INDEX'!$G:$G,MATCH($A1285,'02_RAW_INDEX'!$A:$A,0)),"")</x:f>
        <x:v>11120</x:v>
      </x:c>
      <x:c r="G1285" s="7" t="n">
        <x:f>'01_Ustawienia'!$B$6</x:f>
        <x:v>0</x:v>
      </x:c>
      <x:c r="H1285" s="8" t="n">
        <x:f>IF(E1285="","",ROUND(IF('01_Ustawienia'!$B$5="BRUTTO",F1285,E1285)*(1-G1285),0))</x:f>
        <x:v>9041</x:v>
      </x:c>
      <x:c r="I1285" s="7" t="n">
        <x:f>IFERROR(IFERROR(INDEX('01_Ustawienia'!$B$15:$B$33,MATCH(B1285,'01_Ustawienia'!$A$15:$A$33,0)),0.45),0.45)</x:f>
        <x:v>0.45</x:v>
      </x:c>
      <x:c r="J1285" s="8" t="n">
        <x:f>IF(H1285="","",ROUND(H1285*(1+I1285),0))</x:f>
        <x:v>13109</x:v>
      </x:c>
      <x:c r="K1285" s="580" t="n">
        <x:v>0</x:v>
      </x:c>
      <x:c r="L1285" s="580" t="n">
        <x:v>600</x:v>
      </x:c>
      <x:c r="M1285" s="7" t="n">
        <x:f>IF('01_Ustawienia'!$B$4="ZWOLNIONY",0,'01_Ustawienia'!$B$7)</x:f>
        <x:v>0.08</x:v>
      </x:c>
      <x:c r="N1285" s="8" t="n">
        <x:f>IF(J1285="","",ROUND((J1285+K1285)*(1+M1285),0))</x:f>
        <x:v>14158</x:v>
      </x:c>
      <x:c r="O1285" s="8" t="n">
        <x:f>IF(J1285="","",J1285+K1285-H1285-L1285)</x:f>
        <x:v>3468</x:v>
      </x:c>
      <x:c r="P1285" s="7" t="n">
        <x:f>IFERROR(O1285/(J1285+K1285),"")</x:f>
        <x:v>0.2645510717827447</x:v>
      </x:c>
      <x:c r="Q1285" s="6" t="inlineStr">
        <x:is>
          <x:t xml:space="preserve">RAW_ZP H/I</x:t>
        </x:is>
      </x:c>
      <x:c r="R1285" s="6" t="inlineStr">
        <x:is>
          <x:t xml:space="preserve">MARKIZA</x:t>
        </x:is>
      </x:c>
      <x:c r="S1285" s="6" t="inlineStr">
        <x:is>
          <x:t xml:space="preserve">website+crm</x:t>
        </x:is>
      </x:c>
      <x:c r="T1285" s="581" t="inlineStr">
        <x:is>
          <x:t xml:space="preserve">FIX11: K/L 550/600 wg ark. 09 (UZUPEŁNIĆ L).</x:t>
        </x:is>
      </x:c>
    </x:row>
    <x:row r="1286" s="655" customFormat="1" ht="44.25" customHeight="1">
      <x:c r="A1286" s="6" t="inlineStr">
        <x:is>
          <x:t xml:space="preserve">600 x 1006 cm</x:t>
        </x:is>
      </x:c>
      <x:c r="B1286" s="6" t="inlineStr">
        <x:is>
          <x:t xml:space="preserve">PDWP</x:t>
        </x:is>
      </x:c>
      <x:c r="C1286" s="6" t="inlineStr">
        <x:is>
          <x:t xml:space="preserve">Fundament/profile</x:t>
        </x:is>
      </x:c>
      <x:c r="D1286" s="6" t="inlineStr">
        <x:is>
          <x:t xml:space="preserve">FUNDAMENT / PROFILE</x:t>
        </x:is>
      </x:c>
      <x:c r="E1286" s="8" t="n">
        <x:f>IFERROR(INDEX('02_RAW_INDEX'!$AH:$AH,MATCH($A1286,'02_RAW_INDEX'!$A:$A,0)),"")</x:f>
        <x:v>1528</x:v>
      </x:c>
      <x:c r="F1286" s="8" t="n">
        <x:f>IFERROR(INDEX('02_RAW_INDEX'!$AG:$AG,MATCH($A1286,'02_RAW_INDEX'!$A:$A,0)),"")</x:f>
        <x:v>1880</x:v>
      </x:c>
      <x:c r="G1286" s="7" t="n">
        <x:f>'01_Ustawienia'!$B$6</x:f>
        <x:v>0</x:v>
      </x:c>
      <x:c r="H1286" s="8" t="n">
        <x:f>IF(E1286="","",ROUND(IF('01_Ustawienia'!$B$5="BRUTTO",F1286,E1286)*(1-G1286),0))</x:f>
        <x:v>1528</x:v>
      </x:c>
      <x:c r="I1286" s="7" t="n">
        <x:f>IFERROR(IFERROR(INDEX('01_Ustawienia'!$B$15:$B$33,MATCH(B1286,'01_Ustawienia'!$A$15:$A$33,0)),0.45),0.45)</x:f>
        <x:v>1.2</x:v>
      </x:c>
      <x:c r="J1286" s="8" t="n">
        <x:f>IF(H1286="","",ROUND(H1286*(1+I1286),0))</x:f>
        <x:v>3362</x:v>
      </x:c>
      <x:c r="K1286" s="580" t="n">
        <x:v>690</x:v>
      </x:c>
      <x:c r="L1286" s="580" t="n">
        <x:v>650</x:v>
      </x:c>
      <x:c r="M1286" s="7" t="n">
        <x:f>IF('01_Ustawienia'!$B$4="ZWOLNIONY",0,'01_Ustawienia'!$B$7)</x:f>
        <x:v>0.08</x:v>
      </x:c>
      <x:c r="N1286" s="8" t="n">
        <x:f>IF(J1286="","",ROUND((J1286+K1286)*(1+M1286),0))</x:f>
        <x:v>4376</x:v>
      </x:c>
      <x:c r="O1286" s="8" t="n">
        <x:f>IF(J1286="","",J1286+K1286-H1286-L1286)</x:f>
        <x:v>1874</x:v>
      </x:c>
      <x:c r="P1286" s="7" t="n">
        <x:f>IFERROR(O1286/(J1286+K1286),"")</x:f>
        <x:v>0.4624876604146101</x:v>
      </x:c>
      <x:c r="Q1286" s="6" t="inlineStr">
        <x:is>
          <x:t xml:space="preserve">RAW_OP AB/AC</x:t>
        </x:is>
      </x:c>
      <x:c r="R1286" s="6" t="inlineStr">
        <x:is>
          <x:t xml:space="preserve">FUNDAMENT (PROFILE)</x:t>
        </x:is>
      </x:c>
      <x:c r="S1286" s="6" t="inlineStr">
        <x:is>
          <x:t xml:space="preserve">website+crm</x:t>
        </x:is>
      </x:c>
      <x:c r="T1286" s="581" t="inlineStr">
        <x:is>
          <x:t xml:space="preserve">FIX11: K/L 550/600 wg ark. 09 (UZUPEŁNIĆ K+L / KOREKTA RENTOWNOŚCI).</x:t>
        </x:is>
      </x:c>
    </x:row>
    <x:row r="1287" s="655" customFormat="1" ht="30" customHeight="1">
      <x:c r="A1287" s="6" t="inlineStr">
        <x:is>
          <x:t xml:space="preserve">600 x 1006 cm</x:t>
        </x:is>
      </x:c>
      <x:c r="B1287" s="6" t="inlineStr">
        <x:is>
          <x:t xml:space="preserve">ZAB</x:t>
        </x:is>
      </x:c>
      <x:c r="C1287" s="6" t="inlineStr">
        <x:is>
          <x:t xml:space="preserve">Zabieraki do ścian przesuwnych</x:t>
        </x:is>
      </x:c>
      <x:c r="D1287" s="6" t="inlineStr">
        <x:is>
          <x:t xml:space="preserve">DODATKI</x:t>
        </x:is>
      </x:c>
      <x:c r="E1287" s="8" t="n">
        <x:f>IFERROR(INDEX('02_RAW_INDEX'!$AJ:$AJ,MATCH($A1287,'02_RAW_INDEX'!$A:$A,0)),"")</x:f>
        <x:v>553</x:v>
      </x:c>
      <x:c r="F1287" s="8" t="n">
        <x:f>IFERROR(INDEX('02_RAW_INDEX'!$AI:$AI,MATCH($A1287,'02_RAW_INDEX'!$A:$A,0)),"")</x:f>
        <x:v>680</x:v>
      </x:c>
      <x:c r="G1287" s="7" t="n">
        <x:f>'01_Ustawienia'!$B$6</x:f>
        <x:v>0</x:v>
      </x:c>
      <x:c r="H1287" s="8" t="n">
        <x:f>IF(E1287="","",ROUND(IF('01_Ustawienia'!$B$5="BRUTTO",F1287,E1287)*(1-G1287),0))</x:f>
        <x:v>553</x:v>
      </x:c>
      <x:c r="I1287" s="7" t="n">
        <x:f>IFERROR(IFERROR(INDEX('01_Ustawienia'!$B$15:$B$33,MATCH(B1287,'01_Ustawienia'!$A$15:$A$33,0)),0.45),0.45)</x:f>
        <x:v>0.45</x:v>
      </x:c>
      <x:c r="J1287" s="8" t="n">
        <x:f>IF(H1287="","",ROUND(H1287*(1+I1287),0))</x:f>
        <x:v>802</x:v>
      </x:c>
      <x:c r="K1287" s="582" t="n">
        <x:v>0</x:v>
      </x:c>
      <x:c r="L1287" s="582" t="n">
        <x:v>0</x:v>
      </x:c>
      <x:c r="M1287" s="7" t="n">
        <x:f>IF('01_Ustawienia'!$B$4="ZWOLNIONY",0,'01_Ustawienia'!$B$7)</x:f>
        <x:v>0.08</x:v>
      </x:c>
      <x:c r="N1287" s="8" t="n">
        <x:f>IF(J1287="","",ROUND((J1287+K1287)*(1+M1287),0))</x:f>
        <x:v>866</x:v>
      </x:c>
      <x:c r="O1287" s="8" t="n">
        <x:f>IF(J1287="","",J1287+K1287-H1287-L1287)</x:f>
        <x:v>249</x:v>
      </x:c>
      <x:c r="P1287" s="7" t="n">
        <x:f>IFERROR(O1287/(J1287+K1287),"")</x:f>
        <x:v>0.3104738154613466</x:v>
      </x:c>
      <x:c r="Q1287" s="6" t="inlineStr">
        <x:is>
          <x:t xml:space="preserve">RAW_OP AD/AE</x:t>
        </x:is>
      </x:c>
      <x:c r="R1287" s="6" t="inlineStr">
        <x:is>
          <x:t xml:space="preserve">DODATKI</x:t>
        </x:is>
      </x:c>
      <x:c r="S1287" s="6" t="inlineStr">
        <x:is>
          <x:t xml:space="preserve">crm_only</x:t>
        </x:is>
      </x:c>
      <x:c r="T1287" s="581" t="inlineStr">
        <x:is>
          <x:t xml:space="preserve">FIX11: K/L 550/600 wg ark. 09 (POZOSTAWIĆ 0).</x:t>
        </x:is>
      </x:c>
    </x:row>
    <x:row r="1288" s="655" customFormat="1" ht="29.5" customHeight="1">
      <x:c r="A1288" s="6" t="inlineStr">
        <x:is>
          <x:t xml:space="preserve">600 x 1006 cm</x:t>
        </x:is>
      </x:c>
      <x:c r="B1288" s="6" t="inlineStr">
        <x:is>
          <x:t xml:space="preserve">S</x:t>
        </x:is>
      </x:c>
      <x:c r="C1288" s="6" t="inlineStr">
        <x:is>
          <x:t xml:space="preserve">Szczotki przeciwkurzowe</x:t>
        </x:is>
      </x:c>
      <x:c r="D1288" s="6" t="inlineStr">
        <x:is>
          <x:t xml:space="preserve">SZCZOTKI</x:t>
        </x:is>
      </x:c>
      <x:c r="E1288" s="8" t="n">
        <x:f>IFERROR(INDEX('02_RAW_INDEX'!$AD:$AD,MATCH($A1288,'02_RAW_INDEX'!$A:$A,0)),"")</x:f>
        <x:v>618</x:v>
      </x:c>
      <x:c r="F1288" s="8" t="n">
        <x:f>IFERROR(INDEX('02_RAW_INDEX'!$AC:$AC,MATCH($A1288,'02_RAW_INDEX'!$A:$A,0)),"")</x:f>
        <x:v>760</x:v>
      </x:c>
      <x:c r="G1288" s="7" t="n">
        <x:f>'01_Ustawienia'!$B$6</x:f>
        <x:v>0</x:v>
      </x:c>
      <x:c r="H1288" s="8" t="n">
        <x:f>IF(E1288="","",ROUND(IF('01_Ustawienia'!$B$5="BRUTTO",F1288,E1288)*(1-G1288),0))</x:f>
        <x:v>618</x:v>
      </x:c>
      <x:c r="I1288" s="7" t="n">
        <x:f>IFERROR(IFERROR(INDEX('01_Ustawienia'!$B$15:$B$33,MATCH(B1288,'01_Ustawienia'!$A$15:$A$33,0)),0.45),0.45)</x:f>
        <x:v>0.45</x:v>
      </x:c>
      <x:c r="J1288" s="8" t="n">
        <x:f>IF(H1288="","",ROUND(H1288*(1+I1288),0))</x:f>
        <x:v>896</x:v>
      </x:c>
      <x:c r="K1288" s="582" t="n">
        <x:v>0</x:v>
      </x:c>
      <x:c r="L1288" s="582" t="n">
        <x:v>0</x:v>
      </x:c>
      <x:c r="M1288" s="7" t="n">
        <x:f>IF('01_Ustawienia'!$B$4="ZWOLNIONY",0,'01_Ustawienia'!$B$7)</x:f>
        <x:v>0.08</x:v>
      </x:c>
      <x:c r="N1288" s="8" t="n">
        <x:f>IF(J1288="","",ROUND((J1288+K1288)*(1+M1288),0))</x:f>
        <x:v>968</x:v>
      </x:c>
      <x:c r="O1288" s="8" t="n">
        <x:f>IF(J1288="","",J1288+K1288-H1288-L1288)</x:f>
        <x:v>278</x:v>
      </x:c>
      <x:c r="P1288" s="7" t="n">
        <x:f>IFERROR(O1288/(J1288+K1288),"")</x:f>
        <x:v>0.31026785714285715</x:v>
      </x:c>
      <x:c r="Q1288" s="6" t="inlineStr">
        <x:is>
          <x:t xml:space="preserve">RAW_OP L/M</x:t>
        </x:is>
      </x:c>
      <x:c r="R1288" s="6" t="inlineStr">
        <x:is>
          <x:t xml:space="preserve">DODATKI</x:t>
        </x:is>
      </x:c>
      <x:c r="S1288" s="6" t="inlineStr">
        <x:is>
          <x:t xml:space="preserve">website+crm</x:t>
        </x:is>
      </x:c>
      <x:c r="T1288" s="581" t="inlineStr">
        <x:is>
          <x:t xml:space="preserve">FIX11: K/L 550/600 wg ark. 09 (POZOSTAWIĆ 0).</x:t>
        </x:is>
      </x:c>
    </x:row>
    <x:row r="1289" s="655" customFormat="1" ht="29.5" customHeight="1">
      <x:c r="A1289" s="6" t="inlineStr">
        <x:is>
          <x:t xml:space="preserve">600 x 1006 cm</x:t>
        </x:is>
      </x:c>
      <x:c r="B1289" s="6" t="inlineStr">
        <x:is>
          <x:t xml:space="preserve">U</x:t>
        </x:is>
      </x:c>
      <x:c r="C1289" s="6" t="inlineStr">
        <x:is>
          <x:t xml:space="preserve">Uchwyty na szkło ścienne</x:t>
        </x:is>
      </x:c>
      <x:c r="D1289" s="6" t="inlineStr">
        <x:is>
          <x:t xml:space="preserve">UCHWYTY</x:t>
        </x:is>
      </x:c>
      <x:c r="E1289" s="8" t="n">
        <x:f>IFERROR(INDEX('02_RAW_INDEX'!$AF:$AF,MATCH($A1289,'02_RAW_INDEX'!$A:$A,0)),"")</x:f>
        <x:v>561</x:v>
      </x:c>
      <x:c r="F1289" s="8" t="n">
        <x:f>IFERROR(INDEX('02_RAW_INDEX'!$AE:$AE,MATCH($A1289,'02_RAW_INDEX'!$A:$A,0)),"")</x:f>
        <x:v>690</x:v>
      </x:c>
      <x:c r="G1289" s="7" t="n">
        <x:f>'01_Ustawienia'!$B$6</x:f>
        <x:v>0</x:v>
      </x:c>
      <x:c r="H1289" s="8" t="n">
        <x:f>IF(E1289="","",ROUND(IF('01_Ustawienia'!$B$5="BRUTTO",F1289,E1289)*(1-G1289),0))</x:f>
        <x:v>561</x:v>
      </x:c>
      <x:c r="I1289" s="7" t="n">
        <x:f>IFERROR(IFERROR(INDEX('01_Ustawienia'!$B$15:$B$33,MATCH(B1289,'01_Ustawienia'!$A$15:$A$33,0)),0.45),0.45)</x:f>
        <x:v>0.45</x:v>
      </x:c>
      <x:c r="J1289" s="8" t="n">
        <x:f>IF(H1289="","",ROUND(H1289*(1+I1289),0))</x:f>
        <x:v>813</x:v>
      </x:c>
      <x:c r="K1289" s="582" t="n">
        <x:v>0</x:v>
      </x:c>
      <x:c r="L1289" s="582" t="n">
        <x:v>0</x:v>
      </x:c>
      <x:c r="M1289" s="7" t="n">
        <x:f>IF('01_Ustawienia'!$B$4="ZWOLNIONY",0,'01_Ustawienia'!$B$7)</x:f>
        <x:v>0.08</x:v>
      </x:c>
      <x:c r="N1289" s="8" t="n">
        <x:f>IF(J1289="","",ROUND((J1289+K1289)*(1+M1289),0))</x:f>
        <x:v>878</x:v>
      </x:c>
      <x:c r="O1289" s="8" t="n">
        <x:f>IF(J1289="","",J1289+K1289-H1289-L1289)</x:f>
        <x:v>252</x:v>
      </x:c>
      <x:c r="P1289" s="7" t="n">
        <x:f>IFERROR(O1289/(J1289+K1289),"")</x:f>
        <x:v>0.30996309963099633</x:v>
      </x:c>
      <x:c r="Q1289" s="6" t="inlineStr">
        <x:is>
          <x:t xml:space="preserve">RAW_OP N/O</x:t>
        </x:is>
      </x:c>
      <x:c r="R1289" s="6" t="inlineStr">
        <x:is>
          <x:t xml:space="preserve">DODATKI</x:t>
        </x:is>
      </x:c>
      <x:c r="S1289" s="6" t="inlineStr">
        <x:is>
          <x:t xml:space="preserve">website+crm</x:t>
        </x:is>
      </x:c>
      <x:c r="T1289" s="581" t="inlineStr">
        <x:is>
          <x:t xml:space="preserve">FIX11: K/L 550/600 wg ark. 09 (POZOSTAWIĆ 0).</x:t>
        </x:is>
      </x:c>
    </x:row>
    <x:row r="1290" s="655" customFormat="1" ht="29.5" customHeight="1">
      <x:c r="A1290" s="6" t="inlineStr">
        <x:is>
          <x:t xml:space="preserve">600 x 1006 cm</x:t>
        </x:is>
      </x:c>
      <x:c r="B1290" s="6" t="inlineStr">
        <x:is>
          <x:t xml:space="preserve">LED2</x:t>
        </x:is>
      </x:c>
      <x:c r="C1290" s="6" t="inlineStr">
        <x:is>
          <x:t xml:space="preserve">Oświetlenie LED 2 punkty</x:t>
        </x:is>
      </x:c>
      <x:c r="D1290" s="6" t="inlineStr">
        <x:is>
          <x:t xml:space="preserve">LED 2 PKT</x:t>
        </x:is>
      </x:c>
      <x:c r="E1290" s="8" t="n">
        <x:f>IFERROR(INDEX('02_RAW_INDEX'!$N:$N,MATCH($A1290,'02_RAW_INDEX'!$A:$A,0)),"")</x:f>
        <x:v>1000</x:v>
      </x:c>
      <x:c r="F1290" s="8" t="n">
        <x:f>IFERROR(INDEX('02_RAW_INDEX'!$M:$M,MATCH($A1290,'02_RAW_INDEX'!$A:$A,0)),"")</x:f>
        <x:v>1230</x:v>
      </x:c>
      <x:c r="G1290" s="7" t="n">
        <x:f>'01_Ustawienia'!$B$6</x:f>
        <x:v>0</x:v>
      </x:c>
      <x:c r="H1290" s="8" t="n">
        <x:f>IF(E1290="","",ROUND(IF('01_Ustawienia'!$B$5="BRUTTO",F1290,E1290)*(1-G1290),0))</x:f>
        <x:v>1000</x:v>
      </x:c>
      <x:c r="I1290" s="7" t="n">
        <x:f>IFERROR(IFERROR(INDEX('01_Ustawienia'!$B$15:$B$33,MATCH(B1290,'01_Ustawienia'!$A$15:$A$33,0)),0.45),0.45)</x:f>
        <x:v>0.45</x:v>
      </x:c>
      <x:c r="J1290" s="8" t="n">
        <x:f>IF(H1290="","",ROUND(H1290*(1+I1290),0))</x:f>
        <x:v>1450</x:v>
      </x:c>
      <x:c r="K1290" s="582" t="n">
        <x:v>0</x:v>
      </x:c>
      <x:c r="L1290" s="582" t="n">
        <x:v>0</x:v>
      </x:c>
      <x:c r="M1290" s="7" t="n">
        <x:f>IF('01_Ustawienia'!$B$4="ZWOLNIONY",0,'01_Ustawienia'!$B$7)</x:f>
        <x:v>0.08</x:v>
      </x:c>
      <x:c r="N1290" s="8" t="n">
        <x:f>IF(J1290="","",ROUND((J1290+K1290)*(1+M1290),0))</x:f>
        <x:v>1566</x:v>
      </x:c>
      <x:c r="O1290" s="8" t="n">
        <x:f>IF(J1290="","",J1290+K1290-H1290-L1290)</x:f>
        <x:v>450</x:v>
      </x:c>
      <x:c r="P1290" s="7" t="n">
        <x:f>IFERROR(O1290/(J1290+K1290),"")</x:f>
        <x:v>0.3103448275862069</x:v>
      </x:c>
      <x:c r="Q1290" s="6" t="inlineStr">
        <x:is>
          <x:t xml:space="preserve">RAW_ZP P/Q</x:t>
        </x:is>
      </x:c>
      <x:c r="R1290" s="6" t="inlineStr">
        <x:is>
          <x:t xml:space="preserve">OŚWIETLENIE</x:t>
        </x:is>
      </x:c>
      <x:c r="S1290" s="6" t="inlineStr">
        <x:is>
          <x:t xml:space="preserve">website+crm</x:t>
        </x:is>
      </x:c>
      <x:c r="T1290" s="581" t="inlineStr">
        <x:is>
          <x:t xml:space="preserve">FIX11: K/L 550/600 wg ark. 09 (POZOSTAWIĆ 0 NA RAZIE).</x:t>
        </x:is>
      </x:c>
    </x:row>
    <x:row r="1291" s="655" customFormat="1" ht="44.25" customHeight="1">
      <x:c r="A1291" s="6" t="inlineStr">
        <x:is>
          <x:t xml:space="preserve">600 x 1006 cm</x:t>
        </x:is>
      </x:c>
      <x:c r="B1291" s="6" t="inlineStr">
        <x:is>
          <x:t xml:space="preserve">LED3</x:t>
        </x:is>
      </x:c>
      <x:c r="C1291" s="6" t="inlineStr">
        <x:is>
          <x:t xml:space="preserve">Oświetlenie LED 3 punkty</x:t>
        </x:is>
      </x:c>
      <x:c r="D1291" s="6" t="inlineStr">
        <x:is>
          <x:t xml:space="preserve">LED 3 PKT</x:t>
        </x:is>
      </x:c>
      <x:c r="E1291" s="8" t="n">
        <x:f>IFERROR(INDEX('02_RAW_INDEX'!$P:$P,MATCH($A1291,'02_RAW_INDEX'!$A:$A,0)),"")</x:f>
        <x:v>1341</x:v>
      </x:c>
      <x:c r="F1291" s="8" t="n">
        <x:f>IFERROR(INDEX('02_RAW_INDEX'!$O:$O,MATCH($A1291,'02_RAW_INDEX'!$A:$A,0)),"")</x:f>
        <x:v>1650</x:v>
      </x:c>
      <x:c r="G1291" s="7" t="n">
        <x:f>'01_Ustawienia'!$B$6</x:f>
        <x:v>0</x:v>
      </x:c>
      <x:c r="H1291" s="8" t="n">
        <x:f>IF(E1291="","",ROUND(IF('01_Ustawienia'!$B$5="BRUTTO",F1291,E1291)*(1-G1291),0))</x:f>
        <x:v>1341</x:v>
      </x:c>
      <x:c r="I1291" s="7" t="n">
        <x:f>IFERROR(IFERROR(INDEX('01_Ustawienia'!$B$15:$B$33,MATCH(B1291,'01_Ustawienia'!$A$15:$A$33,0)),0.45),0.45)</x:f>
        <x:v>0.45</x:v>
      </x:c>
      <x:c r="J1291" s="8" t="n">
        <x:f>IF(H1291="","",ROUND(H1291*(1+I1291),0))</x:f>
        <x:v>1944</x:v>
      </x:c>
      <x:c r="K1291" s="582" t="n">
        <x:v>0</x:v>
      </x:c>
      <x:c r="L1291" s="582" t="n">
        <x:v>0</x:v>
      </x:c>
      <x:c r="M1291" s="7" t="n">
        <x:f>IF('01_Ustawienia'!$B$4="ZWOLNIONY",0,'01_Ustawienia'!$B$7)</x:f>
        <x:v>0.08</x:v>
      </x:c>
      <x:c r="N1291" s="8" t="n">
        <x:f>IF(J1291="","",ROUND((J1291+K1291)*(1+M1291),0))</x:f>
        <x:v>2100</x:v>
      </x:c>
      <x:c r="O1291" s="8" t="n">
        <x:f>IF(J1291="","",J1291+K1291-H1291-L1291)</x:f>
        <x:v>603</x:v>
      </x:c>
      <x:c r="P1291" s="7" t="n">
        <x:f>IFERROR(O1291/(J1291+K1291),"")</x:f>
        <x:v>0.3101851851851852</x:v>
      </x:c>
      <x:c r="Q1291" s="6" t="inlineStr">
        <x:is>
          <x:t xml:space="preserve">RAW_ZP R/S</x:t>
        </x:is>
      </x:c>
      <x:c r="R1291" s="6" t="inlineStr">
        <x:is>
          <x:t xml:space="preserve">OŚWIETLENIE</x:t>
        </x:is>
      </x:c>
      <x:c r="S1291" s="6" t="inlineStr">
        <x:is>
          <x:t xml:space="preserve">website+crm</x:t>
        </x:is>
      </x:c>
      <x:c r="T1291" s="581" t="inlineStr">
        <x:is>
          <x:t xml:space="preserve">Nazwa do potwierdzenia | FIX11: K/L 550/600 wg ark. 09 (POZOSTAWIĆ 0 NA RAZIE).</x:t>
        </x:is>
      </x:c>
    </x:row>
    <x:row r="1292" s="655" customFormat="1" ht="29.5" customHeight="1">
      <x:c r="A1292" s="6" t="inlineStr">
        <x:is>
          <x:t xml:space="preserve">600 x 1006 cm</x:t>
        </x:is>
      </x:c>
      <x:c r="B1292" s="6" t="inlineStr">
        <x:is>
          <x:t xml:space="preserve">LEDCCT</x:t>
        </x:is>
      </x:c>
      <x:c r="C1292" s="6" t="inlineStr">
        <x:is>
          <x:t xml:space="preserve">Oświetlenie LED CCT</x:t>
        </x:is>
      </x:c>
      <x:c r="D1292" s="6" t="inlineStr">
        <x:is>
          <x:t xml:space="preserve">OŚWIETLENIE</x:t>
        </x:is>
      </x:c>
      <x:c r="E1292" s="8" t="n">
        <x:f>IFERROR(INDEX('02_RAW_INDEX'!$R:$R,MATCH($A1292,'02_RAW_INDEX'!$A:$A,0)),"")</x:f>
        <x:v>3014</x:v>
      </x:c>
      <x:c r="F1292" s="8" t="n">
        <x:f>IFERROR(INDEX('02_RAW_INDEX'!$Q:$Q,MATCH($A1292,'02_RAW_INDEX'!$A:$A,0)),"")</x:f>
        <x:v>3707</x:v>
      </x:c>
      <x:c r="G1292" s="7" t="n">
        <x:f>'01_Ustawienia'!$B$6</x:f>
        <x:v>0</x:v>
      </x:c>
      <x:c r="H1292" s="8" t="n">
        <x:f>IF(E1292="","",ROUND(IF('01_Ustawienia'!$B$5="BRUTTO",F1292,E1292)*(1-G1292),0))</x:f>
        <x:v>3014</x:v>
      </x:c>
      <x:c r="I1292" s="7" t="n">
        <x:f>IFERROR(IFERROR(INDEX('01_Ustawienia'!$B$15:$B$33,MATCH(B1292,'01_Ustawienia'!$A$15:$A$33,0)),0.45),0.45)</x:f>
        <x:v>0.45</x:v>
      </x:c>
      <x:c r="J1292" s="8" t="n">
        <x:f>IF(H1292="","",ROUND(H1292*(1+I1292),0)+700)</x:f>
        <x:v>5070</x:v>
      </x:c>
      <x:c r="K1292" s="582" t="n">
        <x:v>0</x:v>
      </x:c>
      <x:c r="L1292" s="582" t="n">
        <x:v>0</x:v>
      </x:c>
      <x:c r="M1292" s="7" t="n">
        <x:f>IF('01_Ustawienia'!$B$4="ZWOLNIONY",0,'01_Ustawienia'!$B$7)</x:f>
        <x:v>0.08</x:v>
      </x:c>
      <x:c r="N1292" s="8" t="n">
        <x:f>IF(J1292="","",ROUND((J1292+K1292)*(1+M1292),0))</x:f>
        <x:v>5476</x:v>
      </x:c>
      <x:c r="O1292" s="8" t="n">
        <x:f>IF(J1292="","",J1292+K1292-H1292-L1292)</x:f>
        <x:v>2056</x:v>
      </x:c>
      <x:c r="P1292" s="7" t="n">
        <x:f>IFERROR(O1292/(J1292+K1292),"")</x:f>
        <x:v>0.40552268244575934</x:v>
      </x:c>
      <x:c r="Q1292" s="715" t="inlineStr">
        <x:is>
          <x:t xml:space="preserve">MODEL_FIX15_LED</x:t>
        </x:is>
      </x:c>
      <x:c r="R1292" s="6" t="inlineStr">
        <x:is>
          <x:t xml:space="preserve">OŚWIETLENIE</x:t>
        </x:is>
      </x:c>
      <x:c r="S1292" s="6" t="inlineStr">
        <x:is>
          <x:t xml:space="preserve">website+crm</x:t>
        </x:is>
      </x:c>
      <x:c r="T1292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293" s="655" customFormat="1" ht="29.5" customHeight="1">
      <x:c r="A1293" s="6" t="inlineStr">
        <x:is>
          <x:t xml:space="preserve">600 x 1006 cm</x:t>
        </x:is>
      </x:c>
      <x:c r="B1293" s="6" t="inlineStr">
        <x:is>
          <x:t xml:space="preserve">LEDRGBCCT</x:t>
        </x:is>
      </x:c>
      <x:c r="C1293" s="6" t="inlineStr">
        <x:is>
          <x:t xml:space="preserve">Oświetlenie LED RGB CCT</x:t>
        </x:is>
      </x:c>
      <x:c r="D1293" s="6" t="inlineStr">
        <x:is>
          <x:t xml:space="preserve">OŚWIETLENIE</x:t>
        </x:is>
      </x:c>
      <x:c r="E1293" s="8" t="n">
        <x:f>IFERROR(INDEX('02_RAW_INDEX'!$T:$T,MATCH($A1293,'02_RAW_INDEX'!$A:$A,0)),"")</x:f>
        <x:v>4554</x:v>
      </x:c>
      <x:c r="F1293" s="8" t="n">
        <x:f>IFERROR(INDEX('02_RAW_INDEX'!$S:$S,MATCH($A1293,'02_RAW_INDEX'!$A:$A,0)),"")</x:f>
        <x:v>5601</x:v>
      </x:c>
      <x:c r="G1293" s="7" t="n">
        <x:f>'01_Ustawienia'!$B$6</x:f>
        <x:v>0</x:v>
      </x:c>
      <x:c r="H1293" s="8" t="n">
        <x:f>IF(E1293="","",ROUND(IF('01_Ustawienia'!$B$5="BRUTTO",F1293,E1293)*(1-G1293),0))</x:f>
        <x:v>4554</x:v>
      </x:c>
      <x:c r="I1293" s="7" t="n">
        <x:f>IFERROR(IFERROR(INDEX('01_Ustawienia'!$B$15:$B$33,MATCH(B1293,'01_Ustawienia'!$A$15:$A$33,0)),0.45),0.45)</x:f>
        <x:v>0.45</x:v>
      </x:c>
      <x:c r="J1293" s="8" t="n">
        <x:f>IF(H1293="","",ROUND(H1293*(1+I1293),0))</x:f>
        <x:v>6603</x:v>
      </x:c>
      <x:c r="K1293" s="582" t="n">
        <x:v>0</x:v>
      </x:c>
      <x:c r="L1293" s="582" t="n">
        <x:v>0</x:v>
      </x:c>
      <x:c r="M1293" s="7" t="n">
        <x:f>IF('01_Ustawienia'!$B$4="ZWOLNIONY",0,'01_Ustawienia'!$B$7)</x:f>
        <x:v>0.08</x:v>
      </x:c>
      <x:c r="N1293" s="8" t="n">
        <x:f>IF(J1293="","",ROUND((J1293+K1293)*(1+M1293),0))</x:f>
        <x:v>7131</x:v>
      </x:c>
      <x:c r="O1293" s="8" t="n">
        <x:f>IF(J1293="","",J1293+K1293-H1293-L1293)</x:f>
        <x:v>2049</x:v>
      </x:c>
      <x:c r="P1293" s="7" t="n">
        <x:f>IFERROR(O1293/(J1293+K1293),"")</x:f>
        <x:v>0.3103134938664244</x:v>
      </x:c>
      <x:c r="Q1293" s="715" t="inlineStr">
        <x:is>
          <x:t xml:space="preserve">MODEL_FIX15_LED</x:t>
        </x:is>
      </x:c>
      <x:c r="R1293" s="6" t="inlineStr">
        <x:is>
          <x:t xml:space="preserve">OŚWIETLENIE</x:t>
        </x:is>
      </x:c>
      <x:c r="S1293" s="6" t="inlineStr">
        <x:is>
          <x:t xml:space="preserve">crm_only</x:t>
        </x:is>
      </x:c>
      <x:c r="T1293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294" s="655" customFormat="1" ht="30" customHeight="1">
      <x:c r="A1294" s="6" t="inlineStr">
        <x:is>
          <x:t xml:space="preserve">600 x 1106 cm</x:t>
        </x:is>
      </x:c>
      <x:c r="B1294" s="6" t="inlineStr">
        <x:is>
          <x:t xml:space="preserve">ZP</x:t>
        </x:is>
      </x:c>
      <x:c r="C1294" s="6" t="inlineStr">
        <x:is>
          <x:t xml:space="preserve">Zadaszenie poliwęglan - baza</x:t>
        </x:is>
      </x:c>
      <x:c r="D1294" s="6" t="inlineStr">
        <x:is>
          <x:t xml:space="preserve">ZADASZENIE POLIWĘGLAN</x:t>
        </x:is>
      </x:c>
      <x:c r="E1294" s="8" t="n">
        <x:f>IFERROR(INDEX('02_RAW_INDEX'!$D:$D,MATCH($A1294,'02_RAW_INDEX'!$A:$A,0)),"")</x:f>
        <x:v>30911</x:v>
      </x:c>
      <x:c r="F1294" s="8" t="n">
        <x:f>IFERROR(INDEX('02_RAW_INDEX'!$C:$C,MATCH($A1294,'02_RAW_INDEX'!$A:$A,0)),"")</x:f>
        <x:v>38020</x:v>
      </x:c>
      <x:c r="G1294" s="7" t="n">
        <x:f>'01_Ustawienia'!$B$6</x:f>
        <x:v>0</x:v>
      </x:c>
      <x:c r="H1294" s="8" t="n">
        <x:f>IF(E1294="","",ROUND(IF('01_Ustawienia'!$B$5="BRUTTO",F1294,E1294)*(1-G1294),0))</x:f>
        <x:v>30911</x:v>
      </x:c>
      <x:c r="I1294" s="7" t="n">
        <x:f>IFERROR(IFERROR(INDEX('01_Ustawienia'!$B$15:$B$33,MATCH(B1294,'01_Ustawienia'!$A$15:$A$33,0)),0.45),0.45)</x:f>
        <x:v>0.45</x:v>
      </x:c>
      <x:c r="J1294" s="8" t="n">
        <x:f>IF(H1294="","",ROUND(H1294*(1+I1294),0))</x:f>
        <x:v>44821</x:v>
      </x:c>
      <x:c r="K1294" s="580" t="n">
        <x:v>6630</x:v>
      </x:c>
      <x:c r="L1294" s="580" t="n">
        <x:v>2240</x:v>
      </x:c>
      <x:c r="M1294" s="7" t="n">
        <x:f>IF('01_Ustawienia'!$B$4="ZWOLNIONY",0,'01_Ustawienia'!$B$7)</x:f>
        <x:v>0.08</x:v>
      </x:c>
      <x:c r="N1294" s="8" t="n">
        <x:f>IF(J1294="","",ROUND((J1294+K1294)*(1+M1294),0))</x:f>
        <x:v>55567</x:v>
      </x:c>
      <x:c r="O1294" s="8" t="n">
        <x:f>IF(J1294="","",J1294+K1294-H1294-L1294)</x:f>
        <x:v>18300</x:v>
      </x:c>
      <x:c r="P1294" s="7" t="n">
        <x:f>IFERROR(O1294/(J1294+K1294),"")</x:f>
        <x:v>0.35567821811043515</x:v>
      </x:c>
      <x:c r="Q1294" s="6" t="inlineStr">
        <x:is>
          <x:t xml:space="preserve">RAW_ZP B/C</x:t>
        </x:is>
      </x:c>
      <x:c r="R1294" s="6" t="inlineStr">
        <x:is>
          <x:t xml:space="preserve">ZADASZENIE TARASU KONSTRUKCJA</x:t>
        </x:is>
      </x:c>
      <x:c r="S1294" s="6" t="inlineStr">
        <x:is>
          <x:t xml:space="preserve">website+crm</x:t>
        </x:is>
      </x:c>
      <x:c r="T1294" s="581" t="inlineStr">
        <x:is>
          <x:t xml:space="preserve">Baza dla kalkulatora | FIX11: K/L 550/600 wg ark. 09 (UZUPEŁNIĆ).</x:t>
        </x:is>
      </x:c>
    </x:row>
    <x:row r="1295" s="655" customFormat="1" ht="30" customHeight="1">
      <x:c r="A1295" s="6" t="inlineStr">
        <x:is>
          <x:t xml:space="preserve">600 x 1106 cm</x:t>
        </x:is>
      </x:c>
      <x:c r="B1295" s="6" t="inlineStr">
        <x:is>
          <x:t xml:space="preserve">ZS</x:t>
        </x:is>
      </x:c>
      <x:c r="C1295" s="6" t="inlineStr">
        <x:is>
          <x:t xml:space="preserve">Zadaszenie szkło - pełna konstrukcja</x:t>
        </x:is>
      </x:c>
      <x:c r="D1295" s="6" t="inlineStr">
        <x:is>
          <x:t xml:space="preserve">ZADASZENIE SZKŁO</x:t>
        </x:is>
      </x:c>
      <x:c r="E1295" s="8" t="str">
        <x:f>IFERROR(INDEX('02_RAW_INDEX'!$V:$V,MATCH($A1295,'02_RAW_INDEX'!$A:$A,0)),"")</x:f>
      </x:c>
      <x:c r="F1295" s="8" t="str">
        <x:f>IFERROR(INDEX('02_RAW_INDEX'!$U:$U,MATCH($A1295,'02_RAW_INDEX'!$A:$A,0)),"")</x:f>
      </x:c>
      <x:c r="G1295" s="7" t="n">
        <x:f>'01_Ustawienia'!$B$6</x:f>
        <x:v>0</x:v>
      </x:c>
      <x:c r="H1295" s="8" t="str">
        <x:f>IF(E1295="","",ROUND(IF('01_Ustawienia'!$B$5="BRUTTO",F1295,E1295)*(1-G1295),0))</x:f>
      </x:c>
      <x:c r="I1295" s="7" t="n">
        <x:f>IFERROR(IFERROR(INDEX('01_Ustawienia'!$B$15:$B$33,MATCH(B1295,'01_Ustawienia'!$A$15:$A$33,0)),0.45),0.45)</x:f>
        <x:v>0.45</x:v>
      </x:c>
      <x:c r="J1295" s="8" t="str">
        <x:f>IF(H1295="","",ROUND(H1295*(1+I1295),0))</x:f>
      </x:c>
      <x:c r="K1295" s="580" t="n">
        <x:v>6630</x:v>
      </x:c>
      <x:c r="L1295" s="580" t="n">
        <x:v>2850</x:v>
      </x:c>
      <x:c r="M1295" s="7" t="n">
        <x:f>IF('01_Ustawienia'!$B$4="ZWOLNIONY",0,'01_Ustawienia'!$B$7)</x:f>
        <x:v>0.08</x:v>
      </x:c>
      <x:c r="N1295" s="8" t="str">
        <x:f>IF(J1295="","",ROUND((J1295+K1295)*(1+M1295),0))</x:f>
      </x:c>
      <x:c r="O1295" s="8" t="str">
        <x:f>IF(J1295="","",J1295+K1295-H1295-L1295)</x:f>
      </x:c>
      <x:c r="P1295" s="7" t="n">
        <x:f>IFERROR(O1295/(J1295+K1295),"")</x:f>
        <x:v>0</x:v>
      </x:c>
      <x:c r="Q1295" s="6" t="inlineStr">
        <x:is>
          <x:t xml:space="preserve">RAW_ZS B/C</x:t>
        </x:is>
      </x:c>
      <x:c r="R1295" s="6" t="inlineStr">
        <x:is>
          <x:t xml:space="preserve">ZADASZENIE TARASU KONSTRUKCJA</x:t>
        </x:is>
      </x:c>
      <x:c r="S1295" s="6" t="inlineStr">
        <x:is>
          <x:t xml:space="preserve">crm_only</x:t>
        </x:is>
      </x:c>
      <x:c r="T1295" s="581" t="inlineStr">
        <x:is>
          <x:t xml:space="preserve">Referencyjne/full; strona zwykle używa ZP + PDS | FIX11: K/L 550/600 wg ark. 09 (NIE PUBLIKOWAĆ / BRAK RAW_ZS).</x:t>
        </x:is>
      </x:c>
    </x:row>
    <x:row r="1296" s="655" customFormat="1" ht="30" customHeight="1">
      <x:c r="A1296" s="6" t="inlineStr">
        <x:is>
          <x:t xml:space="preserve">600 x 1106 cm</x:t>
        </x:is>
      </x:c>
      <x:c r="B1296" s="6" t="inlineStr">
        <x:is>
          <x:t xml:space="preserve">OP</x:t>
        </x:is>
      </x:c>
      <x:c r="C1296" s="6" t="inlineStr">
        <x:is>
          <x:t xml:space="preserve">Ogród zimowy poliwęglan - baza</x:t>
        </x:is>
      </x:c>
      <x:c r="D1296" s="6" t="inlineStr">
        <x:is>
          <x:t xml:space="preserve">OGRODY POLIWĘGLAN</x:t>
        </x:is>
      </x:c>
      <x:c r="E1296" s="8" t="n">
        <x:f>IFERROR(INDEX('02_RAW_INDEX'!$Z:$Z,MATCH($A1296,'02_RAW_INDEX'!$A:$A,0)),"")</x:f>
        <x:v>50073</x:v>
      </x:c>
      <x:c r="F1296" s="8" t="n">
        <x:f>IFERROR(INDEX('02_RAW_INDEX'!$Y:$Y,MATCH($A1296,'02_RAW_INDEX'!$A:$A,0)),"")</x:f>
        <x:v>61590</x:v>
      </x:c>
      <x:c r="G1296" s="7" t="n">
        <x:f>'01_Ustawienia'!$B$6</x:f>
        <x:v>0</x:v>
      </x:c>
      <x:c r="H1296" s="8" t="n">
        <x:f>IF(E1296="","",ROUND(IF('01_Ustawienia'!$B$5="BRUTTO",F1296,E1296)*(1-G1296),0))</x:f>
        <x:v>50073</x:v>
      </x:c>
      <x:c r="I1296" s="7" t="n">
        <x:f>IFERROR(IFERROR(INDEX('01_Ustawienia'!$B$15:$B$33,MATCH(B1296,'01_Ustawienia'!$A$15:$A$33,0)),0.45),0.45)</x:f>
        <x:v>0.45</x:v>
      </x:c>
      <x:c r="J1296" s="8" t="n">
        <x:f>IF(H1296="","",ROUND(H1296*(1+I1296),0))</x:f>
        <x:v>72606</x:v>
      </x:c>
      <x:c r="K1296" s="580" t="n">
        <x:v>8020</x:v>
      </x:c>
      <x:c r="L1296" s="580" t="n">
        <x:v>3150</x:v>
      </x:c>
      <x:c r="M1296" s="7" t="n">
        <x:f>IF('01_Ustawienia'!$B$4="ZWOLNIONY",0,'01_Ustawienia'!$B$7)</x:f>
        <x:v>0.08</x:v>
      </x:c>
      <x:c r="N1296" s="8" t="n">
        <x:f>IF(J1296="","",ROUND((J1296+K1296)*(1+M1296),0))</x:f>
        <x:v>87076</x:v>
      </x:c>
      <x:c r="O1296" s="8" t="n">
        <x:f>IF(J1296="","",J1296+K1296-H1296-L1296)</x:f>
        <x:v>27403</x:v>
      </x:c>
      <x:c r="P1296" s="7" t="n">
        <x:f>IFERROR(O1296/(J1296+K1296),"")</x:f>
        <x:v>0.3398779550021085</x:v>
      </x:c>
      <x:c r="Q1296" s="6" t="inlineStr">
        <x:is>
          <x:t xml:space="preserve">RAW_OP B/C</x:t>
        </x:is>
      </x:c>
      <x:c r="R1296" s="6" t="inlineStr">
        <x:is>
          <x:t xml:space="preserve">OGRÓD ZIMOWY (KONSTRUKCJA)</x:t>
        </x:is>
      </x:c>
      <x:c r="S1296" s="6" t="inlineStr">
        <x:is>
          <x:t xml:space="preserve">website+crm</x:t>
        </x:is>
      </x:c>
      <x:c r="T1296" s="581" t="inlineStr">
        <x:is>
          <x:t xml:space="preserve">Do wyliczenia dopłaty za ściany | FIX11: K/L 550/600 wg ark. 09 (UZUPEŁNIĆ).</x:t>
        </x:is>
      </x:c>
    </x:row>
    <x:row r="1297" s="655" customFormat="1" ht="30" customHeight="1">
      <x:c r="A1297" s="6" t="inlineStr">
        <x:is>
          <x:t xml:space="preserve">600 x 1106 cm</x:t>
        </x:is>
      </x:c>
      <x:c r="B1297" s="6" t="inlineStr">
        <x:is>
          <x:t xml:space="preserve">OS</x:t>
        </x:is>
      </x:c>
      <x:c r="C1297" s="6" t="inlineStr">
        <x:is>
          <x:t xml:space="preserve">Ogród zimowy szkło - pełna konstrukcja</x:t>
        </x:is>
      </x:c>
      <x:c r="D1297" s="6" t="inlineStr">
        <x:is>
          <x:t xml:space="preserve">OGRODY SZKŁO</x:t>
        </x:is>
      </x:c>
      <x:c r="E1297" s="8" t="str">
        <x:f>IFERROR(INDEX('02_RAW_INDEX'!$AL:$AL,MATCH($A1297,'02_RAW_INDEX'!$A:$A,0)),"")</x:f>
      </x:c>
      <x:c r="F1297" s="8" t="str">
        <x:f>IFERROR(INDEX('02_RAW_INDEX'!$AK:$AK,MATCH($A1297,'02_RAW_INDEX'!$A:$A,0)),"")</x:f>
      </x:c>
      <x:c r="G1297" s="7" t="n">
        <x:f>'01_Ustawienia'!$B$6</x:f>
        <x:v>0</x:v>
      </x:c>
      <x:c r="H1297" s="8" t="str">
        <x:f>IF(E1297="","",ROUND(IF('01_Ustawienia'!$B$5="BRUTTO",F1297,E1297)*(1-G1297),0))</x:f>
      </x:c>
      <x:c r="I1297" s="7" t="n">
        <x:f>IFERROR(IFERROR(INDEX('01_Ustawienia'!$B$15:$B$33,MATCH(B1297,'01_Ustawienia'!$A$15:$A$33,0)),0.45),0.45)</x:f>
        <x:v>0.45</x:v>
      </x:c>
      <x:c r="J1297" s="8" t="str">
        <x:f>IF(H1297="","",ROUND(H1297*(1+I1297),0))</x:f>
      </x:c>
      <x:c r="K1297" s="580" t="n">
        <x:v>8020</x:v>
      </x:c>
      <x:c r="L1297" s="580" t="n">
        <x:v>3760</x:v>
      </x:c>
      <x:c r="M1297" s="7" t="n">
        <x:f>IF('01_Ustawienia'!$B$4="ZWOLNIONY",0,'01_Ustawienia'!$B$7)</x:f>
        <x:v>0.08</x:v>
      </x:c>
      <x:c r="N1297" s="8" t="str">
        <x:f>IF(J1297="","",ROUND((J1297+K1297)*(1+M1297),0))</x:f>
      </x:c>
      <x:c r="O1297" s="8" t="str">
        <x:f>IF(J1297="","",J1297+K1297-H1297-L1297)</x:f>
      </x:c>
      <x:c r="P1297" s="7" t="n">
        <x:f>IFERROR(O1297/(J1297+K1297),"")</x:f>
        <x:v>0</x:v>
      </x:c>
      <x:c r="Q1297" s="6" t="inlineStr">
        <x:is>
          <x:t xml:space="preserve">RAW_OS B/C</x:t>
        </x:is>
      </x:c>
      <x:c r="R1297" s="6" t="inlineStr">
        <x:is>
          <x:t xml:space="preserve">OGRÓD ZIMOWY (KONSTRUKCJA)</x:t>
        </x:is>
      </x:c>
      <x:c r="S1297" s="6" t="inlineStr">
        <x:is>
          <x:t xml:space="preserve">crm_only</x:t>
        </x:is>
      </x:c>
      <x:c r="T1297" s="581" t="inlineStr">
        <x:is>
          <x:t xml:space="preserve">Referencyjne/full | FIX11: K/L 550/600 wg ark. 09 (NIE PUBLIKOWAĆ / BRAK RAW_OS).</x:t>
        </x:is>
      </x:c>
    </x:row>
    <x:row r="1298" s="655" customFormat="1" ht="30" customHeight="1">
      <x:c r="A1298" s="6" t="inlineStr">
        <x:is>
          <x:t xml:space="preserve">600 x 1106 cm</x:t>
        </x:is>
      </x:c>
      <x:c r="B1298" s="6" t="inlineStr">
        <x:is>
          <x:t xml:space="preserve">PDS</x:t>
        </x:is>
      </x:c>
      <x:c r="C1298" s="6" t="inlineStr">
        <x:is>
          <x:t xml:space="preserve">Dopłata dach szkło przezroczyste</x:t>
        </x:is>
      </x:c>
      <x:c r="D1298" s="6" t="inlineStr">
        <x:is>
          <x:t xml:space="preserve">POKRYCIE DACHU SZKŁO</x:t>
        </x:is>
      </x:c>
      <x:c r="E1298" s="8" t="n">
        <x:f>IFERROR(IFERROR(INDEX('02_RAW_INDEX'!$V:$V,MATCH($A1298,'02_RAW_INDEX'!$A:$A,0)),"")-IFERROR(INDEX('02_RAW_INDEX'!$D:$D,MATCH($A1298,'02_RAW_INDEX'!$A:$A,0)),""),"")</x:f>
        <x:v>-30911</x:v>
      </x:c>
      <x:c r="F1298" s="8" t="n">
        <x:f>IFERROR(IFERROR(INDEX('02_RAW_INDEX'!$U:$U,MATCH($A1298,'02_RAW_INDEX'!$A:$A,0)),"")-IFERROR(INDEX('02_RAW_INDEX'!$C:$C,MATCH($A1298,'02_RAW_INDEX'!$A:$A,0)),""),"")</x:f>
        <x:v>-38020</x:v>
      </x:c>
      <x:c r="G1298" s="7" t="n">
        <x:f>'01_Ustawienia'!$B$6</x:f>
        <x:v>0</x:v>
      </x:c>
      <x:c r="H1298" s="8" t="n">
        <x:f>IF(E1298="","",ROUND(IF('01_Ustawienia'!$B$5="BRUTTO",F1298,E1298)*(1-G1298),0))</x:f>
        <x:v>-30911</x:v>
      </x:c>
      <x:c r="I1298" s="7" t="n">
        <x:f>IFERROR(IFERROR(INDEX('01_Ustawienia'!$B$15:$B$33,MATCH(B1298,'01_Ustawienia'!$A$15:$A$33,0)),0.45),0.45)</x:f>
        <x:v>0.45</x:v>
      </x:c>
      <x:c r="J1298" s="8" t="n">
        <x:f>IF(H1298="","",ROUND(H1298*(1+I1298),0))</x:f>
        <x:v>-44821</x:v>
      </x:c>
      <x:c r="K1298" s="580" t="n">
        <x:v>0</x:v>
      </x:c>
      <x:c r="L1298" s="580" t="n">
        <x:v>0</x:v>
      </x:c>
      <x:c r="M1298" s="7" t="n">
        <x:f>IF('01_Ustawienia'!$B$4="ZWOLNIONY",0,'01_Ustawienia'!$B$7)</x:f>
        <x:v>0.08</x:v>
      </x:c>
      <x:c r="N1298" s="8" t="n">
        <x:f>IF(J1298="","",ROUND((J1298+K1298)*(1+M1298),0))</x:f>
        <x:v>-48407</x:v>
      </x:c>
      <x:c r="O1298" s="8" t="n">
        <x:f>IF(J1298="","",J1298+K1298-H1298-L1298)</x:f>
        <x:v>-13910</x:v>
      </x:c>
      <x:c r="P1298" s="7" t="n">
        <x:f>IFERROR(O1298/(J1298+K1298),"")</x:f>
        <x:v>0.31034559693001046</x:v>
      </x:c>
      <x:c r="Q1298" s="6" t="inlineStr">
        <x:is>
          <x:t xml:space="preserve">RAW_ZS - RAW_ZP</x:t>
        </x:is>
      </x:c>
      <x:c r="R1298" s="6" t="inlineStr">
        <x:is>
          <x:t xml:space="preserve">POKRYCIE DACHU</x:t>
        </x:is>
      </x:c>
      <x:c r="S1298" s="6" t="inlineStr">
        <x:is>
          <x:t xml:space="preserve">website+crm</x:t>
        </x:is>
      </x:c>
      <x:c r="T1298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299" s="655" customFormat="1" ht="30" customHeight="1">
      <x:c r="A1299" s="6" t="inlineStr">
        <x:is>
          <x:t xml:space="preserve">600 x 1106 cm</x:t>
        </x:is>
      </x:c>
      <x:c r="B1299" s="6" t="inlineStr">
        <x:is>
          <x:t xml:space="preserve">PDSB</x:t>
        </x:is>
      </x:c>
      <x:c r="C1299" s="6" t="inlineStr">
        <x:is>
          <x:t xml:space="preserve">Dopłata dach szkło barwione/mleczne</x:t>
        </x:is>
      </x:c>
      <x:c r="D1299" s="6" t="inlineStr">
        <x:is>
          <x:t xml:space="preserve">POKRYCIE DACHU SZKŁO BARWIONE</x:t>
        </x:is>
      </x:c>
      <x:c r="E1299" s="8" t="str">
        <x:f>IFERROR(INDEX('02_RAW_INDEX'!$X:$X,MATCH($A1299,'02_RAW_INDEX'!$A:$A,0)),"")</x:f>
      </x:c>
      <x:c r="F1299" s="8" t="str">
        <x:f>IFERROR(INDEX('02_RAW_INDEX'!$W:$W,MATCH($A1299,'02_RAW_INDEX'!$A:$A,0)),"")</x:f>
      </x:c>
      <x:c r="G1299" s="7" t="n">
        <x:f>'01_Ustawienia'!$B$6</x:f>
        <x:v>0</x:v>
      </x:c>
      <x:c r="H1299" s="8" t="str">
        <x:f>IF(E1299="","",ROUND(IF('01_Ustawienia'!$B$5="BRUTTO",F1299,E1299)*(1-G1299),0))</x:f>
      </x:c>
      <x:c r="I1299" s="7" t="n">
        <x:f>IFERROR(IFERROR(INDEX('01_Ustawienia'!$B$15:$B$33,MATCH(B1299,'01_Ustawienia'!$A$15:$A$33,0)),0.45),0.45)</x:f>
        <x:v>0.45</x:v>
      </x:c>
      <x:c r="J1299" s="8" t="str">
        <x:f>IF(H1299="","",ROUND(H1299*(1+I1299),0))</x:f>
      </x:c>
      <x:c r="K1299" s="582" t="n">
        <x:v>0</x:v>
      </x:c>
      <x:c r="L1299" s="582" t="n">
        <x:v>0</x:v>
      </x:c>
      <x:c r="M1299" s="7" t="n">
        <x:f>IF('01_Ustawienia'!$B$4="ZWOLNIONY",0,'01_Ustawienia'!$B$7)</x:f>
        <x:v>0.08</x:v>
      </x:c>
      <x:c r="N1299" s="8" t="str">
        <x:f>IF(J1299="","",ROUND((J1299+K1299)*(1+M1299),0))</x:f>
      </x:c>
      <x:c r="O1299" s="8" t="str">
        <x:f>IF(J1299="","",J1299+K1299-H1299-L1299)</x:f>
      </x:c>
      <x:c r="P1299" s="7" t="str">
        <x:f>IFERROR(O1299/(J1299+K1299),"")</x:f>
      </x:c>
      <x:c r="Q1299" s="6" t="inlineStr">
        <x:is>
          <x:t xml:space="preserve">RAW_ZS D/E</x:t>
        </x:is>
      </x:c>
      <x:c r="R1299" s="6" t="inlineStr">
        <x:is>
          <x:t xml:space="preserve">POKRYCIE DACHU</x:t>
        </x:is>
      </x:c>
      <x:c r="S1299" s="6" t="inlineStr">
        <x:is>
          <x:t xml:space="preserve">website+crm</x:t>
        </x:is>
      </x:c>
      <x:c r="T1299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300" s="655" customFormat="1" ht="30" customHeight="1">
      <x:c r="A1300" s="6" t="inlineStr">
        <x:is>
          <x:t xml:space="preserve">600 x 1106 cm</x:t>
        </x:is>
      </x:c>
      <x:c r="B1300" s="6" t="inlineStr">
        <x:is>
          <x:t xml:space="preserve">PDPB</x:t>
        </x:is>
      </x:c>
      <x:c r="C1300" s="6" t="inlineStr">
        <x:is>
          <x:t xml:space="preserve">Dopłata poliwęglan barwiony</x:t>
        </x:is>
      </x:c>
      <x:c r="D1300" s="6" t="inlineStr">
        <x:is>
          <x:t xml:space="preserve">POKRYCIE DACHU POLIWĘGLAN BARWIONY</x:t>
        </x:is>
      </x:c>
      <x:c r="E1300" s="8" t="n">
        <x:f>IFERROR(INDEX('02_RAW_INDEX'!$F:$F,MATCH($A1300,'02_RAW_INDEX'!$A:$A,0)),"")</x:f>
        <x:v>935</x:v>
      </x:c>
      <x:c r="F1300" s="8" t="n">
        <x:f>IFERROR(INDEX('02_RAW_INDEX'!$E:$E,MATCH($A1300,'02_RAW_INDEX'!$A:$A,0)),"")</x:f>
        <x:v>1150</x:v>
      </x:c>
      <x:c r="G1300" s="7" t="n">
        <x:f>'01_Ustawienia'!$B$6</x:f>
        <x:v>0</x:v>
      </x:c>
      <x:c r="H1300" s="8" t="n">
        <x:f>IF(E1300="","",ROUND(IF('01_Ustawienia'!$B$5="BRUTTO",F1300,E1300)*(1-G1300),0))</x:f>
        <x:v>935</x:v>
      </x:c>
      <x:c r="I1300" s="7" t="n">
        <x:f>IFERROR(IFERROR(INDEX('01_Ustawienia'!$B$15:$B$33,MATCH(B1300,'01_Ustawienia'!$A$15:$A$33,0)),0.45),0.45)</x:f>
        <x:v>0.45</x:v>
      </x:c>
      <x:c r="J1300" s="8" t="n">
        <x:f>IF(H1300="","",ROUND(H1300*(1+I1300),0))</x:f>
        <x:v>1356</x:v>
      </x:c>
      <x:c r="K1300" s="582" t="n">
        <x:v>0</x:v>
      </x:c>
      <x:c r="L1300" s="582" t="n">
        <x:v>0</x:v>
      </x:c>
      <x:c r="M1300" s="7" t="n">
        <x:f>IF('01_Ustawienia'!$B$4="ZWOLNIONY",0,'01_Ustawienia'!$B$7)</x:f>
        <x:v>0.08</x:v>
      </x:c>
      <x:c r="N1300" s="8" t="n">
        <x:f>IF(J1300="","",ROUND((J1300+K1300)*(1+M1300),0))</x:f>
        <x:v>1464</x:v>
      </x:c>
      <x:c r="O1300" s="8" t="n">
        <x:f>IF(J1300="","",J1300+K1300-H1300-L1300)</x:f>
        <x:v>421</x:v>
      </x:c>
      <x:c r="P1300" s="7" t="n">
        <x:f>IFERROR(O1300/(J1300+K1300),"")</x:f>
        <x:v>0.31047197640117996</x:v>
      </x:c>
      <x:c r="Q1300" s="6" t="inlineStr">
        <x:is>
          <x:t xml:space="preserve">RAW_ZP D/E</x:t>
        </x:is>
      </x:c>
      <x:c r="R1300" s="6" t="inlineStr">
        <x:is>
          <x:t xml:space="preserve">POKRYCIE DACHU</x:t>
        </x:is>
      </x:c>
      <x:c r="S1300" s="6" t="inlineStr">
        <x:is>
          <x:t xml:space="preserve">website+crm</x:t>
        </x:is>
      </x:c>
      <x:c r="T1300" s="581" t="inlineStr">
        <x:is>
          <x:t xml:space="preserve">FIX11: K/L 550/600 wg ark. 09 (POZOSTAWIĆ 0). | FIX17: Wynagr.+koszty = 0 dla dopłaty; nie jest osobnym montażem ekipy.</x:t>
        </x:is>
      </x:c>
    </x:row>
    <x:row r="1301" s="655" customFormat="1" ht="30" customHeight="1">
      <x:c r="A1301" s="6" t="inlineStr">
        <x:is>
          <x:t xml:space="preserve">600 x 1106 cm</x:t>
        </x:is>
      </x:c>
      <x:c r="B1301" s="6" t="inlineStr">
        <x:is>
          <x:t xml:space="preserve">SBB</x:t>
        </x:is>
      </x:c>
      <x:c r="C1301" s="6" t="inlineStr">
        <x:is>
          <x:t xml:space="preserve">Dopłata szkło boczne przyciemniane</x:t>
        </x:is>
      </x:c>
      <x:c r="D1301" s="6" t="inlineStr">
        <x:is>
          <x:t xml:space="preserve">SZKŁO BOCZNE BARWIONE</x:t>
        </x:is>
      </x:c>
      <x:c r="E1301" s="8" t="n">
        <x:f>IFERROR(INDEX('02_RAW_INDEX'!$AB:$AB,MATCH($A1301,'02_RAW_INDEX'!$A:$A,0)),"")</x:f>
        <x:v>2244</x:v>
      </x:c>
      <x:c r="F1301" s="8" t="n">
        <x:f>IFERROR(INDEX('02_RAW_INDEX'!$AA:$AA,MATCH($A1301,'02_RAW_INDEX'!$A:$A,0)),"")</x:f>
        <x:v>2760</x:v>
      </x:c>
      <x:c r="G1301" s="7" t="n">
        <x:f>'01_Ustawienia'!$B$6</x:f>
        <x:v>0</x:v>
      </x:c>
      <x:c r="H1301" s="8" t="n">
        <x:f>IF(E1301="","",ROUND(IF('01_Ustawienia'!$B$5="BRUTTO",F1301,E1301)*(1-G1301),0))</x:f>
        <x:v>2244</x:v>
      </x:c>
      <x:c r="I1301" s="7" t="n">
        <x:f>IFERROR(IFERROR(INDEX('01_Ustawienia'!$B$15:$B$33,MATCH(B1301,'01_Ustawienia'!$A$15:$A$33,0)),0.45),0.45)</x:f>
        <x:v>0.45</x:v>
      </x:c>
      <x:c r="J1301" s="8" t="n">
        <x:f>IF(H1301="","",ROUND(H1301*(1+I1301),0))</x:f>
        <x:v>3254</x:v>
      </x:c>
      <x:c r="K1301" s="582" t="n">
        <x:v>0</x:v>
      </x:c>
      <x:c r="L1301" s="582" t="n">
        <x:v>0</x:v>
      </x:c>
      <x:c r="M1301" s="7" t="n">
        <x:f>IF('01_Ustawienia'!$B$4="ZWOLNIONY",0,'01_Ustawienia'!$B$7)</x:f>
        <x:v>0.08</x:v>
      </x:c>
      <x:c r="N1301" s="8" t="n">
        <x:f>IF(J1301="","",ROUND((J1301+K1301)*(1+M1301),0))</x:f>
        <x:v>3514</x:v>
      </x:c>
      <x:c r="O1301" s="8" t="n">
        <x:f>IF(J1301="","",J1301+K1301-H1301-L1301)</x:f>
        <x:v>1010</x:v>
      </x:c>
      <x:c r="P1301" s="7" t="n">
        <x:f>IFERROR(O1301/(J1301+K1301),"")</x:f>
        <x:v>0.31038721573448064</x:v>
      </x:c>
      <x:c r="Q1301" s="6" t="inlineStr">
        <x:is>
          <x:t xml:space="preserve">RAW_OP H/I</x:t>
        </x:is>
      </x:c>
      <x:c r="R1301" s="6" t="inlineStr">
        <x:is>
          <x:t xml:space="preserve">SZYBY BOCZNE</x:t>
        </x:is>
      </x:c>
      <x:c r="S1301" s="6" t="inlineStr">
        <x:is>
          <x:t xml:space="preserve">website+crm</x:t>
        </x:is>
      </x:c>
      <x:c r="T1301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302" s="655" customFormat="1" ht="29.5" customHeight="1">
      <x:c r="A1302" s="6" t="inlineStr">
        <x:is>
          <x:t xml:space="preserve">600 x 1106 cm</x:t>
        </x:is>
      </x:c>
      <x:c r="B1302" s="6" t="inlineStr">
        <x:is>
          <x:t xml:space="preserve">RB</x:t>
        </x:is>
      </x:c>
      <x:c r="C1302" s="6" t="inlineStr">
        <x:is>
          <x:t xml:space="preserve">Roleta boczna ZIP</x:t>
        </x:is>
      </x:c>
      <x:c r="D1302" s="6" t="inlineStr">
        <x:is>
          <x:t xml:space="preserve">ROLETA BOCZNA</x:t>
        </x:is>
      </x:c>
      <x:c r="E1302" s="8" t="n">
        <x:f>IFERROR(INDEX('02_RAW_INDEX'!$J:$J,MATCH($A1302,'02_RAW_INDEX'!$A:$A,0)),"")</x:f>
        <x:v>3472</x:v>
      </x:c>
      <x:c r="F1302" s="8" t="n">
        <x:f>IFERROR(INDEX('02_RAW_INDEX'!$I:$I,MATCH($A1302,'02_RAW_INDEX'!$A:$A,0)),"")</x:f>
        <x:v>4270</x:v>
      </x:c>
      <x:c r="G1302" s="7" t="n">
        <x:f>'01_Ustawienia'!$B$6</x:f>
        <x:v>0</x:v>
      </x:c>
      <x:c r="H1302" s="8" t="n">
        <x:f>IF(E1302="","",ROUND(IF('01_Ustawienia'!$B$5="BRUTTO",F1302,E1302)*(1-G1302),0))</x:f>
        <x:v>3472</x:v>
      </x:c>
      <x:c r="I1302" s="7" t="n">
        <x:f>IFERROR(IFERROR(INDEX('01_Ustawienia'!$B$15:$B$33,MATCH(B1302,'01_Ustawienia'!$A$15:$A$33,0)),0.45),0.45)</x:f>
        <x:v>0.45</x:v>
      </x:c>
      <x:c r="J1302" s="8" t="n">
        <x:f>IF(H1302="","",ROUND(H1302*(1+I1302),0))</x:f>
        <x:v>5034</x:v>
      </x:c>
      <x:c r="K1302" s="580" t="n">
        <x:v>0</x:v>
      </x:c>
      <x:c r="L1302" s="580" t="n">
        <x:v>150</x:v>
      </x:c>
      <x:c r="M1302" s="7" t="n">
        <x:f>IF('01_Ustawienia'!$B$4="ZWOLNIONY",0,'01_Ustawienia'!$B$7)</x:f>
        <x:v>0.08</x:v>
      </x:c>
      <x:c r="N1302" s="8" t="n">
        <x:f>IF(J1302="","",ROUND((J1302+K1302)*(1+M1302),0))</x:f>
        <x:v>5437</x:v>
      </x:c>
      <x:c r="O1302" s="8" t="n">
        <x:f>IF(J1302="","",J1302+K1302-H1302-L1302)</x:f>
        <x:v>1412</x:v>
      </x:c>
      <x:c r="P1302" s="7" t="n">
        <x:f>IFERROR(O1302/(J1302+K1302),"")</x:f>
        <x:v>0.28049264998013507</x:v>
      </x:c>
      <x:c r="Q1302" s="6" t="inlineStr">
        <x:is>
          <x:t xml:space="preserve">RAW_ZP J/K</x:t>
        </x:is>
      </x:c>
      <x:c r="R1302" s="6" t="inlineStr">
        <x:is>
          <x:t xml:space="preserve">ROLETY BOCZNE</x:t>
        </x:is>
      </x:c>
      <x:c r="S1302" s="6" t="inlineStr">
        <x:is>
          <x:t xml:space="preserve">website+crm</x:t>
        </x:is>
      </x:c>
      <x:c r="T1302" s="581" t="inlineStr">
        <x:is>
          <x:t xml:space="preserve">Używana dla lewej i prawej | FIX11: K/L 550/600 wg ark. 09 (UZUPEŁNIĆ L).</x:t>
        </x:is>
      </x:c>
    </x:row>
    <x:row r="1303" s="655" customFormat="1" ht="29.5" customHeight="1">
      <x:c r="A1303" s="6" t="inlineStr">
        <x:is>
          <x:t xml:space="preserve">600 x 1106 cm</x:t>
        </x:is>
      </x:c>
      <x:c r="B1303" s="6" t="inlineStr">
        <x:is>
          <x:t xml:space="preserve">RP</x:t>
        </x:is>
      </x:c>
      <x:c r="C1303" s="6" t="inlineStr">
        <x:is>
          <x:t xml:space="preserve">Roleta przednia ZIP</x:t>
        </x:is>
      </x:c>
      <x:c r="D1303" s="6" t="inlineStr">
        <x:is>
          <x:t xml:space="preserve">ROLETA PRZÓD</x:t>
        </x:is>
      </x:c>
      <x:c r="E1303" s="8" t="n">
        <x:f>IFERROR(INDEX('02_RAW_INDEX'!$L:$L,MATCH($A1303,'02_RAW_INDEX'!$A:$A,0)),"")</x:f>
        <x:v>6033</x:v>
      </x:c>
      <x:c r="F1303" s="8" t="n">
        <x:f>IFERROR(INDEX('02_RAW_INDEX'!$K:$K,MATCH($A1303,'02_RAW_INDEX'!$A:$A,0)),"")</x:f>
        <x:v>7420</x:v>
      </x:c>
      <x:c r="G1303" s="7" t="n">
        <x:f>'01_Ustawienia'!$B$6</x:f>
        <x:v>0</x:v>
      </x:c>
      <x:c r="H1303" s="8" t="n">
        <x:f>IF(E1303="","",ROUND(IF('01_Ustawienia'!$B$5="BRUTTO",F1303,E1303)*(1-G1303),0))</x:f>
        <x:v>6033</x:v>
      </x:c>
      <x:c r="I1303" s="7" t="n">
        <x:f>IFERROR(IFERROR(INDEX('01_Ustawienia'!$B$15:$B$33,MATCH(B1303,'01_Ustawienia'!$A$15:$A$33,0)),0.45),0.45)</x:f>
        <x:v>0.45</x:v>
      </x:c>
      <x:c r="J1303" s="8" t="n">
        <x:f>IF(H1303="","",ROUND(H1303*(1+I1303),0))</x:f>
        <x:v>8748</x:v>
      </x:c>
      <x:c r="K1303" s="580" t="n">
        <x:v>0</x:v>
      </x:c>
      <x:c r="L1303" s="580" t="n">
        <x:v>450</x:v>
      </x:c>
      <x:c r="M1303" s="7" t="n">
        <x:f>IF('01_Ustawienia'!$B$4="ZWOLNIONY",0,'01_Ustawienia'!$B$7)</x:f>
        <x:v>0.08</x:v>
      </x:c>
      <x:c r="N1303" s="8" t="n">
        <x:f>IF(J1303="","",ROUND((J1303+K1303)*(1+M1303),0))</x:f>
        <x:v>9448</x:v>
      </x:c>
      <x:c r="O1303" s="8" t="n">
        <x:f>IF(J1303="","",J1303+K1303-H1303-L1303)</x:f>
        <x:v>2265</x:v>
      </x:c>
      <x:c r="P1303" s="7" t="n">
        <x:f>IFERROR(O1303/(J1303+K1303),"")</x:f>
        <x:v>0.25891632373113854</x:v>
      </x:c>
      <x:c r="Q1303" s="6" t="inlineStr">
        <x:is>
          <x:t xml:space="preserve">RAW_ZP N/O</x:t>
        </x:is>
      </x:c>
      <x:c r="R1303" s="6" t="inlineStr">
        <x:is>
          <x:t xml:space="preserve">ROLETY BOCZNE</x:t>
        </x:is>
      </x:c>
      <x:c r="S1303" s="6" t="inlineStr">
        <x:is>
          <x:t xml:space="preserve">website+crm</x:t>
        </x:is>
      </x:c>
      <x:c r="T1303" s="581" t="inlineStr">
        <x:is>
          <x:t xml:space="preserve">FIX11: K/L 550/600 wg ark. 09 (UZUPEŁNIĆ L).</x:t>
        </x:is>
      </x:c>
    </x:row>
    <x:row r="1304" s="655" customFormat="1" ht="29.5" customHeight="1">
      <x:c r="A1304" s="6" t="inlineStr">
        <x:is>
          <x:t xml:space="preserve">600 x 1106 cm</x:t>
        </x:is>
      </x:c>
      <x:c r="B1304" s="6" t="inlineStr">
        <x:is>
          <x:t xml:space="preserve">M</x:t>
        </x:is>
      </x:c>
      <x:c r="C1304" s="6" t="inlineStr">
        <x:is>
          <x:t xml:space="preserve">Markiza dachowa</x:t>
        </x:is>
      </x:c>
      <x:c r="D1304" s="6" t="inlineStr">
        <x:is>
          <x:t xml:space="preserve">MARKIZA</x:t>
        </x:is>
      </x:c>
      <x:c r="E1304" s="8" t="n">
        <x:f>IFERROR(INDEX('02_RAW_INDEX'!$H:$H,MATCH($A1304,'02_RAW_INDEX'!$A:$A,0)),"")</x:f>
        <x:v>11171</x:v>
      </x:c>
      <x:c r="F1304" s="8" t="n">
        <x:f>IFERROR(INDEX('02_RAW_INDEX'!$G:$G,MATCH($A1304,'02_RAW_INDEX'!$A:$A,0)),"")</x:f>
        <x:v>13740</x:v>
      </x:c>
      <x:c r="G1304" s="7" t="n">
        <x:f>'01_Ustawienia'!$B$6</x:f>
        <x:v>0</x:v>
      </x:c>
      <x:c r="H1304" s="8" t="n">
        <x:f>IF(E1304="","",ROUND(IF('01_Ustawienia'!$B$5="BRUTTO",F1304,E1304)*(1-G1304),0))</x:f>
        <x:v>11171</x:v>
      </x:c>
      <x:c r="I1304" s="7" t="n">
        <x:f>IFERROR(IFERROR(INDEX('01_Ustawienia'!$B$15:$B$33,MATCH(B1304,'01_Ustawienia'!$A$15:$A$33,0)),0.45),0.45)</x:f>
        <x:v>0.45</x:v>
      </x:c>
      <x:c r="J1304" s="8" t="n">
        <x:f>IF(H1304="","",ROUND(H1304*(1+I1304),0))</x:f>
        <x:v>16198</x:v>
      </x:c>
      <x:c r="K1304" s="580" t="n">
        <x:v>0</x:v>
      </x:c>
      <x:c r="L1304" s="580" t="n">
        <x:v>650</x:v>
      </x:c>
      <x:c r="M1304" s="7" t="n">
        <x:f>IF('01_Ustawienia'!$B$4="ZWOLNIONY",0,'01_Ustawienia'!$B$7)</x:f>
        <x:v>0.08</x:v>
      </x:c>
      <x:c r="N1304" s="8" t="n">
        <x:f>IF(J1304="","",ROUND((J1304+K1304)*(1+M1304),0))</x:f>
        <x:v>17494</x:v>
      </x:c>
      <x:c r="O1304" s="8" t="n">
        <x:f>IF(J1304="","",J1304+K1304-H1304-L1304)</x:f>
        <x:v>4377</x:v>
      </x:c>
      <x:c r="P1304" s="7" t="n">
        <x:f>IFERROR(O1304/(J1304+K1304),"")</x:f>
        <x:v>0.27021854549944435</x:v>
      </x:c>
      <x:c r="Q1304" s="6" t="inlineStr">
        <x:is>
          <x:t xml:space="preserve">RAW_ZP H/I</x:t>
        </x:is>
      </x:c>
      <x:c r="R1304" s="6" t="inlineStr">
        <x:is>
          <x:t xml:space="preserve">MARKIZA</x:t>
        </x:is>
      </x:c>
      <x:c r="S1304" s="6" t="inlineStr">
        <x:is>
          <x:t xml:space="preserve">website+crm</x:t>
        </x:is>
      </x:c>
      <x:c r="T1304" s="581" t="inlineStr">
        <x:is>
          <x:t xml:space="preserve">FIX11: K/L 550/600 wg ark. 09 (UZUPEŁNIĆ L).</x:t>
        </x:is>
      </x:c>
    </x:row>
    <x:row r="1305" s="655" customFormat="1" ht="44.25" customHeight="1">
      <x:c r="A1305" s="6" t="inlineStr">
        <x:is>
          <x:t xml:space="preserve">600 x 1106 cm</x:t>
        </x:is>
      </x:c>
      <x:c r="B1305" s="6" t="inlineStr">
        <x:is>
          <x:t xml:space="preserve">PDWP</x:t>
        </x:is>
      </x:c>
      <x:c r="C1305" s="6" t="inlineStr">
        <x:is>
          <x:t xml:space="preserve">Fundament/profile</x:t>
        </x:is>
      </x:c>
      <x:c r="D1305" s="6" t="inlineStr">
        <x:is>
          <x:t xml:space="preserve">FUNDAMENT / PROFILE</x:t>
        </x:is>
      </x:c>
      <x:c r="E1305" s="8" t="n">
        <x:f>IFERROR(INDEX('02_RAW_INDEX'!$AH:$AH,MATCH($A1305,'02_RAW_INDEX'!$A:$A,0)),"")</x:f>
        <x:v>1764</x:v>
      </x:c>
      <x:c r="F1305" s="8" t="n">
        <x:f>IFERROR(INDEX('02_RAW_INDEX'!$AG:$AG,MATCH($A1305,'02_RAW_INDEX'!$A:$A,0)),"")</x:f>
        <x:v>2170</x:v>
      </x:c>
      <x:c r="G1305" s="7" t="n">
        <x:f>'01_Ustawienia'!$B$6</x:f>
        <x:v>0</x:v>
      </x:c>
      <x:c r="H1305" s="8" t="n">
        <x:f>IF(E1305="","",ROUND(IF('01_Ustawienia'!$B$5="BRUTTO",F1305,E1305)*(1-G1305),0))</x:f>
        <x:v>1764</x:v>
      </x:c>
      <x:c r="I1305" s="7" t="n">
        <x:f>IFERROR(IFERROR(INDEX('01_Ustawienia'!$B$15:$B$33,MATCH(B1305,'01_Ustawienia'!$A$15:$A$33,0)),0.45),0.45)</x:f>
        <x:v>1.2</x:v>
      </x:c>
      <x:c r="J1305" s="8" t="n">
        <x:f>IF(H1305="","",ROUND(H1305*(1+I1305),0))</x:f>
        <x:v>3881</x:v>
      </x:c>
      <x:c r="K1305" s="580" t="n">
        <x:v>720</x:v>
      </x:c>
      <x:c r="L1305" s="580" t="n">
        <x:v>690</x:v>
      </x:c>
      <x:c r="M1305" s="7" t="n">
        <x:f>IF('01_Ustawienia'!$B$4="ZWOLNIONY",0,'01_Ustawienia'!$B$7)</x:f>
        <x:v>0.08</x:v>
      </x:c>
      <x:c r="N1305" s="8" t="n">
        <x:f>IF(J1305="","",ROUND((J1305+K1305)*(1+M1305),0))</x:f>
        <x:v>4969</x:v>
      </x:c>
      <x:c r="O1305" s="8" t="n">
        <x:f>IF(J1305="","",J1305+K1305-H1305-L1305)</x:f>
        <x:v>2147</x:v>
      </x:c>
      <x:c r="P1305" s="7" t="n">
        <x:f>IFERROR(O1305/(J1305+K1305),"")</x:f>
        <x:v>0.466637687459248</x:v>
      </x:c>
      <x:c r="Q1305" s="6" t="inlineStr">
        <x:is>
          <x:t xml:space="preserve">RAW_OP AB/AC</x:t>
        </x:is>
      </x:c>
      <x:c r="R1305" s="6" t="inlineStr">
        <x:is>
          <x:t xml:space="preserve">FUNDAMENT (PROFILE)</x:t>
        </x:is>
      </x:c>
      <x:c r="S1305" s="6" t="inlineStr">
        <x:is>
          <x:t xml:space="preserve">website+crm</x:t>
        </x:is>
      </x:c>
      <x:c r="T1305" s="581" t="inlineStr">
        <x:is>
          <x:t xml:space="preserve">FIX11: K/L 550/600 wg ark. 09 (UZUPEŁNIĆ K+L / KOREKTA RENTOWNOŚCI).</x:t>
        </x:is>
      </x:c>
    </x:row>
    <x:row r="1306" s="655" customFormat="1" ht="30" customHeight="1">
      <x:c r="A1306" s="6" t="inlineStr">
        <x:is>
          <x:t xml:space="preserve">600 x 1106 cm</x:t>
        </x:is>
      </x:c>
      <x:c r="B1306" s="6" t="inlineStr">
        <x:is>
          <x:t xml:space="preserve">ZAB</x:t>
        </x:is>
      </x:c>
      <x:c r="C1306" s="6" t="inlineStr">
        <x:is>
          <x:t xml:space="preserve">Zabieraki do ścian przesuwnych</x:t>
        </x:is>
      </x:c>
      <x:c r="D1306" s="6" t="inlineStr">
        <x:is>
          <x:t xml:space="preserve">DODATKI</x:t>
        </x:is>
      </x:c>
      <x:c r="E1306" s="8" t="n">
        <x:f>IFERROR(INDEX('02_RAW_INDEX'!$AJ:$AJ,MATCH($A1306,'02_RAW_INDEX'!$A:$A,0)),"")</x:f>
        <x:v>585</x:v>
      </x:c>
      <x:c r="F1306" s="8" t="n">
        <x:f>IFERROR(INDEX('02_RAW_INDEX'!$AI:$AI,MATCH($A1306,'02_RAW_INDEX'!$A:$A,0)),"")</x:f>
        <x:v>720</x:v>
      </x:c>
      <x:c r="G1306" s="7" t="n">
        <x:f>'01_Ustawienia'!$B$6</x:f>
        <x:v>0</x:v>
      </x:c>
      <x:c r="H1306" s="8" t="n">
        <x:f>IF(E1306="","",ROUND(IF('01_Ustawienia'!$B$5="BRUTTO",F1306,E1306)*(1-G1306),0))</x:f>
        <x:v>585</x:v>
      </x:c>
      <x:c r="I1306" s="7" t="n">
        <x:f>IFERROR(IFERROR(INDEX('01_Ustawienia'!$B$15:$B$33,MATCH(B1306,'01_Ustawienia'!$A$15:$A$33,0)),0.45),0.45)</x:f>
        <x:v>0.45</x:v>
      </x:c>
      <x:c r="J1306" s="8" t="n">
        <x:f>IF(H1306="","",ROUND(H1306*(1+I1306),0))</x:f>
        <x:v>848</x:v>
      </x:c>
      <x:c r="K1306" s="582" t="n">
        <x:v>0</x:v>
      </x:c>
      <x:c r="L1306" s="582" t="n">
        <x:v>0</x:v>
      </x:c>
      <x:c r="M1306" s="7" t="n">
        <x:f>IF('01_Ustawienia'!$B$4="ZWOLNIONY",0,'01_Ustawienia'!$B$7)</x:f>
        <x:v>0.08</x:v>
      </x:c>
      <x:c r="N1306" s="8" t="n">
        <x:f>IF(J1306="","",ROUND((J1306+K1306)*(1+M1306),0))</x:f>
        <x:v>916</x:v>
      </x:c>
      <x:c r="O1306" s="8" t="n">
        <x:f>IF(J1306="","",J1306+K1306-H1306-L1306)</x:f>
        <x:v>263</x:v>
      </x:c>
      <x:c r="P1306" s="7" t="n">
        <x:f>IFERROR(O1306/(J1306+K1306),"")</x:f>
        <x:v>0.31014150943396224</x:v>
      </x:c>
      <x:c r="Q1306" s="6" t="inlineStr">
        <x:is>
          <x:t xml:space="preserve">RAW_OP AD/AE</x:t>
        </x:is>
      </x:c>
      <x:c r="R1306" s="6" t="inlineStr">
        <x:is>
          <x:t xml:space="preserve">DODATKI</x:t>
        </x:is>
      </x:c>
      <x:c r="S1306" s="6" t="inlineStr">
        <x:is>
          <x:t xml:space="preserve">crm_only</x:t>
        </x:is>
      </x:c>
      <x:c r="T1306" s="581" t="inlineStr">
        <x:is>
          <x:t xml:space="preserve">FIX11: K/L 550/600 wg ark. 09 (POZOSTAWIĆ 0).</x:t>
        </x:is>
      </x:c>
    </x:row>
    <x:row r="1307" s="655" customFormat="1" ht="29.5" customHeight="1">
      <x:c r="A1307" s="6" t="inlineStr">
        <x:is>
          <x:t xml:space="preserve">600 x 1106 cm</x:t>
        </x:is>
      </x:c>
      <x:c r="B1307" s="6" t="inlineStr">
        <x:is>
          <x:t xml:space="preserve">S</x:t>
        </x:is>
      </x:c>
      <x:c r="C1307" s="6" t="inlineStr">
        <x:is>
          <x:t xml:space="preserve">Szczotki przeciwkurzowe</x:t>
        </x:is>
      </x:c>
      <x:c r="D1307" s="6" t="inlineStr">
        <x:is>
          <x:t xml:space="preserve">SZCZOTKI</x:t>
        </x:is>
      </x:c>
      <x:c r="E1307" s="8" t="n">
        <x:f>IFERROR(INDEX('02_RAW_INDEX'!$AD:$AD,MATCH($A1307,'02_RAW_INDEX'!$A:$A,0)),"")</x:f>
        <x:v>650</x:v>
      </x:c>
      <x:c r="F1307" s="8" t="n">
        <x:f>IFERROR(INDEX('02_RAW_INDEX'!$AC:$AC,MATCH($A1307,'02_RAW_INDEX'!$A:$A,0)),"")</x:f>
        <x:v>800</x:v>
      </x:c>
      <x:c r="G1307" s="7" t="n">
        <x:f>'01_Ustawienia'!$B$6</x:f>
        <x:v>0</x:v>
      </x:c>
      <x:c r="H1307" s="8" t="n">
        <x:f>IF(E1307="","",ROUND(IF('01_Ustawienia'!$B$5="BRUTTO",F1307,E1307)*(1-G1307),0))</x:f>
        <x:v>650</x:v>
      </x:c>
      <x:c r="I1307" s="7" t="n">
        <x:f>IFERROR(IFERROR(INDEX('01_Ustawienia'!$B$15:$B$33,MATCH(B1307,'01_Ustawienia'!$A$15:$A$33,0)),0.45),0.45)</x:f>
        <x:v>0.45</x:v>
      </x:c>
      <x:c r="J1307" s="8" t="n">
        <x:f>IF(H1307="","",ROUND(H1307*(1+I1307),0))</x:f>
        <x:v>943</x:v>
      </x:c>
      <x:c r="K1307" s="582" t="n">
        <x:v>0</x:v>
      </x:c>
      <x:c r="L1307" s="582" t="n">
        <x:v>0</x:v>
      </x:c>
      <x:c r="M1307" s="7" t="n">
        <x:f>IF('01_Ustawienia'!$B$4="ZWOLNIONY",0,'01_Ustawienia'!$B$7)</x:f>
        <x:v>0.08</x:v>
      </x:c>
      <x:c r="N1307" s="8" t="n">
        <x:f>IF(J1307="","",ROUND((J1307+K1307)*(1+M1307),0))</x:f>
        <x:v>1018</x:v>
      </x:c>
      <x:c r="O1307" s="8" t="n">
        <x:f>IF(J1307="","",J1307+K1307-H1307-L1307)</x:f>
        <x:v>293</x:v>
      </x:c>
      <x:c r="P1307" s="7" t="n">
        <x:f>IFERROR(O1307/(J1307+K1307),"")</x:f>
        <x:v>0.3107104984093319</x:v>
      </x:c>
      <x:c r="Q1307" s="6" t="inlineStr">
        <x:is>
          <x:t xml:space="preserve">RAW_OP L/M</x:t>
        </x:is>
      </x:c>
      <x:c r="R1307" s="6" t="inlineStr">
        <x:is>
          <x:t xml:space="preserve">DODATKI</x:t>
        </x:is>
      </x:c>
      <x:c r="S1307" s="6" t="inlineStr">
        <x:is>
          <x:t xml:space="preserve">website+crm</x:t>
        </x:is>
      </x:c>
      <x:c r="T1307" s="581" t="inlineStr">
        <x:is>
          <x:t xml:space="preserve">FIX11: K/L 550/600 wg ark. 09 (POZOSTAWIĆ 0).</x:t>
        </x:is>
      </x:c>
    </x:row>
    <x:row r="1308" s="655" customFormat="1" ht="29.5" customHeight="1">
      <x:c r="A1308" s="6" t="inlineStr">
        <x:is>
          <x:t xml:space="preserve">600 x 1106 cm</x:t>
        </x:is>
      </x:c>
      <x:c r="B1308" s="6" t="inlineStr">
        <x:is>
          <x:t xml:space="preserve">U</x:t>
        </x:is>
      </x:c>
      <x:c r="C1308" s="6" t="inlineStr">
        <x:is>
          <x:t xml:space="preserve">Uchwyty na szkło ścienne</x:t>
        </x:is>
      </x:c>
      <x:c r="D1308" s="6" t="inlineStr">
        <x:is>
          <x:t xml:space="preserve">UCHWYTY</x:t>
        </x:is>
      </x:c>
      <x:c r="E1308" s="8" t="n">
        <x:f>IFERROR(INDEX('02_RAW_INDEX'!$AF:$AF,MATCH($A1308,'02_RAW_INDEX'!$A:$A,0)),"")</x:f>
        <x:v>585</x:v>
      </x:c>
      <x:c r="F1308" s="8" t="n">
        <x:f>IFERROR(INDEX('02_RAW_INDEX'!$AE:$AE,MATCH($A1308,'02_RAW_INDEX'!$A:$A,0)),"")</x:f>
        <x:v>720</x:v>
      </x:c>
      <x:c r="G1308" s="7" t="n">
        <x:f>'01_Ustawienia'!$B$6</x:f>
        <x:v>0</x:v>
      </x:c>
      <x:c r="H1308" s="8" t="n">
        <x:f>IF(E1308="","",ROUND(IF('01_Ustawienia'!$B$5="BRUTTO",F1308,E1308)*(1-G1308),0))</x:f>
        <x:v>585</x:v>
      </x:c>
      <x:c r="I1308" s="7" t="n">
        <x:f>IFERROR(IFERROR(INDEX('01_Ustawienia'!$B$15:$B$33,MATCH(B1308,'01_Ustawienia'!$A$15:$A$33,0)),0.45),0.45)</x:f>
        <x:v>0.45</x:v>
      </x:c>
      <x:c r="J1308" s="8" t="n">
        <x:f>IF(H1308="","",ROUND(H1308*(1+I1308),0))</x:f>
        <x:v>848</x:v>
      </x:c>
      <x:c r="K1308" s="582" t="n">
        <x:v>0</x:v>
      </x:c>
      <x:c r="L1308" s="582" t="n">
        <x:v>0</x:v>
      </x:c>
      <x:c r="M1308" s="7" t="n">
        <x:f>IF('01_Ustawienia'!$B$4="ZWOLNIONY",0,'01_Ustawienia'!$B$7)</x:f>
        <x:v>0.08</x:v>
      </x:c>
      <x:c r="N1308" s="8" t="n">
        <x:f>IF(J1308="","",ROUND((J1308+K1308)*(1+M1308),0))</x:f>
        <x:v>916</x:v>
      </x:c>
      <x:c r="O1308" s="8" t="n">
        <x:f>IF(J1308="","",J1308+K1308-H1308-L1308)</x:f>
        <x:v>263</x:v>
      </x:c>
      <x:c r="P1308" s="7" t="n">
        <x:f>IFERROR(O1308/(J1308+K1308),"")</x:f>
        <x:v>0.31014150943396224</x:v>
      </x:c>
      <x:c r="Q1308" s="6" t="inlineStr">
        <x:is>
          <x:t xml:space="preserve">RAW_OP N/O</x:t>
        </x:is>
      </x:c>
      <x:c r="R1308" s="6" t="inlineStr">
        <x:is>
          <x:t xml:space="preserve">DODATKI</x:t>
        </x:is>
      </x:c>
      <x:c r="S1308" s="6" t="inlineStr">
        <x:is>
          <x:t xml:space="preserve">website+crm</x:t>
        </x:is>
      </x:c>
      <x:c r="T1308" s="581" t="inlineStr">
        <x:is>
          <x:t xml:space="preserve">FIX11: K/L 550/600 wg ark. 09 (POZOSTAWIĆ 0).</x:t>
        </x:is>
      </x:c>
    </x:row>
    <x:row r="1309" s="655" customFormat="1" ht="29.5" customHeight="1">
      <x:c r="A1309" s="6" t="inlineStr">
        <x:is>
          <x:t xml:space="preserve">600 x 1106 cm</x:t>
        </x:is>
      </x:c>
      <x:c r="B1309" s="6" t="inlineStr">
        <x:is>
          <x:t xml:space="preserve">LED2</x:t>
        </x:is>
      </x:c>
      <x:c r="C1309" s="6" t="inlineStr">
        <x:is>
          <x:t xml:space="preserve">Oświetlenie LED 2 punkty</x:t>
        </x:is>
      </x:c>
      <x:c r="D1309" s="6" t="inlineStr">
        <x:is>
          <x:t xml:space="preserve">LED 2 PKT</x:t>
        </x:is>
      </x:c>
      <x:c r="E1309" s="8" t="n">
        <x:f>IFERROR(INDEX('02_RAW_INDEX'!$N:$N,MATCH($A1309,'02_RAW_INDEX'!$A:$A,0)),"")</x:f>
        <x:v>1163</x:v>
      </x:c>
      <x:c r="F1309" s="8" t="n">
        <x:f>IFERROR(INDEX('02_RAW_INDEX'!$M:$M,MATCH($A1309,'02_RAW_INDEX'!$A:$A,0)),"")</x:f>
        <x:v>1430</x:v>
      </x:c>
      <x:c r="G1309" s="7" t="n">
        <x:f>'01_Ustawienia'!$B$6</x:f>
        <x:v>0</x:v>
      </x:c>
      <x:c r="H1309" s="8" t="n">
        <x:f>IF(E1309="","",ROUND(IF('01_Ustawienia'!$B$5="BRUTTO",F1309,E1309)*(1-G1309),0))</x:f>
        <x:v>1163</x:v>
      </x:c>
      <x:c r="I1309" s="7" t="n">
        <x:f>IFERROR(IFERROR(INDEX('01_Ustawienia'!$B$15:$B$33,MATCH(B1309,'01_Ustawienia'!$A$15:$A$33,0)),0.45),0.45)</x:f>
        <x:v>0.45</x:v>
      </x:c>
      <x:c r="J1309" s="8" t="n">
        <x:f>IF(H1309="","",ROUND(H1309*(1+I1309),0))</x:f>
        <x:v>1686</x:v>
      </x:c>
      <x:c r="K1309" s="582" t="n">
        <x:v>0</x:v>
      </x:c>
      <x:c r="L1309" s="582" t="n">
        <x:v>0</x:v>
      </x:c>
      <x:c r="M1309" s="7" t="n">
        <x:f>IF('01_Ustawienia'!$B$4="ZWOLNIONY",0,'01_Ustawienia'!$B$7)</x:f>
        <x:v>0.08</x:v>
      </x:c>
      <x:c r="N1309" s="8" t="n">
        <x:f>IF(J1309="","",ROUND((J1309+K1309)*(1+M1309),0))</x:f>
        <x:v>1821</x:v>
      </x:c>
      <x:c r="O1309" s="8" t="n">
        <x:f>IF(J1309="","",J1309+K1309-H1309-L1309)</x:f>
        <x:v>523</x:v>
      </x:c>
      <x:c r="P1309" s="7" t="n">
        <x:f>IFERROR(O1309/(J1309+K1309),"")</x:f>
        <x:v>0.31020166073546857</x:v>
      </x:c>
      <x:c r="Q1309" s="6" t="inlineStr">
        <x:is>
          <x:t xml:space="preserve">RAW_ZP P/Q</x:t>
        </x:is>
      </x:c>
      <x:c r="R1309" s="6" t="inlineStr">
        <x:is>
          <x:t xml:space="preserve">OŚWIETLENIE</x:t>
        </x:is>
      </x:c>
      <x:c r="S1309" s="6" t="inlineStr">
        <x:is>
          <x:t xml:space="preserve">website+crm</x:t>
        </x:is>
      </x:c>
      <x:c r="T1309" s="581" t="inlineStr">
        <x:is>
          <x:t xml:space="preserve">FIX11: K/L 550/600 wg ark. 09 (POZOSTAWIĆ 0 NA RAZIE).</x:t>
        </x:is>
      </x:c>
    </x:row>
    <x:row r="1310" s="655" customFormat="1" ht="44.25" customHeight="1">
      <x:c r="A1310" s="6" t="inlineStr">
        <x:is>
          <x:t xml:space="preserve">600 x 1106 cm</x:t>
        </x:is>
      </x:c>
      <x:c r="B1310" s="6" t="inlineStr">
        <x:is>
          <x:t xml:space="preserve">LED3</x:t>
        </x:is>
      </x:c>
      <x:c r="C1310" s="6" t="inlineStr">
        <x:is>
          <x:t xml:space="preserve">Oświetlenie LED 3 punkty</x:t>
        </x:is>
      </x:c>
      <x:c r="D1310" s="6" t="inlineStr">
        <x:is>
          <x:t xml:space="preserve">LED 3 PKT</x:t>
        </x:is>
      </x:c>
      <x:c r="E1310" s="8" t="n">
        <x:f>IFERROR(INDEX('02_RAW_INDEX'!$P:$P,MATCH($A1310,'02_RAW_INDEX'!$A:$A,0)),"")</x:f>
        <x:v>1439</x:v>
      </x:c>
      <x:c r="F1310" s="8" t="n">
        <x:f>IFERROR(INDEX('02_RAW_INDEX'!$O:$O,MATCH($A1310,'02_RAW_INDEX'!$A:$A,0)),"")</x:f>
        <x:v>1770</x:v>
      </x:c>
      <x:c r="G1310" s="7" t="n">
        <x:f>'01_Ustawienia'!$B$6</x:f>
        <x:v>0</x:v>
      </x:c>
      <x:c r="H1310" s="8" t="n">
        <x:f>IF(E1310="","",ROUND(IF('01_Ustawienia'!$B$5="BRUTTO",F1310,E1310)*(1-G1310),0))</x:f>
        <x:v>1439</x:v>
      </x:c>
      <x:c r="I1310" s="7" t="n">
        <x:f>IFERROR(IFERROR(INDEX('01_Ustawienia'!$B$15:$B$33,MATCH(B1310,'01_Ustawienia'!$A$15:$A$33,0)),0.45),0.45)</x:f>
        <x:v>0.45</x:v>
      </x:c>
      <x:c r="J1310" s="8" t="n">
        <x:f>IF(H1310="","",ROUND(H1310*(1+I1310),0))</x:f>
        <x:v>2087</x:v>
      </x:c>
      <x:c r="K1310" s="582" t="n">
        <x:v>0</x:v>
      </x:c>
      <x:c r="L1310" s="582" t="n">
        <x:v>0</x:v>
      </x:c>
      <x:c r="M1310" s="7" t="n">
        <x:f>IF('01_Ustawienia'!$B$4="ZWOLNIONY",0,'01_Ustawienia'!$B$7)</x:f>
        <x:v>0.08</x:v>
      </x:c>
      <x:c r="N1310" s="8" t="n">
        <x:f>IF(J1310="","",ROUND((J1310+K1310)*(1+M1310),0))</x:f>
        <x:v>2254</x:v>
      </x:c>
      <x:c r="O1310" s="8" t="n">
        <x:f>IF(J1310="","",J1310+K1310-H1310-L1310)</x:f>
        <x:v>648</x:v>
      </x:c>
      <x:c r="P1310" s="7" t="n">
        <x:f>IFERROR(O1310/(J1310+K1310),"")</x:f>
        <x:v>0.3104935313847628</x:v>
      </x:c>
      <x:c r="Q1310" s="6" t="inlineStr">
        <x:is>
          <x:t xml:space="preserve">RAW_ZP R/S</x:t>
        </x:is>
      </x:c>
      <x:c r="R1310" s="6" t="inlineStr">
        <x:is>
          <x:t xml:space="preserve">OŚWIETLENIE</x:t>
        </x:is>
      </x:c>
      <x:c r="S1310" s="6" t="inlineStr">
        <x:is>
          <x:t xml:space="preserve">website+crm</x:t>
        </x:is>
      </x:c>
      <x:c r="T1310" s="581" t="inlineStr">
        <x:is>
          <x:t xml:space="preserve">Nazwa do potwierdzenia | FIX11: K/L 550/600 wg ark. 09 (POZOSTAWIĆ 0 NA RAZIE).</x:t>
        </x:is>
      </x:c>
    </x:row>
    <x:row r="1311" s="655" customFormat="1" ht="29.5" customHeight="1">
      <x:c r="A1311" s="6" t="inlineStr">
        <x:is>
          <x:t xml:space="preserve">600 x 1106 cm</x:t>
        </x:is>
      </x:c>
      <x:c r="B1311" s="6" t="inlineStr">
        <x:is>
          <x:t xml:space="preserve">LEDCCT</x:t>
        </x:is>
      </x:c>
      <x:c r="C1311" s="6" t="inlineStr">
        <x:is>
          <x:t xml:space="preserve">Oświetlenie LED CCT</x:t>
        </x:is>
      </x:c>
      <x:c r="D1311" s="6" t="inlineStr">
        <x:is>
          <x:t xml:space="preserve">OŚWIETLENIE</x:t>
        </x:is>
      </x:c>
      <x:c r="E1311" s="8" t="n">
        <x:f>IFERROR(INDEX('02_RAW_INDEX'!$R:$R,MATCH($A1311,'02_RAW_INDEX'!$A:$A,0)),"")</x:f>
        <x:v>3284</x:v>
      </x:c>
      <x:c r="F1311" s="8" t="n">
        <x:f>IFERROR(INDEX('02_RAW_INDEX'!$Q:$Q,MATCH($A1311,'02_RAW_INDEX'!$A:$A,0)),"")</x:f>
        <x:v>4039</x:v>
      </x:c>
      <x:c r="G1311" s="7" t="n">
        <x:f>'01_Ustawienia'!$B$6</x:f>
        <x:v>0</x:v>
      </x:c>
      <x:c r="H1311" s="8" t="n">
        <x:f>IF(E1311="","",ROUND(IF('01_Ustawienia'!$B$5="BRUTTO",F1311,E1311)*(1-G1311),0))</x:f>
        <x:v>3284</x:v>
      </x:c>
      <x:c r="I1311" s="7" t="n">
        <x:f>IFERROR(IFERROR(INDEX('01_Ustawienia'!$B$15:$B$33,MATCH(B1311,'01_Ustawienia'!$A$15:$A$33,0)),0.45),0.45)</x:f>
        <x:v>0.45</x:v>
      </x:c>
      <x:c r="J1311" s="8" t="n">
        <x:f>IF(H1311="","",ROUND(H1311*(1+I1311),0)+700)</x:f>
        <x:v>5462</x:v>
      </x:c>
      <x:c r="K1311" s="582" t="n">
        <x:v>0</x:v>
      </x:c>
      <x:c r="L1311" s="582" t="n">
        <x:v>0</x:v>
      </x:c>
      <x:c r="M1311" s="7" t="n">
        <x:f>IF('01_Ustawienia'!$B$4="ZWOLNIONY",0,'01_Ustawienia'!$B$7)</x:f>
        <x:v>0.08</x:v>
      </x:c>
      <x:c r="N1311" s="8" t="n">
        <x:f>IF(J1311="","",ROUND((J1311+K1311)*(1+M1311),0))</x:f>
        <x:v>5899</x:v>
      </x:c>
      <x:c r="O1311" s="8" t="n">
        <x:f>IF(J1311="","",J1311+K1311-H1311-L1311)</x:f>
        <x:v>2178</x:v>
      </x:c>
      <x:c r="P1311" s="7" t="n">
        <x:f>IFERROR(O1311/(J1311+K1311),"")</x:f>
        <x:v>0.3987550347857928</x:v>
      </x:c>
      <x:c r="Q1311" s="715" t="inlineStr">
        <x:is>
          <x:t xml:space="preserve">MODEL_FIX15_LED</x:t>
        </x:is>
      </x:c>
      <x:c r="R1311" s="6" t="inlineStr">
        <x:is>
          <x:t xml:space="preserve">OŚWIETLENIE</x:t>
        </x:is>
      </x:c>
      <x:c r="S1311" s="6" t="inlineStr">
        <x:is>
          <x:t xml:space="preserve">website+crm</x:t>
        </x:is>
      </x:c>
      <x:c r="T1311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312" s="655" customFormat="1" ht="29.5" customHeight="1">
      <x:c r="A1312" s="6" t="inlineStr">
        <x:is>
          <x:t xml:space="preserve">600 x 1106 cm</x:t>
        </x:is>
      </x:c>
      <x:c r="B1312" s="6" t="inlineStr">
        <x:is>
          <x:t xml:space="preserve">LEDRGBCCT</x:t>
        </x:is>
      </x:c>
      <x:c r="C1312" s="6" t="inlineStr">
        <x:is>
          <x:t xml:space="preserve">Oświetlenie LED RGB CCT</x:t>
        </x:is>
      </x:c>
      <x:c r="D1312" s="6" t="inlineStr">
        <x:is>
          <x:t xml:space="preserve">OŚWIETLENIE</x:t>
        </x:is>
      </x:c>
      <x:c r="E1312" s="8" t="n">
        <x:f>IFERROR(INDEX('02_RAW_INDEX'!$T:$T,MATCH($A1312,'02_RAW_INDEX'!$A:$A,0)),"")</x:f>
        <x:v>4974</x:v>
      </x:c>
      <x:c r="F1312" s="8" t="n">
        <x:f>IFERROR(INDEX('02_RAW_INDEX'!$S:$S,MATCH($A1312,'02_RAW_INDEX'!$A:$A,0)),"")</x:f>
        <x:v>6118</x:v>
      </x:c>
      <x:c r="G1312" s="7" t="n">
        <x:f>'01_Ustawienia'!$B$6</x:f>
        <x:v>0</x:v>
      </x:c>
      <x:c r="H1312" s="8" t="n">
        <x:f>IF(E1312="","",ROUND(IF('01_Ustawienia'!$B$5="BRUTTO",F1312,E1312)*(1-G1312),0))</x:f>
        <x:v>4974</x:v>
      </x:c>
      <x:c r="I1312" s="7" t="n">
        <x:f>IFERROR(IFERROR(INDEX('01_Ustawienia'!$B$15:$B$33,MATCH(B1312,'01_Ustawienia'!$A$15:$A$33,0)),0.45),0.45)</x:f>
        <x:v>0.45</x:v>
      </x:c>
      <x:c r="J1312" s="8" t="n">
        <x:f>IF(H1312="","",ROUND(H1312*(1+I1312),0))</x:f>
        <x:v>7212</x:v>
      </x:c>
      <x:c r="K1312" s="582" t="n">
        <x:v>0</x:v>
      </x:c>
      <x:c r="L1312" s="582" t="n">
        <x:v>0</x:v>
      </x:c>
      <x:c r="M1312" s="7" t="n">
        <x:f>IF('01_Ustawienia'!$B$4="ZWOLNIONY",0,'01_Ustawienia'!$B$7)</x:f>
        <x:v>0.08</x:v>
      </x:c>
      <x:c r="N1312" s="8" t="n">
        <x:f>IF(J1312="","",ROUND((J1312+K1312)*(1+M1312),0))</x:f>
        <x:v>7789</x:v>
      </x:c>
      <x:c r="O1312" s="8" t="n">
        <x:f>IF(J1312="","",J1312+K1312-H1312-L1312)</x:f>
        <x:v>2238</x:v>
      </x:c>
      <x:c r="P1312" s="7" t="n">
        <x:f>IFERROR(O1312/(J1312+K1312),"")</x:f>
        <x:v>0.3103161397670549</x:v>
      </x:c>
      <x:c r="Q1312" s="715" t="inlineStr">
        <x:is>
          <x:t xml:space="preserve">MODEL_FIX15_LED</x:t>
        </x:is>
      </x:c>
      <x:c r="R1312" s="6" t="inlineStr">
        <x:is>
          <x:t xml:space="preserve">OŚWIETLENIE</x:t>
        </x:is>
      </x:c>
      <x:c r="S1312" s="6" t="inlineStr">
        <x:is>
          <x:t xml:space="preserve">crm_only</x:t>
        </x:is>
      </x:c>
      <x:c r="T1312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  <x:row r="1313" s="655" customFormat="1" ht="30" customHeight="1">
      <x:c r="A1313" s="6" t="inlineStr">
        <x:is>
          <x:t xml:space="preserve">600 x 1206 cm</x:t>
        </x:is>
      </x:c>
      <x:c r="B1313" s="6" t="inlineStr">
        <x:is>
          <x:t xml:space="preserve">ZP</x:t>
        </x:is>
      </x:c>
      <x:c r="C1313" s="6" t="inlineStr">
        <x:is>
          <x:t xml:space="preserve">Zadaszenie poliwęglan - baza</x:t>
        </x:is>
      </x:c>
      <x:c r="D1313" s="6" t="inlineStr">
        <x:is>
          <x:t xml:space="preserve">ZADASZENIE POLIWĘGLAN</x:t>
        </x:is>
      </x:c>
      <x:c r="E1313" s="8" t="n">
        <x:f>IFERROR(INDEX('02_RAW_INDEX'!$D:$D,MATCH($A1313,'02_RAW_INDEX'!$A:$A,0)),"")</x:f>
        <x:v>33545</x:v>
      </x:c>
      <x:c r="F1313" s="8" t="n">
        <x:f>IFERROR(INDEX('02_RAW_INDEX'!$C:$C,MATCH($A1313,'02_RAW_INDEX'!$A:$A,0)),"")</x:f>
        <x:v>41260</x:v>
      </x:c>
      <x:c r="G1313" s="7" t="n">
        <x:f>'01_Ustawienia'!$B$6</x:f>
        <x:v>0</x:v>
      </x:c>
      <x:c r="H1313" s="8" t="n">
        <x:f>IF(E1313="","",ROUND(IF('01_Ustawienia'!$B$5="BRUTTO",F1313,E1313)*(1-G1313),0))</x:f>
        <x:v>33545</x:v>
      </x:c>
      <x:c r="I1313" s="7" t="n">
        <x:f>IFERROR(IFERROR(INDEX('01_Ustawienia'!$B$15:$B$33,MATCH(B1313,'01_Ustawienia'!$A$15:$A$33,0)),0.45),0.45)</x:f>
        <x:v>0.45</x:v>
      </x:c>
      <x:c r="J1313" s="8" t="n">
        <x:f>IF(H1313="","",ROUND(H1313*(1+I1313),0))</x:f>
        <x:v>48640</x:v>
      </x:c>
      <x:c r="K1313" s="580" t="n">
        <x:v>6970</x:v>
      </x:c>
      <x:c r="L1313" s="580" t="n">
        <x:v>2370</x:v>
      </x:c>
      <x:c r="M1313" s="7" t="n">
        <x:f>IF('01_Ustawienia'!$B$4="ZWOLNIONY",0,'01_Ustawienia'!$B$7)</x:f>
        <x:v>0.08</x:v>
      </x:c>
      <x:c r="N1313" s="8" t="n">
        <x:f>IF(J1313="","",ROUND((J1313+K1313)*(1+M1313),0))</x:f>
        <x:v>60059</x:v>
      </x:c>
      <x:c r="O1313" s="8" t="n">
        <x:f>IF(J1313="","",J1313+K1313-H1313-L1313)</x:f>
        <x:v>19695</x:v>
      </x:c>
      <x:c r="P1313" s="7" t="n">
        <x:f>IFERROR(O1313/(J1313+K1313),"")</x:f>
        <x:v>0.3541629203380687</x:v>
      </x:c>
      <x:c r="Q1313" s="6" t="inlineStr">
        <x:is>
          <x:t xml:space="preserve">RAW_ZP B/C</x:t>
        </x:is>
      </x:c>
      <x:c r="R1313" s="6" t="inlineStr">
        <x:is>
          <x:t xml:space="preserve">ZADASZENIE TARASU KONSTRUKCJA</x:t>
        </x:is>
      </x:c>
      <x:c r="S1313" s="6" t="inlineStr">
        <x:is>
          <x:t xml:space="preserve">website+crm</x:t>
        </x:is>
      </x:c>
      <x:c r="T1313" s="581" t="inlineStr">
        <x:is>
          <x:t xml:space="preserve">Baza dla kalkulatora | FIX11: K/L 550/600 wg ark. 09 (UZUPEŁNIĆ).</x:t>
        </x:is>
      </x:c>
    </x:row>
    <x:row r="1314" s="655" customFormat="1" ht="30" customHeight="1">
      <x:c r="A1314" s="6" t="inlineStr">
        <x:is>
          <x:t xml:space="preserve">600 x 1206 cm</x:t>
        </x:is>
      </x:c>
      <x:c r="B1314" s="6" t="inlineStr">
        <x:is>
          <x:t xml:space="preserve">ZS</x:t>
        </x:is>
      </x:c>
      <x:c r="C1314" s="6" t="inlineStr">
        <x:is>
          <x:t xml:space="preserve">Zadaszenie szkło - pełna konstrukcja</x:t>
        </x:is>
      </x:c>
      <x:c r="D1314" s="6" t="inlineStr">
        <x:is>
          <x:t xml:space="preserve">ZADASZENIE SZKŁO</x:t>
        </x:is>
      </x:c>
      <x:c r="E1314" s="8" t="str">
        <x:f>IFERROR(INDEX('02_RAW_INDEX'!$V:$V,MATCH($A1314,'02_RAW_INDEX'!$A:$A,0)),"")</x:f>
      </x:c>
      <x:c r="F1314" s="8" t="str">
        <x:f>IFERROR(INDEX('02_RAW_INDEX'!$U:$U,MATCH($A1314,'02_RAW_INDEX'!$A:$A,0)),"")</x:f>
      </x:c>
      <x:c r="G1314" s="7" t="n">
        <x:f>'01_Ustawienia'!$B$6</x:f>
        <x:v>0</x:v>
      </x:c>
      <x:c r="H1314" s="8" t="str">
        <x:f>IF(E1314="","",ROUND(IF('01_Ustawienia'!$B$5="BRUTTO",F1314,E1314)*(1-G1314),0))</x:f>
      </x:c>
      <x:c r="I1314" s="7" t="n">
        <x:f>IFERROR(IFERROR(INDEX('01_Ustawienia'!$B$15:$B$33,MATCH(B1314,'01_Ustawienia'!$A$15:$A$33,0)),0.45),0.45)</x:f>
        <x:v>0.45</x:v>
      </x:c>
      <x:c r="J1314" s="8" t="str">
        <x:f>IF(H1314="","",ROUND(H1314*(1+I1314),0))</x:f>
      </x:c>
      <x:c r="K1314" s="580" t="n">
        <x:v>6970</x:v>
      </x:c>
      <x:c r="L1314" s="580" t="n">
        <x:v>3040</x:v>
      </x:c>
      <x:c r="M1314" s="7" t="n">
        <x:f>IF('01_Ustawienia'!$B$4="ZWOLNIONY",0,'01_Ustawienia'!$B$7)</x:f>
        <x:v>0.08</x:v>
      </x:c>
      <x:c r="N1314" s="8" t="str">
        <x:f>IF(J1314="","",ROUND((J1314+K1314)*(1+M1314),0))</x:f>
      </x:c>
      <x:c r="O1314" s="8" t="str">
        <x:f>IF(J1314="","",J1314+K1314-H1314-L1314)</x:f>
      </x:c>
      <x:c r="P1314" s="7" t="n">
        <x:f>IFERROR(O1314/(J1314+K1314),"")</x:f>
        <x:v>0</x:v>
      </x:c>
      <x:c r="Q1314" s="6" t="inlineStr">
        <x:is>
          <x:t xml:space="preserve">RAW_ZS B/C</x:t>
        </x:is>
      </x:c>
      <x:c r="R1314" s="6" t="inlineStr">
        <x:is>
          <x:t xml:space="preserve">ZADASZENIE TARASU KONSTRUKCJA</x:t>
        </x:is>
      </x:c>
      <x:c r="S1314" s="6" t="inlineStr">
        <x:is>
          <x:t xml:space="preserve">crm_only</x:t>
        </x:is>
      </x:c>
      <x:c r="T1314" s="581" t="inlineStr">
        <x:is>
          <x:t xml:space="preserve">Referencyjne/full; strona zwykle używa ZP + PDS | FIX11: K/L 550/600 wg ark. 09 (NIE PUBLIKOWAĆ / BRAK RAW_ZS).</x:t>
        </x:is>
      </x:c>
    </x:row>
    <x:row r="1315" s="655" customFormat="1" ht="30" customHeight="1">
      <x:c r="A1315" s="6" t="inlineStr">
        <x:is>
          <x:t xml:space="preserve">600 x 1206 cm</x:t>
        </x:is>
      </x:c>
      <x:c r="B1315" s="6" t="inlineStr">
        <x:is>
          <x:t xml:space="preserve">OP</x:t>
        </x:is>
      </x:c>
      <x:c r="C1315" s="6" t="inlineStr">
        <x:is>
          <x:t xml:space="preserve">Ogród zimowy poliwęglan - baza</x:t>
        </x:is>
      </x:c>
      <x:c r="D1315" s="6" t="inlineStr">
        <x:is>
          <x:t xml:space="preserve">OGRODY POLIWĘGLAN</x:t>
        </x:is>
      </x:c>
      <x:c r="E1315" s="8" t="n">
        <x:f>IFERROR(INDEX('02_RAW_INDEX'!$Z:$Z,MATCH($A1315,'02_RAW_INDEX'!$A:$A,0)),"")</x:f>
        <x:v>53358</x:v>
      </x:c>
      <x:c r="F1315" s="8" t="n">
        <x:f>IFERROR(INDEX('02_RAW_INDEX'!$Y:$Y,MATCH($A1315,'02_RAW_INDEX'!$A:$A,0)),"")</x:f>
        <x:v>65630</x:v>
      </x:c>
      <x:c r="G1315" s="7" t="n">
        <x:f>'01_Ustawienia'!$B$6</x:f>
        <x:v>0</x:v>
      </x:c>
      <x:c r="H1315" s="8" t="n">
        <x:f>IF(E1315="","",ROUND(IF('01_Ustawienia'!$B$5="BRUTTO",F1315,E1315)*(1-G1315),0))</x:f>
        <x:v>53358</x:v>
      </x:c>
      <x:c r="I1315" s="7" t="n">
        <x:f>IFERROR(IFERROR(INDEX('01_Ustawienia'!$B$15:$B$33,MATCH(B1315,'01_Ustawienia'!$A$15:$A$33,0)),0.45),0.45)</x:f>
        <x:v>0.45</x:v>
      </x:c>
      <x:c r="J1315" s="8" t="n">
        <x:f>IF(H1315="","",ROUND(H1315*(1+I1315),0))</x:f>
        <x:v>77369</x:v>
      </x:c>
      <x:c r="K1315" s="580" t="n">
        <x:v>8410</x:v>
      </x:c>
      <x:c r="L1315" s="580" t="n">
        <x:v>3330</x:v>
      </x:c>
      <x:c r="M1315" s="7" t="n">
        <x:f>IF('01_Ustawienia'!$B$4="ZWOLNIONY",0,'01_Ustawienia'!$B$7)</x:f>
        <x:v>0.08</x:v>
      </x:c>
      <x:c r="N1315" s="8" t="n">
        <x:f>IF(J1315="","",ROUND((J1315+K1315)*(1+M1315),0))</x:f>
        <x:v>92641</x:v>
      </x:c>
      <x:c r="O1315" s="8" t="n">
        <x:f>IF(J1315="","",J1315+K1315-H1315-L1315)</x:f>
        <x:v>29091</x:v>
      </x:c>
      <x:c r="P1315" s="7" t="n">
        <x:f>IFERROR(O1315/(J1315+K1315),"")</x:f>
        <x:v>0.33913895009268</x:v>
      </x:c>
      <x:c r="Q1315" s="6" t="inlineStr">
        <x:is>
          <x:t xml:space="preserve">RAW_OP B/C</x:t>
        </x:is>
      </x:c>
      <x:c r="R1315" s="6" t="inlineStr">
        <x:is>
          <x:t xml:space="preserve">OGRÓD ZIMOWY (KONSTRUKCJA)</x:t>
        </x:is>
      </x:c>
      <x:c r="S1315" s="6" t="inlineStr">
        <x:is>
          <x:t xml:space="preserve">website+crm</x:t>
        </x:is>
      </x:c>
      <x:c r="T1315" s="581" t="inlineStr">
        <x:is>
          <x:t xml:space="preserve">Do wyliczenia dopłaty za ściany | FIX11: K/L 550/600 wg ark. 09 (UZUPEŁNIĆ).</x:t>
        </x:is>
      </x:c>
    </x:row>
    <x:row r="1316" s="655" customFormat="1" ht="30" customHeight="1">
      <x:c r="A1316" s="6" t="inlineStr">
        <x:is>
          <x:t xml:space="preserve">600 x 1206 cm</x:t>
        </x:is>
      </x:c>
      <x:c r="B1316" s="6" t="inlineStr">
        <x:is>
          <x:t xml:space="preserve">OS</x:t>
        </x:is>
      </x:c>
      <x:c r="C1316" s="6" t="inlineStr">
        <x:is>
          <x:t xml:space="preserve">Ogród zimowy szkło - pełna konstrukcja</x:t>
        </x:is>
      </x:c>
      <x:c r="D1316" s="6" t="inlineStr">
        <x:is>
          <x:t xml:space="preserve">OGRODY SZKŁO</x:t>
        </x:is>
      </x:c>
      <x:c r="E1316" s="8" t="str">
        <x:f>IFERROR(INDEX('02_RAW_INDEX'!$AL:$AL,MATCH($A1316,'02_RAW_INDEX'!$A:$A,0)),"")</x:f>
      </x:c>
      <x:c r="F1316" s="8" t="str">
        <x:f>IFERROR(INDEX('02_RAW_INDEX'!$AK:$AK,MATCH($A1316,'02_RAW_INDEX'!$A:$A,0)),"")</x:f>
      </x:c>
      <x:c r="G1316" s="7" t="n">
        <x:f>'01_Ustawienia'!$B$6</x:f>
        <x:v>0</x:v>
      </x:c>
      <x:c r="H1316" s="8" t="str">
        <x:f>IF(E1316="","",ROUND(IF('01_Ustawienia'!$B$5="BRUTTO",F1316,E1316)*(1-G1316),0))</x:f>
      </x:c>
      <x:c r="I1316" s="7" t="n">
        <x:f>IFERROR(IFERROR(INDEX('01_Ustawienia'!$B$15:$B$33,MATCH(B1316,'01_Ustawienia'!$A$15:$A$33,0)),0.45),0.45)</x:f>
        <x:v>0.45</x:v>
      </x:c>
      <x:c r="J1316" s="8" t="str">
        <x:f>IF(H1316="","",ROUND(H1316*(1+I1316),0))</x:f>
      </x:c>
      <x:c r="K1316" s="580" t="n">
        <x:v>8410</x:v>
      </x:c>
      <x:c r="L1316" s="580" t="n">
        <x:v>4000</x:v>
      </x:c>
      <x:c r="M1316" s="7" t="n">
        <x:f>IF('01_Ustawienia'!$B$4="ZWOLNIONY",0,'01_Ustawienia'!$B$7)</x:f>
        <x:v>0.08</x:v>
      </x:c>
      <x:c r="N1316" s="8" t="str">
        <x:f>IF(J1316="","",ROUND((J1316+K1316)*(1+M1316),0))</x:f>
      </x:c>
      <x:c r="O1316" s="8" t="str">
        <x:f>IF(J1316="","",J1316+K1316-H1316-L1316)</x:f>
      </x:c>
      <x:c r="P1316" s="7" t="n">
        <x:f>IFERROR(O1316/(J1316+K1316),"")</x:f>
        <x:v>0</x:v>
      </x:c>
      <x:c r="Q1316" s="6" t="inlineStr">
        <x:is>
          <x:t xml:space="preserve">RAW_OS B/C</x:t>
        </x:is>
      </x:c>
      <x:c r="R1316" s="6" t="inlineStr">
        <x:is>
          <x:t xml:space="preserve">OGRÓD ZIMOWY (KONSTRUKCJA)</x:t>
        </x:is>
      </x:c>
      <x:c r="S1316" s="6" t="inlineStr">
        <x:is>
          <x:t xml:space="preserve">crm_only</x:t>
        </x:is>
      </x:c>
      <x:c r="T1316" s="581" t="inlineStr">
        <x:is>
          <x:t xml:space="preserve">Referencyjne/full | FIX11: K/L 550/600 wg ark. 09 (NIE PUBLIKOWAĆ / BRAK RAW_OS).</x:t>
        </x:is>
      </x:c>
    </x:row>
    <x:row r="1317" s="655" customFormat="1" ht="30" customHeight="1">
      <x:c r="A1317" s="6" t="inlineStr">
        <x:is>
          <x:t xml:space="preserve">600 x 1206 cm</x:t>
        </x:is>
      </x:c>
      <x:c r="B1317" s="6" t="inlineStr">
        <x:is>
          <x:t xml:space="preserve">PDS</x:t>
        </x:is>
      </x:c>
      <x:c r="C1317" s="6" t="inlineStr">
        <x:is>
          <x:t xml:space="preserve">Dopłata dach szkło przezroczyste</x:t>
        </x:is>
      </x:c>
      <x:c r="D1317" s="6" t="inlineStr">
        <x:is>
          <x:t xml:space="preserve">POKRYCIE DACHU SZKŁO</x:t>
        </x:is>
      </x:c>
      <x:c r="E1317" s="8" t="n">
        <x:f>IFERROR(IFERROR(INDEX('02_RAW_INDEX'!$V:$V,MATCH($A1317,'02_RAW_INDEX'!$A:$A,0)),"")-IFERROR(INDEX('02_RAW_INDEX'!$D:$D,MATCH($A1317,'02_RAW_INDEX'!$A:$A,0)),""),"")</x:f>
        <x:v>-33545</x:v>
      </x:c>
      <x:c r="F1317" s="8" t="n">
        <x:f>IFERROR(IFERROR(INDEX('02_RAW_INDEX'!$U:$U,MATCH($A1317,'02_RAW_INDEX'!$A:$A,0)),"")-IFERROR(INDEX('02_RAW_INDEX'!$C:$C,MATCH($A1317,'02_RAW_INDEX'!$A:$A,0)),""),"")</x:f>
        <x:v>-41260</x:v>
      </x:c>
      <x:c r="G1317" s="7" t="n">
        <x:f>'01_Ustawienia'!$B$6</x:f>
        <x:v>0</x:v>
      </x:c>
      <x:c r="H1317" s="8" t="n">
        <x:f>IF(E1317="","",ROUND(IF('01_Ustawienia'!$B$5="BRUTTO",F1317,E1317)*(1-G1317),0))</x:f>
        <x:v>-33545</x:v>
      </x:c>
      <x:c r="I1317" s="7" t="n">
        <x:f>IFERROR(IFERROR(INDEX('01_Ustawienia'!$B$15:$B$33,MATCH(B1317,'01_Ustawienia'!$A$15:$A$33,0)),0.45),0.45)</x:f>
        <x:v>0.45</x:v>
      </x:c>
      <x:c r="J1317" s="8" t="n">
        <x:f>IF(H1317="","",ROUND(H1317*(1+I1317),0))</x:f>
        <x:v>-48640</x:v>
      </x:c>
      <x:c r="K1317" s="580" t="n">
        <x:v>0</x:v>
      </x:c>
      <x:c r="L1317" s="580" t="n">
        <x:v>0</x:v>
      </x:c>
      <x:c r="M1317" s="7" t="n">
        <x:f>IF('01_Ustawienia'!$B$4="ZWOLNIONY",0,'01_Ustawienia'!$B$7)</x:f>
        <x:v>0.08</x:v>
      </x:c>
      <x:c r="N1317" s="8" t="n">
        <x:f>IF(J1317="","",ROUND((J1317+K1317)*(1+M1317),0))</x:f>
        <x:v>-52531</x:v>
      </x:c>
      <x:c r="O1317" s="8" t="n">
        <x:f>IF(J1317="","",J1317+K1317-H1317-L1317)</x:f>
        <x:v>-15095</x:v>
      </x:c>
      <x:c r="P1317" s="7" t="n">
        <x:f>IFERROR(O1317/(J1317+K1317),"")</x:f>
        <x:v>0.31034128289473684</x:v>
      </x:c>
      <x:c r="Q1317" s="6" t="inlineStr">
        <x:is>
          <x:t xml:space="preserve">RAW_ZS - RAW_ZP</x:t>
        </x:is>
      </x:c>
      <x:c r="R1317" s="6" t="inlineStr">
        <x:is>
          <x:t xml:space="preserve">POKRYCIE DACHU</x:t>
        </x:is>
      </x:c>
      <x:c r="S1317" s="6" t="inlineStr">
        <x:is>
          <x:t xml:space="preserve">website+crm</x:t>
        </x:is>
      </x:c>
      <x:c r="T1317" s="581" t="inlineStr">
        <x:is>
          <x:t xml:space="preserve">Dopłata do bazowego dachu poliwęglan | FIX11: K/L 550/600 wg ark. 09 (DO UŻYCIA DOPIERO GDY BĘDZIE CENA DACHU SZKŁO). | FIX17: Wynagr.+koszty = 0 dla dopłaty; nie jest osobnym montażem ekipy.</x:t>
        </x:is>
      </x:c>
    </x:row>
    <x:row r="1318" s="655" customFormat="1" ht="30" customHeight="1">
      <x:c r="A1318" s="6" t="inlineStr">
        <x:is>
          <x:t xml:space="preserve">600 x 1206 cm</x:t>
        </x:is>
      </x:c>
      <x:c r="B1318" s="6" t="inlineStr">
        <x:is>
          <x:t xml:space="preserve">PDSB</x:t>
        </x:is>
      </x:c>
      <x:c r="C1318" s="6" t="inlineStr">
        <x:is>
          <x:t xml:space="preserve">Dopłata dach szkło barwione/mleczne</x:t>
        </x:is>
      </x:c>
      <x:c r="D1318" s="6" t="inlineStr">
        <x:is>
          <x:t xml:space="preserve">POKRYCIE DACHU SZKŁO BARWIONE</x:t>
        </x:is>
      </x:c>
      <x:c r="E1318" s="8" t="str">
        <x:f>IFERROR(INDEX('02_RAW_INDEX'!$X:$X,MATCH($A1318,'02_RAW_INDEX'!$A:$A,0)),"")</x:f>
      </x:c>
      <x:c r="F1318" s="8" t="str">
        <x:f>IFERROR(INDEX('02_RAW_INDEX'!$W:$W,MATCH($A1318,'02_RAW_INDEX'!$A:$A,0)),"")</x:f>
      </x:c>
      <x:c r="G1318" s="7" t="n">
        <x:f>'01_Ustawienia'!$B$6</x:f>
        <x:v>0</x:v>
      </x:c>
      <x:c r="H1318" s="8" t="str">
        <x:f>IF(E1318="","",ROUND(IF('01_Ustawienia'!$B$5="BRUTTO",F1318,E1318)*(1-G1318),0))</x:f>
      </x:c>
      <x:c r="I1318" s="7" t="n">
        <x:f>IFERROR(IFERROR(INDEX('01_Ustawienia'!$B$15:$B$33,MATCH(B1318,'01_Ustawienia'!$A$15:$A$33,0)),0.45),0.45)</x:f>
        <x:v>0.45</x:v>
      </x:c>
      <x:c r="J1318" s="8" t="str">
        <x:f>IF(H1318="","",ROUND(H1318*(1+I1318),0))</x:f>
      </x:c>
      <x:c r="K1318" s="582" t="n">
        <x:v>0</x:v>
      </x:c>
      <x:c r="L1318" s="582" t="n">
        <x:v>0</x:v>
      </x:c>
      <x:c r="M1318" s="7" t="n">
        <x:f>IF('01_Ustawienia'!$B$4="ZWOLNIONY",0,'01_Ustawienia'!$B$7)</x:f>
        <x:v>0.08</x:v>
      </x:c>
      <x:c r="N1318" s="8" t="str">
        <x:f>IF(J1318="","",ROUND((J1318+K1318)*(1+M1318),0))</x:f>
      </x:c>
      <x:c r="O1318" s="8" t="str">
        <x:f>IF(J1318="","",J1318+K1318-H1318-L1318)</x:f>
      </x:c>
      <x:c r="P1318" s="7" t="str">
        <x:f>IFERROR(O1318/(J1318+K1318),"")</x:f>
      </x:c>
      <x:c r="Q1318" s="6" t="inlineStr">
        <x:is>
          <x:t xml:space="preserve">RAW_ZS D/E</x:t>
        </x:is>
      </x:c>
      <x:c r="R1318" s="6" t="inlineStr">
        <x:is>
          <x:t xml:space="preserve">POKRYCIE DACHU</x:t>
        </x:is>
      </x:c>
      <x:c r="S1318" s="6" t="inlineStr">
        <x:is>
          <x:t xml:space="preserve">website+crm</x:t>
        </x:is>
      </x:c>
      <x:c r="T1318" s="581" t="inlineStr">
        <x:is>
          <x:t xml:space="preserve">Dodawane do PDS | FIX11: K/L 550/600 wg ark. 09 (POZOSTAWIĆ 0 / BRAK CENY PDSB). | FIX17: Wynagr.+koszty = 0 dla dopłaty; nie jest osobnym montażem ekipy.</x:t>
        </x:is>
      </x:c>
    </x:row>
    <x:row r="1319" s="655" customFormat="1" ht="30" customHeight="1">
      <x:c r="A1319" s="6" t="inlineStr">
        <x:is>
          <x:t xml:space="preserve">600 x 1206 cm</x:t>
        </x:is>
      </x:c>
      <x:c r="B1319" s="6" t="inlineStr">
        <x:is>
          <x:t xml:space="preserve">PDPB</x:t>
        </x:is>
      </x:c>
      <x:c r="C1319" s="6" t="inlineStr">
        <x:is>
          <x:t xml:space="preserve">Dopłata poliwęglan barwiony</x:t>
        </x:is>
      </x:c>
      <x:c r="D1319" s="6" t="inlineStr">
        <x:is>
          <x:t xml:space="preserve">POKRYCIE DACHU POLIWĘGLAN BARWIONY</x:t>
        </x:is>
      </x:c>
      <x:c r="E1319" s="8" t="n">
        <x:f>IFERROR(INDEX('02_RAW_INDEX'!$F:$F,MATCH($A1319,'02_RAW_INDEX'!$A:$A,0)),"")</x:f>
        <x:v>1016</x:v>
      </x:c>
      <x:c r="F1319" s="8" t="n">
        <x:f>IFERROR(INDEX('02_RAW_INDEX'!$E:$E,MATCH($A1319,'02_RAW_INDEX'!$A:$A,0)),"")</x:f>
        <x:v>1250</x:v>
      </x:c>
      <x:c r="G1319" s="7" t="n">
        <x:f>'01_Ustawienia'!$B$6</x:f>
        <x:v>0</x:v>
      </x:c>
      <x:c r="H1319" s="8" t="n">
        <x:f>IF(E1319="","",ROUND(IF('01_Ustawienia'!$B$5="BRUTTO",F1319,E1319)*(1-G1319),0))</x:f>
        <x:v>1016</x:v>
      </x:c>
      <x:c r="I1319" s="7" t="n">
        <x:f>IFERROR(IFERROR(INDEX('01_Ustawienia'!$B$15:$B$33,MATCH(B1319,'01_Ustawienia'!$A$15:$A$33,0)),0.45),0.45)</x:f>
        <x:v>0.45</x:v>
      </x:c>
      <x:c r="J1319" s="8" t="n">
        <x:f>IF(H1319="","",ROUND(H1319*(1+I1319),0))</x:f>
        <x:v>1473</x:v>
      </x:c>
      <x:c r="K1319" s="582" t="n">
        <x:v>0</x:v>
      </x:c>
      <x:c r="L1319" s="582" t="n">
        <x:v>0</x:v>
      </x:c>
      <x:c r="M1319" s="7" t="n">
        <x:f>IF('01_Ustawienia'!$B$4="ZWOLNIONY",0,'01_Ustawienia'!$B$7)</x:f>
        <x:v>0.08</x:v>
      </x:c>
      <x:c r="N1319" s="8" t="n">
        <x:f>IF(J1319="","",ROUND((J1319+K1319)*(1+M1319),0))</x:f>
        <x:v>1591</x:v>
      </x:c>
      <x:c r="O1319" s="8" t="n">
        <x:f>IF(J1319="","",J1319+K1319-H1319-L1319)</x:f>
        <x:v>457</x:v>
      </x:c>
      <x:c r="P1319" s="7" t="n">
        <x:f>IFERROR(O1319/(J1319+K1319),"")</x:f>
        <x:v>0.3102511880515954</x:v>
      </x:c>
      <x:c r="Q1319" s="6" t="inlineStr">
        <x:is>
          <x:t xml:space="preserve">RAW_ZP D/E</x:t>
        </x:is>
      </x:c>
      <x:c r="R1319" s="6" t="inlineStr">
        <x:is>
          <x:t xml:space="preserve">POKRYCIE DACHU</x:t>
        </x:is>
      </x:c>
      <x:c r="S1319" s="6" t="inlineStr">
        <x:is>
          <x:t xml:space="preserve">website+crm</x:t>
        </x:is>
      </x:c>
      <x:c r="T1319" s="581" t="inlineStr">
        <x:is>
          <x:t xml:space="preserve">FIX11: K/L 550/600 wg ark. 09 (POZOSTAWIĆ 0). | FIX17: Wynagr.+koszty = 0 dla dopłaty; nie jest osobnym montażem ekipy.</x:t>
        </x:is>
      </x:c>
    </x:row>
    <x:row r="1320" s="655" customFormat="1" ht="30" customHeight="1">
      <x:c r="A1320" s="6" t="inlineStr">
        <x:is>
          <x:t xml:space="preserve">600 x 1206 cm</x:t>
        </x:is>
      </x:c>
      <x:c r="B1320" s="6" t="inlineStr">
        <x:is>
          <x:t xml:space="preserve">SBB</x:t>
        </x:is>
      </x:c>
      <x:c r="C1320" s="6" t="inlineStr">
        <x:is>
          <x:t xml:space="preserve">Dopłata szkło boczne przyciemniane</x:t>
        </x:is>
      </x:c>
      <x:c r="D1320" s="6" t="inlineStr">
        <x:is>
          <x:t xml:space="preserve">SZKŁO BOCZNE BARWIONE</x:t>
        </x:is>
      </x:c>
      <x:c r="E1320" s="8" t="n">
        <x:f>IFERROR(INDEX('02_RAW_INDEX'!$AB:$AB,MATCH($A1320,'02_RAW_INDEX'!$A:$A,0)),"")</x:f>
        <x:v>2341</x:v>
      </x:c>
      <x:c r="F1320" s="8" t="n">
        <x:f>IFERROR(INDEX('02_RAW_INDEX'!$AA:$AA,MATCH($A1320,'02_RAW_INDEX'!$A:$A,0)),"")</x:f>
        <x:v>2880</x:v>
      </x:c>
      <x:c r="G1320" s="7" t="n">
        <x:f>'01_Ustawienia'!$B$6</x:f>
        <x:v>0</x:v>
      </x:c>
      <x:c r="H1320" s="8" t="n">
        <x:f>IF(E1320="","",ROUND(IF('01_Ustawienia'!$B$5="BRUTTO",F1320,E1320)*(1-G1320),0))</x:f>
        <x:v>2341</x:v>
      </x:c>
      <x:c r="I1320" s="7" t="n">
        <x:f>IFERROR(IFERROR(INDEX('01_Ustawienia'!$B$15:$B$33,MATCH(B1320,'01_Ustawienia'!$A$15:$A$33,0)),0.45),0.45)</x:f>
        <x:v>0.45</x:v>
      </x:c>
      <x:c r="J1320" s="8" t="n">
        <x:f>IF(H1320="","",ROUND(H1320*(1+I1320),0))</x:f>
        <x:v>3394</x:v>
      </x:c>
      <x:c r="K1320" s="582" t="n">
        <x:v>0</x:v>
      </x:c>
      <x:c r="L1320" s="582" t="n">
        <x:v>0</x:v>
      </x:c>
      <x:c r="M1320" s="7" t="n">
        <x:f>IF('01_Ustawienia'!$B$4="ZWOLNIONY",0,'01_Ustawienia'!$B$7)</x:f>
        <x:v>0.08</x:v>
      </x:c>
      <x:c r="N1320" s="8" t="n">
        <x:f>IF(J1320="","",ROUND((J1320+K1320)*(1+M1320),0))</x:f>
        <x:v>3666</x:v>
      </x:c>
      <x:c r="O1320" s="8" t="n">
        <x:f>IF(J1320="","",J1320+K1320-H1320-L1320)</x:f>
        <x:v>1053</x:v>
      </x:c>
      <x:c r="P1320" s="7" t="n">
        <x:f>IFERROR(O1320/(J1320+K1320),"")</x:f>
        <x:v>0.3102533883323512</x:v>
      </x:c>
      <x:c r="Q1320" s="6" t="inlineStr">
        <x:is>
          <x:t xml:space="preserve">RAW_OP H/I</x:t>
        </x:is>
      </x:c>
      <x:c r="R1320" s="6" t="inlineStr">
        <x:is>
          <x:t xml:space="preserve">SZYBY BOCZNE</x:t>
        </x:is>
      </x:c>
      <x:c r="S1320" s="6" t="inlineStr">
        <x:is>
          <x:t xml:space="preserve">website+crm</x:t>
        </x:is>
      </x:c>
      <x:c r="T1320" s="581" t="inlineStr">
        <x:is>
          <x:t xml:space="preserve">Dodawane do ścian przezroczystych | FIX11: K/L 550/600 wg ark. 09 (POZOSTAWIĆ 0). | FIX17: Wynagr.+koszty = 0 dla dopłaty; nie jest osobnym montażem ekipy.</x:t>
        </x:is>
      </x:c>
    </x:row>
    <x:row r="1321" s="655" customFormat="1" ht="29.5" customHeight="1">
      <x:c r="A1321" s="6" t="inlineStr">
        <x:is>
          <x:t xml:space="preserve">600 x 1206 cm</x:t>
        </x:is>
      </x:c>
      <x:c r="B1321" s="6" t="inlineStr">
        <x:is>
          <x:t xml:space="preserve">RB</x:t>
        </x:is>
      </x:c>
      <x:c r="C1321" s="6" t="inlineStr">
        <x:is>
          <x:t xml:space="preserve">Roleta boczna ZIP</x:t>
        </x:is>
      </x:c>
      <x:c r="D1321" s="6" t="inlineStr">
        <x:is>
          <x:t xml:space="preserve">ROLETA BOCZNA</x:t>
        </x:is>
      </x:c>
      <x:c r="E1321" s="8" t="n">
        <x:f>IFERROR(INDEX('02_RAW_INDEX'!$J:$J,MATCH($A1321,'02_RAW_INDEX'!$A:$A,0)),"")</x:f>
        <x:v>3472</x:v>
      </x:c>
      <x:c r="F1321" s="8" t="n">
        <x:f>IFERROR(INDEX('02_RAW_INDEX'!$I:$I,MATCH($A1321,'02_RAW_INDEX'!$A:$A,0)),"")</x:f>
        <x:v>4270</x:v>
      </x:c>
      <x:c r="G1321" s="7" t="n">
        <x:f>'01_Ustawienia'!$B$6</x:f>
        <x:v>0</x:v>
      </x:c>
      <x:c r="H1321" s="8" t="n">
        <x:f>IF(E1321="","",ROUND(IF('01_Ustawienia'!$B$5="BRUTTO",F1321,E1321)*(1-G1321),0))</x:f>
        <x:v>3472</x:v>
      </x:c>
      <x:c r="I1321" s="7" t="n">
        <x:f>IFERROR(IFERROR(INDEX('01_Ustawienia'!$B$15:$B$33,MATCH(B1321,'01_Ustawienia'!$A$15:$A$33,0)),0.45),0.45)</x:f>
        <x:v>0.45</x:v>
      </x:c>
      <x:c r="J1321" s="8" t="n">
        <x:f>IF(H1321="","",ROUND(H1321*(1+I1321),0))</x:f>
        <x:v>5034</x:v>
      </x:c>
      <x:c r="K1321" s="580" t="n">
        <x:v>0</x:v>
      </x:c>
      <x:c r="L1321" s="580" t="n">
        <x:v>150</x:v>
      </x:c>
      <x:c r="M1321" s="7" t="n">
        <x:f>IF('01_Ustawienia'!$B$4="ZWOLNIONY",0,'01_Ustawienia'!$B$7)</x:f>
        <x:v>0.08</x:v>
      </x:c>
      <x:c r="N1321" s="8" t="n">
        <x:f>IF(J1321="","",ROUND((J1321+K1321)*(1+M1321),0))</x:f>
        <x:v>5437</x:v>
      </x:c>
      <x:c r="O1321" s="8" t="n">
        <x:f>IF(J1321="","",J1321+K1321-H1321-L1321)</x:f>
        <x:v>1412</x:v>
      </x:c>
      <x:c r="P1321" s="7" t="n">
        <x:f>IFERROR(O1321/(J1321+K1321),"")</x:f>
        <x:v>0.28049264998013507</x:v>
      </x:c>
      <x:c r="Q1321" s="6" t="inlineStr">
        <x:is>
          <x:t xml:space="preserve">RAW_ZP J/K</x:t>
        </x:is>
      </x:c>
      <x:c r="R1321" s="6" t="inlineStr">
        <x:is>
          <x:t xml:space="preserve">ROLETY BOCZNE</x:t>
        </x:is>
      </x:c>
      <x:c r="S1321" s="6" t="inlineStr">
        <x:is>
          <x:t xml:space="preserve">website+crm</x:t>
        </x:is>
      </x:c>
      <x:c r="T1321" s="581" t="inlineStr">
        <x:is>
          <x:t xml:space="preserve">Używana dla lewej i prawej | FIX11: K/L 550/600 wg ark. 09 (UZUPEŁNIĆ L).</x:t>
        </x:is>
      </x:c>
    </x:row>
    <x:row r="1322" s="655" customFormat="1" ht="29.5" customHeight="1">
      <x:c r="A1322" s="6" t="inlineStr">
        <x:is>
          <x:t xml:space="preserve">600 x 1206 cm</x:t>
        </x:is>
      </x:c>
      <x:c r="B1322" s="6" t="inlineStr">
        <x:is>
          <x:t xml:space="preserve">RP</x:t>
        </x:is>
      </x:c>
      <x:c r="C1322" s="6" t="inlineStr">
        <x:is>
          <x:t xml:space="preserve">Roleta przednia ZIP</x:t>
        </x:is>
      </x:c>
      <x:c r="D1322" s="6" t="inlineStr">
        <x:is>
          <x:t xml:space="preserve">ROLETA PRZÓD</x:t>
        </x:is>
      </x:c>
      <x:c r="E1322" s="8" t="n">
        <x:f>IFERROR(INDEX('02_RAW_INDEX'!$L:$L,MATCH($A1322,'02_RAW_INDEX'!$A:$A,0)),"")</x:f>
        <x:v>6439</x:v>
      </x:c>
      <x:c r="F1322" s="8" t="n">
        <x:f>IFERROR(INDEX('02_RAW_INDEX'!$K:$K,MATCH($A1322,'02_RAW_INDEX'!$A:$A,0)),"")</x:f>
        <x:v>7920</x:v>
      </x:c>
      <x:c r="G1322" s="7" t="n">
        <x:f>'01_Ustawienia'!$B$6</x:f>
        <x:v>0</x:v>
      </x:c>
      <x:c r="H1322" s="8" t="n">
        <x:f>IF(E1322="","",ROUND(IF('01_Ustawienia'!$B$5="BRUTTO",F1322,E1322)*(1-G1322),0))</x:f>
        <x:v>6439</x:v>
      </x:c>
      <x:c r="I1322" s="7" t="n">
        <x:f>IFERROR(IFERROR(INDEX('01_Ustawienia'!$B$15:$B$33,MATCH(B1322,'01_Ustawienia'!$A$15:$A$33,0)),0.45),0.45)</x:f>
        <x:v>0.45</x:v>
      </x:c>
      <x:c r="J1322" s="8" t="n">
        <x:f>IF(H1322="","",ROUND(H1322*(1+I1322),0))</x:f>
        <x:v>9337</x:v>
      </x:c>
      <x:c r="K1322" s="580" t="n">
        <x:v>0</x:v>
      </x:c>
      <x:c r="L1322" s="580" t="n">
        <x:v>450</x:v>
      </x:c>
      <x:c r="M1322" s="7" t="n">
        <x:f>IF('01_Ustawienia'!$B$4="ZWOLNIONY",0,'01_Ustawienia'!$B$7)</x:f>
        <x:v>0.08</x:v>
      </x:c>
      <x:c r="N1322" s="8" t="n">
        <x:f>IF(J1322="","",ROUND((J1322+K1322)*(1+M1322),0))</x:f>
        <x:v>10084</x:v>
      </x:c>
      <x:c r="O1322" s="8" t="n">
        <x:f>IF(J1322="","",J1322+K1322-H1322-L1322)</x:f>
        <x:v>2448</x:v>
      </x:c>
      <x:c r="P1322" s="7" t="n">
        <x:f>IFERROR(O1322/(J1322+K1322),"")</x:f>
        <x:v>0.2621827139338117</x:v>
      </x:c>
      <x:c r="Q1322" s="6" t="inlineStr">
        <x:is>
          <x:t xml:space="preserve">RAW_ZP N/O</x:t>
        </x:is>
      </x:c>
      <x:c r="R1322" s="6" t="inlineStr">
        <x:is>
          <x:t xml:space="preserve">ROLETY BOCZNE</x:t>
        </x:is>
      </x:c>
      <x:c r="S1322" s="6" t="inlineStr">
        <x:is>
          <x:t xml:space="preserve">website+crm</x:t>
        </x:is>
      </x:c>
      <x:c r="T1322" s="581" t="inlineStr">
        <x:is>
          <x:t xml:space="preserve">FIX11: K/L 550/600 wg ark. 09 (UZUPEŁNIĆ L).</x:t>
        </x:is>
      </x:c>
    </x:row>
    <x:row r="1323" s="655" customFormat="1" ht="29.5" customHeight="1">
      <x:c r="A1323" s="6" t="inlineStr">
        <x:is>
          <x:t xml:space="preserve">600 x 1206 cm</x:t>
        </x:is>
      </x:c>
      <x:c r="B1323" s="6" t="inlineStr">
        <x:is>
          <x:t xml:space="preserve">M</x:t>
        </x:is>
      </x:c>
      <x:c r="C1323" s="6" t="inlineStr">
        <x:is>
          <x:t xml:space="preserve">Markiza dachowa</x:t>
        </x:is>
      </x:c>
      <x:c r="D1323" s="6" t="inlineStr">
        <x:is>
          <x:t xml:space="preserve">MARKIZA</x:t>
        </x:is>
      </x:c>
      <x:c r="E1323" s="8" t="n">
        <x:f>IFERROR(INDEX('02_RAW_INDEX'!$H:$H,MATCH($A1323,'02_RAW_INDEX'!$A:$A,0)),"")</x:f>
        <x:v>11390</x:v>
      </x:c>
      <x:c r="F1323" s="8" t="n">
        <x:f>IFERROR(INDEX('02_RAW_INDEX'!$G:$G,MATCH($A1323,'02_RAW_INDEX'!$A:$A,0)),"")</x:f>
        <x:v>14010</x:v>
      </x:c>
      <x:c r="G1323" s="7" t="n">
        <x:f>'01_Ustawienia'!$B$6</x:f>
        <x:v>0</x:v>
      </x:c>
      <x:c r="H1323" s="8" t="n">
        <x:f>IF(E1323="","",ROUND(IF('01_Ustawienia'!$B$5="BRUTTO",F1323,E1323)*(1-G1323),0))</x:f>
        <x:v>11390</x:v>
      </x:c>
      <x:c r="I1323" s="7" t="n">
        <x:f>IFERROR(IFERROR(INDEX('01_Ustawienia'!$B$15:$B$33,MATCH(B1323,'01_Ustawienia'!$A$15:$A$33,0)),0.45),0.45)</x:f>
        <x:v>0.45</x:v>
      </x:c>
      <x:c r="J1323" s="8" t="n">
        <x:f>IF(H1323="","",ROUND(H1323*(1+I1323),0))</x:f>
        <x:v>16516</x:v>
      </x:c>
      <x:c r="K1323" s="580" t="n">
        <x:v>0</x:v>
      </x:c>
      <x:c r="L1323" s="580" t="n">
        <x:v>700</x:v>
      </x:c>
      <x:c r="M1323" s="7" t="n">
        <x:f>IF('01_Ustawienia'!$B$4="ZWOLNIONY",0,'01_Ustawienia'!$B$7)</x:f>
        <x:v>0.08</x:v>
      </x:c>
      <x:c r="N1323" s="8" t="n">
        <x:f>IF(J1323="","",ROUND((J1323+K1323)*(1+M1323),0))</x:f>
        <x:v>17837</x:v>
      </x:c>
      <x:c r="O1323" s="8" t="n">
        <x:f>IF(J1323="","",J1323+K1323-H1323-L1323)</x:f>
        <x:v>4426</x:v>
      </x:c>
      <x:c r="P1323" s="7" t="n">
        <x:f>IFERROR(O1323/(J1323+K1323),"")</x:f>
        <x:v>0.26798256236376844</x:v>
      </x:c>
      <x:c r="Q1323" s="6" t="inlineStr">
        <x:is>
          <x:t xml:space="preserve">RAW_ZP H/I</x:t>
        </x:is>
      </x:c>
      <x:c r="R1323" s="6" t="inlineStr">
        <x:is>
          <x:t xml:space="preserve">MARKIZA</x:t>
        </x:is>
      </x:c>
      <x:c r="S1323" s="6" t="inlineStr">
        <x:is>
          <x:t xml:space="preserve">website+crm</x:t>
        </x:is>
      </x:c>
      <x:c r="T1323" s="581" t="inlineStr">
        <x:is>
          <x:t xml:space="preserve">FIX11: K/L 550/600 wg ark. 09 (UZUPEŁNIĆ L).</x:t>
        </x:is>
      </x:c>
    </x:row>
    <x:row r="1324" s="655" customFormat="1" ht="44.25" customHeight="1">
      <x:c r="A1324" s="6" t="inlineStr">
        <x:is>
          <x:t xml:space="preserve">600 x 1206 cm</x:t>
        </x:is>
      </x:c>
      <x:c r="B1324" s="6" t="inlineStr">
        <x:is>
          <x:t xml:space="preserve">PDWP</x:t>
        </x:is>
      </x:c>
      <x:c r="C1324" s="6" t="inlineStr">
        <x:is>
          <x:t xml:space="preserve">Fundament/profile</x:t>
        </x:is>
      </x:c>
      <x:c r="D1324" s="6" t="inlineStr">
        <x:is>
          <x:t xml:space="preserve">FUNDAMENT / PROFILE</x:t>
        </x:is>
      </x:c>
      <x:c r="E1324" s="8" t="n">
        <x:f>IFERROR(INDEX('02_RAW_INDEX'!$AH:$AH,MATCH($A1324,'02_RAW_INDEX'!$A:$A,0)),"")</x:f>
        <x:v>2000</x:v>
      </x:c>
      <x:c r="F1324" s="8" t="n">
        <x:f>IFERROR(INDEX('02_RAW_INDEX'!$AG:$AG,MATCH($A1324,'02_RAW_INDEX'!$A:$A,0)),"")</x:f>
        <x:v>2460</x:v>
      </x:c>
      <x:c r="G1324" s="7" t="n">
        <x:f>'01_Ustawienia'!$B$6</x:f>
        <x:v>0</x:v>
      </x:c>
      <x:c r="H1324" s="8" t="n">
        <x:f>IF(E1324="","",ROUND(IF('01_Ustawienia'!$B$5="BRUTTO",F1324,E1324)*(1-G1324),0))</x:f>
        <x:v>2000</x:v>
      </x:c>
      <x:c r="I1324" s="7" t="n">
        <x:f>IFERROR(IFERROR(INDEX('01_Ustawienia'!$B$15:$B$33,MATCH(B1324,'01_Ustawienia'!$A$15:$A$33,0)),0.45),0.45)</x:f>
        <x:v>1.2</x:v>
      </x:c>
      <x:c r="J1324" s="8" t="n">
        <x:f>IF(H1324="","",ROUND(H1324*(1+I1324),0))</x:f>
        <x:v>4400</x:v>
      </x:c>
      <x:c r="K1324" s="580" t="n">
        <x:v>760</x:v>
      </x:c>
      <x:c r="L1324" s="580" t="n">
        <x:v>740</x:v>
      </x:c>
      <x:c r="M1324" s="7" t="n">
        <x:f>IF('01_Ustawienia'!$B$4="ZWOLNIONY",0,'01_Ustawienia'!$B$7)</x:f>
        <x:v>0.08</x:v>
      </x:c>
      <x:c r="N1324" s="8" t="n">
        <x:f>IF(J1324="","",ROUND((J1324+K1324)*(1+M1324),0))</x:f>
        <x:v>5573</x:v>
      </x:c>
      <x:c r="O1324" s="8" t="n">
        <x:f>IF(J1324="","",J1324+K1324-H1324-L1324)</x:f>
        <x:v>2420</x:v>
      </x:c>
      <x:c r="P1324" s="7" t="n">
        <x:f>IFERROR(O1324/(J1324+K1324),"")</x:f>
        <x:v>0.4689922480620155</x:v>
      </x:c>
      <x:c r="Q1324" s="6" t="inlineStr">
        <x:is>
          <x:t xml:space="preserve">RAW_OP AB/AC</x:t>
        </x:is>
      </x:c>
      <x:c r="R1324" s="6" t="inlineStr">
        <x:is>
          <x:t xml:space="preserve">FUNDAMENT (PROFILE)</x:t>
        </x:is>
      </x:c>
      <x:c r="S1324" s="6" t="inlineStr">
        <x:is>
          <x:t xml:space="preserve">website+crm</x:t>
        </x:is>
      </x:c>
      <x:c r="T1324" s="581" t="inlineStr">
        <x:is>
          <x:t xml:space="preserve">FIX11: K/L 550/600 wg ark. 09 (UZUPEŁNIĆ K+L / KOREKTA RENTOWNOŚCI).</x:t>
        </x:is>
      </x:c>
    </x:row>
    <x:row r="1325" s="655" customFormat="1" ht="30" customHeight="1">
      <x:c r="A1325" s="6" t="inlineStr">
        <x:is>
          <x:t xml:space="preserve">600 x 1206 cm</x:t>
        </x:is>
      </x:c>
      <x:c r="B1325" s="6" t="inlineStr">
        <x:is>
          <x:t xml:space="preserve">ZAB</x:t>
        </x:is>
      </x:c>
      <x:c r="C1325" s="6" t="inlineStr">
        <x:is>
          <x:t xml:space="preserve">Zabieraki do ścian przesuwnych</x:t>
        </x:is>
      </x:c>
      <x:c r="D1325" s="6" t="inlineStr">
        <x:is>
          <x:t xml:space="preserve">DODATKI</x:t>
        </x:is>
      </x:c>
      <x:c r="E1325" s="8" t="n">
        <x:f>IFERROR(INDEX('02_RAW_INDEX'!$AJ:$AJ,MATCH($A1325,'02_RAW_INDEX'!$A:$A,0)),"")</x:f>
        <x:v>618</x:v>
      </x:c>
      <x:c r="F1325" s="8" t="n">
        <x:f>IFERROR(INDEX('02_RAW_INDEX'!$AI:$AI,MATCH($A1325,'02_RAW_INDEX'!$A:$A,0)),"")</x:f>
        <x:v>760</x:v>
      </x:c>
      <x:c r="G1325" s="7" t="n">
        <x:f>'01_Ustawienia'!$B$6</x:f>
        <x:v>0</x:v>
      </x:c>
      <x:c r="H1325" s="8" t="n">
        <x:f>IF(E1325="","",ROUND(IF('01_Ustawienia'!$B$5="BRUTTO",F1325,E1325)*(1-G1325),0))</x:f>
        <x:v>618</x:v>
      </x:c>
      <x:c r="I1325" s="7" t="n">
        <x:f>IFERROR(IFERROR(INDEX('01_Ustawienia'!$B$15:$B$33,MATCH(B1325,'01_Ustawienia'!$A$15:$A$33,0)),0.45),0.45)</x:f>
        <x:v>0.45</x:v>
      </x:c>
      <x:c r="J1325" s="8" t="n">
        <x:f>IF(H1325="","",ROUND(H1325*(1+I1325),0))</x:f>
        <x:v>896</x:v>
      </x:c>
      <x:c r="K1325" s="582" t="n">
        <x:v>0</x:v>
      </x:c>
      <x:c r="L1325" s="582" t="n">
        <x:v>0</x:v>
      </x:c>
      <x:c r="M1325" s="7" t="n">
        <x:f>IF('01_Ustawienia'!$B$4="ZWOLNIONY",0,'01_Ustawienia'!$B$7)</x:f>
        <x:v>0.08</x:v>
      </x:c>
      <x:c r="N1325" s="8" t="n">
        <x:f>IF(J1325="","",ROUND((J1325+K1325)*(1+M1325),0))</x:f>
        <x:v>968</x:v>
      </x:c>
      <x:c r="O1325" s="8" t="n">
        <x:f>IF(J1325="","",J1325+K1325-H1325-L1325)</x:f>
        <x:v>278</x:v>
      </x:c>
      <x:c r="P1325" s="7" t="n">
        <x:f>IFERROR(O1325/(J1325+K1325),"")</x:f>
        <x:v>0.31026785714285715</x:v>
      </x:c>
      <x:c r="Q1325" s="6" t="inlineStr">
        <x:is>
          <x:t xml:space="preserve">RAW_OP AD/AE</x:t>
        </x:is>
      </x:c>
      <x:c r="R1325" s="6" t="inlineStr">
        <x:is>
          <x:t xml:space="preserve">DODATKI</x:t>
        </x:is>
      </x:c>
      <x:c r="S1325" s="6" t="inlineStr">
        <x:is>
          <x:t xml:space="preserve">crm_only</x:t>
        </x:is>
      </x:c>
      <x:c r="T1325" s="581" t="inlineStr">
        <x:is>
          <x:t xml:space="preserve">FIX11: K/L 550/600 wg ark. 09 (POZOSTAWIĆ 0).</x:t>
        </x:is>
      </x:c>
    </x:row>
    <x:row r="1326" s="655" customFormat="1" ht="29.5" customHeight="1">
      <x:c r="A1326" s="6" t="inlineStr">
        <x:is>
          <x:t xml:space="preserve">600 x 1206 cm</x:t>
        </x:is>
      </x:c>
      <x:c r="B1326" s="6" t="inlineStr">
        <x:is>
          <x:t xml:space="preserve">S</x:t>
        </x:is>
      </x:c>
      <x:c r="C1326" s="6" t="inlineStr">
        <x:is>
          <x:t xml:space="preserve">Szczotki przeciwkurzowe</x:t>
        </x:is>
      </x:c>
      <x:c r="D1326" s="6" t="inlineStr">
        <x:is>
          <x:t xml:space="preserve">SZCZOTKI</x:t>
        </x:is>
      </x:c>
      <x:c r="E1326" s="8" t="n">
        <x:f>IFERROR(INDEX('02_RAW_INDEX'!$AD:$AD,MATCH($A1326,'02_RAW_INDEX'!$A:$A,0)),"")</x:f>
        <x:v>683</x:v>
      </x:c>
      <x:c r="F1326" s="8" t="n">
        <x:f>IFERROR(INDEX('02_RAW_INDEX'!$AC:$AC,MATCH($A1326,'02_RAW_INDEX'!$A:$A,0)),"")</x:f>
        <x:v>840</x:v>
      </x:c>
      <x:c r="G1326" s="7" t="n">
        <x:f>'01_Ustawienia'!$B$6</x:f>
        <x:v>0</x:v>
      </x:c>
      <x:c r="H1326" s="8" t="n">
        <x:f>IF(E1326="","",ROUND(IF('01_Ustawienia'!$B$5="BRUTTO",F1326,E1326)*(1-G1326),0))</x:f>
        <x:v>683</x:v>
      </x:c>
      <x:c r="I1326" s="7" t="n">
        <x:f>IFERROR(IFERROR(INDEX('01_Ustawienia'!$B$15:$B$33,MATCH(B1326,'01_Ustawienia'!$A$15:$A$33,0)),0.45),0.45)</x:f>
        <x:v>0.45</x:v>
      </x:c>
      <x:c r="J1326" s="8" t="n">
        <x:f>IF(H1326="","",ROUND(H1326*(1+I1326),0))</x:f>
        <x:v>990</x:v>
      </x:c>
      <x:c r="K1326" s="582" t="n">
        <x:v>0</x:v>
      </x:c>
      <x:c r="L1326" s="582" t="n">
        <x:v>0</x:v>
      </x:c>
      <x:c r="M1326" s="7" t="n">
        <x:f>IF('01_Ustawienia'!$B$4="ZWOLNIONY",0,'01_Ustawienia'!$B$7)</x:f>
        <x:v>0.08</x:v>
      </x:c>
      <x:c r="N1326" s="8" t="n">
        <x:f>IF(J1326="","",ROUND((J1326+K1326)*(1+M1326),0))</x:f>
        <x:v>1069</x:v>
      </x:c>
      <x:c r="O1326" s="8" t="n">
        <x:f>IF(J1326="","",J1326+K1326-H1326-L1326)</x:f>
        <x:v>307</x:v>
      </x:c>
      <x:c r="P1326" s="7" t="n">
        <x:f>IFERROR(O1326/(J1326+K1326),"")</x:f>
        <x:v>0.3101010101010101</x:v>
      </x:c>
      <x:c r="Q1326" s="6" t="inlineStr">
        <x:is>
          <x:t xml:space="preserve">RAW_OP L/M</x:t>
        </x:is>
      </x:c>
      <x:c r="R1326" s="6" t="inlineStr">
        <x:is>
          <x:t xml:space="preserve">DODATKI</x:t>
        </x:is>
      </x:c>
      <x:c r="S1326" s="6" t="inlineStr">
        <x:is>
          <x:t xml:space="preserve">website+crm</x:t>
        </x:is>
      </x:c>
      <x:c r="T1326" s="581" t="inlineStr">
        <x:is>
          <x:t xml:space="preserve">FIX11: K/L 550/600 wg ark. 09 (POZOSTAWIĆ 0).</x:t>
        </x:is>
      </x:c>
    </x:row>
    <x:row r="1327" s="655" customFormat="1" ht="29.5" customHeight="1">
      <x:c r="A1327" s="6" t="inlineStr">
        <x:is>
          <x:t xml:space="preserve">600 x 1206 cm</x:t>
        </x:is>
      </x:c>
      <x:c r="B1327" s="6" t="inlineStr">
        <x:is>
          <x:t xml:space="preserve">U</x:t>
        </x:is>
      </x:c>
      <x:c r="C1327" s="6" t="inlineStr">
        <x:is>
          <x:t xml:space="preserve">Uchwyty na szkło ścienne</x:t>
        </x:is>
      </x:c>
      <x:c r="D1327" s="6" t="inlineStr">
        <x:is>
          <x:t xml:space="preserve">UCHWYTY</x:t>
        </x:is>
      </x:c>
      <x:c r="E1327" s="8" t="n">
        <x:f>IFERROR(INDEX('02_RAW_INDEX'!$AF:$AF,MATCH($A1327,'02_RAW_INDEX'!$A:$A,0)),"")</x:f>
        <x:v>618</x:v>
      </x:c>
      <x:c r="F1327" s="8" t="n">
        <x:f>IFERROR(INDEX('02_RAW_INDEX'!$AE:$AE,MATCH($A1327,'02_RAW_INDEX'!$A:$A,0)),"")</x:f>
        <x:v>760</x:v>
      </x:c>
      <x:c r="G1327" s="7" t="n">
        <x:f>'01_Ustawienia'!$B$6</x:f>
        <x:v>0</x:v>
      </x:c>
      <x:c r="H1327" s="8" t="n">
        <x:f>IF(E1327="","",ROUND(IF('01_Ustawienia'!$B$5="BRUTTO",F1327,E1327)*(1-G1327),0))</x:f>
        <x:v>618</x:v>
      </x:c>
      <x:c r="I1327" s="7" t="n">
        <x:f>IFERROR(IFERROR(INDEX('01_Ustawienia'!$B$15:$B$33,MATCH(B1327,'01_Ustawienia'!$A$15:$A$33,0)),0.45),0.45)</x:f>
        <x:v>0.45</x:v>
      </x:c>
      <x:c r="J1327" s="8" t="n">
        <x:f>IF(H1327="","",ROUND(H1327*(1+I1327),0))</x:f>
        <x:v>896</x:v>
      </x:c>
      <x:c r="K1327" s="582" t="n">
        <x:v>0</x:v>
      </x:c>
      <x:c r="L1327" s="582" t="n">
        <x:v>0</x:v>
      </x:c>
      <x:c r="M1327" s="7" t="n">
        <x:f>IF('01_Ustawienia'!$B$4="ZWOLNIONY",0,'01_Ustawienia'!$B$7)</x:f>
        <x:v>0.08</x:v>
      </x:c>
      <x:c r="N1327" s="8" t="n">
        <x:f>IF(J1327="","",ROUND((J1327+K1327)*(1+M1327),0))</x:f>
        <x:v>968</x:v>
      </x:c>
      <x:c r="O1327" s="8" t="n">
        <x:f>IF(J1327="","",J1327+K1327-H1327-L1327)</x:f>
        <x:v>278</x:v>
      </x:c>
      <x:c r="P1327" s="7" t="n">
        <x:f>IFERROR(O1327/(J1327+K1327),"")</x:f>
        <x:v>0.31026785714285715</x:v>
      </x:c>
      <x:c r="Q1327" s="6" t="inlineStr">
        <x:is>
          <x:t xml:space="preserve">RAW_OP N/O</x:t>
        </x:is>
      </x:c>
      <x:c r="R1327" s="6" t="inlineStr">
        <x:is>
          <x:t xml:space="preserve">DODATKI</x:t>
        </x:is>
      </x:c>
      <x:c r="S1327" s="6" t="inlineStr">
        <x:is>
          <x:t xml:space="preserve">website+crm</x:t>
        </x:is>
      </x:c>
      <x:c r="T1327" s="581" t="inlineStr">
        <x:is>
          <x:t xml:space="preserve">FIX11: K/L 550/600 wg ark. 09 (POZOSTAWIĆ 0).</x:t>
        </x:is>
      </x:c>
    </x:row>
    <x:row r="1328" s="655" customFormat="1" ht="29.5" customHeight="1">
      <x:c r="A1328" s="6" t="inlineStr">
        <x:is>
          <x:t xml:space="preserve">600 x 1206 cm</x:t>
        </x:is>
      </x:c>
      <x:c r="B1328" s="6" t="inlineStr">
        <x:is>
          <x:t xml:space="preserve">LED2</x:t>
        </x:is>
      </x:c>
      <x:c r="C1328" s="6" t="inlineStr">
        <x:is>
          <x:t xml:space="preserve">Oświetlenie LED 2 punkty</x:t>
        </x:is>
      </x:c>
      <x:c r="D1328" s="6" t="inlineStr">
        <x:is>
          <x:t xml:space="preserve">LED 2 PKT</x:t>
        </x:is>
      </x:c>
      <x:c r="E1328" s="8" t="n">
        <x:f>IFERROR(INDEX('02_RAW_INDEX'!$N:$N,MATCH($A1328,'02_RAW_INDEX'!$A:$A,0)),"")</x:f>
        <x:v>1228</x:v>
      </x:c>
      <x:c r="F1328" s="8" t="n">
        <x:f>IFERROR(INDEX('02_RAW_INDEX'!$M:$M,MATCH($A1328,'02_RAW_INDEX'!$A:$A,0)),"")</x:f>
        <x:v>1510</x:v>
      </x:c>
      <x:c r="G1328" s="7" t="n">
        <x:f>'01_Ustawienia'!$B$6</x:f>
        <x:v>0</x:v>
      </x:c>
      <x:c r="H1328" s="8" t="n">
        <x:f>IF(E1328="","",ROUND(IF('01_Ustawienia'!$B$5="BRUTTO",F1328,E1328)*(1-G1328),0))</x:f>
        <x:v>1228</x:v>
      </x:c>
      <x:c r="I1328" s="7" t="n">
        <x:f>IFERROR(IFERROR(INDEX('01_Ustawienia'!$B$15:$B$33,MATCH(B1328,'01_Ustawienia'!$A$15:$A$33,0)),0.45),0.45)</x:f>
        <x:v>0.45</x:v>
      </x:c>
      <x:c r="J1328" s="8" t="n">
        <x:f>IF(H1328="","",ROUND(H1328*(1+I1328),0))</x:f>
        <x:v>1781</x:v>
      </x:c>
      <x:c r="K1328" s="582" t="n">
        <x:v>0</x:v>
      </x:c>
      <x:c r="L1328" s="582" t="n">
        <x:v>0</x:v>
      </x:c>
      <x:c r="M1328" s="7" t="n">
        <x:f>IF('01_Ustawienia'!$B$4="ZWOLNIONY",0,'01_Ustawienia'!$B$7)</x:f>
        <x:v>0.08</x:v>
      </x:c>
      <x:c r="N1328" s="8" t="n">
        <x:f>IF(J1328="","",ROUND((J1328+K1328)*(1+M1328),0))</x:f>
        <x:v>1923</x:v>
      </x:c>
      <x:c r="O1328" s="8" t="n">
        <x:f>IF(J1328="","",J1328+K1328-H1328-L1328)</x:f>
        <x:v>553</x:v>
      </x:c>
      <x:c r="P1328" s="7" t="n">
        <x:f>IFERROR(O1328/(J1328+K1328),"")</x:f>
        <x:v>0.31049971925884334</x:v>
      </x:c>
      <x:c r="Q1328" s="6" t="inlineStr">
        <x:is>
          <x:t xml:space="preserve">RAW_ZP P/Q</x:t>
        </x:is>
      </x:c>
      <x:c r="R1328" s="6" t="inlineStr">
        <x:is>
          <x:t xml:space="preserve">OŚWIETLENIE</x:t>
        </x:is>
      </x:c>
      <x:c r="S1328" s="6" t="inlineStr">
        <x:is>
          <x:t xml:space="preserve">website+crm</x:t>
        </x:is>
      </x:c>
      <x:c r="T1328" s="581" t="inlineStr">
        <x:is>
          <x:t xml:space="preserve">FIX11: K/L 550/600 wg ark. 09 (POZOSTAWIĆ 0 NA RAZIE).</x:t>
        </x:is>
      </x:c>
    </x:row>
    <x:row r="1329" s="655" customFormat="1" ht="44.25" customHeight="1">
      <x:c r="A1329" s="6" t="inlineStr">
        <x:is>
          <x:t xml:space="preserve">600 x 1206 cm</x:t>
        </x:is>
      </x:c>
      <x:c r="B1329" s="6" t="inlineStr">
        <x:is>
          <x:t xml:space="preserve">LED3</x:t>
        </x:is>
      </x:c>
      <x:c r="C1329" s="6" t="inlineStr">
        <x:is>
          <x:t xml:space="preserve">Oświetlenie LED 3 punkty</x:t>
        </x:is>
      </x:c>
      <x:c r="D1329" s="6" t="inlineStr">
        <x:is>
          <x:t xml:space="preserve">LED 3 PKT</x:t>
        </x:is>
      </x:c>
      <x:c r="E1329" s="8" t="n">
        <x:f>IFERROR(INDEX('02_RAW_INDEX'!$P:$P,MATCH($A1329,'02_RAW_INDEX'!$A:$A,0)),"")</x:f>
        <x:v>1545</x:v>
      </x:c>
      <x:c r="F1329" s="8" t="n">
        <x:f>IFERROR(INDEX('02_RAW_INDEX'!$O:$O,MATCH($A1329,'02_RAW_INDEX'!$A:$A,0)),"")</x:f>
        <x:v>1900</x:v>
      </x:c>
      <x:c r="G1329" s="7" t="n">
        <x:f>'01_Ustawienia'!$B$6</x:f>
        <x:v>0</x:v>
      </x:c>
      <x:c r="H1329" s="8" t="n">
        <x:f>IF(E1329="","",ROUND(IF('01_Ustawienia'!$B$5="BRUTTO",F1329,E1329)*(1-G1329),0))</x:f>
        <x:v>1545</x:v>
      </x:c>
      <x:c r="I1329" s="7" t="n">
        <x:f>IFERROR(IFERROR(INDEX('01_Ustawienia'!$B$15:$B$33,MATCH(B1329,'01_Ustawienia'!$A$15:$A$33,0)),0.45),0.45)</x:f>
        <x:v>0.45</x:v>
      </x:c>
      <x:c r="J1329" s="8" t="n">
        <x:f>IF(H1329="","",ROUND(H1329*(1+I1329),0))</x:f>
        <x:v>2240</x:v>
      </x:c>
      <x:c r="K1329" s="582" t="n">
        <x:v>0</x:v>
      </x:c>
      <x:c r="L1329" s="582" t="n">
        <x:v>0</x:v>
      </x:c>
      <x:c r="M1329" s="7" t="n">
        <x:f>IF('01_Ustawienia'!$B$4="ZWOLNIONY",0,'01_Ustawienia'!$B$7)</x:f>
        <x:v>0.08</x:v>
      </x:c>
      <x:c r="N1329" s="8" t="n">
        <x:f>IF(J1329="","",ROUND((J1329+K1329)*(1+M1329),0))</x:f>
        <x:v>2419</x:v>
      </x:c>
      <x:c r="O1329" s="8" t="n">
        <x:f>IF(J1329="","",J1329+K1329-H1329-L1329)</x:f>
        <x:v>695</x:v>
      </x:c>
      <x:c r="P1329" s="7" t="n">
        <x:f>IFERROR(O1329/(J1329+K1329),"")</x:f>
        <x:v>0.31026785714285715</x:v>
      </x:c>
      <x:c r="Q1329" s="6" t="inlineStr">
        <x:is>
          <x:t xml:space="preserve">RAW_ZP R/S</x:t>
        </x:is>
      </x:c>
      <x:c r="R1329" s="6" t="inlineStr">
        <x:is>
          <x:t xml:space="preserve">OŚWIETLENIE</x:t>
        </x:is>
      </x:c>
      <x:c r="S1329" s="6" t="inlineStr">
        <x:is>
          <x:t xml:space="preserve">website+crm</x:t>
        </x:is>
      </x:c>
      <x:c r="T1329" s="581" t="inlineStr">
        <x:is>
          <x:t xml:space="preserve">Nazwa do potwierdzenia | FIX11: K/L 550/600 wg ark. 09 (POZOSTAWIĆ 0 NA RAZIE).</x:t>
        </x:is>
      </x:c>
    </x:row>
    <x:row r="1330" s="655" customFormat="1" ht="29.5" customHeight="1">
      <x:c r="A1330" s="6" t="inlineStr">
        <x:is>
          <x:t xml:space="preserve">600 x 1206 cm</x:t>
        </x:is>
      </x:c>
      <x:c r="B1330" s="6" t="inlineStr">
        <x:is>
          <x:t xml:space="preserve">LEDCCT</x:t>
        </x:is>
      </x:c>
      <x:c r="C1330" s="6" t="inlineStr">
        <x:is>
          <x:t xml:space="preserve">Oświetlenie LED CCT</x:t>
        </x:is>
      </x:c>
      <x:c r="D1330" s="6" t="inlineStr">
        <x:is>
          <x:t xml:space="preserve">OŚWIETLENIE</x:t>
        </x:is>
      </x:c>
      <x:c r="E1330" s="8" t="n">
        <x:f>IFERROR(INDEX('02_RAW_INDEX'!$R:$R,MATCH($A1330,'02_RAW_INDEX'!$A:$A,0)),"")</x:f>
        <x:v>3543</x:v>
      </x:c>
      <x:c r="F1330" s="8" t="n">
        <x:f>IFERROR(INDEX('02_RAW_INDEX'!$Q:$Q,MATCH($A1330,'02_RAW_INDEX'!$A:$A,0)),"")</x:f>
        <x:v>4358</x:v>
      </x:c>
      <x:c r="G1330" s="7" t="n">
        <x:f>'01_Ustawienia'!$B$6</x:f>
        <x:v>0</x:v>
      </x:c>
      <x:c r="H1330" s="8" t="n">
        <x:f>IF(E1330="","",ROUND(IF('01_Ustawienia'!$B$5="BRUTTO",F1330,E1330)*(1-G1330),0))</x:f>
        <x:v>3543</x:v>
      </x:c>
      <x:c r="I1330" s="7" t="n">
        <x:f>IFERROR(IFERROR(INDEX('01_Ustawienia'!$B$15:$B$33,MATCH(B1330,'01_Ustawienia'!$A$15:$A$33,0)),0.45),0.45)</x:f>
        <x:v>0.45</x:v>
      </x:c>
      <x:c r="J1330" s="8" t="n">
        <x:f>IF(H1330="","",ROUND(H1330*(1+I1330),0)+700)</x:f>
        <x:v>5837</x:v>
      </x:c>
      <x:c r="K1330" s="582" t="n">
        <x:v>0</x:v>
      </x:c>
      <x:c r="L1330" s="582" t="n">
        <x:v>0</x:v>
      </x:c>
      <x:c r="M1330" s="7" t="n">
        <x:f>IF('01_Ustawienia'!$B$4="ZWOLNIONY",0,'01_Ustawienia'!$B$7)</x:f>
        <x:v>0.08</x:v>
      </x:c>
      <x:c r="N1330" s="8" t="n">
        <x:f>IF(J1330="","",ROUND((J1330+K1330)*(1+M1330),0))</x:f>
        <x:v>6304</x:v>
      </x:c>
      <x:c r="O1330" s="8" t="n">
        <x:f>IF(J1330="","",J1330+K1330-H1330-L1330)</x:f>
        <x:v>2294</x:v>
      </x:c>
      <x:c r="P1330" s="7" t="n">
        <x:f>IFERROR(O1330/(J1330+K1330),"")</x:f>
        <x:v>0.3930101079321569</x:v>
      </x:c>
      <x:c r="Q1330" s="715" t="inlineStr">
        <x:is>
          <x:t xml:space="preserve">MODEL_FIX15_LED</x:t>
        </x:is>
      </x:c>
      <x:c r="R1330" s="6" t="inlineStr">
        <x:is>
          <x:t xml:space="preserve">OŚWIETLENIE</x:t>
        </x:is>
      </x:c>
      <x:c r="S1330" s="6" t="inlineStr">
        <x:is>
          <x:t xml:space="preserve">website+crm</x:t>
        </x:is>
      </x:c>
      <x:c r="T1330" s="716" t="inlineStr">
        <x:is>
          <x:t xml:space="preserve">Cena modelowa: trend LED CCT/RGB CCT z 300–400 + 300 zł brutto; do potwierdzenia | FIX17: opcja LED dostępna dla strony; ceny 450-600 wg modelu FIX15. | FIX18: LED CCT 450+ — cena sprzedaży netto podniesiona o 700 zł wg decyzji znajomego.</x:t>
        </x:is>
      </x:c>
    </x:row>
    <x:row r="1331" s="655" customFormat="1" ht="29.5" customHeight="1">
      <x:c r="A1331" s="6" t="inlineStr">
        <x:is>
          <x:t xml:space="preserve">600 x 1206 cm</x:t>
        </x:is>
      </x:c>
      <x:c r="B1331" s="6" t="inlineStr">
        <x:is>
          <x:t xml:space="preserve">LEDRGBCCT</x:t>
        </x:is>
      </x:c>
      <x:c r="C1331" s="6" t="inlineStr">
        <x:is>
          <x:t xml:space="preserve">Oświetlenie LED RGB CCT</x:t>
        </x:is>
      </x:c>
      <x:c r="D1331" s="6" t="inlineStr">
        <x:is>
          <x:t xml:space="preserve">OŚWIETLENIE</x:t>
        </x:is>
      </x:c>
      <x:c r="E1331" s="8" t="n">
        <x:f>IFERROR(INDEX('02_RAW_INDEX'!$T:$T,MATCH($A1331,'02_RAW_INDEX'!$A:$A,0)),"")</x:f>
        <x:v>5394</x:v>
      </x:c>
      <x:c r="F1331" s="8" t="n">
        <x:f>IFERROR(INDEX('02_RAW_INDEX'!$S:$S,MATCH($A1331,'02_RAW_INDEX'!$A:$A,0)),"")</x:f>
        <x:v>6635</x:v>
      </x:c>
      <x:c r="G1331" s="7" t="n">
        <x:f>'01_Ustawienia'!$B$6</x:f>
        <x:v>0</x:v>
      </x:c>
      <x:c r="H1331" s="8" t="n">
        <x:f>IF(E1331="","",ROUND(IF('01_Ustawienia'!$B$5="BRUTTO",F1331,E1331)*(1-G1331),0))</x:f>
        <x:v>5394</x:v>
      </x:c>
      <x:c r="I1331" s="7" t="n">
        <x:f>IFERROR(IFERROR(INDEX('01_Ustawienia'!$B$15:$B$33,MATCH(B1331,'01_Ustawienia'!$A$15:$A$33,0)),0.45),0.45)</x:f>
        <x:v>0.45</x:v>
      </x:c>
      <x:c r="J1331" s="8" t="n">
        <x:f>IF(H1331="","",ROUND(H1331*(1+I1331),0))</x:f>
        <x:v>7821</x:v>
      </x:c>
      <x:c r="K1331" s="582" t="n">
        <x:v>0</x:v>
      </x:c>
      <x:c r="L1331" s="582" t="n">
        <x:v>0</x:v>
      </x:c>
      <x:c r="M1331" s="7" t="n">
        <x:f>IF('01_Ustawienia'!$B$4="ZWOLNIONY",0,'01_Ustawienia'!$B$7)</x:f>
        <x:v>0.08</x:v>
      </x:c>
      <x:c r="N1331" s="8" t="n">
        <x:f>IF(J1331="","",ROUND((J1331+K1331)*(1+M1331),0))</x:f>
        <x:v>8447</x:v>
      </x:c>
      <x:c r="O1331" s="8" t="n">
        <x:f>IF(J1331="","",J1331+K1331-H1331-L1331)</x:f>
        <x:v>2427</x:v>
      </x:c>
      <x:c r="P1331" s="7" t="n">
        <x:f>IFERROR(O1331/(J1331+K1331),"")</x:f>
        <x:v>0.31031837360951287</x:v>
      </x:c>
      <x:c r="Q1331" s="715" t="inlineStr">
        <x:is>
          <x:t xml:space="preserve">MODEL_FIX15_LED</x:t>
        </x:is>
      </x:c>
      <x:c r="R1331" s="6" t="inlineStr">
        <x:is>
          <x:t xml:space="preserve">OŚWIETLENIE</x:t>
        </x:is>
      </x:c>
      <x:c r="S1331" s="6" t="inlineStr">
        <x:is>
          <x:t xml:space="preserve">crm_only</x:t>
        </x:is>
      </x:c>
      <x:c r="T1331" s="716" t="inlineStr">
        <x:is>
          <x:t xml:space="preserve">Cena modelowa: trend LED CCT/RGB CCT z 300–400 + 300 zł brutto; do potwierdzenia | FIX17: opcja LED dostępna dla strony; ceny 450-600 wg modelu FIX15. | FIX18: LED RGB CCT wyłączone ze strony; pozostaje jako opcja CRM/Bitrix.</x:t>
        </x:is>
      </x:c>
    </x:row>
  </x:sheetData>
  <x:conditionalFormatting sqref="N2:N1331">
    <x:cfRule type="cellIs" dxfId="64" priority="2" operator="lessThan">
      <x:formula>0</x:formula>
    </x:cfRule>
  </x:conditionalFormatting>
  <x:conditionalFormatting sqref="P2:P1331">
    <x:cfRule type="cellIs" dxfId="64" priority="1" operator="lessThan">
      <x:formula>0.2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f2ee6aee5e4159"/>
  </x:tableParts>
</x:worksheet>
</file>

<file path=xl/worksheets/sheet7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baseColWidth="8" defaultRowHeight="14.75"/>
  <x:cols>
    <x:col min="1" max="1" width="16" style="655" customWidth="1"/>
    <x:col min="2" max="19" width="22" style="655" customWidth="1"/>
    <x:col min="3" max="3" width="13" style="655" customWidth="1"/>
    <x:col min="4" max="4" width="13" style="655" customWidth="1"/>
    <x:col min="5" max="5" width="13" style="655" customWidth="1"/>
    <x:col min="6" max="6" width="13" style="655" customWidth="1"/>
    <x:col min="7" max="7" width="13" style="655" customWidth="1"/>
    <x:col min="8" max="8" width="13" style="655" customWidth="1"/>
    <x:col min="9" max="9" width="13" style="655" customWidth="1"/>
    <x:col min="10" max="10" width="13" style="655" customWidth="1"/>
    <x:col min="11" max="11" width="13" style="655" customWidth="1"/>
    <x:col min="12" max="12" width="13" style="655" customWidth="1"/>
    <x:col min="13" max="13" width="13" style="655" customWidth="1"/>
    <x:col min="14" max="14" width="13" style="655" customWidth="1"/>
    <x:col min="15" max="15" width="13" style="655" customWidth="1"/>
    <x:col min="16" max="16" width="13" style="655" customWidth="1"/>
    <x:col min="17" max="17" width="13" style="655" customWidth="1"/>
    <x:col min="18" max="18" width="13" style="655" customWidth="1"/>
    <x:col min="19" max="19" width="28" style="655" customWidth="1"/>
  </x:cols>
  <x:sheetData>
    <x:row r="1">
      <x:c r="A1" s="706" t="inlineStr">
        <x:is>
          <x:t xml:space="preserve">Wymiar</x:t>
        </x:is>
      </x:c>
      <x:c r="B1" s="706" t="inlineStr">
        <x:is>
          <x:t xml:space="preserve">Zadaszenie tarasu</x:t>
        </x:is>
      </x:c>
      <x:c r="C1" s="706" t="inlineStr">
        <x:is>
          <x:t xml:space="preserve">Ściany przezroczyste</x:t>
        </x:is>
      </x:c>
      <x:c r="D1" s="706" t="inlineStr">
        <x:is>
          <x:t xml:space="preserve">Ściany barwione</x:t>
        </x:is>
      </x:c>
      <x:c r="E1" s="706" t="inlineStr">
        <x:is>
          <x:t xml:space="preserve">Poliwęglan barwiony</x:t>
        </x:is>
      </x:c>
      <x:c r="F1" s="706" t="inlineStr">
        <x:is>
          <x:t xml:space="preserve">Szkło przezroczyste</x:t>
        </x:is>
      </x:c>
      <x:c r="G1" s="706" t="inlineStr">
        <x:is>
          <x:t xml:space="preserve">Szkło barwione</x:t>
        </x:is>
      </x:c>
      <x:c r="H1" s="706" t="inlineStr">
        <x:is>
          <x:t xml:space="preserve">Roleta prawa</x:t>
        </x:is>
      </x:c>
      <x:c r="I1" s="706" t="inlineStr">
        <x:is>
          <x:t xml:space="preserve">Roleta lewa</x:t>
        </x:is>
      </x:c>
      <x:c r="J1" s="706" t="inlineStr">
        <x:is>
          <x:t xml:space="preserve">Roleta przednia</x:t>
        </x:is>
      </x:c>
      <x:c r="K1" s="706" t="inlineStr">
        <x:is>
          <x:t xml:space="preserve">Markiza</x:t>
        </x:is>
      </x:c>
      <x:c r="L1" s="706" t="inlineStr">
        <x:is>
          <x:t xml:space="preserve">Fundament/profile</x:t>
        </x:is>
      </x:c>
      <x:c r="M1" s="706" t="inlineStr">
        <x:is>
          <x:t xml:space="preserve">LED punktowe</x:t>
        </x:is>
      </x:c>
      <x:c r="N1" s="706" t="inlineStr">
        <x:is>
          <x:t xml:space="preserve">LED 3 pkt (źródło)</x:t>
        </x:is>
      </x:c>
      <x:c r="O1" s="706" t="inlineStr">
        <x:is>
          <x:t xml:space="preserve">Szczotki</x:t>
        </x:is>
      </x:c>
      <x:c r="P1" s="706" t="inlineStr">
        <x:is>
          <x:t xml:space="preserve">Uchwyty</x:t>
        </x:is>
      </x:c>
      <x:c r="Q1" s="706" t="inlineStr">
        <x:is>
          <x:t xml:space="preserve">Zabieraki</x:t>
        </x:is>
      </x:c>
      <x:c r="R1" s="706" t="inlineStr">
        <x:is>
          <x:t xml:space="preserve">LED CCT</x:t>
        </x:is>
      </x:c>
      <x:c r="S1" s="706" t="inlineStr">
        <x:is>
          <x:t xml:space="preserve">LED RGB CCT (CRM only - nie eksportować)</x:t>
        </x:is>
      </x:c>
    </x:row>
    <x:row r="2">
      <x:c r="A2" s="6" t="inlineStr">
        <x:is>
          <x:t xml:space="preserve">300 x 306 cm</x:t>
        </x:is>
      </x:c>
      <x:c r="B2" s="8" t="n">
        <x:f>SUMIFS('03_Cennik_uslug_nowy'!$N:$N,'03_Cennik_uslug_nowy'!$A:$A,$A2,'03_Cennik_uslug_nowy'!$B:$B,"ZP")</x:f>
        <x:v>8013</x:v>
      </x:c>
      <x:c r="C2" s="8" t="n">
        <x:f>ROUND(((SUMIFS('03_Cennik_uslug_nowy'!$J:$J,'03_Cennik_uslug_nowy'!$A:$A,$A2,'03_Cennik_uslug_nowy'!$B:$B,"OP")+SUMIFS('03_Cennik_uslug_nowy'!$K:$K,'03_Cennik_uslug_nowy'!$A:$A,$A2,'03_Cennik_uslug_nowy'!$B:$B,"OP"))-(SUMIFS('03_Cennik_uslug_nowy'!$J:$J,'03_Cennik_uslug_nowy'!$A:$A,$A2,'03_Cennik_uslug_nowy'!$B:$B,"ZP")+SUMIFS('03_Cennik_uslug_nowy'!$K:$K,'03_Cennik_uslug_nowy'!$A:$A,$A2,'03_Cennik_uslug_nowy'!$B:$B,"ZP")))*(IF('01_Ustawienia'!$B$4="ZWOLNIONY",1,1+'01_Ustawienia'!$B$7)),0)</x:f>
        <x:v>13549</x:v>
      </x:c>
      <x:c r="D2" s="8" t="n">
        <x:f>C2+SUMIFS('03_Cennik_uslug_nowy'!$N:$N,'03_Cennik_uslug_nowy'!$A:$A,$A2,'03_Cennik_uslug_nowy'!$B:$B,"SBB")</x:f>
        <x:v>14924</x:v>
      </x:c>
      <x:c r="E2" s="8" t="n">
        <x:f>SUMIFS('03_Cennik_uslug_nowy'!$N:$N,'03_Cennik_uslug_nowy'!$A:$A,$A2,'03_Cennik_uslug_nowy'!$B:$B,"PDPB")</x:f>
        <x:v>153</x:v>
      </x:c>
      <x:c r="F2" s="8" t="n">
        <x:f>SUMIFS('03_Cennik_uslug_nowy'!$N:$N,'03_Cennik_uslug_nowy'!$A:$A,$A2,'03_Cennik_uslug_nowy'!$B:$B,"PDS")</x:f>
        <x:v>2100</x:v>
      </x:c>
      <x:c r="G2" s="8" t="n">
        <x:f>F2+SUMIFS('03_Cennik_uslug_nowy'!$N:$N,'03_Cennik_uslug_nowy'!$A:$A,$A2,'03_Cennik_uslug_nowy'!$B:$B,"PDSB")</x:f>
        <x:v>2532</x:v>
      </x:c>
      <x:c r="H2" s="8" t="n">
        <x:f>SUMIFS('03_Cennik_uslug_nowy'!$N:$N,'03_Cennik_uslug_nowy'!$A:$A,$A2,'03_Cennik_uslug_nowy'!$B:$B,"RB")</x:f>
        <x:v>2725</x:v>
      </x:c>
      <x:c r="I2" s="8" t="n">
        <x:f>SUMIFS('03_Cennik_uslug_nowy'!$N:$N,'03_Cennik_uslug_nowy'!$A:$A,$A2,'03_Cennik_uslug_nowy'!$B:$B,"RB")</x:f>
        <x:v>2725</x:v>
      </x:c>
      <x:c r="J2" s="8" t="n">
        <x:f>SUMIFS('03_Cennik_uslug_nowy'!$N:$N,'03_Cennik_uslug_nowy'!$A:$A,$A2,'03_Cennik_uslug_nowy'!$B:$B,"RP")</x:f>
        <x:v>2725</x:v>
      </x:c>
      <x:c r="K2" s="8" t="n">
        <x:f>SUMIFS('03_Cennik_uslug_nowy'!$N:$N,'03_Cennik_uslug_nowy'!$A:$A,$A2,'03_Cennik_uslug_nowy'!$B:$B,"M")</x:f>
        <x:v>4966</x:v>
      </x:c>
      <x:c r="L2" s="8" t="n">
        <x:f>SUMIFS('03_Cennik_uslug_nowy'!$N:$N,'03_Cennik_uslug_nowy'!$A:$A,$A2,'03_Cennik_uslug_nowy'!$B:$B,"PDWP")</x:f>
        <x:v>1275</x:v>
      </x:c>
      <x:c r="M2" s="8" t="n">
        <x:f>IF(VALUE(LEFT($A2,3))&gt;=450,SUMIFS('03_Cennik_uslug_nowy'!$N:$N,'03_Cennik_uslug_nowy'!$A:$A,$A2,'03_Cennik_uslug_nowy'!$B:$B,"LED3"),SUMIFS('03_Cennik_uslug_nowy'!$N:$N,'03_Cennik_uslug_nowy'!$A:$A,$A2,'03_Cennik_uslug_nowy'!$B:$B,"LED2"))</x:f>
        <x:v>534</x:v>
      </x:c>
      <x:c r="N2" s="550" t="n">
        <x:f>SUMIFS('03_Cennik_uslug_nowy'!$N:$N,'03_Cennik_uslug_nowy'!$A:$A,$A2,'03_Cennik_uslug_nowy'!$B:$B,"LED3")</x:f>
        <x:v>814</x:v>
      </x:c>
      <x:c r="O2" s="8" t="n">
        <x:f>SUMIFS('03_Cennik_uslug_nowy'!$N:$N,'03_Cennik_uslug_nowy'!$A:$A,$A2,'03_Cennik_uslug_nowy'!$B:$B,"S")</x:f>
        <x:v>432</x:v>
      </x:c>
      <x:c r="P2" s="8" t="n">
        <x:f>SUMIFS('03_Cennik_uslug_nowy'!$N:$N,'03_Cennik_uslug_nowy'!$A:$A,$A2,'03_Cennik_uslug_nowy'!$B:$B,"U")</x:f>
        <x:v>394</x:v>
      </x:c>
      <x:c r="Q2" s="8" t="n">
        <x:f>SUMIFS('03_Cennik_uslug_nowy'!$N:$N,'03_Cennik_uslug_nowy'!$A:$A,$A2,'03_Cennik_uslug_nowy'!$B:$B,"ZAB")</x:f>
        <x:v>306</x:v>
      </x:c>
      <x:c r="R2" s="8" t="n">
        <x:f>SUMIFS('03_Cennik_uslug_nowy'!$N:$N,'03_Cennik_uslug_nowy'!$A:$A,$A2,'03_Cennik_uslug_nowy'!$B:$B,"LEDCCT")</x:f>
        <x:v>1238</x:v>
      </x:c>
      <x:c r="S2" s="8" t="n"/>
    </x:row>
    <x:row r="3">
      <x:c r="A3" s="6" t="inlineStr">
        <x:is>
          <x:t xml:space="preserve">300 x 406 cm</x:t>
        </x:is>
      </x:c>
      <x:c r="B3" s="8" t="n">
        <x:f>SUMIFS('03_Cennik_uslug_nowy'!$N:$N,'03_Cennik_uslug_nowy'!$A:$A,$A3,'03_Cennik_uslug_nowy'!$B:$B,"ZP")</x:f>
        <x:v>9799</x:v>
      </x:c>
      <x:c r="C3" s="8" t="n">
        <x:f>ROUND(((SUMIFS('03_Cennik_uslug_nowy'!$J:$J,'03_Cennik_uslug_nowy'!$A:$A,$A3,'03_Cennik_uslug_nowy'!$B:$B,"OP")+SUMIFS('03_Cennik_uslug_nowy'!$K:$K,'03_Cennik_uslug_nowy'!$A:$A,$A3,'03_Cennik_uslug_nowy'!$B:$B,"OP"))-(SUMIFS('03_Cennik_uslug_nowy'!$J:$J,'03_Cennik_uslug_nowy'!$A:$A,$A3,'03_Cennik_uslug_nowy'!$B:$B,"ZP")+SUMIFS('03_Cennik_uslug_nowy'!$K:$K,'03_Cennik_uslug_nowy'!$A:$A,$A3,'03_Cennik_uslug_nowy'!$B:$B,"ZP")))*(IF('01_Ustawienia'!$B$4="ZWOLNIONY",1,1+'01_Ustawienia'!$B$7)),0)</x:f>
        <x:v>14632</x:v>
      </x:c>
      <x:c r="D3" s="8" t="n">
        <x:f>C3+SUMIFS('03_Cennik_uslug_nowy'!$N:$N,'03_Cennik_uslug_nowy'!$A:$A,$A3,'03_Cennik_uslug_nowy'!$B:$B,"SBB")</x:f>
        <x:v>16160</x:v>
      </x:c>
      <x:c r="E3" s="8" t="n">
        <x:f>SUMIFS('03_Cennik_uslug_nowy'!$N:$N,'03_Cennik_uslug_nowy'!$A:$A,$A3,'03_Cennik_uslug_nowy'!$B:$B,"PDPB")</x:f>
        <x:v>235</x:v>
      </x:c>
      <x:c r="F3" s="8" t="n">
        <x:f>SUMIFS('03_Cennik_uslug_nowy'!$N:$N,'03_Cennik_uslug_nowy'!$A:$A,$A3,'03_Cennik_uslug_nowy'!$B:$B,"PDS")</x:f>
        <x:v>2864</x:v>
      </x:c>
      <x:c r="G3" s="8" t="n">
        <x:f>F3+SUMIFS('03_Cennik_uslug_nowy'!$N:$N,'03_Cennik_uslug_nowy'!$A:$A,$A3,'03_Cennik_uslug_nowy'!$B:$B,"PDSB")</x:f>
        <x:v>3437</x:v>
      </x:c>
      <x:c r="H3" s="8" t="n">
        <x:f>SUMIFS('03_Cennik_uslug_nowy'!$N:$N,'03_Cennik_uslug_nowy'!$A:$A,$A3,'03_Cennik_uslug_nowy'!$B:$B,"RB")</x:f>
        <x:v>2725</x:v>
      </x:c>
      <x:c r="I3" s="8" t="n">
        <x:f>SUMIFS('03_Cennik_uslug_nowy'!$N:$N,'03_Cennik_uslug_nowy'!$A:$A,$A3,'03_Cennik_uslug_nowy'!$B:$B,"RB")</x:f>
        <x:v>2725</x:v>
      </x:c>
      <x:c r="J3" s="8" t="n">
        <x:f>SUMIFS('03_Cennik_uslug_nowy'!$N:$N,'03_Cennik_uslug_nowy'!$A:$A,$A3,'03_Cennik_uslug_nowy'!$B:$B,"RP")</x:f>
        <x:v>3361</x:v>
      </x:c>
      <x:c r="K3" s="8" t="n">
        <x:f>SUMIFS('03_Cennik_uslug_nowy'!$N:$N,'03_Cennik_uslug_nowy'!$A:$A,$A3,'03_Cennik_uslug_nowy'!$B:$B,"M")</x:f>
        <x:v>5475</x:v>
      </x:c>
      <x:c r="L3" s="8" t="n">
        <x:f>SUMIFS('03_Cennik_uslug_nowy'!$N:$N,'03_Cennik_uslug_nowy'!$A:$A,$A3,'03_Cennik_uslug_nowy'!$B:$B,"PDWP")</x:f>
        <x:v>1487</x:v>
      </x:c>
      <x:c r="M3" s="8" t="n">
        <x:f>IF(VALUE(LEFT($A3,3))&gt;=450,SUMIFS('03_Cennik_uslug_nowy'!$N:$N,'03_Cennik_uslug_nowy'!$A:$A,$A3,'03_Cennik_uslug_nowy'!$B:$B,"LED3"),SUMIFS('03_Cennik_uslug_nowy'!$N:$N,'03_Cennik_uslug_nowy'!$A:$A,$A3,'03_Cennik_uslug_nowy'!$B:$B,"LED2"))</x:f>
        <x:v>650</x:v>
      </x:c>
      <x:c r="N3" s="550" t="n">
        <x:f>SUMIFS('03_Cennik_uslug_nowy'!$N:$N,'03_Cennik_uslug_nowy'!$A:$A,$A3,'03_Cennik_uslug_nowy'!$B:$B,"LED3")</x:f>
        <x:v>943</x:v>
      </x:c>
      <x:c r="O3" s="8" t="n">
        <x:f>SUMIFS('03_Cennik_uslug_nowy'!$N:$N,'03_Cennik_uslug_nowy'!$A:$A,$A3,'03_Cennik_uslug_nowy'!$B:$B,"S")</x:f>
        <x:v>484</x:v>
      </x:c>
      <x:c r="P3" s="8" t="n">
        <x:f>SUMIFS('03_Cennik_uslug_nowy'!$N:$N,'03_Cennik_uslug_nowy'!$A:$A,$A3,'03_Cennik_uslug_nowy'!$B:$B,"U")</x:f>
        <x:v>432</x:v>
      </x:c>
      <x:c r="Q3" s="8" t="n">
        <x:f>SUMIFS('03_Cennik_uslug_nowy'!$N:$N,'03_Cennik_uslug_nowy'!$A:$A,$A3,'03_Cennik_uslug_nowy'!$B:$B,"ZAB")</x:f>
        <x:v>357</x:v>
      </x:c>
      <x:c r="R3" s="8" t="n">
        <x:f>SUMIFS('03_Cennik_uslug_nowy'!$N:$N,'03_Cennik_uslug_nowy'!$A:$A,$A3,'03_Cennik_uslug_nowy'!$B:$B,"LEDCCT")</x:f>
        <x:v>1441</x:v>
      </x:c>
      <x:c r="S3" s="8" t="n"/>
    </x:row>
    <x:row r="4">
      <x:c r="A4" s="6" t="inlineStr">
        <x:is>
          <x:t xml:space="preserve">300 x 506 cm</x:t>
        </x:is>
      </x:c>
      <x:c r="B4" s="8" t="n">
        <x:f>SUMIFS('03_Cennik_uslug_nowy'!$N:$N,'03_Cennik_uslug_nowy'!$A:$A,$A4,'03_Cennik_uslug_nowy'!$B:$B,"ZP")</x:f>
        <x:v>11705</x:v>
      </x:c>
      <x:c r="C4" s="8" t="n">
        <x:f>ROUND(((SUMIFS('03_Cennik_uslug_nowy'!$J:$J,'03_Cennik_uslug_nowy'!$A:$A,$A4,'03_Cennik_uslug_nowy'!$B:$B,"OP")+SUMIFS('03_Cennik_uslug_nowy'!$K:$K,'03_Cennik_uslug_nowy'!$A:$A,$A4,'03_Cennik_uslug_nowy'!$B:$B,"OP"))-(SUMIFS('03_Cennik_uslug_nowy'!$J:$J,'03_Cennik_uslug_nowy'!$A:$A,$A4,'03_Cennik_uslug_nowy'!$B:$B,"ZP")+SUMIFS('03_Cennik_uslug_nowy'!$K:$K,'03_Cennik_uslug_nowy'!$A:$A,$A4,'03_Cennik_uslug_nowy'!$B:$B,"ZP")))*(IF('01_Ustawienia'!$B$4="ZWOLNIONY",1,1+'01_Ustawienia'!$B$7)),0)</x:f>
        <x:v>16614</x:v>
      </x:c>
      <x:c r="D4" s="8" t="n">
        <x:f>C4+SUMIFS('03_Cennik_uslug_nowy'!$N:$N,'03_Cennik_uslug_nowy'!$A:$A,$A4,'03_Cennik_uslug_nowy'!$B:$B,"SBB")</x:f>
        <x:v>18294</x:v>
      </x:c>
      <x:c r="E4" s="8" t="n">
        <x:f>SUMIFS('03_Cennik_uslug_nowy'!$N:$N,'03_Cennik_uslug_nowy'!$A:$A,$A4,'03_Cennik_uslug_nowy'!$B:$B,"PDPB")</x:f>
        <x:v>318</x:v>
      </x:c>
      <x:c r="F4" s="8" t="n">
        <x:f>SUMIFS('03_Cennik_uslug_nowy'!$N:$N,'03_Cennik_uslug_nowy'!$A:$A,$A4,'03_Cennik_uslug_nowy'!$B:$B,"PDS")</x:f>
        <x:v>3539</x:v>
      </x:c>
      <x:c r="G4" s="8" t="n">
        <x:f>F4+SUMIFS('03_Cennik_uslug_nowy'!$N:$N,'03_Cennik_uslug_nowy'!$A:$A,$A4,'03_Cennik_uslug_nowy'!$B:$B,"PDSB")</x:f>
        <x:v>4252</x:v>
      </x:c>
      <x:c r="H4" s="8" t="n">
        <x:f>SUMIFS('03_Cennik_uslug_nowy'!$N:$N,'03_Cennik_uslug_nowy'!$A:$A,$A4,'03_Cennik_uslug_nowy'!$B:$B,"RB")</x:f>
        <x:v>2725</x:v>
      </x:c>
      <x:c r="I4" s="8" t="n">
        <x:f>SUMIFS('03_Cennik_uslug_nowy'!$N:$N,'03_Cennik_uslug_nowy'!$A:$A,$A4,'03_Cennik_uslug_nowy'!$B:$B,"RB")</x:f>
        <x:v>2725</x:v>
      </x:c>
      <x:c r="J4" s="8" t="n">
        <x:f>SUMIFS('03_Cennik_uslug_nowy'!$N:$N,'03_Cennik_uslug_nowy'!$A:$A,$A4,'03_Cennik_uslug_nowy'!$B:$B,"RP")</x:f>
        <x:v>4711</x:v>
      </x:c>
      <x:c r="K4" s="8" t="n">
        <x:f>SUMIFS('03_Cennik_uslug_nowy'!$N:$N,'03_Cennik_uslug_nowy'!$A:$A,$A4,'03_Cennik_uslug_nowy'!$B:$B,"M")</x:f>
        <x:v>6341</x:v>
      </x:c>
      <x:c r="L4" s="8" t="n">
        <x:f>SUMIFS('03_Cennik_uslug_nowy'!$N:$N,'03_Cennik_uslug_nowy'!$A:$A,$A4,'03_Cennik_uslug_nowy'!$B:$B,"PDWP")</x:f>
        <x:v>1758</x:v>
      </x:c>
      <x:c r="M4" s="8" t="n">
        <x:f>IF(VALUE(LEFT($A4,3))&gt;=450,SUMIFS('03_Cennik_uslug_nowy'!$N:$N,'03_Cennik_uslug_nowy'!$A:$A,$A4,'03_Cennik_uslug_nowy'!$B:$B,"LED3"),SUMIFS('03_Cennik_uslug_nowy'!$N:$N,'03_Cennik_uslug_nowy'!$A:$A,$A4,'03_Cennik_uslug_nowy'!$B:$B,"LED2"))</x:f>
        <x:v>765</x:v>
      </x:c>
      <x:c r="N4" s="550" t="n">
        <x:f>SUMIFS('03_Cennik_uslug_nowy'!$N:$N,'03_Cennik_uslug_nowy'!$A:$A,$A4,'03_Cennik_uslug_nowy'!$B:$B,"LED3")</x:f>
        <x:v>1221</x:v>
      </x:c>
      <x:c r="O4" s="8" t="n">
        <x:f>SUMIFS('03_Cennik_uslug_nowy'!$N:$N,'03_Cennik_uslug_nowy'!$A:$A,$A4,'03_Cennik_uslug_nowy'!$B:$B,"S")</x:f>
        <x:v>534</x:v>
      </x:c>
      <x:c r="P4" s="8" t="n">
        <x:f>SUMIFS('03_Cennik_uslug_nowy'!$N:$N,'03_Cennik_uslug_nowy'!$A:$A,$A4,'03_Cennik_uslug_nowy'!$B:$B,"U")</x:f>
        <x:v>484</x:v>
      </x:c>
      <x:c r="Q4" s="8" t="n">
        <x:f>SUMIFS('03_Cennik_uslug_nowy'!$N:$N,'03_Cennik_uslug_nowy'!$A:$A,$A4,'03_Cennik_uslug_nowy'!$B:$B,"ZAB")</x:f>
        <x:v>357</x:v>
      </x:c>
      <x:c r="R4" s="8" t="n">
        <x:f>SUMIFS('03_Cennik_uslug_nowy'!$N:$N,'03_Cennik_uslug_nowy'!$A:$A,$A4,'03_Cennik_uslug_nowy'!$B:$B,"LEDCCT")</x:f>
        <x:v>1660</x:v>
      </x:c>
      <x:c r="S4" s="8" t="n"/>
    </x:row>
    <x:row r="5">
      <x:c r="A5" s="6" t="inlineStr">
        <x:is>
          <x:t xml:space="preserve">300 x 606 cm</x:t>
        </x:is>
      </x:c>
      <x:c r="B5" s="8" t="n">
        <x:f>SUMIFS('03_Cennik_uslug_nowy'!$N:$N,'03_Cennik_uslug_nowy'!$A:$A,$A5,'03_Cennik_uslug_nowy'!$B:$B,"ZP")</x:f>
        <x:v>13246</x:v>
      </x:c>
      <x:c r="C5" s="8" t="n">
        <x:f>ROUND(((SUMIFS('03_Cennik_uslug_nowy'!$J:$J,'03_Cennik_uslug_nowy'!$A:$A,$A5,'03_Cennik_uslug_nowy'!$B:$B,"OP")+SUMIFS('03_Cennik_uslug_nowy'!$K:$K,'03_Cennik_uslug_nowy'!$A:$A,$A5,'03_Cennik_uslug_nowy'!$B:$B,"OP"))-(SUMIFS('03_Cennik_uslug_nowy'!$J:$J,'03_Cennik_uslug_nowy'!$A:$A,$A5,'03_Cennik_uslug_nowy'!$B:$B,"ZP")+SUMIFS('03_Cennik_uslug_nowy'!$K:$K,'03_Cennik_uslug_nowy'!$A:$A,$A5,'03_Cennik_uslug_nowy'!$B:$B,"ZP")))*(IF('01_Ustawienia'!$B$4="ZWOLNIONY",1,1+'01_Ustawienia'!$B$7)),0)</x:f>
        <x:v>18052</x:v>
      </x:c>
      <x:c r="D5" s="8" t="n">
        <x:f>C5+SUMIFS('03_Cennik_uslug_nowy'!$N:$N,'03_Cennik_uslug_nowy'!$A:$A,$A5,'03_Cennik_uslug_nowy'!$B:$B,"SBB")</x:f>
        <x:v>19886</x:v>
      </x:c>
      <x:c r="E5" s="8" t="n">
        <x:f>SUMIFS('03_Cennik_uslug_nowy'!$N:$N,'03_Cennik_uslug_nowy'!$A:$A,$A5,'03_Cennik_uslug_nowy'!$B:$B,"PDPB")</x:f>
        <x:v>394</x:v>
      </x:c>
      <x:c r="F5" s="8" t="n">
        <x:f>SUMIFS('03_Cennik_uslug_nowy'!$N:$N,'03_Cennik_uslug_nowy'!$A:$A,$A5,'03_Cennik_uslug_nowy'!$B:$B,"PDS")</x:f>
        <x:v>4316</x:v>
      </x:c>
      <x:c r="G5" s="8" t="n">
        <x:f>F5+SUMIFS('03_Cennik_uslug_nowy'!$N:$N,'03_Cennik_uslug_nowy'!$A:$A,$A5,'03_Cennik_uslug_nowy'!$B:$B,"PDSB")</x:f>
        <x:v>5169</x:v>
      </x:c>
      <x:c r="H5" s="8" t="n">
        <x:f>SUMIFS('03_Cennik_uslug_nowy'!$N:$N,'03_Cennik_uslug_nowy'!$A:$A,$A5,'03_Cennik_uslug_nowy'!$B:$B,"RB")</x:f>
        <x:v>2725</x:v>
      </x:c>
      <x:c r="I5" s="8" t="n">
        <x:f>SUMIFS('03_Cennik_uslug_nowy'!$N:$N,'03_Cennik_uslug_nowy'!$A:$A,$A5,'03_Cennik_uslug_nowy'!$B:$B,"RB")</x:f>
        <x:v>2725</x:v>
      </x:c>
      <x:c r="J5" s="8" t="n">
        <x:f>SUMIFS('03_Cennik_uslug_nowy'!$N:$N,'03_Cennik_uslug_nowy'!$A:$A,$A5,'03_Cennik_uslug_nowy'!$B:$B,"RP")</x:f>
        <x:v>5437</x:v>
      </x:c>
      <x:c r="K5" s="8" t="n">
        <x:f>SUMIFS('03_Cennik_uslug_nowy'!$N:$N,'03_Cennik_uslug_nowy'!$A:$A,$A5,'03_Cennik_uslug_nowy'!$B:$B,"M")</x:f>
        <x:v>9930</x:v>
      </x:c>
      <x:c r="L5" s="8" t="n">
        <x:f>SUMIFS('03_Cennik_uslug_nowy'!$N:$N,'03_Cennik_uslug_nowy'!$A:$A,$A5,'03_Cennik_uslug_nowy'!$B:$B,"PDWP")</x:f>
        <x:v>2319</x:v>
      </x:c>
      <x:c r="M5" s="8" t="n">
        <x:f>IF(VALUE(LEFT($A5,3))&gt;=450,SUMIFS('03_Cennik_uslug_nowy'!$N:$N,'03_Cennik_uslug_nowy'!$A:$A,$A5,'03_Cennik_uslug_nowy'!$B:$B,"LED3"),SUMIFS('03_Cennik_uslug_nowy'!$N:$N,'03_Cennik_uslug_nowy'!$A:$A,$A5,'03_Cennik_uslug_nowy'!$B:$B,"LED2"))</x:f>
        <x:v>1005</x:v>
      </x:c>
      <x:c r="N5" s="550" t="n">
        <x:f>SUMIFS('03_Cennik_uslug_nowy'!$N:$N,'03_Cennik_uslug_nowy'!$A:$A,$A5,'03_Cennik_uslug_nowy'!$B:$B,"LED3")</x:f>
        <x:v>1388</x:v>
      </x:c>
      <x:c r="O5" s="8" t="n">
        <x:f>SUMIFS('03_Cennik_uslug_nowy'!$N:$N,'03_Cennik_uslug_nowy'!$A:$A,$A5,'03_Cennik_uslug_nowy'!$B:$B,"S")</x:f>
        <x:v>585</x:v>
      </x:c>
      <x:c r="P5" s="8" t="n">
        <x:f>SUMIFS('03_Cennik_uslug_nowy'!$N:$N,'03_Cennik_uslug_nowy'!$A:$A,$A5,'03_Cennik_uslug_nowy'!$B:$B,"U")</x:f>
        <x:v>522</x:v>
      </x:c>
      <x:c r="Q5" s="8" t="n">
        <x:f>SUMIFS('03_Cennik_uslug_nowy'!$N:$N,'03_Cennik_uslug_nowy'!$A:$A,$A5,'03_Cennik_uslug_nowy'!$B:$B,"ZAB")</x:f>
        <x:v>407</x:v>
      </x:c>
      <x:c r="R5" s="8" t="n">
        <x:f>SUMIFS('03_Cennik_uslug_nowy'!$N:$N,'03_Cennik_uslug_nowy'!$A:$A,$A5,'03_Cennik_uslug_nowy'!$B:$B,"LEDCCT")</x:f>
        <x:v>1660</x:v>
      </x:c>
      <x:c r="S5" s="8" t="n"/>
    </x:row>
    <x:row r="6">
      <x:c r="A6" s="6" t="inlineStr">
        <x:is>
          <x:t xml:space="preserve">300 x 706 cm</x:t>
        </x:is>
      </x:c>
      <x:c r="B6" s="8" t="n">
        <x:f>SUMIFS('03_Cennik_uslug_nowy'!$N:$N,'03_Cennik_uslug_nowy'!$A:$A,$A6,'03_Cennik_uslug_nowy'!$B:$B,"ZP")</x:f>
        <x:v>15157</x:v>
      </x:c>
      <x:c r="C6" s="8" t="n">
        <x:f>ROUND(((SUMIFS('03_Cennik_uslug_nowy'!$J:$J,'03_Cennik_uslug_nowy'!$A:$A,$A6,'03_Cennik_uslug_nowy'!$B:$B,"OP")+SUMIFS('03_Cennik_uslug_nowy'!$K:$K,'03_Cennik_uslug_nowy'!$A:$A,$A6,'03_Cennik_uslug_nowy'!$B:$B,"OP"))-(SUMIFS('03_Cennik_uslug_nowy'!$J:$J,'03_Cennik_uslug_nowy'!$A:$A,$A6,'03_Cennik_uslug_nowy'!$B:$B,"ZP")+SUMIFS('03_Cennik_uslug_nowy'!$K:$K,'03_Cennik_uslug_nowy'!$A:$A,$A6,'03_Cennik_uslug_nowy'!$B:$B,"ZP")))*(IF('01_Ustawienia'!$B$4="ZWOLNIONY",1,1+'01_Ustawienia'!$B$7)),0)</x:f>
        <x:v>18210</x:v>
      </x:c>
      <x:c r="D6" s="8" t="n">
        <x:f>C6+SUMIFS('03_Cennik_uslug_nowy'!$N:$N,'03_Cennik_uslug_nowy'!$A:$A,$A6,'03_Cennik_uslug_nowy'!$B:$B,"SBB")</x:f>
        <x:v>20196</x:v>
      </x:c>
      <x:c r="E6" s="8" t="n">
        <x:f>SUMIFS('03_Cennik_uslug_nowy'!$N:$N,'03_Cennik_uslug_nowy'!$A:$A,$A6,'03_Cennik_uslug_nowy'!$B:$B,"PDPB")</x:f>
        <x:v>471</x:v>
      </x:c>
      <x:c r="F6" s="8" t="n">
        <x:f>SUMIFS('03_Cennik_uslug_nowy'!$N:$N,'03_Cennik_uslug_nowy'!$A:$A,$A6,'03_Cennik_uslug_nowy'!$B:$B,"PDS")</x:f>
        <x:v>5004</x:v>
      </x:c>
      <x:c r="G6" s="8" t="n">
        <x:f>F6+SUMIFS('03_Cennik_uslug_nowy'!$N:$N,'03_Cennik_uslug_nowy'!$A:$A,$A6,'03_Cennik_uslug_nowy'!$B:$B,"PDSB")</x:f>
        <x:v>5997</x:v>
      </x:c>
      <x:c r="H6" s="8" t="n">
        <x:f>SUMIFS('03_Cennik_uslug_nowy'!$N:$N,'03_Cennik_uslug_nowy'!$A:$A,$A6,'03_Cennik_uslug_nowy'!$B:$B,"RB")</x:f>
        <x:v>2725</x:v>
      </x:c>
      <x:c r="I6" s="8" t="n">
        <x:f>SUMIFS('03_Cennik_uslug_nowy'!$N:$N,'03_Cennik_uslug_nowy'!$A:$A,$A6,'03_Cennik_uslug_nowy'!$B:$B,"RB")</x:f>
        <x:v>2725</x:v>
      </x:c>
      <x:c r="J6" s="8" t="n">
        <x:f>SUMIFS('03_Cennik_uslug_nowy'!$N:$N,'03_Cennik_uslug_nowy'!$A:$A,$A6,'03_Cennik_uslug_nowy'!$B:$B,"RP")</x:f>
        <x:v>6086</x:v>
      </x:c>
      <x:c r="K6" s="8" t="n">
        <x:f>SUMIFS('03_Cennik_uslug_nowy'!$N:$N,'03_Cennik_uslug_nowy'!$A:$A,$A6,'03_Cennik_uslug_nowy'!$B:$B,"M")</x:f>
        <x:v>10453</x:v>
      </x:c>
      <x:c r="L6" s="8" t="n">
        <x:f>SUMIFS('03_Cennik_uslug_nowy'!$N:$N,'03_Cennik_uslug_nowy'!$A:$A,$A6,'03_Cennik_uslug_nowy'!$B:$B,"PDWP")</x:f>
        <x:v>1913</x:v>
      </x:c>
      <x:c r="M6" s="8" t="n">
        <x:f>IF(VALUE(LEFT($A6,3))&gt;=450,SUMIFS('03_Cennik_uslug_nowy'!$N:$N,'03_Cennik_uslug_nowy'!$A:$A,$A6,'03_Cennik_uslug_nowy'!$B:$B,"LED3"),SUMIFS('03_Cennik_uslug_nowy'!$N:$N,'03_Cennik_uslug_nowy'!$A:$A,$A6,'03_Cennik_uslug_nowy'!$B:$B,"LED2"))</x:f>
        <x:v>1107</x:v>
      </x:c>
      <x:c r="N6" s="550" t="n">
        <x:f>SUMIFS('03_Cennik_uslug_nowy'!$N:$N,'03_Cennik_uslug_nowy'!$A:$A,$A6,'03_Cennik_uslug_nowy'!$B:$B,"LED3")</x:f>
        <x:v>1541</x:v>
      </x:c>
      <x:c r="O6" s="8" t="n">
        <x:f>SUMIFS('03_Cennik_uslug_nowy'!$N:$N,'03_Cennik_uslug_nowy'!$A:$A,$A6,'03_Cennik_uslug_nowy'!$B:$B,"S")</x:f>
        <x:v>637</x:v>
      </x:c>
      <x:c r="P6" s="8" t="n">
        <x:f>SUMIFS('03_Cennik_uslug_nowy'!$N:$N,'03_Cennik_uslug_nowy'!$A:$A,$A6,'03_Cennik_uslug_nowy'!$B:$B,"U")</x:f>
        <x:v>573</x:v>
      </x:c>
      <x:c r="Q6" s="8" t="n">
        <x:f>SUMIFS('03_Cennik_uslug_nowy'!$N:$N,'03_Cennik_uslug_nowy'!$A:$A,$A6,'03_Cennik_uslug_nowy'!$B:$B,"ZAB")</x:f>
        <x:v>459</x:v>
      </x:c>
      <x:c r="R6" s="8" t="n">
        <x:f>SUMIFS('03_Cennik_uslug_nowy'!$N:$N,'03_Cennik_uslug_nowy'!$A:$A,$A6,'03_Cennik_uslug_nowy'!$B:$B,"LEDCCT")</x:f>
        <x:v>1864</x:v>
      </x:c>
      <x:c r="S6" s="8" t="n"/>
    </x:row>
    <x:row r="7">
      <x:c r="A7" s="6" t="inlineStr">
        <x:is>
          <x:t xml:space="preserve">300 x 806 cm</x:t>
        </x:is>
      </x:c>
      <x:c r="B7" s="8" t="n">
        <x:f>SUMIFS('03_Cennik_uslug_nowy'!$N:$N,'03_Cennik_uslug_nowy'!$A:$A,$A7,'03_Cennik_uslug_nowy'!$B:$B,"ZP")</x:f>
        <x:v>17655</x:v>
      </x:c>
      <x:c r="C7" s="8" t="n">
        <x:f>ROUND(((SUMIFS('03_Cennik_uslug_nowy'!$J:$J,'03_Cennik_uslug_nowy'!$A:$A,$A7,'03_Cennik_uslug_nowy'!$B:$B,"OP")+SUMIFS('03_Cennik_uslug_nowy'!$K:$K,'03_Cennik_uslug_nowy'!$A:$A,$A7,'03_Cennik_uslug_nowy'!$B:$B,"OP"))-(SUMIFS('03_Cennik_uslug_nowy'!$J:$J,'03_Cennik_uslug_nowy'!$A:$A,$A7,'03_Cennik_uslug_nowy'!$B:$B,"ZP")+SUMIFS('03_Cennik_uslug_nowy'!$K:$K,'03_Cennik_uslug_nowy'!$A:$A,$A7,'03_Cennik_uslug_nowy'!$B:$B,"ZP")))*(IF('01_Ustawienia'!$B$4="ZWOLNIONY",1,1+'01_Ustawienia'!$B$7)),0)</x:f>
        <x:v>19361</x:v>
      </x:c>
      <x:c r="D7" s="8" t="n">
        <x:f>C7+SUMIFS('03_Cennik_uslug_nowy'!$N:$N,'03_Cennik_uslug_nowy'!$A:$A,$A7,'03_Cennik_uslug_nowy'!$B:$B,"SBB")</x:f>
        <x:v>21500</x:v>
      </x:c>
      <x:c r="E7" s="8" t="n">
        <x:f>SUMIFS('03_Cennik_uslug_nowy'!$N:$N,'03_Cennik_uslug_nowy'!$A:$A,$A7,'03_Cennik_uslug_nowy'!$B:$B,"PDPB")</x:f>
        <x:v>549</x:v>
      </x:c>
      <x:c r="F7" s="8" t="n">
        <x:f>SUMIFS('03_Cennik_uslug_nowy'!$N:$N,'03_Cennik_uslug_nowy'!$A:$A,$A7,'03_Cennik_uslug_nowy'!$B:$B,"PDS")</x:f>
        <x:v>5958</x:v>
      </x:c>
      <x:c r="G7" s="8" t="n">
        <x:f>F7+SUMIFS('03_Cennik_uslug_nowy'!$N:$N,'03_Cennik_uslug_nowy'!$A:$A,$A7,'03_Cennik_uslug_nowy'!$B:$B,"PDSB")</x:f>
        <x:v>7104</x:v>
      </x:c>
      <x:c r="H7" s="8" t="n">
        <x:f>SUMIFS('03_Cennik_uslug_nowy'!$N:$N,'03_Cennik_uslug_nowy'!$A:$A,$A7,'03_Cennik_uslug_nowy'!$B:$B,"RB")</x:f>
        <x:v>2725</x:v>
      </x:c>
      <x:c r="I7" s="8" t="n">
        <x:f>SUMIFS('03_Cennik_uslug_nowy'!$N:$N,'03_Cennik_uslug_nowy'!$A:$A,$A7,'03_Cennik_uslug_nowy'!$B:$B,"RB")</x:f>
        <x:v>2725</x:v>
      </x:c>
      <x:c r="J7" s="8" t="n">
        <x:f>SUMIFS('03_Cennik_uslug_nowy'!$N:$N,'03_Cennik_uslug_nowy'!$A:$A,$A7,'03_Cennik_uslug_nowy'!$B:$B,"RP")</x:f>
        <x:v>6723</x:v>
      </x:c>
      <x:c r="K7" s="8" t="n">
        <x:f>SUMIFS('03_Cennik_uslug_nowy'!$N:$N,'03_Cennik_uslug_nowy'!$A:$A,$A7,'03_Cennik_uslug_nowy'!$B:$B,"M")</x:f>
        <x:v>10949</x:v>
      </x:c>
      <x:c r="L7" s="8" t="n">
        <x:f>SUMIFS('03_Cennik_uslug_nowy'!$N:$N,'03_Cennik_uslug_nowy'!$A:$A,$A7,'03_Cennik_uslug_nowy'!$B:$B,"PDWP")</x:f>
        <x:v>2143</x:v>
      </x:c>
      <x:c r="M7" s="8" t="n">
        <x:f>IF(VALUE(LEFT($A7,3))&gt;=450,SUMIFS('03_Cennik_uslug_nowy'!$N:$N,'03_Cennik_uslug_nowy'!$A:$A,$A7,'03_Cennik_uslug_nowy'!$B:$B,"LED3"),SUMIFS('03_Cennik_uslug_nowy'!$N:$N,'03_Cennik_uslug_nowy'!$A:$A,$A7,'03_Cennik_uslug_nowy'!$B:$B,"LED2"))</x:f>
        <x:v>1221</x:v>
      </x:c>
      <x:c r="N7" s="550" t="n">
        <x:f>SUMIFS('03_Cennik_uslug_nowy'!$N:$N,'03_Cennik_uslug_nowy'!$A:$A,$A7,'03_Cennik_uslug_nowy'!$B:$B,"LED3")</x:f>
        <x:v>1834</x:v>
      </x:c>
      <x:c r="O7" s="8" t="n">
        <x:f>SUMIFS('03_Cennik_uslug_nowy'!$N:$N,'03_Cennik_uslug_nowy'!$A:$A,$A7,'03_Cennik_uslug_nowy'!$B:$B,"S")</x:f>
        <x:v>675</x:v>
      </x:c>
      <x:c r="P7" s="8" t="n">
        <x:f>SUMIFS('03_Cennik_uslug_nowy'!$N:$N,'03_Cennik_uslug_nowy'!$A:$A,$A7,'03_Cennik_uslug_nowy'!$B:$B,"U")</x:f>
        <x:v>611</x:v>
      </x:c>
      <x:c r="Q7" s="8" t="n">
        <x:f>SUMIFS('03_Cennik_uslug_nowy'!$N:$N,'03_Cennik_uslug_nowy'!$A:$A,$A7,'03_Cennik_uslug_nowy'!$B:$B,"ZAB")</x:f>
        <x:v>509</x:v>
      </x:c>
      <x:c r="R7" s="8" t="n">
        <x:f>SUMIFS('03_Cennik_uslug_nowy'!$N:$N,'03_Cennik_uslug_nowy'!$A:$A,$A7,'03_Cennik_uslug_nowy'!$B:$B,"LEDCCT")</x:f>
        <x:v>2098</x:v>
      </x:c>
      <x:c r="S7" s="8" t="n"/>
    </x:row>
    <x:row r="8">
      <x:c r="A8" s="6" t="inlineStr">
        <x:is>
          <x:t xml:space="preserve">300 x 906 cm</x:t>
        </x:is>
      </x:c>
      <x:c r="B8" s="8" t="n">
        <x:f>SUMIFS('03_Cennik_uslug_nowy'!$N:$N,'03_Cennik_uslug_nowy'!$A:$A,$A8,'03_Cennik_uslug_nowy'!$B:$B,"ZP")</x:f>
        <x:v>19612</x:v>
      </x:c>
      <x:c r="C8" s="8" t="n">
        <x:f>ROUND(((SUMIFS('03_Cennik_uslug_nowy'!$J:$J,'03_Cennik_uslug_nowy'!$A:$A,$A8,'03_Cennik_uslug_nowy'!$B:$B,"OP")+SUMIFS('03_Cennik_uslug_nowy'!$K:$K,'03_Cennik_uslug_nowy'!$A:$A,$A8,'03_Cennik_uslug_nowy'!$B:$B,"OP"))-(SUMIFS('03_Cennik_uslug_nowy'!$J:$J,'03_Cennik_uslug_nowy'!$A:$A,$A8,'03_Cennik_uslug_nowy'!$B:$B,"ZP")+SUMIFS('03_Cennik_uslug_nowy'!$K:$K,'03_Cennik_uslug_nowy'!$A:$A,$A8,'03_Cennik_uslug_nowy'!$B:$B,"ZP")))*(IF('01_Ustawienia'!$B$4="ZWOLNIONY",1,1+'01_Ustawienia'!$B$7)),0)</x:f>
        <x:v>20895</x:v>
      </x:c>
      <x:c r="D8" s="8" t="n">
        <x:f>C8+SUMIFS('03_Cennik_uslug_nowy'!$N:$N,'03_Cennik_uslug_nowy'!$A:$A,$A8,'03_Cennik_uslug_nowy'!$B:$B,"SBB")</x:f>
        <x:v>23186</x:v>
      </x:c>
      <x:c r="E8" s="8" t="n">
        <x:f>SUMIFS('03_Cennik_uslug_nowy'!$N:$N,'03_Cennik_uslug_nowy'!$A:$A,$A8,'03_Cennik_uslug_nowy'!$B:$B,"PDPB")</x:f>
        <x:v>623</x:v>
      </x:c>
      <x:c r="F8" s="8" t="n">
        <x:f>SUMIFS('03_Cennik_uslug_nowy'!$N:$N,'03_Cennik_uslug_nowy'!$A:$A,$A8,'03_Cennik_uslug_nowy'!$B:$B,"PDS")</x:f>
        <x:v>6658</x:v>
      </x:c>
      <x:c r="G8" s="8" t="n">
        <x:f>F8+SUMIFS('03_Cennik_uslug_nowy'!$N:$N,'03_Cennik_uslug_nowy'!$A:$A,$A8,'03_Cennik_uslug_nowy'!$B:$B,"PDSB")</x:f>
        <x:v>7931</x:v>
      </x:c>
      <x:c r="H8" s="8" t="n">
        <x:f>SUMIFS('03_Cennik_uslug_nowy'!$N:$N,'03_Cennik_uslug_nowy'!$A:$A,$A8,'03_Cennik_uslug_nowy'!$B:$B,"RB")</x:f>
        <x:v>2725</x:v>
      </x:c>
      <x:c r="I8" s="8" t="n">
        <x:f>SUMIFS('03_Cennik_uslug_nowy'!$N:$N,'03_Cennik_uslug_nowy'!$A:$A,$A8,'03_Cennik_uslug_nowy'!$B:$B,"RB")</x:f>
        <x:v>2725</x:v>
      </x:c>
      <x:c r="J8" s="8" t="n">
        <x:f>SUMIFS('03_Cennik_uslug_nowy'!$N:$N,'03_Cennik_uslug_nowy'!$A:$A,$A8,'03_Cennik_uslug_nowy'!$B:$B,"RP")</x:f>
        <x:v>8148</x:v>
      </x:c>
      <x:c r="K8" s="8" t="n">
        <x:f>SUMIFS('03_Cennik_uslug_nowy'!$N:$N,'03_Cennik_uslug_nowy'!$A:$A,$A8,'03_Cennik_uslug_nowy'!$B:$B,"M")</x:f>
        <x:v>11815</x:v>
      </x:c>
      <x:c r="L8" s="8" t="n">
        <x:f>SUMIFS('03_Cennik_uslug_nowy'!$N:$N,'03_Cennik_uslug_nowy'!$A:$A,$A8,'03_Cennik_uslug_nowy'!$B:$B,"PDWP")</x:f>
        <x:v>2414</x:v>
      </x:c>
      <x:c r="M8" s="8" t="n">
        <x:f>IF(VALUE(LEFT($A8,3))&gt;=450,SUMIFS('03_Cennik_uslug_nowy'!$N:$N,'03_Cennik_uslug_nowy'!$A:$A,$A8,'03_Cennik_uslug_nowy'!$B:$B,"LED3"),SUMIFS('03_Cennik_uslug_nowy'!$N:$N,'03_Cennik_uslug_nowy'!$A:$A,$A8,'03_Cennik_uslug_nowy'!$B:$B,"LED2"))</x:f>
        <x:v>1325</x:v>
      </x:c>
      <x:c r="N8" s="550" t="n">
        <x:f>SUMIFS('03_Cennik_uslug_nowy'!$N:$N,'03_Cennik_uslug_nowy'!$A:$A,$A8,'03_Cennik_uslug_nowy'!$B:$B,"LED3")</x:f>
        <x:v>1986</x:v>
      </x:c>
      <x:c r="O8" s="8" t="n">
        <x:f>SUMIFS('03_Cennik_uslug_nowy'!$N:$N,'03_Cennik_uslug_nowy'!$A:$A,$A8,'03_Cennik_uslug_nowy'!$B:$B,"S")</x:f>
        <x:v>725</x:v>
      </x:c>
      <x:c r="P8" s="8" t="n">
        <x:f>SUMIFS('03_Cennik_uslug_nowy'!$N:$N,'03_Cennik_uslug_nowy'!$A:$A,$A8,'03_Cennik_uslug_nowy'!$B:$B,"U")</x:f>
        <x:v>662</x:v>
      </x:c>
      <x:c r="Q8" s="8" t="n">
        <x:f>SUMIFS('03_Cennik_uslug_nowy'!$N:$N,'03_Cennik_uslug_nowy'!$A:$A,$A8,'03_Cennik_uslug_nowy'!$B:$B,"ZAB")</x:f>
        <x:v>509</x:v>
      </x:c>
      <x:c r="R8" s="8" t="n">
        <x:f>SUMIFS('03_Cennik_uslug_nowy'!$N:$N,'03_Cennik_uslug_nowy'!$A:$A,$A8,'03_Cennik_uslug_nowy'!$B:$B,"LEDCCT")</x:f>
        <x:v>2334</x:v>
      </x:c>
      <x:c r="S8" s="8" t="n"/>
    </x:row>
    <x:row r="9">
      <x:c r="A9" s="6" t="inlineStr">
        <x:is>
          <x:t xml:space="preserve">300 x 1006 cm</x:t>
        </x:is>
      </x:c>
      <x:c r="B9" s="8" t="n">
        <x:f>SUMIFS('03_Cennik_uslug_nowy'!$N:$N,'03_Cennik_uslug_nowy'!$A:$A,$A9,'03_Cennik_uslug_nowy'!$B:$B,"ZP")</x:f>
        <x:v>21559</x:v>
      </x:c>
      <x:c r="C9" s="8" t="n">
        <x:f>ROUND(((SUMIFS('03_Cennik_uslug_nowy'!$J:$J,'03_Cennik_uslug_nowy'!$A:$A,$A9,'03_Cennik_uslug_nowy'!$B:$B,"OP")+SUMIFS('03_Cennik_uslug_nowy'!$K:$K,'03_Cennik_uslug_nowy'!$A:$A,$A9,'03_Cennik_uslug_nowy'!$B:$B,"OP"))-(SUMIFS('03_Cennik_uslug_nowy'!$J:$J,'03_Cennik_uslug_nowy'!$A:$A,$A9,'03_Cennik_uslug_nowy'!$B:$B,"ZP")+SUMIFS('03_Cennik_uslug_nowy'!$K:$K,'03_Cennik_uslug_nowy'!$A:$A,$A9,'03_Cennik_uslug_nowy'!$B:$B,"ZP")))*(IF('01_Ustawienia'!$B$4="ZWOLNIONY",1,1+'01_Ustawienia'!$B$7)),0)</x:f>
        <x:v>22401</x:v>
      </x:c>
      <x:c r="D9" s="8" t="n">
        <x:f>C9+SUMIFS('03_Cennik_uslug_nowy'!$N:$N,'03_Cennik_uslug_nowy'!$A:$A,$A9,'03_Cennik_uslug_nowy'!$B:$B,"SBB")</x:f>
        <x:v>24845</x:v>
      </x:c>
      <x:c r="E9" s="8" t="n">
        <x:f>SUMIFS('03_Cennik_uslug_nowy'!$N:$N,'03_Cennik_uslug_nowy'!$A:$A,$A9,'03_Cennik_uslug_nowy'!$B:$B,"PDPB")</x:f>
        <x:v>700</x:v>
      </x:c>
      <x:c r="F9" s="8" t="n">
        <x:f>SUMIFS('03_Cennik_uslug_nowy'!$N:$N,'03_Cennik_uslug_nowy'!$A:$A,$A9,'03_Cennik_uslug_nowy'!$B:$B,"PDS")</x:f>
        <x:v>7359</x:v>
      </x:c>
      <x:c r="G9" s="8" t="n">
        <x:f>F9+SUMIFS('03_Cennik_uslug_nowy'!$N:$N,'03_Cennik_uslug_nowy'!$A:$A,$A9,'03_Cennik_uslug_nowy'!$B:$B,"PDSB")</x:f>
        <x:v>8772</x:v>
      </x:c>
      <x:c r="H9" s="8" t="n">
        <x:f>SUMIFS('03_Cennik_uslug_nowy'!$N:$N,'03_Cennik_uslug_nowy'!$A:$A,$A9,'03_Cennik_uslug_nowy'!$B:$B,"RB")</x:f>
        <x:v>2725</x:v>
      </x:c>
      <x:c r="I9" s="8" t="n">
        <x:f>SUMIFS('03_Cennik_uslug_nowy'!$N:$N,'03_Cennik_uslug_nowy'!$A:$A,$A9,'03_Cennik_uslug_nowy'!$B:$B,"RB")</x:f>
        <x:v>2725</x:v>
      </x:c>
      <x:c r="J9" s="8" t="n">
        <x:f>SUMIFS('03_Cennik_uslug_nowy'!$N:$N,'03_Cennik_uslug_nowy'!$A:$A,$A9,'03_Cennik_uslug_nowy'!$B:$B,"RP")</x:f>
        <x:v>8798</x:v>
      </x:c>
      <x:c r="K9" s="8" t="n">
        <x:f>SUMIFS('03_Cennik_uslug_nowy'!$N:$N,'03_Cennik_uslug_nowy'!$A:$A,$A9,'03_Cennik_uslug_nowy'!$B:$B,"M")</x:f>
        <x:v>12667</x:v>
      </x:c>
      <x:c r="L9" s="8" t="n">
        <x:f>SUMIFS('03_Cennik_uslug_nowy'!$N:$N,'03_Cennik_uslug_nowy'!$A:$A,$A9,'03_Cennik_uslug_nowy'!$B:$B,"PDWP")</x:f>
        <x:v>2665</x:v>
      </x:c>
      <x:c r="M9" s="8" t="n">
        <x:f>IF(VALUE(LEFT($A9,3))&gt;=450,SUMIFS('03_Cennik_uslug_nowy'!$N:$N,'03_Cennik_uslug_nowy'!$A:$A,$A9,'03_Cennik_uslug_nowy'!$B:$B,"LED3"),SUMIFS('03_Cennik_uslug_nowy'!$N:$N,'03_Cennik_uslug_nowy'!$A:$A,$A9,'03_Cennik_uslug_nowy'!$B:$B,"LED2"))</x:f>
        <x:v>1566</x:v>
      </x:c>
      <x:c r="N9" s="550" t="n">
        <x:f>SUMIFS('03_Cennik_uslug_nowy'!$N:$N,'03_Cennik_uslug_nowy'!$A:$A,$A9,'03_Cennik_uslug_nowy'!$B:$B,"LED3")</x:f>
        <x:v>2100</x:v>
      </x:c>
      <x:c r="O9" s="8" t="n">
        <x:f>SUMIFS('03_Cennik_uslug_nowy'!$N:$N,'03_Cennik_uslug_nowy'!$A:$A,$A9,'03_Cennik_uslug_nowy'!$B:$B,"S")</x:f>
        <x:v>777</x:v>
      </x:c>
      <x:c r="P9" s="8" t="n">
        <x:f>SUMIFS('03_Cennik_uslug_nowy'!$N:$N,'03_Cennik_uslug_nowy'!$A:$A,$A9,'03_Cennik_uslug_nowy'!$B:$B,"U")</x:f>
        <x:v>700</x:v>
      </x:c>
      <x:c r="Q9" s="8" t="n">
        <x:f>SUMIFS('03_Cennik_uslug_nowy'!$N:$N,'03_Cennik_uslug_nowy'!$A:$A,$A9,'03_Cennik_uslug_nowy'!$B:$B,"ZAB")</x:f>
        <x:v>561</x:v>
      </x:c>
      <x:c r="R9" s="8" t="n">
        <x:f>SUMIFS('03_Cennik_uslug_nowy'!$N:$N,'03_Cennik_uslug_nowy'!$A:$A,$A9,'03_Cennik_uslug_nowy'!$B:$B,"LEDCCT")</x:f>
        <x:v>2787</x:v>
      </x:c>
      <x:c r="S9" s="8" t="n"/>
    </x:row>
    <x:row r="10">
      <x:c r="A10" s="6" t="inlineStr">
        <x:is>
          <x:t xml:space="preserve">300 x 1106 cm</x:t>
        </x:is>
      </x:c>
      <x:c r="B10" s="8" t="n">
        <x:f>SUMIFS('03_Cennik_uslug_nowy'!$N:$N,'03_Cennik_uslug_nowy'!$A:$A,$A10,'03_Cennik_uslug_nowy'!$B:$B,"ZP")</x:f>
        <x:v>23059</x:v>
      </x:c>
      <x:c r="C10" s="8" t="n">
        <x:f>ROUND(((SUMIFS('03_Cennik_uslug_nowy'!$J:$J,'03_Cennik_uslug_nowy'!$A:$A,$A10,'03_Cennik_uslug_nowy'!$B:$B,"OP")+SUMIFS('03_Cennik_uslug_nowy'!$K:$K,'03_Cennik_uslug_nowy'!$A:$A,$A10,'03_Cennik_uslug_nowy'!$B:$B,"OP"))-(SUMIFS('03_Cennik_uslug_nowy'!$J:$J,'03_Cennik_uslug_nowy'!$A:$A,$A10,'03_Cennik_uslug_nowy'!$B:$B,"ZP")+SUMIFS('03_Cennik_uslug_nowy'!$K:$K,'03_Cennik_uslug_nowy'!$A:$A,$A10,'03_Cennik_uslug_nowy'!$B:$B,"ZP")))*(IF('01_Ustawienia'!$B$4="ZWOLNIONY",1,1+'01_Ustawienia'!$B$7)),0)</x:f>
        <x:v>24036</x:v>
      </x:c>
      <x:c r="D10" s="8" t="n">
        <x:f>C10+SUMIFS('03_Cennik_uslug_nowy'!$N:$N,'03_Cennik_uslug_nowy'!$A:$A,$A10,'03_Cennik_uslug_nowy'!$B:$B,"SBB")</x:f>
        <x:v>26634</x:v>
      </x:c>
      <x:c r="E10" s="8" t="n">
        <x:f>SUMIFS('03_Cennik_uslug_nowy'!$N:$N,'03_Cennik_uslug_nowy'!$A:$A,$A10,'03_Cennik_uslug_nowy'!$B:$B,"PDPB")</x:f>
        <x:v>789</x:v>
      </x:c>
      <x:c r="F10" s="8" t="n">
        <x:f>SUMIFS('03_Cennik_uslug_nowy'!$N:$N,'03_Cennik_uslug_nowy'!$A:$A,$A10,'03_Cennik_uslug_nowy'!$B:$B,"PDS")</x:f>
        <x:v>8098</x:v>
      </x:c>
      <x:c r="G10" s="8" t="n">
        <x:f>F10+SUMIFS('03_Cennik_uslug_nowy'!$N:$N,'03_Cennik_uslug_nowy'!$A:$A,$A10,'03_Cennik_uslug_nowy'!$B:$B,"PDSB")</x:f>
        <x:v>9651</x:v>
      </x:c>
      <x:c r="H10" s="8" t="n">
        <x:f>SUMIFS('03_Cennik_uslug_nowy'!$N:$N,'03_Cennik_uslug_nowy'!$A:$A,$A10,'03_Cennik_uslug_nowy'!$B:$B,"RB")</x:f>
        <x:v>2725</x:v>
      </x:c>
      <x:c r="I10" s="8" t="n">
        <x:f>SUMIFS('03_Cennik_uslug_nowy'!$N:$N,'03_Cennik_uslug_nowy'!$A:$A,$A10,'03_Cennik_uslug_nowy'!$B:$B,"RB")</x:f>
        <x:v>2725</x:v>
      </x:c>
      <x:c r="J10" s="8" t="n">
        <x:f>SUMIFS('03_Cennik_uslug_nowy'!$N:$N,'03_Cennik_uslug_nowy'!$A:$A,$A10,'03_Cennik_uslug_nowy'!$B:$B,"RP")</x:f>
        <x:v>9448</x:v>
      </x:c>
      <x:c r="K10" s="8" t="n">
        <x:f>SUMIFS('03_Cennik_uslug_nowy'!$N:$N,'03_Cennik_uslug_nowy'!$A:$A,$A10,'03_Cennik_uslug_nowy'!$B:$B,"M")</x:f>
        <x:v>15915</x:v>
      </x:c>
      <x:c r="L10" s="8" t="n">
        <x:f>SUMIFS('03_Cennik_uslug_nowy'!$N:$N,'03_Cennik_uslug_nowy'!$A:$A,$A10,'03_Cennik_uslug_nowy'!$B:$B,"PDWP")</x:f>
        <x:v>3785</x:v>
      </x:c>
      <x:c r="M10" s="8" t="n">
        <x:f>IF(VALUE(LEFT($A10,3))&gt;=450,SUMIFS('03_Cennik_uslug_nowy'!$N:$N,'03_Cennik_uslug_nowy'!$A:$A,$A10,'03_Cennik_uslug_nowy'!$B:$B,"LED3"),SUMIFS('03_Cennik_uslug_nowy'!$N:$N,'03_Cennik_uslug_nowy'!$A:$A,$A10,'03_Cennik_uslug_nowy'!$B:$B,"LED2"))</x:f>
        <x:v>1821</x:v>
      </x:c>
      <x:c r="N10" s="550" t="n">
        <x:f>SUMIFS('03_Cennik_uslug_nowy'!$N:$N,'03_Cennik_uslug_nowy'!$A:$A,$A10,'03_Cennik_uslug_nowy'!$B:$B,"LED3")</x:f>
        <x:v>2254</x:v>
      </x:c>
      <x:c r="O10" s="8" t="n">
        <x:f>SUMIFS('03_Cennik_uslug_nowy'!$N:$N,'03_Cennik_uslug_nowy'!$A:$A,$A10,'03_Cennik_uslug_nowy'!$B:$B,"S")</x:f>
        <x:v>827</x:v>
      </x:c>
      <x:c r="P10" s="8" t="n">
        <x:f>SUMIFS('03_Cennik_uslug_nowy'!$N:$N,'03_Cennik_uslug_nowy'!$A:$A,$A10,'03_Cennik_uslug_nowy'!$B:$B,"U")</x:f>
        <x:v>752</x:v>
      </x:c>
      <x:c r="Q10" s="8" t="n">
        <x:f>SUMIFS('03_Cennik_uslug_nowy'!$N:$N,'03_Cennik_uslug_nowy'!$A:$A,$A10,'03_Cennik_uslug_nowy'!$B:$B,"ZAB")</x:f>
        <x:v>611</x:v>
      </x:c>
      <x:c r="R10" s="8" t="n">
        <x:f>SUMIFS('03_Cennik_uslug_nowy'!$N:$N,'03_Cennik_uslug_nowy'!$A:$A,$A10,'03_Cennik_uslug_nowy'!$B:$B,"LEDCCT")</x:f>
        <x:v>3023</x:v>
      </x:c>
      <x:c r="S10" s="8" t="n"/>
    </x:row>
    <x:row r="11">
      <x:c r="A11" s="6" t="inlineStr">
        <x:is>
          <x:t xml:space="preserve">300 x 1206 cm</x:t>
        </x:is>
      </x:c>
      <x:c r="B11" s="8" t="n">
        <x:f>SUMIFS('03_Cennik_uslug_nowy'!$N:$N,'03_Cennik_uslug_nowy'!$A:$A,$A11,'03_Cennik_uslug_nowy'!$B:$B,"ZP")</x:f>
        <x:v>24561</x:v>
      </x:c>
      <x:c r="C11" s="8" t="n">
        <x:f>ROUND(((SUMIFS('03_Cennik_uslug_nowy'!$J:$J,'03_Cennik_uslug_nowy'!$A:$A,$A11,'03_Cennik_uslug_nowy'!$B:$B,"OP")+SUMIFS('03_Cennik_uslug_nowy'!$K:$K,'03_Cennik_uslug_nowy'!$A:$A,$A11,'03_Cennik_uslug_nowy'!$B:$B,"OP"))-(SUMIFS('03_Cennik_uslug_nowy'!$J:$J,'03_Cennik_uslug_nowy'!$A:$A,$A11,'03_Cennik_uslug_nowy'!$B:$B,"ZP")+SUMIFS('03_Cennik_uslug_nowy'!$K:$K,'03_Cennik_uslug_nowy'!$A:$A,$A11,'03_Cennik_uslug_nowy'!$B:$B,"ZP")))*(IF('01_Ustawienia'!$B$4="ZWOLNIONY",1,1+'01_Ustawienia'!$B$7)),0)</x:f>
        <x:v>25642</x:v>
      </x:c>
      <x:c r="D11" s="8" t="n">
        <x:f>C11+SUMIFS('03_Cennik_uslug_nowy'!$N:$N,'03_Cennik_uslug_nowy'!$A:$A,$A11,'03_Cennik_uslug_nowy'!$B:$B,"SBB")</x:f>
        <x:v>28392</x:v>
      </x:c>
      <x:c r="E11" s="8" t="n">
        <x:f>SUMIFS('03_Cennik_uslug_nowy'!$N:$N,'03_Cennik_uslug_nowy'!$A:$A,$A11,'03_Cennik_uslug_nowy'!$B:$B,"PDPB")</x:f>
        <x:v>866</x:v>
      </x:c>
      <x:c r="F11" s="8" t="n">
        <x:f>SUMIFS('03_Cennik_uslug_nowy'!$N:$N,'03_Cennik_uslug_nowy'!$A:$A,$A11,'03_Cennik_uslug_nowy'!$B:$B,"PDS")</x:f>
        <x:v>8860</x:v>
      </x:c>
      <x:c r="G11" s="8" t="n">
        <x:f>F11+SUMIFS('03_Cennik_uslug_nowy'!$N:$N,'03_Cennik_uslug_nowy'!$A:$A,$A11,'03_Cennik_uslug_nowy'!$B:$B,"PDSB")</x:f>
        <x:v>10565</x:v>
      </x:c>
      <x:c r="H11" s="8" t="n">
        <x:f>SUMIFS('03_Cennik_uslug_nowy'!$N:$N,'03_Cennik_uslug_nowy'!$A:$A,$A11,'03_Cennik_uslug_nowy'!$B:$B,"RB")</x:f>
        <x:v>2725</x:v>
      </x:c>
      <x:c r="I11" s="8" t="n">
        <x:f>SUMIFS('03_Cennik_uslug_nowy'!$N:$N,'03_Cennik_uslug_nowy'!$A:$A,$A11,'03_Cennik_uslug_nowy'!$B:$B,"RB")</x:f>
        <x:v>2725</x:v>
      </x:c>
      <x:c r="J11" s="8" t="n">
        <x:f>SUMIFS('03_Cennik_uslug_nowy'!$N:$N,'03_Cennik_uslug_nowy'!$A:$A,$A11,'03_Cennik_uslug_nowy'!$B:$B,"RP")</x:f>
        <x:v>10084</x:v>
      </x:c>
      <x:c r="K11" s="8" t="n">
        <x:f>SUMIFS('03_Cennik_uslug_nowy'!$N:$N,'03_Cennik_uslug_nowy'!$A:$A,$A11,'03_Cennik_uslug_nowy'!$B:$B,"M")</x:f>
        <x:v>16425</x:v>
      </x:c>
      <x:c r="L11" s="8" t="n">
        <x:f>SUMIFS('03_Cennik_uslug_nowy'!$N:$N,'03_Cennik_uslug_nowy'!$A:$A,$A11,'03_Cennik_uslug_nowy'!$B:$B,"PDWP")</x:f>
        <x:v>3785</x:v>
      </x:c>
      <x:c r="M11" s="8" t="n">
        <x:f>IF(VALUE(LEFT($A11,3))&gt;=450,SUMIFS('03_Cennik_uslug_nowy'!$N:$N,'03_Cennik_uslug_nowy'!$A:$A,$A11,'03_Cennik_uslug_nowy'!$B:$B,"LED3"),SUMIFS('03_Cennik_uslug_nowy'!$N:$N,'03_Cennik_uslug_nowy'!$A:$A,$A11,'03_Cennik_uslug_nowy'!$B:$B,"LED2"))</x:f>
        <x:v>1923</x:v>
      </x:c>
      <x:c r="N11" s="550" t="n">
        <x:f>SUMIFS('03_Cennik_uslug_nowy'!$N:$N,'03_Cennik_uslug_nowy'!$A:$A,$A11,'03_Cennik_uslug_nowy'!$B:$B,"LED3")</x:f>
        <x:v>2419</x:v>
      </x:c>
      <x:c r="O11" s="8" t="n">
        <x:f>SUMIFS('03_Cennik_uslug_nowy'!$N:$N,'03_Cennik_uslug_nowy'!$A:$A,$A11,'03_Cennik_uslug_nowy'!$B:$B,"S")</x:f>
        <x:v>878</x:v>
      </x:c>
      <x:c r="P11" s="8" t="n">
        <x:f>SUMIFS('03_Cennik_uslug_nowy'!$N:$N,'03_Cennik_uslug_nowy'!$A:$A,$A11,'03_Cennik_uslug_nowy'!$B:$B,"U")</x:f>
        <x:v>789</x:v>
      </x:c>
      <x:c r="Q11" s="8" t="n">
        <x:f>SUMIFS('03_Cennik_uslug_nowy'!$N:$N,'03_Cennik_uslug_nowy'!$A:$A,$A11,'03_Cennik_uslug_nowy'!$B:$B,"ZAB")</x:f>
        <x:v>662</x:v>
      </x:c>
      <x:c r="R11" s="8" t="n">
        <x:f>SUMIFS('03_Cennik_uslug_nowy'!$N:$N,'03_Cennik_uslug_nowy'!$A:$A,$A11,'03_Cennik_uslug_nowy'!$B:$B,"LEDCCT")</x:f>
        <x:v>3242</x:v>
      </x:c>
      <x:c r="S11" s="8" t="n"/>
    </x:row>
    <x:row r="12">
      <x:c r="A12" s="6" t="inlineStr">
        <x:is>
          <x:t xml:space="preserve">350 x 306 cm</x:t>
        </x:is>
      </x:c>
      <x:c r="B12" s="8" t="n">
        <x:f>SUMIFS('03_Cennik_uslug_nowy'!$N:$N,'03_Cennik_uslug_nowy'!$A:$A,$A12,'03_Cennik_uslug_nowy'!$B:$B,"ZP")</x:f>
        <x:v>8376</x:v>
      </x:c>
      <x:c r="C12" s="8" t="n">
        <x:f>ROUND(((SUMIFS('03_Cennik_uslug_nowy'!$J:$J,'03_Cennik_uslug_nowy'!$A:$A,$A12,'03_Cennik_uslug_nowy'!$B:$B,"OP")+SUMIFS('03_Cennik_uslug_nowy'!$K:$K,'03_Cennik_uslug_nowy'!$A:$A,$A12,'03_Cennik_uslug_nowy'!$B:$B,"OP"))-(SUMIFS('03_Cennik_uslug_nowy'!$J:$J,'03_Cennik_uslug_nowy'!$A:$A,$A12,'03_Cennik_uslug_nowy'!$B:$B,"ZP")+SUMIFS('03_Cennik_uslug_nowy'!$K:$K,'03_Cennik_uslug_nowy'!$A:$A,$A12,'03_Cennik_uslug_nowy'!$B:$B,"ZP")))*(IF('01_Ustawienia'!$B$4="ZWOLNIONY",1,1+'01_Ustawienia'!$B$7)),0)</x:f>
        <x:v>16611</x:v>
      </x:c>
      <x:c r="D12" s="8" t="n">
        <x:f>C12+SUMIFS('03_Cennik_uslug_nowy'!$N:$N,'03_Cennik_uslug_nowy'!$A:$A,$A12,'03_Cennik_uslug_nowy'!$B:$B,"SBB")</x:f>
        <x:v>18291</x:v>
      </x:c>
      <x:c r="E12" s="8" t="n">
        <x:f>SUMIFS('03_Cennik_uslug_nowy'!$N:$N,'03_Cennik_uslug_nowy'!$A:$A,$A12,'03_Cennik_uslug_nowy'!$B:$B,"PDPB")</x:f>
        <x:v>191</x:v>
      </x:c>
      <x:c r="F12" s="8" t="n">
        <x:f>SUMIFS('03_Cennik_uslug_nowy'!$N:$N,'03_Cennik_uslug_nowy'!$A:$A,$A12,'03_Cennik_uslug_nowy'!$B:$B,"PDS")</x:f>
        <x:v>2903</x:v>
      </x:c>
      <x:c r="G12" s="8" t="n">
        <x:f>F12+SUMIFS('03_Cennik_uslug_nowy'!$N:$N,'03_Cennik_uslug_nowy'!$A:$A,$A12,'03_Cennik_uslug_nowy'!$B:$B,"PDSB")</x:f>
        <x:v>3335</x:v>
      </x:c>
      <x:c r="H12" s="8" t="n">
        <x:f>SUMIFS('03_Cennik_uslug_nowy'!$N:$N,'03_Cennik_uslug_nowy'!$A:$A,$A12,'03_Cennik_uslug_nowy'!$B:$B,"RB")</x:f>
        <x:v>2979</x:v>
      </x:c>
      <x:c r="I12" s="8" t="n">
        <x:f>SUMIFS('03_Cennik_uslug_nowy'!$N:$N,'03_Cennik_uslug_nowy'!$A:$A,$A12,'03_Cennik_uslug_nowy'!$B:$B,"RB")</x:f>
        <x:v>2979</x:v>
      </x:c>
      <x:c r="J12" s="8" t="n">
        <x:f>SUMIFS('03_Cennik_uslug_nowy'!$N:$N,'03_Cennik_uslug_nowy'!$A:$A,$A12,'03_Cennik_uslug_nowy'!$B:$B,"RP")</x:f>
        <x:v>2725</x:v>
      </x:c>
      <x:c r="K12" s="8" t="n">
        <x:f>SUMIFS('03_Cennik_uslug_nowy'!$N:$N,'03_Cennik_uslug_nowy'!$A:$A,$A12,'03_Cennik_uslug_nowy'!$B:$B,"M")</x:f>
        <x:v>5067</x:v>
      </x:c>
      <x:c r="L12" s="8" t="n">
        <x:f>SUMIFS('03_Cennik_uslug_nowy'!$N:$N,'03_Cennik_uslug_nowy'!$A:$A,$A12,'03_Cennik_uslug_nowy'!$B:$B,"PDWP")</x:f>
        <x:v>1720</x:v>
      </x:c>
      <x:c r="M12" s="8" t="n">
        <x:f>IF(VALUE(LEFT($A12,3))&gt;=450,SUMIFS('03_Cennik_uslug_nowy'!$N:$N,'03_Cennik_uslug_nowy'!$A:$A,$A12,'03_Cennik_uslug_nowy'!$B:$B,"LED3"),SUMIFS('03_Cennik_uslug_nowy'!$N:$N,'03_Cennik_uslug_nowy'!$A:$A,$A12,'03_Cennik_uslug_nowy'!$B:$B,"LED2"))</x:f>
        <x:v>534</x:v>
      </x:c>
      <x:c r="N12" s="550" t="n">
        <x:f>SUMIFS('03_Cennik_uslug_nowy'!$N:$N,'03_Cennik_uslug_nowy'!$A:$A,$A12,'03_Cennik_uslug_nowy'!$B:$B,"LED3")</x:f>
        <x:v>814</x:v>
      </x:c>
      <x:c r="O12" s="8" t="n">
        <x:f>SUMIFS('03_Cennik_uslug_nowy'!$N:$N,'03_Cennik_uslug_nowy'!$A:$A,$A12,'03_Cennik_uslug_nowy'!$B:$B,"S")</x:f>
        <x:v>534</x:v>
      </x:c>
      <x:c r="P12" s="8" t="n">
        <x:f>SUMIFS('03_Cennik_uslug_nowy'!$N:$N,'03_Cennik_uslug_nowy'!$A:$A,$A12,'03_Cennik_uslug_nowy'!$B:$B,"U")</x:f>
        <x:v>484</x:v>
      </x:c>
      <x:c r="Q12" s="8" t="n">
        <x:f>SUMIFS('03_Cennik_uslug_nowy'!$N:$N,'03_Cennik_uslug_nowy'!$A:$A,$A12,'03_Cennik_uslug_nowy'!$B:$B,"ZAB")</x:f>
        <x:v>407</x:v>
      </x:c>
      <x:c r="R12" s="8" t="n">
        <x:f>SUMIFS('03_Cennik_uslug_nowy'!$N:$N,'03_Cennik_uslug_nowy'!$A:$A,$A12,'03_Cennik_uslug_nowy'!$B:$B,"LEDCCT")</x:f>
        <x:v>1284</x:v>
      </x:c>
      <x:c r="S12" s="8" t="n"/>
    </x:row>
    <x:row r="13">
      <x:c r="A13" s="6" t="inlineStr">
        <x:is>
          <x:t xml:space="preserve">350 x 406 cm</x:t>
        </x:is>
      </x:c>
      <x:c r="B13" s="8" t="n">
        <x:f>SUMIFS('03_Cennik_uslug_nowy'!$N:$N,'03_Cennik_uslug_nowy'!$A:$A,$A13,'03_Cennik_uslug_nowy'!$B:$B,"ZP")</x:f>
        <x:v>10464</x:v>
      </x:c>
      <x:c r="C13" s="8" t="n">
        <x:f>ROUND(((SUMIFS('03_Cennik_uslug_nowy'!$J:$J,'03_Cennik_uslug_nowy'!$A:$A,$A13,'03_Cennik_uslug_nowy'!$B:$B,"OP")+SUMIFS('03_Cennik_uslug_nowy'!$K:$K,'03_Cennik_uslug_nowy'!$A:$A,$A13,'03_Cennik_uslug_nowy'!$B:$B,"OP"))-(SUMIFS('03_Cennik_uslug_nowy'!$J:$J,'03_Cennik_uslug_nowy'!$A:$A,$A13,'03_Cennik_uslug_nowy'!$B:$B,"ZP")+SUMIFS('03_Cennik_uslug_nowy'!$K:$K,'03_Cennik_uslug_nowy'!$A:$A,$A13,'03_Cennik_uslug_nowy'!$B:$B,"ZP")))*(IF('01_Ustawienia'!$B$4="ZWOLNIONY",1,1+'01_Ustawienia'!$B$7)),0)</x:f>
        <x:v>17875</x:v>
      </x:c>
      <x:c r="D13" s="8" t="n">
        <x:f>C13+SUMIFS('03_Cennik_uslug_nowy'!$N:$N,'03_Cennik_uslug_nowy'!$A:$A,$A13,'03_Cennik_uslug_nowy'!$B:$B,"SBB")</x:f>
        <x:v>19709</x:v>
      </x:c>
      <x:c r="E13" s="8" t="n">
        <x:f>SUMIFS('03_Cennik_uslug_nowy'!$N:$N,'03_Cennik_uslug_nowy'!$A:$A,$A13,'03_Cennik_uslug_nowy'!$B:$B,"PDPB")</x:f>
        <x:v>255</x:v>
      </x:c>
      <x:c r="F13" s="8" t="n">
        <x:f>SUMIFS('03_Cennik_uslug_nowy'!$N:$N,'03_Cennik_uslug_nowy'!$A:$A,$A13,'03_Cennik_uslug_nowy'!$B:$B,"PDS")</x:f>
        <x:v>3884</x:v>
      </x:c>
      <x:c r="G13" s="8" t="n">
        <x:f>F13+SUMIFS('03_Cennik_uslug_nowy'!$N:$N,'03_Cennik_uslug_nowy'!$A:$A,$A13,'03_Cennik_uslug_nowy'!$B:$B,"PDSB")</x:f>
        <x:v>4457</x:v>
      </x:c>
      <x:c r="H13" s="8" t="n">
        <x:f>SUMIFS('03_Cennik_uslug_nowy'!$N:$N,'03_Cennik_uslug_nowy'!$A:$A,$A13,'03_Cennik_uslug_nowy'!$B:$B,"RB")</x:f>
        <x:v>2979</x:v>
      </x:c>
      <x:c r="I13" s="8" t="n">
        <x:f>SUMIFS('03_Cennik_uslug_nowy'!$N:$N,'03_Cennik_uslug_nowy'!$A:$A,$A13,'03_Cennik_uslug_nowy'!$B:$B,"RB")</x:f>
        <x:v>2979</x:v>
      </x:c>
      <x:c r="J13" s="8" t="n">
        <x:f>SUMIFS('03_Cennik_uslug_nowy'!$N:$N,'03_Cennik_uslug_nowy'!$A:$A,$A13,'03_Cennik_uslug_nowy'!$B:$B,"RP")</x:f>
        <x:v>3361</x:v>
      </x:c>
      <x:c r="K13" s="8" t="n">
        <x:f>SUMIFS('03_Cennik_uslug_nowy'!$N:$N,'03_Cennik_uslug_nowy'!$A:$A,$A13,'03_Cennik_uslug_nowy'!$B:$B,"M")</x:f>
        <x:v>5730</x:v>
      </x:c>
      <x:c r="L13" s="8" t="n">
        <x:f>SUMIFS('03_Cennik_uslug_nowy'!$N:$N,'03_Cennik_uslug_nowy'!$A:$A,$A13,'03_Cennik_uslug_nowy'!$B:$B,"PDWP")</x:f>
        <x:v>1932</x:v>
      </x:c>
      <x:c r="M13" s="8" t="n">
        <x:f>IF(VALUE(LEFT($A13,3))&gt;=450,SUMIFS('03_Cennik_uslug_nowy'!$N:$N,'03_Cennik_uslug_nowy'!$A:$A,$A13,'03_Cennik_uslug_nowy'!$B:$B,"LED3"),SUMIFS('03_Cennik_uslug_nowy'!$N:$N,'03_Cennik_uslug_nowy'!$A:$A,$A13,'03_Cennik_uslug_nowy'!$B:$B,"LED2"))</x:f>
        <x:v>650</x:v>
      </x:c>
      <x:c r="N13" s="550" t="n">
        <x:f>SUMIFS('03_Cennik_uslug_nowy'!$N:$N,'03_Cennik_uslug_nowy'!$A:$A,$A13,'03_Cennik_uslug_nowy'!$B:$B,"LED3")</x:f>
        <x:v>943</x:v>
      </x:c>
      <x:c r="O13" s="8" t="n">
        <x:f>SUMIFS('03_Cennik_uslug_nowy'!$N:$N,'03_Cennik_uslug_nowy'!$A:$A,$A13,'03_Cennik_uslug_nowy'!$B:$B,"S")</x:f>
        <x:v>585</x:v>
      </x:c>
      <x:c r="P13" s="8" t="n">
        <x:f>SUMIFS('03_Cennik_uslug_nowy'!$N:$N,'03_Cennik_uslug_nowy'!$A:$A,$A13,'03_Cennik_uslug_nowy'!$B:$B,"U")</x:f>
        <x:v>522</x:v>
      </x:c>
      <x:c r="Q13" s="8" t="n">
        <x:f>SUMIFS('03_Cennik_uslug_nowy'!$N:$N,'03_Cennik_uslug_nowy'!$A:$A,$A13,'03_Cennik_uslug_nowy'!$B:$B,"ZAB")</x:f>
        <x:v>459</x:v>
      </x:c>
      <x:c r="R13" s="8" t="n">
        <x:f>SUMIFS('03_Cennik_uslug_nowy'!$N:$N,'03_Cennik_uslug_nowy'!$A:$A,$A13,'03_Cennik_uslug_nowy'!$B:$B,"LEDCCT")</x:f>
        <x:v>1535</x:v>
      </x:c>
      <x:c r="S13" s="8" t="n"/>
    </x:row>
    <x:row r="14">
      <x:c r="A14" s="6" t="inlineStr">
        <x:is>
          <x:t xml:space="preserve">350 x 506 cm</x:t>
        </x:is>
      </x:c>
      <x:c r="B14" s="8" t="n">
        <x:f>SUMIFS('03_Cennik_uslug_nowy'!$N:$N,'03_Cennik_uslug_nowy'!$A:$A,$A14,'03_Cennik_uslug_nowy'!$B:$B,"ZP")</x:f>
        <x:v>12603</x:v>
      </x:c>
      <x:c r="C14" s="8" t="n">
        <x:f>ROUND(((SUMIFS('03_Cennik_uslug_nowy'!$J:$J,'03_Cennik_uslug_nowy'!$A:$A,$A14,'03_Cennik_uslug_nowy'!$B:$B,"OP")+SUMIFS('03_Cennik_uslug_nowy'!$K:$K,'03_Cennik_uslug_nowy'!$A:$A,$A14,'03_Cennik_uslug_nowy'!$B:$B,"OP"))-(SUMIFS('03_Cennik_uslug_nowy'!$J:$J,'03_Cennik_uslug_nowy'!$A:$A,$A14,'03_Cennik_uslug_nowy'!$B:$B,"ZP")+SUMIFS('03_Cennik_uslug_nowy'!$K:$K,'03_Cennik_uslug_nowy'!$A:$A,$A14,'03_Cennik_uslug_nowy'!$B:$B,"ZP")))*(IF('01_Ustawienia'!$B$4="ZWOLNIONY",1,1+'01_Ustawienia'!$B$7)),0)</x:f>
        <x:v>19623</x:v>
      </x:c>
      <x:c r="D14" s="8" t="n">
        <x:f>C14+SUMIFS('03_Cennik_uslug_nowy'!$N:$N,'03_Cennik_uslug_nowy'!$A:$A,$A14,'03_Cennik_uslug_nowy'!$B:$B,"SBB")</x:f>
        <x:v>21609</x:v>
      </x:c>
      <x:c r="E14" s="8" t="n">
        <x:f>SUMIFS('03_Cennik_uslug_nowy'!$N:$N,'03_Cennik_uslug_nowy'!$A:$A,$A14,'03_Cennik_uslug_nowy'!$B:$B,"PDPB")</x:f>
        <x:v>318</x:v>
      </x:c>
      <x:c r="F14" s="8" t="n">
        <x:f>SUMIFS('03_Cennik_uslug_nowy'!$N:$N,'03_Cennik_uslug_nowy'!$A:$A,$A14,'03_Cennik_uslug_nowy'!$B:$B,"PDS")</x:f>
        <x:v>4979</x:v>
      </x:c>
      <x:c r="G14" s="8" t="n">
        <x:f>F14+SUMIFS('03_Cennik_uslug_nowy'!$N:$N,'03_Cennik_uslug_nowy'!$A:$A,$A14,'03_Cennik_uslug_nowy'!$B:$B,"PDSB")</x:f>
        <x:v>5704</x:v>
      </x:c>
      <x:c r="H14" s="8" t="n">
        <x:f>SUMIFS('03_Cennik_uslug_nowy'!$N:$N,'03_Cennik_uslug_nowy'!$A:$A,$A14,'03_Cennik_uslug_nowy'!$B:$B,"RB")</x:f>
        <x:v>2979</x:v>
      </x:c>
      <x:c r="I14" s="8" t="n">
        <x:f>SUMIFS('03_Cennik_uslug_nowy'!$N:$N,'03_Cennik_uslug_nowy'!$A:$A,$A14,'03_Cennik_uslug_nowy'!$B:$B,"RB")</x:f>
        <x:v>2979</x:v>
      </x:c>
      <x:c r="J14" s="8" t="n">
        <x:f>SUMIFS('03_Cennik_uslug_nowy'!$N:$N,'03_Cennik_uslug_nowy'!$A:$A,$A14,'03_Cennik_uslug_nowy'!$B:$B,"RP")</x:f>
        <x:v>4711</x:v>
      </x:c>
      <x:c r="K14" s="8" t="n">
        <x:f>SUMIFS('03_Cennik_uslug_nowy'!$N:$N,'03_Cennik_uslug_nowy'!$A:$A,$A14,'03_Cennik_uslug_nowy'!$B:$B,"M")</x:f>
        <x:v>6621</x:v>
      </x:c>
      <x:c r="L14" s="8" t="n">
        <x:f>SUMIFS('03_Cennik_uslug_nowy'!$N:$N,'03_Cennik_uslug_nowy'!$A:$A,$A14,'03_Cennik_uslug_nowy'!$B:$B,"PDWP")</x:f>
        <x:v>2202</x:v>
      </x:c>
      <x:c r="M14" s="8" t="n">
        <x:f>IF(VALUE(LEFT($A14,3))&gt;=450,SUMIFS('03_Cennik_uslug_nowy'!$N:$N,'03_Cennik_uslug_nowy'!$A:$A,$A14,'03_Cennik_uslug_nowy'!$B:$B,"LED3"),SUMIFS('03_Cennik_uslug_nowy'!$N:$N,'03_Cennik_uslug_nowy'!$A:$A,$A14,'03_Cennik_uslug_nowy'!$B:$B,"LED2"))</x:f>
        <x:v>765</x:v>
      </x:c>
      <x:c r="N14" s="550" t="n">
        <x:f>SUMIFS('03_Cennik_uslug_nowy'!$N:$N,'03_Cennik_uslug_nowy'!$A:$A,$A14,'03_Cennik_uslug_nowy'!$B:$B,"LED3")</x:f>
        <x:v>1221</x:v>
      </x:c>
      <x:c r="O14" s="8" t="n">
        <x:f>SUMIFS('03_Cennik_uslug_nowy'!$N:$N,'03_Cennik_uslug_nowy'!$A:$A,$A14,'03_Cennik_uslug_nowy'!$B:$B,"S")</x:f>
        <x:v>637</x:v>
      </x:c>
      <x:c r="P14" s="8" t="n">
        <x:f>SUMIFS('03_Cennik_uslug_nowy'!$N:$N,'03_Cennik_uslug_nowy'!$A:$A,$A14,'03_Cennik_uslug_nowy'!$B:$B,"U")</x:f>
        <x:v>573</x:v>
      </x:c>
      <x:c r="Q14" s="8" t="n">
        <x:f>SUMIFS('03_Cennik_uslug_nowy'!$N:$N,'03_Cennik_uslug_nowy'!$A:$A,$A14,'03_Cennik_uslug_nowy'!$B:$B,"ZAB")</x:f>
        <x:v>459</x:v>
      </x:c>
      <x:c r="R14" s="8" t="n">
        <x:f>SUMIFS('03_Cennik_uslug_nowy'!$N:$N,'03_Cennik_uslug_nowy'!$A:$A,$A14,'03_Cennik_uslug_nowy'!$B:$B,"LEDCCT")</x:f>
        <x:v>1770</x:v>
      </x:c>
      <x:c r="S14" s="8" t="n"/>
    </x:row>
    <x:row r="15">
      <x:c r="A15" s="6" t="inlineStr">
        <x:is>
          <x:t xml:space="preserve">350 x 606 cm</x:t>
        </x:is>
      </x:c>
      <x:c r="B15" s="8" t="n">
        <x:f>SUMIFS('03_Cennik_uslug_nowy'!$N:$N,'03_Cennik_uslug_nowy'!$A:$A,$A15,'03_Cennik_uslug_nowy'!$B:$B,"ZP")</x:f>
        <x:v>14261</x:v>
      </x:c>
      <x:c r="C15" s="8" t="n">
        <x:f>ROUND(((SUMIFS('03_Cennik_uslug_nowy'!$J:$J,'03_Cennik_uslug_nowy'!$A:$A,$A15,'03_Cennik_uslug_nowy'!$B:$B,"OP")+SUMIFS('03_Cennik_uslug_nowy'!$K:$K,'03_Cennik_uslug_nowy'!$A:$A,$A15,'03_Cennik_uslug_nowy'!$B:$B,"OP"))-(SUMIFS('03_Cennik_uslug_nowy'!$J:$J,'03_Cennik_uslug_nowy'!$A:$A,$A15,'03_Cennik_uslug_nowy'!$B:$B,"ZP")+SUMIFS('03_Cennik_uslug_nowy'!$K:$K,'03_Cennik_uslug_nowy'!$A:$A,$A15,'03_Cennik_uslug_nowy'!$B:$B,"ZP")))*(IF('01_Ustawienia'!$B$4="ZWOLNIONY",1,1+'01_Ustawienia'!$B$7)),0)</x:f>
        <x:v>21077</x:v>
      </x:c>
      <x:c r="D15" s="8" t="n">
        <x:f>C15+SUMIFS('03_Cennik_uslug_nowy'!$N:$N,'03_Cennik_uslug_nowy'!$A:$A,$A15,'03_Cennik_uslug_nowy'!$B:$B,"SBB")</x:f>
        <x:v>23216</x:v>
      </x:c>
      <x:c r="E15" s="8" t="n">
        <x:f>SUMIFS('03_Cennik_uslug_nowy'!$N:$N,'03_Cennik_uslug_nowy'!$A:$A,$A15,'03_Cennik_uslug_nowy'!$B:$B,"PDPB")</x:f>
        <x:v>382</x:v>
      </x:c>
      <x:c r="F15" s="8" t="n">
        <x:f>SUMIFS('03_Cennik_uslug_nowy'!$N:$N,'03_Cennik_uslug_nowy'!$A:$A,$A15,'03_Cennik_uslug_nowy'!$B:$B,"PDS")</x:f>
        <x:v>5971</x:v>
      </x:c>
      <x:c r="G15" s="8" t="n">
        <x:f>F15+SUMIFS('03_Cennik_uslug_nowy'!$N:$N,'03_Cennik_uslug_nowy'!$A:$A,$A15,'03_Cennik_uslug_nowy'!$B:$B,"PDSB")</x:f>
        <x:v>6849</x:v>
      </x:c>
      <x:c r="H15" s="8" t="n">
        <x:f>SUMIFS('03_Cennik_uslug_nowy'!$N:$N,'03_Cennik_uslug_nowy'!$A:$A,$A15,'03_Cennik_uslug_nowy'!$B:$B,"RB")</x:f>
        <x:v>2979</x:v>
      </x:c>
      <x:c r="I15" s="8" t="n">
        <x:f>SUMIFS('03_Cennik_uslug_nowy'!$N:$N,'03_Cennik_uslug_nowy'!$A:$A,$A15,'03_Cennik_uslug_nowy'!$B:$B,"RB")</x:f>
        <x:v>2979</x:v>
      </x:c>
      <x:c r="J15" s="8" t="n">
        <x:f>SUMIFS('03_Cennik_uslug_nowy'!$N:$N,'03_Cennik_uslug_nowy'!$A:$A,$A15,'03_Cennik_uslug_nowy'!$B:$B,"RP")</x:f>
        <x:v>5437</x:v>
      </x:c>
      <x:c r="K15" s="8" t="n">
        <x:f>SUMIFS('03_Cennik_uslug_nowy'!$N:$N,'03_Cennik_uslug_nowy'!$A:$A,$A15,'03_Cennik_uslug_nowy'!$B:$B,"M")</x:f>
        <x:v>10135</x:v>
      </x:c>
      <x:c r="L15" s="8" t="n">
        <x:f>SUMIFS('03_Cennik_uslug_nowy'!$N:$N,'03_Cennik_uslug_nowy'!$A:$A,$A15,'03_Cennik_uslug_nowy'!$B:$B,"PDWP")</x:f>
        <x:v>2742</x:v>
      </x:c>
      <x:c r="M15" s="8" t="n">
        <x:f>IF(VALUE(LEFT($A15,3))&gt;=450,SUMIFS('03_Cennik_uslug_nowy'!$N:$N,'03_Cennik_uslug_nowy'!$A:$A,$A15,'03_Cennik_uslug_nowy'!$B:$B,"LED3"),SUMIFS('03_Cennik_uslug_nowy'!$N:$N,'03_Cennik_uslug_nowy'!$A:$A,$A15,'03_Cennik_uslug_nowy'!$B:$B,"LED2"))</x:f>
        <x:v>1005</x:v>
      </x:c>
      <x:c r="N15" s="550" t="n">
        <x:f>SUMIFS('03_Cennik_uslug_nowy'!$N:$N,'03_Cennik_uslug_nowy'!$A:$A,$A15,'03_Cennik_uslug_nowy'!$B:$B,"LED3")</x:f>
        <x:v>1388</x:v>
      </x:c>
      <x:c r="O15" s="8" t="n">
        <x:f>SUMIFS('03_Cennik_uslug_nowy'!$N:$N,'03_Cennik_uslug_nowy'!$A:$A,$A15,'03_Cennik_uslug_nowy'!$B:$B,"S")</x:f>
        <x:v>675</x:v>
      </x:c>
      <x:c r="P15" s="8" t="n">
        <x:f>SUMIFS('03_Cennik_uslug_nowy'!$N:$N,'03_Cennik_uslug_nowy'!$A:$A,$A15,'03_Cennik_uslug_nowy'!$B:$B,"U")</x:f>
        <x:v>611</x:v>
      </x:c>
      <x:c r="Q15" s="8" t="n">
        <x:f>SUMIFS('03_Cennik_uslug_nowy'!$N:$N,'03_Cennik_uslug_nowy'!$A:$A,$A15,'03_Cennik_uslug_nowy'!$B:$B,"ZAB")</x:f>
        <x:v>509</x:v>
      </x:c>
      <x:c r="R15" s="8" t="n">
        <x:f>SUMIFS('03_Cennik_uslug_nowy'!$N:$N,'03_Cennik_uslug_nowy'!$A:$A,$A15,'03_Cennik_uslug_nowy'!$B:$B,"LEDCCT")</x:f>
        <x:v>2021</x:v>
      </x:c>
      <x:c r="S15" s="8" t="n"/>
    </x:row>
    <x:row r="16">
      <x:c r="A16" s="6" t="inlineStr">
        <x:is>
          <x:t xml:space="preserve">350 x 706 cm</x:t>
        </x:is>
      </x:c>
      <x:c r="B16" s="8" t="n">
        <x:f>SUMIFS('03_Cennik_uslug_nowy'!$N:$N,'03_Cennik_uslug_nowy'!$A:$A,$A16,'03_Cennik_uslug_nowy'!$B:$B,"ZP")</x:f>
        <x:v>16167</x:v>
      </x:c>
      <x:c r="C16" s="8" t="n">
        <x:f>ROUND(((SUMIFS('03_Cennik_uslug_nowy'!$J:$J,'03_Cennik_uslug_nowy'!$A:$A,$A16,'03_Cennik_uslug_nowy'!$B:$B,"OP")+SUMIFS('03_Cennik_uslug_nowy'!$K:$K,'03_Cennik_uslug_nowy'!$A:$A,$A16,'03_Cennik_uslug_nowy'!$B:$B,"OP"))-(SUMIFS('03_Cennik_uslug_nowy'!$J:$J,'03_Cennik_uslug_nowy'!$A:$A,$A16,'03_Cennik_uslug_nowy'!$B:$B,"ZP")+SUMIFS('03_Cennik_uslug_nowy'!$K:$K,'03_Cennik_uslug_nowy'!$A:$A,$A16,'03_Cennik_uslug_nowy'!$B:$B,"ZP")))*(IF('01_Ustawienia'!$B$4="ZWOLNIONY",1,1+'01_Ustawienia'!$B$7)),0)</x:f>
        <x:v>21246</x:v>
      </x:c>
      <x:c r="D16" s="8" t="n">
        <x:f>C16+SUMIFS('03_Cennik_uslug_nowy'!$N:$N,'03_Cennik_uslug_nowy'!$A:$A,$A16,'03_Cennik_uslug_nowy'!$B:$B,"SBB")</x:f>
        <x:v>23537</x:v>
      </x:c>
      <x:c r="E16" s="8" t="n">
        <x:f>SUMIFS('03_Cennik_uslug_nowy'!$N:$N,'03_Cennik_uslug_nowy'!$A:$A,$A16,'03_Cennik_uslug_nowy'!$B:$B,"PDPB")</x:f>
        <x:v>446</x:v>
      </x:c>
      <x:c r="F16" s="8" t="n">
        <x:f>SUMIFS('03_Cennik_uslug_nowy'!$N:$N,'03_Cennik_uslug_nowy'!$A:$A,$A16,'03_Cennik_uslug_nowy'!$B:$B,"PDS")</x:f>
        <x:v>6849</x:v>
      </x:c>
      <x:c r="G16" s="8" t="n">
        <x:f>F16+SUMIFS('03_Cennik_uslug_nowy'!$N:$N,'03_Cennik_uslug_nowy'!$A:$A,$A16,'03_Cennik_uslug_nowy'!$B:$B,"PDSB")</x:f>
        <x:v>7867</x:v>
      </x:c>
      <x:c r="H16" s="8" t="n">
        <x:f>SUMIFS('03_Cennik_uslug_nowy'!$N:$N,'03_Cennik_uslug_nowy'!$A:$A,$A16,'03_Cennik_uslug_nowy'!$B:$B,"RB")</x:f>
        <x:v>2979</x:v>
      </x:c>
      <x:c r="I16" s="8" t="n">
        <x:f>SUMIFS('03_Cennik_uslug_nowy'!$N:$N,'03_Cennik_uslug_nowy'!$A:$A,$A16,'03_Cennik_uslug_nowy'!$B:$B,"RB")</x:f>
        <x:v>2979</x:v>
      </x:c>
      <x:c r="J16" s="8" t="n">
        <x:f>SUMIFS('03_Cennik_uslug_nowy'!$N:$N,'03_Cennik_uslug_nowy'!$A:$A,$A16,'03_Cennik_uslug_nowy'!$B:$B,"RP")</x:f>
        <x:v>6086</x:v>
      </x:c>
      <x:c r="K16" s="8" t="n">
        <x:f>SUMIFS('03_Cennik_uslug_nowy'!$N:$N,'03_Cennik_uslug_nowy'!$A:$A,$A16,'03_Cennik_uslug_nowy'!$B:$B,"M")</x:f>
        <x:v>10796</x:v>
      </x:c>
      <x:c r="L16" s="8" t="n">
        <x:f>SUMIFS('03_Cennik_uslug_nowy'!$N:$N,'03_Cennik_uslug_nowy'!$A:$A,$A16,'03_Cennik_uslug_nowy'!$B:$B,"PDWP")</x:f>
        <x:v>2357</x:v>
      </x:c>
      <x:c r="M16" s="8" t="n">
        <x:f>IF(VALUE(LEFT($A16,3))&gt;=450,SUMIFS('03_Cennik_uslug_nowy'!$N:$N,'03_Cennik_uslug_nowy'!$A:$A,$A16,'03_Cennik_uslug_nowy'!$B:$B,"LED3"),SUMIFS('03_Cennik_uslug_nowy'!$N:$N,'03_Cennik_uslug_nowy'!$A:$A,$A16,'03_Cennik_uslug_nowy'!$B:$B,"LED2"))</x:f>
        <x:v>1107</x:v>
      </x:c>
      <x:c r="N16" s="550" t="n">
        <x:f>SUMIFS('03_Cennik_uslug_nowy'!$N:$N,'03_Cennik_uslug_nowy'!$A:$A,$A16,'03_Cennik_uslug_nowy'!$B:$B,"LED3")</x:f>
        <x:v>1541</x:v>
      </x:c>
      <x:c r="O16" s="8" t="n">
        <x:f>SUMIFS('03_Cennik_uslug_nowy'!$N:$N,'03_Cennik_uslug_nowy'!$A:$A,$A16,'03_Cennik_uslug_nowy'!$B:$B,"S")</x:f>
        <x:v>725</x:v>
      </x:c>
      <x:c r="P16" s="8" t="n">
        <x:f>SUMIFS('03_Cennik_uslug_nowy'!$N:$N,'03_Cennik_uslug_nowy'!$A:$A,$A16,'03_Cennik_uslug_nowy'!$B:$B,"U")</x:f>
        <x:v>662</x:v>
      </x:c>
      <x:c r="Q16" s="8" t="n">
        <x:f>SUMIFS('03_Cennik_uslug_nowy'!$N:$N,'03_Cennik_uslug_nowy'!$A:$A,$A16,'03_Cennik_uslug_nowy'!$B:$B,"ZAB")</x:f>
        <x:v>561</x:v>
      </x:c>
      <x:c r="R16" s="8" t="n">
        <x:f>SUMIFS('03_Cennik_uslug_nowy'!$N:$N,'03_Cennik_uslug_nowy'!$A:$A,$A16,'03_Cennik_uslug_nowy'!$B:$B,"LEDCCT")</x:f>
        <x:v>2271</x:v>
      </x:c>
      <x:c r="S16" s="8" t="n"/>
    </x:row>
    <x:row r="17">
      <x:c r="A17" s="6" t="inlineStr">
        <x:is>
          <x:t xml:space="preserve">350 x 806 cm</x:t>
        </x:is>
      </x:c>
      <x:c r="B17" s="8" t="n">
        <x:f>SUMIFS('03_Cennik_uslug_nowy'!$N:$N,'03_Cennik_uslug_nowy'!$A:$A,$A17,'03_Cennik_uslug_nowy'!$B:$B,"ZP")</x:f>
        <x:v>18877</x:v>
      </x:c>
      <x:c r="C17" s="8" t="n">
        <x:f>ROUND(((SUMIFS('03_Cennik_uslug_nowy'!$J:$J,'03_Cennik_uslug_nowy'!$A:$A,$A17,'03_Cennik_uslug_nowy'!$B:$B,"OP")+SUMIFS('03_Cennik_uslug_nowy'!$K:$K,'03_Cennik_uslug_nowy'!$A:$A,$A17,'03_Cennik_uslug_nowy'!$B:$B,"OP"))-(SUMIFS('03_Cennik_uslug_nowy'!$J:$J,'03_Cennik_uslug_nowy'!$A:$A,$A17,'03_Cennik_uslug_nowy'!$B:$B,"ZP")+SUMIFS('03_Cennik_uslug_nowy'!$K:$K,'03_Cennik_uslug_nowy'!$A:$A,$A17,'03_Cennik_uslug_nowy'!$B:$B,"ZP")))*(IF('01_Ustawienia'!$B$4="ZWOLNIONY",1,1+'01_Ustawienia'!$B$7)),0)</x:f>
        <x:v>22387</x:v>
      </x:c>
      <x:c r="D17" s="8" t="n">
        <x:f>C17+SUMIFS('03_Cennik_uslug_nowy'!$N:$N,'03_Cennik_uslug_nowy'!$A:$A,$A17,'03_Cennik_uslug_nowy'!$B:$B,"SBB")</x:f>
        <x:v>24831</x:v>
      </x:c>
      <x:c r="E17" s="8" t="n">
        <x:f>SUMIFS('03_Cennik_uslug_nowy'!$N:$N,'03_Cennik_uslug_nowy'!$A:$A,$A17,'03_Cennik_uslug_nowy'!$B:$B,"PDPB")</x:f>
        <x:v>509</x:v>
      </x:c>
      <x:c r="F17" s="8" t="n">
        <x:f>SUMIFS('03_Cennik_uslug_nowy'!$N:$N,'03_Cennik_uslug_nowy'!$A:$A,$A17,'03_Cennik_uslug_nowy'!$B:$B,"PDS")</x:f>
        <x:v>8199</x:v>
      </x:c>
      <x:c r="G17" s="8" t="n">
        <x:f>F17+SUMIFS('03_Cennik_uslug_nowy'!$N:$N,'03_Cennik_uslug_nowy'!$A:$A,$A17,'03_Cennik_uslug_nowy'!$B:$B,"PDSB")</x:f>
        <x:v>9358</x:v>
      </x:c>
      <x:c r="H17" s="8" t="n">
        <x:f>SUMIFS('03_Cennik_uslug_nowy'!$N:$N,'03_Cennik_uslug_nowy'!$A:$A,$A17,'03_Cennik_uslug_nowy'!$B:$B,"RB")</x:f>
        <x:v>2979</x:v>
      </x:c>
      <x:c r="I17" s="8" t="n">
        <x:f>SUMIFS('03_Cennik_uslug_nowy'!$N:$N,'03_Cennik_uslug_nowy'!$A:$A,$A17,'03_Cennik_uslug_nowy'!$B:$B,"RB")</x:f>
        <x:v>2979</x:v>
      </x:c>
      <x:c r="J17" s="8" t="n">
        <x:f>SUMIFS('03_Cennik_uslug_nowy'!$N:$N,'03_Cennik_uslug_nowy'!$A:$A,$A17,'03_Cennik_uslug_nowy'!$B:$B,"RP")</x:f>
        <x:v>6723</x:v>
      </x:c>
      <x:c r="K17" s="8" t="n">
        <x:f>SUMIFS('03_Cennik_uslug_nowy'!$N:$N,'03_Cennik_uslug_nowy'!$A:$A,$A17,'03_Cennik_uslug_nowy'!$B:$B,"M")</x:f>
        <x:v>11446</x:v>
      </x:c>
      <x:c r="L17" s="8" t="n">
        <x:f>SUMIFS('03_Cennik_uslug_nowy'!$N:$N,'03_Cennik_uslug_nowy'!$A:$A,$A17,'03_Cennik_uslug_nowy'!$B:$B,"PDWP")</x:f>
        <x:v>2568</x:v>
      </x:c>
      <x:c r="M17" s="8" t="n">
        <x:f>IF(VALUE(LEFT($A17,3))&gt;=450,SUMIFS('03_Cennik_uslug_nowy'!$N:$N,'03_Cennik_uslug_nowy'!$A:$A,$A17,'03_Cennik_uslug_nowy'!$B:$B,"LED3"),SUMIFS('03_Cennik_uslug_nowy'!$N:$N,'03_Cennik_uslug_nowy'!$A:$A,$A17,'03_Cennik_uslug_nowy'!$B:$B,"LED2"))</x:f>
        <x:v>1221</x:v>
      </x:c>
      <x:c r="N17" s="550" t="n">
        <x:f>SUMIFS('03_Cennik_uslug_nowy'!$N:$N,'03_Cennik_uslug_nowy'!$A:$A,$A17,'03_Cennik_uslug_nowy'!$B:$B,"LED3")</x:f>
        <x:v>1834</x:v>
      </x:c>
      <x:c r="O17" s="8" t="n">
        <x:f>SUMIFS('03_Cennik_uslug_nowy'!$N:$N,'03_Cennik_uslug_nowy'!$A:$A,$A17,'03_Cennik_uslug_nowy'!$B:$B,"S")</x:f>
        <x:v>777</x:v>
      </x:c>
      <x:c r="P17" s="8" t="n">
        <x:f>SUMIFS('03_Cennik_uslug_nowy'!$N:$N,'03_Cennik_uslug_nowy'!$A:$A,$A17,'03_Cennik_uslug_nowy'!$B:$B,"U")</x:f>
        <x:v>700</x:v>
      </x:c>
      <x:c r="Q17" s="8" t="n">
        <x:f>SUMIFS('03_Cennik_uslug_nowy'!$N:$N,'03_Cennik_uslug_nowy'!$A:$A,$A17,'03_Cennik_uslug_nowy'!$B:$B,"ZAB")</x:f>
        <x:v>611</x:v>
      </x:c>
      <x:c r="R17" s="8" t="n">
        <x:f>SUMIFS('03_Cennik_uslug_nowy'!$N:$N,'03_Cennik_uslug_nowy'!$A:$A,$A17,'03_Cennik_uslug_nowy'!$B:$B,"LEDCCT")</x:f>
        <x:v>2537</x:v>
      </x:c>
      <x:c r="S17" s="8" t="n"/>
    </x:row>
    <x:row r="18">
      <x:c r="A18" s="6" t="inlineStr">
        <x:is>
          <x:t xml:space="preserve">350 x 906 cm</x:t>
        </x:is>
      </x:c>
      <x:c r="B18" s="8" t="n">
        <x:f>SUMIFS('03_Cennik_uslug_nowy'!$N:$N,'03_Cennik_uslug_nowy'!$A:$A,$A18,'03_Cennik_uslug_nowy'!$B:$B,"ZP")</x:f>
        <x:v>21006</x:v>
      </x:c>
      <x:c r="C18" s="8" t="n">
        <x:f>ROUND(((SUMIFS('03_Cennik_uslug_nowy'!$J:$J,'03_Cennik_uslug_nowy'!$A:$A,$A18,'03_Cennik_uslug_nowy'!$B:$B,"OP")+SUMIFS('03_Cennik_uslug_nowy'!$K:$K,'03_Cennik_uslug_nowy'!$A:$A,$A18,'03_Cennik_uslug_nowy'!$B:$B,"OP"))-(SUMIFS('03_Cennik_uslug_nowy'!$J:$J,'03_Cennik_uslug_nowy'!$A:$A,$A18,'03_Cennik_uslug_nowy'!$B:$B,"ZP")+SUMIFS('03_Cennik_uslug_nowy'!$K:$K,'03_Cennik_uslug_nowy'!$A:$A,$A18,'03_Cennik_uslug_nowy'!$B:$B,"ZP")))*(IF('01_Ustawienia'!$B$4="ZWOLNIONY",1,1+'01_Ustawienia'!$B$7)),0)</x:f>
        <x:v>23894</x:v>
      </x:c>
      <x:c r="D18" s="8" t="n">
        <x:f>C18+SUMIFS('03_Cennik_uslug_nowy'!$N:$N,'03_Cennik_uslug_nowy'!$A:$A,$A18,'03_Cennik_uslug_nowy'!$B:$B,"SBB")</x:f>
        <x:v>26492</x:v>
      </x:c>
      <x:c r="E18" s="8" t="n">
        <x:f>SUMIFS('03_Cennik_uslug_nowy'!$N:$N,'03_Cennik_uslug_nowy'!$A:$A,$A18,'03_Cennik_uslug_nowy'!$B:$B,"PDPB")</x:f>
        <x:v>573</x:v>
      </x:c>
      <x:c r="F18" s="8" t="n">
        <x:f>SUMIFS('03_Cennik_uslug_nowy'!$N:$N,'03_Cennik_uslug_nowy'!$A:$A,$A18,'03_Cennik_uslug_nowy'!$B:$B,"PDS")</x:f>
        <x:v>9306</x:v>
      </x:c>
      <x:c r="G18" s="8" t="n">
        <x:f>F18+SUMIFS('03_Cennik_uslug_nowy'!$N:$N,'03_Cennik_uslug_nowy'!$A:$A,$A18,'03_Cennik_uslug_nowy'!$B:$B,"PDSB")</x:f>
        <x:v>10604</x:v>
      </x:c>
      <x:c r="H18" s="8" t="n">
        <x:f>SUMIFS('03_Cennik_uslug_nowy'!$N:$N,'03_Cennik_uslug_nowy'!$A:$A,$A18,'03_Cennik_uslug_nowy'!$B:$B,"RB")</x:f>
        <x:v>2979</x:v>
      </x:c>
      <x:c r="I18" s="8" t="n">
        <x:f>SUMIFS('03_Cennik_uslug_nowy'!$N:$N,'03_Cennik_uslug_nowy'!$A:$A,$A18,'03_Cennik_uslug_nowy'!$B:$B,"RB")</x:f>
        <x:v>2979</x:v>
      </x:c>
      <x:c r="J18" s="8" t="n">
        <x:f>SUMIFS('03_Cennik_uslug_nowy'!$N:$N,'03_Cennik_uslug_nowy'!$A:$A,$A18,'03_Cennik_uslug_nowy'!$B:$B,"RP")</x:f>
        <x:v>8148</x:v>
      </x:c>
      <x:c r="K18" s="8" t="n">
        <x:f>SUMIFS('03_Cennik_uslug_nowy'!$N:$N,'03_Cennik_uslug_nowy'!$A:$A,$A18,'03_Cennik_uslug_nowy'!$B:$B,"M")</x:f>
        <x:v>12350</x:v>
      </x:c>
      <x:c r="L18" s="8" t="n">
        <x:f>SUMIFS('03_Cennik_uslug_nowy'!$N:$N,'03_Cennik_uslug_nowy'!$A:$A,$A18,'03_Cennik_uslug_nowy'!$B:$B,"PDWP")</x:f>
        <x:v>2839</x:v>
      </x:c>
      <x:c r="M18" s="8" t="n">
        <x:f>IF(VALUE(LEFT($A18,3))&gt;=450,SUMIFS('03_Cennik_uslug_nowy'!$N:$N,'03_Cennik_uslug_nowy'!$A:$A,$A18,'03_Cennik_uslug_nowy'!$B:$B,"LED3"),SUMIFS('03_Cennik_uslug_nowy'!$N:$N,'03_Cennik_uslug_nowy'!$A:$A,$A18,'03_Cennik_uslug_nowy'!$B:$B,"LED2"))</x:f>
        <x:v>1325</x:v>
      </x:c>
      <x:c r="N18" s="550" t="n">
        <x:f>SUMIFS('03_Cennik_uslug_nowy'!$N:$N,'03_Cennik_uslug_nowy'!$A:$A,$A18,'03_Cennik_uslug_nowy'!$B:$B,"LED3")</x:f>
        <x:v>1986</x:v>
      </x:c>
      <x:c r="O18" s="8" t="n">
        <x:f>SUMIFS('03_Cennik_uslug_nowy'!$N:$N,'03_Cennik_uslug_nowy'!$A:$A,$A18,'03_Cennik_uslug_nowy'!$B:$B,"S")</x:f>
        <x:v>827</x:v>
      </x:c>
      <x:c r="P18" s="8" t="n">
        <x:f>SUMIFS('03_Cennik_uslug_nowy'!$N:$N,'03_Cennik_uslug_nowy'!$A:$A,$A18,'03_Cennik_uslug_nowy'!$B:$B,"U")</x:f>
        <x:v>752</x:v>
      </x:c>
      <x:c r="Q18" s="8" t="n">
        <x:f>SUMIFS('03_Cennik_uslug_nowy'!$N:$N,'03_Cennik_uslug_nowy'!$A:$A,$A18,'03_Cennik_uslug_nowy'!$B:$B,"ZAB")</x:f>
        <x:v>611</x:v>
      </x:c>
      <x:c r="R18" s="8" t="n">
        <x:f>SUMIFS('03_Cennik_uslug_nowy'!$N:$N,'03_Cennik_uslug_nowy'!$A:$A,$A18,'03_Cennik_uslug_nowy'!$B:$B,"LEDCCT")</x:f>
        <x:v>2787</x:v>
      </x:c>
      <x:c r="S18" s="8" t="n"/>
    </x:row>
    <x:row r="19">
      <x:c r="A19" s="6" t="inlineStr">
        <x:is>
          <x:t xml:space="preserve">350 x 1006 cm</x:t>
        </x:is>
      </x:c>
      <x:c r="B19" s="8" t="n">
        <x:f>SUMIFS('03_Cennik_uslug_nowy'!$N:$N,'03_Cennik_uslug_nowy'!$A:$A,$A19,'03_Cennik_uslug_nowy'!$B:$B,"ZP")</x:f>
        <x:v>23134</x:v>
      </x:c>
      <x:c r="C19" s="8" t="n">
        <x:f>ROUND(((SUMIFS('03_Cennik_uslug_nowy'!$J:$J,'03_Cennik_uslug_nowy'!$A:$A,$A19,'03_Cennik_uslug_nowy'!$B:$B,"OP")+SUMIFS('03_Cennik_uslug_nowy'!$K:$K,'03_Cennik_uslug_nowy'!$A:$A,$A19,'03_Cennik_uslug_nowy'!$B:$B,"OP"))-(SUMIFS('03_Cennik_uslug_nowy'!$J:$J,'03_Cennik_uslug_nowy'!$A:$A,$A19,'03_Cennik_uslug_nowy'!$B:$B,"ZP")+SUMIFS('03_Cennik_uslug_nowy'!$K:$K,'03_Cennik_uslug_nowy'!$A:$A,$A19,'03_Cennik_uslug_nowy'!$B:$B,"ZP")))*(IF('01_Ustawienia'!$B$4="ZWOLNIONY",1,1+'01_Ustawienia'!$B$7)),0)</x:f>
        <x:v>25413</x:v>
      </x:c>
      <x:c r="D19" s="8" t="n">
        <x:f>C19+SUMIFS('03_Cennik_uslug_nowy'!$N:$N,'03_Cennik_uslug_nowy'!$A:$A,$A19,'03_Cennik_uslug_nowy'!$B:$B,"SBB")</x:f>
        <x:v>28163</x:v>
      </x:c>
      <x:c r="E19" s="8" t="n">
        <x:f>SUMIFS('03_Cennik_uslug_nowy'!$N:$N,'03_Cennik_uslug_nowy'!$A:$A,$A19,'03_Cennik_uslug_nowy'!$B:$B,"PDPB")</x:f>
        <x:v>637</x:v>
      </x:c>
      <x:c r="F19" s="8" t="n">
        <x:f>SUMIFS('03_Cennik_uslug_nowy'!$N:$N,'03_Cennik_uslug_nowy'!$A:$A,$A19,'03_Cennik_uslug_nowy'!$B:$B,"PDS")</x:f>
        <x:v>10364</x:v>
      </x:c>
      <x:c r="G19" s="8" t="n">
        <x:f>F19+SUMIFS('03_Cennik_uslug_nowy'!$N:$N,'03_Cennik_uslug_nowy'!$A:$A,$A19,'03_Cennik_uslug_nowy'!$B:$B,"PDSB")</x:f>
        <x:v>11816</x:v>
      </x:c>
      <x:c r="H19" s="8" t="n">
        <x:f>SUMIFS('03_Cennik_uslug_nowy'!$N:$N,'03_Cennik_uslug_nowy'!$A:$A,$A19,'03_Cennik_uslug_nowy'!$B:$B,"RB")</x:f>
        <x:v>2979</x:v>
      </x:c>
      <x:c r="I19" s="8" t="n">
        <x:f>SUMIFS('03_Cennik_uslug_nowy'!$N:$N,'03_Cennik_uslug_nowy'!$A:$A,$A19,'03_Cennik_uslug_nowy'!$B:$B,"RB")</x:f>
        <x:v>2979</x:v>
      </x:c>
      <x:c r="J19" s="8" t="n">
        <x:f>SUMIFS('03_Cennik_uslug_nowy'!$N:$N,'03_Cennik_uslug_nowy'!$A:$A,$A19,'03_Cennik_uslug_nowy'!$B:$B,"RP")</x:f>
        <x:v>8798</x:v>
      </x:c>
      <x:c r="K19" s="8" t="n">
        <x:f>SUMIFS('03_Cennik_uslug_nowy'!$N:$N,'03_Cennik_uslug_nowy'!$A:$A,$A19,'03_Cennik_uslug_nowy'!$B:$B,"M")</x:f>
        <x:v>13241</x:v>
      </x:c>
      <x:c r="L19" s="8" t="n">
        <x:f>SUMIFS('03_Cennik_uslug_nowy'!$N:$N,'03_Cennik_uslug_nowy'!$A:$A,$A19,'03_Cennik_uslug_nowy'!$B:$B,"PDWP")</x:f>
        <x:v>3110</x:v>
      </x:c>
      <x:c r="M19" s="8" t="n">
        <x:f>IF(VALUE(LEFT($A19,3))&gt;=450,SUMIFS('03_Cennik_uslug_nowy'!$N:$N,'03_Cennik_uslug_nowy'!$A:$A,$A19,'03_Cennik_uslug_nowy'!$B:$B,"LED3"),SUMIFS('03_Cennik_uslug_nowy'!$N:$N,'03_Cennik_uslug_nowy'!$A:$A,$A19,'03_Cennik_uslug_nowy'!$B:$B,"LED2"))</x:f>
        <x:v>1566</x:v>
      </x:c>
      <x:c r="N19" s="550" t="n">
        <x:f>SUMIFS('03_Cennik_uslug_nowy'!$N:$N,'03_Cennik_uslug_nowy'!$A:$A,$A19,'03_Cennik_uslug_nowy'!$B:$B,"LED3")</x:f>
        <x:v>2100</x:v>
      </x:c>
      <x:c r="O19" s="8" t="n">
        <x:f>SUMIFS('03_Cennik_uslug_nowy'!$N:$N,'03_Cennik_uslug_nowy'!$A:$A,$A19,'03_Cennik_uslug_nowy'!$B:$B,"S")</x:f>
        <x:v>878</x:v>
      </x:c>
      <x:c r="P19" s="8" t="n">
        <x:f>SUMIFS('03_Cennik_uslug_nowy'!$N:$N,'03_Cennik_uslug_nowy'!$A:$A,$A19,'03_Cennik_uslug_nowy'!$B:$B,"U")</x:f>
        <x:v>789</x:v>
      </x:c>
      <x:c r="Q19" s="8" t="n">
        <x:f>SUMIFS('03_Cennik_uslug_nowy'!$N:$N,'03_Cennik_uslug_nowy'!$A:$A,$A19,'03_Cennik_uslug_nowy'!$B:$B,"ZAB")</x:f>
        <x:v>662</x:v>
      </x:c>
      <x:c r="R19" s="8" t="n">
        <x:f>SUMIFS('03_Cennik_uslug_nowy'!$N:$N,'03_Cennik_uslug_nowy'!$A:$A,$A19,'03_Cennik_uslug_nowy'!$B:$B,"LEDCCT")</x:f>
        <x:v>3054</x:v>
      </x:c>
      <x:c r="S19" s="8" t="n"/>
    </x:row>
    <x:row r="20">
      <x:c r="A20" s="6" t="inlineStr">
        <x:is>
          <x:t xml:space="preserve">350 x 1106 cm</x:t>
        </x:is>
      </x:c>
      <x:c r="B20" s="8" t="n">
        <x:f>SUMIFS('03_Cennik_uslug_nowy'!$N:$N,'03_Cennik_uslug_nowy'!$A:$A,$A20,'03_Cennik_uslug_nowy'!$B:$B,"ZP")</x:f>
        <x:v>24790</x:v>
      </x:c>
      <x:c r="C20" s="8" t="n">
        <x:f>ROUND(((SUMIFS('03_Cennik_uslug_nowy'!$J:$J,'03_Cennik_uslug_nowy'!$A:$A,$A20,'03_Cennik_uslug_nowy'!$B:$B,"OP")+SUMIFS('03_Cennik_uslug_nowy'!$K:$K,'03_Cennik_uslug_nowy'!$A:$A,$A20,'03_Cennik_uslug_nowy'!$B:$B,"OP"))-(SUMIFS('03_Cennik_uslug_nowy'!$J:$J,'03_Cennik_uslug_nowy'!$A:$A,$A20,'03_Cennik_uslug_nowy'!$B:$B,"ZP")+SUMIFS('03_Cennik_uslug_nowy'!$K:$K,'03_Cennik_uslug_nowy'!$A:$A,$A20,'03_Cennik_uslug_nowy'!$B:$B,"ZP")))*(IF('01_Ustawienia'!$B$4="ZWOLNIONY",1,1+'01_Ustawienia'!$B$7)),0)</x:f>
        <x:v>27035</x:v>
      </x:c>
      <x:c r="D20" s="8" t="n">
        <x:f>C20+SUMIFS('03_Cennik_uslug_nowy'!$N:$N,'03_Cennik_uslug_nowy'!$A:$A,$A20,'03_Cennik_uslug_nowy'!$B:$B,"SBB")</x:f>
        <x:v>29938</x:v>
      </x:c>
      <x:c r="E20" s="8" t="n">
        <x:f>SUMIFS('03_Cennik_uslug_nowy'!$N:$N,'03_Cennik_uslug_nowy'!$A:$A,$A20,'03_Cennik_uslug_nowy'!$B:$B,"PDPB")</x:f>
        <x:v>700</x:v>
      </x:c>
      <x:c r="F20" s="8" t="n">
        <x:f>SUMIFS('03_Cennik_uslug_nowy'!$N:$N,'03_Cennik_uslug_nowy'!$A:$A,$A20,'03_Cennik_uslug_nowy'!$B:$B,"PDS")</x:f>
        <x:v>11382</x:v>
      </x:c>
      <x:c r="G20" s="8" t="n">
        <x:f>F20+SUMIFS('03_Cennik_uslug_nowy'!$N:$N,'03_Cennik_uslug_nowy'!$A:$A,$A20,'03_Cennik_uslug_nowy'!$B:$B,"PDSB")</x:f>
        <x:v>12986</x:v>
      </x:c>
      <x:c r="H20" s="8" t="n">
        <x:f>SUMIFS('03_Cennik_uslug_nowy'!$N:$N,'03_Cennik_uslug_nowy'!$A:$A,$A20,'03_Cennik_uslug_nowy'!$B:$B,"RB")</x:f>
        <x:v>2979</x:v>
      </x:c>
      <x:c r="I20" s="8" t="n">
        <x:f>SUMIFS('03_Cennik_uslug_nowy'!$N:$N,'03_Cennik_uslug_nowy'!$A:$A,$A20,'03_Cennik_uslug_nowy'!$B:$B,"RB")</x:f>
        <x:v>2979</x:v>
      </x:c>
      <x:c r="J20" s="8" t="n">
        <x:f>SUMIFS('03_Cennik_uslug_nowy'!$N:$N,'03_Cennik_uslug_nowy'!$A:$A,$A20,'03_Cennik_uslug_nowy'!$B:$B,"RP")</x:f>
        <x:v>9448</x:v>
      </x:c>
      <x:c r="K20" s="8" t="n">
        <x:f>SUMIFS('03_Cennik_uslug_nowy'!$N:$N,'03_Cennik_uslug_nowy'!$A:$A,$A20,'03_Cennik_uslug_nowy'!$B:$B,"M")</x:f>
        <x:v>16526</x:v>
      </x:c>
      <x:c r="L20" s="8" t="n">
        <x:f>SUMIFS('03_Cennik_uslug_nowy'!$N:$N,'03_Cennik_uslug_nowy'!$A:$A,$A20,'03_Cennik_uslug_nowy'!$B:$B,"PDWP")</x:f>
        <x:v>4210</x:v>
      </x:c>
      <x:c r="M20" s="8" t="n">
        <x:f>IF(VALUE(LEFT($A20,3))&gt;=450,SUMIFS('03_Cennik_uslug_nowy'!$N:$N,'03_Cennik_uslug_nowy'!$A:$A,$A20,'03_Cennik_uslug_nowy'!$B:$B,"LED3"),SUMIFS('03_Cennik_uslug_nowy'!$N:$N,'03_Cennik_uslug_nowy'!$A:$A,$A20,'03_Cennik_uslug_nowy'!$B:$B,"LED2"))</x:f>
        <x:v>1821</x:v>
      </x:c>
      <x:c r="N20" s="550" t="n">
        <x:f>SUMIFS('03_Cennik_uslug_nowy'!$N:$N,'03_Cennik_uslug_nowy'!$A:$A,$A20,'03_Cennik_uslug_nowy'!$B:$B,"LED3")</x:f>
        <x:v>2254</x:v>
      </x:c>
      <x:c r="O20" s="8" t="n">
        <x:f>SUMIFS('03_Cennik_uslug_nowy'!$N:$N,'03_Cennik_uslug_nowy'!$A:$A,$A20,'03_Cennik_uslug_nowy'!$B:$B,"S")</x:f>
        <x:v>916</x:v>
      </x:c>
      <x:c r="P20" s="8" t="n">
        <x:f>SUMIFS('03_Cennik_uslug_nowy'!$N:$N,'03_Cennik_uslug_nowy'!$A:$A,$A20,'03_Cennik_uslug_nowy'!$B:$B,"U")</x:f>
        <x:v>827</x:v>
      </x:c>
      <x:c r="Q20" s="8" t="n">
        <x:f>SUMIFS('03_Cennik_uslug_nowy'!$N:$N,'03_Cennik_uslug_nowy'!$A:$A,$A20,'03_Cennik_uslug_nowy'!$B:$B,"ZAB")</x:f>
        <x:v>713</x:v>
      </x:c>
      <x:c r="R20" s="8" t="n">
        <x:f>SUMIFS('03_Cennik_uslug_nowy'!$N:$N,'03_Cennik_uslug_nowy'!$A:$A,$A20,'03_Cennik_uslug_nowy'!$B:$B,"LEDCCT")</x:f>
        <x:v>3305</x:v>
      </x:c>
      <x:c r="S20" s="8" t="n"/>
    </x:row>
    <x:row r="21">
      <x:c r="A21" s="6" t="inlineStr">
        <x:is>
          <x:t xml:space="preserve">350 x 1206 cm</x:t>
        </x:is>
      </x:c>
      <x:c r="B21" s="8" t="n">
        <x:f>SUMIFS('03_Cennik_uslug_nowy'!$N:$N,'03_Cennik_uslug_nowy'!$A:$A,$A21,'03_Cennik_uslug_nowy'!$B:$B,"ZP")</x:f>
        <x:v>26437</x:v>
      </x:c>
      <x:c r="C21" s="8" t="n">
        <x:f>ROUND(((SUMIFS('03_Cennik_uslug_nowy'!$J:$J,'03_Cennik_uslug_nowy'!$A:$A,$A21,'03_Cennik_uslug_nowy'!$B:$B,"OP")+SUMIFS('03_Cennik_uslug_nowy'!$K:$K,'03_Cennik_uslug_nowy'!$A:$A,$A21,'03_Cennik_uslug_nowy'!$B:$B,"OP"))-(SUMIFS('03_Cennik_uslug_nowy'!$J:$J,'03_Cennik_uslug_nowy'!$A:$A,$A21,'03_Cennik_uslug_nowy'!$B:$B,"ZP")+SUMIFS('03_Cennik_uslug_nowy'!$K:$K,'03_Cennik_uslug_nowy'!$A:$A,$A21,'03_Cennik_uslug_nowy'!$B:$B,"ZP")))*(IF('01_Ustawienia'!$B$4="ZWOLNIONY",1,1+'01_Ustawienia'!$B$7)),0)</x:f>
        <x:v>28653</x:v>
      </x:c>
      <x:c r="D21" s="8" t="n">
        <x:f>C21+SUMIFS('03_Cennik_uslug_nowy'!$N:$N,'03_Cennik_uslug_nowy'!$A:$A,$A21,'03_Cennik_uslug_nowy'!$B:$B,"SBB")</x:f>
        <x:v>31708</x:v>
      </x:c>
      <x:c r="E21" s="8" t="n">
        <x:f>SUMIFS('03_Cennik_uslug_nowy'!$N:$N,'03_Cennik_uslug_nowy'!$A:$A,$A21,'03_Cennik_uslug_nowy'!$B:$B,"PDPB")</x:f>
        <x:v>765</x:v>
      </x:c>
      <x:c r="F21" s="8" t="n">
        <x:f>SUMIFS('03_Cennik_uslug_nowy'!$N:$N,'03_Cennik_uslug_nowy'!$A:$A,$A21,'03_Cennik_uslug_nowy'!$B:$B,"PDS")</x:f>
        <x:v>12350</x:v>
      </x:c>
      <x:c r="G21" s="8" t="n">
        <x:f>F21+SUMIFS('03_Cennik_uslug_nowy'!$N:$N,'03_Cennik_uslug_nowy'!$A:$A,$A21,'03_Cennik_uslug_nowy'!$B:$B,"PDSB")</x:f>
        <x:v>14094</x:v>
      </x:c>
      <x:c r="H21" s="8" t="n">
        <x:f>SUMIFS('03_Cennik_uslug_nowy'!$N:$N,'03_Cennik_uslug_nowy'!$A:$A,$A21,'03_Cennik_uslug_nowy'!$B:$B,"RB")</x:f>
        <x:v>2979</x:v>
      </x:c>
      <x:c r="I21" s="8" t="n">
        <x:f>SUMIFS('03_Cennik_uslug_nowy'!$N:$N,'03_Cennik_uslug_nowy'!$A:$A,$A21,'03_Cennik_uslug_nowy'!$B:$B,"RB")</x:f>
        <x:v>2979</x:v>
      </x:c>
      <x:c r="J21" s="8" t="n">
        <x:f>SUMIFS('03_Cennik_uslug_nowy'!$N:$N,'03_Cennik_uslug_nowy'!$A:$A,$A21,'03_Cennik_uslug_nowy'!$B:$B,"RP")</x:f>
        <x:v>10084</x:v>
      </x:c>
      <x:c r="K21" s="8" t="n">
        <x:f>SUMIFS('03_Cennik_uslug_nowy'!$N:$N,'03_Cennik_uslug_nowy'!$A:$A,$A21,'03_Cennik_uslug_nowy'!$B:$B,"M")</x:f>
        <x:v>17188</x:v>
      </x:c>
      <x:c r="L21" s="8" t="n">
        <x:f>SUMIFS('03_Cennik_uslug_nowy'!$N:$N,'03_Cennik_uslug_nowy'!$A:$A,$A21,'03_Cennik_uslug_nowy'!$B:$B,"PDWP")</x:f>
        <x:v>4210</x:v>
      </x:c>
      <x:c r="M21" s="8" t="n">
        <x:f>IF(VALUE(LEFT($A21,3))&gt;=450,SUMIFS('03_Cennik_uslug_nowy'!$N:$N,'03_Cennik_uslug_nowy'!$A:$A,$A21,'03_Cennik_uslug_nowy'!$B:$B,"LED3"),SUMIFS('03_Cennik_uslug_nowy'!$N:$N,'03_Cennik_uslug_nowy'!$A:$A,$A21,'03_Cennik_uslug_nowy'!$B:$B,"LED2"))</x:f>
        <x:v>1923</x:v>
      </x:c>
      <x:c r="N21" s="550" t="n">
        <x:f>SUMIFS('03_Cennik_uslug_nowy'!$N:$N,'03_Cennik_uslug_nowy'!$A:$A,$A21,'03_Cennik_uslug_nowy'!$B:$B,"LED3")</x:f>
        <x:v>2419</x:v>
      </x:c>
      <x:c r="O21" s="8" t="n">
        <x:f>SUMIFS('03_Cennik_uslug_nowy'!$N:$N,'03_Cennik_uslug_nowy'!$A:$A,$A21,'03_Cennik_uslug_nowy'!$B:$B,"S")</x:f>
        <x:v>968</x:v>
      </x:c>
      <x:c r="P21" s="8" t="n">
        <x:f>SUMIFS('03_Cennik_uslug_nowy'!$N:$N,'03_Cennik_uslug_nowy'!$A:$A,$A21,'03_Cennik_uslug_nowy'!$B:$B,"U")</x:f>
        <x:v>878</x:v>
      </x:c>
      <x:c r="Q21" s="8" t="n">
        <x:f>SUMIFS('03_Cennik_uslug_nowy'!$N:$N,'03_Cennik_uslug_nowy'!$A:$A,$A21,'03_Cennik_uslug_nowy'!$B:$B,"ZAB")</x:f>
        <x:v>765</x:v>
      </x:c>
      <x:c r="R21" s="8" t="n">
        <x:f>SUMIFS('03_Cennik_uslug_nowy'!$N:$N,'03_Cennik_uslug_nowy'!$A:$A,$A21,'03_Cennik_uslug_nowy'!$B:$B,"LEDCCT")</x:f>
        <x:v>3570</x:v>
      </x:c>
      <x:c r="S21" s="8" t="n"/>
    </x:row>
    <x:row r="22">
      <x:c r="A22" s="6" t="inlineStr">
        <x:is>
          <x:t xml:space="preserve">400 x 306 cm</x:t>
        </x:is>
      </x:c>
      <x:c r="B22" s="8" t="n">
        <x:f>SUMIFS('03_Cennik_uslug_nowy'!$N:$N,'03_Cennik_uslug_nowy'!$A:$A,$A22,'03_Cennik_uslug_nowy'!$B:$B,"ZP")</x:f>
        <x:v>9348</x:v>
      </x:c>
      <x:c r="C22" s="8" t="n">
        <x:f>ROUND(((SUMIFS('03_Cennik_uslug_nowy'!$J:$J,'03_Cennik_uslug_nowy'!$A:$A,$A22,'03_Cennik_uslug_nowy'!$B:$B,"OP")+SUMIFS('03_Cennik_uslug_nowy'!$K:$K,'03_Cennik_uslug_nowy'!$A:$A,$A22,'03_Cennik_uslug_nowy'!$B:$B,"OP"))-(SUMIFS('03_Cennik_uslug_nowy'!$J:$J,'03_Cennik_uslug_nowy'!$A:$A,$A22,'03_Cennik_uslug_nowy'!$B:$B,"ZP")+SUMIFS('03_Cennik_uslug_nowy'!$K:$K,'03_Cennik_uslug_nowy'!$A:$A,$A22,'03_Cennik_uslug_nowy'!$B:$B,"ZP")))*(IF('01_Ustawienia'!$B$4="ZWOLNIONY",1,1+'01_Ustawienia'!$B$7)),0)</x:f>
        <x:v>16888</x:v>
      </x:c>
      <x:c r="D22" s="8" t="n">
        <x:f>C22+SUMIFS('03_Cennik_uslug_nowy'!$N:$N,'03_Cennik_uslug_nowy'!$A:$A,$A22,'03_Cennik_uslug_nowy'!$B:$B,"SBB")</x:f>
        <x:v>18568</x:v>
      </x:c>
      <x:c r="E22" s="8" t="n">
        <x:f>SUMIFS('03_Cennik_uslug_nowy'!$N:$N,'03_Cennik_uslug_nowy'!$A:$A,$A22,'03_Cennik_uslug_nowy'!$B:$B,"PDPB")</x:f>
        <x:v>216</x:v>
      </x:c>
      <x:c r="F22" s="8" t="n">
        <x:f>SUMIFS('03_Cennik_uslug_nowy'!$N:$N,'03_Cennik_uslug_nowy'!$A:$A,$A22,'03_Cennik_uslug_nowy'!$B:$B,"PDS")</x:f>
        <x:v>3960</x:v>
      </x:c>
      <x:c r="G22" s="8" t="n">
        <x:f>F22+SUMIFS('03_Cennik_uslug_nowy'!$N:$N,'03_Cennik_uslug_nowy'!$A:$A,$A22,'03_Cennik_uslug_nowy'!$B:$B,"PDSB")</x:f>
        <x:v>4406</x:v>
      </x:c>
      <x:c r="H22" s="8" t="n">
        <x:f>SUMIFS('03_Cennik_uslug_nowy'!$N:$N,'03_Cennik_uslug_nowy'!$A:$A,$A22,'03_Cennik_uslug_nowy'!$B:$B,"RB")</x:f>
        <x:v>3361</x:v>
      </x:c>
      <x:c r="I22" s="8" t="n">
        <x:f>SUMIFS('03_Cennik_uslug_nowy'!$N:$N,'03_Cennik_uslug_nowy'!$A:$A,$A22,'03_Cennik_uslug_nowy'!$B:$B,"RB")</x:f>
        <x:v>3361</x:v>
      </x:c>
      <x:c r="J22" s="8" t="n">
        <x:f>SUMIFS('03_Cennik_uslug_nowy'!$N:$N,'03_Cennik_uslug_nowy'!$A:$A,$A22,'03_Cennik_uslug_nowy'!$B:$B,"RP")</x:f>
        <x:v>2725</x:v>
      </x:c>
      <x:c r="K22" s="8" t="n">
        <x:f>SUMIFS('03_Cennik_uslug_nowy'!$N:$N,'03_Cennik_uslug_nowy'!$A:$A,$A22,'03_Cennik_uslug_nowy'!$B:$B,"M")</x:f>
        <x:v>5130</x:v>
      </x:c>
      <x:c r="L22" s="8" t="n">
        <x:f>SUMIFS('03_Cennik_uslug_nowy'!$N:$N,'03_Cennik_uslug_nowy'!$A:$A,$A22,'03_Cennik_uslug_nowy'!$B:$B,"PDWP")</x:f>
        <x:v>1720</x:v>
      </x:c>
      <x:c r="M22" s="8" t="n">
        <x:f>IF(VALUE(LEFT($A22,3))&gt;=450,SUMIFS('03_Cennik_uslug_nowy'!$N:$N,'03_Cennik_uslug_nowy'!$A:$A,$A22,'03_Cennik_uslug_nowy'!$B:$B,"LED3"),SUMIFS('03_Cennik_uslug_nowy'!$N:$N,'03_Cennik_uslug_nowy'!$A:$A,$A22,'03_Cennik_uslug_nowy'!$B:$B,"LED2"))</x:f>
        <x:v>534</x:v>
      </x:c>
      <x:c r="N22" s="550" t="n">
        <x:f>SUMIFS('03_Cennik_uslug_nowy'!$N:$N,'03_Cennik_uslug_nowy'!$A:$A,$A22,'03_Cennik_uslug_nowy'!$B:$B,"LED3")</x:f>
        <x:v>814</x:v>
      </x:c>
      <x:c r="O22" s="8" t="n">
        <x:f>SUMIFS('03_Cennik_uslug_nowy'!$N:$N,'03_Cennik_uslug_nowy'!$A:$A,$A22,'03_Cennik_uslug_nowy'!$B:$B,"S")</x:f>
        <x:v>534</x:v>
      </x:c>
      <x:c r="P22" s="8" t="n">
        <x:f>SUMIFS('03_Cennik_uslug_nowy'!$N:$N,'03_Cennik_uslug_nowy'!$A:$A,$A22,'03_Cennik_uslug_nowy'!$B:$B,"U")</x:f>
        <x:v>484</x:v>
      </x:c>
      <x:c r="Q22" s="8" t="n">
        <x:f>SUMIFS('03_Cennik_uslug_nowy'!$N:$N,'03_Cennik_uslug_nowy'!$A:$A,$A22,'03_Cennik_uslug_nowy'!$B:$B,"ZAB")</x:f>
        <x:v>407</x:v>
      </x:c>
      <x:c r="R22" s="8" t="n">
        <x:f>SUMIFS('03_Cennik_uslug_nowy'!$N:$N,'03_Cennik_uslug_nowy'!$A:$A,$A22,'03_Cennik_uslug_nowy'!$B:$B,"LEDCCT")</x:f>
        <x:v>1347</x:v>
      </x:c>
      <x:c r="S22" s="8" t="n"/>
    </x:row>
    <x:row r="23">
      <x:c r="A23" s="6" t="inlineStr">
        <x:is>
          <x:t xml:space="preserve">400 x 406 cm</x:t>
        </x:is>
      </x:c>
      <x:c r="B23" s="8" t="n">
        <x:f>SUMIFS('03_Cennik_uslug_nowy'!$N:$N,'03_Cennik_uslug_nowy'!$A:$A,$A23,'03_Cennik_uslug_nowy'!$B:$B,"ZP")</x:f>
        <x:v>11132</x:v>
      </x:c>
      <x:c r="C23" s="8" t="n">
        <x:f>ROUND(((SUMIFS('03_Cennik_uslug_nowy'!$J:$J,'03_Cennik_uslug_nowy'!$A:$A,$A23,'03_Cennik_uslug_nowy'!$B:$B,"OP")+SUMIFS('03_Cennik_uslug_nowy'!$K:$K,'03_Cennik_uslug_nowy'!$A:$A,$A23,'03_Cennik_uslug_nowy'!$B:$B,"OP"))-(SUMIFS('03_Cennik_uslug_nowy'!$J:$J,'03_Cennik_uslug_nowy'!$A:$A,$A23,'03_Cennik_uslug_nowy'!$B:$B,"ZP")+SUMIFS('03_Cennik_uslug_nowy'!$K:$K,'03_Cennik_uslug_nowy'!$A:$A,$A23,'03_Cennik_uslug_nowy'!$B:$B,"ZP")))*(IF('01_Ustawienia'!$B$4="ZWOLNIONY",1,1+'01_Ustawienia'!$B$7)),0)</x:f>
        <x:v>18251</x:v>
      </x:c>
      <x:c r="D23" s="8" t="n">
        <x:f>C23+SUMIFS('03_Cennik_uslug_nowy'!$N:$N,'03_Cennik_uslug_nowy'!$A:$A,$A23,'03_Cennik_uslug_nowy'!$B:$B,"SBB")</x:f>
        <x:v>20085</x:v>
      </x:c>
      <x:c r="E23" s="8" t="n">
        <x:f>SUMIFS('03_Cennik_uslug_nowy'!$N:$N,'03_Cennik_uslug_nowy'!$A:$A,$A23,'03_Cennik_uslug_nowy'!$B:$B,"PDPB")</x:f>
        <x:v>281</x:v>
      </x:c>
      <x:c r="F23" s="8" t="n">
        <x:f>SUMIFS('03_Cennik_uslug_nowy'!$N:$N,'03_Cennik_uslug_nowy'!$A:$A,$A23,'03_Cennik_uslug_nowy'!$B:$B,"PDS")</x:f>
        <x:v>5232</x:v>
      </x:c>
      <x:c r="G23" s="8" t="n">
        <x:f>F23+SUMIFS('03_Cennik_uslug_nowy'!$N:$N,'03_Cennik_uslug_nowy'!$A:$A,$A23,'03_Cennik_uslug_nowy'!$B:$B,"PDSB")</x:f>
        <x:v>5817</x:v>
      </x:c>
      <x:c r="H23" s="8" t="n">
        <x:f>SUMIFS('03_Cennik_uslug_nowy'!$N:$N,'03_Cennik_uslug_nowy'!$A:$A,$A23,'03_Cennik_uslug_nowy'!$B:$B,"RB")</x:f>
        <x:v>3361</x:v>
      </x:c>
      <x:c r="I23" s="8" t="n">
        <x:f>SUMIFS('03_Cennik_uslug_nowy'!$N:$N,'03_Cennik_uslug_nowy'!$A:$A,$A23,'03_Cennik_uslug_nowy'!$B:$B,"RB")</x:f>
        <x:v>3361</x:v>
      </x:c>
      <x:c r="J23" s="8" t="n">
        <x:f>SUMIFS('03_Cennik_uslug_nowy'!$N:$N,'03_Cennik_uslug_nowy'!$A:$A,$A23,'03_Cennik_uslug_nowy'!$B:$B,"RP")</x:f>
        <x:v>3361</x:v>
      </x:c>
      <x:c r="K23" s="8" t="n">
        <x:f>SUMIFS('03_Cennik_uslug_nowy'!$N:$N,'03_Cennik_uslug_nowy'!$A:$A,$A23,'03_Cennik_uslug_nowy'!$B:$B,"M")</x:f>
        <x:v>5934</x:v>
      </x:c>
      <x:c r="L23" s="8" t="n">
        <x:f>SUMIFS('03_Cennik_uslug_nowy'!$N:$N,'03_Cennik_uslug_nowy'!$A:$A,$A23,'03_Cennik_uslug_nowy'!$B:$B,"PDWP")</x:f>
        <x:v>1932</x:v>
      </x:c>
      <x:c r="M23" s="8" t="n">
        <x:f>IF(VALUE(LEFT($A23,3))&gt;=450,SUMIFS('03_Cennik_uslug_nowy'!$N:$N,'03_Cennik_uslug_nowy'!$A:$A,$A23,'03_Cennik_uslug_nowy'!$B:$B,"LED3"),SUMIFS('03_Cennik_uslug_nowy'!$N:$N,'03_Cennik_uslug_nowy'!$A:$A,$A23,'03_Cennik_uslug_nowy'!$B:$B,"LED2"))</x:f>
        <x:v>650</x:v>
      </x:c>
      <x:c r="N23" s="550" t="n">
        <x:f>SUMIFS('03_Cennik_uslug_nowy'!$N:$N,'03_Cennik_uslug_nowy'!$A:$A,$A23,'03_Cennik_uslug_nowy'!$B:$B,"LED3")</x:f>
        <x:v>943</x:v>
      </x:c>
      <x:c r="O23" s="8" t="n">
        <x:f>SUMIFS('03_Cennik_uslug_nowy'!$N:$N,'03_Cennik_uslug_nowy'!$A:$A,$A23,'03_Cennik_uslug_nowy'!$B:$B,"S")</x:f>
        <x:v>585</x:v>
      </x:c>
      <x:c r="P23" s="8" t="n">
        <x:f>SUMIFS('03_Cennik_uslug_nowy'!$N:$N,'03_Cennik_uslug_nowy'!$A:$A,$A23,'03_Cennik_uslug_nowy'!$B:$B,"U")</x:f>
        <x:v>522</x:v>
      </x:c>
      <x:c r="Q23" s="8" t="n">
        <x:f>SUMIFS('03_Cennik_uslug_nowy'!$N:$N,'03_Cennik_uslug_nowy'!$A:$A,$A23,'03_Cennik_uslug_nowy'!$B:$B,"ZAB")</x:f>
        <x:v>459</x:v>
      </x:c>
      <x:c r="R23" s="8" t="n">
        <x:f>SUMIFS('03_Cennik_uslug_nowy'!$N:$N,'03_Cennik_uslug_nowy'!$A:$A,$A23,'03_Cennik_uslug_nowy'!$B:$B,"LEDCCT")</x:f>
        <x:v>1629</x:v>
      </x:c>
      <x:c r="S23" s="8" t="n"/>
    </x:row>
    <x:row r="24">
      <x:c r="A24" s="6" t="inlineStr">
        <x:is>
          <x:t xml:space="preserve">400 x 506 cm</x:t>
        </x:is>
      </x:c>
      <x:c r="B24" s="8" t="n">
        <x:f>SUMIFS('03_Cennik_uslug_nowy'!$N:$N,'03_Cennik_uslug_nowy'!$A:$A,$A24,'03_Cennik_uslug_nowy'!$B:$B,"ZP")</x:f>
        <x:v>13374</x:v>
      </x:c>
      <x:c r="C24" s="8" t="n">
        <x:f>ROUND(((SUMIFS('03_Cennik_uslug_nowy'!$J:$J,'03_Cennik_uslug_nowy'!$A:$A,$A24,'03_Cennik_uslug_nowy'!$B:$B,"OP")+SUMIFS('03_Cennik_uslug_nowy'!$K:$K,'03_Cennik_uslug_nowy'!$A:$A,$A24,'03_Cennik_uslug_nowy'!$B:$B,"OP"))-(SUMIFS('03_Cennik_uslug_nowy'!$J:$J,'03_Cennik_uslug_nowy'!$A:$A,$A24,'03_Cennik_uslug_nowy'!$B:$B,"ZP")+SUMIFS('03_Cennik_uslug_nowy'!$K:$K,'03_Cennik_uslug_nowy'!$A:$A,$A24,'03_Cennik_uslug_nowy'!$B:$B,"ZP")))*(IF('01_Ustawienia'!$B$4="ZWOLNIONY",1,1+'01_Ustawienia'!$B$7)),0)</x:f>
        <x:v>19898</x:v>
      </x:c>
      <x:c r="D24" s="8" t="n">
        <x:f>C24+SUMIFS('03_Cennik_uslug_nowy'!$N:$N,'03_Cennik_uslug_nowy'!$A:$A,$A24,'03_Cennik_uslug_nowy'!$B:$B,"SBB")</x:f>
        <x:v>21884</x:v>
      </x:c>
      <x:c r="E24" s="8" t="n">
        <x:f>SUMIFS('03_Cennik_uslug_nowy'!$N:$N,'03_Cennik_uslug_nowy'!$A:$A,$A24,'03_Cennik_uslug_nowy'!$B:$B,"PDPB")</x:f>
        <x:v>357</x:v>
      </x:c>
      <x:c r="F24" s="8" t="n">
        <x:f>SUMIFS('03_Cennik_uslug_nowy'!$N:$N,'03_Cennik_uslug_nowy'!$A:$A,$A24,'03_Cennik_uslug_nowy'!$B:$B,"PDS")</x:f>
        <x:v>6430</x:v>
      </x:c>
      <x:c r="G24" s="8" t="n">
        <x:f>F24+SUMIFS('03_Cennik_uslug_nowy'!$N:$N,'03_Cennik_uslug_nowy'!$A:$A,$A24,'03_Cennik_uslug_nowy'!$B:$B,"PDSB")</x:f>
        <x:v>7169</x:v>
      </x:c>
      <x:c r="H24" s="8" t="n">
        <x:f>SUMIFS('03_Cennik_uslug_nowy'!$N:$N,'03_Cennik_uslug_nowy'!$A:$A,$A24,'03_Cennik_uslug_nowy'!$B:$B,"RB")</x:f>
        <x:v>3361</x:v>
      </x:c>
      <x:c r="I24" s="8" t="n">
        <x:f>SUMIFS('03_Cennik_uslug_nowy'!$N:$N,'03_Cennik_uslug_nowy'!$A:$A,$A24,'03_Cennik_uslug_nowy'!$B:$B,"RB")</x:f>
        <x:v>3361</x:v>
      </x:c>
      <x:c r="J24" s="8" t="n">
        <x:f>SUMIFS('03_Cennik_uslug_nowy'!$N:$N,'03_Cennik_uslug_nowy'!$A:$A,$A24,'03_Cennik_uslug_nowy'!$B:$B,"RP")</x:f>
        <x:v>4711</x:v>
      </x:c>
      <x:c r="K24" s="8" t="n">
        <x:f>SUMIFS('03_Cennik_uslug_nowy'!$N:$N,'03_Cennik_uslug_nowy'!$A:$A,$A24,'03_Cennik_uslug_nowy'!$B:$B,"M")</x:f>
        <x:v>6761</x:v>
      </x:c>
      <x:c r="L24" s="8" t="n">
        <x:f>SUMIFS('03_Cennik_uslug_nowy'!$N:$N,'03_Cennik_uslug_nowy'!$A:$A,$A24,'03_Cennik_uslug_nowy'!$B:$B,"PDWP")</x:f>
        <x:v>2202</x:v>
      </x:c>
      <x:c r="M24" s="8" t="n">
        <x:f>IF(VALUE(LEFT($A24,3))&gt;=450,SUMIFS('03_Cennik_uslug_nowy'!$N:$N,'03_Cennik_uslug_nowy'!$A:$A,$A24,'03_Cennik_uslug_nowy'!$B:$B,"LED3"),SUMIFS('03_Cennik_uslug_nowy'!$N:$N,'03_Cennik_uslug_nowy'!$A:$A,$A24,'03_Cennik_uslug_nowy'!$B:$B,"LED2"))</x:f>
        <x:v>765</x:v>
      </x:c>
      <x:c r="N24" s="550" t="n">
        <x:f>SUMIFS('03_Cennik_uslug_nowy'!$N:$N,'03_Cennik_uslug_nowy'!$A:$A,$A24,'03_Cennik_uslug_nowy'!$B:$B,"LED3")</x:f>
        <x:v>1221</x:v>
      </x:c>
      <x:c r="O24" s="8" t="n">
        <x:f>SUMIFS('03_Cennik_uslug_nowy'!$N:$N,'03_Cennik_uslug_nowy'!$A:$A,$A24,'03_Cennik_uslug_nowy'!$B:$B,"S")</x:f>
        <x:v>637</x:v>
      </x:c>
      <x:c r="P24" s="8" t="n">
        <x:f>SUMIFS('03_Cennik_uslug_nowy'!$N:$N,'03_Cennik_uslug_nowy'!$A:$A,$A24,'03_Cennik_uslug_nowy'!$B:$B,"U")</x:f>
        <x:v>573</x:v>
      </x:c>
      <x:c r="Q24" s="8" t="n">
        <x:f>SUMIFS('03_Cennik_uslug_nowy'!$N:$N,'03_Cennik_uslug_nowy'!$A:$A,$A24,'03_Cennik_uslug_nowy'!$B:$B,"ZAB")</x:f>
        <x:v>459</x:v>
      </x:c>
      <x:c r="R24" s="8" t="n">
        <x:f>SUMIFS('03_Cennik_uslug_nowy'!$N:$N,'03_Cennik_uslug_nowy'!$A:$A,$A24,'03_Cennik_uslug_nowy'!$B:$B,"LEDCCT")</x:f>
        <x:v>1895</x:v>
      </x:c>
      <x:c r="S24" s="8" t="n"/>
    </x:row>
    <x:row r="25">
      <x:c r="A25" s="6" t="inlineStr">
        <x:is>
          <x:t xml:space="preserve">400 x 606 cm</x:t>
        </x:is>
      </x:c>
      <x:c r="B25" s="8" t="n">
        <x:f>SUMIFS('03_Cennik_uslug_nowy'!$N:$N,'03_Cennik_uslug_nowy'!$A:$A,$A25,'03_Cennik_uslug_nowy'!$B:$B,"ZP")</x:f>
        <x:v>14660</x:v>
      </x:c>
      <x:c r="C25" s="8" t="n">
        <x:f>ROUND(((SUMIFS('03_Cennik_uslug_nowy'!$J:$J,'03_Cennik_uslug_nowy'!$A:$A,$A25,'03_Cennik_uslug_nowy'!$B:$B,"OP")+SUMIFS('03_Cennik_uslug_nowy'!$K:$K,'03_Cennik_uslug_nowy'!$A:$A,$A25,'03_Cennik_uslug_nowy'!$B:$B,"OP"))-(SUMIFS('03_Cennik_uslug_nowy'!$J:$J,'03_Cennik_uslug_nowy'!$A:$A,$A25,'03_Cennik_uslug_nowy'!$B:$B,"ZP")+SUMIFS('03_Cennik_uslug_nowy'!$K:$K,'03_Cennik_uslug_nowy'!$A:$A,$A25,'03_Cennik_uslug_nowy'!$B:$B,"ZP")))*(IF('01_Ustawienia'!$B$4="ZWOLNIONY",1,1+'01_Ustawienia'!$B$7)),0)</x:f>
        <x:v>21520</x:v>
      </x:c>
      <x:c r="D25" s="8" t="n">
        <x:f>C25+SUMIFS('03_Cennik_uslug_nowy'!$N:$N,'03_Cennik_uslug_nowy'!$A:$A,$A25,'03_Cennik_uslug_nowy'!$B:$B,"SBB")</x:f>
        <x:v>23659</x:v>
      </x:c>
      <x:c r="E25" s="8" t="n">
        <x:f>SUMIFS('03_Cennik_uslug_nowy'!$N:$N,'03_Cennik_uslug_nowy'!$A:$A,$A25,'03_Cennik_uslug_nowy'!$B:$B,"PDPB")</x:f>
        <x:v>432</x:v>
      </x:c>
      <x:c r="F25" s="8" t="n">
        <x:f>SUMIFS('03_Cennik_uslug_nowy'!$N:$N,'03_Cennik_uslug_nowy'!$A:$A,$A25,'03_Cennik_uslug_nowy'!$B:$B,"PDS")</x:f>
        <x:v>7627</x:v>
      </x:c>
      <x:c r="G25" s="8" t="n">
        <x:f>F25+SUMIFS('03_Cennik_uslug_nowy'!$N:$N,'03_Cennik_uslug_nowy'!$A:$A,$A25,'03_Cennik_uslug_nowy'!$B:$B,"PDSB")</x:f>
        <x:v>8518</x:v>
      </x:c>
      <x:c r="H25" s="8" t="n">
        <x:f>SUMIFS('03_Cennik_uslug_nowy'!$N:$N,'03_Cennik_uslug_nowy'!$A:$A,$A25,'03_Cennik_uslug_nowy'!$B:$B,"RB")</x:f>
        <x:v>3361</x:v>
      </x:c>
      <x:c r="I25" s="8" t="n">
        <x:f>SUMIFS('03_Cennik_uslug_nowy'!$N:$N,'03_Cennik_uslug_nowy'!$A:$A,$A25,'03_Cennik_uslug_nowy'!$B:$B,"RB")</x:f>
        <x:v>3361</x:v>
      </x:c>
      <x:c r="J25" s="8" t="n">
        <x:f>SUMIFS('03_Cennik_uslug_nowy'!$N:$N,'03_Cennik_uslug_nowy'!$A:$A,$A25,'03_Cennik_uslug_nowy'!$B:$B,"RP")</x:f>
        <x:v>5437</x:v>
      </x:c>
      <x:c r="K25" s="8" t="n">
        <x:f>SUMIFS('03_Cennik_uslug_nowy'!$N:$N,'03_Cennik_uslug_nowy'!$A:$A,$A25,'03_Cennik_uslug_nowy'!$B:$B,"M")</x:f>
        <x:v>10262</x:v>
      </x:c>
      <x:c r="L25" s="8" t="n">
        <x:f>SUMIFS('03_Cennik_uslug_nowy'!$N:$N,'03_Cennik_uslug_nowy'!$A:$A,$A25,'03_Cennik_uslug_nowy'!$B:$B,"PDWP")</x:f>
        <x:v>2742</x:v>
      </x:c>
      <x:c r="M25" s="8" t="n">
        <x:f>IF(VALUE(LEFT($A25,3))&gt;=450,SUMIFS('03_Cennik_uslug_nowy'!$N:$N,'03_Cennik_uslug_nowy'!$A:$A,$A25,'03_Cennik_uslug_nowy'!$B:$B,"LED3"),SUMIFS('03_Cennik_uslug_nowy'!$N:$N,'03_Cennik_uslug_nowy'!$A:$A,$A25,'03_Cennik_uslug_nowy'!$B:$B,"LED2"))</x:f>
        <x:v>1005</x:v>
      </x:c>
      <x:c r="N25" s="550" t="n">
        <x:f>SUMIFS('03_Cennik_uslug_nowy'!$N:$N,'03_Cennik_uslug_nowy'!$A:$A,$A25,'03_Cennik_uslug_nowy'!$B:$B,"LED3")</x:f>
        <x:v>1388</x:v>
      </x:c>
      <x:c r="O25" s="8" t="n">
        <x:f>SUMIFS('03_Cennik_uslug_nowy'!$N:$N,'03_Cennik_uslug_nowy'!$A:$A,$A25,'03_Cennik_uslug_nowy'!$B:$B,"S")</x:f>
        <x:v>675</x:v>
      </x:c>
      <x:c r="P25" s="8" t="n">
        <x:f>SUMIFS('03_Cennik_uslug_nowy'!$N:$N,'03_Cennik_uslug_nowy'!$A:$A,$A25,'03_Cennik_uslug_nowy'!$B:$B,"U")</x:f>
        <x:v>611</x:v>
      </x:c>
      <x:c r="Q25" s="8" t="n">
        <x:f>SUMIFS('03_Cennik_uslug_nowy'!$N:$N,'03_Cennik_uslug_nowy'!$A:$A,$A25,'03_Cennik_uslug_nowy'!$B:$B,"ZAB")</x:f>
        <x:v>509</x:v>
      </x:c>
      <x:c r="R25" s="8" t="n">
        <x:f>SUMIFS('03_Cennik_uslug_nowy'!$N:$N,'03_Cennik_uslug_nowy'!$A:$A,$A25,'03_Cennik_uslug_nowy'!$B:$B,"LEDCCT")</x:f>
        <x:v>2161</x:v>
      </x:c>
      <x:c r="S25" s="8" t="n"/>
    </x:row>
    <x:row r="26">
      <x:c r="A26" s="6" t="inlineStr">
        <x:is>
          <x:t xml:space="preserve">400 x 706 cm</x:t>
        </x:is>
      </x:c>
      <x:c r="B26" s="8" t="n">
        <x:f>SUMIFS('03_Cennik_uslug_nowy'!$N:$N,'03_Cennik_uslug_nowy'!$A:$A,$A26,'03_Cennik_uslug_nowy'!$B:$B,"ZP")</x:f>
        <x:v>17201</x:v>
      </x:c>
      <x:c r="C26" s="8" t="n">
        <x:f>ROUND(((SUMIFS('03_Cennik_uslug_nowy'!$J:$J,'03_Cennik_uslug_nowy'!$A:$A,$A26,'03_Cennik_uslug_nowy'!$B:$B,"OP")+SUMIFS('03_Cennik_uslug_nowy'!$K:$K,'03_Cennik_uslug_nowy'!$A:$A,$A26,'03_Cennik_uslug_nowy'!$B:$B,"OP"))-(SUMIFS('03_Cennik_uslug_nowy'!$J:$J,'03_Cennik_uslug_nowy'!$A:$A,$A26,'03_Cennik_uslug_nowy'!$B:$B,"ZP")+SUMIFS('03_Cennik_uslug_nowy'!$K:$K,'03_Cennik_uslug_nowy'!$A:$A,$A26,'03_Cennik_uslug_nowy'!$B:$B,"ZP")))*(IF('01_Ustawienia'!$B$4="ZWOLNIONY",1,1+'01_Ustawienia'!$B$7)),0)</x:f>
        <x:v>21845</x:v>
      </x:c>
      <x:c r="D26" s="8" t="n">
        <x:f>C26+SUMIFS('03_Cennik_uslug_nowy'!$N:$N,'03_Cennik_uslug_nowy'!$A:$A,$A26,'03_Cennik_uslug_nowy'!$B:$B,"SBB")</x:f>
        <x:v>24136</x:v>
      </x:c>
      <x:c r="E26" s="8" t="n">
        <x:f>SUMIFS('03_Cennik_uslug_nowy'!$N:$N,'03_Cennik_uslug_nowy'!$A:$A,$A26,'03_Cennik_uslug_nowy'!$B:$B,"PDPB")</x:f>
        <x:v>497</x:v>
      </x:c>
      <x:c r="F26" s="8" t="n">
        <x:f>SUMIFS('03_Cennik_uslug_nowy'!$N:$N,'03_Cennik_uslug_nowy'!$A:$A,$A26,'03_Cennik_uslug_nowy'!$B:$B,"PDS")</x:f>
        <x:v>8696</x:v>
      </x:c>
      <x:c r="G26" s="8" t="n">
        <x:f>F26+SUMIFS('03_Cennik_uslug_nowy'!$N:$N,'03_Cennik_uslug_nowy'!$A:$A,$A26,'03_Cennik_uslug_nowy'!$B:$B,"PDSB")</x:f>
        <x:v>9740</x:v>
      </x:c>
      <x:c r="H26" s="8" t="n">
        <x:f>SUMIFS('03_Cennik_uslug_nowy'!$N:$N,'03_Cennik_uslug_nowy'!$A:$A,$A26,'03_Cennik_uslug_nowy'!$B:$B,"RB")</x:f>
        <x:v>3361</x:v>
      </x:c>
      <x:c r="I26" s="8" t="n">
        <x:f>SUMIFS('03_Cennik_uslug_nowy'!$N:$N,'03_Cennik_uslug_nowy'!$A:$A,$A26,'03_Cennik_uslug_nowy'!$B:$B,"RB")</x:f>
        <x:v>3361</x:v>
      </x:c>
      <x:c r="J26" s="8" t="n">
        <x:f>SUMIFS('03_Cennik_uslug_nowy'!$N:$N,'03_Cennik_uslug_nowy'!$A:$A,$A26,'03_Cennik_uslug_nowy'!$B:$B,"RP")</x:f>
        <x:v>6086</x:v>
      </x:c>
      <x:c r="K26" s="8" t="n">
        <x:f>SUMIFS('03_Cennik_uslug_nowy'!$N:$N,'03_Cennik_uslug_nowy'!$A:$A,$A26,'03_Cennik_uslug_nowy'!$B:$B,"M")</x:f>
        <x:v>11076</x:v>
      </x:c>
      <x:c r="L26" s="8" t="n">
        <x:f>SUMIFS('03_Cennik_uslug_nowy'!$N:$N,'03_Cennik_uslug_nowy'!$A:$A,$A26,'03_Cennik_uslug_nowy'!$B:$B,"PDWP")</x:f>
        <x:v>2357</x:v>
      </x:c>
      <x:c r="M26" s="8" t="n">
        <x:f>IF(VALUE(LEFT($A26,3))&gt;=450,SUMIFS('03_Cennik_uslug_nowy'!$N:$N,'03_Cennik_uslug_nowy'!$A:$A,$A26,'03_Cennik_uslug_nowy'!$B:$B,"LED3"),SUMIFS('03_Cennik_uslug_nowy'!$N:$N,'03_Cennik_uslug_nowy'!$A:$A,$A26,'03_Cennik_uslug_nowy'!$B:$B,"LED2"))</x:f>
        <x:v>1107</x:v>
      </x:c>
      <x:c r="N26" s="550" t="n">
        <x:f>SUMIFS('03_Cennik_uslug_nowy'!$N:$N,'03_Cennik_uslug_nowy'!$A:$A,$A26,'03_Cennik_uslug_nowy'!$B:$B,"LED3")</x:f>
        <x:v>1541</x:v>
      </x:c>
      <x:c r="O26" s="8" t="n">
        <x:f>SUMIFS('03_Cennik_uslug_nowy'!$N:$N,'03_Cennik_uslug_nowy'!$A:$A,$A26,'03_Cennik_uslug_nowy'!$B:$B,"S")</x:f>
        <x:v>725</x:v>
      </x:c>
      <x:c r="P26" s="8" t="n">
        <x:f>SUMIFS('03_Cennik_uslug_nowy'!$N:$N,'03_Cennik_uslug_nowy'!$A:$A,$A26,'03_Cennik_uslug_nowy'!$B:$B,"U")</x:f>
        <x:v>662</x:v>
      </x:c>
      <x:c r="Q26" s="8" t="n">
        <x:f>SUMIFS('03_Cennik_uslug_nowy'!$N:$N,'03_Cennik_uslug_nowy'!$A:$A,$A26,'03_Cennik_uslug_nowy'!$B:$B,"ZAB")</x:f>
        <x:v>561</x:v>
      </x:c>
      <x:c r="R26" s="8" t="n">
        <x:f>SUMIFS('03_Cennik_uslug_nowy'!$N:$N,'03_Cennik_uslug_nowy'!$A:$A,$A26,'03_Cennik_uslug_nowy'!$B:$B,"LEDCCT")</x:f>
        <x:v>2443</x:v>
      </x:c>
      <x:c r="S26" s="8" t="n"/>
    </x:row>
    <x:row r="27">
      <x:c r="A27" s="6" t="inlineStr">
        <x:is>
          <x:t xml:space="preserve">400 x 806 cm</x:t>
        </x:is>
      </x:c>
      <x:c r="B27" s="8" t="n">
        <x:f>SUMIFS('03_Cennik_uslug_nowy'!$N:$N,'03_Cennik_uslug_nowy'!$A:$A,$A27,'03_Cennik_uslug_nowy'!$B:$B,"ZP")</x:f>
        <x:v>20111</x:v>
      </x:c>
      <x:c r="C27" s="8" t="n">
        <x:f>ROUND(((SUMIFS('03_Cennik_uslug_nowy'!$J:$J,'03_Cennik_uslug_nowy'!$A:$A,$A27,'03_Cennik_uslug_nowy'!$B:$B,"OP")+SUMIFS('03_Cennik_uslug_nowy'!$K:$K,'03_Cennik_uslug_nowy'!$A:$A,$A27,'03_Cennik_uslug_nowy'!$B:$B,"OP"))-(SUMIFS('03_Cennik_uslug_nowy'!$J:$J,'03_Cennik_uslug_nowy'!$A:$A,$A27,'03_Cennik_uslug_nowy'!$B:$B,"ZP")+SUMIFS('03_Cennik_uslug_nowy'!$K:$K,'03_Cennik_uslug_nowy'!$A:$A,$A27,'03_Cennik_uslug_nowy'!$B:$B,"ZP")))*(IF('01_Ustawienia'!$B$4="ZWOLNIONY",1,1+'01_Ustawienia'!$B$7)),0)</x:f>
        <x:v>22954</x:v>
      </x:c>
      <x:c r="D27" s="8" t="n">
        <x:f>C27+SUMIFS('03_Cennik_uslug_nowy'!$N:$N,'03_Cennik_uslug_nowy'!$A:$A,$A27,'03_Cennik_uslug_nowy'!$B:$B,"SBB")</x:f>
        <x:v>25582</x:v>
      </x:c>
      <x:c r="E27" s="8" t="n">
        <x:f>SUMIFS('03_Cennik_uslug_nowy'!$N:$N,'03_Cennik_uslug_nowy'!$A:$A,$A27,'03_Cennik_uslug_nowy'!$B:$B,"PDPB")</x:f>
        <x:v>814</x:v>
      </x:c>
      <x:c r="F27" s="8" t="n">
        <x:f>SUMIFS('03_Cennik_uslug_nowy'!$N:$N,'03_Cennik_uslug_nowy'!$A:$A,$A27,'03_Cennik_uslug_nowy'!$B:$B,"PDS")</x:f>
        <x:v>10465</x:v>
      </x:c>
      <x:c r="G27" s="8" t="n">
        <x:f>F27+SUMIFS('03_Cennik_uslug_nowy'!$N:$N,'03_Cennik_uslug_nowy'!$A:$A,$A27,'03_Cennik_uslug_nowy'!$B:$B,"PDSB")</x:f>
        <x:v>11649</x:v>
      </x:c>
      <x:c r="H27" s="8" t="n">
        <x:f>SUMIFS('03_Cennik_uslug_nowy'!$N:$N,'03_Cennik_uslug_nowy'!$A:$A,$A27,'03_Cennik_uslug_nowy'!$B:$B,"RB")</x:f>
        <x:v>3361</x:v>
      </x:c>
      <x:c r="I27" s="8" t="n">
        <x:f>SUMIFS('03_Cennik_uslug_nowy'!$N:$N,'03_Cennik_uslug_nowy'!$A:$A,$A27,'03_Cennik_uslug_nowy'!$B:$B,"RB")</x:f>
        <x:v>3361</x:v>
      </x:c>
      <x:c r="J27" s="8" t="n">
        <x:f>SUMIFS('03_Cennik_uslug_nowy'!$N:$N,'03_Cennik_uslug_nowy'!$A:$A,$A27,'03_Cennik_uslug_nowy'!$B:$B,"RP")</x:f>
        <x:v>6723</x:v>
      </x:c>
      <x:c r="K27" s="8" t="n">
        <x:f>SUMIFS('03_Cennik_uslug_nowy'!$N:$N,'03_Cennik_uslug_nowy'!$A:$A,$A27,'03_Cennik_uslug_nowy'!$B:$B,"M")</x:f>
        <x:v>11877</x:v>
      </x:c>
      <x:c r="L27" s="8" t="n">
        <x:f>SUMIFS('03_Cennik_uslug_nowy'!$N:$N,'03_Cennik_uslug_nowy'!$A:$A,$A27,'03_Cennik_uslug_nowy'!$B:$B,"PDWP")</x:f>
        <x:v>2568</x:v>
      </x:c>
      <x:c r="M27" s="8" t="n">
        <x:f>IF(VALUE(LEFT($A27,3))&gt;=450,SUMIFS('03_Cennik_uslug_nowy'!$N:$N,'03_Cennik_uslug_nowy'!$A:$A,$A27,'03_Cennik_uslug_nowy'!$B:$B,"LED3"),SUMIFS('03_Cennik_uslug_nowy'!$N:$N,'03_Cennik_uslug_nowy'!$A:$A,$A27,'03_Cennik_uslug_nowy'!$B:$B,"LED2"))</x:f>
        <x:v>1221</x:v>
      </x:c>
      <x:c r="N27" s="550" t="n">
        <x:f>SUMIFS('03_Cennik_uslug_nowy'!$N:$N,'03_Cennik_uslug_nowy'!$A:$A,$A27,'03_Cennik_uslug_nowy'!$B:$B,"LED3")</x:f>
        <x:v>1834</x:v>
      </x:c>
      <x:c r="O27" s="8" t="n">
        <x:f>SUMIFS('03_Cennik_uslug_nowy'!$N:$N,'03_Cennik_uslug_nowy'!$A:$A,$A27,'03_Cennik_uslug_nowy'!$B:$B,"S")</x:f>
        <x:v>777</x:v>
      </x:c>
      <x:c r="P27" s="8" t="n">
        <x:f>SUMIFS('03_Cennik_uslug_nowy'!$N:$N,'03_Cennik_uslug_nowy'!$A:$A,$A27,'03_Cennik_uslug_nowy'!$B:$B,"U")</x:f>
        <x:v>702</x:v>
      </x:c>
      <x:c r="Q27" s="8" t="n">
        <x:f>SUMIFS('03_Cennik_uslug_nowy'!$N:$N,'03_Cennik_uslug_nowy'!$A:$A,$A27,'03_Cennik_uslug_nowy'!$B:$B,"ZAB")</x:f>
        <x:v>611</x:v>
      </x:c>
      <x:c r="R27" s="8" t="n">
        <x:f>SUMIFS('03_Cennik_uslug_nowy'!$N:$N,'03_Cennik_uslug_nowy'!$A:$A,$A27,'03_Cennik_uslug_nowy'!$B:$B,"LEDCCT")</x:f>
        <x:v>2741</x:v>
      </x:c>
      <x:c r="S27" s="8" t="n"/>
    </x:row>
    <x:row r="28">
      <x:c r="A28" s="6" t="inlineStr">
        <x:is>
          <x:t xml:space="preserve">400 x 906 cm</x:t>
        </x:is>
      </x:c>
      <x:c r="B28" s="8" t="n">
        <x:f>SUMIFS('03_Cennik_uslug_nowy'!$N:$N,'03_Cennik_uslug_nowy'!$A:$A,$A28,'03_Cennik_uslug_nowy'!$B:$B,"ZP")</x:f>
        <x:v>22280</x:v>
      </x:c>
      <x:c r="C28" s="8" t="n">
        <x:f>ROUND(((SUMIFS('03_Cennik_uslug_nowy'!$J:$J,'03_Cennik_uslug_nowy'!$A:$A,$A28,'03_Cennik_uslug_nowy'!$B:$B,"OP")+SUMIFS('03_Cennik_uslug_nowy'!$K:$K,'03_Cennik_uslug_nowy'!$A:$A,$A28,'03_Cennik_uslug_nowy'!$B:$B,"OP"))-(SUMIFS('03_Cennik_uslug_nowy'!$J:$J,'03_Cennik_uslug_nowy'!$A:$A,$A28,'03_Cennik_uslug_nowy'!$B:$B,"ZP")+SUMIFS('03_Cennik_uslug_nowy'!$K:$K,'03_Cennik_uslug_nowy'!$A:$A,$A28,'03_Cennik_uslug_nowy'!$B:$B,"ZP")))*(IF('01_Ustawienia'!$B$4="ZWOLNIONY",1,1+'01_Ustawienia'!$B$7)),0)</x:f>
        <x:v>24546</x:v>
      </x:c>
      <x:c r="D28" s="8" t="n">
        <x:f>C28+SUMIFS('03_Cennik_uslug_nowy'!$N:$N,'03_Cennik_uslug_nowy'!$A:$A,$A28,'03_Cennik_uslug_nowy'!$B:$B,"SBB")</x:f>
        <x:v>27144</x:v>
      </x:c>
      <x:c r="E28" s="8" t="n">
        <x:f>SUMIFS('03_Cennik_uslug_nowy'!$N:$N,'03_Cennik_uslug_nowy'!$A:$A,$A28,'03_Cennik_uslug_nowy'!$B:$B,"PDPB")</x:f>
        <x:v>637</x:v>
      </x:c>
      <x:c r="F28" s="8" t="n">
        <x:f>SUMIFS('03_Cennik_uslug_nowy'!$N:$N,'03_Cennik_uslug_nowy'!$A:$A,$A28,'03_Cennik_uslug_nowy'!$B:$B,"PDS")</x:f>
        <x:v>11662</x:v>
      </x:c>
      <x:c r="G28" s="8" t="n">
        <x:f>F28+SUMIFS('03_Cennik_uslug_nowy'!$N:$N,'03_Cennik_uslug_nowy'!$A:$A,$A28,'03_Cennik_uslug_nowy'!$B:$B,"PDSB")</x:f>
        <x:v>12999</x:v>
      </x:c>
      <x:c r="H28" s="8" t="n">
        <x:f>SUMIFS('03_Cennik_uslug_nowy'!$N:$N,'03_Cennik_uslug_nowy'!$A:$A,$A28,'03_Cennik_uslug_nowy'!$B:$B,"RB")</x:f>
        <x:v>3361</x:v>
      </x:c>
      <x:c r="I28" s="8" t="n">
        <x:f>SUMIFS('03_Cennik_uslug_nowy'!$N:$N,'03_Cennik_uslug_nowy'!$A:$A,$A28,'03_Cennik_uslug_nowy'!$B:$B,"RB")</x:f>
        <x:v>3361</x:v>
      </x:c>
      <x:c r="J28" s="8" t="n">
        <x:f>SUMIFS('03_Cennik_uslug_nowy'!$N:$N,'03_Cennik_uslug_nowy'!$A:$A,$A28,'03_Cennik_uslug_nowy'!$B:$B,"RP")</x:f>
        <x:v>8148</x:v>
      </x:c>
      <x:c r="K28" s="8" t="n">
        <x:f>SUMIFS('03_Cennik_uslug_nowy'!$N:$N,'03_Cennik_uslug_nowy'!$A:$A,$A28,'03_Cennik_uslug_nowy'!$B:$B,"M")</x:f>
        <x:v>12706</x:v>
      </x:c>
      <x:c r="L28" s="8" t="n">
        <x:f>SUMIFS('03_Cennik_uslug_nowy'!$N:$N,'03_Cennik_uslug_nowy'!$A:$A,$A28,'03_Cennik_uslug_nowy'!$B:$B,"PDWP")</x:f>
        <x:v>2839</x:v>
      </x:c>
      <x:c r="M28" s="8" t="n">
        <x:f>IF(VALUE(LEFT($A28,3))&gt;=450,SUMIFS('03_Cennik_uslug_nowy'!$N:$N,'03_Cennik_uslug_nowy'!$A:$A,$A28,'03_Cennik_uslug_nowy'!$B:$B,"LED3"),SUMIFS('03_Cennik_uslug_nowy'!$N:$N,'03_Cennik_uslug_nowy'!$A:$A,$A28,'03_Cennik_uslug_nowy'!$B:$B,"LED2"))</x:f>
        <x:v>1325</x:v>
      </x:c>
      <x:c r="N28" s="550" t="n">
        <x:f>SUMIFS('03_Cennik_uslug_nowy'!$N:$N,'03_Cennik_uslug_nowy'!$A:$A,$A28,'03_Cennik_uslug_nowy'!$B:$B,"LED3")</x:f>
        <x:v>1986</x:v>
      </x:c>
      <x:c r="O28" s="8" t="n">
        <x:f>SUMIFS('03_Cennik_uslug_nowy'!$N:$N,'03_Cennik_uslug_nowy'!$A:$A,$A28,'03_Cennik_uslug_nowy'!$B:$B,"S")</x:f>
        <x:v>827</x:v>
      </x:c>
      <x:c r="P28" s="8" t="n">
        <x:f>SUMIFS('03_Cennik_uslug_nowy'!$N:$N,'03_Cennik_uslug_nowy'!$A:$A,$A28,'03_Cennik_uslug_nowy'!$B:$B,"U")</x:f>
        <x:v>752</x:v>
      </x:c>
      <x:c r="Q28" s="8" t="n">
        <x:f>SUMIFS('03_Cennik_uslug_nowy'!$N:$N,'03_Cennik_uslug_nowy'!$A:$A,$A28,'03_Cennik_uslug_nowy'!$B:$B,"ZAB")</x:f>
        <x:v>611</x:v>
      </x:c>
      <x:c r="R28" s="8" t="n">
        <x:f>SUMIFS('03_Cennik_uslug_nowy'!$N:$N,'03_Cennik_uslug_nowy'!$A:$A,$A28,'03_Cennik_uslug_nowy'!$B:$B,"LEDCCT")</x:f>
        <x:v>3023</x:v>
      </x:c>
      <x:c r="S28" s="8" t="n"/>
    </x:row>
    <x:row r="29">
      <x:c r="A29" s="6" t="inlineStr">
        <x:is>
          <x:t xml:space="preserve">400 x 1006 cm</x:t>
        </x:is>
      </x:c>
      <x:c r="B29" s="8" t="n">
        <x:f>SUMIFS('03_Cennik_uslug_nowy'!$N:$N,'03_Cennik_uslug_nowy'!$A:$A,$A29,'03_Cennik_uslug_nowy'!$B:$B,"ZP")</x:f>
        <x:v>24470</x:v>
      </x:c>
      <x:c r="C29" s="8" t="n">
        <x:f>ROUND(((SUMIFS('03_Cennik_uslug_nowy'!$J:$J,'03_Cennik_uslug_nowy'!$A:$A,$A29,'03_Cennik_uslug_nowy'!$B:$B,"OP")+SUMIFS('03_Cennik_uslug_nowy'!$K:$K,'03_Cennik_uslug_nowy'!$A:$A,$A29,'03_Cennik_uslug_nowy'!$B:$B,"OP"))-(SUMIFS('03_Cennik_uslug_nowy'!$J:$J,'03_Cennik_uslug_nowy'!$A:$A,$A29,'03_Cennik_uslug_nowy'!$B:$B,"ZP")+SUMIFS('03_Cennik_uslug_nowy'!$K:$K,'03_Cennik_uslug_nowy'!$A:$A,$A29,'03_Cennik_uslug_nowy'!$B:$B,"ZP")))*(IF('01_Ustawienia'!$B$4="ZWOLNIONY",1,1+'01_Ustawienia'!$B$7)),0)</x:f>
        <x:v>26119</x:v>
      </x:c>
      <x:c r="D29" s="8" t="n">
        <x:f>C29+SUMIFS('03_Cennik_uslug_nowy'!$N:$N,'03_Cennik_uslug_nowy'!$A:$A,$A29,'03_Cennik_uslug_nowy'!$B:$B,"SBB")</x:f>
        <x:v>28869</x:v>
      </x:c>
      <x:c r="E29" s="8" t="n">
        <x:f>SUMIFS('03_Cennik_uslug_nowy'!$N:$N,'03_Cennik_uslug_nowy'!$A:$A,$A29,'03_Cennik_uslug_nowy'!$B:$B,"PDPB")</x:f>
        <x:v>713</x:v>
      </x:c>
      <x:c r="F29" s="8" t="n">
        <x:f>SUMIFS('03_Cennik_uslug_nowy'!$N:$N,'03_Cennik_uslug_nowy'!$A:$A,$A29,'03_Cennik_uslug_nowy'!$B:$B,"PDS")</x:f>
        <x:v>12860</x:v>
      </x:c>
      <x:c r="G29" s="8" t="n">
        <x:f>F29+SUMIFS('03_Cennik_uslug_nowy'!$N:$N,'03_Cennik_uslug_nowy'!$A:$A,$A29,'03_Cennik_uslug_nowy'!$B:$B,"PDSB")</x:f>
        <x:v>14336</x:v>
      </x:c>
      <x:c r="H29" s="8" t="n">
        <x:f>SUMIFS('03_Cennik_uslug_nowy'!$N:$N,'03_Cennik_uslug_nowy'!$A:$A,$A29,'03_Cennik_uslug_nowy'!$B:$B,"RB")</x:f>
        <x:v>3361</x:v>
      </x:c>
      <x:c r="I29" s="8" t="n">
        <x:f>SUMIFS('03_Cennik_uslug_nowy'!$N:$N,'03_Cennik_uslug_nowy'!$A:$A,$A29,'03_Cennik_uslug_nowy'!$B:$B,"RB")</x:f>
        <x:v>3361</x:v>
      </x:c>
      <x:c r="J29" s="8" t="n">
        <x:f>SUMIFS('03_Cennik_uslug_nowy'!$N:$N,'03_Cennik_uslug_nowy'!$A:$A,$A29,'03_Cennik_uslug_nowy'!$B:$B,"RP")</x:f>
        <x:v>8798</x:v>
      </x:c>
      <x:c r="K29" s="8" t="n">
        <x:f>SUMIFS('03_Cennik_uslug_nowy'!$N:$N,'03_Cennik_uslug_nowy'!$A:$A,$A29,'03_Cennik_uslug_nowy'!$B:$B,"M")</x:f>
        <x:v>13521</x:v>
      </x:c>
      <x:c r="L29" s="8" t="n">
        <x:f>SUMIFS('03_Cennik_uslug_nowy'!$N:$N,'03_Cennik_uslug_nowy'!$A:$A,$A29,'03_Cennik_uslug_nowy'!$B:$B,"PDWP")</x:f>
        <x:v>3110</x:v>
      </x:c>
      <x:c r="M29" s="8" t="n">
        <x:f>IF(VALUE(LEFT($A29,3))&gt;=450,SUMIFS('03_Cennik_uslug_nowy'!$N:$N,'03_Cennik_uslug_nowy'!$A:$A,$A29,'03_Cennik_uslug_nowy'!$B:$B,"LED3"),SUMIFS('03_Cennik_uslug_nowy'!$N:$N,'03_Cennik_uslug_nowy'!$A:$A,$A29,'03_Cennik_uslug_nowy'!$B:$B,"LED2"))</x:f>
        <x:v>1566</x:v>
      </x:c>
      <x:c r="N29" s="550" t="n">
        <x:f>SUMIFS('03_Cennik_uslug_nowy'!$N:$N,'03_Cennik_uslug_nowy'!$A:$A,$A29,'03_Cennik_uslug_nowy'!$B:$B,"LED3")</x:f>
        <x:v>2100</x:v>
      </x:c>
      <x:c r="O29" s="8" t="n">
        <x:f>SUMIFS('03_Cennik_uslug_nowy'!$N:$N,'03_Cennik_uslug_nowy'!$A:$A,$A29,'03_Cennik_uslug_nowy'!$B:$B,"S")</x:f>
        <x:v>878</x:v>
      </x:c>
      <x:c r="P29" s="8" t="n">
        <x:f>SUMIFS('03_Cennik_uslug_nowy'!$N:$N,'03_Cennik_uslug_nowy'!$A:$A,$A29,'03_Cennik_uslug_nowy'!$B:$B,"U")</x:f>
        <x:v>789</x:v>
      </x:c>
      <x:c r="Q29" s="8" t="n">
        <x:f>SUMIFS('03_Cennik_uslug_nowy'!$N:$N,'03_Cennik_uslug_nowy'!$A:$A,$A29,'03_Cennik_uslug_nowy'!$B:$B,"ZAB")</x:f>
        <x:v>662</x:v>
      </x:c>
      <x:c r="R29" s="8" t="n">
        <x:f>SUMIFS('03_Cennik_uslug_nowy'!$N:$N,'03_Cennik_uslug_nowy'!$A:$A,$A29,'03_Cennik_uslug_nowy'!$B:$B,"LEDCCT")</x:f>
        <x:v>3305</x:v>
      </x:c>
      <x:c r="S29" s="8" t="n"/>
    </x:row>
    <x:row r="30">
      <x:c r="A30" s="6" t="inlineStr">
        <x:is>
          <x:t xml:space="preserve">400 x 1106 cm</x:t>
        </x:is>
      </x:c>
      <x:c r="B30" s="8" t="n">
        <x:f>SUMIFS('03_Cennik_uslug_nowy'!$N:$N,'03_Cennik_uslug_nowy'!$A:$A,$A30,'03_Cennik_uslug_nowy'!$B:$B,"ZP")</x:f>
        <x:v>25776</x:v>
      </x:c>
      <x:c r="C30" s="8" t="n">
        <x:f>ROUND(((SUMIFS('03_Cennik_uslug_nowy'!$J:$J,'03_Cennik_uslug_nowy'!$A:$A,$A30,'03_Cennik_uslug_nowy'!$B:$B,"OP")+SUMIFS('03_Cennik_uslug_nowy'!$K:$K,'03_Cennik_uslug_nowy'!$A:$A,$A30,'03_Cennik_uslug_nowy'!$B:$B,"OP"))-(SUMIFS('03_Cennik_uslug_nowy'!$J:$J,'03_Cennik_uslug_nowy'!$A:$A,$A30,'03_Cennik_uslug_nowy'!$B:$B,"ZP")+SUMIFS('03_Cennik_uslug_nowy'!$K:$K,'03_Cennik_uslug_nowy'!$A:$A,$A30,'03_Cennik_uslug_nowy'!$B:$B,"ZP")))*(IF('01_Ustawienia'!$B$4="ZWOLNIONY",1,1+'01_Ustawienia'!$B$7)),0)</x:f>
        <x:v>27707</x:v>
      </x:c>
      <x:c r="D30" s="8" t="n">
        <x:f>C30+SUMIFS('03_Cennik_uslug_nowy'!$N:$N,'03_Cennik_uslug_nowy'!$A:$A,$A30,'03_Cennik_uslug_nowy'!$B:$B,"SBB")</x:f>
        <x:v>30610</x:v>
      </x:c>
      <x:c r="E30" s="8" t="n">
        <x:f>SUMIFS('03_Cennik_uslug_nowy'!$N:$N,'03_Cennik_uslug_nowy'!$A:$A,$A30,'03_Cennik_uslug_nowy'!$B:$B,"PDPB")</x:f>
        <x:v>789</x:v>
      </x:c>
      <x:c r="F30" s="8" t="n">
        <x:f>SUMIFS('03_Cennik_uslug_nowy'!$N:$N,'03_Cennik_uslug_nowy'!$A:$A,$A30,'03_Cennik_uslug_nowy'!$B:$B,"PDS")</x:f>
        <x:v>14042</x:v>
      </x:c>
      <x:c r="G30" s="8" t="n">
        <x:f>F30+SUMIFS('03_Cennik_uslug_nowy'!$N:$N,'03_Cennik_uslug_nowy'!$A:$A,$A30,'03_Cennik_uslug_nowy'!$B:$B,"PDSB")</x:f>
        <x:v>15672</x:v>
      </x:c>
      <x:c r="H30" s="8" t="n">
        <x:f>SUMIFS('03_Cennik_uslug_nowy'!$N:$N,'03_Cennik_uslug_nowy'!$A:$A,$A30,'03_Cennik_uslug_nowy'!$B:$B,"RB")</x:f>
        <x:v>3361</x:v>
      </x:c>
      <x:c r="I30" s="8" t="n">
        <x:f>SUMIFS('03_Cennik_uslug_nowy'!$N:$N,'03_Cennik_uslug_nowy'!$A:$A,$A30,'03_Cennik_uslug_nowy'!$B:$B,"RB")</x:f>
        <x:v>3361</x:v>
      </x:c>
      <x:c r="J30" s="8" t="n">
        <x:f>SUMIFS('03_Cennik_uslug_nowy'!$N:$N,'03_Cennik_uslug_nowy'!$A:$A,$A30,'03_Cennik_uslug_nowy'!$B:$B,"RP")</x:f>
        <x:v>9448</x:v>
      </x:c>
      <x:c r="K30" s="8" t="n">
        <x:f>SUMIFS('03_Cennik_uslug_nowy'!$N:$N,'03_Cennik_uslug_nowy'!$A:$A,$A30,'03_Cennik_uslug_nowy'!$B:$B,"M")</x:f>
        <x:v>16997</x:v>
      </x:c>
      <x:c r="L30" s="8" t="n">
        <x:f>SUMIFS('03_Cennik_uslug_nowy'!$N:$N,'03_Cennik_uslug_nowy'!$A:$A,$A30,'03_Cennik_uslug_nowy'!$B:$B,"PDWP")</x:f>
        <x:v>4210</x:v>
      </x:c>
      <x:c r="M30" s="8" t="n">
        <x:f>IF(VALUE(LEFT($A30,3))&gt;=450,SUMIFS('03_Cennik_uslug_nowy'!$N:$N,'03_Cennik_uslug_nowy'!$A:$A,$A30,'03_Cennik_uslug_nowy'!$B:$B,"LED3"),SUMIFS('03_Cennik_uslug_nowy'!$N:$N,'03_Cennik_uslug_nowy'!$A:$A,$A30,'03_Cennik_uslug_nowy'!$B:$B,"LED2"))</x:f>
        <x:v>1821</x:v>
      </x:c>
      <x:c r="N30" s="550" t="n">
        <x:f>SUMIFS('03_Cennik_uslug_nowy'!$N:$N,'03_Cennik_uslug_nowy'!$A:$A,$A30,'03_Cennik_uslug_nowy'!$B:$B,"LED3")</x:f>
        <x:v>2254</x:v>
      </x:c>
      <x:c r="O30" s="8" t="n">
        <x:f>SUMIFS('03_Cennik_uslug_nowy'!$N:$N,'03_Cennik_uslug_nowy'!$A:$A,$A30,'03_Cennik_uslug_nowy'!$B:$B,"S")</x:f>
        <x:v>916</x:v>
      </x:c>
      <x:c r="P30" s="8" t="n">
        <x:f>SUMIFS('03_Cennik_uslug_nowy'!$N:$N,'03_Cennik_uslug_nowy'!$A:$A,$A30,'03_Cennik_uslug_nowy'!$B:$B,"U")</x:f>
        <x:v>827</x:v>
      </x:c>
      <x:c r="Q30" s="8" t="n">
        <x:f>SUMIFS('03_Cennik_uslug_nowy'!$N:$N,'03_Cennik_uslug_nowy'!$A:$A,$A30,'03_Cennik_uslug_nowy'!$B:$B,"ZAB")</x:f>
        <x:v>713</x:v>
      </x:c>
      <x:c r="R30" s="8" t="n">
        <x:f>SUMIFS('03_Cennik_uslug_nowy'!$N:$N,'03_Cennik_uslug_nowy'!$A:$A,$A30,'03_Cennik_uslug_nowy'!$B:$B,"LEDCCT")</x:f>
        <x:v>3602</x:v>
      </x:c>
      <x:c r="S30" s="8" t="n"/>
    </x:row>
    <x:row r="31">
      <x:c r="A31" s="6" t="inlineStr">
        <x:is>
          <x:t xml:space="preserve">400 x 1206 cm</x:t>
        </x:is>
      </x:c>
      <x:c r="B31" s="8" t="n">
        <x:f>SUMIFS('03_Cennik_uslug_nowy'!$N:$N,'03_Cennik_uslug_nowy'!$A:$A,$A31,'03_Cennik_uslug_nowy'!$B:$B,"ZP")</x:f>
        <x:v>27094</x:v>
      </x:c>
      <x:c r="C31" s="8" t="n">
        <x:f>ROUND(((SUMIFS('03_Cennik_uslug_nowy'!$J:$J,'03_Cennik_uslug_nowy'!$A:$A,$A31,'03_Cennik_uslug_nowy'!$B:$B,"OP")+SUMIFS('03_Cennik_uslug_nowy'!$K:$K,'03_Cennik_uslug_nowy'!$A:$A,$A31,'03_Cennik_uslug_nowy'!$B:$B,"OP"))-(SUMIFS('03_Cennik_uslug_nowy'!$J:$J,'03_Cennik_uslug_nowy'!$A:$A,$A31,'03_Cennik_uslug_nowy'!$B:$B,"ZP")+SUMIFS('03_Cennik_uslug_nowy'!$K:$K,'03_Cennik_uslug_nowy'!$A:$A,$A31,'03_Cennik_uslug_nowy'!$B:$B,"ZP")))*(IF('01_Ustawienia'!$B$4="ZWOLNIONY",1,1+'01_Ustawienia'!$B$7)),0)</x:f>
        <x:v>29311</x:v>
      </x:c>
      <x:c r="D31" s="8" t="n">
        <x:f>C31+SUMIFS('03_Cennik_uslug_nowy'!$N:$N,'03_Cennik_uslug_nowy'!$A:$A,$A31,'03_Cennik_uslug_nowy'!$B:$B,"SBB")</x:f>
        <x:v>32366</x:v>
      </x:c>
      <x:c r="E31" s="8" t="n">
        <x:f>SUMIFS('03_Cennik_uslug_nowy'!$N:$N,'03_Cennik_uslug_nowy'!$A:$A,$A31,'03_Cennik_uslug_nowy'!$B:$B,"PDPB")</x:f>
        <x:v>853</x:v>
      </x:c>
      <x:c r="F31" s="8" t="n">
        <x:f>SUMIFS('03_Cennik_uslug_nowy'!$N:$N,'03_Cennik_uslug_nowy'!$A:$A,$A31,'03_Cennik_uslug_nowy'!$B:$B,"PDS")</x:f>
        <x:v>15228</x:v>
      </x:c>
      <x:c r="G31" s="8" t="n">
        <x:f>F31+SUMIFS('03_Cennik_uslug_nowy'!$N:$N,'03_Cennik_uslug_nowy'!$A:$A,$A31,'03_Cennik_uslug_nowy'!$B:$B,"PDSB")</x:f>
        <x:v>16998</x:v>
      </x:c>
      <x:c r="H31" s="8" t="n">
        <x:f>SUMIFS('03_Cennik_uslug_nowy'!$N:$N,'03_Cennik_uslug_nowy'!$A:$A,$A31,'03_Cennik_uslug_nowy'!$B:$B,"RB")</x:f>
        <x:v>3361</x:v>
      </x:c>
      <x:c r="I31" s="8" t="n">
        <x:f>SUMIFS('03_Cennik_uslug_nowy'!$N:$N,'03_Cennik_uslug_nowy'!$A:$A,$A31,'03_Cennik_uslug_nowy'!$B:$B,"RB")</x:f>
        <x:v>3361</x:v>
      </x:c>
      <x:c r="J31" s="8" t="n">
        <x:f>SUMIFS('03_Cennik_uslug_nowy'!$N:$N,'03_Cennik_uslug_nowy'!$A:$A,$A31,'03_Cennik_uslug_nowy'!$B:$B,"RP")</x:f>
        <x:v>10084</x:v>
      </x:c>
      <x:c r="K31" s="8" t="n">
        <x:f>SUMIFS('03_Cennik_uslug_nowy'!$N:$N,'03_Cennik_uslug_nowy'!$A:$A,$A31,'03_Cennik_uslug_nowy'!$B:$B,"M")</x:f>
        <x:v>17799</x:v>
      </x:c>
      <x:c r="L31" s="8" t="n">
        <x:f>SUMIFS('03_Cennik_uslug_nowy'!$N:$N,'03_Cennik_uslug_nowy'!$A:$A,$A31,'03_Cennik_uslug_nowy'!$B:$B,"PDWP")</x:f>
        <x:v>4210</x:v>
      </x:c>
      <x:c r="M31" s="8" t="n">
        <x:f>IF(VALUE(LEFT($A31,3))&gt;=450,SUMIFS('03_Cennik_uslug_nowy'!$N:$N,'03_Cennik_uslug_nowy'!$A:$A,$A31,'03_Cennik_uslug_nowy'!$B:$B,"LED3"),SUMIFS('03_Cennik_uslug_nowy'!$N:$N,'03_Cennik_uslug_nowy'!$A:$A,$A31,'03_Cennik_uslug_nowy'!$B:$B,"LED2"))</x:f>
        <x:v>1923</x:v>
      </x:c>
      <x:c r="N31" s="550" t="n">
        <x:f>SUMIFS('03_Cennik_uslug_nowy'!$N:$N,'03_Cennik_uslug_nowy'!$A:$A,$A31,'03_Cennik_uslug_nowy'!$B:$B,"LED3")</x:f>
        <x:v>2419</x:v>
      </x:c>
      <x:c r="O31" s="8" t="n">
        <x:f>SUMIFS('03_Cennik_uslug_nowy'!$N:$N,'03_Cennik_uslug_nowy'!$A:$A,$A31,'03_Cennik_uslug_nowy'!$B:$B,"S")</x:f>
        <x:v>968</x:v>
      </x:c>
      <x:c r="P31" s="8" t="n">
        <x:f>SUMIFS('03_Cennik_uslug_nowy'!$N:$N,'03_Cennik_uslug_nowy'!$A:$A,$A31,'03_Cennik_uslug_nowy'!$B:$B,"U")</x:f>
        <x:v>878</x:v>
      </x:c>
      <x:c r="Q31" s="8" t="n">
        <x:f>SUMIFS('03_Cennik_uslug_nowy'!$N:$N,'03_Cennik_uslug_nowy'!$A:$A,$A31,'03_Cennik_uslug_nowy'!$B:$B,"ZAB")</x:f>
        <x:v>765</x:v>
      </x:c>
      <x:c r="R31" s="8" t="n">
        <x:f>SUMIFS('03_Cennik_uslug_nowy'!$N:$N,'03_Cennik_uslug_nowy'!$A:$A,$A31,'03_Cennik_uslug_nowy'!$B:$B,"LEDCCT")</x:f>
        <x:v>3884</x:v>
      </x:c>
      <x:c r="S31" s="8" t="n"/>
    </x:row>
    <x:row r="32">
      <x:c r="A32" s="6" t="inlineStr">
        <x:is>
          <x:t xml:space="preserve">450 x 306 cm</x:t>
        </x:is>
      </x:c>
      <x:c r="B32" s="8" t="n">
        <x:f>SUMIFS('03_Cennik_uslug_nowy'!$N:$N,'03_Cennik_uslug_nowy'!$A:$A,$A32,'03_Cennik_uslug_nowy'!$B:$B,"ZP")</x:f>
        <x:v>12638</x:v>
      </x:c>
      <x:c r="C32" s="8" t="n">
        <x:f>ROUND(((SUMIFS('03_Cennik_uslug_nowy'!$J:$J,'03_Cennik_uslug_nowy'!$A:$A,$A32,'03_Cennik_uslug_nowy'!$B:$B,"OP")+SUMIFS('03_Cennik_uslug_nowy'!$K:$K,'03_Cennik_uslug_nowy'!$A:$A,$A32,'03_Cennik_uslug_nowy'!$B:$B,"OP"))-(SUMIFS('03_Cennik_uslug_nowy'!$J:$J,'03_Cennik_uslug_nowy'!$A:$A,$A32,'03_Cennik_uslug_nowy'!$B:$B,"ZP")+SUMIFS('03_Cennik_uslug_nowy'!$K:$K,'03_Cennik_uslug_nowy'!$A:$A,$A32,'03_Cennik_uslug_nowy'!$B:$B,"ZP")))*(IF('01_Ustawienia'!$B$4="ZWOLNIONY",1,1+'01_Ustawienia'!$B$7)),0)</x:f>
        <x:v>20074</x:v>
      </x:c>
      <x:c r="D32" s="8" t="n">
        <x:f>C32+SUMIFS('03_Cennik_uslug_nowy'!$N:$N,'03_Cennik_uslug_nowy'!$A:$A,$A32,'03_Cennik_uslug_nowy'!$B:$B,"SBB")</x:f>
        <x:v>22060</x:v>
      </x:c>
      <x:c r="E32" s="8" t="n">
        <x:f>SUMIFS('03_Cennik_uslug_nowy'!$N:$N,'03_Cennik_uslug_nowy'!$A:$A,$A32,'03_Cennik_uslug_nowy'!$B:$B,"PDPB")</x:f>
        <x:v>369</x:v>
      </x:c>
      <x:c r="F32" s="8" t="n">
        <x:f>SUMIFS('03_Cennik_uslug_nowy'!$N:$N,'03_Cennik_uslug_nowy'!$A:$A,$A32,'03_Cennik_uslug_nowy'!$B:$B,"PDS")</x:f>
        <x:v>4291</x:v>
      </x:c>
      <x:c r="G32" s="8" t="n">
        <x:f>F32+SUMIFS('03_Cennik_uslug_nowy'!$N:$N,'03_Cennik_uslug_nowy'!$A:$A,$A32,'03_Cennik_uslug_nowy'!$B:$B,"PDSB")</x:f>
        <x:v>4775</x:v>
      </x:c>
      <x:c r="H32" s="8" t="n">
        <x:f>SUMIFS('03_Cennik_uslug_nowy'!$N:$N,'03_Cennik_uslug_nowy'!$A:$A,$A32,'03_Cennik_uslug_nowy'!$B:$B,"RB")</x:f>
        <x:v>4023</x:v>
      </x:c>
      <x:c r="I32" s="8" t="n">
        <x:f>SUMIFS('03_Cennik_uslug_nowy'!$N:$N,'03_Cennik_uslug_nowy'!$A:$A,$A32,'03_Cennik_uslug_nowy'!$B:$B,"RB")</x:f>
        <x:v>4023</x:v>
      </x:c>
      <x:c r="J32" s="8" t="n">
        <x:f>SUMIFS('03_Cennik_uslug_nowy'!$N:$N,'03_Cennik_uslug_nowy'!$A:$A,$A32,'03_Cennik_uslug_nowy'!$B:$B,"RP")</x:f>
        <x:v>2725</x:v>
      </x:c>
      <x:c r="K32" s="8" t="n">
        <x:f>SUMIFS('03_Cennik_uslug_nowy'!$N:$N,'03_Cennik_uslug_nowy'!$A:$A,$A32,'03_Cennik_uslug_nowy'!$B:$B,"M")</x:f>
        <x:v>5195</x:v>
      </x:c>
      <x:c r="L32" s="8" t="n">
        <x:f>SUMIFS('03_Cennik_uslug_nowy'!$N:$N,'03_Cennik_uslug_nowy'!$A:$A,$A32,'03_Cennik_uslug_nowy'!$B:$B,"PDWP")</x:f>
        <x:v>2241</x:v>
      </x:c>
      <x:c r="M32" s="8" t="n">
        <x:f>IF(VALUE(LEFT($A32,3))&gt;=450,SUMIFS('03_Cennik_uslug_nowy'!$N:$N,'03_Cennik_uslug_nowy'!$A:$A,$A32,'03_Cennik_uslug_nowy'!$B:$B,"LED3"),SUMIFS('03_Cennik_uslug_nowy'!$N:$N,'03_Cennik_uslug_nowy'!$A:$A,$A32,'03_Cennik_uslug_nowy'!$B:$B,"LED2"))</x:f>
        <x:v>814</x:v>
      </x:c>
      <x:c r="N32" s="550" t="n">
        <x:f>SUMIFS('03_Cennik_uslug_nowy'!$N:$N,'03_Cennik_uslug_nowy'!$A:$A,$A32,'03_Cennik_uslug_nowy'!$B:$B,"LED3")</x:f>
        <x:v>814</x:v>
      </x:c>
      <x:c r="O32" s="8" t="n">
        <x:f>SUMIFS('03_Cennik_uslug_nowy'!$N:$N,'03_Cennik_uslug_nowy'!$A:$A,$A32,'03_Cennik_uslug_nowy'!$B:$B,"S")</x:f>
        <x:v>637</x:v>
      </x:c>
      <x:c r="P32" s="8" t="n">
        <x:f>SUMIFS('03_Cennik_uslug_nowy'!$N:$N,'03_Cennik_uslug_nowy'!$A:$A,$A32,'03_Cennik_uslug_nowy'!$B:$B,"U")</x:f>
        <x:v>573</x:v>
      </x:c>
      <x:c r="Q32" s="8" t="n">
        <x:f>SUMIFS('03_Cennik_uslug_nowy'!$N:$N,'03_Cennik_uslug_nowy'!$A:$A,$A32,'03_Cennik_uslug_nowy'!$B:$B,"ZAB")</x:f>
        <x:v>509</x:v>
      </x:c>
      <x:c r="R32" s="8" t="n">
        <x:f>SUMIFS('03_Cennik_uslug_nowy'!$N:$N,'03_Cennik_uslug_nowy'!$A:$A,$A32,'03_Cennik_uslug_nowy'!$B:$B,"LEDCCT")</x:f>
        <x:v>2540</x:v>
      </x:c>
      <x:c r="S32" s="8" t="n"/>
    </x:row>
    <x:row r="33">
      <x:c r="A33" s="6" t="inlineStr">
        <x:is>
          <x:t xml:space="preserve">450 x 406 cm</x:t>
        </x:is>
      </x:c>
      <x:c r="B33" s="8" t="n">
        <x:f>SUMIFS('03_Cennik_uslug_nowy'!$N:$N,'03_Cennik_uslug_nowy'!$A:$A,$A33,'03_Cennik_uslug_nowy'!$B:$B,"ZP")</x:f>
        <x:v>15297</x:v>
      </x:c>
      <x:c r="C33" s="8" t="n">
        <x:f>ROUND(((SUMIFS('03_Cennik_uslug_nowy'!$J:$J,'03_Cennik_uslug_nowy'!$A:$A,$A33,'03_Cennik_uslug_nowy'!$B:$B,"OP")+SUMIFS('03_Cennik_uslug_nowy'!$K:$K,'03_Cennik_uslug_nowy'!$A:$A,$A33,'03_Cennik_uslug_nowy'!$B:$B,"OP"))-(SUMIFS('03_Cennik_uslug_nowy'!$J:$J,'03_Cennik_uslug_nowy'!$A:$A,$A33,'03_Cennik_uslug_nowy'!$B:$B,"ZP")+SUMIFS('03_Cennik_uslug_nowy'!$K:$K,'03_Cennik_uslug_nowy'!$A:$A,$A33,'03_Cennik_uslug_nowy'!$B:$B,"ZP")))*(IF('01_Ustawienia'!$B$4="ZWOLNIONY",1,1+'01_Ustawienia'!$B$7)),0)</x:f>
        <x:v>21316</x:v>
      </x:c>
      <x:c r="D33" s="8" t="n">
        <x:f>C33+SUMIFS('03_Cennik_uslug_nowy'!$N:$N,'03_Cennik_uslug_nowy'!$A:$A,$A33,'03_Cennik_uslug_nowy'!$B:$B,"SBB")</x:f>
        <x:v>23455</x:v>
      </x:c>
      <x:c r="E33" s="8" t="n">
        <x:f>SUMIFS('03_Cennik_uslug_nowy'!$N:$N,'03_Cennik_uslug_nowy'!$A:$A,$A33,'03_Cennik_uslug_nowy'!$B:$B,"PDPB")</x:f>
        <x:v>484</x:v>
      </x:c>
      <x:c r="F33" s="8" t="n">
        <x:f>SUMIFS('03_Cennik_uslug_nowy'!$N:$N,'03_Cennik_uslug_nowy'!$A:$A,$A33,'03_Cennik_uslug_nowy'!$B:$B,"PDS")</x:f>
        <x:v>6061</x:v>
      </x:c>
      <x:c r="G33" s="8" t="n">
        <x:f>F33+SUMIFS('03_Cennik_uslug_nowy'!$N:$N,'03_Cennik_uslug_nowy'!$A:$A,$A33,'03_Cennik_uslug_nowy'!$B:$B,"PDSB")</x:f>
        <x:v>6698</x:v>
      </x:c>
      <x:c r="H33" s="8" t="n">
        <x:f>SUMIFS('03_Cennik_uslug_nowy'!$N:$N,'03_Cennik_uslug_nowy'!$A:$A,$A33,'03_Cennik_uslug_nowy'!$B:$B,"RB")</x:f>
        <x:v>4023</x:v>
      </x:c>
      <x:c r="I33" s="8" t="n">
        <x:f>SUMIFS('03_Cennik_uslug_nowy'!$N:$N,'03_Cennik_uslug_nowy'!$A:$A,$A33,'03_Cennik_uslug_nowy'!$B:$B,"RB")</x:f>
        <x:v>4023</x:v>
      </x:c>
      <x:c r="J33" s="8" t="n">
        <x:f>SUMIFS('03_Cennik_uslug_nowy'!$N:$N,'03_Cennik_uslug_nowy'!$A:$A,$A33,'03_Cennik_uslug_nowy'!$B:$B,"RP")</x:f>
        <x:v>3361</x:v>
      </x:c>
      <x:c r="K33" s="8" t="n">
        <x:f>SUMIFS('03_Cennik_uslug_nowy'!$N:$N,'03_Cennik_uslug_nowy'!$A:$A,$A33,'03_Cennik_uslug_nowy'!$B:$B,"M")</x:f>
        <x:v>5946</x:v>
      </x:c>
      <x:c r="L33" s="8" t="n">
        <x:f>SUMIFS('03_Cennik_uslug_nowy'!$N:$N,'03_Cennik_uslug_nowy'!$A:$A,$A33,'03_Cennik_uslug_nowy'!$B:$B,"PDWP")</x:f>
        <x:v>2473</x:v>
      </x:c>
      <x:c r="M33" s="8" t="n">
        <x:f>IF(VALUE(LEFT($A33,3))&gt;=450,SUMIFS('03_Cennik_uslug_nowy'!$N:$N,'03_Cennik_uslug_nowy'!$A:$A,$A33,'03_Cennik_uslug_nowy'!$B:$B,"LED3"),SUMIFS('03_Cennik_uslug_nowy'!$N:$N,'03_Cennik_uslug_nowy'!$A:$A,$A33,'03_Cennik_uslug_nowy'!$B:$B,"LED2"))</x:f>
        <x:v>943</x:v>
      </x:c>
      <x:c r="N33" s="550" t="n">
        <x:f>SUMIFS('03_Cennik_uslug_nowy'!$N:$N,'03_Cennik_uslug_nowy'!$A:$A,$A33,'03_Cennik_uslug_nowy'!$B:$B,"LED3")</x:f>
        <x:v>943</x:v>
      </x:c>
      <x:c r="O33" s="8" t="n">
        <x:f>SUMIFS('03_Cennik_uslug_nowy'!$N:$N,'03_Cennik_uslug_nowy'!$A:$A,$A33,'03_Cennik_uslug_nowy'!$B:$B,"S")</x:f>
        <x:v>675</x:v>
      </x:c>
      <x:c r="P33" s="8" t="n">
        <x:f>SUMIFS('03_Cennik_uslug_nowy'!$N:$N,'03_Cennik_uslug_nowy'!$A:$A,$A33,'03_Cennik_uslug_nowy'!$B:$B,"U")</x:f>
        <x:v>611</x:v>
      </x:c>
      <x:c r="Q33" s="8" t="n">
        <x:f>SUMIFS('03_Cennik_uslug_nowy'!$N:$N,'03_Cennik_uslug_nowy'!$A:$A,$A33,'03_Cennik_uslug_nowy'!$B:$B,"ZAB")</x:f>
        <x:v>561</x:v>
      </x:c>
      <x:c r="R33" s="8" t="n">
        <x:f>SUMIFS('03_Cennik_uslug_nowy'!$N:$N,'03_Cennik_uslug_nowy'!$A:$A,$A33,'03_Cennik_uslug_nowy'!$B:$B,"LEDCCT")</x:f>
        <x:v>2859</x:v>
      </x:c>
      <x:c r="S33" s="8" t="n"/>
    </x:row>
    <x:row r="34">
      <x:c r="A34" s="6" t="inlineStr">
        <x:is>
          <x:t xml:space="preserve">450 x 506 cm</x:t>
        </x:is>
      </x:c>
      <x:c r="B34" s="8" t="n">
        <x:f>SUMIFS('03_Cennik_uslug_nowy'!$N:$N,'03_Cennik_uslug_nowy'!$A:$A,$A34,'03_Cennik_uslug_nowy'!$B:$B,"ZP")</x:f>
        <x:v>18377</x:v>
      </x:c>
      <x:c r="C34" s="8" t="n">
        <x:f>ROUND(((SUMIFS('03_Cennik_uslug_nowy'!$J:$J,'03_Cennik_uslug_nowy'!$A:$A,$A34,'03_Cennik_uslug_nowy'!$B:$B,"OP")+SUMIFS('03_Cennik_uslug_nowy'!$K:$K,'03_Cennik_uslug_nowy'!$A:$A,$A34,'03_Cennik_uslug_nowy'!$B:$B,"OP"))-(SUMIFS('03_Cennik_uslug_nowy'!$J:$J,'03_Cennik_uslug_nowy'!$A:$A,$A34,'03_Cennik_uslug_nowy'!$B:$B,"ZP")+SUMIFS('03_Cennik_uslug_nowy'!$K:$K,'03_Cennik_uslug_nowy'!$A:$A,$A34,'03_Cennik_uslug_nowy'!$B:$B,"ZP")))*(IF('01_Ustawienia'!$B$4="ZWOLNIONY",1,1+'01_Ustawienia'!$B$7)),0)</x:f>
        <x:v>22839</x:v>
      </x:c>
      <x:c r="D34" s="8" t="n">
        <x:f>C34+SUMIFS('03_Cennik_uslug_nowy'!$N:$N,'03_Cennik_uslug_nowy'!$A:$A,$A34,'03_Cennik_uslug_nowy'!$B:$B,"SBB")</x:f>
        <x:v>25130</x:v>
      </x:c>
      <x:c r="E34" s="8" t="n">
        <x:f>SUMIFS('03_Cennik_uslug_nowy'!$N:$N,'03_Cennik_uslug_nowy'!$A:$A,$A34,'03_Cennik_uslug_nowy'!$B:$B,"PDPB")</x:f>
        <x:v>611</x:v>
      </x:c>
      <x:c r="F34" s="8" t="n">
        <x:f>SUMIFS('03_Cennik_uslug_nowy'!$N:$N,'03_Cennik_uslug_nowy'!$A:$A,$A34,'03_Cennik_uslug_nowy'!$B:$B,"PDS")</x:f>
        <x:v>7843</x:v>
      </x:c>
      <x:c r="G34" s="8" t="n">
        <x:f>F34+SUMIFS('03_Cennik_uslug_nowy'!$N:$N,'03_Cennik_uslug_nowy'!$A:$A,$A34,'03_Cennik_uslug_nowy'!$B:$B,"PDSB")</x:f>
        <x:v>8644</x:v>
      </x:c>
      <x:c r="H34" s="8" t="n">
        <x:f>SUMIFS('03_Cennik_uslug_nowy'!$N:$N,'03_Cennik_uslug_nowy'!$A:$A,$A34,'03_Cennik_uslug_nowy'!$B:$B,"RB")</x:f>
        <x:v>4023</x:v>
      </x:c>
      <x:c r="I34" s="8" t="n">
        <x:f>SUMIFS('03_Cennik_uslug_nowy'!$N:$N,'03_Cennik_uslug_nowy'!$A:$A,$A34,'03_Cennik_uslug_nowy'!$B:$B,"RB")</x:f>
        <x:v>4023</x:v>
      </x:c>
      <x:c r="J34" s="8" t="n">
        <x:f>SUMIFS('03_Cennik_uslug_nowy'!$N:$N,'03_Cennik_uslug_nowy'!$A:$A,$A34,'03_Cennik_uslug_nowy'!$B:$B,"RP")</x:f>
        <x:v>4711</x:v>
      </x:c>
      <x:c r="K34" s="8" t="n">
        <x:f>SUMIFS('03_Cennik_uslug_nowy'!$N:$N,'03_Cennik_uslug_nowy'!$A:$A,$A34,'03_Cennik_uslug_nowy'!$B:$B,"M")</x:f>
        <x:v>6901</x:v>
      </x:c>
      <x:c r="L34" s="8" t="n">
        <x:f>SUMIFS('03_Cennik_uslug_nowy'!$N:$N,'03_Cennik_uslug_nowy'!$A:$A,$A34,'03_Cennik_uslug_nowy'!$B:$B,"PDWP")</x:f>
        <x:v>2723</x:v>
      </x:c>
      <x:c r="M34" s="8" t="n">
        <x:f>IF(VALUE(LEFT($A34,3))&gt;=450,SUMIFS('03_Cennik_uslug_nowy'!$N:$N,'03_Cennik_uslug_nowy'!$A:$A,$A34,'03_Cennik_uslug_nowy'!$B:$B,"LED3"),SUMIFS('03_Cennik_uslug_nowy'!$N:$N,'03_Cennik_uslug_nowy'!$A:$A,$A34,'03_Cennik_uslug_nowy'!$B:$B,"LED2"))</x:f>
        <x:v>1221</x:v>
      </x:c>
      <x:c r="N34" s="550" t="n">
        <x:f>SUMIFS('03_Cennik_uslug_nowy'!$N:$N,'03_Cennik_uslug_nowy'!$A:$A,$A34,'03_Cennik_uslug_nowy'!$B:$B,"LED3")</x:f>
        <x:v>1221</x:v>
      </x:c>
      <x:c r="O34" s="8" t="n">
        <x:f>SUMIFS('03_Cennik_uslug_nowy'!$N:$N,'03_Cennik_uslug_nowy'!$A:$A,$A34,'03_Cennik_uslug_nowy'!$B:$B,"S")</x:f>
        <x:v>725</x:v>
      </x:c>
      <x:c r="P34" s="8" t="n">
        <x:f>SUMIFS('03_Cennik_uslug_nowy'!$N:$N,'03_Cennik_uslug_nowy'!$A:$A,$A34,'03_Cennik_uslug_nowy'!$B:$B,"U")</x:f>
        <x:v>662</x:v>
      </x:c>
      <x:c r="Q34" s="8" t="n">
        <x:f>SUMIFS('03_Cennik_uslug_nowy'!$N:$N,'03_Cennik_uslug_nowy'!$A:$A,$A34,'03_Cennik_uslug_nowy'!$B:$B,"ZAB")</x:f>
        <x:v>561</x:v>
      </x:c>
      <x:c r="R34" s="8" t="n">
        <x:f>SUMIFS('03_Cennik_uslug_nowy'!$N:$N,'03_Cennik_uslug_nowy'!$A:$A,$A34,'03_Cennik_uslug_nowy'!$B:$B,"LEDCCT")</x:f>
        <x:v>3149</x:v>
      </x:c>
      <x:c r="S34" s="8" t="n"/>
    </x:row>
    <x:row r="35">
      <x:c r="A35" s="6" t="inlineStr">
        <x:is>
          <x:t xml:space="preserve">450 x 606 cm</x:t>
        </x:is>
      </x:c>
      <x:c r="B35" s="8" t="n">
        <x:f>SUMIFS('03_Cennik_uslug_nowy'!$N:$N,'03_Cennik_uslug_nowy'!$A:$A,$A35,'03_Cennik_uslug_nowy'!$B:$B,"ZP")</x:f>
        <x:v>21049</x:v>
      </x:c>
      <x:c r="C35" s="8" t="n">
        <x:f>ROUND(((SUMIFS('03_Cennik_uslug_nowy'!$J:$J,'03_Cennik_uslug_nowy'!$A:$A,$A35,'03_Cennik_uslug_nowy'!$B:$B,"OP")+SUMIFS('03_Cennik_uslug_nowy'!$K:$K,'03_Cennik_uslug_nowy'!$A:$A,$A35,'03_Cennik_uslug_nowy'!$B:$B,"OP"))-(SUMIFS('03_Cennik_uslug_nowy'!$J:$J,'03_Cennik_uslug_nowy'!$A:$A,$A35,'03_Cennik_uslug_nowy'!$B:$B,"ZP")+SUMIFS('03_Cennik_uslug_nowy'!$K:$K,'03_Cennik_uslug_nowy'!$A:$A,$A35,'03_Cennik_uslug_nowy'!$B:$B,"ZP")))*(IF('01_Ustawienia'!$B$4="ZWOLNIONY",1,1+'01_Ustawienia'!$B$7)),0)</x:f>
        <x:v>24436</x:v>
      </x:c>
      <x:c r="D35" s="8" t="n">
        <x:f>C35+SUMIFS('03_Cennik_uslug_nowy'!$N:$N,'03_Cennik_uslug_nowy'!$A:$A,$A35,'03_Cennik_uslug_nowy'!$B:$B,"SBB")</x:f>
        <x:v>26880</x:v>
      </x:c>
      <x:c r="E35" s="8" t="n">
        <x:f>SUMIFS('03_Cennik_uslug_nowy'!$N:$N,'03_Cennik_uslug_nowy'!$A:$A,$A35,'03_Cennik_uslug_nowy'!$B:$B,"PDPB")</x:f>
        <x:v>739</x:v>
      </x:c>
      <x:c r="F35" s="8" t="n">
        <x:f>SUMIFS('03_Cennik_uslug_nowy'!$N:$N,'03_Cennik_uslug_nowy'!$A:$A,$A35,'03_Cennik_uslug_nowy'!$B:$B,"PDS")</x:f>
        <x:v>9600</x:v>
      </x:c>
      <x:c r="G35" s="8" t="n">
        <x:f>F35+SUMIFS('03_Cennik_uslug_nowy'!$N:$N,'03_Cennik_uslug_nowy'!$A:$A,$A35,'03_Cennik_uslug_nowy'!$B:$B,"PDSB")</x:f>
        <x:v>10568</x:v>
      </x:c>
      <x:c r="H35" s="8" t="n">
        <x:f>SUMIFS('03_Cennik_uslug_nowy'!$N:$N,'03_Cennik_uslug_nowy'!$A:$A,$A35,'03_Cennik_uslug_nowy'!$B:$B,"RB")</x:f>
        <x:v>4023</x:v>
      </x:c>
      <x:c r="I35" s="8" t="n">
        <x:f>SUMIFS('03_Cennik_uslug_nowy'!$N:$N,'03_Cennik_uslug_nowy'!$A:$A,$A35,'03_Cennik_uslug_nowy'!$B:$B,"RB")</x:f>
        <x:v>4023</x:v>
      </x:c>
      <x:c r="J35" s="8" t="n">
        <x:f>SUMIFS('03_Cennik_uslug_nowy'!$N:$N,'03_Cennik_uslug_nowy'!$A:$A,$A35,'03_Cennik_uslug_nowy'!$B:$B,"RP")</x:f>
        <x:v>5437</x:v>
      </x:c>
      <x:c r="K35" s="8" t="n">
        <x:f>SUMIFS('03_Cennik_uslug_nowy'!$N:$N,'03_Cennik_uslug_nowy'!$A:$A,$A35,'03_Cennik_uslug_nowy'!$B:$B,"M")</x:f>
        <x:v>10389</x:v>
      </x:c>
      <x:c r="L35" s="8" t="n">
        <x:f>SUMIFS('03_Cennik_uslug_nowy'!$N:$N,'03_Cennik_uslug_nowy'!$A:$A,$A35,'03_Cennik_uslug_nowy'!$B:$B,"PDWP")</x:f>
        <x:v>3283</x:v>
      </x:c>
      <x:c r="M35" s="8" t="n">
        <x:f>IF(VALUE(LEFT($A35,3))&gt;=450,SUMIFS('03_Cennik_uslug_nowy'!$N:$N,'03_Cennik_uslug_nowy'!$A:$A,$A35,'03_Cennik_uslug_nowy'!$B:$B,"LED3"),SUMIFS('03_Cennik_uslug_nowy'!$N:$N,'03_Cennik_uslug_nowy'!$A:$A,$A35,'03_Cennik_uslug_nowy'!$B:$B,"LED2"))</x:f>
        <x:v>1388</x:v>
      </x:c>
      <x:c r="N35" s="550" t="n">
        <x:f>SUMIFS('03_Cennik_uslug_nowy'!$N:$N,'03_Cennik_uslug_nowy'!$A:$A,$A35,'03_Cennik_uslug_nowy'!$B:$B,"LED3")</x:f>
        <x:v>1388</x:v>
      </x:c>
      <x:c r="O35" s="8" t="n">
        <x:f>SUMIFS('03_Cennik_uslug_nowy'!$N:$N,'03_Cennik_uslug_nowy'!$A:$A,$A35,'03_Cennik_uslug_nowy'!$B:$B,"S")</x:f>
        <x:v>777</x:v>
      </x:c>
      <x:c r="P35" s="8" t="n">
        <x:f>SUMIFS('03_Cennik_uslug_nowy'!$N:$N,'03_Cennik_uslug_nowy'!$A:$A,$A35,'03_Cennik_uslug_nowy'!$B:$B,"U")</x:f>
        <x:v>700</x:v>
      </x:c>
      <x:c r="Q35" s="8" t="n">
        <x:f>SUMIFS('03_Cennik_uslug_nowy'!$N:$N,'03_Cennik_uslug_nowy'!$A:$A,$A35,'03_Cennik_uslug_nowy'!$B:$B,"ZAB")</x:f>
        <x:v>611</x:v>
      </x:c>
      <x:c r="R35" s="8" t="n">
        <x:f>SUMIFS('03_Cennik_uslug_nowy'!$N:$N,'03_Cennik_uslug_nowy'!$A:$A,$A35,'03_Cennik_uslug_nowy'!$B:$B,"LEDCCT")</x:f>
        <x:v>3550</x:v>
      </x:c>
      <x:c r="S35" s="8" t="n"/>
    </x:row>
    <x:row r="36">
      <x:c r="A36" s="6" t="inlineStr">
        <x:is>
          <x:t xml:space="preserve">450 x 706 cm</x:t>
        </x:is>
      </x:c>
      <x:c r="B36" s="8" t="n">
        <x:f>SUMIFS('03_Cennik_uslug_nowy'!$N:$N,'03_Cennik_uslug_nowy'!$A:$A,$A36,'03_Cennik_uslug_nowy'!$B:$B,"ZP")</x:f>
        <x:v>25196</x:v>
      </x:c>
      <x:c r="C36" s="8" t="n">
        <x:f>ROUND(((SUMIFS('03_Cennik_uslug_nowy'!$J:$J,'03_Cennik_uslug_nowy'!$A:$A,$A36,'03_Cennik_uslug_nowy'!$B:$B,"OP")+SUMIFS('03_Cennik_uslug_nowy'!$K:$K,'03_Cennik_uslug_nowy'!$A:$A,$A36,'03_Cennik_uslug_nowy'!$B:$B,"OP"))-(SUMIFS('03_Cennik_uslug_nowy'!$J:$J,'03_Cennik_uslug_nowy'!$A:$A,$A36,'03_Cennik_uslug_nowy'!$B:$B,"ZP")+SUMIFS('03_Cennik_uslug_nowy'!$K:$K,'03_Cennik_uslug_nowy'!$A:$A,$A36,'03_Cennik_uslug_nowy'!$B:$B,"ZP")))*(IF('01_Ustawienia'!$B$4="ZWOLNIONY",1,1+'01_Ustawienia'!$B$7)),0)</x:f>
        <x:v>24535</x:v>
      </x:c>
      <x:c r="D36" s="8" t="n">
        <x:f>C36+SUMIFS('03_Cennik_uslug_nowy'!$N:$N,'03_Cennik_uslug_nowy'!$A:$A,$A36,'03_Cennik_uslug_nowy'!$B:$B,"SBB")</x:f>
        <x:v>27133</x:v>
      </x:c>
      <x:c r="E36" s="8" t="n">
        <x:f>SUMIFS('03_Cennik_uslug_nowy'!$N:$N,'03_Cennik_uslug_nowy'!$A:$A,$A36,'03_Cennik_uslug_nowy'!$B:$B,"PDPB")</x:f>
        <x:v>853</x:v>
      </x:c>
      <x:c r="F36" s="8" t="n">
        <x:f>SUMIFS('03_Cennik_uslug_nowy'!$N:$N,'03_Cennik_uslug_nowy'!$A:$A,$A36,'03_Cennik_uslug_nowy'!$B:$B,"PDS")</x:f>
        <x:v>11369</x:v>
      </x:c>
      <x:c r="G36" s="8" t="n">
        <x:f>F36+SUMIFS('03_Cennik_uslug_nowy'!$N:$N,'03_Cennik_uslug_nowy'!$A:$A,$A36,'03_Cennik_uslug_nowy'!$B:$B,"PDSB")</x:f>
        <x:v>12489</x:v>
      </x:c>
      <x:c r="H36" s="8" t="n">
        <x:f>SUMIFS('03_Cennik_uslug_nowy'!$N:$N,'03_Cennik_uslug_nowy'!$A:$A,$A36,'03_Cennik_uslug_nowy'!$B:$B,"RB")</x:f>
        <x:v>4023</x:v>
      </x:c>
      <x:c r="I36" s="8" t="n">
        <x:f>SUMIFS('03_Cennik_uslug_nowy'!$N:$N,'03_Cennik_uslug_nowy'!$A:$A,$A36,'03_Cennik_uslug_nowy'!$B:$B,"RB")</x:f>
        <x:v>4023</x:v>
      </x:c>
      <x:c r="J36" s="8" t="n">
        <x:f>SUMIFS('03_Cennik_uslug_nowy'!$N:$N,'03_Cennik_uslug_nowy'!$A:$A,$A36,'03_Cennik_uslug_nowy'!$B:$B,"RP")</x:f>
        <x:v>6086</x:v>
      </x:c>
      <x:c r="K36" s="8" t="n">
        <x:f>SUMIFS('03_Cennik_uslug_nowy'!$N:$N,'03_Cennik_uslug_nowy'!$A:$A,$A36,'03_Cennik_uslug_nowy'!$B:$B,"M")</x:f>
        <x:v>11140</x:v>
      </x:c>
      <x:c r="L36" s="8" t="n">
        <x:f>SUMIFS('03_Cennik_uslug_nowy'!$N:$N,'03_Cennik_uslug_nowy'!$A:$A,$A36,'03_Cennik_uslug_nowy'!$B:$B,"PDWP")</x:f>
        <x:v>2899</x:v>
      </x:c>
      <x:c r="M36" s="8" t="n">
        <x:f>IF(VALUE(LEFT($A36,3))&gt;=450,SUMIFS('03_Cennik_uslug_nowy'!$N:$N,'03_Cennik_uslug_nowy'!$A:$A,$A36,'03_Cennik_uslug_nowy'!$B:$B,"LED3"),SUMIFS('03_Cennik_uslug_nowy'!$N:$N,'03_Cennik_uslug_nowy'!$A:$A,$A36,'03_Cennik_uslug_nowy'!$B:$B,"LED2"))</x:f>
        <x:v>1541</x:v>
      </x:c>
      <x:c r="N36" s="550" t="n">
        <x:f>SUMIFS('03_Cennik_uslug_nowy'!$N:$N,'03_Cennik_uslug_nowy'!$A:$A,$A36,'03_Cennik_uslug_nowy'!$B:$B,"LED3")</x:f>
        <x:v>1541</x:v>
      </x:c>
      <x:c r="O36" s="8" t="n">
        <x:f>SUMIFS('03_Cennik_uslug_nowy'!$N:$N,'03_Cennik_uslug_nowy'!$A:$A,$A36,'03_Cennik_uslug_nowy'!$B:$B,"S")</x:f>
        <x:v>827</x:v>
      </x:c>
      <x:c r="P36" s="8" t="n">
        <x:f>SUMIFS('03_Cennik_uslug_nowy'!$N:$N,'03_Cennik_uslug_nowy'!$A:$A,$A36,'03_Cennik_uslug_nowy'!$B:$B,"U")</x:f>
        <x:v>752</x:v>
      </x:c>
      <x:c r="Q36" s="8" t="n">
        <x:f>SUMIFS('03_Cennik_uslug_nowy'!$N:$N,'03_Cennik_uslug_nowy'!$A:$A,$A36,'03_Cennik_uslug_nowy'!$B:$B,"ZAB")</x:f>
        <x:v>662</x:v>
      </x:c>
      <x:c r="R36" s="8" t="n">
        <x:f>SUMIFS('03_Cennik_uslug_nowy'!$N:$N,'03_Cennik_uslug_nowy'!$A:$A,$A36,'03_Cennik_uslug_nowy'!$B:$B,"LEDCCT")</x:f>
        <x:v>3871</x:v>
      </x:c>
      <x:c r="S36" s="8" t="n"/>
    </x:row>
    <x:row r="37">
      <x:c r="A37" s="6" t="inlineStr">
        <x:is>
          <x:t xml:space="preserve">450 x 806 cm</x:t>
        </x:is>
      </x:c>
      <x:c r="B37" s="8" t="n">
        <x:f>SUMIFS('03_Cennik_uslug_nowy'!$N:$N,'03_Cennik_uslug_nowy'!$A:$A,$A37,'03_Cennik_uslug_nowy'!$B:$B,"ZP")</x:f>
        <x:v>27870</x:v>
      </x:c>
      <x:c r="C37" s="8" t="n">
        <x:f>ROUND(((SUMIFS('03_Cennik_uslug_nowy'!$J:$J,'03_Cennik_uslug_nowy'!$A:$A,$A37,'03_Cennik_uslug_nowy'!$B:$B,"OP")+SUMIFS('03_Cennik_uslug_nowy'!$K:$K,'03_Cennik_uslug_nowy'!$A:$A,$A37,'03_Cennik_uslug_nowy'!$B:$B,"OP"))-(SUMIFS('03_Cennik_uslug_nowy'!$J:$J,'03_Cennik_uslug_nowy'!$A:$A,$A37,'03_Cennik_uslug_nowy'!$B:$B,"ZP")+SUMIFS('03_Cennik_uslug_nowy'!$K:$K,'03_Cennik_uslug_nowy'!$A:$A,$A37,'03_Cennik_uslug_nowy'!$B:$B,"ZP")))*(IF('01_Ustawienia'!$B$4="ZWOLNIONY",1,1+'01_Ustawienia'!$B$7)),0)</x:f>
        <x:v>25740</x:v>
      </x:c>
      <x:c r="D37" s="8" t="n">
        <x:f>C37+SUMIFS('03_Cennik_uslug_nowy'!$N:$N,'03_Cennik_uslug_nowy'!$A:$A,$A37,'03_Cennik_uslug_nowy'!$B:$B,"SBB")</x:f>
        <x:v>28490</x:v>
      </x:c>
      <x:c r="E37" s="8" t="n">
        <x:f>SUMIFS('03_Cennik_uslug_nowy'!$N:$N,'03_Cennik_uslug_nowy'!$A:$A,$A37,'03_Cennik_uslug_nowy'!$B:$B,"PDPB")</x:f>
        <x:v>981</x:v>
      </x:c>
      <x:c r="F37" s="8" t="n">
        <x:f>SUMIFS('03_Cennik_uslug_nowy'!$N:$N,'03_Cennik_uslug_nowy'!$A:$A,$A37,'03_Cennik_uslug_nowy'!$B:$B,"PDS")</x:f>
        <x:v>13126</x:v>
      </x:c>
      <x:c r="G37" s="8" t="n">
        <x:f>F37+SUMIFS('03_Cennik_uslug_nowy'!$N:$N,'03_Cennik_uslug_nowy'!$A:$A,$A37,'03_Cennik_uslug_nowy'!$B:$B,"PDSB")</x:f>
        <x:v>14411</x:v>
      </x:c>
      <x:c r="H37" s="8" t="n">
        <x:f>SUMIFS('03_Cennik_uslug_nowy'!$N:$N,'03_Cennik_uslug_nowy'!$A:$A,$A37,'03_Cennik_uslug_nowy'!$B:$B,"RB")</x:f>
        <x:v>4023</x:v>
      </x:c>
      <x:c r="I37" s="8" t="n">
        <x:f>SUMIFS('03_Cennik_uslug_nowy'!$N:$N,'03_Cennik_uslug_nowy'!$A:$A,$A37,'03_Cennik_uslug_nowy'!$B:$B,"RB")</x:f>
        <x:v>4023</x:v>
      </x:c>
      <x:c r="J37" s="8" t="n">
        <x:f>SUMIFS('03_Cennik_uslug_nowy'!$N:$N,'03_Cennik_uslug_nowy'!$A:$A,$A37,'03_Cennik_uslug_nowy'!$B:$B,"RP")</x:f>
        <x:v>6723</x:v>
      </x:c>
      <x:c r="K37" s="8" t="n">
        <x:f>SUMIFS('03_Cennik_uslug_nowy'!$N:$N,'03_Cennik_uslug_nowy'!$A:$A,$A37,'03_Cennik_uslug_nowy'!$B:$B,"M")</x:f>
        <x:v>11891</x:v>
      </x:c>
      <x:c r="L37" s="8" t="n">
        <x:f>SUMIFS('03_Cennik_uslug_nowy'!$N:$N,'03_Cennik_uslug_nowy'!$A:$A,$A37,'03_Cennik_uslug_nowy'!$B:$B,"PDWP")</x:f>
        <x:v>3110</x:v>
      </x:c>
      <x:c r="M37" s="8" t="n">
        <x:f>IF(VALUE(LEFT($A37,3))&gt;=450,SUMIFS('03_Cennik_uslug_nowy'!$N:$N,'03_Cennik_uslug_nowy'!$A:$A,$A37,'03_Cennik_uslug_nowy'!$B:$B,"LED3"),SUMIFS('03_Cennik_uslug_nowy'!$N:$N,'03_Cennik_uslug_nowy'!$A:$A,$A37,'03_Cennik_uslug_nowy'!$B:$B,"LED2"))</x:f>
        <x:v>1834</x:v>
      </x:c>
      <x:c r="N37" s="550" t="n">
        <x:f>SUMIFS('03_Cennik_uslug_nowy'!$N:$N,'03_Cennik_uslug_nowy'!$A:$A,$A37,'03_Cennik_uslug_nowy'!$B:$B,"LED3")</x:f>
        <x:v>1834</x:v>
      </x:c>
      <x:c r="O37" s="8" t="n">
        <x:f>SUMIFS('03_Cennik_uslug_nowy'!$N:$N,'03_Cennik_uslug_nowy'!$A:$A,$A37,'03_Cennik_uslug_nowy'!$B:$B,"S")</x:f>
        <x:v>878</x:v>
      </x:c>
      <x:c r="P37" s="8" t="n">
        <x:f>SUMIFS('03_Cennik_uslug_nowy'!$N:$N,'03_Cennik_uslug_nowy'!$A:$A,$A37,'03_Cennik_uslug_nowy'!$B:$B,"U")</x:f>
        <x:v>789</x:v>
      </x:c>
      <x:c r="Q37" s="8" t="n">
        <x:f>SUMIFS('03_Cennik_uslug_nowy'!$N:$N,'03_Cennik_uslug_nowy'!$A:$A,$A37,'03_Cennik_uslug_nowy'!$B:$B,"ZAB")</x:f>
        <x:v>713</x:v>
      </x:c>
      <x:c r="R37" s="8" t="n">
        <x:f>SUMIFS('03_Cennik_uslug_nowy'!$N:$N,'03_Cennik_uslug_nowy'!$A:$A,$A37,'03_Cennik_uslug_nowy'!$B:$B,"LEDCCT")</x:f>
        <x:v>4201</x:v>
      </x:c>
      <x:c r="S37" s="8" t="n"/>
    </x:row>
    <x:row r="38">
      <x:c r="A38" s="6" t="inlineStr">
        <x:is>
          <x:t xml:space="preserve">450 x 906 cm</x:t>
        </x:is>
      </x:c>
      <x:c r="B38" s="8" t="n">
        <x:f>SUMIFS('03_Cennik_uslug_nowy'!$N:$N,'03_Cennik_uslug_nowy'!$A:$A,$A38,'03_Cennik_uslug_nowy'!$B:$B,"ZP")</x:f>
        <x:v>31166</x:v>
      </x:c>
      <x:c r="C38" s="8" t="n">
        <x:f>ROUND(((SUMIFS('03_Cennik_uslug_nowy'!$J:$J,'03_Cennik_uslug_nowy'!$A:$A,$A38,'03_Cennik_uslug_nowy'!$B:$B,"OP")+SUMIFS('03_Cennik_uslug_nowy'!$K:$K,'03_Cennik_uslug_nowy'!$A:$A,$A38,'03_Cennik_uslug_nowy'!$B:$B,"OP"))-(SUMIFS('03_Cennik_uslug_nowy'!$J:$J,'03_Cennik_uslug_nowy'!$A:$A,$A38,'03_Cennik_uslug_nowy'!$B:$B,"ZP")+SUMIFS('03_Cennik_uslug_nowy'!$K:$K,'03_Cennik_uslug_nowy'!$A:$A,$A38,'03_Cennik_uslug_nowy'!$B:$B,"ZP")))*(IF('01_Ustawienia'!$B$4="ZWOLNIONY",1,1+'01_Ustawienia'!$B$7)),0)</x:f>
        <x:v>27261</x:v>
      </x:c>
      <x:c r="D38" s="8" t="n">
        <x:f>C38+SUMIFS('03_Cennik_uslug_nowy'!$N:$N,'03_Cennik_uslug_nowy'!$A:$A,$A38,'03_Cennik_uslug_nowy'!$B:$B,"SBB")</x:f>
        <x:v>30164</x:v>
      </x:c>
      <x:c r="E38" s="8" t="n">
        <x:f>SUMIFS('03_Cennik_uslug_nowy'!$N:$N,'03_Cennik_uslug_nowy'!$A:$A,$A38,'03_Cennik_uslug_nowy'!$B:$B,"PDPB")</x:f>
        <x:v>1095</x:v>
      </x:c>
      <x:c r="F38" s="8" t="n">
        <x:f>SUMIFS('03_Cennik_uslug_nowy'!$N:$N,'03_Cennik_uslug_nowy'!$A:$A,$A38,'03_Cennik_uslug_nowy'!$B:$B,"PDS")</x:f>
        <x:v>14895</x:v>
      </x:c>
      <x:c r="G38" s="8" t="n">
        <x:f>F38+SUMIFS('03_Cennik_uslug_nowy'!$N:$N,'03_Cennik_uslug_nowy'!$A:$A,$A38,'03_Cennik_uslug_nowy'!$B:$B,"PDSB")</x:f>
        <x:v>16347</x:v>
      </x:c>
      <x:c r="H38" s="8" t="n">
        <x:f>SUMIFS('03_Cennik_uslug_nowy'!$N:$N,'03_Cennik_uslug_nowy'!$A:$A,$A38,'03_Cennik_uslug_nowy'!$B:$B,"RB")</x:f>
        <x:v>4023</x:v>
      </x:c>
      <x:c r="I38" s="8" t="n">
        <x:f>SUMIFS('03_Cennik_uslug_nowy'!$N:$N,'03_Cennik_uslug_nowy'!$A:$A,$A38,'03_Cennik_uslug_nowy'!$B:$B,"RB")</x:f>
        <x:v>4023</x:v>
      </x:c>
      <x:c r="J38" s="8" t="n">
        <x:f>SUMIFS('03_Cennik_uslug_nowy'!$N:$N,'03_Cennik_uslug_nowy'!$A:$A,$A38,'03_Cennik_uslug_nowy'!$B:$B,"RP")</x:f>
        <x:v>8148</x:v>
      </x:c>
      <x:c r="K38" s="8" t="n">
        <x:f>SUMIFS('03_Cennik_uslug_nowy'!$N:$N,'03_Cennik_uslug_nowy'!$A:$A,$A38,'03_Cennik_uslug_nowy'!$B:$B,"M")</x:f>
        <x:v>12846</x:v>
      </x:c>
      <x:c r="L38" s="8" t="n">
        <x:f>SUMIFS('03_Cennik_uslug_nowy'!$N:$N,'03_Cennik_uslug_nowy'!$A:$A,$A38,'03_Cennik_uslug_nowy'!$B:$B,"PDWP")</x:f>
        <x:v>3381</x:v>
      </x:c>
      <x:c r="M38" s="8" t="n">
        <x:f>IF(VALUE(LEFT($A38,3))&gt;=450,SUMIFS('03_Cennik_uslug_nowy'!$N:$N,'03_Cennik_uslug_nowy'!$A:$A,$A38,'03_Cennik_uslug_nowy'!$B:$B,"LED3"),SUMIFS('03_Cennik_uslug_nowy'!$N:$N,'03_Cennik_uslug_nowy'!$A:$A,$A38,'03_Cennik_uslug_nowy'!$B:$B,"LED2"))</x:f>
        <x:v>1986</x:v>
      </x:c>
      <x:c r="N38" s="550" t="n">
        <x:f>SUMIFS('03_Cennik_uslug_nowy'!$N:$N,'03_Cennik_uslug_nowy'!$A:$A,$A38,'03_Cennik_uslug_nowy'!$B:$B,"LED3")</x:f>
        <x:v>1986</x:v>
      </x:c>
      <x:c r="O38" s="8" t="n">
        <x:f>SUMIFS('03_Cennik_uslug_nowy'!$N:$N,'03_Cennik_uslug_nowy'!$A:$A,$A38,'03_Cennik_uslug_nowy'!$B:$B,"S")</x:f>
        <x:v>916</x:v>
      </x:c>
      <x:c r="P38" s="8" t="n">
        <x:f>SUMIFS('03_Cennik_uslug_nowy'!$N:$N,'03_Cennik_uslug_nowy'!$A:$A,$A38,'03_Cennik_uslug_nowy'!$B:$B,"U")</x:f>
        <x:v>827</x:v>
      </x:c>
      <x:c r="Q38" s="8" t="n">
        <x:f>SUMIFS('03_Cennik_uslug_nowy'!$N:$N,'03_Cennik_uslug_nowy'!$A:$A,$A38,'03_Cennik_uslug_nowy'!$B:$B,"ZAB")</x:f>
        <x:v>713</x:v>
      </x:c>
      <x:c r="R38" s="8" t="n">
        <x:f>SUMIFS('03_Cennik_uslug_nowy'!$N:$N,'03_Cennik_uslug_nowy'!$A:$A,$A38,'03_Cennik_uslug_nowy'!$B:$B,"LEDCCT")</x:f>
        <x:v>4504</x:v>
      </x:c>
      <x:c r="S38" s="8" t="n"/>
    </x:row>
    <x:row r="39">
      <x:c r="A39" s="6" t="inlineStr">
        <x:is>
          <x:t xml:space="preserve">450 x 1006 cm</x:t>
        </x:is>
      </x:c>
      <x:c r="B39" s="8" t="n">
        <x:f>SUMIFS('03_Cennik_uslug_nowy'!$N:$N,'03_Cennik_uslug_nowy'!$A:$A,$A39,'03_Cennik_uslug_nowy'!$B:$B,"ZP")</x:f>
        <x:v>33849</x:v>
      </x:c>
      <x:c r="C39" s="8" t="n">
        <x:f>ROUND(((SUMIFS('03_Cennik_uslug_nowy'!$J:$J,'03_Cennik_uslug_nowy'!$A:$A,$A39,'03_Cennik_uslug_nowy'!$B:$B,"OP")+SUMIFS('03_Cennik_uslug_nowy'!$K:$K,'03_Cennik_uslug_nowy'!$A:$A,$A39,'03_Cennik_uslug_nowy'!$B:$B,"OP"))-(SUMIFS('03_Cennik_uslug_nowy'!$J:$J,'03_Cennik_uslug_nowy'!$A:$A,$A39,'03_Cennik_uslug_nowy'!$B:$B,"ZP")+SUMIFS('03_Cennik_uslug_nowy'!$K:$K,'03_Cennik_uslug_nowy'!$A:$A,$A39,'03_Cennik_uslug_nowy'!$B:$B,"ZP")))*(IF('01_Ustawienia'!$B$4="ZWOLNIONY",1,1+'01_Ustawienia'!$B$7)),0)</x:f>
        <x:v>28786</x:v>
      </x:c>
      <x:c r="D39" s="8" t="n">
        <x:f>C39+SUMIFS('03_Cennik_uslug_nowy'!$N:$N,'03_Cennik_uslug_nowy'!$A:$A,$A39,'03_Cennik_uslug_nowy'!$B:$B,"SBB")</x:f>
        <x:v>31841</x:v>
      </x:c>
      <x:c r="E39" s="8" t="n">
        <x:f>SUMIFS('03_Cennik_uslug_nowy'!$N:$N,'03_Cennik_uslug_nowy'!$A:$A,$A39,'03_Cennik_uslug_nowy'!$B:$B,"PDPB")</x:f>
        <x:v>1221</x:v>
      </x:c>
      <x:c r="F39" s="8" t="n">
        <x:f>SUMIFS('03_Cennik_uslug_nowy'!$N:$N,'03_Cennik_uslug_nowy'!$A:$A,$A39,'03_Cennik_uslug_nowy'!$B:$B,"PDS")</x:f>
        <x:v>16665</x:v>
      </x:c>
      <x:c r="G39" s="8" t="n">
        <x:f>F39+SUMIFS('03_Cennik_uslug_nowy'!$N:$N,'03_Cennik_uslug_nowy'!$A:$A,$A39,'03_Cennik_uslug_nowy'!$B:$B,"PDSB")</x:f>
        <x:v>18269</x:v>
      </x:c>
      <x:c r="H39" s="8" t="n">
        <x:f>SUMIFS('03_Cennik_uslug_nowy'!$N:$N,'03_Cennik_uslug_nowy'!$A:$A,$A39,'03_Cennik_uslug_nowy'!$B:$B,"RB")</x:f>
        <x:v>4023</x:v>
      </x:c>
      <x:c r="I39" s="8" t="n">
        <x:f>SUMIFS('03_Cennik_uslug_nowy'!$N:$N,'03_Cennik_uslug_nowy'!$A:$A,$A39,'03_Cennik_uslug_nowy'!$B:$B,"RB")</x:f>
        <x:v>4023</x:v>
      </x:c>
      <x:c r="J39" s="8" t="n">
        <x:f>SUMIFS('03_Cennik_uslug_nowy'!$N:$N,'03_Cennik_uslug_nowy'!$A:$A,$A39,'03_Cennik_uslug_nowy'!$B:$B,"RP")</x:f>
        <x:v>8798</x:v>
      </x:c>
      <x:c r="K39" s="8" t="n">
        <x:f>SUMIFS('03_Cennik_uslug_nowy'!$N:$N,'03_Cennik_uslug_nowy'!$A:$A,$A39,'03_Cennik_uslug_nowy'!$B:$B,"M")</x:f>
        <x:v>13788</x:v>
      </x:c>
      <x:c r="L39" s="8" t="n">
        <x:f>SUMIFS('03_Cennik_uslug_nowy'!$N:$N,'03_Cennik_uslug_nowy'!$A:$A,$A39,'03_Cennik_uslug_nowy'!$B:$B,"PDWP")</x:f>
        <x:v>3631</x:v>
      </x:c>
      <x:c r="M39" s="8" t="n">
        <x:f>IF(VALUE(LEFT($A39,3))&gt;=450,SUMIFS('03_Cennik_uslug_nowy'!$N:$N,'03_Cennik_uslug_nowy'!$A:$A,$A39,'03_Cennik_uslug_nowy'!$B:$B,"LED3"),SUMIFS('03_Cennik_uslug_nowy'!$N:$N,'03_Cennik_uslug_nowy'!$A:$A,$A39,'03_Cennik_uslug_nowy'!$B:$B,"LED2"))</x:f>
        <x:v>2100</x:v>
      </x:c>
      <x:c r="N39" s="550" t="n">
        <x:f>SUMIFS('03_Cennik_uslug_nowy'!$N:$N,'03_Cennik_uslug_nowy'!$A:$A,$A39,'03_Cennik_uslug_nowy'!$B:$B,"LED3")</x:f>
        <x:v>2100</x:v>
      </x:c>
      <x:c r="O39" s="8" t="n">
        <x:f>SUMIFS('03_Cennik_uslug_nowy'!$N:$N,'03_Cennik_uslug_nowy'!$A:$A,$A39,'03_Cennik_uslug_nowy'!$B:$B,"S")</x:f>
        <x:v>968</x:v>
      </x:c>
      <x:c r="P39" s="8" t="n">
        <x:f>SUMIFS('03_Cennik_uslug_nowy'!$N:$N,'03_Cennik_uslug_nowy'!$A:$A,$A39,'03_Cennik_uslug_nowy'!$B:$B,"U")</x:f>
        <x:v>878</x:v>
      </x:c>
      <x:c r="Q39" s="8" t="n">
        <x:f>SUMIFS('03_Cennik_uslug_nowy'!$N:$N,'03_Cennik_uslug_nowy'!$A:$A,$A39,'03_Cennik_uslug_nowy'!$B:$B,"ZAB")</x:f>
        <x:v>765</x:v>
      </x:c>
      <x:c r="R39" s="8" t="n">
        <x:f>SUMIFS('03_Cennik_uslug_nowy'!$N:$N,'03_Cennik_uslug_nowy'!$A:$A,$A39,'03_Cennik_uslug_nowy'!$B:$B,"LEDCCT")</x:f>
        <x:v>4701</x:v>
      </x:c>
      <x:c r="S39" s="8" t="n"/>
    </x:row>
    <x:row r="40">
      <x:c r="A40" s="6" t="inlineStr">
        <x:is>
          <x:t xml:space="preserve">450 x 1106 cm</x:t>
        </x:is>
      </x:c>
      <x:c r="B40" s="8" t="n">
        <x:f>SUMIFS('03_Cennik_uslug_nowy'!$N:$N,'03_Cennik_uslug_nowy'!$A:$A,$A40,'03_Cennik_uslug_nowy'!$B:$B,"ZP")</x:f>
        <x:v>37628</x:v>
      </x:c>
      <x:c r="C40" s="8" t="n">
        <x:f>ROUND(((SUMIFS('03_Cennik_uslug_nowy'!$J:$J,'03_Cennik_uslug_nowy'!$A:$A,$A40,'03_Cennik_uslug_nowy'!$B:$B,"OP")+SUMIFS('03_Cennik_uslug_nowy'!$K:$K,'03_Cennik_uslug_nowy'!$A:$A,$A40,'03_Cennik_uslug_nowy'!$B:$B,"OP"))-(SUMIFS('03_Cennik_uslug_nowy'!$J:$J,'03_Cennik_uslug_nowy'!$A:$A,$A40,'03_Cennik_uslug_nowy'!$B:$B,"ZP")+SUMIFS('03_Cennik_uslug_nowy'!$K:$K,'03_Cennik_uslug_nowy'!$A:$A,$A40,'03_Cennik_uslug_nowy'!$B:$B,"ZP")))*(IF('01_Ustawienia'!$B$4="ZWOLNIONY",1,1+'01_Ustawienia'!$B$7)),0)</x:f>
        <x:v>30348</x:v>
      </x:c>
      <x:c r="D40" s="8" t="n">
        <x:f>C40+SUMIFS('03_Cennik_uslug_nowy'!$N:$N,'03_Cennik_uslug_nowy'!$A:$A,$A40,'03_Cennik_uslug_nowy'!$B:$B,"SBB")</x:f>
        <x:v>33557</x:v>
      </x:c>
      <x:c r="E40" s="8" t="n">
        <x:f>SUMIFS('03_Cennik_uslug_nowy'!$N:$N,'03_Cennik_uslug_nowy'!$A:$A,$A40,'03_Cennik_uslug_nowy'!$B:$B,"PDPB")</x:f>
        <x:v>1350</x:v>
      </x:c>
      <x:c r="F40" s="8" t="n">
        <x:f>SUMIFS('03_Cennik_uslug_nowy'!$N:$N,'03_Cennik_uslug_nowy'!$A:$A,$A40,'03_Cennik_uslug_nowy'!$B:$B,"PDS")</x:f>
        <x:v>18449</x:v>
      </x:c>
      <x:c r="G40" s="8" t="n">
        <x:f>F40+SUMIFS('03_Cennik_uslug_nowy'!$N:$N,'03_Cennik_uslug_nowy'!$A:$A,$A40,'03_Cennik_uslug_nowy'!$B:$B,"PDSB")</x:f>
        <x:v>20206</x:v>
      </x:c>
      <x:c r="H40" s="8" t="n">
        <x:f>SUMIFS('03_Cennik_uslug_nowy'!$N:$N,'03_Cennik_uslug_nowy'!$A:$A,$A40,'03_Cennik_uslug_nowy'!$B:$B,"RB")</x:f>
        <x:v>4023</x:v>
      </x:c>
      <x:c r="I40" s="8" t="n">
        <x:f>SUMIFS('03_Cennik_uslug_nowy'!$N:$N,'03_Cennik_uslug_nowy'!$A:$A,$A40,'03_Cennik_uslug_nowy'!$B:$B,"RB")</x:f>
        <x:v>4023</x:v>
      </x:c>
      <x:c r="J40" s="8" t="n">
        <x:f>SUMIFS('03_Cennik_uslug_nowy'!$N:$N,'03_Cennik_uslug_nowy'!$A:$A,$A40,'03_Cennik_uslug_nowy'!$B:$B,"RP")</x:f>
        <x:v>9448</x:v>
      </x:c>
      <x:c r="K40" s="8" t="n">
        <x:f>SUMIFS('03_Cennik_uslug_nowy'!$N:$N,'03_Cennik_uslug_nowy'!$A:$A,$A40,'03_Cennik_uslug_nowy'!$B:$B,"M")</x:f>
        <x:v>17087</x:v>
      </x:c>
      <x:c r="L40" s="8" t="n">
        <x:f>SUMIFS('03_Cennik_uslug_nowy'!$N:$N,'03_Cennik_uslug_nowy'!$A:$A,$A40,'03_Cennik_uslug_nowy'!$B:$B,"PDWP")</x:f>
        <x:v>4191</x:v>
      </x:c>
      <x:c r="M40" s="8" t="n">
        <x:f>IF(VALUE(LEFT($A40,3))&gt;=450,SUMIFS('03_Cennik_uslug_nowy'!$N:$N,'03_Cennik_uslug_nowy'!$A:$A,$A40,'03_Cennik_uslug_nowy'!$B:$B,"LED3"),SUMIFS('03_Cennik_uslug_nowy'!$N:$N,'03_Cennik_uslug_nowy'!$A:$A,$A40,'03_Cennik_uslug_nowy'!$B:$B,"LED2"))</x:f>
        <x:v>2254</x:v>
      </x:c>
      <x:c r="N40" s="550" t="n">
        <x:f>SUMIFS('03_Cennik_uslug_nowy'!$N:$N,'03_Cennik_uslug_nowy'!$A:$A,$A40,'03_Cennik_uslug_nowy'!$B:$B,"LED3")</x:f>
        <x:v>2254</x:v>
      </x:c>
      <x:c r="O40" s="8" t="n">
        <x:f>SUMIFS('03_Cennik_uslug_nowy'!$N:$N,'03_Cennik_uslug_nowy'!$A:$A,$A40,'03_Cennik_uslug_nowy'!$B:$B,"S")</x:f>
        <x:v>1018</x:v>
      </x:c>
      <x:c r="P40" s="8" t="n">
        <x:f>SUMIFS('03_Cennik_uslug_nowy'!$N:$N,'03_Cennik_uslug_nowy'!$A:$A,$A40,'03_Cennik_uslug_nowy'!$B:$B,"U")</x:f>
        <x:v>916</x:v>
      </x:c>
      <x:c r="Q40" s="8" t="n">
        <x:f>SUMIFS('03_Cennik_uslug_nowy'!$N:$N,'03_Cennik_uslug_nowy'!$A:$A,$A40,'03_Cennik_uslug_nowy'!$B:$B,"ZAB")</x:f>
        <x:v>814</x:v>
      </x:c>
      <x:c r="R40" s="8" t="n">
        <x:f>SUMIFS('03_Cennik_uslug_nowy'!$N:$N,'03_Cennik_uslug_nowy'!$A:$A,$A40,'03_Cennik_uslug_nowy'!$B:$B,"LEDCCT")</x:f>
        <x:v>5028</x:v>
      </x:c>
      <x:c r="S40" s="8" t="n"/>
    </x:row>
    <x:row r="41">
      <x:c r="A41" s="6" t="inlineStr">
        <x:is>
          <x:t xml:space="preserve">450 x 1206 cm</x:t>
        </x:is>
      </x:c>
      <x:c r="B41" s="8" t="n">
        <x:f>SUMIFS('03_Cennik_uslug_nowy'!$N:$N,'03_Cennik_uslug_nowy'!$A:$A,$A41,'03_Cennik_uslug_nowy'!$B:$B,"ZP")</x:f>
        <x:v>40302</x:v>
      </x:c>
      <x:c r="C41" s="8" t="n">
        <x:f>ROUND(((SUMIFS('03_Cennik_uslug_nowy'!$J:$J,'03_Cennik_uslug_nowy'!$A:$A,$A41,'03_Cennik_uslug_nowy'!$B:$B,"OP")+SUMIFS('03_Cennik_uslug_nowy'!$K:$K,'03_Cennik_uslug_nowy'!$A:$A,$A41,'03_Cennik_uslug_nowy'!$B:$B,"OP"))-(SUMIFS('03_Cennik_uslug_nowy'!$J:$J,'03_Cennik_uslug_nowy'!$A:$A,$A41,'03_Cennik_uslug_nowy'!$B:$B,"ZP")+SUMIFS('03_Cennik_uslug_nowy'!$K:$K,'03_Cennik_uslug_nowy'!$A:$A,$A41,'03_Cennik_uslug_nowy'!$B:$B,"ZP")))*(IF('01_Ustawienia'!$B$4="ZWOLNIONY",1,1+'01_Ustawienia'!$B$7)),0)</x:f>
        <x:v>31957</x:v>
      </x:c>
      <x:c r="D41" s="8" t="n">
        <x:f>C41+SUMIFS('03_Cennik_uslug_nowy'!$N:$N,'03_Cennik_uslug_nowy'!$A:$A,$A41,'03_Cennik_uslug_nowy'!$B:$B,"SBB")</x:f>
        <x:v>35318</x:v>
      </x:c>
      <x:c r="E41" s="8" t="n">
        <x:f>SUMIFS('03_Cennik_uslug_nowy'!$N:$N,'03_Cennik_uslug_nowy'!$A:$A,$A41,'03_Cennik_uslug_nowy'!$B:$B,"PDPB")</x:f>
        <x:v>1464</x:v>
      </x:c>
      <x:c r="F41" s="8" t="n">
        <x:f>SUMIFS('03_Cennik_uslug_nowy'!$N:$N,'03_Cennik_uslug_nowy'!$A:$A,$A41,'03_Cennik_uslug_nowy'!$B:$B,"PDS")</x:f>
        <x:v>20205</x:v>
      </x:c>
      <x:c r="G41" s="8" t="n">
        <x:f>F41+SUMIFS('03_Cennik_uslug_nowy'!$N:$N,'03_Cennik_uslug_nowy'!$A:$A,$A41,'03_Cennik_uslug_nowy'!$B:$B,"PDSB")</x:f>
        <x:v>22128</x:v>
      </x:c>
      <x:c r="H41" s="8" t="n">
        <x:f>SUMIFS('03_Cennik_uslug_nowy'!$N:$N,'03_Cennik_uslug_nowy'!$A:$A,$A41,'03_Cennik_uslug_nowy'!$B:$B,"RB")</x:f>
        <x:v>4023</x:v>
      </x:c>
      <x:c r="I41" s="8" t="n">
        <x:f>SUMIFS('03_Cennik_uslug_nowy'!$N:$N,'03_Cennik_uslug_nowy'!$A:$A,$A41,'03_Cennik_uslug_nowy'!$B:$B,"RB")</x:f>
        <x:v>4023</x:v>
      </x:c>
      <x:c r="J41" s="8" t="n">
        <x:f>SUMIFS('03_Cennik_uslug_nowy'!$N:$N,'03_Cennik_uslug_nowy'!$A:$A,$A41,'03_Cennik_uslug_nowy'!$B:$B,"RP")</x:f>
        <x:v>10084</x:v>
      </x:c>
      <x:c r="K41" s="8" t="n">
        <x:f>SUMIFS('03_Cennik_uslug_nowy'!$N:$N,'03_Cennik_uslug_nowy'!$A:$A,$A41,'03_Cennik_uslug_nowy'!$B:$B,"M")</x:f>
        <x:v>17837</x:v>
      </x:c>
      <x:c r="L41" s="8" t="n">
        <x:f>SUMIFS('03_Cennik_uslug_nowy'!$N:$N,'03_Cennik_uslug_nowy'!$A:$A,$A41,'03_Cennik_uslug_nowy'!$B:$B,"PDWP")</x:f>
        <x:v>4752</x:v>
      </x:c>
      <x:c r="M41" s="8" t="n">
        <x:f>IF(VALUE(LEFT($A41,3))&gt;=450,SUMIFS('03_Cennik_uslug_nowy'!$N:$N,'03_Cennik_uslug_nowy'!$A:$A,$A41,'03_Cennik_uslug_nowy'!$B:$B,"LED3"),SUMIFS('03_Cennik_uslug_nowy'!$N:$N,'03_Cennik_uslug_nowy'!$A:$A,$A41,'03_Cennik_uslug_nowy'!$B:$B,"LED2"))</x:f>
        <x:v>2419</x:v>
      </x:c>
      <x:c r="N41" s="550" t="n">
        <x:f>SUMIFS('03_Cennik_uslug_nowy'!$N:$N,'03_Cennik_uslug_nowy'!$A:$A,$A41,'03_Cennik_uslug_nowy'!$B:$B,"LED3")</x:f>
        <x:v>2419</x:v>
      </x:c>
      <x:c r="O41" s="8" t="n">
        <x:f>SUMIFS('03_Cennik_uslug_nowy'!$N:$N,'03_Cennik_uslug_nowy'!$A:$A,$A41,'03_Cennik_uslug_nowy'!$B:$B,"S")</x:f>
        <x:v>1069</x:v>
      </x:c>
      <x:c r="P41" s="8" t="n">
        <x:f>SUMIFS('03_Cennik_uslug_nowy'!$N:$N,'03_Cennik_uslug_nowy'!$A:$A,$A41,'03_Cennik_uslug_nowy'!$B:$B,"U")</x:f>
        <x:v>968</x:v>
      </x:c>
      <x:c r="Q41" s="8" t="n">
        <x:f>SUMIFS('03_Cennik_uslug_nowy'!$N:$N,'03_Cennik_uslug_nowy'!$A:$A,$A41,'03_Cennik_uslug_nowy'!$B:$B,"ZAB")</x:f>
        <x:v>866</x:v>
      </x:c>
      <x:c r="R41" s="8" t="n">
        <x:f>SUMIFS('03_Cennik_uslug_nowy'!$N:$N,'03_Cennik_uslug_nowy'!$A:$A,$A41,'03_Cennik_uslug_nowy'!$B:$B,"LEDCCT")</x:f>
        <x:v>5342</x:v>
      </x:c>
      <x:c r="S41" s="8" t="n"/>
    </x:row>
    <x:row r="42">
      <x:c r="A42" s="6" t="inlineStr">
        <x:is>
          <x:t xml:space="preserve">500 x 306 cm</x:t>
        </x:is>
      </x:c>
      <x:c r="B42" s="8" t="n">
        <x:f>SUMIFS('03_Cennik_uslug_nowy'!$N:$N,'03_Cennik_uslug_nowy'!$A:$A,$A42,'03_Cennik_uslug_nowy'!$B:$B,"ZP")</x:f>
        <x:v>13364</x:v>
      </x:c>
      <x:c r="C42" s="8" t="n">
        <x:f>ROUND(((SUMIFS('03_Cennik_uslug_nowy'!$J:$J,'03_Cennik_uslug_nowy'!$A:$A,$A42,'03_Cennik_uslug_nowy'!$B:$B,"OP")+SUMIFS('03_Cennik_uslug_nowy'!$K:$K,'03_Cennik_uslug_nowy'!$A:$A,$A42,'03_Cennik_uslug_nowy'!$B:$B,"OP"))-(SUMIFS('03_Cennik_uslug_nowy'!$J:$J,'03_Cennik_uslug_nowy'!$A:$A,$A42,'03_Cennik_uslug_nowy'!$B:$B,"ZP")+SUMIFS('03_Cennik_uslug_nowy'!$K:$K,'03_Cennik_uslug_nowy'!$A:$A,$A42,'03_Cennik_uslug_nowy'!$B:$B,"ZP")))*(IF('01_Ustawienia'!$B$4="ZWOLNIONY",1,1+'01_Ustawienia'!$B$7)),0)</x:f>
        <x:v>20382</x:v>
      </x:c>
      <x:c r="D42" s="8" t="n">
        <x:f>C42+SUMIFS('03_Cennik_uslug_nowy'!$N:$N,'03_Cennik_uslug_nowy'!$A:$A,$A42,'03_Cennik_uslug_nowy'!$B:$B,"SBB")</x:f>
        <x:v>22368</x:v>
      </x:c>
      <x:c r="E42" s="8" t="n">
        <x:f>SUMIFS('03_Cennik_uslug_nowy'!$N:$N,'03_Cennik_uslug_nowy'!$A:$A,$A42,'03_Cennik_uslug_nowy'!$B:$B,"PDPB")</x:f>
        <x:v>394</x:v>
      </x:c>
      <x:c r="F42" s="8" t="n">
        <x:f>SUMIFS('03_Cennik_uslug_nowy'!$N:$N,'03_Cennik_uslug_nowy'!$A:$A,$A42,'03_Cennik_uslug_nowy'!$B:$B,"PDS")</x:f>
        <x:v>4775</x:v>
      </x:c>
      <x:c r="G42" s="8" t="n">
        <x:f>F42+SUMIFS('03_Cennik_uslug_nowy'!$N:$N,'03_Cennik_uslug_nowy'!$A:$A,$A42,'03_Cennik_uslug_nowy'!$B:$B,"PDSB")</x:f>
        <x:v>5309</x:v>
      </x:c>
      <x:c r="H42" s="8" t="n">
        <x:f>SUMIFS('03_Cennik_uslug_nowy'!$N:$N,'03_Cennik_uslug_nowy'!$A:$A,$A42,'03_Cennik_uslug_nowy'!$B:$B,"RB")</x:f>
        <x:v>4711</x:v>
      </x:c>
      <x:c r="I42" s="8" t="n">
        <x:f>SUMIFS('03_Cennik_uslug_nowy'!$N:$N,'03_Cennik_uslug_nowy'!$A:$A,$A42,'03_Cennik_uslug_nowy'!$B:$B,"RB")</x:f>
        <x:v>4711</x:v>
      </x:c>
      <x:c r="J42" s="8" t="n">
        <x:f>SUMIFS('03_Cennik_uslug_nowy'!$N:$N,'03_Cennik_uslug_nowy'!$A:$A,$A42,'03_Cennik_uslug_nowy'!$B:$B,"RP")</x:f>
        <x:v>2725</x:v>
      </x:c>
      <x:c r="K42" s="8" t="n">
        <x:f>SUMIFS('03_Cennik_uslug_nowy'!$N:$N,'03_Cennik_uslug_nowy'!$A:$A,$A42,'03_Cennik_uslug_nowy'!$B:$B,"M")</x:f>
        <x:v>5195</x:v>
      </x:c>
      <x:c r="L42" s="8" t="n">
        <x:f>SUMIFS('03_Cennik_uslug_nowy'!$N:$N,'03_Cennik_uslug_nowy'!$A:$A,$A42,'03_Cennik_uslug_nowy'!$B:$B,"PDWP")</x:f>
        <x:v>2241</x:v>
      </x:c>
      <x:c r="M42" s="8" t="n">
        <x:f>IF(VALUE(LEFT($A42,3))&gt;=450,SUMIFS('03_Cennik_uslug_nowy'!$N:$N,'03_Cennik_uslug_nowy'!$A:$A,$A42,'03_Cennik_uslug_nowy'!$B:$B,"LED3"),SUMIFS('03_Cennik_uslug_nowy'!$N:$N,'03_Cennik_uslug_nowy'!$A:$A,$A42,'03_Cennik_uslug_nowy'!$B:$B,"LED2"))</x:f>
        <x:v>814</x:v>
      </x:c>
      <x:c r="N42" s="550" t="n">
        <x:f>SUMIFS('03_Cennik_uslug_nowy'!$N:$N,'03_Cennik_uslug_nowy'!$A:$A,$A42,'03_Cennik_uslug_nowy'!$B:$B,"LED3")</x:f>
        <x:v>814</x:v>
      </x:c>
      <x:c r="O42" s="8" t="n">
        <x:f>SUMIFS('03_Cennik_uslug_nowy'!$N:$N,'03_Cennik_uslug_nowy'!$A:$A,$A42,'03_Cennik_uslug_nowy'!$B:$B,"S")</x:f>
        <x:v>637</x:v>
      </x:c>
      <x:c r="P42" s="8" t="n">
        <x:f>SUMIFS('03_Cennik_uslug_nowy'!$N:$N,'03_Cennik_uslug_nowy'!$A:$A,$A42,'03_Cennik_uslug_nowy'!$B:$B,"U")</x:f>
        <x:v>573</x:v>
      </x:c>
      <x:c r="Q42" s="8" t="n">
        <x:f>SUMIFS('03_Cennik_uslug_nowy'!$N:$N,'03_Cennik_uslug_nowy'!$A:$A,$A42,'03_Cennik_uslug_nowy'!$B:$B,"ZAB")</x:f>
        <x:v>509</x:v>
      </x:c>
      <x:c r="R42" s="8" t="n">
        <x:f>SUMIFS('03_Cennik_uslug_nowy'!$N:$N,'03_Cennik_uslug_nowy'!$A:$A,$A42,'03_Cennik_uslug_nowy'!$B:$B,"LEDCCT")</x:f>
        <x:v>2594</x:v>
      </x:c>
      <x:c r="S42" s="8" t="n"/>
    </x:row>
    <x:row r="43">
      <x:c r="A43" s="6" t="inlineStr">
        <x:is>
          <x:t xml:space="preserve">500 x 406 cm</x:t>
        </x:is>
      </x:c>
      <x:c r="B43" s="8" t="n">
        <x:f>SUMIFS('03_Cennik_uslug_nowy'!$N:$N,'03_Cennik_uslug_nowy'!$A:$A,$A43,'03_Cennik_uslug_nowy'!$B:$B,"ZP")</x:f>
        <x:v>16225</x:v>
      </x:c>
      <x:c r="C43" s="8" t="n">
        <x:f>ROUND(((SUMIFS('03_Cennik_uslug_nowy'!$J:$J,'03_Cennik_uslug_nowy'!$A:$A,$A43,'03_Cennik_uslug_nowy'!$B:$B,"OP")+SUMIFS('03_Cennik_uslug_nowy'!$K:$K,'03_Cennik_uslug_nowy'!$A:$A,$A43,'03_Cennik_uslug_nowy'!$B:$B,"OP"))-(SUMIFS('03_Cennik_uslug_nowy'!$J:$J,'03_Cennik_uslug_nowy'!$A:$A,$A43,'03_Cennik_uslug_nowy'!$B:$B,"ZP")+SUMIFS('03_Cennik_uslug_nowy'!$K:$K,'03_Cennik_uslug_nowy'!$A:$A,$A43,'03_Cennik_uslug_nowy'!$B:$B,"ZP")))*(IF('01_Ustawienia'!$B$4="ZWOLNIONY",1,1+'01_Ustawienia'!$B$7)),0)</x:f>
        <x:v>21575</x:v>
      </x:c>
      <x:c r="D43" s="8" t="n">
        <x:f>C43+SUMIFS('03_Cennik_uslug_nowy'!$N:$N,'03_Cennik_uslug_nowy'!$A:$A,$A43,'03_Cennik_uslug_nowy'!$B:$B,"SBB")</x:f>
        <x:v>23714</x:v>
      </x:c>
      <x:c r="E43" s="8" t="n">
        <x:f>SUMIFS('03_Cennik_uslug_nowy'!$N:$N,'03_Cennik_uslug_nowy'!$A:$A,$A43,'03_Cennik_uslug_nowy'!$B:$B,"PDPB")</x:f>
        <x:v>534</x:v>
      </x:c>
      <x:c r="F43" s="8" t="n">
        <x:f>SUMIFS('03_Cennik_uslug_nowy'!$N:$N,'03_Cennik_uslug_nowy'!$A:$A,$A43,'03_Cennik_uslug_nowy'!$B:$B,"PDS")</x:f>
        <x:v>6735</x:v>
      </x:c>
      <x:c r="G43" s="8" t="n">
        <x:f>F43+SUMIFS('03_Cennik_uslug_nowy'!$N:$N,'03_Cennik_uslug_nowy'!$A:$A,$A43,'03_Cennik_uslug_nowy'!$B:$B,"PDSB")</x:f>
        <x:v>7448</x:v>
      </x:c>
      <x:c r="H43" s="8" t="n">
        <x:f>SUMIFS('03_Cennik_uslug_nowy'!$N:$N,'03_Cennik_uslug_nowy'!$A:$A,$A43,'03_Cennik_uslug_nowy'!$B:$B,"RB")</x:f>
        <x:v>4711</x:v>
      </x:c>
      <x:c r="I43" s="8" t="n">
        <x:f>SUMIFS('03_Cennik_uslug_nowy'!$N:$N,'03_Cennik_uslug_nowy'!$A:$A,$A43,'03_Cennik_uslug_nowy'!$B:$B,"RB")</x:f>
        <x:v>4711</x:v>
      </x:c>
      <x:c r="J43" s="8" t="n">
        <x:f>SUMIFS('03_Cennik_uslug_nowy'!$N:$N,'03_Cennik_uslug_nowy'!$A:$A,$A43,'03_Cennik_uslug_nowy'!$B:$B,"RP")</x:f>
        <x:v>3361</x:v>
      </x:c>
      <x:c r="K43" s="8" t="n">
        <x:f>SUMIFS('03_Cennik_uslug_nowy'!$N:$N,'03_Cennik_uslug_nowy'!$A:$A,$A43,'03_Cennik_uslug_nowy'!$B:$B,"M")</x:f>
        <x:v>5946</x:v>
      </x:c>
      <x:c r="L43" s="8" t="n">
        <x:f>SUMIFS('03_Cennik_uslug_nowy'!$N:$N,'03_Cennik_uslug_nowy'!$A:$A,$A43,'03_Cennik_uslug_nowy'!$B:$B,"PDWP")</x:f>
        <x:v>2473</x:v>
      </x:c>
      <x:c r="M43" s="8" t="n">
        <x:f>IF(VALUE(LEFT($A43,3))&gt;=450,SUMIFS('03_Cennik_uslug_nowy'!$N:$N,'03_Cennik_uslug_nowy'!$A:$A,$A43,'03_Cennik_uslug_nowy'!$B:$B,"LED3"),SUMIFS('03_Cennik_uslug_nowy'!$N:$N,'03_Cennik_uslug_nowy'!$A:$A,$A43,'03_Cennik_uslug_nowy'!$B:$B,"LED2"))</x:f>
        <x:v>943</x:v>
      </x:c>
      <x:c r="N43" s="550" t="n">
        <x:f>SUMIFS('03_Cennik_uslug_nowy'!$N:$N,'03_Cennik_uslug_nowy'!$A:$A,$A43,'03_Cennik_uslug_nowy'!$B:$B,"LED3")</x:f>
        <x:v>943</x:v>
      </x:c>
      <x:c r="O43" s="8" t="n">
        <x:f>SUMIFS('03_Cennik_uslug_nowy'!$N:$N,'03_Cennik_uslug_nowy'!$A:$A,$A43,'03_Cennik_uslug_nowy'!$B:$B,"S")</x:f>
        <x:v>675</x:v>
      </x:c>
      <x:c r="P43" s="8" t="n">
        <x:f>SUMIFS('03_Cennik_uslug_nowy'!$N:$N,'03_Cennik_uslug_nowy'!$A:$A,$A43,'03_Cennik_uslug_nowy'!$B:$B,"U")</x:f>
        <x:v>611</x:v>
      </x:c>
      <x:c r="Q43" s="8" t="n">
        <x:f>SUMIFS('03_Cennik_uslug_nowy'!$N:$N,'03_Cennik_uslug_nowy'!$A:$A,$A43,'03_Cennik_uslug_nowy'!$B:$B,"ZAB")</x:f>
        <x:v>561</x:v>
      </x:c>
      <x:c r="R43" s="8" t="n">
        <x:f>SUMIFS('03_Cennik_uslug_nowy'!$N:$N,'03_Cennik_uslug_nowy'!$A:$A,$A43,'03_Cennik_uslug_nowy'!$B:$B,"LEDCCT")</x:f>
        <x:v>2953</x:v>
      </x:c>
      <x:c r="S43" s="8" t="n"/>
    </x:row>
    <x:row r="44">
      <x:c r="A44" s="6" t="inlineStr">
        <x:is>
          <x:t xml:space="preserve">500 x 506 cm</x:t>
        </x:is>
      </x:c>
      <x:c r="B44" s="8" t="n">
        <x:f>SUMIFS('03_Cennik_uslug_nowy'!$N:$N,'03_Cennik_uslug_nowy'!$A:$A,$A44,'03_Cennik_uslug_nowy'!$B:$B,"ZP")</x:f>
        <x:v>19482</x:v>
      </x:c>
      <x:c r="C44" s="8" t="n">
        <x:f>ROUND(((SUMIFS('03_Cennik_uslug_nowy'!$J:$J,'03_Cennik_uslug_nowy'!$A:$A,$A44,'03_Cennik_uslug_nowy'!$B:$B,"OP")+SUMIFS('03_Cennik_uslug_nowy'!$K:$K,'03_Cennik_uslug_nowy'!$A:$A,$A44,'03_Cennik_uslug_nowy'!$B:$B,"OP"))-(SUMIFS('03_Cennik_uslug_nowy'!$J:$J,'03_Cennik_uslug_nowy'!$A:$A,$A44,'03_Cennik_uslug_nowy'!$B:$B,"ZP")+SUMIFS('03_Cennik_uslug_nowy'!$K:$K,'03_Cennik_uslug_nowy'!$A:$A,$A44,'03_Cennik_uslug_nowy'!$B:$B,"ZP")))*(IF('01_Ustawienia'!$B$4="ZWOLNIONY",1,1+'01_Ustawienia'!$B$7)),0)</x:f>
        <x:v>23074</x:v>
      </x:c>
      <x:c r="D44" s="8" t="n">
        <x:f>C44+SUMIFS('03_Cennik_uslug_nowy'!$N:$N,'03_Cennik_uslug_nowy'!$A:$A,$A44,'03_Cennik_uslug_nowy'!$B:$B,"SBB")</x:f>
        <x:v>25365</x:v>
      </x:c>
      <x:c r="E44" s="8" t="n">
        <x:f>SUMIFS('03_Cennik_uslug_nowy'!$N:$N,'03_Cennik_uslug_nowy'!$A:$A,$A44,'03_Cennik_uslug_nowy'!$B:$B,"PDPB")</x:f>
        <x:v>662</x:v>
      </x:c>
      <x:c r="F44" s="8" t="n">
        <x:f>SUMIFS('03_Cennik_uslug_nowy'!$N:$N,'03_Cennik_uslug_nowy'!$A:$A,$A44,'03_Cennik_uslug_nowy'!$B:$B,"PDS")</x:f>
        <x:v>8696</x:v>
      </x:c>
      <x:c r="G44" s="8" t="n">
        <x:f>F44+SUMIFS('03_Cennik_uslug_nowy'!$N:$N,'03_Cennik_uslug_nowy'!$A:$A,$A44,'03_Cennik_uslug_nowy'!$B:$B,"PDSB")</x:f>
        <x:v>9587</x:v>
      </x:c>
      <x:c r="H44" s="8" t="n">
        <x:f>SUMIFS('03_Cennik_uslug_nowy'!$N:$N,'03_Cennik_uslug_nowy'!$A:$A,$A44,'03_Cennik_uslug_nowy'!$B:$B,"RB")</x:f>
        <x:v>4711</x:v>
      </x:c>
      <x:c r="I44" s="8" t="n">
        <x:f>SUMIFS('03_Cennik_uslug_nowy'!$N:$N,'03_Cennik_uslug_nowy'!$A:$A,$A44,'03_Cennik_uslug_nowy'!$B:$B,"RB")</x:f>
        <x:v>4711</x:v>
      </x:c>
      <x:c r="J44" s="8" t="n">
        <x:f>SUMIFS('03_Cennik_uslug_nowy'!$N:$N,'03_Cennik_uslug_nowy'!$A:$A,$A44,'03_Cennik_uslug_nowy'!$B:$B,"RP")</x:f>
        <x:v>4711</x:v>
      </x:c>
      <x:c r="K44" s="8" t="n">
        <x:f>SUMIFS('03_Cennik_uslug_nowy'!$N:$N,'03_Cennik_uslug_nowy'!$A:$A,$A44,'03_Cennik_uslug_nowy'!$B:$B,"M")</x:f>
        <x:v>6901</x:v>
      </x:c>
      <x:c r="L44" s="8" t="n">
        <x:f>SUMIFS('03_Cennik_uslug_nowy'!$N:$N,'03_Cennik_uslug_nowy'!$A:$A,$A44,'03_Cennik_uslug_nowy'!$B:$B,"PDWP")</x:f>
        <x:v>2723</x:v>
      </x:c>
      <x:c r="M44" s="8" t="n">
        <x:f>IF(VALUE(LEFT($A44,3))&gt;=450,SUMIFS('03_Cennik_uslug_nowy'!$N:$N,'03_Cennik_uslug_nowy'!$A:$A,$A44,'03_Cennik_uslug_nowy'!$B:$B,"LED3"),SUMIFS('03_Cennik_uslug_nowy'!$N:$N,'03_Cennik_uslug_nowy'!$A:$A,$A44,'03_Cennik_uslug_nowy'!$B:$B,"LED2"))</x:f>
        <x:v>1221</x:v>
      </x:c>
      <x:c r="N44" s="550" t="n">
        <x:f>SUMIFS('03_Cennik_uslug_nowy'!$N:$N,'03_Cennik_uslug_nowy'!$A:$A,$A44,'03_Cennik_uslug_nowy'!$B:$B,"LED3")</x:f>
        <x:v>1221</x:v>
      </x:c>
      <x:c r="O44" s="8" t="n">
        <x:f>SUMIFS('03_Cennik_uslug_nowy'!$N:$N,'03_Cennik_uslug_nowy'!$A:$A,$A44,'03_Cennik_uslug_nowy'!$B:$B,"S")</x:f>
        <x:v>725</x:v>
      </x:c>
      <x:c r="P44" s="8" t="n">
        <x:f>SUMIFS('03_Cennik_uslug_nowy'!$N:$N,'03_Cennik_uslug_nowy'!$A:$A,$A44,'03_Cennik_uslug_nowy'!$B:$B,"U")</x:f>
        <x:v>662</x:v>
      </x:c>
      <x:c r="Q44" s="8" t="n">
        <x:f>SUMIFS('03_Cennik_uslug_nowy'!$N:$N,'03_Cennik_uslug_nowy'!$A:$A,$A44,'03_Cennik_uslug_nowy'!$B:$B,"ZAB")</x:f>
        <x:v>561</x:v>
      </x:c>
      <x:c r="R44" s="8" t="n">
        <x:f>SUMIFS('03_Cennik_uslug_nowy'!$N:$N,'03_Cennik_uslug_nowy'!$A:$A,$A44,'03_Cennik_uslug_nowy'!$B:$B,"LEDCCT")</x:f>
        <x:v>3266</x:v>
      </x:c>
      <x:c r="S44" s="8" t="n"/>
    </x:row>
    <x:row r="45">
      <x:c r="A45" s="6" t="inlineStr">
        <x:is>
          <x:t xml:space="preserve">500 x 606 cm</x:t>
        </x:is>
      </x:c>
      <x:c r="B45" s="8" t="n">
        <x:f>SUMIFS('03_Cennik_uslug_nowy'!$N:$N,'03_Cennik_uslug_nowy'!$A:$A,$A45,'03_Cennik_uslug_nowy'!$B:$B,"ZP")</x:f>
        <x:v>22320</x:v>
      </x:c>
      <x:c r="C45" s="8" t="n">
        <x:f>ROUND(((SUMIFS('03_Cennik_uslug_nowy'!$J:$J,'03_Cennik_uslug_nowy'!$A:$A,$A45,'03_Cennik_uslug_nowy'!$B:$B,"OP")+SUMIFS('03_Cennik_uslug_nowy'!$K:$K,'03_Cennik_uslug_nowy'!$A:$A,$A45,'03_Cennik_uslug_nowy'!$B:$B,"OP"))-(SUMIFS('03_Cennik_uslug_nowy'!$J:$J,'03_Cennik_uslug_nowy'!$A:$A,$A45,'03_Cennik_uslug_nowy'!$B:$B,"ZP")+SUMIFS('03_Cennik_uslug_nowy'!$K:$K,'03_Cennik_uslug_nowy'!$A:$A,$A45,'03_Cennik_uslug_nowy'!$B:$B,"ZP")))*(IF('01_Ustawienia'!$B$4="ZWOLNIONY",1,1+'01_Ustawienia'!$B$7)),0)</x:f>
        <x:v>24696</x:v>
      </x:c>
      <x:c r="D45" s="8" t="n">
        <x:f>C45+SUMIFS('03_Cennik_uslug_nowy'!$N:$N,'03_Cennik_uslug_nowy'!$A:$A,$A45,'03_Cennik_uslug_nowy'!$B:$B,"SBB")</x:f>
        <x:v>27140</x:v>
      </x:c>
      <x:c r="E45" s="8" t="n">
        <x:f>SUMIFS('03_Cennik_uslug_nowy'!$N:$N,'03_Cennik_uslug_nowy'!$A:$A,$A45,'03_Cennik_uslug_nowy'!$B:$B,"PDPB")</x:f>
        <x:v>789</x:v>
      </x:c>
      <x:c r="F45" s="8" t="n">
        <x:f>SUMIFS('03_Cennik_uslug_nowy'!$N:$N,'03_Cennik_uslug_nowy'!$A:$A,$A45,'03_Cennik_uslug_nowy'!$B:$B,"PDS")</x:f>
        <x:v>10669</x:v>
      </x:c>
      <x:c r="G45" s="8" t="n">
        <x:f>F45+SUMIFS('03_Cennik_uslug_nowy'!$N:$N,'03_Cennik_uslug_nowy'!$A:$A,$A45,'03_Cennik_uslug_nowy'!$B:$B,"PDSB")</x:f>
        <x:v>11738</x:v>
      </x:c>
      <x:c r="H45" s="8" t="n">
        <x:f>SUMIFS('03_Cennik_uslug_nowy'!$N:$N,'03_Cennik_uslug_nowy'!$A:$A,$A45,'03_Cennik_uslug_nowy'!$B:$B,"RB")</x:f>
        <x:v>4711</x:v>
      </x:c>
      <x:c r="I45" s="8" t="n">
        <x:f>SUMIFS('03_Cennik_uslug_nowy'!$N:$N,'03_Cennik_uslug_nowy'!$A:$A,$A45,'03_Cennik_uslug_nowy'!$B:$B,"RB")</x:f>
        <x:v>4711</x:v>
      </x:c>
      <x:c r="J45" s="8" t="n">
        <x:f>SUMIFS('03_Cennik_uslug_nowy'!$N:$N,'03_Cennik_uslug_nowy'!$A:$A,$A45,'03_Cennik_uslug_nowy'!$B:$B,"RP")</x:f>
        <x:v>5437</x:v>
      </x:c>
      <x:c r="K45" s="8" t="n">
        <x:f>SUMIFS('03_Cennik_uslug_nowy'!$N:$N,'03_Cennik_uslug_nowy'!$A:$A,$A45,'03_Cennik_uslug_nowy'!$B:$B,"M")</x:f>
        <x:v>10389</x:v>
      </x:c>
      <x:c r="L45" s="8" t="n">
        <x:f>SUMIFS('03_Cennik_uslug_nowy'!$N:$N,'03_Cennik_uslug_nowy'!$A:$A,$A45,'03_Cennik_uslug_nowy'!$B:$B,"PDWP")</x:f>
        <x:v>3283</x:v>
      </x:c>
      <x:c r="M45" s="8" t="n">
        <x:f>IF(VALUE(LEFT($A45,3))&gt;=450,SUMIFS('03_Cennik_uslug_nowy'!$N:$N,'03_Cennik_uslug_nowy'!$A:$A,$A45,'03_Cennik_uslug_nowy'!$B:$B,"LED3"),SUMIFS('03_Cennik_uslug_nowy'!$N:$N,'03_Cennik_uslug_nowy'!$A:$A,$A45,'03_Cennik_uslug_nowy'!$B:$B,"LED2"))</x:f>
        <x:v>1388</x:v>
      </x:c>
      <x:c r="N45" s="550" t="n">
        <x:f>SUMIFS('03_Cennik_uslug_nowy'!$N:$N,'03_Cennik_uslug_nowy'!$A:$A,$A45,'03_Cennik_uslug_nowy'!$B:$B,"LED3")</x:f>
        <x:v>1388</x:v>
      </x:c>
      <x:c r="O45" s="8" t="n">
        <x:f>SUMIFS('03_Cennik_uslug_nowy'!$N:$N,'03_Cennik_uslug_nowy'!$A:$A,$A45,'03_Cennik_uslug_nowy'!$B:$B,"S")</x:f>
        <x:v>777</x:v>
      </x:c>
      <x:c r="P45" s="8" t="n">
        <x:f>SUMIFS('03_Cennik_uslug_nowy'!$N:$N,'03_Cennik_uslug_nowy'!$A:$A,$A45,'03_Cennik_uslug_nowy'!$B:$B,"U")</x:f>
        <x:v>700</x:v>
      </x:c>
      <x:c r="Q45" s="8" t="n">
        <x:f>SUMIFS('03_Cennik_uslug_nowy'!$N:$N,'03_Cennik_uslug_nowy'!$A:$A,$A45,'03_Cennik_uslug_nowy'!$B:$B,"ZAB")</x:f>
        <x:v>611</x:v>
      </x:c>
      <x:c r="R45" s="8" t="n">
        <x:f>SUMIFS('03_Cennik_uslug_nowy'!$N:$N,'03_Cennik_uslug_nowy'!$A:$A,$A45,'03_Cennik_uslug_nowy'!$B:$B,"LEDCCT")</x:f>
        <x:v>3798</x:v>
      </x:c>
      <x:c r="S45" s="8" t="n"/>
    </x:row>
    <x:row r="46">
      <x:c r="A46" s="6" t="inlineStr">
        <x:is>
          <x:t xml:space="preserve">500 x 706 cm</x:t>
        </x:is>
      </x:c>
      <x:c r="B46" s="8" t="n">
        <x:f>SUMIFS('03_Cennik_uslug_nowy'!$N:$N,'03_Cennik_uslug_nowy'!$A:$A,$A46,'03_Cennik_uslug_nowy'!$B:$B,"ZP")</x:f>
        <x:v>26712</x:v>
      </x:c>
      <x:c r="C46" s="8" t="n">
        <x:f>ROUND(((SUMIFS('03_Cennik_uslug_nowy'!$J:$J,'03_Cennik_uslug_nowy'!$A:$A,$A46,'03_Cennik_uslug_nowy'!$B:$B,"OP")+SUMIFS('03_Cennik_uslug_nowy'!$K:$K,'03_Cennik_uslug_nowy'!$A:$A,$A46,'03_Cennik_uslug_nowy'!$B:$B,"OP"))-(SUMIFS('03_Cennik_uslug_nowy'!$J:$J,'03_Cennik_uslug_nowy'!$A:$A,$A46,'03_Cennik_uslug_nowy'!$B:$B,"ZP")+SUMIFS('03_Cennik_uslug_nowy'!$K:$K,'03_Cennik_uslug_nowy'!$A:$A,$A46,'03_Cennik_uslug_nowy'!$B:$B,"ZP")))*(IF('01_Ustawienia'!$B$4="ZWOLNIONY",1,1+'01_Ustawienia'!$B$7)),0)</x:f>
        <x:v>24769</x:v>
      </x:c>
      <x:c r="D46" s="8" t="n">
        <x:f>C46+SUMIFS('03_Cennik_uslug_nowy'!$N:$N,'03_Cennik_uslug_nowy'!$A:$A,$A46,'03_Cennik_uslug_nowy'!$B:$B,"SBB")</x:f>
        <x:v>27367</x:v>
      </x:c>
      <x:c r="E46" s="8" t="n">
        <x:f>SUMIFS('03_Cennik_uslug_nowy'!$N:$N,'03_Cennik_uslug_nowy'!$A:$A,$A46,'03_Cennik_uslug_nowy'!$B:$B,"PDPB")</x:f>
        <x:v>929</x:v>
      </x:c>
      <x:c r="F46" s="8" t="n">
        <x:f>SUMIFS('03_Cennik_uslug_nowy'!$N:$N,'03_Cennik_uslug_nowy'!$A:$A,$A46,'03_Cennik_uslug_nowy'!$B:$B,"PDS")</x:f>
        <x:v>12618</x:v>
      </x:c>
      <x:c r="G46" s="8" t="n">
        <x:f>F46+SUMIFS('03_Cennik_uslug_nowy'!$N:$N,'03_Cennik_uslug_nowy'!$A:$A,$A46,'03_Cennik_uslug_nowy'!$B:$B,"PDSB")</x:f>
        <x:v>13866</x:v>
      </x:c>
      <x:c r="H46" s="8" t="n">
        <x:f>SUMIFS('03_Cennik_uslug_nowy'!$N:$N,'03_Cennik_uslug_nowy'!$A:$A,$A46,'03_Cennik_uslug_nowy'!$B:$B,"RB")</x:f>
        <x:v>4711</x:v>
      </x:c>
      <x:c r="I46" s="8" t="n">
        <x:f>SUMIFS('03_Cennik_uslug_nowy'!$N:$N,'03_Cennik_uslug_nowy'!$A:$A,$A46,'03_Cennik_uslug_nowy'!$B:$B,"RB")</x:f>
        <x:v>4711</x:v>
      </x:c>
      <x:c r="J46" s="8" t="n">
        <x:f>SUMIFS('03_Cennik_uslug_nowy'!$N:$N,'03_Cennik_uslug_nowy'!$A:$A,$A46,'03_Cennik_uslug_nowy'!$B:$B,"RP")</x:f>
        <x:v>6086</x:v>
      </x:c>
      <x:c r="K46" s="8" t="n">
        <x:f>SUMIFS('03_Cennik_uslug_nowy'!$N:$N,'03_Cennik_uslug_nowy'!$A:$A,$A46,'03_Cennik_uslug_nowy'!$B:$B,"M")</x:f>
        <x:v>11140</x:v>
      </x:c>
      <x:c r="L46" s="8" t="n">
        <x:f>SUMIFS('03_Cennik_uslug_nowy'!$N:$N,'03_Cennik_uslug_nowy'!$A:$A,$A46,'03_Cennik_uslug_nowy'!$B:$B,"PDWP")</x:f>
        <x:v>2899</x:v>
      </x:c>
      <x:c r="M46" s="8" t="n">
        <x:f>IF(VALUE(LEFT($A46,3))&gt;=450,SUMIFS('03_Cennik_uslug_nowy'!$N:$N,'03_Cennik_uslug_nowy'!$A:$A,$A46,'03_Cennik_uslug_nowy'!$B:$B,"LED3"),SUMIFS('03_Cennik_uslug_nowy'!$N:$N,'03_Cennik_uslug_nowy'!$A:$A,$A46,'03_Cennik_uslug_nowy'!$B:$B,"LED2"))</x:f>
        <x:v>1541</x:v>
      </x:c>
      <x:c r="N46" s="550" t="n">
        <x:f>SUMIFS('03_Cennik_uslug_nowy'!$N:$N,'03_Cennik_uslug_nowy'!$A:$A,$A46,'03_Cennik_uslug_nowy'!$B:$B,"LED3")</x:f>
        <x:v>1541</x:v>
      </x:c>
      <x:c r="O46" s="8" t="n">
        <x:f>SUMIFS('03_Cennik_uslug_nowy'!$N:$N,'03_Cennik_uslug_nowy'!$A:$A,$A46,'03_Cennik_uslug_nowy'!$B:$B,"S")</x:f>
        <x:v>827</x:v>
      </x:c>
      <x:c r="P46" s="8" t="n">
        <x:f>SUMIFS('03_Cennik_uslug_nowy'!$N:$N,'03_Cennik_uslug_nowy'!$A:$A,$A46,'03_Cennik_uslug_nowy'!$B:$B,"U")</x:f>
        <x:v>739</x:v>
      </x:c>
      <x:c r="Q46" s="8" t="n">
        <x:f>SUMIFS('03_Cennik_uslug_nowy'!$N:$N,'03_Cennik_uslug_nowy'!$A:$A,$A46,'03_Cennik_uslug_nowy'!$B:$B,"ZAB")</x:f>
        <x:v>662</x:v>
      </x:c>
      <x:c r="R46" s="8" t="n">
        <x:f>SUMIFS('03_Cennik_uslug_nowy'!$N:$N,'03_Cennik_uslug_nowy'!$A:$A,$A46,'03_Cennik_uslug_nowy'!$B:$B,"LEDCCT")</x:f>
        <x:v>4160</x:v>
      </x:c>
      <x:c r="S46" s="8" t="n"/>
    </x:row>
    <x:row r="47">
      <x:c r="A47" s="6" t="inlineStr">
        <x:is>
          <x:t xml:space="preserve">500 x 806 cm</x:t>
        </x:is>
      </x:c>
      <x:c r="B47" s="8" t="n">
        <x:f>SUMIFS('03_Cennik_uslug_nowy'!$N:$N,'03_Cennik_uslug_nowy'!$A:$A,$A47,'03_Cennik_uslug_nowy'!$B:$B,"ZP")</x:f>
        <x:v>29561</x:v>
      </x:c>
      <x:c r="C47" s="8" t="n">
        <x:f>ROUND(((SUMIFS('03_Cennik_uslug_nowy'!$J:$J,'03_Cennik_uslug_nowy'!$A:$A,$A47,'03_Cennik_uslug_nowy'!$B:$B,"OP")+SUMIFS('03_Cennik_uslug_nowy'!$K:$K,'03_Cennik_uslug_nowy'!$A:$A,$A47,'03_Cennik_uslug_nowy'!$B:$B,"OP"))-(SUMIFS('03_Cennik_uslug_nowy'!$J:$J,'03_Cennik_uslug_nowy'!$A:$A,$A47,'03_Cennik_uslug_nowy'!$B:$B,"ZP")+SUMIFS('03_Cennik_uslug_nowy'!$K:$K,'03_Cennik_uslug_nowy'!$A:$A,$A47,'03_Cennik_uslug_nowy'!$B:$B,"ZP")))*(IF('01_Ustawienia'!$B$4="ZWOLNIONY",1,1+'01_Ustawienia'!$B$7)),0)</x:f>
        <x:v>25974</x:v>
      </x:c>
      <x:c r="D47" s="8" t="n">
        <x:f>C47+SUMIFS('03_Cennik_uslug_nowy'!$N:$N,'03_Cennik_uslug_nowy'!$A:$A,$A47,'03_Cennik_uslug_nowy'!$B:$B,"SBB")</x:f>
        <x:v>28724</x:v>
      </x:c>
      <x:c r="E47" s="8" t="n">
        <x:f>SUMIFS('03_Cennik_uslug_nowy'!$N:$N,'03_Cennik_uslug_nowy'!$A:$A,$A47,'03_Cennik_uslug_nowy'!$B:$B,"PDPB")</x:f>
        <x:v>1057</x:v>
      </x:c>
      <x:c r="F47" s="8" t="n">
        <x:f>SUMIFS('03_Cennik_uslug_nowy'!$N:$N,'03_Cennik_uslug_nowy'!$A:$A,$A47,'03_Cennik_uslug_nowy'!$B:$B,"PDS")</x:f>
        <x:v>14591</x:v>
      </x:c>
      <x:c r="G47" s="8" t="n">
        <x:f>F47+SUMIFS('03_Cennik_uslug_nowy'!$N:$N,'03_Cennik_uslug_nowy'!$A:$A,$A47,'03_Cennik_uslug_nowy'!$B:$B,"PDSB")</x:f>
        <x:v>16018</x:v>
      </x:c>
      <x:c r="H47" s="8" t="n">
        <x:f>SUMIFS('03_Cennik_uslug_nowy'!$N:$N,'03_Cennik_uslug_nowy'!$A:$A,$A47,'03_Cennik_uslug_nowy'!$B:$B,"RB")</x:f>
        <x:v>4711</x:v>
      </x:c>
      <x:c r="I47" s="8" t="n">
        <x:f>SUMIFS('03_Cennik_uslug_nowy'!$N:$N,'03_Cennik_uslug_nowy'!$A:$A,$A47,'03_Cennik_uslug_nowy'!$B:$B,"RB")</x:f>
        <x:v>4711</x:v>
      </x:c>
      <x:c r="J47" s="8" t="n">
        <x:f>SUMIFS('03_Cennik_uslug_nowy'!$N:$N,'03_Cennik_uslug_nowy'!$A:$A,$A47,'03_Cennik_uslug_nowy'!$B:$B,"RP")</x:f>
        <x:v>6723</x:v>
      </x:c>
      <x:c r="K47" s="8" t="n">
        <x:f>SUMIFS('03_Cennik_uslug_nowy'!$N:$N,'03_Cennik_uslug_nowy'!$A:$A,$A47,'03_Cennik_uslug_nowy'!$B:$B,"M")</x:f>
        <x:v>11891</x:v>
      </x:c>
      <x:c r="L47" s="8" t="n">
        <x:f>SUMIFS('03_Cennik_uslug_nowy'!$N:$N,'03_Cennik_uslug_nowy'!$A:$A,$A47,'03_Cennik_uslug_nowy'!$B:$B,"PDWP")</x:f>
        <x:v>3110</x:v>
      </x:c>
      <x:c r="M47" s="8" t="n">
        <x:f>IF(VALUE(LEFT($A47,3))&gt;=450,SUMIFS('03_Cennik_uslug_nowy'!$N:$N,'03_Cennik_uslug_nowy'!$A:$A,$A47,'03_Cennik_uslug_nowy'!$B:$B,"LED3"),SUMIFS('03_Cennik_uslug_nowy'!$N:$N,'03_Cennik_uslug_nowy'!$A:$A,$A47,'03_Cennik_uslug_nowy'!$B:$B,"LED2"))</x:f>
        <x:v>1834</x:v>
      </x:c>
      <x:c r="N47" s="550" t="n">
        <x:f>SUMIFS('03_Cennik_uslug_nowy'!$N:$N,'03_Cennik_uslug_nowy'!$A:$A,$A47,'03_Cennik_uslug_nowy'!$B:$B,"LED3")</x:f>
        <x:v>1834</x:v>
      </x:c>
      <x:c r="O47" s="8" t="n">
        <x:f>SUMIFS('03_Cennik_uslug_nowy'!$N:$N,'03_Cennik_uslug_nowy'!$A:$A,$A47,'03_Cennik_uslug_nowy'!$B:$B,"S")</x:f>
        <x:v>878</x:v>
      </x:c>
      <x:c r="P47" s="8" t="n">
        <x:f>SUMIFS('03_Cennik_uslug_nowy'!$N:$N,'03_Cennik_uslug_nowy'!$A:$A,$A47,'03_Cennik_uslug_nowy'!$B:$B,"U")</x:f>
        <x:v>789</x:v>
      </x:c>
      <x:c r="Q47" s="8" t="n">
        <x:f>SUMIFS('03_Cennik_uslug_nowy'!$N:$N,'03_Cennik_uslug_nowy'!$A:$A,$A47,'03_Cennik_uslug_nowy'!$B:$B,"ZAB")</x:f>
        <x:v>713</x:v>
      </x:c>
      <x:c r="R47" s="8" t="n">
        <x:f>SUMIFS('03_Cennik_uslug_nowy'!$N:$N,'03_Cennik_uslug_nowy'!$A:$A,$A47,'03_Cennik_uslug_nowy'!$B:$B,"LEDCCT")</x:f>
        <x:v>4522</x:v>
      </x:c>
      <x:c r="S47" s="8" t="n"/>
    </x:row>
    <x:row r="48">
      <x:c r="A48" s="6" t="inlineStr">
        <x:is>
          <x:t xml:space="preserve">500 x 906 cm</x:t>
        </x:is>
      </x:c>
      <x:c r="B48" s="8" t="n">
        <x:f>SUMIFS('03_Cennik_uslug_nowy'!$N:$N,'03_Cennik_uslug_nowy'!$A:$A,$A48,'03_Cennik_uslug_nowy'!$B:$B,"ZP")</x:f>
        <x:v>33036</x:v>
      </x:c>
      <x:c r="C48" s="8" t="n">
        <x:f>ROUND(((SUMIFS('03_Cennik_uslug_nowy'!$J:$J,'03_Cennik_uslug_nowy'!$A:$A,$A48,'03_Cennik_uslug_nowy'!$B:$B,"OP")+SUMIFS('03_Cennik_uslug_nowy'!$K:$K,'03_Cennik_uslug_nowy'!$A:$A,$A48,'03_Cennik_uslug_nowy'!$B:$B,"OP"))-(SUMIFS('03_Cennik_uslug_nowy'!$J:$J,'03_Cennik_uslug_nowy'!$A:$A,$A48,'03_Cennik_uslug_nowy'!$B:$B,"ZP")+SUMIFS('03_Cennik_uslug_nowy'!$K:$K,'03_Cennik_uslug_nowy'!$A:$A,$A48,'03_Cennik_uslug_nowy'!$B:$B,"ZP")))*(IF('01_Ustawienia'!$B$4="ZWOLNIONY",1,1+'01_Ustawienia'!$B$7)),0)</x:f>
        <x:v>27470</x:v>
      </x:c>
      <x:c r="D48" s="8" t="n">
        <x:f>C48+SUMIFS('03_Cennik_uslug_nowy'!$N:$N,'03_Cennik_uslug_nowy'!$A:$A,$A48,'03_Cennik_uslug_nowy'!$B:$B,"SBB")</x:f>
        <x:v>30373</x:v>
      </x:c>
      <x:c r="E48" s="8" t="n">
        <x:f>SUMIFS('03_Cennik_uslug_nowy'!$N:$N,'03_Cennik_uslug_nowy'!$A:$A,$A48,'03_Cennik_uslug_nowy'!$B:$B,"PDPB")</x:f>
        <x:v>1197</x:v>
      </x:c>
      <x:c r="F48" s="8" t="n">
        <x:f>SUMIFS('03_Cennik_uslug_nowy'!$N:$N,'03_Cennik_uslug_nowy'!$A:$A,$A48,'03_Cennik_uslug_nowy'!$B:$B,"PDS")</x:f>
        <x:v>16564</x:v>
      </x:c>
      <x:c r="G48" s="8" t="n">
        <x:f>F48+SUMIFS('03_Cennik_uslug_nowy'!$N:$N,'03_Cennik_uslug_nowy'!$A:$A,$A48,'03_Cennik_uslug_nowy'!$B:$B,"PDSB")</x:f>
        <x:v>18168</x:v>
      </x:c>
      <x:c r="H48" s="8" t="n">
        <x:f>SUMIFS('03_Cennik_uslug_nowy'!$N:$N,'03_Cennik_uslug_nowy'!$A:$A,$A48,'03_Cennik_uslug_nowy'!$B:$B,"RB")</x:f>
        <x:v>4711</x:v>
      </x:c>
      <x:c r="I48" s="8" t="n">
        <x:f>SUMIFS('03_Cennik_uslug_nowy'!$N:$N,'03_Cennik_uslug_nowy'!$A:$A,$A48,'03_Cennik_uslug_nowy'!$B:$B,"RB")</x:f>
        <x:v>4711</x:v>
      </x:c>
      <x:c r="J48" s="8" t="n">
        <x:f>SUMIFS('03_Cennik_uslug_nowy'!$N:$N,'03_Cennik_uslug_nowy'!$A:$A,$A48,'03_Cennik_uslug_nowy'!$B:$B,"RP")</x:f>
        <x:v>8148</x:v>
      </x:c>
      <x:c r="K48" s="8" t="n">
        <x:f>SUMIFS('03_Cennik_uslug_nowy'!$N:$N,'03_Cennik_uslug_nowy'!$A:$A,$A48,'03_Cennik_uslug_nowy'!$B:$B,"M")</x:f>
        <x:v>12846</x:v>
      </x:c>
      <x:c r="L48" s="8" t="n">
        <x:f>SUMIFS('03_Cennik_uslug_nowy'!$N:$N,'03_Cennik_uslug_nowy'!$A:$A,$A48,'03_Cennik_uslug_nowy'!$B:$B,"PDWP")</x:f>
        <x:v>3381</x:v>
      </x:c>
      <x:c r="M48" s="8" t="n">
        <x:f>IF(VALUE(LEFT($A48,3))&gt;=450,SUMIFS('03_Cennik_uslug_nowy'!$N:$N,'03_Cennik_uslug_nowy'!$A:$A,$A48,'03_Cennik_uslug_nowy'!$B:$B,"LED3"),SUMIFS('03_Cennik_uslug_nowy'!$N:$N,'03_Cennik_uslug_nowy'!$A:$A,$A48,'03_Cennik_uslug_nowy'!$B:$B,"LED2"))</x:f>
        <x:v>1986</x:v>
      </x:c>
      <x:c r="N48" s="550" t="n">
        <x:f>SUMIFS('03_Cennik_uslug_nowy'!$N:$N,'03_Cennik_uslug_nowy'!$A:$A,$A48,'03_Cennik_uslug_nowy'!$B:$B,"LED3")</x:f>
        <x:v>1986</x:v>
      </x:c>
      <x:c r="O48" s="8" t="n">
        <x:f>SUMIFS('03_Cennik_uslug_nowy'!$N:$N,'03_Cennik_uslug_nowy'!$A:$A,$A48,'03_Cennik_uslug_nowy'!$B:$B,"S")</x:f>
        <x:v>916</x:v>
      </x:c>
      <x:c r="P48" s="8" t="n">
        <x:f>SUMIFS('03_Cennik_uslug_nowy'!$N:$N,'03_Cennik_uslug_nowy'!$A:$A,$A48,'03_Cennik_uslug_nowy'!$B:$B,"U")</x:f>
        <x:v>827</x:v>
      </x:c>
      <x:c r="Q48" s="8" t="n">
        <x:f>SUMIFS('03_Cennik_uslug_nowy'!$N:$N,'03_Cennik_uslug_nowy'!$A:$A,$A48,'03_Cennik_uslug_nowy'!$B:$B,"ZAB")</x:f>
        <x:v>713</x:v>
      </x:c>
      <x:c r="R48" s="8" t="n">
        <x:f>SUMIFS('03_Cennik_uslug_nowy'!$N:$N,'03_Cennik_uslug_nowy'!$A:$A,$A48,'03_Cennik_uslug_nowy'!$B:$B,"LEDCCT")</x:f>
        <x:v>4849</x:v>
      </x:c>
      <x:c r="S48" s="8" t="n"/>
    </x:row>
    <x:row r="49">
      <x:c r="A49" s="6" t="inlineStr">
        <x:is>
          <x:t xml:space="preserve">500 x 1006 cm</x:t>
        </x:is>
      </x:c>
      <x:c r="B49" s="8" t="n">
        <x:f>SUMIFS('03_Cennik_uslug_nowy'!$N:$N,'03_Cennik_uslug_nowy'!$A:$A,$A49,'03_Cennik_uslug_nowy'!$B:$B,"ZP")</x:f>
        <x:v>35886</x:v>
      </x:c>
      <x:c r="C49" s="8" t="n">
        <x:f>ROUND(((SUMIFS('03_Cennik_uslug_nowy'!$J:$J,'03_Cennik_uslug_nowy'!$A:$A,$A49,'03_Cennik_uslug_nowy'!$B:$B,"OP")+SUMIFS('03_Cennik_uslug_nowy'!$K:$K,'03_Cennik_uslug_nowy'!$A:$A,$A49,'03_Cennik_uslug_nowy'!$B:$B,"OP"))-(SUMIFS('03_Cennik_uslug_nowy'!$J:$J,'03_Cennik_uslug_nowy'!$A:$A,$A49,'03_Cennik_uslug_nowy'!$B:$B,"ZP")+SUMIFS('03_Cennik_uslug_nowy'!$K:$K,'03_Cennik_uslug_nowy'!$A:$A,$A49,'03_Cennik_uslug_nowy'!$B:$B,"ZP")))*(IF('01_Ustawienia'!$B$4="ZWOLNIONY",1,1+'01_Ustawienia'!$B$7)),0)</x:f>
        <x:v>28994</x:v>
      </x:c>
      <x:c r="D49" s="8" t="n">
        <x:f>C49+SUMIFS('03_Cennik_uslug_nowy'!$N:$N,'03_Cennik_uslug_nowy'!$A:$A,$A49,'03_Cennik_uslug_nowy'!$B:$B,"SBB")</x:f>
        <x:v>32049</x:v>
      </x:c>
      <x:c r="E49" s="8" t="n">
        <x:f>SUMIFS('03_Cennik_uslug_nowy'!$N:$N,'03_Cennik_uslug_nowy'!$A:$A,$A49,'03_Cennik_uslug_nowy'!$B:$B,"PDPB")</x:f>
        <x:v>1325</x:v>
      </x:c>
      <x:c r="F49" s="8" t="n">
        <x:f>SUMIFS('03_Cennik_uslug_nowy'!$N:$N,'03_Cennik_uslug_nowy'!$A:$A,$A49,'03_Cennik_uslug_nowy'!$B:$B,"PDS")</x:f>
        <x:v>18511</x:v>
      </x:c>
      <x:c r="G49" s="8" t="n">
        <x:f>F49+SUMIFS('03_Cennik_uslug_nowy'!$N:$N,'03_Cennik_uslug_nowy'!$A:$A,$A49,'03_Cennik_uslug_nowy'!$B:$B,"PDSB")</x:f>
        <x:v>20293</x:v>
      </x:c>
      <x:c r="H49" s="8" t="n">
        <x:f>SUMIFS('03_Cennik_uslug_nowy'!$N:$N,'03_Cennik_uslug_nowy'!$A:$A,$A49,'03_Cennik_uslug_nowy'!$B:$B,"RB")</x:f>
        <x:v>4711</x:v>
      </x:c>
      <x:c r="I49" s="8" t="n">
        <x:f>SUMIFS('03_Cennik_uslug_nowy'!$N:$N,'03_Cennik_uslug_nowy'!$A:$A,$A49,'03_Cennik_uslug_nowy'!$B:$B,"RB")</x:f>
        <x:v>4711</x:v>
      </x:c>
      <x:c r="J49" s="8" t="n">
        <x:f>SUMIFS('03_Cennik_uslug_nowy'!$N:$N,'03_Cennik_uslug_nowy'!$A:$A,$A49,'03_Cennik_uslug_nowy'!$B:$B,"RP")</x:f>
        <x:v>8798</x:v>
      </x:c>
      <x:c r="K49" s="8" t="n">
        <x:f>SUMIFS('03_Cennik_uslug_nowy'!$N:$N,'03_Cennik_uslug_nowy'!$A:$A,$A49,'03_Cennik_uslug_nowy'!$B:$B,"M")</x:f>
        <x:v>13788</x:v>
      </x:c>
      <x:c r="L49" s="8" t="n">
        <x:f>SUMIFS('03_Cennik_uslug_nowy'!$N:$N,'03_Cennik_uslug_nowy'!$A:$A,$A49,'03_Cennik_uslug_nowy'!$B:$B,"PDWP")</x:f>
        <x:v>3631</x:v>
      </x:c>
      <x:c r="M49" s="8" t="n">
        <x:f>IF(VALUE(LEFT($A49,3))&gt;=450,SUMIFS('03_Cennik_uslug_nowy'!$N:$N,'03_Cennik_uslug_nowy'!$A:$A,$A49,'03_Cennik_uslug_nowy'!$B:$B,"LED3"),SUMIFS('03_Cennik_uslug_nowy'!$N:$N,'03_Cennik_uslug_nowy'!$A:$A,$A49,'03_Cennik_uslug_nowy'!$B:$B,"LED2"))</x:f>
        <x:v>2100</x:v>
      </x:c>
      <x:c r="N49" s="550" t="n">
        <x:f>SUMIFS('03_Cennik_uslug_nowy'!$N:$N,'03_Cennik_uslug_nowy'!$A:$A,$A49,'03_Cennik_uslug_nowy'!$B:$B,"LED3")</x:f>
        <x:v>2100</x:v>
      </x:c>
      <x:c r="O49" s="8" t="n">
        <x:f>SUMIFS('03_Cennik_uslug_nowy'!$N:$N,'03_Cennik_uslug_nowy'!$A:$A,$A49,'03_Cennik_uslug_nowy'!$B:$B,"S")</x:f>
        <x:v>968</x:v>
      </x:c>
      <x:c r="P49" s="8" t="n">
        <x:f>SUMIFS('03_Cennik_uslug_nowy'!$N:$N,'03_Cennik_uslug_nowy'!$A:$A,$A49,'03_Cennik_uslug_nowy'!$B:$B,"U")</x:f>
        <x:v>878</x:v>
      </x:c>
      <x:c r="Q49" s="8" t="n">
        <x:f>SUMIFS('03_Cennik_uslug_nowy'!$N:$N,'03_Cennik_uslug_nowy'!$A:$A,$A49,'03_Cennik_uslug_nowy'!$B:$B,"ZAB")</x:f>
        <x:v>765</x:v>
      </x:c>
      <x:c r="R49" s="8" t="n">
        <x:f>SUMIFS('03_Cennik_uslug_nowy'!$N:$N,'03_Cennik_uslug_nowy'!$A:$A,$A49,'03_Cennik_uslug_nowy'!$B:$B,"LEDCCT")</x:f>
        <x:v>4959</x:v>
      </x:c>
      <x:c r="S49" s="8" t="n"/>
    </x:row>
    <x:row r="50">
      <x:c r="A50" s="6" t="inlineStr">
        <x:is>
          <x:t xml:space="preserve">500 x 1106 cm</x:t>
        </x:is>
      </x:c>
      <x:c r="B50" s="8" t="n">
        <x:f>SUMIFS('03_Cennik_uslug_nowy'!$N:$N,'03_Cennik_uslug_nowy'!$A:$A,$A50,'03_Cennik_uslug_nowy'!$B:$B,"ZP")</x:f>
        <x:v>39921</x:v>
      </x:c>
      <x:c r="C50" s="8" t="n">
        <x:f>ROUND(((SUMIFS('03_Cennik_uslug_nowy'!$J:$J,'03_Cennik_uslug_nowy'!$A:$A,$A50,'03_Cennik_uslug_nowy'!$B:$B,"OP")+SUMIFS('03_Cennik_uslug_nowy'!$K:$K,'03_Cennik_uslug_nowy'!$A:$A,$A50,'03_Cennik_uslug_nowy'!$B:$B,"OP"))-(SUMIFS('03_Cennik_uslug_nowy'!$J:$J,'03_Cennik_uslug_nowy'!$A:$A,$A50,'03_Cennik_uslug_nowy'!$B:$B,"ZP")+SUMIFS('03_Cennik_uslug_nowy'!$K:$K,'03_Cennik_uslug_nowy'!$A:$A,$A50,'03_Cennik_uslug_nowy'!$B:$B,"ZP")))*(IF('01_Ustawienia'!$B$4="ZWOLNIONY",1,1+'01_Ustawienia'!$B$7)),0)</x:f>
        <x:v>30540</x:v>
      </x:c>
      <x:c r="D50" s="8" t="n">
        <x:f>C50+SUMIFS('03_Cennik_uslug_nowy'!$N:$N,'03_Cennik_uslug_nowy'!$A:$A,$A50,'03_Cennik_uslug_nowy'!$B:$B,"SBB")</x:f>
        <x:v>33749</x:v>
      </x:c>
      <x:c r="E50" s="8" t="n">
        <x:f>SUMIFS('03_Cennik_uslug_nowy'!$N:$N,'03_Cennik_uslug_nowy'!$A:$A,$A50,'03_Cennik_uslug_nowy'!$B:$B,"PDPB")</x:f>
        <x:v>1452</x:v>
      </x:c>
      <x:c r="F50" s="8" t="n">
        <x:f>SUMIFS('03_Cennik_uslug_nowy'!$N:$N,'03_Cennik_uslug_nowy'!$A:$A,$A50,'03_Cennik_uslug_nowy'!$B:$B,"PDS")</x:f>
        <x:v>20472</x:v>
      </x:c>
      <x:c r="G50" s="8" t="n">
        <x:f>F50+SUMIFS('03_Cennik_uslug_nowy'!$N:$N,'03_Cennik_uslug_nowy'!$A:$A,$A50,'03_Cennik_uslug_nowy'!$B:$B,"PDSB")</x:f>
        <x:v>22432</x:v>
      </x:c>
      <x:c r="H50" s="8" t="n">
        <x:f>SUMIFS('03_Cennik_uslug_nowy'!$N:$N,'03_Cennik_uslug_nowy'!$A:$A,$A50,'03_Cennik_uslug_nowy'!$B:$B,"RB")</x:f>
        <x:v>4711</x:v>
      </x:c>
      <x:c r="I50" s="8" t="n">
        <x:f>SUMIFS('03_Cennik_uslug_nowy'!$N:$N,'03_Cennik_uslug_nowy'!$A:$A,$A50,'03_Cennik_uslug_nowy'!$B:$B,"RB")</x:f>
        <x:v>4711</x:v>
      </x:c>
      <x:c r="J50" s="8" t="n">
        <x:f>SUMIFS('03_Cennik_uslug_nowy'!$N:$N,'03_Cennik_uslug_nowy'!$A:$A,$A50,'03_Cennik_uslug_nowy'!$B:$B,"RP")</x:f>
        <x:v>9448</x:v>
      </x:c>
      <x:c r="K50" s="8" t="n">
        <x:f>SUMIFS('03_Cennik_uslug_nowy'!$N:$N,'03_Cennik_uslug_nowy'!$A:$A,$A50,'03_Cennik_uslug_nowy'!$B:$B,"M")</x:f>
        <x:v>17087</x:v>
      </x:c>
      <x:c r="L50" s="8" t="n">
        <x:f>SUMIFS('03_Cennik_uslug_nowy'!$N:$N,'03_Cennik_uslug_nowy'!$A:$A,$A50,'03_Cennik_uslug_nowy'!$B:$B,"PDWP")</x:f>
        <x:v>4191</x:v>
      </x:c>
      <x:c r="M50" s="8" t="n">
        <x:f>IF(VALUE(LEFT($A50,3))&gt;=450,SUMIFS('03_Cennik_uslug_nowy'!$N:$N,'03_Cennik_uslug_nowy'!$A:$A,$A50,'03_Cennik_uslug_nowy'!$B:$B,"LED3"),SUMIFS('03_Cennik_uslug_nowy'!$N:$N,'03_Cennik_uslug_nowy'!$A:$A,$A50,'03_Cennik_uslug_nowy'!$B:$B,"LED2"))</x:f>
        <x:v>2254</x:v>
      </x:c>
      <x:c r="N50" s="550" t="n">
        <x:f>SUMIFS('03_Cennik_uslug_nowy'!$N:$N,'03_Cennik_uslug_nowy'!$A:$A,$A50,'03_Cennik_uslug_nowy'!$B:$B,"LED3")</x:f>
        <x:v>2254</x:v>
      </x:c>
      <x:c r="O50" s="8" t="n">
        <x:f>SUMIFS('03_Cennik_uslug_nowy'!$N:$N,'03_Cennik_uslug_nowy'!$A:$A,$A50,'03_Cennik_uslug_nowy'!$B:$B,"S")</x:f>
        <x:v>1018</x:v>
      </x:c>
      <x:c r="P50" s="8" t="n">
        <x:f>SUMIFS('03_Cennik_uslug_nowy'!$N:$N,'03_Cennik_uslug_nowy'!$A:$A,$A50,'03_Cennik_uslug_nowy'!$B:$B,"U")</x:f>
        <x:v>916</x:v>
      </x:c>
      <x:c r="Q50" s="8" t="n">
        <x:f>SUMIFS('03_Cennik_uslug_nowy'!$N:$N,'03_Cennik_uslug_nowy'!$A:$A,$A50,'03_Cennik_uslug_nowy'!$B:$B,"ZAB")</x:f>
        <x:v>814</x:v>
      </x:c>
      <x:c r="R50" s="8" t="n">
        <x:f>SUMIFS('03_Cennik_uslug_nowy'!$N:$N,'03_Cennik_uslug_nowy'!$A:$A,$A50,'03_Cennik_uslug_nowy'!$B:$B,"LEDCCT")</x:f>
        <x:v>5319</x:v>
      </x:c>
      <x:c r="S50" s="8" t="n"/>
    </x:row>
    <x:row r="51">
      <x:c r="A51" s="6" t="inlineStr">
        <x:is>
          <x:t xml:space="preserve">500 x 1206 cm</x:t>
        </x:is>
      </x:c>
      <x:c r="B51" s="8" t="n">
        <x:f>SUMIFS('03_Cennik_uslug_nowy'!$N:$N,'03_Cennik_uslug_nowy'!$A:$A,$A51,'03_Cennik_uslug_nowy'!$B:$B,"ZP")</x:f>
        <x:v>42769</x:v>
      </x:c>
      <x:c r="C51" s="8" t="n">
        <x:f>ROUND(((SUMIFS('03_Cennik_uslug_nowy'!$J:$J,'03_Cennik_uslug_nowy'!$A:$A,$A51,'03_Cennik_uslug_nowy'!$B:$B,"OP")+SUMIFS('03_Cennik_uslug_nowy'!$K:$K,'03_Cennik_uslug_nowy'!$A:$A,$A51,'03_Cennik_uslug_nowy'!$B:$B,"OP"))-(SUMIFS('03_Cennik_uslug_nowy'!$J:$J,'03_Cennik_uslug_nowy'!$A:$A,$A51,'03_Cennik_uslug_nowy'!$B:$B,"ZP")+SUMIFS('03_Cennik_uslug_nowy'!$K:$K,'03_Cennik_uslug_nowy'!$A:$A,$A51,'03_Cennik_uslug_nowy'!$B:$B,"ZP")))*(IF('01_Ustawienia'!$B$4="ZWOLNIONY",1,1+'01_Ustawienia'!$B$7)),0)</x:f>
        <x:v>32142</x:v>
      </x:c>
      <x:c r="D51" s="8" t="n">
        <x:f>C51+SUMIFS('03_Cennik_uslug_nowy'!$N:$N,'03_Cennik_uslug_nowy'!$A:$A,$A51,'03_Cennik_uslug_nowy'!$B:$B,"SBB")</x:f>
        <x:v>35503</x:v>
      </x:c>
      <x:c r="E51" s="8" t="n">
        <x:f>SUMIFS('03_Cennik_uslug_nowy'!$N:$N,'03_Cennik_uslug_nowy'!$A:$A,$A51,'03_Cennik_uslug_nowy'!$B:$B,"PDPB")</x:f>
        <x:v>1591</x:v>
      </x:c>
      <x:c r="F51" s="8" t="n">
        <x:f>SUMIFS('03_Cennik_uslug_nowy'!$N:$N,'03_Cennik_uslug_nowy'!$A:$A,$A51,'03_Cennik_uslug_nowy'!$B:$B,"PDS")</x:f>
        <x:v>22433</x:v>
      </x:c>
      <x:c r="G51" s="8" t="n">
        <x:f>F51+SUMIFS('03_Cennik_uslug_nowy'!$N:$N,'03_Cennik_uslug_nowy'!$A:$A,$A51,'03_Cennik_uslug_nowy'!$B:$B,"PDSB")</x:f>
        <x:v>24572</x:v>
      </x:c>
      <x:c r="H51" s="8" t="n">
        <x:f>SUMIFS('03_Cennik_uslug_nowy'!$N:$N,'03_Cennik_uslug_nowy'!$A:$A,$A51,'03_Cennik_uslug_nowy'!$B:$B,"RB")</x:f>
        <x:v>4711</x:v>
      </x:c>
      <x:c r="I51" s="8" t="n">
        <x:f>SUMIFS('03_Cennik_uslug_nowy'!$N:$N,'03_Cennik_uslug_nowy'!$A:$A,$A51,'03_Cennik_uslug_nowy'!$B:$B,"RB")</x:f>
        <x:v>4711</x:v>
      </x:c>
      <x:c r="J51" s="8" t="n">
        <x:f>SUMIFS('03_Cennik_uslug_nowy'!$N:$N,'03_Cennik_uslug_nowy'!$A:$A,$A51,'03_Cennik_uslug_nowy'!$B:$B,"RP")</x:f>
        <x:v>10084</x:v>
      </x:c>
      <x:c r="K51" s="8" t="n">
        <x:f>SUMIFS('03_Cennik_uslug_nowy'!$N:$N,'03_Cennik_uslug_nowy'!$A:$A,$A51,'03_Cennik_uslug_nowy'!$B:$B,"M")</x:f>
        <x:v>17837</x:v>
      </x:c>
      <x:c r="L51" s="8" t="n">
        <x:f>SUMIFS('03_Cennik_uslug_nowy'!$N:$N,'03_Cennik_uslug_nowy'!$A:$A,$A51,'03_Cennik_uslug_nowy'!$B:$B,"PDWP")</x:f>
        <x:v>4752</x:v>
      </x:c>
      <x:c r="M51" s="8" t="n">
        <x:f>IF(VALUE(LEFT($A51,3))&gt;=450,SUMIFS('03_Cennik_uslug_nowy'!$N:$N,'03_Cennik_uslug_nowy'!$A:$A,$A51,'03_Cennik_uslug_nowy'!$B:$B,"LED3"),SUMIFS('03_Cennik_uslug_nowy'!$N:$N,'03_Cennik_uslug_nowy'!$A:$A,$A51,'03_Cennik_uslug_nowy'!$B:$B,"LED2"))</x:f>
        <x:v>2419</x:v>
      </x:c>
      <x:c r="N51" s="550" t="n">
        <x:f>SUMIFS('03_Cennik_uslug_nowy'!$N:$N,'03_Cennik_uslug_nowy'!$A:$A,$A51,'03_Cennik_uslug_nowy'!$B:$B,"LED3")</x:f>
        <x:v>2419</x:v>
      </x:c>
      <x:c r="O51" s="8" t="n">
        <x:f>SUMIFS('03_Cennik_uslug_nowy'!$N:$N,'03_Cennik_uslug_nowy'!$A:$A,$A51,'03_Cennik_uslug_nowy'!$B:$B,"S")</x:f>
        <x:v>1069</x:v>
      </x:c>
      <x:c r="P51" s="8" t="n">
        <x:f>SUMIFS('03_Cennik_uslug_nowy'!$N:$N,'03_Cennik_uslug_nowy'!$A:$A,$A51,'03_Cennik_uslug_nowy'!$B:$B,"U")</x:f>
        <x:v>968</x:v>
      </x:c>
      <x:c r="Q51" s="8" t="n">
        <x:f>SUMIFS('03_Cennik_uslug_nowy'!$N:$N,'03_Cennik_uslug_nowy'!$A:$A,$A51,'03_Cennik_uslug_nowy'!$B:$B,"ZAB")</x:f>
        <x:v>866</x:v>
      </x:c>
      <x:c r="R51" s="8" t="n">
        <x:f>SUMIFS('03_Cennik_uslug_nowy'!$N:$N,'03_Cennik_uslug_nowy'!$A:$A,$A51,'03_Cennik_uslug_nowy'!$B:$B,"LEDCCT")</x:f>
        <x:v>5662</x:v>
      </x:c>
      <x:c r="S51" s="8" t="n"/>
    </x:row>
    <x:row r="52">
      <x:c r="A52" s="6" t="inlineStr">
        <x:is>
          <x:t xml:space="preserve">550 x 306 cm</x:t>
        </x:is>
      </x:c>
      <x:c r="B52" s="8" t="n">
        <x:f>SUMIFS('03_Cennik_uslug_nowy'!$N:$N,'03_Cennik_uslug_nowy'!$A:$A,$A52,'03_Cennik_uslug_nowy'!$B:$B,"ZP")</x:f>
        <x:v>16850</x:v>
      </x:c>
      <x:c r="C52" s="8" t="n">
        <x:f>ROUND(((SUMIFS('03_Cennik_uslug_nowy'!$J:$J,'03_Cennik_uslug_nowy'!$A:$A,$A52,'03_Cennik_uslug_nowy'!$B:$B,"OP")+SUMIFS('03_Cennik_uslug_nowy'!$K:$K,'03_Cennik_uslug_nowy'!$A:$A,$A52,'03_Cennik_uslug_nowy'!$B:$B,"OP"))-(SUMIFS('03_Cennik_uslug_nowy'!$J:$J,'03_Cennik_uslug_nowy'!$A:$A,$A52,'03_Cennik_uslug_nowy'!$B:$B,"ZP")+SUMIFS('03_Cennik_uslug_nowy'!$K:$K,'03_Cennik_uslug_nowy'!$A:$A,$A52,'03_Cennik_uslug_nowy'!$B:$B,"ZP")))*(IF('01_Ustawienia'!$B$4="ZWOLNIONY",1,1+'01_Ustawienia'!$B$7)),0)</x:f>
        <x:v>23189</x:v>
      </x:c>
      <x:c r="D52" s="8" t="n">
        <x:f>C52+SUMIFS('03_Cennik_uslug_nowy'!$N:$N,'03_Cennik_uslug_nowy'!$A:$A,$A52,'03_Cennik_uslug_nowy'!$B:$B,"SBB")</x:f>
        <x:v>25480</x:v>
      </x:c>
      <x:c r="E52" s="8" t="n">
        <x:f>SUMIFS('03_Cennik_uslug_nowy'!$N:$N,'03_Cennik_uslug_nowy'!$A:$A,$A52,'03_Cennik_uslug_nowy'!$B:$B,"PDPB")</x:f>
        <x:v>369</x:v>
      </x:c>
      <x:c r="F52" s="8" t="n">
        <x:f>SUMIFS('03_Cennik_uslug_nowy'!$N:$N,'03_Cennik_uslug_nowy'!$A:$A,$A52,'03_Cennik_uslug_nowy'!$B:$B,"PDS")</x:f>
        <x:v>-12681</x:v>
      </x:c>
      <x:c r="G52" s="8" t="n">
        <x:f>F52+SUMIFS('03_Cennik_uslug_nowy'!$N:$N,'03_Cennik_uslug_nowy'!$A:$A,$A52,'03_Cennik_uslug_nowy'!$B:$B,"PDSB")</x:f>
        <x:v>-12681</x:v>
      </x:c>
      <x:c r="H52" s="8" t="n">
        <x:f>SUMIFS('03_Cennik_uslug_nowy'!$N:$N,'03_Cennik_uslug_nowy'!$A:$A,$A52,'03_Cennik_uslug_nowy'!$B:$B,"RB")</x:f>
        <x:v>5067</x:v>
      </x:c>
      <x:c r="I52" s="8" t="n">
        <x:f>SUMIFS('03_Cennik_uslug_nowy'!$N:$N,'03_Cennik_uslug_nowy'!$A:$A,$A52,'03_Cennik_uslug_nowy'!$B:$B,"RB")</x:f>
        <x:v>5067</x:v>
      </x:c>
      <x:c r="J52" s="8" t="n">
        <x:f>SUMIFS('03_Cennik_uslug_nowy'!$N:$N,'03_Cennik_uslug_nowy'!$A:$A,$A52,'03_Cennik_uslug_nowy'!$B:$B,"RP")</x:f>
        <x:v>2725</x:v>
      </x:c>
      <x:c r="K52" s="8" t="n">
        <x:f>SUMIFS('03_Cennik_uslug_nowy'!$N:$N,'03_Cennik_uslug_nowy'!$A:$A,$A52,'03_Cennik_uslug_nowy'!$B:$B,"M")</x:f>
        <x:v>5321</x:v>
      </x:c>
      <x:c r="L52" s="8" t="n">
        <x:f>SUMIFS('03_Cennik_uslug_nowy'!$N:$N,'03_Cennik_uslug_nowy'!$A:$A,$A52,'03_Cennik_uslug_nowy'!$B:$B,"PDWP")</x:f>
        <x:v>2759</x:v>
      </x:c>
      <x:c r="M52" s="8" t="n">
        <x:f>IF(VALUE(LEFT($A52,3))&gt;=450,SUMIFS('03_Cennik_uslug_nowy'!$N:$N,'03_Cennik_uslug_nowy'!$A:$A,$A52,'03_Cennik_uslug_nowy'!$B:$B,"LED3"),SUMIFS('03_Cennik_uslug_nowy'!$N:$N,'03_Cennik_uslug_nowy'!$A:$A,$A52,'03_Cennik_uslug_nowy'!$B:$B,"LED2"))</x:f>
        <x:v>814</x:v>
      </x:c>
      <x:c r="N52" s="550" t="n">
        <x:f>SUMIFS('03_Cennik_uslug_nowy'!$N:$N,'03_Cennik_uslug_nowy'!$A:$A,$A52,'03_Cennik_uslug_nowy'!$B:$B,"LED3")</x:f>
        <x:v>814</x:v>
      </x:c>
      <x:c r="O52" s="8" t="n">
        <x:f>SUMIFS('03_Cennik_uslug_nowy'!$N:$N,'03_Cennik_uslug_nowy'!$A:$A,$A52,'03_Cennik_uslug_nowy'!$B:$B,"S")</x:f>
        <x:v>637</x:v>
      </x:c>
      <x:c r="P52" s="8" t="n">
        <x:f>SUMIFS('03_Cennik_uslug_nowy'!$N:$N,'03_Cennik_uslug_nowy'!$A:$A,$A52,'03_Cennik_uslug_nowy'!$B:$B,"U")</x:f>
        <x:v>573</x:v>
      </x:c>
      <x:c r="Q52" s="8" t="n">
        <x:f>SUMIFS('03_Cennik_uslug_nowy'!$N:$N,'03_Cennik_uslug_nowy'!$A:$A,$A52,'03_Cennik_uslug_nowy'!$B:$B,"ZAB")</x:f>
        <x:v>611</x:v>
      </x:c>
      <x:c r="R52" s="8" t="n">
        <x:f>SUMIFS('03_Cennik_uslug_nowy'!$N:$N,'03_Cennik_uslug_nowy'!$A:$A,$A52,'03_Cennik_uslug_nowy'!$B:$B,"LEDCCT")</x:f>
        <x:v>2649</x:v>
      </x:c>
      <x:c r="S52" s="8" t="n"/>
    </x:row>
    <x:row r="53">
      <x:c r="A53" s="6" t="inlineStr">
        <x:is>
          <x:t xml:space="preserve">550 x 406 cm</x:t>
        </x:is>
      </x:c>
      <x:c r="B53" s="8" t="n">
        <x:f>SUMIFS('03_Cennik_uslug_nowy'!$N:$N,'03_Cennik_uslug_nowy'!$A:$A,$A53,'03_Cennik_uslug_nowy'!$B:$B,"ZP")</x:f>
        <x:v>21206</x:v>
      </x:c>
      <x:c r="C53" s="8" t="n">
        <x:f>ROUND(((SUMIFS('03_Cennik_uslug_nowy'!$J:$J,'03_Cennik_uslug_nowy'!$A:$A,$A53,'03_Cennik_uslug_nowy'!$B:$B,"OP")+SUMIFS('03_Cennik_uslug_nowy'!$K:$K,'03_Cennik_uslug_nowy'!$A:$A,$A53,'03_Cennik_uslug_nowy'!$B:$B,"OP"))-(SUMIFS('03_Cennik_uslug_nowy'!$J:$J,'03_Cennik_uslug_nowy'!$A:$A,$A53,'03_Cennik_uslug_nowy'!$B:$B,"ZP")+SUMIFS('03_Cennik_uslug_nowy'!$K:$K,'03_Cennik_uslug_nowy'!$A:$A,$A53,'03_Cennik_uslug_nowy'!$B:$B,"ZP")))*(IF('01_Ustawienia'!$B$4="ZWOLNIONY",1,1+'01_Ustawienia'!$B$7)),0)</x:f>
        <x:v>24254</x:v>
      </x:c>
      <x:c r="D53" s="8" t="n">
        <x:f>C53+SUMIFS('03_Cennik_uslug_nowy'!$N:$N,'03_Cennik_uslug_nowy'!$A:$A,$A53,'03_Cennik_uslug_nowy'!$B:$B,"SBB")</x:f>
        <x:v>26698</x:v>
      </x:c>
      <x:c r="E53" s="8" t="n">
        <x:f>SUMIFS('03_Cennik_uslug_nowy'!$N:$N,'03_Cennik_uslug_nowy'!$A:$A,$A53,'03_Cennik_uslug_nowy'!$B:$B,"PDPB")</x:f>
        <x:v>484</x:v>
      </x:c>
      <x:c r="F53" s="8" t="n">
        <x:f>SUMIFS('03_Cennik_uslug_nowy'!$N:$N,'03_Cennik_uslug_nowy'!$A:$A,$A53,'03_Cennik_uslug_nowy'!$B:$B,"PDS")</x:f>
        <x:v>-16615</x:v>
      </x:c>
      <x:c r="G53" s="8" t="n">
        <x:f>F53+SUMIFS('03_Cennik_uslug_nowy'!$N:$N,'03_Cennik_uslug_nowy'!$A:$A,$A53,'03_Cennik_uslug_nowy'!$B:$B,"PDSB")</x:f>
        <x:v>-16615</x:v>
      </x:c>
      <x:c r="H53" s="8" t="n">
        <x:f>SUMIFS('03_Cennik_uslug_nowy'!$N:$N,'03_Cennik_uslug_nowy'!$A:$A,$A53,'03_Cennik_uslug_nowy'!$B:$B,"RB")</x:f>
        <x:v>5067</x:v>
      </x:c>
      <x:c r="I53" s="8" t="n">
        <x:f>SUMIFS('03_Cennik_uslug_nowy'!$N:$N,'03_Cennik_uslug_nowy'!$A:$A,$A53,'03_Cennik_uslug_nowy'!$B:$B,"RB")</x:f>
        <x:v>5067</x:v>
      </x:c>
      <x:c r="J53" s="8" t="n">
        <x:f>SUMIFS('03_Cennik_uslug_nowy'!$N:$N,'03_Cennik_uslug_nowy'!$A:$A,$A53,'03_Cennik_uslug_nowy'!$B:$B,"RP")</x:f>
        <x:v>3361</x:v>
      </x:c>
      <x:c r="K53" s="8" t="n">
        <x:f>SUMIFS('03_Cennik_uslug_nowy'!$N:$N,'03_Cennik_uslug_nowy'!$A:$A,$A53,'03_Cennik_uslug_nowy'!$B:$B,"M")</x:f>
        <x:v>6086</x:v>
      </x:c>
      <x:c r="L53" s="8" t="n">
        <x:f>SUMIFS('03_Cennik_uslug_nowy'!$N:$N,'03_Cennik_uslug_nowy'!$A:$A,$A53,'03_Cennik_uslug_nowy'!$B:$B,"PDWP")</x:f>
        <x:v>3056</x:v>
      </x:c>
      <x:c r="M53" s="8" t="n">
        <x:f>IF(VALUE(LEFT($A53,3))&gt;=450,SUMIFS('03_Cennik_uslug_nowy'!$N:$N,'03_Cennik_uslug_nowy'!$A:$A,$A53,'03_Cennik_uslug_nowy'!$B:$B,"LED3"),SUMIFS('03_Cennik_uslug_nowy'!$N:$N,'03_Cennik_uslug_nowy'!$A:$A,$A53,'03_Cennik_uslug_nowy'!$B:$B,"LED2"))</x:f>
        <x:v>943</x:v>
      </x:c>
      <x:c r="N53" s="550" t="n">
        <x:f>SUMIFS('03_Cennik_uslug_nowy'!$N:$N,'03_Cennik_uslug_nowy'!$A:$A,$A53,'03_Cennik_uslug_nowy'!$B:$B,"LED3")</x:f>
        <x:v>943</x:v>
      </x:c>
      <x:c r="O53" s="8" t="n">
        <x:f>SUMIFS('03_Cennik_uslug_nowy'!$N:$N,'03_Cennik_uslug_nowy'!$A:$A,$A53,'03_Cennik_uslug_nowy'!$B:$B,"S")</x:f>
        <x:v>675</x:v>
      </x:c>
      <x:c r="P53" s="8" t="n">
        <x:f>SUMIFS('03_Cennik_uslug_nowy'!$N:$N,'03_Cennik_uslug_nowy'!$A:$A,$A53,'03_Cennik_uslug_nowy'!$B:$B,"U")</x:f>
        <x:v>611</x:v>
      </x:c>
      <x:c r="Q53" s="8" t="n">
        <x:f>SUMIFS('03_Cennik_uslug_nowy'!$N:$N,'03_Cennik_uslug_nowy'!$A:$A,$A53,'03_Cennik_uslug_nowy'!$B:$B,"ZAB")</x:f>
        <x:v>662</x:v>
      </x:c>
      <x:c r="R53" s="8" t="n">
        <x:f>SUMIFS('03_Cennik_uslug_nowy'!$N:$N,'03_Cennik_uslug_nowy'!$A:$A,$A53,'03_Cennik_uslug_nowy'!$B:$B,"LEDCCT")</x:f>
        <x:v>3047</x:v>
      </x:c>
      <x:c r="S53" s="8" t="n"/>
    </x:row>
    <x:row r="54">
      <x:c r="A54" s="6" t="inlineStr">
        <x:is>
          <x:t xml:space="preserve">550 x 506 cm</x:t>
        </x:is>
      </x:c>
      <x:c r="B54" s="8" t="n">
        <x:f>SUMIFS('03_Cennik_uslug_nowy'!$N:$N,'03_Cennik_uslug_nowy'!$A:$A,$A54,'03_Cennik_uslug_nowy'!$B:$B,"ZP")</x:f>
        <x:v>26164</x:v>
      </x:c>
      <x:c r="C54" s="8" t="n">
        <x:f>ROUND(((SUMIFS('03_Cennik_uslug_nowy'!$J:$J,'03_Cennik_uslug_nowy'!$A:$A,$A54,'03_Cennik_uslug_nowy'!$B:$B,"OP")+SUMIFS('03_Cennik_uslug_nowy'!$K:$K,'03_Cennik_uslug_nowy'!$A:$A,$A54,'03_Cennik_uslug_nowy'!$B:$B,"OP"))-(SUMIFS('03_Cennik_uslug_nowy'!$J:$J,'03_Cennik_uslug_nowy'!$A:$A,$A54,'03_Cennik_uslug_nowy'!$B:$B,"ZP")+SUMIFS('03_Cennik_uslug_nowy'!$K:$K,'03_Cennik_uslug_nowy'!$A:$A,$A54,'03_Cennik_uslug_nowy'!$B:$B,"ZP")))*(IF('01_Ustawienia'!$B$4="ZWOLNIONY",1,1+'01_Ustawienia'!$B$7)),0)</x:f>
        <x:v>25518</x:v>
      </x:c>
      <x:c r="D54" s="8" t="n">
        <x:f>C54+SUMIFS('03_Cennik_uslug_nowy'!$N:$N,'03_Cennik_uslug_nowy'!$A:$A,$A54,'03_Cennik_uslug_nowy'!$B:$B,"SBB")</x:f>
        <x:v>28116</x:v>
      </x:c>
      <x:c r="E54" s="8" t="n">
        <x:f>SUMIFS('03_Cennik_uslug_nowy'!$N:$N,'03_Cennik_uslug_nowy'!$A:$A,$A54,'03_Cennik_uslug_nowy'!$B:$B,"PDPB")</x:f>
        <x:v>611</x:v>
      </x:c>
      <x:c r="F54" s="8" t="n">
        <x:f>SUMIFS('03_Cennik_uslug_nowy'!$N:$N,'03_Cennik_uslug_nowy'!$A:$A,$A54,'03_Cennik_uslug_nowy'!$B:$B,"PDS")</x:f>
        <x:v>-21185</x:v>
      </x:c>
      <x:c r="G54" s="8" t="n">
        <x:f>F54+SUMIFS('03_Cennik_uslug_nowy'!$N:$N,'03_Cennik_uslug_nowy'!$A:$A,$A54,'03_Cennik_uslug_nowy'!$B:$B,"PDSB")</x:f>
        <x:v>-21185</x:v>
      </x:c>
      <x:c r="H54" s="8" t="n">
        <x:f>SUMIFS('03_Cennik_uslug_nowy'!$N:$N,'03_Cennik_uslug_nowy'!$A:$A,$A54,'03_Cennik_uslug_nowy'!$B:$B,"RB")</x:f>
        <x:v>5067</x:v>
      </x:c>
      <x:c r="I54" s="8" t="n">
        <x:f>SUMIFS('03_Cennik_uslug_nowy'!$N:$N,'03_Cennik_uslug_nowy'!$A:$A,$A54,'03_Cennik_uslug_nowy'!$B:$B,"RB")</x:f>
        <x:v>5067</x:v>
      </x:c>
      <x:c r="J54" s="8" t="n">
        <x:f>SUMIFS('03_Cennik_uslug_nowy'!$N:$N,'03_Cennik_uslug_nowy'!$A:$A,$A54,'03_Cennik_uslug_nowy'!$B:$B,"RP")</x:f>
        <x:v>4711</x:v>
      </x:c>
      <x:c r="K54" s="8" t="n">
        <x:f>SUMIFS('03_Cennik_uslug_nowy'!$N:$N,'03_Cennik_uslug_nowy'!$A:$A,$A54,'03_Cennik_uslug_nowy'!$B:$B,"M")</x:f>
        <x:v>7078</x:v>
      </x:c>
      <x:c r="L54" s="8" t="n">
        <x:f>SUMIFS('03_Cennik_uslug_nowy'!$N:$N,'03_Cennik_uslug_nowy'!$A:$A,$A54,'03_Cennik_uslug_nowy'!$B:$B,"PDWP")</x:f>
        <x:v>3360</x:v>
      </x:c>
      <x:c r="M54" s="8" t="n">
        <x:f>IF(VALUE(LEFT($A54,3))&gt;=450,SUMIFS('03_Cennik_uslug_nowy'!$N:$N,'03_Cennik_uslug_nowy'!$A:$A,$A54,'03_Cennik_uslug_nowy'!$B:$B,"LED3"),SUMIFS('03_Cennik_uslug_nowy'!$N:$N,'03_Cennik_uslug_nowy'!$A:$A,$A54,'03_Cennik_uslug_nowy'!$B:$B,"LED2"))</x:f>
        <x:v>1221</x:v>
      </x:c>
      <x:c r="N54" s="550" t="n">
        <x:f>SUMIFS('03_Cennik_uslug_nowy'!$N:$N,'03_Cennik_uslug_nowy'!$A:$A,$A54,'03_Cennik_uslug_nowy'!$B:$B,"LED3")</x:f>
        <x:v>1221</x:v>
      </x:c>
      <x:c r="O54" s="8" t="n">
        <x:f>SUMIFS('03_Cennik_uslug_nowy'!$N:$N,'03_Cennik_uslug_nowy'!$A:$A,$A54,'03_Cennik_uslug_nowy'!$B:$B,"S")</x:f>
        <x:v>725</x:v>
      </x:c>
      <x:c r="P54" s="8" t="n">
        <x:f>SUMIFS('03_Cennik_uslug_nowy'!$N:$N,'03_Cennik_uslug_nowy'!$A:$A,$A54,'03_Cennik_uslug_nowy'!$B:$B,"U")</x:f>
        <x:v>662</x:v>
      </x:c>
      <x:c r="Q54" s="8" t="n">
        <x:f>SUMIFS('03_Cennik_uslug_nowy'!$N:$N,'03_Cennik_uslug_nowy'!$A:$A,$A54,'03_Cennik_uslug_nowy'!$B:$B,"ZAB")</x:f>
        <x:v>662</x:v>
      </x:c>
      <x:c r="R54" s="8" t="n">
        <x:f>SUMIFS('03_Cennik_uslug_nowy'!$N:$N,'03_Cennik_uslug_nowy'!$A:$A,$A54,'03_Cennik_uslug_nowy'!$B:$B,"LEDCCT")</x:f>
        <x:v>3384</x:v>
      </x:c>
      <x:c r="S54" s="8" t="n"/>
    </x:row>
    <x:row r="55">
      <x:c r="A55" s="6" t="inlineStr">
        <x:is>
          <x:t xml:space="preserve">550 x 606 cm</x:t>
        </x:is>
      </x:c>
      <x:c r="B55" s="8" t="n">
        <x:f>SUMIFS('03_Cennik_uslug_nowy'!$N:$N,'03_Cennik_uslug_nowy'!$A:$A,$A55,'03_Cennik_uslug_nowy'!$B:$B,"ZP")</x:f>
        <x:v>30249</x:v>
      </x:c>
      <x:c r="C55" s="8" t="n">
        <x:f>ROUND(((SUMIFS('03_Cennik_uslug_nowy'!$J:$J,'03_Cennik_uslug_nowy'!$A:$A,$A55,'03_Cennik_uslug_nowy'!$B:$B,"OP")+SUMIFS('03_Cennik_uslug_nowy'!$K:$K,'03_Cennik_uslug_nowy'!$A:$A,$A55,'03_Cennik_uslug_nowy'!$B:$B,"OP"))-(SUMIFS('03_Cennik_uslug_nowy'!$J:$J,'03_Cennik_uslug_nowy'!$A:$A,$A55,'03_Cennik_uslug_nowy'!$B:$B,"ZP")+SUMIFS('03_Cennik_uslug_nowy'!$K:$K,'03_Cennik_uslug_nowy'!$A:$A,$A55,'03_Cennik_uslug_nowy'!$B:$B,"ZP")))*(IF('01_Ustawienia'!$B$4="ZWOLNIONY",1,1+'01_Ustawienia'!$B$7)),0)</x:f>
        <x:v>26053</x:v>
      </x:c>
      <x:c r="D55" s="8" t="n">
        <x:f>C55+SUMIFS('03_Cennik_uslug_nowy'!$N:$N,'03_Cennik_uslug_nowy'!$A:$A,$A55,'03_Cennik_uslug_nowy'!$B:$B,"SBB")</x:f>
        <x:v>28803</x:v>
      </x:c>
      <x:c r="E55" s="8" t="n">
        <x:f>SUMIFS('03_Cennik_uslug_nowy'!$N:$N,'03_Cennik_uslug_nowy'!$A:$A,$A55,'03_Cennik_uslug_nowy'!$B:$B,"PDPB")</x:f>
        <x:v>739</x:v>
      </x:c>
      <x:c r="F55" s="8" t="n">
        <x:f>SUMIFS('03_Cennik_uslug_nowy'!$N:$N,'03_Cennik_uslug_nowy'!$A:$A,$A55,'03_Cennik_uslug_nowy'!$B:$B,"PDS")</x:f>
        <x:v>-24903</x:v>
      </x:c>
      <x:c r="G55" s="8" t="n">
        <x:f>F55+SUMIFS('03_Cennik_uslug_nowy'!$N:$N,'03_Cennik_uslug_nowy'!$A:$A,$A55,'03_Cennik_uslug_nowy'!$B:$B,"PDSB")</x:f>
        <x:v>-24903</x:v>
      </x:c>
      <x:c r="H55" s="8" t="n">
        <x:f>SUMIFS('03_Cennik_uslug_nowy'!$N:$N,'03_Cennik_uslug_nowy'!$A:$A,$A55,'03_Cennik_uslug_nowy'!$B:$B,"RB")</x:f>
        <x:v>5067</x:v>
      </x:c>
      <x:c r="I55" s="8" t="n">
        <x:f>SUMIFS('03_Cennik_uslug_nowy'!$N:$N,'03_Cennik_uslug_nowy'!$A:$A,$A55,'03_Cennik_uslug_nowy'!$B:$B,"RB")</x:f>
        <x:v>5067</x:v>
      </x:c>
      <x:c r="J55" s="8" t="n">
        <x:f>SUMIFS('03_Cennik_uslug_nowy'!$N:$N,'03_Cennik_uslug_nowy'!$A:$A,$A55,'03_Cennik_uslug_nowy'!$B:$B,"RP")</x:f>
        <x:v>5437</x:v>
      </x:c>
      <x:c r="K55" s="8" t="n">
        <x:f>SUMIFS('03_Cennik_uslug_nowy'!$N:$N,'03_Cennik_uslug_nowy'!$A:$A,$A55,'03_Cennik_uslug_nowy'!$B:$B,"M")</x:f>
        <x:v>10644</x:v>
      </x:c>
      <x:c r="L55" s="8" t="n">
        <x:f>SUMIFS('03_Cennik_uslug_nowy'!$N:$N,'03_Cennik_uslug_nowy'!$A:$A,$A55,'03_Cennik_uslug_nowy'!$B:$B,"PDWP")</x:f>
        <x:v>4039</x:v>
      </x:c>
      <x:c r="M55" s="8" t="n">
        <x:f>IF(VALUE(LEFT($A55,3))&gt;=450,SUMIFS('03_Cennik_uslug_nowy'!$N:$N,'03_Cennik_uslug_nowy'!$A:$A,$A55,'03_Cennik_uslug_nowy'!$B:$B,"LED3"),SUMIFS('03_Cennik_uslug_nowy'!$N:$N,'03_Cennik_uslug_nowy'!$A:$A,$A55,'03_Cennik_uslug_nowy'!$B:$B,"LED2"))</x:f>
        <x:v>1388</x:v>
      </x:c>
      <x:c r="N55" s="550" t="n">
        <x:f>SUMIFS('03_Cennik_uslug_nowy'!$N:$N,'03_Cennik_uslug_nowy'!$A:$A,$A55,'03_Cennik_uslug_nowy'!$B:$B,"LED3")</x:f>
        <x:v>1388</x:v>
      </x:c>
      <x:c r="O55" s="8" t="n">
        <x:f>SUMIFS('03_Cennik_uslug_nowy'!$N:$N,'03_Cennik_uslug_nowy'!$A:$A,$A55,'03_Cennik_uslug_nowy'!$B:$B,"S")</x:f>
        <x:v>777</x:v>
      </x:c>
      <x:c r="P55" s="8" t="n">
        <x:f>SUMIFS('03_Cennik_uslug_nowy'!$N:$N,'03_Cennik_uslug_nowy'!$A:$A,$A55,'03_Cennik_uslug_nowy'!$B:$B,"U")</x:f>
        <x:v>700</x:v>
      </x:c>
      <x:c r="Q55" s="8" t="n">
        <x:f>SUMIFS('03_Cennik_uslug_nowy'!$N:$N,'03_Cennik_uslug_nowy'!$A:$A,$A55,'03_Cennik_uslug_nowy'!$B:$B,"ZAB")</x:f>
        <x:v>713</x:v>
      </x:c>
      <x:c r="R55" s="8" t="n">
        <x:f>SUMIFS('03_Cennik_uslug_nowy'!$N:$N,'03_Cennik_uslug_nowy'!$A:$A,$A55,'03_Cennik_uslug_nowy'!$B:$B,"LEDCCT")</x:f>
        <x:v>4048</x:v>
      </x:c>
      <x:c r="S55" s="8" t="n"/>
    </x:row>
    <x:row r="56">
      <x:c r="A56" s="6" t="inlineStr">
        <x:is>
          <x:t xml:space="preserve">550 x 706 cm</x:t>
        </x:is>
      </x:c>
      <x:c r="B56" s="8" t="n">
        <x:f>SUMIFS('03_Cennik_uslug_nowy'!$N:$N,'03_Cennik_uslug_nowy'!$A:$A,$A56,'03_Cennik_uslug_nowy'!$B:$B,"ZP")</x:f>
        <x:v>34532</x:v>
      </x:c>
      <x:c r="C56" s="8" t="n">
        <x:f>ROUND(((SUMIFS('03_Cennik_uslug_nowy'!$J:$J,'03_Cennik_uslug_nowy'!$A:$A,$A56,'03_Cennik_uslug_nowy'!$B:$B,"OP")+SUMIFS('03_Cennik_uslug_nowy'!$K:$K,'03_Cennik_uslug_nowy'!$A:$A,$A56,'03_Cennik_uslug_nowy'!$B:$B,"OP"))-(SUMIFS('03_Cennik_uslug_nowy'!$J:$J,'03_Cennik_uslug_nowy'!$A:$A,$A56,'03_Cennik_uslug_nowy'!$B:$B,"ZP")+SUMIFS('03_Cennik_uslug_nowy'!$K:$K,'03_Cennik_uslug_nowy'!$A:$A,$A56,'03_Cennik_uslug_nowy'!$B:$B,"ZP")))*(IF('01_Ustawienia'!$B$4="ZWOLNIONY",1,1+'01_Ustawienia'!$B$7)),0)</x:f>
        <x:v>27321</x:v>
      </x:c>
      <x:c r="D56" s="8" t="n">
        <x:f>C56+SUMIFS('03_Cennik_uslug_nowy'!$N:$N,'03_Cennik_uslug_nowy'!$A:$A,$A56,'03_Cennik_uslug_nowy'!$B:$B,"SBB")</x:f>
        <x:v>30224</x:v>
      </x:c>
      <x:c r="E56" s="8" t="n">
        <x:f>SUMIFS('03_Cennik_uslug_nowy'!$N:$N,'03_Cennik_uslug_nowy'!$A:$A,$A56,'03_Cennik_uslug_nowy'!$B:$B,"PDPB")</x:f>
        <x:v>853</x:v>
      </x:c>
      <x:c r="F56" s="8" t="n">
        <x:f>SUMIFS('03_Cennik_uslug_nowy'!$N:$N,'03_Cennik_uslug_nowy'!$A:$A,$A56,'03_Cennik_uslug_nowy'!$B:$B,"PDS")</x:f>
        <x:v>-29002</x:v>
      </x:c>
      <x:c r="G56" s="8" t="n">
        <x:f>F56+SUMIFS('03_Cennik_uslug_nowy'!$N:$N,'03_Cennik_uslug_nowy'!$A:$A,$A56,'03_Cennik_uslug_nowy'!$B:$B,"PDSB")</x:f>
        <x:v>-29002</x:v>
      </x:c>
      <x:c r="H56" s="8" t="n">
        <x:f>SUMIFS('03_Cennik_uslug_nowy'!$N:$N,'03_Cennik_uslug_nowy'!$A:$A,$A56,'03_Cennik_uslug_nowy'!$B:$B,"RB")</x:f>
        <x:v>5067</x:v>
      </x:c>
      <x:c r="I56" s="8" t="n">
        <x:f>SUMIFS('03_Cennik_uslug_nowy'!$N:$N,'03_Cennik_uslug_nowy'!$A:$A,$A56,'03_Cennik_uslug_nowy'!$B:$B,"RB")</x:f>
        <x:v>5067</x:v>
      </x:c>
      <x:c r="J56" s="8" t="n">
        <x:f>SUMIFS('03_Cennik_uslug_nowy'!$N:$N,'03_Cennik_uslug_nowy'!$A:$A,$A56,'03_Cennik_uslug_nowy'!$B:$B,"RP")</x:f>
        <x:v>6086</x:v>
      </x:c>
      <x:c r="K56" s="8" t="n">
        <x:f>SUMIFS('03_Cennik_uslug_nowy'!$N:$N,'03_Cennik_uslug_nowy'!$A:$A,$A56,'03_Cennik_uslug_nowy'!$B:$B,"M")</x:f>
        <x:v>11408</x:v>
      </x:c>
      <x:c r="L56" s="8" t="n">
        <x:f>SUMIFS('03_Cennik_uslug_nowy'!$N:$N,'03_Cennik_uslug_nowy'!$A:$A,$A56,'03_Cennik_uslug_nowy'!$B:$B,"PDWP")</x:f>
        <x:v>3568</x:v>
      </x:c>
      <x:c r="M56" s="8" t="n">
        <x:f>IF(VALUE(LEFT($A56,3))&gt;=450,SUMIFS('03_Cennik_uslug_nowy'!$N:$N,'03_Cennik_uslug_nowy'!$A:$A,$A56,'03_Cennik_uslug_nowy'!$B:$B,"LED3"),SUMIFS('03_Cennik_uslug_nowy'!$N:$N,'03_Cennik_uslug_nowy'!$A:$A,$A56,'03_Cennik_uslug_nowy'!$B:$B,"LED2"))</x:f>
        <x:v>1541</x:v>
      </x:c>
      <x:c r="N56" s="550" t="n">
        <x:f>SUMIFS('03_Cennik_uslug_nowy'!$N:$N,'03_Cennik_uslug_nowy'!$A:$A,$A56,'03_Cennik_uslug_nowy'!$B:$B,"LED3")</x:f>
        <x:v>1541</x:v>
      </x:c>
      <x:c r="O56" s="8" t="n">
        <x:f>SUMIFS('03_Cennik_uslug_nowy'!$N:$N,'03_Cennik_uslug_nowy'!$A:$A,$A56,'03_Cennik_uslug_nowy'!$B:$B,"S")</x:f>
        <x:v>827</x:v>
      </x:c>
      <x:c r="P56" s="8" t="n">
        <x:f>SUMIFS('03_Cennik_uslug_nowy'!$N:$N,'03_Cennik_uslug_nowy'!$A:$A,$A56,'03_Cennik_uslug_nowy'!$B:$B,"U")</x:f>
        <x:v>752</x:v>
      </x:c>
      <x:c r="Q56" s="8" t="n">
        <x:f>SUMIFS('03_Cennik_uslug_nowy'!$N:$N,'03_Cennik_uslug_nowy'!$A:$A,$A56,'03_Cennik_uslug_nowy'!$B:$B,"ZAB")</x:f>
        <x:v>765</x:v>
      </x:c>
      <x:c r="R56" s="8" t="n">
        <x:f>SUMIFS('03_Cennik_uslug_nowy'!$N:$N,'03_Cennik_uslug_nowy'!$A:$A,$A56,'03_Cennik_uslug_nowy'!$B:$B,"LEDCCT")</x:f>
        <x:v>4451</x:v>
      </x:c>
      <x:c r="S56" s="8" t="n"/>
    </x:row>
    <x:row r="57">
      <x:c r="A57" s="6" t="inlineStr">
        <x:is>
          <x:t xml:space="preserve">550 x 806 cm</x:t>
        </x:is>
      </x:c>
      <x:c r="B57" s="8" t="n">
        <x:f>SUMIFS('03_Cennik_uslug_nowy'!$N:$N,'03_Cennik_uslug_nowy'!$A:$A,$A57,'03_Cennik_uslug_nowy'!$B:$B,"ZP")</x:f>
        <x:v>38894</x:v>
      </x:c>
      <x:c r="C57" s="8" t="n">
        <x:f>ROUND(((SUMIFS('03_Cennik_uslug_nowy'!$J:$J,'03_Cennik_uslug_nowy'!$A:$A,$A57,'03_Cennik_uslug_nowy'!$B:$B,"OP")+SUMIFS('03_Cennik_uslug_nowy'!$K:$K,'03_Cennik_uslug_nowy'!$A:$A,$A57,'03_Cennik_uslug_nowy'!$B:$B,"OP"))-(SUMIFS('03_Cennik_uslug_nowy'!$J:$J,'03_Cennik_uslug_nowy'!$A:$A,$A57,'03_Cennik_uslug_nowy'!$B:$B,"ZP")+SUMIFS('03_Cennik_uslug_nowy'!$K:$K,'03_Cennik_uslug_nowy'!$A:$A,$A57,'03_Cennik_uslug_nowy'!$B:$B,"ZP")))*(IF('01_Ustawienia'!$B$4="ZWOLNIONY",1,1+'01_Ustawienia'!$B$7)),0)</x:f>
        <x:v>28407</x:v>
      </x:c>
      <x:c r="D57" s="8" t="n">
        <x:f>C57+SUMIFS('03_Cennik_uslug_nowy'!$N:$N,'03_Cennik_uslug_nowy'!$A:$A,$A57,'03_Cennik_uslug_nowy'!$B:$B,"SBB")</x:f>
        <x:v>31462</x:v>
      </x:c>
      <x:c r="E57" s="8" t="n">
        <x:f>SUMIFS('03_Cennik_uslug_nowy'!$N:$N,'03_Cennik_uslug_nowy'!$A:$A,$A57,'03_Cennik_uslug_nowy'!$B:$B,"PDPB")</x:f>
        <x:v>981</x:v>
      </x:c>
      <x:c r="F57" s="8" t="n">
        <x:f>SUMIFS('03_Cennik_uslug_nowy'!$N:$N,'03_Cennik_uslug_nowy'!$A:$A,$A57,'03_Cennik_uslug_nowy'!$B:$B,"PDS")</x:f>
        <x:v>-32976</x:v>
      </x:c>
      <x:c r="G57" s="8" t="n">
        <x:f>F57+SUMIFS('03_Cennik_uslug_nowy'!$N:$N,'03_Cennik_uslug_nowy'!$A:$A,$A57,'03_Cennik_uslug_nowy'!$B:$B,"PDSB")</x:f>
        <x:v>-32976</x:v>
      </x:c>
      <x:c r="H57" s="8" t="n">
        <x:f>SUMIFS('03_Cennik_uslug_nowy'!$N:$N,'03_Cennik_uslug_nowy'!$A:$A,$A57,'03_Cennik_uslug_nowy'!$B:$B,"RB")</x:f>
        <x:v>5067</x:v>
      </x:c>
      <x:c r="I57" s="8" t="n">
        <x:f>SUMIFS('03_Cennik_uslug_nowy'!$N:$N,'03_Cennik_uslug_nowy'!$A:$A,$A57,'03_Cennik_uslug_nowy'!$B:$B,"RB")</x:f>
        <x:v>5067</x:v>
      </x:c>
      <x:c r="J57" s="8" t="n">
        <x:f>SUMIFS('03_Cennik_uslug_nowy'!$N:$N,'03_Cennik_uslug_nowy'!$A:$A,$A57,'03_Cennik_uslug_nowy'!$B:$B,"RP")</x:f>
        <x:v>6723</x:v>
      </x:c>
      <x:c r="K57" s="8" t="n">
        <x:f>SUMIFS('03_Cennik_uslug_nowy'!$N:$N,'03_Cennik_uslug_nowy'!$A:$A,$A57,'03_Cennik_uslug_nowy'!$B:$B,"M")</x:f>
        <x:v>12183</x:v>
      </x:c>
      <x:c r="L57" s="8" t="n">
        <x:f>SUMIFS('03_Cennik_uslug_nowy'!$N:$N,'03_Cennik_uslug_nowy'!$A:$A,$A57,'03_Cennik_uslug_nowy'!$B:$B,"PDWP")</x:f>
        <x:v>3834</x:v>
      </x:c>
      <x:c r="M57" s="8" t="n">
        <x:f>IF(VALUE(LEFT($A57,3))&gt;=450,SUMIFS('03_Cennik_uslug_nowy'!$N:$N,'03_Cennik_uslug_nowy'!$A:$A,$A57,'03_Cennik_uslug_nowy'!$B:$B,"LED3"),SUMIFS('03_Cennik_uslug_nowy'!$N:$N,'03_Cennik_uslug_nowy'!$A:$A,$A57,'03_Cennik_uslug_nowy'!$B:$B,"LED2"))</x:f>
        <x:v>1834</x:v>
      </x:c>
      <x:c r="N57" s="550" t="n">
        <x:f>SUMIFS('03_Cennik_uslug_nowy'!$N:$N,'03_Cennik_uslug_nowy'!$A:$A,$A57,'03_Cennik_uslug_nowy'!$B:$B,"LED3")</x:f>
        <x:v>1834</x:v>
      </x:c>
      <x:c r="O57" s="8" t="n">
        <x:f>SUMIFS('03_Cennik_uslug_nowy'!$N:$N,'03_Cennik_uslug_nowy'!$A:$A,$A57,'03_Cennik_uslug_nowy'!$B:$B,"S")</x:f>
        <x:v>878</x:v>
      </x:c>
      <x:c r="P57" s="8" t="n">
        <x:f>SUMIFS('03_Cennik_uslug_nowy'!$N:$N,'03_Cennik_uslug_nowy'!$A:$A,$A57,'03_Cennik_uslug_nowy'!$B:$B,"U")</x:f>
        <x:v>789</x:v>
      </x:c>
      <x:c r="Q57" s="8" t="n">
        <x:f>SUMIFS('03_Cennik_uslug_nowy'!$N:$N,'03_Cennik_uslug_nowy'!$A:$A,$A57,'03_Cennik_uslug_nowy'!$B:$B,"ZAB")</x:f>
        <x:v>814</x:v>
      </x:c>
      <x:c r="R57" s="8" t="n">
        <x:f>SUMIFS('03_Cennik_uslug_nowy'!$N:$N,'03_Cennik_uslug_nowy'!$A:$A,$A57,'03_Cennik_uslug_nowy'!$B:$B,"LEDCCT")</x:f>
        <x:v>4844</x:v>
      </x:c>
      <x:c r="S57" s="8" t="n"/>
    </x:row>
    <x:row r="58">
      <x:c r="A58" s="6" t="inlineStr">
        <x:is>
          <x:t xml:space="preserve">550 x 906 cm</x:t>
        </x:is>
      </x:c>
      <x:c r="B58" s="8" t="n">
        <x:f>SUMIFS('03_Cennik_uslug_nowy'!$N:$N,'03_Cennik_uslug_nowy'!$A:$A,$A58,'03_Cennik_uslug_nowy'!$B:$B,"ZP")</x:f>
        <x:v>43737</x:v>
      </x:c>
      <x:c r="C58" s="8" t="n">
        <x:f>ROUND(((SUMIFS('03_Cennik_uslug_nowy'!$J:$J,'03_Cennik_uslug_nowy'!$A:$A,$A58,'03_Cennik_uslug_nowy'!$B:$B,"OP")+SUMIFS('03_Cennik_uslug_nowy'!$K:$K,'03_Cennik_uslug_nowy'!$A:$A,$A58,'03_Cennik_uslug_nowy'!$B:$B,"OP"))-(SUMIFS('03_Cennik_uslug_nowy'!$J:$J,'03_Cennik_uslug_nowy'!$A:$A,$A58,'03_Cennik_uslug_nowy'!$B:$B,"ZP")+SUMIFS('03_Cennik_uslug_nowy'!$K:$K,'03_Cennik_uslug_nowy'!$A:$A,$A58,'03_Cennik_uslug_nowy'!$B:$B,"ZP")))*(IF('01_Ustawienia'!$B$4="ZWOLNIONY",1,1+'01_Ustawienia'!$B$7)),0)</x:f>
        <x:v>29851</x:v>
      </x:c>
      <x:c r="D58" s="8" t="n">
        <x:f>C58+SUMIFS('03_Cennik_uslug_nowy'!$N:$N,'03_Cennik_uslug_nowy'!$A:$A,$A58,'03_Cennik_uslug_nowy'!$B:$B,"SBB")</x:f>
        <x:v>33060</x:v>
      </x:c>
      <x:c r="E58" s="8" t="n">
        <x:f>SUMIFS('03_Cennik_uslug_nowy'!$N:$N,'03_Cennik_uslug_nowy'!$A:$A,$A58,'03_Cennik_uslug_nowy'!$B:$B,"PDPB")</x:f>
        <x:v>1095</x:v>
      </x:c>
      <x:c r="F58" s="8" t="n">
        <x:f>SUMIFS('03_Cennik_uslug_nowy'!$N:$N,'03_Cennik_uslug_nowy'!$A:$A,$A58,'03_Cennik_uslug_nowy'!$B:$B,"PDS")</x:f>
        <x:v>-37494</x:v>
      </x:c>
      <x:c r="G58" s="8" t="n">
        <x:f>F58+SUMIFS('03_Cennik_uslug_nowy'!$N:$N,'03_Cennik_uslug_nowy'!$A:$A,$A58,'03_Cennik_uslug_nowy'!$B:$B,"PDSB")</x:f>
        <x:v>-37494</x:v>
      </x:c>
      <x:c r="H58" s="8" t="n">
        <x:f>SUMIFS('03_Cennik_uslug_nowy'!$N:$N,'03_Cennik_uslug_nowy'!$A:$A,$A58,'03_Cennik_uslug_nowy'!$B:$B,"RB")</x:f>
        <x:v>5067</x:v>
      </x:c>
      <x:c r="I58" s="8" t="n">
        <x:f>SUMIFS('03_Cennik_uslug_nowy'!$N:$N,'03_Cennik_uslug_nowy'!$A:$A,$A58,'03_Cennik_uslug_nowy'!$B:$B,"RB")</x:f>
        <x:v>5067</x:v>
      </x:c>
      <x:c r="J58" s="8" t="n">
        <x:f>SUMIFS('03_Cennik_uslug_nowy'!$N:$N,'03_Cennik_uslug_nowy'!$A:$A,$A58,'03_Cennik_uslug_nowy'!$B:$B,"RP")</x:f>
        <x:v>8148</x:v>
      </x:c>
      <x:c r="K58" s="8" t="n">
        <x:f>SUMIFS('03_Cennik_uslug_nowy'!$N:$N,'03_Cennik_uslug_nowy'!$A:$A,$A58,'03_Cennik_uslug_nowy'!$B:$B,"M")</x:f>
        <x:v>13165</x:v>
      </x:c>
      <x:c r="L58" s="8" t="n">
        <x:f>SUMIFS('03_Cennik_uslug_nowy'!$N:$N,'03_Cennik_uslug_nowy'!$A:$A,$A58,'03_Cennik_uslug_nowy'!$B:$B,"PDWP")</x:f>
        <x:v>4083</x:v>
      </x:c>
      <x:c r="M58" s="8" t="n">
        <x:f>IF(VALUE(LEFT($A58,3))&gt;=450,SUMIFS('03_Cennik_uslug_nowy'!$N:$N,'03_Cennik_uslug_nowy'!$A:$A,$A58,'03_Cennik_uslug_nowy'!$B:$B,"LED3"),SUMIFS('03_Cennik_uslug_nowy'!$N:$N,'03_Cennik_uslug_nowy'!$A:$A,$A58,'03_Cennik_uslug_nowy'!$B:$B,"LED2"))</x:f>
        <x:v>1986</x:v>
      </x:c>
      <x:c r="N58" s="550" t="n">
        <x:f>SUMIFS('03_Cennik_uslug_nowy'!$N:$N,'03_Cennik_uslug_nowy'!$A:$A,$A58,'03_Cennik_uslug_nowy'!$B:$B,"LED3")</x:f>
        <x:v>1986</x:v>
      </x:c>
      <x:c r="O58" s="8" t="n">
        <x:f>SUMIFS('03_Cennik_uslug_nowy'!$N:$N,'03_Cennik_uslug_nowy'!$A:$A,$A58,'03_Cennik_uslug_nowy'!$B:$B,"S")</x:f>
        <x:v>916</x:v>
      </x:c>
      <x:c r="P58" s="8" t="n">
        <x:f>SUMIFS('03_Cennik_uslug_nowy'!$N:$N,'03_Cennik_uslug_nowy'!$A:$A,$A58,'03_Cennik_uslug_nowy'!$B:$B,"U")</x:f>
        <x:v>827</x:v>
      </x:c>
      <x:c r="Q58" s="8" t="n">
        <x:f>SUMIFS('03_Cennik_uslug_nowy'!$N:$N,'03_Cennik_uslug_nowy'!$A:$A,$A58,'03_Cennik_uslug_nowy'!$B:$B,"ZAB")</x:f>
        <x:v>814</x:v>
      </x:c>
      <x:c r="R58" s="8" t="n">
        <x:f>SUMIFS('03_Cennik_uslug_nowy'!$N:$N,'03_Cennik_uslug_nowy'!$A:$A,$A58,'03_Cennik_uslug_nowy'!$B:$B,"LEDCCT")</x:f>
        <x:v>5194</x:v>
      </x:c>
      <x:c r="S58" s="8" t="n"/>
    </x:row>
    <x:row r="59">
      <x:c r="A59" s="6" t="inlineStr">
        <x:is>
          <x:t xml:space="preserve">550 x 1006 cm</x:t>
        </x:is>
      </x:c>
      <x:c r="B59" s="8" t="n">
        <x:f>SUMIFS('03_Cennik_uslug_nowy'!$N:$N,'03_Cennik_uslug_nowy'!$A:$A,$A59,'03_Cennik_uslug_nowy'!$B:$B,"ZP")</x:f>
        <x:v>47927</x:v>
      </x:c>
      <x:c r="C59" s="8" t="n">
        <x:f>ROUND(((SUMIFS('03_Cennik_uslug_nowy'!$J:$J,'03_Cennik_uslug_nowy'!$A:$A,$A59,'03_Cennik_uslug_nowy'!$B:$B,"OP")+SUMIFS('03_Cennik_uslug_nowy'!$K:$K,'03_Cennik_uslug_nowy'!$A:$A,$A59,'03_Cennik_uslug_nowy'!$B:$B,"OP"))-(SUMIFS('03_Cennik_uslug_nowy'!$J:$J,'03_Cennik_uslug_nowy'!$A:$A,$A59,'03_Cennik_uslug_nowy'!$B:$B,"ZP")+SUMIFS('03_Cennik_uslug_nowy'!$K:$K,'03_Cennik_uslug_nowy'!$A:$A,$A59,'03_Cennik_uslug_nowy'!$B:$B,"ZP")))*(IF('01_Ustawienia'!$B$4="ZWOLNIONY",1,1+'01_Ustawienia'!$B$7)),0)</x:f>
        <x:v>31289</x:v>
      </x:c>
      <x:c r="D59" s="8" t="n">
        <x:f>C59+SUMIFS('03_Cennik_uslug_nowy'!$N:$N,'03_Cennik_uslug_nowy'!$A:$A,$A59,'03_Cennik_uslug_nowy'!$B:$B,"SBB")</x:f>
        <x:v>34650</x:v>
      </x:c>
      <x:c r="E59" s="8" t="n">
        <x:f>SUMIFS('03_Cennik_uslug_nowy'!$N:$N,'03_Cennik_uslug_nowy'!$A:$A,$A59,'03_Cennik_uslug_nowy'!$B:$B,"PDPB")</x:f>
        <x:v>1221</x:v>
      </x:c>
      <x:c r="F59" s="8" t="n">
        <x:f>SUMIFS('03_Cennik_uslug_nowy'!$N:$N,'03_Cennik_uslug_nowy'!$A:$A,$A59,'03_Cennik_uslug_nowy'!$B:$B,"PDS")</x:f>
        <x:v>-41339</x:v>
      </x:c>
      <x:c r="G59" s="8" t="n">
        <x:f>F59+SUMIFS('03_Cennik_uslug_nowy'!$N:$N,'03_Cennik_uslug_nowy'!$A:$A,$A59,'03_Cennik_uslug_nowy'!$B:$B,"PDSB")</x:f>
        <x:v>-41339</x:v>
      </x:c>
      <x:c r="H59" s="8" t="n">
        <x:f>SUMIFS('03_Cennik_uslug_nowy'!$N:$N,'03_Cennik_uslug_nowy'!$A:$A,$A59,'03_Cennik_uslug_nowy'!$B:$B,"RB")</x:f>
        <x:v>5067</x:v>
      </x:c>
      <x:c r="I59" s="8" t="n">
        <x:f>SUMIFS('03_Cennik_uslug_nowy'!$N:$N,'03_Cennik_uslug_nowy'!$A:$A,$A59,'03_Cennik_uslug_nowy'!$B:$B,"RB")</x:f>
        <x:v>5067</x:v>
      </x:c>
      <x:c r="J59" s="8" t="n">
        <x:f>SUMIFS('03_Cennik_uslug_nowy'!$N:$N,'03_Cennik_uslug_nowy'!$A:$A,$A59,'03_Cennik_uslug_nowy'!$B:$B,"RP")</x:f>
        <x:v>8798</x:v>
      </x:c>
      <x:c r="K59" s="8" t="n">
        <x:f>SUMIFS('03_Cennik_uslug_nowy'!$N:$N,'03_Cennik_uslug_nowy'!$A:$A,$A59,'03_Cennik_uslug_nowy'!$B:$B,"M")</x:f>
        <x:v>14158</x:v>
      </x:c>
      <x:c r="L59" s="8" t="n">
        <x:f>SUMIFS('03_Cennik_uslug_nowy'!$N:$N,'03_Cennik_uslug_nowy'!$A:$A,$A59,'03_Cennik_uslug_nowy'!$B:$B,"PDWP")</x:f>
        <x:v>4376</x:v>
      </x:c>
      <x:c r="M59" s="8" t="n">
        <x:f>IF(VALUE(LEFT($A59,3))&gt;=450,SUMIFS('03_Cennik_uslug_nowy'!$N:$N,'03_Cennik_uslug_nowy'!$A:$A,$A59,'03_Cennik_uslug_nowy'!$B:$B,"LED3"),SUMIFS('03_Cennik_uslug_nowy'!$N:$N,'03_Cennik_uslug_nowy'!$A:$A,$A59,'03_Cennik_uslug_nowy'!$B:$B,"LED2"))</x:f>
        <x:v>2100</x:v>
      </x:c>
      <x:c r="N59" s="550" t="n">
        <x:f>SUMIFS('03_Cennik_uslug_nowy'!$N:$N,'03_Cennik_uslug_nowy'!$A:$A,$A59,'03_Cennik_uslug_nowy'!$B:$B,"LED3")</x:f>
        <x:v>2100</x:v>
      </x:c>
      <x:c r="O59" s="8" t="n">
        <x:f>SUMIFS('03_Cennik_uslug_nowy'!$N:$N,'03_Cennik_uslug_nowy'!$A:$A,$A59,'03_Cennik_uslug_nowy'!$B:$B,"S")</x:f>
        <x:v>968</x:v>
      </x:c>
      <x:c r="P59" s="8" t="n">
        <x:f>SUMIFS('03_Cennik_uslug_nowy'!$N:$N,'03_Cennik_uslug_nowy'!$A:$A,$A59,'03_Cennik_uslug_nowy'!$B:$B,"U")</x:f>
        <x:v>878</x:v>
      </x:c>
      <x:c r="Q59" s="8" t="n">
        <x:f>SUMIFS('03_Cennik_uslug_nowy'!$N:$N,'03_Cennik_uslug_nowy'!$A:$A,$A59,'03_Cennik_uslug_nowy'!$B:$B,"ZAB")</x:f>
        <x:v>866</x:v>
      </x:c>
      <x:c r="R59" s="8" t="n">
        <x:f>SUMIFS('03_Cennik_uslug_nowy'!$N:$N,'03_Cennik_uslug_nowy'!$A:$A,$A59,'03_Cennik_uslug_nowy'!$B:$B,"LEDCCT")</x:f>
        <x:v>5217</x:v>
      </x:c>
      <x:c r="S59" s="8" t="n"/>
    </x:row>
    <x:row r="60">
      <x:c r="A60" s="6" t="inlineStr">
        <x:is>
          <x:t xml:space="preserve">550 x 1106 cm</x:t>
        </x:is>
      </x:c>
      <x:c r="B60" s="8" t="n">
        <x:f>SUMIFS('03_Cennik_uslug_nowy'!$N:$N,'03_Cennik_uslug_nowy'!$A:$A,$A60,'03_Cennik_uslug_nowy'!$B:$B,"ZP")</x:f>
        <x:v>52136</x:v>
      </x:c>
      <x:c r="C60" s="8" t="n">
        <x:f>ROUND(((SUMIFS('03_Cennik_uslug_nowy'!$J:$J,'03_Cennik_uslug_nowy'!$A:$A,$A60,'03_Cennik_uslug_nowy'!$B:$B,"OP")+SUMIFS('03_Cennik_uslug_nowy'!$K:$K,'03_Cennik_uslug_nowy'!$A:$A,$A60,'03_Cennik_uslug_nowy'!$B:$B,"OP"))-(SUMIFS('03_Cennik_uslug_nowy'!$J:$J,'03_Cennik_uslug_nowy'!$A:$A,$A60,'03_Cennik_uslug_nowy'!$B:$B,"ZP")+SUMIFS('03_Cennik_uslug_nowy'!$K:$K,'03_Cennik_uslug_nowy'!$A:$A,$A60,'03_Cennik_uslug_nowy'!$B:$B,"ZP")))*(IF('01_Ustawienia'!$B$4="ZWOLNIONY",1,1+'01_Ustawienia'!$B$7)),0)</x:f>
        <x:v>31440</x:v>
      </x:c>
      <x:c r="D60" s="8" t="n">
        <x:f>C60+SUMIFS('03_Cennik_uslug_nowy'!$N:$N,'03_Cennik_uslug_nowy'!$A:$A,$A60,'03_Cennik_uslug_nowy'!$B:$B,"SBB")</x:f>
        <x:v>34954</x:v>
      </x:c>
      <x:c r="E60" s="8" t="n">
        <x:f>SUMIFS('03_Cennik_uslug_nowy'!$N:$N,'03_Cennik_uslug_nowy'!$A:$A,$A60,'03_Cennik_uslug_nowy'!$B:$B,"PDPB")</x:f>
        <x:v>1350</x:v>
      </x:c>
      <x:c r="F60" s="8" t="n">
        <x:f>SUMIFS('03_Cennik_uslug_nowy'!$N:$N,'03_Cennik_uslug_nowy'!$A:$A,$A60,'03_Cennik_uslug_nowy'!$B:$B,"PDS")</x:f>
        <x:v>-45300</x:v>
      </x:c>
      <x:c r="G60" s="8" t="n">
        <x:f>F60+SUMIFS('03_Cennik_uslug_nowy'!$N:$N,'03_Cennik_uslug_nowy'!$A:$A,$A60,'03_Cennik_uslug_nowy'!$B:$B,"PDSB")</x:f>
        <x:v>-45300</x:v>
      </x:c>
      <x:c r="H60" s="8" t="n">
        <x:f>SUMIFS('03_Cennik_uslug_nowy'!$N:$N,'03_Cennik_uslug_nowy'!$A:$A,$A60,'03_Cennik_uslug_nowy'!$B:$B,"RB")</x:f>
        <x:v>5067</x:v>
      </x:c>
      <x:c r="I60" s="8" t="n">
        <x:f>SUMIFS('03_Cennik_uslug_nowy'!$N:$N,'03_Cennik_uslug_nowy'!$A:$A,$A60,'03_Cennik_uslug_nowy'!$B:$B,"RB")</x:f>
        <x:v>5067</x:v>
      </x:c>
      <x:c r="J60" s="8" t="n">
        <x:f>SUMIFS('03_Cennik_uslug_nowy'!$N:$N,'03_Cennik_uslug_nowy'!$A:$A,$A60,'03_Cennik_uslug_nowy'!$B:$B,"RP")</x:f>
        <x:v>9448</x:v>
      </x:c>
      <x:c r="K60" s="8" t="n">
        <x:f>SUMIFS('03_Cennik_uslug_nowy'!$N:$N,'03_Cennik_uslug_nowy'!$A:$A,$A60,'03_Cennik_uslug_nowy'!$B:$B,"M")</x:f>
        <x:v>17494</x:v>
      </x:c>
      <x:c r="L60" s="8" t="n">
        <x:f>SUMIFS('03_Cennik_uslug_nowy'!$N:$N,'03_Cennik_uslug_nowy'!$A:$A,$A60,'03_Cennik_uslug_nowy'!$B:$B,"PDWP")</x:f>
        <x:v>4969</x:v>
      </x:c>
      <x:c r="M60" s="8" t="n">
        <x:f>IF(VALUE(LEFT($A60,3))&gt;=450,SUMIFS('03_Cennik_uslug_nowy'!$N:$N,'03_Cennik_uslug_nowy'!$A:$A,$A60,'03_Cennik_uslug_nowy'!$B:$B,"LED3"),SUMIFS('03_Cennik_uslug_nowy'!$N:$N,'03_Cennik_uslug_nowy'!$A:$A,$A60,'03_Cennik_uslug_nowy'!$B:$B,"LED2"))</x:f>
        <x:v>2254</x:v>
      </x:c>
      <x:c r="N60" s="550" t="n">
        <x:f>SUMIFS('03_Cennik_uslug_nowy'!$N:$N,'03_Cennik_uslug_nowy'!$A:$A,$A60,'03_Cennik_uslug_nowy'!$B:$B,"LED3")</x:f>
        <x:v>2254</x:v>
      </x:c>
      <x:c r="O60" s="8" t="n">
        <x:f>SUMIFS('03_Cennik_uslug_nowy'!$N:$N,'03_Cennik_uslug_nowy'!$A:$A,$A60,'03_Cennik_uslug_nowy'!$B:$B,"S")</x:f>
        <x:v>1018</x:v>
      </x:c>
      <x:c r="P60" s="8" t="n">
        <x:f>SUMIFS('03_Cennik_uslug_nowy'!$N:$N,'03_Cennik_uslug_nowy'!$A:$A,$A60,'03_Cennik_uslug_nowy'!$B:$B,"U")</x:f>
        <x:v>916</x:v>
      </x:c>
      <x:c r="Q60" s="8" t="n">
        <x:f>SUMIFS('03_Cennik_uslug_nowy'!$N:$N,'03_Cennik_uslug_nowy'!$A:$A,$A60,'03_Cennik_uslug_nowy'!$B:$B,"ZAB")</x:f>
        <x:v>916</x:v>
      </x:c>
      <x:c r="R60" s="8" t="n">
        <x:f>SUMIFS('03_Cennik_uslug_nowy'!$N:$N,'03_Cennik_uslug_nowy'!$A:$A,$A60,'03_Cennik_uslug_nowy'!$B:$B,"LEDCCT")</x:f>
        <x:v>5610</x:v>
      </x:c>
      <x:c r="S60" s="8" t="n"/>
    </x:row>
    <x:row r="61">
      <x:c r="A61" s="6" t="inlineStr">
        <x:is>
          <x:t xml:space="preserve">550 x 1206 cm</x:t>
        </x:is>
      </x:c>
      <x:c r="B61" s="8" t="n">
        <x:f>SUMIFS('03_Cennik_uslug_nowy'!$N:$N,'03_Cennik_uslug_nowy'!$A:$A,$A61,'03_Cennik_uslug_nowy'!$B:$B,"ZP")</x:f>
        <x:v>56299</x:v>
      </x:c>
      <x:c r="C61" s="8" t="n">
        <x:f>ROUND(((SUMIFS('03_Cennik_uslug_nowy'!$J:$J,'03_Cennik_uslug_nowy'!$A:$A,$A61,'03_Cennik_uslug_nowy'!$B:$B,"OP")+SUMIFS('03_Cennik_uslug_nowy'!$K:$K,'03_Cennik_uslug_nowy'!$A:$A,$A61,'03_Cennik_uslug_nowy'!$B:$B,"OP"))-(SUMIFS('03_Cennik_uslug_nowy'!$J:$J,'03_Cennik_uslug_nowy'!$A:$A,$A61,'03_Cennik_uslug_nowy'!$B:$B,"ZP")+SUMIFS('03_Cennik_uslug_nowy'!$K:$K,'03_Cennik_uslug_nowy'!$A:$A,$A61,'03_Cennik_uslug_nowy'!$B:$B,"ZP")))*(IF('01_Ustawienia'!$B$4="ZWOLNIONY",1,1+'01_Ustawienia'!$B$7)),0)</x:f>
        <x:v>32538</x:v>
      </x:c>
      <x:c r="D61" s="8" t="n">
        <x:f>C61+SUMIFS('03_Cennik_uslug_nowy'!$N:$N,'03_Cennik_uslug_nowy'!$A:$A,$A61,'03_Cennik_uslug_nowy'!$B:$B,"SBB")</x:f>
        <x:v>36052</x:v>
      </x:c>
      <x:c r="E61" s="8" t="n">
        <x:f>SUMIFS('03_Cennik_uslug_nowy'!$N:$N,'03_Cennik_uslug_nowy'!$A:$A,$A61,'03_Cennik_uslug_nowy'!$B:$B,"PDPB")</x:f>
        <x:v>1464</x:v>
      </x:c>
      <x:c r="F61" s="8" t="n">
        <x:f>SUMIFS('03_Cennik_uslug_nowy'!$N:$N,'03_Cennik_uslug_nowy'!$A:$A,$A61,'03_Cennik_uslug_nowy'!$B:$B,"PDS")</x:f>
        <x:v>-49107</x:v>
      </x:c>
      <x:c r="G61" s="8" t="n">
        <x:f>F61+SUMIFS('03_Cennik_uslug_nowy'!$N:$N,'03_Cennik_uslug_nowy'!$A:$A,$A61,'03_Cennik_uslug_nowy'!$B:$B,"PDSB")</x:f>
        <x:v>-49107</x:v>
      </x:c>
      <x:c r="H61" s="8" t="n">
        <x:f>SUMIFS('03_Cennik_uslug_nowy'!$N:$N,'03_Cennik_uslug_nowy'!$A:$A,$A61,'03_Cennik_uslug_nowy'!$B:$B,"RB")</x:f>
        <x:v>5067</x:v>
      </x:c>
      <x:c r="I61" s="8" t="n">
        <x:f>SUMIFS('03_Cennik_uslug_nowy'!$N:$N,'03_Cennik_uslug_nowy'!$A:$A,$A61,'03_Cennik_uslug_nowy'!$B:$B,"RB")</x:f>
        <x:v>5067</x:v>
      </x:c>
      <x:c r="J61" s="8" t="n">
        <x:f>SUMIFS('03_Cennik_uslug_nowy'!$N:$N,'03_Cennik_uslug_nowy'!$A:$A,$A61,'03_Cennik_uslug_nowy'!$B:$B,"RP")</x:f>
        <x:v>10084</x:v>
      </x:c>
      <x:c r="K61" s="8" t="n">
        <x:f>SUMIFS('03_Cennik_uslug_nowy'!$N:$N,'03_Cennik_uslug_nowy'!$A:$A,$A61,'03_Cennik_uslug_nowy'!$B:$B,"M")</x:f>
        <x:v>17837</x:v>
      </x:c>
      <x:c r="L61" s="8" t="n">
        <x:f>SUMIFS('03_Cennik_uslug_nowy'!$N:$N,'03_Cennik_uslug_nowy'!$A:$A,$A61,'03_Cennik_uslug_nowy'!$B:$B,"PDWP")</x:f>
        <x:v>5573</x:v>
      </x:c>
      <x:c r="M61" s="8" t="n">
        <x:f>IF(VALUE(LEFT($A61,3))&gt;=450,SUMIFS('03_Cennik_uslug_nowy'!$N:$N,'03_Cennik_uslug_nowy'!$A:$A,$A61,'03_Cennik_uslug_nowy'!$B:$B,"LED3"),SUMIFS('03_Cennik_uslug_nowy'!$N:$N,'03_Cennik_uslug_nowy'!$A:$A,$A61,'03_Cennik_uslug_nowy'!$B:$B,"LED2"))</x:f>
        <x:v>2419</x:v>
      </x:c>
      <x:c r="N61" s="550" t="n">
        <x:f>SUMIFS('03_Cennik_uslug_nowy'!$N:$N,'03_Cennik_uslug_nowy'!$A:$A,$A61,'03_Cennik_uslug_nowy'!$B:$B,"LED3")</x:f>
        <x:v>2419</x:v>
      </x:c>
      <x:c r="O61" s="8" t="n">
        <x:f>SUMIFS('03_Cennik_uslug_nowy'!$N:$N,'03_Cennik_uslug_nowy'!$A:$A,$A61,'03_Cennik_uslug_nowy'!$B:$B,"S")</x:f>
        <x:v>1069</x:v>
      </x:c>
      <x:c r="P61" s="8" t="n">
        <x:f>SUMIFS('03_Cennik_uslug_nowy'!$N:$N,'03_Cennik_uslug_nowy'!$A:$A,$A61,'03_Cennik_uslug_nowy'!$B:$B,"U")</x:f>
        <x:v>968</x:v>
      </x:c>
      <x:c r="Q61" s="8" t="n">
        <x:f>SUMIFS('03_Cennik_uslug_nowy'!$N:$N,'03_Cennik_uslug_nowy'!$A:$A,$A61,'03_Cennik_uslug_nowy'!$B:$B,"ZAB")</x:f>
        <x:v>968</x:v>
      </x:c>
      <x:c r="R61" s="8" t="n">
        <x:f>SUMIFS('03_Cennik_uslug_nowy'!$N:$N,'03_Cennik_uslug_nowy'!$A:$A,$A61,'03_Cennik_uslug_nowy'!$B:$B,"LEDCCT")</x:f>
        <x:v>5983</x:v>
      </x:c>
      <x:c r="S61" s="8" t="n"/>
    </x:row>
    <x:row r="62">
      <x:c r="A62" s="6" t="inlineStr">
        <x:is>
          <x:t xml:space="preserve">600 x 306 cm</x:t>
        </x:is>
      </x:c>
      <x:c r="B62" s="8" t="n">
        <x:f>SUMIFS('03_Cennik_uslug_nowy'!$N:$N,'03_Cennik_uslug_nowy'!$A:$A,$A62,'03_Cennik_uslug_nowy'!$B:$B,"ZP")</x:f>
        <x:v>18038</x:v>
      </x:c>
      <x:c r="C62" s="8" t="n">
        <x:f>ROUND(((SUMIFS('03_Cennik_uslug_nowy'!$J:$J,'03_Cennik_uslug_nowy'!$A:$A,$A62,'03_Cennik_uslug_nowy'!$B:$B,"OP")+SUMIFS('03_Cennik_uslug_nowy'!$K:$K,'03_Cennik_uslug_nowy'!$A:$A,$A62,'03_Cennik_uslug_nowy'!$B:$B,"OP"))-(SUMIFS('03_Cennik_uslug_nowy'!$J:$J,'03_Cennik_uslug_nowy'!$A:$A,$A62,'03_Cennik_uslug_nowy'!$B:$B,"ZP")+SUMIFS('03_Cennik_uslug_nowy'!$K:$K,'03_Cennik_uslug_nowy'!$A:$A,$A62,'03_Cennik_uslug_nowy'!$B:$B,"ZP")))*(IF('01_Ustawienia'!$B$4="ZWOLNIONY",1,1+'01_Ustawienia'!$B$7)),0)</x:f>
        <x:v>23373</x:v>
      </x:c>
      <x:c r="D62" s="8" t="n">
        <x:f>C62+SUMIFS('03_Cennik_uslug_nowy'!$N:$N,'03_Cennik_uslug_nowy'!$A:$A,$A62,'03_Cennik_uslug_nowy'!$B:$B,"SBB")</x:f>
        <x:v>25664</x:v>
      </x:c>
      <x:c r="E62" s="8" t="n">
        <x:f>SUMIFS('03_Cennik_uslug_nowy'!$N:$N,'03_Cennik_uslug_nowy'!$A:$A,$A62,'03_Cennik_uslug_nowy'!$B:$B,"PDPB")</x:f>
        <x:v>394</x:v>
      </x:c>
      <x:c r="F62" s="8" t="n">
        <x:f>SUMIFS('03_Cennik_uslug_nowy'!$N:$N,'03_Cennik_uslug_nowy'!$A:$A,$A62,'03_Cennik_uslug_nowy'!$B:$B,"PDS")</x:f>
        <x:v>-13610</x:v>
      </x:c>
      <x:c r="G62" s="8" t="n">
        <x:f>F62+SUMIFS('03_Cennik_uslug_nowy'!$N:$N,'03_Cennik_uslug_nowy'!$A:$A,$A62,'03_Cennik_uslug_nowy'!$B:$B,"PDSB")</x:f>
        <x:v>-13610</x:v>
      </x:c>
      <x:c r="H62" s="8" t="n">
        <x:f>SUMIFS('03_Cennik_uslug_nowy'!$N:$N,'03_Cennik_uslug_nowy'!$A:$A,$A62,'03_Cennik_uslug_nowy'!$B:$B,"RB")</x:f>
        <x:v>5437</x:v>
      </x:c>
      <x:c r="I62" s="8" t="n">
        <x:f>SUMIFS('03_Cennik_uslug_nowy'!$N:$N,'03_Cennik_uslug_nowy'!$A:$A,$A62,'03_Cennik_uslug_nowy'!$B:$B,"RB")</x:f>
        <x:v>5437</x:v>
      </x:c>
      <x:c r="J62" s="8" t="n">
        <x:f>SUMIFS('03_Cennik_uslug_nowy'!$N:$N,'03_Cennik_uslug_nowy'!$A:$A,$A62,'03_Cennik_uslug_nowy'!$B:$B,"RP")</x:f>
        <x:v>2725</x:v>
      </x:c>
      <x:c r="K62" s="8" t="n">
        <x:f>SUMIFS('03_Cennik_uslug_nowy'!$N:$N,'03_Cennik_uslug_nowy'!$A:$A,$A62,'03_Cennik_uslug_nowy'!$B:$B,"M")</x:f>
        <x:v>5321</x:v>
      </x:c>
      <x:c r="L62" s="8" t="n">
        <x:f>SUMIFS('03_Cennik_uslug_nowy'!$N:$N,'03_Cennik_uslug_nowy'!$A:$A,$A62,'03_Cennik_uslug_nowy'!$B:$B,"PDWP")</x:f>
        <x:v>2759</x:v>
      </x:c>
      <x:c r="M62" s="8" t="n">
        <x:f>IF(VALUE(LEFT($A62,3))&gt;=450,SUMIFS('03_Cennik_uslug_nowy'!$N:$N,'03_Cennik_uslug_nowy'!$A:$A,$A62,'03_Cennik_uslug_nowy'!$B:$B,"LED3"),SUMIFS('03_Cennik_uslug_nowy'!$N:$N,'03_Cennik_uslug_nowy'!$A:$A,$A62,'03_Cennik_uslug_nowy'!$B:$B,"LED2"))</x:f>
        <x:v>814</x:v>
      </x:c>
      <x:c r="N62" s="550" t="n">
        <x:f>SUMIFS('03_Cennik_uslug_nowy'!$N:$N,'03_Cennik_uslug_nowy'!$A:$A,$A62,'03_Cennik_uslug_nowy'!$B:$B,"LED3")</x:f>
        <x:v>814</x:v>
      </x:c>
      <x:c r="O62" s="8" t="n">
        <x:f>SUMIFS('03_Cennik_uslug_nowy'!$N:$N,'03_Cennik_uslug_nowy'!$A:$A,$A62,'03_Cennik_uslug_nowy'!$B:$B,"S")</x:f>
        <x:v>637</x:v>
      </x:c>
      <x:c r="P62" s="8" t="n">
        <x:f>SUMIFS('03_Cennik_uslug_nowy'!$N:$N,'03_Cennik_uslug_nowy'!$A:$A,$A62,'03_Cennik_uslug_nowy'!$B:$B,"U")</x:f>
        <x:v>573</x:v>
      </x:c>
      <x:c r="Q62" s="8" t="n">
        <x:f>SUMIFS('03_Cennik_uslug_nowy'!$N:$N,'03_Cennik_uslug_nowy'!$A:$A,$A62,'03_Cennik_uslug_nowy'!$B:$B,"ZAB")</x:f>
        <x:v>611</x:v>
      </x:c>
      <x:c r="R62" s="8" t="n">
        <x:f>SUMIFS('03_Cennik_uslug_nowy'!$N:$N,'03_Cennik_uslug_nowy'!$A:$A,$A62,'03_Cennik_uslug_nowy'!$B:$B,"LEDCCT")</x:f>
        <x:v>2704</x:v>
      </x:c>
      <x:c r="S62" s="8" t="n"/>
    </x:row>
    <x:row r="63">
      <x:c r="A63" s="6" t="inlineStr">
        <x:is>
          <x:t xml:space="preserve">600 x 406 cm</x:t>
        </x:is>
      </x:c>
      <x:c r="B63" s="8" t="n">
        <x:f>SUMIFS('03_Cennik_uslug_nowy'!$N:$N,'03_Cennik_uslug_nowy'!$A:$A,$A63,'03_Cennik_uslug_nowy'!$B:$B,"ZP")</x:f>
        <x:v>22734</x:v>
      </x:c>
      <x:c r="C63" s="8" t="n">
        <x:f>ROUND(((SUMIFS('03_Cennik_uslug_nowy'!$J:$J,'03_Cennik_uslug_nowy'!$A:$A,$A63,'03_Cennik_uslug_nowy'!$B:$B,"OP")+SUMIFS('03_Cennik_uslug_nowy'!$K:$K,'03_Cennik_uslug_nowy'!$A:$A,$A63,'03_Cennik_uslug_nowy'!$B:$B,"OP"))-(SUMIFS('03_Cennik_uslug_nowy'!$J:$J,'03_Cennik_uslug_nowy'!$A:$A,$A63,'03_Cennik_uslug_nowy'!$B:$B,"ZP")+SUMIFS('03_Cennik_uslug_nowy'!$K:$K,'03_Cennik_uslug_nowy'!$A:$A,$A63,'03_Cennik_uslug_nowy'!$B:$B,"ZP")))*(IF('01_Ustawienia'!$B$4="ZWOLNIONY",1,1+'01_Ustawienia'!$B$7)),0)</x:f>
        <x:v>24403</x:v>
      </x:c>
      <x:c r="D63" s="8" t="n">
        <x:f>C63+SUMIFS('03_Cennik_uslug_nowy'!$N:$N,'03_Cennik_uslug_nowy'!$A:$A,$A63,'03_Cennik_uslug_nowy'!$B:$B,"SBB")</x:f>
        <x:v>26847</x:v>
      </x:c>
      <x:c r="E63" s="8" t="n">
        <x:f>SUMIFS('03_Cennik_uslug_nowy'!$N:$N,'03_Cennik_uslug_nowy'!$A:$A,$A63,'03_Cennik_uslug_nowy'!$B:$B,"PDPB")</x:f>
        <x:v>534</x:v>
      </x:c>
      <x:c r="F63" s="8" t="n">
        <x:f>SUMIFS('03_Cennik_uslug_nowy'!$N:$N,'03_Cennik_uslug_nowy'!$A:$A,$A63,'03_Cennik_uslug_nowy'!$B:$B,"PDS")</x:f>
        <x:v>-17863</x:v>
      </x:c>
      <x:c r="G63" s="8" t="n">
        <x:f>F63+SUMIFS('03_Cennik_uslug_nowy'!$N:$N,'03_Cennik_uslug_nowy'!$A:$A,$A63,'03_Cennik_uslug_nowy'!$B:$B,"PDSB")</x:f>
        <x:v>-17863</x:v>
      </x:c>
      <x:c r="H63" s="8" t="n">
        <x:f>SUMIFS('03_Cennik_uslug_nowy'!$N:$N,'03_Cennik_uslug_nowy'!$A:$A,$A63,'03_Cennik_uslug_nowy'!$B:$B,"RB")</x:f>
        <x:v>5437</x:v>
      </x:c>
      <x:c r="I63" s="8" t="n">
        <x:f>SUMIFS('03_Cennik_uslug_nowy'!$N:$N,'03_Cennik_uslug_nowy'!$A:$A,$A63,'03_Cennik_uslug_nowy'!$B:$B,"RB")</x:f>
        <x:v>5437</x:v>
      </x:c>
      <x:c r="J63" s="8" t="n">
        <x:f>SUMIFS('03_Cennik_uslug_nowy'!$N:$N,'03_Cennik_uslug_nowy'!$A:$A,$A63,'03_Cennik_uslug_nowy'!$B:$B,"RP")</x:f>
        <x:v>3361</x:v>
      </x:c>
      <x:c r="K63" s="8" t="n">
        <x:f>SUMIFS('03_Cennik_uslug_nowy'!$N:$N,'03_Cennik_uslug_nowy'!$A:$A,$A63,'03_Cennik_uslug_nowy'!$B:$B,"M")</x:f>
        <x:v>6086</x:v>
      </x:c>
      <x:c r="L63" s="8" t="n">
        <x:f>SUMIFS('03_Cennik_uslug_nowy'!$N:$N,'03_Cennik_uslug_nowy'!$A:$A,$A63,'03_Cennik_uslug_nowy'!$B:$B,"PDWP")</x:f>
        <x:v>3056</x:v>
      </x:c>
      <x:c r="M63" s="8" t="n">
        <x:f>IF(VALUE(LEFT($A63,3))&gt;=450,SUMIFS('03_Cennik_uslug_nowy'!$N:$N,'03_Cennik_uslug_nowy'!$A:$A,$A63,'03_Cennik_uslug_nowy'!$B:$B,"LED3"),SUMIFS('03_Cennik_uslug_nowy'!$N:$N,'03_Cennik_uslug_nowy'!$A:$A,$A63,'03_Cennik_uslug_nowy'!$B:$B,"LED2"))</x:f>
        <x:v>943</x:v>
      </x:c>
      <x:c r="N63" s="550" t="n">
        <x:f>SUMIFS('03_Cennik_uslug_nowy'!$N:$N,'03_Cennik_uslug_nowy'!$A:$A,$A63,'03_Cennik_uslug_nowy'!$B:$B,"LED3")</x:f>
        <x:v>943</x:v>
      </x:c>
      <x:c r="O63" s="8" t="n">
        <x:f>SUMIFS('03_Cennik_uslug_nowy'!$N:$N,'03_Cennik_uslug_nowy'!$A:$A,$A63,'03_Cennik_uslug_nowy'!$B:$B,"S")</x:f>
        <x:v>675</x:v>
      </x:c>
      <x:c r="P63" s="8" t="n">
        <x:f>SUMIFS('03_Cennik_uslug_nowy'!$N:$N,'03_Cennik_uslug_nowy'!$A:$A,$A63,'03_Cennik_uslug_nowy'!$B:$B,"U")</x:f>
        <x:v>611</x:v>
      </x:c>
      <x:c r="Q63" s="8" t="n">
        <x:f>SUMIFS('03_Cennik_uslug_nowy'!$N:$N,'03_Cennik_uslug_nowy'!$A:$A,$A63,'03_Cennik_uslug_nowy'!$B:$B,"ZAB")</x:f>
        <x:v>662</x:v>
      </x:c>
      <x:c r="R63" s="8" t="n">
        <x:f>SUMIFS('03_Cennik_uslug_nowy'!$N:$N,'03_Cennik_uslug_nowy'!$A:$A,$A63,'03_Cennik_uslug_nowy'!$B:$B,"LEDCCT")</x:f>
        <x:v>3141</x:v>
      </x:c>
      <x:c r="S63" s="8" t="n"/>
    </x:row>
    <x:row r="64">
      <x:c r="A64" s="6" t="inlineStr">
        <x:is>
          <x:t xml:space="preserve">600 x 506 cm</x:t>
        </x:is>
      </x:c>
      <x:c r="B64" s="8" t="n">
        <x:f>SUMIFS('03_Cennik_uslug_nowy'!$N:$N,'03_Cennik_uslug_nowy'!$A:$A,$A64,'03_Cennik_uslug_nowy'!$B:$B,"ZP")</x:f>
        <x:v>27684</x:v>
      </x:c>
      <x:c r="C64" s="8" t="n">
        <x:f>ROUND(((SUMIFS('03_Cennik_uslug_nowy'!$J:$J,'03_Cennik_uslug_nowy'!$A:$A,$A64,'03_Cennik_uslug_nowy'!$B:$B,"OP")+SUMIFS('03_Cennik_uslug_nowy'!$K:$K,'03_Cennik_uslug_nowy'!$A:$A,$A64,'03_Cennik_uslug_nowy'!$B:$B,"OP"))-(SUMIFS('03_Cennik_uslug_nowy'!$J:$J,'03_Cennik_uslug_nowy'!$A:$A,$A64,'03_Cennik_uslug_nowy'!$B:$B,"ZP")+SUMIFS('03_Cennik_uslug_nowy'!$K:$K,'03_Cennik_uslug_nowy'!$A:$A,$A64,'03_Cennik_uslug_nowy'!$B:$B,"ZP")))*(IF('01_Ustawienia'!$B$4="ZWOLNIONY",1,1+'01_Ustawienia'!$B$7)),0)</x:f>
        <x:v>25815</x:v>
      </x:c>
      <x:c r="D64" s="8" t="n">
        <x:f>C64+SUMIFS('03_Cennik_uslug_nowy'!$N:$N,'03_Cennik_uslug_nowy'!$A:$A,$A64,'03_Cennik_uslug_nowy'!$B:$B,"SBB")</x:f>
        <x:v>28413</x:v>
      </x:c>
      <x:c r="E64" s="8" t="n">
        <x:f>SUMIFS('03_Cennik_uslug_nowy'!$N:$N,'03_Cennik_uslug_nowy'!$A:$A,$A64,'03_Cennik_uslug_nowy'!$B:$B,"PDPB")</x:f>
        <x:v>662</x:v>
      </x:c>
      <x:c r="F64" s="8" t="n">
        <x:f>SUMIFS('03_Cennik_uslug_nowy'!$N:$N,'03_Cennik_uslug_nowy'!$A:$A,$A64,'03_Cennik_uslug_nowy'!$B:$B,"PDS")</x:f>
        <x:v>-22446</x:v>
      </x:c>
      <x:c r="G64" s="8" t="n">
        <x:f>F64+SUMIFS('03_Cennik_uslug_nowy'!$N:$N,'03_Cennik_uslug_nowy'!$A:$A,$A64,'03_Cennik_uslug_nowy'!$B:$B,"PDSB")</x:f>
        <x:v>-22446</x:v>
      </x:c>
      <x:c r="H64" s="8" t="n">
        <x:f>SUMIFS('03_Cennik_uslug_nowy'!$N:$N,'03_Cennik_uslug_nowy'!$A:$A,$A64,'03_Cennik_uslug_nowy'!$B:$B,"RB")</x:f>
        <x:v>5437</x:v>
      </x:c>
      <x:c r="I64" s="8" t="n">
        <x:f>SUMIFS('03_Cennik_uslug_nowy'!$N:$N,'03_Cennik_uslug_nowy'!$A:$A,$A64,'03_Cennik_uslug_nowy'!$B:$B,"RB")</x:f>
        <x:v>5437</x:v>
      </x:c>
      <x:c r="J64" s="8" t="n">
        <x:f>SUMIFS('03_Cennik_uslug_nowy'!$N:$N,'03_Cennik_uslug_nowy'!$A:$A,$A64,'03_Cennik_uslug_nowy'!$B:$B,"RP")</x:f>
        <x:v>4711</x:v>
      </x:c>
      <x:c r="K64" s="8" t="n">
        <x:f>SUMIFS('03_Cennik_uslug_nowy'!$N:$N,'03_Cennik_uslug_nowy'!$A:$A,$A64,'03_Cennik_uslug_nowy'!$B:$B,"M")</x:f>
        <x:v>7078</x:v>
      </x:c>
      <x:c r="L64" s="8" t="n">
        <x:f>SUMIFS('03_Cennik_uslug_nowy'!$N:$N,'03_Cennik_uslug_nowy'!$A:$A,$A64,'03_Cennik_uslug_nowy'!$B:$B,"PDWP")</x:f>
        <x:v>3360</x:v>
      </x:c>
      <x:c r="M64" s="8" t="n">
        <x:f>IF(VALUE(LEFT($A64,3))&gt;=450,SUMIFS('03_Cennik_uslug_nowy'!$N:$N,'03_Cennik_uslug_nowy'!$A:$A,$A64,'03_Cennik_uslug_nowy'!$B:$B,"LED3"),SUMIFS('03_Cennik_uslug_nowy'!$N:$N,'03_Cennik_uslug_nowy'!$A:$A,$A64,'03_Cennik_uslug_nowy'!$B:$B,"LED2"))</x:f>
        <x:v>1221</x:v>
      </x:c>
      <x:c r="N64" s="550" t="n">
        <x:f>SUMIFS('03_Cennik_uslug_nowy'!$N:$N,'03_Cennik_uslug_nowy'!$A:$A,$A64,'03_Cennik_uslug_nowy'!$B:$B,"LED3")</x:f>
        <x:v>1221</x:v>
      </x:c>
      <x:c r="O64" s="8" t="n">
        <x:f>SUMIFS('03_Cennik_uslug_nowy'!$N:$N,'03_Cennik_uslug_nowy'!$A:$A,$A64,'03_Cennik_uslug_nowy'!$B:$B,"S")</x:f>
        <x:v>725</x:v>
      </x:c>
      <x:c r="P64" s="8" t="n">
        <x:f>SUMIFS('03_Cennik_uslug_nowy'!$N:$N,'03_Cennik_uslug_nowy'!$A:$A,$A64,'03_Cennik_uslug_nowy'!$B:$B,"U")</x:f>
        <x:v>662</x:v>
      </x:c>
      <x:c r="Q64" s="8" t="n">
        <x:f>SUMIFS('03_Cennik_uslug_nowy'!$N:$N,'03_Cennik_uslug_nowy'!$A:$A,$A64,'03_Cennik_uslug_nowy'!$B:$B,"ZAB")</x:f>
        <x:v>662</x:v>
      </x:c>
      <x:c r="R64" s="8" t="n">
        <x:f>SUMIFS('03_Cennik_uslug_nowy'!$N:$N,'03_Cennik_uslug_nowy'!$A:$A,$A64,'03_Cennik_uslug_nowy'!$B:$B,"LEDCCT")</x:f>
        <x:v>3501</x:v>
      </x:c>
      <x:c r="S64" s="8" t="n"/>
    </x:row>
    <x:row r="65">
      <x:c r="A65" s="6" t="inlineStr">
        <x:is>
          <x:t xml:space="preserve">600 x 606 cm</x:t>
        </x:is>
      </x:c>
      <x:c r="B65" s="8" t="n">
        <x:f>SUMIFS('03_Cennik_uslug_nowy'!$N:$N,'03_Cennik_uslug_nowy'!$A:$A,$A65,'03_Cennik_uslug_nowy'!$B:$B,"ZP")</x:f>
        <x:v>32233</x:v>
      </x:c>
      <x:c r="C65" s="8" t="n">
        <x:f>ROUND(((SUMIFS('03_Cennik_uslug_nowy'!$J:$J,'03_Cennik_uslug_nowy'!$A:$A,$A65,'03_Cennik_uslug_nowy'!$B:$B,"OP")+SUMIFS('03_Cennik_uslug_nowy'!$K:$K,'03_Cennik_uslug_nowy'!$A:$A,$A65,'03_Cennik_uslug_nowy'!$B:$B,"OP"))-(SUMIFS('03_Cennik_uslug_nowy'!$J:$J,'03_Cennik_uslug_nowy'!$A:$A,$A65,'03_Cennik_uslug_nowy'!$B:$B,"ZP")+SUMIFS('03_Cennik_uslug_nowy'!$K:$K,'03_Cennik_uslug_nowy'!$A:$A,$A65,'03_Cennik_uslug_nowy'!$B:$B,"ZP")))*(IF('01_Ustawienia'!$B$4="ZWOLNIONY",1,1+'01_Ustawienia'!$B$7)),0)</x:f>
        <x:v>26176</x:v>
      </x:c>
      <x:c r="D65" s="8" t="n">
        <x:f>C65+SUMIFS('03_Cennik_uslug_nowy'!$N:$N,'03_Cennik_uslug_nowy'!$A:$A,$A65,'03_Cennik_uslug_nowy'!$B:$B,"SBB")</x:f>
        <x:v>28926</x:v>
      </x:c>
      <x:c r="E65" s="8" t="n">
        <x:f>SUMIFS('03_Cennik_uslug_nowy'!$N:$N,'03_Cennik_uslug_nowy'!$A:$A,$A65,'03_Cennik_uslug_nowy'!$B:$B,"PDPB")</x:f>
        <x:v>789</x:v>
      </x:c>
      <x:c r="F65" s="8" t="n">
        <x:f>SUMIFS('03_Cennik_uslug_nowy'!$N:$N,'03_Cennik_uslug_nowy'!$A:$A,$A65,'03_Cennik_uslug_nowy'!$B:$B,"PDS")</x:f>
        <x:v>-26584</x:v>
      </x:c>
      <x:c r="G65" s="8" t="n">
        <x:f>F65+SUMIFS('03_Cennik_uslug_nowy'!$N:$N,'03_Cennik_uslug_nowy'!$A:$A,$A65,'03_Cennik_uslug_nowy'!$B:$B,"PDSB")</x:f>
        <x:v>-26584</x:v>
      </x:c>
      <x:c r="H65" s="8" t="n">
        <x:f>SUMIFS('03_Cennik_uslug_nowy'!$N:$N,'03_Cennik_uslug_nowy'!$A:$A,$A65,'03_Cennik_uslug_nowy'!$B:$B,"RB")</x:f>
        <x:v>5437</x:v>
      </x:c>
      <x:c r="I65" s="8" t="n">
        <x:f>SUMIFS('03_Cennik_uslug_nowy'!$N:$N,'03_Cennik_uslug_nowy'!$A:$A,$A65,'03_Cennik_uslug_nowy'!$B:$B,"RB")</x:f>
        <x:v>5437</x:v>
      </x:c>
      <x:c r="J65" s="8" t="n">
        <x:f>SUMIFS('03_Cennik_uslug_nowy'!$N:$N,'03_Cennik_uslug_nowy'!$A:$A,$A65,'03_Cennik_uslug_nowy'!$B:$B,"RP")</x:f>
        <x:v>5437</x:v>
      </x:c>
      <x:c r="K65" s="8" t="n">
        <x:f>SUMIFS('03_Cennik_uslug_nowy'!$N:$N,'03_Cennik_uslug_nowy'!$A:$A,$A65,'03_Cennik_uslug_nowy'!$B:$B,"M")</x:f>
        <x:v>10644</x:v>
      </x:c>
      <x:c r="L65" s="8" t="n">
        <x:f>SUMIFS('03_Cennik_uslug_nowy'!$N:$N,'03_Cennik_uslug_nowy'!$A:$A,$A65,'03_Cennik_uslug_nowy'!$B:$B,"PDWP")</x:f>
        <x:v>4039</x:v>
      </x:c>
      <x:c r="M65" s="8" t="n">
        <x:f>IF(VALUE(LEFT($A65,3))&gt;=450,SUMIFS('03_Cennik_uslug_nowy'!$N:$N,'03_Cennik_uslug_nowy'!$A:$A,$A65,'03_Cennik_uslug_nowy'!$B:$B,"LED3"),SUMIFS('03_Cennik_uslug_nowy'!$N:$N,'03_Cennik_uslug_nowy'!$A:$A,$A65,'03_Cennik_uslug_nowy'!$B:$B,"LED2"))</x:f>
        <x:v>1388</x:v>
      </x:c>
      <x:c r="N65" s="550" t="n">
        <x:f>SUMIFS('03_Cennik_uslug_nowy'!$N:$N,'03_Cennik_uslug_nowy'!$A:$A,$A65,'03_Cennik_uslug_nowy'!$B:$B,"LED3")</x:f>
        <x:v>1388</x:v>
      </x:c>
      <x:c r="O65" s="8" t="n">
        <x:f>SUMIFS('03_Cennik_uslug_nowy'!$N:$N,'03_Cennik_uslug_nowy'!$A:$A,$A65,'03_Cennik_uslug_nowy'!$B:$B,"S")</x:f>
        <x:v>777</x:v>
      </x:c>
      <x:c r="P65" s="8" t="n">
        <x:f>SUMIFS('03_Cennik_uslug_nowy'!$N:$N,'03_Cennik_uslug_nowy'!$A:$A,$A65,'03_Cennik_uslug_nowy'!$B:$B,"U")</x:f>
        <x:v>700</x:v>
      </x:c>
      <x:c r="Q65" s="8" t="n">
        <x:f>SUMIFS('03_Cennik_uslug_nowy'!$N:$N,'03_Cennik_uslug_nowy'!$A:$A,$A65,'03_Cennik_uslug_nowy'!$B:$B,"ZAB")</x:f>
        <x:v>713</x:v>
      </x:c>
      <x:c r="R65" s="8" t="n">
        <x:f>SUMIFS('03_Cennik_uslug_nowy'!$N:$N,'03_Cennik_uslug_nowy'!$A:$A,$A65,'03_Cennik_uslug_nowy'!$B:$B,"LEDCCT")</x:f>
        <x:v>4299</x:v>
      </x:c>
      <x:c r="S65" s="8" t="n"/>
    </x:row>
    <x:row r="66">
      <x:c r="A66" s="6" t="inlineStr">
        <x:is>
          <x:t xml:space="preserve">600 x 706 cm</x:t>
        </x:is>
      </x:c>
      <x:c r="B66" s="8" t="n">
        <x:f>SUMIFS('03_Cennik_uslug_nowy'!$N:$N,'03_Cennik_uslug_nowy'!$A:$A,$A66,'03_Cennik_uslug_nowy'!$B:$B,"ZP")</x:f>
        <x:v>36795</x:v>
      </x:c>
      <x:c r="C66" s="8" t="n">
        <x:f>ROUND(((SUMIFS('03_Cennik_uslug_nowy'!$J:$J,'03_Cennik_uslug_nowy'!$A:$A,$A66,'03_Cennik_uslug_nowy'!$B:$B,"OP")+SUMIFS('03_Cennik_uslug_nowy'!$K:$K,'03_Cennik_uslug_nowy'!$A:$A,$A66,'03_Cennik_uslug_nowy'!$B:$B,"OP"))-(SUMIFS('03_Cennik_uslug_nowy'!$J:$J,'03_Cennik_uslug_nowy'!$A:$A,$A66,'03_Cennik_uslug_nowy'!$B:$B,"ZP")+SUMIFS('03_Cennik_uslug_nowy'!$K:$K,'03_Cennik_uslug_nowy'!$A:$A,$A66,'03_Cennik_uslug_nowy'!$B:$B,"ZP")))*(IF('01_Ustawienia'!$B$4="ZWOLNIONY",1,1+'01_Ustawienia'!$B$7)),0)</x:f>
        <x:v>27432</x:v>
      </x:c>
      <x:c r="D66" s="8" t="n">
        <x:f>C66+SUMIFS('03_Cennik_uslug_nowy'!$N:$N,'03_Cennik_uslug_nowy'!$A:$A,$A66,'03_Cennik_uslug_nowy'!$B:$B,"SBB")</x:f>
        <x:v>30335</x:v>
      </x:c>
      <x:c r="E66" s="8" t="n">
        <x:f>SUMIFS('03_Cennik_uslug_nowy'!$N:$N,'03_Cennik_uslug_nowy'!$A:$A,$A66,'03_Cennik_uslug_nowy'!$B:$B,"PDPB")</x:f>
        <x:v>929</x:v>
      </x:c>
      <x:c r="F66" s="8" t="n">
        <x:f>SUMIFS('03_Cennik_uslug_nowy'!$N:$N,'03_Cennik_uslug_nowy'!$A:$A,$A66,'03_Cennik_uslug_nowy'!$B:$B,"PDS")</x:f>
        <x:v>-30963</x:v>
      </x:c>
      <x:c r="G66" s="8" t="n">
        <x:f>F66+SUMIFS('03_Cennik_uslug_nowy'!$N:$N,'03_Cennik_uslug_nowy'!$A:$A,$A66,'03_Cennik_uslug_nowy'!$B:$B,"PDSB")</x:f>
        <x:v>-30963</x:v>
      </x:c>
      <x:c r="H66" s="8" t="n">
        <x:f>SUMIFS('03_Cennik_uslug_nowy'!$N:$N,'03_Cennik_uslug_nowy'!$A:$A,$A66,'03_Cennik_uslug_nowy'!$B:$B,"RB")</x:f>
        <x:v>5437</x:v>
      </x:c>
      <x:c r="I66" s="8" t="n">
        <x:f>SUMIFS('03_Cennik_uslug_nowy'!$N:$N,'03_Cennik_uslug_nowy'!$A:$A,$A66,'03_Cennik_uslug_nowy'!$B:$B,"RB")</x:f>
        <x:v>5437</x:v>
      </x:c>
      <x:c r="J66" s="8" t="n">
        <x:f>SUMIFS('03_Cennik_uslug_nowy'!$N:$N,'03_Cennik_uslug_nowy'!$A:$A,$A66,'03_Cennik_uslug_nowy'!$B:$B,"RP")</x:f>
        <x:v>6086</x:v>
      </x:c>
      <x:c r="K66" s="8" t="n">
        <x:f>SUMIFS('03_Cennik_uslug_nowy'!$N:$N,'03_Cennik_uslug_nowy'!$A:$A,$A66,'03_Cennik_uslug_nowy'!$B:$B,"M")</x:f>
        <x:v>11408</x:v>
      </x:c>
      <x:c r="L66" s="8" t="n">
        <x:f>SUMIFS('03_Cennik_uslug_nowy'!$N:$N,'03_Cennik_uslug_nowy'!$A:$A,$A66,'03_Cennik_uslug_nowy'!$B:$B,"PDWP")</x:f>
        <x:v>3568</x:v>
      </x:c>
      <x:c r="M66" s="8" t="n">
        <x:f>IF(VALUE(LEFT($A66,3))&gt;=450,SUMIFS('03_Cennik_uslug_nowy'!$N:$N,'03_Cennik_uslug_nowy'!$A:$A,$A66,'03_Cennik_uslug_nowy'!$B:$B,"LED3"),SUMIFS('03_Cennik_uslug_nowy'!$N:$N,'03_Cennik_uslug_nowy'!$A:$A,$A66,'03_Cennik_uslug_nowy'!$B:$B,"LED2"))</x:f>
        <x:v>1541</x:v>
      </x:c>
      <x:c r="N66" s="550" t="n">
        <x:f>SUMIFS('03_Cennik_uslug_nowy'!$N:$N,'03_Cennik_uslug_nowy'!$A:$A,$A66,'03_Cennik_uslug_nowy'!$B:$B,"LED3")</x:f>
        <x:v>1541</x:v>
      </x:c>
      <x:c r="O66" s="8" t="n">
        <x:f>SUMIFS('03_Cennik_uslug_nowy'!$N:$N,'03_Cennik_uslug_nowy'!$A:$A,$A66,'03_Cennik_uslug_nowy'!$B:$B,"S")</x:f>
        <x:v>827</x:v>
      </x:c>
      <x:c r="P66" s="8" t="n">
        <x:f>SUMIFS('03_Cennik_uslug_nowy'!$N:$N,'03_Cennik_uslug_nowy'!$A:$A,$A66,'03_Cennik_uslug_nowy'!$B:$B,"U")</x:f>
        <x:v>752</x:v>
      </x:c>
      <x:c r="Q66" s="8" t="n">
        <x:f>SUMIFS('03_Cennik_uslug_nowy'!$N:$N,'03_Cennik_uslug_nowy'!$A:$A,$A66,'03_Cennik_uslug_nowy'!$B:$B,"ZAB")</x:f>
        <x:v>765</x:v>
      </x:c>
      <x:c r="R66" s="8" t="n">
        <x:f>SUMIFS('03_Cennik_uslug_nowy'!$N:$N,'03_Cennik_uslug_nowy'!$A:$A,$A66,'03_Cennik_uslug_nowy'!$B:$B,"LEDCCT")</x:f>
        <x:v>4740</x:v>
      </x:c>
      <x:c r="S66" s="8" t="n"/>
    </x:row>
    <x:row r="67">
      <x:c r="A67" s="6" t="inlineStr">
        <x:is>
          <x:t xml:space="preserve">600 x 806 cm</x:t>
        </x:is>
      </x:c>
      <x:c r="B67" s="8" t="n">
        <x:f>SUMIFS('03_Cennik_uslug_nowy'!$N:$N,'03_Cennik_uslug_nowy'!$A:$A,$A67,'03_Cennik_uslug_nowy'!$B:$B,"ZP")</x:f>
        <x:v>41473</x:v>
      </x:c>
      <x:c r="C67" s="8" t="n">
        <x:f>ROUND(((SUMIFS('03_Cennik_uslug_nowy'!$J:$J,'03_Cennik_uslug_nowy'!$A:$A,$A67,'03_Cennik_uslug_nowy'!$B:$B,"OP")+SUMIFS('03_Cennik_uslug_nowy'!$K:$K,'03_Cennik_uslug_nowy'!$A:$A,$A67,'03_Cennik_uslug_nowy'!$B:$B,"OP"))-(SUMIFS('03_Cennik_uslug_nowy'!$J:$J,'03_Cennik_uslug_nowy'!$A:$A,$A67,'03_Cennik_uslug_nowy'!$B:$B,"ZP")+SUMIFS('03_Cennik_uslug_nowy'!$K:$K,'03_Cennik_uslug_nowy'!$A:$A,$A67,'03_Cennik_uslug_nowy'!$B:$B,"ZP")))*(IF('01_Ustawienia'!$B$4="ZWOLNIONY",1,1+'01_Ustawienia'!$B$7)),0)</x:f>
        <x:v>28493</x:v>
      </x:c>
      <x:c r="D67" s="8" t="n">
        <x:f>C67+SUMIFS('03_Cennik_uslug_nowy'!$N:$N,'03_Cennik_uslug_nowy'!$A:$A,$A67,'03_Cennik_uslug_nowy'!$B:$B,"SBB")</x:f>
        <x:v>31548</x:v>
      </x:c>
      <x:c r="E67" s="8" t="n">
        <x:f>SUMIFS('03_Cennik_uslug_nowy'!$N:$N,'03_Cennik_uslug_nowy'!$A:$A,$A67,'03_Cennik_uslug_nowy'!$B:$B,"PDPB")</x:f>
        <x:v>1057</x:v>
      </x:c>
      <x:c r="F67" s="8" t="n">
        <x:f>SUMIFS('03_Cennik_uslug_nowy'!$N:$N,'03_Cennik_uslug_nowy'!$A:$A,$A67,'03_Cennik_uslug_nowy'!$B:$B,"PDS")</x:f>
        <x:v>-35241</x:v>
      </x:c>
      <x:c r="G67" s="8" t="n">
        <x:f>F67+SUMIFS('03_Cennik_uslug_nowy'!$N:$N,'03_Cennik_uslug_nowy'!$A:$A,$A67,'03_Cennik_uslug_nowy'!$B:$B,"PDSB")</x:f>
        <x:v>-35241</x:v>
      </x:c>
      <x:c r="H67" s="8" t="n">
        <x:f>SUMIFS('03_Cennik_uslug_nowy'!$N:$N,'03_Cennik_uslug_nowy'!$A:$A,$A67,'03_Cennik_uslug_nowy'!$B:$B,"RB")</x:f>
        <x:v>5437</x:v>
      </x:c>
      <x:c r="I67" s="8" t="n">
        <x:f>SUMIFS('03_Cennik_uslug_nowy'!$N:$N,'03_Cennik_uslug_nowy'!$A:$A,$A67,'03_Cennik_uslug_nowy'!$B:$B,"RB")</x:f>
        <x:v>5437</x:v>
      </x:c>
      <x:c r="J67" s="8" t="n">
        <x:f>SUMIFS('03_Cennik_uslug_nowy'!$N:$N,'03_Cennik_uslug_nowy'!$A:$A,$A67,'03_Cennik_uslug_nowy'!$B:$B,"RP")</x:f>
        <x:v>6723</x:v>
      </x:c>
      <x:c r="K67" s="8" t="n">
        <x:f>SUMIFS('03_Cennik_uslug_nowy'!$N:$N,'03_Cennik_uslug_nowy'!$A:$A,$A67,'03_Cennik_uslug_nowy'!$B:$B,"M")</x:f>
        <x:v>12183</x:v>
      </x:c>
      <x:c r="L67" s="8" t="n">
        <x:f>SUMIFS('03_Cennik_uslug_nowy'!$N:$N,'03_Cennik_uslug_nowy'!$A:$A,$A67,'03_Cennik_uslug_nowy'!$B:$B,"PDWP")</x:f>
        <x:v>3834</x:v>
      </x:c>
      <x:c r="M67" s="8" t="n">
        <x:f>IF(VALUE(LEFT($A67,3))&gt;=450,SUMIFS('03_Cennik_uslug_nowy'!$N:$N,'03_Cennik_uslug_nowy'!$A:$A,$A67,'03_Cennik_uslug_nowy'!$B:$B,"LED3"),SUMIFS('03_Cennik_uslug_nowy'!$N:$N,'03_Cennik_uslug_nowy'!$A:$A,$A67,'03_Cennik_uslug_nowy'!$B:$B,"LED2"))</x:f>
        <x:v>1834</x:v>
      </x:c>
      <x:c r="N67" s="550" t="n">
        <x:f>SUMIFS('03_Cennik_uslug_nowy'!$N:$N,'03_Cennik_uslug_nowy'!$A:$A,$A67,'03_Cennik_uslug_nowy'!$B:$B,"LED3")</x:f>
        <x:v>1834</x:v>
      </x:c>
      <x:c r="O67" s="8" t="n">
        <x:f>SUMIFS('03_Cennik_uslug_nowy'!$N:$N,'03_Cennik_uslug_nowy'!$A:$A,$A67,'03_Cennik_uslug_nowy'!$B:$B,"S")</x:f>
        <x:v>878</x:v>
      </x:c>
      <x:c r="P67" s="8" t="n">
        <x:f>SUMIFS('03_Cennik_uslug_nowy'!$N:$N,'03_Cennik_uslug_nowy'!$A:$A,$A67,'03_Cennik_uslug_nowy'!$B:$B,"U")</x:f>
        <x:v>789</x:v>
      </x:c>
      <x:c r="Q67" s="8" t="n">
        <x:f>SUMIFS('03_Cennik_uslug_nowy'!$N:$N,'03_Cennik_uslug_nowy'!$A:$A,$A67,'03_Cennik_uslug_nowy'!$B:$B,"ZAB")</x:f>
        <x:v>814</x:v>
      </x:c>
      <x:c r="R67" s="8" t="n">
        <x:f>SUMIFS('03_Cennik_uslug_nowy'!$N:$N,'03_Cennik_uslug_nowy'!$A:$A,$A67,'03_Cennik_uslug_nowy'!$B:$B,"LEDCCT")</x:f>
        <x:v>5165</x:v>
      </x:c>
      <x:c r="S67" s="8" t="n"/>
    </x:row>
    <x:row r="68">
      <x:c r="A68" s="6" t="inlineStr">
        <x:is>
          <x:t xml:space="preserve">600 x 906 cm</x:t>
        </x:is>
      </x:c>
      <x:c r="B68" s="8" t="n">
        <x:f>SUMIFS('03_Cennik_uslug_nowy'!$N:$N,'03_Cennik_uslug_nowy'!$A:$A,$A68,'03_Cennik_uslug_nowy'!$B:$B,"ZP")</x:f>
        <x:v>46573</x:v>
      </x:c>
      <x:c r="C68" s="8" t="n">
        <x:f>ROUND(((SUMIFS('03_Cennik_uslug_nowy'!$J:$J,'03_Cennik_uslug_nowy'!$A:$A,$A68,'03_Cennik_uslug_nowy'!$B:$B,"OP")+SUMIFS('03_Cennik_uslug_nowy'!$K:$K,'03_Cennik_uslug_nowy'!$A:$A,$A68,'03_Cennik_uslug_nowy'!$B:$B,"OP"))-(SUMIFS('03_Cennik_uslug_nowy'!$J:$J,'03_Cennik_uslug_nowy'!$A:$A,$A68,'03_Cennik_uslug_nowy'!$B:$B,"ZP")+SUMIFS('03_Cennik_uslug_nowy'!$K:$K,'03_Cennik_uslug_nowy'!$A:$A,$A68,'03_Cennik_uslug_nowy'!$B:$B,"ZP")))*(IF('01_Ustawienia'!$B$4="ZWOLNIONY",1,1+'01_Ustawienia'!$B$7)),0)</x:f>
        <x:v>29956</x:v>
      </x:c>
      <x:c r="D68" s="8" t="n">
        <x:f>C68+SUMIFS('03_Cennik_uslug_nowy'!$N:$N,'03_Cennik_uslug_nowy'!$A:$A,$A68,'03_Cennik_uslug_nowy'!$B:$B,"SBB")</x:f>
        <x:v>33165</x:v>
      </x:c>
      <x:c r="E68" s="8" t="n">
        <x:f>SUMIFS('03_Cennik_uslug_nowy'!$N:$N,'03_Cennik_uslug_nowy'!$A:$A,$A68,'03_Cennik_uslug_nowy'!$B:$B,"PDPB")</x:f>
        <x:v>1197</x:v>
      </x:c>
      <x:c r="F68" s="8" t="n">
        <x:f>SUMIFS('03_Cennik_uslug_nowy'!$N:$N,'03_Cennik_uslug_nowy'!$A:$A,$A68,'03_Cennik_uslug_nowy'!$B:$B,"PDS")</x:f>
        <x:v>-40028</x:v>
      </x:c>
      <x:c r="G68" s="8" t="n">
        <x:f>F68+SUMIFS('03_Cennik_uslug_nowy'!$N:$N,'03_Cennik_uslug_nowy'!$A:$A,$A68,'03_Cennik_uslug_nowy'!$B:$B,"PDSB")</x:f>
        <x:v>-40028</x:v>
      </x:c>
      <x:c r="H68" s="8" t="n">
        <x:f>SUMIFS('03_Cennik_uslug_nowy'!$N:$N,'03_Cennik_uslug_nowy'!$A:$A,$A68,'03_Cennik_uslug_nowy'!$B:$B,"RB")</x:f>
        <x:v>5437</x:v>
      </x:c>
      <x:c r="I68" s="8" t="n">
        <x:f>SUMIFS('03_Cennik_uslug_nowy'!$N:$N,'03_Cennik_uslug_nowy'!$A:$A,$A68,'03_Cennik_uslug_nowy'!$B:$B,"RB")</x:f>
        <x:v>5437</x:v>
      </x:c>
      <x:c r="J68" s="8" t="n">
        <x:f>SUMIFS('03_Cennik_uslug_nowy'!$N:$N,'03_Cennik_uslug_nowy'!$A:$A,$A68,'03_Cennik_uslug_nowy'!$B:$B,"RP")</x:f>
        <x:v>8148</x:v>
      </x:c>
      <x:c r="K68" s="8" t="n">
        <x:f>SUMIFS('03_Cennik_uslug_nowy'!$N:$N,'03_Cennik_uslug_nowy'!$A:$A,$A68,'03_Cennik_uslug_nowy'!$B:$B,"M")</x:f>
        <x:v>13165</x:v>
      </x:c>
      <x:c r="L68" s="8" t="n">
        <x:f>SUMIFS('03_Cennik_uslug_nowy'!$N:$N,'03_Cennik_uslug_nowy'!$A:$A,$A68,'03_Cennik_uslug_nowy'!$B:$B,"PDWP")</x:f>
        <x:v>4083</x:v>
      </x:c>
      <x:c r="M68" s="8" t="n">
        <x:f>IF(VALUE(LEFT($A68,3))&gt;=450,SUMIFS('03_Cennik_uslug_nowy'!$N:$N,'03_Cennik_uslug_nowy'!$A:$A,$A68,'03_Cennik_uslug_nowy'!$B:$B,"LED3"),SUMIFS('03_Cennik_uslug_nowy'!$N:$N,'03_Cennik_uslug_nowy'!$A:$A,$A68,'03_Cennik_uslug_nowy'!$B:$B,"LED2"))</x:f>
        <x:v>1986</x:v>
      </x:c>
      <x:c r="N68" s="550" t="n">
        <x:f>SUMIFS('03_Cennik_uslug_nowy'!$N:$N,'03_Cennik_uslug_nowy'!$A:$A,$A68,'03_Cennik_uslug_nowy'!$B:$B,"LED3")</x:f>
        <x:v>1986</x:v>
      </x:c>
      <x:c r="O68" s="8" t="n">
        <x:f>SUMIFS('03_Cennik_uslug_nowy'!$N:$N,'03_Cennik_uslug_nowy'!$A:$A,$A68,'03_Cennik_uslug_nowy'!$B:$B,"S")</x:f>
        <x:v>916</x:v>
      </x:c>
      <x:c r="P68" s="8" t="n">
        <x:f>SUMIFS('03_Cennik_uslug_nowy'!$N:$N,'03_Cennik_uslug_nowy'!$A:$A,$A68,'03_Cennik_uslug_nowy'!$B:$B,"U")</x:f>
        <x:v>841</x:v>
      </x:c>
      <x:c r="Q68" s="8" t="n">
        <x:f>SUMIFS('03_Cennik_uslug_nowy'!$N:$N,'03_Cennik_uslug_nowy'!$A:$A,$A68,'03_Cennik_uslug_nowy'!$B:$B,"ZAB")</x:f>
        <x:v>814</x:v>
      </x:c>
      <x:c r="R68" s="8" t="n">
        <x:f>SUMIFS('03_Cennik_uslug_nowy'!$N:$N,'03_Cennik_uslug_nowy'!$A:$A,$A68,'03_Cennik_uslug_nowy'!$B:$B,"LEDCCT")</x:f>
        <x:v>5538</x:v>
      </x:c>
      <x:c r="S68" s="8" t="n"/>
    </x:row>
    <x:row r="69">
      <x:c r="A69" s="6" t="inlineStr">
        <x:is>
          <x:t xml:space="preserve">600 x 1006 cm</x:t>
        </x:is>
      </x:c>
      <x:c r="B69" s="8" t="n">
        <x:f>SUMIFS('03_Cennik_uslug_nowy'!$N:$N,'03_Cennik_uslug_nowy'!$A:$A,$A69,'03_Cennik_uslug_nowy'!$B:$B,"ZP")</x:f>
        <x:v>51090</x:v>
      </x:c>
      <x:c r="C69" s="8" t="n">
        <x:f>ROUND(((SUMIFS('03_Cennik_uslug_nowy'!$J:$J,'03_Cennik_uslug_nowy'!$A:$A,$A69,'03_Cennik_uslug_nowy'!$B:$B,"OP")+SUMIFS('03_Cennik_uslug_nowy'!$K:$K,'03_Cennik_uslug_nowy'!$A:$A,$A69,'03_Cennik_uslug_nowy'!$B:$B,"OP"))-(SUMIFS('03_Cennik_uslug_nowy'!$J:$J,'03_Cennik_uslug_nowy'!$A:$A,$A69,'03_Cennik_uslug_nowy'!$B:$B,"ZP")+SUMIFS('03_Cennik_uslug_nowy'!$K:$K,'03_Cennik_uslug_nowy'!$A:$A,$A69,'03_Cennik_uslug_nowy'!$B:$B,"ZP")))*(IF('01_Ustawienia'!$B$4="ZWOLNIONY",1,1+'01_Ustawienia'!$B$7)),0)</x:f>
        <x:v>31371</x:v>
      </x:c>
      <x:c r="D69" s="8" t="n">
        <x:f>C69+SUMIFS('03_Cennik_uslug_nowy'!$N:$N,'03_Cennik_uslug_nowy'!$A:$A,$A69,'03_Cennik_uslug_nowy'!$B:$B,"SBB")</x:f>
        <x:v>34732</x:v>
      </x:c>
      <x:c r="E69" s="8" t="n">
        <x:f>SUMIFS('03_Cennik_uslug_nowy'!$N:$N,'03_Cennik_uslug_nowy'!$A:$A,$A69,'03_Cennik_uslug_nowy'!$B:$B,"PDPB")</x:f>
        <x:v>1325</x:v>
      </x:c>
      <x:c r="F69" s="8" t="n">
        <x:f>SUMIFS('03_Cennik_uslug_nowy'!$N:$N,'03_Cennik_uslug_nowy'!$A:$A,$A69,'03_Cennik_uslug_nowy'!$B:$B,"PDS")</x:f>
        <x:v>-44178</x:v>
      </x:c>
      <x:c r="G69" s="8" t="n">
        <x:f>F69+SUMIFS('03_Cennik_uslug_nowy'!$N:$N,'03_Cennik_uslug_nowy'!$A:$A,$A69,'03_Cennik_uslug_nowy'!$B:$B,"PDSB")</x:f>
        <x:v>-44178</x:v>
      </x:c>
      <x:c r="H69" s="8" t="n">
        <x:f>SUMIFS('03_Cennik_uslug_nowy'!$N:$N,'03_Cennik_uslug_nowy'!$A:$A,$A69,'03_Cennik_uslug_nowy'!$B:$B,"RB")</x:f>
        <x:v>5437</x:v>
      </x:c>
      <x:c r="I69" s="8" t="n">
        <x:f>SUMIFS('03_Cennik_uslug_nowy'!$N:$N,'03_Cennik_uslug_nowy'!$A:$A,$A69,'03_Cennik_uslug_nowy'!$B:$B,"RB")</x:f>
        <x:v>5437</x:v>
      </x:c>
      <x:c r="J69" s="8" t="n">
        <x:f>SUMIFS('03_Cennik_uslug_nowy'!$N:$N,'03_Cennik_uslug_nowy'!$A:$A,$A69,'03_Cennik_uslug_nowy'!$B:$B,"RP")</x:f>
        <x:v>8798</x:v>
      </x:c>
      <x:c r="K69" s="8" t="n">
        <x:f>SUMIFS('03_Cennik_uslug_nowy'!$N:$N,'03_Cennik_uslug_nowy'!$A:$A,$A69,'03_Cennik_uslug_nowy'!$B:$B,"M")</x:f>
        <x:v>14158</x:v>
      </x:c>
      <x:c r="L69" s="8" t="n">
        <x:f>SUMIFS('03_Cennik_uslug_nowy'!$N:$N,'03_Cennik_uslug_nowy'!$A:$A,$A69,'03_Cennik_uslug_nowy'!$B:$B,"PDWP")</x:f>
        <x:v>4376</x:v>
      </x:c>
      <x:c r="M69" s="8" t="n">
        <x:f>IF(VALUE(LEFT($A69,3))&gt;=450,SUMIFS('03_Cennik_uslug_nowy'!$N:$N,'03_Cennik_uslug_nowy'!$A:$A,$A69,'03_Cennik_uslug_nowy'!$B:$B,"LED3"),SUMIFS('03_Cennik_uslug_nowy'!$N:$N,'03_Cennik_uslug_nowy'!$A:$A,$A69,'03_Cennik_uslug_nowy'!$B:$B,"LED2"))</x:f>
        <x:v>2100</x:v>
      </x:c>
      <x:c r="N69" s="550" t="n">
        <x:f>SUMIFS('03_Cennik_uslug_nowy'!$N:$N,'03_Cennik_uslug_nowy'!$A:$A,$A69,'03_Cennik_uslug_nowy'!$B:$B,"LED3")</x:f>
        <x:v>2100</x:v>
      </x:c>
      <x:c r="O69" s="8" t="n">
        <x:f>SUMIFS('03_Cennik_uslug_nowy'!$N:$N,'03_Cennik_uslug_nowy'!$A:$A,$A69,'03_Cennik_uslug_nowy'!$B:$B,"S")</x:f>
        <x:v>968</x:v>
      </x:c>
      <x:c r="P69" s="8" t="n">
        <x:f>SUMIFS('03_Cennik_uslug_nowy'!$N:$N,'03_Cennik_uslug_nowy'!$A:$A,$A69,'03_Cennik_uslug_nowy'!$B:$B,"U")</x:f>
        <x:v>878</x:v>
      </x:c>
      <x:c r="Q69" s="8" t="n">
        <x:f>SUMIFS('03_Cennik_uslug_nowy'!$N:$N,'03_Cennik_uslug_nowy'!$A:$A,$A69,'03_Cennik_uslug_nowy'!$B:$B,"ZAB")</x:f>
        <x:v>866</x:v>
      </x:c>
      <x:c r="R69" s="8" t="n">
        <x:f>SUMIFS('03_Cennik_uslug_nowy'!$N:$N,'03_Cennik_uslug_nowy'!$A:$A,$A69,'03_Cennik_uslug_nowy'!$B:$B,"LEDCCT")</x:f>
        <x:v>5476</x:v>
      </x:c>
      <x:c r="S69" s="8" t="n"/>
    </x:row>
    <x:row r="70">
      <x:c r="A70" s="6" t="inlineStr">
        <x:is>
          <x:t xml:space="preserve">600 x 1106 cm</x:t>
        </x:is>
      </x:c>
      <x:c r="B70" s="8" t="n">
        <x:f>SUMIFS('03_Cennik_uslug_nowy'!$N:$N,'03_Cennik_uslug_nowy'!$A:$A,$A70,'03_Cennik_uslug_nowy'!$B:$B,"ZP")</x:f>
        <x:v>55567</x:v>
      </x:c>
      <x:c r="C70" s="8" t="n">
        <x:f>ROUND(((SUMIFS('03_Cennik_uslug_nowy'!$J:$J,'03_Cennik_uslug_nowy'!$A:$A,$A70,'03_Cennik_uslug_nowy'!$B:$B,"OP")+SUMIFS('03_Cennik_uslug_nowy'!$K:$K,'03_Cennik_uslug_nowy'!$A:$A,$A70,'03_Cennik_uslug_nowy'!$B:$B,"OP"))-(SUMIFS('03_Cennik_uslug_nowy'!$J:$J,'03_Cennik_uslug_nowy'!$A:$A,$A70,'03_Cennik_uslug_nowy'!$B:$B,"ZP")+SUMIFS('03_Cennik_uslug_nowy'!$K:$K,'03_Cennik_uslug_nowy'!$A:$A,$A70,'03_Cennik_uslug_nowy'!$B:$B,"ZP")))*(IF('01_Ustawienia'!$B$4="ZWOLNIONY",1,1+'01_Ustawienia'!$B$7)),0)</x:f>
        <x:v>31509</x:v>
      </x:c>
      <x:c r="D70" s="8" t="n">
        <x:f>C70+SUMIFS('03_Cennik_uslug_nowy'!$N:$N,'03_Cennik_uslug_nowy'!$A:$A,$A70,'03_Cennik_uslug_nowy'!$B:$B,"SBB")</x:f>
        <x:v>35023</x:v>
      </x:c>
      <x:c r="E70" s="8" t="n">
        <x:f>SUMIFS('03_Cennik_uslug_nowy'!$N:$N,'03_Cennik_uslug_nowy'!$A:$A,$A70,'03_Cennik_uslug_nowy'!$B:$B,"PDPB")</x:f>
        <x:v>1464</x:v>
      </x:c>
      <x:c r="F70" s="8" t="n">
        <x:f>SUMIFS('03_Cennik_uslug_nowy'!$N:$N,'03_Cennik_uslug_nowy'!$A:$A,$A70,'03_Cennik_uslug_nowy'!$B:$B,"PDS")</x:f>
        <x:v>-48407</x:v>
      </x:c>
      <x:c r="G70" s="8" t="n">
        <x:f>F70+SUMIFS('03_Cennik_uslug_nowy'!$N:$N,'03_Cennik_uslug_nowy'!$A:$A,$A70,'03_Cennik_uslug_nowy'!$B:$B,"PDSB")</x:f>
        <x:v>-48407</x:v>
      </x:c>
      <x:c r="H70" s="8" t="n">
        <x:f>SUMIFS('03_Cennik_uslug_nowy'!$N:$N,'03_Cennik_uslug_nowy'!$A:$A,$A70,'03_Cennik_uslug_nowy'!$B:$B,"RB")</x:f>
        <x:v>5437</x:v>
      </x:c>
      <x:c r="I70" s="8" t="n">
        <x:f>SUMIFS('03_Cennik_uslug_nowy'!$N:$N,'03_Cennik_uslug_nowy'!$A:$A,$A70,'03_Cennik_uslug_nowy'!$B:$B,"RB")</x:f>
        <x:v>5437</x:v>
      </x:c>
      <x:c r="J70" s="8" t="n">
        <x:f>SUMIFS('03_Cennik_uslug_nowy'!$N:$N,'03_Cennik_uslug_nowy'!$A:$A,$A70,'03_Cennik_uslug_nowy'!$B:$B,"RP")</x:f>
        <x:v>9448</x:v>
      </x:c>
      <x:c r="K70" s="8" t="n">
        <x:f>SUMIFS('03_Cennik_uslug_nowy'!$N:$N,'03_Cennik_uslug_nowy'!$A:$A,$A70,'03_Cennik_uslug_nowy'!$B:$B,"M")</x:f>
        <x:v>17494</x:v>
      </x:c>
      <x:c r="L70" s="8" t="n">
        <x:f>SUMIFS('03_Cennik_uslug_nowy'!$N:$N,'03_Cennik_uslug_nowy'!$A:$A,$A70,'03_Cennik_uslug_nowy'!$B:$B,"PDWP")</x:f>
        <x:v>4969</x:v>
      </x:c>
      <x:c r="M70" s="8" t="n">
        <x:f>IF(VALUE(LEFT($A70,3))&gt;=450,SUMIFS('03_Cennik_uslug_nowy'!$N:$N,'03_Cennik_uslug_nowy'!$A:$A,$A70,'03_Cennik_uslug_nowy'!$B:$B,"LED3"),SUMIFS('03_Cennik_uslug_nowy'!$N:$N,'03_Cennik_uslug_nowy'!$A:$A,$A70,'03_Cennik_uslug_nowy'!$B:$B,"LED2"))</x:f>
        <x:v>2254</x:v>
      </x:c>
      <x:c r="N70" s="550" t="n">
        <x:f>SUMIFS('03_Cennik_uslug_nowy'!$N:$N,'03_Cennik_uslug_nowy'!$A:$A,$A70,'03_Cennik_uslug_nowy'!$B:$B,"LED3")</x:f>
        <x:v>2254</x:v>
      </x:c>
      <x:c r="O70" s="8" t="n">
        <x:f>SUMIFS('03_Cennik_uslug_nowy'!$N:$N,'03_Cennik_uslug_nowy'!$A:$A,$A70,'03_Cennik_uslug_nowy'!$B:$B,"S")</x:f>
        <x:v>1018</x:v>
      </x:c>
      <x:c r="P70" s="8" t="n">
        <x:f>SUMIFS('03_Cennik_uslug_nowy'!$N:$N,'03_Cennik_uslug_nowy'!$A:$A,$A70,'03_Cennik_uslug_nowy'!$B:$B,"U")</x:f>
        <x:v>916</x:v>
      </x:c>
      <x:c r="Q70" s="8" t="n">
        <x:f>SUMIFS('03_Cennik_uslug_nowy'!$N:$N,'03_Cennik_uslug_nowy'!$A:$A,$A70,'03_Cennik_uslug_nowy'!$B:$B,"ZAB")</x:f>
        <x:v>916</x:v>
      </x:c>
      <x:c r="R70" s="8" t="n">
        <x:f>SUMIFS('03_Cennik_uslug_nowy'!$N:$N,'03_Cennik_uslug_nowy'!$A:$A,$A70,'03_Cennik_uslug_nowy'!$B:$B,"LEDCCT")</x:f>
        <x:v>5899</x:v>
      </x:c>
      <x:c r="S70" s="8" t="n"/>
    </x:row>
    <x:row r="71">
      <x:c r="A71" s="6" t="inlineStr">
        <x:is>
          <x:t xml:space="preserve">600 x 1206 cm</x:t>
        </x:is>
      </x:c>
      <x:c r="B71" s="8" t="n">
        <x:f>SUMIFS('03_Cennik_uslug_nowy'!$N:$N,'03_Cennik_uslug_nowy'!$A:$A,$A71,'03_Cennik_uslug_nowy'!$B:$B,"ZP")</x:f>
        <x:v>60059</x:v>
      </x:c>
      <x:c r="C71" s="8" t="n">
        <x:f>ROUND(((SUMIFS('03_Cennik_uslug_nowy'!$J:$J,'03_Cennik_uslug_nowy'!$A:$A,$A71,'03_Cennik_uslug_nowy'!$B:$B,"OP")+SUMIFS('03_Cennik_uslug_nowy'!$K:$K,'03_Cennik_uslug_nowy'!$A:$A,$A71,'03_Cennik_uslug_nowy'!$B:$B,"OP"))-(SUMIFS('03_Cennik_uslug_nowy'!$J:$J,'03_Cennik_uslug_nowy'!$A:$A,$A71,'03_Cennik_uslug_nowy'!$B:$B,"ZP")+SUMIFS('03_Cennik_uslug_nowy'!$K:$K,'03_Cennik_uslug_nowy'!$A:$A,$A71,'03_Cennik_uslug_nowy'!$B:$B,"ZP")))*(IF('01_Ustawienia'!$B$4="ZWOLNIONY",1,1+'01_Ustawienia'!$B$7)),0)</x:f>
        <x:v>32583</x:v>
      </x:c>
      <x:c r="D71" s="8" t="n">
        <x:f>C71+SUMIFS('03_Cennik_uslug_nowy'!$N:$N,'03_Cennik_uslug_nowy'!$A:$A,$A71,'03_Cennik_uslug_nowy'!$B:$B,"SBB")</x:f>
        <x:v>36249</x:v>
      </x:c>
      <x:c r="E71" s="8" t="n">
        <x:f>SUMIFS('03_Cennik_uslug_nowy'!$N:$N,'03_Cennik_uslug_nowy'!$A:$A,$A71,'03_Cennik_uslug_nowy'!$B:$B,"PDPB")</x:f>
        <x:v>1591</x:v>
      </x:c>
      <x:c r="F71" s="8" t="n">
        <x:f>SUMIFS('03_Cennik_uslug_nowy'!$N:$N,'03_Cennik_uslug_nowy'!$A:$A,$A71,'03_Cennik_uslug_nowy'!$B:$B,"PDS")</x:f>
        <x:v>-52531</x:v>
      </x:c>
      <x:c r="G71" s="8" t="n">
        <x:f>F71+SUMIFS('03_Cennik_uslug_nowy'!$N:$N,'03_Cennik_uslug_nowy'!$A:$A,$A71,'03_Cennik_uslug_nowy'!$B:$B,"PDSB")</x:f>
        <x:v>-52531</x:v>
      </x:c>
      <x:c r="H71" s="8" t="n">
        <x:f>SUMIFS('03_Cennik_uslug_nowy'!$N:$N,'03_Cennik_uslug_nowy'!$A:$A,$A71,'03_Cennik_uslug_nowy'!$B:$B,"RB")</x:f>
        <x:v>5437</x:v>
      </x:c>
      <x:c r="I71" s="8" t="n">
        <x:f>SUMIFS('03_Cennik_uslug_nowy'!$N:$N,'03_Cennik_uslug_nowy'!$A:$A,$A71,'03_Cennik_uslug_nowy'!$B:$B,"RB")</x:f>
        <x:v>5437</x:v>
      </x:c>
      <x:c r="J71" s="8" t="n">
        <x:f>SUMIFS('03_Cennik_uslug_nowy'!$N:$N,'03_Cennik_uslug_nowy'!$A:$A,$A71,'03_Cennik_uslug_nowy'!$B:$B,"RP")</x:f>
        <x:v>10084</x:v>
      </x:c>
      <x:c r="K71" s="8" t="n">
        <x:f>SUMIFS('03_Cennik_uslug_nowy'!$N:$N,'03_Cennik_uslug_nowy'!$A:$A,$A71,'03_Cennik_uslug_nowy'!$B:$B,"M")</x:f>
        <x:v>17837</x:v>
      </x:c>
      <x:c r="L71" s="8" t="n">
        <x:f>SUMIFS('03_Cennik_uslug_nowy'!$N:$N,'03_Cennik_uslug_nowy'!$A:$A,$A71,'03_Cennik_uslug_nowy'!$B:$B,"PDWP")</x:f>
        <x:v>5573</x:v>
      </x:c>
      <x:c r="M71" s="8" t="n">
        <x:f>IF(VALUE(LEFT($A71,3))&gt;=450,SUMIFS('03_Cennik_uslug_nowy'!$N:$N,'03_Cennik_uslug_nowy'!$A:$A,$A71,'03_Cennik_uslug_nowy'!$B:$B,"LED3"),SUMIFS('03_Cennik_uslug_nowy'!$N:$N,'03_Cennik_uslug_nowy'!$A:$A,$A71,'03_Cennik_uslug_nowy'!$B:$B,"LED2"))</x:f>
        <x:v>2419</x:v>
      </x:c>
      <x:c r="N71" s="550" t="n">
        <x:f>SUMIFS('03_Cennik_uslug_nowy'!$N:$N,'03_Cennik_uslug_nowy'!$A:$A,$A71,'03_Cennik_uslug_nowy'!$B:$B,"LED3")</x:f>
        <x:v>2419</x:v>
      </x:c>
      <x:c r="O71" s="8" t="n">
        <x:f>SUMIFS('03_Cennik_uslug_nowy'!$N:$N,'03_Cennik_uslug_nowy'!$A:$A,$A71,'03_Cennik_uslug_nowy'!$B:$B,"S")</x:f>
        <x:v>1069</x:v>
      </x:c>
      <x:c r="P71" s="8" t="n">
        <x:f>SUMIFS('03_Cennik_uslug_nowy'!$N:$N,'03_Cennik_uslug_nowy'!$A:$A,$A71,'03_Cennik_uslug_nowy'!$B:$B,"U")</x:f>
        <x:v>968</x:v>
      </x:c>
      <x:c r="Q71" s="8" t="n">
        <x:f>SUMIFS('03_Cennik_uslug_nowy'!$N:$N,'03_Cennik_uslug_nowy'!$A:$A,$A71,'03_Cennik_uslug_nowy'!$B:$B,"ZAB")</x:f>
        <x:v>968</x:v>
      </x:c>
      <x:c r="R71" s="8" t="n">
        <x:f>SUMIFS('03_Cennik_uslug_nowy'!$N:$N,'03_Cennik_uslug_nowy'!$A:$A,$A71,'03_Cennik_uslug_nowy'!$B:$B,"LEDCCT")</x:f>
        <x:v>6304</x:v>
      </x:c>
      <x:c r="S71" s="8" t="n"/>
    </x:row>
  </x:sheetData>
  <x:pageMargins left="0.7" right="0.7" top="0.75" bottom="0.75" header="0.3" footer="0.3"/>
  <x:legacyDrawing xmlns:r="http://schemas.openxmlformats.org/officeDocument/2006/relationships" r:id="Raecc681202594587"/>
  <x:tableParts count="1">
    <x:tablePart xmlns:r="http://schemas.openxmlformats.org/officeDocument/2006/relationships" r:id="R62e32d4153bd4099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5" style="655" customWidth="1"/>
    <x:col min="2" max="2" width="12" style="655" customWidth="1"/>
    <x:col min="3" max="3" width="12" style="655" customWidth="1"/>
    <x:col min="4" max="4" width="17" style="655" customWidth="1"/>
    <x:col min="5" max="5" width="19" style="655" customWidth="1"/>
    <x:col min="6" max="6" width="20" style="655" customWidth="1"/>
    <x:col min="7" max="7" width="25" style="655" customWidth="1"/>
    <x:col min="8" max="8" width="24" style="655" customWidth="1"/>
    <x:col min="9" max="9" width="25" style="655" customWidth="1"/>
    <x:col min="10" max="10" width="16" style="655" customWidth="1"/>
    <x:col min="11" max="11" width="17" style="655" customWidth="1"/>
    <x:col min="12" max="12" width="14" style="655" customWidth="1"/>
    <x:col min="13" max="13" width="18" style="655" customWidth="1"/>
    <x:col min="14" max="14" width="17" style="655" customWidth="1"/>
    <x:col min="15" max="15" width="15" style="655" customWidth="1"/>
    <x:col min="16" max="16" width="15" style="655" customWidth="1"/>
    <x:col min="17" max="17" width="15" style="655" customWidth="1"/>
    <x:col min="18" max="18" width="16" style="655" customWidth="1"/>
    <x:col min="19" max="19" width="20" style="655" customWidth="1"/>
    <x:col min="20" max="20" width="22" style="655" customWidth="1"/>
    <x:col min="21" max="21" width="12" style="655" customWidth="1"/>
    <x:col min="22" max="22" width="42" style="655" customWidth="1"/>
  </x:cols>
  <x:sheetData>
    <x:row r="1">
      <x:c r="A1" s="722" t="inlineStr">
        <x:is>
          <x:t xml:space="preserve">dimension</x:t>
        </x:is>
      </x:c>
      <x:c r="B1" s="722" t="inlineStr">
        <x:is>
          <x:t xml:space="preserve">width_cm</x:t>
        </x:is>
      </x:c>
      <x:c r="C1" s="722" t="inlineStr">
        <x:is>
          <x:t xml:space="preserve">depth_cm</x:t>
        </x:is>
      </x:c>
      <x:c r="D1" s="722" t="inlineStr">
        <x:is>
          <x:t xml:space="preserve">base_poly_gross</x:t>
        </x:is>
      </x:c>
      <x:c r="E1" s="722" t="inlineStr">
        <x:is>
          <x:t xml:space="preserve">walls_clear_gross</x:t>
        </x:is>
      </x:c>
      <x:c r="F1" s="722" t="inlineStr">
        <x:is>
          <x:t xml:space="preserve">walls_tinted_gross</x:t>
        </x:is>
      </x:c>
      <x:c r="G1" s="722" t="inlineStr">
        <x:is>
          <x:t xml:space="preserve">roof_poly_colored_gross</x:t>
        </x:is>
      </x:c>
      <x:c r="H1" s="722" t="inlineStr">
        <x:is>
          <x:t xml:space="preserve">roof_glass_clear_gross</x:t>
        </x:is>
      </x:c>
      <x:c r="I1" s="722" t="inlineStr">
        <x:is>
          <x:t xml:space="preserve">roof_glass_tinted_gross</x:t>
        </x:is>
      </x:c>
      <x:c r="J1" s="722" t="inlineStr">
        <x:is>
          <x:t xml:space="preserve">zip_side_gross</x:t>
        </x:is>
      </x:c>
      <x:c r="K1" s="722" t="inlineStr">
        <x:is>
          <x:t xml:space="preserve">zip_front_gross</x:t>
        </x:is>
      </x:c>
      <x:c r="L1" s="722" t="inlineStr">
        <x:is>
          <x:t xml:space="preserve">awning_gross</x:t>
        </x:is>
      </x:c>
      <x:c r="M1" s="722" t="inlineStr">
        <x:is>
          <x:t xml:space="preserve">foundation_gross</x:t>
        </x:is>
      </x:c>
      <x:c r="N1" s="722" t="inlineStr">
        <x:is>
          <x:t xml:space="preserve">led_point_gross</x:t>
        </x:is>
      </x:c>
      <x:c r="O1" s="722" t="inlineStr">
        <x:is>
          <x:t xml:space="preserve">led_cct_gross</x:t>
        </x:is>
      </x:c>
      <x:c r="P1" s="722" t="inlineStr">
        <x:is>
          <x:t xml:space="preserve">brushes_gross</x:t>
        </x:is>
      </x:c>
      <x:c r="Q1" s="722" t="inlineStr">
        <x:is>
          <x:t xml:space="preserve">handles_gross</x:t>
        </x:is>
      </x:c>
      <x:c r="R1" s="722" t="inlineStr">
        <x:is>
          <x:t xml:space="preserve">carriers_gross</x:t>
        </x:is>
      </x:c>
      <x:c r="S1" s="722" t="inlineStr">
        <x:is>
          <x:t xml:space="preserve">is_glass_available</x:t>
        </x:is>
      </x:c>
      <x:c r="T1" s="722" t="inlineStr">
        <x:is>
          <x:t xml:space="preserve">is_led_rgb_available</x:t>
        </x:is>
      </x:c>
      <x:c r="U1" s="722" t="inlineStr">
        <x:is>
          <x:t xml:space="preserve">status</x:t>
        </x:is>
      </x:c>
      <x:c r="V1" s="722" t="inlineStr">
        <x:is>
          <x:t xml:space="preserve">notes</x:t>
        </x:is>
      </x:c>
    </x:row>
    <x:row r="2">
      <x:c r="A2" s="757" t="inlineStr">
        <x:is>
          <x:t xml:space="preserve">300 x 306 cm</x:t>
        </x:is>
      </x:c>
      <x:c r="B2" s="757" t="n">
        <x:v>300</x:v>
      </x:c>
      <x:c r="C2" s="757" t="n">
        <x:v>306</x:v>
      </x:c>
      <x:c r="D2" s="766" t="n">
        <x:v>8013</x:v>
      </x:c>
      <x:c r="E2" s="766" t="n">
        <x:v>13549</x:v>
      </x:c>
      <x:c r="F2" s="766" t="n">
        <x:v>14924</x:v>
      </x:c>
      <x:c r="G2" s="766" t="n">
        <x:v>153</x:v>
      </x:c>
      <x:c r="H2" s="766" t="n">
        <x:v>2100</x:v>
      </x:c>
      <x:c r="I2" s="766" t="n">
        <x:v>2532</x:v>
      </x:c>
      <x:c r="J2" s="766" t="n">
        <x:v>2725</x:v>
      </x:c>
      <x:c r="K2" s="766" t="n">
        <x:v>2725</x:v>
      </x:c>
      <x:c r="L2" s="766" t="n">
        <x:v>4966</x:v>
      </x:c>
      <x:c r="M2" s="766" t="n">
        <x:v>1275</x:v>
      </x:c>
      <x:c r="N2" s="766" t="n">
        <x:v>534</x:v>
      </x:c>
      <x:c r="O2" s="766" t="n">
        <x:v>1238</x:v>
      </x:c>
      <x:c r="P2" s="766" t="n">
        <x:v>432</x:v>
      </x:c>
      <x:c r="Q2" s="766" t="n">
        <x:v>394</x:v>
      </x:c>
      <x:c r="R2" s="766" t="n">
        <x:v>306</x:v>
      </x:c>
      <x:c r="S2" s="767" t="inlineStr">
        <x:is>
          <x:t xml:space="preserve">TAK</x:t>
        </x:is>
      </x:c>
      <x:c r="T2" s="767" t="inlineStr">
        <x:is>
          <x:t xml:space="preserve">NIE</x:t>
        </x:is>
      </x:c>
      <x:c r="U2" s="757" t="inlineStr">
        <x:is>
          <x:t xml:space="preserve">OK</x:t>
        </x:is>
      </x:c>
      <x:c r="V2" s="757" t="inlineStr">
        <x:is>
          <x:t xml:space="preserve"/>
        </x:is>
      </x:c>
    </x:row>
    <x:row r="3">
      <x:c r="A3" s="757" t="inlineStr">
        <x:is>
          <x:t xml:space="preserve">300 x 406 cm</x:t>
        </x:is>
      </x:c>
      <x:c r="B3" s="757" t="n">
        <x:v>300</x:v>
      </x:c>
      <x:c r="C3" s="757" t="n">
        <x:v>406</x:v>
      </x:c>
      <x:c r="D3" s="766" t="n">
        <x:v>9799</x:v>
      </x:c>
      <x:c r="E3" s="766" t="n">
        <x:v>14632</x:v>
      </x:c>
      <x:c r="F3" s="766" t="n">
        <x:v>16160</x:v>
      </x:c>
      <x:c r="G3" s="766" t="n">
        <x:v>235</x:v>
      </x:c>
      <x:c r="H3" s="766" t="n">
        <x:v>2864</x:v>
      </x:c>
      <x:c r="I3" s="766" t="n">
        <x:v>3437</x:v>
      </x:c>
      <x:c r="J3" s="766" t="n">
        <x:v>2725</x:v>
      </x:c>
      <x:c r="K3" s="766" t="n">
        <x:v>3361</x:v>
      </x:c>
      <x:c r="L3" s="766" t="n">
        <x:v>5475</x:v>
      </x:c>
      <x:c r="M3" s="766" t="n">
        <x:v>1487</x:v>
      </x:c>
      <x:c r="N3" s="766" t="n">
        <x:v>650</x:v>
      </x:c>
      <x:c r="O3" s="766" t="n">
        <x:v>1441</x:v>
      </x:c>
      <x:c r="P3" s="766" t="n">
        <x:v>484</x:v>
      </x:c>
      <x:c r="Q3" s="766" t="n">
        <x:v>432</x:v>
      </x:c>
      <x:c r="R3" s="766" t="n">
        <x:v>357</x:v>
      </x:c>
      <x:c r="S3" s="767" t="inlineStr">
        <x:is>
          <x:t xml:space="preserve">TAK</x:t>
        </x:is>
      </x:c>
      <x:c r="T3" s="767" t="inlineStr">
        <x:is>
          <x:t xml:space="preserve">NIE</x:t>
        </x:is>
      </x:c>
      <x:c r="U3" s="757" t="inlineStr">
        <x:is>
          <x:t xml:space="preserve">OK</x:t>
        </x:is>
      </x:c>
      <x:c r="V3" s="757" t="inlineStr">
        <x:is>
          <x:t xml:space="preserve"/>
        </x:is>
      </x:c>
    </x:row>
    <x:row r="4">
      <x:c r="A4" s="757" t="inlineStr">
        <x:is>
          <x:t xml:space="preserve">300 x 506 cm</x:t>
        </x:is>
      </x:c>
      <x:c r="B4" s="757" t="n">
        <x:v>300</x:v>
      </x:c>
      <x:c r="C4" s="757" t="n">
        <x:v>506</x:v>
      </x:c>
      <x:c r="D4" s="766" t="n">
        <x:v>11705</x:v>
      </x:c>
      <x:c r="E4" s="766" t="n">
        <x:v>16614</x:v>
      </x:c>
      <x:c r="F4" s="766" t="n">
        <x:v>18294</x:v>
      </x:c>
      <x:c r="G4" s="766" t="n">
        <x:v>318</x:v>
      </x:c>
      <x:c r="H4" s="766" t="n">
        <x:v>3539</x:v>
      </x:c>
      <x:c r="I4" s="766" t="n">
        <x:v>4252</x:v>
      </x:c>
      <x:c r="J4" s="766" t="n">
        <x:v>2725</x:v>
      </x:c>
      <x:c r="K4" s="766" t="n">
        <x:v>4711</x:v>
      </x:c>
      <x:c r="L4" s="766" t="n">
        <x:v>6341</x:v>
      </x:c>
      <x:c r="M4" s="766" t="n">
        <x:v>1758</x:v>
      </x:c>
      <x:c r="N4" s="766" t="n">
        <x:v>765</x:v>
      </x:c>
      <x:c r="O4" s="766" t="n">
        <x:v>1660</x:v>
      </x:c>
      <x:c r="P4" s="766" t="n">
        <x:v>534</x:v>
      </x:c>
      <x:c r="Q4" s="766" t="n">
        <x:v>484</x:v>
      </x:c>
      <x:c r="R4" s="766" t="n">
        <x:v>357</x:v>
      </x:c>
      <x:c r="S4" s="767" t="inlineStr">
        <x:is>
          <x:t xml:space="preserve">TAK</x:t>
        </x:is>
      </x:c>
      <x:c r="T4" s="767" t="inlineStr">
        <x:is>
          <x:t xml:space="preserve">NIE</x:t>
        </x:is>
      </x:c>
      <x:c r="U4" s="757" t="inlineStr">
        <x:is>
          <x:t xml:space="preserve">OK</x:t>
        </x:is>
      </x:c>
      <x:c r="V4" s="757" t="inlineStr">
        <x:is>
          <x:t xml:space="preserve"/>
        </x:is>
      </x:c>
    </x:row>
    <x:row r="5">
      <x:c r="A5" s="757" t="inlineStr">
        <x:is>
          <x:t xml:space="preserve">300 x 606 cm</x:t>
        </x:is>
      </x:c>
      <x:c r="B5" s="757" t="n">
        <x:v>300</x:v>
      </x:c>
      <x:c r="C5" s="757" t="n">
        <x:v>606</x:v>
      </x:c>
      <x:c r="D5" s="766" t="n">
        <x:v>13246</x:v>
      </x:c>
      <x:c r="E5" s="766" t="n">
        <x:v>18052</x:v>
      </x:c>
      <x:c r="F5" s="766" t="n">
        <x:v>19886</x:v>
      </x:c>
      <x:c r="G5" s="766" t="n">
        <x:v>394</x:v>
      </x:c>
      <x:c r="H5" s="766" t="n">
        <x:v>4316</x:v>
      </x:c>
      <x:c r="I5" s="766" t="n">
        <x:v>5169</x:v>
      </x:c>
      <x:c r="J5" s="766" t="n">
        <x:v>2725</x:v>
      </x:c>
      <x:c r="K5" s="766" t="n">
        <x:v>5437</x:v>
      </x:c>
      <x:c r="L5" s="766" t="n">
        <x:v>9930</x:v>
      </x:c>
      <x:c r="M5" s="766" t="n">
        <x:v>2319</x:v>
      </x:c>
      <x:c r="N5" s="766" t="n">
        <x:v>1005</x:v>
      </x:c>
      <x:c r="O5" s="766" t="n">
        <x:v>1660</x:v>
      </x:c>
      <x:c r="P5" s="766" t="n">
        <x:v>585</x:v>
      </x:c>
      <x:c r="Q5" s="766" t="n">
        <x:v>522</x:v>
      </x:c>
      <x:c r="R5" s="766" t="n">
        <x:v>407</x:v>
      </x:c>
      <x:c r="S5" s="767" t="inlineStr">
        <x:is>
          <x:t xml:space="preserve">TAK</x:t>
        </x:is>
      </x:c>
      <x:c r="T5" s="767" t="inlineStr">
        <x:is>
          <x:t xml:space="preserve">NIE</x:t>
        </x:is>
      </x:c>
      <x:c r="U5" s="757" t="inlineStr">
        <x:is>
          <x:t xml:space="preserve">OK</x:t>
        </x:is>
      </x:c>
      <x:c r="V5" s="757" t="inlineStr">
        <x:is>
          <x:t xml:space="preserve"/>
        </x:is>
      </x:c>
    </x:row>
    <x:row r="6">
      <x:c r="A6" s="757" t="inlineStr">
        <x:is>
          <x:t xml:space="preserve">300 x 706 cm</x:t>
        </x:is>
      </x:c>
      <x:c r="B6" s="757" t="n">
        <x:v>300</x:v>
      </x:c>
      <x:c r="C6" s="757" t="n">
        <x:v>706</x:v>
      </x:c>
      <x:c r="D6" s="766" t="n">
        <x:v>15157</x:v>
      </x:c>
      <x:c r="E6" s="766" t="n">
        <x:v>18210</x:v>
      </x:c>
      <x:c r="F6" s="766" t="n">
        <x:v>20196</x:v>
      </x:c>
      <x:c r="G6" s="766" t="n">
        <x:v>471</x:v>
      </x:c>
      <x:c r="H6" s="766" t="n">
        <x:v>5004</x:v>
      </x:c>
      <x:c r="I6" s="766" t="n">
        <x:v>5997</x:v>
      </x:c>
      <x:c r="J6" s="766" t="n">
        <x:v>2725</x:v>
      </x:c>
      <x:c r="K6" s="766" t="n">
        <x:v>6086</x:v>
      </x:c>
      <x:c r="L6" s="766" t="n">
        <x:v>10453</x:v>
      </x:c>
      <x:c r="M6" s="766" t="n">
        <x:v>1913</x:v>
      </x:c>
      <x:c r="N6" s="766" t="n">
        <x:v>1107</x:v>
      </x:c>
      <x:c r="O6" s="766" t="n">
        <x:v>1864</x:v>
      </x:c>
      <x:c r="P6" s="766" t="n">
        <x:v>637</x:v>
      </x:c>
      <x:c r="Q6" s="766" t="n">
        <x:v>573</x:v>
      </x:c>
      <x:c r="R6" s="766" t="n">
        <x:v>459</x:v>
      </x:c>
      <x:c r="S6" s="767" t="inlineStr">
        <x:is>
          <x:t xml:space="preserve">TAK</x:t>
        </x:is>
      </x:c>
      <x:c r="T6" s="767" t="inlineStr">
        <x:is>
          <x:t xml:space="preserve">NIE</x:t>
        </x:is>
      </x:c>
      <x:c r="U6" s="757" t="inlineStr">
        <x:is>
          <x:t xml:space="preserve">OK</x:t>
        </x:is>
      </x:c>
      <x:c r="V6" s="757" t="inlineStr">
        <x:is>
          <x:t xml:space="preserve"/>
        </x:is>
      </x:c>
    </x:row>
    <x:row r="7">
      <x:c r="A7" s="757" t="inlineStr">
        <x:is>
          <x:t xml:space="preserve">300 x 806 cm</x:t>
        </x:is>
      </x:c>
      <x:c r="B7" s="757" t="n">
        <x:v>300</x:v>
      </x:c>
      <x:c r="C7" s="757" t="n">
        <x:v>806</x:v>
      </x:c>
      <x:c r="D7" s="766" t="n">
        <x:v>17655</x:v>
      </x:c>
      <x:c r="E7" s="766" t="n">
        <x:v>19361</x:v>
      </x:c>
      <x:c r="F7" s="766" t="n">
        <x:v>21500</x:v>
      </x:c>
      <x:c r="G7" s="766" t="n">
        <x:v>549</x:v>
      </x:c>
      <x:c r="H7" s="766" t="n">
        <x:v>5958</x:v>
      </x:c>
      <x:c r="I7" s="766" t="n">
        <x:v>7104</x:v>
      </x:c>
      <x:c r="J7" s="766" t="n">
        <x:v>2725</x:v>
      </x:c>
      <x:c r="K7" s="766" t="n">
        <x:v>6723</x:v>
      </x:c>
      <x:c r="L7" s="766" t="n">
        <x:v>10949</x:v>
      </x:c>
      <x:c r="M7" s="766" t="n">
        <x:v>2143</x:v>
      </x:c>
      <x:c r="N7" s="766" t="n">
        <x:v>1221</x:v>
      </x:c>
      <x:c r="O7" s="766" t="n">
        <x:v>2098</x:v>
      </x:c>
      <x:c r="P7" s="766" t="n">
        <x:v>675</x:v>
      </x:c>
      <x:c r="Q7" s="766" t="n">
        <x:v>611</x:v>
      </x:c>
      <x:c r="R7" s="766" t="n">
        <x:v>509</x:v>
      </x:c>
      <x:c r="S7" s="767" t="inlineStr">
        <x:is>
          <x:t xml:space="preserve">TAK</x:t>
        </x:is>
      </x:c>
      <x:c r="T7" s="767" t="inlineStr">
        <x:is>
          <x:t xml:space="preserve">NIE</x:t>
        </x:is>
      </x:c>
      <x:c r="U7" s="757" t="inlineStr">
        <x:is>
          <x:t xml:space="preserve">OK</x:t>
        </x:is>
      </x:c>
      <x:c r="V7" s="757" t="inlineStr">
        <x:is>
          <x:t xml:space="preserve"/>
        </x:is>
      </x:c>
    </x:row>
    <x:row r="8">
      <x:c r="A8" s="757" t="inlineStr">
        <x:is>
          <x:t xml:space="preserve">300 x 906 cm</x:t>
        </x:is>
      </x:c>
      <x:c r="B8" s="757" t="n">
        <x:v>300</x:v>
      </x:c>
      <x:c r="C8" s="757" t="n">
        <x:v>906</x:v>
      </x:c>
      <x:c r="D8" s="766" t="n">
        <x:v>19612</x:v>
      </x:c>
      <x:c r="E8" s="766" t="n">
        <x:v>20895</x:v>
      </x:c>
      <x:c r="F8" s="766" t="n">
        <x:v>23186</x:v>
      </x:c>
      <x:c r="G8" s="766" t="n">
        <x:v>623</x:v>
      </x:c>
      <x:c r="H8" s="766" t="n">
        <x:v>6658</x:v>
      </x:c>
      <x:c r="I8" s="766" t="n">
        <x:v>7931</x:v>
      </x:c>
      <x:c r="J8" s="766" t="n">
        <x:v>2725</x:v>
      </x:c>
      <x:c r="K8" s="766" t="n">
        <x:v>8148</x:v>
      </x:c>
      <x:c r="L8" s="766" t="n">
        <x:v>11815</x:v>
      </x:c>
      <x:c r="M8" s="766" t="n">
        <x:v>2414</x:v>
      </x:c>
      <x:c r="N8" s="766" t="n">
        <x:v>1325</x:v>
      </x:c>
      <x:c r="O8" s="766" t="n">
        <x:v>2333</x:v>
      </x:c>
      <x:c r="P8" s="766" t="n">
        <x:v>725</x:v>
      </x:c>
      <x:c r="Q8" s="766" t="n">
        <x:v>662</x:v>
      </x:c>
      <x:c r="R8" s="766" t="n">
        <x:v>509</x:v>
      </x:c>
      <x:c r="S8" s="767" t="inlineStr">
        <x:is>
          <x:t xml:space="preserve">TAK</x:t>
        </x:is>
      </x:c>
      <x:c r="T8" s="767" t="inlineStr">
        <x:is>
          <x:t xml:space="preserve">NIE</x:t>
        </x:is>
      </x:c>
      <x:c r="U8" s="757" t="inlineStr">
        <x:is>
          <x:t xml:space="preserve">OK</x:t>
        </x:is>
      </x:c>
      <x:c r="V8" s="757" t="inlineStr">
        <x:is>
          <x:t xml:space="preserve"/>
        </x:is>
      </x:c>
    </x:row>
    <x:row r="9">
      <x:c r="A9" s="757" t="inlineStr">
        <x:is>
          <x:t xml:space="preserve">300 x 1006 cm</x:t>
        </x:is>
      </x:c>
      <x:c r="B9" s="757" t="n">
        <x:v>300</x:v>
      </x:c>
      <x:c r="C9" s="757" t="n">
        <x:v>1006</x:v>
      </x:c>
      <x:c r="D9" s="766" t="n">
        <x:v>21559</x:v>
      </x:c>
      <x:c r="E9" s="766" t="n">
        <x:v>22401</x:v>
      </x:c>
      <x:c r="F9" s="766" t="n">
        <x:v>24845</x:v>
      </x:c>
      <x:c r="G9" s="766" t="n">
        <x:v>700</x:v>
      </x:c>
      <x:c r="H9" s="766" t="n">
        <x:v>7359</x:v>
      </x:c>
      <x:c r="I9" s="766" t="n">
        <x:v>8772</x:v>
      </x:c>
      <x:c r="J9" s="766" t="n">
        <x:v>2725</x:v>
      </x:c>
      <x:c r="K9" s="766" t="n">
        <x:v>8798</x:v>
      </x:c>
      <x:c r="L9" s="766" t="n">
        <x:v>12667</x:v>
      </x:c>
      <x:c r="M9" s="766" t="n">
        <x:v>2665</x:v>
      </x:c>
      <x:c r="N9" s="766" t="n">
        <x:v>1566</x:v>
      </x:c>
      <x:c r="O9" s="766" t="n">
        <x:v>2787</x:v>
      </x:c>
      <x:c r="P9" s="766" t="n">
        <x:v>777</x:v>
      </x:c>
      <x:c r="Q9" s="766" t="n">
        <x:v>700</x:v>
      </x:c>
      <x:c r="R9" s="766" t="n">
        <x:v>561</x:v>
      </x:c>
      <x:c r="S9" s="767" t="inlineStr">
        <x:is>
          <x:t xml:space="preserve">TAK</x:t>
        </x:is>
      </x:c>
      <x:c r="T9" s="767" t="inlineStr">
        <x:is>
          <x:t xml:space="preserve">NIE</x:t>
        </x:is>
      </x:c>
      <x:c r="U9" s="757" t="inlineStr">
        <x:is>
          <x:t xml:space="preserve">OK</x:t>
        </x:is>
      </x:c>
      <x:c r="V9" s="757" t="inlineStr">
        <x:is>
          <x:t xml:space="preserve"/>
        </x:is>
      </x:c>
    </x:row>
    <x:row r="10">
      <x:c r="A10" s="757" t="inlineStr">
        <x:is>
          <x:t xml:space="preserve">300 x 1106 cm</x:t>
        </x:is>
      </x:c>
      <x:c r="B10" s="757" t="n">
        <x:v>300</x:v>
      </x:c>
      <x:c r="C10" s="757" t="n">
        <x:v>1106</x:v>
      </x:c>
      <x:c r="D10" s="766" t="n">
        <x:v>23059</x:v>
      </x:c>
      <x:c r="E10" s="766" t="n">
        <x:v>24036</x:v>
      </x:c>
      <x:c r="F10" s="766" t="n">
        <x:v>26634</x:v>
      </x:c>
      <x:c r="G10" s="766" t="n">
        <x:v>789</x:v>
      </x:c>
      <x:c r="H10" s="766" t="n">
        <x:v>8098</x:v>
      </x:c>
      <x:c r="I10" s="766" t="n">
        <x:v>9651</x:v>
      </x:c>
      <x:c r="J10" s="766" t="n">
        <x:v>2725</x:v>
      </x:c>
      <x:c r="K10" s="766" t="n">
        <x:v>9448</x:v>
      </x:c>
      <x:c r="L10" s="766" t="n">
        <x:v>15915</x:v>
      </x:c>
      <x:c r="M10" s="766" t="n">
        <x:v>3785</x:v>
      </x:c>
      <x:c r="N10" s="766" t="n">
        <x:v>1821</x:v>
      </x:c>
      <x:c r="O10" s="766" t="n">
        <x:v>3022</x:v>
      </x:c>
      <x:c r="P10" s="766" t="n">
        <x:v>827</x:v>
      </x:c>
      <x:c r="Q10" s="766" t="n">
        <x:v>752</x:v>
      </x:c>
      <x:c r="R10" s="766" t="n">
        <x:v>611</x:v>
      </x:c>
      <x:c r="S10" s="767" t="inlineStr">
        <x:is>
          <x:t xml:space="preserve">TAK</x:t>
        </x:is>
      </x:c>
      <x:c r="T10" s="767" t="inlineStr">
        <x:is>
          <x:t xml:space="preserve">NIE</x:t>
        </x:is>
      </x:c>
      <x:c r="U10" s="757" t="inlineStr">
        <x:is>
          <x:t xml:space="preserve">OK</x:t>
        </x:is>
      </x:c>
      <x:c r="V10" s="757" t="inlineStr">
        <x:is>
          <x:t xml:space="preserve"/>
        </x:is>
      </x:c>
    </x:row>
    <x:row r="11">
      <x:c r="A11" s="757" t="inlineStr">
        <x:is>
          <x:t xml:space="preserve">300 x 1206 cm</x:t>
        </x:is>
      </x:c>
      <x:c r="B11" s="757" t="n">
        <x:v>300</x:v>
      </x:c>
      <x:c r="C11" s="757" t="n">
        <x:v>1206</x:v>
      </x:c>
      <x:c r="D11" s="766" t="n">
        <x:v>24561</x:v>
      </x:c>
      <x:c r="E11" s="766" t="n">
        <x:v>25641</x:v>
      </x:c>
      <x:c r="F11" s="766" t="n">
        <x:v>28391</x:v>
      </x:c>
      <x:c r="G11" s="766" t="n">
        <x:v>866</x:v>
      </x:c>
      <x:c r="H11" s="766" t="n">
        <x:v>8860</x:v>
      </x:c>
      <x:c r="I11" s="766" t="n">
        <x:v>10565</x:v>
      </x:c>
      <x:c r="J11" s="766" t="n">
        <x:v>2725</x:v>
      </x:c>
      <x:c r="K11" s="766" t="n">
        <x:v>10084</x:v>
      </x:c>
      <x:c r="L11" s="766" t="n">
        <x:v>16425</x:v>
      </x:c>
      <x:c r="M11" s="766" t="n">
        <x:v>3785</x:v>
      </x:c>
      <x:c r="N11" s="766" t="n">
        <x:v>1923</x:v>
      </x:c>
      <x:c r="O11" s="766" t="n">
        <x:v>3242</x:v>
      </x:c>
      <x:c r="P11" s="766" t="n">
        <x:v>878</x:v>
      </x:c>
      <x:c r="Q11" s="766" t="n">
        <x:v>789</x:v>
      </x:c>
      <x:c r="R11" s="766" t="n">
        <x:v>662</x:v>
      </x:c>
      <x:c r="S11" s="767" t="inlineStr">
        <x:is>
          <x:t xml:space="preserve">TAK</x:t>
        </x:is>
      </x:c>
      <x:c r="T11" s="767" t="inlineStr">
        <x:is>
          <x:t xml:space="preserve">NIE</x:t>
        </x:is>
      </x:c>
      <x:c r="U11" s="757" t="inlineStr">
        <x:is>
          <x:t xml:space="preserve">OK</x:t>
        </x:is>
      </x:c>
      <x:c r="V11" s="757" t="inlineStr">
        <x:is>
          <x:t xml:space="preserve"/>
        </x:is>
      </x:c>
    </x:row>
    <x:row r="12">
      <x:c r="A12" s="757" t="inlineStr">
        <x:is>
          <x:t xml:space="preserve">350 x 306 cm</x:t>
        </x:is>
      </x:c>
      <x:c r="B12" s="757" t="n">
        <x:v>350</x:v>
      </x:c>
      <x:c r="C12" s="757" t="n">
        <x:v>306</x:v>
      </x:c>
      <x:c r="D12" s="766" t="n">
        <x:v>8376</x:v>
      </x:c>
      <x:c r="E12" s="766" t="n">
        <x:v>16611</x:v>
      </x:c>
      <x:c r="F12" s="766" t="n">
        <x:v>18291</x:v>
      </x:c>
      <x:c r="G12" s="766" t="n">
        <x:v>191</x:v>
      </x:c>
      <x:c r="H12" s="766" t="n">
        <x:v>2903</x:v>
      </x:c>
      <x:c r="I12" s="766" t="n">
        <x:v>3335</x:v>
      </x:c>
      <x:c r="J12" s="766" t="n">
        <x:v>2979</x:v>
      </x:c>
      <x:c r="K12" s="766" t="n">
        <x:v>2725</x:v>
      </x:c>
      <x:c r="L12" s="766" t="n">
        <x:v>5067</x:v>
      </x:c>
      <x:c r="M12" s="766" t="n">
        <x:v>1720</x:v>
      </x:c>
      <x:c r="N12" s="766" t="n">
        <x:v>534</x:v>
      </x:c>
      <x:c r="O12" s="766" t="n">
        <x:v>1284</x:v>
      </x:c>
      <x:c r="P12" s="766" t="n">
        <x:v>534</x:v>
      </x:c>
      <x:c r="Q12" s="766" t="n">
        <x:v>484</x:v>
      </x:c>
      <x:c r="R12" s="766" t="n">
        <x:v>407</x:v>
      </x:c>
      <x:c r="S12" s="767" t="inlineStr">
        <x:is>
          <x:t xml:space="preserve">TAK</x:t>
        </x:is>
      </x:c>
      <x:c r="T12" s="767" t="inlineStr">
        <x:is>
          <x:t xml:space="preserve">NIE</x:t>
        </x:is>
      </x:c>
      <x:c r="U12" s="757" t="inlineStr">
        <x:is>
          <x:t xml:space="preserve">OK</x:t>
        </x:is>
      </x:c>
      <x:c r="V12" s="757" t="inlineStr">
        <x:is>
          <x:t xml:space="preserve"/>
        </x:is>
      </x:c>
    </x:row>
    <x:row r="13">
      <x:c r="A13" s="757" t="inlineStr">
        <x:is>
          <x:t xml:space="preserve">350 x 406 cm</x:t>
        </x:is>
      </x:c>
      <x:c r="B13" s="757" t="n">
        <x:v>350</x:v>
      </x:c>
      <x:c r="C13" s="757" t="n">
        <x:v>406</x:v>
      </x:c>
      <x:c r="D13" s="766" t="n">
        <x:v>10464</x:v>
      </x:c>
      <x:c r="E13" s="766" t="n">
        <x:v>17875</x:v>
      </x:c>
      <x:c r="F13" s="766" t="n">
        <x:v>19709</x:v>
      </x:c>
      <x:c r="G13" s="766" t="n">
        <x:v>255</x:v>
      </x:c>
      <x:c r="H13" s="766" t="n">
        <x:v>3884</x:v>
      </x:c>
      <x:c r="I13" s="766" t="n">
        <x:v>4457</x:v>
      </x:c>
      <x:c r="J13" s="766" t="n">
        <x:v>2979</x:v>
      </x:c>
      <x:c r="K13" s="766" t="n">
        <x:v>3361</x:v>
      </x:c>
      <x:c r="L13" s="766" t="n">
        <x:v>5730</x:v>
      </x:c>
      <x:c r="M13" s="766" t="n">
        <x:v>1932</x:v>
      </x:c>
      <x:c r="N13" s="766" t="n">
        <x:v>650</x:v>
      </x:c>
      <x:c r="O13" s="766" t="n">
        <x:v>1535</x:v>
      </x:c>
      <x:c r="P13" s="766" t="n">
        <x:v>585</x:v>
      </x:c>
      <x:c r="Q13" s="766" t="n">
        <x:v>522</x:v>
      </x:c>
      <x:c r="R13" s="766" t="n">
        <x:v>459</x:v>
      </x:c>
      <x:c r="S13" s="767" t="inlineStr">
        <x:is>
          <x:t xml:space="preserve">TAK</x:t>
        </x:is>
      </x:c>
      <x:c r="T13" s="767" t="inlineStr">
        <x:is>
          <x:t xml:space="preserve">NIE</x:t>
        </x:is>
      </x:c>
      <x:c r="U13" s="757" t="inlineStr">
        <x:is>
          <x:t xml:space="preserve">OK</x:t>
        </x:is>
      </x:c>
      <x:c r="V13" s="757" t="inlineStr">
        <x:is>
          <x:t xml:space="preserve"/>
        </x:is>
      </x:c>
    </x:row>
    <x:row r="14">
      <x:c r="A14" s="757" t="inlineStr">
        <x:is>
          <x:t xml:space="preserve">350 x 506 cm</x:t>
        </x:is>
      </x:c>
      <x:c r="B14" s="757" t="n">
        <x:v>350</x:v>
      </x:c>
      <x:c r="C14" s="757" t="n">
        <x:v>506</x:v>
      </x:c>
      <x:c r="D14" s="766" t="n">
        <x:v>12603</x:v>
      </x:c>
      <x:c r="E14" s="766" t="n">
        <x:v>19623</x:v>
      </x:c>
      <x:c r="F14" s="766" t="n">
        <x:v>21609</x:v>
      </x:c>
      <x:c r="G14" s="766" t="n">
        <x:v>318</x:v>
      </x:c>
      <x:c r="H14" s="766" t="n">
        <x:v>4979</x:v>
      </x:c>
      <x:c r="I14" s="766" t="n">
        <x:v>5704</x:v>
      </x:c>
      <x:c r="J14" s="766" t="n">
        <x:v>2979</x:v>
      </x:c>
      <x:c r="K14" s="766" t="n">
        <x:v>4711</x:v>
      </x:c>
      <x:c r="L14" s="766" t="n">
        <x:v>6621</x:v>
      </x:c>
      <x:c r="M14" s="766" t="n">
        <x:v>2202</x:v>
      </x:c>
      <x:c r="N14" s="766" t="n">
        <x:v>765</x:v>
      </x:c>
      <x:c r="O14" s="766" t="n">
        <x:v>1769</x:v>
      </x:c>
      <x:c r="P14" s="766" t="n">
        <x:v>637</x:v>
      </x:c>
      <x:c r="Q14" s="766" t="n">
        <x:v>573</x:v>
      </x:c>
      <x:c r="R14" s="766" t="n">
        <x:v>459</x:v>
      </x:c>
      <x:c r="S14" s="767" t="inlineStr">
        <x:is>
          <x:t xml:space="preserve">TAK</x:t>
        </x:is>
      </x:c>
      <x:c r="T14" s="767" t="inlineStr">
        <x:is>
          <x:t xml:space="preserve">NIE</x:t>
        </x:is>
      </x:c>
      <x:c r="U14" s="757" t="inlineStr">
        <x:is>
          <x:t xml:space="preserve">OK</x:t>
        </x:is>
      </x:c>
      <x:c r="V14" s="757" t="inlineStr">
        <x:is>
          <x:t xml:space="preserve"/>
        </x:is>
      </x:c>
    </x:row>
    <x:row r="15">
      <x:c r="A15" s="757" t="inlineStr">
        <x:is>
          <x:t xml:space="preserve">350 x 606 cm</x:t>
        </x:is>
      </x:c>
      <x:c r="B15" s="757" t="n">
        <x:v>350</x:v>
      </x:c>
      <x:c r="C15" s="757" t="n">
        <x:v>606</x:v>
      </x:c>
      <x:c r="D15" s="766" t="n">
        <x:v>14260</x:v>
      </x:c>
      <x:c r="E15" s="766" t="n">
        <x:v>21078</x:v>
      </x:c>
      <x:c r="F15" s="766" t="n">
        <x:v>23217</x:v>
      </x:c>
      <x:c r="G15" s="766" t="n">
        <x:v>382</x:v>
      </x:c>
      <x:c r="H15" s="766" t="n">
        <x:v>5971</x:v>
      </x:c>
      <x:c r="I15" s="766" t="n">
        <x:v>6849</x:v>
      </x:c>
      <x:c r="J15" s="766" t="n">
        <x:v>2979</x:v>
      </x:c>
      <x:c r="K15" s="766" t="n">
        <x:v>5437</x:v>
      </x:c>
      <x:c r="L15" s="766" t="n">
        <x:v>10135</x:v>
      </x:c>
      <x:c r="M15" s="766" t="n">
        <x:v>2742</x:v>
      </x:c>
      <x:c r="N15" s="766" t="n">
        <x:v>1005</x:v>
      </x:c>
      <x:c r="O15" s="766" t="n">
        <x:v>2020</x:v>
      </x:c>
      <x:c r="P15" s="766" t="n">
        <x:v>675</x:v>
      </x:c>
      <x:c r="Q15" s="766" t="n">
        <x:v>611</x:v>
      </x:c>
      <x:c r="R15" s="766" t="n">
        <x:v>509</x:v>
      </x:c>
      <x:c r="S15" s="767" t="inlineStr">
        <x:is>
          <x:t xml:space="preserve">TAK</x:t>
        </x:is>
      </x:c>
      <x:c r="T15" s="767" t="inlineStr">
        <x:is>
          <x:t xml:space="preserve">NIE</x:t>
        </x:is>
      </x:c>
      <x:c r="U15" s="757" t="inlineStr">
        <x:is>
          <x:t xml:space="preserve">OK</x:t>
        </x:is>
      </x:c>
      <x:c r="V15" s="757" t="inlineStr">
        <x:is>
          <x:t xml:space="preserve"/>
        </x:is>
      </x:c>
    </x:row>
    <x:row r="16">
      <x:c r="A16" s="757" t="inlineStr">
        <x:is>
          <x:t xml:space="preserve">350 x 706 cm</x:t>
        </x:is>
      </x:c>
      <x:c r="B16" s="757" t="n">
        <x:v>350</x:v>
      </x:c>
      <x:c r="C16" s="757" t="n">
        <x:v>706</x:v>
      </x:c>
      <x:c r="D16" s="766" t="n">
        <x:v>16167</x:v>
      </x:c>
      <x:c r="E16" s="766" t="n">
        <x:v>21246</x:v>
      </x:c>
      <x:c r="F16" s="766" t="n">
        <x:v>23537</x:v>
      </x:c>
      <x:c r="G16" s="766" t="n">
        <x:v>446</x:v>
      </x:c>
      <x:c r="H16" s="766" t="n">
        <x:v>6849</x:v>
      </x:c>
      <x:c r="I16" s="766" t="n">
        <x:v>7866</x:v>
      </x:c>
      <x:c r="J16" s="766" t="n">
        <x:v>2979</x:v>
      </x:c>
      <x:c r="K16" s="766" t="n">
        <x:v>6086</x:v>
      </x:c>
      <x:c r="L16" s="766" t="n">
        <x:v>10796</x:v>
      </x:c>
      <x:c r="M16" s="766" t="n">
        <x:v>2357</x:v>
      </x:c>
      <x:c r="N16" s="766" t="n">
        <x:v>1107</x:v>
      </x:c>
      <x:c r="O16" s="766" t="n">
        <x:v>2270</x:v>
      </x:c>
      <x:c r="P16" s="766" t="n">
        <x:v>725</x:v>
      </x:c>
      <x:c r="Q16" s="766" t="n">
        <x:v>662</x:v>
      </x:c>
      <x:c r="R16" s="766" t="n">
        <x:v>561</x:v>
      </x:c>
      <x:c r="S16" s="767" t="inlineStr">
        <x:is>
          <x:t xml:space="preserve">TAK</x:t>
        </x:is>
      </x:c>
      <x:c r="T16" s="767" t="inlineStr">
        <x:is>
          <x:t xml:space="preserve">NIE</x:t>
        </x:is>
      </x:c>
      <x:c r="U16" s="757" t="inlineStr">
        <x:is>
          <x:t xml:space="preserve">OK</x:t>
        </x:is>
      </x:c>
      <x:c r="V16" s="757" t="inlineStr">
        <x:is>
          <x:t xml:space="preserve"/>
        </x:is>
      </x:c>
    </x:row>
    <x:row r="17">
      <x:c r="A17" s="757" t="inlineStr">
        <x:is>
          <x:t xml:space="preserve">350 x 806 cm</x:t>
        </x:is>
      </x:c>
      <x:c r="B17" s="757" t="n">
        <x:v>350</x:v>
      </x:c>
      <x:c r="C17" s="757" t="n">
        <x:v>806</x:v>
      </x:c>
      <x:c r="D17" s="766" t="n">
        <x:v>18877</x:v>
      </x:c>
      <x:c r="E17" s="766" t="n">
        <x:v>22387</x:v>
      </x:c>
      <x:c r="F17" s="766" t="n">
        <x:v>24831</x:v>
      </x:c>
      <x:c r="G17" s="766" t="n">
        <x:v>509</x:v>
      </x:c>
      <x:c r="H17" s="766" t="n">
        <x:v>8199</x:v>
      </x:c>
      <x:c r="I17" s="766" t="n">
        <x:v>9358</x:v>
      </x:c>
      <x:c r="J17" s="766" t="n">
        <x:v>2979</x:v>
      </x:c>
      <x:c r="K17" s="766" t="n">
        <x:v>6723</x:v>
      </x:c>
      <x:c r="L17" s="766" t="n">
        <x:v>11446</x:v>
      </x:c>
      <x:c r="M17" s="766" t="n">
        <x:v>2568</x:v>
      </x:c>
      <x:c r="N17" s="766" t="n">
        <x:v>1221</x:v>
      </x:c>
      <x:c r="O17" s="766" t="n">
        <x:v>2537</x:v>
      </x:c>
      <x:c r="P17" s="766" t="n">
        <x:v>777</x:v>
      </x:c>
      <x:c r="Q17" s="766" t="n">
        <x:v>700</x:v>
      </x:c>
      <x:c r="R17" s="766" t="n">
        <x:v>611</x:v>
      </x:c>
      <x:c r="S17" s="767" t="inlineStr">
        <x:is>
          <x:t xml:space="preserve">TAK</x:t>
        </x:is>
      </x:c>
      <x:c r="T17" s="767" t="inlineStr">
        <x:is>
          <x:t xml:space="preserve">NIE</x:t>
        </x:is>
      </x:c>
      <x:c r="U17" s="757" t="inlineStr">
        <x:is>
          <x:t xml:space="preserve">OK</x:t>
        </x:is>
      </x:c>
      <x:c r="V17" s="757" t="inlineStr">
        <x:is>
          <x:t xml:space="preserve"/>
        </x:is>
      </x:c>
    </x:row>
    <x:row r="18">
      <x:c r="A18" s="757" t="inlineStr">
        <x:is>
          <x:t xml:space="preserve">350 x 906 cm</x:t>
        </x:is>
      </x:c>
      <x:c r="B18" s="757" t="n">
        <x:v>350</x:v>
      </x:c>
      <x:c r="C18" s="757" t="n">
        <x:v>906</x:v>
      </x:c>
      <x:c r="D18" s="766" t="n">
        <x:v>21006</x:v>
      </x:c>
      <x:c r="E18" s="766" t="n">
        <x:v>23894</x:v>
      </x:c>
      <x:c r="F18" s="766" t="n">
        <x:v>26492</x:v>
      </x:c>
      <x:c r="G18" s="766" t="n">
        <x:v>573</x:v>
      </x:c>
      <x:c r="H18" s="766" t="n">
        <x:v>9306</x:v>
      </x:c>
      <x:c r="I18" s="766" t="n">
        <x:v>10604</x:v>
      </x:c>
      <x:c r="J18" s="766" t="n">
        <x:v>2979</x:v>
      </x:c>
      <x:c r="K18" s="766" t="n">
        <x:v>8148</x:v>
      </x:c>
      <x:c r="L18" s="766" t="n">
        <x:v>12350</x:v>
      </x:c>
      <x:c r="M18" s="766" t="n">
        <x:v>2839</x:v>
      </x:c>
      <x:c r="N18" s="766" t="n">
        <x:v>1325</x:v>
      </x:c>
      <x:c r="O18" s="766" t="n">
        <x:v>2787</x:v>
      </x:c>
      <x:c r="P18" s="766" t="n">
        <x:v>827</x:v>
      </x:c>
      <x:c r="Q18" s="766" t="n">
        <x:v>752</x:v>
      </x:c>
      <x:c r="R18" s="766" t="n">
        <x:v>611</x:v>
      </x:c>
      <x:c r="S18" s="767" t="inlineStr">
        <x:is>
          <x:t xml:space="preserve">TAK</x:t>
        </x:is>
      </x:c>
      <x:c r="T18" s="767" t="inlineStr">
        <x:is>
          <x:t xml:space="preserve">NIE</x:t>
        </x:is>
      </x:c>
      <x:c r="U18" s="757" t="inlineStr">
        <x:is>
          <x:t xml:space="preserve">OK</x:t>
        </x:is>
      </x:c>
      <x:c r="V18" s="757" t="inlineStr">
        <x:is>
          <x:t xml:space="preserve"/>
        </x:is>
      </x:c>
    </x:row>
    <x:row r="19">
      <x:c r="A19" s="757" t="inlineStr">
        <x:is>
          <x:t xml:space="preserve">350 x 1006 cm</x:t>
        </x:is>
      </x:c>
      <x:c r="B19" s="757" t="n">
        <x:v>350</x:v>
      </x:c>
      <x:c r="C19" s="757" t="n">
        <x:v>1006</x:v>
      </x:c>
      <x:c r="D19" s="766" t="n">
        <x:v>23134</x:v>
      </x:c>
      <x:c r="E19" s="766" t="n">
        <x:v>25413</x:v>
      </x:c>
      <x:c r="F19" s="766" t="n">
        <x:v>28163</x:v>
      </x:c>
      <x:c r="G19" s="766" t="n">
        <x:v>637</x:v>
      </x:c>
      <x:c r="H19" s="766" t="n">
        <x:v>10364</x:v>
      </x:c>
      <x:c r="I19" s="766" t="n">
        <x:v>11816</x:v>
      </x:c>
      <x:c r="J19" s="766" t="n">
        <x:v>2979</x:v>
      </x:c>
      <x:c r="K19" s="766" t="n">
        <x:v>8798</x:v>
      </x:c>
      <x:c r="L19" s="766" t="n">
        <x:v>13241</x:v>
      </x:c>
      <x:c r="M19" s="766" t="n">
        <x:v>3110</x:v>
      </x:c>
      <x:c r="N19" s="766" t="n">
        <x:v>1566</x:v>
      </x:c>
      <x:c r="O19" s="766" t="n">
        <x:v>3054</x:v>
      </x:c>
      <x:c r="P19" s="766" t="n">
        <x:v>878</x:v>
      </x:c>
      <x:c r="Q19" s="766" t="n">
        <x:v>789</x:v>
      </x:c>
      <x:c r="R19" s="766" t="n">
        <x:v>662</x:v>
      </x:c>
      <x:c r="S19" s="767" t="inlineStr">
        <x:is>
          <x:t xml:space="preserve">TAK</x:t>
        </x:is>
      </x:c>
      <x:c r="T19" s="767" t="inlineStr">
        <x:is>
          <x:t xml:space="preserve">NIE</x:t>
        </x:is>
      </x:c>
      <x:c r="U19" s="757" t="inlineStr">
        <x:is>
          <x:t xml:space="preserve">OK</x:t>
        </x:is>
      </x:c>
      <x:c r="V19" s="757" t="inlineStr">
        <x:is>
          <x:t xml:space="preserve"/>
        </x:is>
      </x:c>
    </x:row>
    <x:row r="20">
      <x:c r="A20" s="757" t="inlineStr">
        <x:is>
          <x:t xml:space="preserve">350 x 1106 cm</x:t>
        </x:is>
      </x:c>
      <x:c r="B20" s="757" t="n">
        <x:v>350</x:v>
      </x:c>
      <x:c r="C20" s="757" t="n">
        <x:v>1106</x:v>
      </x:c>
      <x:c r="D20" s="766" t="n">
        <x:v>24790</x:v>
      </x:c>
      <x:c r="E20" s="766" t="n">
        <x:v>27035</x:v>
      </x:c>
      <x:c r="F20" s="766" t="n">
        <x:v>29938</x:v>
      </x:c>
      <x:c r="G20" s="766" t="n">
        <x:v>700</x:v>
      </x:c>
      <x:c r="H20" s="766" t="n">
        <x:v>11382</x:v>
      </x:c>
      <x:c r="I20" s="766" t="n">
        <x:v>12986</x:v>
      </x:c>
      <x:c r="J20" s="766" t="n">
        <x:v>2979</x:v>
      </x:c>
      <x:c r="K20" s="766" t="n">
        <x:v>9448</x:v>
      </x:c>
      <x:c r="L20" s="766" t="n">
        <x:v>16526</x:v>
      </x:c>
      <x:c r="M20" s="766" t="n">
        <x:v>4210</x:v>
      </x:c>
      <x:c r="N20" s="766" t="n">
        <x:v>1821</x:v>
      </x:c>
      <x:c r="O20" s="766" t="n">
        <x:v>3305</x:v>
      </x:c>
      <x:c r="P20" s="766" t="n">
        <x:v>916</x:v>
      </x:c>
      <x:c r="Q20" s="766" t="n">
        <x:v>827</x:v>
      </x:c>
      <x:c r="R20" s="766" t="n">
        <x:v>713</x:v>
      </x:c>
      <x:c r="S20" s="767" t="inlineStr">
        <x:is>
          <x:t xml:space="preserve">TAK</x:t>
        </x:is>
      </x:c>
      <x:c r="T20" s="767" t="inlineStr">
        <x:is>
          <x:t xml:space="preserve">NIE</x:t>
        </x:is>
      </x:c>
      <x:c r="U20" s="757" t="inlineStr">
        <x:is>
          <x:t xml:space="preserve">OK</x:t>
        </x:is>
      </x:c>
      <x:c r="V20" s="757" t="inlineStr">
        <x:is>
          <x:t xml:space="preserve"/>
        </x:is>
      </x:c>
    </x:row>
    <x:row r="21">
      <x:c r="A21" s="757" t="inlineStr">
        <x:is>
          <x:t xml:space="preserve">350 x 1206 cm</x:t>
        </x:is>
      </x:c>
      <x:c r="B21" s="757" t="n">
        <x:v>350</x:v>
      </x:c>
      <x:c r="C21" s="757" t="n">
        <x:v>1206</x:v>
      </x:c>
      <x:c r="D21" s="766" t="n">
        <x:v>26437</x:v>
      </x:c>
      <x:c r="E21" s="766" t="n">
        <x:v>28653</x:v>
      </x:c>
      <x:c r="F21" s="766" t="n">
        <x:v>31708</x:v>
      </x:c>
      <x:c r="G21" s="766" t="n">
        <x:v>765</x:v>
      </x:c>
      <x:c r="H21" s="766" t="n">
        <x:v>12350</x:v>
      </x:c>
      <x:c r="I21" s="766" t="n">
        <x:v>14094</x:v>
      </x:c>
      <x:c r="J21" s="766" t="n">
        <x:v>2979</x:v>
      </x:c>
      <x:c r="K21" s="766" t="n">
        <x:v>10084</x:v>
      </x:c>
      <x:c r="L21" s="766" t="n">
        <x:v>17188</x:v>
      </x:c>
      <x:c r="M21" s="766" t="n">
        <x:v>4210</x:v>
      </x:c>
      <x:c r="N21" s="766" t="n">
        <x:v>1923</x:v>
      </x:c>
      <x:c r="O21" s="766" t="n">
        <x:v>3570</x:v>
      </x:c>
      <x:c r="P21" s="766" t="n">
        <x:v>968</x:v>
      </x:c>
      <x:c r="Q21" s="766" t="n">
        <x:v>878</x:v>
      </x:c>
      <x:c r="R21" s="766" t="n">
        <x:v>765</x:v>
      </x:c>
      <x:c r="S21" s="767" t="inlineStr">
        <x:is>
          <x:t xml:space="preserve">TAK</x:t>
        </x:is>
      </x:c>
      <x:c r="T21" s="767" t="inlineStr">
        <x:is>
          <x:t xml:space="preserve">NIE</x:t>
        </x:is>
      </x:c>
      <x:c r="U21" s="757" t="inlineStr">
        <x:is>
          <x:t xml:space="preserve">OK</x:t>
        </x:is>
      </x:c>
      <x:c r="V21" s="757" t="inlineStr">
        <x:is>
          <x:t xml:space="preserve"/>
        </x:is>
      </x:c>
    </x:row>
    <x:row r="22">
      <x:c r="A22" s="757" t="inlineStr">
        <x:is>
          <x:t xml:space="preserve">400 x 306 cm</x:t>
        </x:is>
      </x:c>
      <x:c r="B22" s="757" t="n">
        <x:v>400</x:v>
      </x:c>
      <x:c r="C22" s="757" t="n">
        <x:v>306</x:v>
      </x:c>
      <x:c r="D22" s="766" t="n">
        <x:v>9348</x:v>
      </x:c>
      <x:c r="E22" s="766" t="n">
        <x:v>16888</x:v>
      </x:c>
      <x:c r="F22" s="766" t="n">
        <x:v>18568</x:v>
      </x:c>
      <x:c r="G22" s="766" t="n">
        <x:v>216</x:v>
      </x:c>
      <x:c r="H22" s="766" t="n">
        <x:v>3960</x:v>
      </x:c>
      <x:c r="I22" s="766" t="n">
        <x:v>4406</x:v>
      </x:c>
      <x:c r="J22" s="766" t="n">
        <x:v>3361</x:v>
      </x:c>
      <x:c r="K22" s="766" t="n">
        <x:v>2725</x:v>
      </x:c>
      <x:c r="L22" s="766" t="n">
        <x:v>5130</x:v>
      </x:c>
      <x:c r="M22" s="766" t="n">
        <x:v>1720</x:v>
      </x:c>
      <x:c r="N22" s="766" t="n">
        <x:v>534</x:v>
      </x:c>
      <x:c r="O22" s="766" t="n">
        <x:v>1347</x:v>
      </x:c>
      <x:c r="P22" s="766" t="n">
        <x:v>534</x:v>
      </x:c>
      <x:c r="Q22" s="766" t="n">
        <x:v>484</x:v>
      </x:c>
      <x:c r="R22" s="766" t="n">
        <x:v>407</x:v>
      </x:c>
      <x:c r="S22" s="767" t="inlineStr">
        <x:is>
          <x:t xml:space="preserve">TAK</x:t>
        </x:is>
      </x:c>
      <x:c r="T22" s="767" t="inlineStr">
        <x:is>
          <x:t xml:space="preserve">NIE</x:t>
        </x:is>
      </x:c>
      <x:c r="U22" s="757" t="inlineStr">
        <x:is>
          <x:t xml:space="preserve">OK</x:t>
        </x:is>
      </x:c>
      <x:c r="V22" s="757" t="inlineStr">
        <x:is>
          <x:t xml:space="preserve"/>
        </x:is>
      </x:c>
    </x:row>
    <x:row r="23">
      <x:c r="A23" s="757" t="inlineStr">
        <x:is>
          <x:t xml:space="preserve">400 x 406 cm</x:t>
        </x:is>
      </x:c>
      <x:c r="B23" s="757" t="n">
        <x:v>400</x:v>
      </x:c>
      <x:c r="C23" s="757" t="n">
        <x:v>406</x:v>
      </x:c>
      <x:c r="D23" s="766" t="n">
        <x:v>11132</x:v>
      </x:c>
      <x:c r="E23" s="766" t="n">
        <x:v>18251</x:v>
      </x:c>
      <x:c r="F23" s="766" t="n">
        <x:v>20085</x:v>
      </x:c>
      <x:c r="G23" s="766" t="n">
        <x:v>281</x:v>
      </x:c>
      <x:c r="H23" s="766" t="n">
        <x:v>5232</x:v>
      </x:c>
      <x:c r="I23" s="766" t="n">
        <x:v>5817</x:v>
      </x:c>
      <x:c r="J23" s="766" t="n">
        <x:v>3361</x:v>
      </x:c>
      <x:c r="K23" s="766" t="n">
        <x:v>3361</x:v>
      </x:c>
      <x:c r="L23" s="766" t="n">
        <x:v>5934</x:v>
      </x:c>
      <x:c r="M23" s="766" t="n">
        <x:v>1932</x:v>
      </x:c>
      <x:c r="N23" s="766" t="n">
        <x:v>650</x:v>
      </x:c>
      <x:c r="O23" s="766" t="n">
        <x:v>1629</x:v>
      </x:c>
      <x:c r="P23" s="766" t="n">
        <x:v>585</x:v>
      </x:c>
      <x:c r="Q23" s="766" t="n">
        <x:v>522</x:v>
      </x:c>
      <x:c r="R23" s="766" t="n">
        <x:v>459</x:v>
      </x:c>
      <x:c r="S23" s="767" t="inlineStr">
        <x:is>
          <x:t xml:space="preserve">TAK</x:t>
        </x:is>
      </x:c>
      <x:c r="T23" s="767" t="inlineStr">
        <x:is>
          <x:t xml:space="preserve">NIE</x:t>
        </x:is>
      </x:c>
      <x:c r="U23" s="757" t="inlineStr">
        <x:is>
          <x:t xml:space="preserve">OK</x:t>
        </x:is>
      </x:c>
      <x:c r="V23" s="757" t="inlineStr">
        <x:is>
          <x:t xml:space="preserve"/>
        </x:is>
      </x:c>
    </x:row>
    <x:row r="24">
      <x:c r="A24" s="757" t="inlineStr">
        <x:is>
          <x:t xml:space="preserve">400 x 506 cm</x:t>
        </x:is>
      </x:c>
      <x:c r="B24" s="757" t="n">
        <x:v>400</x:v>
      </x:c>
      <x:c r="C24" s="757" t="n">
        <x:v>506</x:v>
      </x:c>
      <x:c r="D24" s="766" t="n">
        <x:v>13374</x:v>
      </x:c>
      <x:c r="E24" s="766" t="n">
        <x:v>19898</x:v>
      </x:c>
      <x:c r="F24" s="766" t="n">
        <x:v>21884</x:v>
      </x:c>
      <x:c r="G24" s="766" t="n">
        <x:v>357</x:v>
      </x:c>
      <x:c r="H24" s="766" t="n">
        <x:v>6430</x:v>
      </x:c>
      <x:c r="I24" s="766" t="n">
        <x:v>7169</x:v>
      </x:c>
      <x:c r="J24" s="766" t="n">
        <x:v>3361</x:v>
      </x:c>
      <x:c r="K24" s="766" t="n">
        <x:v>4711</x:v>
      </x:c>
      <x:c r="L24" s="766" t="n">
        <x:v>6761</x:v>
      </x:c>
      <x:c r="M24" s="766" t="n">
        <x:v>2202</x:v>
      </x:c>
      <x:c r="N24" s="766" t="n">
        <x:v>765</x:v>
      </x:c>
      <x:c r="O24" s="766" t="n">
        <x:v>1894</x:v>
      </x:c>
      <x:c r="P24" s="766" t="n">
        <x:v>637</x:v>
      </x:c>
      <x:c r="Q24" s="766" t="n">
        <x:v>573</x:v>
      </x:c>
      <x:c r="R24" s="766" t="n">
        <x:v>459</x:v>
      </x:c>
      <x:c r="S24" s="767" t="inlineStr">
        <x:is>
          <x:t xml:space="preserve">TAK</x:t>
        </x:is>
      </x:c>
      <x:c r="T24" s="767" t="inlineStr">
        <x:is>
          <x:t xml:space="preserve">NIE</x:t>
        </x:is>
      </x:c>
      <x:c r="U24" s="757" t="inlineStr">
        <x:is>
          <x:t xml:space="preserve">OK</x:t>
        </x:is>
      </x:c>
      <x:c r="V24" s="757" t="inlineStr">
        <x:is>
          <x:t xml:space="preserve"/>
        </x:is>
      </x:c>
    </x:row>
    <x:row r="25">
      <x:c r="A25" s="757" t="inlineStr">
        <x:is>
          <x:t xml:space="preserve">400 x 606 cm</x:t>
        </x:is>
      </x:c>
      <x:c r="B25" s="757" t="n">
        <x:v>400</x:v>
      </x:c>
      <x:c r="C25" s="757" t="n">
        <x:v>606</x:v>
      </x:c>
      <x:c r="D25" s="766" t="n">
        <x:v>14660</x:v>
      </x:c>
      <x:c r="E25" s="766" t="n">
        <x:v>21520</x:v>
      </x:c>
      <x:c r="F25" s="766" t="n">
        <x:v>23659</x:v>
      </x:c>
      <x:c r="G25" s="766" t="n">
        <x:v>432</x:v>
      </x:c>
      <x:c r="H25" s="766" t="n">
        <x:v>7627</x:v>
      </x:c>
      <x:c r="I25" s="766" t="n">
        <x:v>8518</x:v>
      </x:c>
      <x:c r="J25" s="766" t="n">
        <x:v>3361</x:v>
      </x:c>
      <x:c r="K25" s="766" t="n">
        <x:v>5437</x:v>
      </x:c>
      <x:c r="L25" s="766" t="n">
        <x:v>10262</x:v>
      </x:c>
      <x:c r="M25" s="766" t="n">
        <x:v>2742</x:v>
      </x:c>
      <x:c r="N25" s="766" t="n">
        <x:v>1005</x:v>
      </x:c>
      <x:c r="O25" s="766" t="n">
        <x:v>2161</x:v>
      </x:c>
      <x:c r="P25" s="766" t="n">
        <x:v>675</x:v>
      </x:c>
      <x:c r="Q25" s="766" t="n">
        <x:v>611</x:v>
      </x:c>
      <x:c r="R25" s="766" t="n">
        <x:v>509</x:v>
      </x:c>
      <x:c r="S25" s="767" t="inlineStr">
        <x:is>
          <x:t xml:space="preserve">TAK</x:t>
        </x:is>
      </x:c>
      <x:c r="T25" s="767" t="inlineStr">
        <x:is>
          <x:t xml:space="preserve">NIE</x:t>
        </x:is>
      </x:c>
      <x:c r="U25" s="757" t="inlineStr">
        <x:is>
          <x:t xml:space="preserve">OK</x:t>
        </x:is>
      </x:c>
      <x:c r="V25" s="757" t="inlineStr">
        <x:is>
          <x:t xml:space="preserve"/>
        </x:is>
      </x:c>
    </x:row>
    <x:row r="26">
      <x:c r="A26" s="757" t="inlineStr">
        <x:is>
          <x:t xml:space="preserve">400 x 706 cm</x:t>
        </x:is>
      </x:c>
      <x:c r="B26" s="757" t="n">
        <x:v>400</x:v>
      </x:c>
      <x:c r="C26" s="757" t="n">
        <x:v>706</x:v>
      </x:c>
      <x:c r="D26" s="766" t="n">
        <x:v>17201</x:v>
      </x:c>
      <x:c r="E26" s="766" t="n">
        <x:v>21845</x:v>
      </x:c>
      <x:c r="F26" s="766" t="n">
        <x:v>24136</x:v>
      </x:c>
      <x:c r="G26" s="766" t="n">
        <x:v>497</x:v>
      </x:c>
      <x:c r="H26" s="766" t="n">
        <x:v>8696</x:v>
      </x:c>
      <x:c r="I26" s="766" t="n">
        <x:v>9740</x:v>
      </x:c>
      <x:c r="J26" s="766" t="n">
        <x:v>3361</x:v>
      </x:c>
      <x:c r="K26" s="766" t="n">
        <x:v>6086</x:v>
      </x:c>
      <x:c r="L26" s="766" t="n">
        <x:v>11076</x:v>
      </x:c>
      <x:c r="M26" s="766" t="n">
        <x:v>2357</x:v>
      </x:c>
      <x:c r="N26" s="766" t="n">
        <x:v>1107</x:v>
      </x:c>
      <x:c r="O26" s="766" t="n">
        <x:v>2443</x:v>
      </x:c>
      <x:c r="P26" s="766" t="n">
        <x:v>725</x:v>
      </x:c>
      <x:c r="Q26" s="766" t="n">
        <x:v>662</x:v>
      </x:c>
      <x:c r="R26" s="766" t="n">
        <x:v>561</x:v>
      </x:c>
      <x:c r="S26" s="767" t="inlineStr">
        <x:is>
          <x:t xml:space="preserve">TAK</x:t>
        </x:is>
      </x:c>
      <x:c r="T26" s="767" t="inlineStr">
        <x:is>
          <x:t xml:space="preserve">NIE</x:t>
        </x:is>
      </x:c>
      <x:c r="U26" s="757" t="inlineStr">
        <x:is>
          <x:t xml:space="preserve">OK</x:t>
        </x:is>
      </x:c>
      <x:c r="V26" s="757" t="inlineStr">
        <x:is>
          <x:t xml:space="preserve"/>
        </x:is>
      </x:c>
    </x:row>
    <x:row r="27">
      <x:c r="A27" s="757" t="inlineStr">
        <x:is>
          <x:t xml:space="preserve">400 x 806 cm</x:t>
        </x:is>
      </x:c>
      <x:c r="B27" s="757" t="n">
        <x:v>400</x:v>
      </x:c>
      <x:c r="C27" s="757" t="n">
        <x:v>806</x:v>
      </x:c>
      <x:c r="D27" s="766" t="n">
        <x:v>20111</x:v>
      </x:c>
      <x:c r="E27" s="766" t="n">
        <x:v>22953</x:v>
      </x:c>
      <x:c r="F27" s="766" t="n">
        <x:v>25581</x:v>
      </x:c>
      <x:c r="G27" s="766" t="n">
        <x:v>814</x:v>
      </x:c>
      <x:c r="H27" s="766" t="n">
        <x:v>10465</x:v>
      </x:c>
      <x:c r="I27" s="766" t="n">
        <x:v>11649</x:v>
      </x:c>
      <x:c r="J27" s="766" t="n">
        <x:v>3361</x:v>
      </x:c>
      <x:c r="K27" s="766" t="n">
        <x:v>6723</x:v>
      </x:c>
      <x:c r="L27" s="766" t="n">
        <x:v>11877</x:v>
      </x:c>
      <x:c r="M27" s="766" t="n">
        <x:v>2568</x:v>
      </x:c>
      <x:c r="N27" s="766" t="n">
        <x:v>1221</x:v>
      </x:c>
      <x:c r="O27" s="766" t="n">
        <x:v>2741</x:v>
      </x:c>
      <x:c r="P27" s="766" t="n">
        <x:v>777</x:v>
      </x:c>
      <x:c r="Q27" s="766" t="n">
        <x:v>702</x:v>
      </x:c>
      <x:c r="R27" s="766" t="n">
        <x:v>611</x:v>
      </x:c>
      <x:c r="S27" s="767" t="inlineStr">
        <x:is>
          <x:t xml:space="preserve">TAK</x:t>
        </x:is>
      </x:c>
      <x:c r="T27" s="767" t="inlineStr">
        <x:is>
          <x:t xml:space="preserve">NIE</x:t>
        </x:is>
      </x:c>
      <x:c r="U27" s="757" t="inlineStr">
        <x:is>
          <x:t xml:space="preserve">OK</x:t>
        </x:is>
      </x:c>
      <x:c r="V27" s="757" t="inlineStr">
        <x:is>
          <x:t xml:space="preserve"/>
        </x:is>
      </x:c>
    </x:row>
    <x:row r="28">
      <x:c r="A28" s="757" t="inlineStr">
        <x:is>
          <x:t xml:space="preserve">400 x 906 cm</x:t>
        </x:is>
      </x:c>
      <x:c r="B28" s="757" t="n">
        <x:v>400</x:v>
      </x:c>
      <x:c r="C28" s="757" t="n">
        <x:v>906</x:v>
      </x:c>
      <x:c r="D28" s="766" t="n">
        <x:v>22280</x:v>
      </x:c>
      <x:c r="E28" s="766" t="n">
        <x:v>24546</x:v>
      </x:c>
      <x:c r="F28" s="766" t="n">
        <x:v>27144</x:v>
      </x:c>
      <x:c r="G28" s="766" t="n">
        <x:v>637</x:v>
      </x:c>
      <x:c r="H28" s="766" t="n">
        <x:v>11662</x:v>
      </x:c>
      <x:c r="I28" s="766" t="n">
        <x:v>12999</x:v>
      </x:c>
      <x:c r="J28" s="766" t="n">
        <x:v>3361</x:v>
      </x:c>
      <x:c r="K28" s="766" t="n">
        <x:v>8148</x:v>
      </x:c>
      <x:c r="L28" s="766" t="n">
        <x:v>12706</x:v>
      </x:c>
      <x:c r="M28" s="766" t="n">
        <x:v>2839</x:v>
      </x:c>
      <x:c r="N28" s="766" t="n">
        <x:v>1325</x:v>
      </x:c>
      <x:c r="O28" s="766" t="n">
        <x:v>3022</x:v>
      </x:c>
      <x:c r="P28" s="766" t="n">
        <x:v>827</x:v>
      </x:c>
      <x:c r="Q28" s="766" t="n">
        <x:v>752</x:v>
      </x:c>
      <x:c r="R28" s="766" t="n">
        <x:v>611</x:v>
      </x:c>
      <x:c r="S28" s="767" t="inlineStr">
        <x:is>
          <x:t xml:space="preserve">TAK</x:t>
        </x:is>
      </x:c>
      <x:c r="T28" s="767" t="inlineStr">
        <x:is>
          <x:t xml:space="preserve">NIE</x:t>
        </x:is>
      </x:c>
      <x:c r="U28" s="757" t="inlineStr">
        <x:is>
          <x:t xml:space="preserve">OK</x:t>
        </x:is>
      </x:c>
      <x:c r="V28" s="757" t="inlineStr">
        <x:is>
          <x:t xml:space="preserve"/>
        </x:is>
      </x:c>
    </x:row>
    <x:row r="29">
      <x:c r="A29" s="757" t="inlineStr">
        <x:is>
          <x:t xml:space="preserve">400 x 1006 cm</x:t>
        </x:is>
      </x:c>
      <x:c r="B29" s="757" t="n">
        <x:v>400</x:v>
      </x:c>
      <x:c r="C29" s="757" t="n">
        <x:v>1006</x:v>
      </x:c>
      <x:c r="D29" s="766" t="n">
        <x:v>24470</x:v>
      </x:c>
      <x:c r="E29" s="766" t="n">
        <x:v>26119</x:v>
      </x:c>
      <x:c r="F29" s="766" t="n">
        <x:v>28869</x:v>
      </x:c>
      <x:c r="G29" s="766" t="n">
        <x:v>713</x:v>
      </x:c>
      <x:c r="H29" s="766" t="n">
        <x:v>12860</x:v>
      </x:c>
      <x:c r="I29" s="766" t="n">
        <x:v>14336</x:v>
      </x:c>
      <x:c r="J29" s="766" t="n">
        <x:v>3361</x:v>
      </x:c>
      <x:c r="K29" s="766" t="n">
        <x:v>8798</x:v>
      </x:c>
      <x:c r="L29" s="766" t="n">
        <x:v>13521</x:v>
      </x:c>
      <x:c r="M29" s="766" t="n">
        <x:v>3110</x:v>
      </x:c>
      <x:c r="N29" s="766" t="n">
        <x:v>1566</x:v>
      </x:c>
      <x:c r="O29" s="766" t="n">
        <x:v>3305</x:v>
      </x:c>
      <x:c r="P29" s="766" t="n">
        <x:v>878</x:v>
      </x:c>
      <x:c r="Q29" s="766" t="n">
        <x:v>789</x:v>
      </x:c>
      <x:c r="R29" s="766" t="n">
        <x:v>662</x:v>
      </x:c>
      <x:c r="S29" s="767" t="inlineStr">
        <x:is>
          <x:t xml:space="preserve">TAK</x:t>
        </x:is>
      </x:c>
      <x:c r="T29" s="767" t="inlineStr">
        <x:is>
          <x:t xml:space="preserve">NIE</x:t>
        </x:is>
      </x:c>
      <x:c r="U29" s="757" t="inlineStr">
        <x:is>
          <x:t xml:space="preserve">OK</x:t>
        </x:is>
      </x:c>
      <x:c r="V29" s="757" t="inlineStr">
        <x:is>
          <x:t xml:space="preserve"/>
        </x:is>
      </x:c>
    </x:row>
    <x:row r="30">
      <x:c r="A30" s="757" t="inlineStr">
        <x:is>
          <x:t xml:space="preserve">400 x 1106 cm</x:t>
        </x:is>
      </x:c>
      <x:c r="B30" s="757" t="n">
        <x:v>400</x:v>
      </x:c>
      <x:c r="C30" s="757" t="n">
        <x:v>1106</x:v>
      </x:c>
      <x:c r="D30" s="766" t="n">
        <x:v>25776</x:v>
      </x:c>
      <x:c r="E30" s="766" t="n">
        <x:v>27707</x:v>
      </x:c>
      <x:c r="F30" s="766" t="n">
        <x:v>30610</x:v>
      </x:c>
      <x:c r="G30" s="766" t="n">
        <x:v>789</x:v>
      </x:c>
      <x:c r="H30" s="766" t="n">
        <x:v>14042</x:v>
      </x:c>
      <x:c r="I30" s="766" t="n">
        <x:v>15672</x:v>
      </x:c>
      <x:c r="J30" s="766" t="n">
        <x:v>3361</x:v>
      </x:c>
      <x:c r="K30" s="766" t="n">
        <x:v>9448</x:v>
      </x:c>
      <x:c r="L30" s="766" t="n">
        <x:v>16997</x:v>
      </x:c>
      <x:c r="M30" s="766" t="n">
        <x:v>4210</x:v>
      </x:c>
      <x:c r="N30" s="766" t="n">
        <x:v>1821</x:v>
      </x:c>
      <x:c r="O30" s="766" t="n">
        <x:v>3602</x:v>
      </x:c>
      <x:c r="P30" s="766" t="n">
        <x:v>916</x:v>
      </x:c>
      <x:c r="Q30" s="766" t="n">
        <x:v>827</x:v>
      </x:c>
      <x:c r="R30" s="766" t="n">
        <x:v>713</x:v>
      </x:c>
      <x:c r="S30" s="767" t="inlineStr">
        <x:is>
          <x:t xml:space="preserve">TAK</x:t>
        </x:is>
      </x:c>
      <x:c r="T30" s="767" t="inlineStr">
        <x:is>
          <x:t xml:space="preserve">NIE</x:t>
        </x:is>
      </x:c>
      <x:c r="U30" s="757" t="inlineStr">
        <x:is>
          <x:t xml:space="preserve">OK</x:t>
        </x:is>
      </x:c>
      <x:c r="V30" s="757" t="inlineStr">
        <x:is>
          <x:t xml:space="preserve"/>
        </x:is>
      </x:c>
    </x:row>
    <x:row r="31">
      <x:c r="A31" s="757" t="inlineStr">
        <x:is>
          <x:t xml:space="preserve">400 x 1206 cm</x:t>
        </x:is>
      </x:c>
      <x:c r="B31" s="757" t="n">
        <x:v>400</x:v>
      </x:c>
      <x:c r="C31" s="757" t="n">
        <x:v>1206</x:v>
      </x:c>
      <x:c r="D31" s="766" t="n">
        <x:v>27094</x:v>
      </x:c>
      <x:c r="E31" s="766" t="n">
        <x:v>29311</x:v>
      </x:c>
      <x:c r="F31" s="766" t="n">
        <x:v>32366</x:v>
      </x:c>
      <x:c r="G31" s="766" t="n">
        <x:v>853</x:v>
      </x:c>
      <x:c r="H31" s="766" t="n">
        <x:v>15228</x:v>
      </x:c>
      <x:c r="I31" s="766" t="n">
        <x:v>16997</x:v>
      </x:c>
      <x:c r="J31" s="766" t="n">
        <x:v>3361</x:v>
      </x:c>
      <x:c r="K31" s="766" t="n">
        <x:v>10084</x:v>
      </x:c>
      <x:c r="L31" s="766" t="n">
        <x:v>17799</x:v>
      </x:c>
      <x:c r="M31" s="766" t="n">
        <x:v>4210</x:v>
      </x:c>
      <x:c r="N31" s="766" t="n">
        <x:v>1923</x:v>
      </x:c>
      <x:c r="O31" s="766" t="n">
        <x:v>3884</x:v>
      </x:c>
      <x:c r="P31" s="766" t="n">
        <x:v>968</x:v>
      </x:c>
      <x:c r="Q31" s="766" t="n">
        <x:v>878</x:v>
      </x:c>
      <x:c r="R31" s="766" t="n">
        <x:v>765</x:v>
      </x:c>
      <x:c r="S31" s="767" t="inlineStr">
        <x:is>
          <x:t xml:space="preserve">TAK</x:t>
        </x:is>
      </x:c>
      <x:c r="T31" s="767" t="inlineStr">
        <x:is>
          <x:t xml:space="preserve">NIE</x:t>
        </x:is>
      </x:c>
      <x:c r="U31" s="757" t="inlineStr">
        <x:is>
          <x:t xml:space="preserve">OK</x:t>
        </x:is>
      </x:c>
      <x:c r="V31" s="757" t="inlineStr">
        <x:is>
          <x:t xml:space="preserve"/>
        </x:is>
      </x:c>
    </x:row>
    <x:row r="32">
      <x:c r="A32" s="757" t="inlineStr">
        <x:is>
          <x:t xml:space="preserve">450 x 306 cm</x:t>
        </x:is>
      </x:c>
      <x:c r="B32" s="757" t="n">
        <x:v>450</x:v>
      </x:c>
      <x:c r="C32" s="757" t="n">
        <x:v>306</x:v>
      </x:c>
      <x:c r="D32" s="766" t="n">
        <x:v>12638</x:v>
      </x:c>
      <x:c r="E32" s="766" t="n">
        <x:v>20073</x:v>
      </x:c>
      <x:c r="F32" s="766" t="n">
        <x:v>22059</x:v>
      </x:c>
      <x:c r="G32" s="766" t="n">
        <x:v>369</x:v>
      </x:c>
      <x:c r="H32" s="766" t="n">
        <x:v>4291</x:v>
      </x:c>
      <x:c r="I32" s="766" t="n">
        <x:v>4775</x:v>
      </x:c>
      <x:c r="J32" s="766" t="n">
        <x:v>4023</x:v>
      </x:c>
      <x:c r="K32" s="766" t="n">
        <x:v>2725</x:v>
      </x:c>
      <x:c r="L32" s="766" t="n">
        <x:v>5195</x:v>
      </x:c>
      <x:c r="M32" s="766" t="n">
        <x:v>2241</x:v>
      </x:c>
      <x:c r="N32" s="766" t="n">
        <x:v>814</x:v>
      </x:c>
      <x:c r="O32" s="766" t="n">
        <x:v>2540</x:v>
      </x:c>
      <x:c r="P32" s="766" t="n">
        <x:v>637</x:v>
      </x:c>
      <x:c r="Q32" s="766" t="n">
        <x:v>573</x:v>
      </x:c>
      <x:c r="R32" s="766" t="n">
        <x:v>509</x:v>
      </x:c>
      <x:c r="S32" s="767" t="inlineStr">
        <x:is>
          <x:t xml:space="preserve">TAK</x:t>
        </x:is>
      </x:c>
      <x:c r="T32" s="767" t="inlineStr">
        <x:is>
          <x:t xml:space="preserve">NIE</x:t>
        </x:is>
      </x:c>
      <x:c r="U32" s="757" t="inlineStr">
        <x:is>
          <x:t xml:space="preserve">OK</x:t>
        </x:is>
      </x:c>
      <x:c r="V32" s="757" t="inlineStr">
        <x:is>
          <x:t xml:space="preserve"/>
        </x:is>
      </x:c>
    </x:row>
    <x:row r="33">
      <x:c r="A33" s="757" t="inlineStr">
        <x:is>
          <x:t xml:space="preserve">450 x 406 cm</x:t>
        </x:is>
      </x:c>
      <x:c r="B33" s="757" t="n">
        <x:v>450</x:v>
      </x:c>
      <x:c r="C33" s="757" t="n">
        <x:v>406</x:v>
      </x:c>
      <x:c r="D33" s="766" t="n">
        <x:v>15297</x:v>
      </x:c>
      <x:c r="E33" s="766" t="n">
        <x:v>21316</x:v>
      </x:c>
      <x:c r="F33" s="766" t="n">
        <x:v>23455</x:v>
      </x:c>
      <x:c r="G33" s="766" t="n">
        <x:v>484</x:v>
      </x:c>
      <x:c r="H33" s="766" t="n">
        <x:v>6061</x:v>
      </x:c>
      <x:c r="I33" s="766" t="n">
        <x:v>6698</x:v>
      </x:c>
      <x:c r="J33" s="766" t="n">
        <x:v>4023</x:v>
      </x:c>
      <x:c r="K33" s="766" t="n">
        <x:v>3361</x:v>
      </x:c>
      <x:c r="L33" s="766" t="n">
        <x:v>5946</x:v>
      </x:c>
      <x:c r="M33" s="766" t="n">
        <x:v>2473</x:v>
      </x:c>
      <x:c r="N33" s="766" t="n">
        <x:v>943</x:v>
      </x:c>
      <x:c r="O33" s="766" t="n">
        <x:v>2859</x:v>
      </x:c>
      <x:c r="P33" s="766" t="n">
        <x:v>675</x:v>
      </x:c>
      <x:c r="Q33" s="766" t="n">
        <x:v>611</x:v>
      </x:c>
      <x:c r="R33" s="766" t="n">
        <x:v>561</x:v>
      </x:c>
      <x:c r="S33" s="767" t="inlineStr">
        <x:is>
          <x:t xml:space="preserve">TAK</x:t>
        </x:is>
      </x:c>
      <x:c r="T33" s="767" t="inlineStr">
        <x:is>
          <x:t xml:space="preserve">NIE</x:t>
        </x:is>
      </x:c>
      <x:c r="U33" s="757" t="inlineStr">
        <x:is>
          <x:t xml:space="preserve">OK</x:t>
        </x:is>
      </x:c>
      <x:c r="V33" s="757" t="inlineStr">
        <x:is>
          <x:t xml:space="preserve"/>
        </x:is>
      </x:c>
    </x:row>
    <x:row r="34">
      <x:c r="A34" s="757" t="inlineStr">
        <x:is>
          <x:t xml:space="preserve">450 x 506 cm</x:t>
        </x:is>
      </x:c>
      <x:c r="B34" s="757" t="n">
        <x:v>450</x:v>
      </x:c>
      <x:c r="C34" s="757" t="n">
        <x:v>506</x:v>
      </x:c>
      <x:c r="D34" s="766" t="n">
        <x:v>18377</x:v>
      </x:c>
      <x:c r="E34" s="766" t="n">
        <x:v>22839</x:v>
      </x:c>
      <x:c r="F34" s="766" t="n">
        <x:v>25130</x:v>
      </x:c>
      <x:c r="G34" s="766" t="n">
        <x:v>611</x:v>
      </x:c>
      <x:c r="H34" s="766" t="n">
        <x:v>7843</x:v>
      </x:c>
      <x:c r="I34" s="766" t="n">
        <x:v>8644</x:v>
      </x:c>
      <x:c r="J34" s="766" t="n">
        <x:v>4023</x:v>
      </x:c>
      <x:c r="K34" s="766" t="n">
        <x:v>4711</x:v>
      </x:c>
      <x:c r="L34" s="766" t="n">
        <x:v>6901</x:v>
      </x:c>
      <x:c r="M34" s="766" t="n">
        <x:v>2723</x:v>
      </x:c>
      <x:c r="N34" s="766" t="n">
        <x:v>1221</x:v>
      </x:c>
      <x:c r="O34" s="766" t="n">
        <x:v>3149</x:v>
      </x:c>
      <x:c r="P34" s="766" t="n">
        <x:v>725</x:v>
      </x:c>
      <x:c r="Q34" s="766" t="n">
        <x:v>662</x:v>
      </x:c>
      <x:c r="R34" s="766" t="n">
        <x:v>561</x:v>
      </x:c>
      <x:c r="S34" s="767" t="inlineStr">
        <x:is>
          <x:t xml:space="preserve">TAK</x:t>
        </x:is>
      </x:c>
      <x:c r="T34" s="767" t="inlineStr">
        <x:is>
          <x:t xml:space="preserve">NIE</x:t>
        </x:is>
      </x:c>
      <x:c r="U34" s="757" t="inlineStr">
        <x:is>
          <x:t xml:space="preserve">OK</x:t>
        </x:is>
      </x:c>
      <x:c r="V34" s="757" t="inlineStr">
        <x:is>
          <x:t xml:space="preserve"/>
        </x:is>
      </x:c>
    </x:row>
    <x:row r="35">
      <x:c r="A35" s="757" t="inlineStr">
        <x:is>
          <x:t xml:space="preserve">450 x 606 cm</x:t>
        </x:is>
      </x:c>
      <x:c r="B35" s="757" t="n">
        <x:v>450</x:v>
      </x:c>
      <x:c r="C35" s="757" t="n">
        <x:v>606</x:v>
      </x:c>
      <x:c r="D35" s="766" t="n">
        <x:v>21049</x:v>
      </x:c>
      <x:c r="E35" s="766" t="n">
        <x:v>24436</x:v>
      </x:c>
      <x:c r="F35" s="766" t="n">
        <x:v>26880</x:v>
      </x:c>
      <x:c r="G35" s="766" t="n">
        <x:v>739</x:v>
      </x:c>
      <x:c r="H35" s="766" t="n">
        <x:v>9599</x:v>
      </x:c>
      <x:c r="I35" s="766" t="n">
        <x:v>10567</x:v>
      </x:c>
      <x:c r="J35" s="766" t="n">
        <x:v>4023</x:v>
      </x:c>
      <x:c r="K35" s="766" t="n">
        <x:v>5437</x:v>
      </x:c>
      <x:c r="L35" s="766" t="n">
        <x:v>10389</x:v>
      </x:c>
      <x:c r="M35" s="766" t="n">
        <x:v>3283</x:v>
      </x:c>
      <x:c r="N35" s="766" t="n">
        <x:v>1388</x:v>
      </x:c>
      <x:c r="O35" s="766" t="n">
        <x:v>3550</x:v>
      </x:c>
      <x:c r="P35" s="766" t="n">
        <x:v>777</x:v>
      </x:c>
      <x:c r="Q35" s="766" t="n">
        <x:v>700</x:v>
      </x:c>
      <x:c r="R35" s="766" t="n">
        <x:v>611</x:v>
      </x:c>
      <x:c r="S35" s="767" t="inlineStr">
        <x:is>
          <x:t xml:space="preserve">TAK</x:t>
        </x:is>
      </x:c>
      <x:c r="T35" s="767" t="inlineStr">
        <x:is>
          <x:t xml:space="preserve">NIE</x:t>
        </x:is>
      </x:c>
      <x:c r="U35" s="757" t="inlineStr">
        <x:is>
          <x:t xml:space="preserve">OK</x:t>
        </x:is>
      </x:c>
      <x:c r="V35" s="757" t="inlineStr">
        <x:is>
          <x:t xml:space="preserve"/>
        </x:is>
      </x:c>
    </x:row>
    <x:row r="36">
      <x:c r="A36" s="757" t="inlineStr">
        <x:is>
          <x:t xml:space="preserve">450 x 706 cm</x:t>
        </x:is>
      </x:c>
      <x:c r="B36" s="757" t="n">
        <x:v>450</x:v>
      </x:c>
      <x:c r="C36" s="757" t="n">
        <x:v>706</x:v>
      </x:c>
      <x:c r="D36" s="766" t="n">
        <x:v>25196</x:v>
      </x:c>
      <x:c r="E36" s="766" t="n">
        <x:v>24535</x:v>
      </x:c>
      <x:c r="F36" s="766" t="n">
        <x:v>27133</x:v>
      </x:c>
      <x:c r="G36" s="766" t="n">
        <x:v>853</x:v>
      </x:c>
      <x:c r="H36" s="766" t="n">
        <x:v>11369</x:v>
      </x:c>
      <x:c r="I36" s="766" t="n">
        <x:v>12489</x:v>
      </x:c>
      <x:c r="J36" s="766" t="n">
        <x:v>4023</x:v>
      </x:c>
      <x:c r="K36" s="766" t="n">
        <x:v>6086</x:v>
      </x:c>
      <x:c r="L36" s="766" t="n">
        <x:v>11140</x:v>
      </x:c>
      <x:c r="M36" s="766" t="n">
        <x:v>2899</x:v>
      </x:c>
      <x:c r="N36" s="766" t="n">
        <x:v>1541</x:v>
      </x:c>
      <x:c r="O36" s="766" t="n">
        <x:v>3871</x:v>
      </x:c>
      <x:c r="P36" s="766" t="n">
        <x:v>827</x:v>
      </x:c>
      <x:c r="Q36" s="766" t="n">
        <x:v>752</x:v>
      </x:c>
      <x:c r="R36" s="766" t="n">
        <x:v>662</x:v>
      </x:c>
      <x:c r="S36" s="767" t="inlineStr">
        <x:is>
          <x:t xml:space="preserve">TAK</x:t>
        </x:is>
      </x:c>
      <x:c r="T36" s="767" t="inlineStr">
        <x:is>
          <x:t xml:space="preserve">NIE</x:t>
        </x:is>
      </x:c>
      <x:c r="U36" s="757" t="inlineStr">
        <x:is>
          <x:t xml:space="preserve">OK</x:t>
        </x:is>
      </x:c>
      <x:c r="V36" s="757" t="inlineStr">
        <x:is>
          <x:t xml:space="preserve"/>
        </x:is>
      </x:c>
    </x:row>
    <x:row r="37">
      <x:c r="A37" s="757" t="inlineStr">
        <x:is>
          <x:t xml:space="preserve">450 x 806 cm</x:t>
        </x:is>
      </x:c>
      <x:c r="B37" s="757" t="n">
        <x:v>450</x:v>
      </x:c>
      <x:c r="C37" s="757" t="n">
        <x:v>806</x:v>
      </x:c>
      <x:c r="D37" s="766" t="n">
        <x:v>27870</x:v>
      </x:c>
      <x:c r="E37" s="766" t="n">
        <x:v>25740</x:v>
      </x:c>
      <x:c r="F37" s="766" t="n">
        <x:v>28490</x:v>
      </x:c>
      <x:c r="G37" s="766" t="n">
        <x:v>981</x:v>
      </x:c>
      <x:c r="H37" s="766" t="n">
        <x:v>13126</x:v>
      </x:c>
      <x:c r="I37" s="766" t="n">
        <x:v>14411</x:v>
      </x:c>
      <x:c r="J37" s="766" t="n">
        <x:v>4023</x:v>
      </x:c>
      <x:c r="K37" s="766" t="n">
        <x:v>6723</x:v>
      </x:c>
      <x:c r="L37" s="766" t="n">
        <x:v>11891</x:v>
      </x:c>
      <x:c r="M37" s="766" t="n">
        <x:v>3110</x:v>
      </x:c>
      <x:c r="N37" s="766" t="n">
        <x:v>1834</x:v>
      </x:c>
      <x:c r="O37" s="766" t="n">
        <x:v>4201</x:v>
      </x:c>
      <x:c r="P37" s="766" t="n">
        <x:v>878</x:v>
      </x:c>
      <x:c r="Q37" s="766" t="n">
        <x:v>789</x:v>
      </x:c>
      <x:c r="R37" s="766" t="n">
        <x:v>713</x:v>
      </x:c>
      <x:c r="S37" s="767" t="inlineStr">
        <x:is>
          <x:t xml:space="preserve">TAK</x:t>
        </x:is>
      </x:c>
      <x:c r="T37" s="767" t="inlineStr">
        <x:is>
          <x:t xml:space="preserve">NIE</x:t>
        </x:is>
      </x:c>
      <x:c r="U37" s="757" t="inlineStr">
        <x:is>
          <x:t xml:space="preserve">OK</x:t>
        </x:is>
      </x:c>
      <x:c r="V37" s="757" t="inlineStr">
        <x:is>
          <x:t xml:space="preserve"/>
        </x:is>
      </x:c>
    </x:row>
    <x:row r="38">
      <x:c r="A38" s="757" t="inlineStr">
        <x:is>
          <x:t xml:space="preserve">450 x 906 cm</x:t>
        </x:is>
      </x:c>
      <x:c r="B38" s="757" t="n">
        <x:v>450</x:v>
      </x:c>
      <x:c r="C38" s="757" t="n">
        <x:v>906</x:v>
      </x:c>
      <x:c r="D38" s="766" t="n">
        <x:v>31166</x:v>
      </x:c>
      <x:c r="E38" s="766" t="n">
        <x:v>27261</x:v>
      </x:c>
      <x:c r="F38" s="766" t="n">
        <x:v>30164</x:v>
      </x:c>
      <x:c r="G38" s="766" t="n">
        <x:v>1095</x:v>
      </x:c>
      <x:c r="H38" s="766" t="n">
        <x:v>14895</x:v>
      </x:c>
      <x:c r="I38" s="766" t="n">
        <x:v>16347</x:v>
      </x:c>
      <x:c r="J38" s="766" t="n">
        <x:v>4023</x:v>
      </x:c>
      <x:c r="K38" s="766" t="n">
        <x:v>8148</x:v>
      </x:c>
      <x:c r="L38" s="766" t="n">
        <x:v>12846</x:v>
      </x:c>
      <x:c r="M38" s="766" t="n">
        <x:v>3381</x:v>
      </x:c>
      <x:c r="N38" s="766" t="n">
        <x:v>1986</x:v>
      </x:c>
      <x:c r="O38" s="766" t="n">
        <x:v>4504</x:v>
      </x:c>
      <x:c r="P38" s="766" t="n">
        <x:v>916</x:v>
      </x:c>
      <x:c r="Q38" s="766" t="n">
        <x:v>827</x:v>
      </x:c>
      <x:c r="R38" s="766" t="n">
        <x:v>713</x:v>
      </x:c>
      <x:c r="S38" s="767" t="inlineStr">
        <x:is>
          <x:t xml:space="preserve">TAK</x:t>
        </x:is>
      </x:c>
      <x:c r="T38" s="767" t="inlineStr">
        <x:is>
          <x:t xml:space="preserve">NIE</x:t>
        </x:is>
      </x:c>
      <x:c r="U38" s="757" t="inlineStr">
        <x:is>
          <x:t xml:space="preserve">OK</x:t>
        </x:is>
      </x:c>
      <x:c r="V38" s="757" t="inlineStr">
        <x:is>
          <x:t xml:space="preserve"/>
        </x:is>
      </x:c>
    </x:row>
    <x:row r="39">
      <x:c r="A39" s="757" t="inlineStr">
        <x:is>
          <x:t xml:space="preserve">450 x 1006 cm</x:t>
        </x:is>
      </x:c>
      <x:c r="B39" s="757" t="n">
        <x:v>450</x:v>
      </x:c>
      <x:c r="C39" s="757" t="n">
        <x:v>1006</x:v>
      </x:c>
      <x:c r="D39" s="766" t="n">
        <x:v>33849</x:v>
      </x:c>
      <x:c r="E39" s="766" t="n">
        <x:v>28786</x:v>
      </x:c>
      <x:c r="F39" s="766" t="n">
        <x:v>31841</x:v>
      </x:c>
      <x:c r="G39" s="766" t="n">
        <x:v>1221</x:v>
      </x:c>
      <x:c r="H39" s="766" t="n">
        <x:v>16665</x:v>
      </x:c>
      <x:c r="I39" s="766" t="n">
        <x:v>18269</x:v>
      </x:c>
      <x:c r="J39" s="766" t="n">
        <x:v>4023</x:v>
      </x:c>
      <x:c r="K39" s="766" t="n">
        <x:v>8798</x:v>
      </x:c>
      <x:c r="L39" s="766" t="n">
        <x:v>13788</x:v>
      </x:c>
      <x:c r="M39" s="766" t="n">
        <x:v>3631</x:v>
      </x:c>
      <x:c r="N39" s="766" t="n">
        <x:v>2100</x:v>
      </x:c>
      <x:c r="O39" s="766" t="n">
        <x:v>4701</x:v>
      </x:c>
      <x:c r="P39" s="766" t="n">
        <x:v>968</x:v>
      </x:c>
      <x:c r="Q39" s="766" t="n">
        <x:v>878</x:v>
      </x:c>
      <x:c r="R39" s="766" t="n">
        <x:v>765</x:v>
      </x:c>
      <x:c r="S39" s="767" t="inlineStr">
        <x:is>
          <x:t xml:space="preserve">TAK</x:t>
        </x:is>
      </x:c>
      <x:c r="T39" s="767" t="inlineStr">
        <x:is>
          <x:t xml:space="preserve">NIE</x:t>
        </x:is>
      </x:c>
      <x:c r="U39" s="757" t="inlineStr">
        <x:is>
          <x:t xml:space="preserve">OK</x:t>
        </x:is>
      </x:c>
      <x:c r="V39" s="757" t="inlineStr">
        <x:is>
          <x:t xml:space="preserve"/>
        </x:is>
      </x:c>
    </x:row>
    <x:row r="40">
      <x:c r="A40" s="757" t="inlineStr">
        <x:is>
          <x:t xml:space="preserve">450 x 1106 cm</x:t>
        </x:is>
      </x:c>
      <x:c r="B40" s="757" t="n">
        <x:v>450</x:v>
      </x:c>
      <x:c r="C40" s="757" t="n">
        <x:v>1106</x:v>
      </x:c>
      <x:c r="D40" s="766" t="n">
        <x:v>37628</x:v>
      </x:c>
      <x:c r="E40" s="766" t="n">
        <x:v>30348</x:v>
      </x:c>
      <x:c r="F40" s="766" t="n">
        <x:v>33557</x:v>
      </x:c>
      <x:c r="G40" s="766" t="n">
        <x:v>1350</x:v>
      </x:c>
      <x:c r="H40" s="766" t="n">
        <x:v>18449</x:v>
      </x:c>
      <x:c r="I40" s="766" t="n">
        <x:v>20206</x:v>
      </x:c>
      <x:c r="J40" s="766" t="n">
        <x:v>4023</x:v>
      </x:c>
      <x:c r="K40" s="766" t="n">
        <x:v>9448</x:v>
      </x:c>
      <x:c r="L40" s="766" t="n">
        <x:v>17087</x:v>
      </x:c>
      <x:c r="M40" s="766" t="n">
        <x:v>4191</x:v>
      </x:c>
      <x:c r="N40" s="766" t="n">
        <x:v>2254</x:v>
      </x:c>
      <x:c r="O40" s="766" t="n">
        <x:v>5028</x:v>
      </x:c>
      <x:c r="P40" s="766" t="n">
        <x:v>1017</x:v>
      </x:c>
      <x:c r="Q40" s="766" t="n">
        <x:v>916</x:v>
      </x:c>
      <x:c r="R40" s="766" t="n">
        <x:v>814</x:v>
      </x:c>
      <x:c r="S40" s="767" t="inlineStr">
        <x:is>
          <x:t xml:space="preserve">TAK</x:t>
        </x:is>
      </x:c>
      <x:c r="T40" s="767" t="inlineStr">
        <x:is>
          <x:t xml:space="preserve">NIE</x:t>
        </x:is>
      </x:c>
      <x:c r="U40" s="757" t="inlineStr">
        <x:is>
          <x:t xml:space="preserve">OK</x:t>
        </x:is>
      </x:c>
      <x:c r="V40" s="757" t="inlineStr">
        <x:is>
          <x:t xml:space="preserve"/>
        </x:is>
      </x:c>
    </x:row>
    <x:row r="41">
      <x:c r="A41" s="757" t="inlineStr">
        <x:is>
          <x:t xml:space="preserve">450 x 1206 cm</x:t>
        </x:is>
      </x:c>
      <x:c r="B41" s="757" t="n">
        <x:v>450</x:v>
      </x:c>
      <x:c r="C41" s="757" t="n">
        <x:v>1206</x:v>
      </x:c>
      <x:c r="D41" s="766" t="n">
        <x:v>40302</x:v>
      </x:c>
      <x:c r="E41" s="766" t="n">
        <x:v>31957</x:v>
      </x:c>
      <x:c r="F41" s="766" t="n">
        <x:v>35318</x:v>
      </x:c>
      <x:c r="G41" s="766" t="n">
        <x:v>1464</x:v>
      </x:c>
      <x:c r="H41" s="766" t="n">
        <x:v>20205</x:v>
      </x:c>
      <x:c r="I41" s="766" t="n">
        <x:v>22128</x:v>
      </x:c>
      <x:c r="J41" s="766" t="n">
        <x:v>4023</x:v>
      </x:c>
      <x:c r="K41" s="766" t="n">
        <x:v>10084</x:v>
      </x:c>
      <x:c r="L41" s="766" t="n">
        <x:v>17837</x:v>
      </x:c>
      <x:c r="M41" s="766" t="n">
        <x:v>4752</x:v>
      </x:c>
      <x:c r="N41" s="766" t="n">
        <x:v>2419</x:v>
      </x:c>
      <x:c r="O41" s="766" t="n">
        <x:v>5342</x:v>
      </x:c>
      <x:c r="P41" s="766" t="n">
        <x:v>1069</x:v>
      </x:c>
      <x:c r="Q41" s="766" t="n">
        <x:v>968</x:v>
      </x:c>
      <x:c r="R41" s="766" t="n">
        <x:v>866</x:v>
      </x:c>
      <x:c r="S41" s="767" t="inlineStr">
        <x:is>
          <x:t xml:space="preserve">TAK</x:t>
        </x:is>
      </x:c>
      <x:c r="T41" s="767" t="inlineStr">
        <x:is>
          <x:t xml:space="preserve">NIE</x:t>
        </x:is>
      </x:c>
      <x:c r="U41" s="757" t="inlineStr">
        <x:is>
          <x:t xml:space="preserve">OK</x:t>
        </x:is>
      </x:c>
      <x:c r="V41" s="757" t="inlineStr">
        <x:is>
          <x:t xml:space="preserve"/>
        </x:is>
      </x:c>
    </x:row>
    <x:row r="42">
      <x:c r="A42" s="757" t="inlineStr">
        <x:is>
          <x:t xml:space="preserve">500 x 306 cm</x:t>
        </x:is>
      </x:c>
      <x:c r="B42" s="757" t="n">
        <x:v>500</x:v>
      </x:c>
      <x:c r="C42" s="757" t="n">
        <x:v>306</x:v>
      </x:c>
      <x:c r="D42" s="766" t="n">
        <x:v>13364</x:v>
      </x:c>
      <x:c r="E42" s="766" t="n">
        <x:v>20382</x:v>
      </x:c>
      <x:c r="F42" s="766" t="n">
        <x:v>22368</x:v>
      </x:c>
      <x:c r="G42" s="766" t="n">
        <x:v>394</x:v>
      </x:c>
      <x:c r="H42" s="766" t="n">
        <x:v>4775</x:v>
      </x:c>
      <x:c r="I42" s="766" t="n">
        <x:v>5309</x:v>
      </x:c>
      <x:c r="J42" s="766" t="n">
        <x:v>4711</x:v>
      </x:c>
      <x:c r="K42" s="766" t="n">
        <x:v>2725</x:v>
      </x:c>
      <x:c r="L42" s="766" t="n">
        <x:v>5195</x:v>
      </x:c>
      <x:c r="M42" s="766" t="n">
        <x:v>2241</x:v>
      </x:c>
      <x:c r="N42" s="766" t="n">
        <x:v>814</x:v>
      </x:c>
      <x:c r="O42" s="766" t="n">
        <x:v>2594</x:v>
      </x:c>
      <x:c r="P42" s="766" t="n">
        <x:v>637</x:v>
      </x:c>
      <x:c r="Q42" s="766" t="n">
        <x:v>573</x:v>
      </x:c>
      <x:c r="R42" s="766" t="n">
        <x:v>509</x:v>
      </x:c>
      <x:c r="S42" s="767" t="inlineStr">
        <x:is>
          <x:t xml:space="preserve">TAK</x:t>
        </x:is>
      </x:c>
      <x:c r="T42" s="767" t="inlineStr">
        <x:is>
          <x:t xml:space="preserve">NIE</x:t>
        </x:is>
      </x:c>
      <x:c r="U42" s="757" t="inlineStr">
        <x:is>
          <x:t xml:space="preserve">OK</x:t>
        </x:is>
      </x:c>
      <x:c r="V42" s="757" t="inlineStr">
        <x:is>
          <x:t xml:space="preserve"/>
        </x:is>
      </x:c>
    </x:row>
    <x:row r="43">
      <x:c r="A43" s="757" t="inlineStr">
        <x:is>
          <x:t xml:space="preserve">500 x 406 cm</x:t>
        </x:is>
      </x:c>
      <x:c r="B43" s="757" t="n">
        <x:v>500</x:v>
      </x:c>
      <x:c r="C43" s="757" t="n">
        <x:v>406</x:v>
      </x:c>
      <x:c r="D43" s="766" t="n">
        <x:v>16225</x:v>
      </x:c>
      <x:c r="E43" s="766" t="n">
        <x:v>21575</x:v>
      </x:c>
      <x:c r="F43" s="766" t="n">
        <x:v>23714</x:v>
      </x:c>
      <x:c r="G43" s="766" t="n">
        <x:v>534</x:v>
      </x:c>
      <x:c r="H43" s="766" t="n">
        <x:v>6735</x:v>
      </x:c>
      <x:c r="I43" s="766" t="n">
        <x:v>7448</x:v>
      </x:c>
      <x:c r="J43" s="766" t="n">
        <x:v>4711</x:v>
      </x:c>
      <x:c r="K43" s="766" t="n">
        <x:v>3361</x:v>
      </x:c>
      <x:c r="L43" s="766" t="n">
        <x:v>5946</x:v>
      </x:c>
      <x:c r="M43" s="766" t="n">
        <x:v>2473</x:v>
      </x:c>
      <x:c r="N43" s="766" t="n">
        <x:v>943</x:v>
      </x:c>
      <x:c r="O43" s="766" t="n">
        <x:v>2953</x:v>
      </x:c>
      <x:c r="P43" s="766" t="n">
        <x:v>675</x:v>
      </x:c>
      <x:c r="Q43" s="766" t="n">
        <x:v>611</x:v>
      </x:c>
      <x:c r="R43" s="766" t="n">
        <x:v>561</x:v>
      </x:c>
      <x:c r="S43" s="767" t="inlineStr">
        <x:is>
          <x:t xml:space="preserve">TAK</x:t>
        </x:is>
      </x:c>
      <x:c r="T43" s="767" t="inlineStr">
        <x:is>
          <x:t xml:space="preserve">NIE</x:t>
        </x:is>
      </x:c>
      <x:c r="U43" s="757" t="inlineStr">
        <x:is>
          <x:t xml:space="preserve">OK</x:t>
        </x:is>
      </x:c>
      <x:c r="V43" s="757" t="inlineStr">
        <x:is>
          <x:t xml:space="preserve"/>
        </x:is>
      </x:c>
    </x:row>
    <x:row r="44">
      <x:c r="A44" s="757" t="inlineStr">
        <x:is>
          <x:t xml:space="preserve">500 x 506 cm</x:t>
        </x:is>
      </x:c>
      <x:c r="B44" s="757" t="n">
        <x:v>500</x:v>
      </x:c>
      <x:c r="C44" s="757" t="n">
        <x:v>506</x:v>
      </x:c>
      <x:c r="D44" s="766" t="n">
        <x:v>19482</x:v>
      </x:c>
      <x:c r="E44" s="766" t="n">
        <x:v>23074</x:v>
      </x:c>
      <x:c r="F44" s="766" t="n">
        <x:v>25365</x:v>
      </x:c>
      <x:c r="G44" s="766" t="n">
        <x:v>662</x:v>
      </x:c>
      <x:c r="H44" s="766" t="n">
        <x:v>8696</x:v>
      </x:c>
      <x:c r="I44" s="766" t="n">
        <x:v>9587</x:v>
      </x:c>
      <x:c r="J44" s="766" t="n">
        <x:v>4711</x:v>
      </x:c>
      <x:c r="K44" s="766" t="n">
        <x:v>4711</x:v>
      </x:c>
      <x:c r="L44" s="766" t="n">
        <x:v>6901</x:v>
      </x:c>
      <x:c r="M44" s="766" t="n">
        <x:v>2723</x:v>
      </x:c>
      <x:c r="N44" s="766" t="n">
        <x:v>1221</x:v>
      </x:c>
      <x:c r="O44" s="766" t="n">
        <x:v>3266</x:v>
      </x:c>
      <x:c r="P44" s="766" t="n">
        <x:v>725</x:v>
      </x:c>
      <x:c r="Q44" s="766" t="n">
        <x:v>662</x:v>
      </x:c>
      <x:c r="R44" s="766" t="n">
        <x:v>561</x:v>
      </x:c>
      <x:c r="S44" s="767" t="inlineStr">
        <x:is>
          <x:t xml:space="preserve">TAK</x:t>
        </x:is>
      </x:c>
      <x:c r="T44" s="767" t="inlineStr">
        <x:is>
          <x:t xml:space="preserve">NIE</x:t>
        </x:is>
      </x:c>
      <x:c r="U44" s="757" t="inlineStr">
        <x:is>
          <x:t xml:space="preserve">OK</x:t>
        </x:is>
      </x:c>
      <x:c r="V44" s="757" t="inlineStr">
        <x:is>
          <x:t xml:space="preserve"/>
        </x:is>
      </x:c>
    </x:row>
    <x:row r="45">
      <x:c r="A45" s="757" t="inlineStr">
        <x:is>
          <x:t xml:space="preserve">500 x 606 cm</x:t>
        </x:is>
      </x:c>
      <x:c r="B45" s="757" t="n">
        <x:v>500</x:v>
      </x:c>
      <x:c r="C45" s="757" t="n">
        <x:v>606</x:v>
      </x:c>
      <x:c r="D45" s="766" t="n">
        <x:v>22320</x:v>
      </x:c>
      <x:c r="E45" s="766" t="n">
        <x:v>24696</x:v>
      </x:c>
      <x:c r="F45" s="766" t="n">
        <x:v>27140</x:v>
      </x:c>
      <x:c r="G45" s="766" t="n">
        <x:v>789</x:v>
      </x:c>
      <x:c r="H45" s="766" t="n">
        <x:v>10669</x:v>
      </x:c>
      <x:c r="I45" s="766" t="n">
        <x:v>11738</x:v>
      </x:c>
      <x:c r="J45" s="766" t="n">
        <x:v>4711</x:v>
      </x:c>
      <x:c r="K45" s="766" t="n">
        <x:v>5437</x:v>
      </x:c>
      <x:c r="L45" s="766" t="n">
        <x:v>10389</x:v>
      </x:c>
      <x:c r="M45" s="766" t="n">
        <x:v>3283</x:v>
      </x:c>
      <x:c r="N45" s="766" t="n">
        <x:v>1388</x:v>
      </x:c>
      <x:c r="O45" s="766" t="n">
        <x:v>3798</x:v>
      </x:c>
      <x:c r="P45" s="766" t="n">
        <x:v>777</x:v>
      </x:c>
      <x:c r="Q45" s="766" t="n">
        <x:v>700</x:v>
      </x:c>
      <x:c r="R45" s="766" t="n">
        <x:v>611</x:v>
      </x:c>
      <x:c r="S45" s="767" t="inlineStr">
        <x:is>
          <x:t xml:space="preserve">TAK</x:t>
        </x:is>
      </x:c>
      <x:c r="T45" s="767" t="inlineStr">
        <x:is>
          <x:t xml:space="preserve">NIE</x:t>
        </x:is>
      </x:c>
      <x:c r="U45" s="757" t="inlineStr">
        <x:is>
          <x:t xml:space="preserve">OK</x:t>
        </x:is>
      </x:c>
      <x:c r="V45" s="757" t="inlineStr">
        <x:is>
          <x:t xml:space="preserve"/>
        </x:is>
      </x:c>
    </x:row>
    <x:row r="46">
      <x:c r="A46" s="757" t="inlineStr">
        <x:is>
          <x:t xml:space="preserve">500 x 706 cm</x:t>
        </x:is>
      </x:c>
      <x:c r="B46" s="757" t="n">
        <x:v>500</x:v>
      </x:c>
      <x:c r="C46" s="757" t="n">
        <x:v>706</x:v>
      </x:c>
      <x:c r="D46" s="766" t="n">
        <x:v>26712</x:v>
      </x:c>
      <x:c r="E46" s="766" t="n">
        <x:v>24769</x:v>
      </x:c>
      <x:c r="F46" s="766" t="n">
        <x:v>27367</x:v>
      </x:c>
      <x:c r="G46" s="766" t="n">
        <x:v>929</x:v>
      </x:c>
      <x:c r="H46" s="766" t="n">
        <x:v>12618</x:v>
      </x:c>
      <x:c r="I46" s="766" t="n">
        <x:v>13866</x:v>
      </x:c>
      <x:c r="J46" s="766" t="n">
        <x:v>4711</x:v>
      </x:c>
      <x:c r="K46" s="766" t="n">
        <x:v>6086</x:v>
      </x:c>
      <x:c r="L46" s="766" t="n">
        <x:v>11140</x:v>
      </x:c>
      <x:c r="M46" s="766" t="n">
        <x:v>2899</x:v>
      </x:c>
      <x:c r="N46" s="766" t="n">
        <x:v>1541</x:v>
      </x:c>
      <x:c r="O46" s="766" t="n">
        <x:v>4160</x:v>
      </x:c>
      <x:c r="P46" s="766" t="n">
        <x:v>827</x:v>
      </x:c>
      <x:c r="Q46" s="766" t="n">
        <x:v>739</x:v>
      </x:c>
      <x:c r="R46" s="766" t="n">
        <x:v>662</x:v>
      </x:c>
      <x:c r="S46" s="767" t="inlineStr">
        <x:is>
          <x:t xml:space="preserve">TAK</x:t>
        </x:is>
      </x:c>
      <x:c r="T46" s="767" t="inlineStr">
        <x:is>
          <x:t xml:space="preserve">NIE</x:t>
        </x:is>
      </x:c>
      <x:c r="U46" s="757" t="inlineStr">
        <x:is>
          <x:t xml:space="preserve">OK</x:t>
        </x:is>
      </x:c>
      <x:c r="V46" s="757" t="inlineStr">
        <x:is>
          <x:t xml:space="preserve"/>
        </x:is>
      </x:c>
    </x:row>
    <x:row r="47">
      <x:c r="A47" s="757" t="inlineStr">
        <x:is>
          <x:t xml:space="preserve">500 x 806 cm</x:t>
        </x:is>
      </x:c>
      <x:c r="B47" s="757" t="n">
        <x:v>500</x:v>
      </x:c>
      <x:c r="C47" s="757" t="n">
        <x:v>806</x:v>
      </x:c>
      <x:c r="D47" s="766" t="n">
        <x:v>29561</x:v>
      </x:c>
      <x:c r="E47" s="766" t="n">
        <x:v>25974</x:v>
      </x:c>
      <x:c r="F47" s="766" t="n">
        <x:v>28724</x:v>
      </x:c>
      <x:c r="G47" s="766" t="n">
        <x:v>1057</x:v>
      </x:c>
      <x:c r="H47" s="766" t="n">
        <x:v>14591</x:v>
      </x:c>
      <x:c r="I47" s="766" t="n">
        <x:v>16018</x:v>
      </x:c>
      <x:c r="J47" s="766" t="n">
        <x:v>4711</x:v>
      </x:c>
      <x:c r="K47" s="766" t="n">
        <x:v>6723</x:v>
      </x:c>
      <x:c r="L47" s="766" t="n">
        <x:v>11891</x:v>
      </x:c>
      <x:c r="M47" s="766" t="n">
        <x:v>3110</x:v>
      </x:c>
      <x:c r="N47" s="766" t="n">
        <x:v>1834</x:v>
      </x:c>
      <x:c r="O47" s="766" t="n">
        <x:v>4522</x:v>
      </x:c>
      <x:c r="P47" s="766" t="n">
        <x:v>878</x:v>
      </x:c>
      <x:c r="Q47" s="766" t="n">
        <x:v>789</x:v>
      </x:c>
      <x:c r="R47" s="766" t="n">
        <x:v>713</x:v>
      </x:c>
      <x:c r="S47" s="767" t="inlineStr">
        <x:is>
          <x:t xml:space="preserve">TAK</x:t>
        </x:is>
      </x:c>
      <x:c r="T47" s="767" t="inlineStr">
        <x:is>
          <x:t xml:space="preserve">NIE</x:t>
        </x:is>
      </x:c>
      <x:c r="U47" s="757" t="inlineStr">
        <x:is>
          <x:t xml:space="preserve">OK</x:t>
        </x:is>
      </x:c>
      <x:c r="V47" s="757" t="inlineStr">
        <x:is>
          <x:t xml:space="preserve"/>
        </x:is>
      </x:c>
    </x:row>
    <x:row r="48">
      <x:c r="A48" s="757" t="inlineStr">
        <x:is>
          <x:t xml:space="preserve">500 x 906 cm</x:t>
        </x:is>
      </x:c>
      <x:c r="B48" s="757" t="n">
        <x:v>500</x:v>
      </x:c>
      <x:c r="C48" s="757" t="n">
        <x:v>906</x:v>
      </x:c>
      <x:c r="D48" s="766" t="n">
        <x:v>33036</x:v>
      </x:c>
      <x:c r="E48" s="766" t="n">
        <x:v>27470</x:v>
      </x:c>
      <x:c r="F48" s="766" t="n">
        <x:v>30373</x:v>
      </x:c>
      <x:c r="G48" s="766" t="n">
        <x:v>1197</x:v>
      </x:c>
      <x:c r="H48" s="766" t="n">
        <x:v>16564</x:v>
      </x:c>
      <x:c r="I48" s="766" t="n">
        <x:v>18168</x:v>
      </x:c>
      <x:c r="J48" s="766" t="n">
        <x:v>4711</x:v>
      </x:c>
      <x:c r="K48" s="766" t="n">
        <x:v>8148</x:v>
      </x:c>
      <x:c r="L48" s="766" t="n">
        <x:v>12846</x:v>
      </x:c>
      <x:c r="M48" s="766" t="n">
        <x:v>3381</x:v>
      </x:c>
      <x:c r="N48" s="766" t="n">
        <x:v>1986</x:v>
      </x:c>
      <x:c r="O48" s="766" t="n">
        <x:v>4849</x:v>
      </x:c>
      <x:c r="P48" s="766" t="n">
        <x:v>916</x:v>
      </x:c>
      <x:c r="Q48" s="766" t="n">
        <x:v>827</x:v>
      </x:c>
      <x:c r="R48" s="766" t="n">
        <x:v>713</x:v>
      </x:c>
      <x:c r="S48" s="767" t="inlineStr">
        <x:is>
          <x:t xml:space="preserve">TAK</x:t>
        </x:is>
      </x:c>
      <x:c r="T48" s="767" t="inlineStr">
        <x:is>
          <x:t xml:space="preserve">NIE</x:t>
        </x:is>
      </x:c>
      <x:c r="U48" s="757" t="inlineStr">
        <x:is>
          <x:t xml:space="preserve">OK</x:t>
        </x:is>
      </x:c>
      <x:c r="V48" s="757" t="inlineStr">
        <x:is>
          <x:t xml:space="preserve"/>
        </x:is>
      </x:c>
    </x:row>
    <x:row r="49">
      <x:c r="A49" s="757" t="inlineStr">
        <x:is>
          <x:t xml:space="preserve">500 x 1006 cm</x:t>
        </x:is>
      </x:c>
      <x:c r="B49" s="757" t="n">
        <x:v>500</x:v>
      </x:c>
      <x:c r="C49" s="757" t="n">
        <x:v>1006</x:v>
      </x:c>
      <x:c r="D49" s="766" t="n">
        <x:v>35886</x:v>
      </x:c>
      <x:c r="E49" s="766" t="n">
        <x:v>28994</x:v>
      </x:c>
      <x:c r="F49" s="766" t="n">
        <x:v>32049</x:v>
      </x:c>
      <x:c r="G49" s="766" t="n">
        <x:v>1325</x:v>
      </x:c>
      <x:c r="H49" s="766" t="n">
        <x:v>18511</x:v>
      </x:c>
      <x:c r="I49" s="766" t="n">
        <x:v>20293</x:v>
      </x:c>
      <x:c r="J49" s="766" t="n">
        <x:v>4711</x:v>
      </x:c>
      <x:c r="K49" s="766" t="n">
        <x:v>8798</x:v>
      </x:c>
      <x:c r="L49" s="766" t="n">
        <x:v>13788</x:v>
      </x:c>
      <x:c r="M49" s="766" t="n">
        <x:v>3631</x:v>
      </x:c>
      <x:c r="N49" s="766" t="n">
        <x:v>2100</x:v>
      </x:c>
      <x:c r="O49" s="766" t="n">
        <x:v>4959</x:v>
      </x:c>
      <x:c r="P49" s="766" t="n">
        <x:v>968</x:v>
      </x:c>
      <x:c r="Q49" s="766" t="n">
        <x:v>878</x:v>
      </x:c>
      <x:c r="R49" s="766" t="n">
        <x:v>765</x:v>
      </x:c>
      <x:c r="S49" s="767" t="inlineStr">
        <x:is>
          <x:t xml:space="preserve">TAK</x:t>
        </x:is>
      </x:c>
      <x:c r="T49" s="767" t="inlineStr">
        <x:is>
          <x:t xml:space="preserve">NIE</x:t>
        </x:is>
      </x:c>
      <x:c r="U49" s="757" t="inlineStr">
        <x:is>
          <x:t xml:space="preserve">OK</x:t>
        </x:is>
      </x:c>
      <x:c r="V49" s="757" t="inlineStr">
        <x:is>
          <x:t xml:space="preserve"/>
        </x:is>
      </x:c>
    </x:row>
    <x:row r="50">
      <x:c r="A50" s="757" t="inlineStr">
        <x:is>
          <x:t xml:space="preserve">500 x 1106 cm</x:t>
        </x:is>
      </x:c>
      <x:c r="B50" s="757" t="n">
        <x:v>500</x:v>
      </x:c>
      <x:c r="C50" s="757" t="n">
        <x:v>1106</x:v>
      </x:c>
      <x:c r="D50" s="766" t="n">
        <x:v>39921</x:v>
      </x:c>
      <x:c r="E50" s="766" t="n">
        <x:v>30540</x:v>
      </x:c>
      <x:c r="F50" s="766" t="n">
        <x:v>33749</x:v>
      </x:c>
      <x:c r="G50" s="766" t="n">
        <x:v>1452</x:v>
      </x:c>
      <x:c r="H50" s="766" t="n">
        <x:v>20472</x:v>
      </x:c>
      <x:c r="I50" s="766" t="n">
        <x:v>22432</x:v>
      </x:c>
      <x:c r="J50" s="766" t="n">
        <x:v>4711</x:v>
      </x:c>
      <x:c r="K50" s="766" t="n">
        <x:v>9448</x:v>
      </x:c>
      <x:c r="L50" s="766" t="n">
        <x:v>17087</x:v>
      </x:c>
      <x:c r="M50" s="766" t="n">
        <x:v>4191</x:v>
      </x:c>
      <x:c r="N50" s="766" t="n">
        <x:v>2254</x:v>
      </x:c>
      <x:c r="O50" s="766" t="n">
        <x:v>5319</x:v>
      </x:c>
      <x:c r="P50" s="766" t="n">
        <x:v>1017</x:v>
      </x:c>
      <x:c r="Q50" s="766" t="n">
        <x:v>916</x:v>
      </x:c>
      <x:c r="R50" s="766" t="n">
        <x:v>814</x:v>
      </x:c>
      <x:c r="S50" s="767" t="inlineStr">
        <x:is>
          <x:t xml:space="preserve">TAK</x:t>
        </x:is>
      </x:c>
      <x:c r="T50" s="767" t="inlineStr">
        <x:is>
          <x:t xml:space="preserve">NIE</x:t>
        </x:is>
      </x:c>
      <x:c r="U50" s="757" t="inlineStr">
        <x:is>
          <x:t xml:space="preserve">OK</x:t>
        </x:is>
      </x:c>
      <x:c r="V50" s="757" t="inlineStr">
        <x:is>
          <x:t xml:space="preserve"/>
        </x:is>
      </x:c>
    </x:row>
    <x:row r="51">
      <x:c r="A51" s="757" t="inlineStr">
        <x:is>
          <x:t xml:space="preserve">500 x 1206 cm</x:t>
        </x:is>
      </x:c>
      <x:c r="B51" s="757" t="n">
        <x:v>500</x:v>
      </x:c>
      <x:c r="C51" s="757" t="n">
        <x:v>1206</x:v>
      </x:c>
      <x:c r="D51" s="766" t="n">
        <x:v>42769</x:v>
      </x:c>
      <x:c r="E51" s="766" t="n">
        <x:v>32142</x:v>
      </x:c>
      <x:c r="F51" s="766" t="n">
        <x:v>35503</x:v>
      </x:c>
      <x:c r="G51" s="766" t="n">
        <x:v>1591</x:v>
      </x:c>
      <x:c r="H51" s="766" t="n">
        <x:v>22433</x:v>
      </x:c>
      <x:c r="I51" s="766" t="n">
        <x:v>24572</x:v>
      </x:c>
      <x:c r="J51" s="766" t="n">
        <x:v>4711</x:v>
      </x:c>
      <x:c r="K51" s="766" t="n">
        <x:v>10084</x:v>
      </x:c>
      <x:c r="L51" s="766" t="n">
        <x:v>17837</x:v>
      </x:c>
      <x:c r="M51" s="766" t="n">
        <x:v>4752</x:v>
      </x:c>
      <x:c r="N51" s="766" t="n">
        <x:v>2419</x:v>
      </x:c>
      <x:c r="O51" s="766" t="n">
        <x:v>5662</x:v>
      </x:c>
      <x:c r="P51" s="766" t="n">
        <x:v>1069</x:v>
      </x:c>
      <x:c r="Q51" s="766" t="n">
        <x:v>968</x:v>
      </x:c>
      <x:c r="R51" s="766" t="n">
        <x:v>866</x:v>
      </x:c>
      <x:c r="S51" s="767" t="inlineStr">
        <x:is>
          <x:t xml:space="preserve">TAK</x:t>
        </x:is>
      </x:c>
      <x:c r="T51" s="767" t="inlineStr">
        <x:is>
          <x:t xml:space="preserve">NIE</x:t>
        </x:is>
      </x:c>
      <x:c r="U51" s="757" t="inlineStr">
        <x:is>
          <x:t xml:space="preserve">OK</x:t>
        </x:is>
      </x:c>
      <x:c r="V51" s="757" t="inlineStr">
        <x:is>
          <x:t xml:space="preserve"/>
        </x:is>
      </x:c>
    </x:row>
    <x:row r="52">
      <x:c r="A52" s="757" t="inlineStr">
        <x:is>
          <x:t xml:space="preserve">550 x 306 cm</x:t>
        </x:is>
      </x:c>
      <x:c r="B52" s="757" t="n">
        <x:v>550</x:v>
      </x:c>
      <x:c r="C52" s="757" t="n">
        <x:v>306</x:v>
      </x:c>
      <x:c r="D52" s="766" t="n">
        <x:v>16850</x:v>
      </x:c>
      <x:c r="E52" s="766" t="n">
        <x:v>23189</x:v>
      </x:c>
      <x:c r="F52" s="766" t="n">
        <x:v>25480</x:v>
      </x:c>
      <x:c r="G52" s="766" t="n">
        <x:v>369</x:v>
      </x:c>
      <x:c r="H52" s="768" t="n"/>
      <x:c r="I52" s="768" t="n"/>
      <x:c r="J52" s="766" t="n">
        <x:v>5067</x:v>
      </x:c>
      <x:c r="K52" s="766" t="n">
        <x:v>2725</x:v>
      </x:c>
      <x:c r="L52" s="766" t="n">
        <x:v>5321</x:v>
      </x:c>
      <x:c r="M52" s="766" t="n">
        <x:v>2759</x:v>
      </x:c>
      <x:c r="N52" s="766" t="n">
        <x:v>814</x:v>
      </x:c>
      <x:c r="O52" s="766" t="n">
        <x:v>2649</x:v>
      </x:c>
      <x:c r="P52" s="766" t="n">
        <x:v>637</x:v>
      </x:c>
      <x:c r="Q52" s="766" t="n">
        <x:v>573</x:v>
      </x:c>
      <x:c r="R52" s="766" t="n">
        <x:v>611</x:v>
      </x:c>
      <x:c r="S52" s="767" t="inlineStr">
        <x:is>
          <x:t xml:space="preserve">NIE</x:t>
        </x:is>
      </x:c>
      <x:c r="T52" s="767" t="inlineStr">
        <x:is>
          <x:t xml:space="preserve">NIE</x:t>
        </x:is>
      </x:c>
      <x:c r="U52" s="757" t="inlineStr">
        <x:is>
          <x:t xml:space="preserve">OK</x:t>
        </x:is>
      </x:c>
      <x:c r="V52" s="764" t="inlineStr">
        <x:is>
          <x:t xml:space="preserve">Szkło 550/600: nie eksportować / wycena indywidualna</x:t>
        </x:is>
      </x:c>
    </x:row>
    <x:row r="53">
      <x:c r="A53" s="757" t="inlineStr">
        <x:is>
          <x:t xml:space="preserve">550 x 406 cm</x:t>
        </x:is>
      </x:c>
      <x:c r="B53" s="757" t="n">
        <x:v>550</x:v>
      </x:c>
      <x:c r="C53" s="757" t="n">
        <x:v>406</x:v>
      </x:c>
      <x:c r="D53" s="766" t="n">
        <x:v>21205</x:v>
      </x:c>
      <x:c r="E53" s="766" t="n">
        <x:v>24255</x:v>
      </x:c>
      <x:c r="F53" s="766" t="n">
        <x:v>26699</x:v>
      </x:c>
      <x:c r="G53" s="766" t="n">
        <x:v>484</x:v>
      </x:c>
      <x:c r="H53" s="768" t="n"/>
      <x:c r="I53" s="768" t="n"/>
      <x:c r="J53" s="766" t="n">
        <x:v>5067</x:v>
      </x:c>
      <x:c r="K53" s="766" t="n">
        <x:v>3361</x:v>
      </x:c>
      <x:c r="L53" s="766" t="n">
        <x:v>6086</x:v>
      </x:c>
      <x:c r="M53" s="766" t="n">
        <x:v>3056</x:v>
      </x:c>
      <x:c r="N53" s="766" t="n">
        <x:v>943</x:v>
      </x:c>
      <x:c r="O53" s="766" t="n">
        <x:v>3047</x:v>
      </x:c>
      <x:c r="P53" s="766" t="n">
        <x:v>675</x:v>
      </x:c>
      <x:c r="Q53" s="766" t="n">
        <x:v>611</x:v>
      </x:c>
      <x:c r="R53" s="766" t="n">
        <x:v>662</x:v>
      </x:c>
      <x:c r="S53" s="767" t="inlineStr">
        <x:is>
          <x:t xml:space="preserve">NIE</x:t>
        </x:is>
      </x:c>
      <x:c r="T53" s="767" t="inlineStr">
        <x:is>
          <x:t xml:space="preserve">NIE</x:t>
        </x:is>
      </x:c>
      <x:c r="U53" s="757" t="inlineStr">
        <x:is>
          <x:t xml:space="preserve">OK</x:t>
        </x:is>
      </x:c>
      <x:c r="V53" s="764" t="inlineStr">
        <x:is>
          <x:t xml:space="preserve">Szkło 550/600: nie eksportować / wycena indywidualna</x:t>
        </x:is>
      </x:c>
    </x:row>
    <x:row r="54">
      <x:c r="A54" s="757" t="inlineStr">
        <x:is>
          <x:t xml:space="preserve">550 x 506 cm</x:t>
        </x:is>
      </x:c>
      <x:c r="B54" s="757" t="n">
        <x:v>550</x:v>
      </x:c>
      <x:c r="C54" s="757" t="n">
        <x:v>506</x:v>
      </x:c>
      <x:c r="D54" s="766" t="n">
        <x:v>26164</x:v>
      </x:c>
      <x:c r="E54" s="766" t="n">
        <x:v>25518</x:v>
      </x:c>
      <x:c r="F54" s="766" t="n">
        <x:v>28116</x:v>
      </x:c>
      <x:c r="G54" s="766" t="n">
        <x:v>611</x:v>
      </x:c>
      <x:c r="H54" s="768" t="n"/>
      <x:c r="I54" s="768" t="n"/>
      <x:c r="J54" s="766" t="n">
        <x:v>5067</x:v>
      </x:c>
      <x:c r="K54" s="766" t="n">
        <x:v>4711</x:v>
      </x:c>
      <x:c r="L54" s="766" t="n">
        <x:v>7078</x:v>
      </x:c>
      <x:c r="M54" s="766" t="n">
        <x:v>3360</x:v>
      </x:c>
      <x:c r="N54" s="766" t="n">
        <x:v>1221</x:v>
      </x:c>
      <x:c r="O54" s="766" t="n">
        <x:v>3384</x:v>
      </x:c>
      <x:c r="P54" s="766" t="n">
        <x:v>725</x:v>
      </x:c>
      <x:c r="Q54" s="766" t="n">
        <x:v>662</x:v>
      </x:c>
      <x:c r="R54" s="766" t="n">
        <x:v>662</x:v>
      </x:c>
      <x:c r="S54" s="767" t="inlineStr">
        <x:is>
          <x:t xml:space="preserve">NIE</x:t>
        </x:is>
      </x:c>
      <x:c r="T54" s="767" t="inlineStr">
        <x:is>
          <x:t xml:space="preserve">NIE</x:t>
        </x:is>
      </x:c>
      <x:c r="U54" s="757" t="inlineStr">
        <x:is>
          <x:t xml:space="preserve">OK</x:t>
        </x:is>
      </x:c>
      <x:c r="V54" s="764" t="inlineStr">
        <x:is>
          <x:t xml:space="preserve">Szkło 550/600: nie eksportować / wycena indywidualna</x:t>
        </x:is>
      </x:c>
    </x:row>
    <x:row r="55">
      <x:c r="A55" s="757" t="inlineStr">
        <x:is>
          <x:t xml:space="preserve">550 x 606 cm</x:t>
        </x:is>
      </x:c>
      <x:c r="B55" s="757" t="n">
        <x:v>550</x:v>
      </x:c>
      <x:c r="C55" s="757" t="n">
        <x:v>606</x:v>
      </x:c>
      <x:c r="D55" s="766" t="n">
        <x:v>30249</x:v>
      </x:c>
      <x:c r="E55" s="766" t="n">
        <x:v>26053</x:v>
      </x:c>
      <x:c r="F55" s="766" t="n">
        <x:v>28803</x:v>
      </x:c>
      <x:c r="G55" s="766" t="n">
        <x:v>739</x:v>
      </x:c>
      <x:c r="H55" s="768" t="n"/>
      <x:c r="I55" s="768" t="n"/>
      <x:c r="J55" s="766" t="n">
        <x:v>5067</x:v>
      </x:c>
      <x:c r="K55" s="766" t="n">
        <x:v>5437</x:v>
      </x:c>
      <x:c r="L55" s="766" t="n">
        <x:v>10644</x:v>
      </x:c>
      <x:c r="M55" s="766" t="n">
        <x:v>4039</x:v>
      </x:c>
      <x:c r="N55" s="766" t="n">
        <x:v>1388</x:v>
      </x:c>
      <x:c r="O55" s="766" t="n">
        <x:v>4048</x:v>
      </x:c>
      <x:c r="P55" s="766" t="n">
        <x:v>777</x:v>
      </x:c>
      <x:c r="Q55" s="766" t="n">
        <x:v>700</x:v>
      </x:c>
      <x:c r="R55" s="766" t="n">
        <x:v>713</x:v>
      </x:c>
      <x:c r="S55" s="767" t="inlineStr">
        <x:is>
          <x:t xml:space="preserve">NIE</x:t>
        </x:is>
      </x:c>
      <x:c r="T55" s="767" t="inlineStr">
        <x:is>
          <x:t xml:space="preserve">NIE</x:t>
        </x:is>
      </x:c>
      <x:c r="U55" s="757" t="inlineStr">
        <x:is>
          <x:t xml:space="preserve">OK</x:t>
        </x:is>
      </x:c>
      <x:c r="V55" s="764" t="inlineStr">
        <x:is>
          <x:t xml:space="preserve">Szkło 550/600: nie eksportować / wycena indywidualna</x:t>
        </x:is>
      </x:c>
    </x:row>
    <x:row r="56">
      <x:c r="A56" s="757" t="inlineStr">
        <x:is>
          <x:t xml:space="preserve">550 x 706 cm</x:t>
        </x:is>
      </x:c>
      <x:c r="B56" s="757" t="n">
        <x:v>550</x:v>
      </x:c>
      <x:c r="C56" s="757" t="n">
        <x:v>706</x:v>
      </x:c>
      <x:c r="D56" s="766" t="n">
        <x:v>34532</x:v>
      </x:c>
      <x:c r="E56" s="766" t="n">
        <x:v>27321</x:v>
      </x:c>
      <x:c r="F56" s="766" t="n">
        <x:v>30224</x:v>
      </x:c>
      <x:c r="G56" s="766" t="n">
        <x:v>853</x:v>
      </x:c>
      <x:c r="H56" s="768" t="n"/>
      <x:c r="I56" s="768" t="n"/>
      <x:c r="J56" s="766" t="n">
        <x:v>5067</x:v>
      </x:c>
      <x:c r="K56" s="766" t="n">
        <x:v>6086</x:v>
      </x:c>
      <x:c r="L56" s="766" t="n">
        <x:v>11408</x:v>
      </x:c>
      <x:c r="M56" s="766" t="n">
        <x:v>3568</x:v>
      </x:c>
      <x:c r="N56" s="766" t="n">
        <x:v>1541</x:v>
      </x:c>
      <x:c r="O56" s="766" t="n">
        <x:v>4451</x:v>
      </x:c>
      <x:c r="P56" s="766" t="n">
        <x:v>827</x:v>
      </x:c>
      <x:c r="Q56" s="766" t="n">
        <x:v>752</x:v>
      </x:c>
      <x:c r="R56" s="766" t="n">
        <x:v>765</x:v>
      </x:c>
      <x:c r="S56" s="767" t="inlineStr">
        <x:is>
          <x:t xml:space="preserve">NIE</x:t>
        </x:is>
      </x:c>
      <x:c r="T56" s="767" t="inlineStr">
        <x:is>
          <x:t xml:space="preserve">NIE</x:t>
        </x:is>
      </x:c>
      <x:c r="U56" s="757" t="inlineStr">
        <x:is>
          <x:t xml:space="preserve">OK</x:t>
        </x:is>
      </x:c>
      <x:c r="V56" s="764" t="inlineStr">
        <x:is>
          <x:t xml:space="preserve">Szkło 550/600: nie eksportować / wycena indywidualna</x:t>
        </x:is>
      </x:c>
    </x:row>
    <x:row r="57">
      <x:c r="A57" s="757" t="inlineStr">
        <x:is>
          <x:t xml:space="preserve">550 x 806 cm</x:t>
        </x:is>
      </x:c>
      <x:c r="B57" s="757" t="n">
        <x:v>550</x:v>
      </x:c>
      <x:c r="C57" s="757" t="n">
        <x:v>806</x:v>
      </x:c>
      <x:c r="D57" s="766" t="n">
        <x:v>38894</x:v>
      </x:c>
      <x:c r="E57" s="766" t="n">
        <x:v>28407</x:v>
      </x:c>
      <x:c r="F57" s="766" t="n">
        <x:v>31462</x:v>
      </x:c>
      <x:c r="G57" s="766" t="n">
        <x:v>981</x:v>
      </x:c>
      <x:c r="H57" s="768" t="n"/>
      <x:c r="I57" s="768" t="n"/>
      <x:c r="J57" s="766" t="n">
        <x:v>5067</x:v>
      </x:c>
      <x:c r="K57" s="766" t="n">
        <x:v>6723</x:v>
      </x:c>
      <x:c r="L57" s="766" t="n">
        <x:v>12183</x:v>
      </x:c>
      <x:c r="M57" s="766" t="n">
        <x:v>3834</x:v>
      </x:c>
      <x:c r="N57" s="766" t="n">
        <x:v>1834</x:v>
      </x:c>
      <x:c r="O57" s="766" t="n">
        <x:v>4843</x:v>
      </x:c>
      <x:c r="P57" s="766" t="n">
        <x:v>878</x:v>
      </x:c>
      <x:c r="Q57" s="766" t="n">
        <x:v>789</x:v>
      </x:c>
      <x:c r="R57" s="766" t="n">
        <x:v>814</x:v>
      </x:c>
      <x:c r="S57" s="767" t="inlineStr">
        <x:is>
          <x:t xml:space="preserve">NIE</x:t>
        </x:is>
      </x:c>
      <x:c r="T57" s="767" t="inlineStr">
        <x:is>
          <x:t xml:space="preserve">NIE</x:t>
        </x:is>
      </x:c>
      <x:c r="U57" s="757" t="inlineStr">
        <x:is>
          <x:t xml:space="preserve">OK</x:t>
        </x:is>
      </x:c>
      <x:c r="V57" s="764" t="inlineStr">
        <x:is>
          <x:t xml:space="preserve">Szkło 550/600: nie eksportować / wycena indywidualna</x:t>
        </x:is>
      </x:c>
    </x:row>
    <x:row r="58">
      <x:c r="A58" s="757" t="inlineStr">
        <x:is>
          <x:t xml:space="preserve">550 x 906 cm</x:t>
        </x:is>
      </x:c>
      <x:c r="B58" s="757" t="n">
        <x:v>550</x:v>
      </x:c>
      <x:c r="C58" s="757" t="n">
        <x:v>906</x:v>
      </x:c>
      <x:c r="D58" s="766" t="n">
        <x:v>43737</x:v>
      </x:c>
      <x:c r="E58" s="766" t="n">
        <x:v>29851</x:v>
      </x:c>
      <x:c r="F58" s="766" t="n">
        <x:v>33060</x:v>
      </x:c>
      <x:c r="G58" s="766" t="n">
        <x:v>1095</x:v>
      </x:c>
      <x:c r="H58" s="768" t="n"/>
      <x:c r="I58" s="768" t="n"/>
      <x:c r="J58" s="766" t="n">
        <x:v>5067</x:v>
      </x:c>
      <x:c r="K58" s="766" t="n">
        <x:v>8148</x:v>
      </x:c>
      <x:c r="L58" s="766" t="n">
        <x:v>13165</x:v>
      </x:c>
      <x:c r="M58" s="766" t="n">
        <x:v>4083</x:v>
      </x:c>
      <x:c r="N58" s="766" t="n">
        <x:v>1986</x:v>
      </x:c>
      <x:c r="O58" s="766" t="n">
        <x:v>5194</x:v>
      </x:c>
      <x:c r="P58" s="766" t="n">
        <x:v>916</x:v>
      </x:c>
      <x:c r="Q58" s="766" t="n">
        <x:v>827</x:v>
      </x:c>
      <x:c r="R58" s="766" t="n">
        <x:v>814</x:v>
      </x:c>
      <x:c r="S58" s="767" t="inlineStr">
        <x:is>
          <x:t xml:space="preserve">NIE</x:t>
        </x:is>
      </x:c>
      <x:c r="T58" s="767" t="inlineStr">
        <x:is>
          <x:t xml:space="preserve">NIE</x:t>
        </x:is>
      </x:c>
      <x:c r="U58" s="757" t="inlineStr">
        <x:is>
          <x:t xml:space="preserve">OK</x:t>
        </x:is>
      </x:c>
      <x:c r="V58" s="764" t="inlineStr">
        <x:is>
          <x:t xml:space="preserve">Szkło 550/600: nie eksportować / wycena indywidualna</x:t>
        </x:is>
      </x:c>
    </x:row>
    <x:row r="59">
      <x:c r="A59" s="757" t="inlineStr">
        <x:is>
          <x:t xml:space="preserve">550 x 1006 cm</x:t>
        </x:is>
      </x:c>
      <x:c r="B59" s="757" t="n">
        <x:v>550</x:v>
      </x:c>
      <x:c r="C59" s="757" t="n">
        <x:v>1006</x:v>
      </x:c>
      <x:c r="D59" s="766" t="n">
        <x:v>47927</x:v>
      </x:c>
      <x:c r="E59" s="766" t="n">
        <x:v>31289</x:v>
      </x:c>
      <x:c r="F59" s="766" t="n">
        <x:v>34650</x:v>
      </x:c>
      <x:c r="G59" s="766" t="n">
        <x:v>1221</x:v>
      </x:c>
      <x:c r="H59" s="768" t="n"/>
      <x:c r="I59" s="768" t="n"/>
      <x:c r="J59" s="766" t="n">
        <x:v>5067</x:v>
      </x:c>
      <x:c r="K59" s="766" t="n">
        <x:v>8798</x:v>
      </x:c>
      <x:c r="L59" s="766" t="n">
        <x:v>14158</x:v>
      </x:c>
      <x:c r="M59" s="766" t="n">
        <x:v>4376</x:v>
      </x:c>
      <x:c r="N59" s="766" t="n">
        <x:v>2100</x:v>
      </x:c>
      <x:c r="O59" s="766" t="n">
        <x:v>5217</x:v>
      </x:c>
      <x:c r="P59" s="766" t="n">
        <x:v>968</x:v>
      </x:c>
      <x:c r="Q59" s="766" t="n">
        <x:v>878</x:v>
      </x:c>
      <x:c r="R59" s="766" t="n">
        <x:v>866</x:v>
      </x:c>
      <x:c r="S59" s="767" t="inlineStr">
        <x:is>
          <x:t xml:space="preserve">NIE</x:t>
        </x:is>
      </x:c>
      <x:c r="T59" s="767" t="inlineStr">
        <x:is>
          <x:t xml:space="preserve">NIE</x:t>
        </x:is>
      </x:c>
      <x:c r="U59" s="757" t="inlineStr">
        <x:is>
          <x:t xml:space="preserve">OK</x:t>
        </x:is>
      </x:c>
      <x:c r="V59" s="764" t="inlineStr">
        <x:is>
          <x:t xml:space="preserve">Szkło 550/600: nie eksportować / wycena indywidualna</x:t>
        </x:is>
      </x:c>
    </x:row>
    <x:row r="60">
      <x:c r="A60" s="757" t="inlineStr">
        <x:is>
          <x:t xml:space="preserve">550 x 1106 cm</x:t>
        </x:is>
      </x:c>
      <x:c r="B60" s="757" t="n">
        <x:v>550</x:v>
      </x:c>
      <x:c r="C60" s="757" t="n">
        <x:v>1106</x:v>
      </x:c>
      <x:c r="D60" s="766" t="n">
        <x:v>52136</x:v>
      </x:c>
      <x:c r="E60" s="766" t="n">
        <x:v>31440</x:v>
      </x:c>
      <x:c r="F60" s="766" t="n">
        <x:v>34954</x:v>
      </x:c>
      <x:c r="G60" s="766" t="n">
        <x:v>1350</x:v>
      </x:c>
      <x:c r="H60" s="768" t="n"/>
      <x:c r="I60" s="768" t="n"/>
      <x:c r="J60" s="766" t="n">
        <x:v>5067</x:v>
      </x:c>
      <x:c r="K60" s="766" t="n">
        <x:v>9448</x:v>
      </x:c>
      <x:c r="L60" s="766" t="n">
        <x:v>17494</x:v>
      </x:c>
      <x:c r="M60" s="766" t="n">
        <x:v>4969</x:v>
      </x:c>
      <x:c r="N60" s="766" t="n">
        <x:v>2254</x:v>
      </x:c>
      <x:c r="O60" s="766" t="n">
        <x:v>5610</x:v>
      </x:c>
      <x:c r="P60" s="766" t="n">
        <x:v>1017</x:v>
      </x:c>
      <x:c r="Q60" s="766" t="n">
        <x:v>916</x:v>
      </x:c>
      <x:c r="R60" s="766" t="n">
        <x:v>916</x:v>
      </x:c>
      <x:c r="S60" s="767" t="inlineStr">
        <x:is>
          <x:t xml:space="preserve">NIE</x:t>
        </x:is>
      </x:c>
      <x:c r="T60" s="767" t="inlineStr">
        <x:is>
          <x:t xml:space="preserve">NIE</x:t>
        </x:is>
      </x:c>
      <x:c r="U60" s="757" t="inlineStr">
        <x:is>
          <x:t xml:space="preserve">OK</x:t>
        </x:is>
      </x:c>
      <x:c r="V60" s="764" t="inlineStr">
        <x:is>
          <x:t xml:space="preserve">Szkło 550/600: nie eksportować / wycena indywidualna</x:t>
        </x:is>
      </x:c>
    </x:row>
    <x:row r="61">
      <x:c r="A61" s="757" t="inlineStr">
        <x:is>
          <x:t xml:space="preserve">550 x 1206 cm</x:t>
        </x:is>
      </x:c>
      <x:c r="B61" s="757" t="n">
        <x:v>550</x:v>
      </x:c>
      <x:c r="C61" s="757" t="n">
        <x:v>1206</x:v>
      </x:c>
      <x:c r="D61" s="766" t="n">
        <x:v>56299</x:v>
      </x:c>
      <x:c r="E61" s="766" t="n">
        <x:v>32538</x:v>
      </x:c>
      <x:c r="F61" s="766" t="n">
        <x:v>36052</x:v>
      </x:c>
      <x:c r="G61" s="766" t="n">
        <x:v>1464</x:v>
      </x:c>
      <x:c r="H61" s="768" t="n"/>
      <x:c r="I61" s="768" t="n"/>
      <x:c r="J61" s="766" t="n">
        <x:v>5067</x:v>
      </x:c>
      <x:c r="K61" s="766" t="n">
        <x:v>10084</x:v>
      </x:c>
      <x:c r="L61" s="766" t="n">
        <x:v>17837</x:v>
      </x:c>
      <x:c r="M61" s="766" t="n">
        <x:v>5573</x:v>
      </x:c>
      <x:c r="N61" s="766" t="n">
        <x:v>2419</x:v>
      </x:c>
      <x:c r="O61" s="766" t="n">
        <x:v>5983</x:v>
      </x:c>
      <x:c r="P61" s="766" t="n">
        <x:v>1069</x:v>
      </x:c>
      <x:c r="Q61" s="766" t="n">
        <x:v>968</x:v>
      </x:c>
      <x:c r="R61" s="766" t="n">
        <x:v>968</x:v>
      </x:c>
      <x:c r="S61" s="767" t="inlineStr">
        <x:is>
          <x:t xml:space="preserve">NIE</x:t>
        </x:is>
      </x:c>
      <x:c r="T61" s="767" t="inlineStr">
        <x:is>
          <x:t xml:space="preserve">NIE</x:t>
        </x:is>
      </x:c>
      <x:c r="U61" s="757" t="inlineStr">
        <x:is>
          <x:t xml:space="preserve">OK</x:t>
        </x:is>
      </x:c>
      <x:c r="V61" s="764" t="inlineStr">
        <x:is>
          <x:t xml:space="preserve">Szkło 550/600: nie eksportować / wycena indywidualna</x:t>
        </x:is>
      </x:c>
    </x:row>
    <x:row r="62">
      <x:c r="A62" s="757" t="inlineStr">
        <x:is>
          <x:t xml:space="preserve">600 x 306 cm</x:t>
        </x:is>
      </x:c>
      <x:c r="B62" s="757" t="n">
        <x:v>600</x:v>
      </x:c>
      <x:c r="C62" s="757" t="n">
        <x:v>306</x:v>
      </x:c>
      <x:c r="D62" s="766" t="n">
        <x:v>18038</x:v>
      </x:c>
      <x:c r="E62" s="766" t="n">
        <x:v>23373</x:v>
      </x:c>
      <x:c r="F62" s="766" t="n">
        <x:v>25664</x:v>
      </x:c>
      <x:c r="G62" s="766" t="n">
        <x:v>394</x:v>
      </x:c>
      <x:c r="H62" s="768" t="n"/>
      <x:c r="I62" s="768" t="n"/>
      <x:c r="J62" s="766" t="n">
        <x:v>5437</x:v>
      </x:c>
      <x:c r="K62" s="766" t="n">
        <x:v>2725</x:v>
      </x:c>
      <x:c r="L62" s="766" t="n">
        <x:v>5321</x:v>
      </x:c>
      <x:c r="M62" s="766" t="n">
        <x:v>2759</x:v>
      </x:c>
      <x:c r="N62" s="766" t="n">
        <x:v>814</x:v>
      </x:c>
      <x:c r="O62" s="766" t="n">
        <x:v>2704</x:v>
      </x:c>
      <x:c r="P62" s="766" t="n">
        <x:v>637</x:v>
      </x:c>
      <x:c r="Q62" s="766" t="n">
        <x:v>573</x:v>
      </x:c>
      <x:c r="R62" s="766" t="n">
        <x:v>611</x:v>
      </x:c>
      <x:c r="S62" s="767" t="inlineStr">
        <x:is>
          <x:t xml:space="preserve">NIE</x:t>
        </x:is>
      </x:c>
      <x:c r="T62" s="767" t="inlineStr">
        <x:is>
          <x:t xml:space="preserve">NIE</x:t>
        </x:is>
      </x:c>
      <x:c r="U62" s="757" t="inlineStr">
        <x:is>
          <x:t xml:space="preserve">OK</x:t>
        </x:is>
      </x:c>
      <x:c r="V62" s="764" t="inlineStr">
        <x:is>
          <x:t xml:space="preserve">Szkło 550/600: nie eksportować / wycena indywidualna</x:t>
        </x:is>
      </x:c>
    </x:row>
    <x:row r="63">
      <x:c r="A63" s="757" t="inlineStr">
        <x:is>
          <x:t xml:space="preserve">600 x 406 cm</x:t>
        </x:is>
      </x:c>
      <x:c r="B63" s="757" t="n">
        <x:v>600</x:v>
      </x:c>
      <x:c r="C63" s="757" t="n">
        <x:v>406</x:v>
      </x:c>
      <x:c r="D63" s="766" t="n">
        <x:v>22734</x:v>
      </x:c>
      <x:c r="E63" s="766" t="n">
        <x:v>24403</x:v>
      </x:c>
      <x:c r="F63" s="766" t="n">
        <x:v>26847</x:v>
      </x:c>
      <x:c r="G63" s="766" t="n">
        <x:v>534</x:v>
      </x:c>
      <x:c r="H63" s="768" t="n"/>
      <x:c r="I63" s="768" t="n"/>
      <x:c r="J63" s="766" t="n">
        <x:v>5437</x:v>
      </x:c>
      <x:c r="K63" s="766" t="n">
        <x:v>3361</x:v>
      </x:c>
      <x:c r="L63" s="766" t="n">
        <x:v>6086</x:v>
      </x:c>
      <x:c r="M63" s="766" t="n">
        <x:v>3056</x:v>
      </x:c>
      <x:c r="N63" s="766" t="n">
        <x:v>943</x:v>
      </x:c>
      <x:c r="O63" s="766" t="n">
        <x:v>3141</x:v>
      </x:c>
      <x:c r="P63" s="766" t="n">
        <x:v>675</x:v>
      </x:c>
      <x:c r="Q63" s="766" t="n">
        <x:v>611</x:v>
      </x:c>
      <x:c r="R63" s="766" t="n">
        <x:v>662</x:v>
      </x:c>
      <x:c r="S63" s="767" t="inlineStr">
        <x:is>
          <x:t xml:space="preserve">NIE</x:t>
        </x:is>
      </x:c>
      <x:c r="T63" s="767" t="inlineStr">
        <x:is>
          <x:t xml:space="preserve">NIE</x:t>
        </x:is>
      </x:c>
      <x:c r="U63" s="757" t="inlineStr">
        <x:is>
          <x:t xml:space="preserve">OK</x:t>
        </x:is>
      </x:c>
      <x:c r="V63" s="764" t="inlineStr">
        <x:is>
          <x:t xml:space="preserve">Szkło 550/600: nie eksportować / wycena indywidualna</x:t>
        </x:is>
      </x:c>
    </x:row>
    <x:row r="64">
      <x:c r="A64" s="757" t="inlineStr">
        <x:is>
          <x:t xml:space="preserve">600 x 506 cm</x:t>
        </x:is>
      </x:c>
      <x:c r="B64" s="757" t="n">
        <x:v>600</x:v>
      </x:c>
      <x:c r="C64" s="757" t="n">
        <x:v>506</x:v>
      </x:c>
      <x:c r="D64" s="766" t="n">
        <x:v>27684</x:v>
      </x:c>
      <x:c r="E64" s="766" t="n">
        <x:v>25815</x:v>
      </x:c>
      <x:c r="F64" s="766" t="n">
        <x:v>28413</x:v>
      </x:c>
      <x:c r="G64" s="766" t="n">
        <x:v>662</x:v>
      </x:c>
      <x:c r="H64" s="768" t="n"/>
      <x:c r="I64" s="768" t="n"/>
      <x:c r="J64" s="766" t="n">
        <x:v>5437</x:v>
      </x:c>
      <x:c r="K64" s="766" t="n">
        <x:v>4711</x:v>
      </x:c>
      <x:c r="L64" s="766" t="n">
        <x:v>7078</x:v>
      </x:c>
      <x:c r="M64" s="766" t="n">
        <x:v>3360</x:v>
      </x:c>
      <x:c r="N64" s="766" t="n">
        <x:v>1221</x:v>
      </x:c>
      <x:c r="O64" s="766" t="n">
        <x:v>3501</x:v>
      </x:c>
      <x:c r="P64" s="766" t="n">
        <x:v>725</x:v>
      </x:c>
      <x:c r="Q64" s="766" t="n">
        <x:v>662</x:v>
      </x:c>
      <x:c r="R64" s="766" t="n">
        <x:v>662</x:v>
      </x:c>
      <x:c r="S64" s="767" t="inlineStr">
        <x:is>
          <x:t xml:space="preserve">NIE</x:t>
        </x:is>
      </x:c>
      <x:c r="T64" s="767" t="inlineStr">
        <x:is>
          <x:t xml:space="preserve">NIE</x:t>
        </x:is>
      </x:c>
      <x:c r="U64" s="757" t="inlineStr">
        <x:is>
          <x:t xml:space="preserve">OK</x:t>
        </x:is>
      </x:c>
      <x:c r="V64" s="764" t="inlineStr">
        <x:is>
          <x:t xml:space="preserve">Szkło 550/600: nie eksportować / wycena indywidualna</x:t>
        </x:is>
      </x:c>
    </x:row>
    <x:row r="65">
      <x:c r="A65" s="757" t="inlineStr">
        <x:is>
          <x:t xml:space="preserve">600 x 606 cm</x:t>
        </x:is>
      </x:c>
      <x:c r="B65" s="757" t="n">
        <x:v>600</x:v>
      </x:c>
      <x:c r="C65" s="757" t="n">
        <x:v>606</x:v>
      </x:c>
      <x:c r="D65" s="766" t="n">
        <x:v>32233</x:v>
      </x:c>
      <x:c r="E65" s="766" t="n">
        <x:v>26176</x:v>
      </x:c>
      <x:c r="F65" s="766" t="n">
        <x:v>28926</x:v>
      </x:c>
      <x:c r="G65" s="766" t="n">
        <x:v>789</x:v>
      </x:c>
      <x:c r="H65" s="768" t="n"/>
      <x:c r="I65" s="768" t="n"/>
      <x:c r="J65" s="766" t="n">
        <x:v>5437</x:v>
      </x:c>
      <x:c r="K65" s="766" t="n">
        <x:v>5437</x:v>
      </x:c>
      <x:c r="L65" s="766" t="n">
        <x:v>10644</x:v>
      </x:c>
      <x:c r="M65" s="766" t="n">
        <x:v>4039</x:v>
      </x:c>
      <x:c r="N65" s="766" t="n">
        <x:v>1388</x:v>
      </x:c>
      <x:c r="O65" s="766" t="n">
        <x:v>4299</x:v>
      </x:c>
      <x:c r="P65" s="766" t="n">
        <x:v>777</x:v>
      </x:c>
      <x:c r="Q65" s="766" t="n">
        <x:v>700</x:v>
      </x:c>
      <x:c r="R65" s="766" t="n">
        <x:v>713</x:v>
      </x:c>
      <x:c r="S65" s="767" t="inlineStr">
        <x:is>
          <x:t xml:space="preserve">NIE</x:t>
        </x:is>
      </x:c>
      <x:c r="T65" s="767" t="inlineStr">
        <x:is>
          <x:t xml:space="preserve">NIE</x:t>
        </x:is>
      </x:c>
      <x:c r="U65" s="757" t="inlineStr">
        <x:is>
          <x:t xml:space="preserve">OK</x:t>
        </x:is>
      </x:c>
      <x:c r="V65" s="764" t="inlineStr">
        <x:is>
          <x:t xml:space="preserve">Szkło 550/600: nie eksportować / wycena indywidualna</x:t>
        </x:is>
      </x:c>
    </x:row>
    <x:row r="66">
      <x:c r="A66" s="757" t="inlineStr">
        <x:is>
          <x:t xml:space="preserve">600 x 706 cm</x:t>
        </x:is>
      </x:c>
      <x:c r="B66" s="757" t="n">
        <x:v>600</x:v>
      </x:c>
      <x:c r="C66" s="757" t="n">
        <x:v>706</x:v>
      </x:c>
      <x:c r="D66" s="766" t="n">
        <x:v>36795</x:v>
      </x:c>
      <x:c r="E66" s="766" t="n">
        <x:v>27432</x:v>
      </x:c>
      <x:c r="F66" s="766" t="n">
        <x:v>30335</x:v>
      </x:c>
      <x:c r="G66" s="766" t="n">
        <x:v>929</x:v>
      </x:c>
      <x:c r="H66" s="768" t="n"/>
      <x:c r="I66" s="768" t="n"/>
      <x:c r="J66" s="766" t="n">
        <x:v>5437</x:v>
      </x:c>
      <x:c r="K66" s="766" t="n">
        <x:v>6086</x:v>
      </x:c>
      <x:c r="L66" s="766" t="n">
        <x:v>11408</x:v>
      </x:c>
      <x:c r="M66" s="766" t="n">
        <x:v>3568</x:v>
      </x:c>
      <x:c r="N66" s="766" t="n">
        <x:v>1541</x:v>
      </x:c>
      <x:c r="O66" s="766" t="n">
        <x:v>4740</x:v>
      </x:c>
      <x:c r="P66" s="766" t="n">
        <x:v>827</x:v>
      </x:c>
      <x:c r="Q66" s="766" t="n">
        <x:v>752</x:v>
      </x:c>
      <x:c r="R66" s="766" t="n">
        <x:v>765</x:v>
      </x:c>
      <x:c r="S66" s="767" t="inlineStr">
        <x:is>
          <x:t xml:space="preserve">NIE</x:t>
        </x:is>
      </x:c>
      <x:c r="T66" s="767" t="inlineStr">
        <x:is>
          <x:t xml:space="preserve">NIE</x:t>
        </x:is>
      </x:c>
      <x:c r="U66" s="757" t="inlineStr">
        <x:is>
          <x:t xml:space="preserve">OK</x:t>
        </x:is>
      </x:c>
      <x:c r="V66" s="764" t="inlineStr">
        <x:is>
          <x:t xml:space="preserve">Szkło 550/600: nie eksportować / wycena indywidualna</x:t>
        </x:is>
      </x:c>
    </x:row>
    <x:row r="67">
      <x:c r="A67" s="757" t="inlineStr">
        <x:is>
          <x:t xml:space="preserve">600 x 806 cm</x:t>
        </x:is>
      </x:c>
      <x:c r="B67" s="757" t="n">
        <x:v>600</x:v>
      </x:c>
      <x:c r="C67" s="757" t="n">
        <x:v>806</x:v>
      </x:c>
      <x:c r="D67" s="766" t="n">
        <x:v>41473</x:v>
      </x:c>
      <x:c r="E67" s="766" t="n">
        <x:v>28493</x:v>
      </x:c>
      <x:c r="F67" s="766" t="n">
        <x:v>31548</x:v>
      </x:c>
      <x:c r="G67" s="766" t="n">
        <x:v>1057</x:v>
      </x:c>
      <x:c r="H67" s="768" t="n"/>
      <x:c r="I67" s="768" t="n"/>
      <x:c r="J67" s="766" t="n">
        <x:v>5437</x:v>
      </x:c>
      <x:c r="K67" s="766" t="n">
        <x:v>6723</x:v>
      </x:c>
      <x:c r="L67" s="766" t="n">
        <x:v>12183</x:v>
      </x:c>
      <x:c r="M67" s="766" t="n">
        <x:v>3834</x:v>
      </x:c>
      <x:c r="N67" s="766" t="n">
        <x:v>1834</x:v>
      </x:c>
      <x:c r="O67" s="766" t="n">
        <x:v>5165</x:v>
      </x:c>
      <x:c r="P67" s="766" t="n">
        <x:v>878</x:v>
      </x:c>
      <x:c r="Q67" s="766" t="n">
        <x:v>789</x:v>
      </x:c>
      <x:c r="R67" s="766" t="n">
        <x:v>814</x:v>
      </x:c>
      <x:c r="S67" s="767" t="inlineStr">
        <x:is>
          <x:t xml:space="preserve">NIE</x:t>
        </x:is>
      </x:c>
      <x:c r="T67" s="767" t="inlineStr">
        <x:is>
          <x:t xml:space="preserve">NIE</x:t>
        </x:is>
      </x:c>
      <x:c r="U67" s="757" t="inlineStr">
        <x:is>
          <x:t xml:space="preserve">OK</x:t>
        </x:is>
      </x:c>
      <x:c r="V67" s="764" t="inlineStr">
        <x:is>
          <x:t xml:space="preserve">Szkło 550/600: nie eksportować / wycena indywidualna</x:t>
        </x:is>
      </x:c>
    </x:row>
    <x:row r="68">
      <x:c r="A68" s="757" t="inlineStr">
        <x:is>
          <x:t xml:space="preserve">600 x 906 cm</x:t>
        </x:is>
      </x:c>
      <x:c r="B68" s="757" t="n">
        <x:v>600</x:v>
      </x:c>
      <x:c r="C68" s="757" t="n">
        <x:v>906</x:v>
      </x:c>
      <x:c r="D68" s="766" t="n">
        <x:v>46573</x:v>
      </x:c>
      <x:c r="E68" s="766" t="n">
        <x:v>29956</x:v>
      </x:c>
      <x:c r="F68" s="766" t="n">
        <x:v>33165</x:v>
      </x:c>
      <x:c r="G68" s="766" t="n">
        <x:v>1197</x:v>
      </x:c>
      <x:c r="H68" s="768" t="n"/>
      <x:c r="I68" s="768" t="n"/>
      <x:c r="J68" s="766" t="n">
        <x:v>5437</x:v>
      </x:c>
      <x:c r="K68" s="766" t="n">
        <x:v>8148</x:v>
      </x:c>
      <x:c r="L68" s="766" t="n">
        <x:v>13165</x:v>
      </x:c>
      <x:c r="M68" s="766" t="n">
        <x:v>4083</x:v>
      </x:c>
      <x:c r="N68" s="766" t="n">
        <x:v>1986</x:v>
      </x:c>
      <x:c r="O68" s="766" t="n">
        <x:v>5538</x:v>
      </x:c>
      <x:c r="P68" s="766" t="n">
        <x:v>916</x:v>
      </x:c>
      <x:c r="Q68" s="766" t="n">
        <x:v>841</x:v>
      </x:c>
      <x:c r="R68" s="766" t="n">
        <x:v>814</x:v>
      </x:c>
      <x:c r="S68" s="767" t="inlineStr">
        <x:is>
          <x:t xml:space="preserve">NIE</x:t>
        </x:is>
      </x:c>
      <x:c r="T68" s="767" t="inlineStr">
        <x:is>
          <x:t xml:space="preserve">NIE</x:t>
        </x:is>
      </x:c>
      <x:c r="U68" s="757" t="inlineStr">
        <x:is>
          <x:t xml:space="preserve">OK</x:t>
        </x:is>
      </x:c>
      <x:c r="V68" s="764" t="inlineStr">
        <x:is>
          <x:t xml:space="preserve">Szkło 550/600: nie eksportować / wycena indywidualna</x:t>
        </x:is>
      </x:c>
    </x:row>
    <x:row r="69">
      <x:c r="A69" s="757" t="inlineStr">
        <x:is>
          <x:t xml:space="preserve">600 x 1006 cm</x:t>
        </x:is>
      </x:c>
      <x:c r="B69" s="757" t="n">
        <x:v>600</x:v>
      </x:c>
      <x:c r="C69" s="757" t="n">
        <x:v>1006</x:v>
      </x:c>
      <x:c r="D69" s="766" t="n">
        <x:v>51090</x:v>
      </x:c>
      <x:c r="E69" s="766" t="n">
        <x:v>31371</x:v>
      </x:c>
      <x:c r="F69" s="766" t="n">
        <x:v>34732</x:v>
      </x:c>
      <x:c r="G69" s="766" t="n">
        <x:v>1325</x:v>
      </x:c>
      <x:c r="H69" s="768" t="n"/>
      <x:c r="I69" s="768" t="n"/>
      <x:c r="J69" s="766" t="n">
        <x:v>5437</x:v>
      </x:c>
      <x:c r="K69" s="766" t="n">
        <x:v>8798</x:v>
      </x:c>
      <x:c r="L69" s="766" t="n">
        <x:v>14158</x:v>
      </x:c>
      <x:c r="M69" s="766" t="n">
        <x:v>4376</x:v>
      </x:c>
      <x:c r="N69" s="766" t="n">
        <x:v>2100</x:v>
      </x:c>
      <x:c r="O69" s="766" t="n">
        <x:v>5476</x:v>
      </x:c>
      <x:c r="P69" s="766" t="n">
        <x:v>968</x:v>
      </x:c>
      <x:c r="Q69" s="766" t="n">
        <x:v>878</x:v>
      </x:c>
      <x:c r="R69" s="766" t="n">
        <x:v>866</x:v>
      </x:c>
      <x:c r="S69" s="767" t="inlineStr">
        <x:is>
          <x:t xml:space="preserve">NIE</x:t>
        </x:is>
      </x:c>
      <x:c r="T69" s="767" t="inlineStr">
        <x:is>
          <x:t xml:space="preserve">NIE</x:t>
        </x:is>
      </x:c>
      <x:c r="U69" s="757" t="inlineStr">
        <x:is>
          <x:t xml:space="preserve">OK</x:t>
        </x:is>
      </x:c>
      <x:c r="V69" s="764" t="inlineStr">
        <x:is>
          <x:t xml:space="preserve">Szkło 550/600: nie eksportować / wycena indywidualna</x:t>
        </x:is>
      </x:c>
    </x:row>
    <x:row r="70">
      <x:c r="A70" s="757" t="inlineStr">
        <x:is>
          <x:t xml:space="preserve">600 x 1106 cm</x:t>
        </x:is>
      </x:c>
      <x:c r="B70" s="757" t="n">
        <x:v>600</x:v>
      </x:c>
      <x:c r="C70" s="757" t="n">
        <x:v>1106</x:v>
      </x:c>
      <x:c r="D70" s="766" t="n">
        <x:v>55567</x:v>
      </x:c>
      <x:c r="E70" s="766" t="n">
        <x:v>31509</x:v>
      </x:c>
      <x:c r="F70" s="766" t="n">
        <x:v>35023</x:v>
      </x:c>
      <x:c r="G70" s="766" t="n">
        <x:v>1464</x:v>
      </x:c>
      <x:c r="H70" s="768" t="n"/>
      <x:c r="I70" s="768" t="n"/>
      <x:c r="J70" s="766" t="n">
        <x:v>5437</x:v>
      </x:c>
      <x:c r="K70" s="766" t="n">
        <x:v>9448</x:v>
      </x:c>
      <x:c r="L70" s="766" t="n">
        <x:v>17494</x:v>
      </x:c>
      <x:c r="M70" s="766" t="n">
        <x:v>4969</x:v>
      </x:c>
      <x:c r="N70" s="766" t="n">
        <x:v>2254</x:v>
      </x:c>
      <x:c r="O70" s="766" t="n">
        <x:v>5899</x:v>
      </x:c>
      <x:c r="P70" s="766" t="n">
        <x:v>1017</x:v>
      </x:c>
      <x:c r="Q70" s="766" t="n">
        <x:v>916</x:v>
      </x:c>
      <x:c r="R70" s="766" t="n">
        <x:v>916</x:v>
      </x:c>
      <x:c r="S70" s="767" t="inlineStr">
        <x:is>
          <x:t xml:space="preserve">NIE</x:t>
        </x:is>
      </x:c>
      <x:c r="T70" s="767" t="inlineStr">
        <x:is>
          <x:t xml:space="preserve">NIE</x:t>
        </x:is>
      </x:c>
      <x:c r="U70" s="757" t="inlineStr">
        <x:is>
          <x:t xml:space="preserve">OK</x:t>
        </x:is>
      </x:c>
      <x:c r="V70" s="764" t="inlineStr">
        <x:is>
          <x:t xml:space="preserve">Szkło 550/600: nie eksportować / wycena indywidualna</x:t>
        </x:is>
      </x:c>
    </x:row>
    <x:row r="71">
      <x:c r="A71" s="757" t="inlineStr">
        <x:is>
          <x:t xml:space="preserve">600 x 1206 cm</x:t>
        </x:is>
      </x:c>
      <x:c r="B71" s="757" t="n">
        <x:v>600</x:v>
      </x:c>
      <x:c r="C71" s="757" t="n">
        <x:v>1206</x:v>
      </x:c>
      <x:c r="D71" s="766" t="n">
        <x:v>60059</x:v>
      </x:c>
      <x:c r="E71" s="766" t="n">
        <x:v>32583</x:v>
      </x:c>
      <x:c r="F71" s="766" t="n">
        <x:v>36249</x:v>
      </x:c>
      <x:c r="G71" s="766" t="n">
        <x:v>1591</x:v>
      </x:c>
      <x:c r="H71" s="768" t="n"/>
      <x:c r="I71" s="768" t="n"/>
      <x:c r="J71" s="766" t="n">
        <x:v>5437</x:v>
      </x:c>
      <x:c r="K71" s="766" t="n">
        <x:v>10084</x:v>
      </x:c>
      <x:c r="L71" s="766" t="n">
        <x:v>17837</x:v>
      </x:c>
      <x:c r="M71" s="766" t="n">
        <x:v>5573</x:v>
      </x:c>
      <x:c r="N71" s="766" t="n">
        <x:v>2419</x:v>
      </x:c>
      <x:c r="O71" s="766" t="n">
        <x:v>6304</x:v>
      </x:c>
      <x:c r="P71" s="766" t="n">
        <x:v>1069</x:v>
      </x:c>
      <x:c r="Q71" s="766" t="n">
        <x:v>968</x:v>
      </x:c>
      <x:c r="R71" s="766" t="n">
        <x:v>968</x:v>
      </x:c>
      <x:c r="S71" s="767" t="inlineStr">
        <x:is>
          <x:t xml:space="preserve">NIE</x:t>
        </x:is>
      </x:c>
      <x:c r="T71" s="767" t="inlineStr">
        <x:is>
          <x:t xml:space="preserve">NIE</x:t>
        </x:is>
      </x:c>
      <x:c r="U71" s="757" t="inlineStr">
        <x:is>
          <x:t xml:space="preserve">OK</x:t>
        </x:is>
      </x:c>
      <x:c r="V71" s="764" t="inlineStr">
        <x:is>
          <x:t xml:space="preserve">Szkło 550/600: nie eksportować / wycena indywidualna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a3d31515b6b480b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6" style="655" customWidth="1"/>
    <x:col min="2" max="2" width="15" style="655" customWidth="1"/>
    <x:col min="3" max="3" width="25" style="655" customWidth="1"/>
    <x:col min="4" max="4" width="31" style="655" customWidth="1"/>
    <x:col min="5" max="5" width="13" style="655" customWidth="1"/>
    <x:col min="6" max="6" width="14" style="655" customWidth="1"/>
    <x:col min="7" max="7" width="42" style="655" customWidth="1"/>
  </x:cols>
  <x:sheetData>
    <x:row r="1">
      <x:c r="A1" s="742" t="inlineStr">
        <x:is>
          <x:t xml:space="preserve">Audyt cennika — pozycje do kontroli przed publikacją</x:t>
        </x:is>
      </x:c>
    </x:row>
    <x:row r="3">
      <x:c r="A3" s="722" t="inlineStr">
        <x:is>
          <x:t xml:space="preserve">Typ</x:t>
        </x:is>
      </x:c>
      <x:c r="B3" s="722" t="inlineStr">
        <x:is>
          <x:t xml:space="preserve">Wymiar</x:t>
        </x:is>
      </x:c>
      <x:c r="C3" s="722" t="inlineStr">
        <x:is>
          <x:t xml:space="preserve">Kod</x:t>
        </x:is>
      </x:c>
      <x:c r="D3" s="722" t="inlineStr">
        <x:is>
          <x:t xml:space="preserve">Nazwa</x:t>
        </x:is>
      </x:c>
      <x:c r="E3" s="722" t="inlineStr">
        <x:is>
          <x:t xml:space="preserve">Cena brutto</x:t>
        </x:is>
      </x:c>
      <x:c r="F3" s="722" t="inlineStr">
        <x:is>
          <x:t xml:space="preserve">Rentowność %</x:t>
        </x:is>
      </x:c>
      <x:c r="G3" s="722" t="inlineStr">
        <x:is>
          <x:t xml:space="preserve">Uwagi</x:t>
        </x:is>
      </x:c>
    </x:row>
    <x:row r="4">
      <x:c r="A4" s="764" t="inlineStr">
        <x:is>
          <x:t xml:space="preserve">NISKA RENTOWNOŚĆ 0–25%</x:t>
        </x:is>
      </x:c>
      <x:c r="B4" s="764" t="inlineStr">
        <x:is>
          <x:t xml:space="preserve">300 x 506 cm</x:t>
        </x:is>
      </x:c>
      <x:c r="C4" s="764" t="inlineStr">
        <x:is>
          <x:t xml:space="preserve">RP</x:t>
        </x:is>
      </x:c>
      <x:c r="D4" s="764" t="inlineStr">
        <x:is>
          <x:t xml:space="preserve">Roleta przednia ZIP</x:t>
        </x:is>
      </x:c>
      <x:c r="E4" s="764" t="n">
        <x:v>4711</x:v>
      </x:c>
      <x:c r="F4" s="764" t="n">
        <x:v>24.16</x:v>
      </x:c>
      <x:c r="G4" s="764" t="inlineStr">
        <x:is>
          <x:t xml:space="preserve"/>
        </x:is>
      </x:c>
    </x:row>
    <x:row r="5">
      <x:c r="A5" s="764" t="inlineStr">
        <x:is>
          <x:t xml:space="preserve">NISKA RENTOWNOŚĆ 0–25%</x:t>
        </x:is>
      </x:c>
      <x:c r="B5" s="764" t="inlineStr">
        <x:is>
          <x:t xml:space="preserve">350 x 506 cm</x:t>
        </x:is>
      </x:c>
      <x:c r="C5" s="764" t="inlineStr">
        <x:is>
          <x:t xml:space="preserve">RP</x:t>
        </x:is>
      </x:c>
      <x:c r="D5" s="764" t="inlineStr">
        <x:is>
          <x:t xml:space="preserve">Roleta przednia ZIP</x:t>
        </x:is>
      </x:c>
      <x:c r="E5" s="764" t="n">
        <x:v>4711</x:v>
      </x:c>
      <x:c r="F5" s="764" t="n">
        <x:v>24.16</x:v>
      </x:c>
      <x:c r="G5" s="764" t="inlineStr">
        <x:is>
          <x:t xml:space="preserve"/>
        </x:is>
      </x:c>
    </x:row>
    <x:row r="6">
      <x:c r="A6" s="764" t="inlineStr">
        <x:is>
          <x:t xml:space="preserve">NISKA RENTOWNOŚĆ 0–25%</x:t>
        </x:is>
      </x:c>
      <x:c r="B6" s="764" t="inlineStr">
        <x:is>
          <x:t xml:space="preserve">400 x 506 cm</x:t>
        </x:is>
      </x:c>
      <x:c r="C6" s="764" t="inlineStr">
        <x:is>
          <x:t xml:space="preserve">RP</x:t>
        </x:is>
      </x:c>
      <x:c r="D6" s="764" t="inlineStr">
        <x:is>
          <x:t xml:space="preserve">Roleta przednia ZIP</x:t>
        </x:is>
      </x:c>
      <x:c r="E6" s="764" t="n">
        <x:v>4711</x:v>
      </x:c>
      <x:c r="F6" s="764" t="n">
        <x:v>24.16</x:v>
      </x:c>
      <x:c r="G6" s="764" t="inlineStr">
        <x:is>
          <x:t xml:space="preserve"/>
        </x:is>
      </x:c>
    </x:row>
    <x:row r="7">
      <x:c r="A7" s="764" t="inlineStr">
        <x:is>
          <x:t xml:space="preserve">NISKA RENTOWNOŚĆ 0–25%</x:t>
        </x:is>
      </x:c>
      <x:c r="B7" s="764" t="inlineStr">
        <x:is>
          <x:t xml:space="preserve">450 x 506 cm</x:t>
        </x:is>
      </x:c>
      <x:c r="C7" s="764" t="inlineStr">
        <x:is>
          <x:t xml:space="preserve">RP</x:t>
        </x:is>
      </x:c>
      <x:c r="D7" s="764" t="inlineStr">
        <x:is>
          <x:t xml:space="preserve">Roleta przednia ZIP</x:t>
        </x:is>
      </x:c>
      <x:c r="E7" s="764" t="n">
        <x:v>4711</x:v>
      </x:c>
      <x:c r="F7" s="764" t="n">
        <x:v>24.16</x:v>
      </x:c>
      <x:c r="G7" s="764" t="inlineStr">
        <x:is>
          <x:t xml:space="preserve"/>
        </x:is>
      </x:c>
    </x:row>
    <x:row r="8">
      <x:c r="A8" s="764" t="inlineStr">
        <x:is>
          <x:t xml:space="preserve">NISKA RENTOWNOŚĆ 0–25%</x:t>
        </x:is>
      </x:c>
      <x:c r="B8" s="764" t="inlineStr">
        <x:is>
          <x:t xml:space="preserve">500 x 506 cm</x:t>
        </x:is>
      </x:c>
      <x:c r="C8" s="764" t="inlineStr">
        <x:is>
          <x:t xml:space="preserve">RP</x:t>
        </x:is>
      </x:c>
      <x:c r="D8" s="764" t="inlineStr">
        <x:is>
          <x:t xml:space="preserve">Roleta przednia ZIP</x:t>
        </x:is>
      </x:c>
      <x:c r="E8" s="764" t="n">
        <x:v>4711</x:v>
      </x:c>
      <x:c r="F8" s="764" t="n">
        <x:v>24.16</x:v>
      </x:c>
      <x:c r="G8" s="764" t="inlineStr">
        <x:is>
          <x:t xml:space="preserve"/>
        </x:is>
      </x:c>
    </x:row>
    <x:row r="9">
      <x:c r="A9" s="764" t="inlineStr">
        <x:is>
          <x:t xml:space="preserve">NISKA RENTOWNOŚĆ 0–25%</x:t>
        </x:is>
      </x:c>
      <x:c r="B9" s="764" t="inlineStr">
        <x:is>
          <x:t xml:space="preserve">550 x 506 cm</x:t>
        </x:is>
      </x:c>
      <x:c r="C9" s="764" t="inlineStr">
        <x:is>
          <x:t xml:space="preserve">RP</x:t>
        </x:is>
      </x:c>
      <x:c r="D9" s="764" t="inlineStr">
        <x:is>
          <x:t xml:space="preserve">Roleta przednia ZIP</x:t>
        </x:is>
      </x:c>
      <x:c r="E9" s="764" t="n">
        <x:v>4711</x:v>
      </x:c>
      <x:c r="F9" s="764" t="n">
        <x:v>24.16</x:v>
      </x:c>
      <x:c r="G9" s="764" t="inlineStr">
        <x:is>
          <x:t xml:space="preserve">FIX11: K/L 550/600 wg ark. 09 (UZUPEŁNIĆ L).</x:t>
        </x:is>
      </x:c>
    </x:row>
    <x:row r="10">
      <x:c r="A10" s="764" t="inlineStr">
        <x:is>
          <x:t xml:space="preserve">NISKA RENTOWNOŚĆ 0–25%</x:t>
        </x:is>
      </x:c>
      <x:c r="B10" s="764" t="inlineStr">
        <x:is>
          <x:t xml:space="preserve">600 x 506 cm</x:t>
        </x:is>
      </x:c>
      <x:c r="C10" s="764" t="inlineStr">
        <x:is>
          <x:t xml:space="preserve">RP</x:t>
        </x:is>
      </x:c>
      <x:c r="D10" s="764" t="inlineStr">
        <x:is>
          <x:t xml:space="preserve">Roleta przednia ZIP</x:t>
        </x:is>
      </x:c>
      <x:c r="E10" s="764" t="n">
        <x:v>4711</x:v>
      </x:c>
      <x:c r="F10" s="764" t="n">
        <x:v>24.16</x:v>
      </x:c>
      <x:c r="G10" s="764" t="inlineStr">
        <x:is>
          <x:t xml:space="preserve">FIX11: K/L 550/600 wg ark. 09 (UZUPEŁNIĆ L).</x:t>
        </x:is>
      </x:c>
    </x:row>
    <x:row r="11">
      <x:c r="A11" s="764" t="inlineStr">
        <x:is>
          <x:t xml:space="preserve">SPADEK CENY PRZY WIĘKSZEJ DŁUGOŚCI</x:t>
        </x:is>
      </x:c>
      <x:c r="B11" s="764" t="inlineStr">
        <x:is>
          <x:t xml:space="preserve">300 x 706 cm</x:t>
        </x:is>
      </x:c>
      <x:c r="C11" s="764" t="inlineStr">
        <x:is>
          <x:t xml:space="preserve">foundation_gross</x:t>
        </x:is>
      </x:c>
      <x:c r="D11" s="764" t="inlineStr">
        <x:is>
          <x:t xml:space="preserve">Poprzednio 300 x 606 cm: 2319</x:t>
        </x:is>
      </x:c>
      <x:c r="E11" s="764" t="n">
        <x:v>1913</x:v>
      </x:c>
      <x:c r="F11" s="764" t="inlineStr">
        <x:is>
          <x:t xml:space="preserve"/>
        </x:is>
      </x:c>
      <x:c r="G11" s="764" t="inlineStr">
        <x:is>
          <x:t xml:space="preserve">Sprawdzić, czy wynika z cennika dostawcy lub modelu.</x:t>
        </x:is>
      </x:c>
    </x:row>
    <x:row r="12">
      <x:c r="A12" s="764" t="inlineStr">
        <x:is>
          <x:t xml:space="preserve">SPADEK CENY PRZY WIĘKSZEJ DŁUGOŚCI</x:t>
        </x:is>
      </x:c>
      <x:c r="B12" s="764" t="inlineStr">
        <x:is>
          <x:t xml:space="preserve">350 x 706 cm</x:t>
        </x:is>
      </x:c>
      <x:c r="C12" s="764" t="inlineStr">
        <x:is>
          <x:t xml:space="preserve">foundation_gross</x:t>
        </x:is>
      </x:c>
      <x:c r="D12" s="764" t="inlineStr">
        <x:is>
          <x:t xml:space="preserve">Poprzednio 350 x 606 cm: 2742</x:t>
        </x:is>
      </x:c>
      <x:c r="E12" s="764" t="n">
        <x:v>2357</x:v>
      </x:c>
      <x:c r="F12" s="764" t="inlineStr">
        <x:is>
          <x:t xml:space="preserve"/>
        </x:is>
      </x:c>
      <x:c r="G12" s="764" t="inlineStr">
        <x:is>
          <x:t xml:space="preserve">Sprawdzić, czy wynika z cennika dostawcy lub modelu.</x:t>
        </x:is>
      </x:c>
    </x:row>
    <x:row r="13">
      <x:c r="A13" s="764" t="inlineStr">
        <x:is>
          <x:t xml:space="preserve">SPADEK CENY PRZY WIĘKSZEJ DŁUGOŚCI</x:t>
        </x:is>
      </x:c>
      <x:c r="B13" s="764" t="inlineStr">
        <x:is>
          <x:t xml:space="preserve">400 x 906 cm</x:t>
        </x:is>
      </x:c>
      <x:c r="C13" s="764" t="inlineStr">
        <x:is>
          <x:t xml:space="preserve">roof_poly_colored_gross</x:t>
        </x:is>
      </x:c>
      <x:c r="D13" s="764" t="inlineStr">
        <x:is>
          <x:t xml:space="preserve">Poprzednio 400 x 806 cm: 814</x:t>
        </x:is>
      </x:c>
      <x:c r="E13" s="764" t="n">
        <x:v>637</x:v>
      </x:c>
      <x:c r="F13" s="764" t="inlineStr">
        <x:is>
          <x:t xml:space="preserve"/>
        </x:is>
      </x:c>
      <x:c r="G13" s="764" t="inlineStr">
        <x:is>
          <x:t xml:space="preserve">Sprawdzić, czy wynika z cennika dostawcy lub modelu.</x:t>
        </x:is>
      </x:c>
    </x:row>
    <x:row r="14">
      <x:c r="A14" s="764" t="inlineStr">
        <x:is>
          <x:t xml:space="preserve">SPADEK CENY PRZY WIĘKSZEJ DŁUGOŚCI</x:t>
        </x:is>
      </x:c>
      <x:c r="B14" s="764" t="inlineStr">
        <x:is>
          <x:t xml:space="preserve">400 x 706 cm</x:t>
        </x:is>
      </x:c>
      <x:c r="C14" s="764" t="inlineStr">
        <x:is>
          <x:t xml:space="preserve">foundation_gross</x:t>
        </x:is>
      </x:c>
      <x:c r="D14" s="764" t="inlineStr">
        <x:is>
          <x:t xml:space="preserve">Poprzednio 400 x 606 cm: 2742</x:t>
        </x:is>
      </x:c>
      <x:c r="E14" s="764" t="n">
        <x:v>2357</x:v>
      </x:c>
      <x:c r="F14" s="764" t="inlineStr">
        <x:is>
          <x:t xml:space="preserve"/>
        </x:is>
      </x:c>
      <x:c r="G14" s="764" t="inlineStr">
        <x:is>
          <x:t xml:space="preserve">Sprawdzić, czy wynika z cennika dostawcy lub modelu.</x:t>
        </x:is>
      </x:c>
    </x:row>
    <x:row r="15">
      <x:c r="A15" s="764" t="inlineStr">
        <x:is>
          <x:t xml:space="preserve">SPADEK CENY PRZY WIĘKSZEJ DŁUGOŚCI</x:t>
        </x:is>
      </x:c>
      <x:c r="B15" s="764" t="inlineStr">
        <x:is>
          <x:t xml:space="preserve">450 x 706 cm</x:t>
        </x:is>
      </x:c>
      <x:c r="C15" s="764" t="inlineStr">
        <x:is>
          <x:t xml:space="preserve">foundation_gross</x:t>
        </x:is>
      </x:c>
      <x:c r="D15" s="764" t="inlineStr">
        <x:is>
          <x:t xml:space="preserve">Poprzednio 450 x 606 cm: 3283</x:t>
        </x:is>
      </x:c>
      <x:c r="E15" s="764" t="n">
        <x:v>2899</x:v>
      </x:c>
      <x:c r="F15" s="764" t="inlineStr">
        <x:is>
          <x:t xml:space="preserve"/>
        </x:is>
      </x:c>
      <x:c r="G15" s="764" t="inlineStr">
        <x:is>
          <x:t xml:space="preserve">Sprawdzić, czy wynika z cennika dostawcy lub modelu.</x:t>
        </x:is>
      </x:c>
    </x:row>
    <x:row r="16">
      <x:c r="A16" s="764" t="inlineStr">
        <x:is>
          <x:t xml:space="preserve">SPADEK CENY PRZY WIĘKSZEJ DŁUGOŚCI</x:t>
        </x:is>
      </x:c>
      <x:c r="B16" s="764" t="inlineStr">
        <x:is>
          <x:t xml:space="preserve">500 x 706 cm</x:t>
        </x:is>
      </x:c>
      <x:c r="C16" s="764" t="inlineStr">
        <x:is>
          <x:t xml:space="preserve">foundation_gross</x:t>
        </x:is>
      </x:c>
      <x:c r="D16" s="764" t="inlineStr">
        <x:is>
          <x:t xml:space="preserve">Poprzednio 500 x 606 cm: 3283</x:t>
        </x:is>
      </x:c>
      <x:c r="E16" s="764" t="n">
        <x:v>2899</x:v>
      </x:c>
      <x:c r="F16" s="764" t="inlineStr">
        <x:is>
          <x:t xml:space="preserve"/>
        </x:is>
      </x:c>
      <x:c r="G16" s="764" t="inlineStr">
        <x:is>
          <x:t xml:space="preserve">Sprawdzić, czy wynika z cennika dostawcy lub modelu.</x:t>
        </x:is>
      </x:c>
    </x:row>
    <x:row r="17">
      <x:c r="A17" s="764" t="inlineStr">
        <x:is>
          <x:t xml:space="preserve">SPADEK CENY PRZY WIĘKSZEJ DŁUGOŚCI</x:t>
        </x:is>
      </x:c>
      <x:c r="B17" s="764" t="inlineStr">
        <x:is>
          <x:t xml:space="preserve">550 x 706 cm</x:t>
        </x:is>
      </x:c>
      <x:c r="C17" s="764" t="inlineStr">
        <x:is>
          <x:t xml:space="preserve">foundation_gross</x:t>
        </x:is>
      </x:c>
      <x:c r="D17" s="764" t="inlineStr">
        <x:is>
          <x:t xml:space="preserve">Poprzednio 550 x 606 cm: 4039</x:t>
        </x:is>
      </x:c>
      <x:c r="E17" s="764" t="n">
        <x:v>3568</x:v>
      </x:c>
      <x:c r="F17" s="764" t="inlineStr">
        <x:is>
          <x:t xml:space="preserve"/>
        </x:is>
      </x:c>
      <x:c r="G17" s="764" t="inlineStr">
        <x:is>
          <x:t xml:space="preserve">Sprawdzić, czy wynika z cennika dostawcy lub modelu.</x:t>
        </x:is>
      </x:c>
    </x:row>
    <x:row r="18">
      <x:c r="A18" s="764" t="inlineStr">
        <x:is>
          <x:t xml:space="preserve">SPADEK CENY PRZY WIĘKSZEJ DŁUGOŚCI</x:t>
        </x:is>
      </x:c>
      <x:c r="B18" s="764" t="inlineStr">
        <x:is>
          <x:t xml:space="preserve">600 x 706 cm</x:t>
        </x:is>
      </x:c>
      <x:c r="C18" s="764" t="inlineStr">
        <x:is>
          <x:t xml:space="preserve">foundation_gross</x:t>
        </x:is>
      </x:c>
      <x:c r="D18" s="764" t="inlineStr">
        <x:is>
          <x:t xml:space="preserve">Poprzednio 600 x 606 cm: 4039</x:t>
        </x:is>
      </x:c>
      <x:c r="E18" s="764" t="n">
        <x:v>3568</x:v>
      </x:c>
      <x:c r="F18" s="764" t="inlineStr">
        <x:is>
          <x:t xml:space="preserve"/>
        </x:is>
      </x:c>
      <x:c r="G18" s="764" t="inlineStr">
        <x:is>
          <x:t xml:space="preserve">Sprawdzić, czy wynika z cennika dostawcy lub modelu.</x:t>
        </x:is>
      </x:c>
    </x:row>
    <x:row r="19">
      <x:c r="A19" s="764" t="inlineStr">
        <x:is>
          <x:t xml:space="preserve">SPADEK CENY PRZY WIĘKSZEJ DŁUGOŚCI</x:t>
        </x:is>
      </x:c>
      <x:c r="B19" s="764" t="inlineStr">
        <x:is>
          <x:t xml:space="preserve">600 x 1006 cm</x:t>
        </x:is>
      </x:c>
      <x:c r="C19" s="764" t="inlineStr">
        <x:is>
          <x:t xml:space="preserve">led_cct_gross</x:t>
        </x:is>
      </x:c>
      <x:c r="D19" s="764" t="inlineStr">
        <x:is>
          <x:t xml:space="preserve">Poprzednio 600 x 906 cm: 5538</x:t>
        </x:is>
      </x:c>
      <x:c r="E19" s="764" t="n">
        <x:v>5476</x:v>
      </x:c>
      <x:c r="F19" s="764" t="inlineStr">
        <x:is>
          <x:t xml:space="preserve"/>
        </x:is>
      </x:c>
      <x:c r="G19" s="764" t="inlineStr">
        <x:is>
          <x:t xml:space="preserve">Sprawdzić, czy wynika z cennika dostawcy lub modelu.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f17464172a848b9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2" style="655" customWidth="1"/>
    <x:col min="2" max="2" width="22" style="655" customWidth="1"/>
    <x:col min="3" max="3" width="42" style="655" customWidth="1"/>
    <x:col min="4" max="4" width="42" style="655" customWidth="1"/>
    <x:col min="5" max="5" width="42" style="655" customWidth="1"/>
  </x:cols>
  <x:sheetData>
    <x:row r="1">
      <x:c r="A1" s="722" t="inlineStr">
        <x:is>
          <x:t xml:space="preserve">Status</x:t>
        </x:is>
      </x:c>
      <x:c r="B1" s="722" t="inlineStr">
        <x:is>
          <x:t xml:space="preserve">Obszar</x:t>
        </x:is>
      </x:c>
      <x:c r="C1" s="722" t="inlineStr">
        <x:is>
          <x:t xml:space="preserve">Co sprawdzić</x:t>
        </x:is>
      </x:c>
      <x:c r="D1" s="722" t="inlineStr">
        <x:is>
          <x:t xml:space="preserve">Wynik audytu</x:t>
        </x:is>
      </x:c>
      <x:c r="E1" s="722" t="inlineStr">
        <x:is>
          <x:t xml:space="preserve">Co zrobić</x:t>
        </x:is>
      </x:c>
    </x:row>
    <x:row r="2">
      <x:c r="A2" s="763" t="inlineStr">
        <x:is>
          <x:t xml:space="preserve">OK</x:t>
        </x:is>
      </x:c>
      <x:c r="B2" s="763" t="inlineStr">
        <x:is>
          <x:t xml:space="preserve">Struktura</x:t>
        </x:is>
      </x:c>
      <x:c r="C2" s="763" t="inlineStr">
        <x:is>
          <x:t xml:space="preserve">Liczba wymiarów w RAW_INDEX</x:t>
        </x:is>
      </x:c>
      <x:c r="D2" s="763" t="inlineStr">
        <x:is>
          <x:t xml:space="preserve">70 wymiarów</x:t>
        </x:is>
      </x:c>
      <x:c r="E2" s="763" t="inlineStr">
        <x:is>
          <x:t xml:space="preserve"/>
        </x:is>
      </x:c>
    </x:row>
    <x:row r="3">
      <x:c r="A3" s="763" t="inlineStr">
        <x:is>
          <x:t xml:space="preserve">OK</x:t>
        </x:is>
      </x:c>
      <x:c r="B3" s="763" t="inlineStr">
        <x:is>
          <x:t xml:space="preserve">Struktura</x:t>
        </x:is>
      </x:c>
      <x:c r="C3" s="763" t="inlineStr">
        <x:is>
          <x:t xml:space="preserve">Liczba pozycji w 03_Cennik_uslug_nowy</x:t>
        </x:is>
      </x:c>
      <x:c r="D3" s="763" t="inlineStr">
        <x:is>
          <x:t xml:space="preserve">1330 pozycji = 70 x 19</x:t>
        </x:is>
      </x:c>
      <x:c r="E3" s="763" t="inlineStr">
        <x:is>
          <x:t xml:space="preserve"/>
        </x:is>
      </x:c>
    </x:row>
    <x:row r="4">
      <x:c r="A4" s="763" t="inlineStr">
        <x:is>
          <x:t xml:space="preserve">OK</x:t>
        </x:is>
      </x:c>
      <x:c r="B4" s="763" t="inlineStr">
        <x:is>
          <x:t xml:space="preserve">Struktura</x:t>
        </x:is>
      </x:c>
      <x:c r="C4" s="763" t="inlineStr">
        <x:is>
          <x:t xml:space="preserve">Duplikaty Wymiar+Kod</x:t>
        </x:is>
      </x:c>
      <x:c r="D4" s="763" t="inlineStr">
        <x:is>
          <x:t xml:space="preserve">0 duplikatów</x:t>
        </x:is>
      </x:c>
      <x:c r="E4" s="763" t="inlineStr">
        <x:is>
          <x:t xml:space="preserve"/>
        </x:is>
      </x:c>
    </x:row>
    <x:row r="5">
      <x:c r="A5" s="763" t="inlineStr">
        <x:is>
          <x:t xml:space="preserve">OK</x:t>
        </x:is>
      </x:c>
      <x:c r="B5" s="763" t="inlineStr">
        <x:is>
          <x:t xml:space="preserve">Techniczna</x:t>
        </x:is>
      </x:c>
      <x:c r="C5" s="763" t="inlineStr">
        <x:is>
          <x:t xml:space="preserve">Błędy literalne w formułach</x:t>
        </x:is>
      </x:c>
      <x:c r="D5" s="763" t="inlineStr">
        <x:is>
          <x:t xml:space="preserve">0 formuł z błędami literalnymi</x:t>
        </x:is>
      </x:c>
      <x:c r="E5" s="763" t="inlineStr">
        <x:is>
          <x:t xml:space="preserve"/>
        </x:is>
      </x:c>
    </x:row>
    <x:row r="6">
      <x:c r="A6" s="764" t="inlineStr">
        <x:is>
          <x:t xml:space="preserve">UWAGA</x:t>
        </x:is>
      </x:c>
      <x:c r="B6" s="764" t="inlineStr">
        <x:is>
          <x:t xml:space="preserve">Techniczna</x:t>
        </x:is>
      </x:c>
      <x:c r="C6" s="764" t="inlineStr">
        <x:is>
          <x:t xml:space="preserve">Przeliczenie formuł po otwarciu</x:t>
        </x:is>
      </x:c>
      <x:c r="D6" s="764" t="inlineStr">
        <x:is>
          <x:t xml:space="preserve">Plik zawiera formuły; wartości w Excelu/WPS mogą wymagać odświeżenia</x:t>
        </x:is>
      </x:c>
      <x:c r="E6" s="764" t="inlineStr">
        <x:is>
          <x:t xml:space="preserve">Po otwarciu w Excelu użyć Ctrl+Alt+F9 przed finalnym zapisem MASTER</x:t>
        </x:is>
      </x:c>
    </x:row>
    <x:row r="7">
      <x:c r="A7" s="763" t="inlineStr">
        <x:is>
          <x:t xml:space="preserve">OK</x:t>
        </x:is>
      </x:c>
      <x:c r="B7" s="763" t="inlineStr">
        <x:is>
          <x:t xml:space="preserve">LED</x:t>
        </x:is>
      </x:c>
      <x:c r="C7" s="763" t="inlineStr">
        <x:is>
          <x:t xml:space="preserve">LED RGB CCT widoczność</x:t>
        </x:is>
      </x:c>
      <x:c r="D7" s="763" t="inlineStr">
        <x:is>
          <x:t xml:space="preserve">{'crm_only'}</x:t>
        </x:is>
      </x:c>
      <x:c r="E7" s="763" t="inlineStr">
        <x:is>
          <x:t xml:space="preserve">Ma być crm_only, nie eksportować na stronę</x:t>
        </x:is>
      </x:c>
    </x:row>
    <x:row r="8">
      <x:c r="A8" s="763" t="inlineStr">
        <x:is>
          <x:t xml:space="preserve">OK</x:t>
        </x:is>
      </x:c>
      <x:c r="B8" s="763" t="inlineStr">
        <x:is>
          <x:t xml:space="preserve">LED</x:t>
        </x:is>
      </x:c>
      <x:c r="C8" s="763" t="inlineStr">
        <x:is>
          <x:t xml:space="preserve">LED CCT widoczność</x:t>
        </x:is>
      </x:c>
      <x:c r="D8" s="763" t="inlineStr">
        <x:is>
          <x:t xml:space="preserve">{'website+crm'}</x:t>
        </x:is>
      </x:c>
      <x:c r="E8" s="763" t="inlineStr">
        <x:is>
          <x:t xml:space="preserve">Ma być website+crm</x:t>
        </x:is>
      </x:c>
    </x:row>
    <x:row r="9">
      <x:c r="A9" s="763" t="inlineStr">
        <x:is>
          <x:t xml:space="preserve">OK</x:t>
        </x:is>
      </x:c>
      <x:c r="B9" s="763" t="inlineStr">
        <x:is>
          <x:t xml:space="preserve">LED</x:t>
        </x:is>
      </x:c>
      <x:c r="C9" s="763" t="inlineStr">
        <x:is>
          <x:t xml:space="preserve">LED CCT ceny 300–600</x:t>
        </x:is>
      </x:c>
      <x:c r="D9" s="763" t="inlineStr">
        <x:is>
          <x:t xml:space="preserve">0 zer/braków</x:t>
        </x:is>
      </x:c>
      <x:c r="E9" s="763" t="inlineStr">
        <x:is>
          <x:t xml:space="preserve">OK</x:t>
        </x:is>
      </x:c>
    </x:row>
    <x:row r="10">
      <x:c r="A10" s="763" t="inlineStr">
        <x:is>
          <x:t xml:space="preserve">OK</x:t>
        </x:is>
      </x:c>
      <x:c r="B10" s="763" t="inlineStr">
        <x:is>
          <x:t xml:space="preserve">LED</x:t>
        </x:is>
      </x:c>
      <x:c r="C10" s="763" t="inlineStr">
        <x:is>
          <x:t xml:space="preserve">LED RGB CCT w eksporcie strony</x:t>
        </x:is>
      </x:c>
      <x:c r="D10" s="763" t="inlineStr">
        <x:is>
          <x:t xml:space="preserve">Nie eksportujemy</x:t>
        </x:is>
      </x:c>
      <x:c r="E10" s="763" t="inlineStr">
        <x:is>
          <x:t xml:space="preserve"/>
        </x:is>
      </x:c>
    </x:row>
    <x:row r="11">
      <x:c r="A11" s="763" t="inlineStr">
        <x:is>
          <x:t xml:space="preserve">OK</x:t>
        </x:is>
      </x:c>
      <x:c r="B11" s="763" t="inlineStr">
        <x:is>
          <x:t xml:space="preserve">Dopłaty materiałowe</x:t>
        </x:is>
      </x:c>
      <x:c r="C11" s="763" t="inlineStr">
        <x:is>
          <x:t xml:space="preserve">PDS montaż i wynagrodzenie = 0</x:t>
        </x:is>
      </x:c>
      <x:c r="D11" s="763" t="inlineStr">
        <x:is>
          <x:t xml:space="preserve">0 niezgodności</x:t>
        </x:is>
      </x:c>
      <x:c r="E11" s="763" t="inlineStr">
        <x:is>
          <x:t xml:space="preserve"/>
        </x:is>
      </x:c>
    </x:row>
    <x:row r="12">
      <x:c r="A12" s="763" t="inlineStr">
        <x:is>
          <x:t xml:space="preserve">OK</x:t>
        </x:is>
      </x:c>
      <x:c r="B12" s="763" t="inlineStr">
        <x:is>
          <x:t xml:space="preserve">Dopłaty materiałowe</x:t>
        </x:is>
      </x:c>
      <x:c r="C12" s="763" t="inlineStr">
        <x:is>
          <x:t xml:space="preserve">PDSB montaż i wynagrodzenie = 0</x:t>
        </x:is>
      </x:c>
      <x:c r="D12" s="763" t="inlineStr">
        <x:is>
          <x:t xml:space="preserve">0 niezgodności</x:t>
        </x:is>
      </x:c>
      <x:c r="E12" s="763" t="inlineStr">
        <x:is>
          <x:t xml:space="preserve"/>
        </x:is>
      </x:c>
    </x:row>
    <x:row r="13">
      <x:c r="A13" s="763" t="inlineStr">
        <x:is>
          <x:t xml:space="preserve">OK</x:t>
        </x:is>
      </x:c>
      <x:c r="B13" s="763" t="inlineStr">
        <x:is>
          <x:t xml:space="preserve">Dopłaty materiałowe</x:t>
        </x:is>
      </x:c>
      <x:c r="C13" s="763" t="inlineStr">
        <x:is>
          <x:t xml:space="preserve">PDPB montaż i wynagrodzenie = 0</x:t>
        </x:is>
      </x:c>
      <x:c r="D13" s="763" t="inlineStr">
        <x:is>
          <x:t xml:space="preserve">0 niezgodności</x:t>
        </x:is>
      </x:c>
      <x:c r="E13" s="763" t="inlineStr">
        <x:is>
          <x:t xml:space="preserve"/>
        </x:is>
      </x:c>
    </x:row>
    <x:row r="14">
      <x:c r="A14" s="763" t="inlineStr">
        <x:is>
          <x:t xml:space="preserve">OK</x:t>
        </x:is>
      </x:c>
      <x:c r="B14" s="763" t="inlineStr">
        <x:is>
          <x:t xml:space="preserve">Dopłaty materiałowe</x:t>
        </x:is>
      </x:c>
      <x:c r="C14" s="763" t="inlineStr">
        <x:is>
          <x:t xml:space="preserve">SBB montaż i wynagrodzenie = 0</x:t>
        </x:is>
      </x:c>
      <x:c r="D14" s="763" t="inlineStr">
        <x:is>
          <x:t xml:space="preserve">0 niezgodności</x:t>
        </x:is>
      </x:c>
      <x:c r="E14" s="763" t="inlineStr">
        <x:is>
          <x:t xml:space="preserve"/>
        </x:is>
      </x:c>
    </x:row>
    <x:row r="15">
      <x:c r="A15" s="763" t="inlineStr">
        <x:is>
          <x:t xml:space="preserve">OK</x:t>
        </x:is>
      </x:c>
      <x:c r="B15" s="763" t="inlineStr">
        <x:is>
          <x:t xml:space="preserve">Fundament/profile</x:t>
        </x:is>
      </x:c>
      <x:c r="C15" s="763" t="inlineStr">
        <x:is>
          <x:t xml:space="preserve">PDWP narzut</x:t>
        </x:is>
      </x:c>
      <x:c r="D15" s="763" t="inlineStr">
        <x:is>
          <x:t xml:space="preserve">{1.2}</x:t>
        </x:is>
      </x:c>
      <x:c r="E15" s="763" t="inlineStr">
        <x:is>
          <x:t xml:space="preserve">Powinno być 120%</x:t>
        </x:is>
      </x:c>
    </x:row>
    <x:row r="16">
      <x:c r="A16" s="763" t="inlineStr">
        <x:is>
          <x:t xml:space="preserve">OK</x:t>
        </x:is>
      </x:c>
      <x:c r="B16" s="763" t="inlineStr">
        <x:is>
          <x:t xml:space="preserve">Rentowność</x:t>
        </x:is>
      </x:c>
      <x:c r="C16" s="763" t="inlineStr">
        <x:is>
          <x:t xml:space="preserve">Pozycje website+crm z rentownością &lt; 0%</x:t>
        </x:is>
      </x:c>
      <x:c r="D16" s="763" t="inlineStr">
        <x:is>
          <x:t xml:space="preserve">0 pozycji</x:t>
        </x:is>
      </x:c>
      <x:c r="E16" s="763" t="inlineStr">
        <x:is>
          <x:t xml:space="preserve">Poprawić narzut/koszt lub ukryć</x:t>
        </x:is>
      </x:c>
    </x:row>
    <x:row r="17">
      <x:c r="A17" s="764" t="inlineStr">
        <x:is>
          <x:t xml:space="preserve">DO DECYZJI</x:t>
        </x:is>
      </x:c>
      <x:c r="B17" s="764" t="inlineStr">
        <x:is>
          <x:t xml:space="preserve">Rentowność</x:t>
        </x:is>
      </x:c>
      <x:c r="C17" s="764" t="inlineStr">
        <x:is>
          <x:t xml:space="preserve">Pozycje website+crm z rentownością 0–25%</x:t>
        </x:is>
      </x:c>
      <x:c r="D17" s="764" t="inlineStr">
        <x:is>
          <x:t xml:space="preserve">7 pozycji</x:t>
        </x:is>
      </x:c>
      <x:c r="E17" s="764" t="inlineStr">
        <x:is>
          <x:t xml:space="preserve">Sprawdzić listę w arkuszu 15_AUDYT_CENNIKA</x:t>
        </x:is>
      </x:c>
    </x:row>
    <x:row r="18">
      <x:c r="A18" s="763" t="inlineStr">
        <x:is>
          <x:t xml:space="preserve">OK</x:t>
        </x:is>
      </x:c>
      <x:c r="B18" s="763" t="inlineStr">
        <x:is>
          <x:t xml:space="preserve">Szkło 550/600</x:t>
        </x:is>
      </x:c>
      <x:c r="C18" s="763" t="inlineStr">
        <x:is>
          <x:t xml:space="preserve">Szkło dla szerokości 550</x:t>
        </x:is>
      </x:c>
      <x:c r="D18" s="763" t="inlineStr">
        <x:is>
          <x:t xml:space="preserve">ukryte w eksporcie</x:t>
        </x:is>
      </x:c>
      <x:c r="E18" s="763" t="inlineStr">
        <x:is>
          <x:t xml:space="preserve">Nie publikować szkła 550/600 bez RAW_ZS/RAW_OS</x:t>
        </x:is>
      </x:c>
    </x:row>
    <x:row r="19">
      <x:c r="A19" s="763" t="inlineStr">
        <x:is>
          <x:t xml:space="preserve">OK</x:t>
        </x:is>
      </x:c>
      <x:c r="B19" s="763" t="inlineStr">
        <x:is>
          <x:t xml:space="preserve">Szkło 550/600</x:t>
        </x:is>
      </x:c>
      <x:c r="C19" s="763" t="inlineStr">
        <x:is>
          <x:t xml:space="preserve">Szkło dla szerokości 600</x:t>
        </x:is>
      </x:c>
      <x:c r="D19" s="763" t="inlineStr">
        <x:is>
          <x:t xml:space="preserve">ukryte w eksporcie</x:t>
        </x:is>
      </x:c>
      <x:c r="E19" s="763" t="inlineStr">
        <x:is>
          <x:t xml:space="preserve">Nie publikować szkła 550/600 bez RAW_ZS/RAW_OS</x:t>
        </x:is>
      </x:c>
    </x:row>
    <x:row r="20">
      <x:c r="A20" s="763" t="inlineStr">
        <x:is>
          <x:t xml:space="preserve">OK</x:t>
        </x:is>
      </x:c>
      <x:c r="B20" s="763" t="inlineStr">
        <x:is>
          <x:t xml:space="preserve">550/600</x:t>
        </x:is>
      </x:c>
      <x:c r="C20" s="763" t="inlineStr">
        <x:is>
          <x:t xml:space="preserve">ZP montaż/wynagrodzenie uzupełnione</x:t>
        </x:is>
      </x:c>
      <x:c r="D20" s="763" t="inlineStr">
        <x:is>
          <x:t xml:space="preserve">0 braków</x:t>
        </x:is>
      </x:c>
      <x:c r="E20" s="763" t="inlineStr">
        <x:is>
          <x:t xml:space="preserve">Uzupełnić FIX11 wartości</x:t>
        </x:is>
      </x:c>
    </x:row>
    <x:row r="21">
      <x:c r="A21" s="763" t="inlineStr">
        <x:is>
          <x:t xml:space="preserve">OK</x:t>
        </x:is>
      </x:c>
      <x:c r="B21" s="763" t="inlineStr">
        <x:is>
          <x:t xml:space="preserve">550/600</x:t>
        </x:is>
      </x:c>
      <x:c r="C21" s="763" t="inlineStr">
        <x:is>
          <x:t xml:space="preserve">OP montaż/wynagrodzenie uzupełnione</x:t>
        </x:is>
      </x:c>
      <x:c r="D21" s="763" t="inlineStr">
        <x:is>
          <x:t xml:space="preserve">0 braków</x:t>
        </x:is>
      </x:c>
      <x:c r="E21" s="763" t="inlineStr">
        <x:is>
          <x:t xml:space="preserve">Uzupełnić FIX11 wartości</x:t>
        </x:is>
      </x:c>
    </x:row>
    <x:row r="22">
      <x:c r="A22" s="763" t="inlineStr">
        <x:is>
          <x:t xml:space="preserve">OK</x:t>
        </x:is>
      </x:c>
      <x:c r="B22" s="763" t="inlineStr">
        <x:is>
          <x:t xml:space="preserve">Export strony</x:t>
        </x:is>
      </x:c>
      <x:c r="C22" s="763" t="inlineStr">
        <x:is>
          <x:t xml:space="preserve">Zera/braki w kluczowych polach exportu</x:t>
        </x:is>
      </x:c>
      <x:c r="D22" s="763" t="inlineStr">
        <x:is>
          <x:t xml:space="preserve">0 braków</x:t>
        </x:is>
      </x:c>
      <x:c r="E22" s="763" t="inlineStr">
        <x:is>
          <x:t xml:space="preserve">Uzupełnić przed JSON</x:t>
        </x:is>
      </x:c>
    </x:row>
    <x:row r="23">
      <x:c r="A23" s="764" t="inlineStr">
        <x:is>
          <x:t xml:space="preserve">DO DECYZJI</x:t>
        </x:is>
      </x:c>
      <x:c r="B23" s="764" t="inlineStr">
        <x:is>
          <x:t xml:space="preserve">Logika cen</x:t>
        </x:is>
      </x:c>
      <x:c r="C23" s="764" t="inlineStr">
        <x:is>
          <x:t xml:space="preserve">Spadki ceny przy większej długości</x:t>
        </x:is>
      </x:c>
      <x:c r="D23" s="764" t="inlineStr">
        <x:is>
          <x:t xml:space="preserve">9 przypadków</x:t>
        </x:is>
      </x:c>
      <x:c r="E23" s="764" t="inlineStr">
        <x:is>
          <x:t xml:space="preserve">Sprawdzić arkusz 15_AUDYT_CENNIKA; część może wynikać z cennika dostawcy</x:t>
        </x:is>
      </x:c>
    </x:row>
    <x:row r="24">
      <x:c r="A24" s="763" t="inlineStr">
        <x:is>
          <x:t xml:space="preserve">OK</x:t>
        </x:is>
      </x:c>
      <x:c r="B24" s="763" t="inlineStr">
        <x:is>
          <x:t xml:space="preserve">Testy konfiguracji</x:t>
        </x:is>
      </x:c>
      <x:c r="C24" s="763" t="inlineStr">
        <x:is>
          <x:t xml:space="preserve">10 testów kontrolnych</x:t>
        </x:is>
      </x:c>
      <x:c r="D24" s="763" t="inlineStr">
        <x:is>
          <x:t xml:space="preserve">10/10 OK</x:t>
        </x:is>
      </x:c>
      <x:c r="E24" s="763" t="inlineStr">
        <x:is>
          <x:t xml:space="preserve">Porównać z 06_Test_konfiguracji po przeliczeniu w Excelu</x:t>
        </x:is>
      </x:c>
    </x:row>
    <x:row r="25">
      <x:c r="A25" s="764" t="inlineStr">
        <x:is>
          <x:t xml:space="preserve">WYMAGANE</x:t>
        </x:is>
      </x:c>
      <x:c r="B25" s="764" t="inlineStr">
        <x:is>
          <x:t xml:space="preserve">Excel</x:t>
        </x:is>
      </x:c>
      <x:c r="C25" s="764" t="inlineStr">
        <x:is>
          <x:t xml:space="preserve">Otworzyć FIX19 w Excelu desktop/Excel Online i zrobić Ctrl+Alt+F9</x:t>
        </x:is>
      </x:c>
      <x:c r="D25" s="764" t="inlineStr">
        <x:is>
          <x:t xml:space="preserve">Do wykonania ręcznie</x:t>
        </x:is>
      </x:c>
      <x:c r="E25" s="764" t="inlineStr">
        <x:is>
          <x:t xml:space="preserve">Formuły w arkuszach 03/04/05/06/08 muszą się przeliczyć po zmianach.</x:t>
        </x:is>
      </x:c>
    </x:row>
    <x:row r="26">
      <x:c r="A26" s="764" t="inlineStr">
        <x:is>
          <x:t xml:space="preserve">WYMAGANE</x:t>
        </x:is>
      </x:c>
      <x:c r="B26" s="764" t="inlineStr">
        <x:is>
          <x:t xml:space="preserve">06_Test_konfiguracji</x:t>
        </x:is>
      </x:c>
      <x:c r="C26" s="764" t="inlineStr">
        <x:is>
          <x:t xml:space="preserve">Przepisać testy T1–T10 z arkusza 18_TESTY_KONFIGURACJI i porównać wynik z Excelem</x:t>
        </x:is>
      </x:c>
      <x:c r="D26" s="764" t="inlineStr">
        <x:is>
          <x:t xml:space="preserve">Do wykonania ręcznie</x:t>
        </x:is>
      </x:c>
      <x:c r="E26" s="764" t="inlineStr">
        <x:is>
          <x:t xml:space="preserve">Jeśli różnica &gt; 1 zł, nie podpinać strony.</x:t>
        </x:is>
      </x:c>
    </x:row>
    <x:row r="27">
      <x:c r="A27" s="764" t="inlineStr">
        <x:is>
          <x:t xml:space="preserve">WYMAGANE</x:t>
        </x:is>
      </x:c>
      <x:c r="B27" s="764" t="inlineStr">
        <x:is>
          <x:t xml:space="preserve">Szkło 550/600</x:t>
        </x:is>
      </x:c>
      <x:c r="C27" s="764" t="inlineStr">
        <x:is>
          <x:t xml:space="preserve">Potwierdzić, że na stronie szkło dla 550/600 ma być wycena indywidualna/ukryte</x:t>
        </x:is>
      </x:c>
      <x:c r="D27" s="764" t="inlineStr">
        <x:is>
          <x:t xml:space="preserve">Do wykonania ręcznie</x:t>
        </x:is>
      </x:c>
      <x:c r="E27" s="764" t="inlineStr">
        <x:is>
          <x:t xml:space="preserve">W eksporcie jest ukryte, ale decyzja biznesowa musi być zatwierdzona.</x:t>
        </x:is>
      </x:c>
    </x:row>
    <x:row r="28">
      <x:c r="A28" s="764" t="inlineStr">
        <x:is>
          <x:t xml:space="preserve">WYMAGANE</x:t>
        </x:is>
      </x:c>
      <x:c r="B28" s="764" t="inlineStr">
        <x:is>
          <x:t xml:space="preserve">LED CCT</x:t>
        </x:is>
      </x:c>
      <x:c r="C28" s="764" t="inlineStr">
        <x:is>
          <x:t xml:space="preserve">Potwierdzić z kolegą ceny LED CCT po +700 netto dla 450–600</x:t>
        </x:is>
      </x:c>
      <x:c r="D28" s="764" t="inlineStr">
        <x:is>
          <x:t xml:space="preserve">Do wykonania ręcznie</x:t>
        </x:is>
      </x:c>
      <x:c r="E28" s="764" t="inlineStr">
        <x:is>
          <x:t xml:space="preserve">Jeżeli nadal za tanio, zmienić przed JSON.</x:t>
        </x:is>
      </x:c>
    </x:row>
    <x:row r="29">
      <x:c r="A29" s="764" t="inlineStr">
        <x:is>
          <x:t xml:space="preserve">ZALECANE</x:t>
        </x:is>
      </x:c>
      <x:c r="B29" s="764" t="inlineStr">
        <x:is>
          <x:t xml:space="preserve">Porównanie EG</x:t>
        </x:is>
      </x:c>
      <x:c r="C29" s="764" t="inlineStr">
        <x:is>
          <x:t xml:space="preserve">Przejrzeć kolory w 05_Porownanie_EG dla pozycji niebieskich i czerwonych</x:t>
        </x:is>
      </x:c>
      <x:c r="D29" s="764" t="inlineStr">
        <x:is>
          <x:t xml:space="preserve">Do wykonania ręcznie</x:t>
        </x:is>
      </x:c>
      <x:c r="E29" s="764" t="inlineStr">
        <x:is>
          <x:t xml:space="preserve">Niebieskie mogą być zbyt tanie; czerwone droższe od EG.</x:t>
        </x:is>
      </x:c>
    </x:row>
    <x:row r="30">
      <x:c r="A30" s="764" t="inlineStr">
        <x:is>
          <x:t xml:space="preserve">ZALECANE</x:t>
        </x:is>
      </x:c>
      <x:c r="B30" s="764" t="inlineStr">
        <x:is>
          <x:t xml:space="preserve">Formalności VAT</x:t>
        </x:is>
      </x:c>
      <x:c r="C30" s="764" t="inlineStr">
        <x:is>
          <x:t xml:space="preserve">Potwierdzić z księgową założenie VAT 8% dla usługi z montażem</x:t>
        </x:is>
      </x:c>
      <x:c r="D30" s="764" t="inlineStr">
        <x:is>
          <x:t xml:space="preserve">Do wykonania ręcznie</x:t>
        </x:is>
      </x:c>
      <x:c r="E30" s="764" t="inlineStr">
        <x:is>
          <x:t xml:space="preserve">To wpływa na wszystkie ceny brutto.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d21306d3a704fa5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4" style="655" customWidth="1"/>
    <x:col min="2" max="2" width="42" style="655" customWidth="1"/>
    <x:col min="3" max="3" width="22" style="655" customWidth="1"/>
    <x:col min="4" max="4" width="42" style="655" customWidth="1"/>
  </x:cols>
  <x:sheetData>
    <x:row r="1">
      <x:c r="A1" s="722" t="inlineStr">
        <x:is>
          <x:t xml:space="preserve">Decyzja</x:t>
        </x:is>
      </x:c>
      <x:c r="B1" s="722" t="inlineStr">
        <x:is>
          <x:t xml:space="preserve">Rekomendacja</x:t>
        </x:is>
      </x:c>
      <x:c r="C1" s="722" t="inlineStr">
        <x:is>
          <x:t xml:space="preserve">Status</x:t>
        </x:is>
      </x:c>
      <x:c r="D1" s="722" t="inlineStr">
        <x:is>
          <x:t xml:space="preserve">Uzasadnienie</x:t>
        </x:is>
      </x:c>
    </x:row>
    <x:row r="2">
      <x:c r="A2" s="764" t="inlineStr">
        <x:is>
          <x:t xml:space="preserve">Szkło 550/600</x:t>
        </x:is>
      </x:c>
      <x:c r="B2" s="764" t="inlineStr">
        <x:is>
          <x:t xml:space="preserve">NIE PUBLIKOWAĆ / WYCENA INDYWIDUALNA</x:t>
        </x:is>
      </x:c>
      <x:c r="C2" s="764" t="inlineStr">
        <x:is>
          <x:t xml:space="preserve">WYMAGA POTWIERDZENIA</x:t>
        </x:is>
      </x:c>
      <x:c r="D2" s="764" t="inlineStr">
        <x:is>
          <x:t xml:space="preserve">Brak pełnych cen RAW_ZS/RAW_OS dla 550/600. Export strony ma glass_available=NIE.</x:t>
        </x:is>
      </x:c>
    </x:row>
    <x:row r="3">
      <x:c r="A3" s="763" t="inlineStr">
        <x:is>
          <x:t xml:space="preserve">LED RGB CCT</x:t>
        </x:is>
      </x:c>
      <x:c r="B3" s="763" t="inlineStr">
        <x:is>
          <x:t xml:space="preserve">CRM/Bitrix only</x:t>
        </x:is>
      </x:c>
      <x:c r="C3" s="763" t="inlineStr">
        <x:is>
          <x:t xml:space="preserve">OK</x:t>
        </x:is>
      </x:c>
      <x:c r="D3" s="763" t="inlineStr">
        <x:is>
          <x:t xml:space="preserve">Opcja droga i rzadko wybierana; w 03 widoczność crm_only, w eksporcie is_led_rgb_available=NIE.</x:t>
        </x:is>
      </x:c>
    </x:row>
    <x:row r="4">
      <x:c r="A4" s="764" t="inlineStr">
        <x:is>
          <x:t xml:space="preserve">LED CCT 450–600</x:t>
        </x:is>
      </x:c>
      <x:c r="B4" s="764" t="inlineStr">
        <x:is>
          <x:t xml:space="preserve">Zostawić po +700 netto, jeśli znajomy akceptuje</x:t>
        </x:is>
      </x:c>
      <x:c r="C4" s="764" t="inlineStr">
        <x:is>
          <x:t xml:space="preserve">DO POTWIERDZENIA</x:t>
        </x:is>
      </x:c>
      <x:c r="D4" s="764" t="inlineStr">
        <x:is>
          <x:t xml:space="preserve">Ceny modelowe; trzeba zaakceptować względem EG LED COB i realnego kosztu taśm/zasilacza/sterownika.</x:t>
        </x:is>
      </x:c>
    </x:row>
    <x:row r="5">
      <x:c r="A5" s="764" t="inlineStr">
        <x:is>
          <x:t xml:space="preserve">PDWP fundament/profile</x:t>
        </x:is>
      </x:c>
      <x:c r="B5" s="764" t="inlineStr">
        <x:is>
          <x:t xml:space="preserve">Zostawić narzut 120%</x:t>
        </x:is>
      </x:c>
      <x:c r="C5" s="764" t="inlineStr">
        <x:is>
          <x:t xml:space="preserve">OK WARUNKOWO</x:t>
        </x:is>
      </x:c>
      <x:c r="D5" s="764" t="inlineStr">
        <x:is>
          <x:t xml:space="preserve">Przy 45% rentowność była niska/ujemna; po 120% model jest logiczny.</x:t>
        </x:is>
      </x:c>
    </x:row>
    <x:row r="6">
      <x:c r="A6" s="764" t="inlineStr">
        <x:is>
          <x:t xml:space="preserve">Zabieraki</x:t>
        </x:is>
      </x:c>
      <x:c r="B6" s="764" t="inlineStr">
        <x:is>
          <x:t xml:space="preserve">Nie eksportować na stronę / CRM only</x:t>
        </x:is>
      </x:c>
      <x:c r="C6" s="764" t="inlineStr">
        <x:is>
          <x:t xml:space="preserve">DO POTWIERDZENIA</x:t>
        </x:is>
      </x:c>
      <x:c r="D6" s="764" t="inlineStr">
        <x:is>
          <x:t xml:space="preserve">Element techniczny, raczej do CRM/oferty niż wyboru klienta w kalkulatorze.</x:t>
        </x:is>
      </x:c>
    </x:row>
    <x:row r="7">
      <x:c r="A7" s="764" t="inlineStr">
        <x:is>
          <x:t xml:space="preserve">VAT 8%</x:t>
        </x:is>
      </x:c>
      <x:c r="B7" s="764" t="inlineStr">
        <x:is>
          <x:t xml:space="preserve">Używać roboczo, potwierdzić formalnie</x:t>
        </x:is>
      </x:c>
      <x:c r="C7" s="764" t="inlineStr">
        <x:is>
          <x:t xml:space="preserve">DO POTWIERDZENIA</x:t>
        </x:is>
      </x:c>
      <x:c r="D7" s="764" t="inlineStr">
        <x:is>
          <x:t xml:space="preserve">Założenie dotyczy usługi z montażem; finalnie potwierdzić z księgową/doradcą.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25f689c825e45cd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style="655" customWidth="1"/>
    <x:col min="2" max="2" width="14" style="655" customWidth="1"/>
    <x:col min="3" max="3" width="42" style="655" customWidth="1"/>
    <x:col min="4" max="4" width="23" style="655" customWidth="1"/>
    <x:col min="5" max="5" width="12" style="655" customWidth="1"/>
    <x:col min="6" max="6" width="42" style="655" customWidth="1"/>
  </x:cols>
  <x:sheetData>
    <x:row r="1">
      <x:c r="A1" s="722" t="inlineStr">
        <x:is>
          <x:t xml:space="preserve">Test</x:t>
        </x:is>
      </x:c>
      <x:c r="B1" s="722" t="inlineStr">
        <x:is>
          <x:t xml:space="preserve">Wymiar</x:t>
        </x:is>
      </x:c>
      <x:c r="C1" s="722" t="inlineStr">
        <x:is>
          <x:t xml:space="preserve">Konfiguracja</x:t>
        </x:is>
      </x:c>
      <x:c r="D1" s="722" t="inlineStr">
        <x:is>
          <x:t xml:space="preserve">Cena wg export brutto</x:t>
        </x:is>
      </x:c>
      <x:c r="E1" s="722" t="inlineStr">
        <x:is>
          <x:t xml:space="preserve">Status</x:t>
        </x:is>
      </x:c>
      <x:c r="F1" s="722" t="inlineStr">
        <x:is>
          <x:t xml:space="preserve">Składniki</x:t>
        </x:is>
      </x:c>
    </x:row>
    <x:row r="2">
      <x:c r="A2" s="763" t="inlineStr">
        <x:is>
          <x:t xml:space="preserve">T1</x:t>
        </x:is>
      </x:c>
      <x:c r="B2" s="763" t="inlineStr">
        <x:is>
          <x:t xml:space="preserve">300 x 606 cm</x:t>
        </x:is>
      </x:c>
      <x:c r="C2" s="763" t="inlineStr">
        <x:is>
          <x:t xml:space="preserve">Samo zadaszenie poliwęglan</x:t>
        </x:is>
      </x:c>
      <x:c r="D2" s="763" t="n">
        <x:v>13246</x:v>
      </x:c>
      <x:c r="E2" s="763" t="inlineStr">
        <x:is>
          <x:t xml:space="preserve">OK</x:t>
        </x:is>
      </x:c>
      <x:c r="F2" s="763" t="inlineStr">
        <x:is>
          <x:t xml:space="preserve">base_poly_gross=13246</x:t>
        </x:is>
      </x:c>
    </x:row>
    <x:row r="3">
      <x:c r="A3" s="763" t="inlineStr">
        <x:is>
          <x:t xml:space="preserve">T2</x:t>
        </x:is>
      </x:c>
      <x:c r="B3" s="763" t="inlineStr">
        <x:is>
          <x:t xml:space="preserve">300 x 606 cm</x:t>
        </x:is>
      </x:c>
      <x:c r="C3" s="763" t="inlineStr">
        <x:is>
          <x:t xml:space="preserve">Ogród zimowy poliwęglan = zadaszenie + ściany</x:t>
        </x:is>
      </x:c>
      <x:c r="D3" s="763" t="n">
        <x:v>31298</x:v>
      </x:c>
      <x:c r="E3" s="763" t="inlineStr">
        <x:is>
          <x:t xml:space="preserve">OK</x:t>
        </x:is>
      </x:c>
      <x:c r="F3" s="763" t="inlineStr">
        <x:is>
          <x:t xml:space="preserve">base_poly_gross=13246; walls_clear_gross=18052</x:t>
        </x:is>
      </x:c>
    </x:row>
    <x:row r="4">
      <x:c r="A4" s="763" t="inlineStr">
        <x:is>
          <x:t xml:space="preserve">T3</x:t>
        </x:is>
      </x:c>
      <x:c r="B4" s="763" t="inlineStr">
        <x:is>
          <x:t xml:space="preserve">300 x 606 cm</x:t>
        </x:is>
      </x:c>
      <x:c r="C4" s="763" t="inlineStr">
        <x:is>
          <x:t xml:space="preserve">Ściany barwione</x:t>
        </x:is>
      </x:c>
      <x:c r="D4" s="763" t="n">
        <x:v>33132</x:v>
      </x:c>
      <x:c r="E4" s="763" t="inlineStr">
        <x:is>
          <x:t xml:space="preserve">OK</x:t>
        </x:is>
      </x:c>
      <x:c r="F4" s="763" t="inlineStr">
        <x:is>
          <x:t xml:space="preserve">base_poly_gross=13246; walls_tinted_gross=19886</x:t>
        </x:is>
      </x:c>
    </x:row>
    <x:row r="5">
      <x:c r="A5" s="763" t="inlineStr">
        <x:is>
          <x:t xml:space="preserve">T4</x:t>
        </x:is>
      </x:c>
      <x:c r="B5" s="763" t="inlineStr">
        <x:is>
          <x:t xml:space="preserve">450 x 506 cm</x:t>
        </x:is>
      </x:c>
      <x:c r="C5" s="763" t="inlineStr">
        <x:is>
          <x:t xml:space="preserve">Roleta prawa + markiza + LED punktowe</x:t>
        </x:is>
      </x:c>
      <x:c r="D5" s="763" t="n">
        <x:v>30522</x:v>
      </x:c>
      <x:c r="E5" s="763" t="inlineStr">
        <x:is>
          <x:t xml:space="preserve">OK</x:t>
        </x:is>
      </x:c>
      <x:c r="F5" s="763" t="inlineStr">
        <x:is>
          <x:t xml:space="preserve">base_poly_gross=18377; zip_side_gross=4023; awning_gross=6901; led_point_gross=1221</x:t>
        </x:is>
      </x:c>
    </x:row>
    <x:row r="6">
      <x:c r="A6" s="763" t="inlineStr">
        <x:is>
          <x:t xml:space="preserve">T5</x:t>
        </x:is>
      </x:c>
      <x:c r="B6" s="763" t="inlineStr">
        <x:is>
          <x:t xml:space="preserve">500 x 806 cm</x:t>
        </x:is>
      </x:c>
      <x:c r="C6" s="763" t="inlineStr">
        <x:is>
          <x:t xml:space="preserve">Duża konfiguracja z dodatkami</x:t>
        </x:is>
      </x:c>
      <x:c r="D6" s="763" t="n">
        <x:v>89278</x:v>
      </x:c>
      <x:c r="E6" s="763" t="inlineStr">
        <x:is>
          <x:t xml:space="preserve">OK</x:t>
        </x:is>
      </x:c>
      <x:c r="F6" s="763" t="inlineStr">
        <x:is>
          <x:t xml:space="preserve">base_poly_gross=29561; walls_tinted_gross=28724; roof_poly_colored_gross=1057; zip_side_gross=4711; zip_front_gross=6723; awning_gross=11891; led_point_gross=1834; foundation_gross=3110; brushes_gross=878; handles_gross=789</x:t>
        </x:is>
      </x:c>
    </x:row>
    <x:row r="7">
      <x:c r="A7" s="763" t="inlineStr">
        <x:is>
          <x:t xml:space="preserve">T6</x:t>
        </x:is>
      </x:c>
      <x:c r="B7" s="763" t="inlineStr">
        <x:is>
          <x:t xml:space="preserve">550 x 606 cm</x:t>
        </x:is>
      </x:c>
      <x:c r="C7" s="763" t="inlineStr">
        <x:is>
          <x:t xml:space="preserve">Zadaszenie poliwęglan 550</x:t>
        </x:is>
      </x:c>
      <x:c r="D7" s="763" t="n">
        <x:v>30249</x:v>
      </x:c>
      <x:c r="E7" s="763" t="inlineStr">
        <x:is>
          <x:t xml:space="preserve">OK</x:t>
        </x:is>
      </x:c>
      <x:c r="F7" s="763" t="inlineStr">
        <x:is>
          <x:t xml:space="preserve">base_poly_gross=30249</x:t>
        </x:is>
      </x:c>
    </x:row>
    <x:row r="8">
      <x:c r="A8" s="763" t="inlineStr">
        <x:is>
          <x:t xml:space="preserve">T7</x:t>
        </x:is>
      </x:c>
      <x:c r="B8" s="763" t="inlineStr">
        <x:is>
          <x:t xml:space="preserve">600 x 806 cm</x:t>
        </x:is>
      </x:c>
      <x:c r="C8" s="763" t="inlineStr">
        <x:is>
          <x:t xml:space="preserve">Ogród zimowy poliwęglan 600</x:t>
        </x:is>
      </x:c>
      <x:c r="D8" s="763" t="n">
        <x:v>69966</x:v>
      </x:c>
      <x:c r="E8" s="763" t="inlineStr">
        <x:is>
          <x:t xml:space="preserve">OK</x:t>
        </x:is>
      </x:c>
      <x:c r="F8" s="763" t="inlineStr">
        <x:is>
          <x:t xml:space="preserve">base_poly_gross=41473; walls_clear_gross=28493</x:t>
        </x:is>
      </x:c>
    </x:row>
    <x:row r="9">
      <x:c r="A9" s="763" t="inlineStr">
        <x:is>
          <x:t xml:space="preserve">T8</x:t>
        </x:is>
      </x:c>
      <x:c r="B9" s="763" t="inlineStr">
        <x:is>
          <x:t xml:space="preserve">450 x 606 cm</x:t>
        </x:is>
      </x:c>
      <x:c r="C9" s="763" t="inlineStr">
        <x:is>
          <x:t xml:space="preserve">LED CCT</x:t>
        </x:is>
      </x:c>
      <x:c r="D9" s="763" t="n">
        <x:v>24599</x:v>
      </x:c>
      <x:c r="E9" s="763" t="inlineStr">
        <x:is>
          <x:t xml:space="preserve">OK</x:t>
        </x:is>
      </x:c>
      <x:c r="F9" s="763" t="inlineStr">
        <x:is>
          <x:t xml:space="preserve">base_poly_gross=21049; led_cct_gross=3550</x:t>
        </x:is>
      </x:c>
    </x:row>
    <x:row r="10">
      <x:c r="A10" s="763" t="inlineStr">
        <x:is>
          <x:t xml:space="preserve">T9</x:t>
        </x:is>
      </x:c>
      <x:c r="B10" s="763" t="inlineStr">
        <x:is>
          <x:t xml:space="preserve">500 x 606 cm</x:t>
        </x:is>
      </x:c>
      <x:c r="C10" s="763" t="inlineStr">
        <x:is>
          <x:t xml:space="preserve">LED CCT + markiza</x:t>
        </x:is>
      </x:c>
      <x:c r="D10" s="763" t="n">
        <x:v>36507</x:v>
      </x:c>
      <x:c r="E10" s="763" t="inlineStr">
        <x:is>
          <x:t xml:space="preserve">OK</x:t>
        </x:is>
      </x:c>
      <x:c r="F10" s="763" t="inlineStr">
        <x:is>
          <x:t xml:space="preserve">base_poly_gross=22320; led_cct_gross=3798; awning_gross=10389</x:t>
        </x:is>
      </x:c>
    </x:row>
    <x:row r="11">
      <x:c r="A11" s="763" t="inlineStr">
        <x:is>
          <x:t xml:space="preserve">T10</x:t>
        </x:is>
      </x:c>
      <x:c r="B11" s="763" t="inlineStr">
        <x:is>
          <x:t xml:space="preserve">600 x 806 cm</x:t>
        </x:is>
      </x:c>
      <x:c r="C11" s="763" t="inlineStr">
        <x:is>
          <x:t xml:space="preserve">Max bez szkła/RGB</x:t>
        </x:is>
      </x:c>
      <x:c r="D11" s="763" t="n">
        <x:v>109087</x:v>
      </x:c>
      <x:c r="E11" s="763" t="inlineStr">
        <x:is>
          <x:t xml:space="preserve">OK</x:t>
        </x:is>
      </x:c>
      <x:c r="F11" s="763" t="inlineStr">
        <x:is>
          <x:t xml:space="preserve">base_poly_gross=41473; walls_tinted_gross=31548; roof_poly_colored_gross=1057; zip_side_gross=5437; zip_front_gross=6723; awning_gross=12183; foundation_gross=3834; led_cct_gross=5165; brushes_gross=878; handles_gross=789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0d67a14778f485e"/>
  </x:tableParts>
</x:worksheet>
</file>

<file path=xl/worksheets/sheet13.xml><?xml version="1.0" encoding="utf-8"?>
<x:worksheet xmlns:x="http://schemas.openxmlformats.org/spreadsheetml/2006/main">
  <x:sheetPr>
    <x:tabColor rgb="FF00A651"/>
  </x:sheetPr>
  <x:sheetViews>
    <x:sheetView showGridLines="0" workbookViewId="0"/>
  </x:sheetViews>
  <x:sheetFormatPr baseColWidth="8" defaultRowHeight="14.75"/>
  <x:cols>
    <x:col min="1" max="1" width="17" style="655" customWidth="1"/>
    <x:col min="2" max="52" width="14" style="655" customWidth="1"/>
    <x:col min="3" max="3" width="13" style="655" customWidth="1"/>
    <x:col min="4" max="4" width="13" style="655" customWidth="1"/>
    <x:col min="5" max="5" width="13" style="655" customWidth="1"/>
    <x:col min="6" max="6" width="13" style="655" customWidth="1"/>
    <x:col min="7" max="7" width="13" style="655" customWidth="1"/>
    <x:col min="8" max="8" width="13" style="655" customWidth="1"/>
    <x:col min="9" max="9" width="13" style="655" customWidth="1"/>
    <x:col min="10" max="10" width="13" style="655" customWidth="1"/>
    <x:col min="11" max="11" width="13" style="655" customWidth="1"/>
    <x:col min="12" max="12" width="13" style="655" customWidth="1"/>
    <x:col min="13" max="13" width="13" style="655" customWidth="1"/>
    <x:col min="14" max="14" width="13" style="655" customWidth="1"/>
    <x:col min="15" max="15" width="13" style="655" customWidth="1"/>
    <x:col min="16" max="16" width="13" style="655" customWidth="1"/>
    <x:col min="17" max="17" width="13" style="655" customWidth="1"/>
    <x:col min="18" max="18" width="13" style="655" customWidth="1"/>
    <x:col min="19" max="19" width="13" style="655" customWidth="1"/>
    <x:col min="20" max="20" width="13" style="655" customWidth="1"/>
    <x:col min="21" max="21" width="13" style="655" customWidth="1"/>
    <x:col min="22" max="22" width="13" style="655" customWidth="1"/>
    <x:col min="23" max="23" width="13" style="655" customWidth="1"/>
    <x:col min="24" max="24" width="13" style="655" customWidth="1"/>
    <x:col min="25" max="25" width="13" style="655" customWidth="1"/>
    <x:col min="26" max="26" width="13" style="655" customWidth="1"/>
    <x:col min="27" max="27" width="13" style="655" customWidth="1"/>
    <x:col min="28" max="28" width="13" style="655" customWidth="1"/>
    <x:col min="29" max="29" width="13" style="655" customWidth="1"/>
    <x:col min="30" max="30" width="13" style="655" customWidth="1"/>
    <x:col min="31" max="31" width="13" style="655" customWidth="1"/>
    <x:col min="32" max="32" width="13" style="655" customWidth="1"/>
    <x:col min="33" max="33" width="13" style="655" customWidth="1"/>
    <x:col min="34" max="34" width="13" style="655" customWidth="1"/>
    <x:col min="35" max="35" width="13" style="655" customWidth="1"/>
    <x:col min="36" max="36" width="13" style="655" customWidth="1"/>
    <x:col min="37" max="37" width="13" style="655" customWidth="1"/>
    <x:col min="38" max="38" width="13" style="655" customWidth="1"/>
    <x:col min="39" max="39" width="13" style="655" customWidth="1"/>
    <x:col min="40" max="40" width="13" style="655" customWidth="1"/>
    <x:col min="41" max="41" width="13" style="655" customWidth="1"/>
    <x:col min="42" max="42" width="13" style="655" customWidth="1"/>
    <x:col min="43" max="43" width="13" style="655" customWidth="1"/>
    <x:col min="44" max="44" width="13" style="655" customWidth="1"/>
    <x:col min="45" max="45" width="13" style="655" customWidth="1"/>
    <x:col min="46" max="46" width="13" style="655" customWidth="1"/>
    <x:col min="47" max="47" width="13" style="655" customWidth="1"/>
    <x:col min="48" max="48" width="13" style="655" customWidth="1"/>
    <x:col min="49" max="49" width="13" style="655" customWidth="1"/>
    <x:col min="50" max="50" width="13" style="655" customWidth="1"/>
    <x:col min="51" max="51" width="13" style="655" customWidth="1"/>
    <x:col min="52" max="52" width="13" style="655" customWidth="1"/>
    <x:col min="53" max="53" width="45" style="655" customWidth="1"/>
  </x:cols>
  <x:sheetData>
    <x:row r="1" s="655" customFormat="1" ht="42" customHeight="1">
      <x:c r="A1" s="758" t="inlineStr">
        <x:is>
          <x:t xml:space="preserve">Wymiar</x:t>
        </x:is>
      </x:c>
      <x:c r="B1" s="758" t="inlineStr">
        <x:is>
          <x:t xml:space="preserve">EG Zadaszenie</x:t>
        </x:is>
      </x:c>
      <x:c r="C1" s="758" t="inlineStr">
        <x:is>
          <x:t xml:space="preserve">Nowe Zadaszenie</x:t>
        </x:is>
      </x:c>
      <x:c r="D1" s="758" t="inlineStr">
        <x:is>
          <x:t xml:space="preserve">Różnica Zadaszenie</x:t>
        </x:is>
      </x:c>
      <x:c r="E1" s="758" t="inlineStr">
        <x:is>
          <x:t xml:space="preserve">EG Ściany clear</x:t>
        </x:is>
      </x:c>
      <x:c r="F1" s="758" t="inlineStr">
        <x:is>
          <x:t xml:space="preserve">Nowe Ściany clear</x:t>
        </x:is>
      </x:c>
      <x:c r="G1" s="758" t="inlineStr">
        <x:is>
          <x:t xml:space="preserve">Różnica Ściany clear</x:t>
        </x:is>
      </x:c>
      <x:c r="H1" s="758" t="inlineStr">
        <x:is>
          <x:t xml:space="preserve">EG Ściany barw.</x:t>
        </x:is>
      </x:c>
      <x:c r="I1" s="758" t="inlineStr">
        <x:is>
          <x:t xml:space="preserve">Nowe Ściany barw.</x:t>
        </x:is>
      </x:c>
      <x:c r="J1" s="758" t="inlineStr">
        <x:is>
          <x:t xml:space="preserve">Różnica Ściany barw.</x:t>
        </x:is>
      </x:c>
      <x:c r="K1" s="758" t="inlineStr">
        <x:is>
          <x:t xml:space="preserve">EG Poliwęglan barw.</x:t>
        </x:is>
      </x:c>
      <x:c r="L1" s="758" t="inlineStr">
        <x:is>
          <x:t xml:space="preserve">Nowe Poliwęglan barw.</x:t>
        </x:is>
      </x:c>
      <x:c r="M1" s="758" t="inlineStr">
        <x:is>
          <x:t xml:space="preserve">Różnica Poliwęglan barw.</x:t>
        </x:is>
      </x:c>
      <x:c r="N1" s="758" t="inlineStr">
        <x:is>
          <x:t xml:space="preserve">EG Szkło clear</x:t>
        </x:is>
      </x:c>
      <x:c r="O1" s="758" t="inlineStr">
        <x:is>
          <x:t xml:space="preserve">Nowe Szkło clear</x:t>
        </x:is>
      </x:c>
      <x:c r="P1" s="758" t="inlineStr">
        <x:is>
          <x:t xml:space="preserve">Różnica Szkło clear</x:t>
        </x:is>
      </x:c>
      <x:c r="Q1" s="758" t="inlineStr">
        <x:is>
          <x:t xml:space="preserve">EG Szkło barw.</x:t>
        </x:is>
      </x:c>
      <x:c r="R1" s="758" t="inlineStr">
        <x:is>
          <x:t xml:space="preserve">Nowe Szkło barw.</x:t>
        </x:is>
      </x:c>
      <x:c r="S1" s="758" t="inlineStr">
        <x:is>
          <x:t xml:space="preserve">Różnica Szkło barw.</x:t>
        </x:is>
      </x:c>
      <x:c r="T1" s="758" t="inlineStr">
        <x:is>
          <x:t xml:space="preserve">EG Roleta prawa</x:t>
        </x:is>
      </x:c>
      <x:c r="U1" s="758" t="inlineStr">
        <x:is>
          <x:t xml:space="preserve">Nowe Roleta prawa</x:t>
        </x:is>
      </x:c>
      <x:c r="V1" s="758" t="inlineStr">
        <x:is>
          <x:t xml:space="preserve">Różnica Roleta prawa</x:t>
        </x:is>
      </x:c>
      <x:c r="W1" s="758" t="inlineStr">
        <x:is>
          <x:t xml:space="preserve">EG Roleta lewa</x:t>
        </x:is>
      </x:c>
      <x:c r="X1" s="758" t="inlineStr">
        <x:is>
          <x:t xml:space="preserve">Nowe Roleta lewa</x:t>
        </x:is>
      </x:c>
      <x:c r="Y1" s="758" t="inlineStr">
        <x:is>
          <x:t xml:space="preserve">Różnica Roleta lewa</x:t>
        </x:is>
      </x:c>
      <x:c r="Z1" s="758" t="inlineStr">
        <x:is>
          <x:t xml:space="preserve">EG Roleta przednia</x:t>
        </x:is>
      </x:c>
      <x:c r="AA1" s="758" t="inlineStr">
        <x:is>
          <x:t xml:space="preserve">Nowe Roleta przednia</x:t>
        </x:is>
      </x:c>
      <x:c r="AB1" s="758" t="inlineStr">
        <x:is>
          <x:t xml:space="preserve">Różnica Roleta przednia</x:t>
        </x:is>
      </x:c>
      <x:c r="AC1" s="758" t="inlineStr">
        <x:is>
          <x:t xml:space="preserve">EG Markiza</x:t>
        </x:is>
      </x:c>
      <x:c r="AD1" s="758" t="inlineStr">
        <x:is>
          <x:t xml:space="preserve">Nowa Markiza</x:t>
        </x:is>
      </x:c>
      <x:c r="AE1" s="758" t="inlineStr">
        <x:is>
          <x:t xml:space="preserve">Różnica Markiza</x:t>
        </x:is>
      </x:c>
      <x:c r="AF1" s="758" t="inlineStr">
        <x:is>
          <x:t xml:space="preserve">EG Fundament/profile</x:t>
        </x:is>
      </x:c>
      <x:c r="AG1" s="758" t="inlineStr">
        <x:is>
          <x:t xml:space="preserve">Nowy Fundament/profile</x:t>
        </x:is>
      </x:c>
      <x:c r="AH1" s="758" t="inlineStr">
        <x:is>
          <x:t xml:space="preserve">Różnica Fundament/profile</x:t>
        </x:is>
      </x:c>
      <x:c r="AI1" s="758" t="inlineStr">
        <x:is>
          <x:t xml:space="preserve">EG Szczotki</x:t>
        </x:is>
      </x:c>
      <x:c r="AJ1" s="758" t="inlineStr">
        <x:is>
          <x:t xml:space="preserve">Nowe Szczotki</x:t>
        </x:is>
      </x:c>
      <x:c r="AK1" s="758" t="inlineStr">
        <x:is>
          <x:t xml:space="preserve">Różnica Szczotki</x:t>
        </x:is>
      </x:c>
      <x:c r="AL1" s="758" t="inlineStr">
        <x:is>
          <x:t xml:space="preserve">EG Uchwyty</x:t>
        </x:is>
      </x:c>
      <x:c r="AM1" s="758" t="inlineStr">
        <x:is>
          <x:t xml:space="preserve">Nowe Uchwyty</x:t>
        </x:is>
      </x:c>
      <x:c r="AN1" s="758" t="inlineStr">
        <x:is>
          <x:t xml:space="preserve">Różnica Uchwyty</x:t>
        </x:is>
      </x:c>
      <x:c r="AO1" s="758" t="inlineStr">
        <x:is>
          <x:t xml:space="preserve">EG Zabieraki</x:t>
        </x:is>
      </x:c>
      <x:c r="AP1" s="758" t="inlineStr">
        <x:is>
          <x:t xml:space="preserve">Nowe Zabieraki</x:t>
        </x:is>
      </x:c>
      <x:c r="AQ1" s="758" t="inlineStr">
        <x:is>
          <x:t xml:space="preserve">Różnica Zabieraki</x:t>
        </x:is>
      </x:c>
      <x:c r="AR1" s="758" t="inlineStr">
        <x:is>
          <x:t xml:space="preserve">EG LED punktowe</x:t>
        </x:is>
      </x:c>
      <x:c r="AS1" s="758" t="inlineStr">
        <x:is>
          <x:t xml:space="preserve">Nowe LED punktowe</x:t>
        </x:is>
      </x:c>
      <x:c r="AT1" s="758" t="inlineStr">
        <x:is>
          <x:t xml:space="preserve">Różnica LED punktowe</x:t>
        </x:is>
      </x:c>
      <x:c r="AU1" s="758" t="inlineStr">
        <x:is>
          <x:t xml:space="preserve">EG LED CCT / COB</x:t>
        </x:is>
      </x:c>
      <x:c r="AV1" s="758" t="inlineStr">
        <x:is>
          <x:t xml:space="preserve">Nowe LED CCT</x:t>
        </x:is>
      </x:c>
      <x:c r="AW1" s="758" t="inlineStr">
        <x:is>
          <x:t xml:space="preserve">Różnica LED CCT</x:t>
        </x:is>
      </x:c>
      <x:c r="AX1" s="758" t="inlineStr">
        <x:is>
          <x:t xml:space="preserve">EG LED RGB CCT</x:t>
        </x:is>
      </x:c>
      <x:c r="AY1" s="758" t="inlineStr">
        <x:is>
          <x:t xml:space="preserve">EG LED RGB CCT (brak/CRM)</x:t>
        </x:is>
      </x:c>
      <x:c r="AZ1" s="758" t="inlineStr">
        <x:is>
          <x:t xml:space="preserve">Nowe LED RGB CCT (CRM only)</x:t>
        </x:is>
      </x:c>
      <x:c r="BA1" s="758" t="inlineStr">
        <x:is>
          <x:t xml:space="preserve">Różnica LED RGB CCT (CRM only)</x:t>
        </x:is>
      </x:c>
    </x:row>
    <x:row r="2">
      <x:c r="A2" s="608" t="str">
        <x:f>'04_Wycena_strona_nowa'!A2</x:f>
        <x:v>300 x 306 cm</x:v>
      </x:c>
      <x:c r="B2" s="717" t="n">
        <x:f>IFERROR(INDEX(EG_Wycena_strona!$B:$B,MATCH($A2,EG_Wycena_strona!$A:$A,0)),"")</x:f>
        <x:v>8383</x:v>
      </x:c>
      <x:c r="C2" s="717" t="n">
        <x:f>IFERROR(INDEX('04_Wycena_strona_nowa'!$B:$B,MATCH($A2,'04_Wycena_strona_nowa'!$A:$A,0)),"")</x:f>
        <x:v>8013</x:v>
      </x:c>
      <x:c r="D2" s="717" t="n">
        <x:f>IF(OR(B2="",C2="",B2=0,C2=0),"",C2-B2)</x:f>
        <x:v>-370</x:v>
      </x:c>
      <x:c r="E2" s="717" t="n">
        <x:f>IFERROR(INDEX(EG_Wycena_strona!$C:$C,MATCH($A2,EG_Wycena_strona!$A:$A,0)),"")</x:f>
        <x:v>15029</x:v>
      </x:c>
      <x:c r="F2" s="717" t="n">
        <x:f>IFERROR(INDEX('04_Wycena_strona_nowa'!$C:$C,MATCH($A2,'04_Wycena_strona_nowa'!$A:$A,0)),"")</x:f>
        <x:v>13549</x:v>
      </x:c>
      <x:c r="G2" s="717" t="n">
        <x:f>IF(OR(E2="",F2="",E2=0,F2=0),"",F2-E2)</x:f>
        <x:v>-1480</x:v>
      </x:c>
      <x:c r="H2" s="717" t="n">
        <x:f>IFERROR(INDEX(EG_Wycena_strona!$D:$D,MATCH($A2,EG_Wycena_strona!$A:$A,0)),"")</x:f>
        <x:v>16502</x:v>
      </x:c>
      <x:c r="I2" s="717" t="n">
        <x:f>IFERROR(INDEX('04_Wycena_strona_nowa'!$D:$D,MATCH($A2,'04_Wycena_strona_nowa'!$A:$A,0)),"")</x:f>
        <x:v>14924</x:v>
      </x:c>
      <x:c r="J2" s="717" t="n">
        <x:f>IF(OR(H2="",I2="",H2=0,I2=0),"",I2-H2)</x:f>
        <x:v>-1578</x:v>
      </x:c>
      <x:c r="K2" s="717" t="n">
        <x:f>IFERROR(INDEX(EG_Wycena_strona!$E:$E,MATCH($A2,EG_Wycena_strona!$A:$A,0)),"")</x:f>
        <x:v>164</x:v>
      </x:c>
      <x:c r="L2" s="717" t="n">
        <x:f>IFERROR(INDEX('04_Wycena_strona_nowa'!$E:$E,MATCH($A2,'04_Wycena_strona_nowa'!$A:$A,0)),"")</x:f>
        <x:v>153</x:v>
      </x:c>
      <x:c r="M2" s="717" t="n">
        <x:f>IF(OR(K2="",L2="",K2=0,L2=0),"",L2-K2)</x:f>
        <x:v>-11</x:v>
      </x:c>
      <x:c r="N2" s="717" t="n">
        <x:f>IFERROR(INDEX(EG_Wycena_strona!$F:$F,MATCH($A2,EG_Wycena_strona!$A:$A,0)),"")</x:f>
        <x:v>3000</x:v>
      </x:c>
      <x:c r="O2" s="717" t="n">
        <x:f>IFERROR(INDEX('04_Wycena_strona_nowa'!$F:$F,MATCH($A2,'04_Wycena_strona_nowa'!$A:$A,0)),"")</x:f>
        <x:v>2100</x:v>
      </x:c>
      <x:c r="P2" s="717" t="n">
        <x:f>IF(OR(N2="",O2="",N2=0,O2=0),"",O2-N2)</x:f>
        <x:v>-900</x:v>
      </x:c>
      <x:c r="Q2" s="717" t="n">
        <x:f>IFERROR(INDEX(EG_Wycena_strona!$G:$G,MATCH($A2,EG_Wycena_strona!$A:$A,0)),"")</x:f>
        <x:v>3465</x:v>
      </x:c>
      <x:c r="R2" s="717" t="n">
        <x:f>IFERROR(INDEX('04_Wycena_strona_nowa'!$G:$G,MATCH($A2,'04_Wycena_strona_nowa'!$A:$A,0)),"")</x:f>
        <x:v>2532</x:v>
      </x:c>
      <x:c r="S2" s="717" t="n">
        <x:f>IF(OR(Q2="",R2="",Q2=0,R2=0),"",R2-Q2)</x:f>
        <x:v>-933</x:v>
      </x:c>
      <x:c r="T2" s="717" t="n">
        <x:f>IFERROR(INDEX(EG_Wycena_strona!$H:$H,MATCH($A2,EG_Wycena_strona!$A:$A,0)),"")</x:f>
        <x:v>3079</x:v>
      </x:c>
      <x:c r="U2" s="717" t="n">
        <x:f>IFERROR(INDEX('04_Wycena_strona_nowa'!$H:$H,MATCH($A2,'04_Wycena_strona_nowa'!$A:$A,0)),"")</x:f>
        <x:v>2725</x:v>
      </x:c>
      <x:c r="V2" s="717" t="n">
        <x:f>IF(OR(T2="",U2="",T2=0,U2=0),"",U2-T2)</x:f>
        <x:v>-354</x:v>
      </x:c>
      <x:c r="W2" s="717" t="n">
        <x:f>IFERROR(INDEX(EG_Wycena_strona!$I:$I,MATCH($A2,EG_Wycena_strona!$A:$A,0)),"")</x:f>
        <x:v>3079</x:v>
      </x:c>
      <x:c r="X2" s="717" t="n">
        <x:f>IFERROR(INDEX('04_Wycena_strona_nowa'!$I:$I,MATCH($A2,'04_Wycena_strona_nowa'!$A:$A,0)),"")</x:f>
        <x:v>2725</x:v>
      </x:c>
      <x:c r="Y2" s="717" t="n">
        <x:f>IF(OR(W2="",X2="",W2=0,X2=0),"",X2-W2)</x:f>
        <x:v>-354</x:v>
      </x:c>
      <x:c r="Z2" s="717" t="n">
        <x:f>IFERROR(INDEX(EG_Wycena_strona!$J:$J,MATCH($A2,EG_Wycena_strona!$A:$A,0)),"")</x:f>
        <x:v>3079</x:v>
      </x:c>
      <x:c r="AA2" s="717" t="n">
        <x:f>IFERROR(INDEX('04_Wycena_strona_nowa'!$J:$J,MATCH($A2,'04_Wycena_strona_nowa'!$A:$A,0)),"")</x:f>
        <x:v>2725</x:v>
      </x:c>
      <x:c r="AB2" s="717" t="n">
        <x:f>IF(OR(Z2="",AA2="",Z2=0,AA2=0),"",AA2-Z2)</x:f>
        <x:v>-354</x:v>
      </x:c>
      <x:c r="AC2" s="717" t="n">
        <x:f>IFERROR(INDEX(EG_Wycena_strona!$K:$K,MATCH($A2,EG_Wycena_strona!$A:$A,0)),"")</x:f>
        <x:v>5532</x:v>
      </x:c>
      <x:c r="AD2" s="717" t="n">
        <x:f>IFERROR(INDEX('04_Wycena_strona_nowa'!$K:$K,MATCH($A2,'04_Wycena_strona_nowa'!$A:$A,0)),"")</x:f>
        <x:v>4966</x:v>
      </x:c>
      <x:c r="AE2" s="717" t="n">
        <x:f>IF(OR(AC2="",AD2="",AC2=0,AD2=0),"",AD2-AC2)</x:f>
        <x:v>-566</x:v>
      </x:c>
      <x:c r="AF2" s="717" t="n">
        <x:f>IFERROR(ROUND(INDEX(EG_Cennik_uslug!$BS:$BS,MATCH($A2,EG_Cennik_uslug!$A:$A,0))*1.08,0),"")</x:f>
        <x:v>1239</x:v>
      </x:c>
      <x:c r="AG2" s="717" t="n">
        <x:f>IFERROR(INDEX('04_Wycena_strona_nowa'!$L:$L,MATCH($A2,'04_Wycena_strona_nowa'!$A:$A,0)),"")</x:f>
        <x:v>1275</x:v>
      </x:c>
      <x:c r="AH2" s="717" t="n">
        <x:f>IF(OR(AF2="",AG2="",AF2=0,AG2=0),"",AG2-AF2)</x:f>
        <x:v>36</x:v>
      </x:c>
      <x:c r="AI2" s="717" t="n">
        <x:f>IFERROR(ROUND(INDEX(EG_Cennik_uslug!$BZ:$BZ,MATCH($A2,EG_Cennik_uslug!$A:$A,0))*1.08,0),"")</x:f>
        <x:v>465</x:v>
      </x:c>
      <x:c r="AJ2" s="717" t="n">
        <x:f>IFERROR(INDEX('04_Wycena_strona_nowa'!$O:$O,MATCH($A2,'04_Wycena_strona_nowa'!$A:$A,0)),"")</x:f>
        <x:v>432</x:v>
      </x:c>
      <x:c r="AK2" s="717" t="n">
        <x:f>IF(OR(AI2="",AJ2="",AI2=0,AJ2=0),"",AJ2-AI2)</x:f>
        <x:v>-33</x:v>
      </x:c>
      <x:c r="AL2" s="717" t="n">
        <x:f>IFERROR(ROUND(INDEX(EG_Cennik_uslug!$CG:$CG,MATCH($A2,EG_Cennik_uslug!$A:$A,0))*1.08,0),"")</x:f>
        <x:v>423</x:v>
      </x:c>
      <x:c r="AM2" s="717" t="n">
        <x:f>IFERROR(INDEX('04_Wycena_strona_nowa'!$P:$P,MATCH($A2,'04_Wycena_strona_nowa'!$A:$A,0)),"")</x:f>
        <x:v>394</x:v>
      </x:c>
      <x:c r="AN2" s="717" t="n">
        <x:f>IF(OR(AL2="",AM2="",AL2=0,AM2=0),"",AM2-AL2)</x:f>
        <x:v>-29</x:v>
      </x:c>
      <x:c r="AO2" s="717" t="str">
        <x:f>""</x:f>
      </x:c>
      <x:c r="AP2" s="717" t="n">
        <x:f>IFERROR(INDEX('04_Wycena_strona_nowa'!$Q:$Q,MATCH($A2,'04_Wycena_strona_nowa'!$A:$A,0)),"")</x:f>
        <x:v>306</x:v>
      </x:c>
      <x:c r="AQ2" s="717" t="str">
        <x:f>IF(OR(AO2="",AP2="",AO2=0,AP2=0),"",AP2-AO2)</x:f>
      </x:c>
      <x:c r="AR2" s="717" t="n">
        <x:f>IFERROR(ROUND(INDEX(EG_Cennik_uslug!$CN:$CN,MATCH($A2,EG_Cennik_uslug!$A:$A,0))*1.08,0),"")</x:f>
        <x:v>999</x:v>
      </x:c>
      <x:c r="AS2" s="717" t="n">
        <x:f>IFERROR(INDEX('04_Wycena_strona_nowa'!$M:$M,MATCH($A2,'04_Wycena_strona_nowa'!$A:$A,0)),"")</x:f>
        <x:v>534</x:v>
      </x:c>
      <x:c r="AT2" s="717" t="n">
        <x:f>IF(OR(AR2="",AS2="",AR2=0,AS2=0),"",AS2-AR2)</x:f>
        <x:v>-465</x:v>
      </x:c>
      <x:c r="AU2" s="717" t="n">
        <x:f>IFERROR(ROUND(INDEX(EG_Cennik_uslug!$CU:$CU,MATCH($A2,EG_Cennik_uslug!$A:$A,0))*1.08,0),"")</x:f>
        <x:v>1656</x:v>
      </x:c>
      <x:c r="AV2" s="717" t="n">
        <x:f>IFERROR(INDEX('04_Wycena_strona_nowa'!$R:$R,MATCH($A2,'04_Wycena_strona_nowa'!$A:$A,0)),"")</x:f>
        <x:v>1238</x:v>
      </x:c>
      <x:c r="AW2" s="717" t="n">
        <x:f>IF(OR(AU2="",AV2="",AU2=0,AV2=0),"",AV2-AU2)</x:f>
        <x:v>-418</x:v>
      </x:c>
      <x:c r="AX2" s="717" t="str">
        <x:f>""</x:f>
      </x:c>
      <x:c r="AY2" s="717" t="str">
        <x:f>IFERROR(INDEX('04_Wycena_strona_nowa'!$S:$S,MATCH($A2,'04_Wycena_strona_nowa'!$A:$A,0)),"")</x:f>
      </x:c>
      <x:c r="AZ2" s="717" t="str">
        <x:f>IF(OR(AX2="",AY2="",AX2=0,AY2=0),"",AY2-AX2)</x:f>
      </x:c>
      <x:c r="BA2" s="612" t="e">
        <x:f>_xludf.TEXTJOIN("; ",TRUE,IF(OR(LEFT($A2,3)="550",LEFT($A2,3)="600"),"550/600: EG brak benchmarku; opcje szklane/zerowe ukryte w porównaniu do czasu potwierdzenia",""),"LED CCT/RGB: porównanie orientacyjne do EG LED COB","Zabieraki: brak jednoznacznej pozycji EG")</x:f>
      </x:c>
    </x:row>
    <x:row r="3">
      <x:c r="A3" s="608" t="str">
        <x:f>'04_Wycena_strona_nowa'!A3</x:f>
        <x:v>300 x 406 cm</x:v>
      </x:c>
      <x:c r="B3" s="717" t="n">
        <x:f>IFERROR(INDEX(EG_Wycena_strona!$B:$B,MATCH($A3,EG_Wycena_strona!$A:$A,0)),"")</x:f>
        <x:v>10273</x:v>
      </x:c>
      <x:c r="C3" s="717" t="n">
        <x:f>IFERROR(INDEX('04_Wycena_strona_nowa'!$B:$B,MATCH($A3,'04_Wycena_strona_nowa'!$A:$A,0)),"")</x:f>
        <x:v>9799</x:v>
      </x:c>
      <x:c r="D3" s="717" t="n">
        <x:f>IF(OR(B3="",C3="",B3=0,C3=0),"",C3-B3)</x:f>
        <x:v>-474</x:v>
      </x:c>
      <x:c r="E3" s="717" t="n">
        <x:f>IFERROR(INDEX(EG_Wycena_strona!$C:$C,MATCH($A3,EG_Wycena_strona!$A:$A,0)),"")</x:f>
        <x:v>16280</x:v>
      </x:c>
      <x:c r="F3" s="717" t="n">
        <x:f>IFERROR(INDEX('04_Wycena_strona_nowa'!$C:$C,MATCH($A3,'04_Wycena_strona_nowa'!$A:$A,0)),"")</x:f>
        <x:v>14632</x:v>
      </x:c>
      <x:c r="G3" s="717" t="n">
        <x:f>IF(OR(E3="",F3="",E3=0,F3=0),"",F3-E3)</x:f>
        <x:v>-1648</x:v>
      </x:c>
      <x:c r="H3" s="717" t="n">
        <x:f>IFERROR(INDEX(EG_Wycena_strona!$D:$D,MATCH($A3,EG_Wycena_strona!$A:$A,0)),"")</x:f>
        <x:v>17917</x:v>
      </x:c>
      <x:c r="I3" s="717" t="n">
        <x:f>IFERROR(INDEX('04_Wycena_strona_nowa'!$D:$D,MATCH($A3,'04_Wycena_strona_nowa'!$A:$A,0)),"")</x:f>
        <x:v>16160</x:v>
      </x:c>
      <x:c r="J3" s="717" t="n">
        <x:f>IF(OR(H3="",I3="",H3=0,I3=0),"",I3-H3)</x:f>
        <x:v>-1757</x:v>
      </x:c>
      <x:c r="K3" s="717" t="n">
        <x:f>IFERROR(INDEX(EG_Wycena_strona!$E:$E,MATCH($A3,EG_Wycena_strona!$A:$A,0)),"")</x:f>
        <x:v>253</x:v>
      </x:c>
      <x:c r="L3" s="717" t="n">
        <x:f>IFERROR(INDEX('04_Wycena_strona_nowa'!$E:$E,MATCH($A3,'04_Wycena_strona_nowa'!$A:$A,0)),"")</x:f>
        <x:v>235</x:v>
      </x:c>
      <x:c r="M3" s="717" t="n">
        <x:f>IF(OR(K3="",L3="",K3=0,L3=0),"",L3-K3)</x:f>
        <x:v>-18</x:v>
      </x:c>
      <x:c r="N3" s="717" t="n">
        <x:f>IFERROR(INDEX(EG_Wycena_strona!$F:$F,MATCH($A3,EG_Wycena_strona!$A:$A,0)),"")</x:f>
        <x:v>3423</x:v>
      </x:c>
      <x:c r="O3" s="717" t="n">
        <x:f>IFERROR(INDEX('04_Wycena_strona_nowa'!$F:$F,MATCH($A3,'04_Wycena_strona_nowa'!$A:$A,0)),"")</x:f>
        <x:v>2864</x:v>
      </x:c>
      <x:c r="P3" s="717" t="n">
        <x:f>IF(OR(N3="",O3="",N3=0,O3=0),"",O3-N3)</x:f>
        <x:v>-559</x:v>
      </x:c>
      <x:c r="Q3" s="717" t="n">
        <x:f>IFERROR(INDEX(EG_Wycena_strona!$G:$G,MATCH($A3,EG_Wycena_strona!$A:$A,0)),"")</x:f>
        <x:v>4036</x:v>
      </x:c>
      <x:c r="R3" s="717" t="n">
        <x:f>IFERROR(INDEX('04_Wycena_strona_nowa'!$G:$G,MATCH($A3,'04_Wycena_strona_nowa'!$A:$A,0)),"")</x:f>
        <x:v>3437</x:v>
      </x:c>
      <x:c r="S3" s="717" t="n">
        <x:f>IF(OR(Q3="",R3="",Q3=0,R3=0),"",R3-Q3)</x:f>
        <x:v>-599</x:v>
      </x:c>
      <x:c r="T3" s="717" t="n">
        <x:f>IFERROR(INDEX(EG_Wycena_strona!$H:$H,MATCH($A3,EG_Wycena_strona!$A:$A,0)),"")</x:f>
        <x:v>3079</x:v>
      </x:c>
      <x:c r="U3" s="717" t="n">
        <x:f>IFERROR(INDEX('04_Wycena_strona_nowa'!$H:$H,MATCH($A3,'04_Wycena_strona_nowa'!$A:$A,0)),"")</x:f>
        <x:v>2725</x:v>
      </x:c>
      <x:c r="V3" s="717" t="n">
        <x:f>IF(OR(T3="",U3="",T3=0,U3=0),"",U3-T3)</x:f>
        <x:v>-354</x:v>
      </x:c>
      <x:c r="W3" s="717" t="n">
        <x:f>IFERROR(INDEX(EG_Wycena_strona!$I:$I,MATCH($A3,EG_Wycena_strona!$A:$A,0)),"")</x:f>
        <x:v>3079</x:v>
      </x:c>
      <x:c r="X3" s="717" t="n">
        <x:f>IFERROR(INDEX('04_Wycena_strona_nowa'!$I:$I,MATCH($A3,'04_Wycena_strona_nowa'!$A:$A,0)),"")</x:f>
        <x:v>2725</x:v>
      </x:c>
      <x:c r="Y3" s="717" t="n">
        <x:f>IF(OR(W3="",X3="",W3=0,X3=0),"",X3-W3)</x:f>
        <x:v>-354</x:v>
      </x:c>
      <x:c r="Z3" s="717" t="n">
        <x:f>IFERROR(INDEX(EG_Wycena_strona!$J:$J,MATCH($A3,EG_Wycena_strona!$A:$A,0)),"")</x:f>
        <x:v>3761</x:v>
      </x:c>
      <x:c r="AA3" s="717" t="n">
        <x:f>IFERROR(INDEX('04_Wycena_strona_nowa'!$J:$J,MATCH($A3,'04_Wycena_strona_nowa'!$A:$A,0)),"")</x:f>
        <x:v>3361</x:v>
      </x:c>
      <x:c r="AB3" s="717" t="n">
        <x:f>IF(OR(Z3="",AA3="",Z3=0,AA3=0),"",AA3-Z3)</x:f>
        <x:v>-400</x:v>
      </x:c>
      <x:c r="AC3" s="717" t="n">
        <x:f>IFERROR(INDEX(EG_Wycena_strona!$K:$K,MATCH($A3,EG_Wycena_strona!$A:$A,0)),"")</x:f>
        <x:v>6132</x:v>
      </x:c>
      <x:c r="AD3" s="717" t="n">
        <x:f>IFERROR(INDEX('04_Wycena_strona_nowa'!$K:$K,MATCH($A3,'04_Wycena_strona_nowa'!$A:$A,0)),"")</x:f>
        <x:v>5475</x:v>
      </x:c>
      <x:c r="AE3" s="717" t="n">
        <x:f>IF(OR(AC3="",AD3="",AC3=0,AD3=0),"",AD3-AC3)</x:f>
        <x:v>-657</x:v>
      </x:c>
      <x:c r="AF3" s="717" t="n">
        <x:f>IFERROR(ROUND(INDEX(EG_Cennik_uslug!$BS:$BS,MATCH($A3,EG_Cennik_uslug!$A:$A,0))*1.08,0),"")</x:f>
        <x:v>1445</x:v>
      </x:c>
      <x:c r="AG3" s="717" t="n">
        <x:f>IFERROR(INDEX('04_Wycena_strona_nowa'!$L:$L,MATCH($A3,'04_Wycena_strona_nowa'!$A:$A,0)),"")</x:f>
        <x:v>1487</x:v>
      </x:c>
      <x:c r="AH3" s="717" t="n">
        <x:f>IF(OR(AF3="",AG3="",AF3=0,AG3=0),"",AG3-AF3)</x:f>
        <x:v>42</x:v>
      </x:c>
      <x:c r="AI3" s="717" t="n">
        <x:f>IFERROR(ROUND(INDEX(EG_Cennik_uslug!$BZ:$BZ,MATCH($A3,EG_Cennik_uslug!$A:$A,0))*1.08,0),"")</x:f>
        <x:v>518</x:v>
      </x:c>
      <x:c r="AJ3" s="717" t="n">
        <x:f>IFERROR(INDEX('04_Wycena_strona_nowa'!$O:$O,MATCH($A3,'04_Wycena_strona_nowa'!$A:$A,0)),"")</x:f>
        <x:v>484</x:v>
      </x:c>
      <x:c r="AK3" s="717" t="n">
        <x:f>IF(OR(AI3="",AJ3="",AI3=0,AJ3=0),"",AJ3-AI3)</x:f>
        <x:v>-34</x:v>
      </x:c>
      <x:c r="AL3" s="717" t="n">
        <x:f>IFERROR(ROUND(INDEX(EG_Cennik_uslug!$CG:$CG,MATCH($A3,EG_Cennik_uslug!$A:$A,0))*1.08,0),"")</x:f>
        <x:v>465</x:v>
      </x:c>
      <x:c r="AM3" s="717" t="n">
        <x:f>IFERROR(INDEX('04_Wycena_strona_nowa'!$P:$P,MATCH($A3,'04_Wycena_strona_nowa'!$A:$A,0)),"")</x:f>
        <x:v>432</x:v>
      </x:c>
      <x:c r="AN3" s="717" t="n">
        <x:f>IF(OR(AL3="",AM3="",AL3=0,AM3=0),"",AM3-AL3)</x:f>
        <x:v>-33</x:v>
      </x:c>
      <x:c r="AO3" s="717" t="str">
        <x:f>""</x:f>
      </x:c>
      <x:c r="AP3" s="717" t="n">
        <x:f>IFERROR(INDEX('04_Wycena_strona_nowa'!$Q:$Q,MATCH($A3,'04_Wycena_strona_nowa'!$A:$A,0)),"")</x:f>
        <x:v>357</x:v>
      </x:c>
      <x:c r="AQ3" s="717" t="str">
        <x:f>IF(OR(AO3="",AP3="",AO3=0,AP3=0),"",AP3-AO3)</x:f>
      </x:c>
      <x:c r="AR3" s="717" t="n">
        <x:f>IFERROR(ROUND(INDEX(EG_Cennik_uslug!$CN:$CN,MATCH($A3,EG_Cennik_uslug!$A:$A,0))*1.08,0),"")</x:f>
        <x:v>1544</x:v>
      </x:c>
      <x:c r="AS3" s="717" t="n">
        <x:f>IFERROR(INDEX('04_Wycena_strona_nowa'!$M:$M,MATCH($A3,'04_Wycena_strona_nowa'!$A:$A,0)),"")</x:f>
        <x:v>650</x:v>
      </x:c>
      <x:c r="AT3" s="717" t="n">
        <x:f>IF(OR(AR3="",AS3="",AR3=0,AS3=0),"",AS3-AR3)</x:f>
        <x:v>-894</x:v>
      </x:c>
      <x:c r="AU3" s="717" t="n">
        <x:f>IFERROR(ROUND(INDEX(EG_Cennik_uslug!$CU:$CU,MATCH($A3,EG_Cennik_uslug!$A:$A,0))*1.08,0),"")</x:f>
        <x:v>1942</x:v>
      </x:c>
      <x:c r="AV3" s="717" t="n">
        <x:f>IFERROR(INDEX('04_Wycena_strona_nowa'!$R:$R,MATCH($A3,'04_Wycena_strona_nowa'!$A:$A,0)),"")</x:f>
        <x:v>1441</x:v>
      </x:c>
      <x:c r="AW3" s="717" t="n">
        <x:f>IF(OR(AU3="",AV3="",AU3=0,AV3=0),"",AV3-AU3)</x:f>
        <x:v>-501</x:v>
      </x:c>
      <x:c r="AX3" s="717" t="str">
        <x:f>""</x:f>
      </x:c>
      <x:c r="AY3" s="717" t="str">
        <x:f>IFERROR(INDEX('04_Wycena_strona_nowa'!$S:$S,MATCH($A3,'04_Wycena_strona_nowa'!$A:$A,0)),"")</x:f>
      </x:c>
      <x:c r="AZ3" s="717" t="str">
        <x:f>IF(OR(AX3="",AY3="",AX3=0,AY3=0),"",AY3-AX3)</x:f>
      </x:c>
      <x:c r="BA3" s="612" t="e">
        <x:f>_xludf.TEXTJOIN("; ",TRUE,IF(OR(LEFT($A3,3)="550",LEFT($A3,3)="600"),"550/600: EG brak benchmarku; opcje szklane/zerowe ukryte w porównaniu do czasu potwierdzenia",""),"LED CCT/RGB: porównanie orientacyjne do EG LED COB","Zabieraki: brak jednoznacznej pozycji EG")</x:f>
      </x:c>
    </x:row>
    <x:row r="4">
      <x:c r="A4" s="608" t="str">
        <x:f>'04_Wycena_strona_nowa'!A4</x:f>
        <x:v>300 x 506 cm</x:v>
      </x:c>
      <x:c r="B4" s="717" t="n">
        <x:f>IFERROR(INDEX(EG_Wycena_strona!$B:$B,MATCH($A4,EG_Wycena_strona!$A:$A,0)),"")</x:f>
        <x:v>12295</x:v>
      </x:c>
      <x:c r="C4" s="717" t="n">
        <x:f>IFERROR(INDEX('04_Wycena_strona_nowa'!$B:$B,MATCH($A4,'04_Wycena_strona_nowa'!$A:$A,0)),"")</x:f>
        <x:v>11705</x:v>
      </x:c>
      <x:c r="D4" s="717" t="n">
        <x:f>IF(OR(B4="",C4="",B4=0,C4=0),"",C4-B4)</x:f>
        <x:v>-590</x:v>
      </x:c>
      <x:c r="E4" s="717" t="n">
        <x:f>IFERROR(INDEX(EG_Wycena_strona!$C:$C,MATCH($A4,EG_Wycena_strona!$A:$A,0)),"")</x:f>
        <x:v>18471</x:v>
      </x:c>
      <x:c r="F4" s="717" t="n">
        <x:f>IFERROR(INDEX('04_Wycena_strona_nowa'!$C:$C,MATCH($A4,'04_Wycena_strona_nowa'!$A:$A,0)),"")</x:f>
        <x:v>16614</x:v>
      </x:c>
      <x:c r="G4" s="717" t="n">
        <x:f>IF(OR(E4="",F4="",E4=0,F4=0),"",F4-E4)</x:f>
        <x:v>-1857</x:v>
      </x:c>
      <x:c r="H4" s="717" t="n">
        <x:f>IFERROR(INDEX(EG_Wycena_strona!$D:$D,MATCH($A4,EG_Wycena_strona!$A:$A,0)),"")</x:f>
        <x:v>20270</x:v>
      </x:c>
      <x:c r="I4" s="717" t="n">
        <x:f>IFERROR(INDEX('04_Wycena_strona_nowa'!$D:$D,MATCH($A4,'04_Wycena_strona_nowa'!$A:$A,0)),"")</x:f>
        <x:v>18294</x:v>
      </x:c>
      <x:c r="J4" s="717" t="n">
        <x:f>IF(OR(H4="",I4="",H4=0,I4=0),"",I4-H4)</x:f>
        <x:v>-1976</x:v>
      </x:c>
      <x:c r="K4" s="717" t="n">
        <x:f>IFERROR(INDEX(EG_Wycena_strona!$E:$E,MATCH($A4,EG_Wycena_strona!$A:$A,0)),"")</x:f>
        <x:v>342</x:v>
      </x:c>
      <x:c r="L4" s="717" t="n">
        <x:f>IFERROR(INDEX('04_Wycena_strona_nowa'!$E:$E,MATCH($A4,'04_Wycena_strona_nowa'!$A:$A,0)),"")</x:f>
        <x:v>318</x:v>
      </x:c>
      <x:c r="M4" s="717" t="n">
        <x:f>IF(OR(K4="",L4="",K4=0,L4=0),"",L4-K4)</x:f>
        <x:v>-24</x:v>
      </x:c>
      <x:c r="N4" s="717" t="n">
        <x:f>IFERROR(INDEX(EG_Wycena_strona!$F:$F,MATCH($A4,EG_Wycena_strona!$A:$A,0)),"")</x:f>
        <x:v>4214</x:v>
      </x:c>
      <x:c r="O4" s="717" t="n">
        <x:f>IFERROR(INDEX('04_Wycena_strona_nowa'!$F:$F,MATCH($A4,'04_Wycena_strona_nowa'!$A:$A,0)),"")</x:f>
        <x:v>3539</x:v>
      </x:c>
      <x:c r="P4" s="717" t="n">
        <x:f>IF(OR(N4="",O4="",N4=0,O4=0),"",O4-N4)</x:f>
        <x:v>-675</x:v>
      </x:c>
      <x:c r="Q4" s="717" t="n">
        <x:f>IFERROR(INDEX(EG_Wycena_strona!$G:$G,MATCH($A4,EG_Wycena_strona!$A:$A,0)),"")</x:f>
        <x:v>4979</x:v>
      </x:c>
      <x:c r="R4" s="717" t="n">
        <x:f>IFERROR(INDEX('04_Wycena_strona_nowa'!$G:$G,MATCH($A4,'04_Wycena_strona_nowa'!$A:$A,0)),"")</x:f>
        <x:v>4252</x:v>
      </x:c>
      <x:c r="S4" s="717" t="n">
        <x:f>IF(OR(Q4="",R4="",Q4=0,R4=0),"",R4-Q4)</x:f>
        <x:v>-727</x:v>
      </x:c>
      <x:c r="T4" s="717" t="n">
        <x:f>IFERROR(INDEX(EG_Wycena_strona!$H:$H,MATCH($A4,EG_Wycena_strona!$A:$A,0)),"")</x:f>
        <x:v>3079</x:v>
      </x:c>
      <x:c r="U4" s="717" t="n">
        <x:f>IFERROR(INDEX('04_Wycena_strona_nowa'!$H:$H,MATCH($A4,'04_Wycena_strona_nowa'!$A:$A,0)),"")</x:f>
        <x:v>2725</x:v>
      </x:c>
      <x:c r="V4" s="717" t="n">
        <x:f>IF(OR(T4="",U4="",T4=0,U4=0),"",U4-T4)</x:f>
        <x:v>-354</x:v>
      </x:c>
      <x:c r="W4" s="717" t="n">
        <x:f>IFERROR(INDEX(EG_Wycena_strona!$I:$I,MATCH($A4,EG_Wycena_strona!$A:$A,0)),"")</x:f>
        <x:v>3079</x:v>
      </x:c>
      <x:c r="X4" s="717" t="n">
        <x:f>IFERROR(INDEX('04_Wycena_strona_nowa'!$I:$I,MATCH($A4,'04_Wycena_strona_nowa'!$A:$A,0)),"")</x:f>
        <x:v>2725</x:v>
      </x:c>
      <x:c r="Y4" s="717" t="n">
        <x:f>IF(OR(W4="",X4="",W4=0,X4=0),"",X4-W4)</x:f>
        <x:v>-354</x:v>
      </x:c>
      <x:c r="Z4" s="717" t="n">
        <x:f>IFERROR(INDEX(EG_Wycena_strona!$J:$J,MATCH($A4,EG_Wycena_strona!$A:$A,0)),"")</x:f>
        <x:v>5367</x:v>
      </x:c>
      <x:c r="AA4" s="717" t="n">
        <x:f>IFERROR(INDEX('04_Wycena_strona_nowa'!$J:$J,MATCH($A4,'04_Wycena_strona_nowa'!$A:$A,0)),"")</x:f>
        <x:v>4711</x:v>
      </x:c>
      <x:c r="AB4" s="717" t="n">
        <x:f>IF(OR(Z4="",AA4="",Z4=0,AA4=0),"",AA4-Z4)</x:f>
        <x:v>-656</x:v>
      </x:c>
      <x:c r="AC4" s="717" t="n">
        <x:f>IFERROR(INDEX(EG_Wycena_strona!$K:$K,MATCH($A4,EG_Wycena_strona!$A:$A,0)),"")</x:f>
        <x:v>7112</x:v>
      </x:c>
      <x:c r="AD4" s="717" t="n">
        <x:f>IFERROR(INDEX('04_Wycena_strona_nowa'!$K:$K,MATCH($A4,'04_Wycena_strona_nowa'!$A:$A,0)),"")</x:f>
        <x:v>6341</x:v>
      </x:c>
      <x:c r="AE4" s="717" t="n">
        <x:f>IF(OR(AC4="",AD4="",AC4=0,AD4=0),"",AD4-AC4)</x:f>
        <x:v>-771</x:v>
      </x:c>
      <x:c r="AF4" s="717" t="n">
        <x:f>IFERROR(ROUND(INDEX(EG_Cennik_uslug!$BS:$BS,MATCH($A4,EG_Cennik_uslug!$A:$A,0))*1.08,0),"")</x:f>
        <x:v>1706</x:v>
      </x:c>
      <x:c r="AG4" s="717" t="n">
        <x:f>IFERROR(INDEX('04_Wycena_strona_nowa'!$L:$L,MATCH($A4,'04_Wycena_strona_nowa'!$A:$A,0)),"")</x:f>
        <x:v>1758</x:v>
      </x:c>
      <x:c r="AH4" s="717" t="n">
        <x:f>IF(OR(AF4="",AG4="",AF4=0,AG4=0),"",AG4-AF4)</x:f>
        <x:v>52</x:v>
      </x:c>
      <x:c r="AI4" s="717" t="n">
        <x:f>IFERROR(ROUND(INDEX(EG_Cennik_uslug!$BZ:$BZ,MATCH($A4,EG_Cennik_uslug!$A:$A,0))*1.08,0),"")</x:f>
        <x:v>575</x:v>
      </x:c>
      <x:c r="AJ4" s="717" t="n">
        <x:f>IFERROR(INDEX('04_Wycena_strona_nowa'!$O:$O,MATCH($A4,'04_Wycena_strona_nowa'!$A:$A,0)),"")</x:f>
        <x:v>534</x:v>
      </x:c>
      <x:c r="AK4" s="717" t="n">
        <x:f>IF(OR(AI4="",AJ4="",AI4=0,AJ4=0),"",AJ4-AI4)</x:f>
        <x:v>-41</x:v>
      </x:c>
      <x:c r="AL4" s="717" t="n">
        <x:f>IFERROR(ROUND(INDEX(EG_Cennik_uslug!$CG:$CG,MATCH($A4,EG_Cennik_uslug!$A:$A,0))*1.08,0),"")</x:f>
        <x:v>518</x:v>
      </x:c>
      <x:c r="AM4" s="717" t="n">
        <x:f>IFERROR(INDEX('04_Wycena_strona_nowa'!$P:$P,MATCH($A4,'04_Wycena_strona_nowa'!$A:$A,0)),"")</x:f>
        <x:v>484</x:v>
      </x:c>
      <x:c r="AN4" s="717" t="n">
        <x:f>IF(OR(AL4="",AM4="",AL4=0,AM4=0),"",AM4-AL4)</x:f>
        <x:v>-34</x:v>
      </x:c>
      <x:c r="AO4" s="717" t="str">
        <x:f>""</x:f>
      </x:c>
      <x:c r="AP4" s="717" t="n">
        <x:f>IFERROR(INDEX('04_Wycena_strona_nowa'!$Q:$Q,MATCH($A4,'04_Wycena_strona_nowa'!$A:$A,0)),"")</x:f>
        <x:v>357</x:v>
      </x:c>
      <x:c r="AQ4" s="717" t="str">
        <x:f>IF(OR(AO4="",AP4="",AO4=0,AP4=0),"",AP4-AO4)</x:f>
      </x:c>
      <x:c r="AR4" s="717" t="n">
        <x:f>IFERROR(ROUND(INDEX(EG_Cennik_uslug!$CN:$CN,MATCH($A4,EG_Cennik_uslug!$A:$A,0))*1.08,0),"")</x:f>
        <x:v>1912</x:v>
      </x:c>
      <x:c r="AS4" s="717" t="n">
        <x:f>IFERROR(INDEX('04_Wycena_strona_nowa'!$M:$M,MATCH($A4,'04_Wycena_strona_nowa'!$A:$A,0)),"")</x:f>
        <x:v>765</x:v>
      </x:c>
      <x:c r="AT4" s="717" t="n">
        <x:f>IF(OR(AR4="",AS4="",AR4=0,AS4=0),"",AS4-AR4)</x:f>
        <x:v>-1147</x:v>
      </x:c>
      <x:c r="AU4" s="717" t="n">
        <x:f>IFERROR(ROUND(INDEX(EG_Cennik_uslug!$CU:$CU,MATCH($A4,EG_Cennik_uslug!$A:$A,0))*1.08,0),"")</x:f>
        <x:v>2227</x:v>
      </x:c>
      <x:c r="AV4" s="717" t="n">
        <x:f>IFERROR(INDEX('04_Wycena_strona_nowa'!$R:$R,MATCH($A4,'04_Wycena_strona_nowa'!$A:$A,0)),"")</x:f>
        <x:v>1660</x:v>
      </x:c>
      <x:c r="AW4" s="717" t="n">
        <x:f>IF(OR(AU4="",AV4="",AU4=0,AV4=0),"",AV4-AU4)</x:f>
        <x:v>-567</x:v>
      </x:c>
      <x:c r="AX4" s="717" t="str">
        <x:f>""</x:f>
      </x:c>
      <x:c r="AY4" s="717" t="str">
        <x:f>IFERROR(INDEX('04_Wycena_strona_nowa'!$S:$S,MATCH($A4,'04_Wycena_strona_nowa'!$A:$A,0)),"")</x:f>
      </x:c>
      <x:c r="AZ4" s="717" t="str">
        <x:f>IF(OR(AX4="",AY4="",AX4=0,AY4=0),"",AY4-AX4)</x:f>
      </x:c>
      <x:c r="BA4" s="612" t="e">
        <x:f>_xludf.TEXTJOIN("; ",TRUE,IF(OR(LEFT($A4,3)="550",LEFT($A4,3)="600"),"550/600: EG brak benchmarku; opcje szklane/zerowe ukryte w porównaniu do czasu potwierdzenia",""),"LED CCT/RGB: porównanie orientacyjne do EG LED COB","Zabieraki: brak jednoznacznej pozycji EG")</x:f>
      </x:c>
    </x:row>
    <x:row r="5">
      <x:c r="A5" s="608" t="str">
        <x:f>'04_Wycena_strona_nowa'!A5</x:f>
        <x:v>300 x 606 cm</x:v>
      </x:c>
      <x:c r="B5" s="717" t="n">
        <x:f>IFERROR(INDEX(EG_Wycena_strona!$B:$B,MATCH($A5,EG_Wycena_strona!$A:$A,0)),"")</x:f>
        <x:v>13921</x:v>
      </x:c>
      <x:c r="C5" s="717" t="n">
        <x:f>IFERROR(INDEX('04_Wycena_strona_nowa'!$B:$B,MATCH($A5,'04_Wycena_strona_nowa'!$A:$A,0)),"")</x:f>
        <x:v>13246</x:v>
      </x:c>
      <x:c r="D5" s="717" t="n">
        <x:f>IF(OR(B5="",C5="",B5=0,C5=0),"",C5-B5)</x:f>
        <x:v>-675</x:v>
      </x:c>
      <x:c r="E5" s="717" t="n">
        <x:f>IFERROR(INDEX(EG_Wycena_strona!$C:$C,MATCH($A5,EG_Wycena_strona!$A:$A,0)),"")</x:f>
        <x:v>20114</x:v>
      </x:c>
      <x:c r="F5" s="717" t="n">
        <x:f>IFERROR(INDEX('04_Wycena_strona_nowa'!$C:$C,MATCH($A5,'04_Wycena_strona_nowa'!$A:$A,0)),"")</x:f>
        <x:v>18052</x:v>
      </x:c>
      <x:c r="G5" s="717" t="n">
        <x:f>IF(OR(E5="",F5="",E5=0,F5=0),"",F5-E5)</x:f>
        <x:v>-2062</x:v>
      </x:c>
      <x:c r="H5" s="717" t="n">
        <x:f>IFERROR(INDEX(EG_Wycena_strona!$D:$D,MATCH($A5,EG_Wycena_strona!$A:$A,0)),"")</x:f>
        <x:v>22077</x:v>
      </x:c>
      <x:c r="I5" s="717" t="n">
        <x:f>IFERROR(INDEX('04_Wycena_strona_nowa'!$D:$D,MATCH($A5,'04_Wycena_strona_nowa'!$A:$A,0)),"")</x:f>
        <x:v>19886</x:v>
      </x:c>
      <x:c r="J5" s="717" t="n">
        <x:f>IF(OR(H5="",I5="",H5=0,I5=0),"",I5-H5)</x:f>
        <x:v>-2191</x:v>
      </x:c>
      <x:c r="K5" s="717" t="n">
        <x:f>IFERROR(INDEX(EG_Wycena_strona!$E:$E,MATCH($A5,EG_Wycena_strona!$A:$A,0)),"")</x:f>
        <x:v>423</x:v>
      </x:c>
      <x:c r="L5" s="717" t="n">
        <x:f>IFERROR(INDEX('04_Wycena_strona_nowa'!$E:$E,MATCH($A5,'04_Wycena_strona_nowa'!$A:$A,0)),"")</x:f>
        <x:v>394</x:v>
      </x:c>
      <x:c r="M5" s="717" t="n">
        <x:f>IF(OR(K5="",L5="",K5=0,L5=0),"",L5-K5)</x:f>
        <x:v>-29</x:v>
      </x:c>
      <x:c r="N5" s="717" t="n">
        <x:f>IFERROR(INDEX(EG_Wycena_strona!$F:$F,MATCH($A5,EG_Wycena_strona!$A:$A,0)),"")</x:f>
        <x:v>5112</x:v>
      </x:c>
      <x:c r="O5" s="717" t="n">
        <x:f>IFERROR(INDEX('04_Wycena_strona_nowa'!$F:$F,MATCH($A5,'04_Wycena_strona_nowa'!$A:$A,0)),"")</x:f>
        <x:v>4316</x:v>
      </x:c>
      <x:c r="P5" s="717" t="n">
        <x:f>IF(OR(N5="",O5="",N5=0,O5=0),"",O5-N5)</x:f>
        <x:v>-796</x:v>
      </x:c>
      <x:c r="Q5" s="717" t="n">
        <x:f>IFERROR(INDEX(EG_Wycena_strona!$G:$G,MATCH($A5,EG_Wycena_strona!$A:$A,0)),"")</x:f>
        <x:v>6027</x:v>
      </x:c>
      <x:c r="R5" s="717" t="n">
        <x:f>IFERROR(INDEX('04_Wycena_strona_nowa'!$G:$G,MATCH($A5,'04_Wycena_strona_nowa'!$A:$A,0)),"")</x:f>
        <x:v>5169</x:v>
      </x:c>
      <x:c r="S5" s="717" t="n">
        <x:f>IF(OR(Q5="",R5="",Q5=0,R5=0),"",R5-Q5)</x:f>
        <x:v>-858</x:v>
      </x:c>
      <x:c r="T5" s="717" t="n">
        <x:f>IFERROR(INDEX(EG_Wycena_strona!$H:$H,MATCH($A5,EG_Wycena_strona!$A:$A,0)),"")</x:f>
        <x:v>3079</x:v>
      </x:c>
      <x:c r="U5" s="717" t="n">
        <x:f>IFERROR(INDEX('04_Wycena_strona_nowa'!$H:$H,MATCH($A5,'04_Wycena_strona_nowa'!$A:$A,0)),"")</x:f>
        <x:v>2725</x:v>
      </x:c>
      <x:c r="V5" s="717" t="n">
        <x:f>IF(OR(T5="",U5="",T5=0,U5=0),"",U5-T5)</x:f>
        <x:v>-354</x:v>
      </x:c>
      <x:c r="W5" s="717" t="n">
        <x:f>IFERROR(INDEX(EG_Wycena_strona!$I:$I,MATCH($A5,EG_Wycena_strona!$A:$A,0)),"")</x:f>
        <x:v>3079</x:v>
      </x:c>
      <x:c r="X5" s="717" t="n">
        <x:f>IFERROR(INDEX('04_Wycena_strona_nowa'!$I:$I,MATCH($A5,'04_Wycena_strona_nowa'!$A:$A,0)),"")</x:f>
        <x:v>2725</x:v>
      </x:c>
      <x:c r="Y5" s="717" t="n">
        <x:f>IF(OR(W5="",X5="",W5=0,X5=0),"",X5-W5)</x:f>
        <x:v>-354</x:v>
      </x:c>
      <x:c r="Z5" s="717" t="n">
        <x:f>IFERROR(INDEX(EG_Wycena_strona!$J:$J,MATCH($A5,EG_Wycena_strona!$A:$A,0)),"")</x:f>
        <x:v>6144</x:v>
      </x:c>
      <x:c r="AA5" s="717" t="n">
        <x:f>IFERROR(INDEX('04_Wycena_strona_nowa'!$J:$J,MATCH($A5,'04_Wycena_strona_nowa'!$A:$A,0)),"")</x:f>
        <x:v>5437</x:v>
      </x:c>
      <x:c r="AB5" s="717" t="n">
        <x:f>IF(OR(Z5="",AA5="",Z5=0,AA5=0),"",AA5-Z5)</x:f>
        <x:v>-707</x:v>
      </x:c>
      <x:c r="AC5" s="717" t="n">
        <x:f>IFERROR(INDEX(EG_Wycena_strona!$K:$K,MATCH($A5,EG_Wycena_strona!$A:$A,0)),"")</x:f>
        <x:v>11010</x:v>
      </x:c>
      <x:c r="AD5" s="717" t="n">
        <x:f>IFERROR(INDEX('04_Wycena_strona_nowa'!$K:$K,MATCH($A5,'04_Wycena_strona_nowa'!$A:$A,0)),"")</x:f>
        <x:v>9930</x:v>
      </x:c>
      <x:c r="AE5" s="717" t="n">
        <x:f>IF(OR(AC5="",AD5="",AC5=0,AD5=0),"",AD5-AC5)</x:f>
        <x:v>-1080</x:v>
      </x:c>
      <x:c r="AF5" s="717" t="n">
        <x:f>IFERROR(ROUND(INDEX(EG_Cennik_uslug!$BS:$BS,MATCH($A5,EG_Cennik_uslug!$A:$A,0))*1.08,0),"")</x:f>
        <x:v>2251</x:v>
      </x:c>
      <x:c r="AG5" s="717" t="n">
        <x:f>IFERROR(INDEX('04_Wycena_strona_nowa'!$L:$L,MATCH($A5,'04_Wycena_strona_nowa'!$A:$A,0)),"")</x:f>
        <x:v>2319</x:v>
      </x:c>
      <x:c r="AH5" s="717" t="n">
        <x:f>IF(OR(AF5="",AG5="",AF5=0,AG5=0),"",AG5-AF5)</x:f>
        <x:v>68</x:v>
      </x:c>
      <x:c r="AI5" s="717" t="n">
        <x:f>IFERROR(ROUND(INDEX(EG_Cennik_uslug!$BZ:$BZ,MATCH($A5,EG_Cennik_uslug!$A:$A,0))*1.08,0),"")</x:f>
        <x:v>627</x:v>
      </x:c>
      <x:c r="AJ5" s="717" t="n">
        <x:f>IFERROR(INDEX('04_Wycena_strona_nowa'!$O:$O,MATCH($A5,'04_Wycena_strona_nowa'!$A:$A,0)),"")</x:f>
        <x:v>585</x:v>
      </x:c>
      <x:c r="AK5" s="717" t="n">
        <x:f>IF(OR(AI5="",AJ5="",AI5=0,AJ5=0),"",AJ5-AI5)</x:f>
        <x:v>-42</x:v>
      </x:c>
      <x:c r="AL5" s="717" t="n">
        <x:f>IFERROR(ROUND(INDEX(EG_Cennik_uslug!$CG:$CG,MATCH($A5,EG_Cennik_uslug!$A:$A,0))*1.08,0),"")</x:f>
        <x:v>561</x:v>
      </x:c>
      <x:c r="AM5" s="717" t="n">
        <x:f>IFERROR(INDEX('04_Wycena_strona_nowa'!$P:$P,MATCH($A5,'04_Wycena_strona_nowa'!$A:$A,0)),"")</x:f>
        <x:v>522</x:v>
      </x:c>
      <x:c r="AN5" s="717" t="n">
        <x:f>IF(OR(AL5="",AM5="",AL5=0,AM5=0),"",AM5-AL5)</x:f>
        <x:v>-39</x:v>
      </x:c>
      <x:c r="AO5" s="717" t="str">
        <x:f>""</x:f>
      </x:c>
      <x:c r="AP5" s="717" t="n">
        <x:f>IFERROR(INDEX('04_Wycena_strona_nowa'!$Q:$Q,MATCH($A5,'04_Wycena_strona_nowa'!$A:$A,0)),"")</x:f>
        <x:v>407</x:v>
      </x:c>
      <x:c r="AQ5" s="717" t="str">
        <x:f>IF(OR(AO5="",AP5="",AO5=0,AP5=0),"",AP5-AO5)</x:f>
      </x:c>
      <x:c r="AR5" s="717" t="n">
        <x:f>IFERROR(ROUND(INDEX(EG_Cennik_uslug!$CN:$CN,MATCH($A5,EG_Cennik_uslug!$A:$A,0))*1.08,0),"")</x:f>
        <x:v>2354</x:v>
      </x:c>
      <x:c r="AS5" s="717" t="n">
        <x:f>IFERROR(INDEX('04_Wycena_strona_nowa'!$M:$M,MATCH($A5,'04_Wycena_strona_nowa'!$A:$A,0)),"")</x:f>
        <x:v>1005</x:v>
      </x:c>
      <x:c r="AT5" s="717" t="n">
        <x:f>IF(OR(AR5="",AS5="",AR5=0,AS5=0),"",AS5-AR5)</x:f>
        <x:v>-1349</x:v>
      </x:c>
      <x:c r="AU5" s="717" t="n">
        <x:f>IFERROR(ROUND(INDEX(EG_Cennik_uslug!$CU:$CU,MATCH($A5,EG_Cennik_uslug!$A:$A,0))*1.08,0),"")</x:f>
        <x:v>2513</x:v>
      </x:c>
      <x:c r="AV5" s="717" t="n">
        <x:f>IFERROR(INDEX('04_Wycena_strona_nowa'!$R:$R,MATCH($A5,'04_Wycena_strona_nowa'!$A:$A,0)),"")</x:f>
        <x:v>1660</x:v>
      </x:c>
      <x:c r="AW5" s="717" t="n">
        <x:f>IF(OR(AU5="",AV5="",AU5=0,AV5=0),"",AV5-AU5)</x:f>
        <x:v>-853</x:v>
      </x:c>
      <x:c r="AX5" s="717" t="str">
        <x:f>""</x:f>
      </x:c>
      <x:c r="AY5" s="717" t="str">
        <x:f>IFERROR(INDEX('04_Wycena_strona_nowa'!$S:$S,MATCH($A5,'04_Wycena_strona_nowa'!$A:$A,0)),"")</x:f>
      </x:c>
      <x:c r="AZ5" s="717" t="str">
        <x:f>IF(OR(AX5="",AY5="",AX5=0,AY5=0),"",AY5-AX5)</x:f>
      </x:c>
      <x:c r="BA5" s="612" t="e">
        <x:f>_xludf.TEXTJOIN("; ",TRUE,IF(OR(LEFT($A5,3)="550",LEFT($A5,3)="600"),"550/600: EG brak benchmarku; opcje szklane/zerowe ukryte w porównaniu do czasu potwierdzenia",""),"LED CCT/RGB: porównanie orientacyjne do EG LED COB","Zabieraki: brak jednoznacznej pozycji EG")</x:f>
      </x:c>
    </x:row>
    <x:row r="6">
      <x:c r="A6" s="608" t="str">
        <x:f>'04_Wycena_strona_nowa'!A6</x:f>
        <x:v>300 x 706 cm</x:v>
      </x:c>
      <x:c r="B6" s="717" t="n">
        <x:f>IFERROR(INDEX(EG_Wycena_strona!$B:$B,MATCH($A6,EG_Wycena_strona!$A:$A,0)),"")</x:f>
        <x:v>15940</x:v>
      </x:c>
      <x:c r="C6" s="717" t="n">
        <x:f>IFERROR(INDEX('04_Wycena_strona_nowa'!$B:$B,MATCH($A6,'04_Wycena_strona_nowa'!$A:$A,0)),"")</x:f>
        <x:v>15157</x:v>
      </x:c>
      <x:c r="D6" s="717" t="n">
        <x:f>IF(OR(B6="",C6="",B6=0,C6=0),"",C6-B6)</x:f>
        <x:v>-783</x:v>
      </x:c>
      <x:c r="E6" s="717" t="n">
        <x:f>IFERROR(INDEX(EG_Wycena_strona!$C:$C,MATCH($A6,EG_Wycena_strona!$A:$A,0)),"")</x:f>
        <x:v>20335</x:v>
      </x:c>
      <x:c r="F6" s="717" t="n">
        <x:f>IFERROR(INDEX('04_Wycena_strona_nowa'!$C:$C,MATCH($A6,'04_Wycena_strona_nowa'!$A:$A,0)),"")</x:f>
        <x:v>18210</x:v>
      </x:c>
      <x:c r="G6" s="717" t="n">
        <x:f>IF(OR(E6="",F6="",E6=0,F6=0),"",F6-E6)</x:f>
        <x:v>-2125</x:v>
      </x:c>
      <x:c r="H6" s="717" t="n">
        <x:f>IFERROR(INDEX(EG_Wycena_strona!$D:$D,MATCH($A6,EG_Wycena_strona!$A:$A,0)),"")</x:f>
        <x:v>22463</x:v>
      </x:c>
      <x:c r="I6" s="717" t="n">
        <x:f>IFERROR(INDEX('04_Wycena_strona_nowa'!$D:$D,MATCH($A6,'04_Wycena_strona_nowa'!$A:$A,0)),"")</x:f>
        <x:v>20196</x:v>
      </x:c>
      <x:c r="J6" s="717" t="n">
        <x:f>IF(OR(H6="",I6="",H6=0,I6=0),"",I6-H6)</x:f>
        <x:v>-2267</x:v>
      </x:c>
      <x:c r="K6" s="717" t="n">
        <x:f>IFERROR(INDEX(EG_Wycena_strona!$E:$E,MATCH($A6,EG_Wycena_strona!$A:$A,0)),"")</x:f>
        <x:v>505</x:v>
      </x:c>
      <x:c r="L6" s="717" t="n">
        <x:f>IFERROR(INDEX('04_Wycena_strona_nowa'!$E:$E,MATCH($A6,'04_Wycena_strona_nowa'!$A:$A,0)),"")</x:f>
        <x:v>471</x:v>
      </x:c>
      <x:c r="M6" s="717" t="n">
        <x:f>IF(OR(K6="",L6="",K6=0,L6=0),"",L6-K6)</x:f>
        <x:v>-34</x:v>
      </x:c>
      <x:c r="N6" s="717" t="n">
        <x:f>IFERROR(INDEX(EG_Wycena_strona!$F:$F,MATCH($A6,EG_Wycena_strona!$A:$A,0)),"")</x:f>
        <x:v>5899</x:v>
      </x:c>
      <x:c r="O6" s="717" t="n">
        <x:f>IFERROR(INDEX('04_Wycena_strona_nowa'!$F:$F,MATCH($A6,'04_Wycena_strona_nowa'!$A:$A,0)),"")</x:f>
        <x:v>5004</x:v>
      </x:c>
      <x:c r="P6" s="717" t="n">
        <x:f>IF(OR(N6="",O6="",N6=0,O6=0),"",O6-N6)</x:f>
        <x:v>-895</x:v>
      </x:c>
      <x:c r="Q6" s="717" t="n">
        <x:f>IFERROR(INDEX(EG_Wycena_strona!$G:$G,MATCH($A6,EG_Wycena_strona!$A:$A,0)),"")</x:f>
        <x:v>6964</x:v>
      </x:c>
      <x:c r="R6" s="717" t="n">
        <x:f>IFERROR(INDEX('04_Wycena_strona_nowa'!$G:$G,MATCH($A6,'04_Wycena_strona_nowa'!$A:$A,0)),"")</x:f>
        <x:v>5997</x:v>
      </x:c>
      <x:c r="S6" s="717" t="n">
        <x:f>IF(OR(Q6="",R6="",Q6=0,R6=0),"",R6-Q6)</x:f>
        <x:v>-967</x:v>
      </x:c>
      <x:c r="T6" s="717" t="n">
        <x:f>IFERROR(INDEX(EG_Wycena_strona!$H:$H,MATCH($A6,EG_Wycena_strona!$A:$A,0)),"")</x:f>
        <x:v>3079</x:v>
      </x:c>
      <x:c r="U6" s="717" t="n">
        <x:f>IFERROR(INDEX('04_Wycena_strona_nowa'!$H:$H,MATCH($A6,'04_Wycena_strona_nowa'!$A:$A,0)),"")</x:f>
        <x:v>2725</x:v>
      </x:c>
      <x:c r="V6" s="717" t="n">
        <x:f>IF(OR(T6="",U6="",T6=0,U6=0),"",U6-T6)</x:f>
        <x:v>-354</x:v>
      </x:c>
      <x:c r="W6" s="717" t="n">
        <x:f>IFERROR(INDEX(EG_Wycena_strona!$I:$I,MATCH($A6,EG_Wycena_strona!$A:$A,0)),"")</x:f>
        <x:v>3079</x:v>
      </x:c>
      <x:c r="X6" s="717" t="n">
        <x:f>IFERROR(INDEX('04_Wycena_strona_nowa'!$I:$I,MATCH($A6,'04_Wycena_strona_nowa'!$A:$A,0)),"")</x:f>
        <x:v>2725</x:v>
      </x:c>
      <x:c r="Y6" s="717" t="n">
        <x:f>IF(OR(W6="",X6="",W6=0,X6=0),"",X6-W6)</x:f>
        <x:v>-354</x:v>
      </x:c>
      <x:c r="Z6" s="717" t="n">
        <x:f>IFERROR(INDEX(EG_Wycena_strona!$J:$J,MATCH($A6,EG_Wycena_strona!$A:$A,0)),"")</x:f>
        <x:v>6839</x:v>
      </x:c>
      <x:c r="AA6" s="717" t="n">
        <x:f>IFERROR(INDEX('04_Wycena_strona_nowa'!$J:$J,MATCH($A6,'04_Wycena_strona_nowa'!$A:$A,0)),"")</x:f>
        <x:v>6086</x:v>
      </x:c>
      <x:c r="AB6" s="717" t="n">
        <x:f>IF(OR(Z6="",AA6="",Z6=0,AA6=0),"",AA6-Z6)</x:f>
        <x:v>-753</x:v>
      </x:c>
      <x:c r="AC6" s="717" t="n">
        <x:f>IFERROR(INDEX(EG_Wycena_strona!$K:$K,MATCH($A6,EG_Wycena_strona!$A:$A,0)),"")</x:f>
        <x:v>11675</x:v>
      </x:c>
      <x:c r="AD6" s="717" t="n">
        <x:f>IFERROR(INDEX('04_Wycena_strona_nowa'!$K:$K,MATCH($A6,'04_Wycena_strona_nowa'!$A:$A,0)),"")</x:f>
        <x:v>10453</x:v>
      </x:c>
      <x:c r="AE6" s="717" t="n">
        <x:f>IF(OR(AC6="",AD6="",AC6=0,AD6=0),"",AD6-AC6)</x:f>
        <x:v>-1222</x:v>
      </x:c>
      <x:c r="AF6" s="717" t="n">
        <x:f>IFERROR(ROUND(INDEX(EG_Cennik_uslug!$BS:$BS,MATCH($A6,EG_Cennik_uslug!$A:$A,0))*1.08,0),"")</x:f>
        <x:v>1857</x:v>
      </x:c>
      <x:c r="AG6" s="717" t="n">
        <x:f>IFERROR(INDEX('04_Wycena_strona_nowa'!$L:$L,MATCH($A6,'04_Wycena_strona_nowa'!$A:$A,0)),"")</x:f>
        <x:v>1913</x:v>
      </x:c>
      <x:c r="AH6" s="717" t="n">
        <x:f>IF(OR(AF6="",AG6="",AF6=0,AG6=0),"",AG6-AF6)</x:f>
        <x:v>56</x:v>
      </x:c>
      <x:c r="AI6" s="717" t="n">
        <x:f>IFERROR(ROUND(INDEX(EG_Cennik_uslug!$BZ:$BZ,MATCH($A6,EG_Cennik_uslug!$A:$A,0))*1.08,0),"")</x:f>
        <x:v>683</x:v>
      </x:c>
      <x:c r="AJ6" s="717" t="n">
        <x:f>IFERROR(INDEX('04_Wycena_strona_nowa'!$O:$O,MATCH($A6,'04_Wycena_strona_nowa'!$A:$A,0)),"")</x:f>
        <x:v>637</x:v>
      </x:c>
      <x:c r="AK6" s="717" t="n">
        <x:f>IF(OR(AI6="",AJ6="",AI6=0,AJ6=0),"",AJ6-AI6)</x:f>
        <x:v>-46</x:v>
      </x:c>
      <x:c r="AL6" s="717" t="n">
        <x:f>IFERROR(ROUND(INDEX(EG_Cennik_uslug!$CG:$CG,MATCH($A6,EG_Cennik_uslug!$A:$A,0))*1.08,0),"")</x:f>
        <x:v>613</x:v>
      </x:c>
      <x:c r="AM6" s="717" t="n">
        <x:f>IFERROR(INDEX('04_Wycena_strona_nowa'!$P:$P,MATCH($A6,'04_Wycena_strona_nowa'!$A:$A,0)),"")</x:f>
        <x:v>573</x:v>
      </x:c>
      <x:c r="AN6" s="717" t="n">
        <x:f>IF(OR(AL6="",AM6="",AL6=0,AM6=0),"",AM6-AL6)</x:f>
        <x:v>-40</x:v>
      </x:c>
      <x:c r="AO6" s="717" t="str">
        <x:f>""</x:f>
      </x:c>
      <x:c r="AP6" s="717" t="n">
        <x:f>IFERROR(INDEX('04_Wycena_strona_nowa'!$Q:$Q,MATCH($A6,'04_Wycena_strona_nowa'!$A:$A,0)),"")</x:f>
        <x:v>459</x:v>
      </x:c>
      <x:c r="AQ6" s="717" t="str">
        <x:f>IF(OR(AO6="",AP6="",AO6=0,AP6=0),"",AP6-AO6)</x:f>
      </x:c>
      <x:c r="AR6" s="717" t="n">
        <x:f>IFERROR(ROUND(INDEX(EG_Cennik_uslug!$CN:$CN,MATCH($A6,EG_Cennik_uslug!$A:$A,0))*1.08,0),"")</x:f>
        <x:v>2900</x:v>
      </x:c>
      <x:c r="AS6" s="717" t="n">
        <x:f>IFERROR(INDEX('04_Wycena_strona_nowa'!$M:$M,MATCH($A6,'04_Wycena_strona_nowa'!$A:$A,0)),"")</x:f>
        <x:v>1107</x:v>
      </x:c>
      <x:c r="AT6" s="717" t="n">
        <x:f>IF(OR(AR6="",AS6="",AR6=0,AS6=0),"",AS6-AR6)</x:f>
        <x:v>-1793</x:v>
      </x:c>
      <x:c r="AU6" s="717" t="n">
        <x:f>IFERROR(ROUND(INDEX(EG_Cennik_uslug!$CU:$CU,MATCH($A6,EG_Cennik_uslug!$A:$A,0))*1.08,0),"")</x:f>
        <x:v>2798</x:v>
      </x:c>
      <x:c r="AV6" s="717" t="n">
        <x:f>IFERROR(INDEX('04_Wycena_strona_nowa'!$R:$R,MATCH($A6,'04_Wycena_strona_nowa'!$A:$A,0)),"")</x:f>
        <x:v>1864</x:v>
      </x:c>
      <x:c r="AW6" s="717" t="n">
        <x:f>IF(OR(AU6="",AV6="",AU6=0,AV6=0),"",AV6-AU6)</x:f>
        <x:v>-934</x:v>
      </x:c>
      <x:c r="AX6" s="717" t="str">
        <x:f>""</x:f>
      </x:c>
      <x:c r="AY6" s="717" t="str">
        <x:f>IFERROR(INDEX('04_Wycena_strona_nowa'!$S:$S,MATCH($A6,'04_Wycena_strona_nowa'!$A:$A,0)),"")</x:f>
      </x:c>
      <x:c r="AZ6" s="717" t="str">
        <x:f>IF(OR(AX6="",AY6="",AX6=0,AY6=0),"",AY6-AX6)</x:f>
      </x:c>
      <x:c r="BA6" s="612" t="e">
        <x:f>_xludf.TEXTJOIN("; ",TRUE,IF(OR(LEFT($A6,3)="550",LEFT($A6,3)="600"),"550/600: EG brak benchmarku; opcje szklane/zerowe ukryte w porównaniu do czasu potwierdzenia",""),"LED CCT/RGB: porównanie orientacyjne do EG LED COB","Zabieraki: brak jednoznacznej pozycji EG")</x:f>
      </x:c>
    </x:row>
    <x:row r="7">
      <x:c r="A7" s="608" t="str">
        <x:f>'04_Wycena_strona_nowa'!A7</x:f>
        <x:v>300 x 806 cm</x:v>
      </x:c>
      <x:c r="B7" s="717" t="n">
        <x:f>IFERROR(INDEX(EG_Wycena_strona!$B:$B,MATCH($A7,EG_Wycena_strona!$A:$A,0)),"")</x:f>
        <x:v>18600</x:v>
      </x:c>
      <x:c r="C7" s="717" t="n">
        <x:f>IFERROR(INDEX('04_Wycena_strona_nowa'!$B:$B,MATCH($A7,'04_Wycena_strona_nowa'!$A:$A,0)),"")</x:f>
        <x:v>17655</x:v>
      </x:c>
      <x:c r="D7" s="717" t="n">
        <x:f>IF(OR(B7="",C7="",B7=0,C7=0),"",C7-B7)</x:f>
        <x:v>-945</x:v>
      </x:c>
      <x:c r="E7" s="717" t="n">
        <x:f>IFERROR(INDEX(EG_Wycena_strona!$C:$C,MATCH($A7,EG_Wycena_strona!$A:$A,0)),"")</x:f>
        <x:v>21680</x:v>
      </x:c>
      <x:c r="F7" s="717" t="n">
        <x:f>IFERROR(INDEX('04_Wycena_strona_nowa'!$C:$C,MATCH($A7,'04_Wycena_strona_nowa'!$A:$A,0)),"")</x:f>
        <x:v>19361</x:v>
      </x:c>
      <x:c r="G7" s="717" t="n">
        <x:f>IF(OR(E7="",F7="",E7=0,F7=0),"",F7-E7)</x:f>
        <x:v>-2319</x:v>
      </x:c>
      <x:c r="H7" s="717" t="n">
        <x:f>IFERROR(INDEX(EG_Wycena_strona!$D:$D,MATCH($A7,EG_Wycena_strona!$A:$A,0)),"")</x:f>
        <x:v>23970</x:v>
      </x:c>
      <x:c r="I7" s="717" t="n">
        <x:f>IFERROR(INDEX('04_Wycena_strona_nowa'!$D:$D,MATCH($A7,'04_Wycena_strona_nowa'!$A:$A,0)),"")</x:f>
        <x:v>21500</x:v>
      </x:c>
      <x:c r="J7" s="717" t="n">
        <x:f>IF(OR(H7="",I7="",H7=0,I7=0),"",I7-H7)</x:f>
        <x:v>-2470</x:v>
      </x:c>
      <x:c r="K7" s="717" t="n">
        <x:f>IFERROR(INDEX(EG_Wycena_strona!$E:$E,MATCH($A7,EG_Wycena_strona!$A:$A,0)),"")</x:f>
        <x:v>588</x:v>
      </x:c>
      <x:c r="L7" s="717" t="n">
        <x:f>IFERROR(INDEX('04_Wycena_strona_nowa'!$E:$E,MATCH($A7,'04_Wycena_strona_nowa'!$A:$A,0)),"")</x:f>
        <x:v>549</x:v>
      </x:c>
      <x:c r="M7" s="717" t="n">
        <x:f>IF(OR(K7="",L7="",K7=0,L7=0),"",L7-K7)</x:f>
        <x:v>-39</x:v>
      </x:c>
      <x:c r="N7" s="717" t="n">
        <x:f>IFERROR(INDEX(EG_Wycena_strona!$F:$F,MATCH($A7,EG_Wycena_strona!$A:$A,0)),"")</x:f>
        <x:v>7003</x:v>
      </x:c>
      <x:c r="O7" s="717" t="n">
        <x:f>IFERROR(INDEX('04_Wycena_strona_nowa'!$F:$F,MATCH($A7,'04_Wycena_strona_nowa'!$A:$A,0)),"")</x:f>
        <x:v>5958</x:v>
      </x:c>
      <x:c r="P7" s="717" t="n">
        <x:f>IF(OR(N7="",O7="",N7=0,O7=0),"",O7-N7)</x:f>
        <x:v>-1045</x:v>
      </x:c>
      <x:c r="Q7" s="717" t="n">
        <x:f>IFERROR(INDEX(EG_Wycena_strona!$G:$G,MATCH($A7,EG_Wycena_strona!$A:$A,0)),"")</x:f>
        <x:v>8230</x:v>
      </x:c>
      <x:c r="R7" s="717" t="n">
        <x:f>IFERROR(INDEX('04_Wycena_strona_nowa'!$G:$G,MATCH($A7,'04_Wycena_strona_nowa'!$A:$A,0)),"")</x:f>
        <x:v>7104</x:v>
      </x:c>
      <x:c r="S7" s="717" t="n">
        <x:f>IF(OR(Q7="",R7="",Q7=0,R7=0),"",R7-Q7)</x:f>
        <x:v>-1126</x:v>
      </x:c>
      <x:c r="T7" s="717" t="n">
        <x:f>IFERROR(INDEX(EG_Wycena_strona!$H:$H,MATCH($A7,EG_Wycena_strona!$A:$A,0)),"")</x:f>
        <x:v>3079</x:v>
      </x:c>
      <x:c r="U7" s="717" t="n">
        <x:f>IFERROR(INDEX('04_Wycena_strona_nowa'!$H:$H,MATCH($A7,'04_Wycena_strona_nowa'!$A:$A,0)),"")</x:f>
        <x:v>2725</x:v>
      </x:c>
      <x:c r="V7" s="717" t="n">
        <x:f>IF(OR(T7="",U7="",T7=0,U7=0),"",U7-T7)</x:f>
        <x:v>-354</x:v>
      </x:c>
      <x:c r="W7" s="717" t="n">
        <x:f>IFERROR(INDEX(EG_Wycena_strona!$I:$I,MATCH($A7,EG_Wycena_strona!$A:$A,0)),"")</x:f>
        <x:v>3079</x:v>
      </x:c>
      <x:c r="X7" s="717" t="n">
        <x:f>IFERROR(INDEX('04_Wycena_strona_nowa'!$I:$I,MATCH($A7,'04_Wycena_strona_nowa'!$A:$A,0)),"")</x:f>
        <x:v>2725</x:v>
      </x:c>
      <x:c r="Y7" s="717" t="n">
        <x:f>IF(OR(W7="",X7="",W7=0,X7=0),"",X7-W7)</x:f>
        <x:v>-354</x:v>
      </x:c>
      <x:c r="Z7" s="717" t="n">
        <x:f>IFERROR(INDEX(EG_Wycena_strona!$J:$J,MATCH($A7,EG_Wycena_strona!$A:$A,0)),"")</x:f>
        <x:v>7520</x:v>
      </x:c>
      <x:c r="AA7" s="717" t="n">
        <x:f>IFERROR(INDEX('04_Wycena_strona_nowa'!$J:$J,MATCH($A7,'04_Wycena_strona_nowa'!$A:$A,0)),"")</x:f>
        <x:v>6723</x:v>
      </x:c>
      <x:c r="AB7" s="717" t="n">
        <x:f>IF(OR(Z7="",AA7="",Z7=0,AA7=0),"",AA7-Z7)</x:f>
        <x:v>-797</x:v>
      </x:c>
      <x:c r="AC7" s="717" t="n">
        <x:f>IFERROR(INDEX(EG_Wycena_strona!$K:$K,MATCH($A7,EG_Wycena_strona!$A:$A,0)),"")</x:f>
        <x:v>12261</x:v>
      </x:c>
      <x:c r="AD7" s="717" t="n">
        <x:f>IFERROR(INDEX('04_Wycena_strona_nowa'!$K:$K,MATCH($A7,'04_Wycena_strona_nowa'!$A:$A,0)),"")</x:f>
        <x:v>10949</x:v>
      </x:c>
      <x:c r="AE7" s="717" t="n">
        <x:f>IF(OR(AC7="",AD7="",AC7=0,AD7=0),"",AD7-AC7)</x:f>
        <x:v>-1312</x:v>
      </x:c>
      <x:c r="AF7" s="717" t="n">
        <x:f>IFERROR(ROUND(INDEX(EG_Cennik_uslug!$BS:$BS,MATCH($A7,EG_Cennik_uslug!$A:$A,0))*1.08,0),"")</x:f>
        <x:v>2082</x:v>
      </x:c>
      <x:c r="AG7" s="717" t="n">
        <x:f>IFERROR(INDEX('04_Wycena_strona_nowa'!$L:$L,MATCH($A7,'04_Wycena_strona_nowa'!$A:$A,0)),"")</x:f>
        <x:v>2143</x:v>
      </x:c>
      <x:c r="AH7" s="717" t="n">
        <x:f>IF(OR(AF7="",AG7="",AF7=0,AG7=0),"",AG7-AF7)</x:f>
        <x:v>61</x:v>
      </x:c>
      <x:c r="AI7" s="717" t="n">
        <x:f>IFERROR(ROUND(INDEX(EG_Cennik_uslug!$BZ:$BZ,MATCH($A7,EG_Cennik_uslug!$A:$A,0))*1.08,0),"")</x:f>
        <x:v>723</x:v>
      </x:c>
      <x:c r="AJ7" s="717" t="n">
        <x:f>IFERROR(INDEX('04_Wycena_strona_nowa'!$O:$O,MATCH($A7,'04_Wycena_strona_nowa'!$A:$A,0)),"")</x:f>
        <x:v>675</x:v>
      </x:c>
      <x:c r="AK7" s="717" t="n">
        <x:f>IF(OR(AI7="",AJ7="",AI7=0,AJ7=0),"",AJ7-AI7)</x:f>
        <x:v>-48</x:v>
      </x:c>
      <x:c r="AL7" s="717" t="n">
        <x:f>IFERROR(ROUND(INDEX(EG_Cennik_uslug!$CG:$CG,MATCH($A7,EG_Cennik_uslug!$A:$A,0))*1.08,0),"")</x:f>
        <x:v>656</x:v>
      </x:c>
      <x:c r="AM7" s="717" t="n">
        <x:f>IFERROR(INDEX('04_Wycena_strona_nowa'!$P:$P,MATCH($A7,'04_Wycena_strona_nowa'!$A:$A,0)),"")</x:f>
        <x:v>611</x:v>
      </x:c>
      <x:c r="AN7" s="717" t="n">
        <x:f>IF(OR(AL7="",AM7="",AL7=0,AM7=0),"",AM7-AL7)</x:f>
        <x:v>-45</x:v>
      </x:c>
      <x:c r="AO7" s="717" t="str">
        <x:f>""</x:f>
      </x:c>
      <x:c r="AP7" s="717" t="n">
        <x:f>IFERROR(INDEX('04_Wycena_strona_nowa'!$Q:$Q,MATCH($A7,'04_Wycena_strona_nowa'!$A:$A,0)),"")</x:f>
        <x:v>509</x:v>
      </x:c>
      <x:c r="AQ7" s="717" t="str">
        <x:f>IF(OR(AO7="",AP7="",AO7=0,AP7=0),"",AP7-AO7)</x:f>
      </x:c>
      <x:c r="AR7" s="717" t="n">
        <x:f>IFERROR(ROUND(INDEX(EG_Cennik_uslug!$CN:$CN,MATCH($A7,EG_Cennik_uslug!$A:$A,0))*1.08,0),"")</x:f>
        <x:v>3191</x:v>
      </x:c>
      <x:c r="AS7" s="717" t="n">
        <x:f>IFERROR(INDEX('04_Wycena_strona_nowa'!$M:$M,MATCH($A7,'04_Wycena_strona_nowa'!$A:$A,0)),"")</x:f>
        <x:v>1221</x:v>
      </x:c>
      <x:c r="AT7" s="717" t="n">
        <x:f>IF(OR(AR7="",AS7="",AR7=0,AS7=0),"",AS7-AR7)</x:f>
        <x:v>-1970</x:v>
      </x:c>
      <x:c r="AU7" s="717" t="n">
        <x:f>IFERROR(ROUND(INDEX(EG_Cennik_uslug!$CU:$CU,MATCH($A7,EG_Cennik_uslug!$A:$A,0))*1.08,0),"")</x:f>
        <x:v>3668</x:v>
      </x:c>
      <x:c r="AV7" s="717" t="n">
        <x:f>IFERROR(INDEX('04_Wycena_strona_nowa'!$R:$R,MATCH($A7,'04_Wycena_strona_nowa'!$A:$A,0)),"")</x:f>
        <x:v>2098</x:v>
      </x:c>
      <x:c r="AW7" s="717" t="n">
        <x:f>IF(OR(AU7="",AV7="",AU7=0,AV7=0),"",AV7-AU7)</x:f>
        <x:v>-1570</x:v>
      </x:c>
      <x:c r="AX7" s="717" t="str">
        <x:f>""</x:f>
      </x:c>
      <x:c r="AY7" s="717" t="str">
        <x:f>IFERROR(INDEX('04_Wycena_strona_nowa'!$S:$S,MATCH($A7,'04_Wycena_strona_nowa'!$A:$A,0)),"")</x:f>
      </x:c>
      <x:c r="AZ7" s="717" t="str">
        <x:f>IF(OR(AX7="",AY7="",AX7=0,AY7=0),"",AY7-AX7)</x:f>
      </x:c>
      <x:c r="BA7" s="612" t="e">
        <x:f>_xludf.TEXTJOIN("; ",TRUE,IF(OR(LEFT($A7,3)="550",LEFT($A7,3)="600"),"550/600: EG brak benchmarku; opcje szklane/zerowe ukryte w porównaniu do czasu potwierdzenia",""),"LED CCT/RGB: porównanie orientacyjne do EG LED COB","Zabieraki: brak jednoznacznej pozycji EG")</x:f>
      </x:c>
    </x:row>
    <x:row r="8">
      <x:c r="A8" s="608" t="str">
        <x:f>'04_Wycena_strona_nowa'!A8</x:f>
        <x:v>300 x 906 cm</x:v>
      </x:c>
      <x:c r="B8" s="717" t="n">
        <x:f>IFERROR(INDEX(EG_Wycena_strona!$B:$B,MATCH($A8,EG_Wycena_strona!$A:$A,0)),"")</x:f>
        <x:v>20676</x:v>
      </x:c>
      <x:c r="C8" s="717" t="n">
        <x:f>IFERROR(INDEX('04_Wycena_strona_nowa'!$B:$B,MATCH($A8,'04_Wycena_strona_nowa'!$A:$A,0)),"")</x:f>
        <x:v>19612</x:v>
      </x:c>
      <x:c r="D8" s="717" t="n">
        <x:f>IF(OR(B8="",C8="",B8=0,C8=0),"",C8-B8)</x:f>
        <x:v>-1064</x:v>
      </x:c>
      <x:c r="E8" s="717" t="n">
        <x:f>IFERROR(INDEX(EG_Wycena_strona!$C:$C,MATCH($A8,EG_Wycena_strona!$A:$A,0)),"")</x:f>
        <x:v>23420</x:v>
      </x:c>
      <x:c r="F8" s="717" t="n">
        <x:f>IFERROR(INDEX('04_Wycena_strona_nowa'!$C:$C,MATCH($A8,'04_Wycena_strona_nowa'!$A:$A,0)),"")</x:f>
        <x:v>20895</x:v>
      </x:c>
      <x:c r="G8" s="717" t="n">
        <x:f>IF(OR(E8="",F8="",E8=0,F8=0),"",F8-E8)</x:f>
        <x:v>-2525</x:v>
      </x:c>
      <x:c r="H8" s="717" t="n">
        <x:f>IFERROR(INDEX(EG_Wycena_strona!$D:$D,MATCH($A8,EG_Wycena_strona!$A:$A,0)),"")</x:f>
        <x:v>25874</x:v>
      </x:c>
      <x:c r="I8" s="717" t="n">
        <x:f>IFERROR(INDEX('04_Wycena_strona_nowa'!$D:$D,MATCH($A8,'04_Wycena_strona_nowa'!$A:$A,0)),"")</x:f>
        <x:v>23186</x:v>
      </x:c>
      <x:c r="J8" s="717" t="n">
        <x:f>IF(OR(H8="",I8="",H8=0,I8=0),"",I8-H8)</x:f>
        <x:v>-2688</x:v>
      </x:c>
      <x:c r="K8" s="717" t="n">
        <x:f>IFERROR(INDEX(EG_Wycena_strona!$E:$E,MATCH($A8,EG_Wycena_strona!$A:$A,0)),"")</x:f>
        <x:v>670</x:v>
      </x:c>
      <x:c r="L8" s="717" t="n">
        <x:f>IFERROR(INDEX('04_Wycena_strona_nowa'!$E:$E,MATCH($A8,'04_Wycena_strona_nowa'!$A:$A,0)),"")</x:f>
        <x:v>623</x:v>
      </x:c>
      <x:c r="M8" s="717" t="n">
        <x:f>IF(OR(K8="",L8="",K8=0,L8=0),"",L8-K8)</x:f>
        <x:v>-47</x:v>
      </x:c>
      <x:c r="N8" s="717" t="n">
        <x:f>IFERROR(INDEX(EG_Wycena_strona!$F:$F,MATCH($A8,EG_Wycena_strona!$A:$A,0)),"")</x:f>
        <x:v>7791</x:v>
      </x:c>
      <x:c r="O8" s="717" t="n">
        <x:f>IFERROR(INDEX('04_Wycena_strona_nowa'!$F:$F,MATCH($A8,'04_Wycena_strona_nowa'!$A:$A,0)),"")</x:f>
        <x:v>6658</x:v>
      </x:c>
      <x:c r="P8" s="717" t="n">
        <x:f>IF(OR(N8="",O8="",N8=0,O8=0),"",O8-N8)</x:f>
        <x:v>-1133</x:v>
      </x:c>
      <x:c r="Q8" s="717" t="n">
        <x:f>IFERROR(INDEX(EG_Wycena_strona!$G:$G,MATCH($A8,EG_Wycena_strona!$A:$A,0)),"")</x:f>
        <x:v>9155</x:v>
      </x:c>
      <x:c r="R8" s="717" t="n">
        <x:f>IFERROR(INDEX('04_Wycena_strona_nowa'!$G:$G,MATCH($A8,'04_Wycena_strona_nowa'!$A:$A,0)),"")</x:f>
        <x:v>7931</x:v>
      </x:c>
      <x:c r="S8" s="717" t="n">
        <x:f>IF(OR(Q8="",R8="",Q8=0,R8=0),"",R8-Q8)</x:f>
        <x:v>-1224</x:v>
      </x:c>
      <x:c r="T8" s="717" t="n">
        <x:f>IFERROR(INDEX(EG_Wycena_strona!$H:$H,MATCH($A8,EG_Wycena_strona!$A:$A,0)),"")</x:f>
        <x:v>3079</x:v>
      </x:c>
      <x:c r="U8" s="717" t="n">
        <x:f>IFERROR(INDEX('04_Wycena_strona_nowa'!$H:$H,MATCH($A8,'04_Wycena_strona_nowa'!$A:$A,0)),"")</x:f>
        <x:v>2725</x:v>
      </x:c>
      <x:c r="V8" s="717" t="n">
        <x:f>IF(OR(T8="",U8="",T8=0,U8=0),"",U8-T8)</x:f>
        <x:v>-354</x:v>
      </x:c>
      <x:c r="W8" s="717" t="n">
        <x:f>IFERROR(INDEX(EG_Wycena_strona!$I:$I,MATCH($A8,EG_Wycena_strona!$A:$A,0)),"")</x:f>
        <x:v>3079</x:v>
      </x:c>
      <x:c r="X8" s="717" t="n">
        <x:f>IFERROR(INDEX('04_Wycena_strona_nowa'!$I:$I,MATCH($A8,'04_Wycena_strona_nowa'!$A:$A,0)),"")</x:f>
        <x:v>2725</x:v>
      </x:c>
      <x:c r="Y8" s="717" t="n">
        <x:f>IF(OR(W8="",X8="",W8=0,X8=0),"",X8-W8)</x:f>
        <x:v>-354</x:v>
      </x:c>
      <x:c r="Z8" s="717" t="n">
        <x:f>IFERROR(INDEX(EG_Wycena_strona!$J:$J,MATCH($A8,EG_Wycena_strona!$A:$A,0)),"")</x:f>
        <x:v>9209</x:v>
      </x:c>
      <x:c r="AA8" s="717" t="n">
        <x:f>IFERROR(INDEX('04_Wycena_strona_nowa'!$J:$J,MATCH($A8,'04_Wycena_strona_nowa'!$A:$A,0)),"")</x:f>
        <x:v>8148</x:v>
      </x:c>
      <x:c r="AB8" s="717" t="n">
        <x:f>IF(OR(Z8="",AA8="",Z8=0,AA8=0),"",AA8-Z8)</x:f>
        <x:v>-1061</x:v>
      </x:c>
      <x:c r="AC8" s="717" t="n">
        <x:f>IFERROR(INDEX(EG_Wycena_strona!$K:$K,MATCH($A8,EG_Wycena_strona!$A:$A,0)),"")</x:f>
        <x:v>13242</x:v>
      </x:c>
      <x:c r="AD8" s="717" t="n">
        <x:f>IFERROR(INDEX('04_Wycena_strona_nowa'!$K:$K,MATCH($A8,'04_Wycena_strona_nowa'!$A:$A,0)),"")</x:f>
        <x:v>11815</x:v>
      </x:c>
      <x:c r="AE8" s="717" t="n">
        <x:f>IF(OR(AC8="",AD8="",AC8=0,AD8=0),"",AD8-AC8)</x:f>
        <x:v>-1427</x:v>
      </x:c>
      <x:c r="AF8" s="717" t="n">
        <x:f>IFERROR(ROUND(INDEX(EG_Cennik_uslug!$BS:$BS,MATCH($A8,EG_Cennik_uslug!$A:$A,0))*1.08,0),"")</x:f>
        <x:v>2344</x:v>
      </x:c>
      <x:c r="AG8" s="717" t="n">
        <x:f>IFERROR(INDEX('04_Wycena_strona_nowa'!$L:$L,MATCH($A8,'04_Wycena_strona_nowa'!$A:$A,0)),"")</x:f>
        <x:v>2414</x:v>
      </x:c>
      <x:c r="AH8" s="717" t="n">
        <x:f>IF(OR(AF8="",AG8="",AF8=0,AG8=0),"",AG8-AF8)</x:f>
        <x:v>70</x:v>
      </x:c>
      <x:c r="AI8" s="717" t="n">
        <x:f>IFERROR(ROUND(INDEX(EG_Cennik_uslug!$BZ:$BZ,MATCH($A8,EG_Cennik_uslug!$A:$A,0))*1.08,0),"")</x:f>
        <x:v>778</x:v>
      </x:c>
      <x:c r="AJ8" s="717" t="n">
        <x:f>IFERROR(INDEX('04_Wycena_strona_nowa'!$O:$O,MATCH($A8,'04_Wycena_strona_nowa'!$A:$A,0)),"")</x:f>
        <x:v>725</x:v>
      </x:c>
      <x:c r="AK8" s="717" t="n">
        <x:f>IF(OR(AI8="",AJ8="",AI8=0,AJ8=0),"",AJ8-AI8)</x:f>
        <x:v>-53</x:v>
      </x:c>
      <x:c r="AL8" s="717" t="n">
        <x:f>IFERROR(ROUND(INDEX(EG_Cennik_uslug!$CG:$CG,MATCH($A8,EG_Cennik_uslug!$A:$A,0))*1.08,0),"")</x:f>
        <x:v>711</x:v>
      </x:c>
      <x:c r="AM8" s="717" t="n">
        <x:f>IFERROR(INDEX('04_Wycena_strona_nowa'!$P:$P,MATCH($A8,'04_Wycena_strona_nowa'!$A:$A,0)),"")</x:f>
        <x:v>662</x:v>
      </x:c>
      <x:c r="AN8" s="717" t="n">
        <x:f>IF(OR(AL8="",AM8="",AL8=0,AM8=0),"",AM8-AL8)</x:f>
        <x:v>-49</x:v>
      </x:c>
      <x:c r="AO8" s="717" t="str">
        <x:f>""</x:f>
      </x:c>
      <x:c r="AP8" s="717" t="n">
        <x:f>IFERROR(INDEX('04_Wycena_strona_nowa'!$Q:$Q,MATCH($A8,'04_Wycena_strona_nowa'!$A:$A,0)),"")</x:f>
        <x:v>509</x:v>
      </x:c>
      <x:c r="AQ8" s="717" t="str">
        <x:f>IF(OR(AO8="",AP8="",AO8=0,AP8=0),"",AP8-AO8)</x:f>
      </x:c>
      <x:c r="AR8" s="717" t="n">
        <x:f>IFERROR(ROUND(INDEX(EG_Cennik_uslug!$CN:$CN,MATCH($A8,EG_Cennik_uslug!$A:$A,0))*1.08,0),"")</x:f>
        <x:v>3559</x:v>
      </x:c>
      <x:c r="AS8" s="717" t="n">
        <x:f>IFERROR(INDEX('04_Wycena_strona_nowa'!$M:$M,MATCH($A8,'04_Wycena_strona_nowa'!$A:$A,0)),"")</x:f>
        <x:v>1325</x:v>
      </x:c>
      <x:c r="AT8" s="717" t="n">
        <x:f>IF(OR(AR8="",AS8="",AR8=0,AS8=0),"",AS8-AR8)</x:f>
        <x:v>-2234</x:v>
      </x:c>
      <x:c r="AU8" s="717" t="n">
        <x:f>IFERROR(ROUND(INDEX(EG_Cennik_uslug!$CU:$CU,MATCH($A8,EG_Cennik_uslug!$A:$A,0))*1.08,0),"")</x:f>
        <x:v>3953</x:v>
      </x:c>
      <x:c r="AV8" s="717" t="n">
        <x:f>IFERROR(INDEX('04_Wycena_strona_nowa'!$R:$R,MATCH($A8,'04_Wycena_strona_nowa'!$A:$A,0)),"")</x:f>
        <x:v>2334</x:v>
      </x:c>
      <x:c r="AW8" s="717" t="n">
        <x:f>IF(OR(AU8="",AV8="",AU8=0,AV8=0),"",AV8-AU8)</x:f>
        <x:v>-1619</x:v>
      </x:c>
      <x:c r="AX8" s="717" t="str">
        <x:f>""</x:f>
      </x:c>
      <x:c r="AY8" s="717" t="str">
        <x:f>IFERROR(INDEX('04_Wycena_strona_nowa'!$S:$S,MATCH($A8,'04_Wycena_strona_nowa'!$A:$A,0)),"")</x:f>
      </x:c>
      <x:c r="AZ8" s="717" t="str">
        <x:f>IF(OR(AX8="",AY8="",AX8=0,AY8=0),"",AY8-AX8)</x:f>
      </x:c>
      <x:c r="BA8" s="612" t="e">
        <x:f>_xludf.TEXTJOIN("; ",TRUE,IF(OR(LEFT($A8,3)="550",LEFT($A8,3)="600"),"550/600: EG brak benchmarku; opcje szklane/zerowe ukryte w porównaniu do czasu potwierdzenia",""),"LED CCT/RGB: porównanie orientacyjne do EG LED COB","Zabieraki: brak jednoznacznej pozycji EG")</x:f>
      </x:c>
    </x:row>
    <x:row r="9">
      <x:c r="A9" s="608" t="str">
        <x:f>'04_Wycena_strona_nowa'!A9</x:f>
        <x:v>300 x 1006 cm</x:v>
      </x:c>
      <x:c r="B9" s="717" t="n">
        <x:f>IFERROR(INDEX(EG_Wycena_strona!$B:$B,MATCH($A9,EG_Wycena_strona!$A:$A,0)),"")</x:f>
        <x:v>22738</x:v>
      </x:c>
      <x:c r="C9" s="717" t="n">
        <x:f>IFERROR(INDEX('04_Wycena_strona_nowa'!$B:$B,MATCH($A9,'04_Wycena_strona_nowa'!$A:$A,0)),"")</x:f>
        <x:v>21559</x:v>
      </x:c>
      <x:c r="D9" s="717" t="n">
        <x:f>IF(OR(B9="",C9="",B9=0,C9=0),"",C9-B9)</x:f>
        <x:v>-1179</x:v>
      </x:c>
      <x:c r="E9" s="717" t="n">
        <x:f>IFERROR(INDEX(EG_Wycena_strona!$C:$C,MATCH($A9,EG_Wycena_strona!$A:$A,0)),"")</x:f>
        <x:v>25136</x:v>
      </x:c>
      <x:c r="F9" s="717" t="n">
        <x:f>IFERROR(INDEX('04_Wycena_strona_nowa'!$C:$C,MATCH($A9,'04_Wycena_strona_nowa'!$A:$A,0)),"")</x:f>
        <x:v>22401</x:v>
      </x:c>
      <x:c r="G9" s="717" t="n">
        <x:f>IF(OR(E9="",F9="",E9=0,F9=0),"",F9-E9)</x:f>
        <x:v>-2735</x:v>
      </x:c>
      <x:c r="H9" s="717" t="n">
        <x:f>IFERROR(INDEX(EG_Wycena_strona!$D:$D,MATCH($A9,EG_Wycena_strona!$A:$A,0)),"")</x:f>
        <x:v>27754</x:v>
      </x:c>
      <x:c r="I9" s="717" t="n">
        <x:f>IFERROR(INDEX('04_Wycena_strona_nowa'!$D:$D,MATCH($A9,'04_Wycena_strona_nowa'!$A:$A,0)),"")</x:f>
        <x:v>24845</x:v>
      </x:c>
      <x:c r="J9" s="717" t="n">
        <x:f>IF(OR(H9="",I9="",H9=0,I9=0),"",I9-H9)</x:f>
        <x:v>-2909</x:v>
      </x:c>
      <x:c r="K9" s="717" t="n">
        <x:f>IFERROR(INDEX(EG_Wycena_strona!$E:$E,MATCH($A9,EG_Wycena_strona!$A:$A,0)),"")</x:f>
        <x:v>751</x:v>
      </x:c>
      <x:c r="L9" s="717" t="n">
        <x:f>IFERROR(INDEX('04_Wycena_strona_nowa'!$E:$E,MATCH($A9,'04_Wycena_strona_nowa'!$A:$A,0)),"")</x:f>
        <x:v>700</x:v>
      </x:c>
      <x:c r="M9" s="717" t="n">
        <x:f>IF(OR(K9="",L9="",K9=0,L9=0),"",L9-K9)</x:f>
        <x:v>-51</x:v>
      </x:c>
      <x:c r="N9" s="717" t="n">
        <x:f>IFERROR(INDEX(EG_Wycena_strona!$F:$F,MATCH($A9,EG_Wycena_strona!$A:$A,0)),"")</x:f>
        <x:v>8622</x:v>
      </x:c>
      <x:c r="O9" s="717" t="n">
        <x:f>IFERROR(INDEX('04_Wycena_strona_nowa'!$F:$F,MATCH($A9,'04_Wycena_strona_nowa'!$A:$A,0)),"")</x:f>
        <x:v>7359</x:v>
      </x:c>
      <x:c r="P9" s="717" t="n">
        <x:f>IF(OR(N9="",O9="",N9=0,O9=0),"",O9-N9)</x:f>
        <x:v>-1263</x:v>
      </x:c>
      <x:c r="Q9" s="717" t="n">
        <x:f>IFERROR(INDEX(EG_Wycena_strona!$G:$G,MATCH($A9,EG_Wycena_strona!$A:$A,0)),"")</x:f>
        <x:v>10136</x:v>
      </x:c>
      <x:c r="R9" s="717" t="n">
        <x:f>IFERROR(INDEX('04_Wycena_strona_nowa'!$G:$G,MATCH($A9,'04_Wycena_strona_nowa'!$A:$A,0)),"")</x:f>
        <x:v>8772</x:v>
      </x:c>
      <x:c r="S9" s="717" t="n">
        <x:f>IF(OR(Q9="",R9="",Q9=0,R9=0),"",R9-Q9)</x:f>
        <x:v>-1364</x:v>
      </x:c>
      <x:c r="T9" s="717" t="n">
        <x:f>IFERROR(INDEX(EG_Wycena_strona!$H:$H,MATCH($A9,EG_Wycena_strona!$A:$A,0)),"")</x:f>
        <x:v>3079</x:v>
      </x:c>
      <x:c r="U9" s="717" t="n">
        <x:f>IFERROR(INDEX('04_Wycena_strona_nowa'!$H:$H,MATCH($A9,'04_Wycena_strona_nowa'!$A:$A,0)),"")</x:f>
        <x:v>2725</x:v>
      </x:c>
      <x:c r="V9" s="717" t="n">
        <x:f>IF(OR(T9="",U9="",T9=0,U9=0),"",U9-T9)</x:f>
        <x:v>-354</x:v>
      </x:c>
      <x:c r="W9" s="717" t="n">
        <x:f>IFERROR(INDEX(EG_Wycena_strona!$I:$I,MATCH($A9,EG_Wycena_strona!$A:$A,0)),"")</x:f>
        <x:v>3079</x:v>
      </x:c>
      <x:c r="X9" s="717" t="n">
        <x:f>IFERROR(INDEX('04_Wycena_strona_nowa'!$I:$I,MATCH($A9,'04_Wycena_strona_nowa'!$A:$A,0)),"")</x:f>
        <x:v>2725</x:v>
      </x:c>
      <x:c r="Y9" s="717" t="n">
        <x:f>IF(OR(W9="",X9="",W9=0,X9=0),"",X9-W9)</x:f>
        <x:v>-354</x:v>
      </x:c>
      <x:c r="Z9" s="717" t="n">
        <x:f>IFERROR(INDEX(EG_Wycena_strona!$J:$J,MATCH($A9,EG_Wycena_strona!$A:$A,0)),"")</x:f>
        <x:v>9904</x:v>
      </x:c>
      <x:c r="AA9" s="717" t="n">
        <x:f>IFERROR(INDEX('04_Wycena_strona_nowa'!$J:$J,MATCH($A9,'04_Wycena_strona_nowa'!$A:$A,0)),"")</x:f>
        <x:v>8798</x:v>
      </x:c>
      <x:c r="AB9" s="717" t="n">
        <x:f>IF(OR(Z9="",AA9="",Z9=0,AA9=0),"",AA9-Z9)</x:f>
        <x:v>-1106</x:v>
      </x:c>
      <x:c r="AC9" s="717" t="n">
        <x:f>IFERROR(INDEX(EG_Wycena_strona!$K:$K,MATCH($A9,EG_Wycena_strona!$A:$A,0)),"")</x:f>
        <x:v>14208</x:v>
      </x:c>
      <x:c r="AD9" s="717" t="n">
        <x:f>IFERROR(INDEX('04_Wycena_strona_nowa'!$K:$K,MATCH($A9,'04_Wycena_strona_nowa'!$A:$A,0)),"")</x:f>
        <x:v>12667</x:v>
      </x:c>
      <x:c r="AE9" s="717" t="n">
        <x:f>IF(OR(AC9="",AD9="",AC9=0,AD9=0),"",AD9-AC9)</x:f>
        <x:v>-1541</x:v>
      </x:c>
      <x:c r="AF9" s="717" t="n">
        <x:f>IFERROR(ROUND(INDEX(EG_Cennik_uslug!$BS:$BS,MATCH($A9,EG_Cennik_uslug!$A:$A,0))*1.08,0),"")</x:f>
        <x:v>2588</x:v>
      </x:c>
      <x:c r="AG9" s="717" t="n">
        <x:f>IFERROR(INDEX('04_Wycena_strona_nowa'!$L:$L,MATCH($A9,'04_Wycena_strona_nowa'!$A:$A,0)),"")</x:f>
        <x:v>2665</x:v>
      </x:c>
      <x:c r="AH9" s="717" t="n">
        <x:f>IF(OR(AF9="",AG9="",AF9=0,AG9=0),"",AG9-AF9)</x:f>
        <x:v>77</x:v>
      </x:c>
      <x:c r="AI9" s="717" t="n">
        <x:f>IFERROR(ROUND(INDEX(EG_Cennik_uslug!$BZ:$BZ,MATCH($A9,EG_Cennik_uslug!$A:$A,0))*1.08,0),"")</x:f>
        <x:v>834</x:v>
      </x:c>
      <x:c r="AJ9" s="717" t="n">
        <x:f>IFERROR(INDEX('04_Wycena_strona_nowa'!$O:$O,MATCH($A9,'04_Wycena_strona_nowa'!$A:$A,0)),"")</x:f>
        <x:v>777</x:v>
      </x:c>
      <x:c r="AK9" s="717" t="n">
        <x:f>IF(OR(AI9="",AJ9="",AI9=0,AJ9=0),"",AJ9-AI9)</x:f>
        <x:v>-57</x:v>
      </x:c>
      <x:c r="AL9" s="717" t="n">
        <x:f>IFERROR(ROUND(INDEX(EG_Cennik_uslug!$CG:$CG,MATCH($A9,EG_Cennik_uslug!$A:$A,0))*1.08,0),"")</x:f>
        <x:v>751</x:v>
      </x:c>
      <x:c r="AM9" s="717" t="n">
        <x:f>IFERROR(INDEX('04_Wycena_strona_nowa'!$P:$P,MATCH($A9,'04_Wycena_strona_nowa'!$A:$A,0)),"")</x:f>
        <x:v>700</x:v>
      </x:c>
      <x:c r="AN9" s="717" t="n">
        <x:f>IF(OR(AL9="",AM9="",AL9=0,AM9=0),"",AM9-AL9)</x:f>
        <x:v>-51</x:v>
      </x:c>
      <x:c r="AO9" s="717" t="str">
        <x:f>""</x:f>
      </x:c>
      <x:c r="AP9" s="717" t="n">
        <x:f>IFERROR(INDEX('04_Wycena_strona_nowa'!$Q:$Q,MATCH($A9,'04_Wycena_strona_nowa'!$A:$A,0)),"")</x:f>
        <x:v>561</x:v>
      </x:c>
      <x:c r="AQ9" s="717" t="str">
        <x:f>IF(OR(AO9="",AP9="",AO9=0,AP9=0),"",AP9-AO9)</x:f>
      </x:c>
      <x:c r="AR9" s="717" t="n">
        <x:f>IFERROR(ROUND(INDEX(EG_Cennik_uslug!$CN:$CN,MATCH($A9,EG_Cennik_uslug!$A:$A,0))*1.08,0),"")</x:f>
        <x:v>4180</x:v>
      </x:c>
      <x:c r="AS9" s="717" t="n">
        <x:f>IFERROR(INDEX('04_Wycena_strona_nowa'!$M:$M,MATCH($A9,'04_Wycena_strona_nowa'!$A:$A,0)),"")</x:f>
        <x:v>1566</x:v>
      </x:c>
      <x:c r="AT9" s="717" t="n">
        <x:f>IF(OR(AR9="",AS9="",AR9=0,AS9=0),"",AS9-AR9)</x:f>
        <x:v>-2614</x:v>
      </x:c>
      <x:c r="AU9" s="717" t="n">
        <x:f>IFERROR(ROUND(INDEX(EG_Cennik_uslug!$CU:$CU,MATCH($A9,EG_Cennik_uslug!$A:$A,0))*1.08,0),"")</x:f>
        <x:v>4239</x:v>
      </x:c>
      <x:c r="AV9" s="717" t="n">
        <x:f>IFERROR(INDEX('04_Wycena_strona_nowa'!$R:$R,MATCH($A9,'04_Wycena_strona_nowa'!$A:$A,0)),"")</x:f>
        <x:v>2787</x:v>
      </x:c>
      <x:c r="AW9" s="717" t="n">
        <x:f>IF(OR(AU9="",AV9="",AU9=0,AV9=0),"",AV9-AU9)</x:f>
        <x:v>-1452</x:v>
      </x:c>
      <x:c r="AX9" s="717" t="str">
        <x:f>""</x:f>
      </x:c>
      <x:c r="AY9" s="717" t="str">
        <x:f>IFERROR(INDEX('04_Wycena_strona_nowa'!$S:$S,MATCH($A9,'04_Wycena_strona_nowa'!$A:$A,0)),"")</x:f>
      </x:c>
      <x:c r="AZ9" s="717" t="str">
        <x:f>IF(OR(AX9="",AY9="",AX9=0,AY9=0),"",AY9-AX9)</x:f>
      </x:c>
      <x:c r="BA9" s="612" t="e">
        <x:f>_xludf.TEXTJOIN("; ",TRUE,IF(OR(LEFT($A9,3)="550",LEFT($A9,3)="600"),"550/600: EG brak benchmarku; opcje szklane/zerowe ukryte w porównaniu do czasu potwierdzenia",""),"LED CCT/RGB: porównanie orientacyjne do EG LED COB","Zabieraki: brak jednoznacznej pozycji EG")</x:f>
      </x:c>
    </x:row>
    <x:row r="10">
      <x:c r="A10" s="608" t="str">
        <x:f>'04_Wycena_strona_nowa'!A10</x:f>
        <x:v>300 x 1106 cm</x:v>
      </x:c>
      <x:c r="B10" s="717" t="n">
        <x:f>IFERROR(INDEX(EG_Wycena_strona!$B:$B,MATCH($A10,EG_Wycena_strona!$A:$A,0)),"")</x:f>
        <x:v>24324</x:v>
      </x:c>
      <x:c r="C10" s="717" t="n">
        <x:f>IFERROR(INDEX('04_Wycena_strona_nowa'!$B:$B,MATCH($A10,'04_Wycena_strona_nowa'!$A:$A,0)),"")</x:f>
        <x:v>23059</x:v>
      </x:c>
      <x:c r="D10" s="717" t="n">
        <x:f>IF(OR(B10="",C10="",B10=0,C10=0),"",C10-B10)</x:f>
        <x:v>-1265</x:v>
      </x:c>
      <x:c r="E10" s="717" t="n">
        <x:f>IFERROR(INDEX(EG_Wycena_strona!$C:$C,MATCH($A10,EG_Wycena_strona!$A:$A,0)),"")</x:f>
        <x:v>26974</x:v>
      </x:c>
      <x:c r="F10" s="717" t="n">
        <x:f>IFERROR(INDEX('04_Wycena_strona_nowa'!$C:$C,MATCH($A10,'04_Wycena_strona_nowa'!$A:$A,0)),"")</x:f>
        <x:v>24036</x:v>
      </x:c>
      <x:c r="G10" s="717" t="n">
        <x:f>IF(OR(E10="",F10="",E10=0,F10=0),"",F10-E10)</x:f>
        <x:v>-2938</x:v>
      </x:c>
      <x:c r="H10" s="717" t="n">
        <x:f>IFERROR(INDEX(EG_Wycena_strona!$D:$D,MATCH($A10,EG_Wycena_strona!$A:$A,0)),"")</x:f>
        <x:v>29755</x:v>
      </x:c>
      <x:c r="I10" s="717" t="n">
        <x:f>IFERROR(INDEX('04_Wycena_strona_nowa'!$D:$D,MATCH($A10,'04_Wycena_strona_nowa'!$A:$A,0)),"")</x:f>
        <x:v>26634</x:v>
      </x:c>
      <x:c r="J10" s="717" t="n">
        <x:f>IF(OR(H10="",I10="",H10=0,I10=0),"",I10-H10)</x:f>
        <x:v>-3121</x:v>
      </x:c>
      <x:c r="K10" s="717" t="n">
        <x:f>IFERROR(INDEX(EG_Wycena_strona!$E:$E,MATCH($A10,EG_Wycena_strona!$A:$A,0)),"")</x:f>
        <x:v>846</x:v>
      </x:c>
      <x:c r="L10" s="717" t="n">
        <x:f>IFERROR(INDEX('04_Wycena_strona_nowa'!$E:$E,MATCH($A10,'04_Wycena_strona_nowa'!$A:$A,0)),"")</x:f>
        <x:v>789</x:v>
      </x:c>
      <x:c r="M10" s="717" t="n">
        <x:f>IF(OR(K10="",L10="",K10=0,L10=0),"",L10-K10)</x:f>
        <x:v>-57</x:v>
      </x:c>
      <x:c r="N10" s="717" t="n">
        <x:f>IFERROR(INDEX(EG_Wycena_strona!$F:$F,MATCH($A10,EG_Wycena_strona!$A:$A,0)),"")</x:f>
        <x:v>9468</x:v>
      </x:c>
      <x:c r="O10" s="717" t="n">
        <x:f>IFERROR(INDEX('04_Wycena_strona_nowa'!$F:$F,MATCH($A10,'04_Wycena_strona_nowa'!$A:$A,0)),"")</x:f>
        <x:v>8098</x:v>
      </x:c>
      <x:c r="P10" s="717" t="n">
        <x:f>IF(OR(N10="",O10="",N10=0,O10=0),"",O10-N10)</x:f>
        <x:v>-1370</x:v>
      </x:c>
      <x:c r="Q10" s="717" t="n">
        <x:f>IFERROR(INDEX(EG_Wycena_strona!$G:$G,MATCH($A10,EG_Wycena_strona!$A:$A,0)),"")</x:f>
        <x:v>11132</x:v>
      </x:c>
      <x:c r="R10" s="717" t="n">
        <x:f>IFERROR(INDEX('04_Wycena_strona_nowa'!$G:$G,MATCH($A10,'04_Wycena_strona_nowa'!$A:$A,0)),"")</x:f>
        <x:v>9651</x:v>
      </x:c>
      <x:c r="S10" s="717" t="n">
        <x:f>IF(OR(Q10="",R10="",Q10=0,R10=0),"",R10-Q10)</x:f>
        <x:v>-1481</x:v>
      </x:c>
      <x:c r="T10" s="717" t="n">
        <x:f>IFERROR(INDEX(EG_Wycena_strona!$H:$H,MATCH($A10,EG_Wycena_strona!$A:$A,0)),"")</x:f>
        <x:v>3079</x:v>
      </x:c>
      <x:c r="U10" s="717" t="n">
        <x:f>IFERROR(INDEX('04_Wycena_strona_nowa'!$H:$H,MATCH($A10,'04_Wycena_strona_nowa'!$A:$A,0)),"")</x:f>
        <x:v>2725</x:v>
      </x:c>
      <x:c r="V10" s="717" t="n">
        <x:f>IF(OR(T10="",U10="",T10=0,U10=0),"",U10-T10)</x:f>
        <x:v>-354</x:v>
      </x:c>
      <x:c r="W10" s="717" t="n">
        <x:f>IFERROR(INDEX(EG_Wycena_strona!$I:$I,MATCH($A10,EG_Wycena_strona!$A:$A,0)),"")</x:f>
        <x:v>3079</x:v>
      </x:c>
      <x:c r="X10" s="717" t="n">
        <x:f>IFERROR(INDEX('04_Wycena_strona_nowa'!$I:$I,MATCH($A10,'04_Wycena_strona_nowa'!$A:$A,0)),"")</x:f>
        <x:v>2725</x:v>
      </x:c>
      <x:c r="Y10" s="717" t="n">
        <x:f>IF(OR(W10="",X10="",W10=0,X10=0),"",X10-W10)</x:f>
        <x:v>-354</x:v>
      </x:c>
      <x:c r="Z10" s="717" t="n">
        <x:f>IFERROR(INDEX(EG_Wycena_strona!$J:$J,MATCH($A10,EG_Wycena_strona!$A:$A,0)),"")</x:f>
        <x:v>10599</x:v>
      </x:c>
      <x:c r="AA10" s="717" t="n">
        <x:f>IFERROR(INDEX('04_Wycena_strona_nowa'!$J:$J,MATCH($A10,'04_Wycena_strona_nowa'!$A:$A,0)),"")</x:f>
        <x:v>9448</x:v>
      </x:c>
      <x:c r="AB10" s="717" t="n">
        <x:f>IF(OR(Z10="",AA10="",Z10=0,AA10=0),"",AA10-Z10)</x:f>
        <x:v>-1151</x:v>
      </x:c>
      <x:c r="AC10" s="717" t="n">
        <x:f>IFERROR(INDEX(EG_Wycena_strona!$K:$K,MATCH($A10,EG_Wycena_strona!$A:$A,0)),"")</x:f>
        <x:v>17737</x:v>
      </x:c>
      <x:c r="AD10" s="717" t="n">
        <x:f>IFERROR(INDEX('04_Wycena_strona_nowa'!$K:$K,MATCH($A10,'04_Wycena_strona_nowa'!$A:$A,0)),"")</x:f>
        <x:v>15915</x:v>
      </x:c>
      <x:c r="AE10" s="717" t="n">
        <x:f>IF(OR(AC10="",AD10="",AC10=0,AD10=0),"",AD10-AC10)</x:f>
        <x:v>-1822</x:v>
      </x:c>
      <x:c r="AF10" s="717" t="n">
        <x:f>IFERROR(ROUND(INDEX(EG_Cennik_uslug!$BS:$BS,MATCH($A10,EG_Cennik_uslug!$A:$A,0))*1.08,0),"")</x:f>
        <x:v>3674</x:v>
      </x:c>
      <x:c r="AG10" s="717" t="n">
        <x:f>IFERROR(INDEX('04_Wycena_strona_nowa'!$L:$L,MATCH($A10,'04_Wycena_strona_nowa'!$A:$A,0)),"")</x:f>
        <x:v>3785</x:v>
      </x:c>
      <x:c r="AH10" s="717" t="n">
        <x:f>IF(OR(AF10="",AG10="",AF10=0,AG10=0),"",AG10-AF10)</x:f>
        <x:v>111</x:v>
      </x:c>
      <x:c r="AI10" s="717" t="n">
        <x:f>IFERROR(ROUND(INDEX(EG_Cennik_uslug!$BZ:$BZ,MATCH($A10,EG_Cennik_uslug!$A:$A,0))*1.08,0),"")</x:f>
        <x:v>887</x:v>
      </x:c>
      <x:c r="AJ10" s="717" t="n">
        <x:f>IFERROR(INDEX('04_Wycena_strona_nowa'!$O:$O,MATCH($A10,'04_Wycena_strona_nowa'!$A:$A,0)),"")</x:f>
        <x:v>827</x:v>
      </x:c>
      <x:c r="AK10" s="717" t="n">
        <x:f>IF(OR(AI10="",AJ10="",AI10=0,AJ10=0),"",AJ10-AI10)</x:f>
        <x:v>-60</x:v>
      </x:c>
      <x:c r="AL10" s="717" t="n">
        <x:f>IFERROR(ROUND(INDEX(EG_Cennik_uslug!$CG:$CG,MATCH($A10,EG_Cennik_uslug!$A:$A,0))*1.08,0),"")</x:f>
        <x:v>806</x:v>
      </x:c>
      <x:c r="AM10" s="717" t="n">
        <x:f>IFERROR(INDEX('04_Wycena_strona_nowa'!$P:$P,MATCH($A10,'04_Wycena_strona_nowa'!$A:$A,0)),"")</x:f>
        <x:v>752</x:v>
      </x:c>
      <x:c r="AN10" s="717" t="n">
        <x:f>IF(OR(AL10="",AM10="",AL10=0,AM10=0),"",AM10-AL10)</x:f>
        <x:v>-54</x:v>
      </x:c>
      <x:c r="AO10" s="717" t="str">
        <x:f>""</x:f>
      </x:c>
      <x:c r="AP10" s="717" t="n">
        <x:f>IFERROR(INDEX('04_Wycena_strona_nowa'!$Q:$Q,MATCH($A10,'04_Wycena_strona_nowa'!$A:$A,0)),"")</x:f>
        <x:v>611</x:v>
      </x:c>
      <x:c r="AQ10" s="717" t="str">
        <x:f>IF(OR(AO10="",AP10="",AO10=0,AP10=0),"",AP10-AO10)</x:f>
      </x:c>
      <x:c r="AR10" s="717" t="n">
        <x:f>IFERROR(ROUND(INDEX(EG_Cennik_uslug!$CN:$CN,MATCH($A10,EG_Cennik_uslug!$A:$A,0))*1.08,0),"")</x:f>
        <x:v>4547</x:v>
      </x:c>
      <x:c r="AS10" s="717" t="n">
        <x:f>IFERROR(INDEX('04_Wycena_strona_nowa'!$M:$M,MATCH($A10,'04_Wycena_strona_nowa'!$A:$A,0)),"")</x:f>
        <x:v>1821</x:v>
      </x:c>
      <x:c r="AT10" s="717" t="n">
        <x:f>IF(OR(AR10="",AS10="",AR10=0,AS10=0),"",AS10-AR10)</x:f>
        <x:v>-2726</x:v>
      </x:c>
      <x:c r="AU10" s="717" t="n">
        <x:f>IFERROR(ROUND(INDEX(EG_Cennik_uslug!$CU:$CU,MATCH($A10,EG_Cennik_uslug!$A:$A,0))*1.08,0),"")</x:f>
        <x:v>4524</x:v>
      </x:c>
      <x:c r="AV10" s="717" t="n">
        <x:f>IFERROR(INDEX('04_Wycena_strona_nowa'!$R:$R,MATCH($A10,'04_Wycena_strona_nowa'!$A:$A,0)),"")</x:f>
        <x:v>3023</x:v>
      </x:c>
      <x:c r="AW10" s="717" t="n">
        <x:f>IF(OR(AU10="",AV10="",AU10=0,AV10=0),"",AV10-AU10)</x:f>
        <x:v>-1501</x:v>
      </x:c>
      <x:c r="AX10" s="717" t="str">
        <x:f>""</x:f>
      </x:c>
      <x:c r="AY10" s="717" t="str">
        <x:f>IFERROR(INDEX('04_Wycena_strona_nowa'!$S:$S,MATCH($A10,'04_Wycena_strona_nowa'!$A:$A,0)),"")</x:f>
      </x:c>
      <x:c r="AZ10" s="717" t="str">
        <x:f>IF(OR(AX10="",AY10="",AX10=0,AY10=0),"",AY10-AX10)</x:f>
      </x:c>
      <x:c r="BA10" s="612" t="e">
        <x:f>_xludf.TEXTJOIN("; ",TRUE,IF(OR(LEFT($A10,3)="550",LEFT($A10,3)="600"),"550/600: EG brak benchmarku; opcje szklane/zerowe ukryte w porównaniu do czasu potwierdzenia",""),"LED CCT/RGB: porównanie orientacyjne do EG LED COB","Zabieraki: brak jednoznacznej pozycji EG")</x:f>
      </x:c>
    </x:row>
    <x:row r="11">
      <x:c r="A11" s="608" t="str">
        <x:f>'04_Wycena_strona_nowa'!A11</x:f>
        <x:v>300 x 1206 cm</x:v>
      </x:c>
      <x:c r="B11" s="717" t="n">
        <x:f>IFERROR(INDEX(EG_Wycena_strona!$B:$B,MATCH($A11,EG_Wycena_strona!$A:$A,0)),"")</x:f>
        <x:v>25910</x:v>
      </x:c>
      <x:c r="C11" s="717" t="n">
        <x:f>IFERROR(INDEX('04_Wycena_strona_nowa'!$B:$B,MATCH($A11,'04_Wycena_strona_nowa'!$A:$A,0)),"")</x:f>
        <x:v>24561</x:v>
      </x:c>
      <x:c r="D11" s="717" t="n">
        <x:f>IF(OR(B11="",C11="",B11=0,C11=0),"",C11-B11)</x:f>
        <x:v>-1349</x:v>
      </x:c>
      <x:c r="E11" s="717" t="n">
        <x:f>IFERROR(INDEX(EG_Wycena_strona!$C:$C,MATCH($A11,EG_Wycena_strona!$A:$A,0)),"")</x:f>
        <x:v>28782</x:v>
      </x:c>
      <x:c r="F11" s="717" t="n">
        <x:f>IFERROR(INDEX('04_Wycena_strona_nowa'!$C:$C,MATCH($A11,'04_Wycena_strona_nowa'!$A:$A,0)),"")</x:f>
        <x:v>25642</x:v>
      </x:c>
      <x:c r="G11" s="717" t="n">
        <x:f>IF(OR(E11="",F11="",E11=0,F11=0),"",F11-E11)</x:f>
        <x:v>-3140</x:v>
      </x:c>
      <x:c r="H11" s="717" t="n">
        <x:f>IFERROR(INDEX(EG_Wycena_strona!$D:$D,MATCH($A11,EG_Wycena_strona!$A:$A,0)),"")</x:f>
        <x:v>31727</x:v>
      </x:c>
      <x:c r="I11" s="717" t="n">
        <x:f>IFERROR(INDEX('04_Wycena_strona_nowa'!$D:$D,MATCH($A11,'04_Wycena_strona_nowa'!$A:$A,0)),"")</x:f>
        <x:v>28392</x:v>
      </x:c>
      <x:c r="J11" s="717" t="n">
        <x:f>IF(OR(H11="",I11="",H11=0,I11=0),"",I11-H11)</x:f>
        <x:v>-3335</x:v>
      </x:c>
      <x:c r="K11" s="717" t="n">
        <x:f>IFERROR(INDEX(EG_Wycena_strona!$E:$E,MATCH($A11,EG_Wycena_strona!$A:$A,0)),"")</x:f>
        <x:v>929</x:v>
      </x:c>
      <x:c r="L11" s="717" t="n">
        <x:f>IFERROR(INDEX('04_Wycena_strona_nowa'!$E:$E,MATCH($A11,'04_Wycena_strona_nowa'!$A:$A,0)),"")</x:f>
        <x:v>866</x:v>
      </x:c>
      <x:c r="M11" s="717" t="n">
        <x:f>IF(OR(K11="",L11="",K11=0,L11=0),"",L11-K11)</x:f>
        <x:v>-63</x:v>
      </x:c>
      <x:c r="N11" s="717" t="n">
        <x:f>IFERROR(INDEX(EG_Wycena_strona!$F:$F,MATCH($A11,EG_Wycena_strona!$A:$A,0)),"")</x:f>
        <x:v>10369</x:v>
      </x:c>
      <x:c r="O11" s="717" t="n">
        <x:f>IFERROR(INDEX('04_Wycena_strona_nowa'!$F:$F,MATCH($A11,'04_Wycena_strona_nowa'!$A:$A,0)),"")</x:f>
        <x:v>8860</x:v>
      </x:c>
      <x:c r="P11" s="717" t="n">
        <x:f>IF(OR(N11="",O11="",N11=0,O11=0),"",O11-N11)</x:f>
        <x:v>-1509</x:v>
      </x:c>
      <x:c r="Q11" s="717" t="n">
        <x:f>IFERROR(INDEX(EG_Wycena_strona!$G:$G,MATCH($A11,EG_Wycena_strona!$A:$A,0)),"")</x:f>
        <x:v>12196</x:v>
      </x:c>
      <x:c r="R11" s="717" t="n">
        <x:f>IFERROR(INDEX('04_Wycena_strona_nowa'!$G:$G,MATCH($A11,'04_Wycena_strona_nowa'!$A:$A,0)),"")</x:f>
        <x:v>10565</x:v>
      </x:c>
      <x:c r="S11" s="717" t="n">
        <x:f>IF(OR(Q11="",R11="",Q11=0,R11=0),"",R11-Q11)</x:f>
        <x:v>-1631</x:v>
      </x:c>
      <x:c r="T11" s="717" t="n">
        <x:f>IFERROR(INDEX(EG_Wycena_strona!$H:$H,MATCH($A11,EG_Wycena_strona!$A:$A,0)),"")</x:f>
        <x:v>3079</x:v>
      </x:c>
      <x:c r="U11" s="717" t="n">
        <x:f>IFERROR(INDEX('04_Wycena_strona_nowa'!$H:$H,MATCH($A11,'04_Wycena_strona_nowa'!$A:$A,0)),"")</x:f>
        <x:v>2725</x:v>
      </x:c>
      <x:c r="V11" s="717" t="n">
        <x:f>IF(OR(T11="",U11="",T11=0,U11=0),"",U11-T11)</x:f>
        <x:v>-354</x:v>
      </x:c>
      <x:c r="W11" s="717" t="n">
        <x:f>IFERROR(INDEX(EG_Wycena_strona!$I:$I,MATCH($A11,EG_Wycena_strona!$A:$A,0)),"")</x:f>
        <x:v>3079</x:v>
      </x:c>
      <x:c r="X11" s="717" t="n">
        <x:f>IFERROR(INDEX('04_Wycena_strona_nowa'!$I:$I,MATCH($A11,'04_Wycena_strona_nowa'!$A:$A,0)),"")</x:f>
        <x:v>2725</x:v>
      </x:c>
      <x:c r="Y11" s="717" t="n">
        <x:f>IF(OR(W11="",X11="",W11=0,X11=0),"",X11-W11)</x:f>
        <x:v>-354</x:v>
      </x:c>
      <x:c r="Z11" s="717" t="n">
        <x:f>IFERROR(INDEX(EG_Wycena_strona!$J:$J,MATCH($A11,EG_Wycena_strona!$A:$A,0)),"")</x:f>
        <x:v>11280</x:v>
      </x:c>
      <x:c r="AA11" s="717" t="n">
        <x:f>IFERROR(INDEX('04_Wycena_strona_nowa'!$J:$J,MATCH($A11,'04_Wycena_strona_nowa'!$A:$A,0)),"")</x:f>
        <x:v>10084</x:v>
      </x:c>
      <x:c r="AB11" s="717" t="n">
        <x:f>IF(OR(Z11="",AA11="",Z11=0,AA11=0),"",AA11-Z11)</x:f>
        <x:v>-1196</x:v>
      </x:c>
      <x:c r="AC11" s="717" t="n">
        <x:f>IFERROR(INDEX(EG_Wycena_strona!$K:$K,MATCH($A11,EG_Wycena_strona!$A:$A,0)),"")</x:f>
        <x:v>18337</x:v>
      </x:c>
      <x:c r="AD11" s="717" t="n">
        <x:f>IFERROR(INDEX('04_Wycena_strona_nowa'!$K:$K,MATCH($A11,'04_Wycena_strona_nowa'!$A:$A,0)),"")</x:f>
        <x:v>16425</x:v>
      </x:c>
      <x:c r="AE11" s="717" t="n">
        <x:f>IF(OR(AC11="",AD11="",AC11=0,AD11=0),"",AD11-AC11)</x:f>
        <x:v>-1912</x:v>
      </x:c>
      <x:c r="AF11" s="717" t="n">
        <x:f>IFERROR(ROUND(INDEX(EG_Cennik_uslug!$BS:$BS,MATCH($A11,EG_Cennik_uslug!$A:$A,0))*1.08,0),"")</x:f>
        <x:v>3674</x:v>
      </x:c>
      <x:c r="AG11" s="717" t="n">
        <x:f>IFERROR(INDEX('04_Wycena_strona_nowa'!$L:$L,MATCH($A11,'04_Wycena_strona_nowa'!$A:$A,0)),"")</x:f>
        <x:v>3785</x:v>
      </x:c>
      <x:c r="AH11" s="717" t="n">
        <x:f>IF(OR(AF11="",AG11="",AF11=0,AG11=0),"",AG11-AF11)</x:f>
        <x:v>111</x:v>
      </x:c>
      <x:c r="AI11" s="717" t="n">
        <x:f>IFERROR(ROUND(INDEX(EG_Cennik_uslug!$BZ:$BZ,MATCH($A11,EG_Cennik_uslug!$A:$A,0))*1.08,0),"")</x:f>
        <x:v>942</x:v>
      </x:c>
      <x:c r="AJ11" s="717" t="n">
        <x:f>IFERROR(INDEX('04_Wycena_strona_nowa'!$O:$O,MATCH($A11,'04_Wycena_strona_nowa'!$A:$A,0)),"")</x:f>
        <x:v>878</x:v>
      </x:c>
      <x:c r="AK11" s="717" t="n">
        <x:f>IF(OR(AI11="",AJ11="",AI11=0,AJ11=0),"",AJ11-AI11)</x:f>
        <x:v>-64</x:v>
      </x:c>
      <x:c r="AL11" s="717" t="n">
        <x:f>IFERROR(ROUND(INDEX(EG_Cennik_uslug!$CG:$CG,MATCH($A11,EG_Cennik_uslug!$A:$A,0))*1.08,0),"")</x:f>
        <x:v>846</x:v>
      </x:c>
      <x:c r="AM11" s="717" t="n">
        <x:f>IFERROR(INDEX('04_Wycena_strona_nowa'!$P:$P,MATCH($A11,'04_Wycena_strona_nowa'!$A:$A,0)),"")</x:f>
        <x:v>789</x:v>
      </x:c>
      <x:c r="AN11" s="717" t="n">
        <x:f>IF(OR(AL11="",AM11="",AL11=0,AM11=0),"",AM11-AL11)</x:f>
        <x:v>-57</x:v>
      </x:c>
      <x:c r="AO11" s="717" t="str">
        <x:f>""</x:f>
      </x:c>
      <x:c r="AP11" s="717" t="n">
        <x:f>IFERROR(INDEX('04_Wycena_strona_nowa'!$Q:$Q,MATCH($A11,'04_Wycena_strona_nowa'!$A:$A,0)),"")</x:f>
        <x:v>662</x:v>
      </x:c>
      <x:c r="AQ11" s="717" t="str">
        <x:f>IF(OR(AO11="",AP11="",AO11=0,AP11=0),"",AP11-AO11)</x:f>
      </x:c>
      <x:c r="AR11" s="717" t="n">
        <x:f>IFERROR(ROUND(INDEX(EG_Cennik_uslug!$CN:$CN,MATCH($A11,EG_Cennik_uslug!$A:$A,0))*1.08,0),"")</x:f>
        <x:v>4838</x:v>
      </x:c>
      <x:c r="AS11" s="717" t="n">
        <x:f>IFERROR(INDEX('04_Wycena_strona_nowa'!$M:$M,MATCH($A11,'04_Wycena_strona_nowa'!$A:$A,0)),"")</x:f>
        <x:v>1923</x:v>
      </x:c>
      <x:c r="AT11" s="717" t="n">
        <x:f>IF(OR(AR11="",AS11="",AR11=0,AS11=0),"",AS11-AR11)</x:f>
        <x:v>-2915</x:v>
      </x:c>
      <x:c r="AU11" s="717" t="n">
        <x:f>IFERROR(ROUND(INDEX(EG_Cennik_uslug!$CU:$CU,MATCH($A11,EG_Cennik_uslug!$A:$A,0))*1.08,0),"")</x:f>
        <x:v>4810</x:v>
      </x:c>
      <x:c r="AV11" s="717" t="n">
        <x:f>IFERROR(INDEX('04_Wycena_strona_nowa'!$R:$R,MATCH($A11,'04_Wycena_strona_nowa'!$A:$A,0)),"")</x:f>
        <x:v>3242</x:v>
      </x:c>
      <x:c r="AW11" s="717" t="n">
        <x:f>IF(OR(AU11="",AV11="",AU11=0,AV11=0),"",AV11-AU11)</x:f>
        <x:v>-1568</x:v>
      </x:c>
      <x:c r="AX11" s="717" t="str">
        <x:f>""</x:f>
      </x:c>
      <x:c r="AY11" s="717" t="str">
        <x:f>IFERROR(INDEX('04_Wycena_strona_nowa'!$S:$S,MATCH($A11,'04_Wycena_strona_nowa'!$A:$A,0)),"")</x:f>
      </x:c>
      <x:c r="AZ11" s="717" t="str">
        <x:f>IF(OR(AX11="",AY11="",AX11=0,AY11=0),"",AY11-AX11)</x:f>
      </x:c>
      <x:c r="BA11" s="612" t="e">
        <x:f>_xludf.TEXTJOIN("; ",TRUE,IF(OR(LEFT($A11,3)="550",LEFT($A11,3)="600"),"550/600: EG brak benchmarku; opcje szklane/zerowe ukryte w porównaniu do czasu potwierdzenia",""),"LED CCT/RGB: porównanie orientacyjne do EG LED COB","Zabieraki: brak jednoznacznej pozycji EG")</x:f>
      </x:c>
    </x:row>
    <x:row r="12">
      <x:c r="A12" s="608" t="str">
        <x:f>'04_Wycena_strona_nowa'!A12</x:f>
        <x:v>350 x 306 cm</x:v>
      </x:c>
      <x:c r="B12" s="717" t="n">
        <x:f>IFERROR(INDEX(EG_Wycena_strona!$B:$B,MATCH($A12,EG_Wycena_strona!$A:$A,0)),"")</x:f>
        <x:v>8766</x:v>
      </x:c>
      <x:c r="C12" s="717" t="n">
        <x:f>IFERROR(INDEX('04_Wycena_strona_nowa'!$B:$B,MATCH($A12,'04_Wycena_strona_nowa'!$A:$A,0)),"")</x:f>
        <x:v>8376</x:v>
      </x:c>
      <x:c r="D12" s="717" t="n">
        <x:f>IF(OR(B12="",C12="",B12=0,C12=0),"",C12-B12)</x:f>
        <x:v>-390</x:v>
      </x:c>
      <x:c r="E12" s="717" t="n">
        <x:f>IFERROR(INDEX(EG_Wycena_strona!$C:$C,MATCH($A12,EG_Wycena_strona!$A:$A,0)),"")</x:f>
        <x:v>18406</x:v>
      </x:c>
      <x:c r="F12" s="717" t="n">
        <x:f>IFERROR(INDEX('04_Wycena_strona_nowa'!$C:$C,MATCH($A12,'04_Wycena_strona_nowa'!$A:$A,0)),"")</x:f>
        <x:v>16611</x:v>
      </x:c>
      <x:c r="G12" s="717" t="n">
        <x:f>IF(OR(E12="",F12="",E12=0,F12=0),"",F12-E12)</x:f>
        <x:v>-1795</x:v>
      </x:c>
      <x:c r="H12" s="717" t="n">
        <x:f>IFERROR(INDEX(EG_Wycena_strona!$D:$D,MATCH($A12,EG_Wycena_strona!$A:$A,0)),"")</x:f>
        <x:v>20205</x:v>
      </x:c>
      <x:c r="I12" s="717" t="n">
        <x:f>IFERROR(INDEX('04_Wycena_strona_nowa'!$D:$D,MATCH($A12,'04_Wycena_strona_nowa'!$A:$A,0)),"")</x:f>
        <x:v>18291</x:v>
      </x:c>
      <x:c r="J12" s="717" t="n">
        <x:f>IF(OR(H12="",I12="",H12=0,I12=0),"",I12-H12)</x:f>
        <x:v>-1914</x:v>
      </x:c>
      <x:c r="K12" s="717" t="n">
        <x:f>IFERROR(INDEX(EG_Wycena_strona!$E:$E,MATCH($A12,EG_Wycena_strona!$A:$A,0)),"")</x:f>
        <x:v>206</x:v>
      </x:c>
      <x:c r="L12" s="717" t="n">
        <x:f>IFERROR(INDEX('04_Wycena_strona_nowa'!$E:$E,MATCH($A12,'04_Wycena_strona_nowa'!$A:$A,0)),"")</x:f>
        <x:v>191</x:v>
      </x:c>
      <x:c r="M12" s="717" t="n">
        <x:f>IF(OR(K12="",L12="",K12=0,L12=0),"",L12-K12)</x:f>
        <x:v>-15</x:v>
      </x:c>
      <x:c r="N12" s="717" t="n">
        <x:f>IFERROR(INDEX(EG_Wycena_strona!$F:$F,MATCH($A12,EG_Wycena_strona!$A:$A,0)),"")</x:f>
        <x:v>3444</x:v>
      </x:c>
      <x:c r="O12" s="717" t="n">
        <x:f>IFERROR(INDEX('04_Wycena_strona_nowa'!$F:$F,MATCH($A12,'04_Wycena_strona_nowa'!$A:$A,0)),"")</x:f>
        <x:v>2903</x:v>
      </x:c>
      <x:c r="P12" s="717" t="n">
        <x:f>IF(OR(N12="",O12="",N12=0,O12=0),"",O12-N12)</x:f>
        <x:v>-541</x:v>
      </x:c>
      <x:c r="Q12" s="717" t="n">
        <x:f>IFERROR(INDEX(EG_Wycena_strona!$G:$G,MATCH($A12,EG_Wycena_strona!$A:$A,0)),"")</x:f>
        <x:v>3909</x:v>
      </x:c>
      <x:c r="R12" s="717" t="n">
        <x:f>IFERROR(INDEX('04_Wycena_strona_nowa'!$G:$G,MATCH($A12,'04_Wycena_strona_nowa'!$A:$A,0)),"")</x:f>
        <x:v>3335</x:v>
      </x:c>
      <x:c r="S12" s="717" t="n">
        <x:f>IF(OR(Q12="",R12="",Q12=0,R12=0),"",R12-Q12)</x:f>
        <x:v>-574</x:v>
      </x:c>
      <x:c r="T12" s="717" t="n">
        <x:f>IFERROR(INDEX(EG_Wycena_strona!$H:$H,MATCH($A12,EG_Wycena_strona!$A:$A,0)),"")</x:f>
        <x:v>3352</x:v>
      </x:c>
      <x:c r="U12" s="717" t="n">
        <x:f>IFERROR(INDEX('04_Wycena_strona_nowa'!$H:$H,MATCH($A12,'04_Wycena_strona_nowa'!$A:$A,0)),"")</x:f>
        <x:v>2979</x:v>
      </x:c>
      <x:c r="V12" s="717" t="n">
        <x:f>IF(OR(T12="",U12="",T12=0,U12=0),"",U12-T12)</x:f>
        <x:v>-373</x:v>
      </x:c>
      <x:c r="W12" s="717" t="n">
        <x:f>IFERROR(INDEX(EG_Wycena_strona!$I:$I,MATCH($A12,EG_Wycena_strona!$A:$A,0)),"")</x:f>
        <x:v>3352</x:v>
      </x:c>
      <x:c r="X12" s="717" t="n">
        <x:f>IFERROR(INDEX('04_Wycena_strona_nowa'!$I:$I,MATCH($A12,'04_Wycena_strona_nowa'!$A:$A,0)),"")</x:f>
        <x:v>2979</x:v>
      </x:c>
      <x:c r="Y12" s="717" t="n">
        <x:f>IF(OR(W12="",X12="",W12=0,X12=0),"",X12-W12)</x:f>
        <x:v>-373</x:v>
      </x:c>
      <x:c r="Z12" s="717" t="n">
        <x:f>IFERROR(INDEX(EG_Wycena_strona!$J:$J,MATCH($A12,EG_Wycena_strona!$A:$A,0)),"")</x:f>
        <x:v>3079</x:v>
      </x:c>
      <x:c r="AA12" s="717" t="n">
        <x:f>IFERROR(INDEX('04_Wycena_strona_nowa'!$J:$J,MATCH($A12,'04_Wycena_strona_nowa'!$A:$A,0)),"")</x:f>
        <x:v>2725</x:v>
      </x:c>
      <x:c r="AB12" s="717" t="n">
        <x:f>IF(OR(Z12="",AA12="",Z12=0,AA12=0),"",AA12-Z12)</x:f>
        <x:v>-354</x:v>
      </x:c>
      <x:c r="AC12" s="717" t="n">
        <x:f>IFERROR(INDEX(EG_Wycena_strona!$K:$K,MATCH($A12,EG_Wycena_strona!$A:$A,0)),"")</x:f>
        <x:v>5641</x:v>
      </x:c>
      <x:c r="AD12" s="717" t="n">
        <x:f>IFERROR(INDEX('04_Wycena_strona_nowa'!$K:$K,MATCH($A12,'04_Wycena_strona_nowa'!$A:$A,0)),"")</x:f>
        <x:v>5067</x:v>
      </x:c>
      <x:c r="AE12" s="717" t="n">
        <x:f>IF(OR(AC12="",AD12="",AC12=0,AD12=0),"",AD12-AC12)</x:f>
        <x:v>-574</x:v>
      </x:c>
      <x:c r="AF12" s="717" t="n">
        <x:f>IFERROR(ROUND(INDEX(EG_Cennik_uslug!$BS:$BS,MATCH($A12,EG_Cennik_uslug!$A:$A,0))*1.08,0),"")</x:f>
        <x:v>1669</x:v>
      </x:c>
      <x:c r="AG12" s="717" t="n">
        <x:f>IFERROR(INDEX('04_Wycena_strona_nowa'!$L:$L,MATCH($A12,'04_Wycena_strona_nowa'!$A:$A,0)),"")</x:f>
        <x:v>1720</x:v>
      </x:c>
      <x:c r="AH12" s="717" t="n">
        <x:f>IF(OR(AF12="",AG12="",AF12=0,AG12=0),"",AG12-AF12)</x:f>
        <x:v>51</x:v>
      </x:c>
      <x:c r="AI12" s="717" t="n">
        <x:f>IFERROR(ROUND(INDEX(EG_Cennik_uslug!$BZ:$BZ,MATCH($A12,EG_Cennik_uslug!$A:$A,0))*1.08,0),"")</x:f>
        <x:v>575</x:v>
      </x:c>
      <x:c r="AJ12" s="717" t="n">
        <x:f>IFERROR(INDEX('04_Wycena_strona_nowa'!$O:$O,MATCH($A12,'04_Wycena_strona_nowa'!$A:$A,0)),"")</x:f>
        <x:v>534</x:v>
      </x:c>
      <x:c r="AK12" s="717" t="n">
        <x:f>IF(OR(AI12="",AJ12="",AI12=0,AJ12=0),"",AJ12-AI12)</x:f>
        <x:v>-41</x:v>
      </x:c>
      <x:c r="AL12" s="717" t="n">
        <x:f>IFERROR(ROUND(INDEX(EG_Cennik_uslug!$CG:$CG,MATCH($A12,EG_Cennik_uslug!$A:$A,0))*1.08,0),"")</x:f>
        <x:v>518</x:v>
      </x:c>
      <x:c r="AM12" s="717" t="n">
        <x:f>IFERROR(INDEX('04_Wycena_strona_nowa'!$P:$P,MATCH($A12,'04_Wycena_strona_nowa'!$A:$A,0)),"")</x:f>
        <x:v>484</x:v>
      </x:c>
      <x:c r="AN12" s="717" t="n">
        <x:f>IF(OR(AL12="",AM12="",AL12=0,AM12=0),"",AM12-AL12)</x:f>
        <x:v>-34</x:v>
      </x:c>
      <x:c r="AO12" s="717" t="str">
        <x:f>""</x:f>
      </x:c>
      <x:c r="AP12" s="717" t="n">
        <x:f>IFERROR(INDEX('04_Wycena_strona_nowa'!$Q:$Q,MATCH($A12,'04_Wycena_strona_nowa'!$A:$A,0)),"")</x:f>
        <x:v>407</x:v>
      </x:c>
      <x:c r="AQ12" s="717" t="str">
        <x:f>IF(OR(AO12="",AP12="",AO12=0,AP12=0),"",AP12-AO12)</x:f>
      </x:c>
      <x:c r="AR12" s="717" t="n">
        <x:f>IFERROR(ROUND(INDEX(EG_Cennik_uslug!$CN:$CN,MATCH($A12,EG_Cennik_uslug!$A:$A,0))*1.08,0),"")</x:f>
        <x:v>999</x:v>
      </x:c>
      <x:c r="AS12" s="717" t="n">
        <x:f>IFERROR(INDEX('04_Wycena_strona_nowa'!$M:$M,MATCH($A12,'04_Wycena_strona_nowa'!$A:$A,0)),"")</x:f>
        <x:v>534</x:v>
      </x:c>
      <x:c r="AT12" s="717" t="n">
        <x:f>IF(OR(AR12="",AS12="",AR12=0,AS12=0),"",AS12-AR12)</x:f>
        <x:v>-465</x:v>
      </x:c>
      <x:c r="AU12" s="717" t="n">
        <x:f>IFERROR(ROUND(INDEX(EG_Cennik_uslug!$CU:$CU,MATCH($A12,EG_Cennik_uslug!$A:$A,0))*1.08,0),"")</x:f>
        <x:v>1731</x:v>
      </x:c>
      <x:c r="AV12" s="717" t="n">
        <x:f>IFERROR(INDEX('04_Wycena_strona_nowa'!$R:$R,MATCH($A12,'04_Wycena_strona_nowa'!$A:$A,0)),"")</x:f>
        <x:v>1284</x:v>
      </x:c>
      <x:c r="AW12" s="717" t="n">
        <x:f>IF(OR(AU12="",AV12="",AU12=0,AV12=0),"",AV12-AU12)</x:f>
        <x:v>-447</x:v>
      </x:c>
      <x:c r="AX12" s="717" t="str">
        <x:f>""</x:f>
      </x:c>
      <x:c r="AY12" s="717" t="str">
        <x:f>IFERROR(INDEX('04_Wycena_strona_nowa'!$S:$S,MATCH($A12,'04_Wycena_strona_nowa'!$A:$A,0)),"")</x:f>
      </x:c>
      <x:c r="AZ12" s="717" t="str">
        <x:f>IF(OR(AX12="",AY12="",AX12=0,AY12=0),"",AY12-AX12)</x:f>
      </x:c>
      <x:c r="BA12" s="612" t="e">
        <x:f>_xludf.TEXTJOIN("; ",TRUE,IF(OR(LEFT($A12,3)="550",LEFT($A12,3)="600"),"550/600: EG brak benchmarku; opcje szklane/zerowe ukryte w porównaniu do czasu potwierdzenia",""),"LED CCT/RGB: porównanie orientacyjne do EG LED COB","Zabieraki: brak jednoznacznej pozycji EG")</x:f>
      </x:c>
    </x:row>
    <x:row r="13">
      <x:c r="A13" s="608" t="str">
        <x:f>'04_Wycena_strona_nowa'!A13</x:f>
        <x:v>350 x 406 cm</x:v>
      </x:c>
      <x:c r="B13" s="717" t="n">
        <x:f>IFERROR(INDEX(EG_Wycena_strona!$B:$B,MATCH($A13,EG_Wycena_strona!$A:$A,0)),"")</x:f>
        <x:v>10977</x:v>
      </x:c>
      <x:c r="C13" s="717" t="n">
        <x:f>IFERROR(INDEX('04_Wycena_strona_nowa'!$B:$B,MATCH($A13,'04_Wycena_strona_nowa'!$A:$A,0)),"")</x:f>
        <x:v>10464</x:v>
      </x:c>
      <x:c r="D13" s="717" t="n">
        <x:f>IF(OR(B13="",C13="",B13=0,C13=0),"",C13-B13)</x:f>
        <x:v>-513</x:v>
      </x:c>
      <x:c r="E13" s="717" t="n">
        <x:f>IFERROR(INDEX(EG_Wycena_strona!$C:$C,MATCH($A13,EG_Wycena_strona!$A:$A,0)),"")</x:f>
        <x:v>19848</x:v>
      </x:c>
      <x:c r="F13" s="717" t="n">
        <x:f>IFERROR(INDEX('04_Wycena_strona_nowa'!$C:$C,MATCH($A13,'04_Wycena_strona_nowa'!$A:$A,0)),"")</x:f>
        <x:v>17875</x:v>
      </x:c>
      <x:c r="G13" s="717" t="n">
        <x:f>IF(OR(E13="",F13="",E13=0,F13=0),"",F13-E13)</x:f>
        <x:v>-1973</x:v>
      </x:c>
      <x:c r="H13" s="717" t="n">
        <x:f>IFERROR(INDEX(EG_Wycena_strona!$D:$D,MATCH($A13,EG_Wycena_strona!$A:$A,0)),"")</x:f>
        <x:v>21811</x:v>
      </x:c>
      <x:c r="I13" s="717" t="n">
        <x:f>IFERROR(INDEX('04_Wycena_strona_nowa'!$D:$D,MATCH($A13,'04_Wycena_strona_nowa'!$A:$A,0)),"")</x:f>
        <x:v>19709</x:v>
      </x:c>
      <x:c r="J13" s="717" t="n">
        <x:f>IF(OR(H13="",I13="",H13=0,I13=0),"",I13-H13)</x:f>
        <x:v>-2102</x:v>
      </x:c>
      <x:c r="K13" s="717" t="n">
        <x:f>IFERROR(INDEX(EG_Wycena_strona!$E:$E,MATCH($A13,EG_Wycena_strona!$A:$A,0)),"")</x:f>
        <x:v>273</x:v>
      </x:c>
      <x:c r="L13" s="717" t="n">
        <x:f>IFERROR(INDEX('04_Wycena_strona_nowa'!$E:$E,MATCH($A13,'04_Wycena_strona_nowa'!$A:$A,0)),"")</x:f>
        <x:v>255</x:v>
      </x:c>
      <x:c r="M13" s="717" t="n">
        <x:f>IF(OR(K13="",L13="",K13=0,L13=0),"",L13-K13)</x:f>
        <x:v>-18</x:v>
      </x:c>
      <x:c r="N13" s="717" t="n">
        <x:f>IFERROR(INDEX(EG_Wycena_strona!$F:$F,MATCH($A13,EG_Wycena_strona!$A:$A,0)),"")</x:f>
        <x:v>4568</x:v>
      </x:c>
      <x:c r="O13" s="717" t="n">
        <x:f>IFERROR(INDEX('04_Wycena_strona_nowa'!$F:$F,MATCH($A13,'04_Wycena_strona_nowa'!$A:$A,0)),"")</x:f>
        <x:v>3884</x:v>
      </x:c>
      <x:c r="P13" s="717" t="n">
        <x:f>IF(OR(N13="",O13="",N13=0,O13=0),"",O13-N13)</x:f>
        <x:v>-684</x:v>
      </x:c>
      <x:c r="Q13" s="717" t="n">
        <x:f>IFERROR(INDEX(EG_Wycena_strona!$G:$G,MATCH($A13,EG_Wycena_strona!$A:$A,0)),"")</x:f>
        <x:v>5181</x:v>
      </x:c>
      <x:c r="R13" s="717" t="n">
        <x:f>IFERROR(INDEX('04_Wycena_strona_nowa'!$G:$G,MATCH($A13,'04_Wycena_strona_nowa'!$A:$A,0)),"")</x:f>
        <x:v>4457</x:v>
      </x:c>
      <x:c r="S13" s="717" t="n">
        <x:f>IF(OR(Q13="",R13="",Q13=0,R13=0),"",R13-Q13)</x:f>
        <x:v>-724</x:v>
      </x:c>
      <x:c r="T13" s="717" t="n">
        <x:f>IFERROR(INDEX(EG_Wycena_strona!$H:$H,MATCH($A13,EG_Wycena_strona!$A:$A,0)),"")</x:f>
        <x:v>3352</x:v>
      </x:c>
      <x:c r="U13" s="717" t="n">
        <x:f>IFERROR(INDEX('04_Wycena_strona_nowa'!$H:$H,MATCH($A13,'04_Wycena_strona_nowa'!$A:$A,0)),"")</x:f>
        <x:v>2979</x:v>
      </x:c>
      <x:c r="V13" s="717" t="n">
        <x:f>IF(OR(T13="",U13="",T13=0,U13=0),"",U13-T13)</x:f>
        <x:v>-373</x:v>
      </x:c>
      <x:c r="W13" s="717" t="n">
        <x:f>IFERROR(INDEX(EG_Wycena_strona!$I:$I,MATCH($A13,EG_Wycena_strona!$A:$A,0)),"")</x:f>
        <x:v>3352</x:v>
      </x:c>
      <x:c r="X13" s="717" t="n">
        <x:f>IFERROR(INDEX('04_Wycena_strona_nowa'!$I:$I,MATCH($A13,'04_Wycena_strona_nowa'!$A:$A,0)),"")</x:f>
        <x:v>2979</x:v>
      </x:c>
      <x:c r="Y13" s="717" t="n">
        <x:f>IF(OR(W13="",X13="",W13=0,X13=0),"",X13-W13)</x:f>
        <x:v>-373</x:v>
      </x:c>
      <x:c r="Z13" s="717" t="n">
        <x:f>IFERROR(INDEX(EG_Wycena_strona!$J:$J,MATCH($A13,EG_Wycena_strona!$A:$A,0)),"")</x:f>
        <x:v>3761</x:v>
      </x:c>
      <x:c r="AA13" s="717" t="n">
        <x:f>IFERROR(INDEX('04_Wycena_strona_nowa'!$J:$J,MATCH($A13,'04_Wycena_strona_nowa'!$A:$A,0)),"")</x:f>
        <x:v>3361</x:v>
      </x:c>
      <x:c r="AB13" s="717" t="n">
        <x:f>IF(OR(Z13="",AA13="",Z13=0,AA13=0),"",AA13-Z13)</x:f>
        <x:v>-400</x:v>
      </x:c>
      <x:c r="AC13" s="717" t="n">
        <x:f>IFERROR(INDEX(EG_Wycena_strona!$K:$K,MATCH($A13,EG_Wycena_strona!$A:$A,0)),"")</x:f>
        <x:v>6403</x:v>
      </x:c>
      <x:c r="AD13" s="717" t="n">
        <x:f>IFERROR(INDEX('04_Wycena_strona_nowa'!$K:$K,MATCH($A13,'04_Wycena_strona_nowa'!$A:$A,0)),"")</x:f>
        <x:v>5730</x:v>
      </x:c>
      <x:c r="AE13" s="717" t="n">
        <x:f>IF(OR(AC13="",AD13="",AC13=0,AD13=0),"",AD13-AC13)</x:f>
        <x:v>-673</x:v>
      </x:c>
      <x:c r="AF13" s="717" t="n">
        <x:f>IFERROR(ROUND(INDEX(EG_Cennik_uslug!$BS:$BS,MATCH($A13,EG_Cennik_uslug!$A:$A,0))*1.08,0),"")</x:f>
        <x:v>1875</x:v>
      </x:c>
      <x:c r="AG13" s="717" t="n">
        <x:f>IFERROR(INDEX('04_Wycena_strona_nowa'!$L:$L,MATCH($A13,'04_Wycena_strona_nowa'!$A:$A,0)),"")</x:f>
        <x:v>1932</x:v>
      </x:c>
      <x:c r="AH13" s="717" t="n">
        <x:f>IF(OR(AF13="",AG13="",AF13=0,AG13=0),"",AG13-AF13)</x:f>
        <x:v>57</x:v>
      </x:c>
      <x:c r="AI13" s="717" t="n">
        <x:f>IFERROR(ROUND(INDEX(EG_Cennik_uslug!$BZ:$BZ,MATCH($A13,EG_Cennik_uslug!$A:$A,0))*1.08,0),"")</x:f>
        <x:v>627</x:v>
      </x:c>
      <x:c r="AJ13" s="717" t="n">
        <x:f>IFERROR(INDEX('04_Wycena_strona_nowa'!$O:$O,MATCH($A13,'04_Wycena_strona_nowa'!$A:$A,0)),"")</x:f>
        <x:v>585</x:v>
      </x:c>
      <x:c r="AK13" s="717" t="n">
        <x:f>IF(OR(AI13="",AJ13="",AI13=0,AJ13=0),"",AJ13-AI13)</x:f>
        <x:v>-42</x:v>
      </x:c>
      <x:c r="AL13" s="717" t="n">
        <x:f>IFERROR(ROUND(INDEX(EG_Cennik_uslug!$CG:$CG,MATCH($A13,EG_Cennik_uslug!$A:$A,0))*1.08,0),"")</x:f>
        <x:v>561</x:v>
      </x:c>
      <x:c r="AM13" s="717" t="n">
        <x:f>IFERROR(INDEX('04_Wycena_strona_nowa'!$P:$P,MATCH($A13,'04_Wycena_strona_nowa'!$A:$A,0)),"")</x:f>
        <x:v>522</x:v>
      </x:c>
      <x:c r="AN13" s="717" t="n">
        <x:f>IF(OR(AL13="",AM13="",AL13=0,AM13=0),"",AM13-AL13)</x:f>
        <x:v>-39</x:v>
      </x:c>
      <x:c r="AO13" s="717" t="str">
        <x:f>""</x:f>
      </x:c>
      <x:c r="AP13" s="717" t="n">
        <x:f>IFERROR(INDEX('04_Wycena_strona_nowa'!$Q:$Q,MATCH($A13,'04_Wycena_strona_nowa'!$A:$A,0)),"")</x:f>
        <x:v>459</x:v>
      </x:c>
      <x:c r="AQ13" s="717" t="str">
        <x:f>IF(OR(AO13="",AP13="",AO13=0,AP13=0),"",AP13-AO13)</x:f>
      </x:c>
      <x:c r="AR13" s="717" t="n">
        <x:f>IFERROR(ROUND(INDEX(EG_Cennik_uslug!$CN:$CN,MATCH($A13,EG_Cennik_uslug!$A:$A,0))*1.08,0),"")</x:f>
        <x:v>1544</x:v>
      </x:c>
      <x:c r="AS13" s="717" t="n">
        <x:f>IFERROR(INDEX('04_Wycena_strona_nowa'!$M:$M,MATCH($A13,'04_Wycena_strona_nowa'!$A:$A,0)),"")</x:f>
        <x:v>650</x:v>
      </x:c>
      <x:c r="AT13" s="717" t="n">
        <x:f>IF(OR(AR13="",AS13="",AR13=0,AS13=0),"",AS13-AR13)</x:f>
        <x:v>-894</x:v>
      </x:c>
      <x:c r="AU13" s="717" t="n">
        <x:f>IFERROR(ROUND(INDEX(EG_Cennik_uslug!$CU:$CU,MATCH($A13,EG_Cennik_uslug!$A:$A,0))*1.08,0),"")</x:f>
        <x:v>2042</x:v>
      </x:c>
      <x:c r="AV13" s="717" t="n">
        <x:f>IFERROR(INDEX('04_Wycena_strona_nowa'!$R:$R,MATCH($A13,'04_Wycena_strona_nowa'!$A:$A,0)),"")</x:f>
        <x:v>1535</x:v>
      </x:c>
      <x:c r="AW13" s="717" t="n">
        <x:f>IF(OR(AU13="",AV13="",AU13=0,AV13=0),"",AV13-AU13)</x:f>
        <x:v>-507</x:v>
      </x:c>
      <x:c r="AX13" s="717" t="str">
        <x:f>""</x:f>
      </x:c>
      <x:c r="AY13" s="717" t="str">
        <x:f>IFERROR(INDEX('04_Wycena_strona_nowa'!$S:$S,MATCH($A13,'04_Wycena_strona_nowa'!$A:$A,0)),"")</x:f>
      </x:c>
      <x:c r="AZ13" s="717" t="str">
        <x:f>IF(OR(AX13="",AY13="",AX13=0,AY13=0),"",AY13-AX13)</x:f>
      </x:c>
      <x:c r="BA13" s="612" t="e">
        <x:f>_xludf.TEXTJOIN("; ",TRUE,IF(OR(LEFT($A13,3)="550",LEFT($A13,3)="600"),"550/600: EG brak benchmarku; opcje szklane/zerowe ukryte w porównaniu do czasu potwierdzenia",""),"LED CCT/RGB: porównanie orientacyjne do EG LED COB","Zabieraki: brak jednoznacznej pozycji EG")</x:f>
      </x:c>
    </x:row>
    <x:row r="14">
      <x:c r="A14" s="608" t="str">
        <x:f>'04_Wycena_strona_nowa'!A14</x:f>
        <x:v>350 x 506 cm</x:v>
      </x:c>
      <x:c r="B14" s="717" t="n">
        <x:f>IFERROR(INDEX(EG_Wycena_strona!$B:$B,MATCH($A14,EG_Wycena_strona!$A:$A,0)),"")</x:f>
        <x:v>13241</x:v>
      </x:c>
      <x:c r="C14" s="717" t="n">
        <x:f>IFERROR(INDEX('04_Wycena_strona_nowa'!$B:$B,MATCH($A14,'04_Wycena_strona_nowa'!$A:$A,0)),"")</x:f>
        <x:v>12603</x:v>
      </x:c>
      <x:c r="D14" s="717" t="n">
        <x:f>IF(OR(B14="",C14="",B14=0,C14=0),"",C14-B14)</x:f>
        <x:v>-638</x:v>
      </x:c>
      <x:c r="E14" s="717" t="n">
        <x:f>IFERROR(INDEX(EG_Wycena_strona!$C:$C,MATCH($A14,EG_Wycena_strona!$A:$A,0)),"")</x:f>
        <x:v>21805</x:v>
      </x:c>
      <x:c r="F14" s="717" t="n">
        <x:f>IFERROR(INDEX('04_Wycena_strona_nowa'!$C:$C,MATCH($A14,'04_Wycena_strona_nowa'!$A:$A,0)),"")</x:f>
        <x:v>19623</x:v>
      </x:c>
      <x:c r="G14" s="717" t="n">
        <x:f>IF(OR(E14="",F14="",E14=0,F14=0),"",F14-E14)</x:f>
        <x:v>-2182</x:v>
      </x:c>
      <x:c r="H14" s="717" t="n">
        <x:f>IFERROR(INDEX(EG_Wycena_strona!$D:$D,MATCH($A14,EG_Wycena_strona!$A:$A,0)),"")</x:f>
        <x:v>23933</x:v>
      </x:c>
      <x:c r="I14" s="717" t="n">
        <x:f>IFERROR(INDEX('04_Wycena_strona_nowa'!$D:$D,MATCH($A14,'04_Wycena_strona_nowa'!$A:$A,0)),"")</x:f>
        <x:v>21609</x:v>
      </x:c>
      <x:c r="J14" s="717" t="n">
        <x:f>IF(OR(H14="",I14="",H14=0,I14=0),"",I14-H14)</x:f>
        <x:v>-2324</x:v>
      </x:c>
      <x:c r="K14" s="717" t="n">
        <x:f>IFERROR(INDEX(EG_Wycena_strona!$E:$E,MATCH($A14,EG_Wycena_strona!$A:$A,0)),"")</x:f>
        <x:v>342</x:v>
      </x:c>
      <x:c r="L14" s="717" t="n">
        <x:f>IFERROR(INDEX('04_Wycena_strona_nowa'!$E:$E,MATCH($A14,'04_Wycena_strona_nowa'!$A:$A,0)),"")</x:f>
        <x:v>318</x:v>
      </x:c>
      <x:c r="M14" s="717" t="n">
        <x:f>IF(OR(K14="",L14="",K14=0,L14=0),"",L14-K14)</x:f>
        <x:v>-24</x:v>
      </x:c>
      <x:c r="N14" s="717" t="n">
        <x:f>IFERROR(INDEX(EG_Wycena_strona!$F:$F,MATCH($A14,EG_Wycena_strona!$A:$A,0)),"")</x:f>
        <x:v>5820</x:v>
      </x:c>
      <x:c r="O14" s="717" t="n">
        <x:f>IFERROR(INDEX('04_Wycena_strona_nowa'!$F:$F,MATCH($A14,'04_Wycena_strona_nowa'!$A:$A,0)),"")</x:f>
        <x:v>4979</x:v>
      </x:c>
      <x:c r="P14" s="717" t="n">
        <x:f>IF(OR(N14="",O14="",N14=0,O14=0),"",O14-N14)</x:f>
        <x:v>-841</x:v>
      </x:c>
      <x:c r="Q14" s="717" t="n">
        <x:f>IFERROR(INDEX(EG_Wycena_strona!$G:$G,MATCH($A14,EG_Wycena_strona!$A:$A,0)),"")</x:f>
        <x:v>6598</x:v>
      </x:c>
      <x:c r="R14" s="717" t="n">
        <x:f>IFERROR(INDEX('04_Wycena_strona_nowa'!$G:$G,MATCH($A14,'04_Wycena_strona_nowa'!$A:$A,0)),"")</x:f>
        <x:v>5704</x:v>
      </x:c>
      <x:c r="S14" s="717" t="n">
        <x:f>IF(OR(Q14="",R14="",Q14=0,R14=0),"",R14-Q14)</x:f>
        <x:v>-894</x:v>
      </x:c>
      <x:c r="T14" s="717" t="n">
        <x:f>IFERROR(INDEX(EG_Wycena_strona!$H:$H,MATCH($A14,EG_Wycena_strona!$A:$A,0)),"")</x:f>
        <x:v>3352</x:v>
      </x:c>
      <x:c r="U14" s="717" t="n">
        <x:f>IFERROR(INDEX('04_Wycena_strona_nowa'!$H:$H,MATCH($A14,'04_Wycena_strona_nowa'!$A:$A,0)),"")</x:f>
        <x:v>2979</x:v>
      </x:c>
      <x:c r="V14" s="717" t="n">
        <x:f>IF(OR(T14="",U14="",T14=0,U14=0),"",U14-T14)</x:f>
        <x:v>-373</x:v>
      </x:c>
      <x:c r="W14" s="717" t="n">
        <x:f>IFERROR(INDEX(EG_Wycena_strona!$I:$I,MATCH($A14,EG_Wycena_strona!$A:$A,0)),"")</x:f>
        <x:v>3352</x:v>
      </x:c>
      <x:c r="X14" s="717" t="n">
        <x:f>IFERROR(INDEX('04_Wycena_strona_nowa'!$I:$I,MATCH($A14,'04_Wycena_strona_nowa'!$A:$A,0)),"")</x:f>
        <x:v>2979</x:v>
      </x:c>
      <x:c r="Y14" s="717" t="n">
        <x:f>IF(OR(W14="",X14="",W14=0,X14=0),"",X14-W14)</x:f>
        <x:v>-373</x:v>
      </x:c>
      <x:c r="Z14" s="717" t="n">
        <x:f>IFERROR(INDEX(EG_Wycena_strona!$J:$J,MATCH($A14,EG_Wycena_strona!$A:$A,0)),"")</x:f>
        <x:v>5367</x:v>
      </x:c>
      <x:c r="AA14" s="717" t="n">
        <x:f>IFERROR(INDEX('04_Wycena_strona_nowa'!$J:$J,MATCH($A14,'04_Wycena_strona_nowa'!$A:$A,0)),"")</x:f>
        <x:v>4711</x:v>
      </x:c>
      <x:c r="AB14" s="717" t="n">
        <x:f>IF(OR(Z14="",AA14="",Z14=0,AA14=0),"",AA14-Z14)</x:f>
        <x:v>-656</x:v>
      </x:c>
      <x:c r="AC14" s="717" t="n">
        <x:f>IFERROR(INDEX(EG_Wycena_strona!$K:$K,MATCH($A14,EG_Wycena_strona!$A:$A,0)),"")</x:f>
        <x:v>7411</x:v>
      </x:c>
      <x:c r="AD14" s="717" t="n">
        <x:f>IFERROR(INDEX('04_Wycena_strona_nowa'!$K:$K,MATCH($A14,'04_Wycena_strona_nowa'!$A:$A,0)),"")</x:f>
        <x:v>6621</x:v>
      </x:c>
      <x:c r="AE14" s="717" t="n">
        <x:f>IF(OR(AC14="",AD14="",AC14=0,AD14=0),"",AD14-AC14)</x:f>
        <x:v>-790</x:v>
      </x:c>
      <x:c r="AF14" s="717" t="n">
        <x:f>IFERROR(ROUND(INDEX(EG_Cennik_uslug!$BS:$BS,MATCH($A14,EG_Cennik_uslug!$A:$A,0))*1.08,0),"")</x:f>
        <x:v>2138</x:v>
      </x:c>
      <x:c r="AG14" s="717" t="n">
        <x:f>IFERROR(INDEX('04_Wycena_strona_nowa'!$L:$L,MATCH($A14,'04_Wycena_strona_nowa'!$A:$A,0)),"")</x:f>
        <x:v>2202</x:v>
      </x:c>
      <x:c r="AH14" s="717" t="n">
        <x:f>IF(OR(AF14="",AG14="",AF14=0,AG14=0),"",AG14-AF14)</x:f>
        <x:v>64</x:v>
      </x:c>
      <x:c r="AI14" s="717" t="n">
        <x:f>IFERROR(ROUND(INDEX(EG_Cennik_uslug!$BZ:$BZ,MATCH($A14,EG_Cennik_uslug!$A:$A,0))*1.08,0),"")</x:f>
        <x:v>683</x:v>
      </x:c>
      <x:c r="AJ14" s="717" t="n">
        <x:f>IFERROR(INDEX('04_Wycena_strona_nowa'!$O:$O,MATCH($A14,'04_Wycena_strona_nowa'!$A:$A,0)),"")</x:f>
        <x:v>637</x:v>
      </x:c>
      <x:c r="AK14" s="717" t="n">
        <x:f>IF(OR(AI14="",AJ14="",AI14=0,AJ14=0),"",AJ14-AI14)</x:f>
        <x:v>-46</x:v>
      </x:c>
      <x:c r="AL14" s="717" t="n">
        <x:f>IFERROR(ROUND(INDEX(EG_Cennik_uslug!$CG:$CG,MATCH($A14,EG_Cennik_uslug!$A:$A,0))*1.08,0),"")</x:f>
        <x:v>613</x:v>
      </x:c>
      <x:c r="AM14" s="717" t="n">
        <x:f>IFERROR(INDEX('04_Wycena_strona_nowa'!$P:$P,MATCH($A14,'04_Wycena_strona_nowa'!$A:$A,0)),"")</x:f>
        <x:v>573</x:v>
      </x:c>
      <x:c r="AN14" s="717" t="n">
        <x:f>IF(OR(AL14="",AM14="",AL14=0,AM14=0),"",AM14-AL14)</x:f>
        <x:v>-40</x:v>
      </x:c>
      <x:c r="AO14" s="717" t="str">
        <x:f>""</x:f>
      </x:c>
      <x:c r="AP14" s="717" t="n">
        <x:f>IFERROR(INDEX('04_Wycena_strona_nowa'!$Q:$Q,MATCH($A14,'04_Wycena_strona_nowa'!$A:$A,0)),"")</x:f>
        <x:v>459</x:v>
      </x:c>
      <x:c r="AQ14" s="717" t="str">
        <x:f>IF(OR(AO14="",AP14="",AO14=0,AP14=0),"",AP14-AO14)</x:f>
      </x:c>
      <x:c r="AR14" s="717" t="n">
        <x:f>IFERROR(ROUND(INDEX(EG_Cennik_uslug!$CN:$CN,MATCH($A14,EG_Cennik_uslug!$A:$A,0))*1.08,0),"")</x:f>
        <x:v>1912</x:v>
      </x:c>
      <x:c r="AS14" s="717" t="n">
        <x:f>IFERROR(INDEX('04_Wycena_strona_nowa'!$M:$M,MATCH($A14,'04_Wycena_strona_nowa'!$A:$A,0)),"")</x:f>
        <x:v>765</x:v>
      </x:c>
      <x:c r="AT14" s="717" t="n">
        <x:f>IF(OR(AR14="",AS14="",AR14=0,AS14=0),"",AS14-AR14)</x:f>
        <x:v>-1147</x:v>
      </x:c>
      <x:c r="AU14" s="717" t="n">
        <x:f>IFERROR(ROUND(INDEX(EG_Cennik_uslug!$CU:$CU,MATCH($A14,EG_Cennik_uslug!$A:$A,0))*1.08,0),"")</x:f>
        <x:v>2352</x:v>
      </x:c>
      <x:c r="AV14" s="717" t="n">
        <x:f>IFERROR(INDEX('04_Wycena_strona_nowa'!$R:$R,MATCH($A14,'04_Wycena_strona_nowa'!$A:$A,0)),"")</x:f>
        <x:v>1770</x:v>
      </x:c>
      <x:c r="AW14" s="717" t="n">
        <x:f>IF(OR(AU14="",AV14="",AU14=0,AV14=0),"",AV14-AU14)</x:f>
        <x:v>-582</x:v>
      </x:c>
      <x:c r="AX14" s="717" t="str">
        <x:f>""</x:f>
      </x:c>
      <x:c r="AY14" s="717" t="str">
        <x:f>IFERROR(INDEX('04_Wycena_strona_nowa'!$S:$S,MATCH($A14,'04_Wycena_strona_nowa'!$A:$A,0)),"")</x:f>
      </x:c>
      <x:c r="AZ14" s="717" t="str">
        <x:f>IF(OR(AX14="",AY14="",AX14=0,AY14=0),"",AY14-AX14)</x:f>
      </x:c>
      <x:c r="BA14" s="612" t="e">
        <x:f>_xludf.TEXTJOIN("; ",TRUE,IF(OR(LEFT($A14,3)="550",LEFT($A14,3)="600"),"550/600: EG brak benchmarku; opcje szklane/zerowe ukryte w porównaniu do czasu potwierdzenia",""),"LED CCT/RGB: porównanie orientacyjne do EG LED COB","Zabieraki: brak jednoznacznej pozycji EG")</x:f>
      </x:c>
    </x:row>
    <x:row r="15">
      <x:c r="A15" s="608" t="str">
        <x:f>'04_Wycena_strona_nowa'!A15</x:f>
        <x:v>350 x 606 cm</x:v>
      </x:c>
      <x:c r="B15" s="717" t="n">
        <x:f>IFERROR(INDEX(EG_Wycena_strona!$B:$B,MATCH($A15,EG_Wycena_strona!$A:$A,0)),"")</x:f>
        <x:v>14990</x:v>
      </x:c>
      <x:c r="C15" s="717" t="n">
        <x:f>IFERROR(INDEX('04_Wycena_strona_nowa'!$B:$B,MATCH($A15,'04_Wycena_strona_nowa'!$A:$A,0)),"")</x:f>
        <x:v>14261</x:v>
      </x:c>
      <x:c r="D15" s="717" t="n">
        <x:f>IF(OR(B15="",C15="",B15=0,C15=0),"",C15-B15)</x:f>
        <x:v>-729</x:v>
      </x:c>
      <x:c r="E15" s="717" t="n">
        <x:f>IFERROR(INDEX(EG_Wycena_strona!$C:$C,MATCH($A15,EG_Wycena_strona!$A:$A,0)),"")</x:f>
        <x:v>23468</x:v>
      </x:c>
      <x:c r="F15" s="717" t="n">
        <x:f>IFERROR(INDEX('04_Wycena_strona_nowa'!$C:$C,MATCH($A15,'04_Wycena_strona_nowa'!$A:$A,0)),"")</x:f>
        <x:v>21077</x:v>
      </x:c>
      <x:c r="G15" s="717" t="n">
        <x:f>IF(OR(E15="",F15="",E15=0,F15=0),"",F15-E15)</x:f>
        <x:v>-2391</x:v>
      </x:c>
      <x:c r="H15" s="717" t="n">
        <x:f>IFERROR(INDEX(EG_Wycena_strona!$D:$D,MATCH($A15,EG_Wycena_strona!$A:$A,0)),"")</x:f>
        <x:v>25758</x:v>
      </x:c>
      <x:c r="I15" s="717" t="n">
        <x:f>IFERROR(INDEX('04_Wycena_strona_nowa'!$D:$D,MATCH($A15,'04_Wycena_strona_nowa'!$A:$A,0)),"")</x:f>
        <x:v>23216</x:v>
      </x:c>
      <x:c r="J15" s="717" t="n">
        <x:f>IF(OR(H15="",I15="",H15=0,I15=0),"",I15-H15)</x:f>
        <x:v>-2542</x:v>
      </x:c>
      <x:c r="K15" s="717" t="n">
        <x:f>IFERROR(INDEX(EG_Wycena_strona!$E:$E,MATCH($A15,EG_Wycena_strona!$A:$A,0)),"")</x:f>
        <x:v>410</x:v>
      </x:c>
      <x:c r="L15" s="717" t="n">
        <x:f>IFERROR(INDEX('04_Wycena_strona_nowa'!$E:$E,MATCH($A15,'04_Wycena_strona_nowa'!$A:$A,0)),"")</x:f>
        <x:v>382</x:v>
      </x:c>
      <x:c r="M15" s="717" t="n">
        <x:f>IF(OR(K15="",L15="",K15=0,L15=0),"",L15-K15)</x:f>
        <x:v>-28</x:v>
      </x:c>
      <x:c r="N15" s="717" t="n">
        <x:f>IFERROR(INDEX(EG_Wycena_strona!$F:$F,MATCH($A15,EG_Wycena_strona!$A:$A,0)),"")</x:f>
        <x:v>6970</x:v>
      </x:c>
      <x:c r="O15" s="717" t="n">
        <x:f>IFERROR(INDEX('04_Wycena_strona_nowa'!$F:$F,MATCH($A15,'04_Wycena_strona_nowa'!$A:$A,0)),"")</x:f>
        <x:v>5971</x:v>
      </x:c>
      <x:c r="P15" s="717" t="n">
        <x:f>IF(OR(N15="",O15="",N15=0,O15=0),"",O15-N15)</x:f>
        <x:v>-999</x:v>
      </x:c>
      <x:c r="Q15" s="717" t="n">
        <x:f>IFERROR(INDEX(EG_Wycena_strona!$G:$G,MATCH($A15,EG_Wycena_strona!$A:$A,0)),"")</x:f>
        <x:v>7912</x:v>
      </x:c>
      <x:c r="R15" s="717" t="n">
        <x:f>IFERROR(INDEX('04_Wycena_strona_nowa'!$G:$G,MATCH($A15,'04_Wycena_strona_nowa'!$A:$A,0)),"")</x:f>
        <x:v>6849</x:v>
      </x:c>
      <x:c r="S15" s="717" t="n">
        <x:f>IF(OR(Q15="",R15="",Q15=0,R15=0),"",R15-Q15)</x:f>
        <x:v>-1063</x:v>
      </x:c>
      <x:c r="T15" s="717" t="n">
        <x:f>IFERROR(INDEX(EG_Wycena_strona!$H:$H,MATCH($A15,EG_Wycena_strona!$A:$A,0)),"")</x:f>
        <x:v>3352</x:v>
      </x:c>
      <x:c r="U15" s="717" t="n">
        <x:f>IFERROR(INDEX('04_Wycena_strona_nowa'!$H:$H,MATCH($A15,'04_Wycena_strona_nowa'!$A:$A,0)),"")</x:f>
        <x:v>2979</x:v>
      </x:c>
      <x:c r="V15" s="717" t="n">
        <x:f>IF(OR(T15="",U15="",T15=0,U15=0),"",U15-T15)</x:f>
        <x:v>-373</x:v>
      </x:c>
      <x:c r="W15" s="717" t="n">
        <x:f>IFERROR(INDEX(EG_Wycena_strona!$I:$I,MATCH($A15,EG_Wycena_strona!$A:$A,0)),"")</x:f>
        <x:v>3352</x:v>
      </x:c>
      <x:c r="X15" s="717" t="n">
        <x:f>IFERROR(INDEX('04_Wycena_strona_nowa'!$I:$I,MATCH($A15,'04_Wycena_strona_nowa'!$A:$A,0)),"")</x:f>
        <x:v>2979</x:v>
      </x:c>
      <x:c r="Y15" s="717" t="n">
        <x:f>IF(OR(W15="",X15="",W15=0,X15=0),"",X15-W15)</x:f>
        <x:v>-373</x:v>
      </x:c>
      <x:c r="Z15" s="717" t="n">
        <x:f>IFERROR(INDEX(EG_Wycena_strona!$J:$J,MATCH($A15,EG_Wycena_strona!$A:$A,0)),"")</x:f>
        <x:v>6144</x:v>
      </x:c>
      <x:c r="AA15" s="717" t="n">
        <x:f>IFERROR(INDEX('04_Wycena_strona_nowa'!$J:$J,MATCH($A15,'04_Wycena_strona_nowa'!$A:$A,0)),"")</x:f>
        <x:v>5437</x:v>
      </x:c>
      <x:c r="AB15" s="717" t="n">
        <x:f>IF(OR(Z15="",AA15="",Z15=0,AA15=0),"",AA15-Z15)</x:f>
        <x:v>-707</x:v>
      </x:c>
      <x:c r="AC15" s="717" t="n">
        <x:f>IFERROR(INDEX(EG_Wycena_strona!$K:$K,MATCH($A15,EG_Wycena_strona!$A:$A,0)),"")</x:f>
        <x:v>11227</x:v>
      </x:c>
      <x:c r="AD15" s="717" t="n">
        <x:f>IFERROR(INDEX('04_Wycena_strona_nowa'!$K:$K,MATCH($A15,'04_Wycena_strona_nowa'!$A:$A,0)),"")</x:f>
        <x:v>10135</x:v>
      </x:c>
      <x:c r="AE15" s="717" t="n">
        <x:f>IF(OR(AC15="",AD15="",AC15=0,AD15=0),"",AD15-AC15)</x:f>
        <x:v>-1092</x:v>
      </x:c>
      <x:c r="AF15" s="717" t="n">
        <x:f>IFERROR(ROUND(INDEX(EG_Cennik_uslug!$BS:$BS,MATCH($A15,EG_Cennik_uslug!$A:$A,0))*1.08,0),"")</x:f>
        <x:v>2661</x:v>
      </x:c>
      <x:c r="AG15" s="717" t="n">
        <x:f>IFERROR(INDEX('04_Wycena_strona_nowa'!$L:$L,MATCH($A15,'04_Wycena_strona_nowa'!$A:$A,0)),"")</x:f>
        <x:v>2742</x:v>
      </x:c>
      <x:c r="AH15" s="717" t="n">
        <x:f>IF(OR(AF15="",AG15="",AF15=0,AG15=0),"",AG15-AF15)</x:f>
        <x:v>81</x:v>
      </x:c>
      <x:c r="AI15" s="717" t="n">
        <x:f>IFERROR(ROUND(INDEX(EG_Cennik_uslug!$BZ:$BZ,MATCH($A15,EG_Cennik_uslug!$A:$A,0))*1.08,0),"")</x:f>
        <x:v>723</x:v>
      </x:c>
      <x:c r="AJ15" s="717" t="n">
        <x:f>IFERROR(INDEX('04_Wycena_strona_nowa'!$O:$O,MATCH($A15,'04_Wycena_strona_nowa'!$A:$A,0)),"")</x:f>
        <x:v>675</x:v>
      </x:c>
      <x:c r="AK15" s="717" t="n">
        <x:f>IF(OR(AI15="",AJ15="",AI15=0,AJ15=0),"",AJ15-AI15)</x:f>
        <x:v>-48</x:v>
      </x:c>
      <x:c r="AL15" s="717" t="n">
        <x:f>IFERROR(ROUND(INDEX(EG_Cennik_uslug!$CG:$CG,MATCH($A15,EG_Cennik_uslug!$A:$A,0))*1.08,0),"")</x:f>
        <x:v>656</x:v>
      </x:c>
      <x:c r="AM15" s="717" t="n">
        <x:f>IFERROR(INDEX('04_Wycena_strona_nowa'!$P:$P,MATCH($A15,'04_Wycena_strona_nowa'!$A:$A,0)),"")</x:f>
        <x:v>611</x:v>
      </x:c>
      <x:c r="AN15" s="717" t="n">
        <x:f>IF(OR(AL15="",AM15="",AL15=0,AM15=0),"",AM15-AL15)</x:f>
        <x:v>-45</x:v>
      </x:c>
      <x:c r="AO15" s="717" t="str">
        <x:f>""</x:f>
      </x:c>
      <x:c r="AP15" s="717" t="n">
        <x:f>IFERROR(INDEX('04_Wycena_strona_nowa'!$Q:$Q,MATCH($A15,'04_Wycena_strona_nowa'!$A:$A,0)),"")</x:f>
        <x:v>509</x:v>
      </x:c>
      <x:c r="AQ15" s="717" t="str">
        <x:f>IF(OR(AO15="",AP15="",AO15=0,AP15=0),"",AP15-AO15)</x:f>
      </x:c>
      <x:c r="AR15" s="717" t="n">
        <x:f>IFERROR(ROUND(INDEX(EG_Cennik_uslug!$CN:$CN,MATCH($A15,EG_Cennik_uslug!$A:$A,0))*1.08,0),"")</x:f>
        <x:v>2354</x:v>
      </x:c>
      <x:c r="AS15" s="717" t="n">
        <x:f>IFERROR(INDEX('04_Wycena_strona_nowa'!$M:$M,MATCH($A15,'04_Wycena_strona_nowa'!$A:$A,0)),"")</x:f>
        <x:v>1005</x:v>
      </x:c>
      <x:c r="AT15" s="717" t="n">
        <x:f>IF(OR(AR15="",AS15="",AR15=0,AS15=0),"",AS15-AR15)</x:f>
        <x:v>-1349</x:v>
      </x:c>
      <x:c r="AU15" s="717" t="n">
        <x:f>IFERROR(ROUND(INDEX(EG_Cennik_uslug!$CU:$CU,MATCH($A15,EG_Cennik_uslug!$A:$A,0))*1.08,0),"")</x:f>
        <x:v>2663</x:v>
      </x:c>
      <x:c r="AV15" s="717" t="n">
        <x:f>IFERROR(INDEX('04_Wycena_strona_nowa'!$R:$R,MATCH($A15,'04_Wycena_strona_nowa'!$A:$A,0)),"")</x:f>
        <x:v>2021</x:v>
      </x:c>
      <x:c r="AW15" s="717" t="n">
        <x:f>IF(OR(AU15="",AV15="",AU15=0,AV15=0),"",AV15-AU15)</x:f>
        <x:v>-642</x:v>
      </x:c>
      <x:c r="AX15" s="717" t="str">
        <x:f>""</x:f>
      </x:c>
      <x:c r="AY15" s="717" t="str">
        <x:f>IFERROR(INDEX('04_Wycena_strona_nowa'!$S:$S,MATCH($A15,'04_Wycena_strona_nowa'!$A:$A,0)),"")</x:f>
      </x:c>
      <x:c r="AZ15" s="717" t="str">
        <x:f>IF(OR(AX15="",AY15="",AX15=0,AY15=0),"",AY15-AX15)</x:f>
      </x:c>
      <x:c r="BA15" s="612" t="e">
        <x:f>_xludf.TEXTJOIN("; ",TRUE,IF(OR(LEFT($A15,3)="550",LEFT($A15,3)="600"),"550/600: EG brak benchmarku; opcje szklane/zerowe ukryte w porównaniu do czasu potwierdzenia",""),"LED CCT/RGB: porównanie orientacyjne do EG LED COB","Zabieraki: brak jednoznacznej pozycji EG")</x:f>
      </x:c>
    </x:row>
    <x:row r="16">
      <x:c r="A16" s="608" t="str">
        <x:f>'04_Wycena_strona_nowa'!A16</x:f>
        <x:v>350 x 706 cm</x:v>
      </x:c>
      <x:c r="B16" s="717" t="n">
        <x:f>IFERROR(INDEX(EG_Wycena_strona!$B:$B,MATCH($A16,EG_Wycena_strona!$A:$A,0)),"")</x:f>
        <x:v>17012</x:v>
      </x:c>
      <x:c r="C16" s="717" t="n">
        <x:f>IFERROR(INDEX('04_Wycena_strona_nowa'!$B:$B,MATCH($A16,'04_Wycena_strona_nowa'!$A:$A,0)),"")</x:f>
        <x:v>16167</x:v>
      </x:c>
      <x:c r="D16" s="717" t="n">
        <x:f>IF(OR(B16="",C16="",B16=0,C16=0),"",C16-B16)</x:f>
        <x:v>-845</x:v>
      </x:c>
      <x:c r="E16" s="717" t="n">
        <x:f>IFERROR(INDEX(EG_Wycena_strona!$C:$C,MATCH($A16,EG_Wycena_strona!$A:$A,0)),"")</x:f>
        <x:v>23706</x:v>
      </x:c>
      <x:c r="F16" s="717" t="n">
        <x:f>IFERROR(INDEX('04_Wycena_strona_nowa'!$C:$C,MATCH($A16,'04_Wycena_strona_nowa'!$A:$A,0)),"")</x:f>
        <x:v>21246</x:v>
      </x:c>
      <x:c r="G16" s="717" t="n">
        <x:f>IF(OR(E16="",F16="",E16=0,F16=0),"",F16-E16)</x:f>
        <x:v>-2460</x:v>
      </x:c>
      <x:c r="H16" s="717" t="n">
        <x:f>IFERROR(INDEX(EG_Wycena_strona!$D:$D,MATCH($A16,EG_Wycena_strona!$A:$A,0)),"")</x:f>
        <x:v>26160</x:v>
      </x:c>
      <x:c r="I16" s="717" t="n">
        <x:f>IFERROR(INDEX('04_Wycena_strona_nowa'!$D:$D,MATCH($A16,'04_Wycena_strona_nowa'!$A:$A,0)),"")</x:f>
        <x:v>23537</x:v>
      </x:c>
      <x:c r="J16" s="717" t="n">
        <x:f>IF(OR(H16="",I16="",H16=0,I16=0),"",I16-H16)</x:f>
        <x:v>-2623</x:v>
      </x:c>
      <x:c r="K16" s="717" t="n">
        <x:f>IFERROR(INDEX(EG_Wycena_strona!$E:$E,MATCH($A16,EG_Wycena_strona!$A:$A,0)),"")</x:f>
        <x:v>480</x:v>
      </x:c>
      <x:c r="L16" s="717" t="n">
        <x:f>IFERROR(INDEX('04_Wycena_strona_nowa'!$E:$E,MATCH($A16,'04_Wycena_strona_nowa'!$A:$A,0)),"")</x:f>
        <x:v>446</x:v>
      </x:c>
      <x:c r="M16" s="717" t="n">
        <x:f>IF(OR(K16="",L16="",K16=0,L16=0),"",L16-K16)</x:f>
        <x:v>-34</x:v>
      </x:c>
      <x:c r="N16" s="717" t="n">
        <x:f>IFERROR(INDEX(EG_Wycena_strona!$F:$F,MATCH($A16,EG_Wycena_strona!$A:$A,0)),"")</x:f>
        <x:v>7961</x:v>
      </x:c>
      <x:c r="O16" s="717" t="n">
        <x:f>IFERROR(INDEX('04_Wycena_strona_nowa'!$F:$F,MATCH($A16,'04_Wycena_strona_nowa'!$A:$A,0)),"")</x:f>
        <x:v>6849</x:v>
      </x:c>
      <x:c r="P16" s="717" t="n">
        <x:f>IF(OR(N16="",O16="",N16=0,O16=0),"",O16-N16)</x:f>
        <x:v>-1112</x:v>
      </x:c>
      <x:c r="Q16" s="717" t="n">
        <x:f>IFERROR(INDEX(EG_Wycena_strona!$G:$G,MATCH($A16,EG_Wycena_strona!$A:$A,0)),"")</x:f>
        <x:v>9052</x:v>
      </x:c>
      <x:c r="R16" s="717" t="n">
        <x:f>IFERROR(INDEX('04_Wycena_strona_nowa'!$G:$G,MATCH($A16,'04_Wycena_strona_nowa'!$A:$A,0)),"")</x:f>
        <x:v>7867</x:v>
      </x:c>
      <x:c r="S16" s="717" t="n">
        <x:f>IF(OR(Q16="",R16="",Q16=0,R16=0),"",R16-Q16)</x:f>
        <x:v>-1185</x:v>
      </x:c>
      <x:c r="T16" s="717" t="n">
        <x:f>IFERROR(INDEX(EG_Wycena_strona!$H:$H,MATCH($A16,EG_Wycena_strona!$A:$A,0)),"")</x:f>
        <x:v>3352</x:v>
      </x:c>
      <x:c r="U16" s="717" t="n">
        <x:f>IFERROR(INDEX('04_Wycena_strona_nowa'!$H:$H,MATCH($A16,'04_Wycena_strona_nowa'!$A:$A,0)),"")</x:f>
        <x:v>2979</x:v>
      </x:c>
      <x:c r="V16" s="717" t="n">
        <x:f>IF(OR(T16="",U16="",T16=0,U16=0),"",U16-T16)</x:f>
        <x:v>-373</x:v>
      </x:c>
      <x:c r="W16" s="717" t="n">
        <x:f>IFERROR(INDEX(EG_Wycena_strona!$I:$I,MATCH($A16,EG_Wycena_strona!$A:$A,0)),"")</x:f>
        <x:v>3352</x:v>
      </x:c>
      <x:c r="X16" s="717" t="n">
        <x:f>IFERROR(INDEX('04_Wycena_strona_nowa'!$I:$I,MATCH($A16,'04_Wycena_strona_nowa'!$A:$A,0)),"")</x:f>
        <x:v>2979</x:v>
      </x:c>
      <x:c r="Y16" s="717" t="n">
        <x:f>IF(OR(W16="",X16="",W16=0,X16=0),"",X16-W16)</x:f>
        <x:v>-373</x:v>
      </x:c>
      <x:c r="Z16" s="717" t="n">
        <x:f>IFERROR(INDEX(EG_Wycena_strona!$J:$J,MATCH($A16,EG_Wycena_strona!$A:$A,0)),"")</x:f>
        <x:v>6839</x:v>
      </x:c>
      <x:c r="AA16" s="717" t="n">
        <x:f>IFERROR(INDEX('04_Wycena_strona_nowa'!$J:$J,MATCH($A16,'04_Wycena_strona_nowa'!$A:$A,0)),"")</x:f>
        <x:v>6086</x:v>
      </x:c>
      <x:c r="AB16" s="717" t="n">
        <x:f>IF(OR(Z16="",AA16="",Z16=0,AA16=0),"",AA16-Z16)</x:f>
        <x:v>-753</x:v>
      </x:c>
      <x:c r="AC16" s="717" t="n">
        <x:f>IFERROR(INDEX(EG_Wycena_strona!$K:$K,MATCH($A16,EG_Wycena_strona!$A:$A,0)),"")</x:f>
        <x:v>12043</x:v>
      </x:c>
      <x:c r="AD16" s="717" t="n">
        <x:f>IFERROR(INDEX('04_Wycena_strona_nowa'!$K:$K,MATCH($A16,'04_Wycena_strona_nowa'!$A:$A,0)),"")</x:f>
        <x:v>10796</x:v>
      </x:c>
      <x:c r="AE16" s="717" t="n">
        <x:f>IF(OR(AC16="",AD16="",AC16=0,AD16=0),"",AD16-AC16)</x:f>
        <x:v>-1247</x:v>
      </x:c>
      <x:c r="AF16" s="717" t="n">
        <x:f>IFERROR(ROUND(INDEX(EG_Cennik_uslug!$BS:$BS,MATCH($A16,EG_Cennik_uslug!$A:$A,0))*1.08,0),"")</x:f>
        <x:v>2289</x:v>
      </x:c>
      <x:c r="AG16" s="717" t="n">
        <x:f>IFERROR(INDEX('04_Wycena_strona_nowa'!$L:$L,MATCH($A16,'04_Wycena_strona_nowa'!$A:$A,0)),"")</x:f>
        <x:v>2357</x:v>
      </x:c>
      <x:c r="AH16" s="717" t="n">
        <x:f>IF(OR(AF16="",AG16="",AF16=0,AG16=0),"",AG16-AF16)</x:f>
        <x:v>68</x:v>
      </x:c>
      <x:c r="AI16" s="717" t="n">
        <x:f>IFERROR(ROUND(INDEX(EG_Cennik_uslug!$BZ:$BZ,MATCH($A16,EG_Cennik_uslug!$A:$A,0))*1.08,0),"")</x:f>
        <x:v>778</x:v>
      </x:c>
      <x:c r="AJ16" s="717" t="n">
        <x:f>IFERROR(INDEX('04_Wycena_strona_nowa'!$O:$O,MATCH($A16,'04_Wycena_strona_nowa'!$A:$A,0)),"")</x:f>
        <x:v>725</x:v>
      </x:c>
      <x:c r="AK16" s="717" t="n">
        <x:f>IF(OR(AI16="",AJ16="",AI16=0,AJ16=0),"",AJ16-AI16)</x:f>
        <x:v>-53</x:v>
      </x:c>
      <x:c r="AL16" s="717" t="n">
        <x:f>IFERROR(ROUND(INDEX(EG_Cennik_uslug!$CG:$CG,MATCH($A16,EG_Cennik_uslug!$A:$A,0))*1.08,0),"")</x:f>
        <x:v>711</x:v>
      </x:c>
      <x:c r="AM16" s="717" t="n">
        <x:f>IFERROR(INDEX('04_Wycena_strona_nowa'!$P:$P,MATCH($A16,'04_Wycena_strona_nowa'!$A:$A,0)),"")</x:f>
        <x:v>662</x:v>
      </x:c>
      <x:c r="AN16" s="717" t="n">
        <x:f>IF(OR(AL16="",AM16="",AL16=0,AM16=0),"",AM16-AL16)</x:f>
        <x:v>-49</x:v>
      </x:c>
      <x:c r="AO16" s="717" t="str">
        <x:f>""</x:f>
      </x:c>
      <x:c r="AP16" s="717" t="n">
        <x:f>IFERROR(INDEX('04_Wycena_strona_nowa'!$Q:$Q,MATCH($A16,'04_Wycena_strona_nowa'!$A:$A,0)),"")</x:f>
        <x:v>561</x:v>
      </x:c>
      <x:c r="AQ16" s="717" t="str">
        <x:f>IF(OR(AO16="",AP16="",AO16=0,AP16=0),"",AP16-AO16)</x:f>
      </x:c>
      <x:c r="AR16" s="717" t="n">
        <x:f>IFERROR(ROUND(INDEX(EG_Cennik_uslug!$CN:$CN,MATCH($A16,EG_Cennik_uslug!$A:$A,0))*1.08,0),"")</x:f>
        <x:v>2900</x:v>
      </x:c>
      <x:c r="AS16" s="717" t="n">
        <x:f>IFERROR(INDEX('04_Wycena_strona_nowa'!$M:$M,MATCH($A16,'04_Wycena_strona_nowa'!$A:$A,0)),"")</x:f>
        <x:v>1107</x:v>
      </x:c>
      <x:c r="AT16" s="717" t="n">
        <x:f>IF(OR(AR16="",AS16="",AR16=0,AS16=0),"",AS16-AR16)</x:f>
        <x:v>-1793</x:v>
      </x:c>
      <x:c r="AU16" s="717" t="n">
        <x:f>IFERROR(ROUND(INDEX(EG_Cennik_uslug!$CU:$CU,MATCH($A16,EG_Cennik_uslug!$A:$A,0))*1.08,0),"")</x:f>
        <x:v>3558</x:v>
      </x:c>
      <x:c r="AV16" s="717" t="n">
        <x:f>IFERROR(INDEX('04_Wycena_strona_nowa'!$R:$R,MATCH($A16,'04_Wycena_strona_nowa'!$A:$A,0)),"")</x:f>
        <x:v>2271</x:v>
      </x:c>
      <x:c r="AW16" s="717" t="n">
        <x:f>IF(OR(AU16="",AV16="",AU16=0,AV16=0),"",AV16-AU16)</x:f>
        <x:v>-1287</x:v>
      </x:c>
      <x:c r="AX16" s="717" t="str">
        <x:f>""</x:f>
      </x:c>
      <x:c r="AY16" s="717" t="str">
        <x:f>IFERROR(INDEX('04_Wycena_strona_nowa'!$S:$S,MATCH($A16,'04_Wycena_strona_nowa'!$A:$A,0)),"")</x:f>
      </x:c>
      <x:c r="AZ16" s="717" t="str">
        <x:f>IF(OR(AX16="",AY16="",AX16=0,AY16=0),"",AY16-AX16)</x:f>
      </x:c>
      <x:c r="BA16" s="612" t="e">
        <x:f>_xludf.TEXTJOIN("; ",TRUE,IF(OR(LEFT($A16,3)="550",LEFT($A16,3)="600"),"550/600: EG brak benchmarku; opcje szklane/zerowe ukryte w porównaniu do czasu potwierdzenia",""),"LED CCT/RGB: porównanie orientacyjne do EG LED COB","Zabieraki: brak jednoznacznej pozycji EG")</x:f>
      </x:c>
    </x:row>
    <x:row r="17">
      <x:c r="A17" s="608" t="str">
        <x:f>'04_Wycena_strona_nowa'!A17</x:f>
        <x:v>350 x 806 cm</x:v>
      </x:c>
      <x:c r="B17" s="717" t="n">
        <x:f>IFERROR(INDEX(EG_Wycena_strona!$B:$B,MATCH($A17,EG_Wycena_strona!$A:$A,0)),"")</x:f>
        <x:v>19900</x:v>
      </x:c>
      <x:c r="C17" s="717" t="n">
        <x:f>IFERROR(INDEX('04_Wycena_strona_nowa'!$B:$B,MATCH($A17,'04_Wycena_strona_nowa'!$A:$A,0)),"")</x:f>
        <x:v>18877</x:v>
      </x:c>
      <x:c r="D17" s="717" t="n">
        <x:f>IF(OR(B17="",C17="",B17=0,C17=0),"",C17-B17)</x:f>
        <x:v>-1023</x:v>
      </x:c>
      <x:c r="E17" s="717" t="n">
        <x:f>IFERROR(INDEX(EG_Wycena_strona!$C:$C,MATCH($A17,EG_Wycena_strona!$A:$A,0)),"")</x:f>
        <x:v>25044</x:v>
      </x:c>
      <x:c r="F17" s="717" t="n">
        <x:f>IFERROR(INDEX('04_Wycena_strona_nowa'!$C:$C,MATCH($A17,'04_Wycena_strona_nowa'!$A:$A,0)),"")</x:f>
        <x:v>22387</x:v>
      </x:c>
      <x:c r="G17" s="717" t="n">
        <x:f>IF(OR(E17="",F17="",E17=0,F17=0),"",F17-E17)</x:f>
        <x:v>-2657</x:v>
      </x:c>
      <x:c r="H17" s="717" t="n">
        <x:f>IFERROR(INDEX(EG_Wycena_strona!$D:$D,MATCH($A17,EG_Wycena_strona!$A:$A,0)),"")</x:f>
        <x:v>27662</x:v>
      </x:c>
      <x:c r="I17" s="717" t="n">
        <x:f>IFERROR(INDEX('04_Wycena_strona_nowa'!$D:$D,MATCH($A17,'04_Wycena_strona_nowa'!$A:$A,0)),"")</x:f>
        <x:v>24831</x:v>
      </x:c>
      <x:c r="J17" s="717" t="n">
        <x:f>IF(OR(H17="",I17="",H17=0,I17=0),"",I17-H17)</x:f>
        <x:v>-2831</x:v>
      </x:c>
      <x:c r="K17" s="717" t="n">
        <x:f>IFERROR(INDEX(EG_Wycena_strona!$E:$E,MATCH($A17,EG_Wycena_strona!$A:$A,0)),"")</x:f>
        <x:v>546</x:v>
      </x:c>
      <x:c r="L17" s="717" t="n">
        <x:f>IFERROR(INDEX('04_Wycena_strona_nowa'!$E:$E,MATCH($A17,'04_Wycena_strona_nowa'!$A:$A,0)),"")</x:f>
        <x:v>509</x:v>
      </x:c>
      <x:c r="M17" s="717" t="n">
        <x:f>IF(OR(K17="",L17="",K17=0,L17=0),"",L17-K17)</x:f>
        <x:v>-37</x:v>
      </x:c>
      <x:c r="N17" s="717" t="n">
        <x:f>IFERROR(INDEX(EG_Wycena_strona!$F:$F,MATCH($A17,EG_Wycena_strona!$A:$A,0)),"")</x:f>
        <x:v>9483</x:v>
      </x:c>
      <x:c r="O17" s="717" t="n">
        <x:f>IFERROR(INDEX('04_Wycena_strona_nowa'!$F:$F,MATCH($A17,'04_Wycena_strona_nowa'!$A:$A,0)),"")</x:f>
        <x:v>8199</x:v>
      </x:c>
      <x:c r="P17" s="717" t="n">
        <x:f>IF(OR(N17="",O17="",N17=0,O17=0),"",O17-N17)</x:f>
        <x:v>-1284</x:v>
      </x:c>
      <x:c r="Q17" s="717" t="n">
        <x:f>IFERROR(INDEX(EG_Wycena_strona!$G:$G,MATCH($A17,EG_Wycena_strona!$A:$A,0)),"")</x:f>
        <x:v>10724</x:v>
      </x:c>
      <x:c r="R17" s="717" t="n">
        <x:f>IFERROR(INDEX('04_Wycena_strona_nowa'!$G:$G,MATCH($A17,'04_Wycena_strona_nowa'!$A:$A,0)),"")</x:f>
        <x:v>9358</x:v>
      </x:c>
      <x:c r="S17" s="717" t="n">
        <x:f>IF(OR(Q17="",R17="",Q17=0,R17=0),"",R17-Q17)</x:f>
        <x:v>-1366</x:v>
      </x:c>
      <x:c r="T17" s="717" t="n">
        <x:f>IFERROR(INDEX(EG_Wycena_strona!$H:$H,MATCH($A17,EG_Wycena_strona!$A:$A,0)),"")</x:f>
        <x:v>3352</x:v>
      </x:c>
      <x:c r="U17" s="717" t="n">
        <x:f>IFERROR(INDEX('04_Wycena_strona_nowa'!$H:$H,MATCH($A17,'04_Wycena_strona_nowa'!$A:$A,0)),"")</x:f>
        <x:v>2979</x:v>
      </x:c>
      <x:c r="V17" s="717" t="n">
        <x:f>IF(OR(T17="",U17="",T17=0,U17=0),"",U17-T17)</x:f>
        <x:v>-373</x:v>
      </x:c>
      <x:c r="W17" s="717" t="n">
        <x:f>IFERROR(INDEX(EG_Wycena_strona!$I:$I,MATCH($A17,EG_Wycena_strona!$A:$A,0)),"")</x:f>
        <x:v>3352</x:v>
      </x:c>
      <x:c r="X17" s="717" t="n">
        <x:f>IFERROR(INDEX('04_Wycena_strona_nowa'!$I:$I,MATCH($A17,'04_Wycena_strona_nowa'!$A:$A,0)),"")</x:f>
        <x:v>2979</x:v>
      </x:c>
      <x:c r="Y17" s="717" t="n">
        <x:f>IF(OR(W17="",X17="",W17=0,X17=0),"",X17-W17)</x:f>
        <x:v>-373</x:v>
      </x:c>
      <x:c r="Z17" s="717" t="n">
        <x:f>IFERROR(INDEX(EG_Wycena_strona!$J:$J,MATCH($A17,EG_Wycena_strona!$A:$A,0)),"")</x:f>
        <x:v>7520</x:v>
      </x:c>
      <x:c r="AA17" s="717" t="n">
        <x:f>IFERROR(INDEX('04_Wycena_strona_nowa'!$J:$J,MATCH($A17,'04_Wycena_strona_nowa'!$A:$A,0)),"")</x:f>
        <x:v>6723</x:v>
      </x:c>
      <x:c r="AB17" s="717" t="n">
        <x:f>IF(OR(Z17="",AA17="",Z17=0,AA17=0),"",AA17-Z17)</x:f>
        <x:v>-797</x:v>
      </x:c>
      <x:c r="AC17" s="717" t="n">
        <x:f>IFERROR(INDEX(EG_Wycena_strona!$K:$K,MATCH($A17,EG_Wycena_strona!$A:$A,0)),"")</x:f>
        <x:v>12792</x:v>
      </x:c>
      <x:c r="AD17" s="717" t="n">
        <x:f>IFERROR(INDEX('04_Wycena_strona_nowa'!$K:$K,MATCH($A17,'04_Wycena_strona_nowa'!$A:$A,0)),"")</x:f>
        <x:v>11446</x:v>
      </x:c>
      <x:c r="AE17" s="717" t="n">
        <x:f>IF(OR(AC17="",AD17="",AC17=0,AD17=0),"",AD17-AC17)</x:f>
        <x:v>-1346</x:v>
      </x:c>
      <x:c r="AF17" s="717" t="n">
        <x:f>IFERROR(ROUND(INDEX(EG_Cennik_uslug!$BS:$BS,MATCH($A17,EG_Cennik_uslug!$A:$A,0))*1.08,0),"")</x:f>
        <x:v>2493</x:v>
      </x:c>
      <x:c r="AG17" s="717" t="n">
        <x:f>IFERROR(INDEX('04_Wycena_strona_nowa'!$L:$L,MATCH($A17,'04_Wycena_strona_nowa'!$A:$A,0)),"")</x:f>
        <x:v>2568</x:v>
      </x:c>
      <x:c r="AH17" s="717" t="n">
        <x:f>IF(OR(AF17="",AG17="",AF17=0,AG17=0),"",AG17-AF17)</x:f>
        <x:v>75</x:v>
      </x:c>
      <x:c r="AI17" s="717" t="n">
        <x:f>IFERROR(ROUND(INDEX(EG_Cennik_uslug!$BZ:$BZ,MATCH($A17,EG_Cennik_uslug!$A:$A,0))*1.08,0),"")</x:f>
        <x:v>834</x:v>
      </x:c>
      <x:c r="AJ17" s="717" t="n">
        <x:f>IFERROR(INDEX('04_Wycena_strona_nowa'!$O:$O,MATCH($A17,'04_Wycena_strona_nowa'!$A:$A,0)),"")</x:f>
        <x:v>777</x:v>
      </x:c>
      <x:c r="AK17" s="717" t="n">
        <x:f>IF(OR(AI17="",AJ17="",AI17=0,AJ17=0),"",AJ17-AI17)</x:f>
        <x:v>-57</x:v>
      </x:c>
      <x:c r="AL17" s="717" t="n">
        <x:f>IFERROR(ROUND(INDEX(EG_Cennik_uslug!$CG:$CG,MATCH($A17,EG_Cennik_uslug!$A:$A,0))*1.08,0),"")</x:f>
        <x:v>751</x:v>
      </x:c>
      <x:c r="AM17" s="717" t="n">
        <x:f>IFERROR(INDEX('04_Wycena_strona_nowa'!$P:$P,MATCH($A17,'04_Wycena_strona_nowa'!$A:$A,0)),"")</x:f>
        <x:v>700</x:v>
      </x:c>
      <x:c r="AN17" s="717" t="n">
        <x:f>IF(OR(AL17="",AM17="",AL17=0,AM17=0),"",AM17-AL17)</x:f>
        <x:v>-51</x:v>
      </x:c>
      <x:c r="AO17" s="717" t="str">
        <x:f>""</x:f>
      </x:c>
      <x:c r="AP17" s="717" t="n">
        <x:f>IFERROR(INDEX('04_Wycena_strona_nowa'!$Q:$Q,MATCH($A17,'04_Wycena_strona_nowa'!$A:$A,0)),"")</x:f>
        <x:v>611</x:v>
      </x:c>
      <x:c r="AQ17" s="717" t="str">
        <x:f>IF(OR(AO17="",AP17="",AO17=0,AP17=0),"",AP17-AO17)</x:f>
      </x:c>
      <x:c r="AR17" s="717" t="n">
        <x:f>IFERROR(ROUND(INDEX(EG_Cennik_uslug!$CN:$CN,MATCH($A17,EG_Cennik_uslug!$A:$A,0))*1.08,0),"")</x:f>
        <x:v>3191</x:v>
      </x:c>
      <x:c r="AS17" s="717" t="n">
        <x:f>IFERROR(INDEX('04_Wycena_strona_nowa'!$M:$M,MATCH($A17,'04_Wycena_strona_nowa'!$A:$A,0)),"")</x:f>
        <x:v>1221</x:v>
      </x:c>
      <x:c r="AT17" s="717" t="n">
        <x:f>IF(OR(AR17="",AS17="",AR17=0,AS17=0),"",AS17-AR17)</x:f>
        <x:v>-1970</x:v>
      </x:c>
      <x:c r="AU17" s="717" t="n">
        <x:f>IFERROR(ROUND(INDEX(EG_Cennik_uslug!$CU:$CU,MATCH($A17,EG_Cennik_uslug!$A:$A,0))*1.08,0),"")</x:f>
        <x:v>3869</x:v>
      </x:c>
      <x:c r="AV17" s="717" t="n">
        <x:f>IFERROR(INDEX('04_Wycena_strona_nowa'!$R:$R,MATCH($A17,'04_Wycena_strona_nowa'!$A:$A,0)),"")</x:f>
        <x:v>2537</x:v>
      </x:c>
      <x:c r="AW17" s="717" t="n">
        <x:f>IF(OR(AU17="",AV17="",AU17=0,AV17=0),"",AV17-AU17)</x:f>
        <x:v>-1332</x:v>
      </x:c>
      <x:c r="AX17" s="717" t="str">
        <x:f>""</x:f>
      </x:c>
      <x:c r="AY17" s="717" t="str">
        <x:f>IFERROR(INDEX('04_Wycena_strona_nowa'!$S:$S,MATCH($A17,'04_Wycena_strona_nowa'!$A:$A,0)),"")</x:f>
      </x:c>
      <x:c r="AZ17" s="717" t="str">
        <x:f>IF(OR(AX17="",AY17="",AX17=0,AY17=0),"",AY17-AX17)</x:f>
      </x:c>
      <x:c r="BA17" s="612" t="e">
        <x:f>_xludf.TEXTJOIN("; ",TRUE,IF(OR(LEFT($A17,3)="550",LEFT($A17,3)="600"),"550/600: EG brak benchmarku; opcje szklane/zerowe ukryte w porównaniu do czasu potwierdzenia",""),"LED CCT/RGB: porównanie orientacyjne do EG LED COB","Zabieraki: brak jednoznacznej pozycji EG")</x:f>
      </x:c>
    </x:row>
    <x:row r="18">
      <x:c r="A18" s="608" t="str">
        <x:f>'04_Wycena_strona_nowa'!A18</x:f>
        <x:v>350 x 906 cm</x:v>
      </x:c>
      <x:c r="B18" s="717" t="n">
        <x:f>IFERROR(INDEX(EG_Wycena_strona!$B:$B,MATCH($A18,EG_Wycena_strona!$A:$A,0)),"")</x:f>
        <x:v>22153</x:v>
      </x:c>
      <x:c r="C18" s="717" t="n">
        <x:f>IFERROR(INDEX('04_Wycena_strona_nowa'!$B:$B,MATCH($A18,'04_Wycena_strona_nowa'!$A:$A,0)),"")</x:f>
        <x:v>21006</x:v>
      </x:c>
      <x:c r="D18" s="717" t="n">
        <x:f>IF(OR(B18="",C18="",B18=0,C18=0),"",C18-B18)</x:f>
        <x:v>-1147</x:v>
      </x:c>
      <x:c r="E18" s="717" t="n">
        <x:f>IFERROR(INDEX(EG_Wycena_strona!$C:$C,MATCH($A18,EG_Wycena_strona!$A:$A,0)),"")</x:f>
        <x:v>26763</x:v>
      </x:c>
      <x:c r="F18" s="717" t="n">
        <x:f>IFERROR(INDEX('04_Wycena_strona_nowa'!$C:$C,MATCH($A18,'04_Wycena_strona_nowa'!$A:$A,0)),"")</x:f>
        <x:v>23894</x:v>
      </x:c>
      <x:c r="G18" s="717" t="n">
        <x:f>IF(OR(E18="",F18="",E18=0,F18=0),"",F18-E18)</x:f>
        <x:v>-2869</x:v>
      </x:c>
      <x:c r="H18" s="717" t="n">
        <x:f>IFERROR(INDEX(EG_Wycena_strona!$D:$D,MATCH($A18,EG_Wycena_strona!$A:$A,0)),"")</x:f>
        <x:v>29544</x:v>
      </x:c>
      <x:c r="I18" s="717" t="n">
        <x:f>IFERROR(INDEX('04_Wycena_strona_nowa'!$D:$D,MATCH($A18,'04_Wycena_strona_nowa'!$A:$A,0)),"")</x:f>
        <x:v>26492</x:v>
      </x:c>
      <x:c r="J18" s="717" t="n">
        <x:f>IF(OR(H18="",I18="",H18=0,I18=0),"",I18-H18)</x:f>
        <x:v>-3052</x:v>
      </x:c>
      <x:c r="K18" s="717" t="n">
        <x:f>IFERROR(INDEX(EG_Wycena_strona!$E:$E,MATCH($A18,EG_Wycena_strona!$A:$A,0)),"")</x:f>
        <x:v>613</x:v>
      </x:c>
      <x:c r="L18" s="717" t="n">
        <x:f>IFERROR(INDEX('04_Wycena_strona_nowa'!$E:$E,MATCH($A18,'04_Wycena_strona_nowa'!$A:$A,0)),"")</x:f>
        <x:v>573</x:v>
      </x:c>
      <x:c r="M18" s="717" t="n">
        <x:f>IF(OR(K18="",L18="",K18=0,L18=0),"",L18-K18)</x:f>
        <x:v>-40</x:v>
      </x:c>
      <x:c r="N18" s="717" t="n">
        <x:f>IFERROR(INDEX(EG_Wycena_strona!$F:$F,MATCH($A18,EG_Wycena_strona!$A:$A,0)),"")</x:f>
        <x:v>10749</x:v>
      </x:c>
      <x:c r="O18" s="717" t="n">
        <x:f>IFERROR(INDEX('04_Wycena_strona_nowa'!$F:$F,MATCH($A18,'04_Wycena_strona_nowa'!$A:$A,0)),"")</x:f>
        <x:v>9306</x:v>
      </x:c>
      <x:c r="P18" s="717" t="n">
        <x:f>IF(OR(N18="",O18="",N18=0,O18=0),"",O18-N18)</x:f>
        <x:v>-1443</x:v>
      </x:c>
      <x:c r="Q18" s="717" t="n">
        <x:f>IFERROR(INDEX(EG_Wycena_strona!$G:$G,MATCH($A18,EG_Wycena_strona!$A:$A,0)),"")</x:f>
        <x:v>12140</x:v>
      </x:c>
      <x:c r="R18" s="717" t="n">
        <x:f>IFERROR(INDEX('04_Wycena_strona_nowa'!$G:$G,MATCH($A18,'04_Wycena_strona_nowa'!$A:$A,0)),"")</x:f>
        <x:v>10604</x:v>
      </x:c>
      <x:c r="S18" s="717" t="n">
        <x:f>IF(OR(Q18="",R18="",Q18=0,R18=0),"",R18-Q18)</x:f>
        <x:v>-1536</x:v>
      </x:c>
      <x:c r="T18" s="717" t="n">
        <x:f>IFERROR(INDEX(EG_Wycena_strona!$H:$H,MATCH($A18,EG_Wycena_strona!$A:$A,0)),"")</x:f>
        <x:v>3352</x:v>
      </x:c>
      <x:c r="U18" s="717" t="n">
        <x:f>IFERROR(INDEX('04_Wycena_strona_nowa'!$H:$H,MATCH($A18,'04_Wycena_strona_nowa'!$A:$A,0)),"")</x:f>
        <x:v>2979</x:v>
      </x:c>
      <x:c r="V18" s="717" t="n">
        <x:f>IF(OR(T18="",U18="",T18=0,U18=0),"",U18-T18)</x:f>
        <x:v>-373</x:v>
      </x:c>
      <x:c r="W18" s="717" t="n">
        <x:f>IFERROR(INDEX(EG_Wycena_strona!$I:$I,MATCH($A18,EG_Wycena_strona!$A:$A,0)),"")</x:f>
        <x:v>3352</x:v>
      </x:c>
      <x:c r="X18" s="717" t="n">
        <x:f>IFERROR(INDEX('04_Wycena_strona_nowa'!$I:$I,MATCH($A18,'04_Wycena_strona_nowa'!$A:$A,0)),"")</x:f>
        <x:v>2979</x:v>
      </x:c>
      <x:c r="Y18" s="717" t="n">
        <x:f>IF(OR(W18="",X18="",W18=0,X18=0),"",X18-W18)</x:f>
        <x:v>-373</x:v>
      </x:c>
      <x:c r="Z18" s="717" t="n">
        <x:f>IFERROR(INDEX(EG_Wycena_strona!$J:$J,MATCH($A18,EG_Wycena_strona!$A:$A,0)),"")</x:f>
        <x:v>9209</x:v>
      </x:c>
      <x:c r="AA18" s="717" t="n">
        <x:f>IFERROR(INDEX('04_Wycena_strona_nowa'!$J:$J,MATCH($A18,'04_Wycena_strona_nowa'!$A:$A,0)),"")</x:f>
        <x:v>8148</x:v>
      </x:c>
      <x:c r="AB18" s="717" t="n">
        <x:f>IF(OR(Z18="",AA18="",Z18=0,AA18=0),"",AA18-Z18)</x:f>
        <x:v>-1061</x:v>
      </x:c>
      <x:c r="AC18" s="717" t="n">
        <x:f>IFERROR(INDEX(EG_Wycena_strona!$K:$K,MATCH($A18,EG_Wycena_strona!$A:$A,0)),"")</x:f>
        <x:v>13813</x:v>
      </x:c>
      <x:c r="AD18" s="717" t="n">
        <x:f>IFERROR(INDEX('04_Wycena_strona_nowa'!$K:$K,MATCH($A18,'04_Wycena_strona_nowa'!$A:$A,0)),"")</x:f>
        <x:v>12350</x:v>
      </x:c>
      <x:c r="AE18" s="717" t="n">
        <x:f>IF(OR(AC18="",AD18="",AC18=0,AD18=0),"",AD18-AC18)</x:f>
        <x:v>-1463</x:v>
      </x:c>
      <x:c r="AF18" s="717" t="n">
        <x:f>IFERROR(ROUND(INDEX(EG_Cennik_uslug!$BS:$BS,MATCH($A18,EG_Cennik_uslug!$A:$A,0))*1.08,0),"")</x:f>
        <x:v>2756</x:v>
      </x:c>
      <x:c r="AG18" s="717" t="n">
        <x:f>IFERROR(INDEX('04_Wycena_strona_nowa'!$L:$L,MATCH($A18,'04_Wycena_strona_nowa'!$A:$A,0)),"")</x:f>
        <x:v>2839</x:v>
      </x:c>
      <x:c r="AH18" s="717" t="n">
        <x:f>IF(OR(AF18="",AG18="",AF18=0,AG18=0),"",AG18-AF18)</x:f>
        <x:v>83</x:v>
      </x:c>
      <x:c r="AI18" s="717" t="n">
        <x:f>IFERROR(ROUND(INDEX(EG_Cennik_uslug!$BZ:$BZ,MATCH($A18,EG_Cennik_uslug!$A:$A,0))*1.08,0),"")</x:f>
        <x:v>887</x:v>
      </x:c>
      <x:c r="AJ18" s="717" t="n">
        <x:f>IFERROR(INDEX('04_Wycena_strona_nowa'!$O:$O,MATCH($A18,'04_Wycena_strona_nowa'!$A:$A,0)),"")</x:f>
        <x:v>827</x:v>
      </x:c>
      <x:c r="AK18" s="717" t="n">
        <x:f>IF(OR(AI18="",AJ18="",AI18=0,AJ18=0),"",AJ18-AI18)</x:f>
        <x:v>-60</x:v>
      </x:c>
      <x:c r="AL18" s="717" t="n">
        <x:f>IFERROR(ROUND(INDEX(EG_Cennik_uslug!$CG:$CG,MATCH($A18,EG_Cennik_uslug!$A:$A,0))*1.08,0),"")</x:f>
        <x:v>806</x:v>
      </x:c>
      <x:c r="AM18" s="717" t="n">
        <x:f>IFERROR(INDEX('04_Wycena_strona_nowa'!$P:$P,MATCH($A18,'04_Wycena_strona_nowa'!$A:$A,0)),"")</x:f>
        <x:v>752</x:v>
      </x:c>
      <x:c r="AN18" s="717" t="n">
        <x:f>IF(OR(AL18="",AM18="",AL18=0,AM18=0),"",AM18-AL18)</x:f>
        <x:v>-54</x:v>
      </x:c>
      <x:c r="AO18" s="717" t="str">
        <x:f>""</x:f>
      </x:c>
      <x:c r="AP18" s="717" t="n">
        <x:f>IFERROR(INDEX('04_Wycena_strona_nowa'!$Q:$Q,MATCH($A18,'04_Wycena_strona_nowa'!$A:$A,0)),"")</x:f>
        <x:v>611</x:v>
      </x:c>
      <x:c r="AQ18" s="717" t="str">
        <x:f>IF(OR(AO18="",AP18="",AO18=0,AP18=0),"",AP18-AO18)</x:f>
      </x:c>
      <x:c r="AR18" s="717" t="n">
        <x:f>IFERROR(ROUND(INDEX(EG_Cennik_uslug!$CN:$CN,MATCH($A18,EG_Cennik_uslug!$A:$A,0))*1.08,0),"")</x:f>
        <x:v>3559</x:v>
      </x:c>
      <x:c r="AS18" s="717" t="n">
        <x:f>IFERROR(INDEX('04_Wycena_strona_nowa'!$M:$M,MATCH($A18,'04_Wycena_strona_nowa'!$A:$A,0)),"")</x:f>
        <x:v>1325</x:v>
      </x:c>
      <x:c r="AT18" s="717" t="n">
        <x:f>IF(OR(AR18="",AS18="",AR18=0,AS18=0),"",AS18-AR18)</x:f>
        <x:v>-2234</x:v>
      </x:c>
      <x:c r="AU18" s="717" t="n">
        <x:f>IFERROR(ROUND(INDEX(EG_Cennik_uslug!$CU:$CU,MATCH($A18,EG_Cennik_uslug!$A:$A,0))*1.08,0),"")</x:f>
        <x:v>4179</x:v>
      </x:c>
      <x:c r="AV18" s="717" t="n">
        <x:f>IFERROR(INDEX('04_Wycena_strona_nowa'!$R:$R,MATCH($A18,'04_Wycena_strona_nowa'!$A:$A,0)),"")</x:f>
        <x:v>2787</x:v>
      </x:c>
      <x:c r="AW18" s="717" t="n">
        <x:f>IF(OR(AU18="",AV18="",AU18=0,AV18=0),"",AV18-AU18)</x:f>
        <x:v>-1392</x:v>
      </x:c>
      <x:c r="AX18" s="717" t="str">
        <x:f>""</x:f>
      </x:c>
      <x:c r="AY18" s="717" t="str">
        <x:f>IFERROR(INDEX('04_Wycena_strona_nowa'!$S:$S,MATCH($A18,'04_Wycena_strona_nowa'!$A:$A,0)),"")</x:f>
      </x:c>
      <x:c r="AZ18" s="717" t="str">
        <x:f>IF(OR(AX18="",AY18="",AX18=0,AY18=0),"",AY18-AX18)</x:f>
      </x:c>
      <x:c r="BA18" s="612" t="e">
        <x:f>_xludf.TEXTJOIN("; ",TRUE,IF(OR(LEFT($A18,3)="550",LEFT($A18,3)="600"),"550/600: EG brak benchmarku; opcje szklane/zerowe ukryte w porównaniu do czasu potwierdzenia",""),"LED CCT/RGB: porównanie orientacyjne do EG LED COB","Zabieraki: brak jednoznacznej pozycji EG")</x:f>
      </x:c>
    </x:row>
    <x:row r="19">
      <x:c r="A19" s="608" t="str">
        <x:f>'04_Wycena_strona_nowa'!A19</x:f>
        <x:v>350 x 1006 cm</x:v>
      </x:c>
      <x:c r="B19" s="717" t="n">
        <x:f>IFERROR(INDEX(EG_Wycena_strona!$B:$B,MATCH($A19,EG_Wycena_strona!$A:$A,0)),"")</x:f>
        <x:v>24407</x:v>
      </x:c>
      <x:c r="C19" s="717" t="n">
        <x:f>IFERROR(INDEX('04_Wycena_strona_nowa'!$B:$B,MATCH($A19,'04_Wycena_strona_nowa'!$A:$A,0)),"")</x:f>
        <x:v>23134</x:v>
      </x:c>
      <x:c r="D19" s="717" t="n">
        <x:f>IF(OR(B19="",C19="",B19=0,C19=0),"",C19-B19)</x:f>
        <x:v>-1273</x:v>
      </x:c>
      <x:c r="E19" s="717" t="n">
        <x:f>IFERROR(INDEX(EG_Wycena_strona!$C:$C,MATCH($A19,EG_Wycena_strona!$A:$A,0)),"")</x:f>
        <x:v>28496</x:v>
      </x:c>
      <x:c r="F19" s="717" t="n">
        <x:f>IFERROR(INDEX('04_Wycena_strona_nowa'!$C:$C,MATCH($A19,'04_Wycena_strona_nowa'!$A:$A,0)),"")</x:f>
        <x:v>25413</x:v>
      </x:c>
      <x:c r="G19" s="717" t="n">
        <x:f>IF(OR(E19="",F19="",E19=0,F19=0),"",F19-E19)</x:f>
        <x:v>-3083</x:v>
      </x:c>
      <x:c r="H19" s="717" t="n">
        <x:f>IFERROR(INDEX(EG_Wycena_strona!$D:$D,MATCH($A19,EG_Wycena_strona!$A:$A,0)),"")</x:f>
        <x:v>31441</x:v>
      </x:c>
      <x:c r="I19" s="717" t="n">
        <x:f>IFERROR(INDEX('04_Wycena_strona_nowa'!$D:$D,MATCH($A19,'04_Wycena_strona_nowa'!$A:$A,0)),"")</x:f>
        <x:v>28163</x:v>
      </x:c>
      <x:c r="J19" s="717" t="n">
        <x:f>IF(OR(H19="",I19="",H19=0,I19=0),"",I19-H19)</x:f>
        <x:v>-3278</x:v>
      </x:c>
      <x:c r="K19" s="717" t="n">
        <x:f>IFERROR(INDEX(EG_Wycena_strona!$E:$E,MATCH($A19,EG_Wycena_strona!$A:$A,0)),"")</x:f>
        <x:v>683</x:v>
      </x:c>
      <x:c r="L19" s="717" t="n">
        <x:f>IFERROR(INDEX('04_Wycena_strona_nowa'!$E:$E,MATCH($A19,'04_Wycena_strona_nowa'!$A:$A,0)),"")</x:f>
        <x:v>637</x:v>
      </x:c>
      <x:c r="M19" s="717" t="n">
        <x:f>IF(OR(K19="",L19="",K19=0,L19=0),"",L19-K19)</x:f>
        <x:v>-46</x:v>
      </x:c>
      <x:c r="N19" s="717" t="n">
        <x:f>IFERROR(INDEX(EG_Wycena_strona!$F:$F,MATCH($A19,EG_Wycena_strona!$A:$A,0)),"")</x:f>
        <x:v>11959</x:v>
      </x:c>
      <x:c r="O19" s="717" t="n">
        <x:f>IFERROR(INDEX('04_Wycena_strona_nowa'!$F:$F,MATCH($A19,'04_Wycena_strona_nowa'!$A:$A,0)),"")</x:f>
        <x:v>10364</x:v>
      </x:c>
      <x:c r="P19" s="717" t="n">
        <x:f>IF(OR(N19="",O19="",N19=0,O19=0),"",O19-N19)</x:f>
        <x:v>-1595</x:v>
      </x:c>
      <x:c r="Q19" s="717" t="n">
        <x:f>IFERROR(INDEX(EG_Wycena_strona!$G:$G,MATCH($A19,EG_Wycena_strona!$A:$A,0)),"")</x:f>
        <x:v>13514</x:v>
      </x:c>
      <x:c r="R19" s="717" t="n">
        <x:f>IFERROR(INDEX('04_Wycena_strona_nowa'!$G:$G,MATCH($A19,'04_Wycena_strona_nowa'!$A:$A,0)),"")</x:f>
        <x:v>11816</x:v>
      </x:c>
      <x:c r="S19" s="717" t="n">
        <x:f>IF(OR(Q19="",R19="",Q19=0,R19=0),"",R19-Q19)</x:f>
        <x:v>-1698</x:v>
      </x:c>
      <x:c r="T19" s="717" t="n">
        <x:f>IFERROR(INDEX(EG_Wycena_strona!$H:$H,MATCH($A19,EG_Wycena_strona!$A:$A,0)),"")</x:f>
        <x:v>3352</x:v>
      </x:c>
      <x:c r="U19" s="717" t="n">
        <x:f>IFERROR(INDEX('04_Wycena_strona_nowa'!$H:$H,MATCH($A19,'04_Wycena_strona_nowa'!$A:$A,0)),"")</x:f>
        <x:v>2979</x:v>
      </x:c>
      <x:c r="V19" s="717" t="n">
        <x:f>IF(OR(T19="",U19="",T19=0,U19=0),"",U19-T19)</x:f>
        <x:v>-373</x:v>
      </x:c>
      <x:c r="W19" s="717" t="n">
        <x:f>IFERROR(INDEX(EG_Wycena_strona!$I:$I,MATCH($A19,EG_Wycena_strona!$A:$A,0)),"")</x:f>
        <x:v>3352</x:v>
      </x:c>
      <x:c r="X19" s="717" t="n">
        <x:f>IFERROR(INDEX('04_Wycena_strona_nowa'!$I:$I,MATCH($A19,'04_Wycena_strona_nowa'!$A:$A,0)),"")</x:f>
        <x:v>2979</x:v>
      </x:c>
      <x:c r="Y19" s="717" t="n">
        <x:f>IF(OR(W19="",X19="",W19=0,X19=0),"",X19-W19)</x:f>
        <x:v>-373</x:v>
      </x:c>
      <x:c r="Z19" s="717" t="n">
        <x:f>IFERROR(INDEX(EG_Wycena_strona!$J:$J,MATCH($A19,EG_Wycena_strona!$A:$A,0)),"")</x:f>
        <x:v>9904</x:v>
      </x:c>
      <x:c r="AA19" s="717" t="n">
        <x:f>IFERROR(INDEX('04_Wycena_strona_nowa'!$J:$J,MATCH($A19,'04_Wycena_strona_nowa'!$A:$A,0)),"")</x:f>
        <x:v>8798</x:v>
      </x:c>
      <x:c r="AB19" s="717" t="n">
        <x:f>IF(OR(Z19="",AA19="",Z19=0,AA19=0),"",AA19-Z19)</x:f>
        <x:v>-1106</x:v>
      </x:c>
      <x:c r="AC19" s="717" t="n">
        <x:f>IFERROR(INDEX(EG_Wycena_strona!$K:$K,MATCH($A19,EG_Wycena_strona!$A:$A,0)),"")</x:f>
        <x:v>14822</x:v>
      </x:c>
      <x:c r="AD19" s="717" t="n">
        <x:f>IFERROR(INDEX('04_Wycena_strona_nowa'!$K:$K,MATCH($A19,'04_Wycena_strona_nowa'!$A:$A,0)),"")</x:f>
        <x:v>13241</x:v>
      </x:c>
      <x:c r="AE19" s="717" t="n">
        <x:f>IF(OR(AC19="",AD19="",AC19=0,AD19=0),"",AD19-AC19)</x:f>
        <x:v>-1581</x:v>
      </x:c>
      <x:c r="AF19" s="717" t="n">
        <x:f>IFERROR(ROUND(INDEX(EG_Cennik_uslug!$BS:$BS,MATCH($A19,EG_Cennik_uslug!$A:$A,0))*1.08,0),"")</x:f>
        <x:v>3018</x:v>
      </x:c>
      <x:c r="AG19" s="717" t="n">
        <x:f>IFERROR(INDEX('04_Wycena_strona_nowa'!$L:$L,MATCH($A19,'04_Wycena_strona_nowa'!$A:$A,0)),"")</x:f>
        <x:v>3110</x:v>
      </x:c>
      <x:c r="AH19" s="717" t="n">
        <x:f>IF(OR(AF19="",AG19="",AF19=0,AG19=0),"",AG19-AF19)</x:f>
        <x:v>92</x:v>
      </x:c>
      <x:c r="AI19" s="717" t="n">
        <x:f>IFERROR(ROUND(INDEX(EG_Cennik_uslug!$BZ:$BZ,MATCH($A19,EG_Cennik_uslug!$A:$A,0))*1.08,0),"")</x:f>
        <x:v>942</x:v>
      </x:c>
      <x:c r="AJ19" s="717" t="n">
        <x:f>IFERROR(INDEX('04_Wycena_strona_nowa'!$O:$O,MATCH($A19,'04_Wycena_strona_nowa'!$A:$A,0)),"")</x:f>
        <x:v>878</x:v>
      </x:c>
      <x:c r="AK19" s="717" t="n">
        <x:f>IF(OR(AI19="",AJ19="",AI19=0,AJ19=0),"",AJ19-AI19)</x:f>
        <x:v>-64</x:v>
      </x:c>
      <x:c r="AL19" s="717" t="n">
        <x:f>IFERROR(ROUND(INDEX(EG_Cennik_uslug!$CG:$CG,MATCH($A19,EG_Cennik_uslug!$A:$A,0))*1.08,0),"")</x:f>
        <x:v>846</x:v>
      </x:c>
      <x:c r="AM19" s="717" t="n">
        <x:f>IFERROR(INDEX('04_Wycena_strona_nowa'!$P:$P,MATCH($A19,'04_Wycena_strona_nowa'!$A:$A,0)),"")</x:f>
        <x:v>789</x:v>
      </x:c>
      <x:c r="AN19" s="717" t="n">
        <x:f>IF(OR(AL19="",AM19="",AL19=0,AM19=0),"",AM19-AL19)</x:f>
        <x:v>-57</x:v>
      </x:c>
      <x:c r="AO19" s="717" t="str">
        <x:f>""</x:f>
      </x:c>
      <x:c r="AP19" s="717" t="n">
        <x:f>IFERROR(INDEX('04_Wycena_strona_nowa'!$Q:$Q,MATCH($A19,'04_Wycena_strona_nowa'!$A:$A,0)),"")</x:f>
        <x:v>662</x:v>
      </x:c>
      <x:c r="AQ19" s="717" t="str">
        <x:f>IF(OR(AO19="",AP19="",AO19=0,AP19=0),"",AP19-AO19)</x:f>
      </x:c>
      <x:c r="AR19" s="717" t="n">
        <x:f>IFERROR(ROUND(INDEX(EG_Cennik_uslug!$CN:$CN,MATCH($A19,EG_Cennik_uslug!$A:$A,0))*1.08,0),"")</x:f>
        <x:v>4180</x:v>
      </x:c>
      <x:c r="AS19" s="717" t="n">
        <x:f>IFERROR(INDEX('04_Wycena_strona_nowa'!$M:$M,MATCH($A19,'04_Wycena_strona_nowa'!$A:$A,0)),"")</x:f>
        <x:v>1566</x:v>
      </x:c>
      <x:c r="AT19" s="717" t="n">
        <x:f>IF(OR(AR19="",AS19="",AR19=0,AS19=0),"",AS19-AR19)</x:f>
        <x:v>-2614</x:v>
      </x:c>
      <x:c r="AU19" s="717" t="n">
        <x:f>IFERROR(ROUND(INDEX(EG_Cennik_uslug!$CU:$CU,MATCH($A19,EG_Cennik_uslug!$A:$A,0))*1.08,0),"")</x:f>
        <x:v>4490</x:v>
      </x:c>
      <x:c r="AV19" s="717" t="n">
        <x:f>IFERROR(INDEX('04_Wycena_strona_nowa'!$R:$R,MATCH($A19,'04_Wycena_strona_nowa'!$A:$A,0)),"")</x:f>
        <x:v>3054</x:v>
      </x:c>
      <x:c r="AW19" s="717" t="n">
        <x:f>IF(OR(AU19="",AV19="",AU19=0,AV19=0),"",AV19-AU19)</x:f>
        <x:v>-1436</x:v>
      </x:c>
      <x:c r="AX19" s="717" t="str">
        <x:f>""</x:f>
      </x:c>
      <x:c r="AY19" s="717" t="str">
        <x:f>IFERROR(INDEX('04_Wycena_strona_nowa'!$S:$S,MATCH($A19,'04_Wycena_strona_nowa'!$A:$A,0)),"")</x:f>
      </x:c>
      <x:c r="AZ19" s="717" t="str">
        <x:f>IF(OR(AX19="",AY19="",AX19=0,AY19=0),"",AY19-AX19)</x:f>
      </x:c>
      <x:c r="BA19" s="612" t="e">
        <x:f>_xludf.TEXTJOIN("; ",TRUE,IF(OR(LEFT($A19,3)="550",LEFT($A19,3)="600"),"550/600: EG brak benchmarku; opcje szklane/zerowe ukryte w porównaniu do czasu potwierdzenia",""),"LED CCT/RGB: porównanie orientacyjne do EG LED COB","Zabieraki: brak jednoznacznej pozycji EG")</x:f>
      </x:c>
    </x:row>
    <x:row r="20">
      <x:c r="A20" s="608" t="str">
        <x:f>'04_Wycena_strona_nowa'!A20</x:f>
        <x:v>350 x 1106 cm</x:v>
      </x:c>
      <x:c r="B20" s="717" t="n">
        <x:f>IFERROR(INDEX(EG_Wycena_strona!$B:$B,MATCH($A20,EG_Wycena_strona!$A:$A,0)),"")</x:f>
        <x:v>26155</x:v>
      </x:c>
      <x:c r="C20" s="717" t="n">
        <x:f>IFERROR(INDEX('04_Wycena_strona_nowa'!$B:$B,MATCH($A20,'04_Wycena_strona_nowa'!$A:$A,0)),"")</x:f>
        <x:v>24790</x:v>
      </x:c>
      <x:c r="D20" s="717" t="n">
        <x:f>IF(OR(B20="",C20="",B20=0,C20=0),"",C20-B20)</x:f>
        <x:v>-1365</x:v>
      </x:c>
      <x:c r="E20" s="717" t="n">
        <x:f>IFERROR(INDEX(EG_Wycena_strona!$C:$C,MATCH($A20,EG_Wycena_strona!$A:$A,0)),"")</x:f>
        <x:v>30322</x:v>
      </x:c>
      <x:c r="F20" s="717" t="n">
        <x:f>IFERROR(INDEX('04_Wycena_strona_nowa'!$C:$C,MATCH($A20,'04_Wycena_strona_nowa'!$A:$A,0)),"")</x:f>
        <x:v>27035</x:v>
      </x:c>
      <x:c r="G20" s="717" t="n">
        <x:f>IF(OR(E20="",F20="",E20=0,F20=0),"",F20-E20)</x:f>
        <x:v>-3287</x:v>
      </x:c>
      <x:c r="H20" s="717" t="n">
        <x:f>IFERROR(INDEX(EG_Wycena_strona!$D:$D,MATCH($A20,EG_Wycena_strona!$A:$A,0)),"")</x:f>
        <x:v>33431</x:v>
      </x:c>
      <x:c r="I20" s="717" t="n">
        <x:f>IFERROR(INDEX('04_Wycena_strona_nowa'!$D:$D,MATCH($A20,'04_Wycena_strona_nowa'!$A:$A,0)),"")</x:f>
        <x:v>29938</x:v>
      </x:c>
      <x:c r="J20" s="717" t="n">
        <x:f>IF(OR(H20="",I20="",H20=0,I20=0),"",I20-H20)</x:f>
        <x:v>-3493</x:v>
      </x:c>
      <x:c r="K20" s="717" t="n">
        <x:f>IFERROR(INDEX(EG_Wycena_strona!$E:$E,MATCH($A20,EG_Wycena_strona!$A:$A,0)),"")</x:f>
        <x:v>751</x:v>
      </x:c>
      <x:c r="L20" s="717" t="n">
        <x:f>IFERROR(INDEX('04_Wycena_strona_nowa'!$E:$E,MATCH($A20,'04_Wycena_strona_nowa'!$A:$A,0)),"")</x:f>
        <x:v>700</x:v>
      </x:c>
      <x:c r="M20" s="717" t="n">
        <x:f>IF(OR(K20="",L20="",K20=0,L20=0),"",L20-K20)</x:f>
        <x:v>-51</x:v>
      </x:c>
      <x:c r="N20" s="717" t="n">
        <x:f>IFERROR(INDEX(EG_Wycena_strona!$F:$F,MATCH($A20,EG_Wycena_strona!$A:$A,0)),"")</x:f>
        <x:v>13138</x:v>
      </x:c>
      <x:c r="O20" s="717" t="n">
        <x:f>IFERROR(INDEX('04_Wycena_strona_nowa'!$F:$F,MATCH($A20,'04_Wycena_strona_nowa'!$A:$A,0)),"")</x:f>
        <x:v>11382</x:v>
      </x:c>
      <x:c r="P20" s="717" t="n">
        <x:f>IF(OR(N20="",O20="",N20=0,O20=0),"",O20-N20)</x:f>
        <x:v>-1756</x:v>
      </x:c>
      <x:c r="Q20" s="717" t="n">
        <x:f>IFERROR(INDEX(EG_Wycena_strona!$G:$G,MATCH($A20,EG_Wycena_strona!$A:$A,0)),"")</x:f>
        <x:v>14856</x:v>
      </x:c>
      <x:c r="R20" s="717" t="n">
        <x:f>IFERROR(INDEX('04_Wycena_strona_nowa'!$G:$G,MATCH($A20,'04_Wycena_strona_nowa'!$A:$A,0)),"")</x:f>
        <x:v>12986</x:v>
      </x:c>
      <x:c r="S20" s="717" t="n">
        <x:f>IF(OR(Q20="",R20="",Q20=0,R20=0),"",R20-Q20)</x:f>
        <x:v>-1870</x:v>
      </x:c>
      <x:c r="T20" s="717" t="n">
        <x:f>IFERROR(INDEX(EG_Wycena_strona!$H:$H,MATCH($A20,EG_Wycena_strona!$A:$A,0)),"")</x:f>
        <x:v>3352</x:v>
      </x:c>
      <x:c r="U20" s="717" t="n">
        <x:f>IFERROR(INDEX('04_Wycena_strona_nowa'!$H:$H,MATCH($A20,'04_Wycena_strona_nowa'!$A:$A,0)),"")</x:f>
        <x:v>2979</x:v>
      </x:c>
      <x:c r="V20" s="717" t="n">
        <x:f>IF(OR(T20="",U20="",T20=0,U20=0),"",U20-T20)</x:f>
        <x:v>-373</x:v>
      </x:c>
      <x:c r="W20" s="717" t="n">
        <x:f>IFERROR(INDEX(EG_Wycena_strona!$I:$I,MATCH($A20,EG_Wycena_strona!$A:$A,0)),"")</x:f>
        <x:v>3352</x:v>
      </x:c>
      <x:c r="X20" s="717" t="n">
        <x:f>IFERROR(INDEX('04_Wycena_strona_nowa'!$I:$I,MATCH($A20,'04_Wycena_strona_nowa'!$A:$A,0)),"")</x:f>
        <x:v>2979</x:v>
      </x:c>
      <x:c r="Y20" s="717" t="n">
        <x:f>IF(OR(W20="",X20="",W20=0,X20=0),"",X20-W20)</x:f>
        <x:v>-373</x:v>
      </x:c>
      <x:c r="Z20" s="717" t="n">
        <x:f>IFERROR(INDEX(EG_Wycena_strona!$J:$J,MATCH($A20,EG_Wycena_strona!$A:$A,0)),"")</x:f>
        <x:v>10599</x:v>
      </x:c>
      <x:c r="AA20" s="717" t="n">
        <x:f>IFERROR(INDEX('04_Wycena_strona_nowa'!$J:$J,MATCH($A20,'04_Wycena_strona_nowa'!$A:$A,0)),"")</x:f>
        <x:v>9448</x:v>
      </x:c>
      <x:c r="AB20" s="717" t="n">
        <x:f>IF(OR(Z20="",AA20="",Z20=0,AA20=0),"",AA20-Z20)</x:f>
        <x:v>-1151</x:v>
      </x:c>
      <x:c r="AC20" s="717" t="n">
        <x:f>IFERROR(INDEX(EG_Wycena_strona!$K:$K,MATCH($A20,EG_Wycena_strona!$A:$A,0)),"")</x:f>
        <x:v>18392</x:v>
      </x:c>
      <x:c r="AD20" s="717" t="n">
        <x:f>IFERROR(INDEX('04_Wycena_strona_nowa'!$K:$K,MATCH($A20,'04_Wycena_strona_nowa'!$A:$A,0)),"")</x:f>
        <x:v>16526</x:v>
      </x:c>
      <x:c r="AE20" s="717" t="n">
        <x:f>IF(OR(AC20="",AD20="",AC20=0,AD20=0),"",AD20-AC20)</x:f>
        <x:v>-1866</x:v>
      </x:c>
      <x:c r="AF20" s="717" t="n">
        <x:f>IFERROR(ROUND(INDEX(EG_Cennik_uslug!$BS:$BS,MATCH($A20,EG_Cennik_uslug!$A:$A,0))*1.08,0),"")</x:f>
        <x:v>4087</x:v>
      </x:c>
      <x:c r="AG20" s="717" t="n">
        <x:f>IFERROR(INDEX('04_Wycena_strona_nowa'!$L:$L,MATCH($A20,'04_Wycena_strona_nowa'!$A:$A,0)),"")</x:f>
        <x:v>4210</x:v>
      </x:c>
      <x:c r="AH20" s="717" t="n">
        <x:f>IF(OR(AF20="",AG20="",AF20=0,AG20=0),"",AG20-AF20)</x:f>
        <x:v>123</x:v>
      </x:c>
      <x:c r="AI20" s="717" t="n">
        <x:f>IFERROR(ROUND(INDEX(EG_Cennik_uslug!$BZ:$BZ,MATCH($A20,EG_Cennik_uslug!$A:$A,0))*1.08,0),"")</x:f>
        <x:v>982</x:v>
      </x:c>
      <x:c r="AJ20" s="717" t="n">
        <x:f>IFERROR(INDEX('04_Wycena_strona_nowa'!$O:$O,MATCH($A20,'04_Wycena_strona_nowa'!$A:$A,0)),"")</x:f>
        <x:v>916</x:v>
      </x:c>
      <x:c r="AK20" s="717" t="n">
        <x:f>IF(OR(AI20="",AJ20="",AI20=0,AJ20=0),"",AJ20-AI20)</x:f>
        <x:v>-66</x:v>
      </x:c>
      <x:c r="AL20" s="717" t="n">
        <x:f>IFERROR(ROUND(INDEX(EG_Cennik_uslug!$CG:$CG,MATCH($A20,EG_Cennik_uslug!$A:$A,0))*1.08,0),"")</x:f>
        <x:v>887</x:v>
      </x:c>
      <x:c r="AM20" s="717" t="n">
        <x:f>IFERROR(INDEX('04_Wycena_strona_nowa'!$P:$P,MATCH($A20,'04_Wycena_strona_nowa'!$A:$A,0)),"")</x:f>
        <x:v>827</x:v>
      </x:c>
      <x:c r="AN20" s="717" t="n">
        <x:f>IF(OR(AL20="",AM20="",AL20=0,AM20=0),"",AM20-AL20)</x:f>
        <x:v>-60</x:v>
      </x:c>
      <x:c r="AO20" s="717" t="str">
        <x:f>""</x:f>
      </x:c>
      <x:c r="AP20" s="717" t="n">
        <x:f>IFERROR(INDEX('04_Wycena_strona_nowa'!$Q:$Q,MATCH($A20,'04_Wycena_strona_nowa'!$A:$A,0)),"")</x:f>
        <x:v>713</x:v>
      </x:c>
      <x:c r="AQ20" s="717" t="str">
        <x:f>IF(OR(AO20="",AP20="",AO20=0,AP20=0),"",AP20-AO20)</x:f>
      </x:c>
      <x:c r="AR20" s="717" t="n">
        <x:f>IFERROR(ROUND(INDEX(EG_Cennik_uslug!$CN:$CN,MATCH($A20,EG_Cennik_uslug!$A:$A,0))*1.08,0),"")</x:f>
        <x:v>4547</x:v>
      </x:c>
      <x:c r="AS20" s="717" t="n">
        <x:f>IFERROR(INDEX('04_Wycena_strona_nowa'!$M:$M,MATCH($A20,'04_Wycena_strona_nowa'!$A:$A,0)),"")</x:f>
        <x:v>1821</x:v>
      </x:c>
      <x:c r="AT20" s="717" t="n">
        <x:f>IF(OR(AR20="",AS20="",AR20=0,AS20=0),"",AS20-AR20)</x:f>
        <x:v>-2726</x:v>
      </x:c>
      <x:c r="AU20" s="717" t="n">
        <x:f>IFERROR(ROUND(INDEX(EG_Cennik_uslug!$CU:$CU,MATCH($A20,EG_Cennik_uslug!$A:$A,0))*1.08,0),"")</x:f>
        <x:v>4801</x:v>
      </x:c>
      <x:c r="AV20" s="717" t="n">
        <x:f>IFERROR(INDEX('04_Wycena_strona_nowa'!$R:$R,MATCH($A20,'04_Wycena_strona_nowa'!$A:$A,0)),"")</x:f>
        <x:v>3305</x:v>
      </x:c>
      <x:c r="AW20" s="717" t="n">
        <x:f>IF(OR(AU20="",AV20="",AU20=0,AV20=0),"",AV20-AU20)</x:f>
        <x:v>-1496</x:v>
      </x:c>
      <x:c r="AX20" s="717" t="str">
        <x:f>""</x:f>
      </x:c>
      <x:c r="AY20" s="717" t="str">
        <x:f>IFERROR(INDEX('04_Wycena_strona_nowa'!$S:$S,MATCH($A20,'04_Wycena_strona_nowa'!$A:$A,0)),"")</x:f>
      </x:c>
      <x:c r="AZ20" s="717" t="str">
        <x:f>IF(OR(AX20="",AY20="",AX20=0,AY20=0),"",AY20-AX20)</x:f>
      </x:c>
      <x:c r="BA20" s="612" t="e">
        <x:f>_xludf.TEXTJOIN("; ",TRUE,IF(OR(LEFT($A20,3)="550",LEFT($A20,3)="600"),"550/600: EG brak benchmarku; opcje szklane/zerowe ukryte w porównaniu do czasu potwierdzenia",""),"LED CCT/RGB: porównanie orientacyjne do EG LED COB","Zabieraki: brak jednoznacznej pozycji EG")</x:f>
      </x:c>
    </x:row>
    <x:row r="21">
      <x:c r="A21" s="608" t="str">
        <x:f>'04_Wycena_strona_nowa'!A21</x:f>
        <x:v>350 x 1206 cm</x:v>
      </x:c>
      <x:c r="B21" s="717" t="n">
        <x:f>IFERROR(INDEX(EG_Wycena_strona!$B:$B,MATCH($A21,EG_Wycena_strona!$A:$A,0)),"")</x:f>
        <x:v>27893</x:v>
      </x:c>
      <x:c r="C21" s="717" t="n">
        <x:f>IFERROR(INDEX('04_Wycena_strona_nowa'!$B:$B,MATCH($A21,'04_Wycena_strona_nowa'!$A:$A,0)),"")</x:f>
        <x:v>26437</x:v>
      </x:c>
      <x:c r="D21" s="717" t="n">
        <x:f>IF(OR(B21="",C21="",B21=0,C21=0),"",C21-B21)</x:f>
        <x:v>-1456</x:v>
      </x:c>
      <x:c r="E21" s="717" t="n">
        <x:f>IFERROR(INDEX(EG_Wycena_strona!$C:$C,MATCH($A21,EG_Wycena_strona!$A:$A,0)),"")</x:f>
        <x:v>32149</x:v>
      </x:c>
      <x:c r="F21" s="717" t="n">
        <x:f>IFERROR(INDEX('04_Wycena_strona_nowa'!$C:$C,MATCH($A21,'04_Wycena_strona_nowa'!$A:$A,0)),"")</x:f>
        <x:v>28653</x:v>
      </x:c>
      <x:c r="G21" s="717" t="n">
        <x:f>IF(OR(E21="",F21="",E21=0,F21=0),"",F21-E21)</x:f>
        <x:v>-3496</x:v>
      </x:c>
      <x:c r="H21" s="717" t="n">
        <x:f>IFERROR(INDEX(EG_Wycena_strona!$D:$D,MATCH($A21,EG_Wycena_strona!$A:$A,0)),"")</x:f>
        <x:v>35420</x:v>
      </x:c>
      <x:c r="I21" s="717" t="n">
        <x:f>IFERROR(INDEX('04_Wycena_strona_nowa'!$D:$D,MATCH($A21,'04_Wycena_strona_nowa'!$A:$A,0)),"")</x:f>
        <x:v>31708</x:v>
      </x:c>
      <x:c r="J21" s="717" t="n">
        <x:f>IF(OR(H21="",I21="",H21=0,I21=0),"",I21-H21)</x:f>
        <x:v>-3712</x:v>
      </x:c>
      <x:c r="K21" s="717" t="n">
        <x:f>IFERROR(INDEX(EG_Wycena_strona!$E:$E,MATCH($A21,EG_Wycena_strona!$A:$A,0)),"")</x:f>
        <x:v>820</x:v>
      </x:c>
      <x:c r="L21" s="717" t="n">
        <x:f>IFERROR(INDEX('04_Wycena_strona_nowa'!$E:$E,MATCH($A21,'04_Wycena_strona_nowa'!$A:$A,0)),"")</x:f>
        <x:v>765</x:v>
      </x:c>
      <x:c r="M21" s="717" t="n">
        <x:f>IF(OR(K21="",L21="",K21=0,L21=0),"",L21-K21)</x:f>
        <x:v>-55</x:v>
      </x:c>
      <x:c r="N21" s="717" t="n">
        <x:f>IFERROR(INDEX(EG_Wycena_strona!$F:$F,MATCH($A21,EG_Wycena_strona!$A:$A,0)),"")</x:f>
        <x:v>14248</x:v>
      </x:c>
      <x:c r="O21" s="717" t="n">
        <x:f>IFERROR(INDEX('04_Wycena_strona_nowa'!$F:$F,MATCH($A21,'04_Wycena_strona_nowa'!$A:$A,0)),"")</x:f>
        <x:v>12350</x:v>
      </x:c>
      <x:c r="P21" s="717" t="n">
        <x:f>IF(OR(N21="",O21="",N21=0,O21=0),"",O21-N21)</x:f>
        <x:v>-1898</x:v>
      </x:c>
      <x:c r="Q21" s="717" t="n">
        <x:f>IFERROR(INDEX(EG_Wycena_strona!$G:$G,MATCH($A21,EG_Wycena_strona!$A:$A,0)),"")</x:f>
        <x:v>16116</x:v>
      </x:c>
      <x:c r="R21" s="717" t="n">
        <x:f>IFERROR(INDEX('04_Wycena_strona_nowa'!$G:$G,MATCH($A21,'04_Wycena_strona_nowa'!$A:$A,0)),"")</x:f>
        <x:v>14094</x:v>
      </x:c>
      <x:c r="S21" s="717" t="n">
        <x:f>IF(OR(Q21="",R21="",Q21=0,R21=0),"",R21-Q21)</x:f>
        <x:v>-2022</x:v>
      </x:c>
      <x:c r="T21" s="717" t="n">
        <x:f>IFERROR(INDEX(EG_Wycena_strona!$H:$H,MATCH($A21,EG_Wycena_strona!$A:$A,0)),"")</x:f>
        <x:v>3352</x:v>
      </x:c>
      <x:c r="U21" s="717" t="n">
        <x:f>IFERROR(INDEX('04_Wycena_strona_nowa'!$H:$H,MATCH($A21,'04_Wycena_strona_nowa'!$A:$A,0)),"")</x:f>
        <x:v>2979</x:v>
      </x:c>
      <x:c r="V21" s="717" t="n">
        <x:f>IF(OR(T21="",U21="",T21=0,U21=0),"",U21-T21)</x:f>
        <x:v>-373</x:v>
      </x:c>
      <x:c r="W21" s="717" t="n">
        <x:f>IFERROR(INDEX(EG_Wycena_strona!$I:$I,MATCH($A21,EG_Wycena_strona!$A:$A,0)),"")</x:f>
        <x:v>3352</x:v>
      </x:c>
      <x:c r="X21" s="717" t="n">
        <x:f>IFERROR(INDEX('04_Wycena_strona_nowa'!$I:$I,MATCH($A21,'04_Wycena_strona_nowa'!$A:$A,0)),"")</x:f>
        <x:v>2979</x:v>
      </x:c>
      <x:c r="Y21" s="717" t="n">
        <x:f>IF(OR(W21="",X21="",W21=0,X21=0),"",X21-W21)</x:f>
        <x:v>-373</x:v>
      </x:c>
      <x:c r="Z21" s="717" t="n">
        <x:f>IFERROR(INDEX(EG_Wycena_strona!$J:$J,MATCH($A21,EG_Wycena_strona!$A:$A,0)),"")</x:f>
        <x:v>11280</x:v>
      </x:c>
      <x:c r="AA21" s="717" t="n">
        <x:f>IFERROR(INDEX('04_Wycena_strona_nowa'!$J:$J,MATCH($A21,'04_Wycena_strona_nowa'!$A:$A,0)),"")</x:f>
        <x:v>10084</x:v>
      </x:c>
      <x:c r="AB21" s="717" t="n">
        <x:f>IF(OR(Z21="",AA21="",Z21=0,AA21=0),"",AA21-Z21)</x:f>
        <x:v>-1196</x:v>
      </x:c>
      <x:c r="AC21" s="717" t="n">
        <x:f>IFERROR(INDEX(EG_Wycena_strona!$K:$K,MATCH($A21,EG_Wycena_strona!$A:$A,0)),"")</x:f>
        <x:v>19155</x:v>
      </x:c>
      <x:c r="AD21" s="717" t="n">
        <x:f>IFERROR(INDEX('04_Wycena_strona_nowa'!$K:$K,MATCH($A21,'04_Wycena_strona_nowa'!$A:$A,0)),"")</x:f>
        <x:v>17188</x:v>
      </x:c>
      <x:c r="AE21" s="717" t="n">
        <x:f>IF(OR(AC21="",AD21="",AC21=0,AD21=0),"",AD21-AC21)</x:f>
        <x:v>-1967</x:v>
      </x:c>
      <x:c r="AF21" s="717" t="n">
        <x:f>IFERROR(ROUND(INDEX(EG_Cennik_uslug!$BS:$BS,MATCH($A21,EG_Cennik_uslug!$A:$A,0))*1.08,0),"")</x:f>
        <x:v>4087</x:v>
      </x:c>
      <x:c r="AG21" s="717" t="n">
        <x:f>IFERROR(INDEX('04_Wycena_strona_nowa'!$L:$L,MATCH($A21,'04_Wycena_strona_nowa'!$A:$A,0)),"")</x:f>
        <x:v>4210</x:v>
      </x:c>
      <x:c r="AH21" s="717" t="n">
        <x:f>IF(OR(AF21="",AG21="",AF21=0,AG21=0),"",AG21-AF21)</x:f>
        <x:v>123</x:v>
      </x:c>
      <x:c r="AI21" s="717" t="n">
        <x:f>IFERROR(ROUND(INDEX(EG_Cennik_uslug!$BZ:$BZ,MATCH($A21,EG_Cennik_uslug!$A:$A,0))*1.08,0),"")</x:f>
        <x:v>1037</x:v>
      </x:c>
      <x:c r="AJ21" s="717" t="n">
        <x:f>IFERROR(INDEX('04_Wycena_strona_nowa'!$O:$O,MATCH($A21,'04_Wycena_strona_nowa'!$A:$A,0)),"")</x:f>
        <x:v>968</x:v>
      </x:c>
      <x:c r="AK21" s="717" t="n">
        <x:f>IF(OR(AI21="",AJ21="",AI21=0,AJ21=0),"",AJ21-AI21)</x:f>
        <x:v>-69</x:v>
      </x:c>
      <x:c r="AL21" s="717" t="n">
        <x:f>IFERROR(ROUND(INDEX(EG_Cennik_uslug!$CG:$CG,MATCH($A21,EG_Cennik_uslug!$A:$A,0))*1.08,0),"")</x:f>
        <x:v>942</x:v>
      </x:c>
      <x:c r="AM21" s="717" t="n">
        <x:f>IFERROR(INDEX('04_Wycena_strona_nowa'!$P:$P,MATCH($A21,'04_Wycena_strona_nowa'!$A:$A,0)),"")</x:f>
        <x:v>878</x:v>
      </x:c>
      <x:c r="AN21" s="717" t="n">
        <x:f>IF(OR(AL21="",AM21="",AL21=0,AM21=0),"",AM21-AL21)</x:f>
        <x:v>-64</x:v>
      </x:c>
      <x:c r="AO21" s="717" t="str">
        <x:f>""</x:f>
      </x:c>
      <x:c r="AP21" s="717" t="n">
        <x:f>IFERROR(INDEX('04_Wycena_strona_nowa'!$Q:$Q,MATCH($A21,'04_Wycena_strona_nowa'!$A:$A,0)),"")</x:f>
        <x:v>765</x:v>
      </x:c>
      <x:c r="AQ21" s="717" t="str">
        <x:f>IF(OR(AO21="",AP21="",AO21=0,AP21=0),"",AP21-AO21)</x:f>
      </x:c>
      <x:c r="AR21" s="717" t="n">
        <x:f>IFERROR(ROUND(INDEX(EG_Cennik_uslug!$CN:$CN,MATCH($A21,EG_Cennik_uslug!$A:$A,0))*1.08,0),"")</x:f>
        <x:v>4838</x:v>
      </x:c>
      <x:c r="AS21" s="717" t="n">
        <x:f>IFERROR(INDEX('04_Wycena_strona_nowa'!$M:$M,MATCH($A21,'04_Wycena_strona_nowa'!$A:$A,0)),"")</x:f>
        <x:v>1923</x:v>
      </x:c>
      <x:c r="AT21" s="717" t="n">
        <x:f>IF(OR(AR21="",AS21="",AR21=0,AS21=0),"",AS21-AR21)</x:f>
        <x:v>-2915</x:v>
      </x:c>
      <x:c r="AU21" s="717" t="n">
        <x:f>IFERROR(ROUND(INDEX(EG_Cennik_uslug!$CU:$CU,MATCH($A21,EG_Cennik_uslug!$A:$A,0))*1.08,0),"")</x:f>
        <x:v>5112</x:v>
      </x:c>
      <x:c r="AV21" s="717" t="n">
        <x:f>IFERROR(INDEX('04_Wycena_strona_nowa'!$R:$R,MATCH($A21,'04_Wycena_strona_nowa'!$A:$A,0)),"")</x:f>
        <x:v>3570</x:v>
      </x:c>
      <x:c r="AW21" s="717" t="n">
        <x:f>IF(OR(AU21="",AV21="",AU21=0,AV21=0),"",AV21-AU21)</x:f>
        <x:v>-1542</x:v>
      </x:c>
      <x:c r="AX21" s="717" t="str">
        <x:f>""</x:f>
      </x:c>
      <x:c r="AY21" s="717" t="str">
        <x:f>IFERROR(INDEX('04_Wycena_strona_nowa'!$S:$S,MATCH($A21,'04_Wycena_strona_nowa'!$A:$A,0)),"")</x:f>
      </x:c>
      <x:c r="AZ21" s="717" t="str">
        <x:f>IF(OR(AX21="",AY21="",AX21=0,AY21=0),"",AY21-AX21)</x:f>
      </x:c>
      <x:c r="BA21" s="612" t="e">
        <x:f>_xludf.TEXTJOIN("; ",TRUE,IF(OR(LEFT($A21,3)="550",LEFT($A21,3)="600"),"550/600: EG brak benchmarku; opcje szklane/zerowe ukryte w porównaniu do czasu potwierdzenia",""),"LED CCT/RGB: porównanie orientacyjne do EG LED COB","Zabieraki: brak jednoznacznej pozycji EG")</x:f>
      </x:c>
    </x:row>
    <x:row r="22">
      <x:c r="A22" s="608" t="str">
        <x:f>'04_Wycena_strona_nowa'!A22</x:f>
        <x:v>400 x 306 cm</x:v>
      </x:c>
      <x:c r="B22" s="717" t="n">
        <x:f>IFERROR(INDEX(EG_Wycena_strona!$B:$B,MATCH($A22,EG_Wycena_strona!$A:$A,0)),"")</x:f>
        <x:v>9798</x:v>
      </x:c>
      <x:c r="C22" s="717" t="n">
        <x:f>IFERROR(INDEX('04_Wycena_strona_nowa'!$B:$B,MATCH($A22,'04_Wycena_strona_nowa'!$A:$A,0)),"")</x:f>
        <x:v>9348</x:v>
      </x:c>
      <x:c r="D22" s="717" t="n">
        <x:f>IF(OR(B22="",C22="",B22=0,C22=0),"",C22-B22)</x:f>
        <x:v>-450</x:v>
      </x:c>
      <x:c r="E22" s="717" t="n">
        <x:f>IFERROR(INDEX(EG_Wycena_strona!$C:$C,MATCH($A22,EG_Wycena_strona!$A:$A,0)),"")</x:f>
        <x:v>18763</x:v>
      </x:c>
      <x:c r="F22" s="717" t="n">
        <x:f>IFERROR(INDEX('04_Wycena_strona_nowa'!$C:$C,MATCH($A22,'04_Wycena_strona_nowa'!$A:$A,0)),"")</x:f>
        <x:v>16888</x:v>
      </x:c>
      <x:c r="G22" s="717" t="n">
        <x:f>IF(OR(E22="",F22="",E22=0,F22=0),"",F22-E22)</x:f>
        <x:v>-1875</x:v>
      </x:c>
      <x:c r="H22" s="717" t="n">
        <x:f>IFERROR(INDEX(EG_Wycena_strona!$D:$D,MATCH($A22,EG_Wycena_strona!$A:$A,0)),"")</x:f>
        <x:v>20562</x:v>
      </x:c>
      <x:c r="I22" s="717" t="n">
        <x:f>IFERROR(INDEX('04_Wycena_strona_nowa'!$D:$D,MATCH($A22,'04_Wycena_strona_nowa'!$A:$A,0)),"")</x:f>
        <x:v>18568</x:v>
      </x:c>
      <x:c r="J22" s="717" t="n">
        <x:f>IF(OR(H22="",I22="",H22=0,I22=0),"",I22-H22)</x:f>
        <x:v>-1994</x:v>
      </x:c>
      <x:c r="K22" s="717" t="n">
        <x:f>IFERROR(INDEX(EG_Wycena_strona!$E:$E,MATCH($A22,EG_Wycena_strona!$A:$A,0)),"")</x:f>
        <x:v>233</x:v>
      </x:c>
      <x:c r="L22" s="717" t="n">
        <x:f>IFERROR(INDEX('04_Wycena_strona_nowa'!$E:$E,MATCH($A22,'04_Wycena_strona_nowa'!$A:$A,0)),"")</x:f>
        <x:v>216</x:v>
      </x:c>
      <x:c r="M22" s="717" t="n">
        <x:f>IF(OR(K22="",L22="",K22=0,L22=0),"",L22-K22)</x:f>
        <x:v>-17</x:v>
      </x:c>
      <x:c r="N22" s="717" t="n">
        <x:f>IFERROR(INDEX(EG_Wycena_strona!$F:$F,MATCH($A22,EG_Wycena_strona!$A:$A,0)),"")</x:f>
        <x:v>4606</x:v>
      </x:c>
      <x:c r="O22" s="717" t="n">
        <x:f>IFERROR(INDEX('04_Wycena_strona_nowa'!$F:$F,MATCH($A22,'04_Wycena_strona_nowa'!$A:$A,0)),"")</x:f>
        <x:v>3960</x:v>
      </x:c>
      <x:c r="P22" s="717" t="n">
        <x:f>IF(OR(N22="",O22="",N22=0,O22=0),"",O22-N22)</x:f>
        <x:v>-646</x:v>
      </x:c>
      <x:c r="Q22" s="717" t="n">
        <x:f>IFERROR(INDEX(EG_Wycena_strona!$G:$G,MATCH($A22,EG_Wycena_strona!$A:$A,0)),"")</x:f>
        <x:v>5086</x:v>
      </x:c>
      <x:c r="R22" s="717" t="n">
        <x:f>IFERROR(INDEX('04_Wycena_strona_nowa'!$G:$G,MATCH($A22,'04_Wycena_strona_nowa'!$A:$A,0)),"")</x:f>
        <x:v>4406</x:v>
      </x:c>
      <x:c r="S22" s="717" t="n">
        <x:f>IF(OR(Q22="",R22="",Q22=0,R22=0),"",R22-Q22)</x:f>
        <x:v>-680</x:v>
      </x:c>
      <x:c r="T22" s="717" t="n">
        <x:f>IFERROR(INDEX(EG_Wycena_strona!$H:$H,MATCH($A22,EG_Wycena_strona!$A:$A,0)),"")</x:f>
        <x:v>3761</x:v>
      </x:c>
      <x:c r="U22" s="717" t="n">
        <x:f>IFERROR(INDEX('04_Wycena_strona_nowa'!$H:$H,MATCH($A22,'04_Wycena_strona_nowa'!$A:$A,0)),"")</x:f>
        <x:v>3361</x:v>
      </x:c>
      <x:c r="V22" s="717" t="n">
        <x:f>IF(OR(T22="",U22="",T22=0,U22=0),"",U22-T22)</x:f>
        <x:v>-400</x:v>
      </x:c>
      <x:c r="W22" s="717" t="n">
        <x:f>IFERROR(INDEX(EG_Wycena_strona!$I:$I,MATCH($A22,EG_Wycena_strona!$A:$A,0)),"")</x:f>
        <x:v>3761</x:v>
      </x:c>
      <x:c r="X22" s="717" t="n">
        <x:f>IFERROR(INDEX('04_Wycena_strona_nowa'!$I:$I,MATCH($A22,'04_Wycena_strona_nowa'!$A:$A,0)),"")</x:f>
        <x:v>3361</x:v>
      </x:c>
      <x:c r="Y22" s="717" t="n">
        <x:f>IF(OR(W22="",X22="",W22=0,X22=0),"",X22-W22)</x:f>
        <x:v>-400</x:v>
      </x:c>
      <x:c r="Z22" s="717" t="n">
        <x:f>IFERROR(INDEX(EG_Wycena_strona!$J:$J,MATCH($A22,EG_Wycena_strona!$A:$A,0)),"")</x:f>
        <x:v>3079</x:v>
      </x:c>
      <x:c r="AA22" s="717" t="n">
        <x:f>IFERROR(INDEX('04_Wycena_strona_nowa'!$J:$J,MATCH($A22,'04_Wycena_strona_nowa'!$A:$A,0)),"")</x:f>
        <x:v>2725</x:v>
      </x:c>
      <x:c r="AB22" s="717" t="n">
        <x:f>IF(OR(Z22="",AA22="",Z22=0,AA22=0),"",AA22-Z22)</x:f>
        <x:v>-354</x:v>
      </x:c>
      <x:c r="AC22" s="717" t="n">
        <x:f>IFERROR(INDEX(EG_Wycena_strona!$K:$K,MATCH($A22,EG_Wycena_strona!$A:$A,0)),"")</x:f>
        <x:v>5710</x:v>
      </x:c>
      <x:c r="AD22" s="717" t="n">
        <x:f>IFERROR(INDEX('04_Wycena_strona_nowa'!$K:$K,MATCH($A22,'04_Wycena_strona_nowa'!$A:$A,0)),"")</x:f>
        <x:v>5130</x:v>
      </x:c>
      <x:c r="AE22" s="717" t="n">
        <x:f>IF(OR(AC22="",AD22="",AC22=0,AD22=0),"",AD22-AC22)</x:f>
        <x:v>-580</x:v>
      </x:c>
      <x:c r="AF22" s="717" t="n">
        <x:f>IFERROR(ROUND(INDEX(EG_Cennik_uslug!$BS:$BS,MATCH($A22,EG_Cennik_uslug!$A:$A,0))*1.08,0),"")</x:f>
        <x:v>1669</x:v>
      </x:c>
      <x:c r="AG22" s="717" t="n">
        <x:f>IFERROR(INDEX('04_Wycena_strona_nowa'!$L:$L,MATCH($A22,'04_Wycena_strona_nowa'!$A:$A,0)),"")</x:f>
        <x:v>1720</x:v>
      </x:c>
      <x:c r="AH22" s="717" t="n">
        <x:f>IF(OR(AF22="",AG22="",AF22=0,AG22=0),"",AG22-AF22)</x:f>
        <x:v>51</x:v>
      </x:c>
      <x:c r="AI22" s="717" t="n">
        <x:f>IFERROR(ROUND(INDEX(EG_Cennik_uslug!$BZ:$BZ,MATCH($A22,EG_Cennik_uslug!$A:$A,0))*1.08,0),"")</x:f>
        <x:v>575</x:v>
      </x:c>
      <x:c r="AJ22" s="717" t="n">
        <x:f>IFERROR(INDEX('04_Wycena_strona_nowa'!$O:$O,MATCH($A22,'04_Wycena_strona_nowa'!$A:$A,0)),"")</x:f>
        <x:v>534</x:v>
      </x:c>
      <x:c r="AK22" s="717" t="n">
        <x:f>IF(OR(AI22="",AJ22="",AI22=0,AJ22=0),"",AJ22-AI22)</x:f>
        <x:v>-41</x:v>
      </x:c>
      <x:c r="AL22" s="717" t="n">
        <x:f>IFERROR(ROUND(INDEX(EG_Cennik_uslug!$CG:$CG,MATCH($A22,EG_Cennik_uslug!$A:$A,0))*1.08,0),"")</x:f>
        <x:v>518</x:v>
      </x:c>
      <x:c r="AM22" s="717" t="n">
        <x:f>IFERROR(INDEX('04_Wycena_strona_nowa'!$P:$P,MATCH($A22,'04_Wycena_strona_nowa'!$A:$A,0)),"")</x:f>
        <x:v>484</x:v>
      </x:c>
      <x:c r="AN22" s="717" t="n">
        <x:f>IF(OR(AL22="",AM22="",AL22=0,AM22=0),"",AM22-AL22)</x:f>
        <x:v>-34</x:v>
      </x:c>
      <x:c r="AO22" s="717" t="str">
        <x:f>""</x:f>
      </x:c>
      <x:c r="AP22" s="717" t="n">
        <x:f>IFERROR(INDEX('04_Wycena_strona_nowa'!$Q:$Q,MATCH($A22,'04_Wycena_strona_nowa'!$A:$A,0)),"")</x:f>
        <x:v>407</x:v>
      </x:c>
      <x:c r="AQ22" s="717" t="str">
        <x:f>IF(OR(AO22="",AP22="",AO22=0,AP22=0),"",AP22-AO22)</x:f>
      </x:c>
      <x:c r="AR22" s="717" t="n">
        <x:f>IFERROR(ROUND(INDEX(EG_Cennik_uslug!$CN:$CN,MATCH($A22,EG_Cennik_uslug!$A:$A,0))*1.08,0),"")</x:f>
        <x:v>999</x:v>
      </x:c>
      <x:c r="AS22" s="717" t="n">
        <x:f>IFERROR(INDEX('04_Wycena_strona_nowa'!$M:$M,MATCH($A22,'04_Wycena_strona_nowa'!$A:$A,0)),"")</x:f>
        <x:v>534</x:v>
      </x:c>
      <x:c r="AT22" s="717" t="n">
        <x:f>IF(OR(AR22="",AS22="",AR22=0,AS22=0),"",AS22-AR22)</x:f>
        <x:v>-465</x:v>
      </x:c>
      <x:c r="AU22" s="717" t="n">
        <x:f>IFERROR(ROUND(INDEX(EG_Cennik_uslug!$CU:$CU,MATCH($A22,EG_Cennik_uslug!$A:$A,0))*1.08,0),"")</x:f>
        <x:v>1807</x:v>
      </x:c>
      <x:c r="AV22" s="717" t="n">
        <x:f>IFERROR(INDEX('04_Wycena_strona_nowa'!$R:$R,MATCH($A22,'04_Wycena_strona_nowa'!$A:$A,0)),"")</x:f>
        <x:v>1347</x:v>
      </x:c>
      <x:c r="AW22" s="717" t="n">
        <x:f>IF(OR(AU22="",AV22="",AU22=0,AV22=0),"",AV22-AU22)</x:f>
        <x:v>-460</x:v>
      </x:c>
      <x:c r="AX22" s="717" t="str">
        <x:f>""</x:f>
      </x:c>
      <x:c r="AY22" s="717" t="str">
        <x:f>IFERROR(INDEX('04_Wycena_strona_nowa'!$S:$S,MATCH($A22,'04_Wycena_strona_nowa'!$A:$A,0)),"")</x:f>
      </x:c>
      <x:c r="AZ22" s="717" t="str">
        <x:f>IF(OR(AX22="",AY22="",AX22=0,AY22=0),"",AY22-AX22)</x:f>
      </x:c>
      <x:c r="BA22" s="612" t="e">
        <x:f>_xludf.TEXTJOIN("; ",TRUE,IF(OR(LEFT($A22,3)="550",LEFT($A22,3)="600"),"550/600: EG brak benchmarku; opcje szklane/zerowe ukryte w porównaniu do czasu potwierdzenia",""),"LED CCT/RGB: porównanie orientacyjne do EG LED COB","Zabieraki: brak jednoznacznej pozycji EG")</x:f>
      </x:c>
    </x:row>
    <x:row r="23">
      <x:c r="A23" s="608" t="str">
        <x:f>'04_Wycena_strona_nowa'!A23</x:f>
        <x:v>400 x 406 cm</x:v>
      </x:c>
      <x:c r="B23" s="717" t="n">
        <x:f>IFERROR(INDEX(EG_Wycena_strona!$B:$B,MATCH($A23,EG_Wycena_strona!$A:$A,0)),"")</x:f>
        <x:v>11681</x:v>
      </x:c>
      <x:c r="C23" s="717" t="n">
        <x:f>IFERROR(INDEX('04_Wycena_strona_nowa'!$B:$B,MATCH($A23,'04_Wycena_strona_nowa'!$A:$A,0)),"")</x:f>
        <x:v>11132</x:v>
      </x:c>
      <x:c r="D23" s="717" t="n">
        <x:f>IF(OR(B23="",C23="",B23=0,C23=0),"",C23-B23)</x:f>
        <x:v>-549</x:v>
      </x:c>
      <x:c r="E23" s="717" t="n">
        <x:f>IFERROR(INDEX(EG_Wycena_strona!$C:$C,MATCH($A23,EG_Wycena_strona!$A:$A,0)),"")</x:f>
        <x:v>20292</x:v>
      </x:c>
      <x:c r="F23" s="717" t="n">
        <x:f>IFERROR(INDEX('04_Wycena_strona_nowa'!$C:$C,MATCH($A23,'04_Wycena_strona_nowa'!$A:$A,0)),"")</x:f>
        <x:v>18251</x:v>
      </x:c>
      <x:c r="G23" s="717" t="n">
        <x:f>IF(OR(E23="",F23="",E23=0,F23=0),"",F23-E23)</x:f>
        <x:v>-2041</x:v>
      </x:c>
      <x:c r="H23" s="717" t="n">
        <x:f>IFERROR(INDEX(EG_Wycena_strona!$D:$D,MATCH($A23,EG_Wycena_strona!$A:$A,0)),"")</x:f>
        <x:v>22255</x:v>
      </x:c>
      <x:c r="I23" s="717" t="n">
        <x:f>IFERROR(INDEX('04_Wycena_strona_nowa'!$D:$D,MATCH($A23,'04_Wycena_strona_nowa'!$A:$A,0)),"")</x:f>
        <x:v>20085</x:v>
      </x:c>
      <x:c r="J23" s="717" t="n">
        <x:f>IF(OR(H23="",I23="",H23=0,I23=0),"",I23-H23)</x:f>
        <x:v>-2170</x:v>
      </x:c>
      <x:c r="K23" s="717" t="n">
        <x:f>IFERROR(INDEX(EG_Wycena_strona!$E:$E,MATCH($A23,EG_Wycena_strona!$A:$A,0)),"")</x:f>
        <x:v>301</x:v>
      </x:c>
      <x:c r="L23" s="717" t="n">
        <x:f>IFERROR(INDEX('04_Wycena_strona_nowa'!$E:$E,MATCH($A23,'04_Wycena_strona_nowa'!$A:$A,0)),"")</x:f>
        <x:v>281</x:v>
      </x:c>
      <x:c r="M23" s="717" t="n">
        <x:f>IF(OR(K23="",L23="",K23=0,L23=0),"",L23-K23)</x:f>
        <x:v>-20</x:v>
      </x:c>
      <x:c r="N23" s="717" t="n">
        <x:f>IFERROR(INDEX(EG_Wycena_strona!$F:$F,MATCH($A23,EG_Wycena_strona!$A:$A,0)),"")</x:f>
        <x:v>6056</x:v>
      </x:c>
      <x:c r="O23" s="717" t="n">
        <x:f>IFERROR(INDEX('04_Wycena_strona_nowa'!$F:$F,MATCH($A23,'04_Wycena_strona_nowa'!$A:$A,0)),"")</x:f>
        <x:v>5232</x:v>
      </x:c>
      <x:c r="P23" s="717" t="n">
        <x:f>IF(OR(N23="",O23="",N23=0,O23=0),"",O23-N23)</x:f>
        <x:v>-824</x:v>
      </x:c>
      <x:c r="Q23" s="717" t="n">
        <x:f>IFERROR(INDEX(EG_Wycena_strona!$G:$G,MATCH($A23,EG_Wycena_strona!$A:$A,0)),"")</x:f>
        <x:v>6683</x:v>
      </x:c>
      <x:c r="R23" s="717" t="n">
        <x:f>IFERROR(INDEX('04_Wycena_strona_nowa'!$G:$G,MATCH($A23,'04_Wycena_strona_nowa'!$A:$A,0)),"")</x:f>
        <x:v>5817</x:v>
      </x:c>
      <x:c r="S23" s="717" t="n">
        <x:f>IF(OR(Q23="",R23="",Q23=0,R23=0),"",R23-Q23)</x:f>
        <x:v>-866</x:v>
      </x:c>
      <x:c r="T23" s="717" t="n">
        <x:f>IFERROR(INDEX(EG_Wycena_strona!$H:$H,MATCH($A23,EG_Wycena_strona!$A:$A,0)),"")</x:f>
        <x:v>3761</x:v>
      </x:c>
      <x:c r="U23" s="717" t="n">
        <x:f>IFERROR(INDEX('04_Wycena_strona_nowa'!$H:$H,MATCH($A23,'04_Wycena_strona_nowa'!$A:$A,0)),"")</x:f>
        <x:v>3361</x:v>
      </x:c>
      <x:c r="V23" s="717" t="n">
        <x:f>IF(OR(T23="",U23="",T23=0,U23=0),"",U23-T23)</x:f>
        <x:v>-400</x:v>
      </x:c>
      <x:c r="W23" s="717" t="n">
        <x:f>IFERROR(INDEX(EG_Wycena_strona!$I:$I,MATCH($A23,EG_Wycena_strona!$A:$A,0)),"")</x:f>
        <x:v>3761</x:v>
      </x:c>
      <x:c r="X23" s="717" t="n">
        <x:f>IFERROR(INDEX('04_Wycena_strona_nowa'!$I:$I,MATCH($A23,'04_Wycena_strona_nowa'!$A:$A,0)),"")</x:f>
        <x:v>3361</x:v>
      </x:c>
      <x:c r="Y23" s="717" t="n">
        <x:f>IF(OR(W23="",X23="",W23=0,X23=0),"",X23-W23)</x:f>
        <x:v>-400</x:v>
      </x:c>
      <x:c r="Z23" s="717" t="n">
        <x:f>IFERROR(INDEX(EG_Wycena_strona!$J:$J,MATCH($A23,EG_Wycena_strona!$A:$A,0)),"")</x:f>
        <x:v>3761</x:v>
      </x:c>
      <x:c r="AA23" s="717" t="n">
        <x:f>IFERROR(INDEX('04_Wycena_strona_nowa'!$J:$J,MATCH($A23,'04_Wycena_strona_nowa'!$A:$A,0)),"")</x:f>
        <x:v>3361</x:v>
      </x:c>
      <x:c r="AB23" s="717" t="n">
        <x:f>IF(OR(Z23="",AA23="",Z23=0,AA23=0),"",AA23-Z23)</x:f>
        <x:v>-400</x:v>
      </x:c>
      <x:c r="AC23" s="717" t="n">
        <x:f>IFERROR(INDEX(EG_Wycena_strona!$K:$K,MATCH($A23,EG_Wycena_strona!$A:$A,0)),"")</x:f>
        <x:v>6620</x:v>
      </x:c>
      <x:c r="AD23" s="717" t="n">
        <x:f>IFERROR(INDEX('04_Wycena_strona_nowa'!$K:$K,MATCH($A23,'04_Wycena_strona_nowa'!$A:$A,0)),"")</x:f>
        <x:v>5934</x:v>
      </x:c>
      <x:c r="AE23" s="717" t="n">
        <x:f>IF(OR(AC23="",AD23="",AC23=0,AD23=0),"",AD23-AC23)</x:f>
        <x:v>-686</x:v>
      </x:c>
      <x:c r="AF23" s="717" t="n">
        <x:f>IFERROR(ROUND(INDEX(EG_Cennik_uslug!$BS:$BS,MATCH($A23,EG_Cennik_uslug!$A:$A,0))*1.08,0),"")</x:f>
        <x:v>1875</x:v>
      </x:c>
      <x:c r="AG23" s="717" t="n">
        <x:f>IFERROR(INDEX('04_Wycena_strona_nowa'!$L:$L,MATCH($A23,'04_Wycena_strona_nowa'!$A:$A,0)),"")</x:f>
        <x:v>1932</x:v>
      </x:c>
      <x:c r="AH23" s="717" t="n">
        <x:f>IF(OR(AF23="",AG23="",AF23=0,AG23=0),"",AG23-AF23)</x:f>
        <x:v>57</x:v>
      </x:c>
      <x:c r="AI23" s="717" t="n">
        <x:f>IFERROR(ROUND(INDEX(EG_Cennik_uslug!$BZ:$BZ,MATCH($A23,EG_Cennik_uslug!$A:$A,0))*1.08,0),"")</x:f>
        <x:v>627</x:v>
      </x:c>
      <x:c r="AJ23" s="717" t="n">
        <x:f>IFERROR(INDEX('04_Wycena_strona_nowa'!$O:$O,MATCH($A23,'04_Wycena_strona_nowa'!$A:$A,0)),"")</x:f>
        <x:v>585</x:v>
      </x:c>
      <x:c r="AK23" s="717" t="n">
        <x:f>IF(OR(AI23="",AJ23="",AI23=0,AJ23=0),"",AJ23-AI23)</x:f>
        <x:v>-42</x:v>
      </x:c>
      <x:c r="AL23" s="717" t="n">
        <x:f>IFERROR(ROUND(INDEX(EG_Cennik_uslug!$CG:$CG,MATCH($A23,EG_Cennik_uslug!$A:$A,0))*1.08,0),"")</x:f>
        <x:v>561</x:v>
      </x:c>
      <x:c r="AM23" s="717" t="n">
        <x:f>IFERROR(INDEX('04_Wycena_strona_nowa'!$P:$P,MATCH($A23,'04_Wycena_strona_nowa'!$A:$A,0)),"")</x:f>
        <x:v>522</x:v>
      </x:c>
      <x:c r="AN23" s="717" t="n">
        <x:f>IF(OR(AL23="",AM23="",AL23=0,AM23=0),"",AM23-AL23)</x:f>
        <x:v>-39</x:v>
      </x:c>
      <x:c r="AO23" s="717" t="str">
        <x:f>""</x:f>
      </x:c>
      <x:c r="AP23" s="717" t="n">
        <x:f>IFERROR(INDEX('04_Wycena_strona_nowa'!$Q:$Q,MATCH($A23,'04_Wycena_strona_nowa'!$A:$A,0)),"")</x:f>
        <x:v>459</x:v>
      </x:c>
      <x:c r="AQ23" s="717" t="str">
        <x:f>IF(OR(AO23="",AP23="",AO23=0,AP23=0),"",AP23-AO23)</x:f>
      </x:c>
      <x:c r="AR23" s="717" t="n">
        <x:f>IFERROR(ROUND(INDEX(EG_Cennik_uslug!$CN:$CN,MATCH($A23,EG_Cennik_uslug!$A:$A,0))*1.08,0),"")</x:f>
        <x:v>1544</x:v>
      </x:c>
      <x:c r="AS23" s="717" t="n">
        <x:f>IFERROR(INDEX('04_Wycena_strona_nowa'!$M:$M,MATCH($A23,'04_Wycena_strona_nowa'!$A:$A,0)),"")</x:f>
        <x:v>650</x:v>
      </x:c>
      <x:c r="AT23" s="717" t="n">
        <x:f>IF(OR(AR23="",AS23="",AR23=0,AS23=0),"",AS23-AR23)</x:f>
        <x:v>-894</x:v>
      </x:c>
      <x:c r="AU23" s="717" t="n">
        <x:f>IFERROR(ROUND(INDEX(EG_Cennik_uslug!$CU:$CU,MATCH($A23,EG_Cennik_uslug!$A:$A,0))*1.08,0),"")</x:f>
        <x:v>2143</x:v>
      </x:c>
      <x:c r="AV23" s="717" t="n">
        <x:f>IFERROR(INDEX('04_Wycena_strona_nowa'!$R:$R,MATCH($A23,'04_Wycena_strona_nowa'!$A:$A,0)),"")</x:f>
        <x:v>1629</x:v>
      </x:c>
      <x:c r="AW23" s="717" t="n">
        <x:f>IF(OR(AU23="",AV23="",AU23=0,AV23=0),"",AV23-AU23)</x:f>
        <x:v>-514</x:v>
      </x:c>
      <x:c r="AX23" s="717" t="str">
        <x:f>""</x:f>
      </x:c>
      <x:c r="AY23" s="717" t="str">
        <x:f>IFERROR(INDEX('04_Wycena_strona_nowa'!$S:$S,MATCH($A23,'04_Wycena_strona_nowa'!$A:$A,0)),"")</x:f>
      </x:c>
      <x:c r="AZ23" s="717" t="str">
        <x:f>IF(OR(AX23="",AY23="",AX23=0,AY23=0),"",AY23-AX23)</x:f>
      </x:c>
      <x:c r="BA23" s="612" t="e">
        <x:f>_xludf.TEXTJOIN("; ",TRUE,IF(OR(LEFT($A23,3)="550",LEFT($A23,3)="600"),"550/600: EG brak benchmarku; opcje szklane/zerowe ukryte w porównaniu do czasu potwierdzenia",""),"LED CCT/RGB: porównanie orientacyjne do EG LED COB","Zabieraki: brak jednoznacznej pozycji EG")</x:f>
      </x:c>
    </x:row>
    <x:row r="24">
      <x:c r="A24" s="608" t="str">
        <x:f>'04_Wycena_strona_nowa'!A24</x:f>
        <x:v>400 x 506 cm</x:v>
      </x:c>
      <x:c r="B24" s="717" t="n">
        <x:f>IFERROR(INDEX(EG_Wycena_strona!$B:$B,MATCH($A24,EG_Wycena_strona!$A:$A,0)),"")</x:f>
        <x:v>14057</x:v>
      </x:c>
      <x:c r="C24" s="717" t="n">
        <x:f>IFERROR(INDEX('04_Wycena_strona_nowa'!$B:$B,MATCH($A24,'04_Wycena_strona_nowa'!$A:$A,0)),"")</x:f>
        <x:v>13374</x:v>
      </x:c>
      <x:c r="D24" s="717" t="n">
        <x:f>IF(OR(B24="",C24="",B24=0,C24=0),"",C24-B24)</x:f>
        <x:v>-683</x:v>
      </x:c>
      <x:c r="E24" s="717" t="n">
        <x:f>IFERROR(INDEX(EG_Wycena_strona!$C:$C,MATCH($A24,EG_Wycena_strona!$A:$A,0)),"")</x:f>
        <x:v>22155</x:v>
      </x:c>
      <x:c r="F24" s="717" t="n">
        <x:f>IFERROR(INDEX('04_Wycena_strona_nowa'!$C:$C,MATCH($A24,'04_Wycena_strona_nowa'!$A:$A,0)),"")</x:f>
        <x:v>19898</x:v>
      </x:c>
      <x:c r="G24" s="717" t="n">
        <x:f>IF(OR(E24="",F24="",E24=0,F24=0),"",F24-E24)</x:f>
        <x:v>-2257</x:v>
      </x:c>
      <x:c r="H24" s="717" t="n">
        <x:f>IFERROR(INDEX(EG_Wycena_strona!$D:$D,MATCH($A24,EG_Wycena_strona!$A:$A,0)),"")</x:f>
        <x:v>24283</x:v>
      </x:c>
      <x:c r="I24" s="717" t="n">
        <x:f>IFERROR(INDEX('04_Wycena_strona_nowa'!$D:$D,MATCH($A24,'04_Wycena_strona_nowa'!$A:$A,0)),"")</x:f>
        <x:v>21884</x:v>
      </x:c>
      <x:c r="J24" s="717" t="n">
        <x:f>IF(OR(H24="",I24="",H24=0,I24=0),"",I24-H24)</x:f>
        <x:v>-2399</x:v>
      </x:c>
      <x:c r="K24" s="717" t="n">
        <x:f>IFERROR(INDEX(EG_Wycena_strona!$E:$E,MATCH($A24,EG_Wycena_strona!$A:$A,0)),"")</x:f>
        <x:v>382</x:v>
      </x:c>
      <x:c r="L24" s="717" t="n">
        <x:f>IFERROR(INDEX('04_Wycena_strona_nowa'!$E:$E,MATCH($A24,'04_Wycena_strona_nowa'!$A:$A,0)),"")</x:f>
        <x:v>357</x:v>
      </x:c>
      <x:c r="M24" s="717" t="n">
        <x:f>IF(OR(K24="",L24="",K24=0,L24=0),"",L24-K24)</x:f>
        <x:v>-25</x:v>
      </x:c>
      <x:c r="N24" s="717" t="n">
        <x:f>IFERROR(INDEX(EG_Wycena_strona!$F:$F,MATCH($A24,EG_Wycena_strona!$A:$A,0)),"")</x:f>
        <x:v>7458</x:v>
      </x:c>
      <x:c r="O24" s="717" t="n">
        <x:f>IFERROR(INDEX('04_Wycena_strona_nowa'!$F:$F,MATCH($A24,'04_Wycena_strona_nowa'!$A:$A,0)),"")</x:f>
        <x:v>6430</x:v>
      </x:c>
      <x:c r="P24" s="717" t="n">
        <x:f>IF(OR(N24="",O24="",N24=0,O24=0),"",O24-N24)</x:f>
        <x:v>-1028</x:v>
      </x:c>
      <x:c r="Q24" s="717" t="n">
        <x:f>IFERROR(INDEX(EG_Wycena_strona!$G:$G,MATCH($A24,EG_Wycena_strona!$A:$A,0)),"")</x:f>
        <x:v>8250</x:v>
      </x:c>
      <x:c r="R24" s="717" t="n">
        <x:f>IFERROR(INDEX('04_Wycena_strona_nowa'!$G:$G,MATCH($A24,'04_Wycena_strona_nowa'!$A:$A,0)),"")</x:f>
        <x:v>7169</x:v>
      </x:c>
      <x:c r="S24" s="717" t="n">
        <x:f>IF(OR(Q24="",R24="",Q24=0,R24=0),"",R24-Q24)</x:f>
        <x:v>-1081</x:v>
      </x:c>
      <x:c r="T24" s="717" t="n">
        <x:f>IFERROR(INDEX(EG_Wycena_strona!$H:$H,MATCH($A24,EG_Wycena_strona!$A:$A,0)),"")</x:f>
        <x:v>3761</x:v>
      </x:c>
      <x:c r="U24" s="717" t="n">
        <x:f>IFERROR(INDEX('04_Wycena_strona_nowa'!$H:$H,MATCH($A24,'04_Wycena_strona_nowa'!$A:$A,0)),"")</x:f>
        <x:v>3361</x:v>
      </x:c>
      <x:c r="V24" s="717" t="n">
        <x:f>IF(OR(T24="",U24="",T24=0,U24=0),"",U24-T24)</x:f>
        <x:v>-400</x:v>
      </x:c>
      <x:c r="W24" s="717" t="n">
        <x:f>IFERROR(INDEX(EG_Wycena_strona!$I:$I,MATCH($A24,EG_Wycena_strona!$A:$A,0)),"")</x:f>
        <x:v>3761</x:v>
      </x:c>
      <x:c r="X24" s="717" t="n">
        <x:f>IFERROR(INDEX('04_Wycena_strona_nowa'!$I:$I,MATCH($A24,'04_Wycena_strona_nowa'!$A:$A,0)),"")</x:f>
        <x:v>3361</x:v>
      </x:c>
      <x:c r="Y24" s="717" t="n">
        <x:f>IF(OR(W24="",X24="",W24=0,X24=0),"",X24-W24)</x:f>
        <x:v>-400</x:v>
      </x:c>
      <x:c r="Z24" s="717" t="n">
        <x:f>IFERROR(INDEX(EG_Wycena_strona!$J:$J,MATCH($A24,EG_Wycena_strona!$A:$A,0)),"")</x:f>
        <x:v>5367</x:v>
      </x:c>
      <x:c r="AA24" s="717" t="n">
        <x:f>IFERROR(INDEX('04_Wycena_strona_nowa'!$J:$J,MATCH($A24,'04_Wycena_strona_nowa'!$A:$A,0)),"")</x:f>
        <x:v>4711</x:v>
      </x:c>
      <x:c r="AB24" s="717" t="n">
        <x:f>IF(OR(Z24="",AA24="",Z24=0,AA24=0),"",AA24-Z24)</x:f>
        <x:v>-656</x:v>
      </x:c>
      <x:c r="AC24" s="717" t="n">
        <x:f>IFERROR(INDEX(EG_Wycena_strona!$K:$K,MATCH($A24,EG_Wycena_strona!$A:$A,0)),"")</x:f>
        <x:v>7561</x:v>
      </x:c>
      <x:c r="AD24" s="717" t="n">
        <x:f>IFERROR(INDEX('04_Wycena_strona_nowa'!$K:$K,MATCH($A24,'04_Wycena_strona_nowa'!$A:$A,0)),"")</x:f>
        <x:v>6761</x:v>
      </x:c>
      <x:c r="AE24" s="717" t="n">
        <x:f>IF(OR(AC24="",AD24="",AC24=0,AD24=0),"",AD24-AC24)</x:f>
        <x:v>-800</x:v>
      </x:c>
      <x:c r="AF24" s="717" t="n">
        <x:f>IFERROR(ROUND(INDEX(EG_Cennik_uslug!$BS:$BS,MATCH($A24,EG_Cennik_uslug!$A:$A,0))*1.08,0),"")</x:f>
        <x:v>2138</x:v>
      </x:c>
      <x:c r="AG24" s="717" t="n">
        <x:f>IFERROR(INDEX('04_Wycena_strona_nowa'!$L:$L,MATCH($A24,'04_Wycena_strona_nowa'!$A:$A,0)),"")</x:f>
        <x:v>2202</x:v>
      </x:c>
      <x:c r="AH24" s="717" t="n">
        <x:f>IF(OR(AF24="",AG24="",AF24=0,AG24=0),"",AG24-AF24)</x:f>
        <x:v>64</x:v>
      </x:c>
      <x:c r="AI24" s="717" t="n">
        <x:f>IFERROR(ROUND(INDEX(EG_Cennik_uslug!$BZ:$BZ,MATCH($A24,EG_Cennik_uslug!$A:$A,0))*1.08,0),"")</x:f>
        <x:v>683</x:v>
      </x:c>
      <x:c r="AJ24" s="717" t="n">
        <x:f>IFERROR(INDEX('04_Wycena_strona_nowa'!$O:$O,MATCH($A24,'04_Wycena_strona_nowa'!$A:$A,0)),"")</x:f>
        <x:v>637</x:v>
      </x:c>
      <x:c r="AK24" s="717" t="n">
        <x:f>IF(OR(AI24="",AJ24="",AI24=0,AJ24=0),"",AJ24-AI24)</x:f>
        <x:v>-46</x:v>
      </x:c>
      <x:c r="AL24" s="717" t="n">
        <x:f>IFERROR(ROUND(INDEX(EG_Cennik_uslug!$CG:$CG,MATCH($A24,EG_Cennik_uslug!$A:$A,0))*1.08,0),"")</x:f>
        <x:v>613</x:v>
      </x:c>
      <x:c r="AM24" s="717" t="n">
        <x:f>IFERROR(INDEX('04_Wycena_strona_nowa'!$P:$P,MATCH($A24,'04_Wycena_strona_nowa'!$A:$A,0)),"")</x:f>
        <x:v>573</x:v>
      </x:c>
      <x:c r="AN24" s="717" t="n">
        <x:f>IF(OR(AL24="",AM24="",AL24=0,AM24=0),"",AM24-AL24)</x:f>
        <x:v>-40</x:v>
      </x:c>
      <x:c r="AO24" s="717" t="str">
        <x:f>""</x:f>
      </x:c>
      <x:c r="AP24" s="717" t="n">
        <x:f>IFERROR(INDEX('04_Wycena_strona_nowa'!$Q:$Q,MATCH($A24,'04_Wycena_strona_nowa'!$A:$A,0)),"")</x:f>
        <x:v>459</x:v>
      </x:c>
      <x:c r="AQ24" s="717" t="str">
        <x:f>IF(OR(AO24="",AP24="",AO24=0,AP24=0),"",AP24-AO24)</x:f>
      </x:c>
      <x:c r="AR24" s="717" t="n">
        <x:f>IFERROR(ROUND(INDEX(EG_Cennik_uslug!$CN:$CN,MATCH($A24,EG_Cennik_uslug!$A:$A,0))*1.08,0),"")</x:f>
        <x:v>1912</x:v>
      </x:c>
      <x:c r="AS24" s="717" t="n">
        <x:f>IFERROR(INDEX('04_Wycena_strona_nowa'!$M:$M,MATCH($A24,'04_Wycena_strona_nowa'!$A:$A,0)),"")</x:f>
        <x:v>765</x:v>
      </x:c>
      <x:c r="AT24" s="717" t="n">
        <x:f>IF(OR(AR24="",AS24="",AR24=0,AS24=0),"",AS24-AR24)</x:f>
        <x:v>-1147</x:v>
      </x:c>
      <x:c r="AU24" s="717" t="n">
        <x:f>IFERROR(ROUND(INDEX(EG_Cennik_uslug!$CU:$CU,MATCH($A24,EG_Cennik_uslug!$A:$A,0))*1.08,0),"")</x:f>
        <x:v>2479</x:v>
      </x:c>
      <x:c r="AV24" s="717" t="n">
        <x:f>IFERROR(INDEX('04_Wycena_strona_nowa'!$R:$R,MATCH($A24,'04_Wycena_strona_nowa'!$A:$A,0)),"")</x:f>
        <x:v>1895</x:v>
      </x:c>
      <x:c r="AW24" s="717" t="n">
        <x:f>IF(OR(AU24="",AV24="",AU24=0,AV24=0),"",AV24-AU24)</x:f>
        <x:v>-584</x:v>
      </x:c>
      <x:c r="AX24" s="717" t="str">
        <x:f>""</x:f>
      </x:c>
      <x:c r="AY24" s="717" t="str">
        <x:f>IFERROR(INDEX('04_Wycena_strona_nowa'!$S:$S,MATCH($A24,'04_Wycena_strona_nowa'!$A:$A,0)),"")</x:f>
      </x:c>
      <x:c r="AZ24" s="717" t="str">
        <x:f>IF(OR(AX24="",AY24="",AX24=0,AY24=0),"",AY24-AX24)</x:f>
      </x:c>
      <x:c r="BA24" s="612" t="e">
        <x:f>_xludf.TEXTJOIN("; ",TRUE,IF(OR(LEFT($A24,3)="550",LEFT($A24,3)="600"),"550/600: EG brak benchmarku; opcje szklane/zerowe ukryte w porównaniu do czasu potwierdzenia",""),"LED CCT/RGB: porównanie orientacyjne do EG LED COB","Zabieraki: brak jednoznacznej pozycji EG")</x:f>
      </x:c>
    </x:row>
    <x:row r="25">
      <x:c r="A25" s="608" t="str">
        <x:f>'04_Wycena_strona_nowa'!A25</x:f>
        <x:v>400 x 606 cm</x:v>
      </x:c>
      <x:c r="B25" s="717" t="n">
        <x:f>IFERROR(INDEX(EG_Wycena_strona!$B:$B,MATCH($A25,EG_Wycena_strona!$A:$A,0)),"")</x:f>
        <x:v>15407</x:v>
      </x:c>
      <x:c r="C25" s="717" t="n">
        <x:f>IFERROR(INDEX('04_Wycena_strona_nowa'!$B:$B,MATCH($A25,'04_Wycena_strona_nowa'!$A:$A,0)),"")</x:f>
        <x:v>14660</x:v>
      </x:c>
      <x:c r="D25" s="717" t="n">
        <x:f>IF(OR(B25="",C25="",B25=0,C25=0),"",C25-B25)</x:f>
        <x:v>-747</x:v>
      </x:c>
      <x:c r="E25" s="717" t="n">
        <x:f>IFERROR(INDEX(EG_Wycena_strona!$C:$C,MATCH($A25,EG_Wycena_strona!$A:$A,0)),"")</x:f>
        <x:v>23974</x:v>
      </x:c>
      <x:c r="F25" s="717" t="n">
        <x:f>IFERROR(INDEX('04_Wycena_strona_nowa'!$C:$C,MATCH($A25,'04_Wycena_strona_nowa'!$A:$A,0)),"")</x:f>
        <x:v>21520</x:v>
      </x:c>
      <x:c r="G25" s="717" t="n">
        <x:f>IF(OR(E25="",F25="",E25=0,F25=0),"",F25-E25)</x:f>
        <x:v>-2454</x:v>
      </x:c>
      <x:c r="H25" s="717" t="n">
        <x:f>IFERROR(INDEX(EG_Wycena_strona!$D:$D,MATCH($A25,EG_Wycena_strona!$A:$A,0)),"")</x:f>
        <x:v>26264</x:v>
      </x:c>
      <x:c r="I25" s="717" t="n">
        <x:f>IFERROR(INDEX('04_Wycena_strona_nowa'!$D:$D,MATCH($A25,'04_Wycena_strona_nowa'!$A:$A,0)),"")</x:f>
        <x:v>23659</x:v>
      </x:c>
      <x:c r="J25" s="717" t="n">
        <x:f>IF(OR(H25="",I25="",H25=0,I25=0),"",I25-H25)</x:f>
        <x:v>-2605</x:v>
      </x:c>
      <x:c r="K25" s="717" t="n">
        <x:f>IFERROR(INDEX(EG_Wycena_strona!$E:$E,MATCH($A25,EG_Wycena_strona!$A:$A,0)),"")</x:f>
        <x:v>465</x:v>
      </x:c>
      <x:c r="L25" s="717" t="n">
        <x:f>IFERROR(INDEX('04_Wycena_strona_nowa'!$E:$E,MATCH($A25,'04_Wycena_strona_nowa'!$A:$A,0)),"")</x:f>
        <x:v>432</x:v>
      </x:c>
      <x:c r="M25" s="717" t="n">
        <x:f>IF(OR(K25="",L25="",K25=0,L25=0),"",L25-K25)</x:f>
        <x:v>-33</x:v>
      </x:c>
      <x:c r="N25" s="717" t="n">
        <x:f>IFERROR(INDEX(EG_Wycena_strona!$F:$F,MATCH($A25,EG_Wycena_strona!$A:$A,0)),"")</x:f>
        <x:v>8807</x:v>
      </x:c>
      <x:c r="O25" s="717" t="n">
        <x:f>IFERROR(INDEX('04_Wycena_strona_nowa'!$F:$F,MATCH($A25,'04_Wycena_strona_nowa'!$A:$A,0)),"")</x:f>
        <x:v>7627</x:v>
      </x:c>
      <x:c r="P25" s="717" t="n">
        <x:f>IF(OR(N25="",O25="",N25=0,O25=0),"",O25-N25)</x:f>
        <x:v>-1180</x:v>
      </x:c>
      <x:c r="Q25" s="717" t="n">
        <x:f>IFERROR(INDEX(EG_Wycena_strona!$G:$G,MATCH($A25,EG_Wycena_strona!$A:$A,0)),"")</x:f>
        <x:v>9763</x:v>
      </x:c>
      <x:c r="R25" s="717" t="n">
        <x:f>IFERROR(INDEX('04_Wycena_strona_nowa'!$G:$G,MATCH($A25,'04_Wycena_strona_nowa'!$A:$A,0)),"")</x:f>
        <x:v>8518</x:v>
      </x:c>
      <x:c r="S25" s="717" t="n">
        <x:f>IF(OR(Q25="",R25="",Q25=0,R25=0),"",R25-Q25)</x:f>
        <x:v>-1245</x:v>
      </x:c>
      <x:c r="T25" s="717" t="n">
        <x:f>IFERROR(INDEX(EG_Wycena_strona!$H:$H,MATCH($A25,EG_Wycena_strona!$A:$A,0)),"")</x:f>
        <x:v>3761</x:v>
      </x:c>
      <x:c r="U25" s="717" t="n">
        <x:f>IFERROR(INDEX('04_Wycena_strona_nowa'!$H:$H,MATCH($A25,'04_Wycena_strona_nowa'!$A:$A,0)),"")</x:f>
        <x:v>3361</x:v>
      </x:c>
      <x:c r="V25" s="717" t="n">
        <x:f>IF(OR(T25="",U25="",T25=0,U25=0),"",U25-T25)</x:f>
        <x:v>-400</x:v>
      </x:c>
      <x:c r="W25" s="717" t="n">
        <x:f>IFERROR(INDEX(EG_Wycena_strona!$I:$I,MATCH($A25,EG_Wycena_strona!$A:$A,0)),"")</x:f>
        <x:v>3761</x:v>
      </x:c>
      <x:c r="X25" s="717" t="n">
        <x:f>IFERROR(INDEX('04_Wycena_strona_nowa'!$I:$I,MATCH($A25,'04_Wycena_strona_nowa'!$A:$A,0)),"")</x:f>
        <x:v>3361</x:v>
      </x:c>
      <x:c r="Y25" s="717" t="n">
        <x:f>IF(OR(W25="",X25="",W25=0,X25=0),"",X25-W25)</x:f>
        <x:v>-400</x:v>
      </x:c>
      <x:c r="Z25" s="717" t="n">
        <x:f>IFERROR(INDEX(EG_Wycena_strona!$J:$J,MATCH($A25,EG_Wycena_strona!$A:$A,0)),"")</x:f>
        <x:v>6144</x:v>
      </x:c>
      <x:c r="AA25" s="717" t="n">
        <x:f>IFERROR(INDEX('04_Wycena_strona_nowa'!$J:$J,MATCH($A25,'04_Wycena_strona_nowa'!$A:$A,0)),"")</x:f>
        <x:v>5437</x:v>
      </x:c>
      <x:c r="AB25" s="717" t="n">
        <x:f>IF(OR(Z25="",AA25="",Z25=0,AA25=0),"",AA25-Z25)</x:f>
        <x:v>-707</x:v>
      </x:c>
      <x:c r="AC25" s="717" t="n">
        <x:f>IFERROR(INDEX(EG_Wycena_strona!$K:$K,MATCH($A25,EG_Wycena_strona!$A:$A,0)),"")</x:f>
        <x:v>11364</x:v>
      </x:c>
      <x:c r="AD25" s="717" t="n">
        <x:f>IFERROR(INDEX('04_Wycena_strona_nowa'!$K:$K,MATCH($A25,'04_Wycena_strona_nowa'!$A:$A,0)),"")</x:f>
        <x:v>10262</x:v>
      </x:c>
      <x:c r="AE25" s="717" t="n">
        <x:f>IF(OR(AC25="",AD25="",AC25=0,AD25=0),"",AD25-AC25)</x:f>
        <x:v>-1102</x:v>
      </x:c>
      <x:c r="AF25" s="717" t="n">
        <x:f>IFERROR(ROUND(INDEX(EG_Cennik_uslug!$BS:$BS,MATCH($A25,EG_Cennik_uslug!$A:$A,0))*1.08,0),"")</x:f>
        <x:v>2661</x:v>
      </x:c>
      <x:c r="AG25" s="717" t="n">
        <x:f>IFERROR(INDEX('04_Wycena_strona_nowa'!$L:$L,MATCH($A25,'04_Wycena_strona_nowa'!$A:$A,0)),"")</x:f>
        <x:v>2742</x:v>
      </x:c>
      <x:c r="AH25" s="717" t="n">
        <x:f>IF(OR(AF25="",AG25="",AF25=0,AG25=0),"",AG25-AF25)</x:f>
        <x:v>81</x:v>
      </x:c>
      <x:c r="AI25" s="717" t="n">
        <x:f>IFERROR(ROUND(INDEX(EG_Cennik_uslug!$BZ:$BZ,MATCH($A25,EG_Cennik_uslug!$A:$A,0))*1.08,0),"")</x:f>
        <x:v>723</x:v>
      </x:c>
      <x:c r="AJ25" s="717" t="n">
        <x:f>IFERROR(INDEX('04_Wycena_strona_nowa'!$O:$O,MATCH($A25,'04_Wycena_strona_nowa'!$A:$A,0)),"")</x:f>
        <x:v>675</x:v>
      </x:c>
      <x:c r="AK25" s="717" t="n">
        <x:f>IF(OR(AI25="",AJ25="",AI25=0,AJ25=0),"",AJ25-AI25)</x:f>
        <x:v>-48</x:v>
      </x:c>
      <x:c r="AL25" s="717" t="n">
        <x:f>IFERROR(ROUND(INDEX(EG_Cennik_uslug!$CG:$CG,MATCH($A25,EG_Cennik_uslug!$A:$A,0))*1.08,0),"")</x:f>
        <x:v>656</x:v>
      </x:c>
      <x:c r="AM25" s="717" t="n">
        <x:f>IFERROR(INDEX('04_Wycena_strona_nowa'!$P:$P,MATCH($A25,'04_Wycena_strona_nowa'!$A:$A,0)),"")</x:f>
        <x:v>611</x:v>
      </x:c>
      <x:c r="AN25" s="717" t="n">
        <x:f>IF(OR(AL25="",AM25="",AL25=0,AM25=0),"",AM25-AL25)</x:f>
        <x:v>-45</x:v>
      </x:c>
      <x:c r="AO25" s="717" t="str">
        <x:f>""</x:f>
      </x:c>
      <x:c r="AP25" s="717" t="n">
        <x:f>IFERROR(INDEX('04_Wycena_strona_nowa'!$Q:$Q,MATCH($A25,'04_Wycena_strona_nowa'!$A:$A,0)),"")</x:f>
        <x:v>509</x:v>
      </x:c>
      <x:c r="AQ25" s="717" t="str">
        <x:f>IF(OR(AO25="",AP25="",AO25=0,AP25=0),"",AP25-AO25)</x:f>
      </x:c>
      <x:c r="AR25" s="717" t="n">
        <x:f>IFERROR(ROUND(INDEX(EG_Cennik_uslug!$CN:$CN,MATCH($A25,EG_Cennik_uslug!$A:$A,0))*1.08,0),"")</x:f>
        <x:v>2354</x:v>
      </x:c>
      <x:c r="AS25" s="717" t="n">
        <x:f>IFERROR(INDEX('04_Wycena_strona_nowa'!$M:$M,MATCH($A25,'04_Wycena_strona_nowa'!$A:$A,0)),"")</x:f>
        <x:v>1005</x:v>
      </x:c>
      <x:c r="AT25" s="717" t="n">
        <x:f>IF(OR(AR25="",AS25="",AR25=0,AS25=0),"",AS25-AR25)</x:f>
        <x:v>-1349</x:v>
      </x:c>
      <x:c r="AU25" s="717" t="n">
        <x:f>IFERROR(ROUND(INDEX(EG_Cennik_uslug!$CU:$CU,MATCH($A25,EG_Cennik_uslug!$A:$A,0))*1.08,0),"")</x:f>
        <x:v>3398</x:v>
      </x:c>
      <x:c r="AV25" s="717" t="n">
        <x:f>IFERROR(INDEX('04_Wycena_strona_nowa'!$R:$R,MATCH($A25,'04_Wycena_strona_nowa'!$A:$A,0)),"")</x:f>
        <x:v>2161</x:v>
      </x:c>
      <x:c r="AW25" s="717" t="n">
        <x:f>IF(OR(AU25="",AV25="",AU25=0,AV25=0),"",AV25-AU25)</x:f>
        <x:v>-1237</x:v>
      </x:c>
      <x:c r="AX25" s="717" t="str">
        <x:f>""</x:f>
      </x:c>
      <x:c r="AY25" s="717" t="str">
        <x:f>IFERROR(INDEX('04_Wycena_strona_nowa'!$S:$S,MATCH($A25,'04_Wycena_strona_nowa'!$A:$A,0)),"")</x:f>
      </x:c>
      <x:c r="AZ25" s="717" t="str">
        <x:f>IF(OR(AX25="",AY25="",AX25=0,AY25=0),"",AY25-AX25)</x:f>
      </x:c>
      <x:c r="BA25" s="612" t="e">
        <x:f>_xludf.TEXTJOIN("; ",TRUE,IF(OR(LEFT($A25,3)="550",LEFT($A25,3)="600"),"550/600: EG brak benchmarku; opcje szklane/zerowe ukryte w porównaniu do czasu potwierdzenia",""),"LED CCT/RGB: porównanie orientacyjne do EG LED COB","Zabieraki: brak jednoznacznej pozycji EG")</x:f>
      </x:c>
    </x:row>
    <x:row r="26">
      <x:c r="A26" s="608" t="str">
        <x:f>'04_Wycena_strona_nowa'!A26</x:f>
        <x:v>400 x 706 cm</x:v>
      </x:c>
      <x:c r="B26" s="717" t="n">
        <x:f>IFERROR(INDEX(EG_Wycena_strona!$B:$B,MATCH($A26,EG_Wycena_strona!$A:$A,0)),"")</x:f>
        <x:v>18113</x:v>
      </x:c>
      <x:c r="C26" s="717" t="n">
        <x:f>IFERROR(INDEX('04_Wycena_strona_nowa'!$B:$B,MATCH($A26,'04_Wycena_strona_nowa'!$A:$A,0)),"")</x:f>
        <x:v>17201</x:v>
      </x:c>
      <x:c r="D26" s="717" t="n">
        <x:f>IF(OR(B26="",C26="",B26=0,C26=0),"",C26-B26)</x:f>
        <x:v>-912</x:v>
      </x:c>
      <x:c r="E26" s="717" t="n">
        <x:f>IFERROR(INDEX(EG_Wycena_strona!$C:$C,MATCH($A26,EG_Wycena_strona!$A:$A,0)),"")</x:f>
        <x:v>24383</x:v>
      </x:c>
      <x:c r="F26" s="717" t="n">
        <x:f>IFERROR(INDEX('04_Wycena_strona_nowa'!$C:$C,MATCH($A26,'04_Wycena_strona_nowa'!$A:$A,0)),"")</x:f>
        <x:v>21845</x:v>
      </x:c>
      <x:c r="G26" s="717" t="n">
        <x:f>IF(OR(E26="",F26="",E26=0,F26=0),"",F26-E26)</x:f>
        <x:v>-2538</x:v>
      </x:c>
      <x:c r="H26" s="717" t="n">
        <x:f>IFERROR(INDEX(EG_Wycena_strona!$D:$D,MATCH($A26,EG_Wycena_strona!$A:$A,0)),"")</x:f>
        <x:v>26837</x:v>
      </x:c>
      <x:c r="I26" s="717" t="n">
        <x:f>IFERROR(INDEX('04_Wycena_strona_nowa'!$D:$D,MATCH($A26,'04_Wycena_strona_nowa'!$A:$A,0)),"")</x:f>
        <x:v>24136</x:v>
      </x:c>
      <x:c r="J26" s="717" t="n">
        <x:f>IF(OR(H26="",I26="",H26=0,I26=0),"",I26-H26)</x:f>
        <x:v>-2701</x:v>
      </x:c>
      <x:c r="K26" s="717" t="n">
        <x:f>IFERROR(INDEX(EG_Wycena_strona!$E:$E,MATCH($A26,EG_Wycena_strona!$A:$A,0)),"")</x:f>
        <x:v>532</x:v>
      </x:c>
      <x:c r="L26" s="717" t="n">
        <x:f>IFERROR(INDEX('04_Wycena_strona_nowa'!$E:$E,MATCH($A26,'04_Wycena_strona_nowa'!$A:$A,0)),"")</x:f>
        <x:v>497</x:v>
      </x:c>
      <x:c r="M26" s="717" t="n">
        <x:f>IF(OR(K26="",L26="",K26=0,L26=0),"",L26-K26)</x:f>
        <x:v>-35</x:v>
      </x:c>
      <x:c r="N26" s="717" t="n">
        <x:f>IFERROR(INDEX(EG_Wycena_strona!$F:$F,MATCH($A26,EG_Wycena_strona!$A:$A,0)),"")</x:f>
        <x:v>10021</x:v>
      </x:c>
      <x:c r="O26" s="717" t="n">
        <x:f>IFERROR(INDEX('04_Wycena_strona_nowa'!$F:$F,MATCH($A26,'04_Wycena_strona_nowa'!$A:$A,0)),"")</x:f>
        <x:v>8696</x:v>
      </x:c>
      <x:c r="P26" s="717" t="n">
        <x:f>IF(OR(N26="",O26="",N26=0,O26=0),"",O26-N26)</x:f>
        <x:v>-1325</x:v>
      </x:c>
      <x:c r="Q26" s="717" t="n">
        <x:f>IFERROR(INDEX(EG_Wycena_strona!$G:$G,MATCH($A26,EG_Wycena_strona!$A:$A,0)),"")</x:f>
        <x:v>11140</x:v>
      </x:c>
      <x:c r="R26" s="717" t="n">
        <x:f>IFERROR(INDEX('04_Wycena_strona_nowa'!$G:$G,MATCH($A26,'04_Wycena_strona_nowa'!$A:$A,0)),"")</x:f>
        <x:v>9740</x:v>
      </x:c>
      <x:c r="S26" s="717" t="n">
        <x:f>IF(OR(Q26="",R26="",Q26=0,R26=0),"",R26-Q26)</x:f>
        <x:v>-1400</x:v>
      </x:c>
      <x:c r="T26" s="717" t="n">
        <x:f>IFERROR(INDEX(EG_Wycena_strona!$H:$H,MATCH($A26,EG_Wycena_strona!$A:$A,0)),"")</x:f>
        <x:v>3761</x:v>
      </x:c>
      <x:c r="U26" s="717" t="n">
        <x:f>IFERROR(INDEX('04_Wycena_strona_nowa'!$H:$H,MATCH($A26,'04_Wycena_strona_nowa'!$A:$A,0)),"")</x:f>
        <x:v>3361</x:v>
      </x:c>
      <x:c r="V26" s="717" t="n">
        <x:f>IF(OR(T26="",U26="",T26=0,U26=0),"",U26-T26)</x:f>
        <x:v>-400</x:v>
      </x:c>
      <x:c r="W26" s="717" t="n">
        <x:f>IFERROR(INDEX(EG_Wycena_strona!$I:$I,MATCH($A26,EG_Wycena_strona!$A:$A,0)),"")</x:f>
        <x:v>3761</x:v>
      </x:c>
      <x:c r="X26" s="717" t="n">
        <x:f>IFERROR(INDEX('04_Wycena_strona_nowa'!$I:$I,MATCH($A26,'04_Wycena_strona_nowa'!$A:$A,0)),"")</x:f>
        <x:v>3361</x:v>
      </x:c>
      <x:c r="Y26" s="717" t="n">
        <x:f>IF(OR(W26="",X26="",W26=0,X26=0),"",X26-W26)</x:f>
        <x:v>-400</x:v>
      </x:c>
      <x:c r="Z26" s="717" t="n">
        <x:f>IFERROR(INDEX(EG_Wycena_strona!$J:$J,MATCH($A26,EG_Wycena_strona!$A:$A,0)),"")</x:f>
        <x:v>6839</x:v>
      </x:c>
      <x:c r="AA26" s="717" t="n">
        <x:f>IFERROR(INDEX('04_Wycena_strona_nowa'!$J:$J,MATCH($A26,'04_Wycena_strona_nowa'!$A:$A,0)),"")</x:f>
        <x:v>6086</x:v>
      </x:c>
      <x:c r="AB26" s="717" t="n">
        <x:f>IF(OR(Z26="",AA26="",Z26=0,AA26=0),"",AA26-Z26)</x:f>
        <x:v>-753</x:v>
      </x:c>
      <x:c r="AC26" s="717" t="n">
        <x:f>IFERROR(INDEX(EG_Wycena_strona!$K:$K,MATCH($A26,EG_Wycena_strona!$A:$A,0)),"")</x:f>
        <x:v>12342</x:v>
      </x:c>
      <x:c r="AD26" s="717" t="n">
        <x:f>IFERROR(INDEX('04_Wycena_strona_nowa'!$K:$K,MATCH($A26,'04_Wycena_strona_nowa'!$A:$A,0)),"")</x:f>
        <x:v>11076</x:v>
      </x:c>
      <x:c r="AE26" s="717" t="n">
        <x:f>IF(OR(AC26="",AD26="",AC26=0,AD26=0),"",AD26-AC26)</x:f>
        <x:v>-1266</x:v>
      </x:c>
      <x:c r="AF26" s="717" t="n">
        <x:f>IFERROR(ROUND(INDEX(EG_Cennik_uslug!$BS:$BS,MATCH($A26,EG_Cennik_uslug!$A:$A,0))*1.08,0),"")</x:f>
        <x:v>2289</x:v>
      </x:c>
      <x:c r="AG26" s="717" t="n">
        <x:f>IFERROR(INDEX('04_Wycena_strona_nowa'!$L:$L,MATCH($A26,'04_Wycena_strona_nowa'!$A:$A,0)),"")</x:f>
        <x:v>2357</x:v>
      </x:c>
      <x:c r="AH26" s="717" t="n">
        <x:f>IF(OR(AF26="",AG26="",AF26=0,AG26=0),"",AG26-AF26)</x:f>
        <x:v>68</x:v>
      </x:c>
      <x:c r="AI26" s="717" t="n">
        <x:f>IFERROR(ROUND(INDEX(EG_Cennik_uslug!$BZ:$BZ,MATCH($A26,EG_Cennik_uslug!$A:$A,0))*1.08,0),"")</x:f>
        <x:v>778</x:v>
      </x:c>
      <x:c r="AJ26" s="717" t="n">
        <x:f>IFERROR(INDEX('04_Wycena_strona_nowa'!$O:$O,MATCH($A26,'04_Wycena_strona_nowa'!$A:$A,0)),"")</x:f>
        <x:v>725</x:v>
      </x:c>
      <x:c r="AK26" s="717" t="n">
        <x:f>IF(OR(AI26="",AJ26="",AI26=0,AJ26=0),"",AJ26-AI26)</x:f>
        <x:v>-53</x:v>
      </x:c>
      <x:c r="AL26" s="717" t="n">
        <x:f>IFERROR(ROUND(INDEX(EG_Cennik_uslug!$CG:$CG,MATCH($A26,EG_Cennik_uslug!$A:$A,0))*1.08,0),"")</x:f>
        <x:v>711</x:v>
      </x:c>
      <x:c r="AM26" s="717" t="n">
        <x:f>IFERROR(INDEX('04_Wycena_strona_nowa'!$P:$P,MATCH($A26,'04_Wycena_strona_nowa'!$A:$A,0)),"")</x:f>
        <x:v>662</x:v>
      </x:c>
      <x:c r="AN26" s="717" t="n">
        <x:f>IF(OR(AL26="",AM26="",AL26=0,AM26=0),"",AM26-AL26)</x:f>
        <x:v>-49</x:v>
      </x:c>
      <x:c r="AO26" s="717" t="str">
        <x:f>""</x:f>
      </x:c>
      <x:c r="AP26" s="717" t="n">
        <x:f>IFERROR(INDEX('04_Wycena_strona_nowa'!$Q:$Q,MATCH($A26,'04_Wycena_strona_nowa'!$A:$A,0)),"")</x:f>
        <x:v>561</x:v>
      </x:c>
      <x:c r="AQ26" s="717" t="str">
        <x:f>IF(OR(AO26="",AP26="",AO26=0,AP26=0),"",AP26-AO26)</x:f>
      </x:c>
      <x:c r="AR26" s="717" t="n">
        <x:f>IFERROR(ROUND(INDEX(EG_Cennik_uslug!$CN:$CN,MATCH($A26,EG_Cennik_uslug!$A:$A,0))*1.08,0),"")</x:f>
        <x:v>2900</x:v>
      </x:c>
      <x:c r="AS26" s="717" t="n">
        <x:f>IFERROR(INDEX('04_Wycena_strona_nowa'!$M:$M,MATCH($A26,'04_Wycena_strona_nowa'!$A:$A,0)),"")</x:f>
        <x:v>1107</x:v>
      </x:c>
      <x:c r="AT26" s="717" t="n">
        <x:f>IF(OR(AR26="",AS26="",AR26=0,AS26=0),"",AS26-AR26)</x:f>
        <x:v>-1793</x:v>
      </x:c>
      <x:c r="AU26" s="717" t="n">
        <x:f>IFERROR(ROUND(INDEX(EG_Cennik_uslug!$CU:$CU,MATCH($A26,EG_Cennik_uslug!$A:$A,0))*1.08,0),"")</x:f>
        <x:v>3734</x:v>
      </x:c>
      <x:c r="AV26" s="717" t="n">
        <x:f>IFERROR(INDEX('04_Wycena_strona_nowa'!$R:$R,MATCH($A26,'04_Wycena_strona_nowa'!$A:$A,0)),"")</x:f>
        <x:v>2443</x:v>
      </x:c>
      <x:c r="AW26" s="717" t="n">
        <x:f>IF(OR(AU26="",AV26="",AU26=0,AV26=0),"",AV26-AU26)</x:f>
        <x:v>-1291</x:v>
      </x:c>
      <x:c r="AX26" s="717" t="str">
        <x:f>""</x:f>
      </x:c>
      <x:c r="AY26" s="717" t="str">
        <x:f>IFERROR(INDEX('04_Wycena_strona_nowa'!$S:$S,MATCH($A26,'04_Wycena_strona_nowa'!$A:$A,0)),"")</x:f>
      </x:c>
      <x:c r="AZ26" s="717" t="str">
        <x:f>IF(OR(AX26="",AY26="",AX26=0,AY26=0),"",AY26-AX26)</x:f>
      </x:c>
      <x:c r="BA26" s="612" t="e">
        <x:f>_xludf.TEXTJOIN("; ",TRUE,IF(OR(LEFT($A26,3)="550",LEFT($A26,3)="600"),"550/600: EG brak benchmarku; opcje szklane/zerowe ukryte w porównaniu do czasu potwierdzenia",""),"LED CCT/RGB: porównanie orientacyjne do EG LED COB","Zabieraki: brak jednoznacznej pozycji EG")</x:f>
      </x:c>
    </x:row>
    <x:row r="27">
      <x:c r="A27" s="608" t="str">
        <x:f>'04_Wycena_strona_nowa'!A27</x:f>
        <x:v>400 x 806 cm</x:v>
      </x:c>
      <x:c r="B27" s="717" t="n">
        <x:f>IFERROR(INDEX(EG_Wycena_strona!$B:$B,MATCH($A27,EG_Wycena_strona!$A:$A,0)),"")</x:f>
        <x:v>21209</x:v>
      </x:c>
      <x:c r="C27" s="717" t="n">
        <x:f>IFERROR(INDEX('04_Wycena_strona_nowa'!$B:$B,MATCH($A27,'04_Wycena_strona_nowa'!$A:$A,0)),"")</x:f>
        <x:v>20111</x:v>
      </x:c>
      <x:c r="D27" s="717" t="n">
        <x:f>IF(OR(B27="",C27="",B27=0,C27=0),"",C27-B27)</x:f>
        <x:v>-1098</x:v>
      </x:c>
      <x:c r="E27" s="717" t="n">
        <x:f>IFERROR(INDEX(EG_Wycena_strona!$C:$C,MATCH($A27,EG_Wycena_strona!$A:$A,0)),"")</x:f>
        <x:v>25694</x:v>
      </x:c>
      <x:c r="F27" s="717" t="n">
        <x:f>IFERROR(INDEX('04_Wycena_strona_nowa'!$C:$C,MATCH($A27,'04_Wycena_strona_nowa'!$A:$A,0)),"")</x:f>
        <x:v>22954</x:v>
      </x:c>
      <x:c r="G27" s="717" t="n">
        <x:f>IF(OR(E27="",F27="",E27=0,F27=0),"",F27-E27)</x:f>
        <x:v>-2740</x:v>
      </x:c>
      <x:c r="H27" s="717" t="n">
        <x:f>IFERROR(INDEX(EG_Wycena_strona!$D:$D,MATCH($A27,EG_Wycena_strona!$A:$A,0)),"")</x:f>
        <x:v>28507</x:v>
      </x:c>
      <x:c r="I27" s="717" t="n">
        <x:f>IFERROR(INDEX('04_Wycena_strona_nowa'!$D:$D,MATCH($A27,'04_Wycena_strona_nowa'!$A:$A,0)),"")</x:f>
        <x:v>25582</x:v>
      </x:c>
      <x:c r="J27" s="717" t="n">
        <x:f>IF(OR(H27="",I27="",H27=0,I27=0),"",I27-H27)</x:f>
        <x:v>-2925</x:v>
      </x:c>
      <x:c r="K27" s="717" t="n">
        <x:f>IFERROR(INDEX(EG_Wycena_strona!$E:$E,MATCH($A27,EG_Wycena_strona!$A:$A,0)),"")</x:f>
        <x:v>873</x:v>
      </x:c>
      <x:c r="L27" s="717" t="n">
        <x:f>IFERROR(INDEX('04_Wycena_strona_nowa'!$E:$E,MATCH($A27,'04_Wycena_strona_nowa'!$A:$A,0)),"")</x:f>
        <x:v>814</x:v>
      </x:c>
      <x:c r="M27" s="717" t="n">
        <x:f>IF(OR(K27="",L27="",K27=0,L27=0),"",L27-K27)</x:f>
        <x:v>-59</x:v>
      </x:c>
      <x:c r="N27" s="717" t="n">
        <x:f>IFERROR(INDEX(EG_Wycena_strona!$F:$F,MATCH($A27,EG_Wycena_strona!$A:$A,0)),"")</x:f>
        <x:v>12006</x:v>
      </x:c>
      <x:c r="O27" s="717" t="n">
        <x:f>IFERROR(INDEX('04_Wycena_strona_nowa'!$F:$F,MATCH($A27,'04_Wycena_strona_nowa'!$A:$A,0)),"")</x:f>
        <x:v>10465</x:v>
      </x:c>
      <x:c r="P27" s="717" t="n">
        <x:f>IF(OR(N27="",O27="",N27=0,O27=0),"",O27-N27)</x:f>
        <x:v>-1541</x:v>
      </x:c>
      <x:c r="Q27" s="717" t="n">
        <x:f>IFERROR(INDEX(EG_Wycena_strona!$G:$G,MATCH($A27,EG_Wycena_strona!$A:$A,0)),"")</x:f>
        <x:v>13275</x:v>
      </x:c>
      <x:c r="R27" s="717" t="n">
        <x:f>IFERROR(INDEX('04_Wycena_strona_nowa'!$G:$G,MATCH($A27,'04_Wycena_strona_nowa'!$A:$A,0)),"")</x:f>
        <x:v>11649</x:v>
      </x:c>
      <x:c r="S27" s="717" t="n">
        <x:f>IF(OR(Q27="",R27="",Q27=0,R27=0),"",R27-Q27)</x:f>
        <x:v>-1626</x:v>
      </x:c>
      <x:c r="T27" s="717" t="n">
        <x:f>IFERROR(INDEX(EG_Wycena_strona!$H:$H,MATCH($A27,EG_Wycena_strona!$A:$A,0)),"")</x:f>
        <x:v>3761</x:v>
      </x:c>
      <x:c r="U27" s="717" t="n">
        <x:f>IFERROR(INDEX('04_Wycena_strona_nowa'!$H:$H,MATCH($A27,'04_Wycena_strona_nowa'!$A:$A,0)),"")</x:f>
        <x:v>3361</x:v>
      </x:c>
      <x:c r="V27" s="717" t="n">
        <x:f>IF(OR(T27="",U27="",T27=0,U27=0),"",U27-T27)</x:f>
        <x:v>-400</x:v>
      </x:c>
      <x:c r="W27" s="717" t="n">
        <x:f>IFERROR(INDEX(EG_Wycena_strona!$I:$I,MATCH($A27,EG_Wycena_strona!$A:$A,0)),"")</x:f>
        <x:v>3761</x:v>
      </x:c>
      <x:c r="X27" s="717" t="n">
        <x:f>IFERROR(INDEX('04_Wycena_strona_nowa'!$I:$I,MATCH($A27,'04_Wycena_strona_nowa'!$A:$A,0)),"")</x:f>
        <x:v>3361</x:v>
      </x:c>
      <x:c r="Y27" s="717" t="n">
        <x:f>IF(OR(W27="",X27="",W27=0,X27=0),"",X27-W27)</x:f>
        <x:v>-400</x:v>
      </x:c>
      <x:c r="Z27" s="717" t="n">
        <x:f>IFERROR(INDEX(EG_Wycena_strona!$J:$J,MATCH($A27,EG_Wycena_strona!$A:$A,0)),"")</x:f>
        <x:v>7520</x:v>
      </x:c>
      <x:c r="AA27" s="717" t="n">
        <x:f>IFERROR(INDEX('04_Wycena_strona_nowa'!$J:$J,MATCH($A27,'04_Wycena_strona_nowa'!$A:$A,0)),"")</x:f>
        <x:v>6723</x:v>
      </x:c>
      <x:c r="AB27" s="717" t="n">
        <x:f>IF(OR(Z27="",AA27="",Z27=0,AA27=0),"",AA27-Z27)</x:f>
        <x:v>-797</x:v>
      </x:c>
      <x:c r="AC27" s="717" t="n">
        <x:f>IFERROR(INDEX(EG_Wycena_strona!$K:$K,MATCH($A27,EG_Wycena_strona!$A:$A,0)),"")</x:f>
        <x:v>13254</x:v>
      </x:c>
      <x:c r="AD27" s="717" t="n">
        <x:f>IFERROR(INDEX('04_Wycena_strona_nowa'!$K:$K,MATCH($A27,'04_Wycena_strona_nowa'!$A:$A,0)),"")</x:f>
        <x:v>11877</x:v>
      </x:c>
      <x:c r="AE27" s="717" t="n">
        <x:f>IF(OR(AC27="",AD27="",AC27=0,AD27=0),"",AD27-AC27)</x:f>
        <x:v>-1377</x:v>
      </x:c>
      <x:c r="AF27" s="717" t="n">
        <x:f>IFERROR(ROUND(INDEX(EG_Cennik_uslug!$BS:$BS,MATCH($A27,EG_Cennik_uslug!$A:$A,0))*1.08,0),"")</x:f>
        <x:v>2493</x:v>
      </x:c>
      <x:c r="AG27" s="717" t="n">
        <x:f>IFERROR(INDEX('04_Wycena_strona_nowa'!$L:$L,MATCH($A27,'04_Wycena_strona_nowa'!$A:$A,0)),"")</x:f>
        <x:v>2568</x:v>
      </x:c>
      <x:c r="AH27" s="717" t="n">
        <x:f>IF(OR(AF27="",AG27="",AF27=0,AG27=0),"",AG27-AF27)</x:f>
        <x:v>75</x:v>
      </x:c>
      <x:c r="AI27" s="717" t="n">
        <x:f>IFERROR(ROUND(INDEX(EG_Cennik_uslug!$BZ:$BZ,MATCH($A27,EG_Cennik_uslug!$A:$A,0))*1.08,0),"")</x:f>
        <x:v>834</x:v>
      </x:c>
      <x:c r="AJ27" s="717" t="n">
        <x:f>IFERROR(INDEX('04_Wycena_strona_nowa'!$O:$O,MATCH($A27,'04_Wycena_strona_nowa'!$A:$A,0)),"")</x:f>
        <x:v>777</x:v>
      </x:c>
      <x:c r="AK27" s="717" t="n">
        <x:f>IF(OR(AI27="",AJ27="",AI27=0,AJ27=0),"",AJ27-AI27)</x:f>
        <x:v>-57</x:v>
      </x:c>
      <x:c r="AL27" s="717" t="n">
        <x:f>IFERROR(ROUND(INDEX(EG_Cennik_uslug!$CG:$CG,MATCH($A27,EG_Cennik_uslug!$A:$A,0))*1.08,0),"")</x:f>
        <x:v>752</x:v>
      </x:c>
      <x:c r="AM27" s="717" t="n">
        <x:f>IFERROR(INDEX('04_Wycena_strona_nowa'!$P:$P,MATCH($A27,'04_Wycena_strona_nowa'!$A:$A,0)),"")</x:f>
        <x:v>702</x:v>
      </x:c>
      <x:c r="AN27" s="717" t="n">
        <x:f>IF(OR(AL27="",AM27="",AL27=0,AM27=0),"",AM27-AL27)</x:f>
        <x:v>-50</x:v>
      </x:c>
      <x:c r="AO27" s="717" t="str">
        <x:f>""</x:f>
      </x:c>
      <x:c r="AP27" s="717" t="n">
        <x:f>IFERROR(INDEX('04_Wycena_strona_nowa'!$Q:$Q,MATCH($A27,'04_Wycena_strona_nowa'!$A:$A,0)),"")</x:f>
        <x:v>611</x:v>
      </x:c>
      <x:c r="AQ27" s="717" t="str">
        <x:f>IF(OR(AO27="",AP27="",AO27=0,AP27=0),"",AP27-AO27)</x:f>
      </x:c>
      <x:c r="AR27" s="717" t="n">
        <x:f>IFERROR(ROUND(INDEX(EG_Cennik_uslug!$CN:$CN,MATCH($A27,EG_Cennik_uslug!$A:$A,0))*1.08,0),"")</x:f>
        <x:v>3191</x:v>
      </x:c>
      <x:c r="AS27" s="717" t="n">
        <x:f>IFERROR(INDEX('04_Wycena_strona_nowa'!$M:$M,MATCH($A27,'04_Wycena_strona_nowa'!$A:$A,0)),"")</x:f>
        <x:v>1221</x:v>
      </x:c>
      <x:c r="AT27" s="717" t="n">
        <x:f>IF(OR(AR27="",AS27="",AR27=0,AS27=0),"",AS27-AR27)</x:f>
        <x:v>-1970</x:v>
      </x:c>
      <x:c r="AU27" s="717" t="n">
        <x:f>IFERROR(ROUND(INDEX(EG_Cennik_uslug!$CU:$CU,MATCH($A27,EG_Cennik_uslug!$A:$A,0))*1.08,0),"")</x:f>
        <x:v>4069</x:v>
      </x:c>
      <x:c r="AV27" s="717" t="n">
        <x:f>IFERROR(INDEX('04_Wycena_strona_nowa'!$R:$R,MATCH($A27,'04_Wycena_strona_nowa'!$A:$A,0)),"")</x:f>
        <x:v>2741</x:v>
      </x:c>
      <x:c r="AW27" s="717" t="n">
        <x:f>IF(OR(AU27="",AV27="",AU27=0,AV27=0),"",AV27-AU27)</x:f>
        <x:v>-1328</x:v>
      </x:c>
      <x:c r="AX27" s="717" t="str">
        <x:f>""</x:f>
      </x:c>
      <x:c r="AY27" s="717" t="str">
        <x:f>IFERROR(INDEX('04_Wycena_strona_nowa'!$S:$S,MATCH($A27,'04_Wycena_strona_nowa'!$A:$A,0)),"")</x:f>
      </x:c>
      <x:c r="AZ27" s="717" t="str">
        <x:f>IF(OR(AX27="",AY27="",AX27=0,AY27=0),"",AY27-AX27)</x:f>
      </x:c>
      <x:c r="BA27" s="612" t="e">
        <x:f>_xludf.TEXTJOIN("; ",TRUE,IF(OR(LEFT($A27,3)="550",LEFT($A27,3)="600"),"550/600: EG brak benchmarku; opcje szklane/zerowe ukryte w porównaniu do czasu potwierdzenia",""),"LED CCT/RGB: porównanie orientacyjne do EG LED COB","Zabieraki: brak jednoznacznej pozycji EG")</x:f>
      </x:c>
    </x:row>
    <x:row r="28">
      <x:c r="A28" s="608" t="str">
        <x:f>'04_Wycena_strona_nowa'!A28</x:f>
        <x:v>400 x 906 cm</x:v>
      </x:c>
      <x:c r="B28" s="717" t="n">
        <x:f>IFERROR(INDEX(EG_Wycena_strona!$B:$B,MATCH($A28,EG_Wycena_strona!$A:$A,0)),"")</x:f>
        <x:v>23513</x:v>
      </x:c>
      <x:c r="C28" s="717" t="n">
        <x:f>IFERROR(INDEX('04_Wycena_strona_nowa'!$B:$B,MATCH($A28,'04_Wycena_strona_nowa'!$A:$A,0)),"")</x:f>
        <x:v>22280</x:v>
      </x:c>
      <x:c r="D28" s="717" t="n">
        <x:f>IF(OR(B28="",C28="",B28=0,C28=0),"",C28-B28)</x:f>
        <x:v>-1233</x:v>
      </x:c>
      <x:c r="E28" s="717" t="n">
        <x:f>IFERROR(INDEX(EG_Wycena_strona!$C:$C,MATCH($A28,EG_Wycena_strona!$A:$A,0)),"")</x:f>
        <x:v>27503</x:v>
      </x:c>
      <x:c r="F28" s="717" t="n">
        <x:f>IFERROR(INDEX('04_Wycena_strona_nowa'!$C:$C,MATCH($A28,'04_Wycena_strona_nowa'!$A:$A,0)),"")</x:f>
        <x:v>24546</x:v>
      </x:c>
      <x:c r="G28" s="717" t="n">
        <x:f>IF(OR(E28="",F28="",E28=0,F28=0),"",F28-E28)</x:f>
        <x:v>-2957</x:v>
      </x:c>
      <x:c r="H28" s="717" t="n">
        <x:f>IFERROR(INDEX(EG_Wycena_strona!$D:$D,MATCH($A28,EG_Wycena_strona!$A:$A,0)),"")</x:f>
        <x:v>30284</x:v>
      </x:c>
      <x:c r="I28" s="717" t="n">
        <x:f>IFERROR(INDEX('04_Wycena_strona_nowa'!$D:$D,MATCH($A28,'04_Wycena_strona_nowa'!$A:$A,0)),"")</x:f>
        <x:v>27144</x:v>
      </x:c>
      <x:c r="J28" s="717" t="n">
        <x:f>IF(OR(H28="",I28="",H28=0,I28=0),"",I28-H28)</x:f>
        <x:v>-3140</x:v>
      </x:c>
      <x:c r="K28" s="717" t="n">
        <x:f>IFERROR(INDEX(EG_Wycena_strona!$E:$E,MATCH($A28,EG_Wycena_strona!$A:$A,0)),"")</x:f>
        <x:v>683</x:v>
      </x:c>
      <x:c r="L28" s="717" t="n">
        <x:f>IFERROR(INDEX('04_Wycena_strona_nowa'!$E:$E,MATCH($A28,'04_Wycena_strona_nowa'!$A:$A,0)),"")</x:f>
        <x:v>637</x:v>
      </x:c>
      <x:c r="M28" s="717" t="n">
        <x:f>IF(OR(K28="",L28="",K28=0,L28=0),"",L28-K28)</x:f>
        <x:v>-46</x:v>
      </x:c>
      <x:c r="N28" s="717" t="n">
        <x:f>IFERROR(INDEX(EG_Wycena_strona!$F:$F,MATCH($A28,EG_Wycena_strona!$A:$A,0)),"")</x:f>
        <x:v>13360</x:v>
      </x:c>
      <x:c r="O28" s="717" t="n">
        <x:f>IFERROR(INDEX('04_Wycena_strona_nowa'!$F:$F,MATCH($A28,'04_Wycena_strona_nowa'!$A:$A,0)),"")</x:f>
        <x:v>11662</x:v>
      </x:c>
      <x:c r="P28" s="717" t="n">
        <x:f>IF(OR(N28="",O28="",N28=0,O28=0),"",O28-N28)</x:f>
        <x:v>-1698</x:v>
      </x:c>
      <x:c r="Q28" s="717" t="n">
        <x:f>IFERROR(INDEX(EG_Wycena_strona!$G:$G,MATCH($A28,EG_Wycena_strona!$A:$A,0)),"")</x:f>
        <x:v>14793</x:v>
      </x:c>
      <x:c r="R28" s="717" t="n">
        <x:f>IFERROR(INDEX('04_Wycena_strona_nowa'!$G:$G,MATCH($A28,'04_Wycena_strona_nowa'!$A:$A,0)),"")</x:f>
        <x:v>12999</x:v>
      </x:c>
      <x:c r="S28" s="717" t="n">
        <x:f>IF(OR(Q28="",R28="",Q28=0,R28=0),"",R28-Q28)</x:f>
        <x:v>-1794</x:v>
      </x:c>
      <x:c r="T28" s="717" t="n">
        <x:f>IFERROR(INDEX(EG_Wycena_strona!$H:$H,MATCH($A28,EG_Wycena_strona!$A:$A,0)),"")</x:f>
        <x:v>3761</x:v>
      </x:c>
      <x:c r="U28" s="717" t="n">
        <x:f>IFERROR(INDEX('04_Wycena_strona_nowa'!$H:$H,MATCH($A28,'04_Wycena_strona_nowa'!$A:$A,0)),"")</x:f>
        <x:v>3361</x:v>
      </x:c>
      <x:c r="V28" s="717" t="n">
        <x:f>IF(OR(T28="",U28="",T28=0,U28=0),"",U28-T28)</x:f>
        <x:v>-400</x:v>
      </x:c>
      <x:c r="W28" s="717" t="n">
        <x:f>IFERROR(INDEX(EG_Wycena_strona!$I:$I,MATCH($A28,EG_Wycena_strona!$A:$A,0)),"")</x:f>
        <x:v>3761</x:v>
      </x:c>
      <x:c r="X28" s="717" t="n">
        <x:f>IFERROR(INDEX('04_Wycena_strona_nowa'!$I:$I,MATCH($A28,'04_Wycena_strona_nowa'!$A:$A,0)),"")</x:f>
        <x:v>3361</x:v>
      </x:c>
      <x:c r="Y28" s="717" t="n">
        <x:f>IF(OR(W28="",X28="",W28=0,X28=0),"",X28-W28)</x:f>
        <x:v>-400</x:v>
      </x:c>
      <x:c r="Z28" s="717" t="n">
        <x:f>IFERROR(INDEX(EG_Wycena_strona!$J:$J,MATCH($A28,EG_Wycena_strona!$A:$A,0)),"")</x:f>
        <x:v>9209</x:v>
      </x:c>
      <x:c r="AA28" s="717" t="n">
        <x:f>IFERROR(INDEX('04_Wycena_strona_nowa'!$J:$J,MATCH($A28,'04_Wycena_strona_nowa'!$A:$A,0)),"")</x:f>
        <x:v>8148</x:v>
      </x:c>
      <x:c r="AB28" s="717" t="n">
        <x:f>IF(OR(Z28="",AA28="",Z28=0,AA28=0),"",AA28-Z28)</x:f>
        <x:v>-1061</x:v>
      </x:c>
      <x:c r="AC28" s="717" t="n">
        <x:f>IFERROR(INDEX(EG_Wycena_strona!$K:$K,MATCH($A28,EG_Wycena_strona!$A:$A,0)),"")</x:f>
        <x:v>14196</x:v>
      </x:c>
      <x:c r="AD28" s="717" t="n">
        <x:f>IFERROR(INDEX('04_Wycena_strona_nowa'!$K:$K,MATCH($A28,'04_Wycena_strona_nowa'!$A:$A,0)),"")</x:f>
        <x:v>12706</x:v>
      </x:c>
      <x:c r="AE28" s="717" t="n">
        <x:f>IF(OR(AC28="",AD28="",AC28=0,AD28=0),"",AD28-AC28)</x:f>
        <x:v>-1490</x:v>
      </x:c>
      <x:c r="AF28" s="717" t="n">
        <x:f>IFERROR(ROUND(INDEX(EG_Cennik_uslug!$BS:$BS,MATCH($A28,EG_Cennik_uslug!$A:$A,0))*1.08,0),"")</x:f>
        <x:v>2756</x:v>
      </x:c>
      <x:c r="AG28" s="717" t="n">
        <x:f>IFERROR(INDEX('04_Wycena_strona_nowa'!$L:$L,MATCH($A28,'04_Wycena_strona_nowa'!$A:$A,0)),"")</x:f>
        <x:v>2839</x:v>
      </x:c>
      <x:c r="AH28" s="717" t="n">
        <x:f>IF(OR(AF28="",AG28="",AF28=0,AG28=0),"",AG28-AF28)</x:f>
        <x:v>83</x:v>
      </x:c>
      <x:c r="AI28" s="717" t="n">
        <x:f>IFERROR(ROUND(INDEX(EG_Cennik_uslug!$BZ:$BZ,MATCH($A28,EG_Cennik_uslug!$A:$A,0))*1.08,0),"")</x:f>
        <x:v>887</x:v>
      </x:c>
      <x:c r="AJ28" s="717" t="n">
        <x:f>IFERROR(INDEX('04_Wycena_strona_nowa'!$O:$O,MATCH($A28,'04_Wycena_strona_nowa'!$A:$A,0)),"")</x:f>
        <x:v>827</x:v>
      </x:c>
      <x:c r="AK28" s="717" t="n">
        <x:f>IF(OR(AI28="",AJ28="",AI28=0,AJ28=0),"",AJ28-AI28)</x:f>
        <x:v>-60</x:v>
      </x:c>
      <x:c r="AL28" s="717" t="n">
        <x:f>IFERROR(ROUND(INDEX(EG_Cennik_uslug!$CG:$CG,MATCH($A28,EG_Cennik_uslug!$A:$A,0))*1.08,0),"")</x:f>
        <x:v>806</x:v>
      </x:c>
      <x:c r="AM28" s="717" t="n">
        <x:f>IFERROR(INDEX('04_Wycena_strona_nowa'!$P:$P,MATCH($A28,'04_Wycena_strona_nowa'!$A:$A,0)),"")</x:f>
        <x:v>752</x:v>
      </x:c>
      <x:c r="AN28" s="717" t="n">
        <x:f>IF(OR(AL28="",AM28="",AL28=0,AM28=0),"",AM28-AL28)</x:f>
        <x:v>-54</x:v>
      </x:c>
      <x:c r="AO28" s="717" t="str">
        <x:f>""</x:f>
      </x:c>
      <x:c r="AP28" s="717" t="n">
        <x:f>IFERROR(INDEX('04_Wycena_strona_nowa'!$Q:$Q,MATCH($A28,'04_Wycena_strona_nowa'!$A:$A,0)),"")</x:f>
        <x:v>611</x:v>
      </x:c>
      <x:c r="AQ28" s="717" t="str">
        <x:f>IF(OR(AO28="",AP28="",AO28=0,AP28=0),"",AP28-AO28)</x:f>
      </x:c>
      <x:c r="AR28" s="717" t="n">
        <x:f>IFERROR(ROUND(INDEX(EG_Cennik_uslug!$CN:$CN,MATCH($A28,EG_Cennik_uslug!$A:$A,0))*1.08,0),"")</x:f>
        <x:v>3559</x:v>
      </x:c>
      <x:c r="AS28" s="717" t="n">
        <x:f>IFERROR(INDEX('04_Wycena_strona_nowa'!$M:$M,MATCH($A28,'04_Wycena_strona_nowa'!$A:$A,0)),"")</x:f>
        <x:v>1325</x:v>
      </x:c>
      <x:c r="AT28" s="717" t="n">
        <x:f>IF(OR(AR28="",AS28="",AR28=0,AS28=0),"",AS28-AR28)</x:f>
        <x:v>-2234</x:v>
      </x:c>
      <x:c r="AU28" s="717" t="n">
        <x:f>IFERROR(ROUND(INDEX(EG_Cennik_uslug!$CU:$CU,MATCH($A28,EG_Cennik_uslug!$A:$A,0))*1.08,0),"")</x:f>
        <x:v>4405</x:v>
      </x:c>
      <x:c r="AV28" s="717" t="n">
        <x:f>IFERROR(INDEX('04_Wycena_strona_nowa'!$R:$R,MATCH($A28,'04_Wycena_strona_nowa'!$A:$A,0)),"")</x:f>
        <x:v>3023</x:v>
      </x:c>
      <x:c r="AW28" s="717" t="n">
        <x:f>IF(OR(AU28="",AV28="",AU28=0,AV28=0),"",AV28-AU28)</x:f>
        <x:v>-1382</x:v>
      </x:c>
      <x:c r="AX28" s="717" t="str">
        <x:f>""</x:f>
      </x:c>
      <x:c r="AY28" s="717" t="str">
        <x:f>IFERROR(INDEX('04_Wycena_strona_nowa'!$S:$S,MATCH($A28,'04_Wycena_strona_nowa'!$A:$A,0)),"")</x:f>
      </x:c>
      <x:c r="AZ28" s="717" t="str">
        <x:f>IF(OR(AX28="",AY28="",AX28=0,AY28=0),"",AY28-AX28)</x:f>
      </x:c>
      <x:c r="BA28" s="612" t="e">
        <x:f>_xludf.TEXTJOIN("; ",TRUE,IF(OR(LEFT($A28,3)="550",LEFT($A28,3)="600"),"550/600: EG brak benchmarku; opcje szklane/zerowe ukryte w porównaniu do czasu potwierdzenia",""),"LED CCT/RGB: porównanie orientacyjne do EG LED COB","Zabieraki: brak jednoznacznej pozycji EG")</x:f>
      </x:c>
    </x:row>
    <x:row r="29">
      <x:c r="A29" s="608" t="str">
        <x:f>'04_Wycena_strona_nowa'!A29</x:f>
        <x:v>400 x 1006 cm</x:v>
      </x:c>
      <x:c r="B29" s="717" t="n">
        <x:f>IFERROR(INDEX(EG_Wycena_strona!$B:$B,MATCH($A29,EG_Wycena_strona!$A:$A,0)),"")</x:f>
        <x:v>25838</x:v>
      </x:c>
      <x:c r="C29" s="717" t="n">
        <x:f>IFERROR(INDEX('04_Wycena_strona_nowa'!$B:$B,MATCH($A29,'04_Wycena_strona_nowa'!$A:$A,0)),"")</x:f>
        <x:v>24470</x:v>
      </x:c>
      <x:c r="D29" s="717" t="n">
        <x:f>IF(OR(B29="",C29="",B29=0,C29=0),"",C29-B29)</x:f>
        <x:v>-1368</x:v>
      </x:c>
      <x:c r="E29" s="717" t="n">
        <x:f>IFERROR(INDEX(EG_Wycena_strona!$C:$C,MATCH($A29,EG_Wycena_strona!$A:$A,0)),"")</x:f>
        <x:v>29289</x:v>
      </x:c>
      <x:c r="F29" s="717" t="n">
        <x:f>IFERROR(INDEX('04_Wycena_strona_nowa'!$C:$C,MATCH($A29,'04_Wycena_strona_nowa'!$A:$A,0)),"")</x:f>
        <x:v>26119</x:v>
      </x:c>
      <x:c r="G29" s="717" t="n">
        <x:f>IF(OR(E29="",F29="",E29=0,F29=0),"",F29-E29)</x:f>
        <x:v>-3170</x:v>
      </x:c>
      <x:c r="H29" s="717" t="n">
        <x:f>IFERROR(INDEX(EG_Wycena_strona!$D:$D,MATCH($A29,EG_Wycena_strona!$A:$A,0)),"")</x:f>
        <x:v>32234</x:v>
      </x:c>
      <x:c r="I29" s="717" t="n">
        <x:f>IFERROR(INDEX('04_Wycena_strona_nowa'!$D:$D,MATCH($A29,'04_Wycena_strona_nowa'!$A:$A,0)),"")</x:f>
        <x:v>28869</x:v>
      </x:c>
      <x:c r="J29" s="717" t="n">
        <x:f>IF(OR(H29="",I29="",H29=0,I29=0),"",I29-H29)</x:f>
        <x:v>-3365</x:v>
      </x:c>
      <x:c r="K29" s="717" t="n">
        <x:f>IFERROR(INDEX(EG_Wycena_strona!$E:$E,MATCH($A29,EG_Wycena_strona!$A:$A,0)),"")</x:f>
        <x:v>765</x:v>
      </x:c>
      <x:c r="L29" s="717" t="n">
        <x:f>IFERROR(INDEX('04_Wycena_strona_nowa'!$E:$E,MATCH($A29,'04_Wycena_strona_nowa'!$A:$A,0)),"")</x:f>
        <x:v>713</x:v>
      </x:c>
      <x:c r="M29" s="717" t="n">
        <x:f>IF(OR(K29="",L29="",K29=0,L29=0),"",L29-K29)</x:f>
        <x:v>-52</x:v>
      </x:c>
      <x:c r="N29" s="717" t="n">
        <x:f>IFERROR(INDEX(EG_Wycena_strona!$F:$F,MATCH($A29,EG_Wycena_strona!$A:$A,0)),"")</x:f>
        <x:v>14714</x:v>
      </x:c>
      <x:c r="O29" s="717" t="n">
        <x:f>IFERROR(INDEX('04_Wycena_strona_nowa'!$F:$F,MATCH($A29,'04_Wycena_strona_nowa'!$A:$A,0)),"")</x:f>
        <x:v>12860</x:v>
      </x:c>
      <x:c r="P29" s="717" t="n">
        <x:f>IF(OR(N29="",O29="",N29=0,O29=0),"",O29-N29)</x:f>
        <x:v>-1854</x:v>
      </x:c>
      <x:c r="Q29" s="717" t="n">
        <x:f>IFERROR(INDEX(EG_Wycena_strona!$G:$G,MATCH($A29,EG_Wycena_strona!$A:$A,0)),"")</x:f>
        <x:v>16295</x:v>
      </x:c>
      <x:c r="R29" s="717" t="n">
        <x:f>IFERROR(INDEX('04_Wycena_strona_nowa'!$G:$G,MATCH($A29,'04_Wycena_strona_nowa'!$A:$A,0)),"")</x:f>
        <x:v>14336</x:v>
      </x:c>
      <x:c r="S29" s="717" t="n">
        <x:f>IF(OR(Q29="",R29="",Q29=0,R29=0),"",R29-Q29)</x:f>
        <x:v>-1959</x:v>
      </x:c>
      <x:c r="T29" s="717" t="n">
        <x:f>IFERROR(INDEX(EG_Wycena_strona!$H:$H,MATCH($A29,EG_Wycena_strona!$A:$A,0)),"")</x:f>
        <x:v>3761</x:v>
      </x:c>
      <x:c r="U29" s="717" t="n">
        <x:f>IFERROR(INDEX('04_Wycena_strona_nowa'!$H:$H,MATCH($A29,'04_Wycena_strona_nowa'!$A:$A,0)),"")</x:f>
        <x:v>3361</x:v>
      </x:c>
      <x:c r="V29" s="717" t="n">
        <x:f>IF(OR(T29="",U29="",T29=0,U29=0),"",U29-T29)</x:f>
        <x:v>-400</x:v>
      </x:c>
      <x:c r="W29" s="717" t="n">
        <x:f>IFERROR(INDEX(EG_Wycena_strona!$I:$I,MATCH($A29,EG_Wycena_strona!$A:$A,0)),"")</x:f>
        <x:v>3761</x:v>
      </x:c>
      <x:c r="X29" s="717" t="n">
        <x:f>IFERROR(INDEX('04_Wycena_strona_nowa'!$I:$I,MATCH($A29,'04_Wycena_strona_nowa'!$A:$A,0)),"")</x:f>
        <x:v>3361</x:v>
      </x:c>
      <x:c r="Y29" s="717" t="n">
        <x:f>IF(OR(W29="",X29="",W29=0,X29=0),"",X29-W29)</x:f>
        <x:v>-400</x:v>
      </x:c>
      <x:c r="Z29" s="717" t="n">
        <x:f>IFERROR(INDEX(EG_Wycena_strona!$J:$J,MATCH($A29,EG_Wycena_strona!$A:$A,0)),"")</x:f>
        <x:v>9904</x:v>
      </x:c>
      <x:c r="AA29" s="717" t="n">
        <x:f>IFERROR(INDEX('04_Wycena_strona_nowa'!$J:$J,MATCH($A29,'04_Wycena_strona_nowa'!$A:$A,0)),"")</x:f>
        <x:v>8798</x:v>
      </x:c>
      <x:c r="AB29" s="717" t="n">
        <x:f>IF(OR(Z29="",AA29="",Z29=0,AA29=0),"",AA29-Z29)</x:f>
        <x:v>-1106</x:v>
      </x:c>
      <x:c r="AC29" s="717" t="n">
        <x:f>IFERROR(INDEX(EG_Wycena_strona!$K:$K,MATCH($A29,EG_Wycena_strona!$A:$A,0)),"")</x:f>
        <x:v>15122</x:v>
      </x:c>
      <x:c r="AD29" s="717" t="n">
        <x:f>IFERROR(INDEX('04_Wycena_strona_nowa'!$K:$K,MATCH($A29,'04_Wycena_strona_nowa'!$A:$A,0)),"")</x:f>
        <x:v>13521</x:v>
      </x:c>
      <x:c r="AE29" s="717" t="n">
        <x:f>IF(OR(AC29="",AD29="",AC29=0,AD29=0),"",AD29-AC29)</x:f>
        <x:v>-1601</x:v>
      </x:c>
      <x:c r="AF29" s="717" t="n">
        <x:f>IFERROR(ROUND(INDEX(EG_Cennik_uslug!$BS:$BS,MATCH($A29,EG_Cennik_uslug!$A:$A,0))*1.08,0),"")</x:f>
        <x:v>3018</x:v>
      </x:c>
      <x:c r="AG29" s="717" t="n">
        <x:f>IFERROR(INDEX('04_Wycena_strona_nowa'!$L:$L,MATCH($A29,'04_Wycena_strona_nowa'!$A:$A,0)),"")</x:f>
        <x:v>3110</x:v>
      </x:c>
      <x:c r="AH29" s="717" t="n">
        <x:f>IF(OR(AF29="",AG29="",AF29=0,AG29=0),"",AG29-AF29)</x:f>
        <x:v>92</x:v>
      </x:c>
      <x:c r="AI29" s="717" t="n">
        <x:f>IFERROR(ROUND(INDEX(EG_Cennik_uslug!$BZ:$BZ,MATCH($A29,EG_Cennik_uslug!$A:$A,0))*1.08,0),"")</x:f>
        <x:v>942</x:v>
      </x:c>
      <x:c r="AJ29" s="717" t="n">
        <x:f>IFERROR(INDEX('04_Wycena_strona_nowa'!$O:$O,MATCH($A29,'04_Wycena_strona_nowa'!$A:$A,0)),"")</x:f>
        <x:v>878</x:v>
      </x:c>
      <x:c r="AK29" s="717" t="n">
        <x:f>IF(OR(AI29="",AJ29="",AI29=0,AJ29=0),"",AJ29-AI29)</x:f>
        <x:v>-64</x:v>
      </x:c>
      <x:c r="AL29" s="717" t="n">
        <x:f>IFERROR(ROUND(INDEX(EG_Cennik_uslug!$CG:$CG,MATCH($A29,EG_Cennik_uslug!$A:$A,0))*1.08,0),"")</x:f>
        <x:v>846</x:v>
      </x:c>
      <x:c r="AM29" s="717" t="n">
        <x:f>IFERROR(INDEX('04_Wycena_strona_nowa'!$P:$P,MATCH($A29,'04_Wycena_strona_nowa'!$A:$A,0)),"")</x:f>
        <x:v>789</x:v>
      </x:c>
      <x:c r="AN29" s="717" t="n">
        <x:f>IF(OR(AL29="",AM29="",AL29=0,AM29=0),"",AM29-AL29)</x:f>
        <x:v>-57</x:v>
      </x:c>
      <x:c r="AO29" s="717" t="str">
        <x:f>""</x:f>
      </x:c>
      <x:c r="AP29" s="717" t="n">
        <x:f>IFERROR(INDEX('04_Wycena_strona_nowa'!$Q:$Q,MATCH($A29,'04_Wycena_strona_nowa'!$A:$A,0)),"")</x:f>
        <x:v>662</x:v>
      </x:c>
      <x:c r="AQ29" s="717" t="str">
        <x:f>IF(OR(AO29="",AP29="",AO29=0,AP29=0),"",AP29-AO29)</x:f>
      </x:c>
      <x:c r="AR29" s="717" t="n">
        <x:f>IFERROR(ROUND(INDEX(EG_Cennik_uslug!$CN:$CN,MATCH($A29,EG_Cennik_uslug!$A:$A,0))*1.08,0),"")</x:f>
        <x:v>4180</x:v>
      </x:c>
      <x:c r="AS29" s="717" t="n">
        <x:f>IFERROR(INDEX('04_Wycena_strona_nowa'!$M:$M,MATCH($A29,'04_Wycena_strona_nowa'!$A:$A,0)),"")</x:f>
        <x:v>1566</x:v>
      </x:c>
      <x:c r="AT29" s="717" t="n">
        <x:f>IF(OR(AR29="",AS29="",AR29=0,AS29=0),"",AS29-AR29)</x:f>
        <x:v>-2614</x:v>
      </x:c>
      <x:c r="AU29" s="717" t="n">
        <x:f>IFERROR(ROUND(INDEX(EG_Cennik_uslug!$CU:$CU,MATCH($A29,EG_Cennik_uslug!$A:$A,0))*1.08,0),"")</x:f>
        <x:v>4741</x:v>
      </x:c>
      <x:c r="AV29" s="717" t="n">
        <x:f>IFERROR(INDEX('04_Wycena_strona_nowa'!$R:$R,MATCH($A29,'04_Wycena_strona_nowa'!$A:$A,0)),"")</x:f>
        <x:v>3305</x:v>
      </x:c>
      <x:c r="AW29" s="717" t="n">
        <x:f>IF(OR(AU29="",AV29="",AU29=0,AV29=0),"",AV29-AU29)</x:f>
        <x:v>-1436</x:v>
      </x:c>
      <x:c r="AX29" s="717" t="str">
        <x:f>""</x:f>
      </x:c>
      <x:c r="AY29" s="717" t="str">
        <x:f>IFERROR(INDEX('04_Wycena_strona_nowa'!$S:$S,MATCH($A29,'04_Wycena_strona_nowa'!$A:$A,0)),"")</x:f>
      </x:c>
      <x:c r="AZ29" s="717" t="str">
        <x:f>IF(OR(AX29="",AY29="",AX29=0,AY29=0),"",AY29-AX29)</x:f>
      </x:c>
      <x:c r="BA29" s="612" t="e">
        <x:f>_xludf.TEXTJOIN("; ",TRUE,IF(OR(LEFT($A29,3)="550",LEFT($A29,3)="600"),"550/600: EG brak benchmarku; opcje szklane/zerowe ukryte w porównaniu do czasu potwierdzenia",""),"LED CCT/RGB: porównanie orientacyjne do EG LED COB","Zabieraki: brak jednoznacznej pozycji EG")</x:f>
      </x:c>
    </x:row>
    <x:row r="30">
      <x:c r="A30" s="608" t="str">
        <x:f>'04_Wycena_strona_nowa'!A30</x:f>
        <x:v>400 x 1106 cm</x:v>
      </x:c>
      <x:c r="B30" s="717" t="n">
        <x:f>IFERROR(INDEX(EG_Wycena_strona!$B:$B,MATCH($A30,EG_Wycena_strona!$A:$A,0)),"")</x:f>
        <x:v>27207</x:v>
      </x:c>
      <x:c r="C30" s="717" t="n">
        <x:f>IFERROR(INDEX('04_Wycena_strona_nowa'!$B:$B,MATCH($A30,'04_Wycena_strona_nowa'!$A:$A,0)),"")</x:f>
        <x:v>25776</x:v>
      </x:c>
      <x:c r="D30" s="717" t="n">
        <x:f>IF(OR(B30="",C30="",B30=0,C30=0),"",C30-B30)</x:f>
        <x:v>-1431</x:v>
      </x:c>
      <x:c r="E30" s="717" t="n">
        <x:f>IFERROR(INDEX(EG_Wycena_strona!$C:$C,MATCH($A30,EG_Wycena_strona!$A:$A,0)),"")</x:f>
        <x:v>31075</x:v>
      </x:c>
      <x:c r="F30" s="717" t="n">
        <x:f>IFERROR(INDEX('04_Wycena_strona_nowa'!$C:$C,MATCH($A30,'04_Wycena_strona_nowa'!$A:$A,0)),"")</x:f>
        <x:v>27707</x:v>
      </x:c>
      <x:c r="G30" s="717" t="n">
        <x:f>IF(OR(E30="",F30="",E30=0,F30=0),"",F30-E30)</x:f>
        <x:v>-3368</x:v>
      </x:c>
      <x:c r="H30" s="717" t="n">
        <x:f>IFERROR(INDEX(EG_Wycena_strona!$D:$D,MATCH($A30,EG_Wycena_strona!$A:$A,0)),"")</x:f>
        <x:v>34184</x:v>
      </x:c>
      <x:c r="I30" s="717" t="n">
        <x:f>IFERROR(INDEX('04_Wycena_strona_nowa'!$D:$D,MATCH($A30,'04_Wycena_strona_nowa'!$A:$A,0)),"")</x:f>
        <x:v>30610</x:v>
      </x:c>
      <x:c r="J30" s="717" t="n">
        <x:f>IF(OR(H30="",I30="",H30=0,I30=0),"",I30-H30)</x:f>
        <x:v>-3574</x:v>
      </x:c>
      <x:c r="K30" s="717" t="n">
        <x:f>IFERROR(INDEX(EG_Wycena_strona!$E:$E,MATCH($A30,EG_Wycena_strona!$A:$A,0)),"")</x:f>
        <x:v>846</x:v>
      </x:c>
      <x:c r="L30" s="717" t="n">
        <x:f>IFERROR(INDEX('04_Wycena_strona_nowa'!$E:$E,MATCH($A30,'04_Wycena_strona_nowa'!$A:$A,0)),"")</x:f>
        <x:v>789</x:v>
      </x:c>
      <x:c r="M30" s="717" t="n">
        <x:f>IF(OR(K30="",L30="",K30=0,L30=0),"",L30-K30)</x:f>
        <x:v>-57</x:v>
      </x:c>
      <x:c r="N30" s="717" t="n">
        <x:f>IFERROR(INDEX(EG_Wycena_strona!$F:$F,MATCH($A30,EG_Wycena_strona!$A:$A,0)),"")</x:f>
        <x:v>16075</x:v>
      </x:c>
      <x:c r="O30" s="717" t="n">
        <x:f>IFERROR(INDEX('04_Wycena_strona_nowa'!$F:$F,MATCH($A30,'04_Wycena_strona_nowa'!$A:$A,0)),"")</x:f>
        <x:v>14042</x:v>
      </x:c>
      <x:c r="P30" s="717" t="n">
        <x:f>IF(OR(N30="",O30="",N30=0,O30=0),"",O30-N30)</x:f>
        <x:v>-2033</x:v>
      </x:c>
      <x:c r="Q30" s="717" t="n">
        <x:f>IFERROR(INDEX(EG_Wycena_strona!$G:$G,MATCH($A30,EG_Wycena_strona!$A:$A,0)),"")</x:f>
        <x:v>17820</x:v>
      </x:c>
      <x:c r="R30" s="717" t="n">
        <x:f>IFERROR(INDEX('04_Wycena_strona_nowa'!$G:$G,MATCH($A30,'04_Wycena_strona_nowa'!$A:$A,0)),"")</x:f>
        <x:v>15672</x:v>
      </x:c>
      <x:c r="S30" s="717" t="n">
        <x:f>IF(OR(Q30="",R30="",Q30=0,R30=0),"",R30-Q30)</x:f>
        <x:v>-2148</x:v>
      </x:c>
      <x:c r="T30" s="717" t="n">
        <x:f>IFERROR(INDEX(EG_Wycena_strona!$H:$H,MATCH($A30,EG_Wycena_strona!$A:$A,0)),"")</x:f>
        <x:v>3761</x:v>
      </x:c>
      <x:c r="U30" s="717" t="n">
        <x:f>IFERROR(INDEX('04_Wycena_strona_nowa'!$H:$H,MATCH($A30,'04_Wycena_strona_nowa'!$A:$A,0)),"")</x:f>
        <x:v>3361</x:v>
      </x:c>
      <x:c r="V30" s="717" t="n">
        <x:f>IF(OR(T30="",U30="",T30=0,U30=0),"",U30-T30)</x:f>
        <x:v>-400</x:v>
      </x:c>
      <x:c r="W30" s="717" t="n">
        <x:f>IFERROR(INDEX(EG_Wycena_strona!$I:$I,MATCH($A30,EG_Wycena_strona!$A:$A,0)),"")</x:f>
        <x:v>3761</x:v>
      </x:c>
      <x:c r="X30" s="717" t="n">
        <x:f>IFERROR(INDEX('04_Wycena_strona_nowa'!$I:$I,MATCH($A30,'04_Wycena_strona_nowa'!$A:$A,0)),"")</x:f>
        <x:v>3361</x:v>
      </x:c>
      <x:c r="Y30" s="717" t="n">
        <x:f>IF(OR(W30="",X30="",W30=0,X30=0),"",X30-W30)</x:f>
        <x:v>-400</x:v>
      </x:c>
      <x:c r="Z30" s="717" t="n">
        <x:f>IFERROR(INDEX(EG_Wycena_strona!$J:$J,MATCH($A30,EG_Wycena_strona!$A:$A,0)),"")</x:f>
        <x:v>10599</x:v>
      </x:c>
      <x:c r="AA30" s="717" t="n">
        <x:f>IFERROR(INDEX('04_Wycena_strona_nowa'!$J:$J,MATCH($A30,'04_Wycena_strona_nowa'!$A:$A,0)),"")</x:f>
        <x:v>9448</x:v>
      </x:c>
      <x:c r="AB30" s="717" t="n">
        <x:f>IF(OR(Z30="",AA30="",Z30=0,AA30=0),"",AA30-Z30)</x:f>
        <x:v>-1151</x:v>
      </x:c>
      <x:c r="AC30" s="717" t="n">
        <x:f>IFERROR(INDEX(EG_Wycena_strona!$K:$K,MATCH($A30,EG_Wycena_strona!$A:$A,0)),"")</x:f>
        <x:v>18897</x:v>
      </x:c>
      <x:c r="AD30" s="717" t="n">
        <x:f>IFERROR(INDEX('04_Wycena_strona_nowa'!$K:$K,MATCH($A30,'04_Wycena_strona_nowa'!$A:$A,0)),"")</x:f>
        <x:v>16997</x:v>
      </x:c>
      <x:c r="AE30" s="717" t="n">
        <x:f>IF(OR(AC30="",AD30="",AC30=0,AD30=0),"",AD30-AC30)</x:f>
        <x:v>-1900</x:v>
      </x:c>
      <x:c r="AF30" s="717" t="n">
        <x:f>IFERROR(ROUND(INDEX(EG_Cennik_uslug!$BS:$BS,MATCH($A30,EG_Cennik_uslug!$A:$A,0))*1.08,0),"")</x:f>
        <x:v>4087</x:v>
      </x:c>
      <x:c r="AG30" s="717" t="n">
        <x:f>IFERROR(INDEX('04_Wycena_strona_nowa'!$L:$L,MATCH($A30,'04_Wycena_strona_nowa'!$A:$A,0)),"")</x:f>
        <x:v>4210</x:v>
      </x:c>
      <x:c r="AH30" s="717" t="n">
        <x:f>IF(OR(AF30="",AG30="",AF30=0,AG30=0),"",AG30-AF30)</x:f>
        <x:v>123</x:v>
      </x:c>
      <x:c r="AI30" s="717" t="n">
        <x:f>IFERROR(ROUND(INDEX(EG_Cennik_uslug!$BZ:$BZ,MATCH($A30,EG_Cennik_uslug!$A:$A,0))*1.08,0),"")</x:f>
        <x:v>982</x:v>
      </x:c>
      <x:c r="AJ30" s="717" t="n">
        <x:f>IFERROR(INDEX('04_Wycena_strona_nowa'!$O:$O,MATCH($A30,'04_Wycena_strona_nowa'!$A:$A,0)),"")</x:f>
        <x:v>916</x:v>
      </x:c>
      <x:c r="AK30" s="717" t="n">
        <x:f>IF(OR(AI30="",AJ30="",AI30=0,AJ30=0),"",AJ30-AI30)</x:f>
        <x:v>-66</x:v>
      </x:c>
      <x:c r="AL30" s="717" t="n">
        <x:f>IFERROR(ROUND(INDEX(EG_Cennik_uslug!$CG:$CG,MATCH($A30,EG_Cennik_uslug!$A:$A,0))*1.08,0),"")</x:f>
        <x:v>887</x:v>
      </x:c>
      <x:c r="AM30" s="717" t="n">
        <x:f>IFERROR(INDEX('04_Wycena_strona_nowa'!$P:$P,MATCH($A30,'04_Wycena_strona_nowa'!$A:$A,0)),"")</x:f>
        <x:v>827</x:v>
      </x:c>
      <x:c r="AN30" s="717" t="n">
        <x:f>IF(OR(AL30="",AM30="",AL30=0,AM30=0),"",AM30-AL30)</x:f>
        <x:v>-60</x:v>
      </x:c>
      <x:c r="AO30" s="717" t="str">
        <x:f>""</x:f>
      </x:c>
      <x:c r="AP30" s="717" t="n">
        <x:f>IFERROR(INDEX('04_Wycena_strona_nowa'!$Q:$Q,MATCH($A30,'04_Wycena_strona_nowa'!$A:$A,0)),"")</x:f>
        <x:v>713</x:v>
      </x:c>
      <x:c r="AQ30" s="717" t="str">
        <x:f>IF(OR(AO30="",AP30="",AO30=0,AP30=0),"",AP30-AO30)</x:f>
      </x:c>
      <x:c r="AR30" s="717" t="n">
        <x:f>IFERROR(ROUND(INDEX(EG_Cennik_uslug!$CN:$CN,MATCH($A30,EG_Cennik_uslug!$A:$A,0))*1.08,0),"")</x:f>
        <x:v>4547</x:v>
      </x:c>
      <x:c r="AS30" s="717" t="n">
        <x:f>IFERROR(INDEX('04_Wycena_strona_nowa'!$M:$M,MATCH($A30,'04_Wycena_strona_nowa'!$A:$A,0)),"")</x:f>
        <x:v>1821</x:v>
      </x:c>
      <x:c r="AT30" s="717" t="n">
        <x:f>IF(OR(AR30="",AS30="",AR30=0,AS30=0),"",AS30-AR30)</x:f>
        <x:v>-2726</x:v>
      </x:c>
      <x:c r="AU30" s="717" t="n">
        <x:f>IFERROR(ROUND(INDEX(EG_Cennik_uslug!$CU:$CU,MATCH($A30,EG_Cennik_uslug!$A:$A,0))*1.08,0),"")</x:f>
        <x:v>5077</x:v>
      </x:c>
      <x:c r="AV30" s="717" t="n">
        <x:f>IFERROR(INDEX('04_Wycena_strona_nowa'!$R:$R,MATCH($A30,'04_Wycena_strona_nowa'!$A:$A,0)),"")</x:f>
        <x:v>3602</x:v>
      </x:c>
      <x:c r="AW30" s="717" t="n">
        <x:f>IF(OR(AU30="",AV30="",AU30=0,AV30=0),"",AV30-AU30)</x:f>
        <x:v>-1475</x:v>
      </x:c>
      <x:c r="AX30" s="717" t="str">
        <x:f>""</x:f>
      </x:c>
      <x:c r="AY30" s="717" t="str">
        <x:f>IFERROR(INDEX('04_Wycena_strona_nowa'!$S:$S,MATCH($A30,'04_Wycena_strona_nowa'!$A:$A,0)),"")</x:f>
      </x:c>
      <x:c r="AZ30" s="717" t="str">
        <x:f>IF(OR(AX30="",AY30="",AX30=0,AY30=0),"",AY30-AX30)</x:f>
      </x:c>
      <x:c r="BA30" s="612" t="e">
        <x:f>_xludf.TEXTJOIN("; ",TRUE,IF(OR(LEFT($A30,3)="550",LEFT($A30,3)="600"),"550/600: EG brak benchmarku; opcje szklane/zerowe ukryte w porównaniu do czasu potwierdzenia",""),"LED CCT/RGB: porównanie orientacyjne do EG LED COB","Zabieraki: brak jednoznacznej pozycji EG")</x:f>
      </x:c>
    </x:row>
    <x:row r="31">
      <x:c r="A31" s="608" t="str">
        <x:f>'04_Wycena_strona_nowa'!A31</x:f>
        <x:v>400 x 1206 cm</x:v>
      </x:c>
      <x:c r="B31" s="717" t="n">
        <x:f>IFERROR(INDEX(EG_Wycena_strona!$B:$B,MATCH($A31,EG_Wycena_strona!$A:$A,0)),"")</x:f>
        <x:v>28590</x:v>
      </x:c>
      <x:c r="C31" s="717" t="n">
        <x:f>IFERROR(INDEX('04_Wycena_strona_nowa'!$B:$B,MATCH($A31,'04_Wycena_strona_nowa'!$A:$A,0)),"")</x:f>
        <x:v>27094</x:v>
      </x:c>
      <x:c r="D31" s="717" t="n">
        <x:f>IF(OR(B31="",C31="",B31=0,C31=0),"",C31-B31)</x:f>
        <x:v>-1496</x:v>
      </x:c>
      <x:c r="E31" s="717" t="n">
        <x:f>IFERROR(INDEX(EG_Wycena_strona!$C:$C,MATCH($A31,EG_Wycena_strona!$A:$A,0)),"")</x:f>
        <x:v>32875</x:v>
      </x:c>
      <x:c r="F31" s="717" t="n">
        <x:f>IFERROR(INDEX('04_Wycena_strona_nowa'!$C:$C,MATCH($A31,'04_Wycena_strona_nowa'!$A:$A,0)),"")</x:f>
        <x:v>29311</x:v>
      </x:c>
      <x:c r="G31" s="717" t="n">
        <x:f>IF(OR(E31="",F31="",E31=0,F31=0),"",F31-E31)</x:f>
        <x:v>-3564</x:v>
      </x:c>
      <x:c r="H31" s="717" t="n">
        <x:f>IFERROR(INDEX(EG_Wycena_strona!$D:$D,MATCH($A31,EG_Wycena_strona!$A:$A,0)),"")</x:f>
        <x:v>36146</x:v>
      </x:c>
      <x:c r="I31" s="717" t="n">
        <x:f>IFERROR(INDEX('04_Wycena_strona_nowa'!$D:$D,MATCH($A31,'04_Wycena_strona_nowa'!$A:$A,0)),"")</x:f>
        <x:v>32366</x:v>
      </x:c>
      <x:c r="J31" s="717" t="n">
        <x:f>IF(OR(H31="",I31="",H31=0,I31=0),"",I31-H31)</x:f>
        <x:v>-3780</x:v>
      </x:c>
      <x:c r="K31" s="717" t="n">
        <x:f>IFERROR(INDEX(EG_Wycena_strona!$E:$E,MATCH($A31,EG_Wycena_strona!$A:$A,0)),"")</x:f>
        <x:v>915</x:v>
      </x:c>
      <x:c r="L31" s="717" t="n">
        <x:f>IFERROR(INDEX('04_Wycena_strona_nowa'!$E:$E,MATCH($A31,'04_Wycena_strona_nowa'!$A:$A,0)),"")</x:f>
        <x:v>853</x:v>
      </x:c>
      <x:c r="M31" s="717" t="n">
        <x:f>IF(OR(K31="",L31="",K31=0,L31=0),"",L31-K31)</x:f>
        <x:v>-62</x:v>
      </x:c>
      <x:c r="N31" s="717" t="n">
        <x:f>IFERROR(INDEX(EG_Wycena_strona!$F:$F,MATCH($A31,EG_Wycena_strona!$A:$A,0)),"")</x:f>
        <x:v>17434</x:v>
      </x:c>
      <x:c r="O31" s="717" t="n">
        <x:f>IFERROR(INDEX('04_Wycena_strona_nowa'!$F:$F,MATCH($A31,'04_Wycena_strona_nowa'!$A:$A,0)),"")</x:f>
        <x:v>15228</x:v>
      </x:c>
      <x:c r="P31" s="717" t="n">
        <x:f>IF(OR(N31="",O31="",N31=0,O31=0),"",O31-N31)</x:f>
        <x:v>-2206</x:v>
      </x:c>
      <x:c r="Q31" s="717" t="n">
        <x:f>IFERROR(INDEX(EG_Wycena_strona!$G:$G,MATCH($A31,EG_Wycena_strona!$A:$A,0)),"")</x:f>
        <x:v>19330</x:v>
      </x:c>
      <x:c r="R31" s="717" t="n">
        <x:f>IFERROR(INDEX('04_Wycena_strona_nowa'!$G:$G,MATCH($A31,'04_Wycena_strona_nowa'!$A:$A,0)),"")</x:f>
        <x:v>16998</x:v>
      </x:c>
      <x:c r="S31" s="717" t="n">
        <x:f>IF(OR(Q31="",R31="",Q31=0,R31=0),"",R31-Q31)</x:f>
        <x:v>-2332</x:v>
      </x:c>
      <x:c r="T31" s="717" t="n">
        <x:f>IFERROR(INDEX(EG_Wycena_strona!$H:$H,MATCH($A31,EG_Wycena_strona!$A:$A,0)),"")</x:f>
        <x:v>3761</x:v>
      </x:c>
      <x:c r="U31" s="717" t="n">
        <x:f>IFERROR(INDEX('04_Wycena_strona_nowa'!$H:$H,MATCH($A31,'04_Wycena_strona_nowa'!$A:$A,0)),"")</x:f>
        <x:v>3361</x:v>
      </x:c>
      <x:c r="V31" s="717" t="n">
        <x:f>IF(OR(T31="",U31="",T31=0,U31=0),"",U31-T31)</x:f>
        <x:v>-400</x:v>
      </x:c>
      <x:c r="W31" s="717" t="n">
        <x:f>IFERROR(INDEX(EG_Wycena_strona!$I:$I,MATCH($A31,EG_Wycena_strona!$A:$A,0)),"")</x:f>
        <x:v>3761</x:v>
      </x:c>
      <x:c r="X31" s="717" t="n">
        <x:f>IFERROR(INDEX('04_Wycena_strona_nowa'!$I:$I,MATCH($A31,'04_Wycena_strona_nowa'!$A:$A,0)),"")</x:f>
        <x:v>3361</x:v>
      </x:c>
      <x:c r="Y31" s="717" t="n">
        <x:f>IF(OR(W31="",X31="",W31=0,X31=0),"",X31-W31)</x:f>
        <x:v>-400</x:v>
      </x:c>
      <x:c r="Z31" s="717" t="n">
        <x:f>IFERROR(INDEX(EG_Wycena_strona!$J:$J,MATCH($A31,EG_Wycena_strona!$A:$A,0)),"")</x:f>
        <x:v>11280</x:v>
      </x:c>
      <x:c r="AA31" s="717" t="n">
        <x:f>IFERROR(INDEX('04_Wycena_strona_nowa'!$J:$J,MATCH($A31,'04_Wycena_strona_nowa'!$A:$A,0)),"")</x:f>
        <x:v>10084</x:v>
      </x:c>
      <x:c r="AB31" s="717" t="n">
        <x:f>IF(OR(Z31="",AA31="",Z31=0,AA31=0),"",AA31-Z31)</x:f>
        <x:v>-1196</x:v>
      </x:c>
      <x:c r="AC31" s="717" t="n">
        <x:f>IFERROR(INDEX(EG_Wycena_strona!$K:$K,MATCH($A31,EG_Wycena_strona!$A:$A,0)),"")</x:f>
        <x:v>19807</x:v>
      </x:c>
      <x:c r="AD31" s="717" t="n">
        <x:f>IFERROR(INDEX('04_Wycena_strona_nowa'!$K:$K,MATCH($A31,'04_Wycena_strona_nowa'!$A:$A,0)),"")</x:f>
        <x:v>17799</x:v>
      </x:c>
      <x:c r="AE31" s="717" t="n">
        <x:f>IF(OR(AC31="",AD31="",AC31=0,AD31=0),"",AD31-AC31)</x:f>
        <x:v>-2008</x:v>
      </x:c>
      <x:c r="AF31" s="717" t="n">
        <x:f>IFERROR(ROUND(INDEX(EG_Cennik_uslug!$BS:$BS,MATCH($A31,EG_Cennik_uslug!$A:$A,0))*1.08,0),"")</x:f>
        <x:v>4087</x:v>
      </x:c>
      <x:c r="AG31" s="717" t="n">
        <x:f>IFERROR(INDEX('04_Wycena_strona_nowa'!$L:$L,MATCH($A31,'04_Wycena_strona_nowa'!$A:$A,0)),"")</x:f>
        <x:v>4210</x:v>
      </x:c>
      <x:c r="AH31" s="717" t="n">
        <x:f>IF(OR(AF31="",AG31="",AF31=0,AG31=0),"",AG31-AF31)</x:f>
        <x:v>123</x:v>
      </x:c>
      <x:c r="AI31" s="717" t="n">
        <x:f>IFERROR(ROUND(INDEX(EG_Cennik_uslug!$BZ:$BZ,MATCH($A31,EG_Cennik_uslug!$A:$A,0))*1.08,0),"")</x:f>
        <x:v>1037</x:v>
      </x:c>
      <x:c r="AJ31" s="717" t="n">
        <x:f>IFERROR(INDEX('04_Wycena_strona_nowa'!$O:$O,MATCH($A31,'04_Wycena_strona_nowa'!$A:$A,0)),"")</x:f>
        <x:v>968</x:v>
      </x:c>
      <x:c r="AK31" s="717" t="n">
        <x:f>IF(OR(AI31="",AJ31="",AI31=0,AJ31=0),"",AJ31-AI31)</x:f>
        <x:v>-69</x:v>
      </x:c>
      <x:c r="AL31" s="717" t="n">
        <x:f>IFERROR(ROUND(INDEX(EG_Cennik_uslug!$CG:$CG,MATCH($A31,EG_Cennik_uslug!$A:$A,0))*1.08,0),"")</x:f>
        <x:v>942</x:v>
      </x:c>
      <x:c r="AM31" s="717" t="n">
        <x:f>IFERROR(INDEX('04_Wycena_strona_nowa'!$P:$P,MATCH($A31,'04_Wycena_strona_nowa'!$A:$A,0)),"")</x:f>
        <x:v>878</x:v>
      </x:c>
      <x:c r="AN31" s="717" t="n">
        <x:f>IF(OR(AL31="",AM31="",AL31=0,AM31=0),"",AM31-AL31)</x:f>
        <x:v>-64</x:v>
      </x:c>
      <x:c r="AO31" s="717" t="str">
        <x:f>""</x:f>
      </x:c>
      <x:c r="AP31" s="717" t="n">
        <x:f>IFERROR(INDEX('04_Wycena_strona_nowa'!$Q:$Q,MATCH($A31,'04_Wycena_strona_nowa'!$A:$A,0)),"")</x:f>
        <x:v>765</x:v>
      </x:c>
      <x:c r="AQ31" s="717" t="str">
        <x:f>IF(OR(AO31="",AP31="",AO31=0,AP31=0),"",AP31-AO31)</x:f>
      </x:c>
      <x:c r="AR31" s="717" t="n">
        <x:f>IFERROR(ROUND(INDEX(EG_Cennik_uslug!$CN:$CN,MATCH($A31,EG_Cennik_uslug!$A:$A,0))*1.08,0),"")</x:f>
        <x:v>4838</x:v>
      </x:c>
      <x:c r="AS31" s="717" t="n">
        <x:f>IFERROR(INDEX('04_Wycena_strona_nowa'!$M:$M,MATCH($A31,'04_Wycena_strona_nowa'!$A:$A,0)),"")</x:f>
        <x:v>1923</x:v>
      </x:c>
      <x:c r="AT31" s="717" t="n">
        <x:f>IF(OR(AR31="",AS31="",AR31=0,AS31=0),"",AS31-AR31)</x:f>
        <x:v>-2915</x:v>
      </x:c>
      <x:c r="AU31" s="717" t="n">
        <x:f>IFERROR(ROUND(INDEX(EG_Cennik_uslug!$CU:$CU,MATCH($A31,EG_Cennik_uslug!$A:$A,0))*1.08,0),"")</x:f>
        <x:v>5996</x:v>
      </x:c>
      <x:c r="AV31" s="717" t="n">
        <x:f>IFERROR(INDEX('04_Wycena_strona_nowa'!$R:$R,MATCH($A31,'04_Wycena_strona_nowa'!$A:$A,0)),"")</x:f>
        <x:v>3884</x:v>
      </x:c>
      <x:c r="AW31" s="717" t="n">
        <x:f>IF(OR(AU31="",AV31="",AU31=0,AV31=0),"",AV31-AU31)</x:f>
        <x:v>-2112</x:v>
      </x:c>
      <x:c r="AX31" s="717" t="str">
        <x:f>""</x:f>
      </x:c>
      <x:c r="AY31" s="717" t="str">
        <x:f>IFERROR(INDEX('04_Wycena_strona_nowa'!$S:$S,MATCH($A31,'04_Wycena_strona_nowa'!$A:$A,0)),"")</x:f>
      </x:c>
      <x:c r="AZ31" s="717" t="str">
        <x:f>IF(OR(AX31="",AY31="",AX31=0,AY31=0),"",AY31-AX31)</x:f>
      </x:c>
      <x:c r="BA31" s="612" t="e">
        <x:f>_xludf.TEXTJOIN("; ",TRUE,IF(OR(LEFT($A31,3)="550",LEFT($A31,3)="600"),"550/600: EG brak benchmarku; opcje szklane/zerowe ukryte w porównaniu do czasu potwierdzenia",""),"LED CCT/RGB: porównanie orientacyjne do EG LED COB","Zabieraki: brak jednoznacznej pozycji EG")</x:f>
      </x:c>
    </x:row>
    <x:row r="32">
      <x:c r="A32" s="608" t="str">
        <x:f>'04_Wycena_strona_nowa'!A32</x:f>
        <x:v>450 x 306 cm</x:v>
      </x:c>
      <x:c r="B32" s="717" t="n">
        <x:f>IFERROR(INDEX(EG_Wycena_strona!$B:$B,MATCH($A32,EG_Wycena_strona!$A:$A,0)),"")</x:f>
        <x:v>13285</x:v>
      </x:c>
      <x:c r="C32" s="717" t="n">
        <x:f>IFERROR(INDEX('04_Wycena_strona_nowa'!$B:$B,MATCH($A32,'04_Wycena_strona_nowa'!$A:$A,0)),"")</x:f>
        <x:v>12638</x:v>
      </x:c>
      <x:c r="D32" s="717" t="n">
        <x:f>IF(OR(B32="",C32="",B32=0,C32=0),"",C32-B32)</x:f>
        <x:v>-647</x:v>
      </x:c>
      <x:c r="E32" s="717" t="n">
        <x:f>IFERROR(INDEX(EG_Wycena_strona!$C:$C,MATCH($A32,EG_Wycena_strona!$A:$A,0)),"")</x:f>
        <x:v>22375</x:v>
      </x:c>
      <x:c r="F32" s="717" t="n">
        <x:f>IFERROR(INDEX('04_Wycena_strona_nowa'!$C:$C,MATCH($A32,'04_Wycena_strona_nowa'!$A:$A,0)),"")</x:f>
        <x:v>20074</x:v>
      </x:c>
      <x:c r="G32" s="717" t="n">
        <x:f>IF(OR(E32="",F32="",E32=0,F32=0),"",F32-E32)</x:f>
        <x:v>-2301</x:v>
      </x:c>
      <x:c r="H32" s="717" t="n">
        <x:f>IFERROR(INDEX(EG_Wycena_strona!$D:$D,MATCH($A32,EG_Wycena_strona!$A:$A,0)),"")</x:f>
        <x:v>24503</x:v>
      </x:c>
      <x:c r="I32" s="717" t="n">
        <x:f>IFERROR(INDEX('04_Wycena_strona_nowa'!$D:$D,MATCH($A32,'04_Wycena_strona_nowa'!$A:$A,0)),"")</x:f>
        <x:v>22060</x:v>
      </x:c>
      <x:c r="J32" s="717" t="n">
        <x:f>IF(OR(H32="",I32="",H32=0,I32=0),"",I32-H32)</x:f>
        <x:v>-2443</x:v>
      </x:c>
      <x:c r="K32" s="717" t="n">
        <x:f>IFERROR(INDEX(EG_Wycena_strona!$E:$E,MATCH($A32,EG_Wycena_strona!$A:$A,0)),"")</x:f>
        <x:v>396</x:v>
      </x:c>
      <x:c r="L32" s="717" t="n">
        <x:f>IFERROR(INDEX('04_Wycena_strona_nowa'!$E:$E,MATCH($A32,'04_Wycena_strona_nowa'!$A:$A,0)),"")</x:f>
        <x:v>369</x:v>
      </x:c>
      <x:c r="M32" s="717" t="n">
        <x:f>IF(OR(K32="",L32="",K32=0,L32=0),"",L32-K32)</x:f>
        <x:v>-27</x:v>
      </x:c>
      <x:c r="N32" s="717" t="n">
        <x:f>IFERROR(INDEX(EG_Wycena_strona!$F:$F,MATCH($A32,EG_Wycena_strona!$A:$A,0)),"")</x:f>
        <x:v>5079</x:v>
      </x:c>
      <x:c r="O32" s="717" t="n">
        <x:f>IFERROR(INDEX('04_Wycena_strona_nowa'!$F:$F,MATCH($A32,'04_Wycena_strona_nowa'!$A:$A,0)),"")</x:f>
        <x:v>4291</x:v>
      </x:c>
      <x:c r="P32" s="717" t="n">
        <x:f>IF(OR(N32="",O32="",N32=0,O32=0),"",O32-N32)</x:f>
        <x:v>-788</x:v>
      </x:c>
      <x:c r="Q32" s="717" t="n">
        <x:f>IFERROR(INDEX(EG_Wycena_strona!$G:$G,MATCH($A32,EG_Wycena_strona!$A:$A,0)),"")</x:f>
        <x:v>5597</x:v>
      </x:c>
      <x:c r="R32" s="717" t="n">
        <x:f>IFERROR(INDEX('04_Wycena_strona_nowa'!$G:$G,MATCH($A32,'04_Wycena_strona_nowa'!$A:$A,0)),"")</x:f>
        <x:v>4775</x:v>
      </x:c>
      <x:c r="S32" s="717" t="n">
        <x:f>IF(OR(Q32="",R32="",Q32=0,R32=0),"",R32-Q32)</x:f>
        <x:v>-822</x:v>
      </x:c>
      <x:c r="T32" s="717" t="n">
        <x:f>IFERROR(INDEX(EG_Wycena_strona!$H:$H,MATCH($A32,EG_Wycena_strona!$A:$A,0)),"")</x:f>
        <x:v>4470</x:v>
      </x:c>
      <x:c r="U32" s="717" t="n">
        <x:f>IFERROR(INDEX('04_Wycena_strona_nowa'!$H:$H,MATCH($A32,'04_Wycena_strona_nowa'!$A:$A,0)),"")</x:f>
        <x:v>4023</x:v>
      </x:c>
      <x:c r="V32" s="717" t="n">
        <x:f>IF(OR(T32="",U32="",T32=0,U32=0),"",U32-T32)</x:f>
        <x:v>-447</x:v>
      </x:c>
      <x:c r="W32" s="717" t="n">
        <x:f>IFERROR(INDEX(EG_Wycena_strona!$I:$I,MATCH($A32,EG_Wycena_strona!$A:$A,0)),"")</x:f>
        <x:v>4470</x:v>
      </x:c>
      <x:c r="X32" s="717" t="n">
        <x:f>IFERROR(INDEX('04_Wycena_strona_nowa'!$I:$I,MATCH($A32,'04_Wycena_strona_nowa'!$A:$A,0)),"")</x:f>
        <x:v>4023</x:v>
      </x:c>
      <x:c r="Y32" s="717" t="n">
        <x:f>IF(OR(W32="",X32="",W32=0,X32=0),"",X32-W32)</x:f>
        <x:v>-447</x:v>
      </x:c>
      <x:c r="Z32" s="717" t="n">
        <x:f>IFERROR(INDEX(EG_Wycena_strona!$J:$J,MATCH($A32,EG_Wycena_strona!$A:$A,0)),"")</x:f>
        <x:v>3079</x:v>
      </x:c>
      <x:c r="AA32" s="717" t="n">
        <x:f>IFERROR(INDEX('04_Wycena_strona_nowa'!$J:$J,MATCH($A32,'04_Wycena_strona_nowa'!$A:$A,0)),"")</x:f>
        <x:v>2725</x:v>
      </x:c>
      <x:c r="AB32" s="717" t="n">
        <x:f>IF(OR(Z32="",AA32="",Z32=0,AA32=0),"",AA32-Z32)</x:f>
        <x:v>-354</x:v>
      </x:c>
      <x:c r="AC32" s="717" t="n">
        <x:f>IFERROR(INDEX(EG_Wycena_strona!$K:$K,MATCH($A32,EG_Wycena_strona!$A:$A,0)),"")</x:f>
        <x:v>5777</x:v>
      </x:c>
      <x:c r="AD32" s="717" t="n">
        <x:f>IFERROR(INDEX('04_Wycena_strona_nowa'!$K:$K,MATCH($A32,'04_Wycena_strona_nowa'!$A:$A,0)),"")</x:f>
        <x:v>5195</x:v>
      </x:c>
      <x:c r="AE32" s="717" t="n">
        <x:f>IF(OR(AC32="",AD32="",AC32=0,AD32=0),"",AD32-AC32)</x:f>
        <x:v>-582</x:v>
      </x:c>
      <x:c r="AF32" s="717" t="n">
        <x:f>IFERROR(ROUND(INDEX(EG_Cennik_uslug!$BS:$BS,MATCH($A32,EG_Cennik_uslug!$A:$A,0))*1.08,0),"")</x:f>
        <x:v>2174</x:v>
      </x:c>
      <x:c r="AG32" s="717" t="n">
        <x:f>IFERROR(INDEX('04_Wycena_strona_nowa'!$L:$L,MATCH($A32,'04_Wycena_strona_nowa'!$A:$A,0)),"")</x:f>
        <x:v>2241</x:v>
      </x:c>
      <x:c r="AH32" s="717" t="n">
        <x:f>IF(OR(AF32="",AG32="",AF32=0,AG32=0),"",AG32-AF32)</x:f>
        <x:v>67</x:v>
      </x:c>
      <x:c r="AI32" s="717" t="n">
        <x:f>IFERROR(ROUND(INDEX(EG_Cennik_uslug!$BZ:$BZ,MATCH($A32,EG_Cennik_uslug!$A:$A,0))*1.08,0),"")</x:f>
        <x:v>683</x:v>
      </x:c>
      <x:c r="AJ32" s="717" t="n">
        <x:f>IFERROR(INDEX('04_Wycena_strona_nowa'!$O:$O,MATCH($A32,'04_Wycena_strona_nowa'!$A:$A,0)),"")</x:f>
        <x:v>637</x:v>
      </x:c>
      <x:c r="AK32" s="717" t="n">
        <x:f>IF(OR(AI32="",AJ32="",AI32=0,AJ32=0),"",AJ32-AI32)</x:f>
        <x:v>-46</x:v>
      </x:c>
      <x:c r="AL32" s="717" t="n">
        <x:f>IFERROR(ROUND(INDEX(EG_Cennik_uslug!$CG:$CG,MATCH($A32,EG_Cennik_uslug!$A:$A,0))*1.08,0),"")</x:f>
        <x:v>613</x:v>
      </x:c>
      <x:c r="AM32" s="717" t="n">
        <x:f>IFERROR(INDEX('04_Wycena_strona_nowa'!$P:$P,MATCH($A32,'04_Wycena_strona_nowa'!$A:$A,0)),"")</x:f>
        <x:v>573</x:v>
      </x:c>
      <x:c r="AN32" s="717" t="n">
        <x:f>IF(OR(AL32="",AM32="",AL32=0,AM32=0),"",AM32-AL32)</x:f>
        <x:v>-40</x:v>
      </x:c>
      <x:c r="AO32" s="717" t="str">
        <x:f>""</x:f>
      </x:c>
      <x:c r="AP32" s="717" t="n">
        <x:f>IFERROR(INDEX('04_Wycena_strona_nowa'!$Q:$Q,MATCH($A32,'04_Wycena_strona_nowa'!$A:$A,0)),"")</x:f>
        <x:v>509</x:v>
      </x:c>
      <x:c r="AQ32" s="717" t="str">
        <x:f>IF(OR(AO32="",AP32="",AO32=0,AP32=0),"",AP32-AO32)</x:f>
      </x:c>
      <x:c r="AR32" s="717" t="n">
        <x:f>IFERROR(ROUND(INDEX(EG_Cennik_uslug!$CN:$CN,MATCH($A32,EG_Cennik_uslug!$A:$A,0))*1.08,0),"")</x:f>
        <x:v>1204</x:v>
      </x:c>
      <x:c r="AS32" s="717" t="n">
        <x:f>IFERROR(INDEX('04_Wycena_strona_nowa'!$M:$M,MATCH($A32,'04_Wycena_strona_nowa'!$A:$A,0)),"")</x:f>
        <x:v>814</x:v>
      </x:c>
      <x:c r="AT32" s="717" t="n">
        <x:f>IF(OR(AR32="",AS32="",AR32=0,AS32=0),"",AS32-AR32)</x:f>
        <x:v>-390</x:v>
      </x:c>
      <x:c r="AU32" s="717" t="n">
        <x:f>IFERROR(ROUND(INDEX(EG_Cennik_uslug!$CU:$CU,MATCH($A32,EG_Cennik_uslug!$A:$A,0))*1.08,0),"")</x:f>
        <x:v>2016</x:v>
      </x:c>
      <x:c r="AV32" s="717" t="n">
        <x:f>IFERROR(INDEX('04_Wycena_strona_nowa'!$R:$R,MATCH($A32,'04_Wycena_strona_nowa'!$A:$A,0)),"")</x:f>
        <x:v>2540</x:v>
      </x:c>
      <x:c r="AW32" s="717" t="n">
        <x:f>IF(OR(AU32="",AV32="",AU32=0,AV32=0),"",AV32-AU32)</x:f>
        <x:v>524</x:v>
      </x:c>
      <x:c r="AX32" s="717" t="str">
        <x:f>""</x:f>
      </x:c>
      <x:c r="AY32" s="717" t="str">
        <x:f>IFERROR(INDEX('04_Wycena_strona_nowa'!$S:$S,MATCH($A32,'04_Wycena_strona_nowa'!$A:$A,0)),"")</x:f>
      </x:c>
      <x:c r="AZ32" s="717" t="str">
        <x:f>IF(OR(AX32="",AY32="",AX32=0,AY32=0),"",AY32-AX32)</x:f>
      </x:c>
      <x:c r="BA32" s="612" t="e">
        <x:f>_xludf.TEXTJOIN("; ",TRUE,IF(OR(LEFT($A32,3)="550",LEFT($A32,3)="600"),"550/600: EG brak benchmarku; opcje szklane/zerowe ukryte w porównaniu do czasu potwierdzenia",""),"LED CCT/RGB: porównanie orientacyjne do EG LED COB","Zabieraki: brak jednoznacznej pozycji EG")</x:f>
      </x:c>
    </x:row>
    <x:row r="33">
      <x:c r="A33" s="608" t="str">
        <x:f>'04_Wycena_strona_nowa'!A33</x:f>
        <x:v>450 x 406 cm</x:v>
      </x:c>
      <x:c r="B33" s="717" t="n">
        <x:f>IFERROR(INDEX(EG_Wycena_strona!$B:$B,MATCH($A33,EG_Wycena_strona!$A:$A,0)),"")</x:f>
        <x:v>16111</x:v>
      </x:c>
      <x:c r="C33" s="717" t="n">
        <x:f>IFERROR(INDEX('04_Wycena_strona_nowa'!$B:$B,MATCH($A33,'04_Wycena_strona_nowa'!$A:$A,0)),"")</x:f>
        <x:v>15297</x:v>
      </x:c>
      <x:c r="D33" s="717" t="n">
        <x:f>IF(OR(B33="",C33="",B33=0,C33=0),"",C33-B33)</x:f>
        <x:v>-814</x:v>
      </x:c>
      <x:c r="E33" s="717" t="n">
        <x:f>IFERROR(INDEX(EG_Wycena_strona!$C:$C,MATCH($A33,EG_Wycena_strona!$A:$A,0)),"")</x:f>
        <x:v>23812</x:v>
      </x:c>
      <x:c r="F33" s="717" t="n">
        <x:f>IFERROR(INDEX('04_Wycena_strona_nowa'!$C:$C,MATCH($A33,'04_Wycena_strona_nowa'!$A:$A,0)),"")</x:f>
        <x:v>21316</x:v>
      </x:c>
      <x:c r="G33" s="717" t="n">
        <x:f>IF(OR(E33="",F33="",E33=0,F33=0),"",F33-E33)</x:f>
        <x:v>-2496</x:v>
      </x:c>
      <x:c r="H33" s="717" t="n">
        <x:f>IFERROR(INDEX(EG_Wycena_strona!$D:$D,MATCH($A33,EG_Wycena_strona!$A:$A,0)),"")</x:f>
        <x:v>26102</x:v>
      </x:c>
      <x:c r="I33" s="717" t="n">
        <x:f>IFERROR(INDEX('04_Wycena_strona_nowa'!$D:$D,MATCH($A33,'04_Wycena_strona_nowa'!$A:$A,0)),"")</x:f>
        <x:v>23455</x:v>
      </x:c>
      <x:c r="J33" s="717" t="n">
        <x:f>IF(OR(H33="",I33="",H33=0,I33=0),"",I33-H33)</x:f>
        <x:v>-2647</x:v>
      </x:c>
      <x:c r="K33" s="717" t="n">
        <x:f>IFERROR(INDEX(EG_Wycena_strona!$E:$E,MATCH($A33,EG_Wycena_strona!$A:$A,0)),"")</x:f>
        <x:v>518</x:v>
      </x:c>
      <x:c r="L33" s="717" t="n">
        <x:f>IFERROR(INDEX('04_Wycena_strona_nowa'!$E:$E,MATCH($A33,'04_Wycena_strona_nowa'!$A:$A,0)),"")</x:f>
        <x:v>484</x:v>
      </x:c>
      <x:c r="M33" s="717" t="n">
        <x:f>IF(OR(K33="",L33="",K33=0,L33=0),"",L33-K33)</x:f>
        <x:v>-34</x:v>
      </x:c>
      <x:c r="N33" s="717" t="n">
        <x:f>IFERROR(INDEX(EG_Wycena_strona!$F:$F,MATCH($A33,EG_Wycena_strona!$A:$A,0)),"")</x:f>
        <x:v>7036</x:v>
      </x:c>
      <x:c r="O33" s="717" t="n">
        <x:f>IFERROR(INDEX('04_Wycena_strona_nowa'!$F:$F,MATCH($A33,'04_Wycena_strona_nowa'!$A:$A,0)),"")</x:f>
        <x:v>6061</x:v>
      </x:c>
      <x:c r="P33" s="717" t="n">
        <x:f>IF(OR(N33="",O33="",N33=0,O33=0),"",O33-N33)</x:f>
        <x:v>-975</x:v>
      </x:c>
      <x:c r="Q33" s="717" t="n">
        <x:f>IFERROR(INDEX(EG_Wycena_strona!$G:$G,MATCH($A33,EG_Wycena_strona!$A:$A,0)),"")</x:f>
        <x:v>7719</x:v>
      </x:c>
      <x:c r="R33" s="717" t="n">
        <x:f>IFERROR(INDEX('04_Wycena_strona_nowa'!$G:$G,MATCH($A33,'04_Wycena_strona_nowa'!$A:$A,0)),"")</x:f>
        <x:v>6698</x:v>
      </x:c>
      <x:c r="S33" s="717" t="n">
        <x:f>IF(OR(Q33="",R33="",Q33=0,R33=0),"",R33-Q33)</x:f>
        <x:v>-1021</x:v>
      </x:c>
      <x:c r="T33" s="717" t="n">
        <x:f>IFERROR(INDEX(EG_Wycena_strona!$H:$H,MATCH($A33,EG_Wycena_strona!$A:$A,0)),"")</x:f>
        <x:v>4470</x:v>
      </x:c>
      <x:c r="U33" s="717" t="n">
        <x:f>IFERROR(INDEX('04_Wycena_strona_nowa'!$H:$H,MATCH($A33,'04_Wycena_strona_nowa'!$A:$A,0)),"")</x:f>
        <x:v>4023</x:v>
      </x:c>
      <x:c r="V33" s="717" t="n">
        <x:f>IF(OR(T33="",U33="",T33=0,U33=0),"",U33-T33)</x:f>
        <x:v>-447</x:v>
      </x:c>
      <x:c r="W33" s="717" t="n">
        <x:f>IFERROR(INDEX(EG_Wycena_strona!$I:$I,MATCH($A33,EG_Wycena_strona!$A:$A,0)),"")</x:f>
        <x:v>4470</x:v>
      </x:c>
      <x:c r="X33" s="717" t="n">
        <x:f>IFERROR(INDEX('04_Wycena_strona_nowa'!$I:$I,MATCH($A33,'04_Wycena_strona_nowa'!$A:$A,0)),"")</x:f>
        <x:v>4023</x:v>
      </x:c>
      <x:c r="Y33" s="717" t="n">
        <x:f>IF(OR(W33="",X33="",W33=0,X33=0),"",X33-W33)</x:f>
        <x:v>-447</x:v>
      </x:c>
      <x:c r="Z33" s="717" t="n">
        <x:f>IFERROR(INDEX(EG_Wycena_strona!$J:$J,MATCH($A33,EG_Wycena_strona!$A:$A,0)),"")</x:f>
        <x:v>3761</x:v>
      </x:c>
      <x:c r="AA33" s="717" t="n">
        <x:f>IFERROR(INDEX('04_Wycena_strona_nowa'!$J:$J,MATCH($A33,'04_Wycena_strona_nowa'!$A:$A,0)),"")</x:f>
        <x:v>3361</x:v>
      </x:c>
      <x:c r="AB33" s="717" t="n">
        <x:f>IF(OR(Z33="",AA33="",Z33=0,AA33=0),"",AA33-Z33)</x:f>
        <x:v>-400</x:v>
      </x:c>
      <x:c r="AC33" s="717" t="n">
        <x:f>IFERROR(INDEX(EG_Wycena_strona!$K:$K,MATCH($A33,EG_Wycena_strona!$A:$A,0)),"")</x:f>
        <x:v>6634</x:v>
      </x:c>
      <x:c r="AD33" s="717" t="n">
        <x:f>IFERROR(INDEX('04_Wycena_strona_nowa'!$K:$K,MATCH($A33,'04_Wycena_strona_nowa'!$A:$A,0)),"")</x:f>
        <x:v>5946</x:v>
      </x:c>
      <x:c r="AE33" s="717" t="n">
        <x:f>IF(OR(AC33="",AD33="",AC33=0,AD33=0),"",AD33-AC33)</x:f>
        <x:v>-688</x:v>
      </x:c>
      <x:c r="AF33" s="717" t="n">
        <x:f>IFERROR(ROUND(INDEX(EG_Cennik_uslug!$BS:$BS,MATCH($A33,EG_Cennik_uslug!$A:$A,0))*1.08,0),"")</x:f>
        <x:v>2400</x:v>
      </x:c>
      <x:c r="AG33" s="717" t="n">
        <x:f>IFERROR(INDEX('04_Wycena_strona_nowa'!$L:$L,MATCH($A33,'04_Wycena_strona_nowa'!$A:$A,0)),"")</x:f>
        <x:v>2473</x:v>
      </x:c>
      <x:c r="AH33" s="717" t="n">
        <x:f>IF(OR(AF33="",AG33="",AF33=0,AG33=0),"",AG33-AF33)</x:f>
        <x:v>73</x:v>
      </x:c>
      <x:c r="AI33" s="717" t="n">
        <x:f>IFERROR(ROUND(INDEX(EG_Cennik_uslug!$BZ:$BZ,MATCH($A33,EG_Cennik_uslug!$A:$A,0))*1.08,0),"")</x:f>
        <x:v>723</x:v>
      </x:c>
      <x:c r="AJ33" s="717" t="n">
        <x:f>IFERROR(INDEX('04_Wycena_strona_nowa'!$O:$O,MATCH($A33,'04_Wycena_strona_nowa'!$A:$A,0)),"")</x:f>
        <x:v>675</x:v>
      </x:c>
      <x:c r="AK33" s="717" t="n">
        <x:f>IF(OR(AI33="",AJ33="",AI33=0,AJ33=0),"",AJ33-AI33)</x:f>
        <x:v>-48</x:v>
      </x:c>
      <x:c r="AL33" s="717" t="n">
        <x:f>IFERROR(ROUND(INDEX(EG_Cennik_uslug!$CG:$CG,MATCH($A33,EG_Cennik_uslug!$A:$A,0))*1.08,0),"")</x:f>
        <x:v>656</x:v>
      </x:c>
      <x:c r="AM33" s="717" t="n">
        <x:f>IFERROR(INDEX('04_Wycena_strona_nowa'!$P:$P,MATCH($A33,'04_Wycena_strona_nowa'!$A:$A,0)),"")</x:f>
        <x:v>611</x:v>
      </x:c>
      <x:c r="AN33" s="717" t="n">
        <x:f>IF(OR(AL33="",AM33="",AL33=0,AM33=0),"",AM33-AL33)</x:f>
        <x:v>-45</x:v>
      </x:c>
      <x:c r="AO33" s="717" t="str">
        <x:f>""</x:f>
      </x:c>
      <x:c r="AP33" s="717" t="n">
        <x:f>IFERROR(INDEX('04_Wycena_strona_nowa'!$Q:$Q,MATCH($A33,'04_Wycena_strona_nowa'!$A:$A,0)),"")</x:f>
        <x:v>561</x:v>
      </x:c>
      <x:c r="AQ33" s="717" t="str">
        <x:f>IF(OR(AO33="",AP33="",AO33=0,AP33=0),"",AP33-AO33)</x:f>
      </x:c>
      <x:c r="AR33" s="717" t="n">
        <x:f>IFERROR(ROUND(INDEX(EG_Cennik_uslug!$CN:$CN,MATCH($A33,EG_Cennik_uslug!$A:$A,0))*1.08,0),"")</x:f>
        <x:v>1912</x:v>
      </x:c>
      <x:c r="AS33" s="717" t="n">
        <x:f>IFERROR(INDEX('04_Wycena_strona_nowa'!$M:$M,MATCH($A33,'04_Wycena_strona_nowa'!$A:$A,0)),"")</x:f>
        <x:v>943</x:v>
      </x:c>
      <x:c r="AT33" s="717" t="n">
        <x:f>IF(OR(AR33="",AS33="",AR33=0,AS33=0),"",AS33-AR33)</x:f>
        <x:v>-969</x:v>
      </x:c>
      <x:c r="AU33" s="717" t="n">
        <x:f>IFERROR(ROUND(INDEX(EG_Cennik_uslug!$CU:$CU,MATCH($A33,EG_Cennik_uslug!$A:$A,0))*1.08,0),"")</x:f>
        <x:v>2378</x:v>
      </x:c>
      <x:c r="AV33" s="717" t="n">
        <x:f>IFERROR(INDEX('04_Wycena_strona_nowa'!$R:$R,MATCH($A33,'04_Wycena_strona_nowa'!$A:$A,0)),"")</x:f>
        <x:v>2859</x:v>
      </x:c>
      <x:c r="AW33" s="717" t="n">
        <x:f>IF(OR(AU33="",AV33="",AU33=0,AV33=0),"",AV33-AU33)</x:f>
        <x:v>481</x:v>
      </x:c>
      <x:c r="AX33" s="717" t="str">
        <x:f>""</x:f>
      </x:c>
      <x:c r="AY33" s="717" t="str">
        <x:f>IFERROR(INDEX('04_Wycena_strona_nowa'!$S:$S,MATCH($A33,'04_Wycena_strona_nowa'!$A:$A,0)),"")</x:f>
      </x:c>
      <x:c r="AZ33" s="717" t="str">
        <x:f>IF(OR(AX33="",AY33="",AX33=0,AY33=0),"",AY33-AX33)</x:f>
      </x:c>
      <x:c r="BA33" s="612" t="e">
        <x:f>_xludf.TEXTJOIN("; ",TRUE,IF(OR(LEFT($A33,3)="550",LEFT($A33,3)="600"),"550/600: EG brak benchmarku; opcje szklane/zerowe ukryte w porównaniu do czasu potwierdzenia",""),"LED CCT/RGB: porównanie orientacyjne do EG LED COB","Zabieraki: brak jednoznacznej pozycji EG")</x:f>
      </x:c>
    </x:row>
    <x:row r="34">
      <x:c r="A34" s="608" t="str">
        <x:f>'04_Wycena_strona_nowa'!A34</x:f>
        <x:v>450 x 506 cm</x:v>
      </x:c>
      <x:c r="B34" s="717" t="n">
        <x:f>IFERROR(INDEX(EG_Wycena_strona!$B:$B,MATCH($A34,EG_Wycena_strona!$A:$A,0)),"")</x:f>
        <x:v>19387</x:v>
      </x:c>
      <x:c r="C34" s="717" t="n">
        <x:f>IFERROR(INDEX('04_Wycena_strona_nowa'!$B:$B,MATCH($A34,'04_Wycena_strona_nowa'!$A:$A,0)),"")</x:f>
        <x:v>18377</x:v>
      </x:c>
      <x:c r="D34" s="717" t="n">
        <x:f>IF(OR(B34="",C34="",B34=0,C34=0),"",C34-B34)</x:f>
        <x:v>-1010</x:v>
      </x:c>
      <x:c r="E34" s="717" t="n">
        <x:f>IFERROR(INDEX(EG_Wycena_strona!$C:$C,MATCH($A34,EG_Wycena_strona!$A:$A,0)),"")</x:f>
        <x:v>25578</x:v>
      </x:c>
      <x:c r="F34" s="717" t="n">
        <x:f>IFERROR(INDEX('04_Wycena_strona_nowa'!$C:$C,MATCH($A34,'04_Wycena_strona_nowa'!$A:$A,0)),"")</x:f>
        <x:v>22839</x:v>
      </x:c>
      <x:c r="G34" s="717" t="n">
        <x:f>IF(OR(E34="",F34="",E34=0,F34=0),"",F34-E34)</x:f>
        <x:v>-2739</x:v>
      </x:c>
      <x:c r="H34" s="717" t="n">
        <x:f>IFERROR(INDEX(EG_Wycena_strona!$D:$D,MATCH($A34,EG_Wycena_strona!$A:$A,0)),"")</x:f>
        <x:v>28032</x:v>
      </x:c>
      <x:c r="I34" s="717" t="n">
        <x:f>IFERROR(INDEX('04_Wycena_strona_nowa'!$D:$D,MATCH($A34,'04_Wycena_strona_nowa'!$A:$A,0)),"")</x:f>
        <x:v>25130</x:v>
      </x:c>
      <x:c r="J34" s="717" t="n">
        <x:f>IF(OR(H34="",I34="",H34=0,I34=0),"",I34-H34)</x:f>
        <x:v>-2902</x:v>
      </x:c>
      <x:c r="K34" s="717" t="n">
        <x:f>IFERROR(INDEX(EG_Wycena_strona!$E:$E,MATCH($A34,EG_Wycena_strona!$A:$A,0)),"")</x:f>
        <x:v>656</x:v>
      </x:c>
      <x:c r="L34" s="717" t="n">
        <x:f>IFERROR(INDEX('04_Wycena_strona_nowa'!$E:$E,MATCH($A34,'04_Wycena_strona_nowa'!$A:$A,0)),"")</x:f>
        <x:v>611</x:v>
      </x:c>
      <x:c r="M34" s="717" t="n">
        <x:f>IF(OR(K34="",L34="",K34=0,L34=0),"",L34-K34)</x:f>
        <x:v>-45</x:v>
      </x:c>
      <x:c r="N34" s="717" t="n">
        <x:f>IFERROR(INDEX(EG_Wycena_strona!$F:$F,MATCH($A34,EG_Wycena_strona!$A:$A,0)),"")</x:f>
        <x:v>9019</x:v>
      </x:c>
      <x:c r="O34" s="717" t="n">
        <x:f>IFERROR(INDEX('04_Wycena_strona_nowa'!$F:$F,MATCH($A34,'04_Wycena_strona_nowa'!$A:$A,0)),"")</x:f>
        <x:v>7843</x:v>
      </x:c>
      <x:c r="P34" s="717" t="n">
        <x:f>IF(OR(N34="",O34="",N34=0,O34=0),"",O34-N34)</x:f>
        <x:v>-1176</x:v>
      </x:c>
      <x:c r="Q34" s="717" t="n">
        <x:f>IFERROR(INDEX(EG_Wycena_strona!$G:$G,MATCH($A34,EG_Wycena_strona!$A:$A,0)),"")</x:f>
        <x:v>9879</x:v>
      </x:c>
      <x:c r="R34" s="717" t="n">
        <x:f>IFERROR(INDEX('04_Wycena_strona_nowa'!$G:$G,MATCH($A34,'04_Wycena_strona_nowa'!$A:$A,0)),"")</x:f>
        <x:v>8644</x:v>
      </x:c>
      <x:c r="S34" s="717" t="n">
        <x:f>IF(OR(Q34="",R34="",Q34=0,R34=0),"",R34-Q34)</x:f>
        <x:v>-1235</x:v>
      </x:c>
      <x:c r="T34" s="717" t="n">
        <x:f>IFERROR(INDEX(EG_Wycena_strona!$H:$H,MATCH($A34,EG_Wycena_strona!$A:$A,0)),"")</x:f>
        <x:v>4470</x:v>
      </x:c>
      <x:c r="U34" s="717" t="n">
        <x:f>IFERROR(INDEX('04_Wycena_strona_nowa'!$H:$H,MATCH($A34,'04_Wycena_strona_nowa'!$A:$A,0)),"")</x:f>
        <x:v>4023</x:v>
      </x:c>
      <x:c r="V34" s="717" t="n">
        <x:f>IF(OR(T34="",U34="",T34=0,U34=0),"",U34-T34)</x:f>
        <x:v>-447</x:v>
      </x:c>
      <x:c r="W34" s="717" t="n">
        <x:f>IFERROR(INDEX(EG_Wycena_strona!$I:$I,MATCH($A34,EG_Wycena_strona!$A:$A,0)),"")</x:f>
        <x:v>4470</x:v>
      </x:c>
      <x:c r="X34" s="717" t="n">
        <x:f>IFERROR(INDEX('04_Wycena_strona_nowa'!$I:$I,MATCH($A34,'04_Wycena_strona_nowa'!$A:$A,0)),"")</x:f>
        <x:v>4023</x:v>
      </x:c>
      <x:c r="Y34" s="717" t="n">
        <x:f>IF(OR(W34="",X34="",W34=0,X34=0),"",X34-W34)</x:f>
        <x:v>-447</x:v>
      </x:c>
      <x:c r="Z34" s="717" t="n">
        <x:f>IFERROR(INDEX(EG_Wycena_strona!$J:$J,MATCH($A34,EG_Wycena_strona!$A:$A,0)),"")</x:f>
        <x:v>5367</x:v>
      </x:c>
      <x:c r="AA34" s="717" t="n">
        <x:f>IFERROR(INDEX('04_Wycena_strona_nowa'!$J:$J,MATCH($A34,'04_Wycena_strona_nowa'!$A:$A,0)),"")</x:f>
        <x:v>4711</x:v>
      </x:c>
      <x:c r="AB34" s="717" t="n">
        <x:f>IF(OR(Z34="",AA34="",Z34=0,AA34=0),"",AA34-Z34)</x:f>
        <x:v>-656</x:v>
      </x:c>
      <x:c r="AC34" s="717" t="n">
        <x:f>IFERROR(INDEX(EG_Wycena_strona!$K:$K,MATCH($A34,EG_Wycena_strona!$A:$A,0)),"")</x:f>
        <x:v>7711</x:v>
      </x:c>
      <x:c r="AD34" s="717" t="n">
        <x:f>IFERROR(INDEX('04_Wycena_strona_nowa'!$K:$K,MATCH($A34,'04_Wycena_strona_nowa'!$A:$A,0)),"")</x:f>
        <x:v>6901</x:v>
      </x:c>
      <x:c r="AE34" s="717" t="n">
        <x:f>IF(OR(AC34="",AD34="",AC34=0,AD34=0),"",AD34-AC34)</x:f>
        <x:v>-810</x:v>
      </x:c>
      <x:c r="AF34" s="717" t="n">
        <x:f>IFERROR(ROUND(INDEX(EG_Cennik_uslug!$BS:$BS,MATCH($A34,EG_Cennik_uslug!$A:$A,0))*1.08,0),"")</x:f>
        <x:v>2643</x:v>
      </x:c>
      <x:c r="AG34" s="717" t="n">
        <x:f>IFERROR(INDEX('04_Wycena_strona_nowa'!$L:$L,MATCH($A34,'04_Wycena_strona_nowa'!$A:$A,0)),"")</x:f>
        <x:v>2723</x:v>
      </x:c>
      <x:c r="AH34" s="717" t="n">
        <x:f>IF(OR(AF34="",AG34="",AF34=0,AG34=0),"",AG34-AF34)</x:f>
        <x:v>80</x:v>
      </x:c>
      <x:c r="AI34" s="717" t="n">
        <x:f>IFERROR(ROUND(INDEX(EG_Cennik_uslug!$BZ:$BZ,MATCH($A34,EG_Cennik_uslug!$A:$A,0))*1.08,0),"")</x:f>
        <x:v>778</x:v>
      </x:c>
      <x:c r="AJ34" s="717" t="n">
        <x:f>IFERROR(INDEX('04_Wycena_strona_nowa'!$O:$O,MATCH($A34,'04_Wycena_strona_nowa'!$A:$A,0)),"")</x:f>
        <x:v>725</x:v>
      </x:c>
      <x:c r="AK34" s="717" t="n">
        <x:f>IF(OR(AI34="",AJ34="",AI34=0,AJ34=0),"",AJ34-AI34)</x:f>
        <x:v>-53</x:v>
      </x:c>
      <x:c r="AL34" s="717" t="n">
        <x:f>IFERROR(ROUND(INDEX(EG_Cennik_uslug!$CG:$CG,MATCH($A34,EG_Cennik_uslug!$A:$A,0))*1.08,0),"")</x:f>
        <x:v>711</x:v>
      </x:c>
      <x:c r="AM34" s="717" t="n">
        <x:f>IFERROR(INDEX('04_Wycena_strona_nowa'!$P:$P,MATCH($A34,'04_Wycena_strona_nowa'!$A:$A,0)),"")</x:f>
        <x:v>662</x:v>
      </x:c>
      <x:c r="AN34" s="717" t="n">
        <x:f>IF(OR(AL34="",AM34="",AL34=0,AM34=0),"",AM34-AL34)</x:f>
        <x:v>-49</x:v>
      </x:c>
      <x:c r="AO34" s="717" t="str">
        <x:f>""</x:f>
      </x:c>
      <x:c r="AP34" s="717" t="n">
        <x:f>IFERROR(INDEX('04_Wycena_strona_nowa'!$Q:$Q,MATCH($A34,'04_Wycena_strona_nowa'!$A:$A,0)),"")</x:f>
        <x:v>561</x:v>
      </x:c>
      <x:c r="AQ34" s="717" t="str">
        <x:f>IF(OR(AO34="",AP34="",AO34=0,AP34=0),"",AP34-AO34)</x:f>
      </x:c>
      <x:c r="AR34" s="717" t="n">
        <x:f>IFERROR(ROUND(INDEX(EG_Cennik_uslug!$CN:$CN,MATCH($A34,EG_Cennik_uslug!$A:$A,0))*1.08,0),"")</x:f>
        <x:v>2333</x:v>
      </x:c>
      <x:c r="AS34" s="717" t="n">
        <x:f>IFERROR(INDEX('04_Wycena_strona_nowa'!$M:$M,MATCH($A34,'04_Wycena_strona_nowa'!$A:$A,0)),"")</x:f>
        <x:v>1221</x:v>
      </x:c>
      <x:c r="AT34" s="717" t="n">
        <x:f>IF(OR(AR34="",AS34="",AR34=0,AS34=0),"",AS34-AR34)</x:f>
        <x:v>-1112</x:v>
      </x:c>
      <x:c r="AU34" s="717" t="n">
        <x:f>IFERROR(ROUND(INDEX(EG_Cennik_uslug!$CU:$CU,MATCH($A34,EG_Cennik_uslug!$A:$A,0))*1.08,0),"")</x:f>
        <x:v>2739</x:v>
      </x:c>
      <x:c r="AV34" s="717" t="n">
        <x:f>IFERROR(INDEX('04_Wycena_strona_nowa'!$R:$R,MATCH($A34,'04_Wycena_strona_nowa'!$A:$A,0)),"")</x:f>
        <x:v>3149</x:v>
      </x:c>
      <x:c r="AW34" s="717" t="n">
        <x:f>IF(OR(AU34="",AV34="",AU34=0,AV34=0),"",AV34-AU34)</x:f>
        <x:v>410</x:v>
      </x:c>
      <x:c r="AX34" s="717" t="str">
        <x:f>""</x:f>
      </x:c>
      <x:c r="AY34" s="717" t="str">
        <x:f>IFERROR(INDEX('04_Wycena_strona_nowa'!$S:$S,MATCH($A34,'04_Wycena_strona_nowa'!$A:$A,0)),"")</x:f>
      </x:c>
      <x:c r="AZ34" s="717" t="str">
        <x:f>IF(OR(AX34="",AY34="",AX34=0,AY34=0),"",AY34-AX34)</x:f>
      </x:c>
      <x:c r="BA34" s="612" t="e">
        <x:f>_xludf.TEXTJOIN("; ",TRUE,IF(OR(LEFT($A34,3)="550",LEFT($A34,3)="600"),"550/600: EG brak benchmarku; opcje szklane/zerowe ukryte w porównaniu do czasu potwierdzenia",""),"LED CCT/RGB: porównanie orientacyjne do EG LED COB","Zabieraki: brak jednoznacznej pozycji EG")</x:f>
      </x:c>
    </x:row>
    <x:row r="35">
      <x:c r="A35" s="608" t="str">
        <x:f>'04_Wycena_strona_nowa'!A35</x:f>
        <x:v>450 x 606 cm</x:v>
      </x:c>
      <x:c r="B35" s="717" t="n">
        <x:f>IFERROR(INDEX(EG_Wycena_strona!$B:$B,MATCH($A35,EG_Wycena_strona!$A:$A,0)),"")</x:f>
        <x:v>22227</x:v>
      </x:c>
      <x:c r="C35" s="717" t="n">
        <x:f>IFERROR(INDEX('04_Wycena_strona_nowa'!$B:$B,MATCH($A35,'04_Wycena_strona_nowa'!$A:$A,0)),"")</x:f>
        <x:v>21049</x:v>
      </x:c>
      <x:c r="D35" s="717" t="n">
        <x:f>IF(OR(B35="",C35="",B35=0,C35=0),"",C35-B35)</x:f>
        <x:v>-1178</x:v>
      </x:c>
      <x:c r="E35" s="717" t="n">
        <x:f>IFERROR(INDEX(EG_Wycena_strona!$C:$C,MATCH($A35,EG_Wycena_strona!$A:$A,0)),"")</x:f>
        <x:v>27408</x:v>
      </x:c>
      <x:c r="F35" s="717" t="n">
        <x:f>IFERROR(INDEX('04_Wycena_strona_nowa'!$C:$C,MATCH($A35,'04_Wycena_strona_nowa'!$A:$A,0)),"")</x:f>
        <x:v>24436</x:v>
      </x:c>
      <x:c r="G35" s="717" t="n">
        <x:f>IF(OR(E35="",F35="",E35=0,F35=0),"",F35-E35)</x:f>
        <x:v>-2972</x:v>
      </x:c>
      <x:c r="H35" s="717" t="n">
        <x:f>IFERROR(INDEX(EG_Wycena_strona!$D:$D,MATCH($A35,EG_Wycena_strona!$A:$A,0)),"")</x:f>
        <x:v>30026</x:v>
      </x:c>
      <x:c r="I35" s="717" t="n">
        <x:f>IFERROR(INDEX('04_Wycena_strona_nowa'!$D:$D,MATCH($A35,'04_Wycena_strona_nowa'!$A:$A,0)),"")</x:f>
        <x:v>26880</x:v>
      </x:c>
      <x:c r="J35" s="717" t="n">
        <x:f>IF(OR(H35="",I35="",H35=0,I35=0),"",I35-H35)</x:f>
        <x:v>-3146</x:v>
      </x:c>
      <x:c r="K35" s="717" t="n">
        <x:f>IFERROR(INDEX(EG_Wycena_strona!$E:$E,MATCH($A35,EG_Wycena_strona!$A:$A,0)),"")</x:f>
        <x:v>792</x:v>
      </x:c>
      <x:c r="L35" s="717" t="n">
        <x:f>IFERROR(INDEX('04_Wycena_strona_nowa'!$E:$E,MATCH($A35,'04_Wycena_strona_nowa'!$A:$A,0)),"")</x:f>
        <x:v>739</x:v>
      </x:c>
      <x:c r="M35" s="717" t="n">
        <x:f>IF(OR(K35="",L35="",K35=0,L35=0),"",L35-K35)</x:f>
        <x:v>-53</x:v>
      </x:c>
      <x:c r="N35" s="717" t="n">
        <x:f>IFERROR(INDEX(EG_Wycena_strona!$F:$F,MATCH($A35,EG_Wycena_strona!$A:$A,0)),"")</x:f>
        <x:v>11030</x:v>
      </x:c>
      <x:c r="O35" s="717" t="n">
        <x:f>IFERROR(INDEX('04_Wycena_strona_nowa'!$F:$F,MATCH($A35,'04_Wycena_strona_nowa'!$A:$A,0)),"")</x:f>
        <x:v>9600</x:v>
      </x:c>
      <x:c r="P35" s="717" t="n">
        <x:f>IF(OR(N35="",O35="",N35=0,O35=0),"",O35-N35)</x:f>
        <x:v>-1430</x:v>
      </x:c>
      <x:c r="Q35" s="717" t="n">
        <x:f>IFERROR(INDEX(EG_Wycena_strona!$G:$G,MATCH($A35,EG_Wycena_strona!$A:$A,0)),"")</x:f>
        <x:v>12067</x:v>
      </x:c>
      <x:c r="R35" s="717" t="n">
        <x:f>IFERROR(INDEX('04_Wycena_strona_nowa'!$G:$G,MATCH($A35,'04_Wycena_strona_nowa'!$A:$A,0)),"")</x:f>
        <x:v>10568</x:v>
      </x:c>
      <x:c r="S35" s="717" t="n">
        <x:f>IF(OR(Q35="",R35="",Q35=0,R35=0),"",R35-Q35)</x:f>
        <x:v>-1499</x:v>
      </x:c>
      <x:c r="T35" s="717" t="n">
        <x:f>IFERROR(INDEX(EG_Wycena_strona!$H:$H,MATCH($A35,EG_Wycena_strona!$A:$A,0)),"")</x:f>
        <x:v>4470</x:v>
      </x:c>
      <x:c r="U35" s="717" t="n">
        <x:f>IFERROR(INDEX('04_Wycena_strona_nowa'!$H:$H,MATCH($A35,'04_Wycena_strona_nowa'!$A:$A,0)),"")</x:f>
        <x:v>4023</x:v>
      </x:c>
      <x:c r="V35" s="717" t="n">
        <x:f>IF(OR(T35="",U35="",T35=0,U35=0),"",U35-T35)</x:f>
        <x:v>-447</x:v>
      </x:c>
      <x:c r="W35" s="717" t="n">
        <x:f>IFERROR(INDEX(EG_Wycena_strona!$I:$I,MATCH($A35,EG_Wycena_strona!$A:$A,0)),"")</x:f>
        <x:v>4470</x:v>
      </x:c>
      <x:c r="X35" s="717" t="n">
        <x:f>IFERROR(INDEX('04_Wycena_strona_nowa'!$I:$I,MATCH($A35,'04_Wycena_strona_nowa'!$A:$A,0)),"")</x:f>
        <x:v>4023</x:v>
      </x:c>
      <x:c r="Y35" s="717" t="n">
        <x:f>IF(OR(W35="",X35="",W35=0,X35=0),"",X35-W35)</x:f>
        <x:v>-447</x:v>
      </x:c>
      <x:c r="Z35" s="717" t="n">
        <x:f>IFERROR(INDEX(EG_Wycena_strona!$J:$J,MATCH($A35,EG_Wycena_strona!$A:$A,0)),"")</x:f>
        <x:v>6144</x:v>
      </x:c>
      <x:c r="AA35" s="717" t="n">
        <x:f>IFERROR(INDEX('04_Wycena_strona_nowa'!$J:$J,MATCH($A35,'04_Wycena_strona_nowa'!$A:$A,0)),"")</x:f>
        <x:v>5437</x:v>
      </x:c>
      <x:c r="AB35" s="717" t="n">
        <x:f>IF(OR(Z35="",AA35="",Z35=0,AA35=0),"",AA35-Z35)</x:f>
        <x:v>-707</x:v>
      </x:c>
      <x:c r="AC35" s="717" t="n">
        <x:f>IFERROR(INDEX(EG_Wycena_strona!$K:$K,MATCH($A35,EG_Wycena_strona!$A:$A,0)),"")</x:f>
        <x:v>11500</x:v>
      </x:c>
      <x:c r="AD35" s="717" t="n">
        <x:f>IFERROR(INDEX('04_Wycena_strona_nowa'!$K:$K,MATCH($A35,'04_Wycena_strona_nowa'!$A:$A,0)),"")</x:f>
        <x:v>10389</x:v>
      </x:c>
      <x:c r="AE35" s="717" t="n">
        <x:f>IF(OR(AC35="",AD35="",AC35=0,AD35=0),"",AD35-AC35)</x:f>
        <x:v>-1111</x:v>
      </x:c>
      <x:c r="AF35" s="717" t="n">
        <x:f>IFERROR(ROUND(INDEX(EG_Cennik_uslug!$BS:$BS,MATCH($A35,EG_Cennik_uslug!$A:$A,0))*1.08,0),"")</x:f>
        <x:v>3187</x:v>
      </x:c>
      <x:c r="AG35" s="717" t="n">
        <x:f>IFERROR(INDEX('04_Wycena_strona_nowa'!$L:$L,MATCH($A35,'04_Wycena_strona_nowa'!$A:$A,0)),"")</x:f>
        <x:v>3283</x:v>
      </x:c>
      <x:c r="AH35" s="717" t="n">
        <x:f>IF(OR(AF35="",AG35="",AF35=0,AG35=0),"",AG35-AF35)</x:f>
        <x:v>96</x:v>
      </x:c>
      <x:c r="AI35" s="717" t="n">
        <x:f>IFERROR(ROUND(INDEX(EG_Cennik_uslug!$BZ:$BZ,MATCH($A35,EG_Cennik_uslug!$A:$A,0))*1.08,0),"")</x:f>
        <x:v>834</x:v>
      </x:c>
      <x:c r="AJ35" s="717" t="n">
        <x:f>IFERROR(INDEX('04_Wycena_strona_nowa'!$O:$O,MATCH($A35,'04_Wycena_strona_nowa'!$A:$A,0)),"")</x:f>
        <x:v>777</x:v>
      </x:c>
      <x:c r="AK35" s="717" t="n">
        <x:f>IF(OR(AI35="",AJ35="",AI35=0,AJ35=0),"",AJ35-AI35)</x:f>
        <x:v>-57</x:v>
      </x:c>
      <x:c r="AL35" s="717" t="n">
        <x:f>IFERROR(ROUND(INDEX(EG_Cennik_uslug!$CG:$CG,MATCH($A35,EG_Cennik_uslug!$A:$A,0))*1.08,0),"")</x:f>
        <x:v>751</x:v>
      </x:c>
      <x:c r="AM35" s="717" t="n">
        <x:f>IFERROR(INDEX('04_Wycena_strona_nowa'!$P:$P,MATCH($A35,'04_Wycena_strona_nowa'!$A:$A,0)),"")</x:f>
        <x:v>700</x:v>
      </x:c>
      <x:c r="AN35" s="717" t="n">
        <x:f>IF(OR(AL35="",AM35="",AL35=0,AM35=0),"",AM35-AL35)</x:f>
        <x:v>-51</x:v>
      </x:c>
      <x:c r="AO35" s="717" t="str">
        <x:f>""</x:f>
      </x:c>
      <x:c r="AP35" s="717" t="n">
        <x:f>IFERROR(INDEX('04_Wycena_strona_nowa'!$Q:$Q,MATCH($A35,'04_Wycena_strona_nowa'!$A:$A,0)),"")</x:f>
        <x:v>611</x:v>
      </x:c>
      <x:c r="AQ35" s="717" t="str">
        <x:f>IF(OR(AO35="",AP35="",AO35=0,AP35=0),"",AP35-AO35)</x:f>
      </x:c>
      <x:c r="AR35" s="717" t="n">
        <x:f>IFERROR(ROUND(INDEX(EG_Cennik_uslug!$CN:$CN,MATCH($A35,EG_Cennik_uslug!$A:$A,0))*1.08,0),"")</x:f>
        <x:v>2819</x:v>
      </x:c>
      <x:c r="AS35" s="717" t="n">
        <x:f>IFERROR(INDEX('04_Wycena_strona_nowa'!$M:$M,MATCH($A35,'04_Wycena_strona_nowa'!$A:$A,0)),"")</x:f>
        <x:v>1388</x:v>
      </x:c>
      <x:c r="AT35" s="717" t="n">
        <x:f>IF(OR(AR35="",AS35="",AR35=0,AS35=0),"",AS35-AR35)</x:f>
        <x:v>-1431</x:v>
      </x:c>
      <x:c r="AU35" s="717" t="n">
        <x:f>IFERROR(ROUND(INDEX(EG_Cennik_uslug!$CU:$CU,MATCH($A35,EG_Cennik_uslug!$A:$A,0))*1.08,0),"")</x:f>
        <x:v>3683</x:v>
      </x:c>
      <x:c r="AV35" s="717" t="n">
        <x:f>IFERROR(INDEX('04_Wycena_strona_nowa'!$R:$R,MATCH($A35,'04_Wycena_strona_nowa'!$A:$A,0)),"")</x:f>
        <x:v>3550</x:v>
      </x:c>
      <x:c r="AW35" s="717" t="n">
        <x:f>IF(OR(AU35="",AV35="",AU35=0,AV35=0),"",AV35-AU35)</x:f>
        <x:v>-133</x:v>
      </x:c>
      <x:c r="AX35" s="717" t="str">
        <x:f>""</x:f>
      </x:c>
      <x:c r="AY35" s="717" t="str">
        <x:f>IFERROR(INDEX('04_Wycena_strona_nowa'!$S:$S,MATCH($A35,'04_Wycena_strona_nowa'!$A:$A,0)),"")</x:f>
      </x:c>
      <x:c r="AZ35" s="717" t="str">
        <x:f>IF(OR(AX35="",AY35="",AX35=0,AY35=0),"",AY35-AX35)</x:f>
      </x:c>
      <x:c r="BA35" s="612" t="e">
        <x:f>_xludf.TEXTJOIN("; ",TRUE,IF(OR(LEFT($A35,3)="550",LEFT($A35,3)="600"),"550/600: EG brak benchmarku; opcje szklane/zerowe ukryte w porównaniu do czasu potwierdzenia",""),"LED CCT/RGB: porównanie orientacyjne do EG LED COB","Zabieraki: brak jednoznacznej pozycji EG")</x:f>
      </x:c>
    </x:row>
    <x:row r="36">
      <x:c r="A36" s="608" t="str">
        <x:f>'04_Wycena_strona_nowa'!A36</x:f>
        <x:v>450 x 706 cm</x:v>
      </x:c>
      <x:c r="B36" s="717" t="n">
        <x:f>IFERROR(INDEX(EG_Wycena_strona!$B:$B,MATCH($A36,EG_Wycena_strona!$A:$A,0)),"")</x:f>
        <x:v>26646</x:v>
      </x:c>
      <x:c r="C36" s="717" t="n">
        <x:f>IFERROR(INDEX('04_Wycena_strona_nowa'!$B:$B,MATCH($A36,'04_Wycena_strona_nowa'!$A:$A,0)),"")</x:f>
        <x:v>25196</x:v>
      </x:c>
      <x:c r="D36" s="717" t="n">
        <x:f>IF(OR(B36="",C36="",B36=0,C36=0),"",C36-B36)</x:f>
        <x:v>-1450</x:v>
      </x:c>
      <x:c r="E36" s="717" t="n">
        <x:f>IFERROR(INDEX(EG_Wycena_strona!$C:$C,MATCH($A36,EG_Wycena_strona!$A:$A,0)),"")</x:f>
        <x:v>27638</x:v>
      </x:c>
      <x:c r="F36" s="717" t="n">
        <x:f>IFERROR(INDEX('04_Wycena_strona_nowa'!$C:$C,MATCH($A36,'04_Wycena_strona_nowa'!$A:$A,0)),"")</x:f>
        <x:v>24535</x:v>
      </x:c>
      <x:c r="G36" s="717" t="n">
        <x:f>IF(OR(E36="",F36="",E36=0,F36=0),"",F36-E36)</x:f>
        <x:v>-3103</x:v>
      </x:c>
      <x:c r="H36" s="717" t="n">
        <x:f>IFERROR(INDEX(EG_Wycena_strona!$D:$D,MATCH($A36,EG_Wycena_strona!$A:$A,0)),"")</x:f>
        <x:v>30419</x:v>
      </x:c>
      <x:c r="I36" s="717" t="n">
        <x:f>IFERROR(INDEX('04_Wycena_strona_nowa'!$D:$D,MATCH($A36,'04_Wycena_strona_nowa'!$A:$A,0)),"")</x:f>
        <x:v>27133</x:v>
      </x:c>
      <x:c r="J36" s="717" t="n">
        <x:f>IF(OR(H36="",I36="",H36=0,I36=0),"",I36-H36)</x:f>
        <x:v>-3286</x:v>
      </x:c>
      <x:c r="K36" s="717" t="n">
        <x:f>IFERROR(INDEX(EG_Wycena_strona!$E:$E,MATCH($A36,EG_Wycena_strona!$A:$A,0)),"")</x:f>
        <x:v>915</x:v>
      </x:c>
      <x:c r="L36" s="717" t="n">
        <x:f>IFERROR(INDEX('04_Wycena_strona_nowa'!$E:$E,MATCH($A36,'04_Wycena_strona_nowa'!$A:$A,0)),"")</x:f>
        <x:v>853</x:v>
      </x:c>
      <x:c r="M36" s="717" t="n">
        <x:f>IF(OR(K36="",L36="",K36=0,L36=0),"",L36-K36)</x:f>
        <x:v>-62</x:v>
      </x:c>
      <x:c r="N36" s="717" t="n">
        <x:f>IFERROR(INDEX(EG_Wycena_strona!$F:$F,MATCH($A36,EG_Wycena_strona!$A:$A,0)),"")</x:f>
        <x:v>13015</x:v>
      </x:c>
      <x:c r="O36" s="717" t="n">
        <x:f>IFERROR(INDEX('04_Wycena_strona_nowa'!$F:$F,MATCH($A36,'04_Wycena_strona_nowa'!$A:$A,0)),"")</x:f>
        <x:v>11369</x:v>
      </x:c>
      <x:c r="P36" s="717" t="n">
        <x:f>IF(OR(N36="",O36="",N36=0,O36=0),"",O36-N36)</x:f>
        <x:v>-1646</x:v>
      </x:c>
      <x:c r="Q36" s="717" t="n">
        <x:f>IFERROR(INDEX(EG_Wycena_strona!$G:$G,MATCH($A36,EG_Wycena_strona!$A:$A,0)),"")</x:f>
        <x:v>14215</x:v>
      </x:c>
      <x:c r="R36" s="717" t="n">
        <x:f>IFERROR(INDEX('04_Wycena_strona_nowa'!$G:$G,MATCH($A36,'04_Wycena_strona_nowa'!$A:$A,0)),"")</x:f>
        <x:v>12489</x:v>
      </x:c>
      <x:c r="S36" s="717" t="n">
        <x:f>IF(OR(Q36="",R36="",Q36=0,R36=0),"",R36-Q36)</x:f>
        <x:v>-1726</x:v>
      </x:c>
      <x:c r="T36" s="717" t="n">
        <x:f>IFERROR(INDEX(EG_Wycena_strona!$H:$H,MATCH($A36,EG_Wycena_strona!$A:$A,0)),"")</x:f>
        <x:v>4470</x:v>
      </x:c>
      <x:c r="U36" s="717" t="n">
        <x:f>IFERROR(INDEX('04_Wycena_strona_nowa'!$H:$H,MATCH($A36,'04_Wycena_strona_nowa'!$A:$A,0)),"")</x:f>
        <x:v>4023</x:v>
      </x:c>
      <x:c r="V36" s="717" t="n">
        <x:f>IF(OR(T36="",U36="",T36=0,U36=0),"",U36-T36)</x:f>
        <x:v>-447</x:v>
      </x:c>
      <x:c r="W36" s="717" t="n">
        <x:f>IFERROR(INDEX(EG_Wycena_strona!$I:$I,MATCH($A36,EG_Wycena_strona!$A:$A,0)),"")</x:f>
        <x:v>4470</x:v>
      </x:c>
      <x:c r="X36" s="717" t="n">
        <x:f>IFERROR(INDEX('04_Wycena_strona_nowa'!$I:$I,MATCH($A36,'04_Wycena_strona_nowa'!$A:$A,0)),"")</x:f>
        <x:v>4023</x:v>
      </x:c>
      <x:c r="Y36" s="717" t="n">
        <x:f>IF(OR(W36="",X36="",W36=0,X36=0),"",X36-W36)</x:f>
        <x:v>-447</x:v>
      </x:c>
      <x:c r="Z36" s="717" t="n">
        <x:f>IFERROR(INDEX(EG_Wycena_strona!$J:$J,MATCH($A36,EG_Wycena_strona!$A:$A,0)),"")</x:f>
        <x:v>6839</x:v>
      </x:c>
      <x:c r="AA36" s="717" t="n">
        <x:f>IFERROR(INDEX('04_Wycena_strona_nowa'!$J:$J,MATCH($A36,'04_Wycena_strona_nowa'!$A:$A,0)),"")</x:f>
        <x:v>6086</x:v>
      </x:c>
      <x:c r="AB36" s="717" t="n">
        <x:f>IF(OR(Z36="",AA36="",Z36=0,AA36=0),"",AA36-Z36)</x:f>
        <x:v>-753</x:v>
      </x:c>
      <x:c r="AC36" s="717" t="n">
        <x:f>IFERROR(INDEX(EG_Wycena_strona!$K:$K,MATCH($A36,EG_Wycena_strona!$A:$A,0)),"")</x:f>
        <x:v>12411</x:v>
      </x:c>
      <x:c r="AD36" s="717" t="n">
        <x:f>IFERROR(INDEX('04_Wycena_strona_nowa'!$K:$K,MATCH($A36,'04_Wycena_strona_nowa'!$A:$A,0)),"")</x:f>
        <x:v>11140</x:v>
      </x:c>
      <x:c r="AE36" s="717" t="n">
        <x:f>IF(OR(AC36="",AD36="",AC36=0,AD36=0),"",AD36-AC36)</x:f>
        <x:v>-1271</x:v>
      </x:c>
      <x:c r="AF36" s="717" t="n">
        <x:f>IFERROR(ROUND(INDEX(EG_Cennik_uslug!$BS:$BS,MATCH($A36,EG_Cennik_uslug!$A:$A,0))*1.08,0),"")</x:f>
        <x:v>2811</x:v>
      </x:c>
      <x:c r="AG36" s="717" t="n">
        <x:f>IFERROR(INDEX('04_Wycena_strona_nowa'!$L:$L,MATCH($A36,'04_Wycena_strona_nowa'!$A:$A,0)),"")</x:f>
        <x:v>2899</x:v>
      </x:c>
      <x:c r="AH36" s="717" t="n">
        <x:f>IF(OR(AF36="",AG36="",AF36=0,AG36=0),"",AG36-AF36)</x:f>
        <x:v>88</x:v>
      </x:c>
      <x:c r="AI36" s="717" t="n">
        <x:f>IFERROR(ROUND(INDEX(EG_Cennik_uslug!$BZ:$BZ,MATCH($A36,EG_Cennik_uslug!$A:$A,0))*1.08,0),"")</x:f>
        <x:v>887</x:v>
      </x:c>
      <x:c r="AJ36" s="717" t="n">
        <x:f>IFERROR(INDEX('04_Wycena_strona_nowa'!$O:$O,MATCH($A36,'04_Wycena_strona_nowa'!$A:$A,0)),"")</x:f>
        <x:v>827</x:v>
      </x:c>
      <x:c r="AK36" s="717" t="n">
        <x:f>IF(OR(AI36="",AJ36="",AI36=0,AJ36=0),"",AJ36-AI36)</x:f>
        <x:v>-60</x:v>
      </x:c>
      <x:c r="AL36" s="717" t="n">
        <x:f>IFERROR(ROUND(INDEX(EG_Cennik_uslug!$CG:$CG,MATCH($A36,EG_Cennik_uslug!$A:$A,0))*1.08,0),"")</x:f>
        <x:v>806</x:v>
      </x:c>
      <x:c r="AM36" s="717" t="n">
        <x:f>IFERROR(INDEX('04_Wycena_strona_nowa'!$P:$P,MATCH($A36,'04_Wycena_strona_nowa'!$A:$A,0)),"")</x:f>
        <x:v>752</x:v>
      </x:c>
      <x:c r="AN36" s="717" t="n">
        <x:f>IF(OR(AL36="",AM36="",AL36=0,AM36=0),"",AM36-AL36)</x:f>
        <x:v>-54</x:v>
      </x:c>
      <x:c r="AO36" s="717" t="str">
        <x:f>""</x:f>
      </x:c>
      <x:c r="AP36" s="717" t="n">
        <x:f>IFERROR(INDEX('04_Wycena_strona_nowa'!$Q:$Q,MATCH($A36,'04_Wycena_strona_nowa'!$A:$A,0)),"")</x:f>
        <x:v>662</x:v>
      </x:c>
      <x:c r="AQ36" s="717" t="str">
        <x:f>IF(OR(AO36="",AP36="",AO36=0,AP36=0),"",AP36-AO36)</x:f>
      </x:c>
      <x:c r="AR36" s="717" t="n">
        <x:f>IFERROR(ROUND(INDEX(EG_Cennik_uslug!$CN:$CN,MATCH($A36,EG_Cennik_uslug!$A:$A,0))*1.08,0),"")</x:f>
        <x:v>3526</x:v>
      </x:c>
      <x:c r="AS36" s="717" t="n">
        <x:f>IFERROR(INDEX('04_Wycena_strona_nowa'!$M:$M,MATCH($A36,'04_Wycena_strona_nowa'!$A:$A,0)),"")</x:f>
        <x:v>1541</x:v>
      </x:c>
      <x:c r="AT36" s="717" t="n">
        <x:f>IF(OR(AR36="",AS36="",AR36=0,AS36=0),"",AS36-AR36)</x:f>
        <x:v>-1985</x:v>
      </x:c>
      <x:c r="AU36" s="717" t="n">
        <x:f>IFERROR(ROUND(INDEX(EG_Cennik_uslug!$CU:$CU,MATCH($A36,EG_Cennik_uslug!$A:$A,0))*1.08,0),"")</x:f>
        <x:v>4044</x:v>
      </x:c>
      <x:c r="AV36" s="717" t="n">
        <x:f>IFERROR(INDEX('04_Wycena_strona_nowa'!$R:$R,MATCH($A36,'04_Wycena_strona_nowa'!$A:$A,0)),"")</x:f>
        <x:v>3871</x:v>
      </x:c>
      <x:c r="AW36" s="717" t="n">
        <x:f>IF(OR(AU36="",AV36="",AU36=0,AV36=0),"",AV36-AU36)</x:f>
        <x:v>-173</x:v>
      </x:c>
      <x:c r="AX36" s="717" t="str">
        <x:f>""</x:f>
      </x:c>
      <x:c r="AY36" s="717" t="str">
        <x:f>IFERROR(INDEX('04_Wycena_strona_nowa'!$S:$S,MATCH($A36,'04_Wycena_strona_nowa'!$A:$A,0)),"")</x:f>
      </x:c>
      <x:c r="AZ36" s="717" t="str">
        <x:f>IF(OR(AX36="",AY36="",AX36=0,AY36=0),"",AY36-AX36)</x:f>
      </x:c>
      <x:c r="BA36" s="612" t="e">
        <x:f>_xludf.TEXTJOIN("; ",TRUE,IF(OR(LEFT($A36,3)="550",LEFT($A36,3)="600"),"550/600: EG brak benchmarku; opcje szklane/zerowe ukryte w porównaniu do czasu potwierdzenia",""),"LED CCT/RGB: porównanie orientacyjne do EG LED COB","Zabieraki: brak jednoznacznej pozycji EG")</x:f>
      </x:c>
    </x:row>
    <x:row r="37">
      <x:c r="A37" s="608" t="str">
        <x:f>'04_Wycena_strona_nowa'!A37</x:f>
        <x:v>450 x 806 cm</x:v>
      </x:c>
      <x:c r="B37" s="717" t="n">
        <x:f>IFERROR(INDEX(EG_Wycena_strona!$B:$B,MATCH($A37,EG_Wycena_strona!$A:$A,0)),"")</x:f>
        <x:v>29485</x:v>
      </x:c>
      <x:c r="C37" s="717" t="n">
        <x:f>IFERROR(INDEX('04_Wycena_strona_nowa'!$B:$B,MATCH($A37,'04_Wycena_strona_nowa'!$A:$A,0)),"")</x:f>
        <x:v>27870</x:v>
      </x:c>
      <x:c r="D37" s="717" t="n">
        <x:f>IF(OR(B37="",C37="",B37=0,C37=0),"",C37-B37)</x:f>
        <x:v>-1615</x:v>
      </x:c>
      <x:c r="E37" s="717" t="n">
        <x:f>IFERROR(INDEX(EG_Wycena_strona!$C:$C,MATCH($A37,EG_Wycena_strona!$A:$A,0)),"")</x:f>
        <x:v>29037</x:v>
      </x:c>
      <x:c r="F37" s="717" t="n">
        <x:f>IFERROR(INDEX('04_Wycena_strona_nowa'!$C:$C,MATCH($A37,'04_Wycena_strona_nowa'!$A:$A,0)),"")</x:f>
        <x:v>25740</x:v>
      </x:c>
      <x:c r="G37" s="717" t="n">
        <x:f>IF(OR(E37="",F37="",E37=0,F37=0),"",F37-E37)</x:f>
        <x:v>-3297</x:v>
      </x:c>
      <x:c r="H37" s="717" t="n">
        <x:f>IFERROR(INDEX(EG_Wycena_strona!$D:$D,MATCH($A37,EG_Wycena_strona!$A:$A,0)),"")</x:f>
        <x:v>31982</x:v>
      </x:c>
      <x:c r="I37" s="717" t="n">
        <x:f>IFERROR(INDEX('04_Wycena_strona_nowa'!$D:$D,MATCH($A37,'04_Wycena_strona_nowa'!$A:$A,0)),"")</x:f>
        <x:v>28490</x:v>
      </x:c>
      <x:c r="J37" s="717" t="n">
        <x:f>IF(OR(H37="",I37="",H37=0,I37=0),"",I37-H37)</x:f>
        <x:v>-3492</x:v>
      </x:c>
      <x:c r="K37" s="717" t="n">
        <x:f>IFERROR(INDEX(EG_Wycena_strona!$E:$E,MATCH($A37,EG_Wycena_strona!$A:$A,0)),"")</x:f>
        <x:v>1051</x:v>
      </x:c>
      <x:c r="L37" s="717" t="n">
        <x:f>IFERROR(INDEX('04_Wycena_strona_nowa'!$E:$E,MATCH($A37,'04_Wycena_strona_nowa'!$A:$A,0)),"")</x:f>
        <x:v>981</x:v>
      </x:c>
      <x:c r="M37" s="717" t="n">
        <x:f>IF(OR(K37="",L37="",K37=0,L37=0),"",L37-K37)</x:f>
        <x:v>-70</x:v>
      </x:c>
      <x:c r="N37" s="717" t="n">
        <x:f>IFERROR(INDEX(EG_Wycena_strona!$F:$F,MATCH($A37,EG_Wycena_strona!$A:$A,0)),"")</x:f>
        <x:v>15012</x:v>
      </x:c>
      <x:c r="O37" s="717" t="n">
        <x:f>IFERROR(INDEX('04_Wycena_strona_nowa'!$F:$F,MATCH($A37,'04_Wycena_strona_nowa'!$A:$A,0)),"")</x:f>
        <x:v>13126</x:v>
      </x:c>
      <x:c r="P37" s="717" t="n">
        <x:f>IF(OR(N37="",O37="",N37=0,O37=0),"",O37-N37)</x:f>
        <x:v>-1886</x:v>
      </x:c>
      <x:c r="Q37" s="717" t="n">
        <x:f>IFERROR(INDEX(EG_Wycena_strona!$G:$G,MATCH($A37,EG_Wycena_strona!$A:$A,0)),"")</x:f>
        <x:v>16390</x:v>
      </x:c>
      <x:c r="R37" s="717" t="n">
        <x:f>IFERROR(INDEX('04_Wycena_strona_nowa'!$G:$G,MATCH($A37,'04_Wycena_strona_nowa'!$A:$A,0)),"")</x:f>
        <x:v>14411</x:v>
      </x:c>
      <x:c r="S37" s="717" t="n">
        <x:f>IF(OR(Q37="",R37="",Q37=0,R37=0),"",R37-Q37)</x:f>
        <x:v>-1979</x:v>
      </x:c>
      <x:c r="T37" s="717" t="n">
        <x:f>IFERROR(INDEX(EG_Wycena_strona!$H:$H,MATCH($A37,EG_Wycena_strona!$A:$A,0)),"")</x:f>
        <x:v>4470</x:v>
      </x:c>
      <x:c r="U37" s="717" t="n">
        <x:f>IFERROR(INDEX('04_Wycena_strona_nowa'!$H:$H,MATCH($A37,'04_Wycena_strona_nowa'!$A:$A,0)),"")</x:f>
        <x:v>4023</x:v>
      </x:c>
      <x:c r="V37" s="717" t="n">
        <x:f>IF(OR(T37="",U37="",T37=0,U37=0),"",U37-T37)</x:f>
        <x:v>-447</x:v>
      </x:c>
      <x:c r="W37" s="717" t="n">
        <x:f>IFERROR(INDEX(EG_Wycena_strona!$I:$I,MATCH($A37,EG_Wycena_strona!$A:$A,0)),"")</x:f>
        <x:v>4470</x:v>
      </x:c>
      <x:c r="X37" s="717" t="n">
        <x:f>IFERROR(INDEX('04_Wycena_strona_nowa'!$I:$I,MATCH($A37,'04_Wycena_strona_nowa'!$A:$A,0)),"")</x:f>
        <x:v>4023</x:v>
      </x:c>
      <x:c r="Y37" s="717" t="n">
        <x:f>IF(OR(W37="",X37="",W37=0,X37=0),"",X37-W37)</x:f>
        <x:v>-447</x:v>
      </x:c>
      <x:c r="Z37" s="717" t="n">
        <x:f>IFERROR(INDEX(EG_Wycena_strona!$J:$J,MATCH($A37,EG_Wycena_strona!$A:$A,0)),"")</x:f>
        <x:v>7520</x:v>
      </x:c>
      <x:c r="AA37" s="717" t="n">
        <x:f>IFERROR(INDEX('04_Wycena_strona_nowa'!$J:$J,MATCH($A37,'04_Wycena_strona_nowa'!$A:$A,0)),"")</x:f>
        <x:v>6723</x:v>
      </x:c>
      <x:c r="AB37" s="717" t="n">
        <x:f>IF(OR(Z37="",AA37="",Z37=0,AA37=0),"",AA37-Z37)</x:f>
        <x:v>-797</x:v>
      </x:c>
      <x:c r="AC37" s="717" t="n">
        <x:f>IFERROR(INDEX(EG_Wycena_strona!$K:$K,MATCH($A37,EG_Wycena_strona!$A:$A,0)),"")</x:f>
        <x:v>13269</x:v>
      </x:c>
      <x:c r="AD37" s="717" t="n">
        <x:f>IFERROR(INDEX('04_Wycena_strona_nowa'!$K:$K,MATCH($A37,'04_Wycena_strona_nowa'!$A:$A,0)),"")</x:f>
        <x:v>11891</x:v>
      </x:c>
      <x:c r="AE37" s="717" t="n">
        <x:f>IF(OR(AC37="",AD37="",AC37=0,AD37=0),"",AD37-AC37)</x:f>
        <x:v>-1378</x:v>
      </x:c>
      <x:c r="AF37" s="717" t="n">
        <x:f>IFERROR(ROUND(INDEX(EG_Cennik_uslug!$BS:$BS,MATCH($A37,EG_Cennik_uslug!$A:$A,0))*1.08,0),"")</x:f>
        <x:v>3018</x:v>
      </x:c>
      <x:c r="AG37" s="717" t="n">
        <x:f>IFERROR(INDEX('04_Wycena_strona_nowa'!$L:$L,MATCH($A37,'04_Wycena_strona_nowa'!$A:$A,0)),"")</x:f>
        <x:v>3110</x:v>
      </x:c>
      <x:c r="AH37" s="717" t="n">
        <x:f>IF(OR(AF37="",AG37="",AF37=0,AG37=0),"",AG37-AF37)</x:f>
        <x:v>92</x:v>
      </x:c>
      <x:c r="AI37" s="717" t="n">
        <x:f>IFERROR(ROUND(INDEX(EG_Cennik_uslug!$BZ:$BZ,MATCH($A37,EG_Cennik_uslug!$A:$A,0))*1.08,0),"")</x:f>
        <x:v>942</x:v>
      </x:c>
      <x:c r="AJ37" s="717" t="n">
        <x:f>IFERROR(INDEX('04_Wycena_strona_nowa'!$O:$O,MATCH($A37,'04_Wycena_strona_nowa'!$A:$A,0)),"")</x:f>
        <x:v>878</x:v>
      </x:c>
      <x:c r="AK37" s="717" t="n">
        <x:f>IF(OR(AI37="",AJ37="",AI37=0,AJ37=0),"",AJ37-AI37)</x:f>
        <x:v>-64</x:v>
      </x:c>
      <x:c r="AL37" s="717" t="n">
        <x:f>IFERROR(ROUND(INDEX(EG_Cennik_uslug!$CG:$CG,MATCH($A37,EG_Cennik_uslug!$A:$A,0))*1.08,0),"")</x:f>
        <x:v>846</x:v>
      </x:c>
      <x:c r="AM37" s="717" t="n">
        <x:f>IFERROR(INDEX('04_Wycena_strona_nowa'!$P:$P,MATCH($A37,'04_Wycena_strona_nowa'!$A:$A,0)),"")</x:f>
        <x:v>789</x:v>
      </x:c>
      <x:c r="AN37" s="717" t="n">
        <x:f>IF(OR(AL37="",AM37="",AL37=0,AM37=0),"",AM37-AL37)</x:f>
        <x:v>-57</x:v>
      </x:c>
      <x:c r="AO37" s="717" t="str">
        <x:f>""</x:f>
      </x:c>
      <x:c r="AP37" s="717" t="n">
        <x:f>IFERROR(INDEX('04_Wycena_strona_nowa'!$Q:$Q,MATCH($A37,'04_Wycena_strona_nowa'!$A:$A,0)),"")</x:f>
        <x:v>713</x:v>
      </x:c>
      <x:c r="AQ37" s="717" t="str">
        <x:f>IF(OR(AO37="",AP37="",AO37=0,AP37=0),"",AP37-AO37)</x:f>
      </x:c>
      <x:c r="AR37" s="717" t="n">
        <x:f>IFERROR(ROUND(INDEX(EG_Cennik_uslug!$CN:$CN,MATCH($A37,EG_Cennik_uslug!$A:$A,0))*1.08,0),"")</x:f>
        <x:v>3947</x:v>
      </x:c>
      <x:c r="AS37" s="717" t="n">
        <x:f>IFERROR(INDEX('04_Wycena_strona_nowa'!$M:$M,MATCH($A37,'04_Wycena_strona_nowa'!$A:$A,0)),"")</x:f>
        <x:v>1834</x:v>
      </x:c>
      <x:c r="AT37" s="717" t="n">
        <x:f>IF(OR(AR37="",AS37="",AR37=0,AS37=0),"",AS37-AR37)</x:f>
        <x:v>-2113</x:v>
      </x:c>
      <x:c r="AU37" s="717" t="n">
        <x:f>IFERROR(ROUND(INDEX(EG_Cennik_uslug!$CU:$CU,MATCH($A37,EG_Cennik_uslug!$A:$A,0))*1.08,0),"")</x:f>
        <x:v>4405</x:v>
      </x:c>
      <x:c r="AV37" s="717" t="n">
        <x:f>IFERROR(INDEX('04_Wycena_strona_nowa'!$R:$R,MATCH($A37,'04_Wycena_strona_nowa'!$A:$A,0)),"")</x:f>
        <x:v>4201</x:v>
      </x:c>
      <x:c r="AW37" s="717" t="n">
        <x:f>IF(OR(AU37="",AV37="",AU37=0,AV37=0),"",AV37-AU37)</x:f>
        <x:v>-204</x:v>
      </x:c>
      <x:c r="AX37" s="717" t="str">
        <x:f>""</x:f>
      </x:c>
      <x:c r="AY37" s="717" t="str">
        <x:f>IFERROR(INDEX('04_Wycena_strona_nowa'!$S:$S,MATCH($A37,'04_Wycena_strona_nowa'!$A:$A,0)),"")</x:f>
      </x:c>
      <x:c r="AZ37" s="717" t="str">
        <x:f>IF(OR(AX37="",AY37="",AX37=0,AY37=0),"",AY37-AX37)</x:f>
      </x:c>
      <x:c r="BA37" s="612" t="e">
        <x:f>_xludf.TEXTJOIN("; ",TRUE,IF(OR(LEFT($A37,3)="550",LEFT($A37,3)="600"),"550/600: EG brak benchmarku; opcje szklane/zerowe ukryte w porównaniu do czasu potwierdzenia",""),"LED CCT/RGB: porównanie orientacyjne do EG LED COB","Zabieraki: brak jednoznacznej pozycji EG")</x:f>
      </x:c>
    </x:row>
    <x:row r="38">
      <x:c r="A38" s="608" t="str">
        <x:f>'04_Wycena_strona_nowa'!A38</x:f>
        <x:v>450 x 906 cm</x:v>
      </x:c>
      <x:c r="B38" s="717" t="n">
        <x:f>IFERROR(INDEX(EG_Wycena_strona!$B:$B,MATCH($A38,EG_Wycena_strona!$A:$A,0)),"")</x:f>
        <x:v>32992</x:v>
      </x:c>
      <x:c r="C38" s="717" t="n">
        <x:f>IFERROR(INDEX('04_Wycena_strona_nowa'!$B:$B,MATCH($A38,'04_Wycena_strona_nowa'!$A:$A,0)),"")</x:f>
        <x:v>31166</x:v>
      </x:c>
      <x:c r="D38" s="717" t="n">
        <x:f>IF(OR(B38="",C38="",B38=0,C38=0),"",C38-B38)</x:f>
        <x:v>-1826</x:v>
      </x:c>
      <x:c r="E38" s="717" t="n">
        <x:f>IFERROR(INDEX(EG_Wycena_strona!$C:$C,MATCH($A38,EG_Wycena_strona!$A:$A,0)),"")</x:f>
        <x:v>30807</x:v>
      </x:c>
      <x:c r="F38" s="717" t="n">
        <x:f>IFERROR(INDEX('04_Wycena_strona_nowa'!$C:$C,MATCH($A38,'04_Wycena_strona_nowa'!$A:$A,0)),"")</x:f>
        <x:v>27261</x:v>
      </x:c>
      <x:c r="G38" s="717" t="n">
        <x:f>IF(OR(E38="",F38="",E38=0,F38=0),"",F38-E38)</x:f>
        <x:v>-3546</x:v>
      </x:c>
      <x:c r="H38" s="717" t="n">
        <x:f>IFERROR(INDEX(EG_Wycena_strona!$D:$D,MATCH($A38,EG_Wycena_strona!$A:$A,0)),"")</x:f>
        <x:v>33916</x:v>
      </x:c>
      <x:c r="I38" s="717" t="n">
        <x:f>IFERROR(INDEX('04_Wycena_strona_nowa'!$D:$D,MATCH($A38,'04_Wycena_strona_nowa'!$A:$A,0)),"")</x:f>
        <x:v>30164</x:v>
      </x:c>
      <x:c r="J38" s="717" t="n">
        <x:f>IF(OR(H38="",I38="",H38=0,I38=0),"",I38-H38)</x:f>
        <x:v>-3752</x:v>
      </x:c>
      <x:c r="K38" s="717" t="n">
        <x:f>IFERROR(INDEX(EG_Wycena_strona!$E:$E,MATCH($A38,EG_Wycena_strona!$A:$A,0)),"")</x:f>
        <x:v>1174</x:v>
      </x:c>
      <x:c r="L38" s="717" t="n">
        <x:f>IFERROR(INDEX('04_Wycena_strona_nowa'!$E:$E,MATCH($A38,'04_Wycena_strona_nowa'!$A:$A,0)),"")</x:f>
        <x:v>1095</x:v>
      </x:c>
      <x:c r="M38" s="717" t="n">
        <x:f>IF(OR(K38="",L38="",K38=0,L38=0),"",L38-K38)</x:f>
        <x:v>-79</x:v>
      </x:c>
      <x:c r="N38" s="717" t="n">
        <x:f>IFERROR(INDEX(EG_Wycena_strona!$F:$F,MATCH($A38,EG_Wycena_strona!$A:$A,0)),"")</x:f>
        <x:v>16983</x:v>
      </x:c>
      <x:c r="O38" s="717" t="n">
        <x:f>IFERROR(INDEX('04_Wycena_strona_nowa'!$F:$F,MATCH($A38,'04_Wycena_strona_nowa'!$A:$A,0)),"")</x:f>
        <x:v>14895</x:v>
      </x:c>
      <x:c r="P38" s="717" t="n">
        <x:f>IF(OR(N38="",O38="",N38=0,O38=0),"",O38-N38)</x:f>
        <x:v>-2088</x:v>
      </x:c>
      <x:c r="Q38" s="717" t="n">
        <x:f>IFERROR(INDEX(EG_Wycena_strona!$G:$G,MATCH($A38,EG_Wycena_strona!$A:$A,0)),"")</x:f>
        <x:v>18538</x:v>
      </x:c>
      <x:c r="R38" s="717" t="n">
        <x:f>IFERROR(INDEX('04_Wycena_strona_nowa'!$G:$G,MATCH($A38,'04_Wycena_strona_nowa'!$A:$A,0)),"")</x:f>
        <x:v>16347</x:v>
      </x:c>
      <x:c r="S38" s="717" t="n">
        <x:f>IF(OR(Q38="",R38="",Q38=0,R38=0),"",R38-Q38)</x:f>
        <x:v>-2191</x:v>
      </x:c>
      <x:c r="T38" s="717" t="n">
        <x:f>IFERROR(INDEX(EG_Wycena_strona!$H:$H,MATCH($A38,EG_Wycena_strona!$A:$A,0)),"")</x:f>
        <x:v>4470</x:v>
      </x:c>
      <x:c r="U38" s="717" t="n">
        <x:f>IFERROR(INDEX('04_Wycena_strona_nowa'!$H:$H,MATCH($A38,'04_Wycena_strona_nowa'!$A:$A,0)),"")</x:f>
        <x:v>4023</x:v>
      </x:c>
      <x:c r="V38" s="717" t="n">
        <x:f>IF(OR(T38="",U38="",T38=0,U38=0),"",U38-T38)</x:f>
        <x:v>-447</x:v>
      </x:c>
      <x:c r="W38" s="717" t="n">
        <x:f>IFERROR(INDEX(EG_Wycena_strona!$I:$I,MATCH($A38,EG_Wycena_strona!$A:$A,0)),"")</x:f>
        <x:v>4470</x:v>
      </x:c>
      <x:c r="X38" s="717" t="n">
        <x:f>IFERROR(INDEX('04_Wycena_strona_nowa'!$I:$I,MATCH($A38,'04_Wycena_strona_nowa'!$A:$A,0)),"")</x:f>
        <x:v>4023</x:v>
      </x:c>
      <x:c r="Y38" s="717" t="n">
        <x:f>IF(OR(W38="",X38="",W38=0,X38=0),"",X38-W38)</x:f>
        <x:v>-447</x:v>
      </x:c>
      <x:c r="Z38" s="717" t="n">
        <x:f>IFERROR(INDEX(EG_Wycena_strona!$J:$J,MATCH($A38,EG_Wycena_strona!$A:$A,0)),"")</x:f>
        <x:v>9209</x:v>
      </x:c>
      <x:c r="AA38" s="717" t="n">
        <x:f>IFERROR(INDEX('04_Wycena_strona_nowa'!$J:$J,MATCH($A38,'04_Wycena_strona_nowa'!$A:$A,0)),"")</x:f>
        <x:v>8148</x:v>
      </x:c>
      <x:c r="AB38" s="717" t="n">
        <x:f>IF(OR(Z38="",AA38="",Z38=0,AA38=0),"",AA38-Z38)</x:f>
        <x:v>-1061</x:v>
      </x:c>
      <x:c r="AC38" s="717" t="n">
        <x:f>IFERROR(INDEX(EG_Wycena_strona!$K:$K,MATCH($A38,EG_Wycena_strona!$A:$A,0)),"")</x:f>
        <x:v>14346</x:v>
      </x:c>
      <x:c r="AD38" s="717" t="n">
        <x:f>IFERROR(INDEX('04_Wycena_strona_nowa'!$K:$K,MATCH($A38,'04_Wycena_strona_nowa'!$A:$A,0)),"")</x:f>
        <x:v>12846</x:v>
      </x:c>
      <x:c r="AE38" s="717" t="n">
        <x:f>IF(OR(AC38="",AD38="",AC38=0,AD38=0),"",AD38-AC38)</x:f>
        <x:v>-1500</x:v>
      </x:c>
      <x:c r="AF38" s="717" t="n">
        <x:f>IFERROR(ROUND(INDEX(EG_Cennik_uslug!$BS:$BS,MATCH($A38,EG_Cennik_uslug!$A:$A,0))*1.08,0),"")</x:f>
        <x:v>3282</x:v>
      </x:c>
      <x:c r="AG38" s="717" t="n">
        <x:f>IFERROR(INDEX('04_Wycena_strona_nowa'!$L:$L,MATCH($A38,'04_Wycena_strona_nowa'!$A:$A,0)),"")</x:f>
        <x:v>3381</x:v>
      </x:c>
      <x:c r="AH38" s="717" t="n">
        <x:f>IF(OR(AF38="",AG38="",AF38=0,AG38=0),"",AG38-AF38)</x:f>
        <x:v>99</x:v>
      </x:c>
      <x:c r="AI38" s="717" t="n">
        <x:f>IFERROR(ROUND(INDEX(EG_Cennik_uslug!$BZ:$BZ,MATCH($A38,EG_Cennik_uslug!$A:$A,0))*1.08,0),"")</x:f>
        <x:v>982</x:v>
      </x:c>
      <x:c r="AJ38" s="717" t="n">
        <x:f>IFERROR(INDEX('04_Wycena_strona_nowa'!$O:$O,MATCH($A38,'04_Wycena_strona_nowa'!$A:$A,0)),"")</x:f>
        <x:v>916</x:v>
      </x:c>
      <x:c r="AK38" s="717" t="n">
        <x:f>IF(OR(AI38="",AJ38="",AI38=0,AJ38=0),"",AJ38-AI38)</x:f>
        <x:v>-66</x:v>
      </x:c>
      <x:c r="AL38" s="717" t="n">
        <x:f>IFERROR(ROUND(INDEX(EG_Cennik_uslug!$CG:$CG,MATCH($A38,EG_Cennik_uslug!$A:$A,0))*1.08,0),"")</x:f>
        <x:v>887</x:v>
      </x:c>
      <x:c r="AM38" s="717" t="n">
        <x:f>IFERROR(INDEX('04_Wycena_strona_nowa'!$P:$P,MATCH($A38,'04_Wycena_strona_nowa'!$A:$A,0)),"")</x:f>
        <x:v>827</x:v>
      </x:c>
      <x:c r="AN38" s="717" t="n">
        <x:f>IF(OR(AL38="",AM38="",AL38=0,AM38=0),"",AM38-AL38)</x:f>
        <x:v>-60</x:v>
      </x:c>
      <x:c r="AO38" s="717" t="str">
        <x:f>""</x:f>
      </x:c>
      <x:c r="AP38" s="717" t="n">
        <x:f>IFERROR(INDEX('04_Wycena_strona_nowa'!$Q:$Q,MATCH($A38,'04_Wycena_strona_nowa'!$A:$A,0)),"")</x:f>
        <x:v>713</x:v>
      </x:c>
      <x:c r="AQ38" s="717" t="str">
        <x:f>IF(OR(AO38="",AP38="",AO38=0,AP38=0),"",AP38-AO38)</x:f>
      </x:c>
      <x:c r="AR38" s="717" t="n">
        <x:f>IFERROR(ROUND(INDEX(EG_Cennik_uslug!$CN:$CN,MATCH($A38,EG_Cennik_uslug!$A:$A,0))*1.08,0),"")</x:f>
        <x:v>4358</x:v>
      </x:c>
      <x:c r="AS38" s="717" t="n">
        <x:f>IFERROR(INDEX('04_Wycena_strona_nowa'!$M:$M,MATCH($A38,'04_Wycena_strona_nowa'!$A:$A,0)),"")</x:f>
        <x:v>1986</x:v>
      </x:c>
      <x:c r="AT38" s="717" t="n">
        <x:f>IF(OR(AR38="",AS38="",AR38=0,AS38=0),"",AS38-AR38)</x:f>
        <x:v>-2372</x:v>
      </x:c>
      <x:c r="AU38" s="717" t="n">
        <x:f>IFERROR(ROUND(INDEX(EG_Cennik_uslug!$CU:$CU,MATCH($A38,EG_Cennik_uslug!$A:$A,0))*1.08,0),"")</x:f>
        <x:v>4766</x:v>
      </x:c>
      <x:c r="AV38" s="717" t="n">
        <x:f>IFERROR(INDEX('04_Wycena_strona_nowa'!$R:$R,MATCH($A38,'04_Wycena_strona_nowa'!$A:$A,0)),"")</x:f>
        <x:v>4504</x:v>
      </x:c>
      <x:c r="AW38" s="717" t="n">
        <x:f>IF(OR(AU38="",AV38="",AU38=0,AV38=0),"",AV38-AU38)</x:f>
        <x:v>-262</x:v>
      </x:c>
      <x:c r="AX38" s="717" t="str">
        <x:f>""</x:f>
      </x:c>
      <x:c r="AY38" s="717" t="str">
        <x:f>IFERROR(INDEX('04_Wycena_strona_nowa'!$S:$S,MATCH($A38,'04_Wycena_strona_nowa'!$A:$A,0)),"")</x:f>
      </x:c>
      <x:c r="AZ38" s="717" t="str">
        <x:f>IF(OR(AX38="",AY38="",AX38=0,AY38=0),"",AY38-AX38)</x:f>
      </x:c>
      <x:c r="BA38" s="612" t="e">
        <x:f>_xludf.TEXTJOIN("; ",TRUE,IF(OR(LEFT($A38,3)="550",LEFT($A38,3)="600"),"550/600: EG brak benchmarku; opcje szklane/zerowe ukryte w porównaniu do czasu potwierdzenia",""),"LED CCT/RGB: porównanie orientacyjne do EG LED COB","Zabieraki: brak jednoznacznej pozycji EG")</x:f>
      </x:c>
    </x:row>
    <x:row r="39">
      <x:c r="A39" s="608" t="str">
        <x:f>'04_Wycena_strona_nowa'!A39</x:f>
        <x:v>450 x 1006 cm</x:v>
      </x:c>
      <x:c r="B39" s="717" t="n">
        <x:f>IFERROR(INDEX(EG_Wycena_strona!$B:$B,MATCH($A39,EG_Wycena_strona!$A:$A,0)),"")</x:f>
        <x:v>35843</x:v>
      </x:c>
      <x:c r="C39" s="717" t="n">
        <x:f>IFERROR(INDEX('04_Wycena_strona_nowa'!$B:$B,MATCH($A39,'04_Wycena_strona_nowa'!$A:$A,0)),"")</x:f>
        <x:v>33849</x:v>
      </x:c>
      <x:c r="D39" s="717" t="n">
        <x:f>IF(OR(B39="",C39="",B39=0,C39=0),"",C39-B39)</x:f>
        <x:v>-1994</x:v>
      </x:c>
      <x:c r="E39" s="717" t="n">
        <x:f>IFERROR(INDEX(EG_Wycena_strona!$C:$C,MATCH($A39,EG_Wycena_strona!$A:$A,0)),"")</x:f>
        <x:v>32561</x:v>
      </x:c>
      <x:c r="F39" s="717" t="n">
        <x:f>IFERROR(INDEX('04_Wycena_strona_nowa'!$C:$C,MATCH($A39,'04_Wycena_strona_nowa'!$A:$A,0)),"")</x:f>
        <x:v>28786</x:v>
      </x:c>
      <x:c r="G39" s="717" t="n">
        <x:f>IF(OR(E39="",F39="",E39=0,F39=0),"",F39-E39)</x:f>
        <x:v>-3775</x:v>
      </x:c>
      <x:c r="H39" s="717" t="n">
        <x:f>IFERROR(INDEX(EG_Wycena_strona!$D:$D,MATCH($A39,EG_Wycena_strona!$A:$A,0)),"")</x:f>
        <x:v>35832</x:v>
      </x:c>
      <x:c r="I39" s="717" t="n">
        <x:f>IFERROR(INDEX('04_Wycena_strona_nowa'!$D:$D,MATCH($A39,'04_Wycena_strona_nowa'!$A:$A,0)),"")</x:f>
        <x:v>31841</x:v>
      </x:c>
      <x:c r="J39" s="717" t="n">
        <x:f>IF(OR(H39="",I39="",H39=0,I39=0),"",I39-H39)</x:f>
        <x:v>-3991</x:v>
      </x:c>
      <x:c r="K39" s="717" t="n">
        <x:f>IFERROR(INDEX(EG_Wycena_strona!$E:$E,MATCH($A39,EG_Wycena_strona!$A:$A,0)),"")</x:f>
        <x:v>1310</x:v>
      </x:c>
      <x:c r="L39" s="717" t="n">
        <x:f>IFERROR(INDEX('04_Wycena_strona_nowa'!$E:$E,MATCH($A39,'04_Wycena_strona_nowa'!$A:$A,0)),"")</x:f>
        <x:v>1221</x:v>
      </x:c>
      <x:c r="M39" s="717" t="n">
        <x:f>IF(OR(K39="",L39="",K39=0,L39=0),"",L39-K39)</x:f>
        <x:v>-89</x:v>
      </x:c>
      <x:c r="N39" s="717" t="n">
        <x:f>IFERROR(INDEX(EG_Wycena_strona!$F:$F,MATCH($A39,EG_Wycena_strona!$A:$A,0)),"")</x:f>
        <x:v>18981</x:v>
      </x:c>
      <x:c r="O39" s="717" t="n">
        <x:f>IFERROR(INDEX('04_Wycena_strona_nowa'!$F:$F,MATCH($A39,'04_Wycena_strona_nowa'!$A:$A,0)),"")</x:f>
        <x:v>16665</x:v>
      </x:c>
      <x:c r="P39" s="717" t="n">
        <x:f>IF(OR(N39="",O39="",N39=0,O39=0),"",O39-N39)</x:f>
        <x:v>-2316</x:v>
      </x:c>
      <x:c r="Q39" s="717" t="n">
        <x:f>IFERROR(INDEX(EG_Wycena_strona!$G:$G,MATCH($A39,EG_Wycena_strona!$A:$A,0)),"")</x:f>
        <x:v>20699</x:v>
      </x:c>
      <x:c r="R39" s="717" t="n">
        <x:f>IFERROR(INDEX('04_Wycena_strona_nowa'!$G:$G,MATCH($A39,'04_Wycena_strona_nowa'!$A:$A,0)),"")</x:f>
        <x:v>18269</x:v>
      </x:c>
      <x:c r="S39" s="717" t="n">
        <x:f>IF(OR(Q39="",R39="",Q39=0,R39=0),"",R39-Q39)</x:f>
        <x:v>-2430</x:v>
      </x:c>
      <x:c r="T39" s="717" t="n">
        <x:f>IFERROR(INDEX(EG_Wycena_strona!$H:$H,MATCH($A39,EG_Wycena_strona!$A:$A,0)),"")</x:f>
        <x:v>4470</x:v>
      </x:c>
      <x:c r="U39" s="717" t="n">
        <x:f>IFERROR(INDEX('04_Wycena_strona_nowa'!$H:$H,MATCH($A39,'04_Wycena_strona_nowa'!$A:$A,0)),"")</x:f>
        <x:v>4023</x:v>
      </x:c>
      <x:c r="V39" s="717" t="n">
        <x:f>IF(OR(T39="",U39="",T39=0,U39=0),"",U39-T39)</x:f>
        <x:v>-447</x:v>
      </x:c>
      <x:c r="W39" s="717" t="n">
        <x:f>IFERROR(INDEX(EG_Wycena_strona!$I:$I,MATCH($A39,EG_Wycena_strona!$A:$A,0)),"")</x:f>
        <x:v>4470</x:v>
      </x:c>
      <x:c r="X39" s="717" t="n">
        <x:f>IFERROR(INDEX('04_Wycena_strona_nowa'!$I:$I,MATCH($A39,'04_Wycena_strona_nowa'!$A:$A,0)),"")</x:f>
        <x:v>4023</x:v>
      </x:c>
      <x:c r="Y39" s="717" t="n">
        <x:f>IF(OR(W39="",X39="",W39=0,X39=0),"",X39-W39)</x:f>
        <x:v>-447</x:v>
      </x:c>
      <x:c r="Z39" s="717" t="n">
        <x:f>IFERROR(INDEX(EG_Wycena_strona!$J:$J,MATCH($A39,EG_Wycena_strona!$A:$A,0)),"")</x:f>
        <x:v>9904</x:v>
      </x:c>
      <x:c r="AA39" s="717" t="n">
        <x:f>IFERROR(INDEX('04_Wycena_strona_nowa'!$J:$J,MATCH($A39,'04_Wycena_strona_nowa'!$A:$A,0)),"")</x:f>
        <x:v>8798</x:v>
      </x:c>
      <x:c r="AB39" s="717" t="n">
        <x:f>IF(OR(Z39="",AA39="",Z39=0,AA39=0),"",AA39-Z39)</x:f>
        <x:v>-1106</x:v>
      </x:c>
      <x:c r="AC39" s="717" t="n">
        <x:f>IFERROR(INDEX(EG_Wycena_strona!$K:$K,MATCH($A39,EG_Wycena_strona!$A:$A,0)),"")</x:f>
        <x:v>15407</x:v>
      </x:c>
      <x:c r="AD39" s="717" t="n">
        <x:f>IFERROR(INDEX('04_Wycena_strona_nowa'!$K:$K,MATCH($A39,'04_Wycena_strona_nowa'!$A:$A,0)),"")</x:f>
        <x:v>13788</x:v>
      </x:c>
      <x:c r="AE39" s="717" t="n">
        <x:f>IF(OR(AC39="",AD39="",AC39=0,AD39=0),"",AD39-AC39)</x:f>
        <x:v>-1619</x:v>
      </x:c>
      <x:c r="AF39" s="717" t="n">
        <x:f>IFERROR(ROUND(INDEX(EG_Cennik_uslug!$BS:$BS,MATCH($A39,EG_Cennik_uslug!$A:$A,0))*1.08,0),"")</x:f>
        <x:v>3524</x:v>
      </x:c>
      <x:c r="AG39" s="717" t="n">
        <x:f>IFERROR(INDEX('04_Wycena_strona_nowa'!$L:$L,MATCH($A39,'04_Wycena_strona_nowa'!$A:$A,0)),"")</x:f>
        <x:v>3631</x:v>
      </x:c>
      <x:c r="AH39" s="717" t="n">
        <x:f>IF(OR(AF39="",AG39="",AF39=0,AG39=0),"",AG39-AF39)</x:f>
        <x:v>107</x:v>
      </x:c>
      <x:c r="AI39" s="717" t="n">
        <x:f>IFERROR(ROUND(INDEX(EG_Cennik_uslug!$BZ:$BZ,MATCH($A39,EG_Cennik_uslug!$A:$A,0))*1.08,0),"")</x:f>
        <x:v>1037</x:v>
      </x:c>
      <x:c r="AJ39" s="717" t="n">
        <x:f>IFERROR(INDEX('04_Wycena_strona_nowa'!$O:$O,MATCH($A39,'04_Wycena_strona_nowa'!$A:$A,0)),"")</x:f>
        <x:v>968</x:v>
      </x:c>
      <x:c r="AK39" s="717" t="n">
        <x:f>IF(OR(AI39="",AJ39="",AI39=0,AJ39=0),"",AJ39-AI39)</x:f>
        <x:v>-69</x:v>
      </x:c>
      <x:c r="AL39" s="717" t="n">
        <x:f>IFERROR(ROUND(INDEX(EG_Cennik_uslug!$CG:$CG,MATCH($A39,EG_Cennik_uslug!$A:$A,0))*1.08,0),"")</x:f>
        <x:v>942</x:v>
      </x:c>
      <x:c r="AM39" s="717" t="n">
        <x:f>IFERROR(INDEX('04_Wycena_strona_nowa'!$P:$P,MATCH($A39,'04_Wycena_strona_nowa'!$A:$A,0)),"")</x:f>
        <x:v>878</x:v>
      </x:c>
      <x:c r="AN39" s="717" t="n">
        <x:f>IF(OR(AL39="",AM39="",AL39=0,AM39=0),"",AM39-AL39)</x:f>
        <x:v>-64</x:v>
      </x:c>
      <x:c r="AO39" s="717" t="str">
        <x:f>""</x:f>
      </x:c>
      <x:c r="AP39" s="717" t="n">
        <x:f>IFERROR(INDEX('04_Wycena_strona_nowa'!$Q:$Q,MATCH($A39,'04_Wycena_strona_nowa'!$A:$A,0)),"")</x:f>
        <x:v>765</x:v>
      </x:c>
      <x:c r="AQ39" s="717" t="str">
        <x:f>IF(OR(AO39="",AP39="",AO39=0,AP39=0),"",AP39-AO39)</x:f>
      </x:c>
      <x:c r="AR39" s="717" t="n">
        <x:f>IFERROR(ROUND(INDEX(EG_Cennik_uslug!$CN:$CN,MATCH($A39,EG_Cennik_uslug!$A:$A,0))*1.08,0),"")</x:f>
        <x:v>5000</x:v>
      </x:c>
      <x:c r="AS39" s="717" t="n">
        <x:f>IFERROR(INDEX('04_Wycena_strona_nowa'!$M:$M,MATCH($A39,'04_Wycena_strona_nowa'!$A:$A,0)),"")</x:f>
        <x:v>2100</x:v>
      </x:c>
      <x:c r="AT39" s="717" t="n">
        <x:f>IF(OR(AR39="",AS39="",AR39=0,AS39=0),"",AS39-AR39)</x:f>
        <x:v>-2900</x:v>
      </x:c>
      <x:c r="AU39" s="717" t="n">
        <x:f>IFERROR(ROUND(INDEX(EG_Cennik_uslug!$CU:$CU,MATCH($A39,EG_Cennik_uslug!$A:$A,0))*1.08,0),"")</x:f>
        <x:v>5127</x:v>
      </x:c>
      <x:c r="AV39" s="717" t="n">
        <x:f>IFERROR(INDEX('04_Wycena_strona_nowa'!$R:$R,MATCH($A39,'04_Wycena_strona_nowa'!$A:$A,0)),"")</x:f>
        <x:v>4701</x:v>
      </x:c>
      <x:c r="AW39" s="717" t="n">
        <x:f>IF(OR(AU39="",AV39="",AU39=0,AV39=0),"",AV39-AU39)</x:f>
        <x:v>-426</x:v>
      </x:c>
      <x:c r="AX39" s="717" t="str">
        <x:f>""</x:f>
      </x:c>
      <x:c r="AY39" s="717" t="str">
        <x:f>IFERROR(INDEX('04_Wycena_strona_nowa'!$S:$S,MATCH($A39,'04_Wycena_strona_nowa'!$A:$A,0)),"")</x:f>
      </x:c>
      <x:c r="AZ39" s="717" t="str">
        <x:f>IF(OR(AX39="",AY39="",AX39=0,AY39=0),"",AY39-AX39)</x:f>
      </x:c>
      <x:c r="BA39" s="612" t="e">
        <x:f>_xludf.TEXTJOIN("; ",TRUE,IF(OR(LEFT($A39,3)="550",LEFT($A39,3)="600"),"550/600: EG brak benchmarku; opcje szklane/zerowe ukryte w porównaniu do czasu potwierdzenia",""),"LED CCT/RGB: porównanie orientacyjne do EG LED COB","Zabieraki: brak jednoznacznej pozycji EG")</x:f>
      </x:c>
    </x:row>
    <x:row r="40">
      <x:c r="A40" s="608" t="str">
        <x:f>'04_Wycena_strona_nowa'!A40</x:f>
        <x:v>450 x 1106 cm</x:v>
      </x:c>
      <x:c r="B40" s="717" t="n">
        <x:f>IFERROR(INDEX(EG_Wycena_strona!$B:$B,MATCH($A40,EG_Wycena_strona!$A:$A,0)),"")</x:f>
        <x:v>39869</x:v>
      </x:c>
      <x:c r="C40" s="717" t="n">
        <x:f>IFERROR(INDEX('04_Wycena_strona_nowa'!$B:$B,MATCH($A40,'04_Wycena_strona_nowa'!$A:$A,0)),"")</x:f>
        <x:v>37628</x:v>
      </x:c>
      <x:c r="D40" s="717" t="n">
        <x:f>IF(OR(B40="",C40="",B40=0,C40=0),"",C40-B40)</x:f>
        <x:v>-2241</x:v>
      </x:c>
      <x:c r="E40" s="717" t="n">
        <x:f>IFERROR(INDEX(EG_Wycena_strona!$C:$C,MATCH($A40,EG_Wycena_strona!$A:$A,0)),"")</x:f>
        <x:v>34390</x:v>
      </x:c>
      <x:c r="F40" s="717" t="n">
        <x:f>IFERROR(INDEX('04_Wycena_strona_nowa'!$C:$C,MATCH($A40,'04_Wycena_strona_nowa'!$A:$A,0)),"")</x:f>
        <x:v>30348</x:v>
      </x:c>
      <x:c r="G40" s="717" t="n">
        <x:f>IF(OR(E40="",F40="",E40=0,F40=0),"",F40-E40)</x:f>
        <x:v>-4042</x:v>
      </x:c>
      <x:c r="H40" s="717" t="n">
        <x:f>IFERROR(INDEX(EG_Wycena_strona!$D:$D,MATCH($A40,EG_Wycena_strona!$A:$A,0)),"")</x:f>
        <x:v>37825</x:v>
      </x:c>
      <x:c r="I40" s="717" t="n">
        <x:f>IFERROR(INDEX('04_Wycena_strona_nowa'!$D:$D,MATCH($A40,'04_Wycena_strona_nowa'!$A:$A,0)),"")</x:f>
        <x:v>33557</x:v>
      </x:c>
      <x:c r="J40" s="717" t="n">
        <x:f>IF(OR(H40="",I40="",H40=0,I40=0),"",I40-H40)</x:f>
        <x:v>-4268</x:v>
      </x:c>
      <x:c r="K40" s="717" t="n">
        <x:f>IFERROR(INDEX(EG_Wycena_strona!$E:$E,MATCH($A40,EG_Wycena_strona!$A:$A,0)),"")</x:f>
        <x:v>1445</x:v>
      </x:c>
      <x:c r="L40" s="717" t="n">
        <x:f>IFERROR(INDEX('04_Wycena_strona_nowa'!$E:$E,MATCH($A40,'04_Wycena_strona_nowa'!$A:$A,0)),"")</x:f>
        <x:v>1350</x:v>
      </x:c>
      <x:c r="M40" s="717" t="n">
        <x:f>IF(OR(K40="",L40="",K40=0,L40=0),"",L40-K40)</x:f>
        <x:v>-95</x:v>
      </x:c>
      <x:c r="N40" s="717" t="n">
        <x:f>IFERROR(INDEX(EG_Wycena_strona!$F:$F,MATCH($A40,EG_Wycena_strona!$A:$A,0)),"")</x:f>
        <x:v>20977</x:v>
      </x:c>
      <x:c r="O40" s="717" t="n">
        <x:f>IFERROR(INDEX('04_Wycena_strona_nowa'!$F:$F,MATCH($A40,'04_Wycena_strona_nowa'!$A:$A,0)),"")</x:f>
        <x:v>18449</x:v>
      </x:c>
      <x:c r="P40" s="717" t="n">
        <x:f>IF(OR(N40="",O40="",N40=0,O40=0),"",O40-N40)</x:f>
        <x:v>-2528</x:v>
      </x:c>
      <x:c r="Q40" s="717" t="n">
        <x:f>IFERROR(INDEX(EG_Wycena_strona!$G:$G,MATCH($A40,EG_Wycena_strona!$A:$A,0)),"")</x:f>
        <x:v>22859</x:v>
      </x:c>
      <x:c r="R40" s="717" t="n">
        <x:f>IFERROR(INDEX('04_Wycena_strona_nowa'!$G:$G,MATCH($A40,'04_Wycena_strona_nowa'!$A:$A,0)),"")</x:f>
        <x:v>20206</x:v>
      </x:c>
      <x:c r="S40" s="717" t="n">
        <x:f>IF(OR(Q40="",R40="",Q40=0,R40=0),"",R40-Q40)</x:f>
        <x:v>-2653</x:v>
      </x:c>
      <x:c r="T40" s="717" t="n">
        <x:f>IFERROR(INDEX(EG_Wycena_strona!$H:$H,MATCH($A40,EG_Wycena_strona!$A:$A,0)),"")</x:f>
        <x:v>4470</x:v>
      </x:c>
      <x:c r="U40" s="717" t="n">
        <x:f>IFERROR(INDEX('04_Wycena_strona_nowa'!$H:$H,MATCH($A40,'04_Wycena_strona_nowa'!$A:$A,0)),"")</x:f>
        <x:v>4023</x:v>
      </x:c>
      <x:c r="V40" s="717" t="n">
        <x:f>IF(OR(T40="",U40="",T40=0,U40=0),"",U40-T40)</x:f>
        <x:v>-447</x:v>
      </x:c>
      <x:c r="W40" s="717" t="n">
        <x:f>IFERROR(INDEX(EG_Wycena_strona!$I:$I,MATCH($A40,EG_Wycena_strona!$A:$A,0)),"")</x:f>
        <x:v>4470</x:v>
      </x:c>
      <x:c r="X40" s="717" t="n">
        <x:f>IFERROR(INDEX('04_Wycena_strona_nowa'!$I:$I,MATCH($A40,'04_Wycena_strona_nowa'!$A:$A,0)),"")</x:f>
        <x:v>4023</x:v>
      </x:c>
      <x:c r="Y40" s="717" t="n">
        <x:f>IF(OR(W40="",X40="",W40=0,X40=0),"",X40-W40)</x:f>
        <x:v>-447</x:v>
      </x:c>
      <x:c r="Z40" s="717" t="n">
        <x:f>IFERROR(INDEX(EG_Wycena_strona!$J:$J,MATCH($A40,EG_Wycena_strona!$A:$A,0)),"")</x:f>
        <x:v>10599</x:v>
      </x:c>
      <x:c r="AA40" s="717" t="n">
        <x:f>IFERROR(INDEX('04_Wycena_strona_nowa'!$J:$J,MATCH($A40,'04_Wycena_strona_nowa'!$A:$A,0)),"")</x:f>
        <x:v>9448</x:v>
      </x:c>
      <x:c r="AB40" s="717" t="n">
        <x:f>IF(OR(Z40="",AA40="",Z40=0,AA40=0),"",AA40-Z40)</x:f>
        <x:v>-1151</x:v>
      </x:c>
      <x:c r="AC40" s="717" t="n">
        <x:f>IFERROR(INDEX(EG_Wycena_strona!$K:$K,MATCH($A40,EG_Wycena_strona!$A:$A,0)),"")</x:f>
        <x:v>18992</x:v>
      </x:c>
      <x:c r="AD40" s="717" t="n">
        <x:f>IFERROR(INDEX('04_Wycena_strona_nowa'!$K:$K,MATCH($A40,'04_Wycena_strona_nowa'!$A:$A,0)),"")</x:f>
        <x:v>17087</x:v>
      </x:c>
      <x:c r="AE40" s="717" t="n">
        <x:f>IF(OR(AC40="",AD40="",AC40=0,AD40=0),"",AD40-AC40)</x:f>
        <x:v>-1905</x:v>
      </x:c>
      <x:c r="AF40" s="717" t="n">
        <x:f>IFERROR(ROUND(INDEX(EG_Cennik_uslug!$BS:$BS,MATCH($A40,EG_Cennik_uslug!$A:$A,0))*1.08,0),"")</x:f>
        <x:v>4068</x:v>
      </x:c>
      <x:c r="AG40" s="717" t="n">
        <x:f>IFERROR(INDEX('04_Wycena_strona_nowa'!$L:$L,MATCH($A40,'04_Wycena_strona_nowa'!$A:$A,0)),"")</x:f>
        <x:v>4191</x:v>
      </x:c>
      <x:c r="AH40" s="717" t="n">
        <x:f>IF(OR(AF40="",AG40="",AF40=0,AG40=0),"",AG40-AF40)</x:f>
        <x:v>123</x:v>
      </x:c>
      <x:c r="AI40" s="717" t="n">
        <x:f>IFERROR(ROUND(INDEX(EG_Cennik_uslug!$BZ:$BZ,MATCH($A40,EG_Cennik_uslug!$A:$A,0))*1.08,0),"")</x:f>
        <x:v>1091</x:v>
      </x:c>
      <x:c r="AJ40" s="717" t="n">
        <x:f>IFERROR(INDEX('04_Wycena_strona_nowa'!$O:$O,MATCH($A40,'04_Wycena_strona_nowa'!$A:$A,0)),"")</x:f>
        <x:v>1018</x:v>
      </x:c>
      <x:c r="AK40" s="717" t="n">
        <x:f>IF(OR(AI40="",AJ40="",AI40=0,AJ40=0),"",AJ40-AI40)</x:f>
        <x:v>-73</x:v>
      </x:c>
      <x:c r="AL40" s="717" t="n">
        <x:f>IFERROR(ROUND(INDEX(EG_Cennik_uslug!$CG:$CG,MATCH($A40,EG_Cennik_uslug!$A:$A,0))*1.08,0),"")</x:f>
        <x:v>982</x:v>
      </x:c>
      <x:c r="AM40" s="717" t="n">
        <x:f>IFERROR(INDEX('04_Wycena_strona_nowa'!$P:$P,MATCH($A40,'04_Wycena_strona_nowa'!$A:$A,0)),"")</x:f>
        <x:v>916</x:v>
      </x:c>
      <x:c r="AN40" s="717" t="n">
        <x:f>IF(OR(AL40="",AM40="",AL40=0,AM40=0),"",AM40-AL40)</x:f>
        <x:v>-66</x:v>
      </x:c>
      <x:c r="AO40" s="717" t="str">
        <x:f>""</x:f>
      </x:c>
      <x:c r="AP40" s="717" t="n">
        <x:f>IFERROR(INDEX('04_Wycena_strona_nowa'!$Q:$Q,MATCH($A40,'04_Wycena_strona_nowa'!$A:$A,0)),"")</x:f>
        <x:v>814</x:v>
      </x:c>
      <x:c r="AQ40" s="717" t="str">
        <x:f>IF(OR(AO40="",AP40="",AO40=0,AP40=0),"",AP40-AO40)</x:f>
      </x:c>
      <x:c r="AR40" s="717" t="n">
        <x:f>IFERROR(ROUND(INDEX(EG_Cennik_uslug!$CN:$CN,MATCH($A40,EG_Cennik_uslug!$A:$A,0))*1.08,0),"")</x:f>
        <x:v>5562</x:v>
      </x:c>
      <x:c r="AS40" s="717" t="n">
        <x:f>IFERROR(INDEX('04_Wycena_strona_nowa'!$M:$M,MATCH($A40,'04_Wycena_strona_nowa'!$A:$A,0)),"")</x:f>
        <x:v>2254</x:v>
      </x:c>
      <x:c r="AT40" s="717" t="n">
        <x:f>IF(OR(AR40="",AS40="",AR40=0,AS40=0),"",AS40-AR40)</x:f>
        <x:v>-3308</x:v>
      </x:c>
      <x:c r="AU40" s="717" t="n">
        <x:f>IFERROR(ROUND(INDEX(EG_Cennik_uslug!$CU:$CU,MATCH($A40,EG_Cennik_uslug!$A:$A,0))*1.08,0),"")</x:f>
        <x:v>6071</x:v>
      </x:c>
      <x:c r="AV40" s="717" t="n">
        <x:f>IFERROR(INDEX('04_Wycena_strona_nowa'!$R:$R,MATCH($A40,'04_Wycena_strona_nowa'!$A:$A,0)),"")</x:f>
        <x:v>5028</x:v>
      </x:c>
      <x:c r="AW40" s="717" t="n">
        <x:f>IF(OR(AU40="",AV40="",AU40=0,AV40=0),"",AV40-AU40)</x:f>
        <x:v>-1043</x:v>
      </x:c>
      <x:c r="AX40" s="717" t="str">
        <x:f>""</x:f>
      </x:c>
      <x:c r="AY40" s="717" t="str">
        <x:f>IFERROR(INDEX('04_Wycena_strona_nowa'!$S:$S,MATCH($A40,'04_Wycena_strona_nowa'!$A:$A,0)),"")</x:f>
      </x:c>
      <x:c r="AZ40" s="717" t="str">
        <x:f>IF(OR(AX40="",AY40="",AX40=0,AY40=0),"",AY40-AX40)</x:f>
      </x:c>
      <x:c r="BA40" s="612" t="e">
        <x:f>_xludf.TEXTJOIN("; ",TRUE,IF(OR(LEFT($A40,3)="550",LEFT($A40,3)="600"),"550/600: EG brak benchmarku; opcje szklane/zerowe ukryte w porównaniu do czasu potwierdzenia",""),"LED CCT/RGB: porównanie orientacyjne do EG LED COB","Zabieraki: brak jednoznacznej pozycji EG")</x:f>
      </x:c>
    </x:row>
    <x:row r="41">
      <x:c r="A41" s="608" t="str">
        <x:f>'04_Wycena_strona_nowa'!A41</x:f>
        <x:v>450 x 1206 cm</x:v>
      </x:c>
      <x:c r="B41" s="717" t="n">
        <x:f>IFERROR(INDEX(EG_Wycena_strona!$B:$B,MATCH($A41,EG_Wycena_strona!$A:$A,0)),"")</x:f>
        <x:v>42710</x:v>
      </x:c>
      <x:c r="C41" s="717" t="n">
        <x:f>IFERROR(INDEX('04_Wycena_strona_nowa'!$B:$B,MATCH($A41,'04_Wycena_strona_nowa'!$A:$A,0)),"")</x:f>
        <x:v>40302</x:v>
      </x:c>
      <x:c r="D41" s="717" t="n">
        <x:f>IF(OR(B41="",C41="",B41=0,C41=0),"",C41-B41)</x:f>
        <x:v>-2408</x:v>
      </x:c>
      <x:c r="E41" s="717" t="n">
        <x:f>IFERROR(INDEX(EG_Wycena_strona!$C:$C,MATCH($A41,EG_Wycena_strona!$A:$A,0)),"")</x:f>
        <x:v>36235</x:v>
      </x:c>
      <x:c r="F41" s="717" t="n">
        <x:f>IFERROR(INDEX('04_Wycena_strona_nowa'!$C:$C,MATCH($A41,'04_Wycena_strona_nowa'!$A:$A,0)),"")</x:f>
        <x:v>31957</x:v>
      </x:c>
      <x:c r="G41" s="717" t="n">
        <x:f>IF(OR(E41="",F41="",E41=0,F41=0),"",F41-E41)</x:f>
        <x:v>-4278</x:v>
      </x:c>
      <x:c r="H41" s="717" t="n">
        <x:f>IFERROR(INDEX(EG_Wycena_strona!$D:$D,MATCH($A41,EG_Wycena_strona!$A:$A,0)),"")</x:f>
        <x:v>39834</x:v>
      </x:c>
      <x:c r="I41" s="717" t="n">
        <x:f>IFERROR(INDEX('04_Wycena_strona_nowa'!$D:$D,MATCH($A41,'04_Wycena_strona_nowa'!$A:$A,0)),"")</x:f>
        <x:v>35318</x:v>
      </x:c>
      <x:c r="J41" s="717" t="n">
        <x:f>IF(OR(H41="",I41="",H41=0,I41=0),"",I41-H41)</x:f>
        <x:v>-4516</x:v>
      </x:c>
      <x:c r="K41" s="717" t="n">
        <x:f>IFERROR(INDEX(EG_Wycena_strona!$E:$E,MATCH($A41,EG_Wycena_strona!$A:$A,0)),"")</x:f>
        <x:v>1568</x:v>
      </x:c>
      <x:c r="L41" s="717" t="n">
        <x:f>IFERROR(INDEX('04_Wycena_strona_nowa'!$E:$E,MATCH($A41,'04_Wycena_strona_nowa'!$A:$A,0)),"")</x:f>
        <x:v>1464</x:v>
      </x:c>
      <x:c r="M41" s="717" t="n">
        <x:f>IF(OR(K41="",L41="",K41=0,L41=0),"",L41-K41)</x:f>
        <x:v>-104</x:v>
      </x:c>
      <x:c r="N41" s="717" t="n">
        <x:f>IFERROR(INDEX(EG_Wycena_strona!$F:$F,MATCH($A41,EG_Wycena_strona!$A:$A,0)),"")</x:f>
        <x:v>20153</x:v>
      </x:c>
      <x:c r="O41" s="717" t="n">
        <x:f>IFERROR(INDEX('04_Wycena_strona_nowa'!$F:$F,MATCH($A41,'04_Wycena_strona_nowa'!$A:$A,0)),"")</x:f>
        <x:v>20205</x:v>
      </x:c>
      <x:c r="P41" s="717" t="n">
        <x:f>IF(OR(N41="",O41="",N41=0,O41=0),"",O41-N41)</x:f>
        <x:v>52</x:v>
      </x:c>
      <x:c r="Q41" s="717" t="n">
        <x:f>IFERROR(INDEX(EG_Wycena_strona!$G:$G,MATCH($A41,EG_Wycena_strona!$A:$A,0)),"")</x:f>
        <x:v>22211</x:v>
      </x:c>
      <x:c r="R41" s="717" t="n">
        <x:f>IFERROR(INDEX('04_Wycena_strona_nowa'!$G:$G,MATCH($A41,'04_Wycena_strona_nowa'!$A:$A,0)),"")</x:f>
        <x:v>22128</x:v>
      </x:c>
      <x:c r="S41" s="717" t="n">
        <x:f>IF(OR(Q41="",R41="",Q41=0,R41=0),"",R41-Q41)</x:f>
        <x:v>-83</x:v>
      </x:c>
      <x:c r="T41" s="717" t="n">
        <x:f>IFERROR(INDEX(EG_Wycena_strona!$H:$H,MATCH($A41,EG_Wycena_strona!$A:$A,0)),"")</x:f>
        <x:v>4470</x:v>
      </x:c>
      <x:c r="U41" s="717" t="n">
        <x:f>IFERROR(INDEX('04_Wycena_strona_nowa'!$H:$H,MATCH($A41,'04_Wycena_strona_nowa'!$A:$A,0)),"")</x:f>
        <x:v>4023</x:v>
      </x:c>
      <x:c r="V41" s="717" t="n">
        <x:f>IF(OR(T41="",U41="",T41=0,U41=0),"",U41-T41)</x:f>
        <x:v>-447</x:v>
      </x:c>
      <x:c r="W41" s="717" t="n">
        <x:f>IFERROR(INDEX(EG_Wycena_strona!$I:$I,MATCH($A41,EG_Wycena_strona!$A:$A,0)),"")</x:f>
        <x:v>4470</x:v>
      </x:c>
      <x:c r="X41" s="717" t="n">
        <x:f>IFERROR(INDEX('04_Wycena_strona_nowa'!$I:$I,MATCH($A41,'04_Wycena_strona_nowa'!$A:$A,0)),"")</x:f>
        <x:v>4023</x:v>
      </x:c>
      <x:c r="Y41" s="717" t="n">
        <x:f>IF(OR(W41="",X41="",W41=0,X41=0),"",X41-W41)</x:f>
        <x:v>-447</x:v>
      </x:c>
      <x:c r="Z41" s="717" t="n">
        <x:f>IFERROR(INDEX(EG_Wycena_strona!$J:$J,MATCH($A41,EG_Wycena_strona!$A:$A,0)),"")</x:f>
        <x:v>11280</x:v>
      </x:c>
      <x:c r="AA41" s="717" t="n">
        <x:f>IFERROR(INDEX('04_Wycena_strona_nowa'!$J:$J,MATCH($A41,'04_Wycena_strona_nowa'!$A:$A,0)),"")</x:f>
        <x:v>10084</x:v>
      </x:c>
      <x:c r="AB41" s="717" t="n">
        <x:f>IF(OR(Z41="",AA41="",Z41=0,AA41=0),"",AA41-Z41)</x:f>
        <x:v>-1196</x:v>
      </x:c>
      <x:c r="AC41" s="717" t="n">
        <x:f>IFERROR(INDEX(EG_Wycena_strona!$K:$K,MATCH($A41,EG_Wycena_strona!$A:$A,0)),"")</x:f>
        <x:v>19849</x:v>
      </x:c>
      <x:c r="AD41" s="717" t="n">
        <x:f>IFERROR(INDEX('04_Wycena_strona_nowa'!$K:$K,MATCH($A41,'04_Wycena_strona_nowa'!$A:$A,0)),"")</x:f>
        <x:v>17837</x:v>
      </x:c>
      <x:c r="AE41" s="717" t="n">
        <x:f>IF(OR(AC41="",AD41="",AC41=0,AD41=0),"",AD41-AC41)</x:f>
        <x:v>-2012</x:v>
      </x:c>
      <x:c r="AF41" s="717" t="n">
        <x:f>IFERROR(ROUND(INDEX(EG_Cennik_uslug!$BS:$BS,MATCH($A41,EG_Cennik_uslug!$A:$A,0))*1.08,0),"")</x:f>
        <x:v>4609</x:v>
      </x:c>
      <x:c r="AG41" s="717" t="n">
        <x:f>IFERROR(INDEX('04_Wycena_strona_nowa'!$L:$L,MATCH($A41,'04_Wycena_strona_nowa'!$A:$A,0)),"")</x:f>
        <x:v>4752</x:v>
      </x:c>
      <x:c r="AH41" s="717" t="n">
        <x:f>IF(OR(AF41="",AG41="",AF41=0,AG41=0),"",AG41-AF41)</x:f>
        <x:v>143</x:v>
      </x:c>
      <x:c r="AI41" s="717" t="n">
        <x:f>IFERROR(ROUND(INDEX(EG_Cennik_uslug!$BZ:$BZ,MATCH($A41,EG_Cennik_uslug!$A:$A,0))*1.08,0),"")</x:f>
        <x:v>1146</x:v>
      </x:c>
      <x:c r="AJ41" s="717" t="n">
        <x:f>IFERROR(INDEX('04_Wycena_strona_nowa'!$O:$O,MATCH($A41,'04_Wycena_strona_nowa'!$A:$A,0)),"")</x:f>
        <x:v>1069</x:v>
      </x:c>
      <x:c r="AK41" s="717" t="n">
        <x:f>IF(OR(AI41="",AJ41="",AI41=0,AJ41=0),"",AJ41-AI41)</x:f>
        <x:v>-77</x:v>
      </x:c>
      <x:c r="AL41" s="717" t="n">
        <x:f>IFERROR(ROUND(INDEX(EG_Cennik_uslug!$CG:$CG,MATCH($A41,EG_Cennik_uslug!$A:$A,0))*1.08,0),"")</x:f>
        <x:v>1037</x:v>
      </x:c>
      <x:c r="AM41" s="717" t="n">
        <x:f>IFERROR(INDEX('04_Wycena_strona_nowa'!$P:$P,MATCH($A41,'04_Wycena_strona_nowa'!$A:$A,0)),"")</x:f>
        <x:v>968</x:v>
      </x:c>
      <x:c r="AN41" s="717" t="n">
        <x:f>IF(OR(AL41="",AM41="",AL41=0,AM41=0),"",AM41-AL41)</x:f>
        <x:v>-69</x:v>
      </x:c>
      <x:c r="AO41" s="717" t="str">
        <x:f>""</x:f>
      </x:c>
      <x:c r="AP41" s="717" t="n">
        <x:f>IFERROR(INDEX('04_Wycena_strona_nowa'!$Q:$Q,MATCH($A41,'04_Wycena_strona_nowa'!$A:$A,0)),"")</x:f>
        <x:v>866</x:v>
      </x:c>
      <x:c r="AQ41" s="717" t="str">
        <x:f>IF(OR(AO41="",AP41="",AO41=0,AP41=0),"",AP41-AO41)</x:f>
      </x:c>
      <x:c r="AR41" s="717" t="n">
        <x:f>IFERROR(ROUND(INDEX(EG_Cennik_uslug!$CN:$CN,MATCH($A41,EG_Cennik_uslug!$A:$A,0))*1.08,0),"")</x:f>
        <x:v>5972</x:v>
      </x:c>
      <x:c r="AS41" s="717" t="n">
        <x:f>IFERROR(INDEX('04_Wycena_strona_nowa'!$M:$M,MATCH($A41,'04_Wycena_strona_nowa'!$A:$A,0)),"")</x:f>
        <x:v>2419</x:v>
      </x:c>
      <x:c r="AT41" s="717" t="n">
        <x:f>IF(OR(AR41="",AS41="",AR41=0,AS41=0),"",AS41-AR41)</x:f>
        <x:v>-3553</x:v>
      </x:c>
      <x:c r="AU41" s="717" t="n">
        <x:f>IFERROR(ROUND(INDEX(EG_Cennik_uslug!$CU:$CU,MATCH($A41,EG_Cennik_uslug!$A:$A,0))*1.08,0),"")</x:f>
        <x:v>6432</x:v>
      </x:c>
      <x:c r="AV41" s="717" t="n">
        <x:f>IFERROR(INDEX('04_Wycena_strona_nowa'!$R:$R,MATCH($A41,'04_Wycena_strona_nowa'!$A:$A,0)),"")</x:f>
        <x:v>5342</x:v>
      </x:c>
      <x:c r="AW41" s="717" t="n">
        <x:f>IF(OR(AU41="",AV41="",AU41=0,AV41=0),"",AV41-AU41)</x:f>
        <x:v>-1090</x:v>
      </x:c>
      <x:c r="AX41" s="717" t="str">
        <x:f>""</x:f>
      </x:c>
      <x:c r="AY41" s="717" t="str">
        <x:f>IFERROR(INDEX('04_Wycena_strona_nowa'!$S:$S,MATCH($A41,'04_Wycena_strona_nowa'!$A:$A,0)),"")</x:f>
      </x:c>
      <x:c r="AZ41" s="717" t="str">
        <x:f>IF(OR(AX41="",AY41="",AX41=0,AY41=0),"",AY41-AX41)</x:f>
      </x:c>
      <x:c r="BA41" s="612" t="e">
        <x:f>_xludf.TEXTJOIN("; ",TRUE,IF(OR(LEFT($A41,3)="550",LEFT($A41,3)="600"),"550/600: EG brak benchmarku; opcje szklane/zerowe ukryte w porównaniu do czasu potwierdzenia",""),"LED CCT/RGB: porównanie orientacyjne do EG LED COB","Zabieraki: brak jednoznacznej pozycji EG")</x:f>
      </x:c>
    </x:row>
    <x:row r="42">
      <x:c r="A42" s="608" t="str">
        <x:f>'04_Wycena_strona_nowa'!A42</x:f>
        <x:v>500 x 306 cm</x:v>
      </x:c>
      <x:c r="B42" s="717" t="n">
        <x:f>IFERROR(INDEX(EG_Wycena_strona!$B:$B,MATCH($A42,EG_Wycena_strona!$A:$A,0)),"")</x:f>
        <x:v>14053</x:v>
      </x:c>
      <x:c r="C42" s="717" t="n">
        <x:f>IFERROR(INDEX('04_Wycena_strona_nowa'!$B:$B,MATCH($A42,'04_Wycena_strona_nowa'!$A:$A,0)),"")</x:f>
        <x:v>13364</x:v>
      </x:c>
      <x:c r="D42" s="717" t="n">
        <x:f>IF(OR(B42="",C42="",B42=0,C42=0),"",C42-B42)</x:f>
        <x:v>-689</x:v>
      </x:c>
      <x:c r="E42" s="717" t="n">
        <x:f>IFERROR(INDEX(EG_Wycena_strona!$C:$C,MATCH($A42,EG_Wycena_strona!$A:$A,0)),"")</x:f>
        <x:v>22725</x:v>
      </x:c>
      <x:c r="F42" s="717" t="n">
        <x:f>IFERROR(INDEX('04_Wycena_strona_nowa'!$C:$C,MATCH($A42,'04_Wycena_strona_nowa'!$A:$A,0)),"")</x:f>
        <x:v>20382</x:v>
      </x:c>
      <x:c r="G42" s="717" t="n">
        <x:f>IF(OR(E42="",F42="",E42=0,F42=0),"",F42-E42)</x:f>
        <x:v>-2343</x:v>
      </x:c>
      <x:c r="H42" s="717" t="n">
        <x:f>IFERROR(INDEX(EG_Wycena_strona!$D:$D,MATCH($A42,EG_Wycena_strona!$A:$A,0)),"")</x:f>
        <x:v>24853</x:v>
      </x:c>
      <x:c r="I42" s="717" t="n">
        <x:f>IFERROR(INDEX('04_Wycena_strona_nowa'!$D:$D,MATCH($A42,'04_Wycena_strona_nowa'!$A:$A,0)),"")</x:f>
        <x:v>22368</x:v>
      </x:c>
      <x:c r="J42" s="717" t="n">
        <x:f>IF(OR(H42="",I42="",H42=0,I42=0),"",I42-H42)</x:f>
        <x:v>-2485</x:v>
      </x:c>
      <x:c r="K42" s="717" t="n">
        <x:f>IFERROR(INDEX(EG_Wycena_strona!$E:$E,MATCH($A42,EG_Wycena_strona!$A:$A,0)),"")</x:f>
        <x:v>423</x:v>
      </x:c>
      <x:c r="L42" s="717" t="n">
        <x:f>IFERROR(INDEX('04_Wycena_strona_nowa'!$E:$E,MATCH($A42,'04_Wycena_strona_nowa'!$A:$A,0)),"")</x:f>
        <x:v>394</x:v>
      </x:c>
      <x:c r="M42" s="717" t="n">
        <x:f>IF(OR(K42="",L42="",K42=0,L42=0),"",L42-K42)</x:f>
        <x:v>-29</x:v>
      </x:c>
      <x:c r="N42" s="717" t="n">
        <x:f>IFERROR(INDEX(EG_Wycena_strona!$F:$F,MATCH($A42,EG_Wycena_strona!$A:$A,0)),"")</x:f>
        <x:v>5606</x:v>
      </x:c>
      <x:c r="O42" s="717" t="n">
        <x:f>IFERROR(INDEX('04_Wycena_strona_nowa'!$F:$F,MATCH($A42,'04_Wycena_strona_nowa'!$A:$A,0)),"")</x:f>
        <x:v>4775</x:v>
      </x:c>
      <x:c r="P42" s="717" t="n">
        <x:f>IF(OR(N42="",O42="",N42=0,O42=0),"",O42-N42)</x:f>
        <x:v>-831</x:v>
      </x:c>
      <x:c r="Q42" s="717" t="n">
        <x:f>IFERROR(INDEX(EG_Wycena_strona!$G:$G,MATCH($A42,EG_Wycena_strona!$A:$A,0)),"")</x:f>
        <x:v>6181</x:v>
      </x:c>
      <x:c r="R42" s="717" t="n">
        <x:f>IFERROR(INDEX('04_Wycena_strona_nowa'!$G:$G,MATCH($A42,'04_Wycena_strona_nowa'!$A:$A,0)),"")</x:f>
        <x:v>5309</x:v>
      </x:c>
      <x:c r="S42" s="717" t="n">
        <x:f>IF(OR(Q42="",R42="",Q42=0,R42=0),"",R42-Q42)</x:f>
        <x:v>-872</x:v>
      </x:c>
      <x:c r="T42" s="717" t="n">
        <x:f>IFERROR(INDEX(EG_Wycena_strona!$H:$H,MATCH($A42,EG_Wycena_strona!$A:$A,0)),"")</x:f>
        <x:v>5205</x:v>
      </x:c>
      <x:c r="U42" s="717" t="n">
        <x:f>IFERROR(INDEX('04_Wycena_strona_nowa'!$H:$H,MATCH($A42,'04_Wycena_strona_nowa'!$A:$A,0)),"")</x:f>
        <x:v>4711</x:v>
      </x:c>
      <x:c r="V42" s="717" t="n">
        <x:f>IF(OR(T42="",U42="",T42=0,U42=0),"",U42-T42)</x:f>
        <x:v>-494</x:v>
      </x:c>
      <x:c r="W42" s="717" t="n">
        <x:f>IFERROR(INDEX(EG_Wycena_strona!$I:$I,MATCH($A42,EG_Wycena_strona!$A:$A,0)),"")</x:f>
        <x:v>5205</x:v>
      </x:c>
      <x:c r="X42" s="717" t="n">
        <x:f>IFERROR(INDEX('04_Wycena_strona_nowa'!$I:$I,MATCH($A42,'04_Wycena_strona_nowa'!$A:$A,0)),"")</x:f>
        <x:v>4711</x:v>
      </x:c>
      <x:c r="Y42" s="717" t="n">
        <x:f>IF(OR(W42="",X42="",W42=0,X42=0),"",X42-W42)</x:f>
        <x:v>-494</x:v>
      </x:c>
      <x:c r="Z42" s="717" t="n">
        <x:f>IFERROR(INDEX(EG_Wycena_strona!$J:$J,MATCH($A42,EG_Wycena_strona!$A:$A,0)),"")</x:f>
        <x:v>3079</x:v>
      </x:c>
      <x:c r="AA42" s="717" t="n">
        <x:f>IFERROR(INDEX('04_Wycena_strona_nowa'!$J:$J,MATCH($A42,'04_Wycena_strona_nowa'!$A:$A,0)),"")</x:f>
        <x:v>2725</x:v>
      </x:c>
      <x:c r="AB42" s="717" t="n">
        <x:f>IF(OR(Z42="",AA42="",Z42=0,AA42=0),"",AA42-Z42)</x:f>
        <x:v>-354</x:v>
      </x:c>
      <x:c r="AC42" s="717" t="n">
        <x:f>IFERROR(INDEX(EG_Wycena_strona!$K:$K,MATCH($A42,EG_Wycena_strona!$A:$A,0)),"")</x:f>
        <x:v>5777</x:v>
      </x:c>
      <x:c r="AD42" s="717" t="n">
        <x:f>IFERROR(INDEX('04_Wycena_strona_nowa'!$K:$K,MATCH($A42,'04_Wycena_strona_nowa'!$A:$A,0)),"")</x:f>
        <x:v>5195</x:v>
      </x:c>
      <x:c r="AE42" s="717" t="n">
        <x:f>IF(OR(AC42="",AD42="",AC42=0,AD42=0),"",AD42-AC42)</x:f>
        <x:v>-582</x:v>
      </x:c>
      <x:c r="AF42" s="717" t="n">
        <x:f>IFERROR(ROUND(INDEX(EG_Cennik_uslug!$BS:$BS,MATCH($A42,EG_Cennik_uslug!$A:$A,0))*1.08,0),"")</x:f>
        <x:v>2174</x:v>
      </x:c>
      <x:c r="AG42" s="717" t="n">
        <x:f>IFERROR(INDEX('04_Wycena_strona_nowa'!$L:$L,MATCH($A42,'04_Wycena_strona_nowa'!$A:$A,0)),"")</x:f>
        <x:v>2241</x:v>
      </x:c>
      <x:c r="AH42" s="717" t="n">
        <x:f>IF(OR(AF42="",AG42="",AF42=0,AG42=0),"",AG42-AF42)</x:f>
        <x:v>67</x:v>
      </x:c>
      <x:c r="AI42" s="717" t="n">
        <x:f>IFERROR(ROUND(INDEX(EG_Cennik_uslug!$BZ:$BZ,MATCH($A42,EG_Cennik_uslug!$A:$A,0))*1.08,0),"")</x:f>
        <x:v>683</x:v>
      </x:c>
      <x:c r="AJ42" s="717" t="n">
        <x:f>IFERROR(INDEX('04_Wycena_strona_nowa'!$O:$O,MATCH($A42,'04_Wycena_strona_nowa'!$A:$A,0)),"")</x:f>
        <x:v>637</x:v>
      </x:c>
      <x:c r="AK42" s="717" t="n">
        <x:f>IF(OR(AI42="",AJ42="",AI42=0,AJ42=0),"",AJ42-AI42)</x:f>
        <x:v>-46</x:v>
      </x:c>
      <x:c r="AL42" s="717" t="n">
        <x:f>IFERROR(ROUND(INDEX(EG_Cennik_uslug!$CG:$CG,MATCH($A42,EG_Cennik_uslug!$A:$A,0))*1.08,0),"")</x:f>
        <x:v>613</x:v>
      </x:c>
      <x:c r="AM42" s="717" t="n">
        <x:f>IFERROR(INDEX('04_Wycena_strona_nowa'!$P:$P,MATCH($A42,'04_Wycena_strona_nowa'!$A:$A,0)),"")</x:f>
        <x:v>573</x:v>
      </x:c>
      <x:c r="AN42" s="717" t="n">
        <x:f>IF(OR(AL42="",AM42="",AL42=0,AM42=0),"",AM42-AL42)</x:f>
        <x:v>-40</x:v>
      </x:c>
      <x:c r="AO42" s="717" t="str">
        <x:f>""</x:f>
      </x:c>
      <x:c r="AP42" s="717" t="n">
        <x:f>IFERROR(INDEX('04_Wycena_strona_nowa'!$Q:$Q,MATCH($A42,'04_Wycena_strona_nowa'!$A:$A,0)),"")</x:f>
        <x:v>509</x:v>
      </x:c>
      <x:c r="AQ42" s="717" t="str">
        <x:f>IF(OR(AO42="",AP42="",AO42=0,AP42=0),"",AP42-AO42)</x:f>
      </x:c>
      <x:c r="AR42" s="717" t="n">
        <x:f>IFERROR(ROUND(INDEX(EG_Cennik_uslug!$CN:$CN,MATCH($A42,EG_Cennik_uslug!$A:$A,0))*1.08,0),"")</x:f>
        <x:v>1204</x:v>
      </x:c>
      <x:c r="AS42" s="717" t="n">
        <x:f>IFERROR(INDEX('04_Wycena_strona_nowa'!$M:$M,MATCH($A42,'04_Wycena_strona_nowa'!$A:$A,0)),"")</x:f>
        <x:v>814</x:v>
      </x:c>
      <x:c r="AT42" s="717" t="n">
        <x:f>IF(OR(AR42="",AS42="",AR42=0,AS42=0),"",AS42-AR42)</x:f>
        <x:v>-390</x:v>
      </x:c>
      <x:c r="AU42" s="717" t="n">
        <x:f>IFERROR(ROUND(INDEX(EG_Cennik_uslug!$CU:$CU,MATCH($A42,EG_Cennik_uslug!$A:$A,0))*1.08,0),"")</x:f>
        <x:v>2092</x:v>
      </x:c>
      <x:c r="AV42" s="717" t="n">
        <x:f>IFERROR(INDEX('04_Wycena_strona_nowa'!$R:$R,MATCH($A42,'04_Wycena_strona_nowa'!$A:$A,0)),"")</x:f>
        <x:v>2594</x:v>
      </x:c>
      <x:c r="AW42" s="717" t="n">
        <x:f>IF(OR(AU42="",AV42="",AU42=0,AV42=0),"",AV42-AU42)</x:f>
        <x:v>502</x:v>
      </x:c>
      <x:c r="AX42" s="717" t="str">
        <x:f>""</x:f>
      </x:c>
      <x:c r="AY42" s="717" t="str">
        <x:f>IFERROR(INDEX('04_Wycena_strona_nowa'!$S:$S,MATCH($A42,'04_Wycena_strona_nowa'!$A:$A,0)),"")</x:f>
      </x:c>
      <x:c r="AZ42" s="717" t="str">
        <x:f>IF(OR(AX42="",AY42="",AX42=0,AY42=0),"",AY42-AX42)</x:f>
      </x:c>
      <x:c r="BA42" s="612" t="e">
        <x:f>_xludf.TEXTJOIN("; ",TRUE,IF(OR(LEFT($A42,3)="550",LEFT($A42,3)="600"),"550/600: EG brak benchmarku; opcje szklane/zerowe ukryte w porównaniu do czasu potwierdzenia",""),"LED CCT/RGB: porównanie orientacyjne do EG LED COB","Zabieraki: brak jednoznacznej pozycji EG")</x:f>
      </x:c>
    </x:row>
    <x:row r="43">
      <x:c r="A43" s="608" t="str">
        <x:f>'04_Wycena_strona_nowa'!A43</x:f>
        <x:v>500 x 406 cm</x:v>
      </x:c>
      <x:c r="B43" s="717" t="n">
        <x:f>IFERROR(INDEX(EG_Wycena_strona!$B:$B,MATCH($A43,EG_Wycena_strona!$A:$A,0)),"")</x:f>
        <x:v>17094</x:v>
      </x:c>
      <x:c r="C43" s="717" t="n">
        <x:f>IFERROR(INDEX('04_Wycena_strona_nowa'!$B:$B,MATCH($A43,'04_Wycena_strona_nowa'!$A:$A,0)),"")</x:f>
        <x:v>16225</x:v>
      </x:c>
      <x:c r="D43" s="717" t="n">
        <x:f>IF(OR(B43="",C43="",B43=0,C43=0),"",C43-B43)</x:f>
        <x:v>-869</x:v>
      </x:c>
      <x:c r="E43" s="717" t="n">
        <x:f>IFERROR(INDEX(EG_Wycena_strona!$C:$C,MATCH($A43,EG_Wycena_strona!$A:$A,0)),"")</x:f>
        <x:v>24120</x:v>
      </x:c>
      <x:c r="F43" s="717" t="n">
        <x:f>IFERROR(INDEX('04_Wycena_strona_nowa'!$C:$C,MATCH($A43,'04_Wycena_strona_nowa'!$A:$A,0)),"")</x:f>
        <x:v>21575</x:v>
      </x:c>
      <x:c r="G43" s="717" t="n">
        <x:f>IF(OR(E43="",F43="",E43=0,F43=0),"",F43-E43)</x:f>
        <x:v>-2545</x:v>
      </x:c>
      <x:c r="H43" s="717" t="n">
        <x:f>IFERROR(INDEX(EG_Wycena_strona!$D:$D,MATCH($A43,EG_Wycena_strona!$A:$A,0)),"")</x:f>
        <x:v>26410</x:v>
      </x:c>
      <x:c r="I43" s="717" t="n">
        <x:f>IFERROR(INDEX('04_Wycena_strona_nowa'!$D:$D,MATCH($A43,'04_Wycena_strona_nowa'!$A:$A,0)),"")</x:f>
        <x:v>23714</x:v>
      </x:c>
      <x:c r="J43" s="717" t="n">
        <x:f>IF(OR(H43="",I43="",H43=0,I43=0),"",I43-H43)</x:f>
        <x:v>-2696</x:v>
      </x:c>
      <x:c r="K43" s="717" t="n">
        <x:f>IFERROR(INDEX(EG_Wycena_strona!$E:$E,MATCH($A43,EG_Wycena_strona!$A:$A,0)),"")</x:f>
        <x:v>575</x:v>
      </x:c>
      <x:c r="L43" s="717" t="n">
        <x:f>IFERROR(INDEX('04_Wycena_strona_nowa'!$E:$E,MATCH($A43,'04_Wycena_strona_nowa'!$A:$A,0)),"")</x:f>
        <x:v>534</x:v>
      </x:c>
      <x:c r="M43" s="717" t="n">
        <x:f>IF(OR(K43="",L43="",K43=0,L43=0),"",L43-K43)</x:f>
        <x:v>-41</x:v>
      </x:c>
      <x:c r="N43" s="717" t="n">
        <x:f>IFERROR(INDEX(EG_Wycena_strona!$F:$F,MATCH($A43,EG_Wycena_strona!$A:$A,0)),"")</x:f>
        <x:v>7802</x:v>
      </x:c>
      <x:c r="O43" s="717" t="n">
        <x:f>IFERROR(INDEX('04_Wycena_strona_nowa'!$F:$F,MATCH($A43,'04_Wycena_strona_nowa'!$A:$A,0)),"")</x:f>
        <x:v>6735</x:v>
      </x:c>
      <x:c r="P43" s="717" t="n">
        <x:f>IF(OR(N43="",O43="",N43=0,O43=0),"",O43-N43)</x:f>
        <x:v>-1067</x:v>
      </x:c>
      <x:c r="Q43" s="717" t="n">
        <x:f>IFERROR(INDEX(EG_Wycena_strona!$G:$G,MATCH($A43,EG_Wycena_strona!$A:$A,0)),"")</x:f>
        <x:v>8567</x:v>
      </x:c>
      <x:c r="R43" s="717" t="n">
        <x:f>IFERROR(INDEX('04_Wycena_strona_nowa'!$G:$G,MATCH($A43,'04_Wycena_strona_nowa'!$A:$A,0)),"")</x:f>
        <x:v>7448</x:v>
      </x:c>
      <x:c r="S43" s="717" t="n">
        <x:f>IF(OR(Q43="",R43="",Q43=0,R43=0),"",R43-Q43)</x:f>
        <x:v>-1119</x:v>
      </x:c>
      <x:c r="T43" s="717" t="n">
        <x:f>IFERROR(INDEX(EG_Wycena_strona!$H:$H,MATCH($A43,EG_Wycena_strona!$A:$A,0)),"")</x:f>
        <x:v>5205</x:v>
      </x:c>
      <x:c r="U43" s="717" t="n">
        <x:f>IFERROR(INDEX('04_Wycena_strona_nowa'!$H:$H,MATCH($A43,'04_Wycena_strona_nowa'!$A:$A,0)),"")</x:f>
        <x:v>4711</x:v>
      </x:c>
      <x:c r="V43" s="717" t="n">
        <x:f>IF(OR(T43="",U43="",T43=0,U43=0),"",U43-T43)</x:f>
        <x:v>-494</x:v>
      </x:c>
      <x:c r="W43" s="717" t="n">
        <x:f>IFERROR(INDEX(EG_Wycena_strona!$I:$I,MATCH($A43,EG_Wycena_strona!$A:$A,0)),"")</x:f>
        <x:v>5205</x:v>
      </x:c>
      <x:c r="X43" s="717" t="n">
        <x:f>IFERROR(INDEX('04_Wycena_strona_nowa'!$I:$I,MATCH($A43,'04_Wycena_strona_nowa'!$A:$A,0)),"")</x:f>
        <x:v>4711</x:v>
      </x:c>
      <x:c r="Y43" s="717" t="n">
        <x:f>IF(OR(W43="",X43="",W43=0,X43=0),"",X43-W43)</x:f>
        <x:v>-494</x:v>
      </x:c>
      <x:c r="Z43" s="717" t="n">
        <x:f>IFERROR(INDEX(EG_Wycena_strona!$J:$J,MATCH($A43,EG_Wycena_strona!$A:$A,0)),"")</x:f>
        <x:v>3761</x:v>
      </x:c>
      <x:c r="AA43" s="717" t="n">
        <x:f>IFERROR(INDEX('04_Wycena_strona_nowa'!$J:$J,MATCH($A43,'04_Wycena_strona_nowa'!$A:$A,0)),"")</x:f>
        <x:v>3361</x:v>
      </x:c>
      <x:c r="AB43" s="717" t="n">
        <x:f>IF(OR(Z43="",AA43="",Z43=0,AA43=0),"",AA43-Z43)</x:f>
        <x:v>-400</x:v>
      </x:c>
      <x:c r="AC43" s="717" t="n">
        <x:f>IFERROR(INDEX(EG_Wycena_strona!$K:$K,MATCH($A43,EG_Wycena_strona!$A:$A,0)),"")</x:f>
        <x:v>6634</x:v>
      </x:c>
      <x:c r="AD43" s="717" t="n">
        <x:f>IFERROR(INDEX('04_Wycena_strona_nowa'!$K:$K,MATCH($A43,'04_Wycena_strona_nowa'!$A:$A,0)),"")</x:f>
        <x:v>5946</x:v>
      </x:c>
      <x:c r="AE43" s="717" t="n">
        <x:f>IF(OR(AC43="",AD43="",AC43=0,AD43=0),"",AD43-AC43)</x:f>
        <x:v>-688</x:v>
      </x:c>
      <x:c r="AF43" s="717" t="n">
        <x:f>IFERROR(ROUND(INDEX(EG_Cennik_uslug!$BS:$BS,MATCH($A43,EG_Cennik_uslug!$A:$A,0))*1.08,0),"")</x:f>
        <x:v>2400</x:v>
      </x:c>
      <x:c r="AG43" s="717" t="n">
        <x:f>IFERROR(INDEX('04_Wycena_strona_nowa'!$L:$L,MATCH($A43,'04_Wycena_strona_nowa'!$A:$A,0)),"")</x:f>
        <x:v>2473</x:v>
      </x:c>
      <x:c r="AH43" s="717" t="n">
        <x:f>IF(OR(AF43="",AG43="",AF43=0,AG43=0),"",AG43-AF43)</x:f>
        <x:v>73</x:v>
      </x:c>
      <x:c r="AI43" s="717" t="n">
        <x:f>IFERROR(ROUND(INDEX(EG_Cennik_uslug!$BZ:$BZ,MATCH($A43,EG_Cennik_uslug!$A:$A,0))*1.08,0),"")</x:f>
        <x:v>723</x:v>
      </x:c>
      <x:c r="AJ43" s="717" t="n">
        <x:f>IFERROR(INDEX('04_Wycena_strona_nowa'!$O:$O,MATCH($A43,'04_Wycena_strona_nowa'!$A:$A,0)),"")</x:f>
        <x:v>675</x:v>
      </x:c>
      <x:c r="AK43" s="717" t="n">
        <x:f>IF(OR(AI43="",AJ43="",AI43=0,AJ43=0),"",AJ43-AI43)</x:f>
        <x:v>-48</x:v>
      </x:c>
      <x:c r="AL43" s="717" t="n">
        <x:f>IFERROR(ROUND(INDEX(EG_Cennik_uslug!$CG:$CG,MATCH($A43,EG_Cennik_uslug!$A:$A,0))*1.08,0),"")</x:f>
        <x:v>656</x:v>
      </x:c>
      <x:c r="AM43" s="717" t="n">
        <x:f>IFERROR(INDEX('04_Wycena_strona_nowa'!$P:$P,MATCH($A43,'04_Wycena_strona_nowa'!$A:$A,0)),"")</x:f>
        <x:v>611</x:v>
      </x:c>
      <x:c r="AN43" s="717" t="n">
        <x:f>IF(OR(AL43="",AM43="",AL43=0,AM43=0),"",AM43-AL43)</x:f>
        <x:v>-45</x:v>
      </x:c>
      <x:c r="AO43" s="717" t="str">
        <x:f>""</x:f>
      </x:c>
      <x:c r="AP43" s="717" t="n">
        <x:f>IFERROR(INDEX('04_Wycena_strona_nowa'!$Q:$Q,MATCH($A43,'04_Wycena_strona_nowa'!$A:$A,0)),"")</x:f>
        <x:v>561</x:v>
      </x:c>
      <x:c r="AQ43" s="717" t="str">
        <x:f>IF(OR(AO43="",AP43="",AO43=0,AP43=0),"",AP43-AO43)</x:f>
      </x:c>
      <x:c r="AR43" s="717" t="n">
        <x:f>IFERROR(ROUND(INDEX(EG_Cennik_uslug!$CN:$CN,MATCH($A43,EG_Cennik_uslug!$A:$A,0))*1.08,0),"")</x:f>
        <x:v>1912</x:v>
      </x:c>
      <x:c r="AS43" s="717" t="n">
        <x:f>IFERROR(INDEX('04_Wycena_strona_nowa'!$M:$M,MATCH($A43,'04_Wycena_strona_nowa'!$A:$A,0)),"")</x:f>
        <x:v>943</x:v>
      </x:c>
      <x:c r="AT43" s="717" t="n">
        <x:f>IF(OR(AR43="",AS43="",AR43=0,AS43=0),"",AS43-AR43)</x:f>
        <x:v>-969</x:v>
      </x:c>
      <x:c r="AU43" s="717" t="n">
        <x:f>IFERROR(ROUND(INDEX(EG_Cennik_uslug!$CU:$CU,MATCH($A43,EG_Cennik_uslug!$A:$A,0))*1.08,0),"")</x:f>
        <x:v>2479</x:v>
      </x:c>
      <x:c r="AV43" s="717" t="n">
        <x:f>IFERROR(INDEX('04_Wycena_strona_nowa'!$R:$R,MATCH($A43,'04_Wycena_strona_nowa'!$A:$A,0)),"")</x:f>
        <x:v>2953</x:v>
      </x:c>
      <x:c r="AW43" s="717" t="n">
        <x:f>IF(OR(AU43="",AV43="",AU43=0,AV43=0),"",AV43-AU43)</x:f>
        <x:v>474</x:v>
      </x:c>
      <x:c r="AX43" s="717" t="str">
        <x:f>""</x:f>
      </x:c>
      <x:c r="AY43" s="717" t="str">
        <x:f>IFERROR(INDEX('04_Wycena_strona_nowa'!$S:$S,MATCH($A43,'04_Wycena_strona_nowa'!$A:$A,0)),"")</x:f>
      </x:c>
      <x:c r="AZ43" s="717" t="str">
        <x:f>IF(OR(AX43="",AY43="",AX43=0,AY43=0),"",AY43-AX43)</x:f>
      </x:c>
      <x:c r="BA43" s="612" t="e">
        <x:f>_xludf.TEXTJOIN("; ",TRUE,IF(OR(LEFT($A43,3)="550",LEFT($A43,3)="600"),"550/600: EG brak benchmarku; opcje szklane/zerowe ukryte w porównaniu do czasu potwierdzenia",""),"LED CCT/RGB: porównanie orientacyjne do EG LED COB","Zabieraki: brak jednoznacznej pozycji EG")</x:f>
      </x:c>
    </x:row>
    <x:row r="44">
      <x:c r="A44" s="608" t="str">
        <x:f>'04_Wycena_strona_nowa'!A44</x:f>
        <x:v>500 x 506 cm</x:v>
      </x:c>
      <x:c r="B44" s="717" t="n">
        <x:f>IFERROR(INDEX(EG_Wycena_strona!$B:$B,MATCH($A44,EG_Wycena_strona!$A:$A,0)),"")</x:f>
        <x:v>20561</x:v>
      </x:c>
      <x:c r="C44" s="717" t="n">
        <x:f>IFERROR(INDEX('04_Wycena_strona_nowa'!$B:$B,MATCH($A44,'04_Wycena_strona_nowa'!$A:$A,0)),"")</x:f>
        <x:v>19482</x:v>
      </x:c>
      <x:c r="D44" s="717" t="n">
        <x:f>IF(OR(B44="",C44="",B44=0,C44=0),"",C44-B44)</x:f>
        <x:v>-1079</x:v>
      </x:c>
      <x:c r="E44" s="717" t="n">
        <x:f>IFERROR(INDEX(EG_Wycena_strona!$C:$C,MATCH($A44,EG_Wycena_strona!$A:$A,0)),"")</x:f>
        <x:v>25862</x:v>
      </x:c>
      <x:c r="F44" s="717" t="n">
        <x:f>IFERROR(INDEX('04_Wycena_strona_nowa'!$C:$C,MATCH($A44,'04_Wycena_strona_nowa'!$A:$A,0)),"")</x:f>
        <x:v>23074</x:v>
      </x:c>
      <x:c r="G44" s="717" t="n">
        <x:f>IF(OR(E44="",F44="",E44=0,F44=0),"",F44-E44)</x:f>
        <x:v>-2788</x:v>
      </x:c>
      <x:c r="H44" s="717" t="n">
        <x:f>IFERROR(INDEX(EG_Wycena_strona!$D:$D,MATCH($A44,EG_Wycena_strona!$A:$A,0)),"")</x:f>
        <x:v>28316</x:v>
      </x:c>
      <x:c r="I44" s="717" t="n">
        <x:f>IFERROR(INDEX('04_Wycena_strona_nowa'!$D:$D,MATCH($A44,'04_Wycena_strona_nowa'!$A:$A,0)),"")</x:f>
        <x:v>25365</x:v>
      </x:c>
      <x:c r="J44" s="717" t="n">
        <x:f>IF(OR(H44="",I44="",H44=0,I44=0),"",I44-H44)</x:f>
        <x:v>-2951</x:v>
      </x:c>
      <x:c r="K44" s="717" t="n">
        <x:f>IFERROR(INDEX(EG_Wycena_strona!$E:$E,MATCH($A44,EG_Wycena_strona!$A:$A,0)),"")</x:f>
        <x:v>711</x:v>
      </x:c>
      <x:c r="L44" s="717" t="n">
        <x:f>IFERROR(INDEX('04_Wycena_strona_nowa'!$E:$E,MATCH($A44,'04_Wycena_strona_nowa'!$A:$A,0)),"")</x:f>
        <x:v>662</x:v>
      </x:c>
      <x:c r="M44" s="717" t="n">
        <x:f>IF(OR(K44="",L44="",K44=0,L44=0),"",L44-K44)</x:f>
        <x:v>-49</x:v>
      </x:c>
      <x:c r="N44" s="717" t="n">
        <x:f>IFERROR(INDEX(EG_Wycena_strona!$F:$F,MATCH($A44,EG_Wycena_strona!$A:$A,0)),"")</x:f>
        <x:v>10025</x:v>
      </x:c>
      <x:c r="O44" s="717" t="n">
        <x:f>IFERROR(INDEX('04_Wycena_strona_nowa'!$F:$F,MATCH($A44,'04_Wycena_strona_nowa'!$A:$A,0)),"")</x:f>
        <x:v>8696</x:v>
      </x:c>
      <x:c r="P44" s="717" t="n">
        <x:f>IF(OR(N44="",O44="",N44=0,O44=0),"",O44-N44)</x:f>
        <x:v>-1329</x:v>
      </x:c>
      <x:c r="Q44" s="717" t="n">
        <x:f>IFERROR(INDEX(EG_Wycena_strona!$G:$G,MATCH($A44,EG_Wycena_strona!$A:$A,0)),"")</x:f>
        <x:v>10981</x:v>
      </x:c>
      <x:c r="R44" s="717" t="n">
        <x:f>IFERROR(INDEX('04_Wycena_strona_nowa'!$G:$G,MATCH($A44,'04_Wycena_strona_nowa'!$A:$A,0)),"")</x:f>
        <x:v>9587</x:v>
      </x:c>
      <x:c r="S44" s="717" t="n">
        <x:f>IF(OR(Q44="",R44="",Q44=0,R44=0),"",R44-Q44)</x:f>
        <x:v>-1394</x:v>
      </x:c>
      <x:c r="T44" s="717" t="n">
        <x:f>IFERROR(INDEX(EG_Wycena_strona!$H:$H,MATCH($A44,EG_Wycena_strona!$A:$A,0)),"")</x:f>
        <x:v>5205</x:v>
      </x:c>
      <x:c r="U44" s="717" t="n">
        <x:f>IFERROR(INDEX('04_Wycena_strona_nowa'!$H:$H,MATCH($A44,'04_Wycena_strona_nowa'!$A:$A,0)),"")</x:f>
        <x:v>4711</x:v>
      </x:c>
      <x:c r="V44" s="717" t="n">
        <x:f>IF(OR(T44="",U44="",T44=0,U44=0),"",U44-T44)</x:f>
        <x:v>-494</x:v>
      </x:c>
      <x:c r="W44" s="717" t="n">
        <x:f>IFERROR(INDEX(EG_Wycena_strona!$I:$I,MATCH($A44,EG_Wycena_strona!$A:$A,0)),"")</x:f>
        <x:v>5205</x:v>
      </x:c>
      <x:c r="X44" s="717" t="n">
        <x:f>IFERROR(INDEX('04_Wycena_strona_nowa'!$I:$I,MATCH($A44,'04_Wycena_strona_nowa'!$A:$A,0)),"")</x:f>
        <x:v>4711</x:v>
      </x:c>
      <x:c r="Y44" s="717" t="n">
        <x:f>IF(OR(W44="",X44="",W44=0,X44=0),"",X44-W44)</x:f>
        <x:v>-494</x:v>
      </x:c>
      <x:c r="Z44" s="717" t="n">
        <x:f>IFERROR(INDEX(EG_Wycena_strona!$J:$J,MATCH($A44,EG_Wycena_strona!$A:$A,0)),"")</x:f>
        <x:v>5367</x:v>
      </x:c>
      <x:c r="AA44" s="717" t="n">
        <x:f>IFERROR(INDEX('04_Wycena_strona_nowa'!$J:$J,MATCH($A44,'04_Wycena_strona_nowa'!$A:$A,0)),"")</x:f>
        <x:v>4711</x:v>
      </x:c>
      <x:c r="AB44" s="717" t="n">
        <x:f>IF(OR(Z44="",AA44="",Z44=0,AA44=0),"",AA44-Z44)</x:f>
        <x:v>-656</x:v>
      </x:c>
      <x:c r="AC44" s="717" t="n">
        <x:f>IFERROR(INDEX(EG_Wycena_strona!$K:$K,MATCH($A44,EG_Wycena_strona!$A:$A,0)),"")</x:f>
        <x:v>7711</x:v>
      </x:c>
      <x:c r="AD44" s="717" t="n">
        <x:f>IFERROR(INDEX('04_Wycena_strona_nowa'!$K:$K,MATCH($A44,'04_Wycena_strona_nowa'!$A:$A,0)),"")</x:f>
        <x:v>6901</x:v>
      </x:c>
      <x:c r="AE44" s="717" t="n">
        <x:f>IF(OR(AC44="",AD44="",AC44=0,AD44=0),"",AD44-AC44)</x:f>
        <x:v>-810</x:v>
      </x:c>
      <x:c r="AF44" s="717" t="n">
        <x:f>IFERROR(ROUND(INDEX(EG_Cennik_uslug!$BS:$BS,MATCH($A44,EG_Cennik_uslug!$A:$A,0))*1.08,0),"")</x:f>
        <x:v>2643</x:v>
      </x:c>
      <x:c r="AG44" s="717" t="n">
        <x:f>IFERROR(INDEX('04_Wycena_strona_nowa'!$L:$L,MATCH($A44,'04_Wycena_strona_nowa'!$A:$A,0)),"")</x:f>
        <x:v>2723</x:v>
      </x:c>
      <x:c r="AH44" s="717" t="n">
        <x:f>IF(OR(AF44="",AG44="",AF44=0,AG44=0),"",AG44-AF44)</x:f>
        <x:v>80</x:v>
      </x:c>
      <x:c r="AI44" s="717" t="n">
        <x:f>IFERROR(ROUND(INDEX(EG_Cennik_uslug!$BZ:$BZ,MATCH($A44,EG_Cennik_uslug!$A:$A,0))*1.08,0),"")</x:f>
        <x:v>778</x:v>
      </x:c>
      <x:c r="AJ44" s="717" t="n">
        <x:f>IFERROR(INDEX('04_Wycena_strona_nowa'!$O:$O,MATCH($A44,'04_Wycena_strona_nowa'!$A:$A,0)),"")</x:f>
        <x:v>725</x:v>
      </x:c>
      <x:c r="AK44" s="717" t="n">
        <x:f>IF(OR(AI44="",AJ44="",AI44=0,AJ44=0),"",AJ44-AI44)</x:f>
        <x:v>-53</x:v>
      </x:c>
      <x:c r="AL44" s="717" t="n">
        <x:f>IFERROR(ROUND(INDEX(EG_Cennik_uslug!$CG:$CG,MATCH($A44,EG_Cennik_uslug!$A:$A,0))*1.08,0),"")</x:f>
        <x:v>711</x:v>
      </x:c>
      <x:c r="AM44" s="717" t="n">
        <x:f>IFERROR(INDEX('04_Wycena_strona_nowa'!$P:$P,MATCH($A44,'04_Wycena_strona_nowa'!$A:$A,0)),"")</x:f>
        <x:v>662</x:v>
      </x:c>
      <x:c r="AN44" s="717" t="n">
        <x:f>IF(OR(AL44="",AM44="",AL44=0,AM44=0),"",AM44-AL44)</x:f>
        <x:v>-49</x:v>
      </x:c>
      <x:c r="AO44" s="717" t="str">
        <x:f>""</x:f>
      </x:c>
      <x:c r="AP44" s="717" t="n">
        <x:f>IFERROR(INDEX('04_Wycena_strona_nowa'!$Q:$Q,MATCH($A44,'04_Wycena_strona_nowa'!$A:$A,0)),"")</x:f>
        <x:v>561</x:v>
      </x:c>
      <x:c r="AQ44" s="717" t="str">
        <x:f>IF(OR(AO44="",AP44="",AO44=0,AP44=0),"",AP44-AO44)</x:f>
      </x:c>
      <x:c r="AR44" s="717" t="n">
        <x:f>IFERROR(ROUND(INDEX(EG_Cennik_uslug!$CN:$CN,MATCH($A44,EG_Cennik_uslug!$A:$A,0))*1.08,0),"")</x:f>
        <x:v>2333</x:v>
      </x:c>
      <x:c r="AS44" s="717" t="n">
        <x:f>IFERROR(INDEX('04_Wycena_strona_nowa'!$M:$M,MATCH($A44,'04_Wycena_strona_nowa'!$A:$A,0)),"")</x:f>
        <x:v>1221</x:v>
      </x:c>
      <x:c r="AT44" s="717" t="n">
        <x:f>IF(OR(AR44="",AS44="",AR44=0,AS44=0),"",AS44-AR44)</x:f>
        <x:v>-1112</x:v>
      </x:c>
      <x:c r="AU44" s="717" t="n">
        <x:f>IFERROR(ROUND(INDEX(EG_Cennik_uslug!$CU:$CU,MATCH($A44,EG_Cennik_uslug!$A:$A,0))*1.08,0),"")</x:f>
        <x:v>3447</x:v>
      </x:c>
      <x:c r="AV44" s="717" t="n">
        <x:f>IFERROR(INDEX('04_Wycena_strona_nowa'!$R:$R,MATCH($A44,'04_Wycena_strona_nowa'!$A:$A,0)),"")</x:f>
        <x:v>3266</x:v>
      </x:c>
      <x:c r="AW44" s="717" t="n">
        <x:f>IF(OR(AU44="",AV44="",AU44=0,AV44=0),"",AV44-AU44)</x:f>
        <x:v>-181</x:v>
      </x:c>
      <x:c r="AX44" s="717" t="str">
        <x:f>""</x:f>
      </x:c>
      <x:c r="AY44" s="717" t="str">
        <x:f>IFERROR(INDEX('04_Wycena_strona_nowa'!$S:$S,MATCH($A44,'04_Wycena_strona_nowa'!$A:$A,0)),"")</x:f>
      </x:c>
      <x:c r="AZ44" s="717" t="str">
        <x:f>IF(OR(AX44="",AY44="",AX44=0,AY44=0),"",AY44-AX44)</x:f>
      </x:c>
      <x:c r="BA44" s="612" t="e">
        <x:f>_xludf.TEXTJOIN("; ",TRUE,IF(OR(LEFT($A44,3)="550",LEFT($A44,3)="600"),"550/600: EG brak benchmarku; opcje szklane/zerowe ukryte w porównaniu do czasu potwierdzenia",""),"LED CCT/RGB: porównanie orientacyjne do EG LED COB","Zabieraki: brak jednoznacznej pozycji EG")</x:f>
      </x:c>
    </x:row>
    <x:row r="45">
      <x:c r="A45" s="608" t="str">
        <x:f>'04_Wycena_strona_nowa'!A45</x:f>
        <x:v>500 x 606 cm</x:v>
      </x:c>
      <x:c r="B45" s="717" t="n">
        <x:f>IFERROR(INDEX(EG_Wycena_strona!$B:$B,MATCH($A45,EG_Wycena_strona!$A:$A,0)),"")</x:f>
        <x:v>23579</x:v>
      </x:c>
      <x:c r="C45" s="717" t="n">
        <x:f>IFERROR(INDEX('04_Wycena_strona_nowa'!$B:$B,MATCH($A45,'04_Wycena_strona_nowa'!$A:$A,0)),"")</x:f>
        <x:v>22320</x:v>
      </x:c>
      <x:c r="D45" s="717" t="n">
        <x:f>IF(OR(B45="",C45="",B45=0,C45=0),"",C45-B45)</x:f>
        <x:v>-1259</x:v>
      </x:c>
      <x:c r="E45" s="717" t="n">
        <x:f>IFERROR(INDEX(EG_Wycena_strona!$C:$C,MATCH($A45,EG_Wycena_strona!$A:$A,0)),"")</x:f>
        <x:v>27728</x:v>
      </x:c>
      <x:c r="F45" s="717" t="n">
        <x:f>IFERROR(INDEX('04_Wycena_strona_nowa'!$C:$C,MATCH($A45,'04_Wycena_strona_nowa'!$A:$A,0)),"")</x:f>
        <x:v>24696</x:v>
      </x:c>
      <x:c r="G45" s="717" t="n">
        <x:f>IF(OR(E45="",F45="",E45=0,F45=0),"",F45-E45)</x:f>
        <x:v>-3032</x:v>
      </x:c>
      <x:c r="H45" s="717" t="n">
        <x:f>IFERROR(INDEX(EG_Wycena_strona!$D:$D,MATCH($A45,EG_Wycena_strona!$A:$A,0)),"")</x:f>
        <x:v>30346</x:v>
      </x:c>
      <x:c r="I45" s="717" t="n">
        <x:f>IFERROR(INDEX('04_Wycena_strona_nowa'!$D:$D,MATCH($A45,'04_Wycena_strona_nowa'!$A:$A,0)),"")</x:f>
        <x:v>27140</x:v>
      </x:c>
      <x:c r="J45" s="717" t="n">
        <x:f>IF(OR(H45="",I45="",H45=0,I45=0),"",I45-H45)</x:f>
        <x:v>-3206</x:v>
      </x:c>
      <x:c r="K45" s="717" t="n">
        <x:f>IFERROR(INDEX(EG_Wycena_strona!$E:$E,MATCH($A45,EG_Wycena_strona!$A:$A,0)),"")</x:f>
        <x:v>846</x:v>
      </x:c>
      <x:c r="L45" s="717" t="n">
        <x:f>IFERROR(INDEX('04_Wycena_strona_nowa'!$E:$E,MATCH($A45,'04_Wycena_strona_nowa'!$A:$A,0)),"")</x:f>
        <x:v>789</x:v>
      </x:c>
      <x:c r="M45" s="717" t="n">
        <x:f>IF(OR(K45="",L45="",K45=0,L45=0),"",L45-K45)</x:f>
        <x:v>-57</x:v>
      </x:c>
      <x:c r="N45" s="717" t="n">
        <x:f>IFERROR(INDEX(EG_Wycena_strona!$F:$F,MATCH($A45,EG_Wycena_strona!$A:$A,0)),"")</x:f>
        <x:v>12206</x:v>
      </x:c>
      <x:c r="O45" s="717" t="n">
        <x:f>IFERROR(INDEX('04_Wycena_strona_nowa'!$F:$F,MATCH($A45,'04_Wycena_strona_nowa'!$A:$A,0)),"")</x:f>
        <x:v>10669</x:v>
      </x:c>
      <x:c r="P45" s="717" t="n">
        <x:f>IF(OR(N45="",O45="",N45=0,O45=0),"",O45-N45)</x:f>
        <x:v>-1537</x:v>
      </x:c>
      <x:c r="Q45" s="717" t="n">
        <x:f>IFERROR(INDEX(EG_Wycena_strona!$G:$G,MATCH($A45,EG_Wycena_strona!$A:$A,0)),"")</x:f>
        <x:v>13352</x:v>
      </x:c>
      <x:c r="R45" s="717" t="n">
        <x:f>IFERROR(INDEX('04_Wycena_strona_nowa'!$G:$G,MATCH($A45,'04_Wycena_strona_nowa'!$A:$A,0)),"")</x:f>
        <x:v>11738</x:v>
      </x:c>
      <x:c r="S45" s="717" t="n">
        <x:f>IF(OR(Q45="",R45="",Q45=0,R45=0),"",R45-Q45)</x:f>
        <x:v>-1614</x:v>
      </x:c>
      <x:c r="T45" s="717" t="n">
        <x:f>IFERROR(INDEX(EG_Wycena_strona!$H:$H,MATCH($A45,EG_Wycena_strona!$A:$A,0)),"")</x:f>
        <x:v>5205</x:v>
      </x:c>
      <x:c r="U45" s="717" t="n">
        <x:f>IFERROR(INDEX('04_Wycena_strona_nowa'!$H:$H,MATCH($A45,'04_Wycena_strona_nowa'!$A:$A,0)),"")</x:f>
        <x:v>4711</x:v>
      </x:c>
      <x:c r="V45" s="717" t="n">
        <x:f>IF(OR(T45="",U45="",T45=0,U45=0),"",U45-T45)</x:f>
        <x:v>-494</x:v>
      </x:c>
      <x:c r="W45" s="717" t="n">
        <x:f>IFERROR(INDEX(EG_Wycena_strona!$I:$I,MATCH($A45,EG_Wycena_strona!$A:$A,0)),"")</x:f>
        <x:v>5205</x:v>
      </x:c>
      <x:c r="X45" s="717" t="n">
        <x:f>IFERROR(INDEX('04_Wycena_strona_nowa'!$I:$I,MATCH($A45,'04_Wycena_strona_nowa'!$A:$A,0)),"")</x:f>
        <x:v>4711</x:v>
      </x:c>
      <x:c r="Y45" s="717" t="n">
        <x:f>IF(OR(W45="",X45="",W45=0,X45=0),"",X45-W45)</x:f>
        <x:v>-494</x:v>
      </x:c>
      <x:c r="Z45" s="717" t="n">
        <x:f>IFERROR(INDEX(EG_Wycena_strona!$J:$J,MATCH($A45,EG_Wycena_strona!$A:$A,0)),"")</x:f>
        <x:v>6144</x:v>
      </x:c>
      <x:c r="AA45" s="717" t="n">
        <x:f>IFERROR(INDEX('04_Wycena_strona_nowa'!$J:$J,MATCH($A45,'04_Wycena_strona_nowa'!$A:$A,0)),"")</x:f>
        <x:v>5437</x:v>
      </x:c>
      <x:c r="AB45" s="717" t="n">
        <x:f>IF(OR(Z45="",AA45="",Z45=0,AA45=0),"",AA45-Z45)</x:f>
        <x:v>-707</x:v>
      </x:c>
      <x:c r="AC45" s="717" t="n">
        <x:f>IFERROR(INDEX(EG_Wycena_strona!$K:$K,MATCH($A45,EG_Wycena_strona!$A:$A,0)),"")</x:f>
        <x:v>11500</x:v>
      </x:c>
      <x:c r="AD45" s="717" t="n">
        <x:f>IFERROR(INDEX('04_Wycena_strona_nowa'!$K:$K,MATCH($A45,'04_Wycena_strona_nowa'!$A:$A,0)),"")</x:f>
        <x:v>10389</x:v>
      </x:c>
      <x:c r="AE45" s="717" t="n">
        <x:f>IF(OR(AC45="",AD45="",AC45=0,AD45=0),"",AD45-AC45)</x:f>
        <x:v>-1111</x:v>
      </x:c>
      <x:c r="AF45" s="717" t="n">
        <x:f>IFERROR(ROUND(INDEX(EG_Cennik_uslug!$BS:$BS,MATCH($A45,EG_Cennik_uslug!$A:$A,0))*1.08,0),"")</x:f>
        <x:v>3187</x:v>
      </x:c>
      <x:c r="AG45" s="717" t="n">
        <x:f>IFERROR(INDEX('04_Wycena_strona_nowa'!$L:$L,MATCH($A45,'04_Wycena_strona_nowa'!$A:$A,0)),"")</x:f>
        <x:v>3283</x:v>
      </x:c>
      <x:c r="AH45" s="717" t="n">
        <x:f>IF(OR(AF45="",AG45="",AF45=0,AG45=0),"",AG45-AF45)</x:f>
        <x:v>96</x:v>
      </x:c>
      <x:c r="AI45" s="717" t="n">
        <x:f>IFERROR(ROUND(INDEX(EG_Cennik_uslug!$BZ:$BZ,MATCH($A45,EG_Cennik_uslug!$A:$A,0))*1.08,0),"")</x:f>
        <x:v>834</x:v>
      </x:c>
      <x:c r="AJ45" s="717" t="n">
        <x:f>IFERROR(INDEX('04_Wycena_strona_nowa'!$O:$O,MATCH($A45,'04_Wycena_strona_nowa'!$A:$A,0)),"")</x:f>
        <x:v>777</x:v>
      </x:c>
      <x:c r="AK45" s="717" t="n">
        <x:f>IF(OR(AI45="",AJ45="",AI45=0,AJ45=0),"",AJ45-AI45)</x:f>
        <x:v>-57</x:v>
      </x:c>
      <x:c r="AL45" s="717" t="n">
        <x:f>IFERROR(ROUND(INDEX(EG_Cennik_uslug!$CG:$CG,MATCH($A45,EG_Cennik_uslug!$A:$A,0))*1.08,0),"")</x:f>
        <x:v>751</x:v>
      </x:c>
      <x:c r="AM45" s="717" t="n">
        <x:f>IFERROR(INDEX('04_Wycena_strona_nowa'!$P:$P,MATCH($A45,'04_Wycena_strona_nowa'!$A:$A,0)),"")</x:f>
        <x:v>700</x:v>
      </x:c>
      <x:c r="AN45" s="717" t="n">
        <x:f>IF(OR(AL45="",AM45="",AL45=0,AM45=0),"",AM45-AL45)</x:f>
        <x:v>-51</x:v>
      </x:c>
      <x:c r="AO45" s="717" t="str">
        <x:f>""</x:f>
      </x:c>
      <x:c r="AP45" s="717" t="n">
        <x:f>IFERROR(INDEX('04_Wycena_strona_nowa'!$Q:$Q,MATCH($A45,'04_Wycena_strona_nowa'!$A:$A,0)),"")</x:f>
        <x:v>611</x:v>
      </x:c>
      <x:c r="AQ45" s="717" t="str">
        <x:f>IF(OR(AO45="",AP45="",AO45=0,AP45=0),"",AP45-AO45)</x:f>
      </x:c>
      <x:c r="AR45" s="717" t="n">
        <x:f>IFERROR(ROUND(INDEX(EG_Cennik_uslug!$CN:$CN,MATCH($A45,EG_Cennik_uslug!$A:$A,0))*1.08,0),"")</x:f>
        <x:v>2819</x:v>
      </x:c>
      <x:c r="AS45" s="717" t="n">
        <x:f>IFERROR(INDEX('04_Wycena_strona_nowa'!$M:$M,MATCH($A45,'04_Wycena_strona_nowa'!$A:$A,0)),"")</x:f>
        <x:v>1388</x:v>
      </x:c>
      <x:c r="AT45" s="717" t="n">
        <x:f>IF(OR(AR45="",AS45="",AR45=0,AS45=0),"",AS45-AR45)</x:f>
        <x:v>-1431</x:v>
      </x:c>
      <x:c r="AU45" s="717" t="n">
        <x:f>IFERROR(ROUND(INDEX(EG_Cennik_uslug!$CU:$CU,MATCH($A45,EG_Cennik_uslug!$A:$A,0))*1.08,0),"")</x:f>
        <x:v>3834</x:v>
      </x:c>
      <x:c r="AV45" s="717" t="n">
        <x:f>IFERROR(INDEX('04_Wycena_strona_nowa'!$R:$R,MATCH($A45,'04_Wycena_strona_nowa'!$A:$A,0)),"")</x:f>
        <x:v>3798</x:v>
      </x:c>
      <x:c r="AW45" s="717" t="n">
        <x:f>IF(OR(AU45="",AV45="",AU45=0,AV45=0),"",AV45-AU45)</x:f>
        <x:v>-36</x:v>
      </x:c>
      <x:c r="AX45" s="717" t="str">
        <x:f>""</x:f>
      </x:c>
      <x:c r="AY45" s="717" t="str">
        <x:f>IFERROR(INDEX('04_Wycena_strona_nowa'!$S:$S,MATCH($A45,'04_Wycena_strona_nowa'!$A:$A,0)),"")</x:f>
      </x:c>
      <x:c r="AZ45" s="717" t="str">
        <x:f>IF(OR(AX45="",AY45="",AX45=0,AY45=0),"",AY45-AX45)</x:f>
      </x:c>
      <x:c r="BA45" s="612" t="e">
        <x:f>_xludf.TEXTJOIN("; ",TRUE,IF(OR(LEFT($A45,3)="550",LEFT($A45,3)="600"),"550/600: EG brak benchmarku; opcje szklane/zerowe ukryte w porównaniu do czasu potwierdzenia",""),"LED CCT/RGB: porównanie orientacyjne do EG LED COB","Zabieraki: brak jednoznacznej pozycji EG")</x:f>
      </x:c>
    </x:row>
    <x:row r="46">
      <x:c r="A46" s="608" t="str">
        <x:f>'04_Wycena_strona_nowa'!A46</x:f>
        <x:v>500 x 706 cm</x:v>
      </x:c>
      <x:c r="B46" s="717" t="n">
        <x:f>IFERROR(INDEX(EG_Wycena_strona!$B:$B,MATCH($A46,EG_Wycena_strona!$A:$A,0)),"")</x:f>
        <x:v>28257</x:v>
      </x:c>
      <x:c r="C46" s="717" t="n">
        <x:f>IFERROR(INDEX('04_Wycena_strona_nowa'!$B:$B,MATCH($A46,'04_Wycena_strona_nowa'!$A:$A,0)),"")</x:f>
        <x:v>26712</x:v>
      </x:c>
      <x:c r="D46" s="717" t="n">
        <x:f>IF(OR(B46="",C46="",B46=0,C46=0),"",C46-B46)</x:f>
        <x:v>-1545</x:v>
      </x:c>
      <x:c r="E46" s="717" t="n">
        <x:f>IFERROR(INDEX(EG_Wycena_strona!$C:$C,MATCH($A46,EG_Wycena_strona!$A:$A,0)),"")</x:f>
        <x:v>27935</x:v>
      </x:c>
      <x:c r="F46" s="717" t="n">
        <x:f>IFERROR(INDEX('04_Wycena_strona_nowa'!$C:$C,MATCH($A46,'04_Wycena_strona_nowa'!$A:$A,0)),"")</x:f>
        <x:v>24769</x:v>
      </x:c>
      <x:c r="G46" s="717" t="n">
        <x:f>IF(OR(E46="",F46="",E46=0,F46=0),"",F46-E46)</x:f>
        <x:v>-3166</x:v>
      </x:c>
      <x:c r="H46" s="717" t="n">
        <x:f>IFERROR(INDEX(EG_Wycena_strona!$D:$D,MATCH($A46,EG_Wycena_strona!$A:$A,0)),"")</x:f>
        <x:v>30716</x:v>
      </x:c>
      <x:c r="I46" s="717" t="n">
        <x:f>IFERROR(INDEX('04_Wycena_strona_nowa'!$D:$D,MATCH($A46,'04_Wycena_strona_nowa'!$A:$A,0)),"")</x:f>
        <x:v>27367</x:v>
      </x:c>
      <x:c r="J46" s="717" t="n">
        <x:f>IF(OR(H46="",I46="",H46=0,I46=0),"",I46-H46)</x:f>
        <x:v>-3349</x:v>
      </x:c>
      <x:c r="K46" s="717" t="n">
        <x:f>IFERROR(INDEX(EG_Wycena_strona!$E:$E,MATCH($A46,EG_Wycena_strona!$A:$A,0)),"")</x:f>
        <x:v>996</x:v>
      </x:c>
      <x:c r="L46" s="717" t="n">
        <x:f>IFERROR(INDEX('04_Wycena_strona_nowa'!$E:$E,MATCH($A46,'04_Wycena_strona_nowa'!$A:$A,0)),"")</x:f>
        <x:v>929</x:v>
      </x:c>
      <x:c r="M46" s="717" t="n">
        <x:f>IF(OR(K46="",L46="",K46=0,L46=0),"",L46-K46)</x:f>
        <x:v>-67</x:v>
      </x:c>
      <x:c r="N46" s="717" t="n">
        <x:f>IFERROR(INDEX(EG_Wycena_strona!$F:$F,MATCH($A46,EG_Wycena_strona!$A:$A,0)),"")</x:f>
        <x:v>14415</x:v>
      </x:c>
      <x:c r="O46" s="717" t="n">
        <x:f>IFERROR(INDEX('04_Wycena_strona_nowa'!$F:$F,MATCH($A46,'04_Wycena_strona_nowa'!$A:$A,0)),"")</x:f>
        <x:v>12618</x:v>
      </x:c>
      <x:c r="P46" s="717" t="n">
        <x:f>IF(OR(N46="",O46="",N46=0,O46=0),"",O46-N46)</x:f>
        <x:v>-1797</x:v>
      </x:c>
      <x:c r="Q46" s="717" t="n">
        <x:f>IFERROR(INDEX(EG_Wycena_strona!$G:$G,MATCH($A46,EG_Wycena_strona!$A:$A,0)),"")</x:f>
        <x:v>15751</x:v>
      </x:c>
      <x:c r="R46" s="717" t="n">
        <x:f>IFERROR(INDEX('04_Wycena_strona_nowa'!$G:$G,MATCH($A46,'04_Wycena_strona_nowa'!$A:$A,0)),"")</x:f>
        <x:v>13866</x:v>
      </x:c>
      <x:c r="S46" s="717" t="n">
        <x:f>IF(OR(Q46="",R46="",Q46=0,R46=0),"",R46-Q46)</x:f>
        <x:v>-1885</x:v>
      </x:c>
      <x:c r="T46" s="717" t="n">
        <x:f>IFERROR(INDEX(EG_Wycena_strona!$H:$H,MATCH($A46,EG_Wycena_strona!$A:$A,0)),"")</x:f>
        <x:v>5205</x:v>
      </x:c>
      <x:c r="U46" s="717" t="n">
        <x:f>IFERROR(INDEX('04_Wycena_strona_nowa'!$H:$H,MATCH($A46,'04_Wycena_strona_nowa'!$A:$A,0)),"")</x:f>
        <x:v>4711</x:v>
      </x:c>
      <x:c r="V46" s="717" t="n">
        <x:f>IF(OR(T46="",U46="",T46=0,U46=0),"",U46-T46)</x:f>
        <x:v>-494</x:v>
      </x:c>
      <x:c r="W46" s="717" t="n">
        <x:f>IFERROR(INDEX(EG_Wycena_strona!$I:$I,MATCH($A46,EG_Wycena_strona!$A:$A,0)),"")</x:f>
        <x:v>5205</x:v>
      </x:c>
      <x:c r="X46" s="717" t="n">
        <x:f>IFERROR(INDEX('04_Wycena_strona_nowa'!$I:$I,MATCH($A46,'04_Wycena_strona_nowa'!$A:$A,0)),"")</x:f>
        <x:v>4711</x:v>
      </x:c>
      <x:c r="Y46" s="717" t="n">
        <x:f>IF(OR(W46="",X46="",W46=0,X46=0),"",X46-W46)</x:f>
        <x:v>-494</x:v>
      </x:c>
      <x:c r="Z46" s="717" t="n">
        <x:f>IFERROR(INDEX(EG_Wycena_strona!$J:$J,MATCH($A46,EG_Wycena_strona!$A:$A,0)),"")</x:f>
        <x:v>6839</x:v>
      </x:c>
      <x:c r="AA46" s="717" t="n">
        <x:f>IFERROR(INDEX('04_Wycena_strona_nowa'!$J:$J,MATCH($A46,'04_Wycena_strona_nowa'!$A:$A,0)),"")</x:f>
        <x:v>6086</x:v>
      </x:c>
      <x:c r="AB46" s="717" t="n">
        <x:f>IF(OR(Z46="",AA46="",Z46=0,AA46=0),"",AA46-Z46)</x:f>
        <x:v>-753</x:v>
      </x:c>
      <x:c r="AC46" s="717" t="n">
        <x:f>IFERROR(INDEX(EG_Wycena_strona!$K:$K,MATCH($A46,EG_Wycena_strona!$A:$A,0)),"")</x:f>
        <x:v>12411</x:v>
      </x:c>
      <x:c r="AD46" s="717" t="n">
        <x:f>IFERROR(INDEX('04_Wycena_strona_nowa'!$K:$K,MATCH($A46,'04_Wycena_strona_nowa'!$A:$A,0)),"")</x:f>
        <x:v>11140</x:v>
      </x:c>
      <x:c r="AE46" s="717" t="n">
        <x:f>IF(OR(AC46="",AD46="",AC46=0,AD46=0),"",AD46-AC46)</x:f>
        <x:v>-1271</x:v>
      </x:c>
      <x:c r="AF46" s="717" t="n">
        <x:f>IFERROR(ROUND(INDEX(EG_Cennik_uslug!$BS:$BS,MATCH($A46,EG_Cennik_uslug!$A:$A,0))*1.08,0),"")</x:f>
        <x:v>2811</x:v>
      </x:c>
      <x:c r="AG46" s="717" t="n">
        <x:f>IFERROR(INDEX('04_Wycena_strona_nowa'!$L:$L,MATCH($A46,'04_Wycena_strona_nowa'!$A:$A,0)),"")</x:f>
        <x:v>2899</x:v>
      </x:c>
      <x:c r="AH46" s="717" t="n">
        <x:f>IF(OR(AF46="",AG46="",AF46=0,AG46=0),"",AG46-AF46)</x:f>
        <x:v>88</x:v>
      </x:c>
      <x:c r="AI46" s="717" t="n">
        <x:f>IFERROR(ROUND(INDEX(EG_Cennik_uslug!$BZ:$BZ,MATCH($A46,EG_Cennik_uslug!$A:$A,0))*1.08,0),"")</x:f>
        <x:v>887</x:v>
      </x:c>
      <x:c r="AJ46" s="717" t="n">
        <x:f>IFERROR(INDEX('04_Wycena_strona_nowa'!$O:$O,MATCH($A46,'04_Wycena_strona_nowa'!$A:$A,0)),"")</x:f>
        <x:v>827</x:v>
      </x:c>
      <x:c r="AK46" s="717" t="n">
        <x:f>IF(OR(AI46="",AJ46="",AI46=0,AJ46=0),"",AJ46-AI46)</x:f>
        <x:v>-60</x:v>
      </x:c>
      <x:c r="AL46" s="717" t="n">
        <x:f>IFERROR(ROUND(INDEX(EG_Cennik_uslug!$CG:$CG,MATCH($A46,EG_Cennik_uslug!$A:$A,0))*1.08,0),"")</x:f>
        <x:v>792</x:v>
      </x:c>
      <x:c r="AM46" s="717" t="n">
        <x:f>IFERROR(INDEX('04_Wycena_strona_nowa'!$P:$P,MATCH($A46,'04_Wycena_strona_nowa'!$A:$A,0)),"")</x:f>
        <x:v>739</x:v>
      </x:c>
      <x:c r="AN46" s="717" t="n">
        <x:f>IF(OR(AL46="",AM46="",AL46=0,AM46=0),"",AM46-AL46)</x:f>
        <x:v>-53</x:v>
      </x:c>
      <x:c r="AO46" s="717" t="str">
        <x:f>""</x:f>
      </x:c>
      <x:c r="AP46" s="717" t="n">
        <x:f>IFERROR(INDEX('04_Wycena_strona_nowa'!$Q:$Q,MATCH($A46,'04_Wycena_strona_nowa'!$A:$A,0)),"")</x:f>
        <x:v>662</x:v>
      </x:c>
      <x:c r="AQ46" s="717" t="str">
        <x:f>IF(OR(AO46="",AP46="",AO46=0,AP46=0),"",AP46-AO46)</x:f>
      </x:c>
      <x:c r="AR46" s="717" t="n">
        <x:f>IFERROR(ROUND(INDEX(EG_Cennik_uslug!$CN:$CN,MATCH($A46,EG_Cennik_uslug!$A:$A,0))*1.08,0),"")</x:f>
        <x:v>3526</x:v>
      </x:c>
      <x:c r="AS46" s="717" t="n">
        <x:f>IFERROR(INDEX('04_Wycena_strona_nowa'!$M:$M,MATCH($A46,'04_Wycena_strona_nowa'!$A:$A,0)),"")</x:f>
        <x:v>1541</x:v>
      </x:c>
      <x:c r="AT46" s="717" t="n">
        <x:f>IF(OR(AR46="",AS46="",AR46=0,AS46=0),"",AS46-AR46)</x:f>
        <x:v>-1985</x:v>
      </x:c>
      <x:c r="AU46" s="717" t="n">
        <x:f>IFERROR(ROUND(INDEX(EG_Cennik_uslug!$CU:$CU,MATCH($A46,EG_Cennik_uslug!$A:$A,0))*1.08,0),"")</x:f>
        <x:v>4220</x:v>
      </x:c>
      <x:c r="AV46" s="717" t="n">
        <x:f>IFERROR(INDEX('04_Wycena_strona_nowa'!$R:$R,MATCH($A46,'04_Wycena_strona_nowa'!$A:$A,0)),"")</x:f>
        <x:v>4160</x:v>
      </x:c>
      <x:c r="AW46" s="717" t="n">
        <x:f>IF(OR(AU46="",AV46="",AU46=0,AV46=0),"",AV46-AU46)</x:f>
        <x:v>-60</x:v>
      </x:c>
      <x:c r="AX46" s="717" t="str">
        <x:f>""</x:f>
      </x:c>
      <x:c r="AY46" s="717" t="str">
        <x:f>IFERROR(INDEX('04_Wycena_strona_nowa'!$S:$S,MATCH($A46,'04_Wycena_strona_nowa'!$A:$A,0)),"")</x:f>
      </x:c>
      <x:c r="AZ46" s="717" t="str">
        <x:f>IF(OR(AX46="",AY46="",AX46=0,AY46=0),"",AY46-AX46)</x:f>
      </x:c>
      <x:c r="BA46" s="612" t="e">
        <x:f>_xludf.TEXTJOIN("; ",TRUE,IF(OR(LEFT($A46,3)="550",LEFT($A46,3)="600"),"550/600: EG brak benchmarku; opcje szklane/zerowe ukryte w porównaniu do czasu potwierdzenia",""),"LED CCT/RGB: porównanie orientacyjne do EG LED COB","Zabieraki: brak jednoznacznej pozycji EG")</x:f>
      </x:c>
    </x:row>
    <x:row r="47">
      <x:c r="A47" s="608" t="str">
        <x:f>'04_Wycena_strona_nowa'!A47</x:f>
        <x:v>500 x 806 cm</x:v>
      </x:c>
      <x:c r="B47" s="717" t="n">
        <x:f>IFERROR(INDEX(EG_Wycena_strona!$B:$B,MATCH($A47,EG_Wycena_strona!$A:$A,0)),"")</x:f>
        <x:v>31287</x:v>
      </x:c>
      <x:c r="C47" s="717" t="n">
        <x:f>IFERROR(INDEX('04_Wycena_strona_nowa'!$B:$B,MATCH($A47,'04_Wycena_strona_nowa'!$A:$A,0)),"")</x:f>
        <x:v>29561</x:v>
      </x:c>
      <x:c r="D47" s="717" t="n">
        <x:f>IF(OR(B47="",C47="",B47=0,C47=0),"",C47-B47)</x:f>
        <x:v>-1726</x:v>
      </x:c>
      <x:c r="E47" s="717" t="n">
        <x:f>IFERROR(INDEX(EG_Wycena_strona!$C:$C,MATCH($A47,EG_Wycena_strona!$A:$A,0)),"")</x:f>
        <x:v>29341</x:v>
      </x:c>
      <x:c r="F47" s="717" t="n">
        <x:f>IFERROR(INDEX('04_Wycena_strona_nowa'!$C:$C,MATCH($A47,'04_Wycena_strona_nowa'!$A:$A,0)),"")</x:f>
        <x:v>25974</x:v>
      </x:c>
      <x:c r="G47" s="717" t="n">
        <x:f>IF(OR(E47="",F47="",E47=0,F47=0),"",F47-E47)</x:f>
        <x:v>-3367</x:v>
      </x:c>
      <x:c r="H47" s="717" t="n">
        <x:f>IFERROR(INDEX(EG_Wycena_strona!$D:$D,MATCH($A47,EG_Wycena_strona!$A:$A,0)),"")</x:f>
        <x:v>32286</x:v>
      </x:c>
      <x:c r="I47" s="717" t="n">
        <x:f>IFERROR(INDEX('04_Wycena_strona_nowa'!$D:$D,MATCH($A47,'04_Wycena_strona_nowa'!$A:$A,0)),"")</x:f>
        <x:v>28724</x:v>
      </x:c>
      <x:c r="J47" s="717" t="n">
        <x:f>IF(OR(H47="",I47="",H47=0,I47=0),"",I47-H47)</x:f>
        <x:v>-3562</x:v>
      </x:c>
      <x:c r="K47" s="717" t="n">
        <x:f>IFERROR(INDEX(EG_Wycena_strona!$E:$E,MATCH($A47,EG_Wycena_strona!$A:$A,0)),"")</x:f>
        <x:v>1132</x:v>
      </x:c>
      <x:c r="L47" s="717" t="n">
        <x:f>IFERROR(INDEX('04_Wycena_strona_nowa'!$E:$E,MATCH($A47,'04_Wycena_strona_nowa'!$A:$A,0)),"")</x:f>
        <x:v>1057</x:v>
      </x:c>
      <x:c r="M47" s="717" t="n">
        <x:f>IF(OR(K47="",L47="",K47=0,L47=0),"",L47-K47)</x:f>
        <x:v>-75</x:v>
      </x:c>
      <x:c r="N47" s="717" t="n">
        <x:f>IFERROR(INDEX(EG_Wycena_strona!$F:$F,MATCH($A47,EG_Wycena_strona!$A:$A,0)),"")</x:f>
        <x:v>16635</x:v>
      </x:c>
      <x:c r="O47" s="717" t="n">
        <x:f>IFERROR(INDEX('04_Wycena_strona_nowa'!$F:$F,MATCH($A47,'04_Wycena_strona_nowa'!$A:$A,0)),"")</x:f>
        <x:v>14591</x:v>
      </x:c>
      <x:c r="P47" s="717" t="n">
        <x:f>IF(OR(N47="",O47="",N47=0,O47=0),"",O47-N47)</x:f>
        <x:v>-2044</x:v>
      </x:c>
      <x:c r="Q47" s="717" t="n">
        <x:f>IFERROR(INDEX(EG_Wycena_strona!$G:$G,MATCH($A47,EG_Wycena_strona!$A:$A,0)),"")</x:f>
        <x:v>18163</x:v>
      </x:c>
      <x:c r="R47" s="717" t="n">
        <x:f>IFERROR(INDEX('04_Wycena_strona_nowa'!$G:$G,MATCH($A47,'04_Wycena_strona_nowa'!$A:$A,0)),"")</x:f>
        <x:v>16018</x:v>
      </x:c>
      <x:c r="S47" s="717" t="n">
        <x:f>IF(OR(Q47="",R47="",Q47=0,R47=0),"",R47-Q47)</x:f>
        <x:v>-2145</x:v>
      </x:c>
      <x:c r="T47" s="717" t="n">
        <x:f>IFERROR(INDEX(EG_Wycena_strona!$H:$H,MATCH($A47,EG_Wycena_strona!$A:$A,0)),"")</x:f>
        <x:v>5205</x:v>
      </x:c>
      <x:c r="U47" s="717" t="n">
        <x:f>IFERROR(INDEX('04_Wycena_strona_nowa'!$H:$H,MATCH($A47,'04_Wycena_strona_nowa'!$A:$A,0)),"")</x:f>
        <x:v>4711</x:v>
      </x:c>
      <x:c r="V47" s="717" t="n">
        <x:f>IF(OR(T47="",U47="",T47=0,U47=0),"",U47-T47)</x:f>
        <x:v>-494</x:v>
      </x:c>
      <x:c r="W47" s="717" t="n">
        <x:f>IFERROR(INDEX(EG_Wycena_strona!$I:$I,MATCH($A47,EG_Wycena_strona!$A:$A,0)),"")</x:f>
        <x:v>5205</x:v>
      </x:c>
      <x:c r="X47" s="717" t="n">
        <x:f>IFERROR(INDEX('04_Wycena_strona_nowa'!$I:$I,MATCH($A47,'04_Wycena_strona_nowa'!$A:$A,0)),"")</x:f>
        <x:v>4711</x:v>
      </x:c>
      <x:c r="Y47" s="717" t="n">
        <x:f>IF(OR(W47="",X47="",W47=0,X47=0),"",X47-W47)</x:f>
        <x:v>-494</x:v>
      </x:c>
      <x:c r="Z47" s="717" t="n">
        <x:f>IFERROR(INDEX(EG_Wycena_strona!$J:$J,MATCH($A47,EG_Wycena_strona!$A:$A,0)),"")</x:f>
        <x:v>7520</x:v>
      </x:c>
      <x:c r="AA47" s="717" t="n">
        <x:f>IFERROR(INDEX('04_Wycena_strona_nowa'!$J:$J,MATCH($A47,'04_Wycena_strona_nowa'!$A:$A,0)),"")</x:f>
        <x:v>6723</x:v>
      </x:c>
      <x:c r="AB47" s="717" t="n">
        <x:f>IF(OR(Z47="",AA47="",Z47=0,AA47=0),"",AA47-Z47)</x:f>
        <x:v>-797</x:v>
      </x:c>
      <x:c r="AC47" s="717" t="n">
        <x:f>IFERROR(INDEX(EG_Wycena_strona!$K:$K,MATCH($A47,EG_Wycena_strona!$A:$A,0)),"")</x:f>
        <x:v>13269</x:v>
      </x:c>
      <x:c r="AD47" s="717" t="n">
        <x:f>IFERROR(INDEX('04_Wycena_strona_nowa'!$K:$K,MATCH($A47,'04_Wycena_strona_nowa'!$A:$A,0)),"")</x:f>
        <x:v>11891</x:v>
      </x:c>
      <x:c r="AE47" s="717" t="n">
        <x:f>IF(OR(AC47="",AD47="",AC47=0,AD47=0),"",AD47-AC47)</x:f>
        <x:v>-1378</x:v>
      </x:c>
      <x:c r="AF47" s="717" t="n">
        <x:f>IFERROR(ROUND(INDEX(EG_Cennik_uslug!$BS:$BS,MATCH($A47,EG_Cennik_uslug!$A:$A,0))*1.08,0),"")</x:f>
        <x:v>3018</x:v>
      </x:c>
      <x:c r="AG47" s="717" t="n">
        <x:f>IFERROR(INDEX('04_Wycena_strona_nowa'!$L:$L,MATCH($A47,'04_Wycena_strona_nowa'!$A:$A,0)),"")</x:f>
        <x:v>3110</x:v>
      </x:c>
      <x:c r="AH47" s="717" t="n">
        <x:f>IF(OR(AF47="",AG47="",AF47=0,AG47=0),"",AG47-AF47)</x:f>
        <x:v>92</x:v>
      </x:c>
      <x:c r="AI47" s="717" t="n">
        <x:f>IFERROR(ROUND(INDEX(EG_Cennik_uslug!$BZ:$BZ,MATCH($A47,EG_Cennik_uslug!$A:$A,0))*1.08,0),"")</x:f>
        <x:v>942</x:v>
      </x:c>
      <x:c r="AJ47" s="717" t="n">
        <x:f>IFERROR(INDEX('04_Wycena_strona_nowa'!$O:$O,MATCH($A47,'04_Wycena_strona_nowa'!$A:$A,0)),"")</x:f>
        <x:v>878</x:v>
      </x:c>
      <x:c r="AK47" s="717" t="n">
        <x:f>IF(OR(AI47="",AJ47="",AI47=0,AJ47=0),"",AJ47-AI47)</x:f>
        <x:v>-64</x:v>
      </x:c>
      <x:c r="AL47" s="717" t="n">
        <x:f>IFERROR(ROUND(INDEX(EG_Cennik_uslug!$CG:$CG,MATCH($A47,EG_Cennik_uslug!$A:$A,0))*1.08,0),"")</x:f>
        <x:v>846</x:v>
      </x:c>
      <x:c r="AM47" s="717" t="n">
        <x:f>IFERROR(INDEX('04_Wycena_strona_nowa'!$P:$P,MATCH($A47,'04_Wycena_strona_nowa'!$A:$A,0)),"")</x:f>
        <x:v>789</x:v>
      </x:c>
      <x:c r="AN47" s="717" t="n">
        <x:f>IF(OR(AL47="",AM47="",AL47=0,AM47=0),"",AM47-AL47)</x:f>
        <x:v>-57</x:v>
      </x:c>
      <x:c r="AO47" s="717" t="str">
        <x:f>""</x:f>
      </x:c>
      <x:c r="AP47" s="717" t="n">
        <x:f>IFERROR(INDEX('04_Wycena_strona_nowa'!$Q:$Q,MATCH($A47,'04_Wycena_strona_nowa'!$A:$A,0)),"")</x:f>
        <x:v>713</x:v>
      </x:c>
      <x:c r="AQ47" s="717" t="str">
        <x:f>IF(OR(AO47="",AP47="",AO47=0,AP47=0),"",AP47-AO47)</x:f>
      </x:c>
      <x:c r="AR47" s="717" t="n">
        <x:f>IFERROR(ROUND(INDEX(EG_Cennik_uslug!$CN:$CN,MATCH($A47,EG_Cennik_uslug!$A:$A,0))*1.08,0),"")</x:f>
        <x:v>3947</x:v>
      </x:c>
      <x:c r="AS47" s="717" t="n">
        <x:f>IFERROR(INDEX('04_Wycena_strona_nowa'!$M:$M,MATCH($A47,'04_Wycena_strona_nowa'!$A:$A,0)),"")</x:f>
        <x:v>1834</x:v>
      </x:c>
      <x:c r="AT47" s="717" t="n">
        <x:f>IF(OR(AR47="",AS47="",AR47=0,AS47=0),"",AS47-AR47)</x:f>
        <x:v>-2113</x:v>
      </x:c>
      <x:c r="AU47" s="717" t="n">
        <x:f>IFERROR(ROUND(INDEX(EG_Cennik_uslug!$CU:$CU,MATCH($A47,EG_Cennik_uslug!$A:$A,0))*1.08,0),"")</x:f>
        <x:v>4606</x:v>
      </x:c>
      <x:c r="AV47" s="717" t="n">
        <x:f>IFERROR(INDEX('04_Wycena_strona_nowa'!$R:$R,MATCH($A47,'04_Wycena_strona_nowa'!$A:$A,0)),"")</x:f>
        <x:v>4522</x:v>
      </x:c>
      <x:c r="AW47" s="717" t="n">
        <x:f>IF(OR(AU47="",AV47="",AU47=0,AV47=0),"",AV47-AU47)</x:f>
        <x:v>-84</x:v>
      </x:c>
      <x:c r="AX47" s="717" t="str">
        <x:f>""</x:f>
      </x:c>
      <x:c r="AY47" s="717" t="str">
        <x:f>IFERROR(INDEX('04_Wycena_strona_nowa'!$S:$S,MATCH($A47,'04_Wycena_strona_nowa'!$A:$A,0)),"")</x:f>
      </x:c>
      <x:c r="AZ47" s="717" t="str">
        <x:f>IF(OR(AX47="",AY47="",AX47=0,AY47=0),"",AY47-AX47)</x:f>
      </x:c>
      <x:c r="BA47" s="612" t="e">
        <x:f>_xludf.TEXTJOIN("; ",TRUE,IF(OR(LEFT($A47,3)="550",LEFT($A47,3)="600"),"550/600: EG brak benchmarku; opcje szklane/zerowe ukryte w porównaniu do czasu potwierdzenia",""),"LED CCT/RGB: porównanie orientacyjne do EG LED COB","Zabieraki: brak jednoznacznej pozycji EG")</x:f>
      </x:c>
    </x:row>
    <x:row r="48">
      <x:c r="A48" s="608" t="str">
        <x:f>'04_Wycena_strona_nowa'!A48</x:f>
        <x:v>500 x 906 cm</x:v>
      </x:c>
      <x:c r="B48" s="717" t="n">
        <x:f>IFERROR(INDEX(EG_Wycena_strona!$B:$B,MATCH($A48,EG_Wycena_strona!$A:$A,0)),"")</x:f>
        <x:v>34983</x:v>
      </x:c>
      <x:c r="C48" s="717" t="n">
        <x:f>IFERROR(INDEX('04_Wycena_strona_nowa'!$B:$B,MATCH($A48,'04_Wycena_strona_nowa'!$A:$A,0)),"")</x:f>
        <x:v>33036</x:v>
      </x:c>
      <x:c r="D48" s="717" t="n">
        <x:f>IF(OR(B48="",C48="",B48=0,C48=0),"",C48-B48)</x:f>
        <x:v>-1947</x:v>
      </x:c>
      <x:c r="E48" s="717" t="n">
        <x:f>IFERROR(INDEX(EG_Wycena_strona!$C:$C,MATCH($A48,EG_Wycena_strona!$A:$A,0)),"")</x:f>
        <x:v>31090</x:v>
      </x:c>
      <x:c r="F48" s="717" t="n">
        <x:f>IFERROR(INDEX('04_Wycena_strona_nowa'!$C:$C,MATCH($A48,'04_Wycena_strona_nowa'!$A:$A,0)),"")</x:f>
        <x:v>27470</x:v>
      </x:c>
      <x:c r="G48" s="717" t="n">
        <x:f>IF(OR(E48="",F48="",E48=0,F48=0),"",F48-E48)</x:f>
        <x:v>-3620</x:v>
      </x:c>
      <x:c r="H48" s="717" t="n">
        <x:f>IFERROR(INDEX(EG_Wycena_strona!$D:$D,MATCH($A48,EG_Wycena_strona!$A:$A,0)),"")</x:f>
        <x:v>34199</x:v>
      </x:c>
      <x:c r="I48" s="717" t="n">
        <x:f>IFERROR(INDEX('04_Wycena_strona_nowa'!$D:$D,MATCH($A48,'04_Wycena_strona_nowa'!$A:$A,0)),"")</x:f>
        <x:v>30373</x:v>
      </x:c>
      <x:c r="J48" s="717" t="n">
        <x:f>IF(OR(H48="",I48="",H48=0,I48=0),"",I48-H48)</x:f>
        <x:v>-3826</x:v>
      </x:c>
      <x:c r="K48" s="717" t="n">
        <x:f>IFERROR(INDEX(EG_Wycena_strona!$E:$E,MATCH($A48,EG_Wycena_strona!$A:$A,0)),"")</x:f>
        <x:v>1283</x:v>
      </x:c>
      <x:c r="L48" s="717" t="n">
        <x:f>IFERROR(INDEX('04_Wycena_strona_nowa'!$E:$E,MATCH($A48,'04_Wycena_strona_nowa'!$A:$A,0)),"")</x:f>
        <x:v>1197</x:v>
      </x:c>
      <x:c r="M48" s="717" t="n">
        <x:f>IF(OR(K48="",L48="",K48=0,L48=0),"",L48-K48)</x:f>
        <x:v>-86</x:v>
      </x:c>
      <x:c r="N48" s="717" t="n">
        <x:f>IFERROR(INDEX(EG_Wycena_strona!$F:$F,MATCH($A48,EG_Wycena_strona!$A:$A,0)),"")</x:f>
        <x:v>18845</x:v>
      </x:c>
      <x:c r="O48" s="717" t="n">
        <x:f>IFERROR(INDEX('04_Wycena_strona_nowa'!$F:$F,MATCH($A48,'04_Wycena_strona_nowa'!$A:$A,0)),"")</x:f>
        <x:v>16564</x:v>
      </x:c>
      <x:c r="P48" s="717" t="n">
        <x:f>IF(OR(N48="",O48="",N48=0,O48=0),"",O48-N48)</x:f>
        <x:v>-2281</x:v>
      </x:c>
      <x:c r="Q48" s="717" t="n">
        <x:f>IFERROR(INDEX(EG_Wycena_strona!$G:$G,MATCH($A48,EG_Wycena_strona!$A:$A,0)),"")</x:f>
        <x:v>20563</x:v>
      </x:c>
      <x:c r="R48" s="717" t="n">
        <x:f>IFERROR(INDEX('04_Wycena_strona_nowa'!$G:$G,MATCH($A48,'04_Wycena_strona_nowa'!$A:$A,0)),"")</x:f>
        <x:v>18168</x:v>
      </x:c>
      <x:c r="S48" s="717" t="n">
        <x:f>IF(OR(Q48="",R48="",Q48=0,R48=0),"",R48-Q48)</x:f>
        <x:v>-2395</x:v>
      </x:c>
      <x:c r="T48" s="717" t="n">
        <x:f>IFERROR(INDEX(EG_Wycena_strona!$H:$H,MATCH($A48,EG_Wycena_strona!$A:$A,0)),"")</x:f>
        <x:v>5205</x:v>
      </x:c>
      <x:c r="U48" s="717" t="n">
        <x:f>IFERROR(INDEX('04_Wycena_strona_nowa'!$H:$H,MATCH($A48,'04_Wycena_strona_nowa'!$A:$A,0)),"")</x:f>
        <x:v>4711</x:v>
      </x:c>
      <x:c r="V48" s="717" t="n">
        <x:f>IF(OR(T48="",U48="",T48=0,U48=0),"",U48-T48)</x:f>
        <x:v>-494</x:v>
      </x:c>
      <x:c r="W48" s="717" t="n">
        <x:f>IFERROR(INDEX(EG_Wycena_strona!$I:$I,MATCH($A48,EG_Wycena_strona!$A:$A,0)),"")</x:f>
        <x:v>5205</x:v>
      </x:c>
      <x:c r="X48" s="717" t="n">
        <x:f>IFERROR(INDEX('04_Wycena_strona_nowa'!$I:$I,MATCH($A48,'04_Wycena_strona_nowa'!$A:$A,0)),"")</x:f>
        <x:v>4711</x:v>
      </x:c>
      <x:c r="Y48" s="717" t="n">
        <x:f>IF(OR(W48="",X48="",W48=0,X48=0),"",X48-W48)</x:f>
        <x:v>-494</x:v>
      </x:c>
      <x:c r="Z48" s="717" t="n">
        <x:f>IFERROR(INDEX(EG_Wycena_strona!$J:$J,MATCH($A48,EG_Wycena_strona!$A:$A,0)),"")</x:f>
        <x:v>9209</x:v>
      </x:c>
      <x:c r="AA48" s="717" t="n">
        <x:f>IFERROR(INDEX('04_Wycena_strona_nowa'!$J:$J,MATCH($A48,'04_Wycena_strona_nowa'!$A:$A,0)),"")</x:f>
        <x:v>8148</x:v>
      </x:c>
      <x:c r="AB48" s="717" t="n">
        <x:f>IF(OR(Z48="",AA48="",Z48=0,AA48=0),"",AA48-Z48)</x:f>
        <x:v>-1061</x:v>
      </x:c>
      <x:c r="AC48" s="717" t="n">
        <x:f>IFERROR(INDEX(EG_Wycena_strona!$K:$K,MATCH($A48,EG_Wycena_strona!$A:$A,0)),"")</x:f>
        <x:v>14346</x:v>
      </x:c>
      <x:c r="AD48" s="717" t="n">
        <x:f>IFERROR(INDEX('04_Wycena_strona_nowa'!$K:$K,MATCH($A48,'04_Wycena_strona_nowa'!$A:$A,0)),"")</x:f>
        <x:v>12846</x:v>
      </x:c>
      <x:c r="AE48" s="717" t="n">
        <x:f>IF(OR(AC48="",AD48="",AC48=0,AD48=0),"",AD48-AC48)</x:f>
        <x:v>-1500</x:v>
      </x:c>
      <x:c r="AF48" s="717" t="n">
        <x:f>IFERROR(ROUND(INDEX(EG_Cennik_uslug!$BS:$BS,MATCH($A48,EG_Cennik_uslug!$A:$A,0))*1.08,0),"")</x:f>
        <x:v>3282</x:v>
      </x:c>
      <x:c r="AG48" s="717" t="n">
        <x:f>IFERROR(INDEX('04_Wycena_strona_nowa'!$L:$L,MATCH($A48,'04_Wycena_strona_nowa'!$A:$A,0)),"")</x:f>
        <x:v>3381</x:v>
      </x:c>
      <x:c r="AH48" s="717" t="n">
        <x:f>IF(OR(AF48="",AG48="",AF48=0,AG48=0),"",AG48-AF48)</x:f>
        <x:v>99</x:v>
      </x:c>
      <x:c r="AI48" s="717" t="n">
        <x:f>IFERROR(ROUND(INDEX(EG_Cennik_uslug!$BZ:$BZ,MATCH($A48,EG_Cennik_uslug!$A:$A,0))*1.08,0),"")</x:f>
        <x:v>982</x:v>
      </x:c>
      <x:c r="AJ48" s="717" t="n">
        <x:f>IFERROR(INDEX('04_Wycena_strona_nowa'!$O:$O,MATCH($A48,'04_Wycena_strona_nowa'!$A:$A,0)),"")</x:f>
        <x:v>916</x:v>
      </x:c>
      <x:c r="AK48" s="717" t="n">
        <x:f>IF(OR(AI48="",AJ48="",AI48=0,AJ48=0),"",AJ48-AI48)</x:f>
        <x:v>-66</x:v>
      </x:c>
      <x:c r="AL48" s="717" t="n">
        <x:f>IFERROR(ROUND(INDEX(EG_Cennik_uslug!$CG:$CG,MATCH($A48,EG_Cennik_uslug!$A:$A,0))*1.08,0),"")</x:f>
        <x:v>887</x:v>
      </x:c>
      <x:c r="AM48" s="717" t="n">
        <x:f>IFERROR(INDEX('04_Wycena_strona_nowa'!$P:$P,MATCH($A48,'04_Wycena_strona_nowa'!$A:$A,0)),"")</x:f>
        <x:v>827</x:v>
      </x:c>
      <x:c r="AN48" s="717" t="n">
        <x:f>IF(OR(AL48="",AM48="",AL48=0,AM48=0),"",AM48-AL48)</x:f>
        <x:v>-60</x:v>
      </x:c>
      <x:c r="AO48" s="717" t="str">
        <x:f>""</x:f>
      </x:c>
      <x:c r="AP48" s="717" t="n">
        <x:f>IFERROR(INDEX('04_Wycena_strona_nowa'!$Q:$Q,MATCH($A48,'04_Wycena_strona_nowa'!$A:$A,0)),"")</x:f>
        <x:v>713</x:v>
      </x:c>
      <x:c r="AQ48" s="717" t="str">
        <x:f>IF(OR(AO48="",AP48="",AO48=0,AP48=0),"",AP48-AO48)</x:f>
      </x:c>
      <x:c r="AR48" s="717" t="n">
        <x:f>IFERROR(ROUND(INDEX(EG_Cennik_uslug!$CN:$CN,MATCH($A48,EG_Cennik_uslug!$A:$A,0))*1.08,0),"")</x:f>
        <x:v>4358</x:v>
      </x:c>
      <x:c r="AS48" s="717" t="n">
        <x:f>IFERROR(INDEX('04_Wycena_strona_nowa'!$M:$M,MATCH($A48,'04_Wycena_strona_nowa'!$A:$A,0)),"")</x:f>
        <x:v>1986</x:v>
      </x:c>
      <x:c r="AT48" s="717" t="n">
        <x:f>IF(OR(AR48="",AS48="",AR48=0,AS48=0),"",AS48-AR48)</x:f>
        <x:v>-2372</x:v>
      </x:c>
      <x:c r="AU48" s="717" t="n">
        <x:f>IFERROR(ROUND(INDEX(EG_Cennik_uslug!$CU:$CU,MATCH($A48,EG_Cennik_uslug!$A:$A,0))*1.08,0),"")</x:f>
        <x:v>4992</x:v>
      </x:c>
      <x:c r="AV48" s="717" t="n">
        <x:f>IFERROR(INDEX('04_Wycena_strona_nowa'!$R:$R,MATCH($A48,'04_Wycena_strona_nowa'!$A:$A,0)),"")</x:f>
        <x:v>4849</x:v>
      </x:c>
      <x:c r="AW48" s="717" t="n">
        <x:f>IF(OR(AU48="",AV48="",AU48=0,AV48=0),"",AV48-AU48)</x:f>
        <x:v>-143</x:v>
      </x:c>
      <x:c r="AX48" s="717" t="str">
        <x:f>""</x:f>
      </x:c>
      <x:c r="AY48" s="717" t="str">
        <x:f>IFERROR(INDEX('04_Wycena_strona_nowa'!$S:$S,MATCH($A48,'04_Wycena_strona_nowa'!$A:$A,0)),"")</x:f>
      </x:c>
      <x:c r="AZ48" s="717" t="str">
        <x:f>IF(OR(AX48="",AY48="",AX48=0,AY48=0),"",AY48-AX48)</x:f>
      </x:c>
      <x:c r="BA48" s="612" t="e">
        <x:f>_xludf.TEXTJOIN("; ",TRUE,IF(OR(LEFT($A48,3)="550",LEFT($A48,3)="600"),"550/600: EG brak benchmarku; opcje szklane/zerowe ukryte w porównaniu do czasu potwierdzenia",""),"LED CCT/RGB: porównanie orientacyjne do EG LED COB","Zabieraki: brak jednoznacznej pozycji EG")</x:f>
      </x:c>
    </x:row>
    <x:row r="49">
      <x:c r="A49" s="608" t="str">
        <x:f>'04_Wycena_strona_nowa'!A49</x:f>
        <x:v>500 x 1006 cm</x:v>
      </x:c>
      <x:c r="B49" s="717" t="n">
        <x:f>IFERROR(INDEX(EG_Wycena_strona!$B:$B,MATCH($A49,EG_Wycena_strona!$A:$A,0)),"")</x:f>
        <x:v>38014</x:v>
      </x:c>
      <x:c r="C49" s="717" t="n">
        <x:f>IFERROR(INDEX('04_Wycena_strona_nowa'!$B:$B,MATCH($A49,'04_Wycena_strona_nowa'!$A:$A,0)),"")</x:f>
        <x:v>35886</x:v>
      </x:c>
      <x:c r="D49" s="717" t="n">
        <x:f>IF(OR(B49="",C49="",B49=0,C49=0),"",C49-B49)</x:f>
        <x:v>-2128</x:v>
      </x:c>
      <x:c r="E49" s="717" t="n">
        <x:f>IFERROR(INDEX(EG_Wycena_strona!$C:$C,MATCH($A49,EG_Wycena_strona!$A:$A,0)),"")</x:f>
        <x:v>32846</x:v>
      </x:c>
      <x:c r="F49" s="717" t="n">
        <x:f>IFERROR(INDEX('04_Wycena_strona_nowa'!$C:$C,MATCH($A49,'04_Wycena_strona_nowa'!$A:$A,0)),"")</x:f>
        <x:v>28994</x:v>
      </x:c>
      <x:c r="G49" s="717" t="n">
        <x:f>IF(OR(E49="",F49="",E49=0,F49=0),"",F49-E49)</x:f>
        <x:v>-3852</x:v>
      </x:c>
      <x:c r="H49" s="717" t="n">
        <x:f>IFERROR(INDEX(EG_Wycena_strona!$D:$D,MATCH($A49,EG_Wycena_strona!$A:$A,0)),"")</x:f>
        <x:v>36117</x:v>
      </x:c>
      <x:c r="I49" s="717" t="n">
        <x:f>IFERROR(INDEX('04_Wycena_strona_nowa'!$D:$D,MATCH($A49,'04_Wycena_strona_nowa'!$A:$A,0)),"")</x:f>
        <x:v>32049</x:v>
      </x:c>
      <x:c r="J49" s="717" t="n">
        <x:f>IF(OR(H49="",I49="",H49=0,I49=0),"",I49-H49)</x:f>
        <x:v>-4068</x:v>
      </x:c>
      <x:c r="K49" s="717" t="n">
        <x:f>IFERROR(INDEX(EG_Wycena_strona!$E:$E,MATCH($A49,EG_Wycena_strona!$A:$A,0)),"")</x:f>
        <x:v>1419</x:v>
      </x:c>
      <x:c r="L49" s="717" t="n">
        <x:f>IFERROR(INDEX('04_Wycena_strona_nowa'!$E:$E,MATCH($A49,'04_Wycena_strona_nowa'!$A:$A,0)),"")</x:f>
        <x:v>1325</x:v>
      </x:c>
      <x:c r="M49" s="717" t="n">
        <x:f>IF(OR(K49="",L49="",K49=0,L49=0),"",L49-K49)</x:f>
        <x:v>-94</x:v>
      </x:c>
      <x:c r="N49" s="717" t="n">
        <x:f>IFERROR(INDEX(EG_Wycena_strona!$F:$F,MATCH($A49,EG_Wycena_strona!$A:$A,0)),"")</x:f>
        <x:v>21039</x:v>
      </x:c>
      <x:c r="O49" s="717" t="n">
        <x:f>IFERROR(INDEX('04_Wycena_strona_nowa'!$F:$F,MATCH($A49,'04_Wycena_strona_nowa'!$A:$A,0)),"")</x:f>
        <x:v>18511</x:v>
      </x:c>
      <x:c r="P49" s="717" t="n">
        <x:f>IF(OR(N49="",O49="",N49=0,O49=0),"",O49-N49)</x:f>
        <x:v>-2528</x:v>
      </x:c>
      <x:c r="Q49" s="717" t="n">
        <x:f>IFERROR(INDEX(EG_Wycena_strona!$G:$G,MATCH($A49,EG_Wycena_strona!$A:$A,0)),"")</x:f>
        <x:v>22948</x:v>
      </x:c>
      <x:c r="R49" s="717" t="n">
        <x:f>IFERROR(INDEX('04_Wycena_strona_nowa'!$G:$G,MATCH($A49,'04_Wycena_strona_nowa'!$A:$A,0)),"")</x:f>
        <x:v>20293</x:v>
      </x:c>
      <x:c r="S49" s="717" t="n">
        <x:f>IF(OR(Q49="",R49="",Q49=0,R49=0),"",R49-Q49)</x:f>
        <x:v>-2655</x:v>
      </x:c>
      <x:c r="T49" s="717" t="n">
        <x:f>IFERROR(INDEX(EG_Wycena_strona!$H:$H,MATCH($A49,EG_Wycena_strona!$A:$A,0)),"")</x:f>
        <x:v>5205</x:v>
      </x:c>
      <x:c r="U49" s="717" t="n">
        <x:f>IFERROR(INDEX('04_Wycena_strona_nowa'!$H:$H,MATCH($A49,'04_Wycena_strona_nowa'!$A:$A,0)),"")</x:f>
        <x:v>4711</x:v>
      </x:c>
      <x:c r="V49" s="717" t="n">
        <x:f>IF(OR(T49="",U49="",T49=0,U49=0),"",U49-T49)</x:f>
        <x:v>-494</x:v>
      </x:c>
      <x:c r="W49" s="717" t="n">
        <x:f>IFERROR(INDEX(EG_Wycena_strona!$I:$I,MATCH($A49,EG_Wycena_strona!$A:$A,0)),"")</x:f>
        <x:v>5205</x:v>
      </x:c>
      <x:c r="X49" s="717" t="n">
        <x:f>IFERROR(INDEX('04_Wycena_strona_nowa'!$I:$I,MATCH($A49,'04_Wycena_strona_nowa'!$A:$A,0)),"")</x:f>
        <x:v>4711</x:v>
      </x:c>
      <x:c r="Y49" s="717" t="n">
        <x:f>IF(OR(W49="",X49="",W49=0,X49=0),"",X49-W49)</x:f>
        <x:v>-494</x:v>
      </x:c>
      <x:c r="Z49" s="717" t="n">
        <x:f>IFERROR(INDEX(EG_Wycena_strona!$J:$J,MATCH($A49,EG_Wycena_strona!$A:$A,0)),"")</x:f>
        <x:v>9904</x:v>
      </x:c>
      <x:c r="AA49" s="717" t="n">
        <x:f>IFERROR(INDEX('04_Wycena_strona_nowa'!$J:$J,MATCH($A49,'04_Wycena_strona_nowa'!$A:$A,0)),"")</x:f>
        <x:v>8798</x:v>
      </x:c>
      <x:c r="AB49" s="717" t="n">
        <x:f>IF(OR(Z49="",AA49="",Z49=0,AA49=0),"",AA49-Z49)</x:f>
        <x:v>-1106</x:v>
      </x:c>
      <x:c r="AC49" s="717" t="n">
        <x:f>IFERROR(INDEX(EG_Wycena_strona!$K:$K,MATCH($A49,EG_Wycena_strona!$A:$A,0)),"")</x:f>
        <x:v>15407</x:v>
      </x:c>
      <x:c r="AD49" s="717" t="n">
        <x:f>IFERROR(INDEX('04_Wycena_strona_nowa'!$K:$K,MATCH($A49,'04_Wycena_strona_nowa'!$A:$A,0)),"")</x:f>
        <x:v>13788</x:v>
      </x:c>
      <x:c r="AE49" s="717" t="n">
        <x:f>IF(OR(AC49="",AD49="",AC49=0,AD49=0),"",AD49-AC49)</x:f>
        <x:v>-1619</x:v>
      </x:c>
      <x:c r="AF49" s="717" t="n">
        <x:f>IFERROR(ROUND(INDEX(EG_Cennik_uslug!$BS:$BS,MATCH($A49,EG_Cennik_uslug!$A:$A,0))*1.08,0),"")</x:f>
        <x:v>3524</x:v>
      </x:c>
      <x:c r="AG49" s="717" t="n">
        <x:f>IFERROR(INDEX('04_Wycena_strona_nowa'!$L:$L,MATCH($A49,'04_Wycena_strona_nowa'!$A:$A,0)),"")</x:f>
        <x:v>3631</x:v>
      </x:c>
      <x:c r="AH49" s="717" t="n">
        <x:f>IF(OR(AF49="",AG49="",AF49=0,AG49=0),"",AG49-AF49)</x:f>
        <x:v>107</x:v>
      </x:c>
      <x:c r="AI49" s="717" t="n">
        <x:f>IFERROR(ROUND(INDEX(EG_Cennik_uslug!$BZ:$BZ,MATCH($A49,EG_Cennik_uslug!$A:$A,0))*1.08,0),"")</x:f>
        <x:v>1037</x:v>
      </x:c>
      <x:c r="AJ49" s="717" t="n">
        <x:f>IFERROR(INDEX('04_Wycena_strona_nowa'!$O:$O,MATCH($A49,'04_Wycena_strona_nowa'!$A:$A,0)),"")</x:f>
        <x:v>968</x:v>
      </x:c>
      <x:c r="AK49" s="717" t="n">
        <x:f>IF(OR(AI49="",AJ49="",AI49=0,AJ49=0),"",AJ49-AI49)</x:f>
        <x:v>-69</x:v>
      </x:c>
      <x:c r="AL49" s="717" t="n">
        <x:f>IFERROR(ROUND(INDEX(EG_Cennik_uslug!$CG:$CG,MATCH($A49,EG_Cennik_uslug!$A:$A,0))*1.08,0),"")</x:f>
        <x:v>942</x:v>
      </x:c>
      <x:c r="AM49" s="717" t="n">
        <x:f>IFERROR(INDEX('04_Wycena_strona_nowa'!$P:$P,MATCH($A49,'04_Wycena_strona_nowa'!$A:$A,0)),"")</x:f>
        <x:v>878</x:v>
      </x:c>
      <x:c r="AN49" s="717" t="n">
        <x:f>IF(OR(AL49="",AM49="",AL49=0,AM49=0),"",AM49-AL49)</x:f>
        <x:v>-64</x:v>
      </x:c>
      <x:c r="AO49" s="717" t="str">
        <x:f>""</x:f>
      </x:c>
      <x:c r="AP49" s="717" t="n">
        <x:f>IFERROR(INDEX('04_Wycena_strona_nowa'!$Q:$Q,MATCH($A49,'04_Wycena_strona_nowa'!$A:$A,0)),"")</x:f>
        <x:v>765</x:v>
      </x:c>
      <x:c r="AQ49" s="717" t="str">
        <x:f>IF(OR(AO49="",AP49="",AO49=0,AP49=0),"",AP49-AO49)</x:f>
      </x:c>
      <x:c r="AR49" s="717" t="n">
        <x:f>IFERROR(ROUND(INDEX(EG_Cennik_uslug!$CN:$CN,MATCH($A49,EG_Cennik_uslug!$A:$A,0))*1.08,0),"")</x:f>
        <x:v>5000</x:v>
      </x:c>
      <x:c r="AS49" s="717" t="n">
        <x:f>IFERROR(INDEX('04_Wycena_strona_nowa'!$M:$M,MATCH($A49,'04_Wycena_strona_nowa'!$A:$A,0)),"")</x:f>
        <x:v>2100</x:v>
      </x:c>
      <x:c r="AT49" s="717" t="n">
        <x:f>IF(OR(AR49="",AS49="",AR49=0,AS49=0),"",AS49-AR49)</x:f>
        <x:v>-2900</x:v>
      </x:c>
      <x:c r="AU49" s="717" t="n">
        <x:f>IFERROR(ROUND(INDEX(EG_Cennik_uslug!$CU:$CU,MATCH($A49,EG_Cennik_uslug!$A:$A,0))*1.08,0),"")</x:f>
        <x:v>5962</x:v>
      </x:c>
      <x:c r="AV49" s="717" t="n">
        <x:f>IFERROR(INDEX('04_Wycena_strona_nowa'!$R:$R,MATCH($A49,'04_Wycena_strona_nowa'!$A:$A,0)),"")</x:f>
        <x:v>4959</x:v>
      </x:c>
      <x:c r="AW49" s="717" t="n">
        <x:f>IF(OR(AU49="",AV49="",AU49=0,AV49=0),"",AV49-AU49)</x:f>
        <x:v>-1003</x:v>
      </x:c>
      <x:c r="AX49" s="717" t="str">
        <x:f>""</x:f>
      </x:c>
      <x:c r="AY49" s="717" t="str">
        <x:f>IFERROR(INDEX('04_Wycena_strona_nowa'!$S:$S,MATCH($A49,'04_Wycena_strona_nowa'!$A:$A,0)),"")</x:f>
      </x:c>
      <x:c r="AZ49" s="717" t="str">
        <x:f>IF(OR(AX49="",AY49="",AX49=0,AY49=0),"",AY49-AX49)</x:f>
      </x:c>
      <x:c r="BA49" s="612" t="e">
        <x:f>_xludf.TEXTJOIN("; ",TRUE,IF(OR(LEFT($A49,3)="550",LEFT($A49,3)="600"),"550/600: EG brak benchmarku; opcje szklane/zerowe ukryte w porównaniu do czasu potwierdzenia",""),"LED CCT/RGB: porównanie orientacyjne do EG LED COB","Zabieraki: brak jednoznacznej pozycji EG")</x:f>
      </x:c>
    </x:row>
    <x:row r="50">
      <x:c r="A50" s="608" t="str">
        <x:f>'04_Wycena_strona_nowa'!A50</x:f>
        <x:v>500 x 1106 cm</x:v>
      </x:c>
      <x:c r="B50" s="717" t="n">
        <x:f>IFERROR(INDEX(EG_Wycena_strona!$B:$B,MATCH($A50,EG_Wycena_strona!$A:$A,0)),"")</x:f>
        <x:v>42313</x:v>
      </x:c>
      <x:c r="C50" s="717" t="n">
        <x:f>IFERROR(INDEX('04_Wycena_strona_nowa'!$B:$B,MATCH($A50,'04_Wycena_strona_nowa'!$A:$A,0)),"")</x:f>
        <x:v>39921</x:v>
      </x:c>
      <x:c r="D50" s="717" t="n">
        <x:f>IF(OR(B50="",C50="",B50=0,C50=0),"",C50-B50)</x:f>
        <x:v>-2392</x:v>
      </x:c>
      <x:c r="E50" s="717" t="n">
        <x:f>IFERROR(INDEX(EG_Wycena_strona!$C:$C,MATCH($A50,EG_Wycena_strona!$A:$A,0)),"")</x:f>
        <x:v>34666</x:v>
      </x:c>
      <x:c r="F50" s="717" t="n">
        <x:f>IFERROR(INDEX('04_Wycena_strona_nowa'!$C:$C,MATCH($A50,'04_Wycena_strona_nowa'!$A:$A,0)),"")</x:f>
        <x:v>30540</x:v>
      </x:c>
      <x:c r="G50" s="717" t="n">
        <x:f>IF(OR(E50="",F50="",E50=0,F50=0),"",F50-E50)</x:f>
        <x:v>-4126</x:v>
      </x:c>
      <x:c r="H50" s="717" t="n">
        <x:f>IFERROR(INDEX(EG_Wycena_strona!$D:$D,MATCH($A50,EG_Wycena_strona!$A:$A,0)),"")</x:f>
        <x:v>38101</x:v>
      </x:c>
      <x:c r="I50" s="717" t="n">
        <x:f>IFERROR(INDEX('04_Wycena_strona_nowa'!$D:$D,MATCH($A50,'04_Wycena_strona_nowa'!$A:$A,0)),"")</x:f>
        <x:v>33749</x:v>
      </x:c>
      <x:c r="J50" s="717" t="n">
        <x:f>IF(OR(H50="",I50="",H50=0,I50=0),"",I50-H50)</x:f>
        <x:v>-4352</x:v>
      </x:c>
      <x:c r="K50" s="717" t="n">
        <x:f>IFERROR(INDEX(EG_Wycena_strona!$E:$E,MATCH($A50,EG_Wycena_strona!$A:$A,0)),"")</x:f>
        <x:v>1555</x:v>
      </x:c>
      <x:c r="L50" s="717" t="n">
        <x:f>IFERROR(INDEX('04_Wycena_strona_nowa'!$E:$E,MATCH($A50,'04_Wycena_strona_nowa'!$A:$A,0)),"")</x:f>
        <x:v>1452</x:v>
      </x:c>
      <x:c r="M50" s="717" t="n">
        <x:f>IF(OR(K50="",L50="",K50=0,L50=0),"",L50-K50)</x:f>
        <x:v>-103</x:v>
      </x:c>
      <x:c r="N50" s="717" t="n">
        <x:f>IFERROR(INDEX(EG_Wycena_strona!$F:$F,MATCH($A50,EG_Wycena_strona!$A:$A,0)),"")</x:f>
        <x:v>25415</x:v>
      </x:c>
      <x:c r="O50" s="717" t="n">
        <x:f>IFERROR(INDEX('04_Wycena_strona_nowa'!$F:$F,MATCH($A50,'04_Wycena_strona_nowa'!$A:$A,0)),"")</x:f>
        <x:v>20472</x:v>
      </x:c>
      <x:c r="P50" s="717" t="n">
        <x:f>IF(OR(N50="",O50="",N50=0,O50=0),"",O50-N50)</x:f>
        <x:v>-4943</x:v>
      </x:c>
      <x:c r="Q50" s="717" t="n">
        <x:f>IFERROR(INDEX(EG_Wycena_strona!$G:$G,MATCH($A50,EG_Wycena_strona!$A:$A,0)),"")</x:f>
        <x:v>27515</x:v>
      </x:c>
      <x:c r="R50" s="717" t="n">
        <x:f>IFERROR(INDEX('04_Wycena_strona_nowa'!$G:$G,MATCH($A50,'04_Wycena_strona_nowa'!$A:$A,0)),"")</x:f>
        <x:v>22432</x:v>
      </x:c>
      <x:c r="S50" s="717" t="n">
        <x:f>IF(OR(Q50="",R50="",Q50=0,R50=0),"",R50-Q50)</x:f>
        <x:v>-5083</x:v>
      </x:c>
      <x:c r="T50" s="717" t="n">
        <x:f>IFERROR(INDEX(EG_Wycena_strona!$H:$H,MATCH($A50,EG_Wycena_strona!$A:$A,0)),"")</x:f>
        <x:v>5205</x:v>
      </x:c>
      <x:c r="U50" s="717" t="n">
        <x:f>IFERROR(INDEX('04_Wycena_strona_nowa'!$H:$H,MATCH($A50,'04_Wycena_strona_nowa'!$A:$A,0)),"")</x:f>
        <x:v>4711</x:v>
      </x:c>
      <x:c r="V50" s="717" t="n">
        <x:f>IF(OR(T50="",U50="",T50=0,U50=0),"",U50-T50)</x:f>
        <x:v>-494</x:v>
      </x:c>
      <x:c r="W50" s="717" t="n">
        <x:f>IFERROR(INDEX(EG_Wycena_strona!$I:$I,MATCH($A50,EG_Wycena_strona!$A:$A,0)),"")</x:f>
        <x:v>5205</x:v>
      </x:c>
      <x:c r="X50" s="717" t="n">
        <x:f>IFERROR(INDEX('04_Wycena_strona_nowa'!$I:$I,MATCH($A50,'04_Wycena_strona_nowa'!$A:$A,0)),"")</x:f>
        <x:v>4711</x:v>
      </x:c>
      <x:c r="Y50" s="717" t="n">
        <x:f>IF(OR(W50="",X50="",W50=0,X50=0),"",X50-W50)</x:f>
        <x:v>-494</x:v>
      </x:c>
      <x:c r="Z50" s="717" t="n">
        <x:f>IFERROR(INDEX(EG_Wycena_strona!$J:$J,MATCH($A50,EG_Wycena_strona!$A:$A,0)),"")</x:f>
        <x:v>10599</x:v>
      </x:c>
      <x:c r="AA50" s="717" t="n">
        <x:f>IFERROR(INDEX('04_Wycena_strona_nowa'!$J:$J,MATCH($A50,'04_Wycena_strona_nowa'!$A:$A,0)),"")</x:f>
        <x:v>9448</x:v>
      </x:c>
      <x:c r="AB50" s="717" t="n">
        <x:f>IF(OR(Z50="",AA50="",Z50=0,AA50=0),"",AA50-Z50)</x:f>
        <x:v>-1151</x:v>
      </x:c>
      <x:c r="AC50" s="717" t="n">
        <x:f>IFERROR(INDEX(EG_Wycena_strona!$K:$K,MATCH($A50,EG_Wycena_strona!$A:$A,0)),"")</x:f>
        <x:v>18992</x:v>
      </x:c>
      <x:c r="AD50" s="717" t="n">
        <x:f>IFERROR(INDEX('04_Wycena_strona_nowa'!$K:$K,MATCH($A50,'04_Wycena_strona_nowa'!$A:$A,0)),"")</x:f>
        <x:v>17087</x:v>
      </x:c>
      <x:c r="AE50" s="717" t="n">
        <x:f>IF(OR(AC50="",AD50="",AC50=0,AD50=0),"",AD50-AC50)</x:f>
        <x:v>-1905</x:v>
      </x:c>
      <x:c r="AF50" s="717" t="n">
        <x:f>IFERROR(ROUND(INDEX(EG_Cennik_uslug!$BS:$BS,MATCH($A50,EG_Cennik_uslug!$A:$A,0))*1.08,0),"")</x:f>
        <x:v>4068</x:v>
      </x:c>
      <x:c r="AG50" s="717" t="n">
        <x:f>IFERROR(INDEX('04_Wycena_strona_nowa'!$L:$L,MATCH($A50,'04_Wycena_strona_nowa'!$A:$A,0)),"")</x:f>
        <x:v>4191</x:v>
      </x:c>
      <x:c r="AH50" s="717" t="n">
        <x:f>IF(OR(AF50="",AG50="",AF50=0,AG50=0),"",AG50-AF50)</x:f>
        <x:v>123</x:v>
      </x:c>
      <x:c r="AI50" s="717" t="n">
        <x:f>IFERROR(ROUND(INDEX(EG_Cennik_uslug!$BZ:$BZ,MATCH($A50,EG_Cennik_uslug!$A:$A,0))*1.08,0),"")</x:f>
        <x:v>1091</x:v>
      </x:c>
      <x:c r="AJ50" s="717" t="n">
        <x:f>IFERROR(INDEX('04_Wycena_strona_nowa'!$O:$O,MATCH($A50,'04_Wycena_strona_nowa'!$A:$A,0)),"")</x:f>
        <x:v>1018</x:v>
      </x:c>
      <x:c r="AK50" s="717" t="n">
        <x:f>IF(OR(AI50="",AJ50="",AI50=0,AJ50=0),"",AJ50-AI50)</x:f>
        <x:v>-73</x:v>
      </x:c>
      <x:c r="AL50" s="717" t="n">
        <x:f>IFERROR(ROUND(INDEX(EG_Cennik_uslug!$CG:$CG,MATCH($A50,EG_Cennik_uslug!$A:$A,0))*1.08,0),"")</x:f>
        <x:v>982</x:v>
      </x:c>
      <x:c r="AM50" s="717" t="n">
        <x:f>IFERROR(INDEX('04_Wycena_strona_nowa'!$P:$P,MATCH($A50,'04_Wycena_strona_nowa'!$A:$A,0)),"")</x:f>
        <x:v>916</x:v>
      </x:c>
      <x:c r="AN50" s="717" t="n">
        <x:f>IF(OR(AL50="",AM50="",AL50=0,AM50=0),"",AM50-AL50)</x:f>
        <x:v>-66</x:v>
      </x:c>
      <x:c r="AO50" s="717" t="str">
        <x:f>""</x:f>
      </x:c>
      <x:c r="AP50" s="717" t="n">
        <x:f>IFERROR(INDEX('04_Wycena_strona_nowa'!$Q:$Q,MATCH($A50,'04_Wycena_strona_nowa'!$A:$A,0)),"")</x:f>
        <x:v>814</x:v>
      </x:c>
      <x:c r="AQ50" s="717" t="str">
        <x:f>IF(OR(AO50="",AP50="",AO50=0,AP50=0),"",AP50-AO50)</x:f>
      </x:c>
      <x:c r="AR50" s="717" t="n">
        <x:f>IFERROR(ROUND(INDEX(EG_Cennik_uslug!$CN:$CN,MATCH($A50,EG_Cennik_uslug!$A:$A,0))*1.08,0),"")</x:f>
        <x:v>5562</x:v>
      </x:c>
      <x:c r="AS50" s="717" t="n">
        <x:f>IFERROR(INDEX('04_Wycena_strona_nowa'!$M:$M,MATCH($A50,'04_Wycena_strona_nowa'!$A:$A,0)),"")</x:f>
        <x:v>2254</x:v>
      </x:c>
      <x:c r="AT50" s="717" t="n">
        <x:f>IF(OR(AR50="",AS50="",AR50=0,AS50=0),"",AS50-AR50)</x:f>
        <x:v>-3308</x:v>
      </x:c>
      <x:c r="AU50" s="717" t="n">
        <x:f>IFERROR(ROUND(INDEX(EG_Cennik_uslug!$CU:$CU,MATCH($A50,EG_Cennik_uslug!$A:$A,0))*1.08,0),"")</x:f>
        <x:v>6347</x:v>
      </x:c>
      <x:c r="AV50" s="717" t="n">
        <x:f>IFERROR(INDEX('04_Wycena_strona_nowa'!$R:$R,MATCH($A50,'04_Wycena_strona_nowa'!$A:$A,0)),"")</x:f>
        <x:v>5319</x:v>
      </x:c>
      <x:c r="AW50" s="717" t="n">
        <x:f>IF(OR(AU50="",AV50="",AU50=0,AV50=0),"",AV50-AU50)</x:f>
        <x:v>-1028</x:v>
      </x:c>
      <x:c r="AX50" s="717" t="str">
        <x:f>""</x:f>
      </x:c>
      <x:c r="AY50" s="717" t="str">
        <x:f>IFERROR(INDEX('04_Wycena_strona_nowa'!$S:$S,MATCH($A50,'04_Wycena_strona_nowa'!$A:$A,0)),"")</x:f>
      </x:c>
      <x:c r="AZ50" s="717" t="str">
        <x:f>IF(OR(AX50="",AY50="",AX50=0,AY50=0),"",AY50-AX50)</x:f>
      </x:c>
      <x:c r="BA50" s="612" t="e">
        <x:f>_xludf.TEXTJOIN("; ",TRUE,IF(OR(LEFT($A50,3)="550",LEFT($A50,3)="600"),"550/600: EG brak benchmarku; opcje szklane/zerowe ukryte w porównaniu do czasu potwierdzenia",""),"LED CCT/RGB: porównanie orientacyjne do EG LED COB","Zabieraki: brak jednoznacznej pozycji EG")</x:f>
      </x:c>
    </x:row>
    <x:row r="51">
      <x:c r="A51" s="608" t="str">
        <x:f>'04_Wycena_strona_nowa'!A51</x:f>
        <x:v>500 x 1206 cm</x:v>
      </x:c>
      <x:c r="B51" s="717" t="n">
        <x:f>IFERROR(INDEX(EG_Wycena_strona!$B:$B,MATCH($A51,EG_Wycena_strona!$A:$A,0)),"")</x:f>
        <x:v>45341</x:v>
      </x:c>
      <x:c r="C51" s="717" t="n">
        <x:f>IFERROR(INDEX('04_Wycena_strona_nowa'!$B:$B,MATCH($A51,'04_Wycena_strona_nowa'!$A:$A,0)),"")</x:f>
        <x:v>42769</x:v>
      </x:c>
      <x:c r="D51" s="717" t="n">
        <x:f>IF(OR(B51="",C51="",B51=0,C51=0),"",C51-B51)</x:f>
        <x:v>-2572</x:v>
      </x:c>
      <x:c r="E51" s="717" t="n">
        <x:f>IFERROR(INDEX(EG_Wycena_strona!$C:$C,MATCH($A51,EG_Wycena_strona!$A:$A,0)),"")</x:f>
        <x:v>36512</x:v>
      </x:c>
      <x:c r="F51" s="717" t="n">
        <x:f>IFERROR(INDEX('04_Wycena_strona_nowa'!$C:$C,MATCH($A51,'04_Wycena_strona_nowa'!$A:$A,0)),"")</x:f>
        <x:v>32142</x:v>
      </x:c>
      <x:c r="G51" s="717" t="n">
        <x:f>IF(OR(E51="",F51="",E51=0,F51=0),"",F51-E51)</x:f>
        <x:v>-4370</x:v>
      </x:c>
      <x:c r="H51" s="717" t="n">
        <x:f>IFERROR(INDEX(EG_Wycena_strona!$D:$D,MATCH($A51,EG_Wycena_strona!$A:$A,0)),"")</x:f>
        <x:v>40111</x:v>
      </x:c>
      <x:c r="I51" s="717" t="n">
        <x:f>IFERROR(INDEX('04_Wycena_strona_nowa'!$D:$D,MATCH($A51,'04_Wycena_strona_nowa'!$A:$A,0)),"")</x:f>
        <x:v>35503</x:v>
      </x:c>
      <x:c r="J51" s="717" t="n">
        <x:f>IF(OR(H51="",I51="",H51=0,I51=0),"",I51-H51)</x:f>
        <x:v>-4608</x:v>
      </x:c>
      <x:c r="K51" s="717" t="n">
        <x:f>IFERROR(INDEX(EG_Wycena_strona!$E:$E,MATCH($A51,EG_Wycena_strona!$A:$A,0)),"")</x:f>
        <x:v>1704</x:v>
      </x:c>
      <x:c r="L51" s="717" t="n">
        <x:f>IFERROR(INDEX('04_Wycena_strona_nowa'!$E:$E,MATCH($A51,'04_Wycena_strona_nowa'!$A:$A,0)),"")</x:f>
        <x:v>1591</x:v>
      </x:c>
      <x:c r="M51" s="717" t="n">
        <x:f>IF(OR(K51="",L51="",K51=0,L51=0),"",L51-K51)</x:f>
        <x:v>-113</x:v>
      </x:c>
      <x:c r="N51" s="717" t="n">
        <x:f>IFERROR(INDEX(EG_Wycena_strona!$F:$F,MATCH($A51,EG_Wycena_strona!$A:$A,0)),"")</x:f>
        <x:v>25444</x:v>
      </x:c>
      <x:c r="O51" s="717" t="n">
        <x:f>IFERROR(INDEX('04_Wycena_strona_nowa'!$F:$F,MATCH($A51,'04_Wycena_strona_nowa'!$A:$A,0)),"")</x:f>
        <x:v>22433</x:v>
      </x:c>
      <x:c r="P51" s="717" t="n">
        <x:f>IF(OR(N51="",O51="",N51=0,O51=0),"",O51-N51)</x:f>
        <x:v>-3011</x:v>
      </x:c>
      <x:c r="Q51" s="717" t="n">
        <x:f>IFERROR(INDEX(EG_Wycena_strona!$G:$G,MATCH($A51,EG_Wycena_strona!$A:$A,0)),"")</x:f>
        <x:v>27734</x:v>
      </x:c>
      <x:c r="R51" s="717" t="n">
        <x:f>IFERROR(INDEX('04_Wycena_strona_nowa'!$G:$G,MATCH($A51,'04_Wycena_strona_nowa'!$A:$A,0)),"")</x:f>
        <x:v>24572</x:v>
      </x:c>
      <x:c r="S51" s="717" t="n">
        <x:f>IF(OR(Q51="",R51="",Q51=0,R51=0),"",R51-Q51)</x:f>
        <x:v>-3162</x:v>
      </x:c>
      <x:c r="T51" s="717" t="n">
        <x:f>IFERROR(INDEX(EG_Wycena_strona!$H:$H,MATCH($A51,EG_Wycena_strona!$A:$A,0)),"")</x:f>
        <x:v>5205</x:v>
      </x:c>
      <x:c r="U51" s="717" t="n">
        <x:f>IFERROR(INDEX('04_Wycena_strona_nowa'!$H:$H,MATCH($A51,'04_Wycena_strona_nowa'!$A:$A,0)),"")</x:f>
        <x:v>4711</x:v>
      </x:c>
      <x:c r="V51" s="717" t="n">
        <x:f>IF(OR(T51="",U51="",T51=0,U51=0),"",U51-T51)</x:f>
        <x:v>-494</x:v>
      </x:c>
      <x:c r="W51" s="717" t="n">
        <x:f>IFERROR(INDEX(EG_Wycena_strona!$I:$I,MATCH($A51,EG_Wycena_strona!$A:$A,0)),"")</x:f>
        <x:v>5205</x:v>
      </x:c>
      <x:c r="X51" s="717" t="n">
        <x:f>IFERROR(INDEX('04_Wycena_strona_nowa'!$I:$I,MATCH($A51,'04_Wycena_strona_nowa'!$A:$A,0)),"")</x:f>
        <x:v>4711</x:v>
      </x:c>
      <x:c r="Y51" s="717" t="n">
        <x:f>IF(OR(W51="",X51="",W51=0,X51=0),"",X51-W51)</x:f>
        <x:v>-494</x:v>
      </x:c>
      <x:c r="Z51" s="717" t="n">
        <x:f>IFERROR(INDEX(EG_Wycena_strona!$J:$J,MATCH($A51,EG_Wycena_strona!$A:$A,0)),"")</x:f>
        <x:v>11280</x:v>
      </x:c>
      <x:c r="AA51" s="717" t="n">
        <x:f>IFERROR(INDEX('04_Wycena_strona_nowa'!$J:$J,MATCH($A51,'04_Wycena_strona_nowa'!$A:$A,0)),"")</x:f>
        <x:v>10084</x:v>
      </x:c>
      <x:c r="AB51" s="717" t="n">
        <x:f>IF(OR(Z51="",AA51="",Z51=0,AA51=0),"",AA51-Z51)</x:f>
        <x:v>-1196</x:v>
      </x:c>
      <x:c r="AC51" s="717" t="n">
        <x:f>IFERROR(INDEX(EG_Wycena_strona!$K:$K,MATCH($A51,EG_Wycena_strona!$A:$A,0)),"")</x:f>
        <x:v>19849</x:v>
      </x:c>
      <x:c r="AD51" s="717" t="n">
        <x:f>IFERROR(INDEX('04_Wycena_strona_nowa'!$K:$K,MATCH($A51,'04_Wycena_strona_nowa'!$A:$A,0)),"")</x:f>
        <x:v>17837</x:v>
      </x:c>
      <x:c r="AE51" s="717" t="n">
        <x:f>IF(OR(AC51="",AD51="",AC51=0,AD51=0),"",AD51-AC51)</x:f>
        <x:v>-2012</x:v>
      </x:c>
      <x:c r="AF51" s="717" t="n">
        <x:f>IFERROR(ROUND(INDEX(EG_Cennik_uslug!$BS:$BS,MATCH($A51,EG_Cennik_uslug!$A:$A,0))*1.08,0),"")</x:f>
        <x:v>4609</x:v>
      </x:c>
      <x:c r="AG51" s="717" t="n">
        <x:f>IFERROR(INDEX('04_Wycena_strona_nowa'!$L:$L,MATCH($A51,'04_Wycena_strona_nowa'!$A:$A,0)),"")</x:f>
        <x:v>4752</x:v>
      </x:c>
      <x:c r="AH51" s="717" t="n">
        <x:f>IF(OR(AF51="",AG51="",AF51=0,AG51=0),"",AG51-AF51)</x:f>
        <x:v>143</x:v>
      </x:c>
      <x:c r="AI51" s="717" t="n">
        <x:f>IFERROR(ROUND(INDEX(EG_Cennik_uslug!$BZ:$BZ,MATCH($A51,EG_Cennik_uslug!$A:$A,0))*1.08,0),"")</x:f>
        <x:v>1146</x:v>
      </x:c>
      <x:c r="AJ51" s="717" t="n">
        <x:f>IFERROR(INDEX('04_Wycena_strona_nowa'!$O:$O,MATCH($A51,'04_Wycena_strona_nowa'!$A:$A,0)),"")</x:f>
        <x:v>1069</x:v>
      </x:c>
      <x:c r="AK51" s="717" t="n">
        <x:f>IF(OR(AI51="",AJ51="",AI51=0,AJ51=0),"",AJ51-AI51)</x:f>
        <x:v>-77</x:v>
      </x:c>
      <x:c r="AL51" s="717" t="n">
        <x:f>IFERROR(ROUND(INDEX(EG_Cennik_uslug!$CG:$CG,MATCH($A51,EG_Cennik_uslug!$A:$A,0))*1.08,0),"")</x:f>
        <x:v>1037</x:v>
      </x:c>
      <x:c r="AM51" s="717" t="n">
        <x:f>IFERROR(INDEX('04_Wycena_strona_nowa'!$P:$P,MATCH($A51,'04_Wycena_strona_nowa'!$A:$A,0)),"")</x:f>
        <x:v>968</x:v>
      </x:c>
      <x:c r="AN51" s="717" t="n">
        <x:f>IF(OR(AL51="",AM51="",AL51=0,AM51=0),"",AM51-AL51)</x:f>
        <x:v>-69</x:v>
      </x:c>
      <x:c r="AO51" s="717" t="str">
        <x:f>""</x:f>
      </x:c>
      <x:c r="AP51" s="717" t="n">
        <x:f>IFERROR(INDEX('04_Wycena_strona_nowa'!$Q:$Q,MATCH($A51,'04_Wycena_strona_nowa'!$A:$A,0)),"")</x:f>
        <x:v>866</x:v>
      </x:c>
      <x:c r="AQ51" s="717" t="str">
        <x:f>IF(OR(AO51="",AP51="",AO51=0,AP51=0),"",AP51-AO51)</x:f>
      </x:c>
      <x:c r="AR51" s="717" t="n">
        <x:f>IFERROR(ROUND(INDEX(EG_Cennik_uslug!$CN:$CN,MATCH($A51,EG_Cennik_uslug!$A:$A,0))*1.08,0),"")</x:f>
        <x:v>5972</x:v>
      </x:c>
      <x:c r="AS51" s="717" t="n">
        <x:f>IFERROR(INDEX('04_Wycena_strona_nowa'!$M:$M,MATCH($A51,'04_Wycena_strona_nowa'!$A:$A,0)),"")</x:f>
        <x:v>2419</x:v>
      </x:c>
      <x:c r="AT51" s="717" t="n">
        <x:f>IF(OR(AR51="",AS51="",AR51=0,AS51=0),"",AS51-AR51)</x:f>
        <x:v>-3553</x:v>
      </x:c>
      <x:c r="AU51" s="717" t="n">
        <x:f>IFERROR(ROUND(INDEX(EG_Cennik_uslug!$CU:$CU,MATCH($A51,EG_Cennik_uslug!$A:$A,0))*1.08,0),"")</x:f>
        <x:v>6734</x:v>
      </x:c>
      <x:c r="AV51" s="717" t="n">
        <x:f>IFERROR(INDEX('04_Wycena_strona_nowa'!$R:$R,MATCH($A51,'04_Wycena_strona_nowa'!$A:$A,0)),"")</x:f>
        <x:v>5662</x:v>
      </x:c>
      <x:c r="AW51" s="717" t="n">
        <x:f>IF(OR(AU51="",AV51="",AU51=0,AV51=0),"",AV51-AU51)</x:f>
        <x:v>-1072</x:v>
      </x:c>
      <x:c r="AX51" s="717" t="str">
        <x:f>""</x:f>
      </x:c>
      <x:c r="AY51" s="717" t="str">
        <x:f>IFERROR(INDEX('04_Wycena_strona_nowa'!$S:$S,MATCH($A51,'04_Wycena_strona_nowa'!$A:$A,0)),"")</x:f>
      </x:c>
      <x:c r="AZ51" s="717" t="str">
        <x:f>IF(OR(AX51="",AY51="",AX51=0,AY51=0),"",AY51-AX51)</x:f>
      </x:c>
      <x:c r="BA51" s="612" t="e">
        <x:f>_xludf.TEXTJOIN("; ",TRUE,IF(OR(LEFT($A51,3)="550",LEFT($A51,3)="600"),"550/600: EG brak benchmarku; opcje szklane/zerowe ukryte w porównaniu do czasu potwierdzenia",""),"LED CCT/RGB: porównanie orientacyjne do EG LED COB","Zabieraki: brak jednoznacznej pozycji EG")</x:f>
      </x:c>
    </x:row>
    <x:row r="52">
      <x:c r="A52" s="608" t="str">
        <x:f>'04_Wycena_strona_nowa'!A52</x:f>
        <x:v>550 x 306 cm</x:v>
      </x:c>
      <x:c r="B52" s="717" t="str">
        <x:f>IFERROR(INDEX(EG_Wycena_strona!$B:$B,MATCH($A52,EG_Wycena_strona!$A:$A,0)),"")</x:f>
      </x:c>
      <x:c r="C52" s="717" t="n">
        <x:f>IFERROR(INDEX('04_Wycena_strona_nowa'!$B:$B,MATCH($A52,'04_Wycena_strona_nowa'!$A:$A,0)),"")</x:f>
        <x:v>16850</x:v>
      </x:c>
      <x:c r="D52" s="717" t="str">
        <x:f>IF(OR(B52="",C52="",B52=0,C52=0),"",C52-B52)</x:f>
      </x:c>
      <x:c r="E52" s="717" t="str">
        <x:f>IFERROR(INDEX(EG_Wycena_strona!$C:$C,MATCH($A52,EG_Wycena_strona!$A:$A,0)),"")</x:f>
      </x:c>
      <x:c r="F52" s="717" t="n">
        <x:f>IFERROR(INDEX('04_Wycena_strona_nowa'!$C:$C,MATCH($A52,'04_Wycena_strona_nowa'!$A:$A,0)),"")</x:f>
        <x:v>23189</x:v>
      </x:c>
      <x:c r="G52" s="717" t="str">
        <x:f>IF(OR(E52="",F52="",E52=0,F52=0),"",F52-E52)</x:f>
      </x:c>
      <x:c r="H52" s="717" t="str">
        <x:f>IFERROR(INDEX(EG_Wycena_strona!$D:$D,MATCH($A52,EG_Wycena_strona!$A:$A,0)),"")</x:f>
      </x:c>
      <x:c r="I52" s="717" t="n">
        <x:f>IFERROR(INDEX('04_Wycena_strona_nowa'!$D:$D,MATCH($A52,'04_Wycena_strona_nowa'!$A:$A,0)),"")</x:f>
        <x:v>25480</x:v>
      </x:c>
      <x:c r="J52" s="717" t="str">
        <x:f>IF(OR(H52="",I52="",H52=0,I52=0),"",I52-H52)</x:f>
      </x:c>
      <x:c r="K52" s="717" t="str">
        <x:f>IFERROR(INDEX(EG_Wycena_strona!$E:$E,MATCH($A52,EG_Wycena_strona!$A:$A,0)),"")</x:f>
      </x:c>
      <x:c r="L52" s="717" t="n">
        <x:f>IFERROR(INDEX('04_Wycena_strona_nowa'!$E:$E,MATCH($A52,'04_Wycena_strona_nowa'!$A:$A,0)),"")</x:f>
        <x:v>369</x:v>
      </x:c>
      <x:c r="M52" s="717" t="str">
        <x:f>IF(OR(K52="",L52="",K52=0,L52=0),"",L52-K52)</x:f>
      </x:c>
      <x:c r="N52" s="717" t="str">
        <x:f>IFERROR(INDEX(EG_Wycena_strona!$F:$F,MATCH($A52,EG_Wycena_strona!$A:$A,0)),"")</x:f>
      </x:c>
      <x:c r="O52" s="717" t="n">
        <x:f>IFERROR(INDEX('04_Wycena_strona_nowa'!$F:$F,MATCH($A52,'04_Wycena_strona_nowa'!$A:$A,0)),"")</x:f>
        <x:v>-12681</x:v>
      </x:c>
      <x:c r="P52" s="717" t="str">
        <x:f>IF(OR(N52="",O52="",N52=0,O52=0),"",O52-N52)</x:f>
      </x:c>
      <x:c r="Q52" s="717" t="str">
        <x:f>IFERROR(INDEX(EG_Wycena_strona!$G:$G,MATCH($A52,EG_Wycena_strona!$A:$A,0)),"")</x:f>
      </x:c>
      <x:c r="R52" s="717" t="n">
        <x:f>IFERROR(INDEX('04_Wycena_strona_nowa'!$G:$G,MATCH($A52,'04_Wycena_strona_nowa'!$A:$A,0)),"")</x:f>
        <x:v>-12681</x:v>
      </x:c>
      <x:c r="S52" s="717" t="str">
        <x:f>IF(OR(Q52="",R52="",Q52=0,R52=0),"",R52-Q52)</x:f>
      </x:c>
      <x:c r="T52" s="717" t="str">
        <x:f>IFERROR(INDEX(EG_Wycena_strona!$H:$H,MATCH($A52,EG_Wycena_strona!$A:$A,0)),"")</x:f>
      </x:c>
      <x:c r="U52" s="717" t="n">
        <x:f>IFERROR(INDEX('04_Wycena_strona_nowa'!$H:$H,MATCH($A52,'04_Wycena_strona_nowa'!$A:$A,0)),"")</x:f>
        <x:v>5067</x:v>
      </x:c>
      <x:c r="V52" s="717" t="str">
        <x:f>IF(OR(T52="",U52="",T52=0,U52=0),"",U52-T52)</x:f>
      </x:c>
      <x:c r="W52" s="717" t="str">
        <x:f>IFERROR(INDEX(EG_Wycena_strona!$I:$I,MATCH($A52,EG_Wycena_strona!$A:$A,0)),"")</x:f>
      </x:c>
      <x:c r="X52" s="717" t="n">
        <x:f>IFERROR(INDEX('04_Wycena_strona_nowa'!$I:$I,MATCH($A52,'04_Wycena_strona_nowa'!$A:$A,0)),"")</x:f>
        <x:v>5067</x:v>
      </x:c>
      <x:c r="Y52" s="717" t="str">
        <x:f>IF(OR(W52="",X52="",W52=0,X52=0),"",X52-W52)</x:f>
      </x:c>
      <x:c r="Z52" s="717" t="str">
        <x:f>IFERROR(INDEX(EG_Wycena_strona!$J:$J,MATCH($A52,EG_Wycena_strona!$A:$A,0)),"")</x:f>
      </x:c>
      <x:c r="AA52" s="717" t="n">
        <x:f>IFERROR(INDEX('04_Wycena_strona_nowa'!$J:$J,MATCH($A52,'04_Wycena_strona_nowa'!$A:$A,0)),"")</x:f>
        <x:v>2725</x:v>
      </x:c>
      <x:c r="AB52" s="717" t="str">
        <x:f>IF(OR(Z52="",AA52="",Z52=0,AA52=0),"",AA52-Z52)</x:f>
      </x:c>
      <x:c r="AC52" s="717" t="str">
        <x:f>IFERROR(INDEX(EG_Wycena_strona!$K:$K,MATCH($A52,EG_Wycena_strona!$A:$A,0)),"")</x:f>
      </x:c>
      <x:c r="AD52" s="717" t="n">
        <x:f>IFERROR(INDEX('04_Wycena_strona_nowa'!$K:$K,MATCH($A52,'04_Wycena_strona_nowa'!$A:$A,0)),"")</x:f>
        <x:v>5321</x:v>
      </x:c>
      <x:c r="AE52" s="717" t="str">
        <x:f>IF(OR(AC52="",AD52="",AC52=0,AD52=0),"",AD52-AC52)</x:f>
      </x:c>
      <x:c r="AF52" s="717" t="str">
        <x:f>IFERROR(ROUND(INDEX(EG_Cennik_uslug!$BS:$BS,MATCH($A52,EG_Cennik_uslug!$A:$A,0))*1.08,0),"")</x:f>
      </x:c>
      <x:c r="AG52" s="717" t="n">
        <x:f>IFERROR(INDEX('04_Wycena_strona_nowa'!$L:$L,MATCH($A52,'04_Wycena_strona_nowa'!$A:$A,0)),"")</x:f>
        <x:v>2759</x:v>
      </x:c>
      <x:c r="AH52" s="717" t="str">
        <x:f>IF(OR(AF52="",AG52="",AF52=0,AG52=0),"",AG52-AF52)</x:f>
      </x:c>
      <x:c r="AI52" s="717" t="str">
        <x:f>IFERROR(ROUND(INDEX(EG_Cennik_uslug!$BZ:$BZ,MATCH($A52,EG_Cennik_uslug!$A:$A,0))*1.08,0),"")</x:f>
      </x:c>
      <x:c r="AJ52" s="717" t="n">
        <x:f>IFERROR(INDEX('04_Wycena_strona_nowa'!$O:$O,MATCH($A52,'04_Wycena_strona_nowa'!$A:$A,0)),"")</x:f>
        <x:v>637</x:v>
      </x:c>
      <x:c r="AK52" s="717" t="str">
        <x:f>IF(OR(AI52="",AJ52="",AI52=0,AJ52=0),"",AJ52-AI52)</x:f>
      </x:c>
      <x:c r="AL52" s="717" t="str">
        <x:f>IFERROR(ROUND(INDEX(EG_Cennik_uslug!$CG:$CG,MATCH($A52,EG_Cennik_uslug!$A:$A,0))*1.08,0),"")</x:f>
      </x:c>
      <x:c r="AM52" s="717" t="n">
        <x:f>IFERROR(INDEX('04_Wycena_strona_nowa'!$P:$P,MATCH($A52,'04_Wycena_strona_nowa'!$A:$A,0)),"")</x:f>
        <x:v>573</x:v>
      </x:c>
      <x:c r="AN52" s="717" t="str">
        <x:f>IF(OR(AL52="",AM52="",AL52=0,AM52=0),"",AM52-AL52)</x:f>
      </x:c>
      <x:c r="AO52" s="717" t="str">
        <x:f>""</x:f>
      </x:c>
      <x:c r="AP52" s="717" t="n">
        <x:f>IFERROR(INDEX('04_Wycena_strona_nowa'!$Q:$Q,MATCH($A52,'04_Wycena_strona_nowa'!$A:$A,0)),"")</x:f>
        <x:v>611</x:v>
      </x:c>
      <x:c r="AQ52" s="717" t="str">
        <x:f>IF(OR(AO52="",AP52="",AO52=0,AP52=0),"",AP52-AO52)</x:f>
      </x:c>
      <x:c r="AR52" s="717" t="str">
        <x:f>IFERROR(ROUND(INDEX(EG_Cennik_uslug!$CN:$CN,MATCH($A52,EG_Cennik_uslug!$A:$A,0))*1.08,0),"")</x:f>
      </x:c>
      <x:c r="AS52" s="717" t="n">
        <x:f>IFERROR(INDEX('04_Wycena_strona_nowa'!$M:$M,MATCH($A52,'04_Wycena_strona_nowa'!$A:$A,0)),"")</x:f>
        <x:v>814</x:v>
      </x:c>
      <x:c r="AT52" s="717" t="str">
        <x:f>IF(OR(AR52="",AS52="",AR52=0,AS52=0),"",AS52-AR52)</x:f>
      </x:c>
      <x:c r="AU52" s="717" t="str">
        <x:f>IFERROR(ROUND(INDEX(EG_Cennik_uslug!$CU:$CU,MATCH($A52,EG_Cennik_uslug!$A:$A,0))*1.08,0),"")</x:f>
      </x:c>
      <x:c r="AV52" s="717" t="n">
        <x:f>IFERROR(INDEX('04_Wycena_strona_nowa'!$R:$R,MATCH($A52,'04_Wycena_strona_nowa'!$A:$A,0)),"")</x:f>
        <x:v>2649</x:v>
      </x:c>
      <x:c r="AW52" s="717" t="str">
        <x:f>IF(OR(AU52="",AV52="",AU52=0,AV52=0),"",AV52-AU52)</x:f>
      </x:c>
      <x:c r="AX52" s="717" t="str">
        <x:f>""</x:f>
      </x:c>
      <x:c r="AY52" s="717" t="str">
        <x:f>IFERROR(INDEX('04_Wycena_strona_nowa'!$S:$S,MATCH($A52,'04_Wycena_strona_nowa'!$A:$A,0)),"")</x:f>
      </x:c>
      <x:c r="AZ52" s="717" t="str">
        <x:f>IF(OR(AX52="",AY52="",AX52=0,AY52=0),"",AY52-AX52)</x:f>
      </x:c>
      <x:c r="BA52" s="612" t="e">
        <x:f>_xludf.TEXTJOIN("; ",TRUE,IF(OR(LEFT($A52,3)="550",LEFT($A52,3)="600"),"550/600: EG brak benchmarku; opcje szklane/zerowe ukryte w porównaniu do czasu potwierdzenia",""),"LED CCT/RGB: porównanie orientacyjne do EG LED COB","Zabieraki: brak jednoznacznej pozycji EG")</x:f>
      </x:c>
    </x:row>
    <x:row r="53">
      <x:c r="A53" s="608" t="str">
        <x:f>'04_Wycena_strona_nowa'!A53</x:f>
        <x:v>550 x 406 cm</x:v>
      </x:c>
      <x:c r="B53" s="717" t="str">
        <x:f>IFERROR(INDEX(EG_Wycena_strona!$B:$B,MATCH($A53,EG_Wycena_strona!$A:$A,0)),"")</x:f>
      </x:c>
      <x:c r="C53" s="717" t="n">
        <x:f>IFERROR(INDEX('04_Wycena_strona_nowa'!$B:$B,MATCH($A53,'04_Wycena_strona_nowa'!$A:$A,0)),"")</x:f>
        <x:v>21206</x:v>
      </x:c>
      <x:c r="D53" s="717" t="str">
        <x:f>IF(OR(B53="",C53="",B53=0,C53=0),"",C53-B53)</x:f>
      </x:c>
      <x:c r="E53" s="717" t="str">
        <x:f>IFERROR(INDEX(EG_Wycena_strona!$C:$C,MATCH($A53,EG_Wycena_strona!$A:$A,0)),"")</x:f>
      </x:c>
      <x:c r="F53" s="717" t="n">
        <x:f>IFERROR(INDEX('04_Wycena_strona_nowa'!$C:$C,MATCH($A53,'04_Wycena_strona_nowa'!$A:$A,0)),"")</x:f>
        <x:v>24254</x:v>
      </x:c>
      <x:c r="G53" s="717" t="str">
        <x:f>IF(OR(E53="",F53="",E53=0,F53=0),"",F53-E53)</x:f>
      </x:c>
      <x:c r="H53" s="717" t="str">
        <x:f>IFERROR(INDEX(EG_Wycena_strona!$D:$D,MATCH($A53,EG_Wycena_strona!$A:$A,0)),"")</x:f>
      </x:c>
      <x:c r="I53" s="717" t="n">
        <x:f>IFERROR(INDEX('04_Wycena_strona_nowa'!$D:$D,MATCH($A53,'04_Wycena_strona_nowa'!$A:$A,0)),"")</x:f>
        <x:v>26698</x:v>
      </x:c>
      <x:c r="J53" s="717" t="str">
        <x:f>IF(OR(H53="",I53="",H53=0,I53=0),"",I53-H53)</x:f>
      </x:c>
      <x:c r="K53" s="717" t="str">
        <x:f>IFERROR(INDEX(EG_Wycena_strona!$E:$E,MATCH($A53,EG_Wycena_strona!$A:$A,0)),"")</x:f>
      </x:c>
      <x:c r="L53" s="717" t="n">
        <x:f>IFERROR(INDEX('04_Wycena_strona_nowa'!$E:$E,MATCH($A53,'04_Wycena_strona_nowa'!$A:$A,0)),"")</x:f>
        <x:v>484</x:v>
      </x:c>
      <x:c r="M53" s="717" t="str">
        <x:f>IF(OR(K53="",L53="",K53=0,L53=0),"",L53-K53)</x:f>
      </x:c>
      <x:c r="N53" s="717" t="str">
        <x:f>IFERROR(INDEX(EG_Wycena_strona!$F:$F,MATCH($A53,EG_Wycena_strona!$A:$A,0)),"")</x:f>
      </x:c>
      <x:c r="O53" s="717" t="n">
        <x:f>IFERROR(INDEX('04_Wycena_strona_nowa'!$F:$F,MATCH($A53,'04_Wycena_strona_nowa'!$A:$A,0)),"")</x:f>
        <x:v>-16615</x:v>
      </x:c>
      <x:c r="P53" s="717" t="str">
        <x:f>IF(OR(N53="",O53="",N53=0,O53=0),"",O53-N53)</x:f>
      </x:c>
      <x:c r="Q53" s="717" t="str">
        <x:f>IFERROR(INDEX(EG_Wycena_strona!$G:$G,MATCH($A53,EG_Wycena_strona!$A:$A,0)),"")</x:f>
      </x:c>
      <x:c r="R53" s="717" t="n">
        <x:f>IFERROR(INDEX('04_Wycena_strona_nowa'!$G:$G,MATCH($A53,'04_Wycena_strona_nowa'!$A:$A,0)),"")</x:f>
        <x:v>-16615</x:v>
      </x:c>
      <x:c r="S53" s="717" t="str">
        <x:f>IF(OR(Q53="",R53="",Q53=0,R53=0),"",R53-Q53)</x:f>
      </x:c>
      <x:c r="T53" s="717" t="str">
        <x:f>IFERROR(INDEX(EG_Wycena_strona!$H:$H,MATCH($A53,EG_Wycena_strona!$A:$A,0)),"")</x:f>
      </x:c>
      <x:c r="U53" s="717" t="n">
        <x:f>IFERROR(INDEX('04_Wycena_strona_nowa'!$H:$H,MATCH($A53,'04_Wycena_strona_nowa'!$A:$A,0)),"")</x:f>
        <x:v>5067</x:v>
      </x:c>
      <x:c r="V53" s="717" t="str">
        <x:f>IF(OR(T53="",U53="",T53=0,U53=0),"",U53-T53)</x:f>
      </x:c>
      <x:c r="W53" s="717" t="str">
        <x:f>IFERROR(INDEX(EG_Wycena_strona!$I:$I,MATCH($A53,EG_Wycena_strona!$A:$A,0)),"")</x:f>
      </x:c>
      <x:c r="X53" s="717" t="n">
        <x:f>IFERROR(INDEX('04_Wycena_strona_nowa'!$I:$I,MATCH($A53,'04_Wycena_strona_nowa'!$A:$A,0)),"")</x:f>
        <x:v>5067</x:v>
      </x:c>
      <x:c r="Y53" s="717" t="str">
        <x:f>IF(OR(W53="",X53="",W53=0,X53=0),"",X53-W53)</x:f>
      </x:c>
      <x:c r="Z53" s="717" t="str">
        <x:f>IFERROR(INDEX(EG_Wycena_strona!$J:$J,MATCH($A53,EG_Wycena_strona!$A:$A,0)),"")</x:f>
      </x:c>
      <x:c r="AA53" s="717" t="n">
        <x:f>IFERROR(INDEX('04_Wycena_strona_nowa'!$J:$J,MATCH($A53,'04_Wycena_strona_nowa'!$A:$A,0)),"")</x:f>
        <x:v>3361</x:v>
      </x:c>
      <x:c r="AB53" s="717" t="str">
        <x:f>IF(OR(Z53="",AA53="",Z53=0,AA53=0),"",AA53-Z53)</x:f>
      </x:c>
      <x:c r="AC53" s="717" t="str">
        <x:f>IFERROR(INDEX(EG_Wycena_strona!$K:$K,MATCH($A53,EG_Wycena_strona!$A:$A,0)),"")</x:f>
      </x:c>
      <x:c r="AD53" s="717" t="n">
        <x:f>IFERROR(INDEX('04_Wycena_strona_nowa'!$K:$K,MATCH($A53,'04_Wycena_strona_nowa'!$A:$A,0)),"")</x:f>
        <x:v>6086</x:v>
      </x:c>
      <x:c r="AE53" s="717" t="str">
        <x:f>IF(OR(AC53="",AD53="",AC53=0,AD53=0),"",AD53-AC53)</x:f>
      </x:c>
      <x:c r="AF53" s="717" t="str">
        <x:f>IFERROR(ROUND(INDEX(EG_Cennik_uslug!$BS:$BS,MATCH($A53,EG_Cennik_uslug!$A:$A,0))*1.08,0),"")</x:f>
      </x:c>
      <x:c r="AG53" s="717" t="n">
        <x:f>IFERROR(INDEX('04_Wycena_strona_nowa'!$L:$L,MATCH($A53,'04_Wycena_strona_nowa'!$A:$A,0)),"")</x:f>
        <x:v>3056</x:v>
      </x:c>
      <x:c r="AH53" s="717" t="str">
        <x:f>IF(OR(AF53="",AG53="",AF53=0,AG53=0),"",AG53-AF53)</x:f>
      </x:c>
      <x:c r="AI53" s="717" t="str">
        <x:f>IFERROR(ROUND(INDEX(EG_Cennik_uslug!$BZ:$BZ,MATCH($A53,EG_Cennik_uslug!$A:$A,0))*1.08,0),"")</x:f>
      </x:c>
      <x:c r="AJ53" s="717" t="n">
        <x:f>IFERROR(INDEX('04_Wycena_strona_nowa'!$O:$O,MATCH($A53,'04_Wycena_strona_nowa'!$A:$A,0)),"")</x:f>
        <x:v>675</x:v>
      </x:c>
      <x:c r="AK53" s="717" t="str">
        <x:f>IF(OR(AI53="",AJ53="",AI53=0,AJ53=0),"",AJ53-AI53)</x:f>
      </x:c>
      <x:c r="AL53" s="717" t="str">
        <x:f>IFERROR(ROUND(INDEX(EG_Cennik_uslug!$CG:$CG,MATCH($A53,EG_Cennik_uslug!$A:$A,0))*1.08,0),"")</x:f>
      </x:c>
      <x:c r="AM53" s="717" t="n">
        <x:f>IFERROR(INDEX('04_Wycena_strona_nowa'!$P:$P,MATCH($A53,'04_Wycena_strona_nowa'!$A:$A,0)),"")</x:f>
        <x:v>611</x:v>
      </x:c>
      <x:c r="AN53" s="717" t="str">
        <x:f>IF(OR(AL53="",AM53="",AL53=0,AM53=0),"",AM53-AL53)</x:f>
      </x:c>
      <x:c r="AO53" s="717" t="str">
        <x:f>""</x:f>
      </x:c>
      <x:c r="AP53" s="717" t="n">
        <x:f>IFERROR(INDEX('04_Wycena_strona_nowa'!$Q:$Q,MATCH($A53,'04_Wycena_strona_nowa'!$A:$A,0)),"")</x:f>
        <x:v>662</x:v>
      </x:c>
      <x:c r="AQ53" s="717" t="str">
        <x:f>IF(OR(AO53="",AP53="",AO53=0,AP53=0),"",AP53-AO53)</x:f>
      </x:c>
      <x:c r="AR53" s="717" t="str">
        <x:f>IFERROR(ROUND(INDEX(EG_Cennik_uslug!$CN:$CN,MATCH($A53,EG_Cennik_uslug!$A:$A,0))*1.08,0),"")</x:f>
      </x:c>
      <x:c r="AS53" s="717" t="n">
        <x:f>IFERROR(INDEX('04_Wycena_strona_nowa'!$M:$M,MATCH($A53,'04_Wycena_strona_nowa'!$A:$A,0)),"")</x:f>
        <x:v>943</x:v>
      </x:c>
      <x:c r="AT53" s="717" t="str">
        <x:f>IF(OR(AR53="",AS53="",AR53=0,AS53=0),"",AS53-AR53)</x:f>
      </x:c>
      <x:c r="AU53" s="717" t="str">
        <x:f>IFERROR(ROUND(INDEX(EG_Cennik_uslug!$CU:$CU,MATCH($A53,EG_Cennik_uslug!$A:$A,0))*1.08,0),"")</x:f>
      </x:c>
      <x:c r="AV53" s="717" t="n">
        <x:f>IFERROR(INDEX('04_Wycena_strona_nowa'!$R:$R,MATCH($A53,'04_Wycena_strona_nowa'!$A:$A,0)),"")</x:f>
        <x:v>3047</x:v>
      </x:c>
      <x:c r="AW53" s="717" t="str">
        <x:f>IF(OR(AU53="",AV53="",AU53=0,AV53=0),"",AV53-AU53)</x:f>
      </x:c>
      <x:c r="AX53" s="717" t="str">
        <x:f>""</x:f>
      </x:c>
      <x:c r="AY53" s="717" t="str">
        <x:f>IFERROR(INDEX('04_Wycena_strona_nowa'!$S:$S,MATCH($A53,'04_Wycena_strona_nowa'!$A:$A,0)),"")</x:f>
      </x:c>
      <x:c r="AZ53" s="717" t="str">
        <x:f>IF(OR(AX53="",AY53="",AX53=0,AY53=0),"",AY53-AX53)</x:f>
      </x:c>
      <x:c r="BA53" s="612" t="e">
        <x:f>_xludf.TEXTJOIN("; ",TRUE,IF(OR(LEFT($A53,3)="550",LEFT($A53,3)="600"),"550/600: EG brak benchmarku; opcje szklane/zerowe ukryte w porównaniu do czasu potwierdzenia",""),"LED CCT/RGB: porównanie orientacyjne do EG LED COB","Zabieraki: brak jednoznacznej pozycji EG")</x:f>
      </x:c>
    </x:row>
    <x:row r="54">
      <x:c r="A54" s="608" t="str">
        <x:f>'04_Wycena_strona_nowa'!A54</x:f>
        <x:v>550 x 506 cm</x:v>
      </x:c>
      <x:c r="B54" s="717" t="str">
        <x:f>IFERROR(INDEX(EG_Wycena_strona!$B:$B,MATCH($A54,EG_Wycena_strona!$A:$A,0)),"")</x:f>
      </x:c>
      <x:c r="C54" s="717" t="n">
        <x:f>IFERROR(INDEX('04_Wycena_strona_nowa'!$B:$B,MATCH($A54,'04_Wycena_strona_nowa'!$A:$A,0)),"")</x:f>
        <x:v>26164</x:v>
      </x:c>
      <x:c r="D54" s="717" t="str">
        <x:f>IF(OR(B54="",C54="",B54=0,C54=0),"",C54-B54)</x:f>
      </x:c>
      <x:c r="E54" s="717" t="str">
        <x:f>IFERROR(INDEX(EG_Wycena_strona!$C:$C,MATCH($A54,EG_Wycena_strona!$A:$A,0)),"")</x:f>
      </x:c>
      <x:c r="F54" s="717" t="n">
        <x:f>IFERROR(INDEX('04_Wycena_strona_nowa'!$C:$C,MATCH($A54,'04_Wycena_strona_nowa'!$A:$A,0)),"")</x:f>
        <x:v>25518</x:v>
      </x:c>
      <x:c r="G54" s="717" t="str">
        <x:f>IF(OR(E54="",F54="",E54=0,F54=0),"",F54-E54)</x:f>
      </x:c>
      <x:c r="H54" s="717" t="str">
        <x:f>IFERROR(INDEX(EG_Wycena_strona!$D:$D,MATCH($A54,EG_Wycena_strona!$A:$A,0)),"")</x:f>
      </x:c>
      <x:c r="I54" s="717" t="n">
        <x:f>IFERROR(INDEX('04_Wycena_strona_nowa'!$D:$D,MATCH($A54,'04_Wycena_strona_nowa'!$A:$A,0)),"")</x:f>
        <x:v>28116</x:v>
      </x:c>
      <x:c r="J54" s="717" t="str">
        <x:f>IF(OR(H54="",I54="",H54=0,I54=0),"",I54-H54)</x:f>
      </x:c>
      <x:c r="K54" s="717" t="str">
        <x:f>IFERROR(INDEX(EG_Wycena_strona!$E:$E,MATCH($A54,EG_Wycena_strona!$A:$A,0)),"")</x:f>
      </x:c>
      <x:c r="L54" s="717" t="n">
        <x:f>IFERROR(INDEX('04_Wycena_strona_nowa'!$E:$E,MATCH($A54,'04_Wycena_strona_nowa'!$A:$A,0)),"")</x:f>
        <x:v>611</x:v>
      </x:c>
      <x:c r="M54" s="717" t="str">
        <x:f>IF(OR(K54="",L54="",K54=0,L54=0),"",L54-K54)</x:f>
      </x:c>
      <x:c r="N54" s="717" t="str">
        <x:f>IFERROR(INDEX(EG_Wycena_strona!$F:$F,MATCH($A54,EG_Wycena_strona!$A:$A,0)),"")</x:f>
      </x:c>
      <x:c r="O54" s="717" t="n">
        <x:f>IFERROR(INDEX('04_Wycena_strona_nowa'!$F:$F,MATCH($A54,'04_Wycena_strona_nowa'!$A:$A,0)),"")</x:f>
        <x:v>-21185</x:v>
      </x:c>
      <x:c r="P54" s="717" t="str">
        <x:f>IF(OR(N54="",O54="",N54=0,O54=0),"",O54-N54)</x:f>
      </x:c>
      <x:c r="Q54" s="717" t="str">
        <x:f>IFERROR(INDEX(EG_Wycena_strona!$G:$G,MATCH($A54,EG_Wycena_strona!$A:$A,0)),"")</x:f>
      </x:c>
      <x:c r="R54" s="717" t="n">
        <x:f>IFERROR(INDEX('04_Wycena_strona_nowa'!$G:$G,MATCH($A54,'04_Wycena_strona_nowa'!$A:$A,0)),"")</x:f>
        <x:v>-21185</x:v>
      </x:c>
      <x:c r="S54" s="717" t="str">
        <x:f>IF(OR(Q54="",R54="",Q54=0,R54=0),"",R54-Q54)</x:f>
      </x:c>
      <x:c r="T54" s="717" t="str">
        <x:f>IFERROR(INDEX(EG_Wycena_strona!$H:$H,MATCH($A54,EG_Wycena_strona!$A:$A,0)),"")</x:f>
      </x:c>
      <x:c r="U54" s="717" t="n">
        <x:f>IFERROR(INDEX('04_Wycena_strona_nowa'!$H:$H,MATCH($A54,'04_Wycena_strona_nowa'!$A:$A,0)),"")</x:f>
        <x:v>5067</x:v>
      </x:c>
      <x:c r="V54" s="717" t="str">
        <x:f>IF(OR(T54="",U54="",T54=0,U54=0),"",U54-T54)</x:f>
      </x:c>
      <x:c r="W54" s="717" t="str">
        <x:f>IFERROR(INDEX(EG_Wycena_strona!$I:$I,MATCH($A54,EG_Wycena_strona!$A:$A,0)),"")</x:f>
      </x:c>
      <x:c r="X54" s="717" t="n">
        <x:f>IFERROR(INDEX('04_Wycena_strona_nowa'!$I:$I,MATCH($A54,'04_Wycena_strona_nowa'!$A:$A,0)),"")</x:f>
        <x:v>5067</x:v>
      </x:c>
      <x:c r="Y54" s="717" t="str">
        <x:f>IF(OR(W54="",X54="",W54=0,X54=0),"",X54-W54)</x:f>
      </x:c>
      <x:c r="Z54" s="717" t="str">
        <x:f>IFERROR(INDEX(EG_Wycena_strona!$J:$J,MATCH($A54,EG_Wycena_strona!$A:$A,0)),"")</x:f>
      </x:c>
      <x:c r="AA54" s="717" t="n">
        <x:f>IFERROR(INDEX('04_Wycena_strona_nowa'!$J:$J,MATCH($A54,'04_Wycena_strona_nowa'!$A:$A,0)),"")</x:f>
        <x:v>4711</x:v>
      </x:c>
      <x:c r="AB54" s="717" t="str">
        <x:f>IF(OR(Z54="",AA54="",Z54=0,AA54=0),"",AA54-Z54)</x:f>
      </x:c>
      <x:c r="AC54" s="717" t="str">
        <x:f>IFERROR(INDEX(EG_Wycena_strona!$K:$K,MATCH($A54,EG_Wycena_strona!$A:$A,0)),"")</x:f>
      </x:c>
      <x:c r="AD54" s="717" t="n">
        <x:f>IFERROR(INDEX('04_Wycena_strona_nowa'!$K:$K,MATCH($A54,'04_Wycena_strona_nowa'!$A:$A,0)),"")</x:f>
        <x:v>7078</x:v>
      </x:c>
      <x:c r="AE54" s="717" t="str">
        <x:f>IF(OR(AC54="",AD54="",AC54=0,AD54=0),"",AD54-AC54)</x:f>
      </x:c>
      <x:c r="AF54" s="717" t="str">
        <x:f>IFERROR(ROUND(INDEX(EG_Cennik_uslug!$BS:$BS,MATCH($A54,EG_Cennik_uslug!$A:$A,0))*1.08,0),"")</x:f>
      </x:c>
      <x:c r="AG54" s="717" t="n">
        <x:f>IFERROR(INDEX('04_Wycena_strona_nowa'!$L:$L,MATCH($A54,'04_Wycena_strona_nowa'!$A:$A,0)),"")</x:f>
        <x:v>3360</x:v>
      </x:c>
      <x:c r="AH54" s="717" t="str">
        <x:f>IF(OR(AF54="",AG54="",AF54=0,AG54=0),"",AG54-AF54)</x:f>
      </x:c>
      <x:c r="AI54" s="717" t="str">
        <x:f>IFERROR(ROUND(INDEX(EG_Cennik_uslug!$BZ:$BZ,MATCH($A54,EG_Cennik_uslug!$A:$A,0))*1.08,0),"")</x:f>
      </x:c>
      <x:c r="AJ54" s="717" t="n">
        <x:f>IFERROR(INDEX('04_Wycena_strona_nowa'!$O:$O,MATCH($A54,'04_Wycena_strona_nowa'!$A:$A,0)),"")</x:f>
        <x:v>725</x:v>
      </x:c>
      <x:c r="AK54" s="717" t="str">
        <x:f>IF(OR(AI54="",AJ54="",AI54=0,AJ54=0),"",AJ54-AI54)</x:f>
      </x:c>
      <x:c r="AL54" s="717" t="str">
        <x:f>IFERROR(ROUND(INDEX(EG_Cennik_uslug!$CG:$CG,MATCH($A54,EG_Cennik_uslug!$A:$A,0))*1.08,0),"")</x:f>
      </x:c>
      <x:c r="AM54" s="717" t="n">
        <x:f>IFERROR(INDEX('04_Wycena_strona_nowa'!$P:$P,MATCH($A54,'04_Wycena_strona_nowa'!$A:$A,0)),"")</x:f>
        <x:v>662</x:v>
      </x:c>
      <x:c r="AN54" s="717" t="str">
        <x:f>IF(OR(AL54="",AM54="",AL54=0,AM54=0),"",AM54-AL54)</x:f>
      </x:c>
      <x:c r="AO54" s="717" t="str">
        <x:f>""</x:f>
      </x:c>
      <x:c r="AP54" s="717" t="n">
        <x:f>IFERROR(INDEX('04_Wycena_strona_nowa'!$Q:$Q,MATCH($A54,'04_Wycena_strona_nowa'!$A:$A,0)),"")</x:f>
        <x:v>662</x:v>
      </x:c>
      <x:c r="AQ54" s="717" t="str">
        <x:f>IF(OR(AO54="",AP54="",AO54=0,AP54=0),"",AP54-AO54)</x:f>
      </x:c>
      <x:c r="AR54" s="717" t="str">
        <x:f>IFERROR(ROUND(INDEX(EG_Cennik_uslug!$CN:$CN,MATCH($A54,EG_Cennik_uslug!$A:$A,0))*1.08,0),"")</x:f>
      </x:c>
      <x:c r="AS54" s="717" t="n">
        <x:f>IFERROR(INDEX('04_Wycena_strona_nowa'!$M:$M,MATCH($A54,'04_Wycena_strona_nowa'!$A:$A,0)),"")</x:f>
        <x:v>1221</x:v>
      </x:c>
      <x:c r="AT54" s="717" t="str">
        <x:f>IF(OR(AR54="",AS54="",AR54=0,AS54=0),"",AS54-AR54)</x:f>
      </x:c>
      <x:c r="AU54" s="717" t="str">
        <x:f>IFERROR(ROUND(INDEX(EG_Cennik_uslug!$CU:$CU,MATCH($A54,EG_Cennik_uslug!$A:$A,0))*1.08,0),"")</x:f>
      </x:c>
      <x:c r="AV54" s="717" t="n">
        <x:f>IFERROR(INDEX('04_Wycena_strona_nowa'!$R:$R,MATCH($A54,'04_Wycena_strona_nowa'!$A:$A,0)),"")</x:f>
        <x:v>3384</x:v>
      </x:c>
      <x:c r="AW54" s="717" t="str">
        <x:f>IF(OR(AU54="",AV54="",AU54=0,AV54=0),"",AV54-AU54)</x:f>
      </x:c>
      <x:c r="AX54" s="717" t="str">
        <x:f>""</x:f>
      </x:c>
      <x:c r="AY54" s="717" t="str">
        <x:f>IFERROR(INDEX('04_Wycena_strona_nowa'!$S:$S,MATCH($A54,'04_Wycena_strona_nowa'!$A:$A,0)),"")</x:f>
      </x:c>
      <x:c r="AZ54" s="717" t="str">
        <x:f>IF(OR(AX54="",AY54="",AX54=0,AY54=0),"",AY54-AX54)</x:f>
      </x:c>
      <x:c r="BA54" s="612" t="e">
        <x:f>_xludf.TEXTJOIN("; ",TRUE,IF(OR(LEFT($A54,3)="550",LEFT($A54,3)="600"),"550/600: EG brak benchmarku; opcje szklane/zerowe ukryte w porównaniu do czasu potwierdzenia",""),"LED CCT/RGB: porównanie orientacyjne do EG LED COB","Zabieraki: brak jednoznacznej pozycji EG")</x:f>
      </x:c>
    </x:row>
    <x:row r="55">
      <x:c r="A55" s="608" t="str">
        <x:f>'04_Wycena_strona_nowa'!A55</x:f>
        <x:v>550 x 606 cm</x:v>
      </x:c>
      <x:c r="B55" s="717" t="str">
        <x:f>IFERROR(INDEX(EG_Wycena_strona!$B:$B,MATCH($A55,EG_Wycena_strona!$A:$A,0)),"")</x:f>
      </x:c>
      <x:c r="C55" s="717" t="n">
        <x:f>IFERROR(INDEX('04_Wycena_strona_nowa'!$B:$B,MATCH($A55,'04_Wycena_strona_nowa'!$A:$A,0)),"")</x:f>
        <x:v>30249</x:v>
      </x:c>
      <x:c r="D55" s="717" t="str">
        <x:f>IF(OR(B55="",C55="",B55=0,C55=0),"",C55-B55)</x:f>
      </x:c>
      <x:c r="E55" s="717" t="str">
        <x:f>IFERROR(INDEX(EG_Wycena_strona!$C:$C,MATCH($A55,EG_Wycena_strona!$A:$A,0)),"")</x:f>
      </x:c>
      <x:c r="F55" s="717" t="n">
        <x:f>IFERROR(INDEX('04_Wycena_strona_nowa'!$C:$C,MATCH($A55,'04_Wycena_strona_nowa'!$A:$A,0)),"")</x:f>
        <x:v>26053</x:v>
      </x:c>
      <x:c r="G55" s="717" t="str">
        <x:f>IF(OR(E55="",F55="",E55=0,F55=0),"",F55-E55)</x:f>
      </x:c>
      <x:c r="H55" s="717" t="str">
        <x:f>IFERROR(INDEX(EG_Wycena_strona!$D:$D,MATCH($A55,EG_Wycena_strona!$A:$A,0)),"")</x:f>
      </x:c>
      <x:c r="I55" s="717" t="n">
        <x:f>IFERROR(INDEX('04_Wycena_strona_nowa'!$D:$D,MATCH($A55,'04_Wycena_strona_nowa'!$A:$A,0)),"")</x:f>
        <x:v>28803</x:v>
      </x:c>
      <x:c r="J55" s="717" t="str">
        <x:f>IF(OR(H55="",I55="",H55=0,I55=0),"",I55-H55)</x:f>
      </x:c>
      <x:c r="K55" s="717" t="str">
        <x:f>IFERROR(INDEX(EG_Wycena_strona!$E:$E,MATCH($A55,EG_Wycena_strona!$A:$A,0)),"")</x:f>
      </x:c>
      <x:c r="L55" s="717" t="n">
        <x:f>IFERROR(INDEX('04_Wycena_strona_nowa'!$E:$E,MATCH($A55,'04_Wycena_strona_nowa'!$A:$A,0)),"")</x:f>
        <x:v>739</x:v>
      </x:c>
      <x:c r="M55" s="717" t="str">
        <x:f>IF(OR(K55="",L55="",K55=0,L55=0),"",L55-K55)</x:f>
      </x:c>
      <x:c r="N55" s="717" t="str">
        <x:f>IFERROR(INDEX(EG_Wycena_strona!$F:$F,MATCH($A55,EG_Wycena_strona!$A:$A,0)),"")</x:f>
      </x:c>
      <x:c r="O55" s="717" t="n">
        <x:f>IFERROR(INDEX('04_Wycena_strona_nowa'!$F:$F,MATCH($A55,'04_Wycena_strona_nowa'!$A:$A,0)),"")</x:f>
        <x:v>-24903</x:v>
      </x:c>
      <x:c r="P55" s="717" t="str">
        <x:f>IF(OR(N55="",O55="",N55=0,O55=0),"",O55-N55)</x:f>
      </x:c>
      <x:c r="Q55" s="717" t="str">
        <x:f>IFERROR(INDEX(EG_Wycena_strona!$G:$G,MATCH($A55,EG_Wycena_strona!$A:$A,0)),"")</x:f>
      </x:c>
      <x:c r="R55" s="717" t="n">
        <x:f>IFERROR(INDEX('04_Wycena_strona_nowa'!$G:$G,MATCH($A55,'04_Wycena_strona_nowa'!$A:$A,0)),"")</x:f>
        <x:v>-24903</x:v>
      </x:c>
      <x:c r="S55" s="717" t="str">
        <x:f>IF(OR(Q55="",R55="",Q55=0,R55=0),"",R55-Q55)</x:f>
      </x:c>
      <x:c r="T55" s="717" t="str">
        <x:f>IFERROR(INDEX(EG_Wycena_strona!$H:$H,MATCH($A55,EG_Wycena_strona!$A:$A,0)),"")</x:f>
      </x:c>
      <x:c r="U55" s="717" t="n">
        <x:f>IFERROR(INDEX('04_Wycena_strona_nowa'!$H:$H,MATCH($A55,'04_Wycena_strona_nowa'!$A:$A,0)),"")</x:f>
        <x:v>5067</x:v>
      </x:c>
      <x:c r="V55" s="717" t="str">
        <x:f>IF(OR(T55="",U55="",T55=0,U55=0),"",U55-T55)</x:f>
      </x:c>
      <x:c r="W55" s="717" t="str">
        <x:f>IFERROR(INDEX(EG_Wycena_strona!$I:$I,MATCH($A55,EG_Wycena_strona!$A:$A,0)),"")</x:f>
      </x:c>
      <x:c r="X55" s="717" t="n">
        <x:f>IFERROR(INDEX('04_Wycena_strona_nowa'!$I:$I,MATCH($A55,'04_Wycena_strona_nowa'!$A:$A,0)),"")</x:f>
        <x:v>5067</x:v>
      </x:c>
      <x:c r="Y55" s="717" t="str">
        <x:f>IF(OR(W55="",X55="",W55=0,X55=0),"",X55-W55)</x:f>
      </x:c>
      <x:c r="Z55" s="717" t="str">
        <x:f>IFERROR(INDEX(EG_Wycena_strona!$J:$J,MATCH($A55,EG_Wycena_strona!$A:$A,0)),"")</x:f>
      </x:c>
      <x:c r="AA55" s="717" t="n">
        <x:f>IFERROR(INDEX('04_Wycena_strona_nowa'!$J:$J,MATCH($A55,'04_Wycena_strona_nowa'!$A:$A,0)),"")</x:f>
        <x:v>5437</x:v>
      </x:c>
      <x:c r="AB55" s="717" t="str">
        <x:f>IF(OR(Z55="",AA55="",Z55=0,AA55=0),"",AA55-Z55)</x:f>
      </x:c>
      <x:c r="AC55" s="717" t="str">
        <x:f>IFERROR(INDEX(EG_Wycena_strona!$K:$K,MATCH($A55,EG_Wycena_strona!$A:$A,0)),"")</x:f>
      </x:c>
      <x:c r="AD55" s="717" t="n">
        <x:f>IFERROR(INDEX('04_Wycena_strona_nowa'!$K:$K,MATCH($A55,'04_Wycena_strona_nowa'!$A:$A,0)),"")</x:f>
        <x:v>10644</x:v>
      </x:c>
      <x:c r="AE55" s="717" t="str">
        <x:f>IF(OR(AC55="",AD55="",AC55=0,AD55=0),"",AD55-AC55)</x:f>
      </x:c>
      <x:c r="AF55" s="717" t="str">
        <x:f>IFERROR(ROUND(INDEX(EG_Cennik_uslug!$BS:$BS,MATCH($A55,EG_Cennik_uslug!$A:$A,0))*1.08,0),"")</x:f>
      </x:c>
      <x:c r="AG55" s="717" t="n">
        <x:f>IFERROR(INDEX('04_Wycena_strona_nowa'!$L:$L,MATCH($A55,'04_Wycena_strona_nowa'!$A:$A,0)),"")</x:f>
        <x:v>4039</x:v>
      </x:c>
      <x:c r="AH55" s="717" t="str">
        <x:f>IF(OR(AF55="",AG55="",AF55=0,AG55=0),"",AG55-AF55)</x:f>
      </x:c>
      <x:c r="AI55" s="717" t="str">
        <x:f>IFERROR(ROUND(INDEX(EG_Cennik_uslug!$BZ:$BZ,MATCH($A55,EG_Cennik_uslug!$A:$A,0))*1.08,0),"")</x:f>
      </x:c>
      <x:c r="AJ55" s="717" t="n">
        <x:f>IFERROR(INDEX('04_Wycena_strona_nowa'!$O:$O,MATCH($A55,'04_Wycena_strona_nowa'!$A:$A,0)),"")</x:f>
        <x:v>777</x:v>
      </x:c>
      <x:c r="AK55" s="717" t="str">
        <x:f>IF(OR(AI55="",AJ55="",AI55=0,AJ55=0),"",AJ55-AI55)</x:f>
      </x:c>
      <x:c r="AL55" s="717" t="str">
        <x:f>IFERROR(ROUND(INDEX(EG_Cennik_uslug!$CG:$CG,MATCH($A55,EG_Cennik_uslug!$A:$A,0))*1.08,0),"")</x:f>
      </x:c>
      <x:c r="AM55" s="717" t="n">
        <x:f>IFERROR(INDEX('04_Wycena_strona_nowa'!$P:$P,MATCH($A55,'04_Wycena_strona_nowa'!$A:$A,0)),"")</x:f>
        <x:v>700</x:v>
      </x:c>
      <x:c r="AN55" s="717" t="str">
        <x:f>IF(OR(AL55="",AM55="",AL55=0,AM55=0),"",AM55-AL55)</x:f>
      </x:c>
      <x:c r="AO55" s="717" t="str">
        <x:f>""</x:f>
      </x:c>
      <x:c r="AP55" s="717" t="n">
        <x:f>IFERROR(INDEX('04_Wycena_strona_nowa'!$Q:$Q,MATCH($A55,'04_Wycena_strona_nowa'!$A:$A,0)),"")</x:f>
        <x:v>713</x:v>
      </x:c>
      <x:c r="AQ55" s="717" t="str">
        <x:f>IF(OR(AO55="",AP55="",AO55=0,AP55=0),"",AP55-AO55)</x:f>
      </x:c>
      <x:c r="AR55" s="717" t="str">
        <x:f>IFERROR(ROUND(INDEX(EG_Cennik_uslug!$CN:$CN,MATCH($A55,EG_Cennik_uslug!$A:$A,0))*1.08,0),"")</x:f>
      </x:c>
      <x:c r="AS55" s="717" t="n">
        <x:f>IFERROR(INDEX('04_Wycena_strona_nowa'!$M:$M,MATCH($A55,'04_Wycena_strona_nowa'!$A:$A,0)),"")</x:f>
        <x:v>1388</x:v>
      </x:c>
      <x:c r="AT55" s="717" t="str">
        <x:f>IF(OR(AR55="",AS55="",AR55=0,AS55=0),"",AS55-AR55)</x:f>
      </x:c>
      <x:c r="AU55" s="717" t="str">
        <x:f>IFERROR(ROUND(INDEX(EG_Cennik_uslug!$CU:$CU,MATCH($A55,EG_Cennik_uslug!$A:$A,0))*1.08,0),"")</x:f>
      </x:c>
      <x:c r="AV55" s="717" t="n">
        <x:f>IFERROR(INDEX('04_Wycena_strona_nowa'!$R:$R,MATCH($A55,'04_Wycena_strona_nowa'!$A:$A,0)),"")</x:f>
        <x:v>4048</x:v>
      </x:c>
      <x:c r="AW55" s="717" t="str">
        <x:f>IF(OR(AU55="",AV55="",AU55=0,AV55=0),"",AV55-AU55)</x:f>
      </x:c>
      <x:c r="AX55" s="717" t="str">
        <x:f>""</x:f>
      </x:c>
      <x:c r="AY55" s="717" t="str">
        <x:f>IFERROR(INDEX('04_Wycena_strona_nowa'!$S:$S,MATCH($A55,'04_Wycena_strona_nowa'!$A:$A,0)),"")</x:f>
      </x:c>
      <x:c r="AZ55" s="717" t="str">
        <x:f>IF(OR(AX55="",AY55="",AX55=0,AY55=0),"",AY55-AX55)</x:f>
      </x:c>
      <x:c r="BA55" s="612" t="e">
        <x:f>_xludf.TEXTJOIN("; ",TRUE,IF(OR(LEFT($A55,3)="550",LEFT($A55,3)="600"),"550/600: EG brak benchmarku; opcje szklane/zerowe ukryte w porównaniu do czasu potwierdzenia",""),"LED CCT/RGB: porównanie orientacyjne do EG LED COB","Zabieraki: brak jednoznacznej pozycji EG")</x:f>
      </x:c>
    </x:row>
    <x:row r="56">
      <x:c r="A56" s="608" t="str">
        <x:f>'04_Wycena_strona_nowa'!A56</x:f>
        <x:v>550 x 706 cm</x:v>
      </x:c>
      <x:c r="B56" s="717" t="str">
        <x:f>IFERROR(INDEX(EG_Wycena_strona!$B:$B,MATCH($A56,EG_Wycena_strona!$A:$A,0)),"")</x:f>
      </x:c>
      <x:c r="C56" s="717" t="n">
        <x:f>IFERROR(INDEX('04_Wycena_strona_nowa'!$B:$B,MATCH($A56,'04_Wycena_strona_nowa'!$A:$A,0)),"")</x:f>
        <x:v>34532</x:v>
      </x:c>
      <x:c r="D56" s="717" t="str">
        <x:f>IF(OR(B56="",C56="",B56=0,C56=0),"",C56-B56)</x:f>
      </x:c>
      <x:c r="E56" s="717" t="str">
        <x:f>IFERROR(INDEX(EG_Wycena_strona!$C:$C,MATCH($A56,EG_Wycena_strona!$A:$A,0)),"")</x:f>
      </x:c>
      <x:c r="F56" s="717" t="n">
        <x:f>IFERROR(INDEX('04_Wycena_strona_nowa'!$C:$C,MATCH($A56,'04_Wycena_strona_nowa'!$A:$A,0)),"")</x:f>
        <x:v>27321</x:v>
      </x:c>
      <x:c r="G56" s="717" t="str">
        <x:f>IF(OR(E56="",F56="",E56=0,F56=0),"",F56-E56)</x:f>
      </x:c>
      <x:c r="H56" s="717" t="str">
        <x:f>IFERROR(INDEX(EG_Wycena_strona!$D:$D,MATCH($A56,EG_Wycena_strona!$A:$A,0)),"")</x:f>
      </x:c>
      <x:c r="I56" s="717" t="n">
        <x:f>IFERROR(INDEX('04_Wycena_strona_nowa'!$D:$D,MATCH($A56,'04_Wycena_strona_nowa'!$A:$A,0)),"")</x:f>
        <x:v>30224</x:v>
      </x:c>
      <x:c r="J56" s="717" t="str">
        <x:f>IF(OR(H56="",I56="",H56=0,I56=0),"",I56-H56)</x:f>
      </x:c>
      <x:c r="K56" s="717" t="str">
        <x:f>IFERROR(INDEX(EG_Wycena_strona!$E:$E,MATCH($A56,EG_Wycena_strona!$A:$A,0)),"")</x:f>
      </x:c>
      <x:c r="L56" s="717" t="n">
        <x:f>IFERROR(INDEX('04_Wycena_strona_nowa'!$E:$E,MATCH($A56,'04_Wycena_strona_nowa'!$A:$A,0)),"")</x:f>
        <x:v>853</x:v>
      </x:c>
      <x:c r="M56" s="717" t="str">
        <x:f>IF(OR(K56="",L56="",K56=0,L56=0),"",L56-K56)</x:f>
      </x:c>
      <x:c r="N56" s="717" t="str">
        <x:f>IFERROR(INDEX(EG_Wycena_strona!$F:$F,MATCH($A56,EG_Wycena_strona!$A:$A,0)),"")</x:f>
      </x:c>
      <x:c r="O56" s="717" t="n">
        <x:f>IFERROR(INDEX('04_Wycena_strona_nowa'!$F:$F,MATCH($A56,'04_Wycena_strona_nowa'!$A:$A,0)),"")</x:f>
        <x:v>-29002</x:v>
      </x:c>
      <x:c r="P56" s="717" t="str">
        <x:f>IF(OR(N56="",O56="",N56=0,O56=0),"",O56-N56)</x:f>
      </x:c>
      <x:c r="Q56" s="717" t="str">
        <x:f>IFERROR(INDEX(EG_Wycena_strona!$G:$G,MATCH($A56,EG_Wycena_strona!$A:$A,0)),"")</x:f>
      </x:c>
      <x:c r="R56" s="717" t="n">
        <x:f>IFERROR(INDEX('04_Wycena_strona_nowa'!$G:$G,MATCH($A56,'04_Wycena_strona_nowa'!$A:$A,0)),"")</x:f>
        <x:v>-29002</x:v>
      </x:c>
      <x:c r="S56" s="717" t="str">
        <x:f>IF(OR(Q56="",R56="",Q56=0,R56=0),"",R56-Q56)</x:f>
      </x:c>
      <x:c r="T56" s="717" t="str">
        <x:f>IFERROR(INDEX(EG_Wycena_strona!$H:$H,MATCH($A56,EG_Wycena_strona!$A:$A,0)),"")</x:f>
      </x:c>
      <x:c r="U56" s="717" t="n">
        <x:f>IFERROR(INDEX('04_Wycena_strona_nowa'!$H:$H,MATCH($A56,'04_Wycena_strona_nowa'!$A:$A,0)),"")</x:f>
        <x:v>5067</x:v>
      </x:c>
      <x:c r="V56" s="717" t="str">
        <x:f>IF(OR(T56="",U56="",T56=0,U56=0),"",U56-T56)</x:f>
      </x:c>
      <x:c r="W56" s="717" t="str">
        <x:f>IFERROR(INDEX(EG_Wycena_strona!$I:$I,MATCH($A56,EG_Wycena_strona!$A:$A,0)),"")</x:f>
      </x:c>
      <x:c r="X56" s="717" t="n">
        <x:f>IFERROR(INDEX('04_Wycena_strona_nowa'!$I:$I,MATCH($A56,'04_Wycena_strona_nowa'!$A:$A,0)),"")</x:f>
        <x:v>5067</x:v>
      </x:c>
      <x:c r="Y56" s="717" t="str">
        <x:f>IF(OR(W56="",X56="",W56=0,X56=0),"",X56-W56)</x:f>
      </x:c>
      <x:c r="Z56" s="717" t="str">
        <x:f>IFERROR(INDEX(EG_Wycena_strona!$J:$J,MATCH($A56,EG_Wycena_strona!$A:$A,0)),"")</x:f>
      </x:c>
      <x:c r="AA56" s="717" t="n">
        <x:f>IFERROR(INDEX('04_Wycena_strona_nowa'!$J:$J,MATCH($A56,'04_Wycena_strona_nowa'!$A:$A,0)),"")</x:f>
        <x:v>6086</x:v>
      </x:c>
      <x:c r="AB56" s="717" t="str">
        <x:f>IF(OR(Z56="",AA56="",Z56=0,AA56=0),"",AA56-Z56)</x:f>
      </x:c>
      <x:c r="AC56" s="717" t="str">
        <x:f>IFERROR(INDEX(EG_Wycena_strona!$K:$K,MATCH($A56,EG_Wycena_strona!$A:$A,0)),"")</x:f>
      </x:c>
      <x:c r="AD56" s="717" t="n">
        <x:f>IFERROR(INDEX('04_Wycena_strona_nowa'!$K:$K,MATCH($A56,'04_Wycena_strona_nowa'!$A:$A,0)),"")</x:f>
        <x:v>11408</x:v>
      </x:c>
      <x:c r="AE56" s="717" t="str">
        <x:f>IF(OR(AC56="",AD56="",AC56=0,AD56=0),"",AD56-AC56)</x:f>
      </x:c>
      <x:c r="AF56" s="717" t="str">
        <x:f>IFERROR(ROUND(INDEX(EG_Cennik_uslug!$BS:$BS,MATCH($A56,EG_Cennik_uslug!$A:$A,0))*1.08,0),"")</x:f>
      </x:c>
      <x:c r="AG56" s="717" t="n">
        <x:f>IFERROR(INDEX('04_Wycena_strona_nowa'!$L:$L,MATCH($A56,'04_Wycena_strona_nowa'!$A:$A,0)),"")</x:f>
        <x:v>3568</x:v>
      </x:c>
      <x:c r="AH56" s="717" t="str">
        <x:f>IF(OR(AF56="",AG56="",AF56=0,AG56=0),"",AG56-AF56)</x:f>
      </x:c>
      <x:c r="AI56" s="717" t="str">
        <x:f>IFERROR(ROUND(INDEX(EG_Cennik_uslug!$BZ:$BZ,MATCH($A56,EG_Cennik_uslug!$A:$A,0))*1.08,0),"")</x:f>
      </x:c>
      <x:c r="AJ56" s="717" t="n">
        <x:f>IFERROR(INDEX('04_Wycena_strona_nowa'!$O:$O,MATCH($A56,'04_Wycena_strona_nowa'!$A:$A,0)),"")</x:f>
        <x:v>827</x:v>
      </x:c>
      <x:c r="AK56" s="717" t="str">
        <x:f>IF(OR(AI56="",AJ56="",AI56=0,AJ56=0),"",AJ56-AI56)</x:f>
      </x:c>
      <x:c r="AL56" s="717" t="str">
        <x:f>IFERROR(ROUND(INDEX(EG_Cennik_uslug!$CG:$CG,MATCH($A56,EG_Cennik_uslug!$A:$A,0))*1.08,0),"")</x:f>
      </x:c>
      <x:c r="AM56" s="717" t="n">
        <x:f>IFERROR(INDEX('04_Wycena_strona_nowa'!$P:$P,MATCH($A56,'04_Wycena_strona_nowa'!$A:$A,0)),"")</x:f>
        <x:v>752</x:v>
      </x:c>
      <x:c r="AN56" s="717" t="str">
        <x:f>IF(OR(AL56="",AM56="",AL56=0,AM56=0),"",AM56-AL56)</x:f>
      </x:c>
      <x:c r="AO56" s="717" t="str">
        <x:f>""</x:f>
      </x:c>
      <x:c r="AP56" s="717" t="n">
        <x:f>IFERROR(INDEX('04_Wycena_strona_nowa'!$Q:$Q,MATCH($A56,'04_Wycena_strona_nowa'!$A:$A,0)),"")</x:f>
        <x:v>765</x:v>
      </x:c>
      <x:c r="AQ56" s="717" t="str">
        <x:f>IF(OR(AO56="",AP56="",AO56=0,AP56=0),"",AP56-AO56)</x:f>
      </x:c>
      <x:c r="AR56" s="717" t="str">
        <x:f>IFERROR(ROUND(INDEX(EG_Cennik_uslug!$CN:$CN,MATCH($A56,EG_Cennik_uslug!$A:$A,0))*1.08,0),"")</x:f>
      </x:c>
      <x:c r="AS56" s="717" t="n">
        <x:f>IFERROR(INDEX('04_Wycena_strona_nowa'!$M:$M,MATCH($A56,'04_Wycena_strona_nowa'!$A:$A,0)),"")</x:f>
        <x:v>1541</x:v>
      </x:c>
      <x:c r="AT56" s="717" t="str">
        <x:f>IF(OR(AR56="",AS56="",AR56=0,AS56=0),"",AS56-AR56)</x:f>
      </x:c>
      <x:c r="AU56" s="717" t="str">
        <x:f>IFERROR(ROUND(INDEX(EG_Cennik_uslug!$CU:$CU,MATCH($A56,EG_Cennik_uslug!$A:$A,0))*1.08,0),"")</x:f>
      </x:c>
      <x:c r="AV56" s="717" t="n">
        <x:f>IFERROR(INDEX('04_Wycena_strona_nowa'!$R:$R,MATCH($A56,'04_Wycena_strona_nowa'!$A:$A,0)),"")</x:f>
        <x:v>4451</x:v>
      </x:c>
      <x:c r="AW56" s="717" t="str">
        <x:f>IF(OR(AU56="",AV56="",AU56=0,AV56=0),"",AV56-AU56)</x:f>
      </x:c>
      <x:c r="AX56" s="717" t="str">
        <x:f>""</x:f>
      </x:c>
      <x:c r="AY56" s="717" t="str">
        <x:f>IFERROR(INDEX('04_Wycena_strona_nowa'!$S:$S,MATCH($A56,'04_Wycena_strona_nowa'!$A:$A,0)),"")</x:f>
      </x:c>
      <x:c r="AZ56" s="717" t="str">
        <x:f>IF(OR(AX56="",AY56="",AX56=0,AY56=0),"",AY56-AX56)</x:f>
      </x:c>
      <x:c r="BA56" s="612" t="e">
        <x:f>_xludf.TEXTJOIN("; ",TRUE,IF(OR(LEFT($A56,3)="550",LEFT($A56,3)="600"),"550/600: EG brak benchmarku; opcje szklane/zerowe ukryte w porównaniu do czasu potwierdzenia",""),"LED CCT/RGB: porównanie orientacyjne do EG LED COB","Zabieraki: brak jednoznacznej pozycji EG")</x:f>
      </x:c>
    </x:row>
    <x:row r="57">
      <x:c r="A57" s="608" t="str">
        <x:f>'04_Wycena_strona_nowa'!A57</x:f>
        <x:v>550 x 806 cm</x:v>
      </x:c>
      <x:c r="B57" s="717" t="str">
        <x:f>IFERROR(INDEX(EG_Wycena_strona!$B:$B,MATCH($A57,EG_Wycena_strona!$A:$A,0)),"")</x:f>
      </x:c>
      <x:c r="C57" s="717" t="n">
        <x:f>IFERROR(INDEX('04_Wycena_strona_nowa'!$B:$B,MATCH($A57,'04_Wycena_strona_nowa'!$A:$A,0)),"")</x:f>
        <x:v>38894</x:v>
      </x:c>
      <x:c r="D57" s="717" t="str">
        <x:f>IF(OR(B57="",C57="",B57=0,C57=0),"",C57-B57)</x:f>
      </x:c>
      <x:c r="E57" s="717" t="str">
        <x:f>IFERROR(INDEX(EG_Wycena_strona!$C:$C,MATCH($A57,EG_Wycena_strona!$A:$A,0)),"")</x:f>
      </x:c>
      <x:c r="F57" s="717" t="n">
        <x:f>IFERROR(INDEX('04_Wycena_strona_nowa'!$C:$C,MATCH($A57,'04_Wycena_strona_nowa'!$A:$A,0)),"")</x:f>
        <x:v>28407</x:v>
      </x:c>
      <x:c r="G57" s="717" t="str">
        <x:f>IF(OR(E57="",F57="",E57=0,F57=0),"",F57-E57)</x:f>
      </x:c>
      <x:c r="H57" s="717" t="str">
        <x:f>IFERROR(INDEX(EG_Wycena_strona!$D:$D,MATCH($A57,EG_Wycena_strona!$A:$A,0)),"")</x:f>
      </x:c>
      <x:c r="I57" s="717" t="n">
        <x:f>IFERROR(INDEX('04_Wycena_strona_nowa'!$D:$D,MATCH($A57,'04_Wycena_strona_nowa'!$A:$A,0)),"")</x:f>
        <x:v>31462</x:v>
      </x:c>
      <x:c r="J57" s="717" t="str">
        <x:f>IF(OR(H57="",I57="",H57=0,I57=0),"",I57-H57)</x:f>
      </x:c>
      <x:c r="K57" s="717" t="str">
        <x:f>IFERROR(INDEX(EG_Wycena_strona!$E:$E,MATCH($A57,EG_Wycena_strona!$A:$A,0)),"")</x:f>
      </x:c>
      <x:c r="L57" s="717" t="n">
        <x:f>IFERROR(INDEX('04_Wycena_strona_nowa'!$E:$E,MATCH($A57,'04_Wycena_strona_nowa'!$A:$A,0)),"")</x:f>
        <x:v>981</x:v>
      </x:c>
      <x:c r="M57" s="717" t="str">
        <x:f>IF(OR(K57="",L57="",K57=0,L57=0),"",L57-K57)</x:f>
      </x:c>
      <x:c r="N57" s="717" t="str">
        <x:f>IFERROR(INDEX(EG_Wycena_strona!$F:$F,MATCH($A57,EG_Wycena_strona!$A:$A,0)),"")</x:f>
      </x:c>
      <x:c r="O57" s="717" t="n">
        <x:f>IFERROR(INDEX('04_Wycena_strona_nowa'!$F:$F,MATCH($A57,'04_Wycena_strona_nowa'!$A:$A,0)),"")</x:f>
        <x:v>-32976</x:v>
      </x:c>
      <x:c r="P57" s="717" t="str">
        <x:f>IF(OR(N57="",O57="",N57=0,O57=0),"",O57-N57)</x:f>
      </x:c>
      <x:c r="Q57" s="717" t="str">
        <x:f>IFERROR(INDEX(EG_Wycena_strona!$G:$G,MATCH($A57,EG_Wycena_strona!$A:$A,0)),"")</x:f>
      </x:c>
      <x:c r="R57" s="717" t="n">
        <x:f>IFERROR(INDEX('04_Wycena_strona_nowa'!$G:$G,MATCH($A57,'04_Wycena_strona_nowa'!$A:$A,0)),"")</x:f>
        <x:v>-32976</x:v>
      </x:c>
      <x:c r="S57" s="717" t="str">
        <x:f>IF(OR(Q57="",R57="",Q57=0,R57=0),"",R57-Q57)</x:f>
      </x:c>
      <x:c r="T57" s="717" t="str">
        <x:f>IFERROR(INDEX(EG_Wycena_strona!$H:$H,MATCH($A57,EG_Wycena_strona!$A:$A,0)),"")</x:f>
      </x:c>
      <x:c r="U57" s="717" t="n">
        <x:f>IFERROR(INDEX('04_Wycena_strona_nowa'!$H:$H,MATCH($A57,'04_Wycena_strona_nowa'!$A:$A,0)),"")</x:f>
        <x:v>5067</x:v>
      </x:c>
      <x:c r="V57" s="717" t="str">
        <x:f>IF(OR(T57="",U57="",T57=0,U57=0),"",U57-T57)</x:f>
      </x:c>
      <x:c r="W57" s="717" t="str">
        <x:f>IFERROR(INDEX(EG_Wycena_strona!$I:$I,MATCH($A57,EG_Wycena_strona!$A:$A,0)),"")</x:f>
      </x:c>
      <x:c r="X57" s="717" t="n">
        <x:f>IFERROR(INDEX('04_Wycena_strona_nowa'!$I:$I,MATCH($A57,'04_Wycena_strona_nowa'!$A:$A,0)),"")</x:f>
        <x:v>5067</x:v>
      </x:c>
      <x:c r="Y57" s="717" t="str">
        <x:f>IF(OR(W57="",X57="",W57=0,X57=0),"",X57-W57)</x:f>
      </x:c>
      <x:c r="Z57" s="717" t="str">
        <x:f>IFERROR(INDEX(EG_Wycena_strona!$J:$J,MATCH($A57,EG_Wycena_strona!$A:$A,0)),"")</x:f>
      </x:c>
      <x:c r="AA57" s="717" t="n">
        <x:f>IFERROR(INDEX('04_Wycena_strona_nowa'!$J:$J,MATCH($A57,'04_Wycena_strona_nowa'!$A:$A,0)),"")</x:f>
        <x:v>6723</x:v>
      </x:c>
      <x:c r="AB57" s="717" t="str">
        <x:f>IF(OR(Z57="",AA57="",Z57=0,AA57=0),"",AA57-Z57)</x:f>
      </x:c>
      <x:c r="AC57" s="717" t="str">
        <x:f>IFERROR(INDEX(EG_Wycena_strona!$K:$K,MATCH($A57,EG_Wycena_strona!$A:$A,0)),"")</x:f>
      </x:c>
      <x:c r="AD57" s="717" t="n">
        <x:f>IFERROR(INDEX('04_Wycena_strona_nowa'!$K:$K,MATCH($A57,'04_Wycena_strona_nowa'!$A:$A,0)),"")</x:f>
        <x:v>12183</x:v>
      </x:c>
      <x:c r="AE57" s="717" t="str">
        <x:f>IF(OR(AC57="",AD57="",AC57=0,AD57=0),"",AD57-AC57)</x:f>
      </x:c>
      <x:c r="AF57" s="717" t="str">
        <x:f>IFERROR(ROUND(INDEX(EG_Cennik_uslug!$BS:$BS,MATCH($A57,EG_Cennik_uslug!$A:$A,0))*1.08,0),"")</x:f>
      </x:c>
      <x:c r="AG57" s="717" t="n">
        <x:f>IFERROR(INDEX('04_Wycena_strona_nowa'!$L:$L,MATCH($A57,'04_Wycena_strona_nowa'!$A:$A,0)),"")</x:f>
        <x:v>3834</x:v>
      </x:c>
      <x:c r="AH57" s="717" t="str">
        <x:f>IF(OR(AF57="",AG57="",AF57=0,AG57=0),"",AG57-AF57)</x:f>
      </x:c>
      <x:c r="AI57" s="717" t="str">
        <x:f>IFERROR(ROUND(INDEX(EG_Cennik_uslug!$BZ:$BZ,MATCH($A57,EG_Cennik_uslug!$A:$A,0))*1.08,0),"")</x:f>
      </x:c>
      <x:c r="AJ57" s="717" t="n">
        <x:f>IFERROR(INDEX('04_Wycena_strona_nowa'!$O:$O,MATCH($A57,'04_Wycena_strona_nowa'!$A:$A,0)),"")</x:f>
        <x:v>878</x:v>
      </x:c>
      <x:c r="AK57" s="717" t="str">
        <x:f>IF(OR(AI57="",AJ57="",AI57=0,AJ57=0),"",AJ57-AI57)</x:f>
      </x:c>
      <x:c r="AL57" s="717" t="str">
        <x:f>IFERROR(ROUND(INDEX(EG_Cennik_uslug!$CG:$CG,MATCH($A57,EG_Cennik_uslug!$A:$A,0))*1.08,0),"")</x:f>
      </x:c>
      <x:c r="AM57" s="717" t="n">
        <x:f>IFERROR(INDEX('04_Wycena_strona_nowa'!$P:$P,MATCH($A57,'04_Wycena_strona_nowa'!$A:$A,0)),"")</x:f>
        <x:v>789</x:v>
      </x:c>
      <x:c r="AN57" s="717" t="str">
        <x:f>IF(OR(AL57="",AM57="",AL57=0,AM57=0),"",AM57-AL57)</x:f>
      </x:c>
      <x:c r="AO57" s="717" t="str">
        <x:f>""</x:f>
      </x:c>
      <x:c r="AP57" s="717" t="n">
        <x:f>IFERROR(INDEX('04_Wycena_strona_nowa'!$Q:$Q,MATCH($A57,'04_Wycena_strona_nowa'!$A:$A,0)),"")</x:f>
        <x:v>814</x:v>
      </x:c>
      <x:c r="AQ57" s="717" t="str">
        <x:f>IF(OR(AO57="",AP57="",AO57=0,AP57=0),"",AP57-AO57)</x:f>
      </x:c>
      <x:c r="AR57" s="717" t="str">
        <x:f>IFERROR(ROUND(INDEX(EG_Cennik_uslug!$CN:$CN,MATCH($A57,EG_Cennik_uslug!$A:$A,0))*1.08,0),"")</x:f>
      </x:c>
      <x:c r="AS57" s="717" t="n">
        <x:f>IFERROR(INDEX('04_Wycena_strona_nowa'!$M:$M,MATCH($A57,'04_Wycena_strona_nowa'!$A:$A,0)),"")</x:f>
        <x:v>1834</x:v>
      </x:c>
      <x:c r="AT57" s="717" t="str">
        <x:f>IF(OR(AR57="",AS57="",AR57=0,AS57=0),"",AS57-AR57)</x:f>
      </x:c>
      <x:c r="AU57" s="717" t="str">
        <x:f>IFERROR(ROUND(INDEX(EG_Cennik_uslug!$CU:$CU,MATCH($A57,EG_Cennik_uslug!$A:$A,0))*1.08,0),"")</x:f>
      </x:c>
      <x:c r="AV57" s="717" t="n">
        <x:f>IFERROR(INDEX('04_Wycena_strona_nowa'!$R:$R,MATCH($A57,'04_Wycena_strona_nowa'!$A:$A,0)),"")</x:f>
        <x:v>4844</x:v>
      </x:c>
      <x:c r="AW57" s="717" t="str">
        <x:f>IF(OR(AU57="",AV57="",AU57=0,AV57=0),"",AV57-AU57)</x:f>
      </x:c>
      <x:c r="AX57" s="717" t="str">
        <x:f>""</x:f>
      </x:c>
      <x:c r="AY57" s="717" t="str">
        <x:f>IFERROR(INDEX('04_Wycena_strona_nowa'!$S:$S,MATCH($A57,'04_Wycena_strona_nowa'!$A:$A,0)),"")</x:f>
      </x:c>
      <x:c r="AZ57" s="717" t="str">
        <x:f>IF(OR(AX57="",AY57="",AX57=0,AY57=0),"",AY57-AX57)</x:f>
      </x:c>
      <x:c r="BA57" s="612" t="e">
        <x:f>_xludf.TEXTJOIN("; ",TRUE,IF(OR(LEFT($A57,3)="550",LEFT($A57,3)="600"),"550/600: EG brak benchmarku; opcje szklane/zerowe ukryte w porównaniu do czasu potwierdzenia",""),"LED CCT/RGB: porównanie orientacyjne do EG LED COB","Zabieraki: brak jednoznacznej pozycji EG")</x:f>
      </x:c>
    </x:row>
    <x:row r="58">
      <x:c r="A58" s="608" t="str">
        <x:f>'04_Wycena_strona_nowa'!A58</x:f>
        <x:v>550 x 906 cm</x:v>
      </x:c>
      <x:c r="B58" s="717" t="str">
        <x:f>IFERROR(INDEX(EG_Wycena_strona!$B:$B,MATCH($A58,EG_Wycena_strona!$A:$A,0)),"")</x:f>
      </x:c>
      <x:c r="C58" s="717" t="n">
        <x:f>IFERROR(INDEX('04_Wycena_strona_nowa'!$B:$B,MATCH($A58,'04_Wycena_strona_nowa'!$A:$A,0)),"")</x:f>
        <x:v>43737</x:v>
      </x:c>
      <x:c r="D58" s="717" t="str">
        <x:f>IF(OR(B58="",C58="",B58=0,C58=0),"",C58-B58)</x:f>
      </x:c>
      <x:c r="E58" s="717" t="str">
        <x:f>IFERROR(INDEX(EG_Wycena_strona!$C:$C,MATCH($A58,EG_Wycena_strona!$A:$A,0)),"")</x:f>
      </x:c>
      <x:c r="F58" s="717" t="n">
        <x:f>IFERROR(INDEX('04_Wycena_strona_nowa'!$C:$C,MATCH($A58,'04_Wycena_strona_nowa'!$A:$A,0)),"")</x:f>
        <x:v>29851</x:v>
      </x:c>
      <x:c r="G58" s="717" t="str">
        <x:f>IF(OR(E58="",F58="",E58=0,F58=0),"",F58-E58)</x:f>
      </x:c>
      <x:c r="H58" s="717" t="str">
        <x:f>IFERROR(INDEX(EG_Wycena_strona!$D:$D,MATCH($A58,EG_Wycena_strona!$A:$A,0)),"")</x:f>
      </x:c>
      <x:c r="I58" s="717" t="n">
        <x:f>IFERROR(INDEX('04_Wycena_strona_nowa'!$D:$D,MATCH($A58,'04_Wycena_strona_nowa'!$A:$A,0)),"")</x:f>
        <x:v>33060</x:v>
      </x:c>
      <x:c r="J58" s="717" t="str">
        <x:f>IF(OR(H58="",I58="",H58=0,I58=0),"",I58-H58)</x:f>
      </x:c>
      <x:c r="K58" s="717" t="str">
        <x:f>IFERROR(INDEX(EG_Wycena_strona!$E:$E,MATCH($A58,EG_Wycena_strona!$A:$A,0)),"")</x:f>
      </x:c>
      <x:c r="L58" s="717" t="n">
        <x:f>IFERROR(INDEX('04_Wycena_strona_nowa'!$E:$E,MATCH($A58,'04_Wycena_strona_nowa'!$A:$A,0)),"")</x:f>
        <x:v>1095</x:v>
      </x:c>
      <x:c r="M58" s="717" t="str">
        <x:f>IF(OR(K58="",L58="",K58=0,L58=0),"",L58-K58)</x:f>
      </x:c>
      <x:c r="N58" s="717" t="str">
        <x:f>IFERROR(INDEX(EG_Wycena_strona!$F:$F,MATCH($A58,EG_Wycena_strona!$A:$A,0)),"")</x:f>
      </x:c>
      <x:c r="O58" s="717" t="n">
        <x:f>IFERROR(INDEX('04_Wycena_strona_nowa'!$F:$F,MATCH($A58,'04_Wycena_strona_nowa'!$A:$A,0)),"")</x:f>
        <x:v>-37494</x:v>
      </x:c>
      <x:c r="P58" s="717" t="str">
        <x:f>IF(OR(N58="",O58="",N58=0,O58=0),"",O58-N58)</x:f>
      </x:c>
      <x:c r="Q58" s="717" t="str">
        <x:f>IFERROR(INDEX(EG_Wycena_strona!$G:$G,MATCH($A58,EG_Wycena_strona!$A:$A,0)),"")</x:f>
      </x:c>
      <x:c r="R58" s="717" t="n">
        <x:f>IFERROR(INDEX('04_Wycena_strona_nowa'!$G:$G,MATCH($A58,'04_Wycena_strona_nowa'!$A:$A,0)),"")</x:f>
        <x:v>-37494</x:v>
      </x:c>
      <x:c r="S58" s="717" t="str">
        <x:f>IF(OR(Q58="",R58="",Q58=0,R58=0),"",R58-Q58)</x:f>
      </x:c>
      <x:c r="T58" s="717" t="str">
        <x:f>IFERROR(INDEX(EG_Wycena_strona!$H:$H,MATCH($A58,EG_Wycena_strona!$A:$A,0)),"")</x:f>
      </x:c>
      <x:c r="U58" s="717" t="n">
        <x:f>IFERROR(INDEX('04_Wycena_strona_nowa'!$H:$H,MATCH($A58,'04_Wycena_strona_nowa'!$A:$A,0)),"")</x:f>
        <x:v>5067</x:v>
      </x:c>
      <x:c r="V58" s="717" t="str">
        <x:f>IF(OR(T58="",U58="",T58=0,U58=0),"",U58-T58)</x:f>
      </x:c>
      <x:c r="W58" s="717" t="str">
        <x:f>IFERROR(INDEX(EG_Wycena_strona!$I:$I,MATCH($A58,EG_Wycena_strona!$A:$A,0)),"")</x:f>
      </x:c>
      <x:c r="X58" s="717" t="n">
        <x:f>IFERROR(INDEX('04_Wycena_strona_nowa'!$I:$I,MATCH($A58,'04_Wycena_strona_nowa'!$A:$A,0)),"")</x:f>
        <x:v>5067</x:v>
      </x:c>
      <x:c r="Y58" s="717" t="str">
        <x:f>IF(OR(W58="",X58="",W58=0,X58=0),"",X58-W58)</x:f>
      </x:c>
      <x:c r="Z58" s="717" t="str">
        <x:f>IFERROR(INDEX(EG_Wycena_strona!$J:$J,MATCH($A58,EG_Wycena_strona!$A:$A,0)),"")</x:f>
      </x:c>
      <x:c r="AA58" s="717" t="n">
        <x:f>IFERROR(INDEX('04_Wycena_strona_nowa'!$J:$J,MATCH($A58,'04_Wycena_strona_nowa'!$A:$A,0)),"")</x:f>
        <x:v>8148</x:v>
      </x:c>
      <x:c r="AB58" s="717" t="str">
        <x:f>IF(OR(Z58="",AA58="",Z58=0,AA58=0),"",AA58-Z58)</x:f>
      </x:c>
      <x:c r="AC58" s="717" t="str">
        <x:f>IFERROR(INDEX(EG_Wycena_strona!$K:$K,MATCH($A58,EG_Wycena_strona!$A:$A,0)),"")</x:f>
      </x:c>
      <x:c r="AD58" s="717" t="n">
        <x:f>IFERROR(INDEX('04_Wycena_strona_nowa'!$K:$K,MATCH($A58,'04_Wycena_strona_nowa'!$A:$A,0)),"")</x:f>
        <x:v>13165</x:v>
      </x:c>
      <x:c r="AE58" s="717" t="str">
        <x:f>IF(OR(AC58="",AD58="",AC58=0,AD58=0),"",AD58-AC58)</x:f>
      </x:c>
      <x:c r="AF58" s="717" t="str">
        <x:f>IFERROR(ROUND(INDEX(EG_Cennik_uslug!$BS:$BS,MATCH($A58,EG_Cennik_uslug!$A:$A,0))*1.08,0),"")</x:f>
      </x:c>
      <x:c r="AG58" s="717" t="n">
        <x:f>IFERROR(INDEX('04_Wycena_strona_nowa'!$L:$L,MATCH($A58,'04_Wycena_strona_nowa'!$A:$A,0)),"")</x:f>
        <x:v>4083</x:v>
      </x:c>
      <x:c r="AH58" s="717" t="str">
        <x:f>IF(OR(AF58="",AG58="",AF58=0,AG58=0),"",AG58-AF58)</x:f>
      </x:c>
      <x:c r="AI58" s="717" t="str">
        <x:f>IFERROR(ROUND(INDEX(EG_Cennik_uslug!$BZ:$BZ,MATCH($A58,EG_Cennik_uslug!$A:$A,0))*1.08,0),"")</x:f>
      </x:c>
      <x:c r="AJ58" s="717" t="n">
        <x:f>IFERROR(INDEX('04_Wycena_strona_nowa'!$O:$O,MATCH($A58,'04_Wycena_strona_nowa'!$A:$A,0)),"")</x:f>
        <x:v>916</x:v>
      </x:c>
      <x:c r="AK58" s="717" t="str">
        <x:f>IF(OR(AI58="",AJ58="",AI58=0,AJ58=0),"",AJ58-AI58)</x:f>
      </x:c>
      <x:c r="AL58" s="717" t="str">
        <x:f>IFERROR(ROUND(INDEX(EG_Cennik_uslug!$CG:$CG,MATCH($A58,EG_Cennik_uslug!$A:$A,0))*1.08,0),"")</x:f>
      </x:c>
      <x:c r="AM58" s="717" t="n">
        <x:f>IFERROR(INDEX('04_Wycena_strona_nowa'!$P:$P,MATCH($A58,'04_Wycena_strona_nowa'!$A:$A,0)),"")</x:f>
        <x:v>827</x:v>
      </x:c>
      <x:c r="AN58" s="717" t="str">
        <x:f>IF(OR(AL58="",AM58="",AL58=0,AM58=0),"",AM58-AL58)</x:f>
      </x:c>
      <x:c r="AO58" s="717" t="str">
        <x:f>""</x:f>
      </x:c>
      <x:c r="AP58" s="717" t="n">
        <x:f>IFERROR(INDEX('04_Wycena_strona_nowa'!$Q:$Q,MATCH($A58,'04_Wycena_strona_nowa'!$A:$A,0)),"")</x:f>
        <x:v>814</x:v>
      </x:c>
      <x:c r="AQ58" s="717" t="str">
        <x:f>IF(OR(AO58="",AP58="",AO58=0,AP58=0),"",AP58-AO58)</x:f>
      </x:c>
      <x:c r="AR58" s="717" t="str">
        <x:f>IFERROR(ROUND(INDEX(EG_Cennik_uslug!$CN:$CN,MATCH($A58,EG_Cennik_uslug!$A:$A,0))*1.08,0),"")</x:f>
      </x:c>
      <x:c r="AS58" s="717" t="n">
        <x:f>IFERROR(INDEX('04_Wycena_strona_nowa'!$M:$M,MATCH($A58,'04_Wycena_strona_nowa'!$A:$A,0)),"")</x:f>
        <x:v>1986</x:v>
      </x:c>
      <x:c r="AT58" s="717" t="str">
        <x:f>IF(OR(AR58="",AS58="",AR58=0,AS58=0),"",AS58-AR58)</x:f>
      </x:c>
      <x:c r="AU58" s="717" t="str">
        <x:f>IFERROR(ROUND(INDEX(EG_Cennik_uslug!$CU:$CU,MATCH($A58,EG_Cennik_uslug!$A:$A,0))*1.08,0),"")</x:f>
      </x:c>
      <x:c r="AV58" s="717" t="n">
        <x:f>IFERROR(INDEX('04_Wycena_strona_nowa'!$R:$R,MATCH($A58,'04_Wycena_strona_nowa'!$A:$A,0)),"")</x:f>
        <x:v>5194</x:v>
      </x:c>
      <x:c r="AW58" s="717" t="str">
        <x:f>IF(OR(AU58="",AV58="",AU58=0,AV58=0),"",AV58-AU58)</x:f>
      </x:c>
      <x:c r="AX58" s="717" t="str">
        <x:f>""</x:f>
      </x:c>
      <x:c r="AY58" s="717" t="str">
        <x:f>IFERROR(INDEX('04_Wycena_strona_nowa'!$S:$S,MATCH($A58,'04_Wycena_strona_nowa'!$A:$A,0)),"")</x:f>
      </x:c>
      <x:c r="AZ58" s="717" t="str">
        <x:f>IF(OR(AX58="",AY58="",AX58=0,AY58=0),"",AY58-AX58)</x:f>
      </x:c>
      <x:c r="BA58" s="612" t="e">
        <x:f>_xludf.TEXTJOIN("; ",TRUE,IF(OR(LEFT($A58,3)="550",LEFT($A58,3)="600"),"550/600: EG brak benchmarku; opcje szklane/zerowe ukryte w porównaniu do czasu potwierdzenia",""),"LED CCT/RGB: porównanie orientacyjne do EG LED COB","Zabieraki: brak jednoznacznej pozycji EG")</x:f>
      </x:c>
    </x:row>
    <x:row r="59">
      <x:c r="A59" s="608" t="str">
        <x:f>'04_Wycena_strona_nowa'!A59</x:f>
        <x:v>550 x 1006 cm</x:v>
      </x:c>
      <x:c r="B59" s="717" t="str">
        <x:f>IFERROR(INDEX(EG_Wycena_strona!$B:$B,MATCH($A59,EG_Wycena_strona!$A:$A,0)),"")</x:f>
      </x:c>
      <x:c r="C59" s="717" t="n">
        <x:f>IFERROR(INDEX('04_Wycena_strona_nowa'!$B:$B,MATCH($A59,'04_Wycena_strona_nowa'!$A:$A,0)),"")</x:f>
        <x:v>47927</x:v>
      </x:c>
      <x:c r="D59" s="717" t="str">
        <x:f>IF(OR(B59="",C59="",B59=0,C59=0),"",C59-B59)</x:f>
      </x:c>
      <x:c r="E59" s="717" t="str">
        <x:f>IFERROR(INDEX(EG_Wycena_strona!$C:$C,MATCH($A59,EG_Wycena_strona!$A:$A,0)),"")</x:f>
      </x:c>
      <x:c r="F59" s="717" t="n">
        <x:f>IFERROR(INDEX('04_Wycena_strona_nowa'!$C:$C,MATCH($A59,'04_Wycena_strona_nowa'!$A:$A,0)),"")</x:f>
        <x:v>31289</x:v>
      </x:c>
      <x:c r="G59" s="717" t="str">
        <x:f>IF(OR(E59="",F59="",E59=0,F59=0),"",F59-E59)</x:f>
      </x:c>
      <x:c r="H59" s="717" t="str">
        <x:f>IFERROR(INDEX(EG_Wycena_strona!$D:$D,MATCH($A59,EG_Wycena_strona!$A:$A,0)),"")</x:f>
      </x:c>
      <x:c r="I59" s="717" t="n">
        <x:f>IFERROR(INDEX('04_Wycena_strona_nowa'!$D:$D,MATCH($A59,'04_Wycena_strona_nowa'!$A:$A,0)),"")</x:f>
        <x:v>34650</x:v>
      </x:c>
      <x:c r="J59" s="717" t="str">
        <x:f>IF(OR(H59="",I59="",H59=0,I59=0),"",I59-H59)</x:f>
      </x:c>
      <x:c r="K59" s="717" t="str">
        <x:f>IFERROR(INDEX(EG_Wycena_strona!$E:$E,MATCH($A59,EG_Wycena_strona!$A:$A,0)),"")</x:f>
      </x:c>
      <x:c r="L59" s="717" t="n">
        <x:f>IFERROR(INDEX('04_Wycena_strona_nowa'!$E:$E,MATCH($A59,'04_Wycena_strona_nowa'!$A:$A,0)),"")</x:f>
        <x:v>1221</x:v>
      </x:c>
      <x:c r="M59" s="717" t="str">
        <x:f>IF(OR(K59="",L59="",K59=0,L59=0),"",L59-K59)</x:f>
      </x:c>
      <x:c r="N59" s="717" t="str">
        <x:f>IFERROR(INDEX(EG_Wycena_strona!$F:$F,MATCH($A59,EG_Wycena_strona!$A:$A,0)),"")</x:f>
      </x:c>
      <x:c r="O59" s="717" t="n">
        <x:f>IFERROR(INDEX('04_Wycena_strona_nowa'!$F:$F,MATCH($A59,'04_Wycena_strona_nowa'!$A:$A,0)),"")</x:f>
        <x:v>-41339</x:v>
      </x:c>
      <x:c r="P59" s="717" t="str">
        <x:f>IF(OR(N59="",O59="",N59=0,O59=0),"",O59-N59)</x:f>
      </x:c>
      <x:c r="Q59" s="717" t="str">
        <x:f>IFERROR(INDEX(EG_Wycena_strona!$G:$G,MATCH($A59,EG_Wycena_strona!$A:$A,0)),"")</x:f>
      </x:c>
      <x:c r="R59" s="717" t="n">
        <x:f>IFERROR(INDEX('04_Wycena_strona_nowa'!$G:$G,MATCH($A59,'04_Wycena_strona_nowa'!$A:$A,0)),"")</x:f>
        <x:v>-41339</x:v>
      </x:c>
      <x:c r="S59" s="717" t="str">
        <x:f>IF(OR(Q59="",R59="",Q59=0,R59=0),"",R59-Q59)</x:f>
      </x:c>
      <x:c r="T59" s="717" t="str">
        <x:f>IFERROR(INDEX(EG_Wycena_strona!$H:$H,MATCH($A59,EG_Wycena_strona!$A:$A,0)),"")</x:f>
      </x:c>
      <x:c r="U59" s="717" t="n">
        <x:f>IFERROR(INDEX('04_Wycena_strona_nowa'!$H:$H,MATCH($A59,'04_Wycena_strona_nowa'!$A:$A,0)),"")</x:f>
        <x:v>5067</x:v>
      </x:c>
      <x:c r="V59" s="717" t="str">
        <x:f>IF(OR(T59="",U59="",T59=0,U59=0),"",U59-T59)</x:f>
      </x:c>
      <x:c r="W59" s="717" t="str">
        <x:f>IFERROR(INDEX(EG_Wycena_strona!$I:$I,MATCH($A59,EG_Wycena_strona!$A:$A,0)),"")</x:f>
      </x:c>
      <x:c r="X59" s="717" t="n">
        <x:f>IFERROR(INDEX('04_Wycena_strona_nowa'!$I:$I,MATCH($A59,'04_Wycena_strona_nowa'!$A:$A,0)),"")</x:f>
        <x:v>5067</x:v>
      </x:c>
      <x:c r="Y59" s="717" t="str">
        <x:f>IF(OR(W59="",X59="",W59=0,X59=0),"",X59-W59)</x:f>
      </x:c>
      <x:c r="Z59" s="717" t="str">
        <x:f>IFERROR(INDEX(EG_Wycena_strona!$J:$J,MATCH($A59,EG_Wycena_strona!$A:$A,0)),"")</x:f>
      </x:c>
      <x:c r="AA59" s="717" t="n">
        <x:f>IFERROR(INDEX('04_Wycena_strona_nowa'!$J:$J,MATCH($A59,'04_Wycena_strona_nowa'!$A:$A,0)),"")</x:f>
        <x:v>8798</x:v>
      </x:c>
      <x:c r="AB59" s="717" t="str">
        <x:f>IF(OR(Z59="",AA59="",Z59=0,AA59=0),"",AA59-Z59)</x:f>
      </x:c>
      <x:c r="AC59" s="717" t="str">
        <x:f>IFERROR(INDEX(EG_Wycena_strona!$K:$K,MATCH($A59,EG_Wycena_strona!$A:$A,0)),"")</x:f>
      </x:c>
      <x:c r="AD59" s="717" t="n">
        <x:f>IFERROR(INDEX('04_Wycena_strona_nowa'!$K:$K,MATCH($A59,'04_Wycena_strona_nowa'!$A:$A,0)),"")</x:f>
        <x:v>14158</x:v>
      </x:c>
      <x:c r="AE59" s="717" t="str">
        <x:f>IF(OR(AC59="",AD59="",AC59=0,AD59=0),"",AD59-AC59)</x:f>
      </x:c>
      <x:c r="AF59" s="717" t="str">
        <x:f>IFERROR(ROUND(INDEX(EG_Cennik_uslug!$BS:$BS,MATCH($A59,EG_Cennik_uslug!$A:$A,0))*1.08,0),"")</x:f>
      </x:c>
      <x:c r="AG59" s="717" t="n">
        <x:f>IFERROR(INDEX('04_Wycena_strona_nowa'!$L:$L,MATCH($A59,'04_Wycena_strona_nowa'!$A:$A,0)),"")</x:f>
        <x:v>4376</x:v>
      </x:c>
      <x:c r="AH59" s="717" t="str">
        <x:f>IF(OR(AF59="",AG59="",AF59=0,AG59=0),"",AG59-AF59)</x:f>
      </x:c>
      <x:c r="AI59" s="717" t="str">
        <x:f>IFERROR(ROUND(INDEX(EG_Cennik_uslug!$BZ:$BZ,MATCH($A59,EG_Cennik_uslug!$A:$A,0))*1.08,0),"")</x:f>
      </x:c>
      <x:c r="AJ59" s="717" t="n">
        <x:f>IFERROR(INDEX('04_Wycena_strona_nowa'!$O:$O,MATCH($A59,'04_Wycena_strona_nowa'!$A:$A,0)),"")</x:f>
        <x:v>968</x:v>
      </x:c>
      <x:c r="AK59" s="717" t="str">
        <x:f>IF(OR(AI59="",AJ59="",AI59=0,AJ59=0),"",AJ59-AI59)</x:f>
      </x:c>
      <x:c r="AL59" s="717" t="str">
        <x:f>IFERROR(ROUND(INDEX(EG_Cennik_uslug!$CG:$CG,MATCH($A59,EG_Cennik_uslug!$A:$A,0))*1.08,0),"")</x:f>
      </x:c>
      <x:c r="AM59" s="717" t="n">
        <x:f>IFERROR(INDEX('04_Wycena_strona_nowa'!$P:$P,MATCH($A59,'04_Wycena_strona_nowa'!$A:$A,0)),"")</x:f>
        <x:v>878</x:v>
      </x:c>
      <x:c r="AN59" s="717" t="str">
        <x:f>IF(OR(AL59="",AM59="",AL59=0,AM59=0),"",AM59-AL59)</x:f>
      </x:c>
      <x:c r="AO59" s="717" t="str">
        <x:f>""</x:f>
      </x:c>
      <x:c r="AP59" s="717" t="n">
        <x:f>IFERROR(INDEX('04_Wycena_strona_nowa'!$Q:$Q,MATCH($A59,'04_Wycena_strona_nowa'!$A:$A,0)),"")</x:f>
        <x:v>866</x:v>
      </x:c>
      <x:c r="AQ59" s="717" t="str">
        <x:f>IF(OR(AO59="",AP59="",AO59=0,AP59=0),"",AP59-AO59)</x:f>
      </x:c>
      <x:c r="AR59" s="717" t="str">
        <x:f>IFERROR(ROUND(INDEX(EG_Cennik_uslug!$CN:$CN,MATCH($A59,EG_Cennik_uslug!$A:$A,0))*1.08,0),"")</x:f>
      </x:c>
      <x:c r="AS59" s="717" t="n">
        <x:f>IFERROR(INDEX('04_Wycena_strona_nowa'!$M:$M,MATCH($A59,'04_Wycena_strona_nowa'!$A:$A,0)),"")</x:f>
        <x:v>2100</x:v>
      </x:c>
      <x:c r="AT59" s="717" t="str">
        <x:f>IF(OR(AR59="",AS59="",AR59=0,AS59=0),"",AS59-AR59)</x:f>
      </x:c>
      <x:c r="AU59" s="717" t="str">
        <x:f>IFERROR(ROUND(INDEX(EG_Cennik_uslug!$CU:$CU,MATCH($A59,EG_Cennik_uslug!$A:$A,0))*1.08,0),"")</x:f>
      </x:c>
      <x:c r="AV59" s="717" t="n">
        <x:f>IFERROR(INDEX('04_Wycena_strona_nowa'!$R:$R,MATCH($A59,'04_Wycena_strona_nowa'!$A:$A,0)),"")</x:f>
        <x:v>5217</x:v>
      </x:c>
      <x:c r="AW59" s="717" t="str">
        <x:f>IF(OR(AU59="",AV59="",AU59=0,AV59=0),"",AV59-AU59)</x:f>
      </x:c>
      <x:c r="AX59" s="717" t="str">
        <x:f>""</x:f>
      </x:c>
      <x:c r="AY59" s="717" t="str">
        <x:f>IFERROR(INDEX('04_Wycena_strona_nowa'!$S:$S,MATCH($A59,'04_Wycena_strona_nowa'!$A:$A,0)),"")</x:f>
      </x:c>
      <x:c r="AZ59" s="717" t="str">
        <x:f>IF(OR(AX59="",AY59="",AX59=0,AY59=0),"",AY59-AX59)</x:f>
      </x:c>
      <x:c r="BA59" s="612" t="e">
        <x:f>_xludf.TEXTJOIN("; ",TRUE,IF(OR(LEFT($A59,3)="550",LEFT($A59,3)="600"),"550/600: EG brak benchmarku; opcje szklane/zerowe ukryte w porównaniu do czasu potwierdzenia",""),"LED CCT/RGB: porównanie orientacyjne do EG LED COB","Zabieraki: brak jednoznacznej pozycji EG")</x:f>
      </x:c>
    </x:row>
    <x:row r="60">
      <x:c r="A60" s="608" t="str">
        <x:f>'04_Wycena_strona_nowa'!A60</x:f>
        <x:v>550 x 1106 cm</x:v>
      </x:c>
      <x:c r="B60" s="717" t="str">
        <x:f>IFERROR(INDEX(EG_Wycena_strona!$B:$B,MATCH($A60,EG_Wycena_strona!$A:$A,0)),"")</x:f>
      </x:c>
      <x:c r="C60" s="717" t="n">
        <x:f>IFERROR(INDEX('04_Wycena_strona_nowa'!$B:$B,MATCH($A60,'04_Wycena_strona_nowa'!$A:$A,0)),"")</x:f>
        <x:v>52136</x:v>
      </x:c>
      <x:c r="D60" s="717" t="str">
        <x:f>IF(OR(B60="",C60="",B60=0,C60=0),"",C60-B60)</x:f>
      </x:c>
      <x:c r="E60" s="717" t="str">
        <x:f>IFERROR(INDEX(EG_Wycena_strona!$C:$C,MATCH($A60,EG_Wycena_strona!$A:$A,0)),"")</x:f>
      </x:c>
      <x:c r="F60" s="717" t="n">
        <x:f>IFERROR(INDEX('04_Wycena_strona_nowa'!$C:$C,MATCH($A60,'04_Wycena_strona_nowa'!$A:$A,0)),"")</x:f>
        <x:v>31440</x:v>
      </x:c>
      <x:c r="G60" s="717" t="str">
        <x:f>IF(OR(E60="",F60="",E60=0,F60=0),"",F60-E60)</x:f>
      </x:c>
      <x:c r="H60" s="717" t="str">
        <x:f>IFERROR(INDEX(EG_Wycena_strona!$D:$D,MATCH($A60,EG_Wycena_strona!$A:$A,0)),"")</x:f>
      </x:c>
      <x:c r="I60" s="717" t="n">
        <x:f>IFERROR(INDEX('04_Wycena_strona_nowa'!$D:$D,MATCH($A60,'04_Wycena_strona_nowa'!$A:$A,0)),"")</x:f>
        <x:v>34954</x:v>
      </x:c>
      <x:c r="J60" s="717" t="str">
        <x:f>IF(OR(H60="",I60="",H60=0,I60=0),"",I60-H60)</x:f>
      </x:c>
      <x:c r="K60" s="717" t="str">
        <x:f>IFERROR(INDEX(EG_Wycena_strona!$E:$E,MATCH($A60,EG_Wycena_strona!$A:$A,0)),"")</x:f>
      </x:c>
      <x:c r="L60" s="717" t="n">
        <x:f>IFERROR(INDEX('04_Wycena_strona_nowa'!$E:$E,MATCH($A60,'04_Wycena_strona_nowa'!$A:$A,0)),"")</x:f>
        <x:v>1350</x:v>
      </x:c>
      <x:c r="M60" s="717" t="str">
        <x:f>IF(OR(K60="",L60="",K60=0,L60=0),"",L60-K60)</x:f>
      </x:c>
      <x:c r="N60" s="717" t="str">
        <x:f>IFERROR(INDEX(EG_Wycena_strona!$F:$F,MATCH($A60,EG_Wycena_strona!$A:$A,0)),"")</x:f>
      </x:c>
      <x:c r="O60" s="717" t="n">
        <x:f>IFERROR(INDEX('04_Wycena_strona_nowa'!$F:$F,MATCH($A60,'04_Wycena_strona_nowa'!$A:$A,0)),"")</x:f>
        <x:v>-45300</x:v>
      </x:c>
      <x:c r="P60" s="717" t="str">
        <x:f>IF(OR(N60="",O60="",N60=0,O60=0),"",O60-N60)</x:f>
      </x:c>
      <x:c r="Q60" s="717" t="str">
        <x:f>IFERROR(INDEX(EG_Wycena_strona!$G:$G,MATCH($A60,EG_Wycena_strona!$A:$A,0)),"")</x:f>
      </x:c>
      <x:c r="R60" s="717" t="n">
        <x:f>IFERROR(INDEX('04_Wycena_strona_nowa'!$G:$G,MATCH($A60,'04_Wycena_strona_nowa'!$A:$A,0)),"")</x:f>
        <x:v>-45300</x:v>
      </x:c>
      <x:c r="S60" s="717" t="str">
        <x:f>IF(OR(Q60="",R60="",Q60=0,R60=0),"",R60-Q60)</x:f>
      </x:c>
      <x:c r="T60" s="717" t="str">
        <x:f>IFERROR(INDEX(EG_Wycena_strona!$H:$H,MATCH($A60,EG_Wycena_strona!$A:$A,0)),"")</x:f>
      </x:c>
      <x:c r="U60" s="717" t="n">
        <x:f>IFERROR(INDEX('04_Wycena_strona_nowa'!$H:$H,MATCH($A60,'04_Wycena_strona_nowa'!$A:$A,0)),"")</x:f>
        <x:v>5067</x:v>
      </x:c>
      <x:c r="V60" s="717" t="str">
        <x:f>IF(OR(T60="",U60="",T60=0,U60=0),"",U60-T60)</x:f>
      </x:c>
      <x:c r="W60" s="717" t="str">
        <x:f>IFERROR(INDEX(EG_Wycena_strona!$I:$I,MATCH($A60,EG_Wycena_strona!$A:$A,0)),"")</x:f>
      </x:c>
      <x:c r="X60" s="717" t="n">
        <x:f>IFERROR(INDEX('04_Wycena_strona_nowa'!$I:$I,MATCH($A60,'04_Wycena_strona_nowa'!$A:$A,0)),"")</x:f>
        <x:v>5067</x:v>
      </x:c>
      <x:c r="Y60" s="717" t="str">
        <x:f>IF(OR(W60="",X60="",W60=0,X60=0),"",X60-W60)</x:f>
      </x:c>
      <x:c r="Z60" s="717" t="str">
        <x:f>IFERROR(INDEX(EG_Wycena_strona!$J:$J,MATCH($A60,EG_Wycena_strona!$A:$A,0)),"")</x:f>
      </x:c>
      <x:c r="AA60" s="717" t="n">
        <x:f>IFERROR(INDEX('04_Wycena_strona_nowa'!$J:$J,MATCH($A60,'04_Wycena_strona_nowa'!$A:$A,0)),"")</x:f>
        <x:v>9448</x:v>
      </x:c>
      <x:c r="AB60" s="717" t="str">
        <x:f>IF(OR(Z60="",AA60="",Z60=0,AA60=0),"",AA60-Z60)</x:f>
      </x:c>
      <x:c r="AC60" s="717" t="str">
        <x:f>IFERROR(INDEX(EG_Wycena_strona!$K:$K,MATCH($A60,EG_Wycena_strona!$A:$A,0)),"")</x:f>
      </x:c>
      <x:c r="AD60" s="717" t="n">
        <x:f>IFERROR(INDEX('04_Wycena_strona_nowa'!$K:$K,MATCH($A60,'04_Wycena_strona_nowa'!$A:$A,0)),"")</x:f>
        <x:v>17494</x:v>
      </x:c>
      <x:c r="AE60" s="717" t="str">
        <x:f>IF(OR(AC60="",AD60="",AC60=0,AD60=0),"",AD60-AC60)</x:f>
      </x:c>
      <x:c r="AF60" s="717" t="str">
        <x:f>IFERROR(ROUND(INDEX(EG_Cennik_uslug!$BS:$BS,MATCH($A60,EG_Cennik_uslug!$A:$A,0))*1.08,0),"")</x:f>
      </x:c>
      <x:c r="AG60" s="717" t="n">
        <x:f>IFERROR(INDEX('04_Wycena_strona_nowa'!$L:$L,MATCH($A60,'04_Wycena_strona_nowa'!$A:$A,0)),"")</x:f>
        <x:v>4969</x:v>
      </x:c>
      <x:c r="AH60" s="717" t="str">
        <x:f>IF(OR(AF60="",AG60="",AF60=0,AG60=0),"",AG60-AF60)</x:f>
      </x:c>
      <x:c r="AI60" s="717" t="str">
        <x:f>IFERROR(ROUND(INDEX(EG_Cennik_uslug!$BZ:$BZ,MATCH($A60,EG_Cennik_uslug!$A:$A,0))*1.08,0),"")</x:f>
      </x:c>
      <x:c r="AJ60" s="717" t="n">
        <x:f>IFERROR(INDEX('04_Wycena_strona_nowa'!$O:$O,MATCH($A60,'04_Wycena_strona_nowa'!$A:$A,0)),"")</x:f>
        <x:v>1018</x:v>
      </x:c>
      <x:c r="AK60" s="717" t="str">
        <x:f>IF(OR(AI60="",AJ60="",AI60=0,AJ60=0),"",AJ60-AI60)</x:f>
      </x:c>
      <x:c r="AL60" s="717" t="str">
        <x:f>IFERROR(ROUND(INDEX(EG_Cennik_uslug!$CG:$CG,MATCH($A60,EG_Cennik_uslug!$A:$A,0))*1.08,0),"")</x:f>
      </x:c>
      <x:c r="AM60" s="717" t="n">
        <x:f>IFERROR(INDEX('04_Wycena_strona_nowa'!$P:$P,MATCH($A60,'04_Wycena_strona_nowa'!$A:$A,0)),"")</x:f>
        <x:v>916</x:v>
      </x:c>
      <x:c r="AN60" s="717" t="str">
        <x:f>IF(OR(AL60="",AM60="",AL60=0,AM60=0),"",AM60-AL60)</x:f>
      </x:c>
      <x:c r="AO60" s="717" t="str">
        <x:f>""</x:f>
      </x:c>
      <x:c r="AP60" s="717" t="n">
        <x:f>IFERROR(INDEX('04_Wycena_strona_nowa'!$Q:$Q,MATCH($A60,'04_Wycena_strona_nowa'!$A:$A,0)),"")</x:f>
        <x:v>916</x:v>
      </x:c>
      <x:c r="AQ60" s="717" t="str">
        <x:f>IF(OR(AO60="",AP60="",AO60=0,AP60=0),"",AP60-AO60)</x:f>
      </x:c>
      <x:c r="AR60" s="717" t="str">
        <x:f>IFERROR(ROUND(INDEX(EG_Cennik_uslug!$CN:$CN,MATCH($A60,EG_Cennik_uslug!$A:$A,0))*1.08,0),"")</x:f>
      </x:c>
      <x:c r="AS60" s="717" t="n">
        <x:f>IFERROR(INDEX('04_Wycena_strona_nowa'!$M:$M,MATCH($A60,'04_Wycena_strona_nowa'!$A:$A,0)),"")</x:f>
        <x:v>2254</x:v>
      </x:c>
      <x:c r="AT60" s="717" t="str">
        <x:f>IF(OR(AR60="",AS60="",AR60=0,AS60=0),"",AS60-AR60)</x:f>
      </x:c>
      <x:c r="AU60" s="717" t="str">
        <x:f>IFERROR(ROUND(INDEX(EG_Cennik_uslug!$CU:$CU,MATCH($A60,EG_Cennik_uslug!$A:$A,0))*1.08,0),"")</x:f>
      </x:c>
      <x:c r="AV60" s="717" t="n">
        <x:f>IFERROR(INDEX('04_Wycena_strona_nowa'!$R:$R,MATCH($A60,'04_Wycena_strona_nowa'!$A:$A,0)),"")</x:f>
        <x:v>5610</x:v>
      </x:c>
      <x:c r="AW60" s="717" t="str">
        <x:f>IF(OR(AU60="",AV60="",AU60=0,AV60=0),"",AV60-AU60)</x:f>
      </x:c>
      <x:c r="AX60" s="717" t="str">
        <x:f>""</x:f>
      </x:c>
      <x:c r="AY60" s="717" t="str">
        <x:f>IFERROR(INDEX('04_Wycena_strona_nowa'!$S:$S,MATCH($A60,'04_Wycena_strona_nowa'!$A:$A,0)),"")</x:f>
      </x:c>
      <x:c r="AZ60" s="717" t="str">
        <x:f>IF(OR(AX60="",AY60="",AX60=0,AY60=0),"",AY60-AX60)</x:f>
      </x:c>
      <x:c r="BA60" s="612" t="e">
        <x:f>_xludf.TEXTJOIN("; ",TRUE,IF(OR(LEFT($A60,3)="550",LEFT($A60,3)="600"),"550/600: EG brak benchmarku; opcje szklane/zerowe ukryte w porównaniu do czasu potwierdzenia",""),"LED CCT/RGB: porównanie orientacyjne do EG LED COB","Zabieraki: brak jednoznacznej pozycji EG")</x:f>
      </x:c>
    </x:row>
    <x:row r="61">
      <x:c r="A61" s="608" t="str">
        <x:f>'04_Wycena_strona_nowa'!A61</x:f>
        <x:v>550 x 1206 cm</x:v>
      </x:c>
      <x:c r="B61" s="717" t="str">
        <x:f>IFERROR(INDEX(EG_Wycena_strona!$B:$B,MATCH($A61,EG_Wycena_strona!$A:$A,0)),"")</x:f>
      </x:c>
      <x:c r="C61" s="717" t="n">
        <x:f>IFERROR(INDEX('04_Wycena_strona_nowa'!$B:$B,MATCH($A61,'04_Wycena_strona_nowa'!$A:$A,0)),"")</x:f>
        <x:v>56299</x:v>
      </x:c>
      <x:c r="D61" s="717" t="str">
        <x:f>IF(OR(B61="",C61="",B61=0,C61=0),"",C61-B61)</x:f>
      </x:c>
      <x:c r="E61" s="717" t="str">
        <x:f>IFERROR(INDEX(EG_Wycena_strona!$C:$C,MATCH($A61,EG_Wycena_strona!$A:$A,0)),"")</x:f>
      </x:c>
      <x:c r="F61" s="717" t="n">
        <x:f>IFERROR(INDEX('04_Wycena_strona_nowa'!$C:$C,MATCH($A61,'04_Wycena_strona_nowa'!$A:$A,0)),"")</x:f>
        <x:v>32538</x:v>
      </x:c>
      <x:c r="G61" s="717" t="str">
        <x:f>IF(OR(E61="",F61="",E61=0,F61=0),"",F61-E61)</x:f>
      </x:c>
      <x:c r="H61" s="717" t="str">
        <x:f>IFERROR(INDEX(EG_Wycena_strona!$D:$D,MATCH($A61,EG_Wycena_strona!$A:$A,0)),"")</x:f>
      </x:c>
      <x:c r="I61" s="717" t="n">
        <x:f>IFERROR(INDEX('04_Wycena_strona_nowa'!$D:$D,MATCH($A61,'04_Wycena_strona_nowa'!$A:$A,0)),"")</x:f>
        <x:v>36052</x:v>
      </x:c>
      <x:c r="J61" s="717" t="str">
        <x:f>IF(OR(H61="",I61="",H61=0,I61=0),"",I61-H61)</x:f>
      </x:c>
      <x:c r="K61" s="717" t="str">
        <x:f>IFERROR(INDEX(EG_Wycena_strona!$E:$E,MATCH($A61,EG_Wycena_strona!$A:$A,0)),"")</x:f>
      </x:c>
      <x:c r="L61" s="717" t="n">
        <x:f>IFERROR(INDEX('04_Wycena_strona_nowa'!$E:$E,MATCH($A61,'04_Wycena_strona_nowa'!$A:$A,0)),"")</x:f>
        <x:v>1464</x:v>
      </x:c>
      <x:c r="M61" s="717" t="str">
        <x:f>IF(OR(K61="",L61="",K61=0,L61=0),"",L61-K61)</x:f>
      </x:c>
      <x:c r="N61" s="717" t="str">
        <x:f>IFERROR(INDEX(EG_Wycena_strona!$F:$F,MATCH($A61,EG_Wycena_strona!$A:$A,0)),"")</x:f>
      </x:c>
      <x:c r="O61" s="717" t="n">
        <x:f>IFERROR(INDEX('04_Wycena_strona_nowa'!$F:$F,MATCH($A61,'04_Wycena_strona_nowa'!$A:$A,0)),"")</x:f>
        <x:v>-49107</x:v>
      </x:c>
      <x:c r="P61" s="717" t="str">
        <x:f>IF(OR(N61="",O61="",N61=0,O61=0),"",O61-N61)</x:f>
      </x:c>
      <x:c r="Q61" s="717" t="str">
        <x:f>IFERROR(INDEX(EG_Wycena_strona!$G:$G,MATCH($A61,EG_Wycena_strona!$A:$A,0)),"")</x:f>
      </x:c>
      <x:c r="R61" s="717" t="n">
        <x:f>IFERROR(INDEX('04_Wycena_strona_nowa'!$G:$G,MATCH($A61,'04_Wycena_strona_nowa'!$A:$A,0)),"")</x:f>
        <x:v>-49107</x:v>
      </x:c>
      <x:c r="S61" s="717" t="str">
        <x:f>IF(OR(Q61="",R61="",Q61=0,R61=0),"",R61-Q61)</x:f>
      </x:c>
      <x:c r="T61" s="717" t="str">
        <x:f>IFERROR(INDEX(EG_Wycena_strona!$H:$H,MATCH($A61,EG_Wycena_strona!$A:$A,0)),"")</x:f>
      </x:c>
      <x:c r="U61" s="717" t="n">
        <x:f>IFERROR(INDEX('04_Wycena_strona_nowa'!$H:$H,MATCH($A61,'04_Wycena_strona_nowa'!$A:$A,0)),"")</x:f>
        <x:v>5067</x:v>
      </x:c>
      <x:c r="V61" s="717" t="str">
        <x:f>IF(OR(T61="",U61="",T61=0,U61=0),"",U61-T61)</x:f>
      </x:c>
      <x:c r="W61" s="717" t="str">
        <x:f>IFERROR(INDEX(EG_Wycena_strona!$I:$I,MATCH($A61,EG_Wycena_strona!$A:$A,0)),"")</x:f>
      </x:c>
      <x:c r="X61" s="717" t="n">
        <x:f>IFERROR(INDEX('04_Wycena_strona_nowa'!$I:$I,MATCH($A61,'04_Wycena_strona_nowa'!$A:$A,0)),"")</x:f>
        <x:v>5067</x:v>
      </x:c>
      <x:c r="Y61" s="717" t="str">
        <x:f>IF(OR(W61="",X61="",W61=0,X61=0),"",X61-W61)</x:f>
      </x:c>
      <x:c r="Z61" s="717" t="str">
        <x:f>IFERROR(INDEX(EG_Wycena_strona!$J:$J,MATCH($A61,EG_Wycena_strona!$A:$A,0)),"")</x:f>
      </x:c>
      <x:c r="AA61" s="717" t="n">
        <x:f>IFERROR(INDEX('04_Wycena_strona_nowa'!$J:$J,MATCH($A61,'04_Wycena_strona_nowa'!$A:$A,0)),"")</x:f>
        <x:v>10084</x:v>
      </x:c>
      <x:c r="AB61" s="717" t="str">
        <x:f>IF(OR(Z61="",AA61="",Z61=0,AA61=0),"",AA61-Z61)</x:f>
      </x:c>
      <x:c r="AC61" s="717" t="str">
        <x:f>IFERROR(INDEX(EG_Wycena_strona!$K:$K,MATCH($A61,EG_Wycena_strona!$A:$A,0)),"")</x:f>
      </x:c>
      <x:c r="AD61" s="717" t="n">
        <x:f>IFERROR(INDEX('04_Wycena_strona_nowa'!$K:$K,MATCH($A61,'04_Wycena_strona_nowa'!$A:$A,0)),"")</x:f>
        <x:v>17837</x:v>
      </x:c>
      <x:c r="AE61" s="717" t="str">
        <x:f>IF(OR(AC61="",AD61="",AC61=0,AD61=0),"",AD61-AC61)</x:f>
      </x:c>
      <x:c r="AF61" s="717" t="str">
        <x:f>IFERROR(ROUND(INDEX(EG_Cennik_uslug!$BS:$BS,MATCH($A61,EG_Cennik_uslug!$A:$A,0))*1.08,0),"")</x:f>
      </x:c>
      <x:c r="AG61" s="717" t="n">
        <x:f>IFERROR(INDEX('04_Wycena_strona_nowa'!$L:$L,MATCH($A61,'04_Wycena_strona_nowa'!$A:$A,0)),"")</x:f>
        <x:v>5573</x:v>
      </x:c>
      <x:c r="AH61" s="717" t="str">
        <x:f>IF(OR(AF61="",AG61="",AF61=0,AG61=0),"",AG61-AF61)</x:f>
      </x:c>
      <x:c r="AI61" s="717" t="str">
        <x:f>IFERROR(ROUND(INDEX(EG_Cennik_uslug!$BZ:$BZ,MATCH($A61,EG_Cennik_uslug!$A:$A,0))*1.08,0),"")</x:f>
      </x:c>
      <x:c r="AJ61" s="717" t="n">
        <x:f>IFERROR(INDEX('04_Wycena_strona_nowa'!$O:$O,MATCH($A61,'04_Wycena_strona_nowa'!$A:$A,0)),"")</x:f>
        <x:v>1069</x:v>
      </x:c>
      <x:c r="AK61" s="717" t="str">
        <x:f>IF(OR(AI61="",AJ61="",AI61=0,AJ61=0),"",AJ61-AI61)</x:f>
      </x:c>
      <x:c r="AL61" s="717" t="str">
        <x:f>IFERROR(ROUND(INDEX(EG_Cennik_uslug!$CG:$CG,MATCH($A61,EG_Cennik_uslug!$A:$A,0))*1.08,0),"")</x:f>
      </x:c>
      <x:c r="AM61" s="717" t="n">
        <x:f>IFERROR(INDEX('04_Wycena_strona_nowa'!$P:$P,MATCH($A61,'04_Wycena_strona_nowa'!$A:$A,0)),"")</x:f>
        <x:v>968</x:v>
      </x:c>
      <x:c r="AN61" s="717" t="str">
        <x:f>IF(OR(AL61="",AM61="",AL61=0,AM61=0),"",AM61-AL61)</x:f>
      </x:c>
      <x:c r="AO61" s="717" t="str">
        <x:f>""</x:f>
      </x:c>
      <x:c r="AP61" s="717" t="n">
        <x:f>IFERROR(INDEX('04_Wycena_strona_nowa'!$Q:$Q,MATCH($A61,'04_Wycena_strona_nowa'!$A:$A,0)),"")</x:f>
        <x:v>968</x:v>
      </x:c>
      <x:c r="AQ61" s="717" t="str">
        <x:f>IF(OR(AO61="",AP61="",AO61=0,AP61=0),"",AP61-AO61)</x:f>
      </x:c>
      <x:c r="AR61" s="717" t="str">
        <x:f>IFERROR(ROUND(INDEX(EG_Cennik_uslug!$CN:$CN,MATCH($A61,EG_Cennik_uslug!$A:$A,0))*1.08,0),"")</x:f>
      </x:c>
      <x:c r="AS61" s="717" t="n">
        <x:f>IFERROR(INDEX('04_Wycena_strona_nowa'!$M:$M,MATCH($A61,'04_Wycena_strona_nowa'!$A:$A,0)),"")</x:f>
        <x:v>2419</x:v>
      </x:c>
      <x:c r="AT61" s="717" t="str">
        <x:f>IF(OR(AR61="",AS61="",AR61=0,AS61=0),"",AS61-AR61)</x:f>
      </x:c>
      <x:c r="AU61" s="717" t="str">
        <x:f>IFERROR(ROUND(INDEX(EG_Cennik_uslug!$CU:$CU,MATCH($A61,EG_Cennik_uslug!$A:$A,0))*1.08,0),"")</x:f>
      </x:c>
      <x:c r="AV61" s="717" t="n">
        <x:f>IFERROR(INDEX('04_Wycena_strona_nowa'!$R:$R,MATCH($A61,'04_Wycena_strona_nowa'!$A:$A,0)),"")</x:f>
        <x:v>5983</x:v>
      </x:c>
      <x:c r="AW61" s="717" t="str">
        <x:f>IF(OR(AU61="",AV61="",AU61=0,AV61=0),"",AV61-AU61)</x:f>
      </x:c>
      <x:c r="AX61" s="717" t="str">
        <x:f>""</x:f>
      </x:c>
      <x:c r="AY61" s="717" t="str">
        <x:f>IFERROR(INDEX('04_Wycena_strona_nowa'!$S:$S,MATCH($A61,'04_Wycena_strona_nowa'!$A:$A,0)),"")</x:f>
      </x:c>
      <x:c r="AZ61" s="717" t="str">
        <x:f>IF(OR(AX61="",AY61="",AX61=0,AY61=0),"",AY61-AX61)</x:f>
      </x:c>
      <x:c r="BA61" s="612" t="e">
        <x:f>_xludf.TEXTJOIN("; ",TRUE,IF(OR(LEFT($A61,3)="550",LEFT($A61,3)="600"),"550/600: EG brak benchmarku; opcje szklane/zerowe ukryte w porównaniu do czasu potwierdzenia",""),"LED CCT/RGB: porównanie orientacyjne do EG LED COB","Zabieraki: brak jednoznacznej pozycji EG")</x:f>
      </x:c>
    </x:row>
    <x:row r="62">
      <x:c r="A62" s="608" t="str">
        <x:f>'04_Wycena_strona_nowa'!A62</x:f>
        <x:v>600 x 306 cm</x:v>
      </x:c>
      <x:c r="B62" s="717" t="str">
        <x:f>IFERROR(INDEX(EG_Wycena_strona!$B:$B,MATCH($A62,EG_Wycena_strona!$A:$A,0)),"")</x:f>
      </x:c>
      <x:c r="C62" s="717" t="n">
        <x:f>IFERROR(INDEX('04_Wycena_strona_nowa'!$B:$B,MATCH($A62,'04_Wycena_strona_nowa'!$A:$A,0)),"")</x:f>
        <x:v>18038</x:v>
      </x:c>
      <x:c r="D62" s="717" t="str">
        <x:f>IF(OR(B62="",C62="",B62=0,C62=0),"",C62-B62)</x:f>
      </x:c>
      <x:c r="E62" s="717" t="str">
        <x:f>IFERROR(INDEX(EG_Wycena_strona!$C:$C,MATCH($A62,EG_Wycena_strona!$A:$A,0)),"")</x:f>
      </x:c>
      <x:c r="F62" s="717" t="n">
        <x:f>IFERROR(INDEX('04_Wycena_strona_nowa'!$C:$C,MATCH($A62,'04_Wycena_strona_nowa'!$A:$A,0)),"")</x:f>
        <x:v>23373</x:v>
      </x:c>
      <x:c r="G62" s="717" t="str">
        <x:f>IF(OR(E62="",F62="",E62=0,F62=0),"",F62-E62)</x:f>
      </x:c>
      <x:c r="H62" s="717" t="str">
        <x:f>IFERROR(INDEX(EG_Wycena_strona!$D:$D,MATCH($A62,EG_Wycena_strona!$A:$A,0)),"")</x:f>
      </x:c>
      <x:c r="I62" s="717" t="n">
        <x:f>IFERROR(INDEX('04_Wycena_strona_nowa'!$D:$D,MATCH($A62,'04_Wycena_strona_nowa'!$A:$A,0)),"")</x:f>
        <x:v>25664</x:v>
      </x:c>
      <x:c r="J62" s="717" t="str">
        <x:f>IF(OR(H62="",I62="",H62=0,I62=0),"",I62-H62)</x:f>
      </x:c>
      <x:c r="K62" s="717" t="str">
        <x:f>IFERROR(INDEX(EG_Wycena_strona!$E:$E,MATCH($A62,EG_Wycena_strona!$A:$A,0)),"")</x:f>
      </x:c>
      <x:c r="L62" s="717" t="n">
        <x:f>IFERROR(INDEX('04_Wycena_strona_nowa'!$E:$E,MATCH($A62,'04_Wycena_strona_nowa'!$A:$A,0)),"")</x:f>
        <x:v>394</x:v>
      </x:c>
      <x:c r="M62" s="717" t="str">
        <x:f>IF(OR(K62="",L62="",K62=0,L62=0),"",L62-K62)</x:f>
      </x:c>
      <x:c r="N62" s="717" t="str">
        <x:f>IFERROR(INDEX(EG_Wycena_strona!$F:$F,MATCH($A62,EG_Wycena_strona!$A:$A,0)),"")</x:f>
      </x:c>
      <x:c r="O62" s="717" t="n">
        <x:f>IFERROR(INDEX('04_Wycena_strona_nowa'!$F:$F,MATCH($A62,'04_Wycena_strona_nowa'!$A:$A,0)),"")</x:f>
        <x:v>-13610</x:v>
      </x:c>
      <x:c r="P62" s="717" t="str">
        <x:f>IF(OR(N62="",O62="",N62=0,O62=0),"",O62-N62)</x:f>
      </x:c>
      <x:c r="Q62" s="717" t="str">
        <x:f>IFERROR(INDEX(EG_Wycena_strona!$G:$G,MATCH($A62,EG_Wycena_strona!$A:$A,0)),"")</x:f>
      </x:c>
      <x:c r="R62" s="717" t="n">
        <x:f>IFERROR(INDEX('04_Wycena_strona_nowa'!$G:$G,MATCH($A62,'04_Wycena_strona_nowa'!$A:$A,0)),"")</x:f>
        <x:v>-13610</x:v>
      </x:c>
      <x:c r="S62" s="717" t="str">
        <x:f>IF(OR(Q62="",R62="",Q62=0,R62=0),"",R62-Q62)</x:f>
      </x:c>
      <x:c r="T62" s="717" t="str">
        <x:f>IFERROR(INDEX(EG_Wycena_strona!$H:$H,MATCH($A62,EG_Wycena_strona!$A:$A,0)),"")</x:f>
      </x:c>
      <x:c r="U62" s="717" t="n">
        <x:f>IFERROR(INDEX('04_Wycena_strona_nowa'!$H:$H,MATCH($A62,'04_Wycena_strona_nowa'!$A:$A,0)),"")</x:f>
        <x:v>5437</x:v>
      </x:c>
      <x:c r="V62" s="717" t="str">
        <x:f>IF(OR(T62="",U62="",T62=0,U62=0),"",U62-T62)</x:f>
      </x:c>
      <x:c r="W62" s="717" t="str">
        <x:f>IFERROR(INDEX(EG_Wycena_strona!$I:$I,MATCH($A62,EG_Wycena_strona!$A:$A,0)),"")</x:f>
      </x:c>
      <x:c r="X62" s="717" t="n">
        <x:f>IFERROR(INDEX('04_Wycena_strona_nowa'!$I:$I,MATCH($A62,'04_Wycena_strona_nowa'!$A:$A,0)),"")</x:f>
        <x:v>5437</x:v>
      </x:c>
      <x:c r="Y62" s="717" t="str">
        <x:f>IF(OR(W62="",X62="",W62=0,X62=0),"",X62-W62)</x:f>
      </x:c>
      <x:c r="Z62" s="717" t="str">
        <x:f>IFERROR(INDEX(EG_Wycena_strona!$J:$J,MATCH($A62,EG_Wycena_strona!$A:$A,0)),"")</x:f>
      </x:c>
      <x:c r="AA62" s="717" t="n">
        <x:f>IFERROR(INDEX('04_Wycena_strona_nowa'!$J:$J,MATCH($A62,'04_Wycena_strona_nowa'!$A:$A,0)),"")</x:f>
        <x:v>2725</x:v>
      </x:c>
      <x:c r="AB62" s="717" t="str">
        <x:f>IF(OR(Z62="",AA62="",Z62=0,AA62=0),"",AA62-Z62)</x:f>
      </x:c>
      <x:c r="AC62" s="717" t="str">
        <x:f>IFERROR(INDEX(EG_Wycena_strona!$K:$K,MATCH($A62,EG_Wycena_strona!$A:$A,0)),"")</x:f>
      </x:c>
      <x:c r="AD62" s="717" t="n">
        <x:f>IFERROR(INDEX('04_Wycena_strona_nowa'!$K:$K,MATCH($A62,'04_Wycena_strona_nowa'!$A:$A,0)),"")</x:f>
        <x:v>5321</x:v>
      </x:c>
      <x:c r="AE62" s="717" t="str">
        <x:f>IF(OR(AC62="",AD62="",AC62=0,AD62=0),"",AD62-AC62)</x:f>
      </x:c>
      <x:c r="AF62" s="717" t="str">
        <x:f>IFERROR(ROUND(INDEX(EG_Cennik_uslug!$BS:$BS,MATCH($A62,EG_Cennik_uslug!$A:$A,0))*1.08,0),"")</x:f>
      </x:c>
      <x:c r="AG62" s="717" t="n">
        <x:f>IFERROR(INDEX('04_Wycena_strona_nowa'!$L:$L,MATCH($A62,'04_Wycena_strona_nowa'!$A:$A,0)),"")</x:f>
        <x:v>2759</x:v>
      </x:c>
      <x:c r="AH62" s="717" t="str">
        <x:f>IF(OR(AF62="",AG62="",AF62=0,AG62=0),"",AG62-AF62)</x:f>
      </x:c>
      <x:c r="AI62" s="717" t="str">
        <x:f>IFERROR(ROUND(INDEX(EG_Cennik_uslug!$BZ:$BZ,MATCH($A62,EG_Cennik_uslug!$A:$A,0))*1.08,0),"")</x:f>
      </x:c>
      <x:c r="AJ62" s="717" t="n">
        <x:f>IFERROR(INDEX('04_Wycena_strona_nowa'!$O:$O,MATCH($A62,'04_Wycena_strona_nowa'!$A:$A,0)),"")</x:f>
        <x:v>637</x:v>
      </x:c>
      <x:c r="AK62" s="717" t="str">
        <x:f>IF(OR(AI62="",AJ62="",AI62=0,AJ62=0),"",AJ62-AI62)</x:f>
      </x:c>
      <x:c r="AL62" s="717" t="str">
        <x:f>IFERROR(ROUND(INDEX(EG_Cennik_uslug!$CG:$CG,MATCH($A62,EG_Cennik_uslug!$A:$A,0))*1.08,0),"")</x:f>
      </x:c>
      <x:c r="AM62" s="717" t="n">
        <x:f>IFERROR(INDEX('04_Wycena_strona_nowa'!$P:$P,MATCH($A62,'04_Wycena_strona_nowa'!$A:$A,0)),"")</x:f>
        <x:v>573</x:v>
      </x:c>
      <x:c r="AN62" s="717" t="str">
        <x:f>IF(OR(AL62="",AM62="",AL62=0,AM62=0),"",AM62-AL62)</x:f>
      </x:c>
      <x:c r="AO62" s="717" t="str">
        <x:f>""</x:f>
      </x:c>
      <x:c r="AP62" s="717" t="n">
        <x:f>IFERROR(INDEX('04_Wycena_strona_nowa'!$Q:$Q,MATCH($A62,'04_Wycena_strona_nowa'!$A:$A,0)),"")</x:f>
        <x:v>611</x:v>
      </x:c>
      <x:c r="AQ62" s="717" t="str">
        <x:f>IF(OR(AO62="",AP62="",AO62=0,AP62=0),"",AP62-AO62)</x:f>
      </x:c>
      <x:c r="AR62" s="717" t="str">
        <x:f>IFERROR(ROUND(INDEX(EG_Cennik_uslug!$CN:$CN,MATCH($A62,EG_Cennik_uslug!$A:$A,0))*1.08,0),"")</x:f>
      </x:c>
      <x:c r="AS62" s="717" t="n">
        <x:f>IFERROR(INDEX('04_Wycena_strona_nowa'!$M:$M,MATCH($A62,'04_Wycena_strona_nowa'!$A:$A,0)),"")</x:f>
        <x:v>814</x:v>
      </x:c>
      <x:c r="AT62" s="717" t="str">
        <x:f>IF(OR(AR62="",AS62="",AR62=0,AS62=0),"",AS62-AR62)</x:f>
      </x:c>
      <x:c r="AU62" s="717" t="str">
        <x:f>IFERROR(ROUND(INDEX(EG_Cennik_uslug!$CU:$CU,MATCH($A62,EG_Cennik_uslug!$A:$A,0))*1.08,0),"")</x:f>
      </x:c>
      <x:c r="AV62" s="717" t="n">
        <x:f>IFERROR(INDEX('04_Wycena_strona_nowa'!$R:$R,MATCH($A62,'04_Wycena_strona_nowa'!$A:$A,0)),"")</x:f>
        <x:v>2704</x:v>
      </x:c>
      <x:c r="AW62" s="717" t="str">
        <x:f>IF(OR(AU62="",AV62="",AU62=0,AV62=0),"",AV62-AU62)</x:f>
      </x:c>
      <x:c r="AX62" s="717" t="str">
        <x:f>""</x:f>
      </x:c>
      <x:c r="AY62" s="717" t="str">
        <x:f>IFERROR(INDEX('04_Wycena_strona_nowa'!$S:$S,MATCH($A62,'04_Wycena_strona_nowa'!$A:$A,0)),"")</x:f>
      </x:c>
      <x:c r="AZ62" s="717" t="str">
        <x:f>IF(OR(AX62="",AY62="",AX62=0,AY62=0),"",AY62-AX62)</x:f>
      </x:c>
      <x:c r="BA62" s="612" t="e">
        <x:f>_xludf.TEXTJOIN("; ",TRUE,IF(OR(LEFT($A62,3)="550",LEFT($A62,3)="600"),"550/600: EG brak benchmarku; opcje szklane/zerowe ukryte w porównaniu do czasu potwierdzenia",""),"LED CCT/RGB: porównanie orientacyjne do EG LED COB","Zabieraki: brak jednoznacznej pozycji EG")</x:f>
      </x:c>
    </x:row>
    <x:row r="63">
      <x:c r="A63" s="608" t="str">
        <x:f>'04_Wycena_strona_nowa'!A63</x:f>
        <x:v>600 x 406 cm</x:v>
      </x:c>
      <x:c r="B63" s="717" t="str">
        <x:f>IFERROR(INDEX(EG_Wycena_strona!$B:$B,MATCH($A63,EG_Wycena_strona!$A:$A,0)),"")</x:f>
      </x:c>
      <x:c r="C63" s="717" t="n">
        <x:f>IFERROR(INDEX('04_Wycena_strona_nowa'!$B:$B,MATCH($A63,'04_Wycena_strona_nowa'!$A:$A,0)),"")</x:f>
        <x:v>22734</x:v>
      </x:c>
      <x:c r="D63" s="717" t="str">
        <x:f>IF(OR(B63="",C63="",B63=0,C63=0),"",C63-B63)</x:f>
      </x:c>
      <x:c r="E63" s="717" t="str">
        <x:f>IFERROR(INDEX(EG_Wycena_strona!$C:$C,MATCH($A63,EG_Wycena_strona!$A:$A,0)),"")</x:f>
      </x:c>
      <x:c r="F63" s="717" t="n">
        <x:f>IFERROR(INDEX('04_Wycena_strona_nowa'!$C:$C,MATCH($A63,'04_Wycena_strona_nowa'!$A:$A,0)),"")</x:f>
        <x:v>24403</x:v>
      </x:c>
      <x:c r="G63" s="717" t="str">
        <x:f>IF(OR(E63="",F63="",E63=0,F63=0),"",F63-E63)</x:f>
      </x:c>
      <x:c r="H63" s="717" t="str">
        <x:f>IFERROR(INDEX(EG_Wycena_strona!$D:$D,MATCH($A63,EG_Wycena_strona!$A:$A,0)),"")</x:f>
      </x:c>
      <x:c r="I63" s="717" t="n">
        <x:f>IFERROR(INDEX('04_Wycena_strona_nowa'!$D:$D,MATCH($A63,'04_Wycena_strona_nowa'!$A:$A,0)),"")</x:f>
        <x:v>26847</x:v>
      </x:c>
      <x:c r="J63" s="717" t="str">
        <x:f>IF(OR(H63="",I63="",H63=0,I63=0),"",I63-H63)</x:f>
      </x:c>
      <x:c r="K63" s="717" t="str">
        <x:f>IFERROR(INDEX(EG_Wycena_strona!$E:$E,MATCH($A63,EG_Wycena_strona!$A:$A,0)),"")</x:f>
      </x:c>
      <x:c r="L63" s="717" t="n">
        <x:f>IFERROR(INDEX('04_Wycena_strona_nowa'!$E:$E,MATCH($A63,'04_Wycena_strona_nowa'!$A:$A,0)),"")</x:f>
        <x:v>534</x:v>
      </x:c>
      <x:c r="M63" s="717" t="str">
        <x:f>IF(OR(K63="",L63="",K63=0,L63=0),"",L63-K63)</x:f>
      </x:c>
      <x:c r="N63" s="717" t="str">
        <x:f>IFERROR(INDEX(EG_Wycena_strona!$F:$F,MATCH($A63,EG_Wycena_strona!$A:$A,0)),"")</x:f>
      </x:c>
      <x:c r="O63" s="717" t="n">
        <x:f>IFERROR(INDEX('04_Wycena_strona_nowa'!$F:$F,MATCH($A63,'04_Wycena_strona_nowa'!$A:$A,0)),"")</x:f>
        <x:v>-17863</x:v>
      </x:c>
      <x:c r="P63" s="717" t="str">
        <x:f>IF(OR(N63="",O63="",N63=0,O63=0),"",O63-N63)</x:f>
      </x:c>
      <x:c r="Q63" s="717" t="str">
        <x:f>IFERROR(INDEX(EG_Wycena_strona!$G:$G,MATCH($A63,EG_Wycena_strona!$A:$A,0)),"")</x:f>
      </x:c>
      <x:c r="R63" s="717" t="n">
        <x:f>IFERROR(INDEX('04_Wycena_strona_nowa'!$G:$G,MATCH($A63,'04_Wycena_strona_nowa'!$A:$A,0)),"")</x:f>
        <x:v>-17863</x:v>
      </x:c>
      <x:c r="S63" s="717" t="str">
        <x:f>IF(OR(Q63="",R63="",Q63=0,R63=0),"",R63-Q63)</x:f>
      </x:c>
      <x:c r="T63" s="717" t="str">
        <x:f>IFERROR(INDEX(EG_Wycena_strona!$H:$H,MATCH($A63,EG_Wycena_strona!$A:$A,0)),"")</x:f>
      </x:c>
      <x:c r="U63" s="717" t="n">
        <x:f>IFERROR(INDEX('04_Wycena_strona_nowa'!$H:$H,MATCH($A63,'04_Wycena_strona_nowa'!$A:$A,0)),"")</x:f>
        <x:v>5437</x:v>
      </x:c>
      <x:c r="V63" s="717" t="str">
        <x:f>IF(OR(T63="",U63="",T63=0,U63=0),"",U63-T63)</x:f>
      </x:c>
      <x:c r="W63" s="717" t="str">
        <x:f>IFERROR(INDEX(EG_Wycena_strona!$I:$I,MATCH($A63,EG_Wycena_strona!$A:$A,0)),"")</x:f>
      </x:c>
      <x:c r="X63" s="717" t="n">
        <x:f>IFERROR(INDEX('04_Wycena_strona_nowa'!$I:$I,MATCH($A63,'04_Wycena_strona_nowa'!$A:$A,0)),"")</x:f>
        <x:v>5437</x:v>
      </x:c>
      <x:c r="Y63" s="717" t="str">
        <x:f>IF(OR(W63="",X63="",W63=0,X63=0),"",X63-W63)</x:f>
      </x:c>
      <x:c r="Z63" s="717" t="str">
        <x:f>IFERROR(INDEX(EG_Wycena_strona!$J:$J,MATCH($A63,EG_Wycena_strona!$A:$A,0)),"")</x:f>
      </x:c>
      <x:c r="AA63" s="717" t="n">
        <x:f>IFERROR(INDEX('04_Wycena_strona_nowa'!$J:$J,MATCH($A63,'04_Wycena_strona_nowa'!$A:$A,0)),"")</x:f>
        <x:v>3361</x:v>
      </x:c>
      <x:c r="AB63" s="717" t="str">
        <x:f>IF(OR(Z63="",AA63="",Z63=0,AA63=0),"",AA63-Z63)</x:f>
      </x:c>
      <x:c r="AC63" s="717" t="str">
        <x:f>IFERROR(INDEX(EG_Wycena_strona!$K:$K,MATCH($A63,EG_Wycena_strona!$A:$A,0)),"")</x:f>
      </x:c>
      <x:c r="AD63" s="717" t="n">
        <x:f>IFERROR(INDEX('04_Wycena_strona_nowa'!$K:$K,MATCH($A63,'04_Wycena_strona_nowa'!$A:$A,0)),"")</x:f>
        <x:v>6086</x:v>
      </x:c>
      <x:c r="AE63" s="717" t="str">
        <x:f>IF(OR(AC63="",AD63="",AC63=0,AD63=0),"",AD63-AC63)</x:f>
      </x:c>
      <x:c r="AF63" s="717" t="str">
        <x:f>IFERROR(ROUND(INDEX(EG_Cennik_uslug!$BS:$BS,MATCH($A63,EG_Cennik_uslug!$A:$A,0))*1.08,0),"")</x:f>
      </x:c>
      <x:c r="AG63" s="717" t="n">
        <x:f>IFERROR(INDEX('04_Wycena_strona_nowa'!$L:$L,MATCH($A63,'04_Wycena_strona_nowa'!$A:$A,0)),"")</x:f>
        <x:v>3056</x:v>
      </x:c>
      <x:c r="AH63" s="717" t="str">
        <x:f>IF(OR(AF63="",AG63="",AF63=0,AG63=0),"",AG63-AF63)</x:f>
      </x:c>
      <x:c r="AI63" s="717" t="str">
        <x:f>IFERROR(ROUND(INDEX(EG_Cennik_uslug!$BZ:$BZ,MATCH($A63,EG_Cennik_uslug!$A:$A,0))*1.08,0),"")</x:f>
      </x:c>
      <x:c r="AJ63" s="717" t="n">
        <x:f>IFERROR(INDEX('04_Wycena_strona_nowa'!$O:$O,MATCH($A63,'04_Wycena_strona_nowa'!$A:$A,0)),"")</x:f>
        <x:v>675</x:v>
      </x:c>
      <x:c r="AK63" s="717" t="str">
        <x:f>IF(OR(AI63="",AJ63="",AI63=0,AJ63=0),"",AJ63-AI63)</x:f>
      </x:c>
      <x:c r="AL63" s="717" t="str">
        <x:f>IFERROR(ROUND(INDEX(EG_Cennik_uslug!$CG:$CG,MATCH($A63,EG_Cennik_uslug!$A:$A,0))*1.08,0),"")</x:f>
      </x:c>
      <x:c r="AM63" s="717" t="n">
        <x:f>IFERROR(INDEX('04_Wycena_strona_nowa'!$P:$P,MATCH($A63,'04_Wycena_strona_nowa'!$A:$A,0)),"")</x:f>
        <x:v>611</x:v>
      </x:c>
      <x:c r="AN63" s="717" t="str">
        <x:f>IF(OR(AL63="",AM63="",AL63=0,AM63=0),"",AM63-AL63)</x:f>
      </x:c>
      <x:c r="AO63" s="717" t="str">
        <x:f>""</x:f>
      </x:c>
      <x:c r="AP63" s="717" t="n">
        <x:f>IFERROR(INDEX('04_Wycena_strona_nowa'!$Q:$Q,MATCH($A63,'04_Wycena_strona_nowa'!$A:$A,0)),"")</x:f>
        <x:v>662</x:v>
      </x:c>
      <x:c r="AQ63" s="717" t="str">
        <x:f>IF(OR(AO63="",AP63="",AO63=0,AP63=0),"",AP63-AO63)</x:f>
      </x:c>
      <x:c r="AR63" s="717" t="str">
        <x:f>IFERROR(ROUND(INDEX(EG_Cennik_uslug!$CN:$CN,MATCH($A63,EG_Cennik_uslug!$A:$A,0))*1.08,0),"")</x:f>
      </x:c>
      <x:c r="AS63" s="717" t="n">
        <x:f>IFERROR(INDEX('04_Wycena_strona_nowa'!$M:$M,MATCH($A63,'04_Wycena_strona_nowa'!$A:$A,0)),"")</x:f>
        <x:v>943</x:v>
      </x:c>
      <x:c r="AT63" s="717" t="str">
        <x:f>IF(OR(AR63="",AS63="",AR63=0,AS63=0),"",AS63-AR63)</x:f>
      </x:c>
      <x:c r="AU63" s="717" t="str">
        <x:f>IFERROR(ROUND(INDEX(EG_Cennik_uslug!$CU:$CU,MATCH($A63,EG_Cennik_uslug!$A:$A,0))*1.08,0),"")</x:f>
      </x:c>
      <x:c r="AV63" s="717" t="n">
        <x:f>IFERROR(INDEX('04_Wycena_strona_nowa'!$R:$R,MATCH($A63,'04_Wycena_strona_nowa'!$A:$A,0)),"")</x:f>
        <x:v>3141</x:v>
      </x:c>
      <x:c r="AW63" s="717" t="str">
        <x:f>IF(OR(AU63="",AV63="",AU63=0,AV63=0),"",AV63-AU63)</x:f>
      </x:c>
      <x:c r="AX63" s="717" t="str">
        <x:f>""</x:f>
      </x:c>
      <x:c r="AY63" s="717" t="str">
        <x:f>IFERROR(INDEX('04_Wycena_strona_nowa'!$S:$S,MATCH($A63,'04_Wycena_strona_nowa'!$A:$A,0)),"")</x:f>
      </x:c>
      <x:c r="AZ63" s="717" t="str">
        <x:f>IF(OR(AX63="",AY63="",AX63=0,AY63=0),"",AY63-AX63)</x:f>
      </x:c>
      <x:c r="BA63" s="612" t="e">
        <x:f>_xludf.TEXTJOIN("; ",TRUE,IF(OR(LEFT($A63,3)="550",LEFT($A63,3)="600"),"550/600: EG brak benchmarku; opcje szklane/zerowe ukryte w porównaniu do czasu potwierdzenia",""),"LED CCT/RGB: porównanie orientacyjne do EG LED COB","Zabieraki: brak jednoznacznej pozycji EG")</x:f>
      </x:c>
    </x:row>
    <x:row r="64">
      <x:c r="A64" s="608" t="str">
        <x:f>'04_Wycena_strona_nowa'!A64</x:f>
        <x:v>600 x 506 cm</x:v>
      </x:c>
      <x:c r="B64" s="717" t="str">
        <x:f>IFERROR(INDEX(EG_Wycena_strona!$B:$B,MATCH($A64,EG_Wycena_strona!$A:$A,0)),"")</x:f>
      </x:c>
      <x:c r="C64" s="717" t="n">
        <x:f>IFERROR(INDEX('04_Wycena_strona_nowa'!$B:$B,MATCH($A64,'04_Wycena_strona_nowa'!$A:$A,0)),"")</x:f>
        <x:v>27684</x:v>
      </x:c>
      <x:c r="D64" s="717" t="str">
        <x:f>IF(OR(B64="",C64="",B64=0,C64=0),"",C64-B64)</x:f>
      </x:c>
      <x:c r="E64" s="717" t="str">
        <x:f>IFERROR(INDEX(EG_Wycena_strona!$C:$C,MATCH($A64,EG_Wycena_strona!$A:$A,0)),"")</x:f>
      </x:c>
      <x:c r="F64" s="717" t="n">
        <x:f>IFERROR(INDEX('04_Wycena_strona_nowa'!$C:$C,MATCH($A64,'04_Wycena_strona_nowa'!$A:$A,0)),"")</x:f>
        <x:v>25815</x:v>
      </x:c>
      <x:c r="G64" s="717" t="str">
        <x:f>IF(OR(E64="",F64="",E64=0,F64=0),"",F64-E64)</x:f>
      </x:c>
      <x:c r="H64" s="717" t="str">
        <x:f>IFERROR(INDEX(EG_Wycena_strona!$D:$D,MATCH($A64,EG_Wycena_strona!$A:$A,0)),"")</x:f>
      </x:c>
      <x:c r="I64" s="717" t="n">
        <x:f>IFERROR(INDEX('04_Wycena_strona_nowa'!$D:$D,MATCH($A64,'04_Wycena_strona_nowa'!$A:$A,0)),"")</x:f>
        <x:v>28413</x:v>
      </x:c>
      <x:c r="J64" s="717" t="str">
        <x:f>IF(OR(H64="",I64="",H64=0,I64=0),"",I64-H64)</x:f>
      </x:c>
      <x:c r="K64" s="717" t="str">
        <x:f>IFERROR(INDEX(EG_Wycena_strona!$E:$E,MATCH($A64,EG_Wycena_strona!$A:$A,0)),"")</x:f>
      </x:c>
      <x:c r="L64" s="717" t="n">
        <x:f>IFERROR(INDEX('04_Wycena_strona_nowa'!$E:$E,MATCH($A64,'04_Wycena_strona_nowa'!$A:$A,0)),"")</x:f>
        <x:v>662</x:v>
      </x:c>
      <x:c r="M64" s="717" t="str">
        <x:f>IF(OR(K64="",L64="",K64=0,L64=0),"",L64-K64)</x:f>
      </x:c>
      <x:c r="N64" s="717" t="str">
        <x:f>IFERROR(INDEX(EG_Wycena_strona!$F:$F,MATCH($A64,EG_Wycena_strona!$A:$A,0)),"")</x:f>
      </x:c>
      <x:c r="O64" s="717" t="n">
        <x:f>IFERROR(INDEX('04_Wycena_strona_nowa'!$F:$F,MATCH($A64,'04_Wycena_strona_nowa'!$A:$A,0)),"")</x:f>
        <x:v>-22446</x:v>
      </x:c>
      <x:c r="P64" s="717" t="str">
        <x:f>IF(OR(N64="",O64="",N64=0,O64=0),"",O64-N64)</x:f>
      </x:c>
      <x:c r="Q64" s="717" t="str">
        <x:f>IFERROR(INDEX(EG_Wycena_strona!$G:$G,MATCH($A64,EG_Wycena_strona!$A:$A,0)),"")</x:f>
      </x:c>
      <x:c r="R64" s="717" t="n">
        <x:f>IFERROR(INDEX('04_Wycena_strona_nowa'!$G:$G,MATCH($A64,'04_Wycena_strona_nowa'!$A:$A,0)),"")</x:f>
        <x:v>-22446</x:v>
      </x:c>
      <x:c r="S64" s="717" t="str">
        <x:f>IF(OR(Q64="",R64="",Q64=0,R64=0),"",R64-Q64)</x:f>
      </x:c>
      <x:c r="T64" s="717" t="str">
        <x:f>IFERROR(INDEX(EG_Wycena_strona!$H:$H,MATCH($A64,EG_Wycena_strona!$A:$A,0)),"")</x:f>
      </x:c>
      <x:c r="U64" s="717" t="n">
        <x:f>IFERROR(INDEX('04_Wycena_strona_nowa'!$H:$H,MATCH($A64,'04_Wycena_strona_nowa'!$A:$A,0)),"")</x:f>
        <x:v>5437</x:v>
      </x:c>
      <x:c r="V64" s="717" t="str">
        <x:f>IF(OR(T64="",U64="",T64=0,U64=0),"",U64-T64)</x:f>
      </x:c>
      <x:c r="W64" s="717" t="str">
        <x:f>IFERROR(INDEX(EG_Wycena_strona!$I:$I,MATCH($A64,EG_Wycena_strona!$A:$A,0)),"")</x:f>
      </x:c>
      <x:c r="X64" s="717" t="n">
        <x:f>IFERROR(INDEX('04_Wycena_strona_nowa'!$I:$I,MATCH($A64,'04_Wycena_strona_nowa'!$A:$A,0)),"")</x:f>
        <x:v>5437</x:v>
      </x:c>
      <x:c r="Y64" s="717" t="str">
        <x:f>IF(OR(W64="",X64="",W64=0,X64=0),"",X64-W64)</x:f>
      </x:c>
      <x:c r="Z64" s="717" t="str">
        <x:f>IFERROR(INDEX(EG_Wycena_strona!$J:$J,MATCH($A64,EG_Wycena_strona!$A:$A,0)),"")</x:f>
      </x:c>
      <x:c r="AA64" s="717" t="n">
        <x:f>IFERROR(INDEX('04_Wycena_strona_nowa'!$J:$J,MATCH($A64,'04_Wycena_strona_nowa'!$A:$A,0)),"")</x:f>
        <x:v>4711</x:v>
      </x:c>
      <x:c r="AB64" s="717" t="str">
        <x:f>IF(OR(Z64="",AA64="",Z64=0,AA64=0),"",AA64-Z64)</x:f>
      </x:c>
      <x:c r="AC64" s="717" t="str">
        <x:f>IFERROR(INDEX(EG_Wycena_strona!$K:$K,MATCH($A64,EG_Wycena_strona!$A:$A,0)),"")</x:f>
      </x:c>
      <x:c r="AD64" s="717" t="n">
        <x:f>IFERROR(INDEX('04_Wycena_strona_nowa'!$K:$K,MATCH($A64,'04_Wycena_strona_nowa'!$A:$A,0)),"")</x:f>
        <x:v>7078</x:v>
      </x:c>
      <x:c r="AE64" s="717" t="str">
        <x:f>IF(OR(AC64="",AD64="",AC64=0,AD64=0),"",AD64-AC64)</x:f>
      </x:c>
      <x:c r="AF64" s="717" t="str">
        <x:f>IFERROR(ROUND(INDEX(EG_Cennik_uslug!$BS:$BS,MATCH($A64,EG_Cennik_uslug!$A:$A,0))*1.08,0),"")</x:f>
      </x:c>
      <x:c r="AG64" s="717" t="n">
        <x:f>IFERROR(INDEX('04_Wycena_strona_nowa'!$L:$L,MATCH($A64,'04_Wycena_strona_nowa'!$A:$A,0)),"")</x:f>
        <x:v>3360</x:v>
      </x:c>
      <x:c r="AH64" s="717" t="str">
        <x:f>IF(OR(AF64="",AG64="",AF64=0,AG64=0),"",AG64-AF64)</x:f>
      </x:c>
      <x:c r="AI64" s="717" t="str">
        <x:f>IFERROR(ROUND(INDEX(EG_Cennik_uslug!$BZ:$BZ,MATCH($A64,EG_Cennik_uslug!$A:$A,0))*1.08,0),"")</x:f>
      </x:c>
      <x:c r="AJ64" s="717" t="n">
        <x:f>IFERROR(INDEX('04_Wycena_strona_nowa'!$O:$O,MATCH($A64,'04_Wycena_strona_nowa'!$A:$A,0)),"")</x:f>
        <x:v>725</x:v>
      </x:c>
      <x:c r="AK64" s="717" t="str">
        <x:f>IF(OR(AI64="",AJ64="",AI64=0,AJ64=0),"",AJ64-AI64)</x:f>
      </x:c>
      <x:c r="AL64" s="717" t="str">
        <x:f>IFERROR(ROUND(INDEX(EG_Cennik_uslug!$CG:$CG,MATCH($A64,EG_Cennik_uslug!$A:$A,0))*1.08,0),"")</x:f>
      </x:c>
      <x:c r="AM64" s="717" t="n">
        <x:f>IFERROR(INDEX('04_Wycena_strona_nowa'!$P:$P,MATCH($A64,'04_Wycena_strona_nowa'!$A:$A,0)),"")</x:f>
        <x:v>662</x:v>
      </x:c>
      <x:c r="AN64" s="717" t="str">
        <x:f>IF(OR(AL64="",AM64="",AL64=0,AM64=0),"",AM64-AL64)</x:f>
      </x:c>
      <x:c r="AO64" s="717" t="str">
        <x:f>""</x:f>
      </x:c>
      <x:c r="AP64" s="717" t="n">
        <x:f>IFERROR(INDEX('04_Wycena_strona_nowa'!$Q:$Q,MATCH($A64,'04_Wycena_strona_nowa'!$A:$A,0)),"")</x:f>
        <x:v>662</x:v>
      </x:c>
      <x:c r="AQ64" s="717" t="str">
        <x:f>IF(OR(AO64="",AP64="",AO64=0,AP64=0),"",AP64-AO64)</x:f>
      </x:c>
      <x:c r="AR64" s="717" t="str">
        <x:f>IFERROR(ROUND(INDEX(EG_Cennik_uslug!$CN:$CN,MATCH($A64,EG_Cennik_uslug!$A:$A,0))*1.08,0),"")</x:f>
      </x:c>
      <x:c r="AS64" s="717" t="n">
        <x:f>IFERROR(INDEX('04_Wycena_strona_nowa'!$M:$M,MATCH($A64,'04_Wycena_strona_nowa'!$A:$A,0)),"")</x:f>
        <x:v>1221</x:v>
      </x:c>
      <x:c r="AT64" s="717" t="str">
        <x:f>IF(OR(AR64="",AS64="",AR64=0,AS64=0),"",AS64-AR64)</x:f>
      </x:c>
      <x:c r="AU64" s="717" t="str">
        <x:f>IFERROR(ROUND(INDEX(EG_Cennik_uslug!$CU:$CU,MATCH($A64,EG_Cennik_uslug!$A:$A,0))*1.08,0),"")</x:f>
      </x:c>
      <x:c r="AV64" s="717" t="n">
        <x:f>IFERROR(INDEX('04_Wycena_strona_nowa'!$R:$R,MATCH($A64,'04_Wycena_strona_nowa'!$A:$A,0)),"")</x:f>
        <x:v>3501</x:v>
      </x:c>
      <x:c r="AW64" s="717" t="str">
        <x:f>IF(OR(AU64="",AV64="",AU64=0,AV64=0),"",AV64-AU64)</x:f>
      </x:c>
      <x:c r="AX64" s="717" t="str">
        <x:f>""</x:f>
      </x:c>
      <x:c r="AY64" s="717" t="str">
        <x:f>IFERROR(INDEX('04_Wycena_strona_nowa'!$S:$S,MATCH($A64,'04_Wycena_strona_nowa'!$A:$A,0)),"")</x:f>
      </x:c>
      <x:c r="AZ64" s="717" t="str">
        <x:f>IF(OR(AX64="",AY64="",AX64=0,AY64=0),"",AY64-AX64)</x:f>
      </x:c>
      <x:c r="BA64" s="612" t="e">
        <x:f>_xludf.TEXTJOIN("; ",TRUE,IF(OR(LEFT($A64,3)="550",LEFT($A64,3)="600"),"550/600: EG brak benchmarku; opcje szklane/zerowe ukryte w porównaniu do czasu potwierdzenia",""),"LED CCT/RGB: porównanie orientacyjne do EG LED COB","Zabieraki: brak jednoznacznej pozycji EG")</x:f>
      </x:c>
    </x:row>
    <x:row r="65">
      <x:c r="A65" s="608" t="str">
        <x:f>'04_Wycena_strona_nowa'!A65</x:f>
        <x:v>600 x 606 cm</x:v>
      </x:c>
      <x:c r="B65" s="717" t="str">
        <x:f>IFERROR(INDEX(EG_Wycena_strona!$B:$B,MATCH($A65,EG_Wycena_strona!$A:$A,0)),"")</x:f>
      </x:c>
      <x:c r="C65" s="717" t="n">
        <x:f>IFERROR(INDEX('04_Wycena_strona_nowa'!$B:$B,MATCH($A65,'04_Wycena_strona_nowa'!$A:$A,0)),"")</x:f>
        <x:v>32233</x:v>
      </x:c>
      <x:c r="D65" s="717" t="str">
        <x:f>IF(OR(B65="",C65="",B65=0,C65=0),"",C65-B65)</x:f>
      </x:c>
      <x:c r="E65" s="717" t="str">
        <x:f>IFERROR(INDEX(EG_Wycena_strona!$C:$C,MATCH($A65,EG_Wycena_strona!$A:$A,0)),"")</x:f>
      </x:c>
      <x:c r="F65" s="717" t="n">
        <x:f>IFERROR(INDEX('04_Wycena_strona_nowa'!$C:$C,MATCH($A65,'04_Wycena_strona_nowa'!$A:$A,0)),"")</x:f>
        <x:v>26176</x:v>
      </x:c>
      <x:c r="G65" s="717" t="str">
        <x:f>IF(OR(E65="",F65="",E65=0,F65=0),"",F65-E65)</x:f>
      </x:c>
      <x:c r="H65" s="717" t="str">
        <x:f>IFERROR(INDEX(EG_Wycena_strona!$D:$D,MATCH($A65,EG_Wycena_strona!$A:$A,0)),"")</x:f>
      </x:c>
      <x:c r="I65" s="717" t="n">
        <x:f>IFERROR(INDEX('04_Wycena_strona_nowa'!$D:$D,MATCH($A65,'04_Wycena_strona_nowa'!$A:$A,0)),"")</x:f>
        <x:v>28926</x:v>
      </x:c>
      <x:c r="J65" s="717" t="str">
        <x:f>IF(OR(H65="",I65="",H65=0,I65=0),"",I65-H65)</x:f>
      </x:c>
      <x:c r="K65" s="717" t="str">
        <x:f>IFERROR(INDEX(EG_Wycena_strona!$E:$E,MATCH($A65,EG_Wycena_strona!$A:$A,0)),"")</x:f>
      </x:c>
      <x:c r="L65" s="717" t="n">
        <x:f>IFERROR(INDEX('04_Wycena_strona_nowa'!$E:$E,MATCH($A65,'04_Wycena_strona_nowa'!$A:$A,0)),"")</x:f>
        <x:v>789</x:v>
      </x:c>
      <x:c r="M65" s="717" t="str">
        <x:f>IF(OR(K65="",L65="",K65=0,L65=0),"",L65-K65)</x:f>
      </x:c>
      <x:c r="N65" s="717" t="str">
        <x:f>IFERROR(INDEX(EG_Wycena_strona!$F:$F,MATCH($A65,EG_Wycena_strona!$A:$A,0)),"")</x:f>
      </x:c>
      <x:c r="O65" s="717" t="n">
        <x:f>IFERROR(INDEX('04_Wycena_strona_nowa'!$F:$F,MATCH($A65,'04_Wycena_strona_nowa'!$A:$A,0)),"")</x:f>
        <x:v>-26584</x:v>
      </x:c>
      <x:c r="P65" s="717" t="str">
        <x:f>IF(OR(N65="",O65="",N65=0,O65=0),"",O65-N65)</x:f>
      </x:c>
      <x:c r="Q65" s="717" t="str">
        <x:f>IFERROR(INDEX(EG_Wycena_strona!$G:$G,MATCH($A65,EG_Wycena_strona!$A:$A,0)),"")</x:f>
      </x:c>
      <x:c r="R65" s="717" t="n">
        <x:f>IFERROR(INDEX('04_Wycena_strona_nowa'!$G:$G,MATCH($A65,'04_Wycena_strona_nowa'!$A:$A,0)),"")</x:f>
        <x:v>-26584</x:v>
      </x:c>
      <x:c r="S65" s="717" t="str">
        <x:f>IF(OR(Q65="",R65="",Q65=0,R65=0),"",R65-Q65)</x:f>
      </x:c>
      <x:c r="T65" s="717" t="str">
        <x:f>IFERROR(INDEX(EG_Wycena_strona!$H:$H,MATCH($A65,EG_Wycena_strona!$A:$A,0)),"")</x:f>
      </x:c>
      <x:c r="U65" s="717" t="n">
        <x:f>IFERROR(INDEX('04_Wycena_strona_nowa'!$H:$H,MATCH($A65,'04_Wycena_strona_nowa'!$A:$A,0)),"")</x:f>
        <x:v>5437</x:v>
      </x:c>
      <x:c r="V65" s="717" t="str">
        <x:f>IF(OR(T65="",U65="",T65=0,U65=0),"",U65-T65)</x:f>
      </x:c>
      <x:c r="W65" s="717" t="str">
        <x:f>IFERROR(INDEX(EG_Wycena_strona!$I:$I,MATCH($A65,EG_Wycena_strona!$A:$A,0)),"")</x:f>
      </x:c>
      <x:c r="X65" s="717" t="n">
        <x:f>IFERROR(INDEX('04_Wycena_strona_nowa'!$I:$I,MATCH($A65,'04_Wycena_strona_nowa'!$A:$A,0)),"")</x:f>
        <x:v>5437</x:v>
      </x:c>
      <x:c r="Y65" s="717" t="str">
        <x:f>IF(OR(W65="",X65="",W65=0,X65=0),"",X65-W65)</x:f>
      </x:c>
      <x:c r="Z65" s="717" t="str">
        <x:f>IFERROR(INDEX(EG_Wycena_strona!$J:$J,MATCH($A65,EG_Wycena_strona!$A:$A,0)),"")</x:f>
      </x:c>
      <x:c r="AA65" s="717" t="n">
        <x:f>IFERROR(INDEX('04_Wycena_strona_nowa'!$J:$J,MATCH($A65,'04_Wycena_strona_nowa'!$A:$A,0)),"")</x:f>
        <x:v>5437</x:v>
      </x:c>
      <x:c r="AB65" s="717" t="str">
        <x:f>IF(OR(Z65="",AA65="",Z65=0,AA65=0),"",AA65-Z65)</x:f>
      </x:c>
      <x:c r="AC65" s="717" t="str">
        <x:f>IFERROR(INDEX(EG_Wycena_strona!$K:$K,MATCH($A65,EG_Wycena_strona!$A:$A,0)),"")</x:f>
      </x:c>
      <x:c r="AD65" s="717" t="n">
        <x:f>IFERROR(INDEX('04_Wycena_strona_nowa'!$K:$K,MATCH($A65,'04_Wycena_strona_nowa'!$A:$A,0)),"")</x:f>
        <x:v>10644</x:v>
      </x:c>
      <x:c r="AE65" s="717" t="str">
        <x:f>IF(OR(AC65="",AD65="",AC65=0,AD65=0),"",AD65-AC65)</x:f>
      </x:c>
      <x:c r="AF65" s="717" t="str">
        <x:f>IFERROR(ROUND(INDEX(EG_Cennik_uslug!$BS:$BS,MATCH($A65,EG_Cennik_uslug!$A:$A,0))*1.08,0),"")</x:f>
      </x:c>
      <x:c r="AG65" s="717" t="n">
        <x:f>IFERROR(INDEX('04_Wycena_strona_nowa'!$L:$L,MATCH($A65,'04_Wycena_strona_nowa'!$A:$A,0)),"")</x:f>
        <x:v>4039</x:v>
      </x:c>
      <x:c r="AH65" s="717" t="str">
        <x:f>IF(OR(AF65="",AG65="",AF65=0,AG65=0),"",AG65-AF65)</x:f>
      </x:c>
      <x:c r="AI65" s="717" t="str">
        <x:f>IFERROR(ROUND(INDEX(EG_Cennik_uslug!$BZ:$BZ,MATCH($A65,EG_Cennik_uslug!$A:$A,0))*1.08,0),"")</x:f>
      </x:c>
      <x:c r="AJ65" s="717" t="n">
        <x:f>IFERROR(INDEX('04_Wycena_strona_nowa'!$O:$O,MATCH($A65,'04_Wycena_strona_nowa'!$A:$A,0)),"")</x:f>
        <x:v>777</x:v>
      </x:c>
      <x:c r="AK65" s="717" t="str">
        <x:f>IF(OR(AI65="",AJ65="",AI65=0,AJ65=0),"",AJ65-AI65)</x:f>
      </x:c>
      <x:c r="AL65" s="717" t="str">
        <x:f>IFERROR(ROUND(INDEX(EG_Cennik_uslug!$CG:$CG,MATCH($A65,EG_Cennik_uslug!$A:$A,0))*1.08,0),"")</x:f>
      </x:c>
      <x:c r="AM65" s="717" t="n">
        <x:f>IFERROR(INDEX('04_Wycena_strona_nowa'!$P:$P,MATCH($A65,'04_Wycena_strona_nowa'!$A:$A,0)),"")</x:f>
        <x:v>700</x:v>
      </x:c>
      <x:c r="AN65" s="717" t="str">
        <x:f>IF(OR(AL65="",AM65="",AL65=0,AM65=0),"",AM65-AL65)</x:f>
      </x:c>
      <x:c r="AO65" s="717" t="str">
        <x:f>""</x:f>
      </x:c>
      <x:c r="AP65" s="717" t="n">
        <x:f>IFERROR(INDEX('04_Wycena_strona_nowa'!$Q:$Q,MATCH($A65,'04_Wycena_strona_nowa'!$A:$A,0)),"")</x:f>
        <x:v>713</x:v>
      </x:c>
      <x:c r="AQ65" s="717" t="str">
        <x:f>IF(OR(AO65="",AP65="",AO65=0,AP65=0),"",AP65-AO65)</x:f>
      </x:c>
      <x:c r="AR65" s="717" t="str">
        <x:f>IFERROR(ROUND(INDEX(EG_Cennik_uslug!$CN:$CN,MATCH($A65,EG_Cennik_uslug!$A:$A,0))*1.08,0),"")</x:f>
      </x:c>
      <x:c r="AS65" s="717" t="n">
        <x:f>IFERROR(INDEX('04_Wycena_strona_nowa'!$M:$M,MATCH($A65,'04_Wycena_strona_nowa'!$A:$A,0)),"")</x:f>
        <x:v>1388</x:v>
      </x:c>
      <x:c r="AT65" s="717" t="str">
        <x:f>IF(OR(AR65="",AS65="",AR65=0,AS65=0),"",AS65-AR65)</x:f>
      </x:c>
      <x:c r="AU65" s="717" t="str">
        <x:f>IFERROR(ROUND(INDEX(EG_Cennik_uslug!$CU:$CU,MATCH($A65,EG_Cennik_uslug!$A:$A,0))*1.08,0),"")</x:f>
      </x:c>
      <x:c r="AV65" s="717" t="n">
        <x:f>IFERROR(INDEX('04_Wycena_strona_nowa'!$R:$R,MATCH($A65,'04_Wycena_strona_nowa'!$A:$A,0)),"")</x:f>
        <x:v>4299</x:v>
      </x:c>
      <x:c r="AW65" s="717" t="str">
        <x:f>IF(OR(AU65="",AV65="",AU65=0,AV65=0),"",AV65-AU65)</x:f>
      </x:c>
      <x:c r="AX65" s="717" t="str">
        <x:f>""</x:f>
      </x:c>
      <x:c r="AY65" s="717" t="str">
        <x:f>IFERROR(INDEX('04_Wycena_strona_nowa'!$S:$S,MATCH($A65,'04_Wycena_strona_nowa'!$A:$A,0)),"")</x:f>
      </x:c>
      <x:c r="AZ65" s="717" t="str">
        <x:f>IF(OR(AX65="",AY65="",AX65=0,AY65=0),"",AY65-AX65)</x:f>
      </x:c>
      <x:c r="BA65" s="612" t="e">
        <x:f>_xludf.TEXTJOIN("; ",TRUE,IF(OR(LEFT($A65,3)="550",LEFT($A65,3)="600"),"550/600: EG brak benchmarku; opcje szklane/zerowe ukryte w porównaniu do czasu potwierdzenia",""),"LED CCT/RGB: porównanie orientacyjne do EG LED COB","Zabieraki: brak jednoznacznej pozycji EG")</x:f>
      </x:c>
    </x:row>
    <x:row r="66">
      <x:c r="A66" s="608" t="str">
        <x:f>'04_Wycena_strona_nowa'!A66</x:f>
        <x:v>600 x 706 cm</x:v>
      </x:c>
      <x:c r="B66" s="717" t="str">
        <x:f>IFERROR(INDEX(EG_Wycena_strona!$B:$B,MATCH($A66,EG_Wycena_strona!$A:$A,0)),"")</x:f>
      </x:c>
      <x:c r="C66" s="717" t="n">
        <x:f>IFERROR(INDEX('04_Wycena_strona_nowa'!$B:$B,MATCH($A66,'04_Wycena_strona_nowa'!$A:$A,0)),"")</x:f>
        <x:v>36795</x:v>
      </x:c>
      <x:c r="D66" s="717" t="str">
        <x:f>IF(OR(B66="",C66="",B66=0,C66=0),"",C66-B66)</x:f>
      </x:c>
      <x:c r="E66" s="717" t="str">
        <x:f>IFERROR(INDEX(EG_Wycena_strona!$C:$C,MATCH($A66,EG_Wycena_strona!$A:$A,0)),"")</x:f>
      </x:c>
      <x:c r="F66" s="717" t="n">
        <x:f>IFERROR(INDEX('04_Wycena_strona_nowa'!$C:$C,MATCH($A66,'04_Wycena_strona_nowa'!$A:$A,0)),"")</x:f>
        <x:v>27432</x:v>
      </x:c>
      <x:c r="G66" s="717" t="str">
        <x:f>IF(OR(E66="",F66="",E66=0,F66=0),"",F66-E66)</x:f>
      </x:c>
      <x:c r="H66" s="717" t="str">
        <x:f>IFERROR(INDEX(EG_Wycena_strona!$D:$D,MATCH($A66,EG_Wycena_strona!$A:$A,0)),"")</x:f>
      </x:c>
      <x:c r="I66" s="717" t="n">
        <x:f>IFERROR(INDEX('04_Wycena_strona_nowa'!$D:$D,MATCH($A66,'04_Wycena_strona_nowa'!$A:$A,0)),"")</x:f>
        <x:v>30335</x:v>
      </x:c>
      <x:c r="J66" s="717" t="str">
        <x:f>IF(OR(H66="",I66="",H66=0,I66=0),"",I66-H66)</x:f>
      </x:c>
      <x:c r="K66" s="717" t="str">
        <x:f>IFERROR(INDEX(EG_Wycena_strona!$E:$E,MATCH($A66,EG_Wycena_strona!$A:$A,0)),"")</x:f>
      </x:c>
      <x:c r="L66" s="717" t="n">
        <x:f>IFERROR(INDEX('04_Wycena_strona_nowa'!$E:$E,MATCH($A66,'04_Wycena_strona_nowa'!$A:$A,0)),"")</x:f>
        <x:v>929</x:v>
      </x:c>
      <x:c r="M66" s="717" t="str">
        <x:f>IF(OR(K66="",L66="",K66=0,L66=0),"",L66-K66)</x:f>
      </x:c>
      <x:c r="N66" s="717" t="str">
        <x:f>IFERROR(INDEX(EG_Wycena_strona!$F:$F,MATCH($A66,EG_Wycena_strona!$A:$A,0)),"")</x:f>
      </x:c>
      <x:c r="O66" s="717" t="n">
        <x:f>IFERROR(INDEX('04_Wycena_strona_nowa'!$F:$F,MATCH($A66,'04_Wycena_strona_nowa'!$A:$A,0)),"")</x:f>
        <x:v>-30963</x:v>
      </x:c>
      <x:c r="P66" s="717" t="str">
        <x:f>IF(OR(N66="",O66="",N66=0,O66=0),"",O66-N66)</x:f>
      </x:c>
      <x:c r="Q66" s="717" t="str">
        <x:f>IFERROR(INDEX(EG_Wycena_strona!$G:$G,MATCH($A66,EG_Wycena_strona!$A:$A,0)),"")</x:f>
      </x:c>
      <x:c r="R66" s="717" t="n">
        <x:f>IFERROR(INDEX('04_Wycena_strona_nowa'!$G:$G,MATCH($A66,'04_Wycena_strona_nowa'!$A:$A,0)),"")</x:f>
        <x:v>-30963</x:v>
      </x:c>
      <x:c r="S66" s="717" t="str">
        <x:f>IF(OR(Q66="",R66="",Q66=0,R66=0),"",R66-Q66)</x:f>
      </x:c>
      <x:c r="T66" s="717" t="str">
        <x:f>IFERROR(INDEX(EG_Wycena_strona!$H:$H,MATCH($A66,EG_Wycena_strona!$A:$A,0)),"")</x:f>
      </x:c>
      <x:c r="U66" s="717" t="n">
        <x:f>IFERROR(INDEX('04_Wycena_strona_nowa'!$H:$H,MATCH($A66,'04_Wycena_strona_nowa'!$A:$A,0)),"")</x:f>
        <x:v>5437</x:v>
      </x:c>
      <x:c r="V66" s="717" t="str">
        <x:f>IF(OR(T66="",U66="",T66=0,U66=0),"",U66-T66)</x:f>
      </x:c>
      <x:c r="W66" s="717" t="str">
        <x:f>IFERROR(INDEX(EG_Wycena_strona!$I:$I,MATCH($A66,EG_Wycena_strona!$A:$A,0)),"")</x:f>
      </x:c>
      <x:c r="X66" s="717" t="n">
        <x:f>IFERROR(INDEX('04_Wycena_strona_nowa'!$I:$I,MATCH($A66,'04_Wycena_strona_nowa'!$A:$A,0)),"")</x:f>
        <x:v>5437</x:v>
      </x:c>
      <x:c r="Y66" s="717" t="str">
        <x:f>IF(OR(W66="",X66="",W66=0,X66=0),"",X66-W66)</x:f>
      </x:c>
      <x:c r="Z66" s="717" t="str">
        <x:f>IFERROR(INDEX(EG_Wycena_strona!$J:$J,MATCH($A66,EG_Wycena_strona!$A:$A,0)),"")</x:f>
      </x:c>
      <x:c r="AA66" s="717" t="n">
        <x:f>IFERROR(INDEX('04_Wycena_strona_nowa'!$J:$J,MATCH($A66,'04_Wycena_strona_nowa'!$A:$A,0)),"")</x:f>
        <x:v>6086</x:v>
      </x:c>
      <x:c r="AB66" s="717" t="str">
        <x:f>IF(OR(Z66="",AA66="",Z66=0,AA66=0),"",AA66-Z66)</x:f>
      </x:c>
      <x:c r="AC66" s="717" t="str">
        <x:f>IFERROR(INDEX(EG_Wycena_strona!$K:$K,MATCH($A66,EG_Wycena_strona!$A:$A,0)),"")</x:f>
      </x:c>
      <x:c r="AD66" s="717" t="n">
        <x:f>IFERROR(INDEX('04_Wycena_strona_nowa'!$K:$K,MATCH($A66,'04_Wycena_strona_nowa'!$A:$A,0)),"")</x:f>
        <x:v>11408</x:v>
      </x:c>
      <x:c r="AE66" s="717" t="str">
        <x:f>IF(OR(AC66="",AD66="",AC66=0,AD66=0),"",AD66-AC66)</x:f>
      </x:c>
      <x:c r="AF66" s="717" t="str">
        <x:f>IFERROR(ROUND(INDEX(EG_Cennik_uslug!$BS:$BS,MATCH($A66,EG_Cennik_uslug!$A:$A,0))*1.08,0),"")</x:f>
      </x:c>
      <x:c r="AG66" s="717" t="n">
        <x:f>IFERROR(INDEX('04_Wycena_strona_nowa'!$L:$L,MATCH($A66,'04_Wycena_strona_nowa'!$A:$A,0)),"")</x:f>
        <x:v>3568</x:v>
      </x:c>
      <x:c r="AH66" s="717" t="str">
        <x:f>IF(OR(AF66="",AG66="",AF66=0,AG66=0),"",AG66-AF66)</x:f>
      </x:c>
      <x:c r="AI66" s="717" t="str">
        <x:f>IFERROR(ROUND(INDEX(EG_Cennik_uslug!$BZ:$BZ,MATCH($A66,EG_Cennik_uslug!$A:$A,0))*1.08,0),"")</x:f>
      </x:c>
      <x:c r="AJ66" s="717" t="n">
        <x:f>IFERROR(INDEX('04_Wycena_strona_nowa'!$O:$O,MATCH($A66,'04_Wycena_strona_nowa'!$A:$A,0)),"")</x:f>
        <x:v>827</x:v>
      </x:c>
      <x:c r="AK66" s="717" t="str">
        <x:f>IF(OR(AI66="",AJ66="",AI66=0,AJ66=0),"",AJ66-AI66)</x:f>
      </x:c>
      <x:c r="AL66" s="717" t="str">
        <x:f>IFERROR(ROUND(INDEX(EG_Cennik_uslug!$CG:$CG,MATCH($A66,EG_Cennik_uslug!$A:$A,0))*1.08,0),"")</x:f>
      </x:c>
      <x:c r="AM66" s="717" t="n">
        <x:f>IFERROR(INDEX('04_Wycena_strona_nowa'!$P:$P,MATCH($A66,'04_Wycena_strona_nowa'!$A:$A,0)),"")</x:f>
        <x:v>752</x:v>
      </x:c>
      <x:c r="AN66" s="717" t="str">
        <x:f>IF(OR(AL66="",AM66="",AL66=0,AM66=0),"",AM66-AL66)</x:f>
      </x:c>
      <x:c r="AO66" s="717" t="str">
        <x:f>""</x:f>
      </x:c>
      <x:c r="AP66" s="717" t="n">
        <x:f>IFERROR(INDEX('04_Wycena_strona_nowa'!$Q:$Q,MATCH($A66,'04_Wycena_strona_nowa'!$A:$A,0)),"")</x:f>
        <x:v>765</x:v>
      </x:c>
      <x:c r="AQ66" s="717" t="str">
        <x:f>IF(OR(AO66="",AP66="",AO66=0,AP66=0),"",AP66-AO66)</x:f>
      </x:c>
      <x:c r="AR66" s="717" t="str">
        <x:f>IFERROR(ROUND(INDEX(EG_Cennik_uslug!$CN:$CN,MATCH($A66,EG_Cennik_uslug!$A:$A,0))*1.08,0),"")</x:f>
      </x:c>
      <x:c r="AS66" s="717" t="n">
        <x:f>IFERROR(INDEX('04_Wycena_strona_nowa'!$M:$M,MATCH($A66,'04_Wycena_strona_nowa'!$A:$A,0)),"")</x:f>
        <x:v>1541</x:v>
      </x:c>
      <x:c r="AT66" s="717" t="str">
        <x:f>IF(OR(AR66="",AS66="",AR66=0,AS66=0),"",AS66-AR66)</x:f>
      </x:c>
      <x:c r="AU66" s="717" t="str">
        <x:f>IFERROR(ROUND(INDEX(EG_Cennik_uslug!$CU:$CU,MATCH($A66,EG_Cennik_uslug!$A:$A,0))*1.08,0),"")</x:f>
      </x:c>
      <x:c r="AV66" s="717" t="n">
        <x:f>IFERROR(INDEX('04_Wycena_strona_nowa'!$R:$R,MATCH($A66,'04_Wycena_strona_nowa'!$A:$A,0)),"")</x:f>
        <x:v>4740</x:v>
      </x:c>
      <x:c r="AW66" s="717" t="str">
        <x:f>IF(OR(AU66="",AV66="",AU66=0,AV66=0),"",AV66-AU66)</x:f>
      </x:c>
      <x:c r="AX66" s="717" t="str">
        <x:f>""</x:f>
      </x:c>
      <x:c r="AY66" s="717" t="str">
        <x:f>IFERROR(INDEX('04_Wycena_strona_nowa'!$S:$S,MATCH($A66,'04_Wycena_strona_nowa'!$A:$A,0)),"")</x:f>
      </x:c>
      <x:c r="AZ66" s="717" t="str">
        <x:f>IF(OR(AX66="",AY66="",AX66=0,AY66=0),"",AY66-AX66)</x:f>
      </x:c>
      <x:c r="BA66" s="612" t="e">
        <x:f>_xludf.TEXTJOIN("; ",TRUE,IF(OR(LEFT($A66,3)="550",LEFT($A66,3)="600"),"550/600: EG brak benchmarku; opcje szklane/zerowe ukryte w porównaniu do czasu potwierdzenia",""),"LED CCT/RGB: porównanie orientacyjne do EG LED COB","Zabieraki: brak jednoznacznej pozycji EG")</x:f>
      </x:c>
    </x:row>
    <x:row r="67">
      <x:c r="A67" s="608" t="str">
        <x:f>'04_Wycena_strona_nowa'!A67</x:f>
        <x:v>600 x 806 cm</x:v>
      </x:c>
      <x:c r="B67" s="717" t="str">
        <x:f>IFERROR(INDEX(EG_Wycena_strona!$B:$B,MATCH($A67,EG_Wycena_strona!$A:$A,0)),"")</x:f>
      </x:c>
      <x:c r="C67" s="717" t="n">
        <x:f>IFERROR(INDEX('04_Wycena_strona_nowa'!$B:$B,MATCH($A67,'04_Wycena_strona_nowa'!$A:$A,0)),"")</x:f>
        <x:v>41473</x:v>
      </x:c>
      <x:c r="D67" s="717" t="str">
        <x:f>IF(OR(B67="",C67="",B67=0,C67=0),"",C67-B67)</x:f>
      </x:c>
      <x:c r="E67" s="717" t="str">
        <x:f>IFERROR(INDEX(EG_Wycena_strona!$C:$C,MATCH($A67,EG_Wycena_strona!$A:$A,0)),"")</x:f>
      </x:c>
      <x:c r="F67" s="717" t="n">
        <x:f>IFERROR(INDEX('04_Wycena_strona_nowa'!$C:$C,MATCH($A67,'04_Wycena_strona_nowa'!$A:$A,0)),"")</x:f>
        <x:v>28493</x:v>
      </x:c>
      <x:c r="G67" s="717" t="str">
        <x:f>IF(OR(E67="",F67="",E67=0,F67=0),"",F67-E67)</x:f>
      </x:c>
      <x:c r="H67" s="717" t="str">
        <x:f>IFERROR(INDEX(EG_Wycena_strona!$D:$D,MATCH($A67,EG_Wycena_strona!$A:$A,0)),"")</x:f>
      </x:c>
      <x:c r="I67" s="717" t="n">
        <x:f>IFERROR(INDEX('04_Wycena_strona_nowa'!$D:$D,MATCH($A67,'04_Wycena_strona_nowa'!$A:$A,0)),"")</x:f>
        <x:v>31548</x:v>
      </x:c>
      <x:c r="J67" s="717" t="str">
        <x:f>IF(OR(H67="",I67="",H67=0,I67=0),"",I67-H67)</x:f>
      </x:c>
      <x:c r="K67" s="717" t="str">
        <x:f>IFERROR(INDEX(EG_Wycena_strona!$E:$E,MATCH($A67,EG_Wycena_strona!$A:$A,0)),"")</x:f>
      </x:c>
      <x:c r="L67" s="717" t="n">
        <x:f>IFERROR(INDEX('04_Wycena_strona_nowa'!$E:$E,MATCH($A67,'04_Wycena_strona_nowa'!$A:$A,0)),"")</x:f>
        <x:v>1057</x:v>
      </x:c>
      <x:c r="M67" s="717" t="str">
        <x:f>IF(OR(K67="",L67="",K67=0,L67=0),"",L67-K67)</x:f>
      </x:c>
      <x:c r="N67" s="717" t="str">
        <x:f>IFERROR(INDEX(EG_Wycena_strona!$F:$F,MATCH($A67,EG_Wycena_strona!$A:$A,0)),"")</x:f>
      </x:c>
      <x:c r="O67" s="717" t="n">
        <x:f>IFERROR(INDEX('04_Wycena_strona_nowa'!$F:$F,MATCH($A67,'04_Wycena_strona_nowa'!$A:$A,0)),"")</x:f>
        <x:v>-35241</x:v>
      </x:c>
      <x:c r="P67" s="717" t="str">
        <x:f>IF(OR(N67="",O67="",N67=0,O67=0),"",O67-N67)</x:f>
      </x:c>
      <x:c r="Q67" s="717" t="str">
        <x:f>IFERROR(INDEX(EG_Wycena_strona!$G:$G,MATCH($A67,EG_Wycena_strona!$A:$A,0)),"")</x:f>
      </x:c>
      <x:c r="R67" s="717" t="n">
        <x:f>IFERROR(INDEX('04_Wycena_strona_nowa'!$G:$G,MATCH($A67,'04_Wycena_strona_nowa'!$A:$A,0)),"")</x:f>
        <x:v>-35241</x:v>
      </x:c>
      <x:c r="S67" s="717" t="str">
        <x:f>IF(OR(Q67="",R67="",Q67=0,R67=0),"",R67-Q67)</x:f>
      </x:c>
      <x:c r="T67" s="717" t="str">
        <x:f>IFERROR(INDEX(EG_Wycena_strona!$H:$H,MATCH($A67,EG_Wycena_strona!$A:$A,0)),"")</x:f>
      </x:c>
      <x:c r="U67" s="717" t="n">
        <x:f>IFERROR(INDEX('04_Wycena_strona_nowa'!$H:$H,MATCH($A67,'04_Wycena_strona_nowa'!$A:$A,0)),"")</x:f>
        <x:v>5437</x:v>
      </x:c>
      <x:c r="V67" s="717" t="str">
        <x:f>IF(OR(T67="",U67="",T67=0,U67=0),"",U67-T67)</x:f>
      </x:c>
      <x:c r="W67" s="717" t="str">
        <x:f>IFERROR(INDEX(EG_Wycena_strona!$I:$I,MATCH($A67,EG_Wycena_strona!$A:$A,0)),"")</x:f>
      </x:c>
      <x:c r="X67" s="717" t="n">
        <x:f>IFERROR(INDEX('04_Wycena_strona_nowa'!$I:$I,MATCH($A67,'04_Wycena_strona_nowa'!$A:$A,0)),"")</x:f>
        <x:v>5437</x:v>
      </x:c>
      <x:c r="Y67" s="717" t="str">
        <x:f>IF(OR(W67="",X67="",W67=0,X67=0),"",X67-W67)</x:f>
      </x:c>
      <x:c r="Z67" s="717" t="str">
        <x:f>IFERROR(INDEX(EG_Wycena_strona!$J:$J,MATCH($A67,EG_Wycena_strona!$A:$A,0)),"")</x:f>
      </x:c>
      <x:c r="AA67" s="717" t="n">
        <x:f>IFERROR(INDEX('04_Wycena_strona_nowa'!$J:$J,MATCH($A67,'04_Wycena_strona_nowa'!$A:$A,0)),"")</x:f>
        <x:v>6723</x:v>
      </x:c>
      <x:c r="AB67" s="717" t="str">
        <x:f>IF(OR(Z67="",AA67="",Z67=0,AA67=0),"",AA67-Z67)</x:f>
      </x:c>
      <x:c r="AC67" s="717" t="str">
        <x:f>IFERROR(INDEX(EG_Wycena_strona!$K:$K,MATCH($A67,EG_Wycena_strona!$A:$A,0)),"")</x:f>
      </x:c>
      <x:c r="AD67" s="717" t="n">
        <x:f>IFERROR(INDEX('04_Wycena_strona_nowa'!$K:$K,MATCH($A67,'04_Wycena_strona_nowa'!$A:$A,0)),"")</x:f>
        <x:v>12183</x:v>
      </x:c>
      <x:c r="AE67" s="717" t="str">
        <x:f>IF(OR(AC67="",AD67="",AC67=0,AD67=0),"",AD67-AC67)</x:f>
      </x:c>
      <x:c r="AF67" s="717" t="str">
        <x:f>IFERROR(ROUND(INDEX(EG_Cennik_uslug!$BS:$BS,MATCH($A67,EG_Cennik_uslug!$A:$A,0))*1.08,0),"")</x:f>
      </x:c>
      <x:c r="AG67" s="717" t="n">
        <x:f>IFERROR(INDEX('04_Wycena_strona_nowa'!$L:$L,MATCH($A67,'04_Wycena_strona_nowa'!$A:$A,0)),"")</x:f>
        <x:v>3834</x:v>
      </x:c>
      <x:c r="AH67" s="717" t="str">
        <x:f>IF(OR(AF67="",AG67="",AF67=0,AG67=0),"",AG67-AF67)</x:f>
      </x:c>
      <x:c r="AI67" s="717" t="str">
        <x:f>IFERROR(ROUND(INDEX(EG_Cennik_uslug!$BZ:$BZ,MATCH($A67,EG_Cennik_uslug!$A:$A,0))*1.08,0),"")</x:f>
      </x:c>
      <x:c r="AJ67" s="717" t="n">
        <x:f>IFERROR(INDEX('04_Wycena_strona_nowa'!$O:$O,MATCH($A67,'04_Wycena_strona_nowa'!$A:$A,0)),"")</x:f>
        <x:v>878</x:v>
      </x:c>
      <x:c r="AK67" s="717" t="str">
        <x:f>IF(OR(AI67="",AJ67="",AI67=0,AJ67=0),"",AJ67-AI67)</x:f>
      </x:c>
      <x:c r="AL67" s="717" t="str">
        <x:f>IFERROR(ROUND(INDEX(EG_Cennik_uslug!$CG:$CG,MATCH($A67,EG_Cennik_uslug!$A:$A,0))*1.08,0),"")</x:f>
      </x:c>
      <x:c r="AM67" s="717" t="n">
        <x:f>IFERROR(INDEX('04_Wycena_strona_nowa'!$P:$P,MATCH($A67,'04_Wycena_strona_nowa'!$A:$A,0)),"")</x:f>
        <x:v>789</x:v>
      </x:c>
      <x:c r="AN67" s="717" t="str">
        <x:f>IF(OR(AL67="",AM67="",AL67=0,AM67=0),"",AM67-AL67)</x:f>
      </x:c>
      <x:c r="AO67" s="717" t="str">
        <x:f>""</x:f>
      </x:c>
      <x:c r="AP67" s="717" t="n">
        <x:f>IFERROR(INDEX('04_Wycena_strona_nowa'!$Q:$Q,MATCH($A67,'04_Wycena_strona_nowa'!$A:$A,0)),"")</x:f>
        <x:v>814</x:v>
      </x:c>
      <x:c r="AQ67" s="717" t="str">
        <x:f>IF(OR(AO67="",AP67="",AO67=0,AP67=0),"",AP67-AO67)</x:f>
      </x:c>
      <x:c r="AR67" s="717" t="str">
        <x:f>IFERROR(ROUND(INDEX(EG_Cennik_uslug!$CN:$CN,MATCH($A67,EG_Cennik_uslug!$A:$A,0))*1.08,0),"")</x:f>
      </x:c>
      <x:c r="AS67" s="717" t="n">
        <x:f>IFERROR(INDEX('04_Wycena_strona_nowa'!$M:$M,MATCH($A67,'04_Wycena_strona_nowa'!$A:$A,0)),"")</x:f>
        <x:v>1834</x:v>
      </x:c>
      <x:c r="AT67" s="717" t="str">
        <x:f>IF(OR(AR67="",AS67="",AR67=0,AS67=0),"",AS67-AR67)</x:f>
      </x:c>
      <x:c r="AU67" s="717" t="str">
        <x:f>IFERROR(ROUND(INDEX(EG_Cennik_uslug!$CU:$CU,MATCH($A67,EG_Cennik_uslug!$A:$A,0))*1.08,0),"")</x:f>
      </x:c>
      <x:c r="AV67" s="717" t="n">
        <x:f>IFERROR(INDEX('04_Wycena_strona_nowa'!$R:$R,MATCH($A67,'04_Wycena_strona_nowa'!$A:$A,0)),"")</x:f>
        <x:v>5165</x:v>
      </x:c>
      <x:c r="AW67" s="717" t="str">
        <x:f>IF(OR(AU67="",AV67="",AU67=0,AV67=0),"",AV67-AU67)</x:f>
      </x:c>
      <x:c r="AX67" s="717" t="str">
        <x:f>""</x:f>
      </x:c>
      <x:c r="AY67" s="717" t="str">
        <x:f>IFERROR(INDEX('04_Wycena_strona_nowa'!$S:$S,MATCH($A67,'04_Wycena_strona_nowa'!$A:$A,0)),"")</x:f>
      </x:c>
      <x:c r="AZ67" s="717" t="str">
        <x:f>IF(OR(AX67="",AY67="",AX67=0,AY67=0),"",AY67-AX67)</x:f>
      </x:c>
      <x:c r="BA67" s="612" t="e">
        <x:f>_xludf.TEXTJOIN("; ",TRUE,IF(OR(LEFT($A67,3)="550",LEFT($A67,3)="600"),"550/600: EG brak benchmarku; opcje szklane/zerowe ukryte w porównaniu do czasu potwierdzenia",""),"LED CCT/RGB: porównanie orientacyjne do EG LED COB","Zabieraki: brak jednoznacznej pozycji EG")</x:f>
      </x:c>
    </x:row>
    <x:row r="68">
      <x:c r="A68" s="608" t="str">
        <x:f>'04_Wycena_strona_nowa'!A68</x:f>
        <x:v>600 x 906 cm</x:v>
      </x:c>
      <x:c r="B68" s="717" t="str">
        <x:f>IFERROR(INDEX(EG_Wycena_strona!$B:$B,MATCH($A68,EG_Wycena_strona!$A:$A,0)),"")</x:f>
      </x:c>
      <x:c r="C68" s="717" t="n">
        <x:f>IFERROR(INDEX('04_Wycena_strona_nowa'!$B:$B,MATCH($A68,'04_Wycena_strona_nowa'!$A:$A,0)),"")</x:f>
        <x:v>46573</x:v>
      </x:c>
      <x:c r="D68" s="717" t="str">
        <x:f>IF(OR(B68="",C68="",B68=0,C68=0),"",C68-B68)</x:f>
      </x:c>
      <x:c r="E68" s="717" t="str">
        <x:f>IFERROR(INDEX(EG_Wycena_strona!$C:$C,MATCH($A68,EG_Wycena_strona!$A:$A,0)),"")</x:f>
      </x:c>
      <x:c r="F68" s="717" t="n">
        <x:f>IFERROR(INDEX('04_Wycena_strona_nowa'!$C:$C,MATCH($A68,'04_Wycena_strona_nowa'!$A:$A,0)),"")</x:f>
        <x:v>29956</x:v>
      </x:c>
      <x:c r="G68" s="717" t="str">
        <x:f>IF(OR(E68="",F68="",E68=0,F68=0),"",F68-E68)</x:f>
      </x:c>
      <x:c r="H68" s="717" t="str">
        <x:f>IFERROR(INDEX(EG_Wycena_strona!$D:$D,MATCH($A68,EG_Wycena_strona!$A:$A,0)),"")</x:f>
      </x:c>
      <x:c r="I68" s="717" t="n">
        <x:f>IFERROR(INDEX('04_Wycena_strona_nowa'!$D:$D,MATCH($A68,'04_Wycena_strona_nowa'!$A:$A,0)),"")</x:f>
        <x:v>33165</x:v>
      </x:c>
      <x:c r="J68" s="717" t="str">
        <x:f>IF(OR(H68="",I68="",H68=0,I68=0),"",I68-H68)</x:f>
      </x:c>
      <x:c r="K68" s="717" t="str">
        <x:f>IFERROR(INDEX(EG_Wycena_strona!$E:$E,MATCH($A68,EG_Wycena_strona!$A:$A,0)),"")</x:f>
      </x:c>
      <x:c r="L68" s="717" t="n">
        <x:f>IFERROR(INDEX('04_Wycena_strona_nowa'!$E:$E,MATCH($A68,'04_Wycena_strona_nowa'!$A:$A,0)),"")</x:f>
        <x:v>1197</x:v>
      </x:c>
      <x:c r="M68" s="717" t="str">
        <x:f>IF(OR(K68="",L68="",K68=0,L68=0),"",L68-K68)</x:f>
      </x:c>
      <x:c r="N68" s="717" t="str">
        <x:f>IFERROR(INDEX(EG_Wycena_strona!$F:$F,MATCH($A68,EG_Wycena_strona!$A:$A,0)),"")</x:f>
      </x:c>
      <x:c r="O68" s="717" t="n">
        <x:f>IFERROR(INDEX('04_Wycena_strona_nowa'!$F:$F,MATCH($A68,'04_Wycena_strona_nowa'!$A:$A,0)),"")</x:f>
        <x:v>-40028</x:v>
      </x:c>
      <x:c r="P68" s="717" t="str">
        <x:f>IF(OR(N68="",O68="",N68=0,O68=0),"",O68-N68)</x:f>
      </x:c>
      <x:c r="Q68" s="717" t="str">
        <x:f>IFERROR(INDEX(EG_Wycena_strona!$G:$G,MATCH($A68,EG_Wycena_strona!$A:$A,0)),"")</x:f>
      </x:c>
      <x:c r="R68" s="717" t="n">
        <x:f>IFERROR(INDEX('04_Wycena_strona_nowa'!$G:$G,MATCH($A68,'04_Wycena_strona_nowa'!$A:$A,0)),"")</x:f>
        <x:v>-40028</x:v>
      </x:c>
      <x:c r="S68" s="717" t="str">
        <x:f>IF(OR(Q68="",R68="",Q68=0,R68=0),"",R68-Q68)</x:f>
      </x:c>
      <x:c r="T68" s="717" t="str">
        <x:f>IFERROR(INDEX(EG_Wycena_strona!$H:$H,MATCH($A68,EG_Wycena_strona!$A:$A,0)),"")</x:f>
      </x:c>
      <x:c r="U68" s="717" t="n">
        <x:f>IFERROR(INDEX('04_Wycena_strona_nowa'!$H:$H,MATCH($A68,'04_Wycena_strona_nowa'!$A:$A,0)),"")</x:f>
        <x:v>5437</x:v>
      </x:c>
      <x:c r="V68" s="717" t="str">
        <x:f>IF(OR(T68="",U68="",T68=0,U68=0),"",U68-T68)</x:f>
      </x:c>
      <x:c r="W68" s="717" t="str">
        <x:f>IFERROR(INDEX(EG_Wycena_strona!$I:$I,MATCH($A68,EG_Wycena_strona!$A:$A,0)),"")</x:f>
      </x:c>
      <x:c r="X68" s="717" t="n">
        <x:f>IFERROR(INDEX('04_Wycena_strona_nowa'!$I:$I,MATCH($A68,'04_Wycena_strona_nowa'!$A:$A,0)),"")</x:f>
        <x:v>5437</x:v>
      </x:c>
      <x:c r="Y68" s="717" t="str">
        <x:f>IF(OR(W68="",X68="",W68=0,X68=0),"",X68-W68)</x:f>
      </x:c>
      <x:c r="Z68" s="717" t="str">
        <x:f>IFERROR(INDEX(EG_Wycena_strona!$J:$J,MATCH($A68,EG_Wycena_strona!$A:$A,0)),"")</x:f>
      </x:c>
      <x:c r="AA68" s="717" t="n">
        <x:f>IFERROR(INDEX('04_Wycena_strona_nowa'!$J:$J,MATCH($A68,'04_Wycena_strona_nowa'!$A:$A,0)),"")</x:f>
        <x:v>8148</x:v>
      </x:c>
      <x:c r="AB68" s="717" t="str">
        <x:f>IF(OR(Z68="",AA68="",Z68=0,AA68=0),"",AA68-Z68)</x:f>
      </x:c>
      <x:c r="AC68" s="717" t="str">
        <x:f>IFERROR(INDEX(EG_Wycena_strona!$K:$K,MATCH($A68,EG_Wycena_strona!$A:$A,0)),"")</x:f>
      </x:c>
      <x:c r="AD68" s="717" t="n">
        <x:f>IFERROR(INDEX('04_Wycena_strona_nowa'!$K:$K,MATCH($A68,'04_Wycena_strona_nowa'!$A:$A,0)),"")</x:f>
        <x:v>13165</x:v>
      </x:c>
      <x:c r="AE68" s="717" t="str">
        <x:f>IF(OR(AC68="",AD68="",AC68=0,AD68=0),"",AD68-AC68)</x:f>
      </x:c>
      <x:c r="AF68" s="717" t="str">
        <x:f>IFERROR(ROUND(INDEX(EG_Cennik_uslug!$BS:$BS,MATCH($A68,EG_Cennik_uslug!$A:$A,0))*1.08,0),"")</x:f>
      </x:c>
      <x:c r="AG68" s="717" t="n">
        <x:f>IFERROR(INDEX('04_Wycena_strona_nowa'!$L:$L,MATCH($A68,'04_Wycena_strona_nowa'!$A:$A,0)),"")</x:f>
        <x:v>4083</x:v>
      </x:c>
      <x:c r="AH68" s="717" t="str">
        <x:f>IF(OR(AF68="",AG68="",AF68=0,AG68=0),"",AG68-AF68)</x:f>
      </x:c>
      <x:c r="AI68" s="717" t="str">
        <x:f>IFERROR(ROUND(INDEX(EG_Cennik_uslug!$BZ:$BZ,MATCH($A68,EG_Cennik_uslug!$A:$A,0))*1.08,0),"")</x:f>
      </x:c>
      <x:c r="AJ68" s="717" t="n">
        <x:f>IFERROR(INDEX('04_Wycena_strona_nowa'!$O:$O,MATCH($A68,'04_Wycena_strona_nowa'!$A:$A,0)),"")</x:f>
        <x:v>916</x:v>
      </x:c>
      <x:c r="AK68" s="717" t="str">
        <x:f>IF(OR(AI68="",AJ68="",AI68=0,AJ68=0),"",AJ68-AI68)</x:f>
      </x:c>
      <x:c r="AL68" s="717" t="str">
        <x:f>IFERROR(ROUND(INDEX(EG_Cennik_uslug!$CG:$CG,MATCH($A68,EG_Cennik_uslug!$A:$A,0))*1.08,0),"")</x:f>
      </x:c>
      <x:c r="AM68" s="717" t="n">
        <x:f>IFERROR(INDEX('04_Wycena_strona_nowa'!$P:$P,MATCH($A68,'04_Wycena_strona_nowa'!$A:$A,0)),"")</x:f>
        <x:v>841</x:v>
      </x:c>
      <x:c r="AN68" s="717" t="str">
        <x:f>IF(OR(AL68="",AM68="",AL68=0,AM68=0),"",AM68-AL68)</x:f>
      </x:c>
      <x:c r="AO68" s="717" t="str">
        <x:f>""</x:f>
      </x:c>
      <x:c r="AP68" s="717" t="n">
        <x:f>IFERROR(INDEX('04_Wycena_strona_nowa'!$Q:$Q,MATCH($A68,'04_Wycena_strona_nowa'!$A:$A,0)),"")</x:f>
        <x:v>814</x:v>
      </x:c>
      <x:c r="AQ68" s="717" t="str">
        <x:f>IF(OR(AO68="",AP68="",AO68=0,AP68=0),"",AP68-AO68)</x:f>
      </x:c>
      <x:c r="AR68" s="717" t="str">
        <x:f>IFERROR(ROUND(INDEX(EG_Cennik_uslug!$CN:$CN,MATCH($A68,EG_Cennik_uslug!$A:$A,0))*1.08,0),"")</x:f>
      </x:c>
      <x:c r="AS68" s="717" t="n">
        <x:f>IFERROR(INDEX('04_Wycena_strona_nowa'!$M:$M,MATCH($A68,'04_Wycena_strona_nowa'!$A:$A,0)),"")</x:f>
        <x:v>1986</x:v>
      </x:c>
      <x:c r="AT68" s="717" t="str">
        <x:f>IF(OR(AR68="",AS68="",AR68=0,AS68=0),"",AS68-AR68)</x:f>
      </x:c>
      <x:c r="AU68" s="717" t="str">
        <x:f>IFERROR(ROUND(INDEX(EG_Cennik_uslug!$CU:$CU,MATCH($A68,EG_Cennik_uslug!$A:$A,0))*1.08,0),"")</x:f>
      </x:c>
      <x:c r="AV68" s="717" t="n">
        <x:f>IFERROR(INDEX('04_Wycena_strona_nowa'!$R:$R,MATCH($A68,'04_Wycena_strona_nowa'!$A:$A,0)),"")</x:f>
        <x:v>5538</x:v>
      </x:c>
      <x:c r="AW68" s="717" t="str">
        <x:f>IF(OR(AU68="",AV68="",AU68=0,AV68=0),"",AV68-AU68)</x:f>
      </x:c>
      <x:c r="AX68" s="717" t="str">
        <x:f>""</x:f>
      </x:c>
      <x:c r="AY68" s="717" t="str">
        <x:f>IFERROR(INDEX('04_Wycena_strona_nowa'!$S:$S,MATCH($A68,'04_Wycena_strona_nowa'!$A:$A,0)),"")</x:f>
      </x:c>
      <x:c r="AZ68" s="717" t="str">
        <x:f>IF(OR(AX68="",AY68="",AX68=0,AY68=0),"",AY68-AX68)</x:f>
      </x:c>
      <x:c r="BA68" s="612" t="e">
        <x:f>_xludf.TEXTJOIN("; ",TRUE,IF(OR(LEFT($A68,3)="550",LEFT($A68,3)="600"),"550/600: EG brak benchmarku; opcje szklane/zerowe ukryte w porównaniu do czasu potwierdzenia",""),"LED CCT/RGB: porównanie orientacyjne do EG LED COB","Zabieraki: brak jednoznacznej pozycji EG")</x:f>
      </x:c>
    </x:row>
    <x:row r="69">
      <x:c r="A69" s="608" t="str">
        <x:f>'04_Wycena_strona_nowa'!A69</x:f>
        <x:v>600 x 1006 cm</x:v>
      </x:c>
      <x:c r="B69" s="717" t="str">
        <x:f>IFERROR(INDEX(EG_Wycena_strona!$B:$B,MATCH($A69,EG_Wycena_strona!$A:$A,0)),"")</x:f>
      </x:c>
      <x:c r="C69" s="717" t="n">
        <x:f>IFERROR(INDEX('04_Wycena_strona_nowa'!$B:$B,MATCH($A69,'04_Wycena_strona_nowa'!$A:$A,0)),"")</x:f>
        <x:v>51090</x:v>
      </x:c>
      <x:c r="D69" s="717" t="str">
        <x:f>IF(OR(B69="",C69="",B69=0,C69=0),"",C69-B69)</x:f>
      </x:c>
      <x:c r="E69" s="717" t="str">
        <x:f>IFERROR(INDEX(EG_Wycena_strona!$C:$C,MATCH($A69,EG_Wycena_strona!$A:$A,0)),"")</x:f>
      </x:c>
      <x:c r="F69" s="717" t="n">
        <x:f>IFERROR(INDEX('04_Wycena_strona_nowa'!$C:$C,MATCH($A69,'04_Wycena_strona_nowa'!$A:$A,0)),"")</x:f>
        <x:v>31371</x:v>
      </x:c>
      <x:c r="G69" s="717" t="str">
        <x:f>IF(OR(E69="",F69="",E69=0,F69=0),"",F69-E69)</x:f>
      </x:c>
      <x:c r="H69" s="717" t="str">
        <x:f>IFERROR(INDEX(EG_Wycena_strona!$D:$D,MATCH($A69,EG_Wycena_strona!$A:$A,0)),"")</x:f>
      </x:c>
      <x:c r="I69" s="717" t="n">
        <x:f>IFERROR(INDEX('04_Wycena_strona_nowa'!$D:$D,MATCH($A69,'04_Wycena_strona_nowa'!$A:$A,0)),"")</x:f>
        <x:v>34732</x:v>
      </x:c>
      <x:c r="J69" s="717" t="str">
        <x:f>IF(OR(H69="",I69="",H69=0,I69=0),"",I69-H69)</x:f>
      </x:c>
      <x:c r="K69" s="717" t="str">
        <x:f>IFERROR(INDEX(EG_Wycena_strona!$E:$E,MATCH($A69,EG_Wycena_strona!$A:$A,0)),"")</x:f>
      </x:c>
      <x:c r="L69" s="717" t="n">
        <x:f>IFERROR(INDEX('04_Wycena_strona_nowa'!$E:$E,MATCH($A69,'04_Wycena_strona_nowa'!$A:$A,0)),"")</x:f>
        <x:v>1325</x:v>
      </x:c>
      <x:c r="M69" s="717" t="str">
        <x:f>IF(OR(K69="",L69="",K69=0,L69=0),"",L69-K69)</x:f>
      </x:c>
      <x:c r="N69" s="717" t="str">
        <x:f>IFERROR(INDEX(EG_Wycena_strona!$F:$F,MATCH($A69,EG_Wycena_strona!$A:$A,0)),"")</x:f>
      </x:c>
      <x:c r="O69" s="717" t="n">
        <x:f>IFERROR(INDEX('04_Wycena_strona_nowa'!$F:$F,MATCH($A69,'04_Wycena_strona_nowa'!$A:$A,0)),"")</x:f>
        <x:v>-44178</x:v>
      </x:c>
      <x:c r="P69" s="717" t="str">
        <x:f>IF(OR(N69="",O69="",N69=0,O69=0),"",O69-N69)</x:f>
      </x:c>
      <x:c r="Q69" s="717" t="str">
        <x:f>IFERROR(INDEX(EG_Wycena_strona!$G:$G,MATCH($A69,EG_Wycena_strona!$A:$A,0)),"")</x:f>
      </x:c>
      <x:c r="R69" s="717" t="n">
        <x:f>IFERROR(INDEX('04_Wycena_strona_nowa'!$G:$G,MATCH($A69,'04_Wycena_strona_nowa'!$A:$A,0)),"")</x:f>
        <x:v>-44178</x:v>
      </x:c>
      <x:c r="S69" s="717" t="str">
        <x:f>IF(OR(Q69="",R69="",Q69=0,R69=0),"",R69-Q69)</x:f>
      </x:c>
      <x:c r="T69" s="717" t="str">
        <x:f>IFERROR(INDEX(EG_Wycena_strona!$H:$H,MATCH($A69,EG_Wycena_strona!$A:$A,0)),"")</x:f>
      </x:c>
      <x:c r="U69" s="717" t="n">
        <x:f>IFERROR(INDEX('04_Wycena_strona_nowa'!$H:$H,MATCH($A69,'04_Wycena_strona_nowa'!$A:$A,0)),"")</x:f>
        <x:v>5437</x:v>
      </x:c>
      <x:c r="V69" s="717" t="str">
        <x:f>IF(OR(T69="",U69="",T69=0,U69=0),"",U69-T69)</x:f>
      </x:c>
      <x:c r="W69" s="717" t="str">
        <x:f>IFERROR(INDEX(EG_Wycena_strona!$I:$I,MATCH($A69,EG_Wycena_strona!$A:$A,0)),"")</x:f>
      </x:c>
      <x:c r="X69" s="717" t="n">
        <x:f>IFERROR(INDEX('04_Wycena_strona_nowa'!$I:$I,MATCH($A69,'04_Wycena_strona_nowa'!$A:$A,0)),"")</x:f>
        <x:v>5437</x:v>
      </x:c>
      <x:c r="Y69" s="717" t="str">
        <x:f>IF(OR(W69="",X69="",W69=0,X69=0),"",X69-W69)</x:f>
      </x:c>
      <x:c r="Z69" s="717" t="str">
        <x:f>IFERROR(INDEX(EG_Wycena_strona!$J:$J,MATCH($A69,EG_Wycena_strona!$A:$A,0)),"")</x:f>
      </x:c>
      <x:c r="AA69" s="717" t="n">
        <x:f>IFERROR(INDEX('04_Wycena_strona_nowa'!$J:$J,MATCH($A69,'04_Wycena_strona_nowa'!$A:$A,0)),"")</x:f>
        <x:v>8798</x:v>
      </x:c>
      <x:c r="AB69" s="717" t="str">
        <x:f>IF(OR(Z69="",AA69="",Z69=0,AA69=0),"",AA69-Z69)</x:f>
      </x:c>
      <x:c r="AC69" s="717" t="str">
        <x:f>IFERROR(INDEX(EG_Wycena_strona!$K:$K,MATCH($A69,EG_Wycena_strona!$A:$A,0)),"")</x:f>
      </x:c>
      <x:c r="AD69" s="717" t="n">
        <x:f>IFERROR(INDEX('04_Wycena_strona_nowa'!$K:$K,MATCH($A69,'04_Wycena_strona_nowa'!$A:$A,0)),"")</x:f>
        <x:v>14158</x:v>
      </x:c>
      <x:c r="AE69" s="717" t="str">
        <x:f>IF(OR(AC69="",AD69="",AC69=0,AD69=0),"",AD69-AC69)</x:f>
      </x:c>
      <x:c r="AF69" s="717" t="str">
        <x:f>IFERROR(ROUND(INDEX(EG_Cennik_uslug!$BS:$BS,MATCH($A69,EG_Cennik_uslug!$A:$A,0))*1.08,0),"")</x:f>
      </x:c>
      <x:c r="AG69" s="717" t="n">
        <x:f>IFERROR(INDEX('04_Wycena_strona_nowa'!$L:$L,MATCH($A69,'04_Wycena_strona_nowa'!$A:$A,0)),"")</x:f>
        <x:v>4376</x:v>
      </x:c>
      <x:c r="AH69" s="717" t="str">
        <x:f>IF(OR(AF69="",AG69="",AF69=0,AG69=0),"",AG69-AF69)</x:f>
      </x:c>
      <x:c r="AI69" s="717" t="str">
        <x:f>IFERROR(ROUND(INDEX(EG_Cennik_uslug!$BZ:$BZ,MATCH($A69,EG_Cennik_uslug!$A:$A,0))*1.08,0),"")</x:f>
      </x:c>
      <x:c r="AJ69" s="717" t="n">
        <x:f>IFERROR(INDEX('04_Wycena_strona_nowa'!$O:$O,MATCH($A69,'04_Wycena_strona_nowa'!$A:$A,0)),"")</x:f>
        <x:v>968</x:v>
      </x:c>
      <x:c r="AK69" s="717" t="str">
        <x:f>IF(OR(AI69="",AJ69="",AI69=0,AJ69=0),"",AJ69-AI69)</x:f>
      </x:c>
      <x:c r="AL69" s="717" t="str">
        <x:f>IFERROR(ROUND(INDEX(EG_Cennik_uslug!$CG:$CG,MATCH($A69,EG_Cennik_uslug!$A:$A,0))*1.08,0),"")</x:f>
      </x:c>
      <x:c r="AM69" s="717" t="n">
        <x:f>IFERROR(INDEX('04_Wycena_strona_nowa'!$P:$P,MATCH($A69,'04_Wycena_strona_nowa'!$A:$A,0)),"")</x:f>
        <x:v>878</x:v>
      </x:c>
      <x:c r="AN69" s="717" t="str">
        <x:f>IF(OR(AL69="",AM69="",AL69=0,AM69=0),"",AM69-AL69)</x:f>
      </x:c>
      <x:c r="AO69" s="717" t="str">
        <x:f>""</x:f>
      </x:c>
      <x:c r="AP69" s="717" t="n">
        <x:f>IFERROR(INDEX('04_Wycena_strona_nowa'!$Q:$Q,MATCH($A69,'04_Wycena_strona_nowa'!$A:$A,0)),"")</x:f>
        <x:v>866</x:v>
      </x:c>
      <x:c r="AQ69" s="717" t="str">
        <x:f>IF(OR(AO69="",AP69="",AO69=0,AP69=0),"",AP69-AO69)</x:f>
      </x:c>
      <x:c r="AR69" s="717" t="str">
        <x:f>IFERROR(ROUND(INDEX(EG_Cennik_uslug!$CN:$CN,MATCH($A69,EG_Cennik_uslug!$A:$A,0))*1.08,0),"")</x:f>
      </x:c>
      <x:c r="AS69" s="717" t="n">
        <x:f>IFERROR(INDEX('04_Wycena_strona_nowa'!$M:$M,MATCH($A69,'04_Wycena_strona_nowa'!$A:$A,0)),"")</x:f>
        <x:v>2100</x:v>
      </x:c>
      <x:c r="AT69" s="717" t="str">
        <x:f>IF(OR(AR69="",AS69="",AR69=0,AS69=0),"",AS69-AR69)</x:f>
      </x:c>
      <x:c r="AU69" s="717" t="str">
        <x:f>IFERROR(ROUND(INDEX(EG_Cennik_uslug!$CU:$CU,MATCH($A69,EG_Cennik_uslug!$A:$A,0))*1.08,0),"")</x:f>
      </x:c>
      <x:c r="AV69" s="717" t="n">
        <x:f>IFERROR(INDEX('04_Wycena_strona_nowa'!$R:$R,MATCH($A69,'04_Wycena_strona_nowa'!$A:$A,0)),"")</x:f>
        <x:v>5476</x:v>
      </x:c>
      <x:c r="AW69" s="717" t="str">
        <x:f>IF(OR(AU69="",AV69="",AU69=0,AV69=0),"",AV69-AU69)</x:f>
      </x:c>
      <x:c r="AX69" s="717" t="str">
        <x:f>""</x:f>
      </x:c>
      <x:c r="AY69" s="717" t="str">
        <x:f>IFERROR(INDEX('04_Wycena_strona_nowa'!$S:$S,MATCH($A69,'04_Wycena_strona_nowa'!$A:$A,0)),"")</x:f>
      </x:c>
      <x:c r="AZ69" s="717" t="str">
        <x:f>IF(OR(AX69="",AY69="",AX69=0,AY69=0),"",AY69-AX69)</x:f>
      </x:c>
      <x:c r="BA69" s="612" t="e">
        <x:f>_xludf.TEXTJOIN("; ",TRUE,IF(OR(LEFT($A69,3)="550",LEFT($A69,3)="600"),"550/600: EG brak benchmarku; opcje szklane/zerowe ukryte w porównaniu do czasu potwierdzenia",""),"LED CCT/RGB: porównanie orientacyjne do EG LED COB","Zabieraki: brak jednoznacznej pozycji EG")</x:f>
      </x:c>
    </x:row>
    <x:row r="70">
      <x:c r="A70" s="608" t="str">
        <x:f>'04_Wycena_strona_nowa'!A70</x:f>
        <x:v>600 x 1106 cm</x:v>
      </x:c>
      <x:c r="B70" s="717" t="str">
        <x:f>IFERROR(INDEX(EG_Wycena_strona!$B:$B,MATCH($A70,EG_Wycena_strona!$A:$A,0)),"")</x:f>
      </x:c>
      <x:c r="C70" s="717" t="n">
        <x:f>IFERROR(INDEX('04_Wycena_strona_nowa'!$B:$B,MATCH($A70,'04_Wycena_strona_nowa'!$A:$A,0)),"")</x:f>
        <x:v>55567</x:v>
      </x:c>
      <x:c r="D70" s="717" t="str">
        <x:f>IF(OR(B70="",C70="",B70=0,C70=0),"",C70-B70)</x:f>
      </x:c>
      <x:c r="E70" s="717" t="str">
        <x:f>IFERROR(INDEX(EG_Wycena_strona!$C:$C,MATCH($A70,EG_Wycena_strona!$A:$A,0)),"")</x:f>
      </x:c>
      <x:c r="F70" s="717" t="n">
        <x:f>IFERROR(INDEX('04_Wycena_strona_nowa'!$C:$C,MATCH($A70,'04_Wycena_strona_nowa'!$A:$A,0)),"")</x:f>
        <x:v>31509</x:v>
      </x:c>
      <x:c r="G70" s="717" t="str">
        <x:f>IF(OR(E70="",F70="",E70=0,F70=0),"",F70-E70)</x:f>
      </x:c>
      <x:c r="H70" s="717" t="str">
        <x:f>IFERROR(INDEX(EG_Wycena_strona!$D:$D,MATCH($A70,EG_Wycena_strona!$A:$A,0)),"")</x:f>
      </x:c>
      <x:c r="I70" s="717" t="n">
        <x:f>IFERROR(INDEX('04_Wycena_strona_nowa'!$D:$D,MATCH($A70,'04_Wycena_strona_nowa'!$A:$A,0)),"")</x:f>
        <x:v>35023</x:v>
      </x:c>
      <x:c r="J70" s="717" t="str">
        <x:f>IF(OR(H70="",I70="",H70=0,I70=0),"",I70-H70)</x:f>
      </x:c>
      <x:c r="K70" s="717" t="str">
        <x:f>IFERROR(INDEX(EG_Wycena_strona!$E:$E,MATCH($A70,EG_Wycena_strona!$A:$A,0)),"")</x:f>
      </x:c>
      <x:c r="L70" s="717" t="n">
        <x:f>IFERROR(INDEX('04_Wycena_strona_nowa'!$E:$E,MATCH($A70,'04_Wycena_strona_nowa'!$A:$A,0)),"")</x:f>
        <x:v>1464</x:v>
      </x:c>
      <x:c r="M70" s="717" t="str">
        <x:f>IF(OR(K70="",L70="",K70=0,L70=0),"",L70-K70)</x:f>
      </x:c>
      <x:c r="N70" s="717" t="str">
        <x:f>IFERROR(INDEX(EG_Wycena_strona!$F:$F,MATCH($A70,EG_Wycena_strona!$A:$A,0)),"")</x:f>
      </x:c>
      <x:c r="O70" s="717" t="n">
        <x:f>IFERROR(INDEX('04_Wycena_strona_nowa'!$F:$F,MATCH($A70,'04_Wycena_strona_nowa'!$A:$A,0)),"")</x:f>
        <x:v>-48407</x:v>
      </x:c>
      <x:c r="P70" s="717" t="str">
        <x:f>IF(OR(N70="",O70="",N70=0,O70=0),"",O70-N70)</x:f>
      </x:c>
      <x:c r="Q70" s="717" t="str">
        <x:f>IFERROR(INDEX(EG_Wycena_strona!$G:$G,MATCH($A70,EG_Wycena_strona!$A:$A,0)),"")</x:f>
      </x:c>
      <x:c r="R70" s="717" t="n">
        <x:f>IFERROR(INDEX('04_Wycena_strona_nowa'!$G:$G,MATCH($A70,'04_Wycena_strona_nowa'!$A:$A,0)),"")</x:f>
        <x:v>-48407</x:v>
      </x:c>
      <x:c r="S70" s="717" t="str">
        <x:f>IF(OR(Q70="",R70="",Q70=0,R70=0),"",R70-Q70)</x:f>
      </x:c>
      <x:c r="T70" s="717" t="str">
        <x:f>IFERROR(INDEX(EG_Wycena_strona!$H:$H,MATCH($A70,EG_Wycena_strona!$A:$A,0)),"")</x:f>
      </x:c>
      <x:c r="U70" s="717" t="n">
        <x:f>IFERROR(INDEX('04_Wycena_strona_nowa'!$H:$H,MATCH($A70,'04_Wycena_strona_nowa'!$A:$A,0)),"")</x:f>
        <x:v>5437</x:v>
      </x:c>
      <x:c r="V70" s="717" t="str">
        <x:f>IF(OR(T70="",U70="",T70=0,U70=0),"",U70-T70)</x:f>
      </x:c>
      <x:c r="W70" s="717" t="str">
        <x:f>IFERROR(INDEX(EG_Wycena_strona!$I:$I,MATCH($A70,EG_Wycena_strona!$A:$A,0)),"")</x:f>
      </x:c>
      <x:c r="X70" s="717" t="n">
        <x:f>IFERROR(INDEX('04_Wycena_strona_nowa'!$I:$I,MATCH($A70,'04_Wycena_strona_nowa'!$A:$A,0)),"")</x:f>
        <x:v>5437</x:v>
      </x:c>
      <x:c r="Y70" s="717" t="str">
        <x:f>IF(OR(W70="",X70="",W70=0,X70=0),"",X70-W70)</x:f>
      </x:c>
      <x:c r="Z70" s="717" t="str">
        <x:f>IFERROR(INDEX(EG_Wycena_strona!$J:$J,MATCH($A70,EG_Wycena_strona!$A:$A,0)),"")</x:f>
      </x:c>
      <x:c r="AA70" s="717" t="n">
        <x:f>IFERROR(INDEX('04_Wycena_strona_nowa'!$J:$J,MATCH($A70,'04_Wycena_strona_nowa'!$A:$A,0)),"")</x:f>
        <x:v>9448</x:v>
      </x:c>
      <x:c r="AB70" s="717" t="str">
        <x:f>IF(OR(Z70="",AA70="",Z70=0,AA70=0),"",AA70-Z70)</x:f>
      </x:c>
      <x:c r="AC70" s="717" t="str">
        <x:f>IFERROR(INDEX(EG_Wycena_strona!$K:$K,MATCH($A70,EG_Wycena_strona!$A:$A,0)),"")</x:f>
      </x:c>
      <x:c r="AD70" s="717" t="n">
        <x:f>IFERROR(INDEX('04_Wycena_strona_nowa'!$K:$K,MATCH($A70,'04_Wycena_strona_nowa'!$A:$A,0)),"")</x:f>
        <x:v>17494</x:v>
      </x:c>
      <x:c r="AE70" s="717" t="str">
        <x:f>IF(OR(AC70="",AD70="",AC70=0,AD70=0),"",AD70-AC70)</x:f>
      </x:c>
      <x:c r="AF70" s="717" t="str">
        <x:f>IFERROR(ROUND(INDEX(EG_Cennik_uslug!$BS:$BS,MATCH($A70,EG_Cennik_uslug!$A:$A,0))*1.08,0),"")</x:f>
      </x:c>
      <x:c r="AG70" s="717" t="n">
        <x:f>IFERROR(INDEX('04_Wycena_strona_nowa'!$L:$L,MATCH($A70,'04_Wycena_strona_nowa'!$A:$A,0)),"")</x:f>
        <x:v>4969</x:v>
      </x:c>
      <x:c r="AH70" s="717" t="str">
        <x:f>IF(OR(AF70="",AG70="",AF70=0,AG70=0),"",AG70-AF70)</x:f>
      </x:c>
      <x:c r="AI70" s="717" t="str">
        <x:f>IFERROR(ROUND(INDEX(EG_Cennik_uslug!$BZ:$BZ,MATCH($A70,EG_Cennik_uslug!$A:$A,0))*1.08,0),"")</x:f>
      </x:c>
      <x:c r="AJ70" s="717" t="n">
        <x:f>IFERROR(INDEX('04_Wycena_strona_nowa'!$O:$O,MATCH($A70,'04_Wycena_strona_nowa'!$A:$A,0)),"")</x:f>
        <x:v>1018</x:v>
      </x:c>
      <x:c r="AK70" s="717" t="str">
        <x:f>IF(OR(AI70="",AJ70="",AI70=0,AJ70=0),"",AJ70-AI70)</x:f>
      </x:c>
      <x:c r="AL70" s="717" t="str">
        <x:f>IFERROR(ROUND(INDEX(EG_Cennik_uslug!$CG:$CG,MATCH($A70,EG_Cennik_uslug!$A:$A,0))*1.08,0),"")</x:f>
      </x:c>
      <x:c r="AM70" s="717" t="n">
        <x:f>IFERROR(INDEX('04_Wycena_strona_nowa'!$P:$P,MATCH($A70,'04_Wycena_strona_nowa'!$A:$A,0)),"")</x:f>
        <x:v>916</x:v>
      </x:c>
      <x:c r="AN70" s="717" t="str">
        <x:f>IF(OR(AL70="",AM70="",AL70=0,AM70=0),"",AM70-AL70)</x:f>
      </x:c>
      <x:c r="AO70" s="717" t="str">
        <x:f>""</x:f>
      </x:c>
      <x:c r="AP70" s="717" t="n">
        <x:f>IFERROR(INDEX('04_Wycena_strona_nowa'!$Q:$Q,MATCH($A70,'04_Wycena_strona_nowa'!$A:$A,0)),"")</x:f>
        <x:v>916</x:v>
      </x:c>
      <x:c r="AQ70" s="717" t="str">
        <x:f>IF(OR(AO70="",AP70="",AO70=0,AP70=0),"",AP70-AO70)</x:f>
      </x:c>
      <x:c r="AR70" s="717" t="str">
        <x:f>IFERROR(ROUND(INDEX(EG_Cennik_uslug!$CN:$CN,MATCH($A70,EG_Cennik_uslug!$A:$A,0))*1.08,0),"")</x:f>
      </x:c>
      <x:c r="AS70" s="717" t="n">
        <x:f>IFERROR(INDEX('04_Wycena_strona_nowa'!$M:$M,MATCH($A70,'04_Wycena_strona_nowa'!$A:$A,0)),"")</x:f>
        <x:v>2254</x:v>
      </x:c>
      <x:c r="AT70" s="717" t="str">
        <x:f>IF(OR(AR70="",AS70="",AR70=0,AS70=0),"",AS70-AR70)</x:f>
      </x:c>
      <x:c r="AU70" s="717" t="str">
        <x:f>IFERROR(ROUND(INDEX(EG_Cennik_uslug!$CU:$CU,MATCH($A70,EG_Cennik_uslug!$A:$A,0))*1.08,0),"")</x:f>
      </x:c>
      <x:c r="AV70" s="717" t="n">
        <x:f>IFERROR(INDEX('04_Wycena_strona_nowa'!$R:$R,MATCH($A70,'04_Wycena_strona_nowa'!$A:$A,0)),"")</x:f>
        <x:v>5899</x:v>
      </x:c>
      <x:c r="AW70" s="717" t="str">
        <x:f>IF(OR(AU70="",AV70="",AU70=0,AV70=0),"",AV70-AU70)</x:f>
      </x:c>
      <x:c r="AX70" s="717" t="str">
        <x:f>""</x:f>
      </x:c>
      <x:c r="AY70" s="717" t="str">
        <x:f>IFERROR(INDEX('04_Wycena_strona_nowa'!$S:$S,MATCH($A70,'04_Wycena_strona_nowa'!$A:$A,0)),"")</x:f>
      </x:c>
      <x:c r="AZ70" s="717" t="str">
        <x:f>IF(OR(AX70="",AY70="",AX70=0,AY70=0),"",AY70-AX70)</x:f>
      </x:c>
      <x:c r="BA70" s="612" t="e">
        <x:f>_xludf.TEXTJOIN("; ",TRUE,IF(OR(LEFT($A70,3)="550",LEFT($A70,3)="600"),"550/600: EG brak benchmarku; opcje szklane/zerowe ukryte w porównaniu do czasu potwierdzenia",""),"LED CCT/RGB: porównanie orientacyjne do EG LED COB","Zabieraki: brak jednoznacznej pozycji EG")</x:f>
      </x:c>
    </x:row>
    <x:row r="71">
      <x:c r="A71" s="608" t="str">
        <x:f>'04_Wycena_strona_nowa'!A71</x:f>
        <x:v>600 x 1206 cm</x:v>
      </x:c>
      <x:c r="B71" s="717" t="str">
        <x:f>IFERROR(INDEX(EG_Wycena_strona!$B:$B,MATCH($A71,EG_Wycena_strona!$A:$A,0)),"")</x:f>
      </x:c>
      <x:c r="C71" s="717" t="n">
        <x:f>IFERROR(INDEX('04_Wycena_strona_nowa'!$B:$B,MATCH($A71,'04_Wycena_strona_nowa'!$A:$A,0)),"")</x:f>
        <x:v>60059</x:v>
      </x:c>
      <x:c r="D71" s="717" t="str">
        <x:f>IF(OR(B71="",C71="",B71=0,C71=0),"",C71-B71)</x:f>
      </x:c>
      <x:c r="E71" s="717" t="str">
        <x:f>IFERROR(INDEX(EG_Wycena_strona!$C:$C,MATCH($A71,EG_Wycena_strona!$A:$A,0)),"")</x:f>
      </x:c>
      <x:c r="F71" s="717" t="n">
        <x:f>IFERROR(INDEX('04_Wycena_strona_nowa'!$C:$C,MATCH($A71,'04_Wycena_strona_nowa'!$A:$A,0)),"")</x:f>
        <x:v>32583</x:v>
      </x:c>
      <x:c r="G71" s="717" t="str">
        <x:f>IF(OR(E71="",F71="",E71=0,F71=0),"",F71-E71)</x:f>
      </x:c>
      <x:c r="H71" s="717" t="str">
        <x:f>IFERROR(INDEX(EG_Wycena_strona!$D:$D,MATCH($A71,EG_Wycena_strona!$A:$A,0)),"")</x:f>
      </x:c>
      <x:c r="I71" s="717" t="n">
        <x:f>IFERROR(INDEX('04_Wycena_strona_nowa'!$D:$D,MATCH($A71,'04_Wycena_strona_nowa'!$A:$A,0)),"")</x:f>
        <x:v>36249</x:v>
      </x:c>
      <x:c r="J71" s="717" t="str">
        <x:f>IF(OR(H71="",I71="",H71=0,I71=0),"",I71-H71)</x:f>
      </x:c>
      <x:c r="K71" s="717" t="str">
        <x:f>IFERROR(INDEX(EG_Wycena_strona!$E:$E,MATCH($A71,EG_Wycena_strona!$A:$A,0)),"")</x:f>
      </x:c>
      <x:c r="L71" s="717" t="n">
        <x:f>IFERROR(INDEX('04_Wycena_strona_nowa'!$E:$E,MATCH($A71,'04_Wycena_strona_nowa'!$A:$A,0)),"")</x:f>
        <x:v>1591</x:v>
      </x:c>
      <x:c r="M71" s="717" t="str">
        <x:f>IF(OR(K71="",L71="",K71=0,L71=0),"",L71-K71)</x:f>
      </x:c>
      <x:c r="N71" s="717" t="str">
        <x:f>IFERROR(INDEX(EG_Wycena_strona!$F:$F,MATCH($A71,EG_Wycena_strona!$A:$A,0)),"")</x:f>
      </x:c>
      <x:c r="O71" s="717" t="n">
        <x:f>IFERROR(INDEX('04_Wycena_strona_nowa'!$F:$F,MATCH($A71,'04_Wycena_strona_nowa'!$A:$A,0)),"")</x:f>
        <x:v>-52531</x:v>
      </x:c>
      <x:c r="P71" s="717" t="str">
        <x:f>IF(OR(N71="",O71="",N71=0,O71=0),"",O71-N71)</x:f>
      </x:c>
      <x:c r="Q71" s="717" t="str">
        <x:f>IFERROR(INDEX(EG_Wycena_strona!$G:$G,MATCH($A71,EG_Wycena_strona!$A:$A,0)),"")</x:f>
      </x:c>
      <x:c r="R71" s="717" t="n">
        <x:f>IFERROR(INDEX('04_Wycena_strona_nowa'!$G:$G,MATCH($A71,'04_Wycena_strona_nowa'!$A:$A,0)),"")</x:f>
        <x:v>-52531</x:v>
      </x:c>
      <x:c r="S71" s="717" t="str">
        <x:f>IF(OR(Q71="",R71="",Q71=0,R71=0),"",R71-Q71)</x:f>
      </x:c>
      <x:c r="T71" s="717" t="str">
        <x:f>IFERROR(INDEX(EG_Wycena_strona!$H:$H,MATCH($A71,EG_Wycena_strona!$A:$A,0)),"")</x:f>
      </x:c>
      <x:c r="U71" s="717" t="n">
        <x:f>IFERROR(INDEX('04_Wycena_strona_nowa'!$H:$H,MATCH($A71,'04_Wycena_strona_nowa'!$A:$A,0)),"")</x:f>
        <x:v>5437</x:v>
      </x:c>
      <x:c r="V71" s="717" t="str">
        <x:f>IF(OR(T71="",U71="",T71=0,U71=0),"",U71-T71)</x:f>
      </x:c>
      <x:c r="W71" s="717" t="str">
        <x:f>IFERROR(INDEX(EG_Wycena_strona!$I:$I,MATCH($A71,EG_Wycena_strona!$A:$A,0)),"")</x:f>
      </x:c>
      <x:c r="X71" s="717" t="n">
        <x:f>IFERROR(INDEX('04_Wycena_strona_nowa'!$I:$I,MATCH($A71,'04_Wycena_strona_nowa'!$A:$A,0)),"")</x:f>
        <x:v>5437</x:v>
      </x:c>
      <x:c r="Y71" s="717" t="str">
        <x:f>IF(OR(W71="",X71="",W71=0,X71=0),"",X71-W71)</x:f>
      </x:c>
      <x:c r="Z71" s="717" t="str">
        <x:f>IFERROR(INDEX(EG_Wycena_strona!$J:$J,MATCH($A71,EG_Wycena_strona!$A:$A,0)),"")</x:f>
      </x:c>
      <x:c r="AA71" s="717" t="n">
        <x:f>IFERROR(INDEX('04_Wycena_strona_nowa'!$J:$J,MATCH($A71,'04_Wycena_strona_nowa'!$A:$A,0)),"")</x:f>
        <x:v>10084</x:v>
      </x:c>
      <x:c r="AB71" s="717" t="str">
        <x:f>IF(OR(Z71="",AA71="",Z71=0,AA71=0),"",AA71-Z71)</x:f>
      </x:c>
      <x:c r="AC71" s="717" t="str">
        <x:f>IFERROR(INDEX(EG_Wycena_strona!$K:$K,MATCH($A71,EG_Wycena_strona!$A:$A,0)),"")</x:f>
      </x:c>
      <x:c r="AD71" s="717" t="n">
        <x:f>IFERROR(INDEX('04_Wycena_strona_nowa'!$K:$K,MATCH($A71,'04_Wycena_strona_nowa'!$A:$A,0)),"")</x:f>
        <x:v>17837</x:v>
      </x:c>
      <x:c r="AE71" s="717" t="str">
        <x:f>IF(OR(AC71="",AD71="",AC71=0,AD71=0),"",AD71-AC71)</x:f>
      </x:c>
      <x:c r="AF71" s="717" t="str">
        <x:f>IFERROR(ROUND(INDEX(EG_Cennik_uslug!$BS:$BS,MATCH($A71,EG_Cennik_uslug!$A:$A,0))*1.08,0),"")</x:f>
      </x:c>
      <x:c r="AG71" s="717" t="n">
        <x:f>IFERROR(INDEX('04_Wycena_strona_nowa'!$L:$L,MATCH($A71,'04_Wycena_strona_nowa'!$A:$A,0)),"")</x:f>
        <x:v>5573</x:v>
      </x:c>
      <x:c r="AH71" s="717" t="str">
        <x:f>IF(OR(AF71="",AG71="",AF71=0,AG71=0),"",AG71-AF71)</x:f>
      </x:c>
      <x:c r="AI71" s="717" t="str">
        <x:f>IFERROR(ROUND(INDEX(EG_Cennik_uslug!$BZ:$BZ,MATCH($A71,EG_Cennik_uslug!$A:$A,0))*1.08,0),"")</x:f>
      </x:c>
      <x:c r="AJ71" s="717" t="n">
        <x:f>IFERROR(INDEX('04_Wycena_strona_nowa'!$O:$O,MATCH($A71,'04_Wycena_strona_nowa'!$A:$A,0)),"")</x:f>
        <x:v>1069</x:v>
      </x:c>
      <x:c r="AK71" s="717" t="str">
        <x:f>IF(OR(AI71="",AJ71="",AI71=0,AJ71=0),"",AJ71-AI71)</x:f>
      </x:c>
      <x:c r="AL71" s="717" t="str">
        <x:f>IFERROR(ROUND(INDEX(EG_Cennik_uslug!$CG:$CG,MATCH($A71,EG_Cennik_uslug!$A:$A,0))*1.08,0),"")</x:f>
      </x:c>
      <x:c r="AM71" s="717" t="n">
        <x:f>IFERROR(INDEX('04_Wycena_strona_nowa'!$P:$P,MATCH($A71,'04_Wycena_strona_nowa'!$A:$A,0)),"")</x:f>
        <x:v>968</x:v>
      </x:c>
      <x:c r="AN71" s="717" t="str">
        <x:f>IF(OR(AL71="",AM71="",AL71=0,AM71=0),"",AM71-AL71)</x:f>
      </x:c>
      <x:c r="AO71" s="717" t="str">
        <x:f>""</x:f>
      </x:c>
      <x:c r="AP71" s="717" t="n">
        <x:f>IFERROR(INDEX('04_Wycena_strona_nowa'!$Q:$Q,MATCH($A71,'04_Wycena_strona_nowa'!$A:$A,0)),"")</x:f>
        <x:v>968</x:v>
      </x:c>
      <x:c r="AQ71" s="717" t="str">
        <x:f>IF(OR(AO71="",AP71="",AO71=0,AP71=0),"",AP71-AO71)</x:f>
      </x:c>
      <x:c r="AR71" s="717" t="str">
        <x:f>IFERROR(ROUND(INDEX(EG_Cennik_uslug!$CN:$CN,MATCH($A71,EG_Cennik_uslug!$A:$A,0))*1.08,0),"")</x:f>
      </x:c>
      <x:c r="AS71" s="717" t="n">
        <x:f>IFERROR(INDEX('04_Wycena_strona_nowa'!$M:$M,MATCH($A71,'04_Wycena_strona_nowa'!$A:$A,0)),"")</x:f>
        <x:v>2419</x:v>
      </x:c>
      <x:c r="AT71" s="717" t="str">
        <x:f>IF(OR(AR71="",AS71="",AR71=0,AS71=0),"",AS71-AR71)</x:f>
      </x:c>
      <x:c r="AU71" s="717" t="str">
        <x:f>IFERROR(ROUND(INDEX(EG_Cennik_uslug!$CU:$CU,MATCH($A71,EG_Cennik_uslug!$A:$A,0))*1.08,0),"")</x:f>
      </x:c>
      <x:c r="AV71" s="717" t="n">
        <x:f>IFERROR(INDEX('04_Wycena_strona_nowa'!$R:$R,MATCH($A71,'04_Wycena_strona_nowa'!$A:$A,0)),"")</x:f>
        <x:v>6304</x:v>
      </x:c>
      <x:c r="AW71" s="717" t="str">
        <x:f>IF(OR(AU71="",AV71="",AU71=0,AV71=0),"",AV71-AU71)</x:f>
      </x:c>
      <x:c r="AX71" s="717" t="str">
        <x:f>""</x:f>
      </x:c>
      <x:c r="AY71" s="717" t="str">
        <x:f>IFERROR(INDEX('04_Wycena_strona_nowa'!$S:$S,MATCH($A71,'04_Wycena_strona_nowa'!$A:$A,0)),"")</x:f>
      </x:c>
      <x:c r="AZ71" s="717" t="str">
        <x:f>IF(OR(AX71="",AY71="",AX71=0,AY71=0),"",AY71-AX71)</x:f>
      </x:c>
      <x:c r="BA71" s="612" t="e">
        <x:f>_xludf.TEXTJOIN("; ",TRUE,IF(OR(LEFT($A71,3)="550",LEFT($A71,3)="600"),"550/600: EG brak benchmarku; opcje szklane/zerowe ukryte w porównaniu do czasu potwierdzenia",""),"LED CCT/RGB: porównanie orientacyjne do EG LED COB","Zabieraki: brak jednoznacznej pozycji EG")</x:f>
      </x:c>
    </x:row>
    <x:row r="72">
      <x:c r="A72" s="610" t="n"/>
      <x:c r="B72" s="610" t="n"/>
      <x:c r="C72" s="610" t="n"/>
      <x:c r="D72" s="610" t="n"/>
      <x:c r="E72" s="610" t="n"/>
      <x:c r="F72" s="610" t="n"/>
      <x:c r="G72" s="610" t="n"/>
      <x:c r="H72" s="610" t="n"/>
      <x:c r="I72" s="610" t="n"/>
      <x:c r="J72" s="610" t="n"/>
      <x:c r="K72" s="610" t="n"/>
      <x:c r="L72" s="610" t="n"/>
      <x:c r="M72" s="610" t="n"/>
      <x:c r="N72" s="610" t="n"/>
      <x:c r="O72" s="610" t="n"/>
      <x:c r="P72" s="610" t="n"/>
      <x:c r="Q72" s="610" t="n"/>
      <x:c r="R72" s="610" t="n"/>
      <x:c r="S72" s="610" t="n"/>
      <x:c r="T72" s="610" t="n"/>
      <x:c r="U72" s="610" t="n"/>
      <x:c r="V72" s="610" t="n"/>
      <x:c r="W72" s="610" t="n"/>
      <x:c r="X72" s="610" t="n"/>
      <x:c r="Y72" s="610" t="n"/>
      <x:c r="Z72" s="610" t="n"/>
      <x:c r="AA72" s="610" t="n"/>
      <x:c r="AB72" s="610" t="n"/>
      <x:c r="AC72" s="610" t="n"/>
      <x:c r="AD72" s="610" t="n"/>
      <x:c r="AE72" s="610" t="n"/>
      <x:c r="AF72" s="610" t="n"/>
      <x:c r="AG72" s="610" t="n"/>
      <x:c r="AH72" s="610" t="n"/>
      <x:c r="AI72" s="610" t="n"/>
      <x:c r="AJ72" s="610" t="n"/>
      <x:c r="AK72" s="610" t="n"/>
      <x:c r="AL72" s="610" t="n"/>
      <x:c r="AM72" s="610" t="n"/>
      <x:c r="AN72" s="610" t="n"/>
      <x:c r="AO72" s="610" t="n"/>
      <x:c r="AP72" s="610" t="n"/>
      <x:c r="AQ72" s="610" t="n"/>
      <x:c r="AR72" s="610" t="n"/>
      <x:c r="AS72" s="610" t="n"/>
      <x:c r="AT72" s="610" t="n"/>
      <x:c r="AU72" s="610" t="n"/>
      <x:c r="AV72" s="610" t="n"/>
      <x:c r="AW72" s="610" t="n"/>
      <x:c r="AX72" s="610" t="n"/>
      <x:c r="AY72" s="610" t="n"/>
      <x:c r="AZ72" s="610" t="n"/>
    </x:row>
    <x:row r="73">
      <x:c r="A73" s="610" t="n"/>
      <x:c r="B73" s="610" t="n"/>
      <x:c r="C73" s="610" t="n"/>
      <x:c r="D73" s="610" t="n"/>
      <x:c r="E73" s="610" t="n"/>
      <x:c r="F73" s="610" t="n"/>
      <x:c r="G73" s="610" t="n"/>
      <x:c r="H73" s="610" t="n"/>
      <x:c r="I73" s="610" t="n"/>
      <x:c r="J73" s="610" t="n"/>
      <x:c r="K73" s="610" t="n"/>
      <x:c r="L73" s="610" t="n"/>
      <x:c r="M73" s="610" t="n"/>
      <x:c r="N73" s="610" t="n"/>
      <x:c r="O73" s="610" t="n"/>
      <x:c r="P73" s="610" t="n"/>
      <x:c r="Q73" s="610" t="n"/>
      <x:c r="R73" s="610" t="n"/>
      <x:c r="S73" s="610" t="n"/>
      <x:c r="T73" s="610" t="n"/>
      <x:c r="U73" s="610" t="n"/>
      <x:c r="V73" s="610" t="n"/>
      <x:c r="W73" s="610" t="n"/>
      <x:c r="X73" s="610" t="n"/>
      <x:c r="Y73" s="610" t="n"/>
      <x:c r="Z73" s="610" t="n"/>
      <x:c r="AA73" s="610" t="n"/>
      <x:c r="AB73" s="610" t="n"/>
      <x:c r="AC73" s="610" t="n"/>
      <x:c r="AD73" s="610" t="n"/>
      <x:c r="AE73" s="610" t="n"/>
      <x:c r="AF73" s="610" t="n"/>
      <x:c r="AG73" s="610" t="n"/>
      <x:c r="AH73" s="610" t="n"/>
      <x:c r="AI73" s="610" t="n"/>
      <x:c r="AJ73" s="610" t="n"/>
      <x:c r="AK73" s="610" t="n"/>
      <x:c r="AL73" s="610" t="n"/>
      <x:c r="AM73" s="610" t="n"/>
      <x:c r="AN73" s="610" t="n"/>
      <x:c r="AO73" s="610" t="n"/>
      <x:c r="AP73" s="610" t="n"/>
      <x:c r="AQ73" s="610" t="n"/>
      <x:c r="AR73" s="610" t="n"/>
      <x:c r="AS73" s="610" t="n"/>
      <x:c r="AT73" s="610" t="n"/>
      <x:c r="AU73" s="610" t="n"/>
      <x:c r="AV73" s="610" t="n"/>
      <x:c r="AW73" s="610" t="n"/>
      <x:c r="AX73" s="610" t="n"/>
      <x:c r="AY73" s="610" t="n"/>
      <x:c r="AZ73" s="610" t="n"/>
    </x:row>
    <x:row r="74">
      <x:c r="A74" s="610" t="n"/>
      <x:c r="B74" s="610" t="n"/>
      <x:c r="C74" s="610" t="n"/>
      <x:c r="D74" s="610" t="n"/>
      <x:c r="E74" s="610" t="n"/>
      <x:c r="F74" s="610" t="n"/>
      <x:c r="G74" s="610" t="n"/>
      <x:c r="H74" s="610" t="n"/>
      <x:c r="I74" s="610" t="n"/>
      <x:c r="J74" s="610" t="n"/>
      <x:c r="K74" s="610" t="n"/>
      <x:c r="L74" s="610" t="n"/>
      <x:c r="M74" s="610" t="n"/>
      <x:c r="N74" s="610" t="n"/>
      <x:c r="O74" s="610" t="n"/>
      <x:c r="P74" s="610" t="n"/>
      <x:c r="Q74" s="610" t="n"/>
      <x:c r="R74" s="610" t="n"/>
      <x:c r="S74" s="610" t="n"/>
      <x:c r="T74" s="610" t="n"/>
      <x:c r="U74" s="610" t="n"/>
      <x:c r="V74" s="610" t="n"/>
      <x:c r="W74" s="610" t="n"/>
      <x:c r="X74" s="610" t="n"/>
      <x:c r="Y74" s="610" t="n"/>
      <x:c r="Z74" s="610" t="n"/>
      <x:c r="AA74" s="610" t="n"/>
      <x:c r="AB74" s="610" t="n"/>
      <x:c r="AC74" s="610" t="n"/>
      <x:c r="AD74" s="610" t="n"/>
      <x:c r="AE74" s="610" t="n"/>
      <x:c r="AF74" s="610" t="n"/>
      <x:c r="AG74" s="610" t="n"/>
      <x:c r="AH74" s="610" t="n"/>
      <x:c r="AI74" s="610" t="n"/>
      <x:c r="AJ74" s="610" t="n"/>
      <x:c r="AK74" s="610" t="n"/>
      <x:c r="AL74" s="610" t="n"/>
      <x:c r="AM74" s="610" t="n"/>
      <x:c r="AN74" s="610" t="n"/>
      <x:c r="AO74" s="610" t="n"/>
      <x:c r="AP74" s="610" t="n"/>
      <x:c r="AQ74" s="610" t="n"/>
      <x:c r="AR74" s="610" t="n"/>
      <x:c r="AS74" s="610" t="n"/>
      <x:c r="AT74" s="610" t="n"/>
      <x:c r="AU74" s="610" t="n"/>
      <x:c r="AV74" s="610" t="n"/>
      <x:c r="AW74" s="610" t="n"/>
      <x:c r="AX74" s="610" t="n"/>
      <x:c r="AY74" s="610" t="n"/>
      <x:c r="AZ74" s="610" t="n"/>
    </x:row>
    <x:row r="75">
      <x:c r="A75" s="610" t="n"/>
      <x:c r="B75" s="610" t="n"/>
      <x:c r="C75" s="610" t="n"/>
      <x:c r="D75" s="610" t="n"/>
      <x:c r="E75" s="610" t="n"/>
      <x:c r="F75" s="610" t="n"/>
      <x:c r="G75" s="610" t="n"/>
      <x:c r="H75" s="610" t="n"/>
      <x:c r="I75" s="610" t="n"/>
      <x:c r="J75" s="610" t="n"/>
      <x:c r="K75" s="610" t="n"/>
      <x:c r="L75" s="610" t="n"/>
      <x:c r="M75" s="610" t="n"/>
      <x:c r="N75" s="610" t="n"/>
      <x:c r="O75" s="610" t="n"/>
      <x:c r="P75" s="610" t="n"/>
      <x:c r="Q75" s="610" t="n"/>
      <x:c r="R75" s="610" t="n"/>
      <x:c r="S75" s="610" t="n"/>
      <x:c r="T75" s="610" t="n"/>
      <x:c r="U75" s="610" t="n"/>
      <x:c r="V75" s="610" t="n"/>
      <x:c r="W75" s="610" t="n"/>
      <x:c r="X75" s="610" t="n"/>
      <x:c r="Y75" s="610" t="n"/>
      <x:c r="Z75" s="610" t="n"/>
      <x:c r="AA75" s="610" t="n"/>
      <x:c r="AB75" s="610" t="n"/>
      <x:c r="AC75" s="610" t="n"/>
      <x:c r="AD75" s="610" t="n"/>
      <x:c r="AE75" s="610" t="n"/>
      <x:c r="AF75" s="610" t="n"/>
      <x:c r="AG75" s="610" t="n"/>
      <x:c r="AH75" s="610" t="n"/>
      <x:c r="AI75" s="610" t="n"/>
      <x:c r="AJ75" s="610" t="n"/>
      <x:c r="AK75" s="610" t="n"/>
      <x:c r="AL75" s="610" t="n"/>
      <x:c r="AM75" s="610" t="n"/>
      <x:c r="AN75" s="610" t="n"/>
      <x:c r="AO75" s="610" t="n"/>
      <x:c r="AP75" s="610" t="n"/>
      <x:c r="AQ75" s="610" t="n"/>
      <x:c r="AR75" s="610" t="n"/>
      <x:c r="AS75" s="610" t="n"/>
      <x:c r="AT75" s="610" t="n"/>
      <x:c r="AU75" s="610" t="n"/>
      <x:c r="AV75" s="610" t="n"/>
      <x:c r="AW75" s="610" t="n"/>
      <x:c r="AX75" s="610" t="n"/>
      <x:c r="AY75" s="610" t="n"/>
      <x:c r="AZ75" s="610" t="n"/>
    </x:row>
    <x:row r="76">
      <x:c r="A76" s="610" t="n"/>
      <x:c r="B76" s="610" t="n"/>
      <x:c r="C76" s="610" t="n"/>
      <x:c r="D76" s="610" t="n"/>
      <x:c r="E76" s="610" t="n"/>
      <x:c r="F76" s="610" t="n"/>
      <x:c r="G76" s="610" t="n"/>
      <x:c r="H76" s="610" t="n"/>
      <x:c r="I76" s="610" t="n"/>
      <x:c r="J76" s="610" t="n"/>
      <x:c r="K76" s="610" t="n"/>
      <x:c r="L76" s="610" t="n"/>
      <x:c r="M76" s="610" t="n"/>
      <x:c r="N76" s="610" t="n"/>
      <x:c r="O76" s="610" t="n"/>
      <x:c r="P76" s="610" t="n"/>
      <x:c r="Q76" s="610" t="n"/>
      <x:c r="R76" s="610" t="n"/>
      <x:c r="S76" s="610" t="n"/>
      <x:c r="T76" s="610" t="n"/>
      <x:c r="U76" s="610" t="n"/>
      <x:c r="V76" s="610" t="n"/>
      <x:c r="W76" s="610" t="n"/>
      <x:c r="X76" s="610" t="n"/>
      <x:c r="Y76" s="610" t="n"/>
      <x:c r="Z76" s="610" t="n"/>
      <x:c r="AA76" s="610" t="n"/>
      <x:c r="AB76" s="610" t="n"/>
      <x:c r="AC76" s="610" t="n"/>
      <x:c r="AD76" s="610" t="n"/>
      <x:c r="AE76" s="610" t="n"/>
      <x:c r="AF76" s="610" t="n"/>
      <x:c r="AG76" s="610" t="n"/>
      <x:c r="AH76" s="610" t="n"/>
      <x:c r="AI76" s="610" t="n"/>
      <x:c r="AJ76" s="610" t="n"/>
      <x:c r="AK76" s="610" t="n"/>
      <x:c r="AL76" s="610" t="n"/>
      <x:c r="AM76" s="610" t="n"/>
      <x:c r="AN76" s="610" t="n"/>
      <x:c r="AO76" s="610" t="n"/>
      <x:c r="AP76" s="610" t="n"/>
      <x:c r="AQ76" s="610" t="n"/>
      <x:c r="AR76" s="610" t="n"/>
      <x:c r="AS76" s="610" t="n"/>
      <x:c r="AT76" s="610" t="n"/>
      <x:c r="AU76" s="610" t="n"/>
      <x:c r="AV76" s="610" t="n"/>
      <x:c r="AW76" s="610" t="n"/>
      <x:c r="AX76" s="610" t="n"/>
      <x:c r="AY76" s="610" t="n"/>
      <x:c r="AZ76" s="610" t="n"/>
    </x:row>
    <x:row r="77">
      <x:c r="A77" s="610" t="n"/>
      <x:c r="B77" s="610" t="n"/>
      <x:c r="C77" s="610" t="n"/>
      <x:c r="D77" s="610" t="n"/>
      <x:c r="E77" s="610" t="n"/>
      <x:c r="F77" s="610" t="n"/>
      <x:c r="G77" s="610" t="n"/>
      <x:c r="H77" s="610" t="n"/>
      <x:c r="I77" s="610" t="n"/>
      <x:c r="J77" s="610" t="n"/>
      <x:c r="K77" s="610" t="n"/>
      <x:c r="L77" s="610" t="n"/>
      <x:c r="M77" s="610" t="n"/>
      <x:c r="N77" s="610" t="n"/>
      <x:c r="O77" s="610" t="n"/>
      <x:c r="P77" s="610" t="n"/>
      <x:c r="Q77" s="610" t="n"/>
      <x:c r="R77" s="610" t="n"/>
      <x:c r="S77" s="610" t="n"/>
      <x:c r="T77" s="610" t="n"/>
      <x:c r="U77" s="610" t="n"/>
      <x:c r="V77" s="610" t="n"/>
      <x:c r="W77" s="610" t="n"/>
      <x:c r="X77" s="610" t="n"/>
      <x:c r="Y77" s="610" t="n"/>
      <x:c r="Z77" s="610" t="n"/>
      <x:c r="AA77" s="610" t="n"/>
      <x:c r="AB77" s="610" t="n"/>
      <x:c r="AC77" s="610" t="n"/>
      <x:c r="AD77" s="610" t="n"/>
      <x:c r="AE77" s="610" t="n"/>
      <x:c r="AF77" s="610" t="n"/>
      <x:c r="AG77" s="610" t="n"/>
      <x:c r="AH77" s="610" t="n"/>
      <x:c r="AI77" s="610" t="n"/>
      <x:c r="AJ77" s="610" t="n"/>
      <x:c r="AK77" s="610" t="n"/>
      <x:c r="AL77" s="610" t="n"/>
      <x:c r="AM77" s="610" t="n"/>
      <x:c r="AN77" s="610" t="n"/>
      <x:c r="AO77" s="610" t="n"/>
      <x:c r="AP77" s="610" t="n"/>
      <x:c r="AQ77" s="610" t="n"/>
      <x:c r="AR77" s="610" t="n"/>
      <x:c r="AS77" s="610" t="n"/>
      <x:c r="AT77" s="610" t="n"/>
      <x:c r="AU77" s="610" t="n"/>
      <x:c r="AV77" s="610" t="n"/>
      <x:c r="AW77" s="610" t="n"/>
      <x:c r="AX77" s="610" t="n"/>
      <x:c r="AY77" s="610" t="n"/>
      <x:c r="AZ77" s="610" t="n"/>
    </x:row>
    <x:row r="78">
      <x:c r="A78" s="610" t="n"/>
      <x:c r="B78" s="610" t="n"/>
      <x:c r="C78" s="610" t="n"/>
      <x:c r="D78" s="610" t="n"/>
      <x:c r="E78" s="610" t="n"/>
      <x:c r="F78" s="610" t="n"/>
      <x:c r="G78" s="610" t="n"/>
      <x:c r="H78" s="610" t="n"/>
      <x:c r="I78" s="610" t="n"/>
      <x:c r="J78" s="610" t="n"/>
      <x:c r="K78" s="610" t="n"/>
      <x:c r="L78" s="610" t="n"/>
      <x:c r="M78" s="610" t="n"/>
      <x:c r="N78" s="610" t="n"/>
      <x:c r="O78" s="610" t="n"/>
      <x:c r="P78" s="610" t="n"/>
      <x:c r="Q78" s="610" t="n"/>
      <x:c r="R78" s="610" t="n"/>
      <x:c r="S78" s="610" t="n"/>
      <x:c r="T78" s="610" t="n"/>
      <x:c r="U78" s="610" t="n"/>
      <x:c r="V78" s="610" t="n"/>
      <x:c r="W78" s="610" t="n"/>
      <x:c r="X78" s="610" t="n"/>
      <x:c r="Y78" s="610" t="n"/>
      <x:c r="Z78" s="610" t="n"/>
      <x:c r="AA78" s="610" t="n"/>
      <x:c r="AB78" s="610" t="n"/>
      <x:c r="AC78" s="610" t="n"/>
      <x:c r="AD78" s="610" t="n"/>
      <x:c r="AE78" s="610" t="n"/>
      <x:c r="AF78" s="610" t="n"/>
      <x:c r="AG78" s="610" t="n"/>
      <x:c r="AH78" s="610" t="n"/>
      <x:c r="AI78" s="610" t="n"/>
      <x:c r="AJ78" s="610" t="n"/>
      <x:c r="AK78" s="610" t="n"/>
      <x:c r="AL78" s="610" t="n"/>
      <x:c r="AM78" s="610" t="n"/>
      <x:c r="AN78" s="610" t="n"/>
      <x:c r="AO78" s="610" t="n"/>
      <x:c r="AP78" s="610" t="n"/>
      <x:c r="AQ78" s="610" t="n"/>
      <x:c r="AR78" s="610" t="n"/>
      <x:c r="AS78" s="610" t="n"/>
      <x:c r="AT78" s="610" t="n"/>
      <x:c r="AU78" s="610" t="n"/>
      <x:c r="AV78" s="610" t="n"/>
      <x:c r="AW78" s="610" t="n"/>
      <x:c r="AX78" s="610" t="n"/>
      <x:c r="AY78" s="610" t="n"/>
      <x:c r="AZ78" s="610" t="n"/>
    </x:row>
    <x:row r="79">
      <x:c r="A79" s="610" t="n"/>
      <x:c r="B79" s="610" t="n"/>
      <x:c r="C79" s="610" t="n"/>
      <x:c r="D79" s="610" t="n"/>
      <x:c r="E79" s="610" t="n"/>
      <x:c r="F79" s="610" t="n"/>
      <x:c r="G79" s="610" t="n"/>
      <x:c r="H79" s="610" t="n"/>
      <x:c r="I79" s="610" t="n"/>
      <x:c r="J79" s="610" t="n"/>
      <x:c r="K79" s="610" t="n"/>
      <x:c r="L79" s="610" t="n"/>
      <x:c r="M79" s="610" t="n"/>
      <x:c r="N79" s="610" t="n"/>
      <x:c r="O79" s="610" t="n"/>
      <x:c r="P79" s="610" t="n"/>
      <x:c r="Q79" s="610" t="n"/>
      <x:c r="R79" s="610" t="n"/>
      <x:c r="S79" s="610" t="n"/>
      <x:c r="T79" s="610" t="n"/>
      <x:c r="U79" s="610" t="n"/>
      <x:c r="V79" s="610" t="n"/>
      <x:c r="W79" s="610" t="n"/>
      <x:c r="X79" s="610" t="n"/>
      <x:c r="Y79" s="610" t="n"/>
      <x:c r="Z79" s="610" t="n"/>
      <x:c r="AA79" s="610" t="n"/>
      <x:c r="AB79" s="610" t="n"/>
      <x:c r="AC79" s="610" t="n"/>
      <x:c r="AD79" s="610" t="n"/>
      <x:c r="AE79" s="610" t="n"/>
      <x:c r="AF79" s="610" t="n"/>
      <x:c r="AG79" s="610" t="n"/>
      <x:c r="AH79" s="610" t="n"/>
      <x:c r="AI79" s="610" t="n"/>
      <x:c r="AJ79" s="610" t="n"/>
      <x:c r="AK79" s="610" t="n"/>
      <x:c r="AL79" s="610" t="n"/>
      <x:c r="AM79" s="610" t="n"/>
      <x:c r="AN79" s="610" t="n"/>
      <x:c r="AO79" s="610" t="n"/>
      <x:c r="AP79" s="610" t="n"/>
      <x:c r="AQ79" s="610" t="n"/>
      <x:c r="AR79" s="610" t="n"/>
      <x:c r="AS79" s="610" t="n"/>
      <x:c r="AT79" s="610" t="n"/>
      <x:c r="AU79" s="610" t="n"/>
      <x:c r="AV79" s="610" t="n"/>
      <x:c r="AW79" s="610" t="n"/>
      <x:c r="AX79" s="610" t="n"/>
      <x:c r="AY79" s="610" t="n"/>
      <x:c r="AZ79" s="610" t="n"/>
    </x:row>
    <x:row r="80">
      <x:c r="A80" s="610" t="n"/>
      <x:c r="B80" s="610" t="n"/>
      <x:c r="C80" s="610" t="n"/>
      <x:c r="D80" s="610" t="n"/>
      <x:c r="E80" s="610" t="n"/>
      <x:c r="F80" s="610" t="n"/>
      <x:c r="G80" s="610" t="n"/>
      <x:c r="H80" s="610" t="n"/>
      <x:c r="I80" s="610" t="n"/>
      <x:c r="J80" s="610" t="n"/>
      <x:c r="K80" s="610" t="n"/>
      <x:c r="L80" s="610" t="n"/>
      <x:c r="M80" s="610" t="n"/>
      <x:c r="N80" s="610" t="n"/>
      <x:c r="O80" s="610" t="n"/>
      <x:c r="P80" s="610" t="n"/>
      <x:c r="Q80" s="610" t="n"/>
      <x:c r="R80" s="610" t="n"/>
      <x:c r="S80" s="610" t="n"/>
      <x:c r="T80" s="610" t="n"/>
      <x:c r="U80" s="610" t="n"/>
      <x:c r="V80" s="610" t="n"/>
      <x:c r="W80" s="610" t="n"/>
      <x:c r="X80" s="610" t="n"/>
      <x:c r="Y80" s="610" t="n"/>
      <x:c r="Z80" s="610" t="n"/>
      <x:c r="AA80" s="610" t="n"/>
      <x:c r="AB80" s="610" t="n"/>
      <x:c r="AC80" s="610" t="n"/>
      <x:c r="AD80" s="610" t="n"/>
      <x:c r="AE80" s="610" t="n"/>
      <x:c r="AF80" s="610" t="n"/>
      <x:c r="AG80" s="610" t="n"/>
      <x:c r="AH80" s="610" t="n"/>
      <x:c r="AI80" s="610" t="n"/>
      <x:c r="AJ80" s="610" t="n"/>
      <x:c r="AK80" s="610" t="n"/>
      <x:c r="AL80" s="610" t="n"/>
      <x:c r="AM80" s="610" t="n"/>
      <x:c r="AN80" s="610" t="n"/>
      <x:c r="AO80" s="610" t="n"/>
      <x:c r="AP80" s="610" t="n"/>
      <x:c r="AQ80" s="610" t="n"/>
      <x:c r="AR80" s="610" t="n"/>
      <x:c r="AS80" s="610" t="n"/>
      <x:c r="AT80" s="610" t="n"/>
      <x:c r="AU80" s="610" t="n"/>
      <x:c r="AV80" s="610" t="n"/>
      <x:c r="AW80" s="610" t="n"/>
      <x:c r="AX80" s="610" t="n"/>
      <x:c r="AY80" s="610" t="n"/>
      <x:c r="AZ80" s="610" t="n"/>
    </x:row>
  </x:sheetData>
  <x:conditionalFormatting sqref="D2:D71">
    <x:cfRule type="cellIs" dxfId="31" priority="86" operator="lessThan">
      <x:formula>0</x:formula>
    </x:cfRule>
    <x:cfRule type="cellIs" dxfId="30" priority="87" operator="greaterThan">
      <x:formula>0</x:formula>
    </x:cfRule>
  </x:conditionalFormatting>
  <x:conditionalFormatting sqref="G2:G71">
    <x:cfRule type="cellIs" dxfId="31" priority="88" operator="lessThan">
      <x:formula>0</x:formula>
    </x:cfRule>
    <x:cfRule type="cellIs" dxfId="30" priority="89" operator="greaterThan">
      <x:formula>0</x:formula>
    </x:cfRule>
  </x:conditionalFormatting>
  <x:conditionalFormatting sqref="J2:J71">
    <x:cfRule type="cellIs" dxfId="31" priority="90" operator="lessThan">
      <x:formula>0</x:formula>
    </x:cfRule>
    <x:cfRule type="cellIs" dxfId="30" priority="91" operator="greaterThan">
      <x:formula>0</x:formula>
    </x:cfRule>
  </x:conditionalFormatting>
  <x:conditionalFormatting sqref="M2:M71">
    <x:cfRule type="cellIs" dxfId="31" priority="92" operator="lessThan">
      <x:formula>0</x:formula>
    </x:cfRule>
    <x:cfRule type="cellIs" dxfId="30" priority="93" operator="greaterThan">
      <x:formula>0</x:formula>
    </x:cfRule>
  </x:conditionalFormatting>
  <x:conditionalFormatting sqref="P2:P71">
    <x:cfRule type="cellIs" dxfId="31" priority="94" operator="lessThan">
      <x:formula>0</x:formula>
    </x:cfRule>
    <x:cfRule type="cellIs" dxfId="30" priority="95" operator="greaterThan">
      <x:formula>0</x:formula>
    </x:cfRule>
  </x:conditionalFormatting>
  <x:conditionalFormatting sqref="S2:S71">
    <x:cfRule type="cellIs" dxfId="31" priority="96" operator="lessThan">
      <x:formula>0</x:formula>
    </x:cfRule>
    <x:cfRule type="cellIs" dxfId="30" priority="97" operator="greaterThan">
      <x:formula>0</x:formula>
    </x:cfRule>
  </x:conditionalFormatting>
  <x:conditionalFormatting sqref="V2:V71">
    <x:cfRule type="cellIs" dxfId="31" priority="98" operator="lessThan">
      <x:formula>0</x:formula>
    </x:cfRule>
    <x:cfRule type="cellIs" dxfId="30" priority="99" operator="greaterThan">
      <x:formula>0</x:formula>
    </x:cfRule>
  </x:conditionalFormatting>
  <x:conditionalFormatting sqref="Y2:Y71">
    <x:cfRule type="cellIs" dxfId="31" priority="100" operator="lessThan">
      <x:formula>0</x:formula>
    </x:cfRule>
    <x:cfRule type="cellIs" dxfId="30" priority="101" operator="greaterThan">
      <x:formula>0</x:formula>
    </x:cfRule>
  </x:conditionalFormatting>
  <x:conditionalFormatting sqref="AB2:AB71">
    <x:cfRule type="cellIs" dxfId="31" priority="102" operator="lessThan">
      <x:formula>0</x:formula>
    </x:cfRule>
    <x:cfRule type="cellIs" dxfId="30" priority="103" operator="greaterThan">
      <x:formula>0</x:formula>
    </x:cfRule>
  </x:conditionalFormatting>
  <x:conditionalFormatting sqref="AE2:AE71">
    <x:cfRule type="cellIs" dxfId="31" priority="104" operator="lessThan">
      <x:formula>0</x:formula>
    </x:cfRule>
    <x:cfRule type="cellIs" dxfId="30" priority="105" operator="greaterThan">
      <x:formula>0</x:formula>
    </x:cfRule>
  </x:conditionalFormatting>
  <x:conditionalFormatting sqref="AH2:AH71">
    <x:cfRule type="cellIs" dxfId="31" priority="106" operator="lessThan">
      <x:formula>0</x:formula>
    </x:cfRule>
    <x:cfRule type="cellIs" dxfId="30" priority="107" operator="greaterThan">
      <x:formula>0</x:formula>
    </x:cfRule>
  </x:conditionalFormatting>
  <x:conditionalFormatting sqref="AK2:AK71">
    <x:cfRule type="cellIs" dxfId="31" priority="108" operator="lessThan">
      <x:formula>0</x:formula>
    </x:cfRule>
    <x:cfRule type="cellIs" dxfId="30" priority="109" operator="greaterThan">
      <x:formula>0</x:formula>
    </x:cfRule>
  </x:conditionalFormatting>
  <x:conditionalFormatting sqref="AN2:AN71">
    <x:cfRule type="cellIs" dxfId="31" priority="110" operator="lessThan">
      <x:formula>0</x:formula>
    </x:cfRule>
    <x:cfRule type="cellIs" dxfId="30" priority="111" operator="greaterThan">
      <x:formula>0</x:formula>
    </x:cfRule>
  </x:conditionalFormatting>
  <x:conditionalFormatting sqref="AQ2:AQ71">
    <x:cfRule type="cellIs" dxfId="31" priority="112" operator="lessThan">
      <x:formula>0</x:formula>
    </x:cfRule>
    <x:cfRule type="cellIs" dxfId="30" priority="113" operator="greaterThan">
      <x:formula>0</x:formula>
    </x:cfRule>
  </x:conditionalFormatting>
  <x:conditionalFormatting sqref="AT2:AT71">
    <x:cfRule type="cellIs" dxfId="31" priority="114" operator="lessThan">
      <x:formula>0</x:formula>
    </x:cfRule>
    <x:cfRule type="cellIs" dxfId="30" priority="115" operator="greaterThan">
      <x:formula>0</x:formula>
    </x:cfRule>
  </x:conditionalFormatting>
  <x:conditionalFormatting sqref="AW2:AW71">
    <x:cfRule type="cellIs" dxfId="31" priority="116" operator="lessThan">
      <x:formula>0</x:formula>
    </x:cfRule>
    <x:cfRule type="cellIs" dxfId="30" priority="117" operator="greaterThan">
      <x:formula>0</x:formula>
    </x:cfRule>
  </x:conditionalFormatting>
  <x:conditionalFormatting sqref="AZ2:AZ71">
    <x:cfRule type="cellIs" dxfId="31" priority="118" operator="lessThan">
      <x:formula>0</x:formula>
    </x:cfRule>
    <x:cfRule type="cellIs" dxfId="30" priority="119" operator="greaterThan">
      <x:formula>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A9D18E"/>
  </x:sheetPr>
  <x:sheetViews>
    <x:sheetView showGridLines="0" workbookViewId="0"/>
  </x:sheetViews>
  <x:sheetFormatPr baseColWidth="8" defaultRowHeight="14.75"/>
  <x:cols>
    <x:col min="1" max="1" width="18" style="655" customWidth="1"/>
    <x:col min="2" max="2" width="22" style="655" customWidth="1"/>
    <x:col min="3" max="3" width="13" style="655" customWidth="1"/>
    <x:col min="4" max="4" width="24" style="655" customWidth="1"/>
    <x:col min="5" max="5" width="22" style="655" customWidth="1"/>
    <x:col min="6" max="7" width="16" style="655" customWidth="1"/>
    <x:col min="7" max="7" width="13" style="655" customWidth="1"/>
    <x:col min="8" max="8" width="13" style="655" customWidth="1"/>
  </x:cols>
  <x:sheetData>
    <x:row r="1" s="655" customFormat="1" ht="21" customHeight="1">
      <x:c r="A1" s="760" t="inlineStr">
        <x:is>
          <x:t xml:space="preserve">Test konfiguracji</x:t>
        </x:is>
      </x:c>
      <x:c r="B1" s="761" t="n"/>
      <x:c r="C1" s="761" t="n"/>
      <x:c r="D1" s="761" t="n"/>
      <x:c r="E1" s="761" t="n"/>
      <x:c r="F1" s="761" t="n"/>
      <x:c r="G1" s="761" t="n"/>
      <x:c r="H1" s="761" t="n"/>
    </x:row>
    <x:row r="3" s="655" customFormat="1" ht="20.149999618530273" customHeight="1">
      <x:c r="A3" s="13" t="inlineStr">
        <x:is>
          <x:t xml:space="preserve">Wymiar</x:t>
        </x:is>
      </x:c>
      <x:c r="B3" s="769" t="inlineStr">
        <x:is>
          <x:t xml:space="preserve">300 x 606 cm</x:t>
        </x:is>
      </x:c>
      <x:c r="D3" s="552" t="inlineStr">
        <x:is>
          <x:t xml:space="preserve">Składnik</x:t>
        </x:is>
      </x:c>
      <x:c r="E3" s="562" t="inlineStr">
        <x:is>
          <x:t xml:space="preserve">Konstrukcja/dodatki brutto</x:t>
        </x:is>
      </x:c>
      <x:c r="F3" s="562" t="inlineStr">
        <x:is>
          <x:t xml:space="preserve">Montaż brutto</x:t>
        </x:is>
      </x:c>
      <x:c r="G3" s="562" t="inlineStr">
        <x:is>
          <x:t xml:space="preserve">Razem brutto</x:t>
        </x:is>
      </x:c>
      <x:c r="H3" s="553" t="n"/>
    </x:row>
    <x:row r="4" s="655" customFormat="1" ht="20.149999618530273" customHeight="1">
      <x:c r="A4" s="13" t="inlineStr">
        <x:is>
          <x:t xml:space="preserve">Ściany</x:t>
        </x:is>
      </x:c>
      <x:c r="B4" s="14" t="inlineStr">
        <x:is>
          <x:t xml:space="preserve">barwione</x:t>
        </x:is>
      </x:c>
      <x:c r="D4" s="554" t="inlineStr">
        <x:is>
          <x:t xml:space="preserve">Zadaszenie tarasu</x:t>
        </x:is>
      </x:c>
      <x:c r="E4" s="555" t="n">
        <x:f>G4-F4</x:f>
        <x:v>9574</x:v>
      </x:c>
      <x:c r="F4" s="555" t="n">
        <x:f>ROUND(SUMIFS('03_Cennik_uslug_nowy'!$K:$K,'03_Cennik_uslug_nowy'!$A:$A,$B$3,'03_Cennik_uslug_nowy'!$B:$B,"ZP")*(IF('01_Ustawienia'!$B$4="ZWOLNIONY",1,1+'01_Ustawienia'!$B$7)),0)</x:f>
        <x:v>3672</x:v>
      </x:c>
      <x:c r="G4" s="555" t="n">
        <x:f>IFERROR(INDEX('04_Wycena_strona_nowa'!$B:$B,MATCH($B$3,'04_Wycena_strona_nowa'!$A:$A,0)),0)</x:f>
        <x:v>13246</x:v>
      </x:c>
      <x:c r="H4" s="553" t="n"/>
    </x:row>
    <x:row r="5" s="655" customFormat="1" ht="20.149999618530273" customHeight="1">
      <x:c r="A5" s="13" t="inlineStr">
        <x:is>
          <x:t xml:space="preserve">Dach</x:t>
        </x:is>
      </x:c>
      <x:c r="B5" s="14" t="inlineStr">
        <x:is>
          <x:t xml:space="preserve">szkło barwione</x:t>
        </x:is>
      </x:c>
      <x:c r="D5" s="554" t="inlineStr">
        <x:is>
          <x:t xml:space="preserve">Ściany</x:t>
        </x:is>
      </x:c>
      <x:c r="E5" s="555" t="n">
        <x:f>G5-F5</x:f>
        <x:v>18601</x:v>
      </x:c>
      <x:c r="F5" s="555" t="n">
        <x:f>IF($B$4="brak",0,ROUND(((SUMIFS('03_Cennik_uslug_nowy'!$K:$K,'03_Cennik_uslug_nowy'!$A:$A,$B$3,'03_Cennik_uslug_nowy'!$B:$B,"OP")-SUMIFS('03_Cennik_uslug_nowy'!$K:$K,'03_Cennik_uslug_nowy'!$A:$A,$B$3,'03_Cennik_uslug_nowy'!$B:$B,"ZP"))+IF($B$4="barwione",SUMIFS('03_Cennik_uslug_nowy'!$K:$K,'03_Cennik_uslug_nowy'!$A:$A,$B$3,'03_Cennik_uslug_nowy'!$B:$B,"SBB"),0))*(IF('01_Ustawienia'!$B$4="ZWOLNIONY",1,1+'01_Ustawienia'!$B$7)),0))</x:f>
        <x:v>1285</x:v>
      </x:c>
      <x:c r="G5" s="555" t="n">
        <x:f>IF($B$4="brak",0,IF($B$4="przezroczyste",IFERROR(INDEX('04_Wycena_strona_nowa'!$C:$C,MATCH($B$3,'04_Wycena_strona_nowa'!$A:$A,0)),0),IFERROR(INDEX('04_Wycena_strona_nowa'!$D:$D,MATCH($B$3,'04_Wycena_strona_nowa'!$A:$A,0)),0)))</x:f>
        <x:v>19886</x:v>
      </x:c>
      <x:c r="H5" s="553" t="n"/>
    </x:row>
    <x:row r="6" s="655" customFormat="1" ht="20.149999618530273" customHeight="1">
      <x:c r="A6" s="13" t="inlineStr">
        <x:is>
          <x:t xml:space="preserve">Roleta prawa</x:t>
        </x:is>
      </x:c>
      <x:c r="B6" s="14" t="inlineStr">
        <x:is>
          <x:t xml:space="preserve">nie</x:t>
        </x:is>
      </x:c>
      <x:c r="D6" s="554" t="inlineStr">
        <x:is>
          <x:t xml:space="preserve">Dach</x:t>
        </x:is>
      </x:c>
      <x:c r="E6" s="555" t="n">
        <x:f>G6-F6</x:f>
        <x:v>5169</x:v>
      </x:c>
      <x:c r="F6" s="555" t="n">
        <x:f>IF($B$5="poliwęglan bezbarwny",0,ROUND((IF($B$5="poliwęglan barwiony",SUMIFS('03_Cennik_uslug_nowy'!$K:$K,'03_Cennik_uslug_nowy'!$A:$A,$B$3,'03_Cennik_uslug_nowy'!$B:$B,"PDPB"),IF($B$5="szkło przezroczyste",SUMIFS('03_Cennik_uslug_nowy'!$K:$K,'03_Cennik_uslug_nowy'!$A:$A,$B$3,'03_Cennik_uslug_nowy'!$B:$B,"PDS"),IF($B$5="szkło barwione",SUMIFS('03_Cennik_uslug_nowy'!$K:$K,'03_Cennik_uslug_nowy'!$A:$A,$B$3,'03_Cennik_uslug_nowy'!$B:$B,"PDS")+SUMIFS('03_Cennik_uslug_nowy'!$K:$K,'03_Cennik_uslug_nowy'!$A:$A,$B$3,'03_Cennik_uslug_nowy'!$B:$B,"PDSB"),0))))*(IF('01_Ustawienia'!$B$4="ZWOLNIONY",1,1+'01_Ustawienia'!$B$7)),0))</x:f>
        <x:v>0</x:v>
      </x:c>
      <x:c r="G6" s="555" t="n">
        <x:f>IF($B$5="poliwęglan bezbarwny",0,IF($B$5="poliwęglan barwiony",IFERROR(INDEX('04_Wycena_strona_nowa'!$E:$E,MATCH($B$3,'04_Wycena_strona_nowa'!$A:$A,0)),0),IF($B$5="szkło przezroczyste",IFERROR(INDEX('04_Wycena_strona_nowa'!$F:$F,MATCH($B$3,'04_Wycena_strona_nowa'!$A:$A,0)),0),IF($B$5="szkło barwione",IFERROR(INDEX('04_Wycena_strona_nowa'!$G:$G,MATCH($B$3,'04_Wycena_strona_nowa'!$A:$A,0)),0),0))))</x:f>
        <x:v>5169</x:v>
      </x:c>
      <x:c r="H6" s="553" t="n"/>
    </x:row>
    <x:row r="7" s="655" customFormat="1" ht="20.149999618530273" customHeight="1">
      <x:c r="A7" s="13" t="inlineStr">
        <x:is>
          <x:t xml:space="preserve">Roleta lewa</x:t>
        </x:is>
      </x:c>
      <x:c r="B7" s="14" t="inlineStr">
        <x:is>
          <x:t xml:space="preserve">nie</x:t>
        </x:is>
      </x:c>
      <x:c r="D7" s="554" t="inlineStr">
        <x:is>
          <x:t xml:space="preserve">Roleta prawa</x:t>
        </x:is>
      </x:c>
      <x:c r="E7" s="555" t="n">
        <x:f>G7-F7</x:f>
        <x:v>0</x:v>
      </x:c>
      <x:c r="F7" s="555" t="n">
        <x:f>IF($B$6="tak",ROUND(SUMIFS('03_Cennik_uslug_nowy'!$K:$K,'03_Cennik_uslug_nowy'!$A:$A,$B$3,'03_Cennik_uslug_nowy'!$B:$B,"RB")*(IF('01_Ustawienia'!$B$4="ZWOLNIONY",1,1+'01_Ustawienia'!$B$7)),0),0)</x:f>
        <x:v>0</x:v>
      </x:c>
      <x:c r="G7" s="555" t="n">
        <x:f>IF($B$6="tak",IFERROR(INDEX('04_Wycena_strona_nowa'!$H:$H,MATCH($B$3,'04_Wycena_strona_nowa'!$A:$A,0)),0),0)</x:f>
        <x:v>0</x:v>
      </x:c>
      <x:c r="H7" s="553" t="n"/>
    </x:row>
    <x:row r="8" s="655" customFormat="1" ht="20.149999618530273" customHeight="1">
      <x:c r="A8" s="13" t="inlineStr">
        <x:is>
          <x:t xml:space="preserve">Roleta przednia</x:t>
        </x:is>
      </x:c>
      <x:c r="B8" s="14" t="inlineStr">
        <x:is>
          <x:t xml:space="preserve">nie</x:t>
        </x:is>
      </x:c>
      <x:c r="D8" s="554" t="inlineStr">
        <x:is>
          <x:t xml:space="preserve">Roleta lewa</x:t>
        </x:is>
      </x:c>
      <x:c r="E8" s="555" t="n">
        <x:f>G8-F8</x:f>
        <x:v>0</x:v>
      </x:c>
      <x:c r="F8" s="555" t="n">
        <x:f>IF($B$7="tak",ROUND(SUMIFS('03_Cennik_uslug_nowy'!$K:$K,'03_Cennik_uslug_nowy'!$A:$A,$B$3,'03_Cennik_uslug_nowy'!$B:$B,"RB")*(IF('01_Ustawienia'!$B$4="ZWOLNIONY",1,1+'01_Ustawienia'!$B$7)),0),0)</x:f>
        <x:v>0</x:v>
      </x:c>
      <x:c r="G8" s="555" t="n">
        <x:f>IF($B$7="tak",IFERROR(INDEX('04_Wycena_strona_nowa'!$I:$I,MATCH($B$3,'04_Wycena_strona_nowa'!$A:$A,0)),0),0)</x:f>
        <x:v>0</x:v>
      </x:c>
      <x:c r="H8" s="553" t="n"/>
    </x:row>
    <x:row r="9" s="655" customFormat="1" ht="20.149999618530273" customHeight="1">
      <x:c r="A9" s="13" t="inlineStr">
        <x:is>
          <x:t xml:space="preserve">Markiza</x:t>
        </x:is>
      </x:c>
      <x:c r="B9" s="14" t="inlineStr">
        <x:is>
          <x:t xml:space="preserve">nie</x:t>
        </x:is>
      </x:c>
      <x:c r="D9" s="554" t="inlineStr">
        <x:is>
          <x:t xml:space="preserve">Roleta przednia</x:t>
        </x:is>
      </x:c>
      <x:c r="E9" s="555" t="n">
        <x:f>G9-F9</x:f>
        <x:v>0</x:v>
      </x:c>
      <x:c r="F9" s="555" t="n">
        <x:f>IF($B$8="tak",ROUND(SUMIFS('03_Cennik_uslug_nowy'!$K:$K,'03_Cennik_uslug_nowy'!$A:$A,$B$3,'03_Cennik_uslug_nowy'!$B:$B,"RP")*(IF('01_Ustawienia'!$B$4="ZWOLNIONY",1,1+'01_Ustawienia'!$B$7)),0),0)</x:f>
        <x:v>0</x:v>
      </x:c>
      <x:c r="G9" s="555" t="n">
        <x:f>IF($B$8="tak",IFERROR(INDEX('04_Wycena_strona_nowa'!$J:$J,MATCH($B$3,'04_Wycena_strona_nowa'!$A:$A,0)),0),0)</x:f>
        <x:v>0</x:v>
      </x:c>
      <x:c r="H9" s="553" t="n"/>
    </x:row>
    <x:row r="10" s="655" customFormat="1" ht="20.149999618530273" customHeight="1">
      <x:c r="A10" s="13" t="inlineStr">
        <x:is>
          <x:t xml:space="preserve">Fundament/profile</x:t>
        </x:is>
      </x:c>
      <x:c r="B10" s="14" t="inlineStr">
        <x:is>
          <x:t xml:space="preserve">nie</x:t>
        </x:is>
      </x:c>
      <x:c r="D10" s="554" t="inlineStr">
        <x:is>
          <x:t xml:space="preserve">Markiza</x:t>
        </x:is>
      </x:c>
      <x:c r="E10" s="555" t="n">
        <x:f>G10-F10</x:f>
        <x:v>0</x:v>
      </x:c>
      <x:c r="F10" s="555" t="n">
        <x:f>IF($B$9="tak",ROUND(SUMIFS('03_Cennik_uslug_nowy'!$K:$K,'03_Cennik_uslug_nowy'!$A:$A,$B$3,'03_Cennik_uslug_nowy'!$B:$B,"M")*(IF('01_Ustawienia'!$B$4="ZWOLNIONY",1,1+'01_Ustawienia'!$B$7)),0),0)</x:f>
        <x:v>0</x:v>
      </x:c>
      <x:c r="G10" s="555" t="n">
        <x:f>IF($B$9="tak",IFERROR(INDEX('04_Wycena_strona_nowa'!$K:$K,MATCH($B$3,'04_Wycena_strona_nowa'!$A:$A,0)),0),0)</x:f>
        <x:v>0</x:v>
      </x:c>
      <x:c r="H10" s="553" t="n"/>
    </x:row>
    <x:row r="11" s="655" customFormat="1" ht="20.149999618530273" customHeight="1">
      <x:c r="A11" s="13" t="inlineStr">
        <x:is>
          <x:t xml:space="preserve">LED</x:t>
        </x:is>
      </x:c>
      <x:c r="B11" s="14" t="inlineStr">
        <x:is>
          <x:t xml:space="preserve">brak</x:t>
        </x:is>
      </x:c>
      <x:c r="D11" s="554" t="inlineStr">
        <x:is>
          <x:t xml:space="preserve">Fundament/profile</x:t>
        </x:is>
      </x:c>
      <x:c r="E11" s="555" t="n">
        <x:f>G11-F11</x:f>
        <x:v>0</x:v>
      </x:c>
      <x:c r="F11" s="555" t="n">
        <x:f>IF($B$10="tak",ROUND(SUMIFS('03_Cennik_uslug_nowy'!$K:$K,'03_Cennik_uslug_nowy'!$A:$A,$B$3,'03_Cennik_uslug_nowy'!$B:$B,"PDWP")*(IF('01_Ustawienia'!$B$4="ZWOLNIONY",1,1+'01_Ustawienia'!$B$7)),0),0)</x:f>
        <x:v>0</x:v>
      </x:c>
      <x:c r="G11" s="555" t="n">
        <x:f>IF($B$10="tak",IFERROR(INDEX('04_Wycena_strona_nowa'!$L:$L,MATCH($B$3,'04_Wycena_strona_nowa'!$A:$A,0)),0),0)</x:f>
        <x:v>0</x:v>
      </x:c>
      <x:c r="H11" s="553" t="n"/>
    </x:row>
    <x:row r="12" s="655" customFormat="1" ht="20.149999618530273" customHeight="1">
      <x:c r="A12" s="13" t="inlineStr">
        <x:is>
          <x:t xml:space="preserve">Szczotki</x:t>
        </x:is>
      </x:c>
      <x:c r="B12" s="14" t="inlineStr">
        <x:is>
          <x:t xml:space="preserve">nie</x:t>
        </x:is>
      </x:c>
      <x:c r="D12" s="554" t="inlineStr">
        <x:is>
          <x:t xml:space="preserve">LED</x:t>
        </x:is>
      </x:c>
      <x:c r="E12" s="555" t="n">
        <x:f>G12-F12</x:f>
        <x:v>0</x:v>
      </x:c>
      <x:c r="F12" s="555" t="n">
        <x:f>IF($B$11="brak",0,ROUND((IF($B$11="LED punktowe",IF(VALUE(LEFT($B$3,3))&gt;=450,SUMIFS('03_Cennik_uslug_nowy'!$K:$K,'03_Cennik_uslug_nowy'!$A:$A,$B$3,'03_Cennik_uslug_nowy'!$B:$B,"LED3"),SUMIFS('03_Cennik_uslug_nowy'!$K:$K,'03_Cennik_uslug_nowy'!$A:$A,$B$3,'03_Cennik_uslug_nowy'!$B:$B,"LED2")),IF($B$11="LED CCT",SUMIFS('03_Cennik_uslug_nowy'!$K:$K,'03_Cennik_uslug_nowy'!$A:$A,$B$3,'03_Cennik_uslug_nowy'!$B:$B,"LEDCCT"),0)))*(IF('01_Ustawienia'!$B$4="ZWOLNIONY",1,1+'01_Ustawienia'!$B$7)),0))</x:f>
        <x:v>0</x:v>
      </x:c>
      <x:c r="G12" s="555" t="n">
        <x:f>IF($B$11="brak",0,IF($B$11="LED punktowe",IFERROR(INDEX('04_Wycena_strona_nowa'!$M:$M,MATCH($B$3,'04_Wycena_strona_nowa'!$A:$A,0)),0),IF($B$11="LED CCT",IFERROR(INDEX('04_Wycena_strona_nowa'!$R:$R,MATCH($B$3,'04_Wycena_strona_nowa'!$A:$A,0)),0),0)))</x:f>
        <x:v>0</x:v>
      </x:c>
      <x:c r="H12" s="553" t="n"/>
    </x:row>
    <x:row r="13" s="655" customFormat="1" ht="20.149999618530273" customHeight="1">
      <x:c r="A13" s="13" t="inlineStr">
        <x:is>
          <x:t xml:space="preserve">Uchwyty</x:t>
        </x:is>
      </x:c>
      <x:c r="B13" s="14" t="inlineStr">
        <x:is>
          <x:t xml:space="preserve">nie</x:t>
        </x:is>
      </x:c>
      <x:c r="D13" s="554" t="inlineStr">
        <x:is>
          <x:t xml:space="preserve">Szczotki</x:t>
        </x:is>
      </x:c>
      <x:c r="E13" s="555" t="n">
        <x:f>G13-F13</x:f>
        <x:v>0</x:v>
      </x:c>
      <x:c r="F13" s="555" t="n">
        <x:f>IF($B$12="tak",ROUND(SUMIFS('03_Cennik_uslug_nowy'!$K:$K,'03_Cennik_uslug_nowy'!$A:$A,$B$3,'03_Cennik_uslug_nowy'!$B:$B,"S")*(IF('01_Ustawienia'!$B$4="ZWOLNIONY",1,1+'01_Ustawienia'!$B$7)),0),0)</x:f>
        <x:v>0</x:v>
      </x:c>
      <x:c r="G13" s="555" t="n">
        <x:f>IF($B$12="tak",IFERROR(INDEX('04_Wycena_strona_nowa'!$O:$O,MATCH($B$3,'04_Wycena_strona_nowa'!$A:$A,0)),0),0)</x:f>
        <x:v>0</x:v>
      </x:c>
      <x:c r="H13" s="553" t="n"/>
    </x:row>
    <x:row r="14" s="655" customFormat="1" ht="20.149999618530273" customHeight="1">
      <x:c r="A14" s="13" t="inlineStr">
        <x:is>
          <x:t xml:space="preserve">Zabieraki</x:t>
        </x:is>
      </x:c>
      <x:c r="B14" s="14" t="inlineStr">
        <x:is>
          <x:t xml:space="preserve">nie</x:t>
        </x:is>
      </x:c>
      <x:c r="D14" s="554" t="inlineStr">
        <x:is>
          <x:t xml:space="preserve">Uchwyty</x:t>
        </x:is>
      </x:c>
      <x:c r="E14" s="555" t="n">
        <x:f>G14-F14</x:f>
        <x:v>0</x:v>
      </x:c>
      <x:c r="F14" s="555" t="n">
        <x:f>IF($B$13="tak",ROUND(SUMIFS('03_Cennik_uslug_nowy'!$K:$K,'03_Cennik_uslug_nowy'!$A:$A,$B$3,'03_Cennik_uslug_nowy'!$B:$B,"U")*(IF('01_Ustawienia'!$B$4="ZWOLNIONY",1,1+'01_Ustawienia'!$B$7)),0),0)</x:f>
        <x:v>0</x:v>
      </x:c>
      <x:c r="G14" s="555" t="n">
        <x:f>IF($B$13="tak",IFERROR(INDEX('04_Wycena_strona_nowa'!$P:$P,MATCH($B$3,'04_Wycena_strona_nowa'!$A:$A,0)),0),0)</x:f>
        <x:v>0</x:v>
      </x:c>
      <x:c r="H14" s="553" t="n"/>
    </x:row>
    <x:row r="15" s="655" customFormat="1" ht="20.149999618530273" customHeight="1">
      <x:c r="D15" s="554" t="inlineStr">
        <x:is>
          <x:t xml:space="preserve">Zabieraki</x:t>
        </x:is>
      </x:c>
      <x:c r="E15" s="555" t="n">
        <x:f>G15-F15</x:f>
        <x:v>0</x:v>
      </x:c>
      <x:c r="F15" s="555" t="n">
        <x:f>IF($B$14="tak",ROUND(SUMIFS('03_Cennik_uslug_nowy'!$K:$K,'03_Cennik_uslug_nowy'!$A:$A,$B$3,'03_Cennik_uslug_nowy'!$B:$B,"ZAB")*(IF('01_Ustawienia'!$B$4="ZWOLNIONY",1,1+'01_Ustawienia'!$B$7)),0),0)</x:f>
        <x:v>0</x:v>
      </x:c>
      <x:c r="G15" s="555" t="n">
        <x:f>IF($B$14="tak",IFERROR(INDEX('04_Wycena_strona_nowa'!$Q:$Q,MATCH($B$3,'04_Wycena_strona_nowa'!$A:$A,0)),0),0)</x:f>
        <x:v>0</x:v>
      </x:c>
      <x:c r="H15" s="553" t="n"/>
    </x:row>
    <x:row r="16" s="655" customFormat="1" ht="20.149999618530273" customHeight="1">
      <x:c r="A16" s="556" t="inlineStr">
        <x:is>
          <x:t xml:space="preserve">Rabat indywidualny</x:t>
        </x:is>
      </x:c>
      <x:c r="B16" s="557" t="n">
        <x:v>0</x:v>
      </x:c>
      <x:c r="D16" s="553" t="n"/>
      <x:c r="E16" s="553" t="n"/>
      <x:c r="F16" s="553" t="n"/>
      <x:c r="G16" s="553" t="n"/>
      <x:c r="H16" s="553" t="n"/>
    </x:row>
    <x:row r="17" s="655" customFormat="1" ht="20.149999618530273" customHeight="1">
      <x:c r="A17" s="553" t="n"/>
      <x:c r="B17" s="553" t="n"/>
      <x:c r="D17" s="558" t="inlineStr">
        <x:is>
          <x:t xml:space="preserve">Suma konstrukcji/dodatków</x:t>
        </x:is>
      </x:c>
      <x:c r="E17" s="559" t="n">
        <x:f>SUM(E4:E15)</x:f>
        <x:v>33344</x:v>
      </x:c>
      <x:c r="F17" s="553" t="n"/>
      <x:c r="G17" s="553" t="n"/>
      <x:c r="H17" s="553" t="n"/>
    </x:row>
    <x:row r="18" s="655" customFormat="1" ht="20.149999618530273" customHeight="1">
      <x:c r="A18" s="563" t="inlineStr">
        <x:is>
          <x:t xml:space="preserve">Uwaga</x:t>
        </x:is>
      </x:c>
      <x:c r="B18" s="553" t="inlineStr">
        <x:is>
          <x:t xml:space="preserve">LED RGB CCT jest wyłączony ze strony w FIX18; pozostaje tylko jako opcja CRM/Bitrix.</x:t>
        </x:is>
      </x:c>
      <x:c r="D18" s="558" t="inlineStr">
        <x:is>
          <x:t xml:space="preserve">Suma montażu</x:t>
        </x:is>
      </x:c>
      <x:c r="E18" s="559" t="n">
        <x:f>SUM(F4:F15)</x:f>
        <x:v>4957</x:v>
      </x:c>
      <x:c r="F18" s="553" t="n"/>
      <x:c r="G18" s="553" t="n"/>
      <x:c r="H18" s="553" t="n"/>
    </x:row>
    <x:row r="19" s="655" customFormat="1" ht="20.149999618530273" customHeight="1">
      <x:c r="A19" s="564" t="inlineStr">
        <x:is>
          <x:t xml:space="preserve">Rabat indywidualny obniża końcową kwotę całego zamówienia po zsumowaniu konstrukcji/dodatków i montażu.</x:t>
        </x:is>
      </x:c>
      <x:c r="B19" s="553" t="n"/>
      <x:c r="D19" s="558" t="inlineStr">
        <x:is>
          <x:t xml:space="preserve">Razem przed rabatem</x:t>
        </x:is>
      </x:c>
      <x:c r="E19" s="559" t="n">
        <x:f>SUM(G4:G15)</x:f>
        <x:v>38301</x:v>
      </x:c>
      <x:c r="F19" s="553" t="n"/>
      <x:c r="G19" s="553" t="n"/>
      <x:c r="H19" s="553" t="n"/>
    </x:row>
    <x:row r="20" s="655" customFormat="1" ht="20.149999618530273" customHeight="1">
      <x:c r="A20" s="564" t="inlineStr">
        <x:is>
          <x:t xml:space="preserve">Kwoty w tym arkuszu są brutto. Ten arkusz symuluje uproszczony kalkulator strony. Kalkulator CRM jest w 08_Kalkulator_CRM.</x:t>
        </x:is>
      </x:c>
      <x:c r="B20" s="553" t="n"/>
      <x:c r="D20" s="558" t="inlineStr">
        <x:is>
          <x:t xml:space="preserve">Rabat indywidualny</x:t>
        </x:is>
      </x:c>
      <x:c r="E20" s="560" t="n">
        <x:f>$B$16</x:f>
        <x:v>0</x:v>
      </x:c>
      <x:c r="F20" s="553" t="n"/>
      <x:c r="G20" s="553" t="n"/>
      <x:c r="H20" s="553" t="n"/>
    </x:row>
    <x:row r="21" s="655" customFormat="1" ht="20.149999618530273" customHeight="1">
      <x:c r="A21" s="553" t="n"/>
      <x:c r="B21" s="553" t="n"/>
      <x:c r="D21" s="558" t="inlineStr">
        <x:is>
          <x:t xml:space="preserve">Kwota rabatu</x:t>
        </x:is>
      </x:c>
      <x:c r="E21" s="559" t="n">
        <x:f>ROUND(E19*E20,0)</x:f>
        <x:v>0</x:v>
      </x:c>
      <x:c r="F21" s="553" t="n"/>
      <x:c r="G21" s="553" t="n"/>
      <x:c r="H21" s="553" t="n"/>
    </x:row>
    <x:row r="22" s="655" customFormat="1" ht="20.149999618530273" customHeight="1">
      <x:c r="A22" s="553" t="n"/>
      <x:c r="B22" s="553" t="n"/>
      <x:c r="D22" s="558" t="inlineStr">
        <x:is>
          <x:t xml:space="preserve">Razem po rabacie</x:t>
        </x:is>
      </x:c>
      <x:c r="E22" s="561" t="n">
        <x:f>E19-E21</x:f>
        <x:v>38301</x:v>
      </x:c>
      <x:c r="F22" s="553" t="n"/>
      <x:c r="G22" s="553" t="n"/>
      <x:c r="H22" s="553" t="n"/>
    </x:row>
    <x:row r="23">
      <x:c r="A23" s="770" t="inlineStr">
        <x:is>
          <x:t xml:space="preserve">FIX20: lista wymiarów w B3 została naprawiona. Wymiar musi być wybierany z listy; ręczne wpisanie np. 450 x 550 nie zadziała, jeśli nie ma takiego wymiaru w cenniku.</x:t>
        </x:is>
      </x:c>
    </x:row>
    <x:row r="24">
      <x:c r="D24" s="553" t="n"/>
      <x:c r="E24" s="553" t="n"/>
      <x:c r="F24" s="553" t="n"/>
      <x:c r="G24" s="553" t="n"/>
      <x:c r="H24" s="553" t="n"/>
    </x:row>
  </x:sheetData>
  <x:mergeCells>
    <x:mergeCell ref="A23:H23"/>
  </x:mergeCells>
  <x:dataValidations count="6">
    <x:dataValidation type="list" allowBlank="0" showDropDown="0" showInputMessage="0" showErrorMessage="1" errorTitle="Nieprawidłowy wymiar" error="Wybierz wymiar z listy. Wartość musi być identyczna jak w cenniku, np. 450 x 506 cm." sqref="B3">
      <x:formula1>=DV_Wymiary</x:formula1>
    </x:dataValidation>
    <x:dataValidation type="list" allowBlank="0" showDropDown="0" showInputMessage="0" showErrorMessage="0" sqref="B4">
      <x:formula1>=DV_Sciany</x:formula1>
    </x:dataValidation>
    <x:dataValidation type="list" allowBlank="0" showDropDown="0" showInputMessage="0" showErrorMessage="0" sqref="B5">
      <x:formula1>=DV_Dach</x:formula1>
    </x:dataValidation>
    <x:dataValidation type="list" allowBlank="0" showDropDown="0" showInputMessage="0" showErrorMessage="0" sqref="B6:B10 B12:B14">
      <x:formula1>=DV_TakNie</x:formula1>
    </x:dataValidation>
    <x:dataValidation type="list" allowBlank="0" showDropDown="0" showInputMessage="0" showErrorMessage="0" sqref="B11">
      <x:formula1>=DV_LED</x:formula1>
    </x:dataValidation>
    <x:dataValidation type="decimal" operator="between" allowBlank="1" showDropDown="0" showInputMessage="0" showErrorMessage="1" errorTitle="Nieprawidłowy rabat" error="Wpisz rabat jako wartość od 0 do 1, np. 0,05 dla 5%." sqref="B16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5446ce7d74334049"/>
</x:worksheet>
</file>

<file path=xl/worksheets/sheet15.xml><?xml version="1.0" encoding="utf-8"?>
<x:worksheet xmlns:x="http://schemas.openxmlformats.org/spreadsheetml/2006/main">
  <x:sheetFormatPr baseColWidth="8" defaultRowHeight="14.75"/>
  <x:cols>
    <x:col min="1" max="1" width="45" style="655" customWidth="1"/>
    <x:col min="2" max="2" width="29.7265625" style="655" customWidth="1"/>
    <x:col min="3" max="3" width="12" style="655" customWidth="1"/>
    <x:col min="4" max="4" width="32.40625" style="655" customWidth="1"/>
    <x:col min="5" max="5" width="8.26953125" style="655" customWidth="1"/>
    <x:col min="6" max="6" width="19.1328125" style="655" customWidth="1"/>
    <x:col min="7" max="7" width="16" style="655" customWidth="1"/>
    <x:col min="8" max="8" width="12.86328125" style="655" customWidth="1"/>
    <x:col min="9" max="9" width="45" style="655" customWidth="1"/>
  </x:cols>
  <x:sheetData>
    <x:row r="1" s="655" customFormat="1" ht="21" customHeight="1">
      <x:c r="A1" s="760" t="inlineStr">
        <x:is>
          <x:t xml:space="preserve">Kalkulator CRM / oferta wewnętrzna</x:t>
        </x:is>
      </x:c>
      <x:c r="B1" s="761" t="n"/>
      <x:c r="C1" s="761" t="n"/>
      <x:c r="D1" s="761" t="n"/>
      <x:c r="E1" s="761" t="n"/>
      <x:c r="F1" s="761" t="n"/>
      <x:c r="G1" s="761" t="n"/>
      <x:c r="H1" s="761" t="n"/>
      <x:c r="I1" s="761" t="n"/>
    </x:row>
    <x:row r="2">
      <x:c r="A2" s="615" t="inlineStr">
        <x:is>
          <x:t xml:space="preserve">Ten arkusz liczy bardziej jak oferta/Bitrix: wybierasz produkt bazowy (ZP/ZS/OP/OS), a nie składasz ogród jako zadaszenie + ściany. 06_Test_konfiguracji zostaje symulatorem strony.</x:t>
        </x:is>
      </x:c>
    </x:row>
    <x:row r="4" s="655" customFormat="1" ht="30" customHeight="1">
      <x:c r="A4" s="566" t="inlineStr">
        <x:is>
          <x:t xml:space="preserve">Wymiar</x:t>
        </x:is>
      </x:c>
      <x:c r="B4" s="775" t="inlineStr">
        <x:is>
          <x:t xml:space="preserve">300 x 606 cm</x:t>
        </x:is>
      </x:c>
      <x:c r="D4" s="562" t="inlineStr">
        <x:is>
          <x:t xml:space="preserve">Pozycja</x:t>
        </x:is>
      </x:c>
      <x:c r="E4" s="562" t="inlineStr">
        <x:is>
          <x:t xml:space="preserve">Kod</x:t>
        </x:is>
      </x:c>
      <x:c r="F4" s="562" t="inlineStr">
        <x:is>
          <x:t xml:space="preserve">Konstrukcja/dodatki brutto</x:t>
        </x:is>
      </x:c>
      <x:c r="G4" s="562" t="inlineStr">
        <x:is>
          <x:t xml:space="preserve">Montaż brutto</x:t>
        </x:is>
      </x:c>
      <x:c r="H4" s="562" t="inlineStr">
        <x:is>
          <x:t xml:space="preserve">Razem brutto</x:t>
        </x:is>
      </x:c>
      <x:c r="I4" s="562" t="inlineStr">
        <x:is>
          <x:t xml:space="preserve">Komentarz</x:t>
        </x:is>
      </x:c>
    </x:row>
    <x:row r="5" s="655" customFormat="1" ht="30" customHeight="1">
      <x:c r="A5" s="566" t="inlineStr">
        <x:is>
          <x:t xml:space="preserve">Produkt bazowy</x:t>
        </x:is>
      </x:c>
      <x:c r="B5" s="775" t="inlineStr">
        <x:is>
          <x:t xml:space="preserve">Ogród zimowy szkło</x:t>
        </x:is>
      </x:c>
      <x:c r="D5" s="568" t="inlineStr">
        <x:is>
          <x:t xml:space="preserve">Produkt bazowy</x:t>
        </x:is>
      </x:c>
      <x:c r="E5" s="568" t="str">
        <x:f>$B$19</x:f>
        <x:v>OS</x:v>
      </x:c>
      <x:c r="F5" s="569" t="n">
        <x:f>IF(TRUE,ROUND(SUMIFS('03_Cennik_uslug_nowy'!$J:$J,'03_Cennik_uslug_nowy'!$A:$A,$B$4,'03_Cennik_uslug_nowy'!$B:$B,$E5)*$B$20,0),0)</x:f>
        <x:v>30658</x:v>
      </x:c>
      <x:c r="G5" s="569" t="n">
        <x:f>IF(TRUE,ROUND(SUMIFS('03_Cennik_uslug_nowy'!$K:$K,'03_Cennik_uslug_nowy'!$A:$A,$B$4,'03_Cennik_uslug_nowy'!$B:$B,$E5)*$B$20,0),0)</x:f>
        <x:v>4957</x:v>
      </x:c>
      <x:c r="H5" s="569" t="n">
        <x:f>F5+G5</x:f>
        <x:v>35615</x:v>
      </x:c>
      <x:c r="I5" s="568" t="inlineStr">
        <x:is>
          <x:t xml:space="preserve">ZP/ZS/OP/OS — tak jak w zapytaniu do dostawcy / Bitrix</x:t>
        </x:is>
      </x:c>
    </x:row>
    <x:row r="6" s="655" customFormat="1" ht="30" customHeight="1">
      <x:c r="A6" s="566" t="inlineStr">
        <x:is>
          <x:t xml:space="preserve">Dopłata dach/pokrycie</x:t>
        </x:is>
      </x:c>
      <x:c r="B6" s="775" t="inlineStr">
        <x:is>
          <x:t xml:space="preserve">brak / standard</x:t>
        </x:is>
      </x:c>
      <x:c r="D6" s="568" t="inlineStr">
        <x:is>
          <x:t xml:space="preserve">Dopłata dach/pokrycie</x:t>
        </x:is>
      </x:c>
      <x:c r="E6" s="568" t="str">
        <x:f>IF($B$6="poliwęglan barwiony","PDPB",IF($B$6="szkło barwione/mleczne","PDSB",""))</x:f>
      </x:c>
      <x:c r="F6" s="569" t="n">
        <x:f>IF($E6&lt;&gt;"",ROUND(SUMIFS('03_Cennik_uslug_nowy'!$J:$J,'03_Cennik_uslug_nowy'!$A:$A,$B$4,'03_Cennik_uslug_nowy'!$B:$B,$E6)*$B$20,0),0)</x:f>
        <x:v>0</x:v>
      </x:c>
      <x:c r="G6" s="569" t="n">
        <x:f>IF($E6&lt;&gt;"",ROUND(SUMIFS('03_Cennik_uslug_nowy'!$K:$K,'03_Cennik_uslug_nowy'!$A:$A,$B$4,'03_Cennik_uslug_nowy'!$B:$B,$E6)*$B$20,0),0)</x:f>
        <x:v>0</x:v>
      </x:c>
      <x:c r="H6" s="569" t="n">
        <x:f>F6+G6</x:f>
        <x:v>0</x:v>
      </x:c>
      <x:c r="I6" s="568" t="inlineStr">
        <x:is>
          <x:t xml:space="preserve">Opcjonalna dopłata: poliwęglan barwiony albo szkło barwione/mleczne</x:t>
        </x:is>
      </x:c>
    </x:row>
    <x:row r="7" s="655" customFormat="1" ht="30" customHeight="1">
      <x:c r="A7" s="566" t="inlineStr">
        <x:is>
          <x:t xml:space="preserve">Ściany boczne</x:t>
        </x:is>
      </x:c>
      <x:c r="B7" s="775" t="inlineStr">
        <x:is>
          <x:t xml:space="preserve">barwione / przyciemniane</x:t>
        </x:is>
      </x:c>
      <x:c r="D7" s="568" t="inlineStr">
        <x:is>
          <x:t xml:space="preserve">Dopłata ściany barwione</x:t>
        </x:is>
      </x:c>
      <x:c r="E7" s="568" t="str">
        <x:f>IF($B$7="barwione / przyciemniane","SBB","")</x:f>
        <x:v>SBB</x:v>
      </x:c>
      <x:c r="F7" s="569" t="n">
        <x:f>IF($E7&lt;&gt;"",ROUND(SUMIFS('03_Cennik_uslug_nowy'!$J:$J,'03_Cennik_uslug_nowy'!$A:$A,$B$4,'03_Cennik_uslug_nowy'!$B:$B,$E7)*$B$20,0),0)</x:f>
        <x:v>1834</x:v>
      </x:c>
      <x:c r="G7" s="569" t="n">
        <x:f>IF($E7&lt;&gt;"",ROUND(SUMIFS('03_Cennik_uslug_nowy'!$K:$K,'03_Cennik_uslug_nowy'!$A:$A,$B$4,'03_Cennik_uslug_nowy'!$B:$B,$E7)*$B$20,0),0)</x:f>
        <x:v>0</x:v>
      </x:c>
      <x:c r="H7" s="569" t="n">
        <x:f>F7+G7</x:f>
        <x:v>1834</x:v>
      </x:c>
      <x:c r="I7" s="568" t="inlineStr">
        <x:is>
          <x:t xml:space="preserve">Tylko jeśli ogród ma ściany boczne barwione/przyciemniane</x:t>
        </x:is>
      </x:c>
    </x:row>
    <x:row r="8">
      <x:c r="A8" s="566" t="inlineStr">
        <x:is>
          <x:t xml:space="preserve">Roleta prawa</x:t>
        </x:is>
      </x:c>
      <x:c r="B8" s="775" t="inlineStr">
        <x:is>
          <x:t xml:space="preserve">nie</x:t>
        </x:is>
      </x:c>
      <x:c r="D8" s="568" t="inlineStr">
        <x:is>
          <x:t xml:space="preserve">Roleta prawa</x:t>
        </x:is>
      </x:c>
      <x:c r="E8" s="568" t="inlineStr">
        <x:is>
          <x:t xml:space="preserve">RB</x:t>
        </x:is>
      </x:c>
      <x:c r="F8" s="569" t="n">
        <x:f>IF($B$8="tak",ROUND(SUMIFS('03_Cennik_uslug_nowy'!$J:$J,'03_Cennik_uslug_nowy'!$A:$A,$B$4,'03_Cennik_uslug_nowy'!$B:$B,$E8)*$B$20,0),0)</x:f>
        <x:v>0</x:v>
      </x:c>
      <x:c r="G8" s="569" t="n">
        <x:f>IF($B$8="tak",ROUND(SUMIFS('03_Cennik_uslug_nowy'!$K:$K,'03_Cennik_uslug_nowy'!$A:$A,$B$4,'03_Cennik_uslug_nowy'!$B:$B,$E8)*$B$20,0),0)</x:f>
        <x:v>0</x:v>
      </x:c>
      <x:c r="H8" s="569" t="n">
        <x:f>F8+G8</x:f>
        <x:v>0</x:v>
      </x:c>
      <x:c r="I8" s="568" t="n"/>
    </x:row>
    <x:row r="9">
      <x:c r="A9" s="566" t="inlineStr">
        <x:is>
          <x:t xml:space="preserve">Roleta lewa</x:t>
        </x:is>
      </x:c>
      <x:c r="B9" s="775" t="inlineStr">
        <x:is>
          <x:t xml:space="preserve">nie</x:t>
        </x:is>
      </x:c>
      <x:c r="D9" s="568" t="inlineStr">
        <x:is>
          <x:t xml:space="preserve">Roleta lewa</x:t>
        </x:is>
      </x:c>
      <x:c r="E9" s="568" t="inlineStr">
        <x:is>
          <x:t xml:space="preserve">RB</x:t>
        </x:is>
      </x:c>
      <x:c r="F9" s="569" t="n">
        <x:f>IF($B$9="tak",ROUND(SUMIFS('03_Cennik_uslug_nowy'!$J:$J,'03_Cennik_uslug_nowy'!$A:$A,$B$4,'03_Cennik_uslug_nowy'!$B:$B,$E9)*$B$20,0),0)</x:f>
        <x:v>0</x:v>
      </x:c>
      <x:c r="G9" s="569" t="n">
        <x:f>IF($B$9="tak",ROUND(SUMIFS('03_Cennik_uslug_nowy'!$K:$K,'03_Cennik_uslug_nowy'!$A:$A,$B$4,'03_Cennik_uslug_nowy'!$B:$B,$E9)*$B$20,0),0)</x:f>
        <x:v>0</x:v>
      </x:c>
      <x:c r="H9" s="569" t="n">
        <x:f>F9+G9</x:f>
        <x:v>0</x:v>
      </x:c>
      <x:c r="I9" s="568" t="n"/>
    </x:row>
    <x:row r="10">
      <x:c r="A10" s="566" t="inlineStr">
        <x:is>
          <x:t xml:space="preserve">Roleta przednia</x:t>
        </x:is>
      </x:c>
      <x:c r="B10" s="775" t="inlineStr">
        <x:is>
          <x:t xml:space="preserve">nie</x:t>
        </x:is>
      </x:c>
      <x:c r="D10" s="568" t="inlineStr">
        <x:is>
          <x:t xml:space="preserve">Roleta przednia</x:t>
        </x:is>
      </x:c>
      <x:c r="E10" s="568" t="inlineStr">
        <x:is>
          <x:t xml:space="preserve">RP</x:t>
        </x:is>
      </x:c>
      <x:c r="F10" s="569" t="n">
        <x:f>IF($B$10="tak",ROUND(SUMIFS('03_Cennik_uslug_nowy'!$J:$J,'03_Cennik_uslug_nowy'!$A:$A,$B$4,'03_Cennik_uslug_nowy'!$B:$B,$E10)*$B$20,0),0)</x:f>
        <x:v>0</x:v>
      </x:c>
      <x:c r="G10" s="569" t="n">
        <x:f>IF($B$10="tak",ROUND(SUMIFS('03_Cennik_uslug_nowy'!$K:$K,'03_Cennik_uslug_nowy'!$A:$A,$B$4,'03_Cennik_uslug_nowy'!$B:$B,$E10)*$B$20,0),0)</x:f>
        <x:v>0</x:v>
      </x:c>
      <x:c r="H10" s="569" t="n">
        <x:f>F10+G10</x:f>
        <x:v>0</x:v>
      </x:c>
      <x:c r="I10" s="568" t="n"/>
    </x:row>
    <x:row r="11">
      <x:c r="A11" s="566" t="inlineStr">
        <x:is>
          <x:t xml:space="preserve">Markiza</x:t>
        </x:is>
      </x:c>
      <x:c r="B11" s="775" t="inlineStr">
        <x:is>
          <x:t xml:space="preserve">nie</x:t>
        </x:is>
      </x:c>
      <x:c r="D11" s="568" t="inlineStr">
        <x:is>
          <x:t xml:space="preserve">Markiza</x:t>
        </x:is>
      </x:c>
      <x:c r="E11" s="568" t="inlineStr">
        <x:is>
          <x:t xml:space="preserve">M</x:t>
        </x:is>
      </x:c>
      <x:c r="F11" s="569" t="n">
        <x:f>IF($B$11="tak",ROUND(SUMIFS('03_Cennik_uslug_nowy'!$J:$J,'03_Cennik_uslug_nowy'!$A:$A,$B$4,'03_Cennik_uslug_nowy'!$B:$B,$E11)*$B$20,0),0)</x:f>
        <x:v>0</x:v>
      </x:c>
      <x:c r="G11" s="569" t="n">
        <x:f>IF($B$11="tak",ROUND(SUMIFS('03_Cennik_uslug_nowy'!$K:$K,'03_Cennik_uslug_nowy'!$A:$A,$B$4,'03_Cennik_uslug_nowy'!$B:$B,$E11)*$B$20,0),0)</x:f>
        <x:v>0</x:v>
      </x:c>
      <x:c r="H11" s="569" t="n">
        <x:f>F11+G11</x:f>
        <x:v>0</x:v>
      </x:c>
      <x:c r="I11" s="568" t="n"/>
    </x:row>
    <x:row r="12">
      <x:c r="A12" s="566" t="inlineStr">
        <x:is>
          <x:t xml:space="preserve">Fundament/profile</x:t>
        </x:is>
      </x:c>
      <x:c r="B12" s="775" t="inlineStr">
        <x:is>
          <x:t xml:space="preserve">nie</x:t>
        </x:is>
      </x:c>
      <x:c r="D12" s="568" t="inlineStr">
        <x:is>
          <x:t xml:space="preserve">Fundament/profile</x:t>
        </x:is>
      </x:c>
      <x:c r="E12" s="568" t="inlineStr">
        <x:is>
          <x:t xml:space="preserve">PDWP</x:t>
        </x:is>
      </x:c>
      <x:c r="F12" s="569" t="n">
        <x:f>IF($B$12="tak",ROUND(SUMIFS('03_Cennik_uslug_nowy'!$J:$J,'03_Cennik_uslug_nowy'!$A:$A,$B$4,'03_Cennik_uslug_nowy'!$B:$B,$E12)*$B$20,0),0)</x:f>
        <x:v>0</x:v>
      </x:c>
      <x:c r="G12" s="569" t="n">
        <x:f>IF($B$12="tak",ROUND(SUMIFS('03_Cennik_uslug_nowy'!$K:$K,'03_Cennik_uslug_nowy'!$A:$A,$B$4,'03_Cennik_uslug_nowy'!$B:$B,$E12)*$B$20,0),0)</x:f>
        <x:v>0</x:v>
      </x:c>
      <x:c r="H12" s="569" t="n">
        <x:f>F12+G12</x:f>
        <x:v>0</x:v>
      </x:c>
      <x:c r="I12" s="568" t="n"/>
    </x:row>
    <x:row r="13" s="655" customFormat="1" ht="30" customHeight="1">
      <x:c r="A13" s="566" t="inlineStr">
        <x:is>
          <x:t xml:space="preserve">LED</x:t>
        </x:is>
      </x:c>
      <x:c r="B13" s="775" t="inlineStr">
        <x:is>
          <x:t xml:space="preserve">brak</x:t>
        </x:is>
      </x:c>
      <x:c r="D13" s="568" t="inlineStr">
        <x:is>
          <x:t xml:space="preserve">LED</x:t>
        </x:is>
      </x:c>
      <x:c r="E13" s="568" t="str">
        <x:f>IF($B$13="LED punktowe",IF(VALUE(LEFT($B$4,3))&gt;=450,"LED3","LED2"),IF($B$13="LED CCT","LEDCCT",IF($B$13="LED RGB CCT","LEDRGBCCT","")))</x:f>
      </x:c>
      <x:c r="F13" s="569" t="n">
        <x:f>IF($E13&lt;&gt;"",ROUND(SUMIFS('03_Cennik_uslug_nowy'!$J:$J,'03_Cennik_uslug_nowy'!$A:$A,$B$4,'03_Cennik_uslug_nowy'!$B:$B,$E13)*$B$20,0),0)</x:f>
        <x:v>0</x:v>
      </x:c>
      <x:c r="G13" s="569" t="n">
        <x:f>IF($E13&lt;&gt;"",ROUND(SUMIFS('03_Cennik_uslug_nowy'!$K:$K,'03_Cennik_uslug_nowy'!$A:$A,$B$4,'03_Cennik_uslug_nowy'!$B:$B,$E13)*$B$20,0),0)</x:f>
        <x:v>0</x:v>
      </x:c>
      <x:c r="H13" s="569" t="n">
        <x:f>F13+G13</x:f>
        <x:v>0</x:v>
      </x:c>
      <x:c r="I13" s="568" t="inlineStr">
        <x:is>
          <x:t xml:space="preserve">CRM może używać LED punktowe / LED CCT / LED RGB CCT; na stronie LED RGB CCT wyłączone.</x:t>
        </x:is>
      </x:c>
    </x:row>
    <x:row r="14">
      <x:c r="A14" s="566" t="inlineStr">
        <x:is>
          <x:t xml:space="preserve">Szczotki</x:t>
        </x:is>
      </x:c>
      <x:c r="B14" s="775" t="inlineStr">
        <x:is>
          <x:t xml:space="preserve">nie</x:t>
        </x:is>
      </x:c>
      <x:c r="D14" s="568" t="inlineStr">
        <x:is>
          <x:t xml:space="preserve">Szczotki</x:t>
        </x:is>
      </x:c>
      <x:c r="E14" s="568" t="inlineStr">
        <x:is>
          <x:t xml:space="preserve">S</x:t>
        </x:is>
      </x:c>
      <x:c r="F14" s="569" t="n">
        <x:f>IF($B$14="tak",ROUND(SUMIFS('03_Cennik_uslug_nowy'!$J:$J,'03_Cennik_uslug_nowy'!$A:$A,$B$4,'03_Cennik_uslug_nowy'!$B:$B,$E14)*$B$20,0),0)</x:f>
        <x:v>0</x:v>
      </x:c>
      <x:c r="G14" s="569" t="n">
        <x:f>IF($B$14="tak",ROUND(SUMIFS('03_Cennik_uslug_nowy'!$K:$K,'03_Cennik_uslug_nowy'!$A:$A,$B$4,'03_Cennik_uslug_nowy'!$B:$B,$E14)*$B$20,0),0)</x:f>
        <x:v>0</x:v>
      </x:c>
      <x:c r="H14" s="569" t="n">
        <x:f>F14+G14</x:f>
        <x:v>0</x:v>
      </x:c>
      <x:c r="I14" s="568" t="n"/>
    </x:row>
    <x:row r="15">
      <x:c r="A15" s="566" t="inlineStr">
        <x:is>
          <x:t xml:space="preserve">Uchwyty</x:t>
        </x:is>
      </x:c>
      <x:c r="B15" s="775" t="inlineStr">
        <x:is>
          <x:t xml:space="preserve">nie</x:t>
        </x:is>
      </x:c>
      <x:c r="D15" s="568" t="inlineStr">
        <x:is>
          <x:t xml:space="preserve">Uchwyty</x:t>
        </x:is>
      </x:c>
      <x:c r="E15" s="568" t="inlineStr">
        <x:is>
          <x:t xml:space="preserve">U</x:t>
        </x:is>
      </x:c>
      <x:c r="F15" s="569" t="n">
        <x:f>IF($B$15="tak",ROUND(SUMIFS('03_Cennik_uslug_nowy'!$J:$J,'03_Cennik_uslug_nowy'!$A:$A,$B$4,'03_Cennik_uslug_nowy'!$B:$B,$E15)*$B$20,0),0)</x:f>
        <x:v>0</x:v>
      </x:c>
      <x:c r="G15" s="569" t="n">
        <x:f>IF($B$15="tak",ROUND(SUMIFS('03_Cennik_uslug_nowy'!$K:$K,'03_Cennik_uslug_nowy'!$A:$A,$B$4,'03_Cennik_uslug_nowy'!$B:$B,$E15)*$B$20,0),0)</x:f>
        <x:v>0</x:v>
      </x:c>
      <x:c r="H15" s="569" t="n">
        <x:f>F15+G15</x:f>
        <x:v>0</x:v>
      </x:c>
      <x:c r="I15" s="568" t="n"/>
    </x:row>
    <x:row r="16">
      <x:c r="A16" s="566" t="inlineStr">
        <x:is>
          <x:t xml:space="preserve">Zabieraki</x:t>
        </x:is>
      </x:c>
      <x:c r="B16" s="775" t="inlineStr">
        <x:is>
          <x:t xml:space="preserve">nie</x:t>
        </x:is>
      </x:c>
      <x:c r="D16" s="568" t="inlineStr">
        <x:is>
          <x:t xml:space="preserve">Zabieraki</x:t>
        </x:is>
      </x:c>
      <x:c r="E16" s="568" t="inlineStr">
        <x:is>
          <x:t xml:space="preserve">ZAB</x:t>
        </x:is>
      </x:c>
      <x:c r="F16" s="569" t="n">
        <x:f>IF($B$16="tak",ROUND(SUMIFS('03_Cennik_uslug_nowy'!$J:$J,'03_Cennik_uslug_nowy'!$A:$A,$B$4,'03_Cennik_uslug_nowy'!$B:$B,$E16)*$B$20,0),0)</x:f>
        <x:v>0</x:v>
      </x:c>
      <x:c r="G16" s="569" t="n">
        <x:f>IF($B$16="tak",ROUND(SUMIFS('03_Cennik_uslug_nowy'!$K:$K,'03_Cennik_uslug_nowy'!$A:$A,$B$4,'03_Cennik_uslug_nowy'!$B:$B,$E16)*$B$20,0),0)</x:f>
        <x:v>0</x:v>
      </x:c>
      <x:c r="H16" s="569" t="n">
        <x:f>F16+G16</x:f>
        <x:v>0</x:v>
      </x:c>
      <x:c r="I16" s="568" t="n"/>
    </x:row>
    <x:row r="17">
      <x:c r="A17" s="566" t="inlineStr">
        <x:is>
          <x:t xml:space="preserve">Rabat indywidualny</x:t>
        </x:is>
      </x:c>
      <x:c r="B17" s="776" t="n">
        <x:v>0</x:v>
      </x:c>
    </x:row>
    <x:row r="18">
      <x:c r="D18" s="571" t="inlineStr">
        <x:is>
          <x:t xml:space="preserve">Suma konstrukcji/dodatków brutto</x:t>
        </x:is>
      </x:c>
      <x:c r="E18" s="572" t="n">
        <x:f>SUM(F5:F16)</x:f>
        <x:v>32492</x:v>
      </x:c>
      <x:c r="G18" s="573" t="inlineStr">
        <x:is>
          <x:t xml:space="preserve">Kontrola</x:t>
        </x:is>
      </x:c>
      <x:c r="H18" s="573" t="inlineStr">
        <x:is>
          <x:t xml:space="preserve">Kwota</x:t>
        </x:is>
      </x:c>
      <x:c r="I18" s="573" t="inlineStr">
        <x:is>
          <x:t xml:space="preserve">Opis</x:t>
        </x:is>
      </x:c>
    </x:row>
    <x:row r="19">
      <x:c r="A19" s="574" t="inlineStr">
        <x:is>
          <x:t xml:space="preserve">Kod produktu bazowego</x:t>
        </x:is>
      </x:c>
      <x:c r="B19" s="568" t="str">
        <x:f>IF($B$5="Zadaszenie poliwęglan","ZP",IF($B$5="Zadaszenie szkło","ZS",IF($B$5="Ogród zimowy poliwęglan","OP",IF($B$5="Ogród zimowy szkło","OS",""))))</x:f>
        <x:v>OS</x:v>
      </x:c>
      <x:c r="D19" s="571" t="inlineStr">
        <x:is>
          <x:t xml:space="preserve">Suma montażu brutto</x:t>
        </x:is>
      </x:c>
      <x:c r="E19" s="572" t="n">
        <x:f>SUM(G5:G16)</x:f>
        <x:v>4957</x:v>
      </x:c>
      <x:c r="G19" s="575" t="inlineStr">
        <x:is>
          <x:t xml:space="preserve">Razem CRM</x:t>
        </x:is>
      </x:c>
      <x:c r="H19" s="576" t="n">
        <x:f>$E$23</x:f>
        <x:v>37449</x:v>
      </x:c>
      <x:c r="I19" s="575" t="inlineStr">
        <x:is>
          <x:t xml:space="preserve">Wynik tego arkusza</x:t>
        </x:is>
      </x:c>
    </x:row>
    <x:row r="20" s="655" customFormat="1" ht="30" customHeight="1">
      <x:c r="A20" s="574" t="inlineStr">
        <x:is>
          <x:t xml:space="preserve">VAT multiplier</x:t>
        </x:is>
      </x:c>
      <x:c r="B20" s="568" t="n">
        <x:f>IF('01_Ustawienia'!$B$4="ZWOLNIONY",1,1+'01_Ustawienia'!$B$7)</x:f>
        <x:v>1.08</x:v>
      </x:c>
      <x:c r="D20" s="571" t="inlineStr">
        <x:is>
          <x:t xml:space="preserve">Razem przed rabatem</x:t>
        </x:is>
      </x:c>
      <x:c r="E20" s="572" t="n">
        <x:f>SUM(H5:H16)</x:f>
        <x:v>37449</x:v>
      </x:c>
      <x:c r="G20" s="575" t="inlineStr">
        <x:is>
          <x:t xml:space="preserve">Razem symulator strony</x:t>
        </x:is>
      </x:c>
      <x:c r="H20" s="576" t="n">
        <x:f>'06_Test_konfiguracji'!$E$22</x:f>
        <x:v>38301</x:v>
      </x:c>
      <x:c r="I20" s="575" t="inlineStr">
        <x:is>
          <x:t xml:space="preserve">06_Test_konfiguracji, jeżeli ustawisz podobną konfigurację</x:t>
        </x:is>
      </x:c>
    </x:row>
    <x:row r="21" s="655" customFormat="1" ht="75" customHeight="1">
      <x:c r="A21" s="574" t="inlineStr">
        <x:is>
          <x:t xml:space="preserve">Uwaga</x:t>
        </x:is>
      </x:c>
      <x:c r="B21" s="568" t="inlineStr">
        <x:is>
          <x:t xml:space="preserve">Kwoty w tabeli są brutto dla klienta. Montaż netto z Cennik_uslug_nowy jest powiększany o VAT sprzedaży, jeżeli status VAT = CZYNNY VAT.</x:t>
        </x:is>
      </x:c>
      <x:c r="D21" s="571" t="inlineStr">
        <x:is>
          <x:t xml:space="preserve">Rabat indywidualny</x:t>
        </x:is>
      </x:c>
      <x:c r="E21" s="577" t="n">
        <x:f>$B$17</x:f>
        <x:v>0</x:v>
      </x:c>
      <x:c r="G21" s="575" t="inlineStr">
        <x:is>
          <x:t xml:space="preserve">Różnica CRM - strona</x:t>
        </x:is>
      </x:c>
      <x:c r="H21" s="576" t="n">
        <x:f>H19-H20</x:f>
        <x:v>-852</x:v>
      </x:c>
      <x:c r="I21" s="575" t="inlineStr">
        <x:is>
          <x:t xml:space="preserve">Pokazuje różnicę filozofii liczenia</x:t>
        </x:is>
      </x:c>
    </x:row>
    <x:row r="22" s="655" customFormat="1" ht="45" customHeight="1">
      <x:c r="A22" s="574" t="inlineStr">
        <x:is>
          <x:t xml:space="preserve">Mechanika LED punktowe</x:t>
        </x:is>
      </x:c>
      <x:c r="B22" s="568" t="inlineStr">
        <x:is>
          <x:t xml:space="preserve">300/350/400 → LED2, 450/500/550/600 → LED3. CRM może dodać LED RGB CCT; strona ma tylko LED punktowe i LED CCT.</x:t>
        </x:is>
      </x:c>
      <x:c r="D22" s="571" t="inlineStr">
        <x:is>
          <x:t xml:space="preserve">Kwota rabatu</x:t>
        </x:is>
      </x:c>
      <x:c r="E22" s="572" t="n">
        <x:f>ROUND(E20*E21,0)</x:f>
        <x:v>0</x:v>
      </x:c>
    </x:row>
    <x:row r="23">
      <x:c r="D23" s="571" t="inlineStr">
        <x:is>
          <x:t xml:space="preserve">Razem po rabacie</x:t>
        </x:is>
      </x:c>
      <x:c r="E23" s="572" t="n">
        <x:f>E20-E22</x:f>
        <x:v>37449</x:v>
      </x:c>
    </x:row>
  </x:sheetData>
  <x:mergeCells>
    <x:mergeCell ref="A2:I2"/>
  </x:mergeCells>
  <x:dataValidations count="8">
    <x:dataValidation type="list" allowBlank="0" showDropDown="0" showInputMessage="1" showErrorMessage="1" errorTitle="Nieprawidłowa wartość" error="Wybierz dokładny wymiar z listy, np. 550 x 606 cm." promptTitle="Wymiar" prompt="Wymiar musi istnieć w cenniku. Nie wpisuj ręcznie np. 450 x 550." sqref="B4">
      <x:formula1>=DV_Wymiary</x:formula1>
    </x:dataValidation>
    <x:dataValidation type="list" allowBlank="0" showDropDown="0" showInputMessage="1" showErrorMessage="1" errorTitle="Nieprawidłowa wartość" error="Wybierz wartość z listy rozwijanej." promptTitle="Produkt bazowy" prompt="Wybierz wartość z listy." sqref="B5">
      <x:formula1>"Zadaszenie poliwęglan,Zadaszenie szkło,Ogród zimowy poliwęglan,Ogród zimowy szkło"</x:formula1>
    </x:dataValidation>
    <x:dataValidation type="list" allowBlank="0" showDropDown="0" showInputMessage="1" showErrorMessage="1" errorTitle="Nieprawidłowa wartość" error="Wybierz wartość z listy rozwijanej." promptTitle="Dopłata dach/pokrycie" prompt="Wybierz wartość z listy." sqref="B6">
      <x:formula1>"brak / standard,poliwęglan barwiony,szkło barwione/mleczne"</x:formula1>
    </x:dataValidation>
    <x:dataValidation type="list" allowBlank="0" showDropDown="0" showInputMessage="1" showErrorMessage="1" errorTitle="Nieprawidłowa wartość" error="Wybierz wartość z listy rozwijanej." promptTitle="Ściany boczne" prompt="Wybierz wartość z listy." sqref="B7">
      <x:formula1>"nie dotyczy / standard,barwione / przyciemniane"</x:formula1>
    </x:dataValidation>
    <x:dataValidation type="list" allowBlank="0" showDropDown="0" showInputMessage="1" showErrorMessage="1" errorTitle="Nieprawidłowa wartość" error="Wybierz wartość z listy rozwijanej." promptTitle="Tak/Nie" prompt="Wybierz wartość z listy." sqref="B8:B12">
      <x:formula1>=DV_TakNie</x:formula1>
    </x:dataValidation>
    <x:dataValidation type="list" allowBlank="0" showDropDown="0" showInputMessage="1" showErrorMessage="1" errorTitle="Nieprawidłowa wartość" error="Wybierz wartość z listy rozwijanej." promptTitle="Tak/Nie" prompt="Wybierz wartość z listy." sqref="B14:B16">
      <x:formula1>=DV_TakNie</x:formula1>
    </x:dataValidation>
    <x:dataValidation type="list" allowBlank="0" showDropDown="0" showInputMessage="1" showErrorMessage="1" errorTitle="Nieprawidłowa wartość" error="Wybierz LED z listy CRM." promptTitle="LED CRM" prompt="CRM może używać LED RGB CCT; strona nadal go nie eksportuje." sqref="B13">
      <x:formula1>=DV_LED_CRM</x:formula1>
    </x:dataValidation>
    <x:dataValidation type="decimal" operator="between" allowBlank="0" showDropDown="0" showInputMessage="1" showErrorMessage="1" errorTitle="Nieprawidłowy rabat" error="Wpisz rabat jako liczbę od 0 do 1, np. 0,05 dla 5%." promptTitle="Rabat indywidualny" prompt="Wpisz 0–1, np. 0,05 = 5%." sqref="B17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7dc7b27980124d37"/>
</x:worksheet>
</file>

<file path=xl/worksheets/sheet16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baseColWidth="8" defaultRowHeight="14.75"/>
  <x:cols>
    <x:col min="1" max="1" width="12" style="655" customWidth="1"/>
    <x:col min="2" max="2" width="40" style="655" customWidth="1"/>
    <x:col min="3" max="3" width="31" style="655" customWidth="1"/>
    <x:col min="4" max="4" width="13" style="655" customWidth="1"/>
    <x:col min="5" max="5" width="17" style="655" customWidth="1"/>
    <x:col min="6" max="6" width="40" style="655" customWidth="1"/>
  </x:cols>
  <x:sheetData>
    <x:row r="1">
      <x:c r="A1" s="4" t="inlineStr">
        <x:is>
          <x:t xml:space="preserve">Kod</x:t>
        </x:is>
      </x:c>
      <x:c r="B1" s="4" t="inlineStr">
        <x:is>
          <x:t xml:space="preserve">Nazwa produktu/grupy</x:t>
        </x:is>
      </x:c>
      <x:c r="C1" s="4" t="inlineStr">
        <x:is>
          <x:t xml:space="preserve">Kategoria Bitrix</x:t>
        </x:is>
      </x:c>
      <x:c r="D1" s="4" t="inlineStr">
        <x:is>
          <x:t xml:space="preserve">Widoczność</x:t>
        </x:is>
      </x:c>
      <x:c r="E1" s="4" t="inlineStr">
        <x:is>
          <x:t xml:space="preserve">Źródło</x:t>
        </x:is>
      </x:c>
      <x:c r="F1" s="4" t="inlineStr">
        <x:is>
          <x:t xml:space="preserve">Uwagi</x:t>
        </x:is>
      </x:c>
    </x:row>
    <x:row r="2" s="655" customFormat="1" ht="30" customHeight="1">
      <x:c r="A2" s="6" t="inlineStr">
        <x:is>
          <x:t xml:space="preserve">ZP</x:t>
        </x:is>
      </x:c>
      <x:c r="B2" s="6" t="inlineStr">
        <x:is>
          <x:t xml:space="preserve">Zadaszenie poliwęglan - baza</x:t>
        </x:is>
      </x:c>
      <x:c r="C2" s="6" t="inlineStr">
        <x:is>
          <x:t xml:space="preserve">ZADASZENIE TARASU KONSTRUKCJA</x:t>
        </x:is>
      </x:c>
      <x:c r="D2" s="6" t="inlineStr">
        <x:is>
          <x:t xml:space="preserve">website+crm</x:t>
        </x:is>
      </x:c>
      <x:c r="E2" s="6" t="inlineStr">
        <x:is>
          <x:t xml:space="preserve">RAW_ZP B/C</x:t>
        </x:is>
      </x:c>
      <x:c r="F2" s="6" t="inlineStr">
        <x:is>
          <x:t xml:space="preserve">Baza dla kalkulatora</x:t>
        </x:is>
      </x:c>
    </x:row>
    <x:row r="3" s="655" customFormat="1" ht="30" customHeight="1">
      <x:c r="A3" s="6" t="inlineStr">
        <x:is>
          <x:t xml:space="preserve">ZS</x:t>
        </x:is>
      </x:c>
      <x:c r="B3" s="6" t="inlineStr">
        <x:is>
          <x:t xml:space="preserve">Zadaszenie szkło - pełna konstrukcja</x:t>
        </x:is>
      </x:c>
      <x:c r="C3" s="6" t="inlineStr">
        <x:is>
          <x:t xml:space="preserve">ZADASZENIE TARASU KONSTRUKCJA</x:t>
        </x:is>
      </x:c>
      <x:c r="D3" s="6" t="inlineStr">
        <x:is>
          <x:t xml:space="preserve">crm_only</x:t>
        </x:is>
      </x:c>
      <x:c r="E3" s="6" t="inlineStr">
        <x:is>
          <x:t xml:space="preserve">RAW_ZS B/C</x:t>
        </x:is>
      </x:c>
      <x:c r="F3" s="6" t="inlineStr">
        <x:is>
          <x:t xml:space="preserve">Referencyjne/full; strona zwykle używa ZP + PDS</x:t>
        </x:is>
      </x:c>
    </x:row>
    <x:row r="4">
      <x:c r="A4" s="6" t="inlineStr">
        <x:is>
          <x:t xml:space="preserve">OP</x:t>
        </x:is>
      </x:c>
      <x:c r="B4" s="6" t="inlineStr">
        <x:is>
          <x:t xml:space="preserve">Ogród zimowy poliwęglan - baza</x:t>
        </x:is>
      </x:c>
      <x:c r="C4" s="6" t="inlineStr">
        <x:is>
          <x:t xml:space="preserve">OGRÓD ZIMOWY (KONSTRUKCJA)</x:t>
        </x:is>
      </x:c>
      <x:c r="D4" s="6" t="inlineStr">
        <x:is>
          <x:t xml:space="preserve">website+crm</x:t>
        </x:is>
      </x:c>
      <x:c r="E4" s="6" t="inlineStr">
        <x:is>
          <x:t xml:space="preserve">RAW_OP B/C</x:t>
        </x:is>
      </x:c>
      <x:c r="F4" s="6" t="inlineStr">
        <x:is>
          <x:t xml:space="preserve">Do wyliczenia dopłaty za ściany</x:t>
        </x:is>
      </x:c>
    </x:row>
    <x:row r="5">
      <x:c r="A5" s="6" t="inlineStr">
        <x:is>
          <x:t xml:space="preserve">OS</x:t>
        </x:is>
      </x:c>
      <x:c r="B5" s="6" t="inlineStr">
        <x:is>
          <x:t xml:space="preserve">Ogród zimowy szkło - pełna konstrukcja</x:t>
        </x:is>
      </x:c>
      <x:c r="C5" s="6" t="inlineStr">
        <x:is>
          <x:t xml:space="preserve">OGRÓD ZIMOWY (KONSTRUKCJA)</x:t>
        </x:is>
      </x:c>
      <x:c r="D5" s="6" t="inlineStr">
        <x:is>
          <x:t xml:space="preserve">crm_only</x:t>
        </x:is>
      </x:c>
      <x:c r="E5" s="6" t="inlineStr">
        <x:is>
          <x:t xml:space="preserve">RAW_OS B/C</x:t>
        </x:is>
      </x:c>
      <x:c r="F5" s="6" t="inlineStr">
        <x:is>
          <x:t xml:space="preserve">Referencyjne/full</x:t>
        </x:is>
      </x:c>
    </x:row>
    <x:row r="6" s="655" customFormat="1" ht="30" customHeight="1">
      <x:c r="A6" s="6" t="inlineStr">
        <x:is>
          <x:t xml:space="preserve">PDS</x:t>
        </x:is>
      </x:c>
      <x:c r="B6" s="6" t="inlineStr">
        <x:is>
          <x:t xml:space="preserve">Dopłata dach szkło przezroczyste</x:t>
        </x:is>
      </x:c>
      <x:c r="C6" s="6" t="inlineStr">
        <x:is>
          <x:t xml:space="preserve">POKRYCIE DACHU</x:t>
        </x:is>
      </x:c>
      <x:c r="D6" s="6" t="inlineStr">
        <x:is>
          <x:t xml:space="preserve">website+crm</x:t>
        </x:is>
      </x:c>
      <x:c r="E6" s="6" t="inlineStr">
        <x:is>
          <x:t xml:space="preserve">RAW_ZS - RAW_ZP</x:t>
        </x:is>
      </x:c>
      <x:c r="F6" s="6" t="inlineStr">
        <x:is>
          <x:t xml:space="preserve">Dopłata do bazowego dachu poliwęglan</x:t>
        </x:is>
      </x:c>
    </x:row>
    <x:row r="7">
      <x:c r="A7" s="6" t="inlineStr">
        <x:is>
          <x:t xml:space="preserve">PDSB</x:t>
        </x:is>
      </x:c>
      <x:c r="B7" s="6" t="inlineStr">
        <x:is>
          <x:t xml:space="preserve">Dopłata dach szkło barwione/mleczne</x:t>
        </x:is>
      </x:c>
      <x:c r="C7" s="6" t="inlineStr">
        <x:is>
          <x:t xml:space="preserve">POKRYCIE DACHU</x:t>
        </x:is>
      </x:c>
      <x:c r="D7" s="6" t="inlineStr">
        <x:is>
          <x:t xml:space="preserve">website+crm</x:t>
        </x:is>
      </x:c>
      <x:c r="E7" s="6" t="inlineStr">
        <x:is>
          <x:t xml:space="preserve">RAW_ZS D/E</x:t>
        </x:is>
      </x:c>
      <x:c r="F7" s="6" t="inlineStr">
        <x:is>
          <x:t xml:space="preserve">Dodawane do PDS</x:t>
        </x:is>
      </x:c>
    </x:row>
    <x:row r="8">
      <x:c r="A8" s="6" t="inlineStr">
        <x:is>
          <x:t xml:space="preserve">PDPB</x:t>
        </x:is>
      </x:c>
      <x:c r="B8" s="6" t="inlineStr">
        <x:is>
          <x:t xml:space="preserve">Dopłata poliwęglan barwiony</x:t>
        </x:is>
      </x:c>
      <x:c r="C8" s="6" t="inlineStr">
        <x:is>
          <x:t xml:space="preserve">POKRYCIE DACHU</x:t>
        </x:is>
      </x:c>
      <x:c r="D8" s="6" t="inlineStr">
        <x:is>
          <x:t xml:space="preserve">website+crm</x:t>
        </x:is>
      </x:c>
      <x:c r="E8" s="6" t="inlineStr">
        <x:is>
          <x:t xml:space="preserve">RAW_ZP D/E</x:t>
        </x:is>
      </x:c>
      <x:c r="F8" s="6" t="n"/>
    </x:row>
    <x:row r="9">
      <x:c r="A9" s="6" t="inlineStr">
        <x:is>
          <x:t xml:space="preserve">SBB</x:t>
        </x:is>
      </x:c>
      <x:c r="B9" s="6" t="inlineStr">
        <x:is>
          <x:t xml:space="preserve">Dopłata szkło boczne przyciemniane</x:t>
        </x:is>
      </x:c>
      <x:c r="C9" s="6" t="inlineStr">
        <x:is>
          <x:t xml:space="preserve">SZYBY BOCZNE</x:t>
        </x:is>
      </x:c>
      <x:c r="D9" s="6" t="inlineStr">
        <x:is>
          <x:t xml:space="preserve">website+crm</x:t>
        </x:is>
      </x:c>
      <x:c r="E9" s="6" t="inlineStr">
        <x:is>
          <x:t xml:space="preserve">RAW_OP H/I</x:t>
        </x:is>
      </x:c>
      <x:c r="F9" s="6" t="inlineStr">
        <x:is>
          <x:t xml:space="preserve">Dodawane do ścian przezroczystych</x:t>
        </x:is>
      </x:c>
    </x:row>
    <x:row r="10">
      <x:c r="A10" s="6" t="inlineStr">
        <x:is>
          <x:t xml:space="preserve">RB</x:t>
        </x:is>
      </x:c>
      <x:c r="B10" s="6" t="inlineStr">
        <x:is>
          <x:t xml:space="preserve">Roleta boczna ZIP</x:t>
        </x:is>
      </x:c>
      <x:c r="C10" s="6" t="inlineStr">
        <x:is>
          <x:t xml:space="preserve">ROLETY BOCZNE</x:t>
        </x:is>
      </x:c>
      <x:c r="D10" s="6" t="inlineStr">
        <x:is>
          <x:t xml:space="preserve">website+crm</x:t>
        </x:is>
      </x:c>
      <x:c r="E10" s="6" t="inlineStr">
        <x:is>
          <x:t xml:space="preserve">RAW_ZP J/K</x:t>
        </x:is>
      </x:c>
      <x:c r="F10" s="6" t="inlineStr">
        <x:is>
          <x:t xml:space="preserve">Używana dla lewej i prawej</x:t>
        </x:is>
      </x:c>
    </x:row>
    <x:row r="11">
      <x:c r="A11" s="6" t="inlineStr">
        <x:is>
          <x:t xml:space="preserve">RP</x:t>
        </x:is>
      </x:c>
      <x:c r="B11" s="6" t="inlineStr">
        <x:is>
          <x:t xml:space="preserve">Roleta przednia ZIP</x:t>
        </x:is>
      </x:c>
      <x:c r="C11" s="6" t="inlineStr">
        <x:is>
          <x:t xml:space="preserve">ROLETY BOCZNE</x:t>
        </x:is>
      </x:c>
      <x:c r="D11" s="6" t="inlineStr">
        <x:is>
          <x:t xml:space="preserve">website+crm</x:t>
        </x:is>
      </x:c>
      <x:c r="E11" s="6" t="inlineStr">
        <x:is>
          <x:t xml:space="preserve">RAW_ZP N/O</x:t>
        </x:is>
      </x:c>
      <x:c r="F11" s="6" t="n"/>
    </x:row>
    <x:row r="12">
      <x:c r="A12" s="6" t="inlineStr">
        <x:is>
          <x:t xml:space="preserve">M</x:t>
        </x:is>
      </x:c>
      <x:c r="B12" s="6" t="inlineStr">
        <x:is>
          <x:t xml:space="preserve">Markiza dachowa</x:t>
        </x:is>
      </x:c>
      <x:c r="C12" s="6" t="inlineStr">
        <x:is>
          <x:t xml:space="preserve">MARKIZA</x:t>
        </x:is>
      </x:c>
      <x:c r="D12" s="6" t="inlineStr">
        <x:is>
          <x:t xml:space="preserve">website+crm</x:t>
        </x:is>
      </x:c>
      <x:c r="E12" s="6" t="inlineStr">
        <x:is>
          <x:t xml:space="preserve">RAW_ZP H/I</x:t>
        </x:is>
      </x:c>
      <x:c r="F12" s="6" t="n"/>
    </x:row>
    <x:row r="13">
      <x:c r="A13" s="6" t="inlineStr">
        <x:is>
          <x:t xml:space="preserve">PDWP</x:t>
        </x:is>
      </x:c>
      <x:c r="B13" s="6" t="inlineStr">
        <x:is>
          <x:t xml:space="preserve">Fundament/profile</x:t>
        </x:is>
      </x:c>
      <x:c r="C13" s="6" t="inlineStr">
        <x:is>
          <x:t xml:space="preserve">FUNDAMENT (PROFILE)</x:t>
        </x:is>
      </x:c>
      <x:c r="D13" s="6" t="inlineStr">
        <x:is>
          <x:t xml:space="preserve">website+crm</x:t>
        </x:is>
      </x:c>
      <x:c r="E13" s="6" t="inlineStr">
        <x:is>
          <x:t xml:space="preserve">RAW_OP AB/AC</x:t>
        </x:is>
      </x:c>
      <x:c r="F13" s="6" t="n"/>
    </x:row>
    <x:row r="14">
      <x:c r="A14" s="6" t="inlineStr">
        <x:is>
          <x:t xml:space="preserve">ZAB</x:t>
        </x:is>
      </x:c>
      <x:c r="B14" s="6" t="inlineStr">
        <x:is>
          <x:t xml:space="preserve">Zabieraki do ścian przesuwnych</x:t>
        </x:is>
      </x:c>
      <x:c r="C14" s="6" t="inlineStr">
        <x:is>
          <x:t xml:space="preserve">DODATKI</x:t>
        </x:is>
      </x:c>
      <x:c r="D14" s="6" t="inlineStr">
        <x:is>
          <x:t xml:space="preserve">crm_only</x:t>
        </x:is>
      </x:c>
      <x:c r="E14" s="6" t="inlineStr">
        <x:is>
          <x:t xml:space="preserve">RAW_OP AD/AE</x:t>
        </x:is>
      </x:c>
      <x:c r="F14" s="6" t="n"/>
    </x:row>
    <x:row r="15">
      <x:c r="A15" s="6" t="inlineStr">
        <x:is>
          <x:t xml:space="preserve">S</x:t>
        </x:is>
      </x:c>
      <x:c r="B15" s="6" t="inlineStr">
        <x:is>
          <x:t xml:space="preserve">Szczotki przeciwkurzowe</x:t>
        </x:is>
      </x:c>
      <x:c r="C15" s="6" t="inlineStr">
        <x:is>
          <x:t xml:space="preserve">DODATKI</x:t>
        </x:is>
      </x:c>
      <x:c r="D15" s="6" t="inlineStr">
        <x:is>
          <x:t xml:space="preserve">website+crm</x:t>
        </x:is>
      </x:c>
      <x:c r="E15" s="6" t="inlineStr">
        <x:is>
          <x:t xml:space="preserve">RAW_OP L/M</x:t>
        </x:is>
      </x:c>
      <x:c r="F15" s="6" t="n"/>
    </x:row>
    <x:row r="16">
      <x:c r="A16" s="6" t="inlineStr">
        <x:is>
          <x:t xml:space="preserve">U</x:t>
        </x:is>
      </x:c>
      <x:c r="B16" s="6" t="inlineStr">
        <x:is>
          <x:t xml:space="preserve">Uchwyty na szkło ścienne</x:t>
        </x:is>
      </x:c>
      <x:c r="C16" s="6" t="inlineStr">
        <x:is>
          <x:t xml:space="preserve">DODATKI</x:t>
        </x:is>
      </x:c>
      <x:c r="D16" s="6" t="inlineStr">
        <x:is>
          <x:t xml:space="preserve">website+crm</x:t>
        </x:is>
      </x:c>
      <x:c r="E16" s="6" t="inlineStr">
        <x:is>
          <x:t xml:space="preserve">RAW_OP N/O</x:t>
        </x:is>
      </x:c>
      <x:c r="F16" s="6" t="n"/>
    </x:row>
    <x:row r="17" s="655" customFormat="1" ht="45" customHeight="1">
      <x:c r="A17" s="6" t="inlineStr">
        <x:is>
          <x:t xml:space="preserve">LED2</x:t>
        </x:is>
      </x:c>
      <x:c r="B17" s="6" t="inlineStr">
        <x:is>
          <x:t xml:space="preserve">Oświetlenie LED 2 punkty</x:t>
        </x:is>
      </x:c>
      <x:c r="C17" s="6" t="inlineStr">
        <x:is>
          <x:t xml:space="preserve">OŚWIETLENIE</x:t>
        </x:is>
      </x:c>
      <x:c r="D17" s="6" t="inlineStr">
        <x:is>
          <x:t xml:space="preserve">source+crm</x:t>
        </x:is>
      </x:c>
      <x:c r="E17" s="6" t="inlineStr">
        <x:is>
          <x:t xml:space="preserve">RAW_ZP P/Q</x:t>
        </x:is>
      </x:c>
      <x:c r="F17" s="6" t="inlineStr">
        <x:is>
          <x:t xml:space="preserve">Źródło dla LED punktowe przy wymiarach 300/350/400. W konfiguratorze klient wybiera 'LED punktowe'.</x:t>
        </x:is>
      </x:c>
    </x:row>
    <x:row r="18" s="655" customFormat="1" ht="30" customHeight="1">
      <x:c r="A18" s="6" t="inlineStr">
        <x:is>
          <x:t xml:space="preserve">LED3</x:t>
        </x:is>
      </x:c>
      <x:c r="B18" s="6" t="inlineStr">
        <x:is>
          <x:t xml:space="preserve">Oświetlenie LED 3 punkty</x:t>
        </x:is>
      </x:c>
      <x:c r="C18" s="6" t="inlineStr">
        <x:is>
          <x:t xml:space="preserve">OŚWIETLENIE</x:t>
        </x:is>
      </x:c>
      <x:c r="D18" s="6" t="inlineStr">
        <x:is>
          <x:t xml:space="preserve">source+crm</x:t>
        </x:is>
      </x:c>
      <x:c r="E18" s="6" t="inlineStr">
        <x:is>
          <x:t xml:space="preserve">RAW_ZP R/S</x:t>
        </x:is>
      </x:c>
      <x:c r="F18" s="6" t="inlineStr">
        <x:is>
          <x:t xml:space="preserve">Źródło dla LED punktowe przy wymiarach 450/500. Nie traktować jako COB.</x:t>
        </x:is>
      </x:c>
    </x:row>
    <x:row r="19">
      <x:c r="A19" s="6" t="inlineStr">
        <x:is>
          <x:t xml:space="preserve">LEDCCT</x:t>
        </x:is>
      </x:c>
      <x:c r="B19" s="6" t="inlineStr">
        <x:is>
          <x:t xml:space="preserve">Oświetlenie LED CCT</x:t>
        </x:is>
      </x:c>
      <x:c r="C19" s="6" t="inlineStr">
        <x:is>
          <x:t xml:space="preserve">OŚWIETLENIE</x:t>
        </x:is>
      </x:c>
      <x:c r="D19" s="6" t="inlineStr">
        <x:is>
          <x:t xml:space="preserve">website+crm</x:t>
        </x:is>
      </x:c>
      <x:c r="E19" s="6" t="inlineStr">
        <x:is>
          <x:t xml:space="preserve">RAW_ZP T/U</x:t>
        </x:is>
      </x:c>
      <x:c r="F19" s="6" t="inlineStr">
        <x:is>
          <x:t xml:space="preserve">Opcja dodatkowa</x:t>
        </x:is>
      </x:c>
    </x:row>
    <x:row r="20">
      <x:c r="A20" s="6" t="inlineStr">
        <x:is>
          <x:t xml:space="preserve">LEDRGBCCT</x:t>
        </x:is>
      </x:c>
      <x:c r="B20" s="6" t="inlineStr">
        <x:is>
          <x:t xml:space="preserve">Oświetlenie LED RGB CCT</x:t>
        </x:is>
      </x:c>
      <x:c r="C20" s="6" t="inlineStr">
        <x:is>
          <x:t xml:space="preserve">OŚWIETLENIE</x:t>
        </x:is>
      </x:c>
      <x:c r="D20" s="6" t="inlineStr">
        <x:is>
          <x:t xml:space="preserve">website+crm</x:t>
        </x:is>
      </x:c>
      <x:c r="E20" s="6" t="inlineStr">
        <x:is>
          <x:t xml:space="preserve">RAW_ZP V/W</x:t>
        </x:is>
      </x:c>
      <x:c r="F20" s="6" t="inlineStr">
        <x:is>
          <x:t xml:space="preserve">Opcja dodatkowa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79f5b09a5164e9a"/>
  </x:tableParts>
</x:worksheet>
</file>

<file path=xl/worksheets/sheet17.xml><?xml version="1.0" encoding="utf-8"?>
<x:worksheet xmlns:x="http://schemas.openxmlformats.org/spreadsheetml/2006/main">
  <x:sheetFormatPr baseColWidth="8" defaultRowHeight="14.75"/>
  <x:cols>
    <x:col min="1" max="1" width="16" style="655" customWidth="1"/>
    <x:col min="2" max="3" width="17" style="655" customWidth="1"/>
    <x:col min="3" max="3" width="14" style="655" customWidth="1"/>
    <x:col min="4" max="4" width="18" style="655" customWidth="1"/>
    <x:col min="5" max="5" width="17" style="655" customWidth="1"/>
    <x:col min="6" max="6" width="14" style="655" customWidth="1"/>
    <x:col min="7" max="7" width="60" style="655" customWidth="1"/>
  </x:cols>
  <x:sheetData>
    <x:row r="1">
      <x:c r="A1" s="4" t="inlineStr">
        <x:is>
          <x:t xml:space="preserve">Wymiar</x:t>
        </x:is>
      </x:c>
      <x:c r="B1" s="4" t="inlineStr">
        <x:is>
          <x:t xml:space="preserve">LEDCCT_brutto</x:t>
        </x:is>
      </x:c>
      <x:c r="C1" s="4" t="inlineStr">
        <x:is>
          <x:t xml:space="preserve">LEDCCT_netto</x:t>
        </x:is>
      </x:c>
      <x:c r="D1" s="4" t="inlineStr">
        <x:is>
          <x:t xml:space="preserve">LEDRGBCCT_brutto</x:t>
        </x:is>
      </x:c>
      <x:c r="E1" s="4" t="inlineStr">
        <x:is>
          <x:t xml:space="preserve">LEDRGBCCT_netto</x:t>
        </x:is>
      </x:c>
      <x:c r="F1" s="706" t="inlineStr">
        <x:is>
          <x:t xml:space="preserve">Status ceny</x:t>
        </x:is>
      </x:c>
      <x:c r="G1" s="706" t="inlineStr">
        <x:is>
          <x:t xml:space="preserve">Metoda / uwagi</x:t>
        </x:is>
      </x:c>
    </x:row>
    <x:row r="2">
      <x:c r="A2" s="9" t="inlineStr">
        <x:is>
          <x:t xml:space="preserve">300 x 306 cm</x:t>
        </x:is>
      </x:c>
      <x:c r="B2" s="733" t="n">
        <x:v>972</x:v>
      </x:c>
      <x:c r="C2" s="734" t="n">
        <x:v>790.2439024390244</x:v>
      </x:c>
      <x:c r="D2" s="733" t="n">
        <x:v>1205</x:v>
      </x:c>
      <x:c r="E2" s="734" t="n">
        <x:v>979.6747967479675</x:v>
      </x:c>
      <x:c r="F2" s="709" t="inlineStr">
        <x:is>
          <x:t xml:space="preserve">RAW dostawcy</x:t>
        </x:is>
      </x:c>
      <x:c r="G2" s="710" t="inlineStr">
        <x:is>
          <x:t xml:space="preserve">Cena źródłowa z dostawcy</x:t>
        </x:is>
      </x:c>
    </x:row>
    <x:row r="3">
      <x:c r="A3" s="9" t="inlineStr">
        <x:is>
          <x:t xml:space="preserve">300 x 406 cm</x:t>
        </x:is>
      </x:c>
      <x:c r="B3" s="733" t="n">
        <x:v>1132</x:v>
      </x:c>
      <x:c r="C3" s="734" t="n">
        <x:v>920.3252032520326</x:v>
      </x:c>
      <x:c r="D3" s="733" t="n">
        <x:v>1476</x:v>
      </x:c>
      <x:c r="E3" s="734" t="n">
        <x:v>1200</x:v>
      </x:c>
      <x:c r="F3" s="709" t="inlineStr">
        <x:is>
          <x:t xml:space="preserve">RAW dostawcy</x:t>
        </x:is>
      </x:c>
      <x:c r="G3" s="710" t="inlineStr">
        <x:is>
          <x:t xml:space="preserve">Cena źródłowa z dostawcy</x:t>
        </x:is>
      </x:c>
    </x:row>
    <x:row r="4">
      <x:c r="A4" s="9" t="inlineStr">
        <x:is>
          <x:t xml:space="preserve">300 x 506 cm</x:t>
        </x:is>
      </x:c>
      <x:c r="B4" s="733" t="n">
        <x:v>1304</x:v>
      </x:c>
      <x:c r="C4" s="734" t="n">
        <x:v>1060.162601626016</x:v>
      </x:c>
      <x:c r="D4" s="733" t="n">
        <x:v>1747</x:v>
      </x:c>
      <x:c r="E4" s="734" t="n">
        <x:v>1420.325203252032</x:v>
      </x:c>
      <x:c r="F4" s="709" t="inlineStr">
        <x:is>
          <x:t xml:space="preserve">RAW dostawcy</x:t>
        </x:is>
      </x:c>
      <x:c r="G4" s="710" t="inlineStr">
        <x:is>
          <x:t xml:space="preserve">Cena źródłowa z dostawcy</x:t>
        </x:is>
      </x:c>
    </x:row>
    <x:row r="5">
      <x:c r="A5" s="9" t="inlineStr">
        <x:is>
          <x:t xml:space="preserve">300 x 606 cm</x:t>
        </x:is>
      </x:c>
      <x:c r="B5" s="733" t="n">
        <x:v>1304</x:v>
      </x:c>
      <x:c r="C5" s="734" t="n">
        <x:v>1060.162601626016</x:v>
      </x:c>
      <x:c r="D5" s="733" t="n">
        <x:v>2042</x:v>
      </x:c>
      <x:c r="E5" s="734" t="n">
        <x:v>1660.162601626016</x:v>
      </x:c>
      <x:c r="F5" s="709" t="inlineStr">
        <x:is>
          <x:t xml:space="preserve">RAW dostawcy</x:t>
        </x:is>
      </x:c>
      <x:c r="G5" s="710" t="inlineStr">
        <x:is>
          <x:t xml:space="preserve">Cena źródłowa z dostawcy</x:t>
        </x:is>
      </x:c>
    </x:row>
    <x:row r="6">
      <x:c r="A6" s="9" t="inlineStr">
        <x:is>
          <x:t xml:space="preserve">300 x 706 cm</x:t>
        </x:is>
      </x:c>
      <x:c r="B6" s="733" t="n">
        <x:v>1464</x:v>
      </x:c>
      <x:c r="C6" s="734" t="n">
        <x:v>1190.243902439024</x:v>
      </x:c>
      <x:c r="D6" s="733" t="n">
        <x:v>2325</x:v>
      </x:c>
      <x:c r="E6" s="734" t="n">
        <x:v>1890.243902439024</x:v>
      </x:c>
      <x:c r="F6" s="709" t="inlineStr">
        <x:is>
          <x:t xml:space="preserve">RAW dostawcy</x:t>
        </x:is>
      </x:c>
      <x:c r="G6" s="710" t="inlineStr">
        <x:is>
          <x:t xml:space="preserve">Cena źródłowa z dostawcy</x:t>
        </x:is>
      </x:c>
    </x:row>
    <x:row r="7">
      <x:c r="A7" s="9" t="inlineStr">
        <x:is>
          <x:t xml:space="preserve">300 x 806 cm</x:t>
        </x:is>
      </x:c>
      <x:c r="B7" s="733" t="n">
        <x:v>1648</x:v>
      </x:c>
      <x:c r="C7" s="734" t="n">
        <x:v>1339.837398373984</x:v>
      </x:c>
      <x:c r="D7" s="733" t="n">
        <x:v>2620</x:v>
      </x:c>
      <x:c r="E7" s="734" t="n">
        <x:v>2130.081300813008</x:v>
      </x:c>
      <x:c r="F7" s="709" t="inlineStr">
        <x:is>
          <x:t xml:space="preserve">RAW dostawcy</x:t>
        </x:is>
      </x:c>
      <x:c r="G7" s="710" t="inlineStr">
        <x:is>
          <x:t xml:space="preserve">Cena źródłowa z dostawcy</x:t>
        </x:is>
      </x:c>
    </x:row>
    <x:row r="8">
      <x:c r="A8" s="9" t="inlineStr">
        <x:is>
          <x:t xml:space="preserve">300 x 906 cm</x:t>
        </x:is>
      </x:c>
      <x:c r="B8" s="733" t="n">
        <x:v>1833</x:v>
      </x:c>
      <x:c r="C8" s="734" t="n">
        <x:v>1490.243902439024</x:v>
      </x:c>
      <x:c r="D8" s="733" t="n">
        <x:v>2915</x:v>
      </x:c>
      <x:c r="E8" s="734" t="n">
        <x:v>2369.918699186992</x:v>
      </x:c>
      <x:c r="F8" s="709" t="inlineStr">
        <x:is>
          <x:t xml:space="preserve">RAW dostawcy</x:t>
        </x:is>
      </x:c>
      <x:c r="G8" s="710" t="inlineStr">
        <x:is>
          <x:t xml:space="preserve">Cena źródłowa z dostawcy</x:t>
        </x:is>
      </x:c>
    </x:row>
    <x:row r="9">
      <x:c r="A9" s="9" t="inlineStr">
        <x:is>
          <x:t xml:space="preserve">300 x 1006 cm</x:t>
        </x:is>
      </x:c>
      <x:c r="B9" s="733" t="n">
        <x:v>2189</x:v>
      </x:c>
      <x:c r="C9" s="734" t="n">
        <x:v>1779.674796747968</x:v>
      </x:c>
      <x:c r="D9" s="733" t="n">
        <x:v>3198</x:v>
      </x:c>
      <x:c r="E9" s="734" t="n">
        <x:v>2600</x:v>
      </x:c>
      <x:c r="F9" s="709" t="inlineStr">
        <x:is>
          <x:t xml:space="preserve">RAW dostawcy</x:t>
        </x:is>
      </x:c>
      <x:c r="G9" s="710" t="inlineStr">
        <x:is>
          <x:t xml:space="preserve">Cena źródłowa z dostawcy</x:t>
        </x:is>
      </x:c>
    </x:row>
    <x:row r="10">
      <x:c r="A10" s="9" t="inlineStr">
        <x:is>
          <x:t xml:space="preserve">300 x 1106 cm</x:t>
        </x:is>
      </x:c>
      <x:c r="B10" s="733" t="n">
        <x:v>2374</x:v>
      </x:c>
      <x:c r="C10" s="734" t="n">
        <x:v>1930.081300813008</x:v>
      </x:c>
      <x:c r="D10" s="733" t="n">
        <x:v>3493</x:v>
      </x:c>
      <x:c r="E10" s="734" t="n">
        <x:v>2839.837398373984</x:v>
      </x:c>
      <x:c r="F10" s="709" t="inlineStr">
        <x:is>
          <x:t xml:space="preserve">RAW dostawcy</x:t>
        </x:is>
      </x:c>
      <x:c r="G10" s="710" t="inlineStr">
        <x:is>
          <x:t xml:space="preserve">Cena źródłowa z dostawcy</x:t>
        </x:is>
      </x:c>
    </x:row>
    <x:row r="11">
      <x:c r="A11" s="9" t="inlineStr">
        <x:is>
          <x:t xml:space="preserve">300 x 1206 cm</x:t>
        </x:is>
      </x:c>
      <x:c r="B11" s="733" t="n">
        <x:v>2546</x:v>
      </x:c>
      <x:c r="C11" s="734" t="n">
        <x:v>2069.918699186992</x:v>
      </x:c>
      <x:c r="D11" s="733" t="n">
        <x:v>3788</x:v>
      </x:c>
      <x:c r="E11" s="734" t="n">
        <x:v>3079.674796747967</x:v>
      </x:c>
      <x:c r="F11" s="709" t="inlineStr">
        <x:is>
          <x:t xml:space="preserve">RAW dostawcy</x:t>
        </x:is>
      </x:c>
      <x:c r="G11" s="710" t="inlineStr">
        <x:is>
          <x:t xml:space="preserve">Cena źródłowa z dostawcy</x:t>
        </x:is>
      </x:c>
    </x:row>
    <x:row r="12">
      <x:c r="A12" s="9" t="inlineStr">
        <x:is>
          <x:t xml:space="preserve">350 x 306 cm</x:t>
        </x:is>
      </x:c>
      <x:c r="B12" s="733" t="n">
        <x:v>1009</x:v>
      </x:c>
      <x:c r="C12" s="734" t="n">
        <x:v>820.3252032520326</x:v>
      </x:c>
      <x:c r="D12" s="733" t="n">
        <x:v>1279</x:v>
      </x:c>
      <x:c r="E12" s="734" t="n">
        <x:v>1039.837398373984</x:v>
      </x:c>
      <x:c r="F12" s="709" t="inlineStr">
        <x:is>
          <x:t xml:space="preserve">RAW dostawcy</x:t>
        </x:is>
      </x:c>
      <x:c r="G12" s="710" t="inlineStr">
        <x:is>
          <x:t xml:space="preserve">Cena źródłowa z dostawcy</x:t>
        </x:is>
      </x:c>
    </x:row>
    <x:row r="13">
      <x:c r="A13" s="9" t="inlineStr">
        <x:is>
          <x:t xml:space="preserve">350 x 406 cm</x:t>
        </x:is>
      </x:c>
      <x:c r="B13" s="733" t="n">
        <x:v>1205</x:v>
      </x:c>
      <x:c r="C13" s="734" t="n">
        <x:v>979.6747967479675</x:v>
      </x:c>
      <x:c r="D13" s="733" t="n">
        <x:v>1599</x:v>
      </x:c>
      <x:c r="E13" s="734" t="n">
        <x:v>1300</x:v>
      </x:c>
      <x:c r="F13" s="709" t="inlineStr">
        <x:is>
          <x:t xml:space="preserve">RAW dostawcy</x:t>
        </x:is>
      </x:c>
      <x:c r="G13" s="710" t="inlineStr">
        <x:is>
          <x:t xml:space="preserve">Cena źródłowa z dostawcy</x:t>
        </x:is>
      </x:c>
    </x:row>
    <x:row r="14">
      <x:c r="A14" s="9" t="inlineStr">
        <x:is>
          <x:t xml:space="preserve">350 x 506 cm</x:t>
        </x:is>
      </x:c>
      <x:c r="B14" s="733" t="n">
        <x:v>1390</x:v>
      </x:c>
      <x:c r="C14" s="734" t="n">
        <x:v>1130.081300813008</x:v>
      </x:c>
      <x:c r="D14" s="733" t="n">
        <x:v>1907</x:v>
      </x:c>
      <x:c r="E14" s="734" t="n">
        <x:v>1550.406504065041</x:v>
      </x:c>
      <x:c r="F14" s="709" t="inlineStr">
        <x:is>
          <x:t xml:space="preserve">RAW dostawcy</x:t>
        </x:is>
      </x:c>
      <x:c r="G14" s="710" t="inlineStr">
        <x:is>
          <x:t xml:space="preserve">Cena źródłowa z dostawcy</x:t>
        </x:is>
      </x:c>
    </x:row>
    <x:row r="15">
      <x:c r="A15" s="9" t="inlineStr">
        <x:is>
          <x:t xml:space="preserve">350 x 606 cm</x:t>
        </x:is>
      </x:c>
      <x:c r="B15" s="733" t="n">
        <x:v>1587</x:v>
      </x:c>
      <x:c r="C15" s="734" t="n">
        <x:v>1290.243902439024</x:v>
      </x:c>
      <x:c r="D15" s="733" t="n">
        <x:v>2239</x:v>
      </x:c>
      <x:c r="E15" s="734" t="n">
        <x:v>1820.325203252032</x:v>
      </x:c>
      <x:c r="F15" s="709" t="inlineStr">
        <x:is>
          <x:t xml:space="preserve">RAW dostawcy</x:t>
        </x:is>
      </x:c>
      <x:c r="G15" s="710" t="inlineStr">
        <x:is>
          <x:t xml:space="preserve">Cena źródłowa z dostawcy</x:t>
        </x:is>
      </x:c>
    </x:row>
    <x:row r="16">
      <x:c r="A16" s="9" t="inlineStr">
        <x:is>
          <x:t xml:space="preserve">350 x 706 cm</x:t>
        </x:is>
      </x:c>
      <x:c r="B16" s="733" t="n">
        <x:v>1784</x:v>
      </x:c>
      <x:c r="C16" s="734" t="n">
        <x:v>1450.406504065041</x:v>
      </x:c>
      <x:c r="D16" s="733" t="n">
        <x:v>2571</x:v>
      </x:c>
      <x:c r="E16" s="734" t="n">
        <x:v>2090.243902439025</x:v>
      </x:c>
      <x:c r="F16" s="709" t="inlineStr">
        <x:is>
          <x:t xml:space="preserve">RAW dostawcy</x:t>
        </x:is>
      </x:c>
      <x:c r="G16" s="710" t="inlineStr">
        <x:is>
          <x:t xml:space="preserve">Cena źródłowa z dostawcy</x:t>
        </x:is>
      </x:c>
    </x:row>
    <x:row r="17">
      <x:c r="A17" s="9" t="inlineStr">
        <x:is>
          <x:t xml:space="preserve">350 x 806 cm</x:t>
        </x:is>
      </x:c>
      <x:c r="B17" s="733" t="n">
        <x:v>1993</x:v>
      </x:c>
      <x:c r="C17" s="734" t="n">
        <x:v>1620.325203252032</x:v>
      </x:c>
      <x:c r="D17" s="733" t="n">
        <x:v>2891</x:v>
      </x:c>
      <x:c r="E17" s="734" t="n">
        <x:v>2350.406504065041</x:v>
      </x:c>
      <x:c r="F17" s="709" t="inlineStr">
        <x:is>
          <x:t xml:space="preserve">RAW dostawcy</x:t>
        </x:is>
      </x:c>
      <x:c r="G17" s="710" t="inlineStr">
        <x:is>
          <x:t xml:space="preserve">Cena źródłowa z dostawcy</x:t>
        </x:is>
      </x:c>
    </x:row>
    <x:row r="18">
      <x:c r="A18" s="9" t="inlineStr">
        <x:is>
          <x:t xml:space="preserve">350 x 906 cm</x:t>
        </x:is>
      </x:c>
      <x:c r="B18" s="733" t="n">
        <x:v>2189</x:v>
      </x:c>
      <x:c r="C18" s="734" t="n">
        <x:v>1779.674796747968</x:v>
      </x:c>
      <x:c r="D18" s="733" t="n">
        <x:v>3223</x:v>
      </x:c>
      <x:c r="E18" s="734" t="n">
        <x:v>2620.325203252033</x:v>
      </x:c>
      <x:c r="F18" s="709" t="inlineStr">
        <x:is>
          <x:t xml:space="preserve">RAW dostawcy</x:t>
        </x:is>
      </x:c>
      <x:c r="G18" s="710" t="inlineStr">
        <x:is>
          <x:t xml:space="preserve">Cena źródłowa z dostawcy</x:t>
        </x:is>
      </x:c>
    </x:row>
    <x:row r="19">
      <x:c r="A19" s="9" t="inlineStr">
        <x:is>
          <x:t xml:space="preserve">350 x 1006 cm</x:t>
        </x:is>
      </x:c>
      <x:c r="B19" s="733" t="n">
        <x:v>2399</x:v>
      </x:c>
      <x:c r="C19" s="734" t="n">
        <x:v>1950.406504065041</x:v>
      </x:c>
      <x:c r="D19" s="733" t="n">
        <x:v>3555</x:v>
      </x:c>
      <x:c r="E19" s="734" t="n">
        <x:v>2890.243902439025</x:v>
      </x:c>
      <x:c r="F19" s="709" t="inlineStr">
        <x:is>
          <x:t xml:space="preserve">RAW dostawcy</x:t>
        </x:is>
      </x:c>
      <x:c r="G19" s="710" t="inlineStr">
        <x:is>
          <x:t xml:space="preserve">Cena źródłowa z dostawcy</x:t>
        </x:is>
      </x:c>
    </x:row>
    <x:row r="20">
      <x:c r="A20" s="9" t="inlineStr">
        <x:is>
          <x:t xml:space="preserve">350 x 1106 cm</x:t>
        </x:is>
      </x:c>
      <x:c r="B20" s="733" t="n">
        <x:v>2595</x:v>
      </x:c>
      <x:c r="C20" s="734" t="n">
        <x:v>2109.756097560976</x:v>
      </x:c>
      <x:c r="D20" s="733" t="n">
        <x:v>3887</x:v>
      </x:c>
      <x:c r="E20" s="734" t="n">
        <x:v>3160.162601626016</x:v>
      </x:c>
      <x:c r="F20" s="709" t="inlineStr">
        <x:is>
          <x:t xml:space="preserve">RAW dostawcy</x:t>
        </x:is>
      </x:c>
      <x:c r="G20" s="710" t="inlineStr">
        <x:is>
          <x:t xml:space="preserve">Cena źródłowa z dostawcy</x:t>
        </x:is>
      </x:c>
    </x:row>
    <x:row r="21">
      <x:c r="A21" s="9" t="inlineStr">
        <x:is>
          <x:t xml:space="preserve">350 x 1206 cm</x:t>
        </x:is>
      </x:c>
      <x:c r="B21" s="733" t="n">
        <x:v>2804</x:v>
      </x:c>
      <x:c r="C21" s="734" t="n">
        <x:v>2279.674796747967</x:v>
      </x:c>
      <x:c r="D21" s="733" t="n">
        <x:v>4219</x:v>
      </x:c>
      <x:c r="E21" s="734" t="n">
        <x:v>3430.081300813008</x:v>
      </x:c>
      <x:c r="F21" s="709" t="inlineStr">
        <x:is>
          <x:t xml:space="preserve">RAW dostawcy</x:t>
        </x:is>
      </x:c>
      <x:c r="G21" s="710" t="inlineStr">
        <x:is>
          <x:t xml:space="preserve">Cena źródłowa z dostawcy</x:t>
        </x:is>
      </x:c>
    </x:row>
    <x:row r="22">
      <x:c r="A22" s="9" t="inlineStr">
        <x:is>
          <x:t xml:space="preserve">400 x 306 cm</x:t>
        </x:is>
      </x:c>
      <x:c r="B22" s="733" t="n">
        <x:v>1058</x:v>
      </x:c>
      <x:c r="C22" s="734" t="n">
        <x:v>860.1626016260162</x:v>
      </x:c>
      <x:c r="D22" s="733" t="n">
        <x:v>1365</x:v>
      </x:c>
      <x:c r="E22" s="734" t="n">
        <x:v>1109.756097560976</x:v>
      </x:c>
      <x:c r="F22" s="709" t="inlineStr">
        <x:is>
          <x:t xml:space="preserve">RAW dostawcy</x:t>
        </x:is>
      </x:c>
      <x:c r="G22" s="710" t="inlineStr">
        <x:is>
          <x:t xml:space="preserve">Cena źródłowa z dostawcy</x:t>
        </x:is>
      </x:c>
    </x:row>
    <x:row r="23">
      <x:c r="A23" s="9" t="inlineStr">
        <x:is>
          <x:t xml:space="preserve">400 x 406 cm</x:t>
        </x:is>
      </x:c>
      <x:c r="B23" s="733" t="n">
        <x:v>1279</x:v>
      </x:c>
      <x:c r="C23" s="734" t="n">
        <x:v>1039.837398373984</x:v>
      </x:c>
      <x:c r="D23" s="733" t="n">
        <x:v>1710</x:v>
      </x:c>
      <x:c r="E23" s="734" t="n">
        <x:v>1390.243902439024</x:v>
      </x:c>
      <x:c r="F23" s="709" t="inlineStr">
        <x:is>
          <x:t xml:space="preserve">RAW dostawcy</x:t>
        </x:is>
      </x:c>
      <x:c r="G23" s="710" t="inlineStr">
        <x:is>
          <x:t xml:space="preserve">Cena źródłowa z dostawcy</x:t>
        </x:is>
      </x:c>
    </x:row>
    <x:row r="24">
      <x:c r="A24" s="9" t="inlineStr">
        <x:is>
          <x:t xml:space="preserve">400 x 506 cm</x:t>
        </x:is>
      </x:c>
      <x:c r="B24" s="733" t="n">
        <x:v>1488</x:v>
      </x:c>
      <x:c r="C24" s="734" t="n">
        <x:v>1209.756097560976</x:v>
      </x:c>
      <x:c r="D24" s="733" t="n">
        <x:v>2054</x:v>
      </x:c>
      <x:c r="E24" s="734" t="n">
        <x:v>1669.918699186992</x:v>
      </x:c>
      <x:c r="F24" s="709" t="inlineStr">
        <x:is>
          <x:t xml:space="preserve">RAW dostawcy</x:t>
        </x:is>
      </x:c>
      <x:c r="G24" s="710" t="inlineStr">
        <x:is>
          <x:t xml:space="preserve">Cena źródłowa z dostawcy</x:t>
        </x:is>
      </x:c>
    </x:row>
    <x:row r="25">
      <x:c r="A25" s="9" t="inlineStr">
        <x:is>
          <x:t xml:space="preserve">400 x 606 cm</x:t>
        </x:is>
      </x:c>
      <x:c r="B25" s="733" t="n">
        <x:v>1697</x:v>
      </x:c>
      <x:c r="C25" s="734" t="n">
        <x:v>1379.674796747968</x:v>
      </x:c>
      <x:c r="D25" s="733" t="n">
        <x:v>2423</x:v>
      </x:c>
      <x:c r="E25" s="734" t="n">
        <x:v>1969.918699186992</x:v>
      </x:c>
      <x:c r="F25" s="709" t="inlineStr">
        <x:is>
          <x:t xml:space="preserve">RAW dostawcy</x:t>
        </x:is>
      </x:c>
      <x:c r="G25" s="710" t="inlineStr">
        <x:is>
          <x:t xml:space="preserve">Cena źródłowa z dostawcy</x:t>
        </x:is>
      </x:c>
    </x:row>
    <x:row r="26">
      <x:c r="A26" s="9" t="inlineStr">
        <x:is>
          <x:t xml:space="preserve">400 x 706 cm</x:t>
        </x:is>
      </x:c>
      <x:c r="B26" s="733" t="n">
        <x:v>1919</x:v>
      </x:c>
      <x:c r="C26" s="734" t="n">
        <x:v>1560.162601626016</x:v>
      </x:c>
      <x:c r="D26" s="733" t="n">
        <x:v>2792</x:v>
      </x:c>
      <x:c r="E26" s="734" t="n">
        <x:v>2269.918699186992</x:v>
      </x:c>
      <x:c r="F26" s="709" t="inlineStr">
        <x:is>
          <x:t xml:space="preserve">RAW dostawcy</x:t>
        </x:is>
      </x:c>
      <x:c r="G26" s="710" t="inlineStr">
        <x:is>
          <x:t xml:space="preserve">Cena źródłowa z dostawcy</x:t>
        </x:is>
      </x:c>
    </x:row>
    <x:row r="27">
      <x:c r="A27" s="9" t="inlineStr">
        <x:is>
          <x:t xml:space="preserve">400 x 806 cm</x:t>
        </x:is>
      </x:c>
      <x:c r="B27" s="733" t="n">
        <x:v>2153</x:v>
      </x:c>
      <x:c r="C27" s="734" t="n">
        <x:v>1750.406504065041</x:v>
      </x:c>
      <x:c r="D27" s="733" t="n">
        <x:v>3161</x:v>
      </x:c>
      <x:c r="E27" s="734" t="n">
        <x:v>2569.918699186992</x:v>
      </x:c>
      <x:c r="F27" s="709" t="inlineStr">
        <x:is>
          <x:t xml:space="preserve">RAW dostawcy</x:t>
        </x:is>
      </x:c>
      <x:c r="G27" s="710" t="inlineStr">
        <x:is>
          <x:t xml:space="preserve">Cena źródłowa z dostawcy</x:t>
        </x:is>
      </x:c>
    </x:row>
    <x:row r="28">
      <x:c r="A28" s="9" t="inlineStr">
        <x:is>
          <x:t xml:space="preserve">400 x 906 cm</x:t>
        </x:is>
      </x:c>
      <x:c r="B28" s="733" t="n">
        <x:v>2374</x:v>
      </x:c>
      <x:c r="C28" s="734" t="n">
        <x:v>1930.081300813008</x:v>
      </x:c>
      <x:c r="D28" s="733" t="n">
        <x:v>3530</x:v>
      </x:c>
      <x:c r="E28" s="734" t="n">
        <x:v>2869.918699186992</x:v>
      </x:c>
      <x:c r="F28" s="709" t="inlineStr">
        <x:is>
          <x:t xml:space="preserve">RAW dostawcy</x:t>
        </x:is>
      </x:c>
      <x:c r="G28" s="710" t="inlineStr">
        <x:is>
          <x:t xml:space="preserve">Cena źródłowa z dostawcy</x:t>
        </x:is>
      </x:c>
    </x:row>
    <x:row r="29">
      <x:c r="A29" s="9" t="inlineStr">
        <x:is>
          <x:t xml:space="preserve">400 x 1006 cm</x:t>
        </x:is>
      </x:c>
      <x:c r="B29" s="733" t="n">
        <x:v>2595</x:v>
      </x:c>
      <x:c r="C29" s="734" t="n">
        <x:v>2109.756097560976</x:v>
      </x:c>
      <x:c r="D29" s="733" t="n">
        <x:v>3899</x:v>
      </x:c>
      <x:c r="E29" s="734" t="n">
        <x:v>3169.918699186992</x:v>
      </x:c>
      <x:c r="F29" s="709" t="inlineStr">
        <x:is>
          <x:t xml:space="preserve">RAW dostawcy</x:t>
        </x:is>
      </x:c>
      <x:c r="G29" s="710" t="inlineStr">
        <x:is>
          <x:t xml:space="preserve">Cena źródłowa z dostawcy</x:t>
        </x:is>
      </x:c>
    </x:row>
    <x:row r="30">
      <x:c r="A30" s="9" t="inlineStr">
        <x:is>
          <x:t xml:space="preserve">400 x 1106 cm</x:t>
        </x:is>
      </x:c>
      <x:c r="B30" s="733" t="n">
        <x:v>2829</x:v>
      </x:c>
      <x:c r="C30" s="734" t="n">
        <x:v>2300</x:v>
      </x:c>
      <x:c r="D30" s="733" t="n">
        <x:v>4268</x:v>
      </x:c>
      <x:c r="E30" s="734" t="n">
        <x:v>3469.918699186992</x:v>
      </x:c>
      <x:c r="F30" s="709" t="inlineStr">
        <x:is>
          <x:t xml:space="preserve">RAW dostawcy</x:t>
        </x:is>
      </x:c>
      <x:c r="G30" s="710" t="inlineStr">
        <x:is>
          <x:t xml:space="preserve">Cena źródłowa z dostawcy</x:t>
        </x:is>
      </x:c>
    </x:row>
    <x:row r="31">
      <x:c r="A31" s="9" t="inlineStr">
        <x:is>
          <x:t xml:space="preserve">400 x 1206 cm</x:t>
        </x:is>
      </x:c>
      <x:c r="B31" s="733" t="n">
        <x:v>3050</x:v>
      </x:c>
      <x:c r="C31" s="734" t="n">
        <x:v>2479.674796747967</x:v>
      </x:c>
      <x:c r="D31" s="733" t="n">
        <x:v>4637</x:v>
      </x:c>
      <x:c r="E31" s="734" t="n">
        <x:v>3769.918699186992</x:v>
      </x:c>
      <x:c r="F31" s="709" t="inlineStr">
        <x:is>
          <x:t xml:space="preserve">RAW dostawcy</x:t>
        </x:is>
      </x:c>
      <x:c r="G31" s="710" t="inlineStr">
        <x:is>
          <x:t xml:space="preserve">Cena źródłowa z dostawcy</x:t>
        </x:is>
      </x:c>
    </x:row>
    <x:row r="32">
      <x:c r="A32" s="9" t="inlineStr">
        <x:is>
          <x:t xml:space="preserve">450 x 306 cm</x:t>
        </x:is>
      </x:c>
      <x:c r="B32" s="735" t="n">
        <x:v>1401</x:v>
      </x:c>
      <x:c r="C32" s="736" t="n">
        <x:v>1139.024390243902</x:v>
      </x:c>
      <x:c r="D32" s="735" t="n">
        <x:v>1745</x:v>
      </x:c>
      <x:c r="E32" s="736" t="n">
        <x:v>1418.69918699187</x:v>
      </x:c>
      <x:c r="F32" s="713" t="inlineStr">
        <x:is>
          <x:t xml:space="preserve">MODEL FIX18</x:t>
        </x:is>
      </x:c>
      <x:c r="G32" s="754" t="inlineStr">
        <x:is>
          <x:t xml:space="preserve">Koszt LED z modelu; w 03_Cennik_uslug_nowy LED CCT ma dodatkowo +700 zł netto w cenie sprzedaży. LED RGB CCT zostaje CRM-only.</x:t>
        </x:is>
      </x:c>
    </x:row>
    <x:row r="33">
      <x:c r="A33" s="9" t="inlineStr">
        <x:is>
          <x:t xml:space="preserve">450 x 406 cm</x:t>
        </x:is>
      </x:c>
      <x:c r="B33" s="735" t="n">
        <x:v>1652</x:v>
      </x:c>
      <x:c r="C33" s="736" t="n">
        <x:v>1343.089430894309</x:v>
      </x:c>
      <x:c r="D33" s="735" t="n">
        <x:v>2127</x:v>
      </x:c>
      <x:c r="E33" s="736" t="n">
        <x:v>1729.268292682927</x:v>
      </x:c>
      <x:c r="F33" s="713" t="inlineStr">
        <x:is>
          <x:t xml:space="preserve">MODEL FIX18</x:t>
        </x:is>
      </x:c>
      <x:c r="G33" s="754" t="inlineStr">
        <x:is>
          <x:t xml:space="preserve">Koszt LED z modelu; w 03_Cennik_uslug_nowy LED CCT ma dodatkowo +700 zł netto w cenie sprzedaży. LED RGB CCT zostaje CRM-only.</x:t>
        </x:is>
      </x:c>
    </x:row>
    <x:row r="34">
      <x:c r="A34" s="9" t="inlineStr">
        <x:is>
          <x:t xml:space="preserve">450 x 506 cm</x:t>
        </x:is>
      </x:c>
      <x:c r="B34" s="735" t="n">
        <x:v>1880</x:v>
      </x:c>
      <x:c r="C34" s="736" t="n">
        <x:v>1528.455284552846</x:v>
      </x:c>
      <x:c r="D34" s="735" t="n">
        <x:v>2508</x:v>
      </x:c>
      <x:c r="E34" s="736" t="n">
        <x:v>2039.024390243902</x:v>
      </x:c>
      <x:c r="F34" s="713" t="inlineStr">
        <x:is>
          <x:t xml:space="preserve">MODEL FIX18</x:t>
        </x:is>
      </x:c>
      <x:c r="G34" s="754" t="inlineStr">
        <x:is>
          <x:t xml:space="preserve">Koszt LED z modelu; w 03_Cennik_uslug_nowy LED CCT ma dodatkowo +700 zł netto w cenie sprzedaży. LED RGB CCT zostaje CRM-only.</x:t>
        </x:is>
      </x:c>
    </x:row>
    <x:row r="35">
      <x:c r="A35" s="9" t="inlineStr">
        <x:is>
          <x:t xml:space="preserve">450 x 606 cm</x:t>
        </x:is>
      </x:c>
      <x:c r="B35" s="735" t="n">
        <x:v>2194</x:v>
      </x:c>
      <x:c r="C35" s="736" t="n">
        <x:v>1783.739837398374</x:v>
      </x:c>
      <x:c r="D35" s="735" t="n">
        <x:v>2914</x:v>
      </x:c>
      <x:c r="E35" s="736" t="n">
        <x:v>2369.10569105691</x:v>
      </x:c>
      <x:c r="F35" s="713" t="inlineStr">
        <x:is>
          <x:t xml:space="preserve">MODEL FIX18</x:t>
        </x:is>
      </x:c>
      <x:c r="G35" s="754" t="inlineStr">
        <x:is>
          <x:t xml:space="preserve">Koszt LED z modelu; w 03_Cennik_uslug_nowy LED CCT ma dodatkowo +700 zł netto w cenie sprzedaży. LED RGB CCT zostaje CRM-only.</x:t>
        </x:is>
      </x:c>
    </x:row>
    <x:row r="36">
      <x:c r="A36" s="9" t="inlineStr">
        <x:is>
          <x:t xml:space="preserve">450 x 706 cm</x:t>
        </x:is>
      </x:c>
      <x:c r="B36" s="735" t="n">
        <x:v>2446</x:v>
      </x:c>
      <x:c r="C36" s="736" t="n">
        <x:v>1988.617886178862</x:v>
      </x:c>
      <x:c r="D36" s="735" t="n">
        <x:v>3326</x:v>
      </x:c>
      <x:c r="E36" s="736" t="n">
        <x:v>2704.065040650406</x:v>
      </x:c>
      <x:c r="F36" s="713" t="inlineStr">
        <x:is>
          <x:t xml:space="preserve">MODEL FIX18</x:t>
        </x:is>
      </x:c>
      <x:c r="G36" s="754" t="inlineStr">
        <x:is>
          <x:t xml:space="preserve">Koszt LED z modelu; w 03_Cennik_uslug_nowy LED CCT ma dodatkowo +700 zł netto w cenie sprzedaży. LED RGB CCT zostaje CRM-only.</x:t>
        </x:is>
      </x:c>
    </x:row>
    <x:row r="37">
      <x:c r="A37" s="9" t="inlineStr">
        <x:is>
          <x:t xml:space="preserve">450 x 806 cm</x:t>
        </x:is>
      </x:c>
      <x:c r="B37" s="735" t="n">
        <x:v>2706</x:v>
      </x:c>
      <x:c r="C37" s="736" t="n">
        <x:v>2200</x:v>
      </x:c>
      <x:c r="D37" s="735" t="n">
        <x:v>3732</x:v>
      </x:c>
      <x:c r="E37" s="736" t="n">
        <x:v>3034.146341463415</x:v>
      </x:c>
      <x:c r="F37" s="713" t="inlineStr">
        <x:is>
          <x:t xml:space="preserve">MODEL FIX18</x:t>
        </x:is>
      </x:c>
      <x:c r="G37" s="754" t="inlineStr">
        <x:is>
          <x:t xml:space="preserve">Koszt LED z modelu; w 03_Cennik_uslug_nowy LED CCT ma dodatkowo +700 zł netto w cenie sprzedaży. LED RGB CCT zostaje CRM-only.</x:t>
        </x:is>
      </x:c>
    </x:row>
    <x:row r="38">
      <x:c r="A38" s="9" t="inlineStr">
        <x:is>
          <x:t xml:space="preserve">450 x 906 cm</x:t>
        </x:is>
      </x:c>
      <x:c r="B38" s="735" t="n">
        <x:v>2944</x:v>
      </x:c>
      <x:c r="C38" s="736" t="n">
        <x:v>2393.49593495935</x:v>
      </x:c>
      <x:c r="D38" s="735" t="n">
        <x:v>4138</x:v>
      </x:c>
      <x:c r="E38" s="736" t="n">
        <x:v>3364.227642276423</x:v>
      </x:c>
      <x:c r="F38" s="713" t="inlineStr">
        <x:is>
          <x:t xml:space="preserve">MODEL FIX18</x:t>
        </x:is>
      </x:c>
      <x:c r="G38" s="754" t="inlineStr">
        <x:is>
          <x:t xml:space="preserve">Koszt LED z modelu; w 03_Cennik_uslug_nowy LED CCT ma dodatkowo +700 zł netto w cenie sprzedaży. LED RGB CCT zostaje CRM-only.</x:t>
        </x:is>
      </x:c>
    </x:row>
    <x:row r="39">
      <x:c r="A39" s="9" t="inlineStr">
        <x:is>
          <x:t xml:space="preserve">450 x 1006 cm</x:t>
        </x:is>
      </x:c>
      <x:c r="B39" s="735" t="n">
        <x:v>3098</x:v>
      </x:c>
      <x:c r="C39" s="736" t="n">
        <x:v>2518.69918699187</x:v>
      </x:c>
      <x:c r="D39" s="735" t="n">
        <x:v>4550</x:v>
      </x:c>
      <x:c r="E39" s="736" t="n">
        <x:v>3699.186991869919</x:v>
      </x:c>
      <x:c r="F39" s="713" t="inlineStr">
        <x:is>
          <x:t xml:space="preserve">MODEL FIX18</x:t>
        </x:is>
      </x:c>
      <x:c r="G39" s="754" t="inlineStr">
        <x:is>
          <x:t xml:space="preserve">Koszt LED z modelu; w 03_Cennik_uslug_nowy LED CCT ma dodatkowo +700 zł netto w cenie sprzedaży. LED RGB CCT zostaje CRM-only.</x:t>
        </x:is>
      </x:c>
    </x:row>
    <x:row r="40">
      <x:c r="A40" s="9" t="inlineStr">
        <x:is>
          <x:t xml:space="preserve">450 x 1106 cm</x:t>
        </x:is>
      </x:c>
      <x:c r="B40" s="735" t="n">
        <x:v>3356</x:v>
      </x:c>
      <x:c r="C40" s="736" t="n">
        <x:v>2728.455284552846</x:v>
      </x:c>
      <x:c r="D40" s="735" t="n">
        <x:v>4956</x:v>
      </x:c>
      <x:c r="E40" s="736" t="n">
        <x:v>4029.268292682927</x:v>
      </x:c>
      <x:c r="F40" s="713" t="inlineStr">
        <x:is>
          <x:t xml:space="preserve">MODEL FIX18</x:t>
        </x:is>
      </x:c>
      <x:c r="G40" s="754" t="inlineStr">
        <x:is>
          <x:t xml:space="preserve">Koszt LED z modelu; w 03_Cennik_uslug_nowy LED CCT ma dodatkowo +700 zł netto w cenie sprzedaży. LED RGB CCT zostaje CRM-only.</x:t>
        </x:is>
      </x:c>
    </x:row>
    <x:row r="41">
      <x:c r="A41" s="9" t="inlineStr">
        <x:is>
          <x:t xml:space="preserve">450 x 1206 cm</x:t>
        </x:is>
      </x:c>
      <x:c r="B41" s="735" t="n">
        <x:v>3602</x:v>
      </x:c>
      <x:c r="C41" s="736" t="n">
        <x:v>2928.455284552846</x:v>
      </x:c>
      <x:c r="D41" s="735" t="n">
        <x:v>5362</x:v>
      </x:c>
      <x:c r="E41" s="736" t="n">
        <x:v>4359.349593495935</x:v>
      </x:c>
      <x:c r="F41" s="713" t="inlineStr">
        <x:is>
          <x:t xml:space="preserve">MODEL FIX18</x:t>
        </x:is>
      </x:c>
      <x:c r="G41" s="754" t="inlineStr">
        <x:is>
          <x:t xml:space="preserve">Koszt LED z modelu; w 03_Cennik_uslug_nowy LED CCT ma dodatkowo +700 zł netto w cenie sprzedaży. LED RGB CCT zostaje CRM-only.</x:t>
        </x:is>
      </x:c>
    </x:row>
    <x:row r="42">
      <x:c r="A42" s="9" t="inlineStr">
        <x:is>
          <x:t xml:space="preserve">500 x 306 cm</x:t>
        </x:is>
      </x:c>
      <x:c r="B42" s="735" t="n">
        <x:v>1444</x:v>
      </x:c>
      <x:c r="C42" s="736" t="n">
        <x:v>1173.983739837398</x:v>
      </x:c>
      <x:c r="D42" s="735" t="n">
        <x:v>1825</x:v>
      </x:c>
      <x:c r="E42" s="736" t="n">
        <x:v>1483.739837398374</x:v>
      </x:c>
      <x:c r="F42" s="713" t="inlineStr">
        <x:is>
          <x:t xml:space="preserve">MODEL FIX18</x:t>
        </x:is>
      </x:c>
      <x:c r="G42" s="754" t="inlineStr">
        <x:is>
          <x:t xml:space="preserve">Koszt LED z modelu; w 03_Cennik_uslug_nowy LED CCT ma dodatkowo +700 zł netto w cenie sprzedaży. LED RGB CCT zostaje CRM-only.</x:t>
        </x:is>
      </x:c>
    </x:row>
    <x:row r="43">
      <x:c r="A43" s="9" t="inlineStr">
        <x:is>
          <x:t xml:space="preserve">500 x 406 cm</x:t>
        </x:is>
      </x:c>
      <x:c r="B43" s="735" t="n">
        <x:v>1726</x:v>
      </x:c>
      <x:c r="C43" s="736" t="n">
        <x:v>1403.252032520325</x:v>
      </x:c>
      <x:c r="D43" s="735" t="n">
        <x:v>2244</x:v>
      </x:c>
      <x:c r="E43" s="736" t="n">
        <x:v>1824.390243902439</x:v>
      </x:c>
      <x:c r="F43" s="713" t="inlineStr">
        <x:is>
          <x:t xml:space="preserve">MODEL FIX18</x:t>
        </x:is>
      </x:c>
      <x:c r="G43" s="754" t="inlineStr">
        <x:is>
          <x:t xml:space="preserve">Koszt LED z modelu; w 03_Cennik_uslug_nowy LED CCT ma dodatkowo +700 zł netto w cenie sprzedaży. LED RGB CCT zostaje CRM-only.</x:t>
        </x:is>
      </x:c>
    </x:row>
    <x:row r="44">
      <x:c r="A44" s="9" t="inlineStr">
        <x:is>
          <x:t xml:space="preserve">500 x 506 cm</x:t>
        </x:is>
      </x:c>
      <x:c r="B44" s="735" t="n">
        <x:v>1972</x:v>
      </x:c>
      <x:c r="C44" s="736" t="n">
        <x:v>1603.252032520325</x:v>
      </x:c>
      <x:c r="D44" s="735" t="n">
        <x:v>2661</x:v>
      </x:c>
      <x:c r="E44" s="736" t="n">
        <x:v>2163.414634146342</x:v>
      </x:c>
      <x:c r="F44" s="713" t="inlineStr">
        <x:is>
          <x:t xml:space="preserve">MODEL FIX18</x:t>
        </x:is>
      </x:c>
      <x:c r="G44" s="754" t="inlineStr">
        <x:is>
          <x:t xml:space="preserve">Koszt LED z modelu; w 03_Cennik_uslug_nowy LED CCT ma dodatkowo +700 zł netto w cenie sprzedaży. LED RGB CCT zostaje CRM-only.</x:t>
        </x:is>
      </x:c>
    </x:row>
    <x:row r="45">
      <x:c r="A45" s="9" t="inlineStr">
        <x:is>
          <x:t xml:space="preserve">500 x 606 cm</x:t>
        </x:is>
      </x:c>
      <x:c r="B45" s="735" t="n">
        <x:v>2390</x:v>
      </x:c>
      <x:c r="C45" s="736" t="n">
        <x:v>1943.089430894309</x:v>
      </x:c>
      <x:c r="D45" s="735" t="n">
        <x:v>3104</x:v>
      </x:c>
      <x:c r="E45" s="736" t="n">
        <x:v>2523.577235772358</x:v>
      </x:c>
      <x:c r="F45" s="713" t="inlineStr">
        <x:is>
          <x:t xml:space="preserve">MODEL FIX18</x:t>
        </x:is>
      </x:c>
      <x:c r="G45" s="754" t="inlineStr">
        <x:is>
          <x:t xml:space="preserve">Koszt LED z modelu; w 03_Cennik_uslug_nowy LED CCT ma dodatkowo +700 zł netto w cenie sprzedaży. LED RGB CCT zostaje CRM-only.</x:t>
        </x:is>
      </x:c>
    </x:row>
    <x:row r="46">
      <x:c r="A46" s="9" t="inlineStr">
        <x:is>
          <x:t xml:space="preserve">500 x 706 cm</x:t>
        </x:is>
      </x:c>
      <x:c r="B46" s="735" t="n">
        <x:v>2674</x:v>
      </x:c>
      <x:c r="C46" s="736" t="n">
        <x:v>2173.983739837398</x:v>
      </x:c>
      <x:c r="D46" s="735" t="n">
        <x:v>3559</x:v>
      </x:c>
      <x:c r="E46" s="736" t="n">
        <x:v>2893.49593495935</x:v>
      </x:c>
      <x:c r="F46" s="713" t="inlineStr">
        <x:is>
          <x:t xml:space="preserve">MODEL FIX18</x:t>
        </x:is>
      </x:c>
      <x:c r="G46" s="754" t="inlineStr">
        <x:is>
          <x:t xml:space="preserve">Koszt LED z modelu; w 03_Cennik_uslug_nowy LED CCT ma dodatkowo +700 zł netto w cenie sprzedaży. LED RGB CCT zostaje CRM-only.</x:t>
        </x:is>
      </x:c>
    </x:row>
    <x:row r="47">
      <x:c r="A47" s="9" t="inlineStr">
        <x:is>
          <x:t xml:space="preserve">500 x 806 cm</x:t>
        </x:is>
      </x:c>
      <x:c r="B47" s="735" t="n">
        <x:v>2958</x:v>
      </x:c>
      <x:c r="C47" s="736" t="n">
        <x:v>2404.878048780488</x:v>
      </x:c>
      <x:c r="D47" s="735" t="n">
        <x:v>4002</x:v>
      </x:c>
      <x:c r="E47" s="736" t="n">
        <x:v>3253.658536585366</x:v>
      </x:c>
      <x:c r="F47" s="713" t="inlineStr">
        <x:is>
          <x:t xml:space="preserve">MODEL FIX18</x:t>
        </x:is>
      </x:c>
      <x:c r="G47" s="754" t="inlineStr">
        <x:is>
          <x:t xml:space="preserve">Koszt LED z modelu; w 03_Cennik_uslug_nowy LED CCT ma dodatkowo +700 zł netto w cenie sprzedaży. LED RGB CCT zostaje CRM-only.</x:t>
        </x:is>
      </x:c>
    </x:row>
    <x:row r="48">
      <x:c r="A48" s="9" t="inlineStr">
        <x:is>
          <x:t xml:space="preserve">500 x 906 cm</x:t>
        </x:is>
      </x:c>
      <x:c r="B48" s="735" t="n">
        <x:v>3215</x:v>
      </x:c>
      <x:c r="C48" s="736" t="n">
        <x:v>2613.821138211382</x:v>
      </x:c>
      <x:c r="D48" s="735" t="n">
        <x:v>4445</x:v>
      </x:c>
      <x:c r="E48" s="736" t="n">
        <x:v>3613.821138211382</x:v>
      </x:c>
      <x:c r="F48" s="713" t="inlineStr">
        <x:is>
          <x:t xml:space="preserve">MODEL FIX18</x:t>
        </x:is>
      </x:c>
      <x:c r="G48" s="754" t="inlineStr">
        <x:is>
          <x:t xml:space="preserve">Koszt LED z modelu; w 03_Cennik_uslug_nowy LED CCT ma dodatkowo +700 zł netto w cenie sprzedaży. LED RGB CCT zostaje CRM-only.</x:t>
        </x:is>
      </x:c>
    </x:row>
    <x:row r="49">
      <x:c r="A49" s="9" t="inlineStr">
        <x:is>
          <x:t xml:space="preserve">500 x 1006 cm</x:t>
        </x:is>
      </x:c>
      <x:c r="B49" s="735" t="n">
        <x:v>3301</x:v>
      </x:c>
      <x:c r="C49" s="736" t="n">
        <x:v>2683.739837398374</x:v>
      </x:c>
      <x:c r="D49" s="735" t="n">
        <x:v>4900</x:v>
      </x:c>
      <x:c r="E49" s="736" t="n">
        <x:v>3983.739837398374</x:v>
      </x:c>
      <x:c r="F49" s="713" t="inlineStr">
        <x:is>
          <x:t xml:space="preserve">MODEL FIX18</x:t>
        </x:is>
      </x:c>
      <x:c r="G49" s="754" t="inlineStr">
        <x:is>
          <x:t xml:space="preserve">Koszt LED z modelu; w 03_Cennik_uslug_nowy LED CCT ma dodatkowo +700 zł netto w cenie sprzedaży. LED RGB CCT zostaje CRM-only.</x:t>
        </x:is>
      </x:c>
    </x:row>
    <x:row r="50">
      <x:c r="A50" s="9" t="inlineStr">
        <x:is>
          <x:t xml:space="preserve">500 x 1106 cm</x:t>
        </x:is>
      </x:c>
      <x:c r="B50" s="735" t="n">
        <x:v>3584</x:v>
      </x:c>
      <x:c r="C50" s="736" t="n">
        <x:v>2913.821138211382</x:v>
      </x:c>
      <x:c r="D50" s="735" t="n">
        <x:v>5343</x:v>
      </x:c>
      <x:c r="E50" s="736" t="n">
        <x:v>4343.90243902439</x:v>
      </x:c>
      <x:c r="F50" s="713" t="inlineStr">
        <x:is>
          <x:t xml:space="preserve">MODEL FIX18</x:t>
        </x:is>
      </x:c>
      <x:c r="G50" s="754" t="inlineStr">
        <x:is>
          <x:t xml:space="preserve">Koszt LED z modelu; w 03_Cennik_uslug_nowy LED CCT ma dodatkowo +700 zł netto w cenie sprzedaży. LED RGB CCT zostaje CRM-only.</x:t>
        </x:is>
      </x:c>
    </x:row>
    <x:row r="51">
      <x:c r="A51" s="9" t="inlineStr">
        <x:is>
          <x:t xml:space="preserve">500 x 1206 cm</x:t>
        </x:is>
      </x:c>
      <x:c r="B51" s="735" t="n">
        <x:v>3854</x:v>
      </x:c>
      <x:c r="C51" s="736" t="n">
        <x:v>3133.333333333333</x:v>
      </x:c>
      <x:c r="D51" s="735" t="n">
        <x:v>5786</x:v>
      </x:c>
      <x:c r="E51" s="736" t="n">
        <x:v>4704.065040650406</x:v>
      </x:c>
      <x:c r="F51" s="713" t="inlineStr">
        <x:is>
          <x:t xml:space="preserve">MODEL FIX18</x:t>
        </x:is>
      </x:c>
      <x:c r="G51" s="754" t="inlineStr">
        <x:is>
          <x:t xml:space="preserve">Koszt LED z modelu; w 03_Cennik_uslug_nowy LED CCT ma dodatkowo +700 zł netto w cenie sprzedaży. LED RGB CCT zostaje CRM-only.</x:t>
        </x:is>
      </x:c>
    </x:row>
    <x:row r="52">
      <x:c r="A52" s="9" t="inlineStr">
        <x:is>
          <x:t xml:space="preserve">550 x 306 cm</x:t>
        </x:is>
      </x:c>
      <x:c r="B52" s="735" t="n">
        <x:v>1487</x:v>
      </x:c>
      <x:c r="C52" s="736" t="n">
        <x:v>1208.943089430894</x:v>
      </x:c>
      <x:c r="D52" s="735" t="n">
        <x:v>1905</x:v>
      </x:c>
      <x:c r="E52" s="736" t="n">
        <x:v>1548.780487804878</x:v>
      </x:c>
      <x:c r="F52" s="713" t="inlineStr">
        <x:is>
          <x:t xml:space="preserve">MODEL FIX18</x:t>
        </x:is>
      </x:c>
      <x:c r="G52" s="754" t="inlineStr">
        <x:is>
          <x:t xml:space="preserve">Koszt LED z modelu; w 03_Cennik_uslug_nowy LED CCT ma dodatkowo +700 zł netto w cenie sprzedaży. LED RGB CCT zostaje CRM-only.</x:t>
        </x:is>
      </x:c>
    </x:row>
    <x:row r="53">
      <x:c r="A53" s="9" t="inlineStr">
        <x:is>
          <x:t xml:space="preserve">550 x 406 cm</x:t>
        </x:is>
      </x:c>
      <x:c r="B53" s="735" t="n">
        <x:v>1800</x:v>
      </x:c>
      <x:c r="C53" s="736" t="n">
        <x:v>1463.414634146342</x:v>
      </x:c>
      <x:c r="D53" s="735" t="n">
        <x:v>2361</x:v>
      </x:c>
      <x:c r="E53" s="736" t="n">
        <x:v>1919.512195121951</x:v>
      </x:c>
      <x:c r="F53" s="713" t="inlineStr">
        <x:is>
          <x:t xml:space="preserve">MODEL FIX18</x:t>
        </x:is>
      </x:c>
      <x:c r="G53" s="754" t="inlineStr">
        <x:is>
          <x:t xml:space="preserve">Koszt LED z modelu; w 03_Cennik_uslug_nowy LED CCT ma dodatkowo +700 zł netto w cenie sprzedaży. LED RGB CCT zostaje CRM-only.</x:t>
        </x:is>
      </x:c>
    </x:row>
    <x:row r="54">
      <x:c r="A54" s="9" t="inlineStr">
        <x:is>
          <x:t xml:space="preserve">550 x 506 cm</x:t>
        </x:is>
      </x:c>
      <x:c r="B54" s="735" t="n">
        <x:v>2064</x:v>
      </x:c>
      <x:c r="C54" s="736" t="n">
        <x:v>1678.048780487805</x:v>
      </x:c>
      <x:c r="D54" s="735" t="n">
        <x:v>2814</x:v>
      </x:c>
      <x:c r="E54" s="736" t="n">
        <x:v>2287.804878048781</x:v>
      </x:c>
      <x:c r="F54" s="713" t="inlineStr">
        <x:is>
          <x:t xml:space="preserve">MODEL FIX18</x:t>
        </x:is>
      </x:c>
      <x:c r="G54" s="754" t="inlineStr">
        <x:is>
          <x:t xml:space="preserve">Koszt LED z modelu; w 03_Cennik_uslug_nowy LED CCT ma dodatkowo +700 zł netto w cenie sprzedaży. LED RGB CCT zostaje CRM-only.</x:t>
        </x:is>
      </x:c>
    </x:row>
    <x:row r="55">
      <x:c r="A55" s="9" t="inlineStr">
        <x:is>
          <x:t xml:space="preserve">550 x 606 cm</x:t>
        </x:is>
      </x:c>
      <x:c r="B55" s="735" t="n">
        <x:v>2586</x:v>
      </x:c>
      <x:c r="C55" s="736" t="n">
        <x:v>2102.439024390244</x:v>
      </x:c>
      <x:c r="D55" s="735" t="n">
        <x:v>3294</x:v>
      </x:c>
      <x:c r="E55" s="736" t="n">
        <x:v>2678.048780487805</x:v>
      </x:c>
      <x:c r="F55" s="713" t="inlineStr">
        <x:is>
          <x:t xml:space="preserve">MODEL FIX18</x:t>
        </x:is>
      </x:c>
      <x:c r="G55" s="754" t="inlineStr">
        <x:is>
          <x:t xml:space="preserve">Koszt LED z modelu; w 03_Cennik_uslug_nowy LED CCT ma dodatkowo +700 zł netto w cenie sprzedaży. LED RGB CCT zostaje CRM-only.</x:t>
        </x:is>
      </x:c>
    </x:row>
    <x:row r="56">
      <x:c r="A56" s="9" t="inlineStr">
        <x:is>
          <x:t xml:space="preserve">550 x 706 cm</x:t>
        </x:is>
      </x:c>
      <x:c r="B56" s="735" t="n">
        <x:v>2902</x:v>
      </x:c>
      <x:c r="C56" s="736" t="n">
        <x:v>2359.349593495935</x:v>
      </x:c>
      <x:c r="D56" s="735" t="n">
        <x:v>3792</x:v>
      </x:c>
      <x:c r="E56" s="736" t="n">
        <x:v>3082.926829268293</x:v>
      </x:c>
      <x:c r="F56" s="713" t="inlineStr">
        <x:is>
          <x:t xml:space="preserve">MODEL FIX18</x:t>
        </x:is>
      </x:c>
      <x:c r="G56" s="754" t="inlineStr">
        <x:is>
          <x:t xml:space="preserve">Koszt LED z modelu; w 03_Cennik_uslug_nowy LED CCT ma dodatkowo +700 zł netto w cenie sprzedaży. LED RGB CCT zostaje CRM-only.</x:t>
        </x:is>
      </x:c>
    </x:row>
    <x:row r="57">
      <x:c r="A57" s="9" t="inlineStr">
        <x:is>
          <x:t xml:space="preserve">550 x 806 cm</x:t>
        </x:is>
      </x:c>
      <x:c r="B57" s="735" t="n">
        <x:v>3210</x:v>
      </x:c>
      <x:c r="C57" s="736" t="n">
        <x:v>2609.756097560976</x:v>
      </x:c>
      <x:c r="D57" s="735" t="n">
        <x:v>4272</x:v>
      </x:c>
      <x:c r="E57" s="736" t="n">
        <x:v>3473.170731707317</x:v>
      </x:c>
      <x:c r="F57" s="713" t="inlineStr">
        <x:is>
          <x:t xml:space="preserve">MODEL FIX18</x:t>
        </x:is>
      </x:c>
      <x:c r="G57" s="754" t="inlineStr">
        <x:is>
          <x:t xml:space="preserve">Koszt LED z modelu; w 03_Cennik_uslug_nowy LED CCT ma dodatkowo +700 zł netto w cenie sprzedaży. LED RGB CCT zostaje CRM-only.</x:t>
        </x:is>
      </x:c>
    </x:row>
    <x:row r="58">
      <x:c r="A58" s="9" t="inlineStr">
        <x:is>
          <x:t xml:space="preserve">550 x 906 cm</x:t>
        </x:is>
      </x:c>
      <x:c r="B58" s="735" t="n">
        <x:v>3486</x:v>
      </x:c>
      <x:c r="C58" s="736" t="n">
        <x:v>2834.146341463415</x:v>
      </x:c>
      <x:c r="D58" s="735" t="n">
        <x:v>4752</x:v>
      </x:c>
      <x:c r="E58" s="736" t="n">
        <x:v>3863.414634146342</x:v>
      </x:c>
      <x:c r="F58" s="713" t="inlineStr">
        <x:is>
          <x:t xml:space="preserve">MODEL FIX18</x:t>
        </x:is>
      </x:c>
      <x:c r="G58" s="754" t="inlineStr">
        <x:is>
          <x:t xml:space="preserve">Koszt LED z modelu; w 03_Cennik_uslug_nowy LED CCT ma dodatkowo +700 zł netto w cenie sprzedaży. LED RGB CCT zostaje CRM-only.</x:t>
        </x:is>
      </x:c>
    </x:row>
    <x:row r="59">
      <x:c r="A59" s="9" t="inlineStr">
        <x:is>
          <x:t xml:space="preserve">550 x 1006 cm</x:t>
        </x:is>
      </x:c>
      <x:c r="B59" s="735" t="n">
        <x:v>3504</x:v>
      </x:c>
      <x:c r="C59" s="736" t="n">
        <x:v>2848.780487804878</x:v>
      </x:c>
      <x:c r="D59" s="735" t="n">
        <x:v>5250</x:v>
      </x:c>
      <x:c r="E59" s="736" t="n">
        <x:v>4268.292682926829</x:v>
      </x:c>
      <x:c r="F59" s="713" t="inlineStr">
        <x:is>
          <x:t xml:space="preserve">MODEL FIX18</x:t>
        </x:is>
      </x:c>
      <x:c r="G59" s="754" t="inlineStr">
        <x:is>
          <x:t xml:space="preserve">Koszt LED z modelu; w 03_Cennik_uslug_nowy LED CCT ma dodatkowo +700 zł netto w cenie sprzedaży. LED RGB CCT zostaje CRM-only.</x:t>
        </x:is>
      </x:c>
    </x:row>
    <x:row r="60">
      <x:c r="A60" s="9" t="inlineStr">
        <x:is>
          <x:t xml:space="preserve">550 x 1106 cm</x:t>
        </x:is>
      </x:c>
      <x:c r="B60" s="735" t="n">
        <x:v>3812</x:v>
      </x:c>
      <x:c r="C60" s="736" t="n">
        <x:v>3099.186991869919</x:v>
      </x:c>
      <x:c r="D60" s="735" t="n">
        <x:v>5730</x:v>
      </x:c>
      <x:c r="E60" s="736" t="n">
        <x:v>4658.536585365854</x:v>
      </x:c>
      <x:c r="F60" s="713" t="inlineStr">
        <x:is>
          <x:t xml:space="preserve">MODEL FIX18</x:t>
        </x:is>
      </x:c>
      <x:c r="G60" s="754" t="inlineStr">
        <x:is>
          <x:t xml:space="preserve">Koszt LED z modelu; w 03_Cennik_uslug_nowy LED CCT ma dodatkowo +700 zł netto w cenie sprzedaży. LED RGB CCT zostaje CRM-only.</x:t>
        </x:is>
      </x:c>
    </x:row>
    <x:row r="61">
      <x:c r="A61" s="9" t="inlineStr">
        <x:is>
          <x:t xml:space="preserve">550 x 1206 cm</x:t>
        </x:is>
      </x:c>
      <x:c r="B61" s="735" t="n">
        <x:v>4106</x:v>
      </x:c>
      <x:c r="C61" s="736" t="n">
        <x:v>3338.211382113821</x:v>
      </x:c>
      <x:c r="D61" s="735" t="n">
        <x:v>6210</x:v>
      </x:c>
      <x:c r="E61" s="736" t="n">
        <x:v>5048.780487804878</x:v>
      </x:c>
      <x:c r="F61" s="713" t="inlineStr">
        <x:is>
          <x:t xml:space="preserve">MODEL FIX18</x:t>
        </x:is>
      </x:c>
      <x:c r="G61" s="754" t="inlineStr">
        <x:is>
          <x:t xml:space="preserve">Koszt LED z modelu; w 03_Cennik_uslug_nowy LED CCT ma dodatkowo +700 zł netto w cenie sprzedaży. LED RGB CCT zostaje CRM-only.</x:t>
        </x:is>
      </x:c>
    </x:row>
    <x:row r="62">
      <x:c r="A62" s="9" t="inlineStr">
        <x:is>
          <x:t xml:space="preserve">600 x 306 cm</x:t>
        </x:is>
      </x:c>
      <x:c r="B62" s="735" t="n">
        <x:v>1530</x:v>
      </x:c>
      <x:c r="C62" s="736" t="n">
        <x:v>1243.90243902439</x:v>
      </x:c>
      <x:c r="D62" s="735" t="n">
        <x:v>1985</x:v>
      </x:c>
      <x:c r="E62" s="736" t="n">
        <x:v>1613.821138211382</x:v>
      </x:c>
      <x:c r="F62" s="713" t="inlineStr">
        <x:is>
          <x:t xml:space="preserve">MODEL FIX18</x:t>
        </x:is>
      </x:c>
      <x:c r="G62" s="754" t="inlineStr">
        <x:is>
          <x:t xml:space="preserve">Koszt LED z modelu; w 03_Cennik_uslug_nowy LED CCT ma dodatkowo +700 zł netto w cenie sprzedaży. LED RGB CCT zostaje CRM-only.</x:t>
        </x:is>
      </x:c>
    </x:row>
    <x:row r="63">
      <x:c r="A63" s="9" t="inlineStr">
        <x:is>
          <x:t xml:space="preserve">600 x 406 cm</x:t>
        </x:is>
      </x:c>
      <x:c r="B63" s="735" t="n">
        <x:v>1873</x:v>
      </x:c>
      <x:c r="C63" s="736" t="n">
        <x:v>1522.764227642276</x:v>
      </x:c>
      <x:c r="D63" s="735" t="n">
        <x:v>2478</x:v>
      </x:c>
      <x:c r="E63" s="736" t="n">
        <x:v>2014.634146341464</x:v>
      </x:c>
      <x:c r="F63" s="713" t="inlineStr">
        <x:is>
          <x:t xml:space="preserve">MODEL FIX18</x:t>
        </x:is>
      </x:c>
      <x:c r="G63" s="754" t="inlineStr">
        <x:is>
          <x:t xml:space="preserve">Koszt LED z modelu; w 03_Cennik_uslug_nowy LED CCT ma dodatkowo +700 zł netto w cenie sprzedaży. LED RGB CCT zostaje CRM-only.</x:t>
        </x:is>
      </x:c>
    </x:row>
    <x:row r="64">
      <x:c r="A64" s="9" t="inlineStr">
        <x:is>
          <x:t xml:space="preserve">600 x 506 cm</x:t>
        </x:is>
      </x:c>
      <x:c r="B64" s="735" t="n">
        <x:v>2156</x:v>
      </x:c>
      <x:c r="C64" s="736" t="n">
        <x:v>1752.845528455284</x:v>
      </x:c>
      <x:c r="D64" s="735" t="n">
        <x:v>2968</x:v>
      </x:c>
      <x:c r="E64" s="736" t="n">
        <x:v>2413.008130081301</x:v>
      </x:c>
      <x:c r="F64" s="713" t="inlineStr">
        <x:is>
          <x:t xml:space="preserve">MODEL FIX18</x:t>
        </x:is>
      </x:c>
      <x:c r="G64" s="754" t="inlineStr">
        <x:is>
          <x:t xml:space="preserve">Koszt LED z modelu; w 03_Cennik_uslug_nowy LED CCT ma dodatkowo +700 zł netto w cenie sprzedaży. LED RGB CCT zostaje CRM-only.</x:t>
        </x:is>
      </x:c>
    </x:row>
    <x:row r="65">
      <x:c r="A65" s="9" t="inlineStr">
        <x:is>
          <x:t xml:space="preserve">600 x 606 cm</x:t>
        </x:is>
      </x:c>
      <x:c r="B65" s="735" t="n">
        <x:v>2783</x:v>
      </x:c>
      <x:c r="C65" s="736" t="n">
        <x:v>2262.60162601626</x:v>
      </x:c>
      <x:c r="D65" s="735" t="n">
        <x:v>3485</x:v>
      </x:c>
      <x:c r="E65" s="736" t="n">
        <x:v>2833.333333333333</x:v>
      </x:c>
      <x:c r="F65" s="713" t="inlineStr">
        <x:is>
          <x:t xml:space="preserve">MODEL FIX18</x:t>
        </x:is>
      </x:c>
      <x:c r="G65" s="754" t="inlineStr">
        <x:is>
          <x:t xml:space="preserve">Koszt LED z modelu; w 03_Cennik_uslug_nowy LED CCT ma dodatkowo +700 zł netto w cenie sprzedaży. LED RGB CCT zostaje CRM-only.</x:t>
        </x:is>
      </x:c>
    </x:row>
    <x:row r="66">
      <x:c r="A66" s="9" t="inlineStr">
        <x:is>
          <x:t xml:space="preserve">600 x 706 cm</x:t>
        </x:is>
      </x:c>
      <x:c r="B66" s="735" t="n">
        <x:v>3129</x:v>
      </x:c>
      <x:c r="C66" s="736" t="n">
        <x:v>2543.90243902439</x:v>
      </x:c>
      <x:c r="D66" s="735" t="n">
        <x:v>4026</x:v>
      </x:c>
      <x:c r="E66" s="736" t="n">
        <x:v>3273.170731707317</x:v>
      </x:c>
      <x:c r="F66" s="713" t="inlineStr">
        <x:is>
          <x:t xml:space="preserve">MODEL FIX18</x:t>
        </x:is>
      </x:c>
      <x:c r="G66" s="754" t="inlineStr">
        <x:is>
          <x:t xml:space="preserve">Koszt LED z modelu; w 03_Cennik_uslug_nowy LED CCT ma dodatkowo +700 zł netto w cenie sprzedaży. LED RGB CCT zostaje CRM-only.</x:t>
        </x:is>
      </x:c>
    </x:row>
    <x:row r="67">
      <x:c r="A67" s="9" t="inlineStr">
        <x:is>
          <x:t xml:space="preserve">600 x 806 cm</x:t>
        </x:is>
      </x:c>
      <x:c r="B67" s="735" t="n">
        <x:v>3463</x:v>
      </x:c>
      <x:c r="C67" s="736" t="n">
        <x:v>2815.447154471545</x:v>
      </x:c>
      <x:c r="D67" s="735" t="n">
        <x:v>4543</x:v>
      </x:c>
      <x:c r="E67" s="736" t="n">
        <x:v>3693.49593495935</x:v>
      </x:c>
      <x:c r="F67" s="713" t="inlineStr">
        <x:is>
          <x:t xml:space="preserve">MODEL FIX18</x:t>
        </x:is>
      </x:c>
      <x:c r="G67" s="754" t="inlineStr">
        <x:is>
          <x:t xml:space="preserve">Koszt LED z modelu; w 03_Cennik_uslug_nowy LED CCT ma dodatkowo +700 zł netto w cenie sprzedaży. LED RGB CCT zostaje CRM-only.</x:t>
        </x:is>
      </x:c>
    </x:row>
    <x:row r="68">
      <x:c r="A68" s="9" t="inlineStr">
        <x:is>
          <x:t xml:space="preserve">600 x 906 cm</x:t>
        </x:is>
      </x:c>
      <x:c r="B68" s="735" t="n">
        <x:v>3756</x:v>
      </x:c>
      <x:c r="C68" s="736" t="n">
        <x:v>3053.658536585366</x:v>
      </x:c>
      <x:c r="D68" s="735" t="n">
        <x:v>5060</x:v>
      </x:c>
      <x:c r="E68" s="736" t="n">
        <x:v>4113.821138211382</x:v>
      </x:c>
      <x:c r="F68" s="713" t="inlineStr">
        <x:is>
          <x:t xml:space="preserve">MODEL FIX18</x:t>
        </x:is>
      </x:c>
      <x:c r="G68" s="754" t="inlineStr">
        <x:is>
          <x:t xml:space="preserve">Koszt LED z modelu; w 03_Cennik_uslug_nowy LED CCT ma dodatkowo +700 zł netto w cenie sprzedaży. LED RGB CCT zostaje CRM-only.</x:t>
        </x:is>
      </x:c>
    </x:row>
    <x:row r="69">
      <x:c r="A69" s="9" t="inlineStr">
        <x:is>
          <x:t xml:space="preserve">600 x 1006 cm</x:t>
        </x:is>
      </x:c>
      <x:c r="B69" s="735" t="n">
        <x:v>3707</x:v>
      </x:c>
      <x:c r="C69" s="736" t="n">
        <x:v>3013.821138211382</x:v>
      </x:c>
      <x:c r="D69" s="735" t="n">
        <x:v>5601</x:v>
      </x:c>
      <x:c r="E69" s="736" t="n">
        <x:v>4553.658536585366</x:v>
      </x:c>
      <x:c r="F69" s="713" t="inlineStr">
        <x:is>
          <x:t xml:space="preserve">MODEL FIX18</x:t>
        </x:is>
      </x:c>
      <x:c r="G69" s="754" t="inlineStr">
        <x:is>
          <x:t xml:space="preserve">Koszt LED z modelu; w 03_Cennik_uslug_nowy LED CCT ma dodatkowo +700 zł netto w cenie sprzedaży. LED RGB CCT zostaje CRM-only.</x:t>
        </x:is>
      </x:c>
    </x:row>
    <x:row r="70">
      <x:c r="A70" s="9" t="inlineStr">
        <x:is>
          <x:t xml:space="preserve">600 x 1106 cm</x:t>
        </x:is>
      </x:c>
      <x:c r="B70" s="735" t="n">
        <x:v>4039</x:v>
      </x:c>
      <x:c r="C70" s="736" t="n">
        <x:v>3283.739837398374</x:v>
      </x:c>
      <x:c r="D70" s="735" t="n">
        <x:v>6118</x:v>
      </x:c>
      <x:c r="E70" s="736" t="n">
        <x:v>4973.983739837398</x:v>
      </x:c>
      <x:c r="F70" s="713" t="inlineStr">
        <x:is>
          <x:t xml:space="preserve">MODEL FIX18</x:t>
        </x:is>
      </x:c>
      <x:c r="G70" s="754" t="inlineStr">
        <x:is>
          <x:t xml:space="preserve">Koszt LED z modelu; w 03_Cennik_uslug_nowy LED CCT ma dodatkowo +700 zł netto w cenie sprzedaży. LED RGB CCT zostaje CRM-only.</x:t>
        </x:is>
      </x:c>
    </x:row>
    <x:row r="71">
      <x:c r="A71" s="9" t="inlineStr">
        <x:is>
          <x:t xml:space="preserve">600 x 1206 cm</x:t>
        </x:is>
      </x:c>
      <x:c r="B71" s="735" t="n">
        <x:v>4358</x:v>
      </x:c>
      <x:c r="C71" s="736" t="n">
        <x:v>3543.089430894309</x:v>
      </x:c>
      <x:c r="D71" s="735" t="n">
        <x:v>6635</x:v>
      </x:c>
      <x:c r="E71" s="736" t="n">
        <x:v>5394.308943089431</x:v>
      </x:c>
      <x:c r="F71" s="713" t="inlineStr">
        <x:is>
          <x:t xml:space="preserve">MODEL FIX18</x:t>
        </x:is>
      </x:c>
      <x:c r="G71" s="754" t="inlineStr">
        <x:is>
          <x:t xml:space="preserve">Koszt LED z modelu; w 03_Cennik_uslug_nowy LED CCT ma dodatkowo +700 zł netto w cenie sprzedaży. LED RGB CCT zostaje CRM-only.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8" style="655" customWidth="1"/>
    <x:col min="2" max="2" width="34" style="655" customWidth="1"/>
    <x:col min="3" max="3" width="42" style="655" customWidth="1"/>
    <x:col min="4" max="4" width="65" style="655" customWidth="1"/>
    <x:col min="5" max="5" width="38" style="655" customWidth="1"/>
    <x:col min="6" max="6" width="20" style="655" customWidth="1"/>
    <x:col min="7" max="7" width="20" style="655" customWidth="1"/>
    <x:col min="8" max="8" width="20" style="655" customWidth="1"/>
  </x:cols>
  <x:sheetData>
    <x:row r="1" s="655" customFormat="1" ht="22" customHeight="1">
      <x:c r="A1" s="742" t="inlineStr">
        <x:is>
          <x:t xml:space="preserve">FIX17 — LED CCT/RGB na stronę + wyzerowanie kosztów dopłat szkła/koloru</x:t>
        </x:is>
      </x:c>
    </x:row>
    <x:row r="2" s="655" customFormat="1" ht="22" customHeight="1">
      <x:c r="A2" t="inlineStr">
        <x:is>
          <x:t xml:space="preserve">Ten arkusz opisuje zmiany wykonane w pliku. Nie jest to jeszcze eksport JSON ani podpięcie strony.</x:t>
        </x:is>
      </x:c>
    </x:row>
    <x:row r="3" s="655" customFormat="1" ht="22" customHeight="1"/>
    <x:row r="4" s="655" customFormat="1" ht="34" customHeight="1">
      <x:c r="A4" s="743" t="inlineStr">
        <x:is>
          <x:t xml:space="preserve">Obszar</x:t>
        </x:is>
      </x:c>
      <x:c r="B4" s="743" t="inlineStr">
        <x:is>
          <x:t xml:space="preserve">Zakres</x:t>
        </x:is>
      </x:c>
      <x:c r="C4" s="743" t="inlineStr">
        <x:is>
          <x:t xml:space="preserve">Zmiana</x:t>
        </x:is>
      </x:c>
      <x:c r="D4" s="743" t="inlineStr">
        <x:is>
          <x:t xml:space="preserve">Powód / komentarz</x:t>
        </x:is>
      </x:c>
    </x:row>
    <x:row r="5" s="655" customFormat="1" ht="34" customHeight="1">
      <x:c r="A5" s="744" t="inlineStr">
        <x:is>
          <x:t xml:space="preserve">LED CCT</x:t>
        </x:is>
      </x:c>
      <x:c r="B5" s="744" t="inlineStr">
        <x:is>
          <x:t xml:space="preserve">03_Cennik_uslug_nowy: kod LEDCCT</x:t>
        </x:is>
      </x:c>
      <x:c r="C5" s="745" t="inlineStr">
        <x:is>
          <x:t xml:space="preserve">Grupa kalkulacyjna = OŚWIETLENIE; Widoczność = website+crm</x:t>
        </x:is>
      </x:c>
      <x:c r="D5" s="744" t="inlineStr">
        <x:is>
          <x:t xml:space="preserve">LED CCT ma być normalną opcją konfiguratora strony.</x:t>
        </x:is>
      </x:c>
    </x:row>
    <x:row r="6" s="655" customFormat="1" ht="34" customHeight="1">
      <x:c r="A6" s="744" t="inlineStr">
        <x:is>
          <x:t xml:space="preserve">LED RGB CCT</x:t>
        </x:is>
      </x:c>
      <x:c r="B6" s="744" t="inlineStr">
        <x:is>
          <x:t xml:space="preserve">03_Cennik_uslug_nowy: kod LEDRGBCCT</x:t>
        </x:is>
      </x:c>
      <x:c r="C6" s="745" t="inlineStr">
        <x:is>
          <x:t xml:space="preserve">Grupa kalkulacyjna = OŚWIETLENIE; Widoczność = website+crm</x:t>
        </x:is>
      </x:c>
      <x:c r="D6" s="744" t="inlineStr">
        <x:is>
          <x:t xml:space="preserve">LED RGB CCT ma być normalną opcją konfiguratora strony.</x:t>
        </x:is>
      </x:c>
    </x:row>
    <x:row r="7" s="655" customFormat="1" ht="34" customHeight="1">
      <x:c r="A7" s="744" t="inlineStr">
        <x:is>
          <x:t xml:space="preserve">Dopłata dach szkło przezroczyste</x:t>
        </x:is>
      </x:c>
      <x:c r="B7" s="744" t="inlineStr">
        <x:is>
          <x:t xml:space="preserve">kod PDS</x:t>
        </x:is>
      </x:c>
      <x:c r="C7" s="745" t="inlineStr">
        <x:is>
          <x:t xml:space="preserve">Wynagrodzenie + koszty = 0</x:t>
        </x:is>
      </x:c>
      <x:c r="D7" s="744" t="inlineStr">
        <x:is>
          <x:t xml:space="preserve">Wcześniej pobierane z EG_Cennik_uslug!V; user potwierdził, że dopłata nie generuje osobnego wynagrodzenia ekipy.</x:t>
        </x:is>
      </x:c>
    </x:row>
    <x:row r="8" s="655" customFormat="1" ht="34" customHeight="1">
      <x:c r="A8" s="744" t="inlineStr">
        <x:is>
          <x:t xml:space="preserve">Dopłata dach szkło barwione/mleczne</x:t>
        </x:is>
      </x:c>
      <x:c r="B8" s="744" t="inlineStr">
        <x:is>
          <x:t xml:space="preserve">kod PDSB</x:t>
        </x:is>
      </x:c>
      <x:c r="C8" s="745" t="inlineStr">
        <x:is>
          <x:t xml:space="preserve">Wynagrodzenie + koszty = 0</x:t>
        </x:is>
      </x:c>
      <x:c r="D8" s="744" t="inlineStr">
        <x:is>
          <x:t xml:space="preserve">Zgodne z logiką EG widoczną w kopii cennika: dopłaty kolorystyczne mają 0 kosztów ekipy.</x:t>
        </x:is>
      </x:c>
    </x:row>
    <x:row r="9" s="655" customFormat="1" ht="34" customHeight="1">
      <x:c r="A9" s="744" t="inlineStr">
        <x:is>
          <x:t xml:space="preserve">Dopłata poliwęglan barwiony</x:t>
        </x:is>
      </x:c>
      <x:c r="B9" s="744" t="inlineStr">
        <x:is>
          <x:t xml:space="preserve">kod PDPB</x:t>
        </x:is>
      </x:c>
      <x:c r="C9" s="745" t="inlineStr">
        <x:is>
          <x:t xml:space="preserve">Wynagrodzenie + koszty = 0</x:t>
        </x:is>
      </x:c>
      <x:c r="D9" s="744" t="inlineStr">
        <x:is>
          <x:t xml:space="preserve">Zgodne z logiką EG: dopłata za pokrycie/kolor nie jest osobnym montażem.</x:t>
        </x:is>
      </x:c>
    </x:row>
    <x:row r="10" s="655" customFormat="1" ht="34" customHeight="1">
      <x:c r="A10" s="744" t="inlineStr">
        <x:is>
          <x:t xml:space="preserve">Dopłata szkło boczne przyciemniane</x:t>
        </x:is>
      </x:c>
      <x:c r="B10" s="744" t="inlineStr">
        <x:is>
          <x:t xml:space="preserve">kod SBB</x:t>
        </x:is>
      </x:c>
      <x:c r="C10" s="745" t="inlineStr">
        <x:is>
          <x:t xml:space="preserve">Wynagrodzenie + koszty = 0</x:t>
        </x:is>
      </x:c>
      <x:c r="D10" s="744" t="inlineStr">
        <x:is>
          <x:t xml:space="preserve">Zgodne z logiką EG: dopłata za barwione szkło boczne nie jest osobnym wynagrodzeniem ekipy.</x:t>
        </x:is>
      </x:c>
    </x:row>
    <x:row r="11" s="655" customFormat="1" ht="34" customHeight="1"/>
    <x:row r="12" s="655" customFormat="1" ht="34" customHeight="1"/>
    <x:row r="13" s="655" customFormat="1" ht="34" customHeight="1">
      <x:c r="A13" s="746" t="inlineStr">
        <x:is>
          <x:t xml:space="preserve">Skąd brały się poprzednie kwoty?</x:t>
        </x:is>
      </x:c>
    </x:row>
    <x:row r="14" s="655" customFormat="1" ht="34" customHeight="1">
      <x:c r="A14" s="743" t="inlineStr">
        <x:is>
          <x:t xml:space="preserve">Kod</x:t>
        </x:is>
      </x:c>
      <x:c r="B14" s="743" t="inlineStr">
        <x:is>
          <x:t xml:space="preserve">Poprzednie źródło w kolumnie L</x:t>
        </x:is>
      </x:c>
      <x:c r="C14" s="743" t="inlineStr">
        <x:is>
          <x:t xml:space="preserve">Interpretacja</x:t>
        </x:is>
      </x:c>
      <x:c r="D14" s="743" t="inlineStr">
        <x:is>
          <x:t xml:space="preserve">Decyzja FIX17</x:t>
        </x:is>
      </x:c>
    </x:row>
    <x:row r="15" s="655" customFormat="1" ht="34" customHeight="1">
      <x:c r="A15" s="747" t="inlineStr">
        <x:is>
          <x:t xml:space="preserve">PDS</x:t>
        </x:is>
      </x:c>
      <x:c r="B15" s="747" t="inlineStr">
        <x:is>
          <x:t xml:space="preserve">EG_Cennik_uslug!V</x:t>
        </x:is>
      </x:c>
      <x:c r="C15" s="747" t="inlineStr">
        <x:is>
          <x:t xml:space="preserve">Przeniesione z EG jako „Wynagrodzenie + dodatkowe koszty PDS”; obniżało rentowność PDS do ok. 21–25%.</x:t>
        </x:is>
      </x:c>
      <x:c r="D15" s="747" t="inlineStr">
        <x:is>
          <x:t xml:space="preserve">Wyzerowane — nie traktujemy dopłaty dach szkło przezroczyste jako dodatkowego wynagrodzenia ekipy.</x:t>
        </x:is>
      </x:c>
    </x:row>
    <x:row r="16" s="655" customFormat="1" ht="34" customHeight="1">
      <x:c r="A16" s="747" t="inlineStr">
        <x:is>
          <x:t xml:space="preserve">PDSB</x:t>
        </x:is>
      </x:c>
      <x:c r="B16" s="747" t="inlineStr">
        <x:is>
          <x:t xml:space="preserve">0</x:t>
        </x:is>
      </x:c>
      <x:c r="C16" s="747" t="inlineStr">
        <x:is>
          <x:t xml:space="preserve">Już było zgodne z EG — dopłata za szkło barwione/mleczne bez osobnego kosztu ekipy.</x:t>
        </x:is>
      </x:c>
      <x:c r="D16" s="747" t="inlineStr">
        <x:is>
          <x:t xml:space="preserve">Pozostawione 0.</x:t>
        </x:is>
      </x:c>
    </x:row>
    <x:row r="17" s="655" customFormat="1" ht="34" customHeight="1">
      <x:c r="A17" s="747" t="inlineStr">
        <x:is>
          <x:t xml:space="preserve">PDPB</x:t>
        </x:is>
      </x:c>
      <x:c r="B17" s="747" t="inlineStr">
        <x:is>
          <x:t xml:space="preserve">EG_Cennik_uslug!BF</x:t>
        </x:is>
      </x:c>
      <x:c r="C17" s="747" t="inlineStr">
        <x:is>
          <x:t xml:space="preserve">W EG kolumna kosztów dla tej sekcji jest 0; formuła była zbędnym odwołaniem.</x:t>
        </x:is>
      </x:c>
      <x:c r="D17" s="747" t="inlineStr">
        <x:is>
          <x:t xml:space="preserve">Ustawione 0 na stałe.</x:t>
        </x:is>
      </x:c>
    </x:row>
    <x:row r="18" s="655" customFormat="1" ht="34" customHeight="1">
      <x:c r="A18" s="747" t="inlineStr">
        <x:is>
          <x:t xml:space="preserve">SBB</x:t>
        </x:is>
      </x:c>
      <x:c r="B18" s="747" t="inlineStr">
        <x:is>
          <x:t xml:space="preserve">EG_Cennik_uslug!BM</x:t>
        </x:is>
      </x:c>
      <x:c r="C18" s="747" t="inlineStr">
        <x:is>
          <x:t xml:space="preserve">W EG kolumna kosztów dla tej sekcji jest 0; formuła była zbędnym odwołaniem.</x:t>
        </x:is>
      </x:c>
      <x:c r="D18" s="747" t="inlineStr">
        <x:is>
          <x:t xml:space="preserve">Ustawione 0 na stałe.</x:t>
        </x:is>
      </x:c>
    </x:row>
    <x:row r="19" s="655" customFormat="1" ht="34" customHeight="1"/>
    <x:row r="20" s="655" customFormat="1" ht="34" customHeight="1"/>
    <x:row r="21" s="655" customFormat="1" ht="34" customHeight="1">
      <x:c r="A21" s="748" t="inlineStr">
        <x:is>
          <x:t xml:space="preserve">Fundament/profile — dlaczego pojawiała się ujemna rentowność?</x:t>
        </x:is>
      </x:c>
    </x:row>
    <x:row r="22" s="655" customFormat="1" ht="34" customHeight="1">
      <x:c r="A22" s="743" t="inlineStr">
        <x:is>
          <x:t xml:space="preserve">Element</x:t>
        </x:is>
      </x:c>
      <x:c r="B22" s="743" t="inlineStr">
        <x:is>
          <x:t xml:space="preserve">Źródło</x:t>
        </x:is>
      </x:c>
      <x:c r="C22" s="743" t="inlineStr">
        <x:is>
          <x:t xml:space="preserve">Co oznacza</x:t>
        </x:is>
      </x:c>
      <x:c r="D22" s="743" t="inlineStr">
        <x:is>
          <x:t xml:space="preserve">Dlaczego rentowność może być ujemna</x:t>
        </x:is>
      </x:c>
      <x:c r="E22" s="743" t="inlineStr">
        <x:is>
          <x:t xml:space="preserve">Status FIX17</x:t>
        </x:is>
      </x:c>
    </x:row>
    <x:row r="23" s="655" customFormat="1" ht="34" customHeight="1">
      <x:c r="A23" s="747" t="inlineStr">
        <x:is>
          <x:t xml:space="preserve">Koszt bazowy PDWP</x:t>
        </x:is>
      </x:c>
      <x:c r="B23" s="747" t="inlineStr">
        <x:is>
          <x:t xml:space="preserve">02_RAW_INDEX, kolumny AG/AH; w 03 źródło RAW_OP AB/AC</x:t>
        </x:is>
      </x:c>
      <x:c r="C23" s="747" t="inlineStr">
        <x:is>
          <x:t xml:space="preserve">Koszt dostawcy dla fundament/profile.</x:t>
        </x:is>
      </x:c>
      <x:c r="D23" s="747" t="inlineStr">
        <x:is>
          <x:t xml:space="preserve">Jeżeli klientowi nie doliczamy montażu w kolumnie K, to sama marża 45% od kosztu materiałowego może nie pokryć kosztów ekipy.</x:t>
        </x:is>
      </x:c>
      <x:c r="E23" s="749" t="inlineStr">
        <x:is>
          <x:t xml:space="preserve">Nie zmieniono automatycznie.</x:t>
        </x:is>
      </x:c>
    </x:row>
    <x:row r="24" s="655" customFormat="1" ht="34" customHeight="1">
      <x:c r="A24" s="747" t="inlineStr">
        <x:is>
          <x:t xml:space="preserve">Wynagrodzenie + koszty PDWP</x:t>
        </x:is>
      </x:c>
      <x:c r="B24" s="747" t="inlineStr">
        <x:is>
          <x:t xml:space="preserve">EG_Cennik_uslug!BT dla 300–500 oraz model FIX11 dla 550/600</x:t>
        </x:is>
      </x:c>
      <x:c r="C24" s="747" t="inlineStr">
        <x:is>
          <x:t xml:space="preserve">Koszt wewnętrzny robocizny/przygotowania.</x:t>
        </x:is>
      </x:c>
      <x:c r="D24" s="747" t="inlineStr">
        <x:is>
          <x:t xml:space="preserve">Wzór zysku to J + K - H - L. Przy K=0 i dodatnim L wynik może spaść poniżej 0.</x:t>
        </x:is>
      </x:c>
      <x:c r="E24" s="749" t="inlineStr">
        <x:is>
          <x:t xml:space="preserve">Wymaga osobnej decyzji: podnieść cenę/montaż PDWP albo ukryć jako opcję strony.</x:t>
        </x:is>
      </x:c>
    </x:row>
    <x:row r="25" s="655" customFormat="1" ht="34" customHeight="1"/>
    <x:row r="26" s="655" customFormat="1" ht="34" customHeight="1"/>
    <x:row r="27" s="655" customFormat="1" ht="34" customHeight="1">
      <x:c r="A27" s="746" t="inlineStr">
        <x:is>
          <x:t xml:space="preserve">Kontrola wykonanych zmian</x:t>
        </x:is>
      </x:c>
    </x:row>
    <x:row r="28" s="655" customFormat="1" ht="34" customHeight="1">
      <x:c r="A28" s="750" t="inlineStr">
        <x:is>
          <x:t xml:space="preserve">Kontrola</x:t>
        </x:is>
      </x:c>
      <x:c r="B28" s="750" t="inlineStr">
        <x:is>
          <x:t xml:space="preserve">Wartość</x:t>
        </x:is>
      </x:c>
    </x:row>
    <x:row r="29" s="655" customFormat="1" ht="34" customHeight="1">
      <x:c r="A29" s="751" t="inlineStr">
        <x:is>
          <x:t xml:space="preserve">Zaktualizowane wiersze LEDCCT/LEDRGBCCT</x:t>
        </x:is>
      </x:c>
      <x:c r="B29" s="752" t="n">
        <x:v>140</x:v>
      </x:c>
    </x:row>
    <x:row r="30" s="655" customFormat="1" ht="34" customHeight="1">
      <x:c r="A30" s="751" t="inlineStr">
        <x:is>
          <x:t xml:space="preserve">Wiersze dopłat z wyzerowanym Wynagr.+koszty</x:t>
        </x:is>
      </x:c>
      <x:c r="B30" s="752" t="n">
        <x:v>280</x:v>
      </x:c>
    </x:row>
    <x:row r="31" s="655" customFormat="1" ht="34" customHeight="1">
      <x:c r="A31" s="751" t="inlineStr">
        <x:is>
          <x:t xml:space="preserve">Wiersze PDS, które wcześniej miały formułę/koszt w L</x:t>
        </x:is>
      </x:c>
      <x:c r="B31" s="752" t="n">
        <x:v>70</x:v>
      </x:c>
    </x:row>
  </x:sheetData>
  <x:mergeCells>
    <x:mergeCell ref="A21:H21"/>
    <x:mergeCell ref="A2:H2"/>
    <x:mergeCell ref="A13:H13"/>
    <x:mergeCell ref="A1:H1"/>
    <x:mergeCell ref="A27:H27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24" style="655" customWidth="1"/>
    <x:col min="2" max="2" width="46" style="655" customWidth="1"/>
    <x:col min="3" max="3" width="36" style="655" customWidth="1"/>
    <x:col min="4" max="4" width="24" style="655" customWidth="1"/>
  </x:cols>
  <x:sheetData>
    <x:row r="1">
      <x:c r="A1" s="755" t="inlineStr">
        <x:is>
          <x:t xml:space="preserve">FIX18 — decyzje LED przed walidacją / stroną</x:t>
        </x:is>
      </x:c>
    </x:row>
    <x:row r="3">
      <x:c r="A3" s="756" t="inlineStr">
        <x:is>
          <x:t xml:space="preserve">Obszar</x:t>
        </x:is>
      </x:c>
      <x:c r="B3" s="756" t="inlineStr">
        <x:is>
          <x:t xml:space="preserve">Zmiana</x:t>
        </x:is>
      </x:c>
      <x:c r="C3" s="756" t="inlineStr">
        <x:is>
          <x:t xml:space="preserve">Zakres</x:t>
        </x:is>
      </x:c>
      <x:c r="D3" s="756" t="inlineStr">
        <x:is>
          <x:t xml:space="preserve">Status</x:t>
        </x:is>
      </x:c>
    </x:row>
    <x:row r="4">
      <x:c r="A4" s="757" t="inlineStr">
        <x:is>
          <x:t xml:space="preserve">LED CCT</x:t>
        </x:is>
      </x:c>
      <x:c r="B4" s="757" t="inlineStr">
        <x:is>
          <x:t xml:space="preserve">Cena sprzedaży netto +700 zł</x:t>
        </x:is>
      </x:c>
      <x:c r="C4" s="757" t="inlineStr">
        <x:is>
          <x:t xml:space="preserve">LEDCCT, szerokości 450/500/550/600</x:t>
        </x:is>
      </x:c>
      <x:c r="D4" s="757" t="inlineStr">
        <x:is>
          <x:t xml:space="preserve">website+crm</x:t>
        </x:is>
      </x:c>
    </x:row>
    <x:row r="5">
      <x:c r="A5" s="757" t="inlineStr">
        <x:is>
          <x:t xml:space="preserve">LED RGB CCT</x:t>
        </x:is>
      </x:c>
      <x:c r="B5" s="757" t="inlineStr">
        <x:is>
          <x:t xml:space="preserve">Wyłączone ze strony</x:t>
        </x:is>
      </x:c>
      <x:c r="C5" s="757" t="inlineStr">
        <x:is>
          <x:t xml:space="preserve">LEDRGBCCT, wszystkie wymiary</x:t>
        </x:is>
      </x:c>
      <x:c r="D5" s="757" t="inlineStr">
        <x:is>
          <x:t xml:space="preserve">crm_only</x:t>
        </x:is>
      </x:c>
    </x:row>
    <x:row r="6">
      <x:c r="A6" s="757" t="inlineStr">
        <x:is>
          <x:t xml:space="preserve">04_Wycena_strona_nowa</x:t>
        </x:is>
      </x:c>
      <x:c r="B6" s="757" t="inlineStr">
        <x:is>
          <x:t xml:space="preserve">Kolumna LED RGB CCT wyczyszczona</x:t>
        </x:is>
      </x:c>
      <x:c r="C6" s="757" t="inlineStr">
        <x:is>
          <x:t xml:space="preserve">S2:S71</x:t>
        </x:is>
      </x:c>
      <x:c r="D6" s="757" t="inlineStr">
        <x:is>
          <x:t xml:space="preserve">nie eksportować na stronę</x:t>
        </x:is>
      </x:c>
    </x:row>
    <x:row r="7">
      <x:c r="A7" s="757" t="inlineStr">
        <x:is>
          <x:t xml:space="preserve">06_Test_konfiguracji</x:t>
        </x:is>
      </x:c>
      <x:c r="B7" s="757" t="inlineStr">
        <x:is>
          <x:t xml:space="preserve">Dropdown LED bez RGB CCT</x:t>
        </x:is>
      </x:c>
      <x:c r="C7" s="757" t="inlineStr">
        <x:is>
          <x:t xml:space="preserve">B11</x:t>
        </x:is>
      </x:c>
      <x:c r="D7" s="757" t="inlineStr">
        <x:is>
          <x:t xml:space="preserve">tylko brak / LED punktowe / LED CCT</x:t>
        </x:is>
      </x:c>
    </x:row>
    <x:row r="8">
      <x:c r="A8" s="757" t="inlineStr">
        <x:is>
          <x:t xml:space="preserve">08_Kalkulator_CRM</x:t>
        </x:is>
      </x:c>
      <x:c r="B8" s="757" t="inlineStr">
        <x:is>
          <x:t xml:space="preserve">RGB CCT zostaje jako opcja CRM</x:t>
        </x:is>
      </x:c>
      <x:c r="C8" s="757" t="inlineStr">
        <x:is>
          <x:t xml:space="preserve">B13</x:t>
        </x:is>
      </x:c>
      <x:c r="D8" s="757" t="inlineStr">
        <x:is>
          <x:t xml:space="preserve">CRM/Bitrix</x:t>
        </x:is>
      </x:c>
    </x:row>
    <x:row r="9">
      <x:c r="A9" s="757" t="inlineStr">
        <x:is>
          <x:t xml:space="preserve">01_Ustawienia</x:t>
        </x:is>
      </x:c>
      <x:c r="B9" s="757" t="inlineStr">
        <x:is>
          <x:t xml:space="preserve">PDWP narzut ustawiony na 120%</x:t>
        </x:is>
      </x:c>
      <x:c r="C9" s="757" t="inlineStr">
        <x:is>
          <x:t xml:space="preserve">B26</x:t>
        </x:is>
      </x:c>
      <x:c r="D9" s="757" t="inlineStr">
        <x:is>
          <x:t xml:space="preserve">utrzymane wg decyzji</x:t>
        </x:is>
      </x:c>
    </x:row>
    <x:row r="10">
      <x:c r="A10" s="757" t="inlineStr">
        <x:is>
          <x:t xml:space="preserve">RAW_INDEX</x:t>
        </x:is>
      </x:c>
      <x:c r="B10" s="757" t="inlineStr">
        <x:is>
          <x:t xml:space="preserve">Nie został sztucznie podniesiony</x:t>
        </x:is>
      </x:c>
      <x:c r="C10" s="757" t="inlineStr">
        <x:is>
          <x:t xml:space="preserve">koszt dostawcy/model kosztu</x:t>
        </x:is>
      </x:c>
      <x:c r="D10" s="757" t="inlineStr">
        <x:is>
          <x:t xml:space="preserve">zmiana dotyczy sprzedaży netto w 03</x:t>
        </x:is>
      </x:c>
    </x:row>
    <x:row r="11">
      <x:c r="A11" s="757" t="inlineStr">
        <x:is>
          <x:t xml:space="preserve">Do walidacji</x:t>
        </x:is>
      </x:c>
      <x:c r="B11" s="757" t="inlineStr">
        <x:is>
          <x:t xml:space="preserve">sprawdzić ceny LED CCT po zmianie w 04/06</x:t>
        </x:is>
      </x:c>
      <x:c r="C11" s="757" t="inlineStr">
        <x:is>
          <x:t xml:space="preserve">po przeliczeniu Excel</x:t>
        </x:is>
      </x:c>
      <x:c r="D11" s="757" t="inlineStr">
        <x:is>
          <x:t xml:space="preserve">Ctrl+Alt+F9</x:t>
        </x:is>
      </x:c>
    </x:row>
    <x:row r="12">
      <x:c r="A12" s="757" t="inlineStr">
        <x:is>
          <x:t xml:space="preserve">Do decyzji</x:t>
        </x:is>
      </x:c>
      <x:c r="B12" s="757" t="inlineStr">
        <x:is>
          <x:t xml:space="preserve">czy LED CCT po +700 netto jest akceptowalny cenowo vs EG COB</x:t>
        </x:is>
      </x:c>
      <x:c r="C12" s="757" t="inlineStr">
        <x:is>
          <x:t xml:space="preserve">05_Porownanie_EG</x:t>
        </x:is>
      </x:c>
      <x:c r="D12" s="757" t="inlineStr">
        <x:is>
          <x:t xml:space="preserve">przed exportem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FFC000"/>
  </x:sheetPr>
  <x:sheetFormatPr baseColWidth="8" defaultRowHeight="14.75"/>
  <x:cols>
    <x:col min="1" max="1" width="28" style="655" customWidth="1"/>
    <x:col min="2" max="2" width="120" style="655" customWidth="1"/>
  </x:cols>
  <x:sheetData>
    <x:row r="1" s="655" customFormat="1" ht="30" customHeight="1">
      <x:c r="A1" s="606" t="inlineStr">
        <x:is>
          <x:t xml:space="preserve">FIX13 — widoczne pełne porównanie EG vs MoonGlass</x:t>
        </x:is>
      </x:c>
      <x:c r="B1" s="606" t="n"/>
    </x:row>
    <x:row r="2">
      <x:c r="A2" s="579" t="n"/>
      <x:c r="B2" s="579" t="n"/>
    </x:row>
    <x:row r="3" s="655" customFormat="1" ht="44.25" customHeight="1">
      <x:c r="A3" s="579" t="inlineStr">
        <x:is>
          <x:t xml:space="preserve">Co było problemem?</x:t>
        </x:is>
      </x:c>
      <x:c r="B3" s="579" t="inlineStr">
        <x:is>
          <x:t xml:space="preserve">W FIX12 pełne porównanie zostało dodane jako osobny arkusz 05_Porownanie_EG_FULL na końcu skoroszytu, a stary arkusz 05_Porownanie_EG nadal został na swoim miejscu. Dlatego po wejściu w 05_Porownanie_EG dalej było widać tylko krótkie porównanie kończące się na markizie.</x:t>
        </x:is>
      </x:c>
    </x:row>
    <x:row r="4" s="655" customFormat="1" ht="29.5" customHeight="1">
      <x:c r="A4" s="579" t="inlineStr">
        <x:is>
          <x:t xml:space="preserve">Co poprawiono?</x:t>
        </x:is>
      </x:c>
      <x:c r="B4" s="579" t="inlineStr">
        <x:is>
          <x:t xml:space="preserve">Arkusz 05_Porownanie_EG_FULL został podmieniony jako główny arkusz 05_Porownanie_EG i przesunięty bezpośrednio po 04_Wycena_strona_nowa. Stary skrócony arkusz został zachowany jako ukryty 05_Porownanie_EG_STARE.</x:t>
        </x:is>
      </x:c>
    </x:row>
    <x:row r="5" s="655" customFormat="1" ht="29.5" customHeight="1">
      <x:c r="A5" s="579" t="inlineStr">
        <x:is>
          <x:t xml:space="preserve">Zakres nowego 05_Porownanie_EG</x:t>
        </x:is>
      </x:c>
      <x:c r="B5" s="579" t="inlineStr">
        <x:is>
          <x:t xml:space="preserve">Zadaszenie, ściany clear/barwione, poliwęglan barwiony, szkło clear/barwione, rolety prawa/lewa/przednia, markiza, fundament/profile, szczotki, uchwyty, zabieraki, LED punktowe, LED CCT, LED RGB CCT, uwagi/status.</x:t>
        </x:is>
      </x:c>
    </x:row>
    <x:row r="6" s="655" customFormat="1" ht="29.5" customHeight="1">
      <x:c r="A6" s="579" t="inlineStr">
        <x:is>
          <x:t xml:space="preserve">Czy zmieniono ceny?</x:t>
        </x:is>
      </x:c>
      <x:c r="B6" s="579" t="inlineStr">
        <x:is>
          <x:t xml:space="preserve">Nie. FIX13 zmienia widoczność i organizację arkuszy porównawczych, nie zmienia kalkulacji cen w 03_Cennik_uslug_nowy ani 04_Wycena_strona_nowa.</x:t>
        </x:is>
      </x:c>
    </x:row>
    <x:row r="7" s="655" customFormat="1" ht="29.5" customHeight="1">
      <x:c r="A7" s="579" t="inlineStr">
        <x:is>
          <x:t xml:space="preserve">Gdzie patrzeć?</x:t>
        </x:is>
      </x:c>
      <x:c r="B7" s="579" t="inlineStr">
        <x:is>
          <x:t xml:space="preserve">Otwórz arkusz 05_Porownanie_EG. Ma zakres A:BA; po markizie trzeba przewinąć w prawo do fundamentu, szczotek, uchwytów, zabieraków i LED.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4.75"/>
  <x:cols>
    <x:col min="1" max="1" width="28" style="655" customWidth="1"/>
    <x:col min="2" max="2" width="105" style="655" customWidth="1"/>
  </x:cols>
  <x:sheetData>
    <x:row r="1">
      <x:c r="A1" s="611" t="inlineStr">
        <x:is>
          <x:t xml:space="preserve">FIX14</x:t>
        </x:is>
      </x:c>
      <x:c r="B1" s="611" t="inlineStr">
        <x:is>
          <x:t xml:space="preserve">Poprawione pełne porównanie EG vs MoonGlass</x:t>
        </x:is>
      </x:c>
    </x:row>
    <x:row r="2" s="655" customFormat="1" ht="29.5" customHeight="1">
      <x:c r="A2" s="579" t="inlineStr">
        <x:is>
          <x:t xml:space="preserve">Problem</x:t>
        </x:is>
      </x:c>
      <x:c r="B2" s="579" t="inlineStr">
        <x:is>
          <x:t xml:space="preserve">W FIX13 arkusz 05_Porownanie_EG miał nagłówki, ale wiersze 2-71 były puste. Dlatego w aplikacji mobilnej było widać tylko zakres do markizy i puste kolumny dalej.</x:t>
        </x:is>
      </x:c>
    </x:row>
    <x:row r="3">
      <x:c r="A3" s="579" t="inlineStr">
        <x:is>
          <x:t xml:space="preserve">Poprawka</x:t>
        </x:is>
      </x:c>
      <x:c r="B3" s="579" t="inlineStr">
        <x:is>
          <x:t xml:space="preserve">Uzupełniono A2:AZ71 formułami oraz ustawiono szerokości/odkryto kolumny A:AZ.</x:t>
        </x:is>
      </x:c>
    </x:row>
    <x:row r="4" s="655" customFormat="1" ht="29.5" customHeight="1">
      <x:c r="A4" s="579" t="inlineStr">
        <x:is>
          <x:t xml:space="preserve">Zakres</x:t>
        </x:is>
      </x:c>
      <x:c r="B4" s="579" t="inlineStr">
        <x:is>
          <x:t xml:space="preserve">Porównanie obejmuje: zadaszenie, ściany, poliwęglan barwiony, szkło, rolety, markizę, fundament/profile, szczotki, uchwyty, zabieraki, LED punktowe, LED CCT/COB, LED RGB CCT.</x:t>
        </x:is>
      </x:c>
    </x:row>
    <x:row r="5">
      <x:c r="A5" s="579" t="inlineStr">
        <x:is>
          <x:t xml:space="preserve">Źródło EG</x:t>
        </x:is>
      </x:c>
      <x:c r="B5" s="579" t="inlineStr">
        <x:is>
          <x:t xml:space="preserve">EG_Wycena_strona dla pozycji publicznych oraz EG_Cennik_uslug × 1,08 dla dodatków wewnętrznych.</x:t>
        </x:is>
      </x:c>
    </x:row>
    <x:row r="6">
      <x:c r="A6" s="579" t="inlineStr">
        <x:is>
          <x:t xml:space="preserve">Źródło MoonGlass</x:t>
        </x:is>
      </x:c>
      <x:c r="B6" s="579" t="inlineStr">
        <x:is>
          <x:t xml:space="preserve">04_Wycena_strona_nowa.</x:t>
        </x:is>
      </x:c>
    </x:row>
    <x:row r="7">
      <x:c r="A7" s="579" t="inlineStr">
        <x:is>
          <x:t xml:space="preserve">Uwaga</x:t>
        </x:is>
      </x:c>
      <x:c r="B7" s="579" t="inlineStr">
        <x:is>
          <x:t xml:space="preserve">Zabieraki i LED RGB CCT nie mają bezpośredniego odpowiednika EG, więc kolumna EG jest pusta.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655" customWidth="1"/>
    <x:col min="2" max="2" width="8" style="655" customWidth="1"/>
    <x:col min="3" max="3" width="8" style="655" customWidth="1"/>
    <x:col min="4" max="4" width="14" style="655" customWidth="1"/>
    <x:col min="5" max="5" width="14" style="655" customWidth="1"/>
    <x:col min="6" max="6" width="18" style="655" customWidth="1"/>
    <x:col min="7" max="7" width="16" style="655" customWidth="1"/>
    <x:col min="8" max="8" width="16" style="655" customWidth="1"/>
    <x:col min="9" max="9" width="14" style="655" customWidth="1"/>
    <x:col min="10" max="10" width="14" style="655" customWidth="1"/>
    <x:col min="11" max="11" width="18" style="655" customWidth="1"/>
    <x:col min="12" max="12" width="16" style="655" customWidth="1"/>
    <x:col min="13" max="13" width="16" style="655" customWidth="1"/>
    <x:col min="14" max="14" width="44" style="655" customWidth="1"/>
    <x:col min="16" max="16" width="26" style="655" customWidth="1"/>
    <x:col min="17" max="17" width="20" style="655" customWidth="1"/>
  </x:cols>
  <x:sheetData>
    <x:row r="1" s="655" customFormat="1" ht="22" customHeight="1">
      <x:c r="A1" s="718" t="inlineStr">
        <x:is>
          <x:t xml:space="preserve">FIX15 — uzupełnienie cen LED CCT i LED RGB CCT dla 450–600 cm</x:t>
        </x:is>
      </x:c>
      <x:c r="B1" s="737" t="n"/>
      <x:c r="C1" s="737" t="n"/>
      <x:c r="D1" s="737" t="n"/>
      <x:c r="E1" s="737" t="n"/>
      <x:c r="F1" s="737" t="n"/>
      <x:c r="G1" s="737" t="n"/>
      <x:c r="H1" s="737" t="n"/>
      <x:c r="I1" s="737" t="n"/>
      <x:c r="J1" s="737" t="n"/>
      <x:c r="K1" s="737" t="n"/>
      <x:c r="L1" s="737" t="n"/>
      <x:c r="M1" s="738" t="n"/>
      <x:c r="N1" s="719" t="n"/>
      <x:c r="O1" s="719" t="n"/>
      <x:c r="P1" s="719" t="n"/>
      <x:c r="Q1" s="719" t="n"/>
    </x:row>
    <x:row r="2" s="655" customFormat="1" ht="22" customHeight="1">
      <x:c r="A2" s="720" t="inlineStr">
        <x:is>
          <x:t xml:space="preserve">Cel</x:t>
        </x:is>
      </x:c>
      <x:c r="B2" s="721" t="inlineStr">
        <x:is>
          <x:t xml:space="preserve">Zastąpienie zer w LEDCCT/LEDRGBCCT dla szerokości 450–600 modelowymi cenami brutto dostawcy, aby kalkulator nie pokazywał braków cenowych.</x:t>
        </x:is>
      </x:c>
      <x:c r="C2" s="719" t="n"/>
      <x:c r="D2" s="719" t="n"/>
      <x:c r="E2" s="719" t="n"/>
      <x:c r="F2" s="719" t="n"/>
      <x:c r="G2" s="719" t="n"/>
      <x:c r="H2" s="719" t="n"/>
      <x:c r="I2" s="719" t="n"/>
      <x:c r="J2" s="719" t="n"/>
      <x:c r="K2" s="719" t="n"/>
      <x:c r="L2" s="719" t="n"/>
      <x:c r="M2" s="719" t="n"/>
      <x:c r="N2" s="719" t="n"/>
      <x:c r="O2" s="719" t="n"/>
      <x:c r="P2" s="719" t="n"/>
      <x:c r="Q2" s="719" t="n"/>
    </x:row>
    <x:row r="3" s="655" customFormat="1" ht="22" customHeight="1">
      <x:c r="A3" s="720" t="inlineStr">
        <x:is>
          <x:t xml:space="preserve">Metoda</x:t>
        </x:is>
      </x:c>
      <x:c r="B3" s="721" t="inlineStr">
        <x:is>
          <x:t xml:space="preserve">Dla każdej długości: cena_model = cena_400 + ((cena_400 - cena_300)/2) × liczba_kroków_50cm_od_400 + 300 zł brutto.</x:t>
        </x:is>
      </x:c>
      <x:c r="C3" s="719" t="n"/>
      <x:c r="D3" s="719" t="n"/>
      <x:c r="E3" s="719" t="n"/>
      <x:c r="F3" s="719" t="n"/>
      <x:c r="G3" s="719" t="n"/>
      <x:c r="H3" s="719" t="n"/>
      <x:c r="I3" s="719" t="n"/>
      <x:c r="J3" s="719" t="n"/>
      <x:c r="K3" s="719" t="n"/>
      <x:c r="L3" s="719" t="n"/>
      <x:c r="M3" s="719" t="n"/>
      <x:c r="N3" s="719" t="n"/>
      <x:c r="O3" s="719" t="n"/>
      <x:c r="P3" s="719" t="n"/>
      <x:c r="Q3" s="719" t="n"/>
    </x:row>
    <x:row r="4" s="655" customFormat="1" ht="22" customHeight="1">
      <x:c r="A4" s="720" t="inlineStr">
        <x:is>
          <x:t xml:space="preserve">Zakres</x:t>
        </x:is>
      </x:c>
      <x:c r="B4" s="721" t="inlineStr">
        <x:is>
          <x:t xml:space="preserve">LEDCCT oraz LEDRGBCCT, szerokości 450/500/550/600, długości 306–1206.</x:t>
        </x:is>
      </x:c>
      <x:c r="C4" s="719" t="n"/>
      <x:c r="D4" s="719" t="n"/>
      <x:c r="E4" s="719" t="n"/>
      <x:c r="F4" s="719" t="n"/>
      <x:c r="G4" s="719" t="n"/>
      <x:c r="H4" s="719" t="n"/>
      <x:c r="I4" s="719" t="n"/>
      <x:c r="J4" s="719" t="n"/>
      <x:c r="K4" s="719" t="n"/>
      <x:c r="L4" s="719" t="n"/>
      <x:c r="M4" s="719" t="n"/>
      <x:c r="N4" s="719" t="n"/>
      <x:c r="O4" s="719" t="n"/>
      <x:c r="P4" s="719" t="n"/>
      <x:c r="Q4" s="719" t="n"/>
    </x:row>
    <x:row r="5" s="655" customFormat="1" ht="22" customHeight="1">
      <x:c r="A5" s="720" t="inlineStr">
        <x:is>
          <x:t xml:space="preserve">Status</x:t>
        </x:is>
      </x:c>
      <x:c r="B5" s="721" t="inlineStr">
        <x:is>
          <x:t xml:space="preserve">Model roboczy do potwierdzenia ze znajomym/dostawcą; wpisany do 02_RAW_INDEX i używany dalej przez 03/04 przez istniejące formuły.</x:t>
        </x:is>
      </x:c>
      <x:c r="C5" s="719" t="n"/>
      <x:c r="D5" s="719" t="n"/>
      <x:c r="E5" s="719" t="n"/>
      <x:c r="F5" s="719" t="n"/>
      <x:c r="G5" s="719" t="n"/>
      <x:c r="H5" s="719" t="n"/>
      <x:c r="I5" s="719" t="n"/>
      <x:c r="J5" s="719" t="n"/>
      <x:c r="K5" s="719" t="n"/>
      <x:c r="L5" s="719" t="n"/>
      <x:c r="M5" s="719" t="n"/>
      <x:c r="N5" s="719" t="n"/>
      <x:c r="O5" s="719" t="n"/>
      <x:c r="P5" s="719" t="n"/>
      <x:c r="Q5" s="719" t="n"/>
    </x:row>
    <x:row r="6" s="655" customFormat="1" ht="22" customHeight="1">
      <x:c r="A6" s="719" t="n"/>
      <x:c r="B6" s="719" t="n"/>
      <x:c r="C6" s="719" t="n"/>
      <x:c r="D6" s="719" t="n"/>
      <x:c r="E6" s="719" t="n"/>
      <x:c r="F6" s="719" t="n"/>
      <x:c r="G6" s="719" t="n"/>
      <x:c r="H6" s="719" t="n"/>
      <x:c r="I6" s="719" t="n"/>
      <x:c r="J6" s="719" t="n"/>
      <x:c r="K6" s="719" t="n"/>
      <x:c r="L6" s="719" t="n"/>
      <x:c r="M6" s="719" t="n"/>
      <x:c r="N6" s="719" t="n"/>
      <x:c r="O6" s="719" t="n"/>
      <x:c r="P6" s="719" t="n"/>
      <x:c r="Q6" s="719" t="n"/>
    </x:row>
    <x:row r="7" s="655" customFormat="1" ht="22" customHeight="1">
      <x:c r="A7" s="722" t="inlineStr">
        <x:is>
          <x:t xml:space="preserve">Wymiar</x:t>
        </x:is>
      </x:c>
      <x:c r="B7" s="722" t="inlineStr">
        <x:is>
          <x:t xml:space="preserve">Szer.</x:t>
        </x:is>
      </x:c>
      <x:c r="C7" s="722" t="inlineStr">
        <x:is>
          <x:t xml:space="preserve">Dł.</x:t>
        </x:is>
      </x:c>
      <x:c r="D7" s="722" t="inlineStr">
        <x:is>
          <x:t xml:space="preserve">CCT 300 brutto</x:t>
        </x:is>
      </x:c>
      <x:c r="E7" s="722" t="inlineStr">
        <x:is>
          <x:t xml:space="preserve">CCT 400 brutto</x:t>
        </x:is>
      </x:c>
      <x:c r="F7" s="722" t="inlineStr">
        <x:is>
          <x:t xml:space="preserve">Śr. przyrost CCT/50</x:t>
        </x:is>
      </x:c>
      <x:c r="G7" s="722" t="inlineStr">
        <x:is>
          <x:t xml:space="preserve">CCT model brutto</x:t>
        </x:is>
      </x:c>
      <x:c r="H7" s="722" t="inlineStr">
        <x:is>
          <x:t xml:space="preserve">CCT model netto</x:t>
        </x:is>
      </x:c>
      <x:c r="I7" s="722" t="inlineStr">
        <x:is>
          <x:t xml:space="preserve">RGB 300 brutto</x:t>
        </x:is>
      </x:c>
      <x:c r="J7" s="722" t="inlineStr">
        <x:is>
          <x:t xml:space="preserve">RGB 400 brutto</x:t>
        </x:is>
      </x:c>
      <x:c r="K7" s="722" t="inlineStr">
        <x:is>
          <x:t xml:space="preserve">Śr. przyrost RGB/50</x:t>
        </x:is>
      </x:c>
      <x:c r="L7" s="722" t="inlineStr">
        <x:is>
          <x:t xml:space="preserve">RGB model brutto</x:t>
        </x:is>
      </x:c>
      <x:c r="M7" s="722" t="inlineStr">
        <x:is>
          <x:t xml:space="preserve">RGB model netto</x:t>
        </x:is>
      </x:c>
      <x:c r="N7" s="722" t="inlineStr">
        <x:is>
          <x:t xml:space="preserve">Metoda</x:t>
        </x:is>
      </x:c>
      <x:c r="O7" s="719" t="n"/>
      <x:c r="P7" s="723" t="inlineStr">
        <x:is>
          <x:t xml:space="preserve">Kontrola</x:t>
        </x:is>
      </x:c>
      <x:c r="Q7" s="719" t="n"/>
    </x:row>
    <x:row r="8" s="655" customFormat="1" ht="22" customHeight="1">
      <x:c r="A8" s="724" t="inlineStr">
        <x:is>
          <x:t xml:space="preserve">450 x 306 cm</x:t>
        </x:is>
      </x:c>
      <x:c r="B8" s="724" t="n">
        <x:v>450</x:v>
      </x:c>
      <x:c r="C8" s="724" t="n">
        <x:v>306</x:v>
      </x:c>
      <x:c r="D8" s="739" t="n">
        <x:v>972</x:v>
      </x:c>
      <x:c r="E8" s="739" t="n">
        <x:v>1058</x:v>
      </x:c>
      <x:c r="F8" s="740" t="n">
        <x:v>43</x:v>
      </x:c>
      <x:c r="G8" s="739" t="n">
        <x:v>1401</x:v>
      </x:c>
      <x:c r="H8" s="740" t="n">
        <x:v>1139.024390243902</x:v>
      </x:c>
      <x:c r="I8" s="739" t="n">
        <x:v>1205</x:v>
      </x:c>
      <x:c r="J8" s="739" t="n">
        <x:v>1365</x:v>
      </x:c>
      <x:c r="K8" s="740" t="n">
        <x:v>80</x:v>
      </x:c>
      <x:c r="L8" s="739" t="n">
        <x:v>1745</x:v>
      </x:c>
      <x:c r="M8" s="740" t="n">
        <x:v>1418.69918699187</x:v>
      </x:c>
      <x:c r="N8" s="727" t="inlineStr">
        <x:is>
          <x:t xml:space="preserve">400 + śr. przyrost/50cm z 300–400 + 300 zł brutto</x:t>
        </x:is>
      </x:c>
      <x:c r="O8" s="719" t="n"/>
      <x:c r="P8" s="728" t="inlineStr">
        <x:is>
          <x:t xml:space="preserve">Liczba modelowych pozycji</x:t>
        </x:is>
      </x:c>
      <x:c r="Q8" s="741" t="n">
        <x:v>40</x:v>
      </x:c>
    </x:row>
    <x:row r="9" s="655" customFormat="1" ht="22" customHeight="1">
      <x:c r="A9" s="724" t="inlineStr">
        <x:is>
          <x:t xml:space="preserve">500 x 306 cm</x:t>
        </x:is>
      </x:c>
      <x:c r="B9" s="724" t="n">
        <x:v>500</x:v>
      </x:c>
      <x:c r="C9" s="724" t="n">
        <x:v>306</x:v>
      </x:c>
      <x:c r="D9" s="739" t="n">
        <x:v>972</x:v>
      </x:c>
      <x:c r="E9" s="739" t="n">
        <x:v>1058</x:v>
      </x:c>
      <x:c r="F9" s="740" t="n">
        <x:v>43</x:v>
      </x:c>
      <x:c r="G9" s="739" t="n">
        <x:v>1444</x:v>
      </x:c>
      <x:c r="H9" s="740" t="n">
        <x:v>1173.983739837398</x:v>
      </x:c>
      <x:c r="I9" s="739" t="n">
        <x:v>1205</x:v>
      </x:c>
      <x:c r="J9" s="739" t="n">
        <x:v>1365</x:v>
      </x:c>
      <x:c r="K9" s="740" t="n">
        <x:v>80</x:v>
      </x:c>
      <x:c r="L9" s="739" t="n">
        <x:v>1825</x:v>
      </x:c>
      <x:c r="M9" s="740" t="n">
        <x:v>1483.739837398374</x:v>
      </x:c>
      <x:c r="N9" s="727" t="inlineStr">
        <x:is>
          <x:t xml:space="preserve">400 + śr. przyrost/50cm z 300–400 + 300 zł brutto</x:t>
        </x:is>
      </x:c>
      <x:c r="O9" s="719" t="n"/>
      <x:c r="P9" s="728" t="inlineStr">
        <x:is>
          <x:t xml:space="preserve">Min CCT brutto</x:t>
        </x:is>
      </x:c>
      <x:c r="Q9" s="741" t="n">
        <x:v>1401</x:v>
      </x:c>
    </x:row>
    <x:row r="10" s="655" customFormat="1" ht="22" customHeight="1">
      <x:c r="A10" s="724" t="inlineStr">
        <x:is>
          <x:t xml:space="preserve">550 x 306 cm</x:t>
        </x:is>
      </x:c>
      <x:c r="B10" s="724" t="n">
        <x:v>550</x:v>
      </x:c>
      <x:c r="C10" s="724" t="n">
        <x:v>306</x:v>
      </x:c>
      <x:c r="D10" s="739" t="n">
        <x:v>972</x:v>
      </x:c>
      <x:c r="E10" s="739" t="n">
        <x:v>1058</x:v>
      </x:c>
      <x:c r="F10" s="740" t="n">
        <x:v>43</x:v>
      </x:c>
      <x:c r="G10" s="739" t="n">
        <x:v>1487</x:v>
      </x:c>
      <x:c r="H10" s="740" t="n">
        <x:v>1208.943089430894</x:v>
      </x:c>
      <x:c r="I10" s="739" t="n">
        <x:v>1205</x:v>
      </x:c>
      <x:c r="J10" s="739" t="n">
        <x:v>1365</x:v>
      </x:c>
      <x:c r="K10" s="740" t="n">
        <x:v>80</x:v>
      </x:c>
      <x:c r="L10" s="739" t="n">
        <x:v>1905</x:v>
      </x:c>
      <x:c r="M10" s="740" t="n">
        <x:v>1548.780487804878</x:v>
      </x:c>
      <x:c r="N10" s="727" t="inlineStr">
        <x:is>
          <x:t xml:space="preserve">400 + śr. przyrost/50cm z 300–400 + 300 zł brutto</x:t>
        </x:is>
      </x:c>
      <x:c r="O10" s="719" t="n"/>
      <x:c r="P10" s="728" t="inlineStr">
        <x:is>
          <x:t xml:space="preserve">Max CCT brutto</x:t>
        </x:is>
      </x:c>
      <x:c r="Q10" s="741" t="n">
        <x:v>4358</x:v>
      </x:c>
    </x:row>
    <x:row r="11" s="655" customFormat="1" ht="22" customHeight="1">
      <x:c r="A11" s="724" t="inlineStr">
        <x:is>
          <x:t xml:space="preserve">600 x 306 cm</x:t>
        </x:is>
      </x:c>
      <x:c r="B11" s="724" t="n">
        <x:v>600</x:v>
      </x:c>
      <x:c r="C11" s="724" t="n">
        <x:v>306</x:v>
      </x:c>
      <x:c r="D11" s="739" t="n">
        <x:v>972</x:v>
      </x:c>
      <x:c r="E11" s="739" t="n">
        <x:v>1058</x:v>
      </x:c>
      <x:c r="F11" s="740" t="n">
        <x:v>43</x:v>
      </x:c>
      <x:c r="G11" s="739" t="n">
        <x:v>1530</x:v>
      </x:c>
      <x:c r="H11" s="740" t="n">
        <x:v>1243.90243902439</x:v>
      </x:c>
      <x:c r="I11" s="739" t="n">
        <x:v>1205</x:v>
      </x:c>
      <x:c r="J11" s="739" t="n">
        <x:v>1365</x:v>
      </x:c>
      <x:c r="K11" s="740" t="n">
        <x:v>80</x:v>
      </x:c>
      <x:c r="L11" s="739" t="n">
        <x:v>1985</x:v>
      </x:c>
      <x:c r="M11" s="740" t="n">
        <x:v>1613.821138211382</x:v>
      </x:c>
      <x:c r="N11" s="727" t="inlineStr">
        <x:is>
          <x:t xml:space="preserve">400 + śr. przyrost/50cm z 300–400 + 300 zł brutto</x:t>
        </x:is>
      </x:c>
      <x:c r="O11" s="719" t="n"/>
      <x:c r="P11" s="728" t="inlineStr">
        <x:is>
          <x:t xml:space="preserve">Min RGB brutto</x:t>
        </x:is>
      </x:c>
      <x:c r="Q11" s="741" t="n">
        <x:v>1745</x:v>
      </x:c>
    </x:row>
    <x:row r="12" s="655" customFormat="1" ht="22" customHeight="1">
      <x:c r="A12" s="724" t="inlineStr">
        <x:is>
          <x:t xml:space="preserve">450 x 406 cm</x:t>
        </x:is>
      </x:c>
      <x:c r="B12" s="724" t="n">
        <x:v>450</x:v>
      </x:c>
      <x:c r="C12" s="724" t="n">
        <x:v>406</x:v>
      </x:c>
      <x:c r="D12" s="739" t="n">
        <x:v>1132</x:v>
      </x:c>
      <x:c r="E12" s="739" t="n">
        <x:v>1279</x:v>
      </x:c>
      <x:c r="F12" s="740" t="n">
        <x:v>73.5</x:v>
      </x:c>
      <x:c r="G12" s="739" t="n">
        <x:v>1652</x:v>
      </x:c>
      <x:c r="H12" s="740" t="n">
        <x:v>1343.089430894309</x:v>
      </x:c>
      <x:c r="I12" s="739" t="n">
        <x:v>1476</x:v>
      </x:c>
      <x:c r="J12" s="739" t="n">
        <x:v>1710</x:v>
      </x:c>
      <x:c r="K12" s="740" t="n">
        <x:v>117</x:v>
      </x:c>
      <x:c r="L12" s="739" t="n">
        <x:v>2127</x:v>
      </x:c>
      <x:c r="M12" s="740" t="n">
        <x:v>1729.268292682927</x:v>
      </x:c>
      <x:c r="N12" s="727" t="inlineStr">
        <x:is>
          <x:t xml:space="preserve">400 + śr. przyrost/50cm z 300–400 + 300 zł brutto</x:t>
        </x:is>
      </x:c>
      <x:c r="O12" s="719" t="n"/>
      <x:c r="P12" s="728" t="inlineStr">
        <x:is>
          <x:t xml:space="preserve">Max RGB brutto</x:t>
        </x:is>
      </x:c>
      <x:c r="Q12" s="741" t="n">
        <x:v>6635</x:v>
      </x:c>
    </x:row>
    <x:row r="13" s="655" customFormat="1" ht="22" customHeight="1">
      <x:c r="A13" s="724" t="inlineStr">
        <x:is>
          <x:t xml:space="preserve">500 x 406 cm</x:t>
        </x:is>
      </x:c>
      <x:c r="B13" s="724" t="n">
        <x:v>500</x:v>
      </x:c>
      <x:c r="C13" s="724" t="n">
        <x:v>406</x:v>
      </x:c>
      <x:c r="D13" s="739" t="n">
        <x:v>1132</x:v>
      </x:c>
      <x:c r="E13" s="739" t="n">
        <x:v>1279</x:v>
      </x:c>
      <x:c r="F13" s="740" t="n">
        <x:v>73.5</x:v>
      </x:c>
      <x:c r="G13" s="739" t="n">
        <x:v>1726</x:v>
      </x:c>
      <x:c r="H13" s="740" t="n">
        <x:v>1403.252032520325</x:v>
      </x:c>
      <x:c r="I13" s="739" t="n">
        <x:v>1476</x:v>
      </x:c>
      <x:c r="J13" s="739" t="n">
        <x:v>1710</x:v>
      </x:c>
      <x:c r="K13" s="740" t="n">
        <x:v>117</x:v>
      </x:c>
      <x:c r="L13" s="739" t="n">
        <x:v>2244</x:v>
      </x:c>
      <x:c r="M13" s="740" t="n">
        <x:v>1824.390243902439</x:v>
      </x:c>
      <x:c r="N13" s="727" t="inlineStr">
        <x:is>
          <x:t xml:space="preserve">400 + śr. przyrost/50cm z 300–400 + 300 zł brutto</x:t>
        </x:is>
      </x:c>
      <x:c r="O13" s="719" t="n"/>
      <x:c r="P13" s="728" t="inlineStr">
        <x:is>
          <x:t xml:space="preserve">Bufor dodany do modelu</x:t>
        </x:is>
      </x:c>
      <x:c r="Q13" s="730" t="inlineStr">
        <x:is>
          <x:t xml:space="preserve">300 zł brutto</x:t>
        </x:is>
      </x:c>
    </x:row>
    <x:row r="14" s="655" customFormat="1" ht="22" customHeight="1">
      <x:c r="A14" s="724" t="inlineStr">
        <x:is>
          <x:t xml:space="preserve">550 x 406 cm</x:t>
        </x:is>
      </x:c>
      <x:c r="B14" s="724" t="n">
        <x:v>550</x:v>
      </x:c>
      <x:c r="C14" s="724" t="n">
        <x:v>406</x:v>
      </x:c>
      <x:c r="D14" s="739" t="n">
        <x:v>1132</x:v>
      </x:c>
      <x:c r="E14" s="739" t="n">
        <x:v>1279</x:v>
      </x:c>
      <x:c r="F14" s="740" t="n">
        <x:v>73.5</x:v>
      </x:c>
      <x:c r="G14" s="739" t="n">
        <x:v>1800</x:v>
      </x:c>
      <x:c r="H14" s="740" t="n">
        <x:v>1463.414634146342</x:v>
      </x:c>
      <x:c r="I14" s="739" t="n">
        <x:v>1476</x:v>
      </x:c>
      <x:c r="J14" s="739" t="n">
        <x:v>1710</x:v>
      </x:c>
      <x:c r="K14" s="740" t="n">
        <x:v>117</x:v>
      </x:c>
      <x:c r="L14" s="739" t="n">
        <x:v>2361</x:v>
      </x:c>
      <x:c r="M14" s="740" t="n">
        <x:v>1919.512195121951</x:v>
      </x:c>
      <x:c r="N14" s="727" t="inlineStr">
        <x:is>
          <x:t xml:space="preserve">400 + śr. przyrost/50cm z 300–400 + 300 zł brutto</x:t>
        </x:is>
      </x:c>
      <x:c r="O14" s="719" t="n"/>
      <x:c r="P14" s="719" t="n"/>
      <x:c r="Q14" s="719" t="n"/>
    </x:row>
    <x:row r="15" s="655" customFormat="1" ht="22" customHeight="1">
      <x:c r="A15" s="724" t="inlineStr">
        <x:is>
          <x:t xml:space="preserve">600 x 406 cm</x:t>
        </x:is>
      </x:c>
      <x:c r="B15" s="724" t="n">
        <x:v>600</x:v>
      </x:c>
      <x:c r="C15" s="724" t="n">
        <x:v>406</x:v>
      </x:c>
      <x:c r="D15" s="739" t="n">
        <x:v>1132</x:v>
      </x:c>
      <x:c r="E15" s="739" t="n">
        <x:v>1279</x:v>
      </x:c>
      <x:c r="F15" s="740" t="n">
        <x:v>73.5</x:v>
      </x:c>
      <x:c r="G15" s="739" t="n">
        <x:v>1873</x:v>
      </x:c>
      <x:c r="H15" s="740" t="n">
        <x:v>1522.764227642276</x:v>
      </x:c>
      <x:c r="I15" s="739" t="n">
        <x:v>1476</x:v>
      </x:c>
      <x:c r="J15" s="739" t="n">
        <x:v>1710</x:v>
      </x:c>
      <x:c r="K15" s="740" t="n">
        <x:v>117</x:v>
      </x:c>
      <x:c r="L15" s="739" t="n">
        <x:v>2478</x:v>
      </x:c>
      <x:c r="M15" s="740" t="n">
        <x:v>2014.634146341464</x:v>
      </x:c>
      <x:c r="N15" s="727" t="inlineStr">
        <x:is>
          <x:t xml:space="preserve">400 + śr. przyrost/50cm z 300–400 + 300 zł brutto</x:t>
        </x:is>
      </x:c>
      <x:c r="O15" s="719" t="n"/>
      <x:c r="P15" s="719" t="n"/>
      <x:c r="Q15" s="719" t="n"/>
    </x:row>
    <x:row r="16" s="655" customFormat="1" ht="22" customHeight="1">
      <x:c r="A16" s="724" t="inlineStr">
        <x:is>
          <x:t xml:space="preserve">450 x 506 cm</x:t>
        </x:is>
      </x:c>
      <x:c r="B16" s="724" t="n">
        <x:v>450</x:v>
      </x:c>
      <x:c r="C16" s="724" t="n">
        <x:v>506</x:v>
      </x:c>
      <x:c r="D16" s="739" t="n">
        <x:v>1304</x:v>
      </x:c>
      <x:c r="E16" s="739" t="n">
        <x:v>1488</x:v>
      </x:c>
      <x:c r="F16" s="740" t="n">
        <x:v>92</x:v>
      </x:c>
      <x:c r="G16" s="739" t="n">
        <x:v>1880</x:v>
      </x:c>
      <x:c r="H16" s="740" t="n">
        <x:v>1528.455284552846</x:v>
      </x:c>
      <x:c r="I16" s="739" t="n">
        <x:v>1747</x:v>
      </x:c>
      <x:c r="J16" s="739" t="n">
        <x:v>2054</x:v>
      </x:c>
      <x:c r="K16" s="740" t="n">
        <x:v>153.5</x:v>
      </x:c>
      <x:c r="L16" s="739" t="n">
        <x:v>2508</x:v>
      </x:c>
      <x:c r="M16" s="740" t="n">
        <x:v>2039.024390243902</x:v>
      </x:c>
      <x:c r="N16" s="727" t="inlineStr">
        <x:is>
          <x:t xml:space="preserve">400 + śr. przyrost/50cm z 300–400 + 300 zł brutto</x:t>
        </x:is>
      </x:c>
      <x:c r="O16" s="719" t="n"/>
      <x:c r="P16" s="719" t="n"/>
      <x:c r="Q16" s="719" t="n"/>
    </x:row>
    <x:row r="17" s="655" customFormat="1" ht="22" customHeight="1">
      <x:c r="A17" s="724" t="inlineStr">
        <x:is>
          <x:t xml:space="preserve">500 x 506 cm</x:t>
        </x:is>
      </x:c>
      <x:c r="B17" s="724" t="n">
        <x:v>500</x:v>
      </x:c>
      <x:c r="C17" s="724" t="n">
        <x:v>506</x:v>
      </x:c>
      <x:c r="D17" s="739" t="n">
        <x:v>1304</x:v>
      </x:c>
      <x:c r="E17" s="739" t="n">
        <x:v>1488</x:v>
      </x:c>
      <x:c r="F17" s="740" t="n">
        <x:v>92</x:v>
      </x:c>
      <x:c r="G17" s="739" t="n">
        <x:v>1972</x:v>
      </x:c>
      <x:c r="H17" s="740" t="n">
        <x:v>1603.252032520325</x:v>
      </x:c>
      <x:c r="I17" s="739" t="n">
        <x:v>1747</x:v>
      </x:c>
      <x:c r="J17" s="739" t="n">
        <x:v>2054</x:v>
      </x:c>
      <x:c r="K17" s="740" t="n">
        <x:v>153.5</x:v>
      </x:c>
      <x:c r="L17" s="739" t="n">
        <x:v>2661</x:v>
      </x:c>
      <x:c r="M17" s="740" t="n">
        <x:v>2163.414634146342</x:v>
      </x:c>
      <x:c r="N17" s="727" t="inlineStr">
        <x:is>
          <x:t xml:space="preserve">400 + śr. przyrost/50cm z 300–400 + 300 zł brutto</x:t>
        </x:is>
      </x:c>
      <x:c r="O17" s="719" t="n"/>
      <x:c r="P17" s="719" t="n"/>
      <x:c r="Q17" s="719" t="n"/>
    </x:row>
    <x:row r="18" s="655" customFormat="1" ht="22" customHeight="1">
      <x:c r="A18" s="724" t="inlineStr">
        <x:is>
          <x:t xml:space="preserve">550 x 506 cm</x:t>
        </x:is>
      </x:c>
      <x:c r="B18" s="724" t="n">
        <x:v>550</x:v>
      </x:c>
      <x:c r="C18" s="724" t="n">
        <x:v>506</x:v>
      </x:c>
      <x:c r="D18" s="739" t="n">
        <x:v>1304</x:v>
      </x:c>
      <x:c r="E18" s="739" t="n">
        <x:v>1488</x:v>
      </x:c>
      <x:c r="F18" s="740" t="n">
        <x:v>92</x:v>
      </x:c>
      <x:c r="G18" s="739" t="n">
        <x:v>2064</x:v>
      </x:c>
      <x:c r="H18" s="740" t="n">
        <x:v>1678.048780487805</x:v>
      </x:c>
      <x:c r="I18" s="739" t="n">
        <x:v>1747</x:v>
      </x:c>
      <x:c r="J18" s="739" t="n">
        <x:v>2054</x:v>
      </x:c>
      <x:c r="K18" s="740" t="n">
        <x:v>153.5</x:v>
      </x:c>
      <x:c r="L18" s="739" t="n">
        <x:v>2814</x:v>
      </x:c>
      <x:c r="M18" s="740" t="n">
        <x:v>2287.804878048781</x:v>
      </x:c>
      <x:c r="N18" s="727" t="inlineStr">
        <x:is>
          <x:t xml:space="preserve">400 + śr. przyrost/50cm z 300–400 + 300 zł brutto</x:t>
        </x:is>
      </x:c>
      <x:c r="O18" s="719" t="n"/>
      <x:c r="P18" s="719" t="n"/>
      <x:c r="Q18" s="719" t="n"/>
    </x:row>
    <x:row r="19" s="655" customFormat="1" ht="22" customHeight="1">
      <x:c r="A19" s="724" t="inlineStr">
        <x:is>
          <x:t xml:space="preserve">600 x 506 cm</x:t>
        </x:is>
      </x:c>
      <x:c r="B19" s="724" t="n">
        <x:v>600</x:v>
      </x:c>
      <x:c r="C19" s="724" t="n">
        <x:v>506</x:v>
      </x:c>
      <x:c r="D19" s="739" t="n">
        <x:v>1304</x:v>
      </x:c>
      <x:c r="E19" s="739" t="n">
        <x:v>1488</x:v>
      </x:c>
      <x:c r="F19" s="740" t="n">
        <x:v>92</x:v>
      </x:c>
      <x:c r="G19" s="739" t="n">
        <x:v>2156</x:v>
      </x:c>
      <x:c r="H19" s="740" t="n">
        <x:v>1752.845528455284</x:v>
      </x:c>
      <x:c r="I19" s="739" t="n">
        <x:v>1747</x:v>
      </x:c>
      <x:c r="J19" s="739" t="n">
        <x:v>2054</x:v>
      </x:c>
      <x:c r="K19" s="740" t="n">
        <x:v>153.5</x:v>
      </x:c>
      <x:c r="L19" s="739" t="n">
        <x:v>2968</x:v>
      </x:c>
      <x:c r="M19" s="740" t="n">
        <x:v>2413.008130081301</x:v>
      </x:c>
      <x:c r="N19" s="727" t="inlineStr">
        <x:is>
          <x:t xml:space="preserve">400 + śr. przyrost/50cm z 300–400 + 300 zł brutto</x:t>
        </x:is>
      </x:c>
      <x:c r="O19" s="719" t="n"/>
      <x:c r="P19" s="719" t="n"/>
      <x:c r="Q19" s="719" t="n"/>
    </x:row>
    <x:row r="20" s="655" customFormat="1" ht="22" customHeight="1">
      <x:c r="A20" s="724" t="inlineStr">
        <x:is>
          <x:t xml:space="preserve">450 x 606 cm</x:t>
        </x:is>
      </x:c>
      <x:c r="B20" s="724" t="n">
        <x:v>450</x:v>
      </x:c>
      <x:c r="C20" s="724" t="n">
        <x:v>606</x:v>
      </x:c>
      <x:c r="D20" s="739" t="n">
        <x:v>1304</x:v>
      </x:c>
      <x:c r="E20" s="739" t="n">
        <x:v>1697</x:v>
      </x:c>
      <x:c r="F20" s="740" t="n">
        <x:v>196.5</x:v>
      </x:c>
      <x:c r="G20" s="739" t="n">
        <x:v>2194</x:v>
      </x:c>
      <x:c r="H20" s="740" t="n">
        <x:v>1783.739837398374</x:v>
      </x:c>
      <x:c r="I20" s="739" t="n">
        <x:v>2042</x:v>
      </x:c>
      <x:c r="J20" s="739" t="n">
        <x:v>2423</x:v>
      </x:c>
      <x:c r="K20" s="740" t="n">
        <x:v>190.5</x:v>
      </x:c>
      <x:c r="L20" s="739" t="n">
        <x:v>2914</x:v>
      </x:c>
      <x:c r="M20" s="740" t="n">
        <x:v>2369.10569105691</x:v>
      </x:c>
      <x:c r="N20" s="727" t="inlineStr">
        <x:is>
          <x:t xml:space="preserve">400 + śr. przyrost/50cm z 300–400 + 300 zł brutto</x:t>
        </x:is>
      </x:c>
      <x:c r="O20" s="719" t="n"/>
      <x:c r="P20" s="719" t="n"/>
      <x:c r="Q20" s="719" t="n"/>
    </x:row>
    <x:row r="21" s="655" customFormat="1" ht="22" customHeight="1">
      <x:c r="A21" s="724" t="inlineStr">
        <x:is>
          <x:t xml:space="preserve">500 x 606 cm</x:t>
        </x:is>
      </x:c>
      <x:c r="B21" s="724" t="n">
        <x:v>500</x:v>
      </x:c>
      <x:c r="C21" s="724" t="n">
        <x:v>606</x:v>
      </x:c>
      <x:c r="D21" s="739" t="n">
        <x:v>1304</x:v>
      </x:c>
      <x:c r="E21" s="739" t="n">
        <x:v>1697</x:v>
      </x:c>
      <x:c r="F21" s="740" t="n">
        <x:v>196.5</x:v>
      </x:c>
      <x:c r="G21" s="739" t="n">
        <x:v>2390</x:v>
      </x:c>
      <x:c r="H21" s="740" t="n">
        <x:v>1943.089430894309</x:v>
      </x:c>
      <x:c r="I21" s="739" t="n">
        <x:v>2042</x:v>
      </x:c>
      <x:c r="J21" s="739" t="n">
        <x:v>2423</x:v>
      </x:c>
      <x:c r="K21" s="740" t="n">
        <x:v>190.5</x:v>
      </x:c>
      <x:c r="L21" s="739" t="n">
        <x:v>3104</x:v>
      </x:c>
      <x:c r="M21" s="740" t="n">
        <x:v>2523.577235772358</x:v>
      </x:c>
      <x:c r="N21" s="727" t="inlineStr">
        <x:is>
          <x:t xml:space="preserve">400 + śr. przyrost/50cm z 300–400 + 300 zł brutto</x:t>
        </x:is>
      </x:c>
      <x:c r="O21" s="719" t="n"/>
      <x:c r="P21" s="719" t="n"/>
      <x:c r="Q21" s="719" t="n"/>
    </x:row>
    <x:row r="22" s="655" customFormat="1" ht="22" customHeight="1">
      <x:c r="A22" s="724" t="inlineStr">
        <x:is>
          <x:t xml:space="preserve">550 x 606 cm</x:t>
        </x:is>
      </x:c>
      <x:c r="B22" s="724" t="n">
        <x:v>550</x:v>
      </x:c>
      <x:c r="C22" s="724" t="n">
        <x:v>606</x:v>
      </x:c>
      <x:c r="D22" s="739" t="n">
        <x:v>1304</x:v>
      </x:c>
      <x:c r="E22" s="739" t="n">
        <x:v>1697</x:v>
      </x:c>
      <x:c r="F22" s="740" t="n">
        <x:v>196.5</x:v>
      </x:c>
      <x:c r="G22" s="739" t="n">
        <x:v>2586</x:v>
      </x:c>
      <x:c r="H22" s="740" t="n">
        <x:v>2102.439024390244</x:v>
      </x:c>
      <x:c r="I22" s="739" t="n">
        <x:v>2042</x:v>
      </x:c>
      <x:c r="J22" s="739" t="n">
        <x:v>2423</x:v>
      </x:c>
      <x:c r="K22" s="740" t="n">
        <x:v>190.5</x:v>
      </x:c>
      <x:c r="L22" s="739" t="n">
        <x:v>3294</x:v>
      </x:c>
      <x:c r="M22" s="740" t="n">
        <x:v>2678.048780487805</x:v>
      </x:c>
      <x:c r="N22" s="727" t="inlineStr">
        <x:is>
          <x:t xml:space="preserve">400 + śr. przyrost/50cm z 300–400 + 300 zł brutto</x:t>
        </x:is>
      </x:c>
      <x:c r="O22" s="719" t="n"/>
      <x:c r="P22" s="719" t="n"/>
      <x:c r="Q22" s="719" t="n"/>
    </x:row>
    <x:row r="23" s="655" customFormat="1" ht="22" customHeight="1">
      <x:c r="A23" s="724" t="inlineStr">
        <x:is>
          <x:t xml:space="preserve">600 x 606 cm</x:t>
        </x:is>
      </x:c>
      <x:c r="B23" s="724" t="n">
        <x:v>600</x:v>
      </x:c>
      <x:c r="C23" s="724" t="n">
        <x:v>606</x:v>
      </x:c>
      <x:c r="D23" s="739" t="n">
        <x:v>1304</x:v>
      </x:c>
      <x:c r="E23" s="739" t="n">
        <x:v>1697</x:v>
      </x:c>
      <x:c r="F23" s="740" t="n">
        <x:v>196.5</x:v>
      </x:c>
      <x:c r="G23" s="739" t="n">
        <x:v>2783</x:v>
      </x:c>
      <x:c r="H23" s="740" t="n">
        <x:v>2262.60162601626</x:v>
      </x:c>
      <x:c r="I23" s="739" t="n">
        <x:v>2042</x:v>
      </x:c>
      <x:c r="J23" s="739" t="n">
        <x:v>2423</x:v>
      </x:c>
      <x:c r="K23" s="740" t="n">
        <x:v>190.5</x:v>
      </x:c>
      <x:c r="L23" s="739" t="n">
        <x:v>3485</x:v>
      </x:c>
      <x:c r="M23" s="740" t="n">
        <x:v>2833.333333333333</x:v>
      </x:c>
      <x:c r="N23" s="727" t="inlineStr">
        <x:is>
          <x:t xml:space="preserve">400 + śr. przyrost/50cm z 300–400 + 300 zł brutto</x:t>
        </x:is>
      </x:c>
      <x:c r="O23" s="719" t="n"/>
      <x:c r="P23" s="719" t="n"/>
      <x:c r="Q23" s="719" t="n"/>
    </x:row>
    <x:row r="24" s="655" customFormat="1" ht="22" customHeight="1">
      <x:c r="A24" s="724" t="inlineStr">
        <x:is>
          <x:t xml:space="preserve">450 x 706 cm</x:t>
        </x:is>
      </x:c>
      <x:c r="B24" s="724" t="n">
        <x:v>450</x:v>
      </x:c>
      <x:c r="C24" s="724" t="n">
        <x:v>706</x:v>
      </x:c>
      <x:c r="D24" s="739" t="n">
        <x:v>1464</x:v>
      </x:c>
      <x:c r="E24" s="739" t="n">
        <x:v>1919</x:v>
      </x:c>
      <x:c r="F24" s="740" t="n">
        <x:v>227.5</x:v>
      </x:c>
      <x:c r="G24" s="739" t="n">
        <x:v>2446</x:v>
      </x:c>
      <x:c r="H24" s="740" t="n">
        <x:v>1988.617886178862</x:v>
      </x:c>
      <x:c r="I24" s="739" t="n">
        <x:v>2325</x:v>
      </x:c>
      <x:c r="J24" s="739" t="n">
        <x:v>2792</x:v>
      </x:c>
      <x:c r="K24" s="740" t="n">
        <x:v>233.5</x:v>
      </x:c>
      <x:c r="L24" s="739" t="n">
        <x:v>3326</x:v>
      </x:c>
      <x:c r="M24" s="740" t="n">
        <x:v>2704.065040650406</x:v>
      </x:c>
      <x:c r="N24" s="727" t="inlineStr">
        <x:is>
          <x:t xml:space="preserve">400 + śr. przyrost/50cm z 300–400 + 300 zł brutto</x:t>
        </x:is>
      </x:c>
      <x:c r="O24" s="719" t="n"/>
      <x:c r="P24" s="719" t="n"/>
      <x:c r="Q24" s="719" t="n"/>
    </x:row>
    <x:row r="25" s="655" customFormat="1" ht="22" customHeight="1">
      <x:c r="A25" s="724" t="inlineStr">
        <x:is>
          <x:t xml:space="preserve">500 x 706 cm</x:t>
        </x:is>
      </x:c>
      <x:c r="B25" s="724" t="n">
        <x:v>500</x:v>
      </x:c>
      <x:c r="C25" s="724" t="n">
        <x:v>706</x:v>
      </x:c>
      <x:c r="D25" s="739" t="n">
        <x:v>1464</x:v>
      </x:c>
      <x:c r="E25" s="739" t="n">
        <x:v>1919</x:v>
      </x:c>
      <x:c r="F25" s="740" t="n">
        <x:v>227.5</x:v>
      </x:c>
      <x:c r="G25" s="739" t="n">
        <x:v>2674</x:v>
      </x:c>
      <x:c r="H25" s="740" t="n">
        <x:v>2173.983739837398</x:v>
      </x:c>
      <x:c r="I25" s="739" t="n">
        <x:v>2325</x:v>
      </x:c>
      <x:c r="J25" s="739" t="n">
        <x:v>2792</x:v>
      </x:c>
      <x:c r="K25" s="740" t="n">
        <x:v>233.5</x:v>
      </x:c>
      <x:c r="L25" s="739" t="n">
        <x:v>3559</x:v>
      </x:c>
      <x:c r="M25" s="740" t="n">
        <x:v>2893.49593495935</x:v>
      </x:c>
      <x:c r="N25" s="727" t="inlineStr">
        <x:is>
          <x:t xml:space="preserve">400 + śr. przyrost/50cm z 300–400 + 300 zł brutto</x:t>
        </x:is>
      </x:c>
      <x:c r="O25" s="719" t="n"/>
      <x:c r="P25" s="719" t="n"/>
      <x:c r="Q25" s="719" t="n"/>
    </x:row>
    <x:row r="26" s="655" customFormat="1" ht="22" customHeight="1">
      <x:c r="A26" s="724" t="inlineStr">
        <x:is>
          <x:t xml:space="preserve">550 x 706 cm</x:t>
        </x:is>
      </x:c>
      <x:c r="B26" s="724" t="n">
        <x:v>550</x:v>
      </x:c>
      <x:c r="C26" s="724" t="n">
        <x:v>706</x:v>
      </x:c>
      <x:c r="D26" s="739" t="n">
        <x:v>1464</x:v>
      </x:c>
      <x:c r="E26" s="739" t="n">
        <x:v>1919</x:v>
      </x:c>
      <x:c r="F26" s="740" t="n">
        <x:v>227.5</x:v>
      </x:c>
      <x:c r="G26" s="739" t="n">
        <x:v>2902</x:v>
      </x:c>
      <x:c r="H26" s="740" t="n">
        <x:v>2359.349593495935</x:v>
      </x:c>
      <x:c r="I26" s="739" t="n">
        <x:v>2325</x:v>
      </x:c>
      <x:c r="J26" s="739" t="n">
        <x:v>2792</x:v>
      </x:c>
      <x:c r="K26" s="740" t="n">
        <x:v>233.5</x:v>
      </x:c>
      <x:c r="L26" s="739" t="n">
        <x:v>3792</x:v>
      </x:c>
      <x:c r="M26" s="740" t="n">
        <x:v>3082.926829268293</x:v>
      </x:c>
      <x:c r="N26" s="727" t="inlineStr">
        <x:is>
          <x:t xml:space="preserve">400 + śr. przyrost/50cm z 300–400 + 300 zł brutto</x:t>
        </x:is>
      </x:c>
      <x:c r="O26" s="719" t="n"/>
      <x:c r="P26" s="719" t="n"/>
      <x:c r="Q26" s="719" t="n"/>
    </x:row>
    <x:row r="27" s="655" customFormat="1" ht="22" customHeight="1">
      <x:c r="A27" s="724" t="inlineStr">
        <x:is>
          <x:t xml:space="preserve">600 x 706 cm</x:t>
        </x:is>
      </x:c>
      <x:c r="B27" s="724" t="n">
        <x:v>600</x:v>
      </x:c>
      <x:c r="C27" s="724" t="n">
        <x:v>706</x:v>
      </x:c>
      <x:c r="D27" s="739" t="n">
        <x:v>1464</x:v>
      </x:c>
      <x:c r="E27" s="739" t="n">
        <x:v>1919</x:v>
      </x:c>
      <x:c r="F27" s="740" t="n">
        <x:v>227.5</x:v>
      </x:c>
      <x:c r="G27" s="739" t="n">
        <x:v>3129</x:v>
      </x:c>
      <x:c r="H27" s="740" t="n">
        <x:v>2543.90243902439</x:v>
      </x:c>
      <x:c r="I27" s="739" t="n">
        <x:v>2325</x:v>
      </x:c>
      <x:c r="J27" s="739" t="n">
        <x:v>2792</x:v>
      </x:c>
      <x:c r="K27" s="740" t="n">
        <x:v>233.5</x:v>
      </x:c>
      <x:c r="L27" s="739" t="n">
        <x:v>4026</x:v>
      </x:c>
      <x:c r="M27" s="740" t="n">
        <x:v>3273.170731707317</x:v>
      </x:c>
      <x:c r="N27" s="727" t="inlineStr">
        <x:is>
          <x:t xml:space="preserve">400 + śr. przyrost/50cm z 300–400 + 300 zł brutto</x:t>
        </x:is>
      </x:c>
      <x:c r="O27" s="719" t="n"/>
      <x:c r="P27" s="719" t="n"/>
      <x:c r="Q27" s="719" t="n"/>
    </x:row>
    <x:row r="28" s="655" customFormat="1" ht="22" customHeight="1">
      <x:c r="A28" s="724" t="inlineStr">
        <x:is>
          <x:t xml:space="preserve">450 x 806 cm</x:t>
        </x:is>
      </x:c>
      <x:c r="B28" s="724" t="n">
        <x:v>450</x:v>
      </x:c>
      <x:c r="C28" s="724" t="n">
        <x:v>806</x:v>
      </x:c>
      <x:c r="D28" s="739" t="n">
        <x:v>1648</x:v>
      </x:c>
      <x:c r="E28" s="739" t="n">
        <x:v>2153</x:v>
      </x:c>
      <x:c r="F28" s="740" t="n">
        <x:v>252.5</x:v>
      </x:c>
      <x:c r="G28" s="739" t="n">
        <x:v>2706</x:v>
      </x:c>
      <x:c r="H28" s="740" t="n">
        <x:v>2200</x:v>
      </x:c>
      <x:c r="I28" s="739" t="n">
        <x:v>2620</x:v>
      </x:c>
      <x:c r="J28" s="739" t="n">
        <x:v>3161</x:v>
      </x:c>
      <x:c r="K28" s="740" t="n">
        <x:v>270.5</x:v>
      </x:c>
      <x:c r="L28" s="739" t="n">
        <x:v>3732</x:v>
      </x:c>
      <x:c r="M28" s="740" t="n">
        <x:v>3034.146341463415</x:v>
      </x:c>
      <x:c r="N28" s="727" t="inlineStr">
        <x:is>
          <x:t xml:space="preserve">400 + śr. przyrost/50cm z 300–400 + 300 zł brutto</x:t>
        </x:is>
      </x:c>
      <x:c r="O28" s="719" t="n"/>
      <x:c r="P28" s="719" t="n"/>
      <x:c r="Q28" s="719" t="n"/>
    </x:row>
    <x:row r="29" s="655" customFormat="1" ht="22" customHeight="1">
      <x:c r="A29" s="724" t="inlineStr">
        <x:is>
          <x:t xml:space="preserve">500 x 806 cm</x:t>
        </x:is>
      </x:c>
      <x:c r="B29" s="724" t="n">
        <x:v>500</x:v>
      </x:c>
      <x:c r="C29" s="724" t="n">
        <x:v>806</x:v>
      </x:c>
      <x:c r="D29" s="739" t="n">
        <x:v>1648</x:v>
      </x:c>
      <x:c r="E29" s="739" t="n">
        <x:v>2153</x:v>
      </x:c>
      <x:c r="F29" s="740" t="n">
        <x:v>252.5</x:v>
      </x:c>
      <x:c r="G29" s="739" t="n">
        <x:v>2958</x:v>
      </x:c>
      <x:c r="H29" s="740" t="n">
        <x:v>2404.878048780488</x:v>
      </x:c>
      <x:c r="I29" s="739" t="n">
        <x:v>2620</x:v>
      </x:c>
      <x:c r="J29" s="739" t="n">
        <x:v>3161</x:v>
      </x:c>
      <x:c r="K29" s="740" t="n">
        <x:v>270.5</x:v>
      </x:c>
      <x:c r="L29" s="739" t="n">
        <x:v>4002</x:v>
      </x:c>
      <x:c r="M29" s="740" t="n">
        <x:v>3253.658536585366</x:v>
      </x:c>
      <x:c r="N29" s="727" t="inlineStr">
        <x:is>
          <x:t xml:space="preserve">400 + śr. przyrost/50cm z 300–400 + 300 zł brutto</x:t>
        </x:is>
      </x:c>
      <x:c r="O29" s="719" t="n"/>
      <x:c r="P29" s="719" t="n"/>
      <x:c r="Q29" s="719" t="n"/>
    </x:row>
    <x:row r="30" s="655" customFormat="1" ht="22" customHeight="1">
      <x:c r="A30" s="724" t="inlineStr">
        <x:is>
          <x:t xml:space="preserve">550 x 806 cm</x:t>
        </x:is>
      </x:c>
      <x:c r="B30" s="724" t="n">
        <x:v>550</x:v>
      </x:c>
      <x:c r="C30" s="724" t="n">
        <x:v>806</x:v>
      </x:c>
      <x:c r="D30" s="739" t="n">
        <x:v>1648</x:v>
      </x:c>
      <x:c r="E30" s="739" t="n">
        <x:v>2153</x:v>
      </x:c>
      <x:c r="F30" s="740" t="n">
        <x:v>252.5</x:v>
      </x:c>
      <x:c r="G30" s="739" t="n">
        <x:v>3210</x:v>
      </x:c>
      <x:c r="H30" s="740" t="n">
        <x:v>2609.756097560976</x:v>
      </x:c>
      <x:c r="I30" s="739" t="n">
        <x:v>2620</x:v>
      </x:c>
      <x:c r="J30" s="739" t="n">
        <x:v>3161</x:v>
      </x:c>
      <x:c r="K30" s="740" t="n">
        <x:v>270.5</x:v>
      </x:c>
      <x:c r="L30" s="739" t="n">
        <x:v>4272</x:v>
      </x:c>
      <x:c r="M30" s="740" t="n">
        <x:v>3473.170731707317</x:v>
      </x:c>
      <x:c r="N30" s="727" t="inlineStr">
        <x:is>
          <x:t xml:space="preserve">400 + śr. przyrost/50cm z 300–400 + 300 zł brutto</x:t>
        </x:is>
      </x:c>
      <x:c r="O30" s="719" t="n"/>
      <x:c r="P30" s="719" t="n"/>
      <x:c r="Q30" s="719" t="n"/>
    </x:row>
    <x:row r="31" s="655" customFormat="1" ht="22" customHeight="1">
      <x:c r="A31" s="724" t="inlineStr">
        <x:is>
          <x:t xml:space="preserve">600 x 806 cm</x:t>
        </x:is>
      </x:c>
      <x:c r="B31" s="724" t="n">
        <x:v>600</x:v>
      </x:c>
      <x:c r="C31" s="724" t="n">
        <x:v>806</x:v>
      </x:c>
      <x:c r="D31" s="739" t="n">
        <x:v>1648</x:v>
      </x:c>
      <x:c r="E31" s="739" t="n">
        <x:v>2153</x:v>
      </x:c>
      <x:c r="F31" s="740" t="n">
        <x:v>252.5</x:v>
      </x:c>
      <x:c r="G31" s="739" t="n">
        <x:v>3463</x:v>
      </x:c>
      <x:c r="H31" s="740" t="n">
        <x:v>2815.447154471545</x:v>
      </x:c>
      <x:c r="I31" s="739" t="n">
        <x:v>2620</x:v>
      </x:c>
      <x:c r="J31" s="739" t="n">
        <x:v>3161</x:v>
      </x:c>
      <x:c r="K31" s="740" t="n">
        <x:v>270.5</x:v>
      </x:c>
      <x:c r="L31" s="739" t="n">
        <x:v>4543</x:v>
      </x:c>
      <x:c r="M31" s="740" t="n">
        <x:v>3693.49593495935</x:v>
      </x:c>
      <x:c r="N31" s="727" t="inlineStr">
        <x:is>
          <x:t xml:space="preserve">400 + śr. przyrost/50cm z 300–400 + 300 zł brutto</x:t>
        </x:is>
      </x:c>
      <x:c r="O31" s="719" t="n"/>
      <x:c r="P31" s="719" t="n"/>
      <x:c r="Q31" s="719" t="n"/>
    </x:row>
    <x:row r="32" s="655" customFormat="1" ht="22" customHeight="1">
      <x:c r="A32" s="724" t="inlineStr">
        <x:is>
          <x:t xml:space="preserve">450 x 906 cm</x:t>
        </x:is>
      </x:c>
      <x:c r="B32" s="724" t="n">
        <x:v>450</x:v>
      </x:c>
      <x:c r="C32" s="724" t="n">
        <x:v>906</x:v>
      </x:c>
      <x:c r="D32" s="739" t="n">
        <x:v>1833</x:v>
      </x:c>
      <x:c r="E32" s="739" t="n">
        <x:v>2374</x:v>
      </x:c>
      <x:c r="F32" s="740" t="n">
        <x:v>270.5</x:v>
      </x:c>
      <x:c r="G32" s="739" t="n">
        <x:v>2944</x:v>
      </x:c>
      <x:c r="H32" s="740" t="n">
        <x:v>2393.49593495935</x:v>
      </x:c>
      <x:c r="I32" s="739" t="n">
        <x:v>2915</x:v>
      </x:c>
      <x:c r="J32" s="739" t="n">
        <x:v>3530</x:v>
      </x:c>
      <x:c r="K32" s="740" t="n">
        <x:v>307.5</x:v>
      </x:c>
      <x:c r="L32" s="739" t="n">
        <x:v>4138</x:v>
      </x:c>
      <x:c r="M32" s="740" t="n">
        <x:v>3364.227642276423</x:v>
      </x:c>
      <x:c r="N32" s="727" t="inlineStr">
        <x:is>
          <x:t xml:space="preserve">400 + śr. przyrost/50cm z 300–400 + 300 zł brutto</x:t>
        </x:is>
      </x:c>
      <x:c r="O32" s="719" t="n"/>
      <x:c r="P32" s="719" t="n"/>
      <x:c r="Q32" s="719" t="n"/>
    </x:row>
    <x:row r="33" s="655" customFormat="1" ht="22" customHeight="1">
      <x:c r="A33" s="724" t="inlineStr">
        <x:is>
          <x:t xml:space="preserve">500 x 906 cm</x:t>
        </x:is>
      </x:c>
      <x:c r="B33" s="724" t="n">
        <x:v>500</x:v>
      </x:c>
      <x:c r="C33" s="724" t="n">
        <x:v>906</x:v>
      </x:c>
      <x:c r="D33" s="739" t="n">
        <x:v>1833</x:v>
      </x:c>
      <x:c r="E33" s="739" t="n">
        <x:v>2374</x:v>
      </x:c>
      <x:c r="F33" s="740" t="n">
        <x:v>270.5</x:v>
      </x:c>
      <x:c r="G33" s="739" t="n">
        <x:v>3215</x:v>
      </x:c>
      <x:c r="H33" s="740" t="n">
        <x:v>2613.821138211382</x:v>
      </x:c>
      <x:c r="I33" s="739" t="n">
        <x:v>2915</x:v>
      </x:c>
      <x:c r="J33" s="739" t="n">
        <x:v>3530</x:v>
      </x:c>
      <x:c r="K33" s="740" t="n">
        <x:v>307.5</x:v>
      </x:c>
      <x:c r="L33" s="739" t="n">
        <x:v>4445</x:v>
      </x:c>
      <x:c r="M33" s="740" t="n">
        <x:v>3613.821138211382</x:v>
      </x:c>
      <x:c r="N33" s="727" t="inlineStr">
        <x:is>
          <x:t xml:space="preserve">400 + śr. przyrost/50cm z 300–400 + 300 zł brutto</x:t>
        </x:is>
      </x:c>
      <x:c r="O33" s="719" t="n"/>
      <x:c r="P33" s="719" t="n"/>
      <x:c r="Q33" s="719" t="n"/>
    </x:row>
    <x:row r="34" s="655" customFormat="1" ht="22" customHeight="1">
      <x:c r="A34" s="724" t="inlineStr">
        <x:is>
          <x:t xml:space="preserve">550 x 906 cm</x:t>
        </x:is>
      </x:c>
      <x:c r="B34" s="724" t="n">
        <x:v>550</x:v>
      </x:c>
      <x:c r="C34" s="724" t="n">
        <x:v>906</x:v>
      </x:c>
      <x:c r="D34" s="739" t="n">
        <x:v>1833</x:v>
      </x:c>
      <x:c r="E34" s="739" t="n">
        <x:v>2374</x:v>
      </x:c>
      <x:c r="F34" s="740" t="n">
        <x:v>270.5</x:v>
      </x:c>
      <x:c r="G34" s="739" t="n">
        <x:v>3486</x:v>
      </x:c>
      <x:c r="H34" s="740" t="n">
        <x:v>2834.146341463415</x:v>
      </x:c>
      <x:c r="I34" s="739" t="n">
        <x:v>2915</x:v>
      </x:c>
      <x:c r="J34" s="739" t="n">
        <x:v>3530</x:v>
      </x:c>
      <x:c r="K34" s="740" t="n">
        <x:v>307.5</x:v>
      </x:c>
      <x:c r="L34" s="739" t="n">
        <x:v>4752</x:v>
      </x:c>
      <x:c r="M34" s="740" t="n">
        <x:v>3863.414634146342</x:v>
      </x:c>
      <x:c r="N34" s="727" t="inlineStr">
        <x:is>
          <x:t xml:space="preserve">400 + śr. przyrost/50cm z 300–400 + 300 zł brutto</x:t>
        </x:is>
      </x:c>
      <x:c r="O34" s="719" t="n"/>
      <x:c r="P34" s="719" t="n"/>
      <x:c r="Q34" s="719" t="n"/>
    </x:row>
    <x:row r="35" s="655" customFormat="1" ht="22" customHeight="1">
      <x:c r="A35" s="724" t="inlineStr">
        <x:is>
          <x:t xml:space="preserve">600 x 906 cm</x:t>
        </x:is>
      </x:c>
      <x:c r="B35" s="724" t="n">
        <x:v>600</x:v>
      </x:c>
      <x:c r="C35" s="724" t="n">
        <x:v>906</x:v>
      </x:c>
      <x:c r="D35" s="739" t="n">
        <x:v>1833</x:v>
      </x:c>
      <x:c r="E35" s="739" t="n">
        <x:v>2374</x:v>
      </x:c>
      <x:c r="F35" s="740" t="n">
        <x:v>270.5</x:v>
      </x:c>
      <x:c r="G35" s="739" t="n">
        <x:v>3756</x:v>
      </x:c>
      <x:c r="H35" s="740" t="n">
        <x:v>3053.658536585366</x:v>
      </x:c>
      <x:c r="I35" s="739" t="n">
        <x:v>2915</x:v>
      </x:c>
      <x:c r="J35" s="739" t="n">
        <x:v>3530</x:v>
      </x:c>
      <x:c r="K35" s="740" t="n">
        <x:v>307.5</x:v>
      </x:c>
      <x:c r="L35" s="739" t="n">
        <x:v>5060</x:v>
      </x:c>
      <x:c r="M35" s="740" t="n">
        <x:v>4113.821138211382</x:v>
      </x:c>
      <x:c r="N35" s="727" t="inlineStr">
        <x:is>
          <x:t xml:space="preserve">400 + śr. przyrost/50cm z 300–400 + 300 zł brutto</x:t>
        </x:is>
      </x:c>
      <x:c r="O35" s="719" t="n"/>
      <x:c r="P35" s="719" t="n"/>
      <x:c r="Q35" s="719" t="n"/>
    </x:row>
    <x:row r="36" s="655" customFormat="1" ht="22" customHeight="1">
      <x:c r="A36" s="724" t="inlineStr">
        <x:is>
          <x:t xml:space="preserve">450 x 1006 cm</x:t>
        </x:is>
      </x:c>
      <x:c r="B36" s="724" t="n">
        <x:v>450</x:v>
      </x:c>
      <x:c r="C36" s="724" t="n">
        <x:v>1006</x:v>
      </x:c>
      <x:c r="D36" s="739" t="n">
        <x:v>2189</x:v>
      </x:c>
      <x:c r="E36" s="739" t="n">
        <x:v>2595</x:v>
      </x:c>
      <x:c r="F36" s="740" t="n">
        <x:v>203</x:v>
      </x:c>
      <x:c r="G36" s="739" t="n">
        <x:v>3098</x:v>
      </x:c>
      <x:c r="H36" s="740" t="n">
        <x:v>2518.69918699187</x:v>
      </x:c>
      <x:c r="I36" s="739" t="n">
        <x:v>3198</x:v>
      </x:c>
      <x:c r="J36" s="739" t="n">
        <x:v>3899</x:v>
      </x:c>
      <x:c r="K36" s="740" t="n">
        <x:v>350.5</x:v>
      </x:c>
      <x:c r="L36" s="739" t="n">
        <x:v>4550</x:v>
      </x:c>
      <x:c r="M36" s="740" t="n">
        <x:v>3699.186991869919</x:v>
      </x:c>
      <x:c r="N36" s="727" t="inlineStr">
        <x:is>
          <x:t xml:space="preserve">400 + śr. przyrost/50cm z 300–400 + 300 zł brutto</x:t>
        </x:is>
      </x:c>
      <x:c r="O36" s="719" t="n"/>
      <x:c r="P36" s="719" t="n"/>
      <x:c r="Q36" s="719" t="n"/>
    </x:row>
    <x:row r="37" s="655" customFormat="1" ht="22" customHeight="1">
      <x:c r="A37" s="724" t="inlineStr">
        <x:is>
          <x:t xml:space="preserve">500 x 1006 cm</x:t>
        </x:is>
      </x:c>
      <x:c r="B37" s="724" t="n">
        <x:v>500</x:v>
      </x:c>
      <x:c r="C37" s="724" t="n">
        <x:v>1006</x:v>
      </x:c>
      <x:c r="D37" s="739" t="n">
        <x:v>2189</x:v>
      </x:c>
      <x:c r="E37" s="739" t="n">
        <x:v>2595</x:v>
      </x:c>
      <x:c r="F37" s="740" t="n">
        <x:v>203</x:v>
      </x:c>
      <x:c r="G37" s="739" t="n">
        <x:v>3301</x:v>
      </x:c>
      <x:c r="H37" s="740" t="n">
        <x:v>2683.739837398374</x:v>
      </x:c>
      <x:c r="I37" s="739" t="n">
        <x:v>3198</x:v>
      </x:c>
      <x:c r="J37" s="739" t="n">
        <x:v>3899</x:v>
      </x:c>
      <x:c r="K37" s="740" t="n">
        <x:v>350.5</x:v>
      </x:c>
      <x:c r="L37" s="739" t="n">
        <x:v>4900</x:v>
      </x:c>
      <x:c r="M37" s="740" t="n">
        <x:v>3983.739837398374</x:v>
      </x:c>
      <x:c r="N37" s="727" t="inlineStr">
        <x:is>
          <x:t xml:space="preserve">400 + śr. przyrost/50cm z 300–400 + 300 zł brutto</x:t>
        </x:is>
      </x:c>
      <x:c r="O37" s="719" t="n"/>
      <x:c r="P37" s="719" t="n"/>
      <x:c r="Q37" s="719" t="n"/>
    </x:row>
    <x:row r="38" s="655" customFormat="1" ht="22" customHeight="1">
      <x:c r="A38" s="724" t="inlineStr">
        <x:is>
          <x:t xml:space="preserve">550 x 1006 cm</x:t>
        </x:is>
      </x:c>
      <x:c r="B38" s="724" t="n">
        <x:v>550</x:v>
      </x:c>
      <x:c r="C38" s="724" t="n">
        <x:v>1006</x:v>
      </x:c>
      <x:c r="D38" s="739" t="n">
        <x:v>2189</x:v>
      </x:c>
      <x:c r="E38" s="739" t="n">
        <x:v>2595</x:v>
      </x:c>
      <x:c r="F38" s="740" t="n">
        <x:v>203</x:v>
      </x:c>
      <x:c r="G38" s="739" t="n">
        <x:v>3504</x:v>
      </x:c>
      <x:c r="H38" s="740" t="n">
        <x:v>2848.780487804878</x:v>
      </x:c>
      <x:c r="I38" s="739" t="n">
        <x:v>3198</x:v>
      </x:c>
      <x:c r="J38" s="739" t="n">
        <x:v>3899</x:v>
      </x:c>
      <x:c r="K38" s="740" t="n">
        <x:v>350.5</x:v>
      </x:c>
      <x:c r="L38" s="739" t="n">
        <x:v>5250</x:v>
      </x:c>
      <x:c r="M38" s="740" t="n">
        <x:v>4268.292682926829</x:v>
      </x:c>
      <x:c r="N38" s="727" t="inlineStr">
        <x:is>
          <x:t xml:space="preserve">400 + śr. przyrost/50cm z 300–400 + 300 zł brutto</x:t>
        </x:is>
      </x:c>
      <x:c r="O38" s="719" t="n"/>
      <x:c r="P38" s="719" t="n"/>
      <x:c r="Q38" s="719" t="n"/>
    </x:row>
    <x:row r="39" s="655" customFormat="1" ht="22" customHeight="1">
      <x:c r="A39" s="724" t="inlineStr">
        <x:is>
          <x:t xml:space="preserve">600 x 1006 cm</x:t>
        </x:is>
      </x:c>
      <x:c r="B39" s="724" t="n">
        <x:v>600</x:v>
      </x:c>
      <x:c r="C39" s="724" t="n">
        <x:v>1006</x:v>
      </x:c>
      <x:c r="D39" s="739" t="n">
        <x:v>2189</x:v>
      </x:c>
      <x:c r="E39" s="739" t="n">
        <x:v>2595</x:v>
      </x:c>
      <x:c r="F39" s="740" t="n">
        <x:v>203</x:v>
      </x:c>
      <x:c r="G39" s="739" t="n">
        <x:v>3707</x:v>
      </x:c>
      <x:c r="H39" s="740" t="n">
        <x:v>3013.821138211382</x:v>
      </x:c>
      <x:c r="I39" s="739" t="n">
        <x:v>3198</x:v>
      </x:c>
      <x:c r="J39" s="739" t="n">
        <x:v>3899</x:v>
      </x:c>
      <x:c r="K39" s="740" t="n">
        <x:v>350.5</x:v>
      </x:c>
      <x:c r="L39" s="739" t="n">
        <x:v>5601</x:v>
      </x:c>
      <x:c r="M39" s="740" t="n">
        <x:v>4553.658536585366</x:v>
      </x:c>
      <x:c r="N39" s="727" t="inlineStr">
        <x:is>
          <x:t xml:space="preserve">400 + śr. przyrost/50cm z 300–400 + 300 zł brutto</x:t>
        </x:is>
      </x:c>
      <x:c r="O39" s="719" t="n"/>
      <x:c r="P39" s="719" t="n"/>
      <x:c r="Q39" s="719" t="n"/>
    </x:row>
    <x:row r="40" s="655" customFormat="1" ht="22" customHeight="1">
      <x:c r="A40" s="724" t="inlineStr">
        <x:is>
          <x:t xml:space="preserve">450 x 1106 cm</x:t>
        </x:is>
      </x:c>
      <x:c r="B40" s="724" t="n">
        <x:v>450</x:v>
      </x:c>
      <x:c r="C40" s="724" t="n">
        <x:v>1106</x:v>
      </x:c>
      <x:c r="D40" s="739" t="n">
        <x:v>2374</x:v>
      </x:c>
      <x:c r="E40" s="739" t="n">
        <x:v>2829</x:v>
      </x:c>
      <x:c r="F40" s="740" t="n">
        <x:v>227.5</x:v>
      </x:c>
      <x:c r="G40" s="739" t="n">
        <x:v>3356</x:v>
      </x:c>
      <x:c r="H40" s="740" t="n">
        <x:v>2728.455284552846</x:v>
      </x:c>
      <x:c r="I40" s="739" t="n">
        <x:v>3493</x:v>
      </x:c>
      <x:c r="J40" s="739" t="n">
        <x:v>4268</x:v>
      </x:c>
      <x:c r="K40" s="740" t="n">
        <x:v>387.5</x:v>
      </x:c>
      <x:c r="L40" s="739" t="n">
        <x:v>4956</x:v>
      </x:c>
      <x:c r="M40" s="740" t="n">
        <x:v>4029.268292682927</x:v>
      </x:c>
      <x:c r="N40" s="727" t="inlineStr">
        <x:is>
          <x:t xml:space="preserve">400 + śr. przyrost/50cm z 300–400 + 300 zł brutto</x:t>
        </x:is>
      </x:c>
      <x:c r="O40" s="719" t="n"/>
      <x:c r="P40" s="719" t="n"/>
      <x:c r="Q40" s="719" t="n"/>
    </x:row>
    <x:row r="41" s="655" customFormat="1" ht="22" customHeight="1">
      <x:c r="A41" s="724" t="inlineStr">
        <x:is>
          <x:t xml:space="preserve">500 x 1106 cm</x:t>
        </x:is>
      </x:c>
      <x:c r="B41" s="724" t="n">
        <x:v>500</x:v>
      </x:c>
      <x:c r="C41" s="724" t="n">
        <x:v>1106</x:v>
      </x:c>
      <x:c r="D41" s="739" t="n">
        <x:v>2374</x:v>
      </x:c>
      <x:c r="E41" s="739" t="n">
        <x:v>2829</x:v>
      </x:c>
      <x:c r="F41" s="740" t="n">
        <x:v>227.5</x:v>
      </x:c>
      <x:c r="G41" s="739" t="n">
        <x:v>3584</x:v>
      </x:c>
      <x:c r="H41" s="740" t="n">
        <x:v>2913.821138211382</x:v>
      </x:c>
      <x:c r="I41" s="739" t="n">
        <x:v>3493</x:v>
      </x:c>
      <x:c r="J41" s="739" t="n">
        <x:v>4268</x:v>
      </x:c>
      <x:c r="K41" s="740" t="n">
        <x:v>387.5</x:v>
      </x:c>
      <x:c r="L41" s="739" t="n">
        <x:v>5343</x:v>
      </x:c>
      <x:c r="M41" s="740" t="n">
        <x:v>4343.90243902439</x:v>
      </x:c>
      <x:c r="N41" s="727" t="inlineStr">
        <x:is>
          <x:t xml:space="preserve">400 + śr. przyrost/50cm z 300–400 + 300 zł brutto</x:t>
        </x:is>
      </x:c>
      <x:c r="O41" s="719" t="n"/>
      <x:c r="P41" s="719" t="n"/>
      <x:c r="Q41" s="719" t="n"/>
    </x:row>
    <x:row r="42" s="655" customFormat="1" ht="22" customHeight="1">
      <x:c r="A42" s="724" t="inlineStr">
        <x:is>
          <x:t xml:space="preserve">550 x 1106 cm</x:t>
        </x:is>
      </x:c>
      <x:c r="B42" s="724" t="n">
        <x:v>550</x:v>
      </x:c>
      <x:c r="C42" s="724" t="n">
        <x:v>1106</x:v>
      </x:c>
      <x:c r="D42" s="739" t="n">
        <x:v>2374</x:v>
      </x:c>
      <x:c r="E42" s="739" t="n">
        <x:v>2829</x:v>
      </x:c>
      <x:c r="F42" s="740" t="n">
        <x:v>227.5</x:v>
      </x:c>
      <x:c r="G42" s="739" t="n">
        <x:v>3812</x:v>
      </x:c>
      <x:c r="H42" s="740" t="n">
        <x:v>3099.186991869919</x:v>
      </x:c>
      <x:c r="I42" s="739" t="n">
        <x:v>3493</x:v>
      </x:c>
      <x:c r="J42" s="739" t="n">
        <x:v>4268</x:v>
      </x:c>
      <x:c r="K42" s="740" t="n">
        <x:v>387.5</x:v>
      </x:c>
      <x:c r="L42" s="739" t="n">
        <x:v>5730</x:v>
      </x:c>
      <x:c r="M42" s="740" t="n">
        <x:v>4658.536585365854</x:v>
      </x:c>
      <x:c r="N42" s="727" t="inlineStr">
        <x:is>
          <x:t xml:space="preserve">400 + śr. przyrost/50cm z 300–400 + 300 zł brutto</x:t>
        </x:is>
      </x:c>
      <x:c r="O42" s="719" t="n"/>
      <x:c r="P42" s="719" t="n"/>
      <x:c r="Q42" s="719" t="n"/>
    </x:row>
    <x:row r="43" s="655" customFormat="1" ht="22" customHeight="1">
      <x:c r="A43" s="724" t="inlineStr">
        <x:is>
          <x:t xml:space="preserve">600 x 1106 cm</x:t>
        </x:is>
      </x:c>
      <x:c r="B43" s="724" t="n">
        <x:v>600</x:v>
      </x:c>
      <x:c r="C43" s="724" t="n">
        <x:v>1106</x:v>
      </x:c>
      <x:c r="D43" s="739" t="n">
        <x:v>2374</x:v>
      </x:c>
      <x:c r="E43" s="739" t="n">
        <x:v>2829</x:v>
      </x:c>
      <x:c r="F43" s="740" t="n">
        <x:v>227.5</x:v>
      </x:c>
      <x:c r="G43" s="739" t="n">
        <x:v>4039</x:v>
      </x:c>
      <x:c r="H43" s="740" t="n">
        <x:v>3283.739837398374</x:v>
      </x:c>
      <x:c r="I43" s="739" t="n">
        <x:v>3493</x:v>
      </x:c>
      <x:c r="J43" s="739" t="n">
        <x:v>4268</x:v>
      </x:c>
      <x:c r="K43" s="740" t="n">
        <x:v>387.5</x:v>
      </x:c>
      <x:c r="L43" s="739" t="n">
        <x:v>6118</x:v>
      </x:c>
      <x:c r="M43" s="740" t="n">
        <x:v>4973.983739837398</x:v>
      </x:c>
      <x:c r="N43" s="727" t="inlineStr">
        <x:is>
          <x:t xml:space="preserve">400 + śr. przyrost/50cm z 300–400 + 300 zł brutto</x:t>
        </x:is>
      </x:c>
      <x:c r="O43" s="719" t="n"/>
      <x:c r="P43" s="719" t="n"/>
      <x:c r="Q43" s="719" t="n"/>
    </x:row>
    <x:row r="44" s="655" customFormat="1" ht="22" customHeight="1">
      <x:c r="A44" s="724" t="inlineStr">
        <x:is>
          <x:t xml:space="preserve">450 x 1206 cm</x:t>
        </x:is>
      </x:c>
      <x:c r="B44" s="724" t="n">
        <x:v>450</x:v>
      </x:c>
      <x:c r="C44" s="724" t="n">
        <x:v>1206</x:v>
      </x:c>
      <x:c r="D44" s="739" t="n">
        <x:v>2546</x:v>
      </x:c>
      <x:c r="E44" s="739" t="n">
        <x:v>3050</x:v>
      </x:c>
      <x:c r="F44" s="740" t="n">
        <x:v>252</x:v>
      </x:c>
      <x:c r="G44" s="739" t="n">
        <x:v>3602</x:v>
      </x:c>
      <x:c r="H44" s="740" t="n">
        <x:v>2928.455284552846</x:v>
      </x:c>
      <x:c r="I44" s="739" t="n">
        <x:v>3788</x:v>
      </x:c>
      <x:c r="J44" s="739" t="n">
        <x:v>4637</x:v>
      </x:c>
      <x:c r="K44" s="740" t="n">
        <x:v>424.5</x:v>
      </x:c>
      <x:c r="L44" s="739" t="n">
        <x:v>5362</x:v>
      </x:c>
      <x:c r="M44" s="740" t="n">
        <x:v>4359.349593495935</x:v>
      </x:c>
      <x:c r="N44" s="727" t="inlineStr">
        <x:is>
          <x:t xml:space="preserve">400 + śr. przyrost/50cm z 300–400 + 300 zł brutto</x:t>
        </x:is>
      </x:c>
      <x:c r="O44" s="719" t="n"/>
      <x:c r="P44" s="719" t="n"/>
      <x:c r="Q44" s="719" t="n"/>
    </x:row>
    <x:row r="45" s="655" customFormat="1" ht="22" customHeight="1">
      <x:c r="A45" s="724" t="inlineStr">
        <x:is>
          <x:t xml:space="preserve">500 x 1206 cm</x:t>
        </x:is>
      </x:c>
      <x:c r="B45" s="724" t="n">
        <x:v>500</x:v>
      </x:c>
      <x:c r="C45" s="724" t="n">
        <x:v>1206</x:v>
      </x:c>
      <x:c r="D45" s="739" t="n">
        <x:v>2546</x:v>
      </x:c>
      <x:c r="E45" s="739" t="n">
        <x:v>3050</x:v>
      </x:c>
      <x:c r="F45" s="740" t="n">
        <x:v>252</x:v>
      </x:c>
      <x:c r="G45" s="739" t="n">
        <x:v>3854</x:v>
      </x:c>
      <x:c r="H45" s="740" t="n">
        <x:v>3133.333333333333</x:v>
      </x:c>
      <x:c r="I45" s="739" t="n">
        <x:v>3788</x:v>
      </x:c>
      <x:c r="J45" s="739" t="n">
        <x:v>4637</x:v>
      </x:c>
      <x:c r="K45" s="740" t="n">
        <x:v>424.5</x:v>
      </x:c>
      <x:c r="L45" s="739" t="n">
        <x:v>5786</x:v>
      </x:c>
      <x:c r="M45" s="740" t="n">
        <x:v>4704.065040650406</x:v>
      </x:c>
      <x:c r="N45" s="727" t="inlineStr">
        <x:is>
          <x:t xml:space="preserve">400 + śr. przyrost/50cm z 300–400 + 300 zł brutto</x:t>
        </x:is>
      </x:c>
      <x:c r="O45" s="719" t="n"/>
      <x:c r="P45" s="719" t="n"/>
      <x:c r="Q45" s="719" t="n"/>
    </x:row>
    <x:row r="46" s="655" customFormat="1" ht="22" customHeight="1">
      <x:c r="A46" s="724" t="inlineStr">
        <x:is>
          <x:t xml:space="preserve">550 x 1206 cm</x:t>
        </x:is>
      </x:c>
      <x:c r="B46" s="724" t="n">
        <x:v>550</x:v>
      </x:c>
      <x:c r="C46" s="724" t="n">
        <x:v>1206</x:v>
      </x:c>
      <x:c r="D46" s="739" t="n">
        <x:v>2546</x:v>
      </x:c>
      <x:c r="E46" s="739" t="n">
        <x:v>3050</x:v>
      </x:c>
      <x:c r="F46" s="740" t="n">
        <x:v>252</x:v>
      </x:c>
      <x:c r="G46" s="739" t="n">
        <x:v>4106</x:v>
      </x:c>
      <x:c r="H46" s="740" t="n">
        <x:v>3338.211382113821</x:v>
      </x:c>
      <x:c r="I46" s="739" t="n">
        <x:v>3788</x:v>
      </x:c>
      <x:c r="J46" s="739" t="n">
        <x:v>4637</x:v>
      </x:c>
      <x:c r="K46" s="740" t="n">
        <x:v>424.5</x:v>
      </x:c>
      <x:c r="L46" s="739" t="n">
        <x:v>6210</x:v>
      </x:c>
      <x:c r="M46" s="740" t="n">
        <x:v>5048.780487804878</x:v>
      </x:c>
      <x:c r="N46" s="727" t="inlineStr">
        <x:is>
          <x:t xml:space="preserve">400 + śr. przyrost/50cm z 300–400 + 300 zł brutto</x:t>
        </x:is>
      </x:c>
      <x:c r="O46" s="719" t="n"/>
      <x:c r="P46" s="719" t="n"/>
      <x:c r="Q46" s="719" t="n"/>
    </x:row>
    <x:row r="47" s="655" customFormat="1" ht="22" customHeight="1">
      <x:c r="A47" s="724" t="inlineStr">
        <x:is>
          <x:t xml:space="preserve">600 x 1206 cm</x:t>
        </x:is>
      </x:c>
      <x:c r="B47" s="724" t="n">
        <x:v>600</x:v>
      </x:c>
      <x:c r="C47" s="724" t="n">
        <x:v>1206</x:v>
      </x:c>
      <x:c r="D47" s="739" t="n">
        <x:v>2546</x:v>
      </x:c>
      <x:c r="E47" s="739" t="n">
        <x:v>3050</x:v>
      </x:c>
      <x:c r="F47" s="740" t="n">
        <x:v>252</x:v>
      </x:c>
      <x:c r="G47" s="739" t="n">
        <x:v>4358</x:v>
      </x:c>
      <x:c r="H47" s="740" t="n">
        <x:v>3543.089430894309</x:v>
      </x:c>
      <x:c r="I47" s="739" t="n">
        <x:v>3788</x:v>
      </x:c>
      <x:c r="J47" s="739" t="n">
        <x:v>4637</x:v>
      </x:c>
      <x:c r="K47" s="740" t="n">
        <x:v>424.5</x:v>
      </x:c>
      <x:c r="L47" s="739" t="n">
        <x:v>6635</x:v>
      </x:c>
      <x:c r="M47" s="740" t="n">
        <x:v>5394.308943089431</x:v>
      </x:c>
      <x:c r="N47" s="727" t="inlineStr">
        <x:is>
          <x:t xml:space="preserve">400 + śr. przyrost/50cm z 300–400 + 300 zł brutto</x:t>
        </x:is>
      </x:c>
      <x:c r="O47" s="719" t="n"/>
      <x:c r="P47" s="719" t="n"/>
      <x:c r="Q47" s="719" t="n"/>
    </x:row>
  </x:sheetData>
  <x:mergeCells>
    <x:mergeCell ref="A1:M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808080"/>
  </x:sheetPr>
  <x:sheetViews>
    <x:sheetView showGridLines="0" workbookViewId="0"/>
  </x:sheetViews>
  <x:sheetFormatPr baseColWidth="8" defaultRowHeight="14.75"/>
  <x:cols>
    <x:col min="1" max="1" width="15" style="655" customWidth="1"/>
    <x:col min="2" max="19" width="20" style="655" customWidth="1"/>
    <x:col min="20" max="20" width="13" style="655" hidden="1" customWidth="1"/>
    <x:col min="21" max="23" width="26" style="655" hidden="1" customWidth="1"/>
    <x:col min="24" max="26" width="13" style="655" hidden="1" customWidth="1"/>
  </x:cols>
  <x:sheetData>
    <x:row r="1">
      <x:c r="A1" s="513" t="inlineStr">
        <x:is>
          <x:t xml:space="preserve">Wymiar</x:t>
        </x:is>
      </x:c>
      <x:c r="B1" s="513" t="inlineStr">
        <x:is>
          <x:t xml:space="preserve">EG Zadaszenie</x:t>
        </x:is>
      </x:c>
      <x:c r="C1" s="513" t="inlineStr">
        <x:is>
          <x:t xml:space="preserve">Nowe Zadaszenie</x:t>
        </x:is>
      </x:c>
      <x:c r="D1" s="514" t="inlineStr">
        <x:is>
          <x:t xml:space="preserve">Różnica</x:t>
        </x:is>
      </x:c>
      <x:c r="E1" s="513" t="inlineStr">
        <x:is>
          <x:t xml:space="preserve">EG Ściany clear</x:t>
        </x:is>
      </x:c>
      <x:c r="F1" s="513" t="inlineStr">
        <x:is>
          <x:t xml:space="preserve">Nowe Ściany clear</x:t>
        </x:is>
      </x:c>
      <x:c r="G1" s="514" t="inlineStr">
        <x:is>
          <x:t xml:space="preserve">Różnica2</x:t>
        </x:is>
      </x:c>
      <x:c r="H1" s="513" t="inlineStr">
        <x:is>
          <x:t xml:space="preserve">EG Ściany barw.</x:t>
        </x:is>
      </x:c>
      <x:c r="I1" s="513" t="inlineStr">
        <x:is>
          <x:t xml:space="preserve">Nowe Ściany barw.</x:t>
        </x:is>
      </x:c>
      <x:c r="J1" s="514" t="inlineStr">
        <x:is>
          <x:t xml:space="preserve">Różnica3</x:t>
        </x:is>
      </x:c>
      <x:c r="K1" s="513" t="inlineStr">
        <x:is>
          <x:t xml:space="preserve">EG Szkło clear</x:t>
        </x:is>
      </x:c>
      <x:c r="L1" s="513" t="inlineStr">
        <x:is>
          <x:t xml:space="preserve">Nowe Szkło clear</x:t>
        </x:is>
      </x:c>
      <x:c r="M1" s="514" t="inlineStr">
        <x:is>
          <x:t xml:space="preserve">Różnica4</x:t>
        </x:is>
      </x:c>
      <x:c r="N1" s="513" t="inlineStr">
        <x:is>
          <x:t xml:space="preserve">EG Szkło barw.</x:t>
        </x:is>
      </x:c>
      <x:c r="O1" s="513" t="inlineStr">
        <x:is>
          <x:t xml:space="preserve">Nowe Szkło barw.</x:t>
        </x:is>
      </x:c>
      <x:c r="P1" s="514" t="inlineStr">
        <x:is>
          <x:t xml:space="preserve">Różnica5</x:t>
        </x:is>
      </x:c>
      <x:c r="Q1" s="513" t="inlineStr">
        <x:is>
          <x:t xml:space="preserve">EG Markiza</x:t>
        </x:is>
      </x:c>
      <x:c r="R1" s="513" t="inlineStr">
        <x:is>
          <x:t xml:space="preserve">Nowa Markiza</x:t>
        </x:is>
      </x:c>
      <x:c r="S1" s="514" t="inlineStr">
        <x:is>
          <x:t xml:space="preserve">Różnica6</x:t>
        </x:is>
      </x:c>
      <x:c r="U1" s="533" t="n"/>
      <x:c r="V1" s="534" t="n"/>
      <x:c r="W1" s="533" t="n"/>
      <x:c r="X1" s="533" t="inlineStr">
        <x:is>
          <x:t xml:space="preserve">Cel cenowy vs EG</x:t>
        </x:is>
      </x:c>
      <x:c r="Y1" s="544" t="n">
        <x:f>'01_Ustawienia'!$B$8</x:f>
        <x:v>-1500</x:v>
      </x:c>
      <x:c r="Z1" s="533" t="n"/>
    </x:row>
    <x:row r="2">
      <x:c r="A2" s="6" t="inlineStr">
        <x:is>
          <x:t xml:space="preserve">300 x 306 cm</x:t>
        </x:is>
      </x:c>
      <x:c r="B2" s="8" t="n">
        <x:f>IFERROR(IFERROR(INDEX(EG_Wycena_strona!$B:$B,MATCH($A2,EG_Wycena_strona!$A:$A,0)),""),"")</x:f>
        <x:v>8383</x:v>
      </x:c>
      <x:c r="C2" s="8" t="n">
        <x:f>IFERROR(IFERROR(INDEX('04_Wycena_strona_nowa'!$B:$B,MATCH($A2,'04_Wycena_strona_nowa'!$A:$A,0)),""),"")</x:f>
        <x:v>8013</x:v>
      </x:c>
      <x:c r="D2" s="545" t="n">
        <x:f>IF(OR(B2="",C2=""),"",C2-B2)</x:f>
        <x:v>-370</x:v>
      </x:c>
      <x:c r="E2" s="8" t="n">
        <x:f>IFERROR(IFERROR(INDEX(EG_Wycena_strona!$C:$C,MATCH($A2,EG_Wycena_strona!$A:$A,0)),""),"")</x:f>
        <x:v>15029</x:v>
      </x:c>
      <x:c r="F2" s="8" t="n">
        <x:f>IFERROR(IFERROR(INDEX('04_Wycena_strona_nowa'!$C:$C,MATCH($A2,'04_Wycena_strona_nowa'!$A:$A,0)),""),"")</x:f>
        <x:v>13549</x:v>
      </x:c>
      <x:c r="G2" s="545" t="n">
        <x:f>IF(OR(E2="",F2=""),"",F2-E2)</x:f>
        <x:v>-1480</x:v>
      </x:c>
      <x:c r="H2" s="8" t="n">
        <x:f>IFERROR(IFERROR(INDEX(EG_Wycena_strona!$D:$D,MATCH($A2,EG_Wycena_strona!$A:$A,0)),""),"")</x:f>
        <x:v>16502</x:v>
      </x:c>
      <x:c r="I2" s="8" t="n">
        <x:f>IFERROR(IFERROR(INDEX('04_Wycena_strona_nowa'!$D:$D,MATCH($A2,'04_Wycena_strona_nowa'!$A:$A,0)),""),"")</x:f>
        <x:v>14924</x:v>
      </x:c>
      <x:c r="J2" s="545" t="n">
        <x:f>IF(OR(H2="",I2=""),"",I2-H2)</x:f>
        <x:v>-1578</x:v>
      </x:c>
      <x:c r="K2" s="8" t="n">
        <x:f>IFERROR(IFERROR(INDEX(EG_Wycena_strona!$F:$F,MATCH($A2,EG_Wycena_strona!$A:$A,0)),""),"")</x:f>
        <x:v>3000</x:v>
      </x:c>
      <x:c r="L2" s="8" t="n">
        <x:f>IFERROR(IFERROR(INDEX('04_Wycena_strona_nowa'!$F:$F,MATCH($A2,'04_Wycena_strona_nowa'!$A:$A,0)),""),"")</x:f>
        <x:v>2100</x:v>
      </x:c>
      <x:c r="M2" s="545" t="n">
        <x:f>IF(OR(K2="",L2=""),"",L2-K2)</x:f>
        <x:v>-900</x:v>
      </x:c>
      <x:c r="N2" s="8" t="n">
        <x:f>IFERROR(IFERROR(INDEX(EG_Wycena_strona!$G:$G,MATCH($A2,EG_Wycena_strona!$A:$A,0)),""),"")</x:f>
        <x:v>3465</x:v>
      </x:c>
      <x:c r="O2" s="8" t="n">
        <x:f>IFERROR(IFERROR(INDEX('04_Wycena_strona_nowa'!$G:$G,MATCH($A2,'04_Wycena_strona_nowa'!$A:$A,0)),""),"")</x:f>
        <x:v>2532</x:v>
      </x:c>
      <x:c r="P2" s="545" t="n">
        <x:f>IF(OR(N2="",O2=""),"",O2-N2)</x:f>
        <x:v>-933</x:v>
      </x:c>
      <x:c r="Q2" s="8" t="n">
        <x:f>IFERROR(IFERROR(INDEX(EG_Wycena_strona!$K:$K,MATCH($A2,EG_Wycena_strona!$A:$A,0)),""),"")</x:f>
        <x:v>5532</x:v>
      </x:c>
      <x:c r="R2" s="8" t="n">
        <x:f>IFERROR(IFERROR(INDEX('04_Wycena_strona_nowa'!$K:$K,MATCH($A2,'04_Wycena_strona_nowa'!$A:$A,0)),""),"")</x:f>
        <x:v>4966</x:v>
      </x:c>
      <x:c r="S2" s="545" t="n">
        <x:f>IF(OR(Q2="",R2=""),"",R2-Q2)</x:f>
        <x:v>-566</x:v>
      </x:c>
      <x:c r="U2" s="533" t="n"/>
      <x:c r="V2" s="534" t="n"/>
      <x:c r="W2" s="533" t="n"/>
      <x:c r="X2" s="533" t="inlineStr">
        <x:is>
          <x:t xml:space="preserve">Tolerancja celu</x:t>
        </x:is>
      </x:c>
      <x:c r="Y2" s="544" t="n">
        <x:v>500</x:v>
      </x:c>
      <x:c r="Z2" s="533" t="n"/>
    </x:row>
    <x:row r="3">
      <x:c r="A3" s="6" t="inlineStr">
        <x:is>
          <x:t xml:space="preserve">300 x 406 cm</x:t>
        </x:is>
      </x:c>
      <x:c r="B3" s="8" t="n">
        <x:f>IFERROR(IFERROR(INDEX(EG_Wycena_strona!$B:$B,MATCH($A3,EG_Wycena_strona!$A:$A,0)),""),"")</x:f>
        <x:v>10273</x:v>
      </x:c>
      <x:c r="C3" s="8" t="n">
        <x:f>IFERROR(IFERROR(INDEX('04_Wycena_strona_nowa'!$B:$B,MATCH($A3,'04_Wycena_strona_nowa'!$A:$A,0)),""),"")</x:f>
        <x:v>9799</x:v>
      </x:c>
      <x:c r="D3" s="545" t="n">
        <x:f>IF(OR(B3="",C3=""),"",C3-B3)</x:f>
        <x:v>-474</x:v>
      </x:c>
      <x:c r="E3" s="8" t="n">
        <x:f>IFERROR(IFERROR(INDEX(EG_Wycena_strona!$C:$C,MATCH($A3,EG_Wycena_strona!$A:$A,0)),""),"")</x:f>
        <x:v>16280</x:v>
      </x:c>
      <x:c r="F3" s="8" t="n">
        <x:f>IFERROR(IFERROR(INDEX('04_Wycena_strona_nowa'!$C:$C,MATCH($A3,'04_Wycena_strona_nowa'!$A:$A,0)),""),"")</x:f>
        <x:v>14632</x:v>
      </x:c>
      <x:c r="G3" s="545" t="n">
        <x:f>IF(OR(E3="",F3=""),"",F3-E3)</x:f>
        <x:v>-1648</x:v>
      </x:c>
      <x:c r="H3" s="8" t="n">
        <x:f>IFERROR(IFERROR(INDEX(EG_Wycena_strona!$D:$D,MATCH($A3,EG_Wycena_strona!$A:$A,0)),""),"")</x:f>
        <x:v>17917</x:v>
      </x:c>
      <x:c r="I3" s="8" t="n">
        <x:f>IFERROR(IFERROR(INDEX('04_Wycena_strona_nowa'!$D:$D,MATCH($A3,'04_Wycena_strona_nowa'!$A:$A,0)),""),"")</x:f>
        <x:v>16160</x:v>
      </x:c>
      <x:c r="J3" s="545" t="n">
        <x:f>IF(OR(H3="",I3=""),"",I3-H3)</x:f>
        <x:v>-1757</x:v>
      </x:c>
      <x:c r="K3" s="8" t="n">
        <x:f>IFERROR(IFERROR(INDEX(EG_Wycena_strona!$F:$F,MATCH($A3,EG_Wycena_strona!$A:$A,0)),""),"")</x:f>
        <x:v>3423</x:v>
      </x:c>
      <x:c r="L3" s="8" t="n">
        <x:f>IFERROR(IFERROR(INDEX('04_Wycena_strona_nowa'!$F:$F,MATCH($A3,'04_Wycena_strona_nowa'!$A:$A,0)),""),"")</x:f>
        <x:v>2864</x:v>
      </x:c>
      <x:c r="M3" s="545" t="n">
        <x:f>IF(OR(K3="",L3=""),"",L3-K3)</x:f>
        <x:v>-559</x:v>
      </x:c>
      <x:c r="N3" s="8" t="n">
        <x:f>IFERROR(IFERROR(INDEX(EG_Wycena_strona!$G:$G,MATCH($A3,EG_Wycena_strona!$A:$A,0)),""),"")</x:f>
        <x:v>4036</x:v>
      </x:c>
      <x:c r="O3" s="8" t="n">
        <x:f>IFERROR(IFERROR(INDEX('04_Wycena_strona_nowa'!$G:$G,MATCH($A3,'04_Wycena_strona_nowa'!$A:$A,0)),""),"")</x:f>
        <x:v>3437</x:v>
      </x:c>
      <x:c r="P3" s="545" t="n">
        <x:f>IF(OR(N3="",O3=""),"",O3-N3)</x:f>
        <x:v>-599</x:v>
      </x:c>
      <x:c r="Q3" s="8" t="n">
        <x:f>IFERROR(IFERROR(INDEX(EG_Wycena_strona!$K:$K,MATCH($A3,EG_Wycena_strona!$A:$A,0)),""),"")</x:f>
        <x:v>6132</x:v>
      </x:c>
      <x:c r="R3" s="8" t="n">
        <x:f>IFERROR(IFERROR(INDEX('04_Wycena_strona_nowa'!$K:$K,MATCH($A3,'04_Wycena_strona_nowa'!$A:$A,0)),""),"")</x:f>
        <x:v>5475</x:v>
      </x:c>
      <x:c r="S3" s="545" t="n">
        <x:f>IF(OR(Q3="",R3=""),"",R3-Q3)</x:f>
        <x:v>-657</x:v>
      </x:c>
      <x:c r="U3" s="533" t="n"/>
      <x:c r="V3" s="534" t="n"/>
      <x:c r="W3" s="533" t="n"/>
      <x:c r="X3" s="533" t="inlineStr">
        <x:is>
          <x:t xml:space="preserve">Próg niebieski</x:t>
        </x:is>
      </x:c>
      <x:c r="Y3" s="544" t="n">
        <x:f>Y1-(2*Y2)</x:f>
        <x:v>-2500</x:v>
      </x:c>
      <x:c r="Z3" s="533" t="n"/>
    </x:row>
    <x:row r="4">
      <x:c r="A4" s="6" t="inlineStr">
        <x:is>
          <x:t xml:space="preserve">300 x 506 cm</x:t>
        </x:is>
      </x:c>
      <x:c r="B4" s="8" t="n">
        <x:f>IFERROR(IFERROR(INDEX(EG_Wycena_strona!$B:$B,MATCH($A4,EG_Wycena_strona!$A:$A,0)),""),"")</x:f>
        <x:v>12295</x:v>
      </x:c>
      <x:c r="C4" s="8" t="n">
        <x:f>IFERROR(IFERROR(INDEX('04_Wycena_strona_nowa'!$B:$B,MATCH($A4,'04_Wycena_strona_nowa'!$A:$A,0)),""),"")</x:f>
        <x:v>11705</x:v>
      </x:c>
      <x:c r="D4" s="545" t="n">
        <x:f>IF(OR(B4="",C4=""),"",C4-B4)</x:f>
        <x:v>-590</x:v>
      </x:c>
      <x:c r="E4" s="8" t="n">
        <x:f>IFERROR(IFERROR(INDEX(EG_Wycena_strona!$C:$C,MATCH($A4,EG_Wycena_strona!$A:$A,0)),""),"")</x:f>
        <x:v>18471</x:v>
      </x:c>
      <x:c r="F4" s="8" t="n">
        <x:f>IFERROR(IFERROR(INDEX('04_Wycena_strona_nowa'!$C:$C,MATCH($A4,'04_Wycena_strona_nowa'!$A:$A,0)),""),"")</x:f>
        <x:v>16614</x:v>
      </x:c>
      <x:c r="G4" s="545" t="n">
        <x:f>IF(OR(E4="",F4=""),"",F4-E4)</x:f>
        <x:v>-1857</x:v>
      </x:c>
      <x:c r="H4" s="8" t="n">
        <x:f>IFERROR(IFERROR(INDEX(EG_Wycena_strona!$D:$D,MATCH($A4,EG_Wycena_strona!$A:$A,0)),""),"")</x:f>
        <x:v>20270</x:v>
      </x:c>
      <x:c r="I4" s="8" t="n">
        <x:f>IFERROR(IFERROR(INDEX('04_Wycena_strona_nowa'!$D:$D,MATCH($A4,'04_Wycena_strona_nowa'!$A:$A,0)),""),"")</x:f>
        <x:v>18294</x:v>
      </x:c>
      <x:c r="J4" s="545" t="n">
        <x:f>IF(OR(H4="",I4=""),"",I4-H4)</x:f>
        <x:v>-1976</x:v>
      </x:c>
      <x:c r="K4" s="8" t="n">
        <x:f>IFERROR(IFERROR(INDEX(EG_Wycena_strona!$F:$F,MATCH($A4,EG_Wycena_strona!$A:$A,0)),""),"")</x:f>
        <x:v>4214</x:v>
      </x:c>
      <x:c r="L4" s="8" t="n">
        <x:f>IFERROR(IFERROR(INDEX('04_Wycena_strona_nowa'!$F:$F,MATCH($A4,'04_Wycena_strona_nowa'!$A:$A,0)),""),"")</x:f>
        <x:v>3539</x:v>
      </x:c>
      <x:c r="M4" s="545" t="n">
        <x:f>IF(OR(K4="",L4=""),"",L4-K4)</x:f>
        <x:v>-675</x:v>
      </x:c>
      <x:c r="N4" s="8" t="n">
        <x:f>IFERROR(IFERROR(INDEX(EG_Wycena_strona!$G:$G,MATCH($A4,EG_Wycena_strona!$A:$A,0)),""),"")</x:f>
        <x:v>4979</x:v>
      </x:c>
      <x:c r="O4" s="8" t="n">
        <x:f>IFERROR(IFERROR(INDEX('04_Wycena_strona_nowa'!$G:$G,MATCH($A4,'04_Wycena_strona_nowa'!$A:$A,0)),""),"")</x:f>
        <x:v>4252</x:v>
      </x:c>
      <x:c r="P4" s="545" t="n">
        <x:f>IF(OR(N4="",O4=""),"",O4-N4)</x:f>
        <x:v>-727</x:v>
      </x:c>
      <x:c r="Q4" s="8" t="n">
        <x:f>IFERROR(IFERROR(INDEX(EG_Wycena_strona!$K:$K,MATCH($A4,EG_Wycena_strona!$A:$A,0)),""),"")</x:f>
        <x:v>7112</x:v>
      </x:c>
      <x:c r="R4" s="8" t="n">
        <x:f>IFERROR(IFERROR(INDEX('04_Wycena_strona_nowa'!$K:$K,MATCH($A4,'04_Wycena_strona_nowa'!$A:$A,0)),""),"")</x:f>
        <x:v>6341</x:v>
      </x:c>
      <x:c r="S4" s="545" t="n">
        <x:f>IF(OR(Q4="",R4=""),"",R4-Q4)</x:f>
        <x:v>-771</x:v>
      </x:c>
      <x:c r="U4" s="533" t="n"/>
      <x:c r="V4" s="533" t="n"/>
      <x:c r="W4" s="533" t="n"/>
      <x:c r="X4" s="533" t="n"/>
      <x:c r="Y4" s="533" t="n"/>
      <x:c r="Z4" s="533" t="n"/>
    </x:row>
    <x:row r="5">
      <x:c r="A5" s="6" t="inlineStr">
        <x:is>
          <x:t xml:space="preserve">300 x 606 cm</x:t>
        </x:is>
      </x:c>
      <x:c r="B5" s="8" t="n">
        <x:f>IFERROR(IFERROR(INDEX(EG_Wycena_strona!$B:$B,MATCH($A5,EG_Wycena_strona!$A:$A,0)),""),"")</x:f>
        <x:v>13921</x:v>
      </x:c>
      <x:c r="C5" s="8" t="n">
        <x:f>IFERROR(IFERROR(INDEX('04_Wycena_strona_nowa'!$B:$B,MATCH($A5,'04_Wycena_strona_nowa'!$A:$A,0)),""),"")</x:f>
        <x:v>13246</x:v>
      </x:c>
      <x:c r="D5" s="545" t="n">
        <x:f>IF(OR(B5="",C5=""),"",C5-B5)</x:f>
        <x:v>-675</x:v>
      </x:c>
      <x:c r="E5" s="8" t="n">
        <x:f>IFERROR(IFERROR(INDEX(EG_Wycena_strona!$C:$C,MATCH($A5,EG_Wycena_strona!$A:$A,0)),""),"")</x:f>
        <x:v>20114</x:v>
      </x:c>
      <x:c r="F5" s="8" t="n">
        <x:f>IFERROR(IFERROR(INDEX('04_Wycena_strona_nowa'!$C:$C,MATCH($A5,'04_Wycena_strona_nowa'!$A:$A,0)),""),"")</x:f>
        <x:v>18052</x:v>
      </x:c>
      <x:c r="G5" s="545" t="n">
        <x:f>IF(OR(E5="",F5=""),"",F5-E5)</x:f>
        <x:v>-2062</x:v>
      </x:c>
      <x:c r="H5" s="8" t="n">
        <x:f>IFERROR(IFERROR(INDEX(EG_Wycena_strona!$D:$D,MATCH($A5,EG_Wycena_strona!$A:$A,0)),""),"")</x:f>
        <x:v>22077</x:v>
      </x:c>
      <x:c r="I5" s="8" t="n">
        <x:f>IFERROR(IFERROR(INDEX('04_Wycena_strona_nowa'!$D:$D,MATCH($A5,'04_Wycena_strona_nowa'!$A:$A,0)),""),"")</x:f>
        <x:v>19886</x:v>
      </x:c>
      <x:c r="J5" s="545" t="n">
        <x:f>IF(OR(H5="",I5=""),"",I5-H5)</x:f>
        <x:v>-2191</x:v>
      </x:c>
      <x:c r="K5" s="8" t="n">
        <x:f>IFERROR(IFERROR(INDEX(EG_Wycena_strona!$F:$F,MATCH($A5,EG_Wycena_strona!$A:$A,0)),""),"")</x:f>
        <x:v>5112</x:v>
      </x:c>
      <x:c r="L5" s="8" t="n">
        <x:f>IFERROR(IFERROR(INDEX('04_Wycena_strona_nowa'!$F:$F,MATCH($A5,'04_Wycena_strona_nowa'!$A:$A,0)),""),"")</x:f>
        <x:v>4316</x:v>
      </x:c>
      <x:c r="M5" s="545" t="n">
        <x:f>IF(OR(K5="",L5=""),"",L5-K5)</x:f>
        <x:v>-796</x:v>
      </x:c>
      <x:c r="N5" s="8" t="n">
        <x:f>IFERROR(IFERROR(INDEX(EG_Wycena_strona!$G:$G,MATCH($A5,EG_Wycena_strona!$A:$A,0)),""),"")</x:f>
        <x:v>6027</x:v>
      </x:c>
      <x:c r="O5" s="8" t="n">
        <x:f>IFERROR(IFERROR(INDEX('04_Wycena_strona_nowa'!$G:$G,MATCH($A5,'04_Wycena_strona_nowa'!$A:$A,0)),""),"")</x:f>
        <x:v>5169</x:v>
      </x:c>
      <x:c r="P5" s="545" t="n">
        <x:f>IF(OR(N5="",O5=""),"",O5-N5)</x:f>
        <x:v>-858</x:v>
      </x:c>
      <x:c r="Q5" s="8" t="n">
        <x:f>IFERROR(IFERROR(INDEX(EG_Wycena_strona!$K:$K,MATCH($A5,EG_Wycena_strona!$A:$A,0)),""),"")</x:f>
        <x:v>11010</x:v>
      </x:c>
      <x:c r="R5" s="8" t="n">
        <x:f>IFERROR(IFERROR(INDEX('04_Wycena_strona_nowa'!$K:$K,MATCH($A5,'04_Wycena_strona_nowa'!$A:$A,0)),""),"")</x:f>
        <x:v>9930</x:v>
      </x:c>
      <x:c r="S5" s="545" t="n">
        <x:f>IF(OR(Q5="",R5=""),"",R5-Q5)</x:f>
        <x:v>-1080</x:v>
      </x:c>
      <x:c r="U5" s="533" t="n"/>
      <x:c r="V5" s="533" t="n"/>
      <x:c r="W5" s="533" t="n"/>
      <x:c r="X5" s="533" t="n"/>
      <x:c r="Y5" s="533" t="n"/>
      <x:c r="Z5" s="533" t="n"/>
    </x:row>
    <x:row r="6">
      <x:c r="A6" s="6" t="inlineStr">
        <x:is>
          <x:t xml:space="preserve">300 x 706 cm</x:t>
        </x:is>
      </x:c>
      <x:c r="B6" s="8" t="n">
        <x:f>IFERROR(IFERROR(INDEX(EG_Wycena_strona!$B:$B,MATCH($A6,EG_Wycena_strona!$A:$A,0)),""),"")</x:f>
        <x:v>15940</x:v>
      </x:c>
      <x:c r="C6" s="8" t="n">
        <x:f>IFERROR(IFERROR(INDEX('04_Wycena_strona_nowa'!$B:$B,MATCH($A6,'04_Wycena_strona_nowa'!$A:$A,0)),""),"")</x:f>
        <x:v>15157</x:v>
      </x:c>
      <x:c r="D6" s="545" t="n">
        <x:f>IF(OR(B6="",C6=""),"",C6-B6)</x:f>
        <x:v>-783</x:v>
      </x:c>
      <x:c r="E6" s="8" t="n">
        <x:f>IFERROR(IFERROR(INDEX(EG_Wycena_strona!$C:$C,MATCH($A6,EG_Wycena_strona!$A:$A,0)),""),"")</x:f>
        <x:v>20335</x:v>
      </x:c>
      <x:c r="F6" s="8" t="n">
        <x:f>IFERROR(IFERROR(INDEX('04_Wycena_strona_nowa'!$C:$C,MATCH($A6,'04_Wycena_strona_nowa'!$A:$A,0)),""),"")</x:f>
        <x:v>18210</x:v>
      </x:c>
      <x:c r="G6" s="545" t="n">
        <x:f>IF(OR(E6="",F6=""),"",F6-E6)</x:f>
        <x:v>-2125</x:v>
      </x:c>
      <x:c r="H6" s="8" t="n">
        <x:f>IFERROR(IFERROR(INDEX(EG_Wycena_strona!$D:$D,MATCH($A6,EG_Wycena_strona!$A:$A,0)),""),"")</x:f>
        <x:v>22463</x:v>
      </x:c>
      <x:c r="I6" s="8" t="n">
        <x:f>IFERROR(IFERROR(INDEX('04_Wycena_strona_nowa'!$D:$D,MATCH($A6,'04_Wycena_strona_nowa'!$A:$A,0)),""),"")</x:f>
        <x:v>20196</x:v>
      </x:c>
      <x:c r="J6" s="545" t="n">
        <x:f>IF(OR(H6="",I6=""),"",I6-H6)</x:f>
        <x:v>-2267</x:v>
      </x:c>
      <x:c r="K6" s="8" t="n">
        <x:f>IFERROR(IFERROR(INDEX(EG_Wycena_strona!$F:$F,MATCH($A6,EG_Wycena_strona!$A:$A,0)),""),"")</x:f>
        <x:v>5899</x:v>
      </x:c>
      <x:c r="L6" s="8" t="n">
        <x:f>IFERROR(IFERROR(INDEX('04_Wycena_strona_nowa'!$F:$F,MATCH($A6,'04_Wycena_strona_nowa'!$A:$A,0)),""),"")</x:f>
        <x:v>5004</x:v>
      </x:c>
      <x:c r="M6" s="545" t="n">
        <x:f>IF(OR(K6="",L6=""),"",L6-K6)</x:f>
        <x:v>-895</x:v>
      </x:c>
      <x:c r="N6" s="8" t="n">
        <x:f>IFERROR(IFERROR(INDEX(EG_Wycena_strona!$G:$G,MATCH($A6,EG_Wycena_strona!$A:$A,0)),""),"")</x:f>
        <x:v>6964</x:v>
      </x:c>
      <x:c r="O6" s="8" t="n">
        <x:f>IFERROR(IFERROR(INDEX('04_Wycena_strona_nowa'!$G:$G,MATCH($A6,'04_Wycena_strona_nowa'!$A:$A,0)),""),"")</x:f>
        <x:v>5997</x:v>
      </x:c>
      <x:c r="P6" s="545" t="n">
        <x:f>IF(OR(N6="",O6=""),"",O6-N6)</x:f>
        <x:v>-967</x:v>
      </x:c>
      <x:c r="Q6" s="8" t="n">
        <x:f>IFERROR(IFERROR(INDEX(EG_Wycena_strona!$K:$K,MATCH($A6,EG_Wycena_strona!$A:$A,0)),""),"")</x:f>
        <x:v>11675</x:v>
      </x:c>
      <x:c r="R6" s="8" t="n">
        <x:f>IFERROR(IFERROR(INDEX('04_Wycena_strona_nowa'!$K:$K,MATCH($A6,'04_Wycena_strona_nowa'!$A:$A,0)),""),"")</x:f>
        <x:v>10453</x:v>
      </x:c>
      <x:c r="S6" s="545" t="n">
        <x:f>IF(OR(Q6="",R6=""),"",R6-Q6)</x:f>
        <x:v>-1222</x:v>
      </x:c>
      <x:c r="U6" s="533" t="n"/>
      <x:c r="V6" s="533" t="n"/>
      <x:c r="W6" s="533" t="n"/>
      <x:c r="X6" s="533" t="n"/>
      <x:c r="Y6" s="533" t="n"/>
      <x:c r="Z6" s="533" t="n"/>
    </x:row>
    <x:row r="7">
      <x:c r="A7" s="6" t="inlineStr">
        <x:is>
          <x:t xml:space="preserve">300 x 806 cm</x:t>
        </x:is>
      </x:c>
      <x:c r="B7" s="8" t="n">
        <x:f>IFERROR(IFERROR(INDEX(EG_Wycena_strona!$B:$B,MATCH($A7,EG_Wycena_strona!$A:$A,0)),""),"")</x:f>
        <x:v>18600</x:v>
      </x:c>
      <x:c r="C7" s="8" t="n">
        <x:f>IFERROR(IFERROR(INDEX('04_Wycena_strona_nowa'!$B:$B,MATCH($A7,'04_Wycena_strona_nowa'!$A:$A,0)),""),"")</x:f>
        <x:v>17655</x:v>
      </x:c>
      <x:c r="D7" s="545" t="n">
        <x:f>IF(OR(B7="",C7=""),"",C7-B7)</x:f>
        <x:v>-945</x:v>
      </x:c>
      <x:c r="E7" s="8" t="n">
        <x:f>IFERROR(IFERROR(INDEX(EG_Wycena_strona!$C:$C,MATCH($A7,EG_Wycena_strona!$A:$A,0)),""),"")</x:f>
        <x:v>21680</x:v>
      </x:c>
      <x:c r="F7" s="8" t="n">
        <x:f>IFERROR(IFERROR(INDEX('04_Wycena_strona_nowa'!$C:$C,MATCH($A7,'04_Wycena_strona_nowa'!$A:$A,0)),""),"")</x:f>
        <x:v>19361</x:v>
      </x:c>
      <x:c r="G7" s="545" t="n">
        <x:f>IF(OR(E7="",F7=""),"",F7-E7)</x:f>
        <x:v>-2319</x:v>
      </x:c>
      <x:c r="H7" s="8" t="n">
        <x:f>IFERROR(IFERROR(INDEX(EG_Wycena_strona!$D:$D,MATCH($A7,EG_Wycena_strona!$A:$A,0)),""),"")</x:f>
        <x:v>23970</x:v>
      </x:c>
      <x:c r="I7" s="8" t="n">
        <x:f>IFERROR(IFERROR(INDEX('04_Wycena_strona_nowa'!$D:$D,MATCH($A7,'04_Wycena_strona_nowa'!$A:$A,0)),""),"")</x:f>
        <x:v>21500</x:v>
      </x:c>
      <x:c r="J7" s="545" t="n">
        <x:f>IF(OR(H7="",I7=""),"",I7-H7)</x:f>
        <x:v>-2470</x:v>
      </x:c>
      <x:c r="K7" s="8" t="n">
        <x:f>IFERROR(IFERROR(INDEX(EG_Wycena_strona!$F:$F,MATCH($A7,EG_Wycena_strona!$A:$A,0)),""),"")</x:f>
        <x:v>7003</x:v>
      </x:c>
      <x:c r="L7" s="8" t="n">
        <x:f>IFERROR(IFERROR(INDEX('04_Wycena_strona_nowa'!$F:$F,MATCH($A7,'04_Wycena_strona_nowa'!$A:$A,0)),""),"")</x:f>
        <x:v>5958</x:v>
      </x:c>
      <x:c r="M7" s="545" t="n">
        <x:f>IF(OR(K7="",L7=""),"",L7-K7)</x:f>
        <x:v>-1045</x:v>
      </x:c>
      <x:c r="N7" s="8" t="n">
        <x:f>IFERROR(IFERROR(INDEX(EG_Wycena_strona!$G:$G,MATCH($A7,EG_Wycena_strona!$A:$A,0)),""),"")</x:f>
        <x:v>8230</x:v>
      </x:c>
      <x:c r="O7" s="8" t="n">
        <x:f>IFERROR(IFERROR(INDEX('04_Wycena_strona_nowa'!$G:$G,MATCH($A7,'04_Wycena_strona_nowa'!$A:$A,0)),""),"")</x:f>
        <x:v>7104</x:v>
      </x:c>
      <x:c r="P7" s="545" t="n">
        <x:f>IF(OR(N7="",O7=""),"",O7-N7)</x:f>
        <x:v>-1126</x:v>
      </x:c>
      <x:c r="Q7" s="8" t="n">
        <x:f>IFERROR(IFERROR(INDEX(EG_Wycena_strona!$K:$K,MATCH($A7,EG_Wycena_strona!$A:$A,0)),""),"")</x:f>
        <x:v>12261</x:v>
      </x:c>
      <x:c r="R7" s="8" t="n">
        <x:f>IFERROR(IFERROR(INDEX('04_Wycena_strona_nowa'!$K:$K,MATCH($A7,'04_Wycena_strona_nowa'!$A:$A,0)),""),"")</x:f>
        <x:v>10949</x:v>
      </x:c>
      <x:c r="S7" s="545" t="n">
        <x:f>IF(OR(Q7="",R7=""),"",R7-Q7)</x:f>
        <x:v>-1312</x:v>
      </x:c>
      <x:c r="U7" s="533" t="n"/>
      <x:c r="V7" s="533" t="n"/>
      <x:c r="W7" s="533" t="n"/>
      <x:c r="X7" s="533" t="n"/>
      <x:c r="Y7" s="533" t="n"/>
      <x:c r="Z7" s="533" t="n"/>
    </x:row>
    <x:row r="8">
      <x:c r="A8" s="6" t="inlineStr">
        <x:is>
          <x:t xml:space="preserve">300 x 906 cm</x:t>
        </x:is>
      </x:c>
      <x:c r="B8" s="8" t="n">
        <x:f>IFERROR(IFERROR(INDEX(EG_Wycena_strona!$B:$B,MATCH($A8,EG_Wycena_strona!$A:$A,0)),""),"")</x:f>
        <x:v>20676</x:v>
      </x:c>
      <x:c r="C8" s="8" t="n">
        <x:f>IFERROR(IFERROR(INDEX('04_Wycena_strona_nowa'!$B:$B,MATCH($A8,'04_Wycena_strona_nowa'!$A:$A,0)),""),"")</x:f>
        <x:v>19612</x:v>
      </x:c>
      <x:c r="D8" s="545" t="n">
        <x:f>IF(OR(B8="",C8=""),"",C8-B8)</x:f>
        <x:v>-1064</x:v>
      </x:c>
      <x:c r="E8" s="8" t="n">
        <x:f>IFERROR(IFERROR(INDEX(EG_Wycena_strona!$C:$C,MATCH($A8,EG_Wycena_strona!$A:$A,0)),""),"")</x:f>
        <x:v>23420</x:v>
      </x:c>
      <x:c r="F8" s="8" t="n">
        <x:f>IFERROR(IFERROR(INDEX('04_Wycena_strona_nowa'!$C:$C,MATCH($A8,'04_Wycena_strona_nowa'!$A:$A,0)),""),"")</x:f>
        <x:v>20895</x:v>
      </x:c>
      <x:c r="G8" s="545" t="n">
        <x:f>IF(OR(E8="",F8=""),"",F8-E8)</x:f>
        <x:v>-2525</x:v>
      </x:c>
      <x:c r="H8" s="8" t="n">
        <x:f>IFERROR(IFERROR(INDEX(EG_Wycena_strona!$D:$D,MATCH($A8,EG_Wycena_strona!$A:$A,0)),""),"")</x:f>
        <x:v>25874</x:v>
      </x:c>
      <x:c r="I8" s="8" t="n">
        <x:f>IFERROR(IFERROR(INDEX('04_Wycena_strona_nowa'!$D:$D,MATCH($A8,'04_Wycena_strona_nowa'!$A:$A,0)),""),"")</x:f>
        <x:v>23186</x:v>
      </x:c>
      <x:c r="J8" s="545" t="n">
        <x:f>IF(OR(H8="",I8=""),"",I8-H8)</x:f>
        <x:v>-2688</x:v>
      </x:c>
      <x:c r="K8" s="8" t="n">
        <x:f>IFERROR(IFERROR(INDEX(EG_Wycena_strona!$F:$F,MATCH($A8,EG_Wycena_strona!$A:$A,0)),""),"")</x:f>
        <x:v>7791</x:v>
      </x:c>
      <x:c r="L8" s="8" t="n">
        <x:f>IFERROR(IFERROR(INDEX('04_Wycena_strona_nowa'!$F:$F,MATCH($A8,'04_Wycena_strona_nowa'!$A:$A,0)),""),"")</x:f>
        <x:v>6658</x:v>
      </x:c>
      <x:c r="M8" s="545" t="n">
        <x:f>IF(OR(K8="",L8=""),"",L8-K8)</x:f>
        <x:v>-1133</x:v>
      </x:c>
      <x:c r="N8" s="8" t="n">
        <x:f>IFERROR(IFERROR(INDEX(EG_Wycena_strona!$G:$G,MATCH($A8,EG_Wycena_strona!$A:$A,0)),""),"")</x:f>
        <x:v>9155</x:v>
      </x:c>
      <x:c r="O8" s="8" t="n">
        <x:f>IFERROR(IFERROR(INDEX('04_Wycena_strona_nowa'!$G:$G,MATCH($A8,'04_Wycena_strona_nowa'!$A:$A,0)),""),"")</x:f>
        <x:v>7931</x:v>
      </x:c>
      <x:c r="P8" s="545" t="n">
        <x:f>IF(OR(N8="",O8=""),"",O8-N8)</x:f>
        <x:v>-1224</x:v>
      </x:c>
      <x:c r="Q8" s="8" t="n">
        <x:f>IFERROR(IFERROR(INDEX(EG_Wycena_strona!$K:$K,MATCH($A8,EG_Wycena_strona!$A:$A,0)),""),"")</x:f>
        <x:v>13242</x:v>
      </x:c>
      <x:c r="R8" s="8" t="n">
        <x:f>IFERROR(IFERROR(INDEX('04_Wycena_strona_nowa'!$K:$K,MATCH($A8,'04_Wycena_strona_nowa'!$A:$A,0)),""),"")</x:f>
        <x:v>11815</x:v>
      </x:c>
      <x:c r="S8" s="545" t="n">
        <x:f>IF(OR(Q8="",R8=""),"",R8-Q8)</x:f>
        <x:v>-1427</x:v>
      </x:c>
      <x:c r="U8" s="533" t="n"/>
      <x:c r="V8" s="533" t="n"/>
      <x:c r="W8" s="533" t="n"/>
      <x:c r="X8" s="533" t="n"/>
      <x:c r="Y8" s="533" t="n"/>
      <x:c r="Z8" s="533" t="n"/>
    </x:row>
    <x:row r="9">
      <x:c r="A9" s="6" t="inlineStr">
        <x:is>
          <x:t xml:space="preserve">300 x 1006 cm</x:t>
        </x:is>
      </x:c>
      <x:c r="B9" s="8" t="n">
        <x:f>IFERROR(IFERROR(INDEX(EG_Wycena_strona!$B:$B,MATCH($A9,EG_Wycena_strona!$A:$A,0)),""),"")</x:f>
        <x:v>22738</x:v>
      </x:c>
      <x:c r="C9" s="8" t="n">
        <x:f>IFERROR(IFERROR(INDEX('04_Wycena_strona_nowa'!$B:$B,MATCH($A9,'04_Wycena_strona_nowa'!$A:$A,0)),""),"")</x:f>
        <x:v>21559</x:v>
      </x:c>
      <x:c r="D9" s="545" t="n">
        <x:f>IF(OR(B9="",C9=""),"",C9-B9)</x:f>
        <x:v>-1179</x:v>
      </x:c>
      <x:c r="E9" s="8" t="n">
        <x:f>IFERROR(IFERROR(INDEX(EG_Wycena_strona!$C:$C,MATCH($A9,EG_Wycena_strona!$A:$A,0)),""),"")</x:f>
        <x:v>25136</x:v>
      </x:c>
      <x:c r="F9" s="8" t="n">
        <x:f>IFERROR(IFERROR(INDEX('04_Wycena_strona_nowa'!$C:$C,MATCH($A9,'04_Wycena_strona_nowa'!$A:$A,0)),""),"")</x:f>
        <x:v>22401</x:v>
      </x:c>
      <x:c r="G9" s="545" t="n">
        <x:f>IF(OR(E9="",F9=""),"",F9-E9)</x:f>
        <x:v>-2735</x:v>
      </x:c>
      <x:c r="H9" s="8" t="n">
        <x:f>IFERROR(IFERROR(INDEX(EG_Wycena_strona!$D:$D,MATCH($A9,EG_Wycena_strona!$A:$A,0)),""),"")</x:f>
        <x:v>27754</x:v>
      </x:c>
      <x:c r="I9" s="8" t="n">
        <x:f>IFERROR(IFERROR(INDEX('04_Wycena_strona_nowa'!$D:$D,MATCH($A9,'04_Wycena_strona_nowa'!$A:$A,0)),""),"")</x:f>
        <x:v>24845</x:v>
      </x:c>
      <x:c r="J9" s="545" t="n">
        <x:f>IF(OR(H9="",I9=""),"",I9-H9)</x:f>
        <x:v>-2909</x:v>
      </x:c>
      <x:c r="K9" s="8" t="n">
        <x:f>IFERROR(IFERROR(INDEX(EG_Wycena_strona!$F:$F,MATCH($A9,EG_Wycena_strona!$A:$A,0)),""),"")</x:f>
        <x:v>8622</x:v>
      </x:c>
      <x:c r="L9" s="8" t="n">
        <x:f>IFERROR(IFERROR(INDEX('04_Wycena_strona_nowa'!$F:$F,MATCH($A9,'04_Wycena_strona_nowa'!$A:$A,0)),""),"")</x:f>
        <x:v>7359</x:v>
      </x:c>
      <x:c r="M9" s="545" t="n">
        <x:f>IF(OR(K9="",L9=""),"",L9-K9)</x:f>
        <x:v>-1263</x:v>
      </x:c>
      <x:c r="N9" s="8" t="n">
        <x:f>IFERROR(IFERROR(INDEX(EG_Wycena_strona!$G:$G,MATCH($A9,EG_Wycena_strona!$A:$A,0)),""),"")</x:f>
        <x:v>10136</x:v>
      </x:c>
      <x:c r="O9" s="8" t="n">
        <x:f>IFERROR(IFERROR(INDEX('04_Wycena_strona_nowa'!$G:$G,MATCH($A9,'04_Wycena_strona_nowa'!$A:$A,0)),""),"")</x:f>
        <x:v>8772</x:v>
      </x:c>
      <x:c r="P9" s="545" t="n">
        <x:f>IF(OR(N9="",O9=""),"",O9-N9)</x:f>
        <x:v>-1364</x:v>
      </x:c>
      <x:c r="Q9" s="8" t="n">
        <x:f>IFERROR(IFERROR(INDEX(EG_Wycena_strona!$K:$K,MATCH($A9,EG_Wycena_strona!$A:$A,0)),""),"")</x:f>
        <x:v>14208</x:v>
      </x:c>
      <x:c r="R9" s="8" t="n">
        <x:f>IFERROR(IFERROR(INDEX('04_Wycena_strona_nowa'!$K:$K,MATCH($A9,'04_Wycena_strona_nowa'!$A:$A,0)),""),"")</x:f>
        <x:v>12667</x:v>
      </x:c>
      <x:c r="S9" s="545" t="n">
        <x:f>IF(OR(Q9="",R9=""),"",R9-Q9)</x:f>
        <x:v>-1541</x:v>
      </x:c>
      <x:c r="U9" s="533" t="n"/>
      <x:c r="V9" s="533" t="n"/>
      <x:c r="W9" s="533" t="n"/>
      <x:c r="X9" s="533" t="n"/>
      <x:c r="Y9" s="533" t="n"/>
      <x:c r="Z9" s="533" t="n"/>
    </x:row>
    <x:row r="10">
      <x:c r="A10" s="6" t="inlineStr">
        <x:is>
          <x:t xml:space="preserve">300 x 1106 cm</x:t>
        </x:is>
      </x:c>
      <x:c r="B10" s="8" t="n">
        <x:f>IFERROR(IFERROR(INDEX(EG_Wycena_strona!$B:$B,MATCH($A10,EG_Wycena_strona!$A:$A,0)),""),"")</x:f>
        <x:v>24324</x:v>
      </x:c>
      <x:c r="C10" s="8" t="n">
        <x:f>IFERROR(IFERROR(INDEX('04_Wycena_strona_nowa'!$B:$B,MATCH($A10,'04_Wycena_strona_nowa'!$A:$A,0)),""),"")</x:f>
        <x:v>23059</x:v>
      </x:c>
      <x:c r="D10" s="545" t="n">
        <x:f>IF(OR(B10="",C10=""),"",C10-B10)</x:f>
        <x:v>-1265</x:v>
      </x:c>
      <x:c r="E10" s="8" t="n">
        <x:f>IFERROR(IFERROR(INDEX(EG_Wycena_strona!$C:$C,MATCH($A10,EG_Wycena_strona!$A:$A,0)),""),"")</x:f>
        <x:v>26974</x:v>
      </x:c>
      <x:c r="F10" s="8" t="n">
        <x:f>IFERROR(IFERROR(INDEX('04_Wycena_strona_nowa'!$C:$C,MATCH($A10,'04_Wycena_strona_nowa'!$A:$A,0)),""),"")</x:f>
        <x:v>24036</x:v>
      </x:c>
      <x:c r="G10" s="545" t="n">
        <x:f>IF(OR(E10="",F10=""),"",F10-E10)</x:f>
        <x:v>-2938</x:v>
      </x:c>
      <x:c r="H10" s="8" t="n">
        <x:f>IFERROR(IFERROR(INDEX(EG_Wycena_strona!$D:$D,MATCH($A10,EG_Wycena_strona!$A:$A,0)),""),"")</x:f>
        <x:v>29755</x:v>
      </x:c>
      <x:c r="I10" s="8" t="n">
        <x:f>IFERROR(IFERROR(INDEX('04_Wycena_strona_nowa'!$D:$D,MATCH($A10,'04_Wycena_strona_nowa'!$A:$A,0)),""),"")</x:f>
        <x:v>26634</x:v>
      </x:c>
      <x:c r="J10" s="545" t="n">
        <x:f>IF(OR(H10="",I10=""),"",I10-H10)</x:f>
        <x:v>-3121</x:v>
      </x:c>
      <x:c r="K10" s="8" t="n">
        <x:f>IFERROR(IFERROR(INDEX(EG_Wycena_strona!$F:$F,MATCH($A10,EG_Wycena_strona!$A:$A,0)),""),"")</x:f>
        <x:v>9468</x:v>
      </x:c>
      <x:c r="L10" s="8" t="n">
        <x:f>IFERROR(IFERROR(INDEX('04_Wycena_strona_nowa'!$F:$F,MATCH($A10,'04_Wycena_strona_nowa'!$A:$A,0)),""),"")</x:f>
        <x:v>8098</x:v>
      </x:c>
      <x:c r="M10" s="545" t="n">
        <x:f>IF(OR(K10="",L10=""),"",L10-K10)</x:f>
        <x:v>-1370</x:v>
      </x:c>
      <x:c r="N10" s="8" t="n">
        <x:f>IFERROR(IFERROR(INDEX(EG_Wycena_strona!$G:$G,MATCH($A10,EG_Wycena_strona!$A:$A,0)),""),"")</x:f>
        <x:v>11132</x:v>
      </x:c>
      <x:c r="O10" s="8" t="n">
        <x:f>IFERROR(IFERROR(INDEX('04_Wycena_strona_nowa'!$G:$G,MATCH($A10,'04_Wycena_strona_nowa'!$A:$A,0)),""),"")</x:f>
        <x:v>9651</x:v>
      </x:c>
      <x:c r="P10" s="545" t="n">
        <x:f>IF(OR(N10="",O10=""),"",O10-N10)</x:f>
        <x:v>-1481</x:v>
      </x:c>
      <x:c r="Q10" s="8" t="n">
        <x:f>IFERROR(IFERROR(INDEX(EG_Wycena_strona!$K:$K,MATCH($A10,EG_Wycena_strona!$A:$A,0)),""),"")</x:f>
        <x:v>17737</x:v>
      </x:c>
      <x:c r="R10" s="8" t="n">
        <x:f>IFERROR(IFERROR(INDEX('04_Wycena_strona_nowa'!$K:$K,MATCH($A10,'04_Wycena_strona_nowa'!$A:$A,0)),""),"")</x:f>
        <x:v>15915</x:v>
      </x:c>
      <x:c r="S10" s="545" t="n">
        <x:f>IF(OR(Q10="",R10=""),"",R10-Q10)</x:f>
        <x:v>-1822</x:v>
      </x:c>
      <x:c r="U10" s="533" t="n"/>
      <x:c r="V10" s="533" t="n"/>
      <x:c r="W10" s="533" t="n"/>
      <x:c r="X10" s="533" t="n"/>
      <x:c r="Y10" s="533" t="n"/>
      <x:c r="Z10" s="533" t="n"/>
    </x:row>
    <x:row r="11">
      <x:c r="A11" s="6" t="inlineStr">
        <x:is>
          <x:t xml:space="preserve">300 x 1206 cm</x:t>
        </x:is>
      </x:c>
      <x:c r="B11" s="8" t="n">
        <x:f>IFERROR(IFERROR(INDEX(EG_Wycena_strona!$B:$B,MATCH($A11,EG_Wycena_strona!$A:$A,0)),""),"")</x:f>
        <x:v>25910</x:v>
      </x:c>
      <x:c r="C11" s="8" t="n">
        <x:f>IFERROR(IFERROR(INDEX('04_Wycena_strona_nowa'!$B:$B,MATCH($A11,'04_Wycena_strona_nowa'!$A:$A,0)),""),"")</x:f>
        <x:v>24561</x:v>
      </x:c>
      <x:c r="D11" s="545" t="n">
        <x:f>IF(OR(B11="",C11=""),"",C11-B11)</x:f>
        <x:v>-1349</x:v>
      </x:c>
      <x:c r="E11" s="8" t="n">
        <x:f>IFERROR(IFERROR(INDEX(EG_Wycena_strona!$C:$C,MATCH($A11,EG_Wycena_strona!$A:$A,0)),""),"")</x:f>
        <x:v>28782</x:v>
      </x:c>
      <x:c r="F11" s="8" t="n">
        <x:f>IFERROR(IFERROR(INDEX('04_Wycena_strona_nowa'!$C:$C,MATCH($A11,'04_Wycena_strona_nowa'!$A:$A,0)),""),"")</x:f>
        <x:v>25642</x:v>
      </x:c>
      <x:c r="G11" s="545" t="n">
        <x:f>IF(OR(E11="",F11=""),"",F11-E11)</x:f>
        <x:v>-3140</x:v>
      </x:c>
      <x:c r="H11" s="8" t="n">
        <x:f>IFERROR(IFERROR(INDEX(EG_Wycena_strona!$D:$D,MATCH($A11,EG_Wycena_strona!$A:$A,0)),""),"")</x:f>
        <x:v>31727</x:v>
      </x:c>
      <x:c r="I11" s="8" t="n">
        <x:f>IFERROR(IFERROR(INDEX('04_Wycena_strona_nowa'!$D:$D,MATCH($A11,'04_Wycena_strona_nowa'!$A:$A,0)),""),"")</x:f>
        <x:v>28392</x:v>
      </x:c>
      <x:c r="J11" s="545" t="n">
        <x:f>IF(OR(H11="",I11=""),"",I11-H11)</x:f>
        <x:v>-3335</x:v>
      </x:c>
      <x:c r="K11" s="8" t="n">
        <x:f>IFERROR(IFERROR(INDEX(EG_Wycena_strona!$F:$F,MATCH($A11,EG_Wycena_strona!$A:$A,0)),""),"")</x:f>
        <x:v>10369</x:v>
      </x:c>
      <x:c r="L11" s="8" t="n">
        <x:f>IFERROR(IFERROR(INDEX('04_Wycena_strona_nowa'!$F:$F,MATCH($A11,'04_Wycena_strona_nowa'!$A:$A,0)),""),"")</x:f>
        <x:v>8860</x:v>
      </x:c>
      <x:c r="M11" s="545" t="n">
        <x:f>IF(OR(K11="",L11=""),"",L11-K11)</x:f>
        <x:v>-1509</x:v>
      </x:c>
      <x:c r="N11" s="8" t="n">
        <x:f>IFERROR(IFERROR(INDEX(EG_Wycena_strona!$G:$G,MATCH($A11,EG_Wycena_strona!$A:$A,0)),""),"")</x:f>
        <x:v>12196</x:v>
      </x:c>
      <x:c r="O11" s="8" t="n">
        <x:f>IFERROR(IFERROR(INDEX('04_Wycena_strona_nowa'!$G:$G,MATCH($A11,'04_Wycena_strona_nowa'!$A:$A,0)),""),"")</x:f>
        <x:v>10565</x:v>
      </x:c>
      <x:c r="P11" s="545" t="n">
        <x:f>IF(OR(N11="",O11=""),"",O11-N11)</x:f>
        <x:v>-1631</x:v>
      </x:c>
      <x:c r="Q11" s="8" t="n">
        <x:f>IFERROR(IFERROR(INDEX(EG_Wycena_strona!$K:$K,MATCH($A11,EG_Wycena_strona!$A:$A,0)),""),"")</x:f>
        <x:v>18337</x:v>
      </x:c>
      <x:c r="R11" s="8" t="n">
        <x:f>IFERROR(IFERROR(INDEX('04_Wycena_strona_nowa'!$K:$K,MATCH($A11,'04_Wycena_strona_nowa'!$A:$A,0)),""),"")</x:f>
        <x:v>16425</x:v>
      </x:c>
      <x:c r="S11" s="545" t="n">
        <x:f>IF(OR(Q11="",R11=""),"",R11-Q11)</x:f>
        <x:v>-1912</x:v>
      </x:c>
      <x:c r="U11" s="533" t="n"/>
      <x:c r="V11" s="533" t="n"/>
      <x:c r="W11" s="533" t="n"/>
      <x:c r="X11" s="533" t="n"/>
      <x:c r="Y11" s="533" t="n"/>
      <x:c r="Z11" s="533" t="n"/>
    </x:row>
    <x:row r="12">
      <x:c r="A12" s="6" t="inlineStr">
        <x:is>
          <x:t xml:space="preserve">350 x 306 cm</x:t>
        </x:is>
      </x:c>
      <x:c r="B12" s="8" t="n">
        <x:f>IFERROR(IFERROR(INDEX(EG_Wycena_strona!$B:$B,MATCH($A12,EG_Wycena_strona!$A:$A,0)),""),"")</x:f>
        <x:v>8766</x:v>
      </x:c>
      <x:c r="C12" s="8" t="n">
        <x:f>IFERROR(IFERROR(INDEX('04_Wycena_strona_nowa'!$B:$B,MATCH($A12,'04_Wycena_strona_nowa'!$A:$A,0)),""),"")</x:f>
        <x:v>8376</x:v>
      </x:c>
      <x:c r="D12" s="545" t="n">
        <x:f>IF(OR(B12="",C12=""),"",C12-B12)</x:f>
        <x:v>-390</x:v>
      </x:c>
      <x:c r="E12" s="8" t="n">
        <x:f>IFERROR(IFERROR(INDEX(EG_Wycena_strona!$C:$C,MATCH($A12,EG_Wycena_strona!$A:$A,0)),""),"")</x:f>
        <x:v>18406</x:v>
      </x:c>
      <x:c r="F12" s="8" t="n">
        <x:f>IFERROR(IFERROR(INDEX('04_Wycena_strona_nowa'!$C:$C,MATCH($A12,'04_Wycena_strona_nowa'!$A:$A,0)),""),"")</x:f>
        <x:v>16611</x:v>
      </x:c>
      <x:c r="G12" s="545" t="n">
        <x:f>IF(OR(E12="",F12=""),"",F12-E12)</x:f>
        <x:v>-1795</x:v>
      </x:c>
      <x:c r="H12" s="8" t="n">
        <x:f>IFERROR(IFERROR(INDEX(EG_Wycena_strona!$D:$D,MATCH($A12,EG_Wycena_strona!$A:$A,0)),""),"")</x:f>
        <x:v>20205</x:v>
      </x:c>
      <x:c r="I12" s="8" t="n">
        <x:f>IFERROR(IFERROR(INDEX('04_Wycena_strona_nowa'!$D:$D,MATCH($A12,'04_Wycena_strona_nowa'!$A:$A,0)),""),"")</x:f>
        <x:v>18291</x:v>
      </x:c>
      <x:c r="J12" s="545" t="n">
        <x:f>IF(OR(H12="",I12=""),"",I12-H12)</x:f>
        <x:v>-1914</x:v>
      </x:c>
      <x:c r="K12" s="8" t="n">
        <x:f>IFERROR(IFERROR(INDEX(EG_Wycena_strona!$F:$F,MATCH($A12,EG_Wycena_strona!$A:$A,0)),""),"")</x:f>
        <x:v>3444</x:v>
      </x:c>
      <x:c r="L12" s="8" t="n">
        <x:f>IFERROR(IFERROR(INDEX('04_Wycena_strona_nowa'!$F:$F,MATCH($A12,'04_Wycena_strona_nowa'!$A:$A,0)),""),"")</x:f>
        <x:v>2903</x:v>
      </x:c>
      <x:c r="M12" s="545" t="n">
        <x:f>IF(OR(K12="",L12=""),"",L12-K12)</x:f>
        <x:v>-541</x:v>
      </x:c>
      <x:c r="N12" s="8" t="n">
        <x:f>IFERROR(IFERROR(INDEX(EG_Wycena_strona!$G:$G,MATCH($A12,EG_Wycena_strona!$A:$A,0)),""),"")</x:f>
        <x:v>3909</x:v>
      </x:c>
      <x:c r="O12" s="8" t="n">
        <x:f>IFERROR(IFERROR(INDEX('04_Wycena_strona_nowa'!$G:$G,MATCH($A12,'04_Wycena_strona_nowa'!$A:$A,0)),""),"")</x:f>
        <x:v>3335</x:v>
      </x:c>
      <x:c r="P12" s="545" t="n">
        <x:f>IF(OR(N12="",O12=""),"",O12-N12)</x:f>
        <x:v>-574</x:v>
      </x:c>
      <x:c r="Q12" s="8" t="n">
        <x:f>IFERROR(IFERROR(INDEX(EG_Wycena_strona!$K:$K,MATCH($A12,EG_Wycena_strona!$A:$A,0)),""),"")</x:f>
        <x:v>5641</x:v>
      </x:c>
      <x:c r="R12" s="8" t="n">
        <x:f>IFERROR(IFERROR(INDEX('04_Wycena_strona_nowa'!$K:$K,MATCH($A12,'04_Wycena_strona_nowa'!$A:$A,0)),""),"")</x:f>
        <x:v>5067</x:v>
      </x:c>
      <x:c r="S12" s="545" t="n">
        <x:f>IF(OR(Q12="",R12=""),"",R12-Q12)</x:f>
        <x:v>-574</x:v>
      </x:c>
      <x:c r="U12" s="533" t="n"/>
      <x:c r="V12" s="533" t="n"/>
      <x:c r="W12" s="533" t="n"/>
      <x:c r="X12" s="533" t="n"/>
      <x:c r="Y12" s="533" t="n"/>
      <x:c r="Z12" s="533" t="n"/>
    </x:row>
    <x:row r="13">
      <x:c r="A13" s="6" t="inlineStr">
        <x:is>
          <x:t xml:space="preserve">350 x 406 cm</x:t>
        </x:is>
      </x:c>
      <x:c r="B13" s="8" t="n">
        <x:f>IFERROR(IFERROR(INDEX(EG_Wycena_strona!$B:$B,MATCH($A13,EG_Wycena_strona!$A:$A,0)),""),"")</x:f>
        <x:v>10977</x:v>
      </x:c>
      <x:c r="C13" s="8" t="n">
        <x:f>IFERROR(IFERROR(INDEX('04_Wycena_strona_nowa'!$B:$B,MATCH($A13,'04_Wycena_strona_nowa'!$A:$A,0)),""),"")</x:f>
        <x:v>10464</x:v>
      </x:c>
      <x:c r="D13" s="545" t="n">
        <x:f>IF(OR(B13="",C13=""),"",C13-B13)</x:f>
        <x:v>-513</x:v>
      </x:c>
      <x:c r="E13" s="8" t="n">
        <x:f>IFERROR(IFERROR(INDEX(EG_Wycena_strona!$C:$C,MATCH($A13,EG_Wycena_strona!$A:$A,0)),""),"")</x:f>
        <x:v>19848</x:v>
      </x:c>
      <x:c r="F13" s="8" t="n">
        <x:f>IFERROR(IFERROR(INDEX('04_Wycena_strona_nowa'!$C:$C,MATCH($A13,'04_Wycena_strona_nowa'!$A:$A,0)),""),"")</x:f>
        <x:v>17875</x:v>
      </x:c>
      <x:c r="G13" s="545" t="n">
        <x:f>IF(OR(E13="",F13=""),"",F13-E13)</x:f>
        <x:v>-1973</x:v>
      </x:c>
      <x:c r="H13" s="8" t="n">
        <x:f>IFERROR(IFERROR(INDEX(EG_Wycena_strona!$D:$D,MATCH($A13,EG_Wycena_strona!$A:$A,0)),""),"")</x:f>
        <x:v>21811</x:v>
      </x:c>
      <x:c r="I13" s="8" t="n">
        <x:f>IFERROR(IFERROR(INDEX('04_Wycena_strona_nowa'!$D:$D,MATCH($A13,'04_Wycena_strona_nowa'!$A:$A,0)),""),"")</x:f>
        <x:v>19709</x:v>
      </x:c>
      <x:c r="J13" s="545" t="n">
        <x:f>IF(OR(H13="",I13=""),"",I13-H13)</x:f>
        <x:v>-2102</x:v>
      </x:c>
      <x:c r="K13" s="8" t="n">
        <x:f>IFERROR(IFERROR(INDEX(EG_Wycena_strona!$F:$F,MATCH($A13,EG_Wycena_strona!$A:$A,0)),""),"")</x:f>
        <x:v>4568</x:v>
      </x:c>
      <x:c r="L13" s="8" t="n">
        <x:f>IFERROR(IFERROR(INDEX('04_Wycena_strona_nowa'!$F:$F,MATCH($A13,'04_Wycena_strona_nowa'!$A:$A,0)),""),"")</x:f>
        <x:v>3884</x:v>
      </x:c>
      <x:c r="M13" s="545" t="n">
        <x:f>IF(OR(K13="",L13=""),"",L13-K13)</x:f>
        <x:v>-684</x:v>
      </x:c>
      <x:c r="N13" s="8" t="n">
        <x:f>IFERROR(IFERROR(INDEX(EG_Wycena_strona!$G:$G,MATCH($A13,EG_Wycena_strona!$A:$A,0)),""),"")</x:f>
        <x:v>5181</x:v>
      </x:c>
      <x:c r="O13" s="8" t="n">
        <x:f>IFERROR(IFERROR(INDEX('04_Wycena_strona_nowa'!$G:$G,MATCH($A13,'04_Wycena_strona_nowa'!$A:$A,0)),""),"")</x:f>
        <x:v>4457</x:v>
      </x:c>
      <x:c r="P13" s="545" t="n">
        <x:f>IF(OR(N13="",O13=""),"",O13-N13)</x:f>
        <x:v>-724</x:v>
      </x:c>
      <x:c r="Q13" s="8" t="n">
        <x:f>IFERROR(IFERROR(INDEX(EG_Wycena_strona!$K:$K,MATCH($A13,EG_Wycena_strona!$A:$A,0)),""),"")</x:f>
        <x:v>6403</x:v>
      </x:c>
      <x:c r="R13" s="8" t="n">
        <x:f>IFERROR(IFERROR(INDEX('04_Wycena_strona_nowa'!$K:$K,MATCH($A13,'04_Wycena_strona_nowa'!$A:$A,0)),""),"")</x:f>
        <x:v>5730</x:v>
      </x:c>
      <x:c r="S13" s="545" t="n">
        <x:f>IF(OR(Q13="",R13=""),"",R13-Q13)</x:f>
        <x:v>-673</x:v>
      </x:c>
      <x:c r="U13" s="533" t="n"/>
      <x:c r="V13" s="533" t="n"/>
      <x:c r="W13" s="533" t="n"/>
      <x:c r="X13" s="533" t="n"/>
      <x:c r="Y13" s="533" t="n"/>
      <x:c r="Z13" s="533" t="n"/>
    </x:row>
    <x:row r="14">
      <x:c r="A14" s="6" t="inlineStr">
        <x:is>
          <x:t xml:space="preserve">350 x 506 cm</x:t>
        </x:is>
      </x:c>
      <x:c r="B14" s="8" t="n">
        <x:f>IFERROR(IFERROR(INDEX(EG_Wycena_strona!$B:$B,MATCH($A14,EG_Wycena_strona!$A:$A,0)),""),"")</x:f>
        <x:v>13241</x:v>
      </x:c>
      <x:c r="C14" s="8" t="n">
        <x:f>IFERROR(IFERROR(INDEX('04_Wycena_strona_nowa'!$B:$B,MATCH($A14,'04_Wycena_strona_nowa'!$A:$A,0)),""),"")</x:f>
        <x:v>12603</x:v>
      </x:c>
      <x:c r="D14" s="545" t="n">
        <x:f>IF(OR(B14="",C14=""),"",C14-B14)</x:f>
        <x:v>-638</x:v>
      </x:c>
      <x:c r="E14" s="8" t="n">
        <x:f>IFERROR(IFERROR(INDEX(EG_Wycena_strona!$C:$C,MATCH($A14,EG_Wycena_strona!$A:$A,0)),""),"")</x:f>
        <x:v>21805</x:v>
      </x:c>
      <x:c r="F14" s="8" t="n">
        <x:f>IFERROR(IFERROR(INDEX('04_Wycena_strona_nowa'!$C:$C,MATCH($A14,'04_Wycena_strona_nowa'!$A:$A,0)),""),"")</x:f>
        <x:v>19623</x:v>
      </x:c>
      <x:c r="G14" s="545" t="n">
        <x:f>IF(OR(E14="",F14=""),"",F14-E14)</x:f>
        <x:v>-2182</x:v>
      </x:c>
      <x:c r="H14" s="8" t="n">
        <x:f>IFERROR(IFERROR(INDEX(EG_Wycena_strona!$D:$D,MATCH($A14,EG_Wycena_strona!$A:$A,0)),""),"")</x:f>
        <x:v>23933</x:v>
      </x:c>
      <x:c r="I14" s="8" t="n">
        <x:f>IFERROR(IFERROR(INDEX('04_Wycena_strona_nowa'!$D:$D,MATCH($A14,'04_Wycena_strona_nowa'!$A:$A,0)),""),"")</x:f>
        <x:v>21609</x:v>
      </x:c>
      <x:c r="J14" s="545" t="n">
        <x:f>IF(OR(H14="",I14=""),"",I14-H14)</x:f>
        <x:v>-2324</x:v>
      </x:c>
      <x:c r="K14" s="8" t="n">
        <x:f>IFERROR(IFERROR(INDEX(EG_Wycena_strona!$F:$F,MATCH($A14,EG_Wycena_strona!$A:$A,0)),""),"")</x:f>
        <x:v>5820</x:v>
      </x:c>
      <x:c r="L14" s="8" t="n">
        <x:f>IFERROR(IFERROR(INDEX('04_Wycena_strona_nowa'!$F:$F,MATCH($A14,'04_Wycena_strona_nowa'!$A:$A,0)),""),"")</x:f>
        <x:v>4979</x:v>
      </x:c>
      <x:c r="M14" s="545" t="n">
        <x:f>IF(OR(K14="",L14=""),"",L14-K14)</x:f>
        <x:v>-841</x:v>
      </x:c>
      <x:c r="N14" s="8" t="n">
        <x:f>IFERROR(IFERROR(INDEX(EG_Wycena_strona!$G:$G,MATCH($A14,EG_Wycena_strona!$A:$A,0)),""),"")</x:f>
        <x:v>6598</x:v>
      </x:c>
      <x:c r="O14" s="8" t="n">
        <x:f>IFERROR(IFERROR(INDEX('04_Wycena_strona_nowa'!$G:$G,MATCH($A14,'04_Wycena_strona_nowa'!$A:$A,0)),""),"")</x:f>
        <x:v>5704</x:v>
      </x:c>
      <x:c r="P14" s="545" t="n">
        <x:f>IF(OR(N14="",O14=""),"",O14-N14)</x:f>
        <x:v>-894</x:v>
      </x:c>
      <x:c r="Q14" s="8" t="n">
        <x:f>IFERROR(IFERROR(INDEX(EG_Wycena_strona!$K:$K,MATCH($A14,EG_Wycena_strona!$A:$A,0)),""),"")</x:f>
        <x:v>7411</x:v>
      </x:c>
      <x:c r="R14" s="8" t="n">
        <x:f>IFERROR(IFERROR(INDEX('04_Wycena_strona_nowa'!$K:$K,MATCH($A14,'04_Wycena_strona_nowa'!$A:$A,0)),""),"")</x:f>
        <x:v>6621</x:v>
      </x:c>
      <x:c r="S14" s="545" t="n">
        <x:f>IF(OR(Q14="",R14=""),"",R14-Q14)</x:f>
        <x:v>-790</x:v>
      </x:c>
      <x:c r="U14" s="533" t="n"/>
      <x:c r="V14" s="533" t="n"/>
      <x:c r="W14" s="533" t="n"/>
      <x:c r="X14" s="533" t="n"/>
      <x:c r="Y14" s="533" t="n"/>
      <x:c r="Z14" s="533" t="n"/>
    </x:row>
    <x:row r="15">
      <x:c r="A15" s="6" t="inlineStr">
        <x:is>
          <x:t xml:space="preserve">350 x 606 cm</x:t>
        </x:is>
      </x:c>
      <x:c r="B15" s="8" t="n">
        <x:f>IFERROR(IFERROR(INDEX(EG_Wycena_strona!$B:$B,MATCH($A15,EG_Wycena_strona!$A:$A,0)),""),"")</x:f>
        <x:v>14990</x:v>
      </x:c>
      <x:c r="C15" s="8" t="n">
        <x:f>IFERROR(IFERROR(INDEX('04_Wycena_strona_nowa'!$B:$B,MATCH($A15,'04_Wycena_strona_nowa'!$A:$A,0)),""),"")</x:f>
        <x:v>14261</x:v>
      </x:c>
      <x:c r="D15" s="545" t="n">
        <x:f>IF(OR(B15="",C15=""),"",C15-B15)</x:f>
        <x:v>-729</x:v>
      </x:c>
      <x:c r="E15" s="8" t="n">
        <x:f>IFERROR(IFERROR(INDEX(EG_Wycena_strona!$C:$C,MATCH($A15,EG_Wycena_strona!$A:$A,0)),""),"")</x:f>
        <x:v>23468</x:v>
      </x:c>
      <x:c r="F15" s="8" t="n">
        <x:f>IFERROR(IFERROR(INDEX('04_Wycena_strona_nowa'!$C:$C,MATCH($A15,'04_Wycena_strona_nowa'!$A:$A,0)),""),"")</x:f>
        <x:v>21077</x:v>
      </x:c>
      <x:c r="G15" s="545" t="n">
        <x:f>IF(OR(E15="",F15=""),"",F15-E15)</x:f>
        <x:v>-2391</x:v>
      </x:c>
      <x:c r="H15" s="8" t="n">
        <x:f>IFERROR(IFERROR(INDEX(EG_Wycena_strona!$D:$D,MATCH($A15,EG_Wycena_strona!$A:$A,0)),""),"")</x:f>
        <x:v>25758</x:v>
      </x:c>
      <x:c r="I15" s="8" t="n">
        <x:f>IFERROR(IFERROR(INDEX('04_Wycena_strona_nowa'!$D:$D,MATCH($A15,'04_Wycena_strona_nowa'!$A:$A,0)),""),"")</x:f>
        <x:v>23216</x:v>
      </x:c>
      <x:c r="J15" s="545" t="n">
        <x:f>IF(OR(H15="",I15=""),"",I15-H15)</x:f>
        <x:v>-2542</x:v>
      </x:c>
      <x:c r="K15" s="8" t="n">
        <x:f>IFERROR(IFERROR(INDEX(EG_Wycena_strona!$F:$F,MATCH($A15,EG_Wycena_strona!$A:$A,0)),""),"")</x:f>
        <x:v>6970</x:v>
      </x:c>
      <x:c r="L15" s="8" t="n">
        <x:f>IFERROR(IFERROR(INDEX('04_Wycena_strona_nowa'!$F:$F,MATCH($A15,'04_Wycena_strona_nowa'!$A:$A,0)),""),"")</x:f>
        <x:v>5971</x:v>
      </x:c>
      <x:c r="M15" s="545" t="n">
        <x:f>IF(OR(K15="",L15=""),"",L15-K15)</x:f>
        <x:v>-999</x:v>
      </x:c>
      <x:c r="N15" s="8" t="n">
        <x:f>IFERROR(IFERROR(INDEX(EG_Wycena_strona!$G:$G,MATCH($A15,EG_Wycena_strona!$A:$A,0)),""),"")</x:f>
        <x:v>7912</x:v>
      </x:c>
      <x:c r="O15" s="8" t="n">
        <x:f>IFERROR(IFERROR(INDEX('04_Wycena_strona_nowa'!$G:$G,MATCH($A15,'04_Wycena_strona_nowa'!$A:$A,0)),""),"")</x:f>
        <x:v>6849</x:v>
      </x:c>
      <x:c r="P15" s="545" t="n">
        <x:f>IF(OR(N15="",O15=""),"",O15-N15)</x:f>
        <x:v>-1063</x:v>
      </x:c>
      <x:c r="Q15" s="8" t="n">
        <x:f>IFERROR(IFERROR(INDEX(EG_Wycena_strona!$K:$K,MATCH($A15,EG_Wycena_strona!$A:$A,0)),""),"")</x:f>
        <x:v>11227</x:v>
      </x:c>
      <x:c r="R15" s="8" t="n">
        <x:f>IFERROR(IFERROR(INDEX('04_Wycena_strona_nowa'!$K:$K,MATCH($A15,'04_Wycena_strona_nowa'!$A:$A,0)),""),"")</x:f>
        <x:v>10135</x:v>
      </x:c>
      <x:c r="S15" s="545" t="n">
        <x:f>IF(OR(Q15="",R15=""),"",R15-Q15)</x:f>
        <x:v>-1092</x:v>
      </x:c>
      <x:c r="U15" s="533" t="n"/>
      <x:c r="V15" s="533" t="n"/>
      <x:c r="W15" s="533" t="n"/>
      <x:c r="X15" s="533" t="n"/>
      <x:c r="Y15" s="533" t="n"/>
      <x:c r="Z15" s="533" t="n"/>
    </x:row>
    <x:row r="16">
      <x:c r="A16" s="6" t="inlineStr">
        <x:is>
          <x:t xml:space="preserve">350 x 706 cm</x:t>
        </x:is>
      </x:c>
      <x:c r="B16" s="8" t="n">
        <x:f>IFERROR(IFERROR(INDEX(EG_Wycena_strona!$B:$B,MATCH($A16,EG_Wycena_strona!$A:$A,0)),""),"")</x:f>
        <x:v>17012</x:v>
      </x:c>
      <x:c r="C16" s="8" t="n">
        <x:f>IFERROR(IFERROR(INDEX('04_Wycena_strona_nowa'!$B:$B,MATCH($A16,'04_Wycena_strona_nowa'!$A:$A,0)),""),"")</x:f>
        <x:v>16167</x:v>
      </x:c>
      <x:c r="D16" s="545" t="n">
        <x:f>IF(OR(B16="",C16=""),"",C16-B16)</x:f>
        <x:v>-845</x:v>
      </x:c>
      <x:c r="E16" s="8" t="n">
        <x:f>IFERROR(IFERROR(INDEX(EG_Wycena_strona!$C:$C,MATCH($A16,EG_Wycena_strona!$A:$A,0)),""),"")</x:f>
        <x:v>23706</x:v>
      </x:c>
      <x:c r="F16" s="8" t="n">
        <x:f>IFERROR(IFERROR(INDEX('04_Wycena_strona_nowa'!$C:$C,MATCH($A16,'04_Wycena_strona_nowa'!$A:$A,0)),""),"")</x:f>
        <x:v>21246</x:v>
      </x:c>
      <x:c r="G16" s="545" t="n">
        <x:f>IF(OR(E16="",F16=""),"",F16-E16)</x:f>
        <x:v>-2460</x:v>
      </x:c>
      <x:c r="H16" s="8" t="n">
        <x:f>IFERROR(IFERROR(INDEX(EG_Wycena_strona!$D:$D,MATCH($A16,EG_Wycena_strona!$A:$A,0)),""),"")</x:f>
        <x:v>26160</x:v>
      </x:c>
      <x:c r="I16" s="8" t="n">
        <x:f>IFERROR(IFERROR(INDEX('04_Wycena_strona_nowa'!$D:$D,MATCH($A16,'04_Wycena_strona_nowa'!$A:$A,0)),""),"")</x:f>
        <x:v>23537</x:v>
      </x:c>
      <x:c r="J16" s="545" t="n">
        <x:f>IF(OR(H16="",I16=""),"",I16-H16)</x:f>
        <x:v>-2623</x:v>
      </x:c>
      <x:c r="K16" s="8" t="n">
        <x:f>IFERROR(IFERROR(INDEX(EG_Wycena_strona!$F:$F,MATCH($A16,EG_Wycena_strona!$A:$A,0)),""),"")</x:f>
        <x:v>7961</x:v>
      </x:c>
      <x:c r="L16" s="8" t="n">
        <x:f>IFERROR(IFERROR(INDEX('04_Wycena_strona_nowa'!$F:$F,MATCH($A16,'04_Wycena_strona_nowa'!$A:$A,0)),""),"")</x:f>
        <x:v>6849</x:v>
      </x:c>
      <x:c r="M16" s="545" t="n">
        <x:f>IF(OR(K16="",L16=""),"",L16-K16)</x:f>
        <x:v>-1112</x:v>
      </x:c>
      <x:c r="N16" s="8" t="n">
        <x:f>IFERROR(IFERROR(INDEX(EG_Wycena_strona!$G:$G,MATCH($A16,EG_Wycena_strona!$A:$A,0)),""),"")</x:f>
        <x:v>9052</x:v>
      </x:c>
      <x:c r="O16" s="8" t="n">
        <x:f>IFERROR(IFERROR(INDEX('04_Wycena_strona_nowa'!$G:$G,MATCH($A16,'04_Wycena_strona_nowa'!$A:$A,0)),""),"")</x:f>
        <x:v>7867</x:v>
      </x:c>
      <x:c r="P16" s="545" t="n">
        <x:f>IF(OR(N16="",O16=""),"",O16-N16)</x:f>
        <x:v>-1185</x:v>
      </x:c>
      <x:c r="Q16" s="8" t="n">
        <x:f>IFERROR(IFERROR(INDEX(EG_Wycena_strona!$K:$K,MATCH($A16,EG_Wycena_strona!$A:$A,0)),""),"")</x:f>
        <x:v>12043</x:v>
      </x:c>
      <x:c r="R16" s="8" t="n">
        <x:f>IFERROR(IFERROR(INDEX('04_Wycena_strona_nowa'!$K:$K,MATCH($A16,'04_Wycena_strona_nowa'!$A:$A,0)),""),"")</x:f>
        <x:v>10796</x:v>
      </x:c>
      <x:c r="S16" s="545" t="n">
        <x:f>IF(OR(Q16="",R16=""),"",R16-Q16)</x:f>
        <x:v>-1247</x:v>
      </x:c>
    </x:row>
    <x:row r="17">
      <x:c r="A17" s="6" t="inlineStr">
        <x:is>
          <x:t xml:space="preserve">350 x 806 cm</x:t>
        </x:is>
      </x:c>
      <x:c r="B17" s="8" t="n">
        <x:f>IFERROR(IFERROR(INDEX(EG_Wycena_strona!$B:$B,MATCH($A17,EG_Wycena_strona!$A:$A,0)),""),"")</x:f>
        <x:v>19900</x:v>
      </x:c>
      <x:c r="C17" s="8" t="n">
        <x:f>IFERROR(IFERROR(INDEX('04_Wycena_strona_nowa'!$B:$B,MATCH($A17,'04_Wycena_strona_nowa'!$A:$A,0)),""),"")</x:f>
        <x:v>18877</x:v>
      </x:c>
      <x:c r="D17" s="545" t="n">
        <x:f>IF(OR(B17="",C17=""),"",C17-B17)</x:f>
        <x:v>-1023</x:v>
      </x:c>
      <x:c r="E17" s="8" t="n">
        <x:f>IFERROR(IFERROR(INDEX(EG_Wycena_strona!$C:$C,MATCH($A17,EG_Wycena_strona!$A:$A,0)),""),"")</x:f>
        <x:v>25044</x:v>
      </x:c>
      <x:c r="F17" s="8" t="n">
        <x:f>IFERROR(IFERROR(INDEX('04_Wycena_strona_nowa'!$C:$C,MATCH($A17,'04_Wycena_strona_nowa'!$A:$A,0)),""),"")</x:f>
        <x:v>22387</x:v>
      </x:c>
      <x:c r="G17" s="545" t="n">
        <x:f>IF(OR(E17="",F17=""),"",F17-E17)</x:f>
        <x:v>-2657</x:v>
      </x:c>
      <x:c r="H17" s="8" t="n">
        <x:f>IFERROR(IFERROR(INDEX(EG_Wycena_strona!$D:$D,MATCH($A17,EG_Wycena_strona!$A:$A,0)),""),"")</x:f>
        <x:v>27662</x:v>
      </x:c>
      <x:c r="I17" s="8" t="n">
        <x:f>IFERROR(IFERROR(INDEX('04_Wycena_strona_nowa'!$D:$D,MATCH($A17,'04_Wycena_strona_nowa'!$A:$A,0)),""),"")</x:f>
        <x:v>24831</x:v>
      </x:c>
      <x:c r="J17" s="545" t="n">
        <x:f>IF(OR(H17="",I17=""),"",I17-H17)</x:f>
        <x:v>-2831</x:v>
      </x:c>
      <x:c r="K17" s="8" t="n">
        <x:f>IFERROR(IFERROR(INDEX(EG_Wycena_strona!$F:$F,MATCH($A17,EG_Wycena_strona!$A:$A,0)),""),"")</x:f>
        <x:v>9483</x:v>
      </x:c>
      <x:c r="L17" s="8" t="n">
        <x:f>IFERROR(IFERROR(INDEX('04_Wycena_strona_nowa'!$F:$F,MATCH($A17,'04_Wycena_strona_nowa'!$A:$A,0)),""),"")</x:f>
        <x:v>8199</x:v>
      </x:c>
      <x:c r="M17" s="545" t="n">
        <x:f>IF(OR(K17="",L17=""),"",L17-K17)</x:f>
        <x:v>-1284</x:v>
      </x:c>
      <x:c r="N17" s="8" t="n">
        <x:f>IFERROR(IFERROR(INDEX(EG_Wycena_strona!$G:$G,MATCH($A17,EG_Wycena_strona!$A:$A,0)),""),"")</x:f>
        <x:v>10724</x:v>
      </x:c>
      <x:c r="O17" s="8" t="n">
        <x:f>IFERROR(IFERROR(INDEX('04_Wycena_strona_nowa'!$G:$G,MATCH($A17,'04_Wycena_strona_nowa'!$A:$A,0)),""),"")</x:f>
        <x:v>9358</x:v>
      </x:c>
      <x:c r="P17" s="545" t="n">
        <x:f>IF(OR(N17="",O17=""),"",O17-N17)</x:f>
        <x:v>-1366</x:v>
      </x:c>
      <x:c r="Q17" s="8" t="n">
        <x:f>IFERROR(IFERROR(INDEX(EG_Wycena_strona!$K:$K,MATCH($A17,EG_Wycena_strona!$A:$A,0)),""),"")</x:f>
        <x:v>12792</x:v>
      </x:c>
      <x:c r="R17" s="8" t="n">
        <x:f>IFERROR(IFERROR(INDEX('04_Wycena_strona_nowa'!$K:$K,MATCH($A17,'04_Wycena_strona_nowa'!$A:$A,0)),""),"")</x:f>
        <x:v>11446</x:v>
      </x:c>
      <x:c r="S17" s="545" t="n">
        <x:f>IF(OR(Q17="",R17=""),"",R17-Q17)</x:f>
        <x:v>-1346</x:v>
      </x:c>
    </x:row>
    <x:row r="18">
      <x:c r="A18" s="6" t="inlineStr">
        <x:is>
          <x:t xml:space="preserve">350 x 906 cm</x:t>
        </x:is>
      </x:c>
      <x:c r="B18" s="8" t="n">
        <x:f>IFERROR(IFERROR(INDEX(EG_Wycena_strona!$B:$B,MATCH($A18,EG_Wycena_strona!$A:$A,0)),""),"")</x:f>
        <x:v>22153</x:v>
      </x:c>
      <x:c r="C18" s="8" t="n">
        <x:f>IFERROR(IFERROR(INDEX('04_Wycena_strona_nowa'!$B:$B,MATCH($A18,'04_Wycena_strona_nowa'!$A:$A,0)),""),"")</x:f>
        <x:v>21006</x:v>
      </x:c>
      <x:c r="D18" s="545" t="n">
        <x:f>IF(OR(B18="",C18=""),"",C18-B18)</x:f>
        <x:v>-1147</x:v>
      </x:c>
      <x:c r="E18" s="8" t="n">
        <x:f>IFERROR(IFERROR(INDEX(EG_Wycena_strona!$C:$C,MATCH($A18,EG_Wycena_strona!$A:$A,0)),""),"")</x:f>
        <x:v>26763</x:v>
      </x:c>
      <x:c r="F18" s="8" t="n">
        <x:f>IFERROR(IFERROR(INDEX('04_Wycena_strona_nowa'!$C:$C,MATCH($A18,'04_Wycena_strona_nowa'!$A:$A,0)),""),"")</x:f>
        <x:v>23894</x:v>
      </x:c>
      <x:c r="G18" s="545" t="n">
        <x:f>IF(OR(E18="",F18=""),"",F18-E18)</x:f>
        <x:v>-2869</x:v>
      </x:c>
      <x:c r="H18" s="8" t="n">
        <x:f>IFERROR(IFERROR(INDEX(EG_Wycena_strona!$D:$D,MATCH($A18,EG_Wycena_strona!$A:$A,0)),""),"")</x:f>
        <x:v>29544</x:v>
      </x:c>
      <x:c r="I18" s="8" t="n">
        <x:f>IFERROR(IFERROR(INDEX('04_Wycena_strona_nowa'!$D:$D,MATCH($A18,'04_Wycena_strona_nowa'!$A:$A,0)),""),"")</x:f>
        <x:v>26492</x:v>
      </x:c>
      <x:c r="J18" s="545" t="n">
        <x:f>IF(OR(H18="",I18=""),"",I18-H18)</x:f>
        <x:v>-3052</x:v>
      </x:c>
      <x:c r="K18" s="8" t="n">
        <x:f>IFERROR(IFERROR(INDEX(EG_Wycena_strona!$F:$F,MATCH($A18,EG_Wycena_strona!$A:$A,0)),""),"")</x:f>
        <x:v>10749</x:v>
      </x:c>
      <x:c r="L18" s="8" t="n">
        <x:f>IFERROR(IFERROR(INDEX('04_Wycena_strona_nowa'!$F:$F,MATCH($A18,'04_Wycena_strona_nowa'!$A:$A,0)),""),"")</x:f>
        <x:v>9306</x:v>
      </x:c>
      <x:c r="M18" s="545" t="n">
        <x:f>IF(OR(K18="",L18=""),"",L18-K18)</x:f>
        <x:v>-1443</x:v>
      </x:c>
      <x:c r="N18" s="8" t="n">
        <x:f>IFERROR(IFERROR(INDEX(EG_Wycena_strona!$G:$G,MATCH($A18,EG_Wycena_strona!$A:$A,0)),""),"")</x:f>
        <x:v>12140</x:v>
      </x:c>
      <x:c r="O18" s="8" t="n">
        <x:f>IFERROR(IFERROR(INDEX('04_Wycena_strona_nowa'!$G:$G,MATCH($A18,'04_Wycena_strona_nowa'!$A:$A,0)),""),"")</x:f>
        <x:v>10604</x:v>
      </x:c>
      <x:c r="P18" s="545" t="n">
        <x:f>IF(OR(N18="",O18=""),"",O18-N18)</x:f>
        <x:v>-1536</x:v>
      </x:c>
      <x:c r="Q18" s="8" t="n">
        <x:f>IFERROR(IFERROR(INDEX(EG_Wycena_strona!$K:$K,MATCH($A18,EG_Wycena_strona!$A:$A,0)),""),"")</x:f>
        <x:v>13813</x:v>
      </x:c>
      <x:c r="R18" s="8" t="n">
        <x:f>IFERROR(IFERROR(INDEX('04_Wycena_strona_nowa'!$K:$K,MATCH($A18,'04_Wycena_strona_nowa'!$A:$A,0)),""),"")</x:f>
        <x:v>12350</x:v>
      </x:c>
      <x:c r="S18" s="545" t="n">
        <x:f>IF(OR(Q18="",R18=""),"",R18-Q18)</x:f>
        <x:v>-1463</x:v>
      </x:c>
    </x:row>
    <x:row r="19">
      <x:c r="A19" s="6" t="inlineStr">
        <x:is>
          <x:t xml:space="preserve">350 x 1006 cm</x:t>
        </x:is>
      </x:c>
      <x:c r="B19" s="8" t="n">
        <x:f>IFERROR(IFERROR(INDEX(EG_Wycena_strona!$B:$B,MATCH($A19,EG_Wycena_strona!$A:$A,0)),""),"")</x:f>
        <x:v>24407</x:v>
      </x:c>
      <x:c r="C19" s="8" t="n">
        <x:f>IFERROR(IFERROR(INDEX('04_Wycena_strona_nowa'!$B:$B,MATCH($A19,'04_Wycena_strona_nowa'!$A:$A,0)),""),"")</x:f>
        <x:v>23134</x:v>
      </x:c>
      <x:c r="D19" s="545" t="n">
        <x:f>IF(OR(B19="",C19=""),"",C19-B19)</x:f>
        <x:v>-1273</x:v>
      </x:c>
      <x:c r="E19" s="8" t="n">
        <x:f>IFERROR(IFERROR(INDEX(EG_Wycena_strona!$C:$C,MATCH($A19,EG_Wycena_strona!$A:$A,0)),""),"")</x:f>
        <x:v>28496</x:v>
      </x:c>
      <x:c r="F19" s="8" t="n">
        <x:f>IFERROR(IFERROR(INDEX('04_Wycena_strona_nowa'!$C:$C,MATCH($A19,'04_Wycena_strona_nowa'!$A:$A,0)),""),"")</x:f>
        <x:v>25413</x:v>
      </x:c>
      <x:c r="G19" s="545" t="n">
        <x:f>IF(OR(E19="",F19=""),"",F19-E19)</x:f>
        <x:v>-3083</x:v>
      </x:c>
      <x:c r="H19" s="8" t="n">
        <x:f>IFERROR(IFERROR(INDEX(EG_Wycena_strona!$D:$D,MATCH($A19,EG_Wycena_strona!$A:$A,0)),""),"")</x:f>
        <x:v>31441</x:v>
      </x:c>
      <x:c r="I19" s="8" t="n">
        <x:f>IFERROR(IFERROR(INDEX('04_Wycena_strona_nowa'!$D:$D,MATCH($A19,'04_Wycena_strona_nowa'!$A:$A,0)),""),"")</x:f>
        <x:v>28163</x:v>
      </x:c>
      <x:c r="J19" s="545" t="n">
        <x:f>IF(OR(H19="",I19=""),"",I19-H19)</x:f>
        <x:v>-3278</x:v>
      </x:c>
      <x:c r="K19" s="8" t="n">
        <x:f>IFERROR(IFERROR(INDEX(EG_Wycena_strona!$F:$F,MATCH($A19,EG_Wycena_strona!$A:$A,0)),""),"")</x:f>
        <x:v>11959</x:v>
      </x:c>
      <x:c r="L19" s="8" t="n">
        <x:f>IFERROR(IFERROR(INDEX('04_Wycena_strona_nowa'!$F:$F,MATCH($A19,'04_Wycena_strona_nowa'!$A:$A,0)),""),"")</x:f>
        <x:v>10364</x:v>
      </x:c>
      <x:c r="M19" s="545" t="n">
        <x:f>IF(OR(K19="",L19=""),"",L19-K19)</x:f>
        <x:v>-1595</x:v>
      </x:c>
      <x:c r="N19" s="8" t="n">
        <x:f>IFERROR(IFERROR(INDEX(EG_Wycena_strona!$G:$G,MATCH($A19,EG_Wycena_strona!$A:$A,0)),""),"")</x:f>
        <x:v>13514</x:v>
      </x:c>
      <x:c r="O19" s="8" t="n">
        <x:f>IFERROR(IFERROR(INDEX('04_Wycena_strona_nowa'!$G:$G,MATCH($A19,'04_Wycena_strona_nowa'!$A:$A,0)),""),"")</x:f>
        <x:v>11816</x:v>
      </x:c>
      <x:c r="P19" s="545" t="n">
        <x:f>IF(OR(N19="",O19=""),"",O19-N19)</x:f>
        <x:v>-1698</x:v>
      </x:c>
      <x:c r="Q19" s="8" t="n">
        <x:f>IFERROR(IFERROR(INDEX(EG_Wycena_strona!$K:$K,MATCH($A19,EG_Wycena_strona!$A:$A,0)),""),"")</x:f>
        <x:v>14822</x:v>
      </x:c>
      <x:c r="R19" s="8" t="n">
        <x:f>IFERROR(IFERROR(INDEX('04_Wycena_strona_nowa'!$K:$K,MATCH($A19,'04_Wycena_strona_nowa'!$A:$A,0)),""),"")</x:f>
        <x:v>13241</x:v>
      </x:c>
      <x:c r="S19" s="545" t="n">
        <x:f>IF(OR(Q19="",R19=""),"",R19-Q19)</x:f>
        <x:v>-1581</x:v>
      </x:c>
    </x:row>
    <x:row r="20">
      <x:c r="A20" s="6" t="inlineStr">
        <x:is>
          <x:t xml:space="preserve">350 x 1106 cm</x:t>
        </x:is>
      </x:c>
      <x:c r="B20" s="8" t="n">
        <x:f>IFERROR(IFERROR(INDEX(EG_Wycena_strona!$B:$B,MATCH($A20,EG_Wycena_strona!$A:$A,0)),""),"")</x:f>
        <x:v>26155</x:v>
      </x:c>
      <x:c r="C20" s="8" t="n">
        <x:f>IFERROR(IFERROR(INDEX('04_Wycena_strona_nowa'!$B:$B,MATCH($A20,'04_Wycena_strona_nowa'!$A:$A,0)),""),"")</x:f>
        <x:v>24790</x:v>
      </x:c>
      <x:c r="D20" s="545" t="n">
        <x:f>IF(OR(B20="",C20=""),"",C20-B20)</x:f>
        <x:v>-1365</x:v>
      </x:c>
      <x:c r="E20" s="8" t="n">
        <x:f>IFERROR(IFERROR(INDEX(EG_Wycena_strona!$C:$C,MATCH($A20,EG_Wycena_strona!$A:$A,0)),""),"")</x:f>
        <x:v>30322</x:v>
      </x:c>
      <x:c r="F20" s="8" t="n">
        <x:f>IFERROR(IFERROR(INDEX('04_Wycena_strona_nowa'!$C:$C,MATCH($A20,'04_Wycena_strona_nowa'!$A:$A,0)),""),"")</x:f>
        <x:v>27035</x:v>
      </x:c>
      <x:c r="G20" s="545" t="n">
        <x:f>IF(OR(E20="",F20=""),"",F20-E20)</x:f>
        <x:v>-3287</x:v>
      </x:c>
      <x:c r="H20" s="8" t="n">
        <x:f>IFERROR(IFERROR(INDEX(EG_Wycena_strona!$D:$D,MATCH($A20,EG_Wycena_strona!$A:$A,0)),""),"")</x:f>
        <x:v>33431</x:v>
      </x:c>
      <x:c r="I20" s="8" t="n">
        <x:f>IFERROR(IFERROR(INDEX('04_Wycena_strona_nowa'!$D:$D,MATCH($A20,'04_Wycena_strona_nowa'!$A:$A,0)),""),"")</x:f>
        <x:v>29938</x:v>
      </x:c>
      <x:c r="J20" s="545" t="n">
        <x:f>IF(OR(H20="",I20=""),"",I20-H20)</x:f>
        <x:v>-3493</x:v>
      </x:c>
      <x:c r="K20" s="8" t="n">
        <x:f>IFERROR(IFERROR(INDEX(EG_Wycena_strona!$F:$F,MATCH($A20,EG_Wycena_strona!$A:$A,0)),""),"")</x:f>
        <x:v>13138</x:v>
      </x:c>
      <x:c r="L20" s="8" t="n">
        <x:f>IFERROR(IFERROR(INDEX('04_Wycena_strona_nowa'!$F:$F,MATCH($A20,'04_Wycena_strona_nowa'!$A:$A,0)),""),"")</x:f>
        <x:v>11382</x:v>
      </x:c>
      <x:c r="M20" s="545" t="n">
        <x:f>IF(OR(K20="",L20=""),"",L20-K20)</x:f>
        <x:v>-1756</x:v>
      </x:c>
      <x:c r="N20" s="8" t="n">
        <x:f>IFERROR(IFERROR(INDEX(EG_Wycena_strona!$G:$G,MATCH($A20,EG_Wycena_strona!$A:$A,0)),""),"")</x:f>
        <x:v>14856</x:v>
      </x:c>
      <x:c r="O20" s="8" t="n">
        <x:f>IFERROR(IFERROR(INDEX('04_Wycena_strona_nowa'!$G:$G,MATCH($A20,'04_Wycena_strona_nowa'!$A:$A,0)),""),"")</x:f>
        <x:v>12986</x:v>
      </x:c>
      <x:c r="P20" s="545" t="n">
        <x:f>IF(OR(N20="",O20=""),"",O20-N20)</x:f>
        <x:v>-1870</x:v>
      </x:c>
      <x:c r="Q20" s="8" t="n">
        <x:f>IFERROR(IFERROR(INDEX(EG_Wycena_strona!$K:$K,MATCH($A20,EG_Wycena_strona!$A:$A,0)),""),"")</x:f>
        <x:v>18392</x:v>
      </x:c>
      <x:c r="R20" s="8" t="n">
        <x:f>IFERROR(IFERROR(INDEX('04_Wycena_strona_nowa'!$K:$K,MATCH($A20,'04_Wycena_strona_nowa'!$A:$A,0)),""),"")</x:f>
        <x:v>16526</x:v>
      </x:c>
      <x:c r="S20" s="545" t="n">
        <x:f>IF(OR(Q20="",R20=""),"",R20-Q20)</x:f>
        <x:v>-1866</x:v>
      </x:c>
    </x:row>
    <x:row r="21">
      <x:c r="A21" s="6" t="inlineStr">
        <x:is>
          <x:t xml:space="preserve">350 x 1206 cm</x:t>
        </x:is>
      </x:c>
      <x:c r="B21" s="8" t="n">
        <x:f>IFERROR(IFERROR(INDEX(EG_Wycena_strona!$B:$B,MATCH($A21,EG_Wycena_strona!$A:$A,0)),""),"")</x:f>
        <x:v>27893</x:v>
      </x:c>
      <x:c r="C21" s="8" t="n">
        <x:f>IFERROR(IFERROR(INDEX('04_Wycena_strona_nowa'!$B:$B,MATCH($A21,'04_Wycena_strona_nowa'!$A:$A,0)),""),"")</x:f>
        <x:v>26437</x:v>
      </x:c>
      <x:c r="D21" s="545" t="n">
        <x:f>IF(OR(B21="",C21=""),"",C21-B21)</x:f>
        <x:v>-1456</x:v>
      </x:c>
      <x:c r="E21" s="8" t="n">
        <x:f>IFERROR(IFERROR(INDEX(EG_Wycena_strona!$C:$C,MATCH($A21,EG_Wycena_strona!$A:$A,0)),""),"")</x:f>
        <x:v>32149</x:v>
      </x:c>
      <x:c r="F21" s="8" t="n">
        <x:f>IFERROR(IFERROR(INDEX('04_Wycena_strona_nowa'!$C:$C,MATCH($A21,'04_Wycena_strona_nowa'!$A:$A,0)),""),"")</x:f>
        <x:v>28653</x:v>
      </x:c>
      <x:c r="G21" s="545" t="n">
        <x:f>IF(OR(E21="",F21=""),"",F21-E21)</x:f>
        <x:v>-3496</x:v>
      </x:c>
      <x:c r="H21" s="8" t="n">
        <x:f>IFERROR(IFERROR(INDEX(EG_Wycena_strona!$D:$D,MATCH($A21,EG_Wycena_strona!$A:$A,0)),""),"")</x:f>
        <x:v>35420</x:v>
      </x:c>
      <x:c r="I21" s="8" t="n">
        <x:f>IFERROR(IFERROR(INDEX('04_Wycena_strona_nowa'!$D:$D,MATCH($A21,'04_Wycena_strona_nowa'!$A:$A,0)),""),"")</x:f>
        <x:v>31708</x:v>
      </x:c>
      <x:c r="J21" s="545" t="n">
        <x:f>IF(OR(H21="",I21=""),"",I21-H21)</x:f>
        <x:v>-3712</x:v>
      </x:c>
      <x:c r="K21" s="8" t="n">
        <x:f>IFERROR(IFERROR(INDEX(EG_Wycena_strona!$F:$F,MATCH($A21,EG_Wycena_strona!$A:$A,0)),""),"")</x:f>
        <x:v>14248</x:v>
      </x:c>
      <x:c r="L21" s="8" t="n">
        <x:f>IFERROR(IFERROR(INDEX('04_Wycena_strona_nowa'!$F:$F,MATCH($A21,'04_Wycena_strona_nowa'!$A:$A,0)),""),"")</x:f>
        <x:v>12350</x:v>
      </x:c>
      <x:c r="M21" s="545" t="n">
        <x:f>IF(OR(K21="",L21=""),"",L21-K21)</x:f>
        <x:v>-1898</x:v>
      </x:c>
      <x:c r="N21" s="8" t="n">
        <x:f>IFERROR(IFERROR(INDEX(EG_Wycena_strona!$G:$G,MATCH($A21,EG_Wycena_strona!$A:$A,0)),""),"")</x:f>
        <x:v>16116</x:v>
      </x:c>
      <x:c r="O21" s="8" t="n">
        <x:f>IFERROR(IFERROR(INDEX('04_Wycena_strona_nowa'!$G:$G,MATCH($A21,'04_Wycena_strona_nowa'!$A:$A,0)),""),"")</x:f>
        <x:v>14094</x:v>
      </x:c>
      <x:c r="P21" s="545" t="n">
        <x:f>IF(OR(N21="",O21=""),"",O21-N21)</x:f>
        <x:v>-2022</x:v>
      </x:c>
      <x:c r="Q21" s="8" t="n">
        <x:f>IFERROR(IFERROR(INDEX(EG_Wycena_strona!$K:$K,MATCH($A21,EG_Wycena_strona!$A:$A,0)),""),"")</x:f>
        <x:v>19155</x:v>
      </x:c>
      <x:c r="R21" s="8" t="n">
        <x:f>IFERROR(IFERROR(INDEX('04_Wycena_strona_nowa'!$K:$K,MATCH($A21,'04_Wycena_strona_nowa'!$A:$A,0)),""),"")</x:f>
        <x:v>17188</x:v>
      </x:c>
      <x:c r="S21" s="545" t="n">
        <x:f>IF(OR(Q21="",R21=""),"",R21-Q21)</x:f>
        <x:v>-1967</x:v>
      </x:c>
    </x:row>
    <x:row r="22">
      <x:c r="A22" s="6" t="inlineStr">
        <x:is>
          <x:t xml:space="preserve">400 x 306 cm</x:t>
        </x:is>
      </x:c>
      <x:c r="B22" s="8" t="n">
        <x:f>IFERROR(IFERROR(INDEX(EG_Wycena_strona!$B:$B,MATCH($A22,EG_Wycena_strona!$A:$A,0)),""),"")</x:f>
        <x:v>9798</x:v>
      </x:c>
      <x:c r="C22" s="8" t="n">
        <x:f>IFERROR(IFERROR(INDEX('04_Wycena_strona_nowa'!$B:$B,MATCH($A22,'04_Wycena_strona_nowa'!$A:$A,0)),""),"")</x:f>
        <x:v>9348</x:v>
      </x:c>
      <x:c r="D22" s="545" t="n">
        <x:f>IF(OR(B22="",C22=""),"",C22-B22)</x:f>
        <x:v>-450</x:v>
      </x:c>
      <x:c r="E22" s="8" t="n">
        <x:f>IFERROR(IFERROR(INDEX(EG_Wycena_strona!$C:$C,MATCH($A22,EG_Wycena_strona!$A:$A,0)),""),"")</x:f>
        <x:v>18763</x:v>
      </x:c>
      <x:c r="F22" s="8" t="n">
        <x:f>IFERROR(IFERROR(INDEX('04_Wycena_strona_nowa'!$C:$C,MATCH($A22,'04_Wycena_strona_nowa'!$A:$A,0)),""),"")</x:f>
        <x:v>16888</x:v>
      </x:c>
      <x:c r="G22" s="545" t="n">
        <x:f>IF(OR(E22="",F22=""),"",F22-E22)</x:f>
        <x:v>-1875</x:v>
      </x:c>
      <x:c r="H22" s="8" t="n">
        <x:f>IFERROR(IFERROR(INDEX(EG_Wycena_strona!$D:$D,MATCH($A22,EG_Wycena_strona!$A:$A,0)),""),"")</x:f>
        <x:v>20562</x:v>
      </x:c>
      <x:c r="I22" s="8" t="n">
        <x:f>IFERROR(IFERROR(INDEX('04_Wycena_strona_nowa'!$D:$D,MATCH($A22,'04_Wycena_strona_nowa'!$A:$A,0)),""),"")</x:f>
        <x:v>18568</x:v>
      </x:c>
      <x:c r="J22" s="545" t="n">
        <x:f>IF(OR(H22="",I22=""),"",I22-H22)</x:f>
        <x:v>-1994</x:v>
      </x:c>
      <x:c r="K22" s="8" t="n">
        <x:f>IFERROR(IFERROR(INDEX(EG_Wycena_strona!$F:$F,MATCH($A22,EG_Wycena_strona!$A:$A,0)),""),"")</x:f>
        <x:v>4606</x:v>
      </x:c>
      <x:c r="L22" s="8" t="n">
        <x:f>IFERROR(IFERROR(INDEX('04_Wycena_strona_nowa'!$F:$F,MATCH($A22,'04_Wycena_strona_nowa'!$A:$A,0)),""),"")</x:f>
        <x:v>3960</x:v>
      </x:c>
      <x:c r="M22" s="545" t="n">
        <x:f>IF(OR(K22="",L22=""),"",L22-K22)</x:f>
        <x:v>-646</x:v>
      </x:c>
      <x:c r="N22" s="8" t="n">
        <x:f>IFERROR(IFERROR(INDEX(EG_Wycena_strona!$G:$G,MATCH($A22,EG_Wycena_strona!$A:$A,0)),""),"")</x:f>
        <x:v>5086</x:v>
      </x:c>
      <x:c r="O22" s="8" t="n">
        <x:f>IFERROR(IFERROR(INDEX('04_Wycena_strona_nowa'!$G:$G,MATCH($A22,'04_Wycena_strona_nowa'!$A:$A,0)),""),"")</x:f>
        <x:v>4406</x:v>
      </x:c>
      <x:c r="P22" s="545" t="n">
        <x:f>IF(OR(N22="",O22=""),"",O22-N22)</x:f>
        <x:v>-680</x:v>
      </x:c>
      <x:c r="Q22" s="8" t="n">
        <x:f>IFERROR(IFERROR(INDEX(EG_Wycena_strona!$K:$K,MATCH($A22,EG_Wycena_strona!$A:$A,0)),""),"")</x:f>
        <x:v>5710</x:v>
      </x:c>
      <x:c r="R22" s="8" t="n">
        <x:f>IFERROR(IFERROR(INDEX('04_Wycena_strona_nowa'!$K:$K,MATCH($A22,'04_Wycena_strona_nowa'!$A:$A,0)),""),"")</x:f>
        <x:v>5130</x:v>
      </x:c>
      <x:c r="S22" s="545" t="n">
        <x:f>IF(OR(Q22="",R22=""),"",R22-Q22)</x:f>
        <x:v>-580</x:v>
      </x:c>
    </x:row>
    <x:row r="23">
      <x:c r="A23" s="6" t="inlineStr">
        <x:is>
          <x:t xml:space="preserve">400 x 406 cm</x:t>
        </x:is>
      </x:c>
      <x:c r="B23" s="8" t="n">
        <x:f>IFERROR(IFERROR(INDEX(EG_Wycena_strona!$B:$B,MATCH($A23,EG_Wycena_strona!$A:$A,0)),""),"")</x:f>
        <x:v>11681</x:v>
      </x:c>
      <x:c r="C23" s="8" t="n">
        <x:f>IFERROR(IFERROR(INDEX('04_Wycena_strona_nowa'!$B:$B,MATCH($A23,'04_Wycena_strona_nowa'!$A:$A,0)),""),"")</x:f>
        <x:v>11132</x:v>
      </x:c>
      <x:c r="D23" s="545" t="n">
        <x:f>IF(OR(B23="",C23=""),"",C23-B23)</x:f>
        <x:v>-549</x:v>
      </x:c>
      <x:c r="E23" s="8" t="n">
        <x:f>IFERROR(IFERROR(INDEX(EG_Wycena_strona!$C:$C,MATCH($A23,EG_Wycena_strona!$A:$A,0)),""),"")</x:f>
        <x:v>20292</x:v>
      </x:c>
      <x:c r="F23" s="8" t="n">
        <x:f>IFERROR(IFERROR(INDEX('04_Wycena_strona_nowa'!$C:$C,MATCH($A23,'04_Wycena_strona_nowa'!$A:$A,0)),""),"")</x:f>
        <x:v>18251</x:v>
      </x:c>
      <x:c r="G23" s="545" t="n">
        <x:f>IF(OR(E23="",F23=""),"",F23-E23)</x:f>
        <x:v>-2041</x:v>
      </x:c>
      <x:c r="H23" s="8" t="n">
        <x:f>IFERROR(IFERROR(INDEX(EG_Wycena_strona!$D:$D,MATCH($A23,EG_Wycena_strona!$A:$A,0)),""),"")</x:f>
        <x:v>22255</x:v>
      </x:c>
      <x:c r="I23" s="8" t="n">
        <x:f>IFERROR(IFERROR(INDEX('04_Wycena_strona_nowa'!$D:$D,MATCH($A23,'04_Wycena_strona_nowa'!$A:$A,0)),""),"")</x:f>
        <x:v>20085</x:v>
      </x:c>
      <x:c r="J23" s="545" t="n">
        <x:f>IF(OR(H23="",I23=""),"",I23-H23)</x:f>
        <x:v>-2170</x:v>
      </x:c>
      <x:c r="K23" s="8" t="n">
        <x:f>IFERROR(IFERROR(INDEX(EG_Wycena_strona!$F:$F,MATCH($A23,EG_Wycena_strona!$A:$A,0)),""),"")</x:f>
        <x:v>6056</x:v>
      </x:c>
      <x:c r="L23" s="8" t="n">
        <x:f>IFERROR(IFERROR(INDEX('04_Wycena_strona_nowa'!$F:$F,MATCH($A23,'04_Wycena_strona_nowa'!$A:$A,0)),""),"")</x:f>
        <x:v>5232</x:v>
      </x:c>
      <x:c r="M23" s="545" t="n">
        <x:f>IF(OR(K23="",L23=""),"",L23-K23)</x:f>
        <x:v>-824</x:v>
      </x:c>
      <x:c r="N23" s="8" t="n">
        <x:f>IFERROR(IFERROR(INDEX(EG_Wycena_strona!$G:$G,MATCH($A23,EG_Wycena_strona!$A:$A,0)),""),"")</x:f>
        <x:v>6683</x:v>
      </x:c>
      <x:c r="O23" s="8" t="n">
        <x:f>IFERROR(IFERROR(INDEX('04_Wycena_strona_nowa'!$G:$G,MATCH($A23,'04_Wycena_strona_nowa'!$A:$A,0)),""),"")</x:f>
        <x:v>5817</x:v>
      </x:c>
      <x:c r="P23" s="545" t="n">
        <x:f>IF(OR(N23="",O23=""),"",O23-N23)</x:f>
        <x:v>-866</x:v>
      </x:c>
      <x:c r="Q23" s="8" t="n">
        <x:f>IFERROR(IFERROR(INDEX(EG_Wycena_strona!$K:$K,MATCH($A23,EG_Wycena_strona!$A:$A,0)),""),"")</x:f>
        <x:v>6620</x:v>
      </x:c>
      <x:c r="R23" s="8" t="n">
        <x:f>IFERROR(IFERROR(INDEX('04_Wycena_strona_nowa'!$K:$K,MATCH($A23,'04_Wycena_strona_nowa'!$A:$A,0)),""),"")</x:f>
        <x:v>5934</x:v>
      </x:c>
      <x:c r="S23" s="545" t="n">
        <x:f>IF(OR(Q23="",R23=""),"",R23-Q23)</x:f>
        <x:v>-686</x:v>
      </x:c>
    </x:row>
    <x:row r="24">
      <x:c r="A24" s="6" t="inlineStr">
        <x:is>
          <x:t xml:space="preserve">400 x 506 cm</x:t>
        </x:is>
      </x:c>
      <x:c r="B24" s="8" t="n">
        <x:f>IFERROR(IFERROR(INDEX(EG_Wycena_strona!$B:$B,MATCH($A24,EG_Wycena_strona!$A:$A,0)),""),"")</x:f>
        <x:v>14057</x:v>
      </x:c>
      <x:c r="C24" s="8" t="n">
        <x:f>IFERROR(IFERROR(INDEX('04_Wycena_strona_nowa'!$B:$B,MATCH($A24,'04_Wycena_strona_nowa'!$A:$A,0)),""),"")</x:f>
        <x:v>13374</x:v>
      </x:c>
      <x:c r="D24" s="545" t="n">
        <x:f>IF(OR(B24="",C24=""),"",C24-B24)</x:f>
        <x:v>-683</x:v>
      </x:c>
      <x:c r="E24" s="8" t="n">
        <x:f>IFERROR(IFERROR(INDEX(EG_Wycena_strona!$C:$C,MATCH($A24,EG_Wycena_strona!$A:$A,0)),""),"")</x:f>
        <x:v>22155</x:v>
      </x:c>
      <x:c r="F24" s="8" t="n">
        <x:f>IFERROR(IFERROR(INDEX('04_Wycena_strona_nowa'!$C:$C,MATCH($A24,'04_Wycena_strona_nowa'!$A:$A,0)),""),"")</x:f>
        <x:v>19898</x:v>
      </x:c>
      <x:c r="G24" s="545" t="n">
        <x:f>IF(OR(E24="",F24=""),"",F24-E24)</x:f>
        <x:v>-2257</x:v>
      </x:c>
      <x:c r="H24" s="8" t="n">
        <x:f>IFERROR(IFERROR(INDEX(EG_Wycena_strona!$D:$D,MATCH($A24,EG_Wycena_strona!$A:$A,0)),""),"")</x:f>
        <x:v>24283</x:v>
      </x:c>
      <x:c r="I24" s="8" t="n">
        <x:f>IFERROR(IFERROR(INDEX('04_Wycena_strona_nowa'!$D:$D,MATCH($A24,'04_Wycena_strona_nowa'!$A:$A,0)),""),"")</x:f>
        <x:v>21884</x:v>
      </x:c>
      <x:c r="J24" s="545" t="n">
        <x:f>IF(OR(H24="",I24=""),"",I24-H24)</x:f>
        <x:v>-2399</x:v>
      </x:c>
      <x:c r="K24" s="8" t="n">
        <x:f>IFERROR(IFERROR(INDEX(EG_Wycena_strona!$F:$F,MATCH($A24,EG_Wycena_strona!$A:$A,0)),""),"")</x:f>
        <x:v>7458</x:v>
      </x:c>
      <x:c r="L24" s="8" t="n">
        <x:f>IFERROR(IFERROR(INDEX('04_Wycena_strona_nowa'!$F:$F,MATCH($A24,'04_Wycena_strona_nowa'!$A:$A,0)),""),"")</x:f>
        <x:v>6430</x:v>
      </x:c>
      <x:c r="M24" s="545" t="n">
        <x:f>IF(OR(K24="",L24=""),"",L24-K24)</x:f>
        <x:v>-1028</x:v>
      </x:c>
      <x:c r="N24" s="8" t="n">
        <x:f>IFERROR(IFERROR(INDEX(EG_Wycena_strona!$G:$G,MATCH($A24,EG_Wycena_strona!$A:$A,0)),""),"")</x:f>
        <x:v>8250</x:v>
      </x:c>
      <x:c r="O24" s="8" t="n">
        <x:f>IFERROR(IFERROR(INDEX('04_Wycena_strona_nowa'!$G:$G,MATCH($A24,'04_Wycena_strona_nowa'!$A:$A,0)),""),"")</x:f>
        <x:v>7169</x:v>
      </x:c>
      <x:c r="P24" s="545" t="n">
        <x:f>IF(OR(N24="",O24=""),"",O24-N24)</x:f>
        <x:v>-1081</x:v>
      </x:c>
      <x:c r="Q24" s="8" t="n">
        <x:f>IFERROR(IFERROR(INDEX(EG_Wycena_strona!$K:$K,MATCH($A24,EG_Wycena_strona!$A:$A,0)),""),"")</x:f>
        <x:v>7561</x:v>
      </x:c>
      <x:c r="R24" s="8" t="n">
        <x:f>IFERROR(IFERROR(INDEX('04_Wycena_strona_nowa'!$K:$K,MATCH($A24,'04_Wycena_strona_nowa'!$A:$A,0)),""),"")</x:f>
        <x:v>6761</x:v>
      </x:c>
      <x:c r="S24" s="545" t="n">
        <x:f>IF(OR(Q24="",R24=""),"",R24-Q24)</x:f>
        <x:v>-800</x:v>
      </x:c>
    </x:row>
    <x:row r="25">
      <x:c r="A25" s="6" t="inlineStr">
        <x:is>
          <x:t xml:space="preserve">400 x 606 cm</x:t>
        </x:is>
      </x:c>
      <x:c r="B25" s="8" t="n">
        <x:f>IFERROR(IFERROR(INDEX(EG_Wycena_strona!$B:$B,MATCH($A25,EG_Wycena_strona!$A:$A,0)),""),"")</x:f>
        <x:v>15407</x:v>
      </x:c>
      <x:c r="C25" s="8" t="n">
        <x:f>IFERROR(IFERROR(INDEX('04_Wycena_strona_nowa'!$B:$B,MATCH($A25,'04_Wycena_strona_nowa'!$A:$A,0)),""),"")</x:f>
        <x:v>14660</x:v>
      </x:c>
      <x:c r="D25" s="545" t="n">
        <x:f>IF(OR(B25="",C25=""),"",C25-B25)</x:f>
        <x:v>-747</x:v>
      </x:c>
      <x:c r="E25" s="8" t="n">
        <x:f>IFERROR(IFERROR(INDEX(EG_Wycena_strona!$C:$C,MATCH($A25,EG_Wycena_strona!$A:$A,0)),""),"")</x:f>
        <x:v>23974</x:v>
      </x:c>
      <x:c r="F25" s="8" t="n">
        <x:f>IFERROR(IFERROR(INDEX('04_Wycena_strona_nowa'!$C:$C,MATCH($A25,'04_Wycena_strona_nowa'!$A:$A,0)),""),"")</x:f>
        <x:v>21520</x:v>
      </x:c>
      <x:c r="G25" s="545" t="n">
        <x:f>IF(OR(E25="",F25=""),"",F25-E25)</x:f>
        <x:v>-2454</x:v>
      </x:c>
      <x:c r="H25" s="8" t="n">
        <x:f>IFERROR(IFERROR(INDEX(EG_Wycena_strona!$D:$D,MATCH($A25,EG_Wycena_strona!$A:$A,0)),""),"")</x:f>
        <x:v>26264</x:v>
      </x:c>
      <x:c r="I25" s="8" t="n">
        <x:f>IFERROR(IFERROR(INDEX('04_Wycena_strona_nowa'!$D:$D,MATCH($A25,'04_Wycena_strona_nowa'!$A:$A,0)),""),"")</x:f>
        <x:v>23659</x:v>
      </x:c>
      <x:c r="J25" s="545" t="n">
        <x:f>IF(OR(H25="",I25=""),"",I25-H25)</x:f>
        <x:v>-2605</x:v>
      </x:c>
      <x:c r="K25" s="8" t="n">
        <x:f>IFERROR(IFERROR(INDEX(EG_Wycena_strona!$F:$F,MATCH($A25,EG_Wycena_strona!$A:$A,0)),""),"")</x:f>
        <x:v>8807</x:v>
      </x:c>
      <x:c r="L25" s="8" t="n">
        <x:f>IFERROR(IFERROR(INDEX('04_Wycena_strona_nowa'!$F:$F,MATCH($A25,'04_Wycena_strona_nowa'!$A:$A,0)),""),"")</x:f>
        <x:v>7627</x:v>
      </x:c>
      <x:c r="M25" s="545" t="n">
        <x:f>IF(OR(K25="",L25=""),"",L25-K25)</x:f>
        <x:v>-1180</x:v>
      </x:c>
      <x:c r="N25" s="8" t="n">
        <x:f>IFERROR(IFERROR(INDEX(EG_Wycena_strona!$G:$G,MATCH($A25,EG_Wycena_strona!$A:$A,0)),""),"")</x:f>
        <x:v>9763</x:v>
      </x:c>
      <x:c r="O25" s="8" t="n">
        <x:f>IFERROR(IFERROR(INDEX('04_Wycena_strona_nowa'!$G:$G,MATCH($A25,'04_Wycena_strona_nowa'!$A:$A,0)),""),"")</x:f>
        <x:v>8518</x:v>
      </x:c>
      <x:c r="P25" s="545" t="n">
        <x:f>IF(OR(N25="",O25=""),"",O25-N25)</x:f>
        <x:v>-1245</x:v>
      </x:c>
      <x:c r="Q25" s="8" t="n">
        <x:f>IFERROR(IFERROR(INDEX(EG_Wycena_strona!$K:$K,MATCH($A25,EG_Wycena_strona!$A:$A,0)),""),"")</x:f>
        <x:v>11364</x:v>
      </x:c>
      <x:c r="R25" s="8" t="n">
        <x:f>IFERROR(IFERROR(INDEX('04_Wycena_strona_nowa'!$K:$K,MATCH($A25,'04_Wycena_strona_nowa'!$A:$A,0)),""),"")</x:f>
        <x:v>10262</x:v>
      </x:c>
      <x:c r="S25" s="545" t="n">
        <x:f>IF(OR(Q25="",R25=""),"",R25-Q25)</x:f>
        <x:v>-1102</x:v>
      </x:c>
    </x:row>
    <x:row r="26">
      <x:c r="A26" s="6" t="inlineStr">
        <x:is>
          <x:t xml:space="preserve">400 x 706 cm</x:t>
        </x:is>
      </x:c>
      <x:c r="B26" s="8" t="n">
        <x:f>IFERROR(IFERROR(INDEX(EG_Wycena_strona!$B:$B,MATCH($A26,EG_Wycena_strona!$A:$A,0)),""),"")</x:f>
        <x:v>18113</x:v>
      </x:c>
      <x:c r="C26" s="8" t="n">
        <x:f>IFERROR(IFERROR(INDEX('04_Wycena_strona_nowa'!$B:$B,MATCH($A26,'04_Wycena_strona_nowa'!$A:$A,0)),""),"")</x:f>
        <x:v>17201</x:v>
      </x:c>
      <x:c r="D26" s="545" t="n">
        <x:f>IF(OR(B26="",C26=""),"",C26-B26)</x:f>
        <x:v>-912</x:v>
      </x:c>
      <x:c r="E26" s="8" t="n">
        <x:f>IFERROR(IFERROR(INDEX(EG_Wycena_strona!$C:$C,MATCH($A26,EG_Wycena_strona!$A:$A,0)),""),"")</x:f>
        <x:v>24383</x:v>
      </x:c>
      <x:c r="F26" s="8" t="n">
        <x:f>IFERROR(IFERROR(INDEX('04_Wycena_strona_nowa'!$C:$C,MATCH($A26,'04_Wycena_strona_nowa'!$A:$A,0)),""),"")</x:f>
        <x:v>21845</x:v>
      </x:c>
      <x:c r="G26" s="545" t="n">
        <x:f>IF(OR(E26="",F26=""),"",F26-E26)</x:f>
        <x:v>-2538</x:v>
      </x:c>
      <x:c r="H26" s="8" t="n">
        <x:f>IFERROR(IFERROR(INDEX(EG_Wycena_strona!$D:$D,MATCH($A26,EG_Wycena_strona!$A:$A,0)),""),"")</x:f>
        <x:v>26837</x:v>
      </x:c>
      <x:c r="I26" s="8" t="n">
        <x:f>IFERROR(IFERROR(INDEX('04_Wycena_strona_nowa'!$D:$D,MATCH($A26,'04_Wycena_strona_nowa'!$A:$A,0)),""),"")</x:f>
        <x:v>24136</x:v>
      </x:c>
      <x:c r="J26" s="545" t="n">
        <x:f>IF(OR(H26="",I26=""),"",I26-H26)</x:f>
        <x:v>-2701</x:v>
      </x:c>
      <x:c r="K26" s="8" t="n">
        <x:f>IFERROR(IFERROR(INDEX(EG_Wycena_strona!$F:$F,MATCH($A26,EG_Wycena_strona!$A:$A,0)),""),"")</x:f>
        <x:v>10021</x:v>
      </x:c>
      <x:c r="L26" s="8" t="n">
        <x:f>IFERROR(IFERROR(INDEX('04_Wycena_strona_nowa'!$F:$F,MATCH($A26,'04_Wycena_strona_nowa'!$A:$A,0)),""),"")</x:f>
        <x:v>8696</x:v>
      </x:c>
      <x:c r="M26" s="545" t="n">
        <x:f>IF(OR(K26="",L26=""),"",L26-K26)</x:f>
        <x:v>-1325</x:v>
      </x:c>
      <x:c r="N26" s="8" t="n">
        <x:f>IFERROR(IFERROR(INDEX(EG_Wycena_strona!$G:$G,MATCH($A26,EG_Wycena_strona!$A:$A,0)),""),"")</x:f>
        <x:v>11140</x:v>
      </x:c>
      <x:c r="O26" s="8" t="n">
        <x:f>IFERROR(IFERROR(INDEX('04_Wycena_strona_nowa'!$G:$G,MATCH($A26,'04_Wycena_strona_nowa'!$A:$A,0)),""),"")</x:f>
        <x:v>9740</x:v>
      </x:c>
      <x:c r="P26" s="545" t="n">
        <x:f>IF(OR(N26="",O26=""),"",O26-N26)</x:f>
        <x:v>-1400</x:v>
      </x:c>
      <x:c r="Q26" s="8" t="n">
        <x:f>IFERROR(IFERROR(INDEX(EG_Wycena_strona!$K:$K,MATCH($A26,EG_Wycena_strona!$A:$A,0)),""),"")</x:f>
        <x:v>12342</x:v>
      </x:c>
      <x:c r="R26" s="8" t="n">
        <x:f>IFERROR(IFERROR(INDEX('04_Wycena_strona_nowa'!$K:$K,MATCH($A26,'04_Wycena_strona_nowa'!$A:$A,0)),""),"")</x:f>
        <x:v>11076</x:v>
      </x:c>
      <x:c r="S26" s="545" t="n">
        <x:f>IF(OR(Q26="",R26=""),"",R26-Q26)</x:f>
        <x:v>-1266</x:v>
      </x:c>
    </x:row>
    <x:row r="27">
      <x:c r="A27" s="6" t="inlineStr">
        <x:is>
          <x:t xml:space="preserve">400 x 806 cm</x:t>
        </x:is>
      </x:c>
      <x:c r="B27" s="8" t="n">
        <x:f>IFERROR(IFERROR(INDEX(EG_Wycena_strona!$B:$B,MATCH($A27,EG_Wycena_strona!$A:$A,0)),""),"")</x:f>
        <x:v>21209</x:v>
      </x:c>
      <x:c r="C27" s="8" t="n">
        <x:f>IFERROR(IFERROR(INDEX('04_Wycena_strona_nowa'!$B:$B,MATCH($A27,'04_Wycena_strona_nowa'!$A:$A,0)),""),"")</x:f>
        <x:v>20111</x:v>
      </x:c>
      <x:c r="D27" s="545" t="n">
        <x:f>IF(OR(B27="",C27=""),"",C27-B27)</x:f>
        <x:v>-1098</x:v>
      </x:c>
      <x:c r="E27" s="8" t="n">
        <x:f>IFERROR(IFERROR(INDEX(EG_Wycena_strona!$C:$C,MATCH($A27,EG_Wycena_strona!$A:$A,0)),""),"")</x:f>
        <x:v>25694</x:v>
      </x:c>
      <x:c r="F27" s="8" t="n">
        <x:f>IFERROR(IFERROR(INDEX('04_Wycena_strona_nowa'!$C:$C,MATCH($A27,'04_Wycena_strona_nowa'!$A:$A,0)),""),"")</x:f>
        <x:v>22954</x:v>
      </x:c>
      <x:c r="G27" s="545" t="n">
        <x:f>IF(OR(E27="",F27=""),"",F27-E27)</x:f>
        <x:v>-2740</x:v>
      </x:c>
      <x:c r="H27" s="8" t="n">
        <x:f>IFERROR(IFERROR(INDEX(EG_Wycena_strona!$D:$D,MATCH($A27,EG_Wycena_strona!$A:$A,0)),""),"")</x:f>
        <x:v>28507</x:v>
      </x:c>
      <x:c r="I27" s="8" t="n">
        <x:f>IFERROR(IFERROR(INDEX('04_Wycena_strona_nowa'!$D:$D,MATCH($A27,'04_Wycena_strona_nowa'!$A:$A,0)),""),"")</x:f>
        <x:v>25582</x:v>
      </x:c>
      <x:c r="J27" s="545" t="n">
        <x:f>IF(OR(H27="",I27=""),"",I27-H27)</x:f>
        <x:v>-2925</x:v>
      </x:c>
      <x:c r="K27" s="8" t="n">
        <x:f>IFERROR(IFERROR(INDEX(EG_Wycena_strona!$F:$F,MATCH($A27,EG_Wycena_strona!$A:$A,0)),""),"")</x:f>
        <x:v>12006</x:v>
      </x:c>
      <x:c r="L27" s="8" t="n">
        <x:f>IFERROR(IFERROR(INDEX('04_Wycena_strona_nowa'!$F:$F,MATCH($A27,'04_Wycena_strona_nowa'!$A:$A,0)),""),"")</x:f>
        <x:v>10465</x:v>
      </x:c>
      <x:c r="M27" s="545" t="n">
        <x:f>IF(OR(K27="",L27=""),"",L27-K27)</x:f>
        <x:v>-1541</x:v>
      </x:c>
      <x:c r="N27" s="8" t="n">
        <x:f>IFERROR(IFERROR(INDEX(EG_Wycena_strona!$G:$G,MATCH($A27,EG_Wycena_strona!$A:$A,0)),""),"")</x:f>
        <x:v>13275</x:v>
      </x:c>
      <x:c r="O27" s="8" t="n">
        <x:f>IFERROR(IFERROR(INDEX('04_Wycena_strona_nowa'!$G:$G,MATCH($A27,'04_Wycena_strona_nowa'!$A:$A,0)),""),"")</x:f>
        <x:v>11649</x:v>
      </x:c>
      <x:c r="P27" s="545" t="n">
        <x:f>IF(OR(N27="",O27=""),"",O27-N27)</x:f>
        <x:v>-1626</x:v>
      </x:c>
      <x:c r="Q27" s="8" t="n">
        <x:f>IFERROR(IFERROR(INDEX(EG_Wycena_strona!$K:$K,MATCH($A27,EG_Wycena_strona!$A:$A,0)),""),"")</x:f>
        <x:v>13254</x:v>
      </x:c>
      <x:c r="R27" s="8" t="n">
        <x:f>IFERROR(IFERROR(INDEX('04_Wycena_strona_nowa'!$K:$K,MATCH($A27,'04_Wycena_strona_nowa'!$A:$A,0)),""),"")</x:f>
        <x:v>11877</x:v>
      </x:c>
      <x:c r="S27" s="545" t="n">
        <x:f>IF(OR(Q27="",R27=""),"",R27-Q27)</x:f>
        <x:v>-1377</x:v>
      </x:c>
    </x:row>
    <x:row r="28">
      <x:c r="A28" s="6" t="inlineStr">
        <x:is>
          <x:t xml:space="preserve">400 x 906 cm</x:t>
        </x:is>
      </x:c>
      <x:c r="B28" s="8" t="n">
        <x:f>IFERROR(IFERROR(INDEX(EG_Wycena_strona!$B:$B,MATCH($A28,EG_Wycena_strona!$A:$A,0)),""),"")</x:f>
        <x:v>23513</x:v>
      </x:c>
      <x:c r="C28" s="8" t="n">
        <x:f>IFERROR(IFERROR(INDEX('04_Wycena_strona_nowa'!$B:$B,MATCH($A28,'04_Wycena_strona_nowa'!$A:$A,0)),""),"")</x:f>
        <x:v>22280</x:v>
      </x:c>
      <x:c r="D28" s="545" t="n">
        <x:f>IF(OR(B28="",C28=""),"",C28-B28)</x:f>
        <x:v>-1233</x:v>
      </x:c>
      <x:c r="E28" s="8" t="n">
        <x:f>IFERROR(IFERROR(INDEX(EG_Wycena_strona!$C:$C,MATCH($A28,EG_Wycena_strona!$A:$A,0)),""),"")</x:f>
        <x:v>27503</x:v>
      </x:c>
      <x:c r="F28" s="8" t="n">
        <x:f>IFERROR(IFERROR(INDEX('04_Wycena_strona_nowa'!$C:$C,MATCH($A28,'04_Wycena_strona_nowa'!$A:$A,0)),""),"")</x:f>
        <x:v>24546</x:v>
      </x:c>
      <x:c r="G28" s="545" t="n">
        <x:f>IF(OR(E28="",F28=""),"",F28-E28)</x:f>
        <x:v>-2957</x:v>
      </x:c>
      <x:c r="H28" s="8" t="n">
        <x:f>IFERROR(IFERROR(INDEX(EG_Wycena_strona!$D:$D,MATCH($A28,EG_Wycena_strona!$A:$A,0)),""),"")</x:f>
        <x:v>30284</x:v>
      </x:c>
      <x:c r="I28" s="8" t="n">
        <x:f>IFERROR(IFERROR(INDEX('04_Wycena_strona_nowa'!$D:$D,MATCH($A28,'04_Wycena_strona_nowa'!$A:$A,0)),""),"")</x:f>
        <x:v>27144</x:v>
      </x:c>
      <x:c r="J28" s="545" t="n">
        <x:f>IF(OR(H28="",I28=""),"",I28-H28)</x:f>
        <x:v>-3140</x:v>
      </x:c>
      <x:c r="K28" s="8" t="n">
        <x:f>IFERROR(IFERROR(INDEX(EG_Wycena_strona!$F:$F,MATCH($A28,EG_Wycena_strona!$A:$A,0)),""),"")</x:f>
        <x:v>13360</x:v>
      </x:c>
      <x:c r="L28" s="8" t="n">
        <x:f>IFERROR(IFERROR(INDEX('04_Wycena_strona_nowa'!$F:$F,MATCH($A28,'04_Wycena_strona_nowa'!$A:$A,0)),""),"")</x:f>
        <x:v>11662</x:v>
      </x:c>
      <x:c r="M28" s="545" t="n">
        <x:f>IF(OR(K28="",L28=""),"",L28-K28)</x:f>
        <x:v>-1698</x:v>
      </x:c>
      <x:c r="N28" s="8" t="n">
        <x:f>IFERROR(IFERROR(INDEX(EG_Wycena_strona!$G:$G,MATCH($A28,EG_Wycena_strona!$A:$A,0)),""),"")</x:f>
        <x:v>14793</x:v>
      </x:c>
      <x:c r="O28" s="8" t="n">
        <x:f>IFERROR(IFERROR(INDEX('04_Wycena_strona_nowa'!$G:$G,MATCH($A28,'04_Wycena_strona_nowa'!$A:$A,0)),""),"")</x:f>
        <x:v>12999</x:v>
      </x:c>
      <x:c r="P28" s="545" t="n">
        <x:f>IF(OR(N28="",O28=""),"",O28-N28)</x:f>
        <x:v>-1794</x:v>
      </x:c>
      <x:c r="Q28" s="8" t="n">
        <x:f>IFERROR(IFERROR(INDEX(EG_Wycena_strona!$K:$K,MATCH($A28,EG_Wycena_strona!$A:$A,0)),""),"")</x:f>
        <x:v>14196</x:v>
      </x:c>
      <x:c r="R28" s="8" t="n">
        <x:f>IFERROR(IFERROR(INDEX('04_Wycena_strona_nowa'!$K:$K,MATCH($A28,'04_Wycena_strona_nowa'!$A:$A,0)),""),"")</x:f>
        <x:v>12706</x:v>
      </x:c>
      <x:c r="S28" s="545" t="n">
        <x:f>IF(OR(Q28="",R28=""),"",R28-Q28)</x:f>
        <x:v>-1490</x:v>
      </x:c>
    </x:row>
    <x:row r="29">
      <x:c r="A29" s="6" t="inlineStr">
        <x:is>
          <x:t xml:space="preserve">400 x 1006 cm</x:t>
        </x:is>
      </x:c>
      <x:c r="B29" s="8" t="n">
        <x:f>IFERROR(IFERROR(INDEX(EG_Wycena_strona!$B:$B,MATCH($A29,EG_Wycena_strona!$A:$A,0)),""),"")</x:f>
        <x:v>25838</x:v>
      </x:c>
      <x:c r="C29" s="8" t="n">
        <x:f>IFERROR(IFERROR(INDEX('04_Wycena_strona_nowa'!$B:$B,MATCH($A29,'04_Wycena_strona_nowa'!$A:$A,0)),""),"")</x:f>
        <x:v>24470</x:v>
      </x:c>
      <x:c r="D29" s="545" t="n">
        <x:f>IF(OR(B29="",C29=""),"",C29-B29)</x:f>
        <x:v>-1368</x:v>
      </x:c>
      <x:c r="E29" s="8" t="n">
        <x:f>IFERROR(IFERROR(INDEX(EG_Wycena_strona!$C:$C,MATCH($A29,EG_Wycena_strona!$A:$A,0)),""),"")</x:f>
        <x:v>29289</x:v>
      </x:c>
      <x:c r="F29" s="8" t="n">
        <x:f>IFERROR(IFERROR(INDEX('04_Wycena_strona_nowa'!$C:$C,MATCH($A29,'04_Wycena_strona_nowa'!$A:$A,0)),""),"")</x:f>
        <x:v>26119</x:v>
      </x:c>
      <x:c r="G29" s="545" t="n">
        <x:f>IF(OR(E29="",F29=""),"",F29-E29)</x:f>
        <x:v>-3170</x:v>
      </x:c>
      <x:c r="H29" s="8" t="n">
        <x:f>IFERROR(IFERROR(INDEX(EG_Wycena_strona!$D:$D,MATCH($A29,EG_Wycena_strona!$A:$A,0)),""),"")</x:f>
        <x:v>32234</x:v>
      </x:c>
      <x:c r="I29" s="8" t="n">
        <x:f>IFERROR(IFERROR(INDEX('04_Wycena_strona_nowa'!$D:$D,MATCH($A29,'04_Wycena_strona_nowa'!$A:$A,0)),""),"")</x:f>
        <x:v>28869</x:v>
      </x:c>
      <x:c r="J29" s="545" t="n">
        <x:f>IF(OR(H29="",I29=""),"",I29-H29)</x:f>
        <x:v>-3365</x:v>
      </x:c>
      <x:c r="K29" s="8" t="n">
        <x:f>IFERROR(IFERROR(INDEX(EG_Wycena_strona!$F:$F,MATCH($A29,EG_Wycena_strona!$A:$A,0)),""),"")</x:f>
        <x:v>14714</x:v>
      </x:c>
      <x:c r="L29" s="8" t="n">
        <x:f>IFERROR(IFERROR(INDEX('04_Wycena_strona_nowa'!$F:$F,MATCH($A29,'04_Wycena_strona_nowa'!$A:$A,0)),""),"")</x:f>
        <x:v>12860</x:v>
      </x:c>
      <x:c r="M29" s="545" t="n">
        <x:f>IF(OR(K29="",L29=""),"",L29-K29)</x:f>
        <x:v>-1854</x:v>
      </x:c>
      <x:c r="N29" s="8" t="n">
        <x:f>IFERROR(IFERROR(INDEX(EG_Wycena_strona!$G:$G,MATCH($A29,EG_Wycena_strona!$A:$A,0)),""),"")</x:f>
        <x:v>16295</x:v>
      </x:c>
      <x:c r="O29" s="8" t="n">
        <x:f>IFERROR(IFERROR(INDEX('04_Wycena_strona_nowa'!$G:$G,MATCH($A29,'04_Wycena_strona_nowa'!$A:$A,0)),""),"")</x:f>
        <x:v>14336</x:v>
      </x:c>
      <x:c r="P29" s="545" t="n">
        <x:f>IF(OR(N29="",O29=""),"",O29-N29)</x:f>
        <x:v>-1959</x:v>
      </x:c>
      <x:c r="Q29" s="8" t="n">
        <x:f>IFERROR(IFERROR(INDEX(EG_Wycena_strona!$K:$K,MATCH($A29,EG_Wycena_strona!$A:$A,0)),""),"")</x:f>
        <x:v>15122</x:v>
      </x:c>
      <x:c r="R29" s="8" t="n">
        <x:f>IFERROR(IFERROR(INDEX('04_Wycena_strona_nowa'!$K:$K,MATCH($A29,'04_Wycena_strona_nowa'!$A:$A,0)),""),"")</x:f>
        <x:v>13521</x:v>
      </x:c>
      <x:c r="S29" s="545" t="n">
        <x:f>IF(OR(Q29="",R29=""),"",R29-Q29)</x:f>
        <x:v>-1601</x:v>
      </x:c>
    </x:row>
    <x:row r="30">
      <x:c r="A30" s="6" t="inlineStr">
        <x:is>
          <x:t xml:space="preserve">400 x 1106 cm</x:t>
        </x:is>
      </x:c>
      <x:c r="B30" s="8" t="n">
        <x:f>IFERROR(IFERROR(INDEX(EG_Wycena_strona!$B:$B,MATCH($A30,EG_Wycena_strona!$A:$A,0)),""),"")</x:f>
        <x:v>27207</x:v>
      </x:c>
      <x:c r="C30" s="8" t="n">
        <x:f>IFERROR(IFERROR(INDEX('04_Wycena_strona_nowa'!$B:$B,MATCH($A30,'04_Wycena_strona_nowa'!$A:$A,0)),""),"")</x:f>
        <x:v>25776</x:v>
      </x:c>
      <x:c r="D30" s="545" t="n">
        <x:f>IF(OR(B30="",C30=""),"",C30-B30)</x:f>
        <x:v>-1431</x:v>
      </x:c>
      <x:c r="E30" s="8" t="n">
        <x:f>IFERROR(IFERROR(INDEX(EG_Wycena_strona!$C:$C,MATCH($A30,EG_Wycena_strona!$A:$A,0)),""),"")</x:f>
        <x:v>31075</x:v>
      </x:c>
      <x:c r="F30" s="8" t="n">
        <x:f>IFERROR(IFERROR(INDEX('04_Wycena_strona_nowa'!$C:$C,MATCH($A30,'04_Wycena_strona_nowa'!$A:$A,0)),""),"")</x:f>
        <x:v>27707</x:v>
      </x:c>
      <x:c r="G30" s="545" t="n">
        <x:f>IF(OR(E30="",F30=""),"",F30-E30)</x:f>
        <x:v>-3368</x:v>
      </x:c>
      <x:c r="H30" s="8" t="n">
        <x:f>IFERROR(IFERROR(INDEX(EG_Wycena_strona!$D:$D,MATCH($A30,EG_Wycena_strona!$A:$A,0)),""),"")</x:f>
        <x:v>34184</x:v>
      </x:c>
      <x:c r="I30" s="8" t="n">
        <x:f>IFERROR(IFERROR(INDEX('04_Wycena_strona_nowa'!$D:$D,MATCH($A30,'04_Wycena_strona_nowa'!$A:$A,0)),""),"")</x:f>
        <x:v>30610</x:v>
      </x:c>
      <x:c r="J30" s="545" t="n">
        <x:f>IF(OR(H30="",I30=""),"",I30-H30)</x:f>
        <x:v>-3574</x:v>
      </x:c>
      <x:c r="K30" s="8" t="n">
        <x:f>IFERROR(IFERROR(INDEX(EG_Wycena_strona!$F:$F,MATCH($A30,EG_Wycena_strona!$A:$A,0)),""),"")</x:f>
        <x:v>16075</x:v>
      </x:c>
      <x:c r="L30" s="8" t="n">
        <x:f>IFERROR(IFERROR(INDEX('04_Wycena_strona_nowa'!$F:$F,MATCH($A30,'04_Wycena_strona_nowa'!$A:$A,0)),""),"")</x:f>
        <x:v>14042</x:v>
      </x:c>
      <x:c r="M30" s="545" t="n">
        <x:f>IF(OR(K30="",L30=""),"",L30-K30)</x:f>
        <x:v>-2033</x:v>
      </x:c>
      <x:c r="N30" s="8" t="n">
        <x:f>IFERROR(IFERROR(INDEX(EG_Wycena_strona!$G:$G,MATCH($A30,EG_Wycena_strona!$A:$A,0)),""),"")</x:f>
        <x:v>17820</x:v>
      </x:c>
      <x:c r="O30" s="8" t="n">
        <x:f>IFERROR(IFERROR(INDEX('04_Wycena_strona_nowa'!$G:$G,MATCH($A30,'04_Wycena_strona_nowa'!$A:$A,0)),""),"")</x:f>
        <x:v>15672</x:v>
      </x:c>
      <x:c r="P30" s="545" t="n">
        <x:f>IF(OR(N30="",O30=""),"",O30-N30)</x:f>
        <x:v>-2148</x:v>
      </x:c>
      <x:c r="Q30" s="8" t="n">
        <x:f>IFERROR(IFERROR(INDEX(EG_Wycena_strona!$K:$K,MATCH($A30,EG_Wycena_strona!$A:$A,0)),""),"")</x:f>
        <x:v>18897</x:v>
      </x:c>
      <x:c r="R30" s="8" t="n">
        <x:f>IFERROR(IFERROR(INDEX('04_Wycena_strona_nowa'!$K:$K,MATCH($A30,'04_Wycena_strona_nowa'!$A:$A,0)),""),"")</x:f>
        <x:v>16997</x:v>
      </x:c>
      <x:c r="S30" s="545" t="n">
        <x:f>IF(OR(Q30="",R30=""),"",R30-Q30)</x:f>
        <x:v>-1900</x:v>
      </x:c>
    </x:row>
    <x:row r="31">
      <x:c r="A31" s="6" t="inlineStr">
        <x:is>
          <x:t xml:space="preserve">400 x 1206 cm</x:t>
        </x:is>
      </x:c>
      <x:c r="B31" s="8" t="n">
        <x:f>IFERROR(IFERROR(INDEX(EG_Wycena_strona!$B:$B,MATCH($A31,EG_Wycena_strona!$A:$A,0)),""),"")</x:f>
        <x:v>28590</x:v>
      </x:c>
      <x:c r="C31" s="8" t="n">
        <x:f>IFERROR(IFERROR(INDEX('04_Wycena_strona_nowa'!$B:$B,MATCH($A31,'04_Wycena_strona_nowa'!$A:$A,0)),""),"")</x:f>
        <x:v>27094</x:v>
      </x:c>
      <x:c r="D31" s="545" t="n">
        <x:f>IF(OR(B31="",C31=""),"",C31-B31)</x:f>
        <x:v>-1496</x:v>
      </x:c>
      <x:c r="E31" s="8" t="n">
        <x:f>IFERROR(IFERROR(INDEX(EG_Wycena_strona!$C:$C,MATCH($A31,EG_Wycena_strona!$A:$A,0)),""),"")</x:f>
        <x:v>32875</x:v>
      </x:c>
      <x:c r="F31" s="8" t="n">
        <x:f>IFERROR(IFERROR(INDEX('04_Wycena_strona_nowa'!$C:$C,MATCH($A31,'04_Wycena_strona_nowa'!$A:$A,0)),""),"")</x:f>
        <x:v>29311</x:v>
      </x:c>
      <x:c r="G31" s="545" t="n">
        <x:f>IF(OR(E31="",F31=""),"",F31-E31)</x:f>
        <x:v>-3564</x:v>
      </x:c>
      <x:c r="H31" s="8" t="n">
        <x:f>IFERROR(IFERROR(INDEX(EG_Wycena_strona!$D:$D,MATCH($A31,EG_Wycena_strona!$A:$A,0)),""),"")</x:f>
        <x:v>36146</x:v>
      </x:c>
      <x:c r="I31" s="8" t="n">
        <x:f>IFERROR(IFERROR(INDEX('04_Wycena_strona_nowa'!$D:$D,MATCH($A31,'04_Wycena_strona_nowa'!$A:$A,0)),""),"")</x:f>
        <x:v>32366</x:v>
      </x:c>
      <x:c r="J31" s="545" t="n">
        <x:f>IF(OR(H31="",I31=""),"",I31-H31)</x:f>
        <x:v>-3780</x:v>
      </x:c>
      <x:c r="K31" s="8" t="n">
        <x:f>IFERROR(IFERROR(INDEX(EG_Wycena_strona!$F:$F,MATCH($A31,EG_Wycena_strona!$A:$A,0)),""),"")</x:f>
        <x:v>17434</x:v>
      </x:c>
      <x:c r="L31" s="8" t="n">
        <x:f>IFERROR(IFERROR(INDEX('04_Wycena_strona_nowa'!$F:$F,MATCH($A31,'04_Wycena_strona_nowa'!$A:$A,0)),""),"")</x:f>
        <x:v>15228</x:v>
      </x:c>
      <x:c r="M31" s="545" t="n">
        <x:f>IF(OR(K31="",L31=""),"",L31-K31)</x:f>
        <x:v>-2206</x:v>
      </x:c>
      <x:c r="N31" s="8" t="n">
        <x:f>IFERROR(IFERROR(INDEX(EG_Wycena_strona!$G:$G,MATCH($A31,EG_Wycena_strona!$A:$A,0)),""),"")</x:f>
        <x:v>19330</x:v>
      </x:c>
      <x:c r="O31" s="8" t="n">
        <x:f>IFERROR(IFERROR(INDEX('04_Wycena_strona_nowa'!$G:$G,MATCH($A31,'04_Wycena_strona_nowa'!$A:$A,0)),""),"")</x:f>
        <x:v>16998</x:v>
      </x:c>
      <x:c r="P31" s="545" t="n">
        <x:f>IF(OR(N31="",O31=""),"",O31-N31)</x:f>
        <x:v>-2332</x:v>
      </x:c>
      <x:c r="Q31" s="8" t="n">
        <x:f>IFERROR(IFERROR(INDEX(EG_Wycena_strona!$K:$K,MATCH($A31,EG_Wycena_strona!$A:$A,0)),""),"")</x:f>
        <x:v>19807</x:v>
      </x:c>
      <x:c r="R31" s="8" t="n">
        <x:f>IFERROR(IFERROR(INDEX('04_Wycena_strona_nowa'!$K:$K,MATCH($A31,'04_Wycena_strona_nowa'!$A:$A,0)),""),"")</x:f>
        <x:v>17799</x:v>
      </x:c>
      <x:c r="S31" s="545" t="n">
        <x:f>IF(OR(Q31="",R31=""),"",R31-Q31)</x:f>
        <x:v>-2008</x:v>
      </x:c>
    </x:row>
    <x:row r="32">
      <x:c r="A32" s="6" t="inlineStr">
        <x:is>
          <x:t xml:space="preserve">450 x 306 cm</x:t>
        </x:is>
      </x:c>
      <x:c r="B32" s="8" t="n">
        <x:f>IFERROR(IFERROR(INDEX(EG_Wycena_strona!$B:$B,MATCH($A32,EG_Wycena_strona!$A:$A,0)),""),"")</x:f>
        <x:v>13285</x:v>
      </x:c>
      <x:c r="C32" s="8" t="n">
        <x:f>IFERROR(IFERROR(INDEX('04_Wycena_strona_nowa'!$B:$B,MATCH($A32,'04_Wycena_strona_nowa'!$A:$A,0)),""),"")</x:f>
        <x:v>12638</x:v>
      </x:c>
      <x:c r="D32" s="545" t="n">
        <x:f>IF(OR(B32="",C32=""),"",C32-B32)</x:f>
        <x:v>-647</x:v>
      </x:c>
      <x:c r="E32" s="8" t="n">
        <x:f>IFERROR(IFERROR(INDEX(EG_Wycena_strona!$C:$C,MATCH($A32,EG_Wycena_strona!$A:$A,0)),""),"")</x:f>
        <x:v>22375</x:v>
      </x:c>
      <x:c r="F32" s="8" t="n">
        <x:f>IFERROR(IFERROR(INDEX('04_Wycena_strona_nowa'!$C:$C,MATCH($A32,'04_Wycena_strona_nowa'!$A:$A,0)),""),"")</x:f>
        <x:v>20074</x:v>
      </x:c>
      <x:c r="G32" s="545" t="n">
        <x:f>IF(OR(E32="",F32=""),"",F32-E32)</x:f>
        <x:v>-2301</x:v>
      </x:c>
      <x:c r="H32" s="8" t="n">
        <x:f>IFERROR(IFERROR(INDEX(EG_Wycena_strona!$D:$D,MATCH($A32,EG_Wycena_strona!$A:$A,0)),""),"")</x:f>
        <x:v>24503</x:v>
      </x:c>
      <x:c r="I32" s="8" t="n">
        <x:f>IFERROR(IFERROR(INDEX('04_Wycena_strona_nowa'!$D:$D,MATCH($A32,'04_Wycena_strona_nowa'!$A:$A,0)),""),"")</x:f>
        <x:v>22060</x:v>
      </x:c>
      <x:c r="J32" s="545" t="n">
        <x:f>IF(OR(H32="",I32=""),"",I32-H32)</x:f>
        <x:v>-2443</x:v>
      </x:c>
      <x:c r="K32" s="8" t="n">
        <x:f>IFERROR(IFERROR(INDEX(EG_Wycena_strona!$F:$F,MATCH($A32,EG_Wycena_strona!$A:$A,0)),""),"")</x:f>
        <x:v>5079</x:v>
      </x:c>
      <x:c r="L32" s="8" t="n">
        <x:f>IFERROR(IFERROR(INDEX('04_Wycena_strona_nowa'!$F:$F,MATCH($A32,'04_Wycena_strona_nowa'!$A:$A,0)),""),"")</x:f>
        <x:v>4291</x:v>
      </x:c>
      <x:c r="M32" s="545" t="n">
        <x:f>IF(OR(K32="",L32=""),"",L32-K32)</x:f>
        <x:v>-788</x:v>
      </x:c>
      <x:c r="N32" s="8" t="n">
        <x:f>IFERROR(IFERROR(INDEX(EG_Wycena_strona!$G:$G,MATCH($A32,EG_Wycena_strona!$A:$A,0)),""),"")</x:f>
        <x:v>5597</x:v>
      </x:c>
      <x:c r="O32" s="8" t="n">
        <x:f>IFERROR(IFERROR(INDEX('04_Wycena_strona_nowa'!$G:$G,MATCH($A32,'04_Wycena_strona_nowa'!$A:$A,0)),""),"")</x:f>
        <x:v>4775</x:v>
      </x:c>
      <x:c r="P32" s="545" t="n">
        <x:f>IF(OR(N32="",O32=""),"",O32-N32)</x:f>
        <x:v>-822</x:v>
      </x:c>
      <x:c r="Q32" s="8" t="n">
        <x:f>IFERROR(IFERROR(INDEX(EG_Wycena_strona!$K:$K,MATCH($A32,EG_Wycena_strona!$A:$A,0)),""),"")</x:f>
        <x:v>5777</x:v>
      </x:c>
      <x:c r="R32" s="8" t="n">
        <x:f>IFERROR(IFERROR(INDEX('04_Wycena_strona_nowa'!$K:$K,MATCH($A32,'04_Wycena_strona_nowa'!$A:$A,0)),""),"")</x:f>
        <x:v>5195</x:v>
      </x:c>
      <x:c r="S32" s="545" t="n">
        <x:f>IF(OR(Q32="",R32=""),"",R32-Q32)</x:f>
        <x:v>-582</x:v>
      </x:c>
    </x:row>
    <x:row r="33">
      <x:c r="A33" s="6" t="inlineStr">
        <x:is>
          <x:t xml:space="preserve">450 x 406 cm</x:t>
        </x:is>
      </x:c>
      <x:c r="B33" s="8" t="n">
        <x:f>IFERROR(IFERROR(INDEX(EG_Wycena_strona!$B:$B,MATCH($A33,EG_Wycena_strona!$A:$A,0)),""),"")</x:f>
        <x:v>16111</x:v>
      </x:c>
      <x:c r="C33" s="8" t="n">
        <x:f>IFERROR(IFERROR(INDEX('04_Wycena_strona_nowa'!$B:$B,MATCH($A33,'04_Wycena_strona_nowa'!$A:$A,0)),""),"")</x:f>
        <x:v>15297</x:v>
      </x:c>
      <x:c r="D33" s="545" t="n">
        <x:f>IF(OR(B33="",C33=""),"",C33-B33)</x:f>
        <x:v>-814</x:v>
      </x:c>
      <x:c r="E33" s="8" t="n">
        <x:f>IFERROR(IFERROR(INDEX(EG_Wycena_strona!$C:$C,MATCH($A33,EG_Wycena_strona!$A:$A,0)),""),"")</x:f>
        <x:v>23812</x:v>
      </x:c>
      <x:c r="F33" s="8" t="n">
        <x:f>IFERROR(IFERROR(INDEX('04_Wycena_strona_nowa'!$C:$C,MATCH($A33,'04_Wycena_strona_nowa'!$A:$A,0)),""),"")</x:f>
        <x:v>21316</x:v>
      </x:c>
      <x:c r="G33" s="545" t="n">
        <x:f>IF(OR(E33="",F33=""),"",F33-E33)</x:f>
        <x:v>-2496</x:v>
      </x:c>
      <x:c r="H33" s="8" t="n">
        <x:f>IFERROR(IFERROR(INDEX(EG_Wycena_strona!$D:$D,MATCH($A33,EG_Wycena_strona!$A:$A,0)),""),"")</x:f>
        <x:v>26102</x:v>
      </x:c>
      <x:c r="I33" s="8" t="n">
        <x:f>IFERROR(IFERROR(INDEX('04_Wycena_strona_nowa'!$D:$D,MATCH($A33,'04_Wycena_strona_nowa'!$A:$A,0)),""),"")</x:f>
        <x:v>23455</x:v>
      </x:c>
      <x:c r="J33" s="545" t="n">
        <x:f>IF(OR(H33="",I33=""),"",I33-H33)</x:f>
        <x:v>-2647</x:v>
      </x:c>
      <x:c r="K33" s="8" t="n">
        <x:f>IFERROR(IFERROR(INDEX(EG_Wycena_strona!$F:$F,MATCH($A33,EG_Wycena_strona!$A:$A,0)),""),"")</x:f>
        <x:v>7036</x:v>
      </x:c>
      <x:c r="L33" s="8" t="n">
        <x:f>IFERROR(IFERROR(INDEX('04_Wycena_strona_nowa'!$F:$F,MATCH($A33,'04_Wycena_strona_nowa'!$A:$A,0)),""),"")</x:f>
        <x:v>6061</x:v>
      </x:c>
      <x:c r="M33" s="545" t="n">
        <x:f>IF(OR(K33="",L33=""),"",L33-K33)</x:f>
        <x:v>-975</x:v>
      </x:c>
      <x:c r="N33" s="8" t="n">
        <x:f>IFERROR(IFERROR(INDEX(EG_Wycena_strona!$G:$G,MATCH($A33,EG_Wycena_strona!$A:$A,0)),""),"")</x:f>
        <x:v>7719</x:v>
      </x:c>
      <x:c r="O33" s="8" t="n">
        <x:f>IFERROR(IFERROR(INDEX('04_Wycena_strona_nowa'!$G:$G,MATCH($A33,'04_Wycena_strona_nowa'!$A:$A,0)),""),"")</x:f>
        <x:v>6698</x:v>
      </x:c>
      <x:c r="P33" s="545" t="n">
        <x:f>IF(OR(N33="",O33=""),"",O33-N33)</x:f>
        <x:v>-1021</x:v>
      </x:c>
      <x:c r="Q33" s="8" t="n">
        <x:f>IFERROR(IFERROR(INDEX(EG_Wycena_strona!$K:$K,MATCH($A33,EG_Wycena_strona!$A:$A,0)),""),"")</x:f>
        <x:v>6634</x:v>
      </x:c>
      <x:c r="R33" s="8" t="n">
        <x:f>IFERROR(IFERROR(INDEX('04_Wycena_strona_nowa'!$K:$K,MATCH($A33,'04_Wycena_strona_nowa'!$A:$A,0)),""),"")</x:f>
        <x:v>5946</x:v>
      </x:c>
      <x:c r="S33" s="545" t="n">
        <x:f>IF(OR(Q33="",R33=""),"",R33-Q33)</x:f>
        <x:v>-688</x:v>
      </x:c>
    </x:row>
    <x:row r="34">
      <x:c r="A34" s="6" t="inlineStr">
        <x:is>
          <x:t xml:space="preserve">450 x 506 cm</x:t>
        </x:is>
      </x:c>
      <x:c r="B34" s="8" t="n">
        <x:f>IFERROR(IFERROR(INDEX(EG_Wycena_strona!$B:$B,MATCH($A34,EG_Wycena_strona!$A:$A,0)),""),"")</x:f>
        <x:v>19387</x:v>
      </x:c>
      <x:c r="C34" s="8" t="n">
        <x:f>IFERROR(IFERROR(INDEX('04_Wycena_strona_nowa'!$B:$B,MATCH($A34,'04_Wycena_strona_nowa'!$A:$A,0)),""),"")</x:f>
        <x:v>18377</x:v>
      </x:c>
      <x:c r="D34" s="545" t="n">
        <x:f>IF(OR(B34="",C34=""),"",C34-B34)</x:f>
        <x:v>-1010</x:v>
      </x:c>
      <x:c r="E34" s="8" t="n">
        <x:f>IFERROR(IFERROR(INDEX(EG_Wycena_strona!$C:$C,MATCH($A34,EG_Wycena_strona!$A:$A,0)),""),"")</x:f>
        <x:v>25578</x:v>
      </x:c>
      <x:c r="F34" s="8" t="n">
        <x:f>IFERROR(IFERROR(INDEX('04_Wycena_strona_nowa'!$C:$C,MATCH($A34,'04_Wycena_strona_nowa'!$A:$A,0)),""),"")</x:f>
        <x:v>22839</x:v>
      </x:c>
      <x:c r="G34" s="545" t="n">
        <x:f>IF(OR(E34="",F34=""),"",F34-E34)</x:f>
        <x:v>-2739</x:v>
      </x:c>
      <x:c r="H34" s="8" t="n">
        <x:f>IFERROR(IFERROR(INDEX(EG_Wycena_strona!$D:$D,MATCH($A34,EG_Wycena_strona!$A:$A,0)),""),"")</x:f>
        <x:v>28032</x:v>
      </x:c>
      <x:c r="I34" s="8" t="n">
        <x:f>IFERROR(IFERROR(INDEX('04_Wycena_strona_nowa'!$D:$D,MATCH($A34,'04_Wycena_strona_nowa'!$A:$A,0)),""),"")</x:f>
        <x:v>25130</x:v>
      </x:c>
      <x:c r="J34" s="545" t="n">
        <x:f>IF(OR(H34="",I34=""),"",I34-H34)</x:f>
        <x:v>-2902</x:v>
      </x:c>
      <x:c r="K34" s="8" t="n">
        <x:f>IFERROR(IFERROR(INDEX(EG_Wycena_strona!$F:$F,MATCH($A34,EG_Wycena_strona!$A:$A,0)),""),"")</x:f>
        <x:v>9019</x:v>
      </x:c>
      <x:c r="L34" s="8" t="n">
        <x:f>IFERROR(IFERROR(INDEX('04_Wycena_strona_nowa'!$F:$F,MATCH($A34,'04_Wycena_strona_nowa'!$A:$A,0)),""),"")</x:f>
        <x:v>7843</x:v>
      </x:c>
      <x:c r="M34" s="545" t="n">
        <x:f>IF(OR(K34="",L34=""),"",L34-K34)</x:f>
        <x:v>-1176</x:v>
      </x:c>
      <x:c r="N34" s="8" t="n">
        <x:f>IFERROR(IFERROR(INDEX(EG_Wycena_strona!$G:$G,MATCH($A34,EG_Wycena_strona!$A:$A,0)),""),"")</x:f>
        <x:v>9879</x:v>
      </x:c>
      <x:c r="O34" s="8" t="n">
        <x:f>IFERROR(IFERROR(INDEX('04_Wycena_strona_nowa'!$G:$G,MATCH($A34,'04_Wycena_strona_nowa'!$A:$A,0)),""),"")</x:f>
        <x:v>8644</x:v>
      </x:c>
      <x:c r="P34" s="545" t="n">
        <x:f>IF(OR(N34="",O34=""),"",O34-N34)</x:f>
        <x:v>-1235</x:v>
      </x:c>
      <x:c r="Q34" s="8" t="n">
        <x:f>IFERROR(IFERROR(INDEX(EG_Wycena_strona!$K:$K,MATCH($A34,EG_Wycena_strona!$A:$A,0)),""),"")</x:f>
        <x:v>7711</x:v>
      </x:c>
      <x:c r="R34" s="8" t="n">
        <x:f>IFERROR(IFERROR(INDEX('04_Wycena_strona_nowa'!$K:$K,MATCH($A34,'04_Wycena_strona_nowa'!$A:$A,0)),""),"")</x:f>
        <x:v>6901</x:v>
      </x:c>
      <x:c r="S34" s="545" t="n">
        <x:f>IF(OR(Q34="",R34=""),"",R34-Q34)</x:f>
        <x:v>-810</x:v>
      </x:c>
    </x:row>
    <x:row r="35">
      <x:c r="A35" s="6" t="inlineStr">
        <x:is>
          <x:t xml:space="preserve">450 x 606 cm</x:t>
        </x:is>
      </x:c>
      <x:c r="B35" s="8" t="n">
        <x:f>IFERROR(IFERROR(INDEX(EG_Wycena_strona!$B:$B,MATCH($A35,EG_Wycena_strona!$A:$A,0)),""),"")</x:f>
        <x:v>22227</x:v>
      </x:c>
      <x:c r="C35" s="8" t="n">
        <x:f>IFERROR(IFERROR(INDEX('04_Wycena_strona_nowa'!$B:$B,MATCH($A35,'04_Wycena_strona_nowa'!$A:$A,0)),""),"")</x:f>
        <x:v>21049</x:v>
      </x:c>
      <x:c r="D35" s="545" t="n">
        <x:f>IF(OR(B35="",C35=""),"",C35-B35)</x:f>
        <x:v>-1178</x:v>
      </x:c>
      <x:c r="E35" s="8" t="n">
        <x:f>IFERROR(IFERROR(INDEX(EG_Wycena_strona!$C:$C,MATCH($A35,EG_Wycena_strona!$A:$A,0)),""),"")</x:f>
        <x:v>27408</x:v>
      </x:c>
      <x:c r="F35" s="8" t="n">
        <x:f>IFERROR(IFERROR(INDEX('04_Wycena_strona_nowa'!$C:$C,MATCH($A35,'04_Wycena_strona_nowa'!$A:$A,0)),""),"")</x:f>
        <x:v>24436</x:v>
      </x:c>
      <x:c r="G35" s="545" t="n">
        <x:f>IF(OR(E35="",F35=""),"",F35-E35)</x:f>
        <x:v>-2972</x:v>
      </x:c>
      <x:c r="H35" s="8" t="n">
        <x:f>IFERROR(IFERROR(INDEX(EG_Wycena_strona!$D:$D,MATCH($A35,EG_Wycena_strona!$A:$A,0)),""),"")</x:f>
        <x:v>30026</x:v>
      </x:c>
      <x:c r="I35" s="8" t="n">
        <x:f>IFERROR(IFERROR(INDEX('04_Wycena_strona_nowa'!$D:$D,MATCH($A35,'04_Wycena_strona_nowa'!$A:$A,0)),""),"")</x:f>
        <x:v>26880</x:v>
      </x:c>
      <x:c r="J35" s="545" t="n">
        <x:f>IF(OR(H35="",I35=""),"",I35-H35)</x:f>
        <x:v>-3146</x:v>
      </x:c>
      <x:c r="K35" s="8" t="n">
        <x:f>IFERROR(IFERROR(INDEX(EG_Wycena_strona!$F:$F,MATCH($A35,EG_Wycena_strona!$A:$A,0)),""),"")</x:f>
        <x:v>11030</x:v>
      </x:c>
      <x:c r="L35" s="8" t="n">
        <x:f>IFERROR(IFERROR(INDEX('04_Wycena_strona_nowa'!$F:$F,MATCH($A35,'04_Wycena_strona_nowa'!$A:$A,0)),""),"")</x:f>
        <x:v>9600</x:v>
      </x:c>
      <x:c r="M35" s="545" t="n">
        <x:f>IF(OR(K35="",L35=""),"",L35-K35)</x:f>
        <x:v>-1430</x:v>
      </x:c>
      <x:c r="N35" s="8" t="n">
        <x:f>IFERROR(IFERROR(INDEX(EG_Wycena_strona!$G:$G,MATCH($A35,EG_Wycena_strona!$A:$A,0)),""),"")</x:f>
        <x:v>12067</x:v>
      </x:c>
      <x:c r="O35" s="8" t="n">
        <x:f>IFERROR(IFERROR(INDEX('04_Wycena_strona_nowa'!$G:$G,MATCH($A35,'04_Wycena_strona_nowa'!$A:$A,0)),""),"")</x:f>
        <x:v>10568</x:v>
      </x:c>
      <x:c r="P35" s="545" t="n">
        <x:f>IF(OR(N35="",O35=""),"",O35-N35)</x:f>
        <x:v>-1499</x:v>
      </x:c>
      <x:c r="Q35" s="8" t="n">
        <x:f>IFERROR(IFERROR(INDEX(EG_Wycena_strona!$K:$K,MATCH($A35,EG_Wycena_strona!$A:$A,0)),""),"")</x:f>
        <x:v>11500</x:v>
      </x:c>
      <x:c r="R35" s="8" t="n">
        <x:f>IFERROR(IFERROR(INDEX('04_Wycena_strona_nowa'!$K:$K,MATCH($A35,'04_Wycena_strona_nowa'!$A:$A,0)),""),"")</x:f>
        <x:v>10389</x:v>
      </x:c>
      <x:c r="S35" s="545" t="n">
        <x:f>IF(OR(Q35="",R35=""),"",R35-Q35)</x:f>
        <x:v>-1111</x:v>
      </x:c>
    </x:row>
    <x:row r="36">
      <x:c r="A36" s="6" t="inlineStr">
        <x:is>
          <x:t xml:space="preserve">450 x 706 cm</x:t>
        </x:is>
      </x:c>
      <x:c r="B36" s="8" t="n">
        <x:f>IFERROR(IFERROR(INDEX(EG_Wycena_strona!$B:$B,MATCH($A36,EG_Wycena_strona!$A:$A,0)),""),"")</x:f>
        <x:v>26646</x:v>
      </x:c>
      <x:c r="C36" s="8" t="n">
        <x:f>IFERROR(IFERROR(INDEX('04_Wycena_strona_nowa'!$B:$B,MATCH($A36,'04_Wycena_strona_nowa'!$A:$A,0)),""),"")</x:f>
        <x:v>25196</x:v>
      </x:c>
      <x:c r="D36" s="545" t="n">
        <x:f>IF(OR(B36="",C36=""),"",C36-B36)</x:f>
        <x:v>-1450</x:v>
      </x:c>
      <x:c r="E36" s="8" t="n">
        <x:f>IFERROR(IFERROR(INDEX(EG_Wycena_strona!$C:$C,MATCH($A36,EG_Wycena_strona!$A:$A,0)),""),"")</x:f>
        <x:v>27638</x:v>
      </x:c>
      <x:c r="F36" s="8" t="n">
        <x:f>IFERROR(IFERROR(INDEX('04_Wycena_strona_nowa'!$C:$C,MATCH($A36,'04_Wycena_strona_nowa'!$A:$A,0)),""),"")</x:f>
        <x:v>24535</x:v>
      </x:c>
      <x:c r="G36" s="545" t="n">
        <x:f>IF(OR(E36="",F36=""),"",F36-E36)</x:f>
        <x:v>-3103</x:v>
      </x:c>
      <x:c r="H36" s="8" t="n">
        <x:f>IFERROR(IFERROR(INDEX(EG_Wycena_strona!$D:$D,MATCH($A36,EG_Wycena_strona!$A:$A,0)),""),"")</x:f>
        <x:v>30419</x:v>
      </x:c>
      <x:c r="I36" s="8" t="n">
        <x:f>IFERROR(IFERROR(INDEX('04_Wycena_strona_nowa'!$D:$D,MATCH($A36,'04_Wycena_strona_nowa'!$A:$A,0)),""),"")</x:f>
        <x:v>27133</x:v>
      </x:c>
      <x:c r="J36" s="545" t="n">
        <x:f>IF(OR(H36="",I36=""),"",I36-H36)</x:f>
        <x:v>-3286</x:v>
      </x:c>
      <x:c r="K36" s="8" t="n">
        <x:f>IFERROR(IFERROR(INDEX(EG_Wycena_strona!$F:$F,MATCH($A36,EG_Wycena_strona!$A:$A,0)),""),"")</x:f>
        <x:v>13015</x:v>
      </x:c>
      <x:c r="L36" s="8" t="n">
        <x:f>IFERROR(IFERROR(INDEX('04_Wycena_strona_nowa'!$F:$F,MATCH($A36,'04_Wycena_strona_nowa'!$A:$A,0)),""),"")</x:f>
        <x:v>11369</x:v>
      </x:c>
      <x:c r="M36" s="545" t="n">
        <x:f>IF(OR(K36="",L36=""),"",L36-K36)</x:f>
        <x:v>-1646</x:v>
      </x:c>
      <x:c r="N36" s="8" t="n">
        <x:f>IFERROR(IFERROR(INDEX(EG_Wycena_strona!$G:$G,MATCH($A36,EG_Wycena_strona!$A:$A,0)),""),"")</x:f>
        <x:v>14215</x:v>
      </x:c>
      <x:c r="O36" s="8" t="n">
        <x:f>IFERROR(IFERROR(INDEX('04_Wycena_strona_nowa'!$G:$G,MATCH($A36,'04_Wycena_strona_nowa'!$A:$A,0)),""),"")</x:f>
        <x:v>12489</x:v>
      </x:c>
      <x:c r="P36" s="545" t="n">
        <x:f>IF(OR(N36="",O36=""),"",O36-N36)</x:f>
        <x:v>-1726</x:v>
      </x:c>
      <x:c r="Q36" s="8" t="n">
        <x:f>IFERROR(IFERROR(INDEX(EG_Wycena_strona!$K:$K,MATCH($A36,EG_Wycena_strona!$A:$A,0)),""),"")</x:f>
        <x:v>12411</x:v>
      </x:c>
      <x:c r="R36" s="8" t="n">
        <x:f>IFERROR(IFERROR(INDEX('04_Wycena_strona_nowa'!$K:$K,MATCH($A36,'04_Wycena_strona_nowa'!$A:$A,0)),""),"")</x:f>
        <x:v>11140</x:v>
      </x:c>
      <x:c r="S36" s="545" t="n">
        <x:f>IF(OR(Q36="",R36=""),"",R36-Q36)</x:f>
        <x:v>-1271</x:v>
      </x:c>
    </x:row>
    <x:row r="37">
      <x:c r="A37" s="6" t="inlineStr">
        <x:is>
          <x:t xml:space="preserve">450 x 806 cm</x:t>
        </x:is>
      </x:c>
      <x:c r="B37" s="8" t="n">
        <x:f>IFERROR(IFERROR(INDEX(EG_Wycena_strona!$B:$B,MATCH($A37,EG_Wycena_strona!$A:$A,0)),""),"")</x:f>
        <x:v>29485</x:v>
      </x:c>
      <x:c r="C37" s="8" t="n">
        <x:f>IFERROR(IFERROR(INDEX('04_Wycena_strona_nowa'!$B:$B,MATCH($A37,'04_Wycena_strona_nowa'!$A:$A,0)),""),"")</x:f>
        <x:v>27870</x:v>
      </x:c>
      <x:c r="D37" s="545" t="n">
        <x:f>IF(OR(B37="",C37=""),"",C37-B37)</x:f>
        <x:v>-1615</x:v>
      </x:c>
      <x:c r="E37" s="8" t="n">
        <x:f>IFERROR(IFERROR(INDEX(EG_Wycena_strona!$C:$C,MATCH($A37,EG_Wycena_strona!$A:$A,0)),""),"")</x:f>
        <x:v>29037</x:v>
      </x:c>
      <x:c r="F37" s="8" t="n">
        <x:f>IFERROR(IFERROR(INDEX('04_Wycena_strona_nowa'!$C:$C,MATCH($A37,'04_Wycena_strona_nowa'!$A:$A,0)),""),"")</x:f>
        <x:v>25740</x:v>
      </x:c>
      <x:c r="G37" s="545" t="n">
        <x:f>IF(OR(E37="",F37=""),"",F37-E37)</x:f>
        <x:v>-3297</x:v>
      </x:c>
      <x:c r="H37" s="8" t="n">
        <x:f>IFERROR(IFERROR(INDEX(EG_Wycena_strona!$D:$D,MATCH($A37,EG_Wycena_strona!$A:$A,0)),""),"")</x:f>
        <x:v>31982</x:v>
      </x:c>
      <x:c r="I37" s="8" t="n">
        <x:f>IFERROR(IFERROR(INDEX('04_Wycena_strona_nowa'!$D:$D,MATCH($A37,'04_Wycena_strona_nowa'!$A:$A,0)),""),"")</x:f>
        <x:v>28490</x:v>
      </x:c>
      <x:c r="J37" s="545" t="n">
        <x:f>IF(OR(H37="",I37=""),"",I37-H37)</x:f>
        <x:v>-3492</x:v>
      </x:c>
      <x:c r="K37" s="8" t="n">
        <x:f>IFERROR(IFERROR(INDEX(EG_Wycena_strona!$F:$F,MATCH($A37,EG_Wycena_strona!$A:$A,0)),""),"")</x:f>
        <x:v>15012</x:v>
      </x:c>
      <x:c r="L37" s="8" t="n">
        <x:f>IFERROR(IFERROR(INDEX('04_Wycena_strona_nowa'!$F:$F,MATCH($A37,'04_Wycena_strona_nowa'!$A:$A,0)),""),"")</x:f>
        <x:v>13126</x:v>
      </x:c>
      <x:c r="M37" s="545" t="n">
        <x:f>IF(OR(K37="",L37=""),"",L37-K37)</x:f>
        <x:v>-1886</x:v>
      </x:c>
      <x:c r="N37" s="8" t="n">
        <x:f>IFERROR(IFERROR(INDEX(EG_Wycena_strona!$G:$G,MATCH($A37,EG_Wycena_strona!$A:$A,0)),""),"")</x:f>
        <x:v>16390</x:v>
      </x:c>
      <x:c r="O37" s="8" t="n">
        <x:f>IFERROR(IFERROR(INDEX('04_Wycena_strona_nowa'!$G:$G,MATCH($A37,'04_Wycena_strona_nowa'!$A:$A,0)),""),"")</x:f>
        <x:v>14411</x:v>
      </x:c>
      <x:c r="P37" s="545" t="n">
        <x:f>IF(OR(N37="",O37=""),"",O37-N37)</x:f>
        <x:v>-1979</x:v>
      </x:c>
      <x:c r="Q37" s="8" t="n">
        <x:f>IFERROR(IFERROR(INDEX(EG_Wycena_strona!$K:$K,MATCH($A37,EG_Wycena_strona!$A:$A,0)),""),"")</x:f>
        <x:v>13269</x:v>
      </x:c>
      <x:c r="R37" s="8" t="n">
        <x:f>IFERROR(IFERROR(INDEX('04_Wycena_strona_nowa'!$K:$K,MATCH($A37,'04_Wycena_strona_nowa'!$A:$A,0)),""),"")</x:f>
        <x:v>11891</x:v>
      </x:c>
      <x:c r="S37" s="545" t="n">
        <x:f>IF(OR(Q37="",R37=""),"",R37-Q37)</x:f>
        <x:v>-1378</x:v>
      </x:c>
    </x:row>
    <x:row r="38">
      <x:c r="A38" s="6" t="inlineStr">
        <x:is>
          <x:t xml:space="preserve">450 x 906 cm</x:t>
        </x:is>
      </x:c>
      <x:c r="B38" s="8" t="n">
        <x:f>IFERROR(IFERROR(INDEX(EG_Wycena_strona!$B:$B,MATCH($A38,EG_Wycena_strona!$A:$A,0)),""),"")</x:f>
        <x:v>32992</x:v>
      </x:c>
      <x:c r="C38" s="8" t="n">
        <x:f>IFERROR(IFERROR(INDEX('04_Wycena_strona_nowa'!$B:$B,MATCH($A38,'04_Wycena_strona_nowa'!$A:$A,0)),""),"")</x:f>
        <x:v>31166</x:v>
      </x:c>
      <x:c r="D38" s="545" t="n">
        <x:f>IF(OR(B38="",C38=""),"",C38-B38)</x:f>
        <x:v>-1826</x:v>
      </x:c>
      <x:c r="E38" s="8" t="n">
        <x:f>IFERROR(IFERROR(INDEX(EG_Wycena_strona!$C:$C,MATCH($A38,EG_Wycena_strona!$A:$A,0)),""),"")</x:f>
        <x:v>30807</x:v>
      </x:c>
      <x:c r="F38" s="8" t="n">
        <x:f>IFERROR(IFERROR(INDEX('04_Wycena_strona_nowa'!$C:$C,MATCH($A38,'04_Wycena_strona_nowa'!$A:$A,0)),""),"")</x:f>
        <x:v>27261</x:v>
      </x:c>
      <x:c r="G38" s="545" t="n">
        <x:f>IF(OR(E38="",F38=""),"",F38-E38)</x:f>
        <x:v>-3546</x:v>
      </x:c>
      <x:c r="H38" s="8" t="n">
        <x:f>IFERROR(IFERROR(INDEX(EG_Wycena_strona!$D:$D,MATCH($A38,EG_Wycena_strona!$A:$A,0)),""),"")</x:f>
        <x:v>33916</x:v>
      </x:c>
      <x:c r="I38" s="8" t="n">
        <x:f>IFERROR(IFERROR(INDEX('04_Wycena_strona_nowa'!$D:$D,MATCH($A38,'04_Wycena_strona_nowa'!$A:$A,0)),""),"")</x:f>
        <x:v>30164</x:v>
      </x:c>
      <x:c r="J38" s="545" t="n">
        <x:f>IF(OR(H38="",I38=""),"",I38-H38)</x:f>
        <x:v>-3752</x:v>
      </x:c>
      <x:c r="K38" s="8" t="n">
        <x:f>IFERROR(IFERROR(INDEX(EG_Wycena_strona!$F:$F,MATCH($A38,EG_Wycena_strona!$A:$A,0)),""),"")</x:f>
        <x:v>16983</x:v>
      </x:c>
      <x:c r="L38" s="8" t="n">
        <x:f>IFERROR(IFERROR(INDEX('04_Wycena_strona_nowa'!$F:$F,MATCH($A38,'04_Wycena_strona_nowa'!$A:$A,0)),""),"")</x:f>
        <x:v>14895</x:v>
      </x:c>
      <x:c r="M38" s="545" t="n">
        <x:f>IF(OR(K38="",L38=""),"",L38-K38)</x:f>
        <x:v>-2088</x:v>
      </x:c>
      <x:c r="N38" s="8" t="n">
        <x:f>IFERROR(IFERROR(INDEX(EG_Wycena_strona!$G:$G,MATCH($A38,EG_Wycena_strona!$A:$A,0)),""),"")</x:f>
        <x:v>18538</x:v>
      </x:c>
      <x:c r="O38" s="8" t="n">
        <x:f>IFERROR(IFERROR(INDEX('04_Wycena_strona_nowa'!$G:$G,MATCH($A38,'04_Wycena_strona_nowa'!$A:$A,0)),""),"")</x:f>
        <x:v>16347</x:v>
      </x:c>
      <x:c r="P38" s="545" t="n">
        <x:f>IF(OR(N38="",O38=""),"",O38-N38)</x:f>
        <x:v>-2191</x:v>
      </x:c>
      <x:c r="Q38" s="8" t="n">
        <x:f>IFERROR(IFERROR(INDEX(EG_Wycena_strona!$K:$K,MATCH($A38,EG_Wycena_strona!$A:$A,0)),""),"")</x:f>
        <x:v>14346</x:v>
      </x:c>
      <x:c r="R38" s="8" t="n">
        <x:f>IFERROR(IFERROR(INDEX('04_Wycena_strona_nowa'!$K:$K,MATCH($A38,'04_Wycena_strona_nowa'!$A:$A,0)),""),"")</x:f>
        <x:v>12846</x:v>
      </x:c>
      <x:c r="S38" s="545" t="n">
        <x:f>IF(OR(Q38="",R38=""),"",R38-Q38)</x:f>
        <x:v>-1500</x:v>
      </x:c>
    </x:row>
    <x:row r="39">
      <x:c r="A39" s="6" t="inlineStr">
        <x:is>
          <x:t xml:space="preserve">450 x 1006 cm</x:t>
        </x:is>
      </x:c>
      <x:c r="B39" s="8" t="n">
        <x:f>IFERROR(IFERROR(INDEX(EG_Wycena_strona!$B:$B,MATCH($A39,EG_Wycena_strona!$A:$A,0)),""),"")</x:f>
        <x:v>35843</x:v>
      </x:c>
      <x:c r="C39" s="8" t="n">
        <x:f>IFERROR(IFERROR(INDEX('04_Wycena_strona_nowa'!$B:$B,MATCH($A39,'04_Wycena_strona_nowa'!$A:$A,0)),""),"")</x:f>
        <x:v>33849</x:v>
      </x:c>
      <x:c r="D39" s="545" t="n">
        <x:f>IF(OR(B39="",C39=""),"",C39-B39)</x:f>
        <x:v>-1994</x:v>
      </x:c>
      <x:c r="E39" s="8" t="n">
        <x:f>IFERROR(IFERROR(INDEX(EG_Wycena_strona!$C:$C,MATCH($A39,EG_Wycena_strona!$A:$A,0)),""),"")</x:f>
        <x:v>32561</x:v>
      </x:c>
      <x:c r="F39" s="8" t="n">
        <x:f>IFERROR(IFERROR(INDEX('04_Wycena_strona_nowa'!$C:$C,MATCH($A39,'04_Wycena_strona_nowa'!$A:$A,0)),""),"")</x:f>
        <x:v>28786</x:v>
      </x:c>
      <x:c r="G39" s="545" t="n">
        <x:f>IF(OR(E39="",F39=""),"",F39-E39)</x:f>
        <x:v>-3775</x:v>
      </x:c>
      <x:c r="H39" s="8" t="n">
        <x:f>IFERROR(IFERROR(INDEX(EG_Wycena_strona!$D:$D,MATCH($A39,EG_Wycena_strona!$A:$A,0)),""),"")</x:f>
        <x:v>35832</x:v>
      </x:c>
      <x:c r="I39" s="8" t="n">
        <x:f>IFERROR(IFERROR(INDEX('04_Wycena_strona_nowa'!$D:$D,MATCH($A39,'04_Wycena_strona_nowa'!$A:$A,0)),""),"")</x:f>
        <x:v>31841</x:v>
      </x:c>
      <x:c r="J39" s="545" t="n">
        <x:f>IF(OR(H39="",I39=""),"",I39-H39)</x:f>
        <x:v>-3991</x:v>
      </x:c>
      <x:c r="K39" s="8" t="n">
        <x:f>IFERROR(IFERROR(INDEX(EG_Wycena_strona!$F:$F,MATCH($A39,EG_Wycena_strona!$A:$A,0)),""),"")</x:f>
        <x:v>18981</x:v>
      </x:c>
      <x:c r="L39" s="8" t="n">
        <x:f>IFERROR(IFERROR(INDEX('04_Wycena_strona_nowa'!$F:$F,MATCH($A39,'04_Wycena_strona_nowa'!$A:$A,0)),""),"")</x:f>
        <x:v>16665</x:v>
      </x:c>
      <x:c r="M39" s="545" t="n">
        <x:f>IF(OR(K39="",L39=""),"",L39-K39)</x:f>
        <x:v>-2316</x:v>
      </x:c>
      <x:c r="N39" s="8" t="n">
        <x:f>IFERROR(IFERROR(INDEX(EG_Wycena_strona!$G:$G,MATCH($A39,EG_Wycena_strona!$A:$A,0)),""),"")</x:f>
        <x:v>20699</x:v>
      </x:c>
      <x:c r="O39" s="8" t="n">
        <x:f>IFERROR(IFERROR(INDEX('04_Wycena_strona_nowa'!$G:$G,MATCH($A39,'04_Wycena_strona_nowa'!$A:$A,0)),""),"")</x:f>
        <x:v>18269</x:v>
      </x:c>
      <x:c r="P39" s="545" t="n">
        <x:f>IF(OR(N39="",O39=""),"",O39-N39)</x:f>
        <x:v>-2430</x:v>
      </x:c>
      <x:c r="Q39" s="8" t="n">
        <x:f>IFERROR(IFERROR(INDEX(EG_Wycena_strona!$K:$K,MATCH($A39,EG_Wycena_strona!$A:$A,0)),""),"")</x:f>
        <x:v>15407</x:v>
      </x:c>
      <x:c r="R39" s="8" t="n">
        <x:f>IFERROR(IFERROR(INDEX('04_Wycena_strona_nowa'!$K:$K,MATCH($A39,'04_Wycena_strona_nowa'!$A:$A,0)),""),"")</x:f>
        <x:v>13788</x:v>
      </x:c>
      <x:c r="S39" s="545" t="n">
        <x:f>IF(OR(Q39="",R39=""),"",R39-Q39)</x:f>
        <x:v>-1619</x:v>
      </x:c>
    </x:row>
    <x:row r="40">
      <x:c r="A40" s="6" t="inlineStr">
        <x:is>
          <x:t xml:space="preserve">450 x 1106 cm</x:t>
        </x:is>
      </x:c>
      <x:c r="B40" s="8" t="n">
        <x:f>IFERROR(IFERROR(INDEX(EG_Wycena_strona!$B:$B,MATCH($A40,EG_Wycena_strona!$A:$A,0)),""),"")</x:f>
        <x:v>39869</x:v>
      </x:c>
      <x:c r="C40" s="8" t="n">
        <x:f>IFERROR(IFERROR(INDEX('04_Wycena_strona_nowa'!$B:$B,MATCH($A40,'04_Wycena_strona_nowa'!$A:$A,0)),""),"")</x:f>
        <x:v>37628</x:v>
      </x:c>
      <x:c r="D40" s="545" t="n">
        <x:f>IF(OR(B40="",C40=""),"",C40-B40)</x:f>
        <x:v>-2241</x:v>
      </x:c>
      <x:c r="E40" s="8" t="n">
        <x:f>IFERROR(IFERROR(INDEX(EG_Wycena_strona!$C:$C,MATCH($A40,EG_Wycena_strona!$A:$A,0)),""),"")</x:f>
        <x:v>34390</x:v>
      </x:c>
      <x:c r="F40" s="8" t="n">
        <x:f>IFERROR(IFERROR(INDEX('04_Wycena_strona_nowa'!$C:$C,MATCH($A40,'04_Wycena_strona_nowa'!$A:$A,0)),""),"")</x:f>
        <x:v>30348</x:v>
      </x:c>
      <x:c r="G40" s="545" t="n">
        <x:f>IF(OR(E40="",F40=""),"",F40-E40)</x:f>
        <x:v>-4042</x:v>
      </x:c>
      <x:c r="H40" s="8" t="n">
        <x:f>IFERROR(IFERROR(INDEX(EG_Wycena_strona!$D:$D,MATCH($A40,EG_Wycena_strona!$A:$A,0)),""),"")</x:f>
        <x:v>37825</x:v>
      </x:c>
      <x:c r="I40" s="8" t="n">
        <x:f>IFERROR(IFERROR(INDEX('04_Wycena_strona_nowa'!$D:$D,MATCH($A40,'04_Wycena_strona_nowa'!$A:$A,0)),""),"")</x:f>
        <x:v>33557</x:v>
      </x:c>
      <x:c r="J40" s="545" t="n">
        <x:f>IF(OR(H40="",I40=""),"",I40-H40)</x:f>
        <x:v>-4268</x:v>
      </x:c>
      <x:c r="K40" s="8" t="n">
        <x:f>IFERROR(IFERROR(INDEX(EG_Wycena_strona!$F:$F,MATCH($A40,EG_Wycena_strona!$A:$A,0)),""),"")</x:f>
        <x:v>20977</x:v>
      </x:c>
      <x:c r="L40" s="8" t="n">
        <x:f>IFERROR(IFERROR(INDEX('04_Wycena_strona_nowa'!$F:$F,MATCH($A40,'04_Wycena_strona_nowa'!$A:$A,0)),""),"")</x:f>
        <x:v>18449</x:v>
      </x:c>
      <x:c r="M40" s="545" t="n">
        <x:f>IF(OR(K40="",L40=""),"",L40-K40)</x:f>
        <x:v>-2528</x:v>
      </x:c>
      <x:c r="N40" s="8" t="n">
        <x:f>IFERROR(IFERROR(INDEX(EG_Wycena_strona!$G:$G,MATCH($A40,EG_Wycena_strona!$A:$A,0)),""),"")</x:f>
        <x:v>22859</x:v>
      </x:c>
      <x:c r="O40" s="8" t="n">
        <x:f>IFERROR(IFERROR(INDEX('04_Wycena_strona_nowa'!$G:$G,MATCH($A40,'04_Wycena_strona_nowa'!$A:$A,0)),""),"")</x:f>
        <x:v>20206</x:v>
      </x:c>
      <x:c r="P40" s="545" t="n">
        <x:f>IF(OR(N40="",O40=""),"",O40-N40)</x:f>
        <x:v>-2653</x:v>
      </x:c>
      <x:c r="Q40" s="8" t="n">
        <x:f>IFERROR(IFERROR(INDEX(EG_Wycena_strona!$K:$K,MATCH($A40,EG_Wycena_strona!$A:$A,0)),""),"")</x:f>
        <x:v>18992</x:v>
      </x:c>
      <x:c r="R40" s="8" t="n">
        <x:f>IFERROR(IFERROR(INDEX('04_Wycena_strona_nowa'!$K:$K,MATCH($A40,'04_Wycena_strona_nowa'!$A:$A,0)),""),"")</x:f>
        <x:v>17087</x:v>
      </x:c>
      <x:c r="S40" s="545" t="n">
        <x:f>IF(OR(Q40="",R40=""),"",R40-Q40)</x:f>
        <x:v>-1905</x:v>
      </x:c>
    </x:row>
    <x:row r="41">
      <x:c r="A41" s="6" t="inlineStr">
        <x:is>
          <x:t xml:space="preserve">450 x 1206 cm</x:t>
        </x:is>
      </x:c>
      <x:c r="B41" s="8" t="n">
        <x:f>IFERROR(IFERROR(INDEX(EG_Wycena_strona!$B:$B,MATCH($A41,EG_Wycena_strona!$A:$A,0)),""),"")</x:f>
        <x:v>42710</x:v>
      </x:c>
      <x:c r="C41" s="8" t="n">
        <x:f>IFERROR(IFERROR(INDEX('04_Wycena_strona_nowa'!$B:$B,MATCH($A41,'04_Wycena_strona_nowa'!$A:$A,0)),""),"")</x:f>
        <x:v>40302</x:v>
      </x:c>
      <x:c r="D41" s="545" t="n">
        <x:f>IF(OR(B41="",C41=""),"",C41-B41)</x:f>
        <x:v>-2408</x:v>
      </x:c>
      <x:c r="E41" s="8" t="n">
        <x:f>IFERROR(IFERROR(INDEX(EG_Wycena_strona!$C:$C,MATCH($A41,EG_Wycena_strona!$A:$A,0)),""),"")</x:f>
        <x:v>36235</x:v>
      </x:c>
      <x:c r="F41" s="8" t="n">
        <x:f>IFERROR(IFERROR(INDEX('04_Wycena_strona_nowa'!$C:$C,MATCH($A41,'04_Wycena_strona_nowa'!$A:$A,0)),""),"")</x:f>
        <x:v>31957</x:v>
      </x:c>
      <x:c r="G41" s="545" t="n">
        <x:f>IF(OR(E41="",F41=""),"",F41-E41)</x:f>
        <x:v>-4278</x:v>
      </x:c>
      <x:c r="H41" s="8" t="n">
        <x:f>IFERROR(IFERROR(INDEX(EG_Wycena_strona!$D:$D,MATCH($A41,EG_Wycena_strona!$A:$A,0)),""),"")</x:f>
        <x:v>39834</x:v>
      </x:c>
      <x:c r="I41" s="8" t="n">
        <x:f>IFERROR(IFERROR(INDEX('04_Wycena_strona_nowa'!$D:$D,MATCH($A41,'04_Wycena_strona_nowa'!$A:$A,0)),""),"")</x:f>
        <x:v>35318</x:v>
      </x:c>
      <x:c r="J41" s="545" t="n">
        <x:f>IF(OR(H41="",I41=""),"",I41-H41)</x:f>
        <x:v>-4516</x:v>
      </x:c>
      <x:c r="K41" s="8" t="n">
        <x:f>IFERROR(IFERROR(INDEX(EG_Wycena_strona!$F:$F,MATCH($A41,EG_Wycena_strona!$A:$A,0)),""),"")</x:f>
        <x:v>20153</x:v>
      </x:c>
      <x:c r="L41" s="8" t="n">
        <x:f>IFERROR(IFERROR(INDEX('04_Wycena_strona_nowa'!$F:$F,MATCH($A41,'04_Wycena_strona_nowa'!$A:$A,0)),""),"")</x:f>
        <x:v>20205</x:v>
      </x:c>
      <x:c r="M41" s="545" t="n">
        <x:f>IF(OR(K41="",L41=""),"",L41-K41)</x:f>
        <x:v>52</x:v>
      </x:c>
      <x:c r="N41" s="8" t="n">
        <x:f>IFERROR(IFERROR(INDEX(EG_Wycena_strona!$G:$G,MATCH($A41,EG_Wycena_strona!$A:$A,0)),""),"")</x:f>
        <x:v>22211</x:v>
      </x:c>
      <x:c r="O41" s="8" t="n">
        <x:f>IFERROR(IFERROR(INDEX('04_Wycena_strona_nowa'!$G:$G,MATCH($A41,'04_Wycena_strona_nowa'!$A:$A,0)),""),"")</x:f>
        <x:v>22128</x:v>
      </x:c>
      <x:c r="P41" s="545" t="n">
        <x:f>IF(OR(N41="",O41=""),"",O41-N41)</x:f>
        <x:v>-83</x:v>
      </x:c>
      <x:c r="Q41" s="8" t="n">
        <x:f>IFERROR(IFERROR(INDEX(EG_Wycena_strona!$K:$K,MATCH($A41,EG_Wycena_strona!$A:$A,0)),""),"")</x:f>
        <x:v>19849</x:v>
      </x:c>
      <x:c r="R41" s="8" t="n">
        <x:f>IFERROR(IFERROR(INDEX('04_Wycena_strona_nowa'!$K:$K,MATCH($A41,'04_Wycena_strona_nowa'!$A:$A,0)),""),"")</x:f>
        <x:v>17837</x:v>
      </x:c>
      <x:c r="S41" s="545" t="n">
        <x:f>IF(OR(Q41="",R41=""),"",R41-Q41)</x:f>
        <x:v>-2012</x:v>
      </x:c>
    </x:row>
    <x:row r="42">
      <x:c r="A42" s="6" t="inlineStr">
        <x:is>
          <x:t xml:space="preserve">500 x 306 cm</x:t>
        </x:is>
      </x:c>
      <x:c r="B42" s="8" t="n">
        <x:f>IFERROR(IFERROR(INDEX(EG_Wycena_strona!$B:$B,MATCH($A42,EG_Wycena_strona!$A:$A,0)),""),"")</x:f>
        <x:v>14053</x:v>
      </x:c>
      <x:c r="C42" s="8" t="n">
        <x:f>IFERROR(IFERROR(INDEX('04_Wycena_strona_nowa'!$B:$B,MATCH($A42,'04_Wycena_strona_nowa'!$A:$A,0)),""),"")</x:f>
        <x:v>13364</x:v>
      </x:c>
      <x:c r="D42" s="545" t="n">
        <x:f>IF(OR(B42="",C42=""),"",C42-B42)</x:f>
        <x:v>-689</x:v>
      </x:c>
      <x:c r="E42" s="8" t="n">
        <x:f>IFERROR(IFERROR(INDEX(EG_Wycena_strona!$C:$C,MATCH($A42,EG_Wycena_strona!$A:$A,0)),""),"")</x:f>
        <x:v>22725</x:v>
      </x:c>
      <x:c r="F42" s="8" t="n">
        <x:f>IFERROR(IFERROR(INDEX('04_Wycena_strona_nowa'!$C:$C,MATCH($A42,'04_Wycena_strona_nowa'!$A:$A,0)),""),"")</x:f>
        <x:v>20382</x:v>
      </x:c>
      <x:c r="G42" s="545" t="n">
        <x:f>IF(OR(E42="",F42=""),"",F42-E42)</x:f>
        <x:v>-2343</x:v>
      </x:c>
      <x:c r="H42" s="8" t="n">
        <x:f>IFERROR(IFERROR(INDEX(EG_Wycena_strona!$D:$D,MATCH($A42,EG_Wycena_strona!$A:$A,0)),""),"")</x:f>
        <x:v>24853</x:v>
      </x:c>
      <x:c r="I42" s="8" t="n">
        <x:f>IFERROR(IFERROR(INDEX('04_Wycena_strona_nowa'!$D:$D,MATCH($A42,'04_Wycena_strona_nowa'!$A:$A,0)),""),"")</x:f>
        <x:v>22368</x:v>
      </x:c>
      <x:c r="J42" s="545" t="n">
        <x:f>IF(OR(H42="",I42=""),"",I42-H42)</x:f>
        <x:v>-2485</x:v>
      </x:c>
      <x:c r="K42" s="8" t="n">
        <x:f>IFERROR(IFERROR(INDEX(EG_Wycena_strona!$F:$F,MATCH($A42,EG_Wycena_strona!$A:$A,0)),""),"")</x:f>
        <x:v>5606</x:v>
      </x:c>
      <x:c r="L42" s="8" t="n">
        <x:f>IFERROR(IFERROR(INDEX('04_Wycena_strona_nowa'!$F:$F,MATCH($A42,'04_Wycena_strona_nowa'!$A:$A,0)),""),"")</x:f>
        <x:v>4775</x:v>
      </x:c>
      <x:c r="M42" s="545" t="n">
        <x:f>IF(OR(K42="",L42=""),"",L42-K42)</x:f>
        <x:v>-831</x:v>
      </x:c>
      <x:c r="N42" s="8" t="n">
        <x:f>IFERROR(IFERROR(INDEX(EG_Wycena_strona!$G:$G,MATCH($A42,EG_Wycena_strona!$A:$A,0)),""),"")</x:f>
        <x:v>6181</x:v>
      </x:c>
      <x:c r="O42" s="8" t="n">
        <x:f>IFERROR(IFERROR(INDEX('04_Wycena_strona_nowa'!$G:$G,MATCH($A42,'04_Wycena_strona_nowa'!$A:$A,0)),""),"")</x:f>
        <x:v>5309</x:v>
      </x:c>
      <x:c r="P42" s="545" t="n">
        <x:f>IF(OR(N42="",O42=""),"",O42-N42)</x:f>
        <x:v>-872</x:v>
      </x:c>
      <x:c r="Q42" s="8" t="n">
        <x:f>IFERROR(IFERROR(INDEX(EG_Wycena_strona!$K:$K,MATCH($A42,EG_Wycena_strona!$A:$A,0)),""),"")</x:f>
        <x:v>5777</x:v>
      </x:c>
      <x:c r="R42" s="8" t="n">
        <x:f>IFERROR(IFERROR(INDEX('04_Wycena_strona_nowa'!$K:$K,MATCH($A42,'04_Wycena_strona_nowa'!$A:$A,0)),""),"")</x:f>
        <x:v>5195</x:v>
      </x:c>
      <x:c r="S42" s="545" t="n">
        <x:f>IF(OR(Q42="",R42=""),"",R42-Q42)</x:f>
        <x:v>-582</x:v>
      </x:c>
    </x:row>
    <x:row r="43">
      <x:c r="A43" s="6" t="inlineStr">
        <x:is>
          <x:t xml:space="preserve">500 x 406 cm</x:t>
        </x:is>
      </x:c>
      <x:c r="B43" s="8" t="n">
        <x:f>IFERROR(IFERROR(INDEX(EG_Wycena_strona!$B:$B,MATCH($A43,EG_Wycena_strona!$A:$A,0)),""),"")</x:f>
        <x:v>17094</x:v>
      </x:c>
      <x:c r="C43" s="8" t="n">
        <x:f>IFERROR(IFERROR(INDEX('04_Wycena_strona_nowa'!$B:$B,MATCH($A43,'04_Wycena_strona_nowa'!$A:$A,0)),""),"")</x:f>
        <x:v>16225</x:v>
      </x:c>
      <x:c r="D43" s="545" t="n">
        <x:f>IF(OR(B43="",C43=""),"",C43-B43)</x:f>
        <x:v>-869</x:v>
      </x:c>
      <x:c r="E43" s="8" t="n">
        <x:f>IFERROR(IFERROR(INDEX(EG_Wycena_strona!$C:$C,MATCH($A43,EG_Wycena_strona!$A:$A,0)),""),"")</x:f>
        <x:v>24120</x:v>
      </x:c>
      <x:c r="F43" s="8" t="n">
        <x:f>IFERROR(IFERROR(INDEX('04_Wycena_strona_nowa'!$C:$C,MATCH($A43,'04_Wycena_strona_nowa'!$A:$A,0)),""),"")</x:f>
        <x:v>21575</x:v>
      </x:c>
      <x:c r="G43" s="545" t="n">
        <x:f>IF(OR(E43="",F43=""),"",F43-E43)</x:f>
        <x:v>-2545</x:v>
      </x:c>
      <x:c r="H43" s="8" t="n">
        <x:f>IFERROR(IFERROR(INDEX(EG_Wycena_strona!$D:$D,MATCH($A43,EG_Wycena_strona!$A:$A,0)),""),"")</x:f>
        <x:v>26410</x:v>
      </x:c>
      <x:c r="I43" s="8" t="n">
        <x:f>IFERROR(IFERROR(INDEX('04_Wycena_strona_nowa'!$D:$D,MATCH($A43,'04_Wycena_strona_nowa'!$A:$A,0)),""),"")</x:f>
        <x:v>23714</x:v>
      </x:c>
      <x:c r="J43" s="545" t="n">
        <x:f>IF(OR(H43="",I43=""),"",I43-H43)</x:f>
        <x:v>-2696</x:v>
      </x:c>
      <x:c r="K43" s="8" t="n">
        <x:f>IFERROR(IFERROR(INDEX(EG_Wycena_strona!$F:$F,MATCH($A43,EG_Wycena_strona!$A:$A,0)),""),"")</x:f>
        <x:v>7802</x:v>
      </x:c>
      <x:c r="L43" s="8" t="n">
        <x:f>IFERROR(IFERROR(INDEX('04_Wycena_strona_nowa'!$F:$F,MATCH($A43,'04_Wycena_strona_nowa'!$A:$A,0)),""),"")</x:f>
        <x:v>6735</x:v>
      </x:c>
      <x:c r="M43" s="545" t="n">
        <x:f>IF(OR(K43="",L43=""),"",L43-K43)</x:f>
        <x:v>-1067</x:v>
      </x:c>
      <x:c r="N43" s="8" t="n">
        <x:f>IFERROR(IFERROR(INDEX(EG_Wycena_strona!$G:$G,MATCH($A43,EG_Wycena_strona!$A:$A,0)),""),"")</x:f>
        <x:v>8567</x:v>
      </x:c>
      <x:c r="O43" s="8" t="n">
        <x:f>IFERROR(IFERROR(INDEX('04_Wycena_strona_nowa'!$G:$G,MATCH($A43,'04_Wycena_strona_nowa'!$A:$A,0)),""),"")</x:f>
        <x:v>7448</x:v>
      </x:c>
      <x:c r="P43" s="545" t="n">
        <x:f>IF(OR(N43="",O43=""),"",O43-N43)</x:f>
        <x:v>-1119</x:v>
      </x:c>
      <x:c r="Q43" s="8" t="n">
        <x:f>IFERROR(IFERROR(INDEX(EG_Wycena_strona!$K:$K,MATCH($A43,EG_Wycena_strona!$A:$A,0)),""),"")</x:f>
        <x:v>6634</x:v>
      </x:c>
      <x:c r="R43" s="8" t="n">
        <x:f>IFERROR(IFERROR(INDEX('04_Wycena_strona_nowa'!$K:$K,MATCH($A43,'04_Wycena_strona_nowa'!$A:$A,0)),""),"")</x:f>
        <x:v>5946</x:v>
      </x:c>
      <x:c r="S43" s="545" t="n">
        <x:f>IF(OR(Q43="",R43=""),"",R43-Q43)</x:f>
        <x:v>-688</x:v>
      </x:c>
    </x:row>
    <x:row r="44">
      <x:c r="A44" s="6" t="inlineStr">
        <x:is>
          <x:t xml:space="preserve">500 x 506 cm</x:t>
        </x:is>
      </x:c>
      <x:c r="B44" s="8" t="n">
        <x:f>IFERROR(IFERROR(INDEX(EG_Wycena_strona!$B:$B,MATCH($A44,EG_Wycena_strona!$A:$A,0)),""),"")</x:f>
        <x:v>20561</x:v>
      </x:c>
      <x:c r="C44" s="8" t="n">
        <x:f>IFERROR(IFERROR(INDEX('04_Wycena_strona_nowa'!$B:$B,MATCH($A44,'04_Wycena_strona_nowa'!$A:$A,0)),""),"")</x:f>
        <x:v>19482</x:v>
      </x:c>
      <x:c r="D44" s="545" t="n">
        <x:f>IF(OR(B44="",C44=""),"",C44-B44)</x:f>
        <x:v>-1079</x:v>
      </x:c>
      <x:c r="E44" s="8" t="n">
        <x:f>IFERROR(IFERROR(INDEX(EG_Wycena_strona!$C:$C,MATCH($A44,EG_Wycena_strona!$A:$A,0)),""),"")</x:f>
        <x:v>25862</x:v>
      </x:c>
      <x:c r="F44" s="8" t="n">
        <x:f>IFERROR(IFERROR(INDEX('04_Wycena_strona_nowa'!$C:$C,MATCH($A44,'04_Wycena_strona_nowa'!$A:$A,0)),""),"")</x:f>
        <x:v>23074</x:v>
      </x:c>
      <x:c r="G44" s="545" t="n">
        <x:f>IF(OR(E44="",F44=""),"",F44-E44)</x:f>
        <x:v>-2788</x:v>
      </x:c>
      <x:c r="H44" s="8" t="n">
        <x:f>IFERROR(IFERROR(INDEX(EG_Wycena_strona!$D:$D,MATCH($A44,EG_Wycena_strona!$A:$A,0)),""),"")</x:f>
        <x:v>28316</x:v>
      </x:c>
      <x:c r="I44" s="8" t="n">
        <x:f>IFERROR(IFERROR(INDEX('04_Wycena_strona_nowa'!$D:$D,MATCH($A44,'04_Wycena_strona_nowa'!$A:$A,0)),""),"")</x:f>
        <x:v>25365</x:v>
      </x:c>
      <x:c r="J44" s="545" t="n">
        <x:f>IF(OR(H44="",I44=""),"",I44-H44)</x:f>
        <x:v>-2951</x:v>
      </x:c>
      <x:c r="K44" s="8" t="n">
        <x:f>IFERROR(IFERROR(INDEX(EG_Wycena_strona!$F:$F,MATCH($A44,EG_Wycena_strona!$A:$A,0)),""),"")</x:f>
        <x:v>10025</x:v>
      </x:c>
      <x:c r="L44" s="8" t="n">
        <x:f>IFERROR(IFERROR(INDEX('04_Wycena_strona_nowa'!$F:$F,MATCH($A44,'04_Wycena_strona_nowa'!$A:$A,0)),""),"")</x:f>
        <x:v>8696</x:v>
      </x:c>
      <x:c r="M44" s="545" t="n">
        <x:f>IF(OR(K44="",L44=""),"",L44-K44)</x:f>
        <x:v>-1329</x:v>
      </x:c>
      <x:c r="N44" s="8" t="n">
        <x:f>IFERROR(IFERROR(INDEX(EG_Wycena_strona!$G:$G,MATCH($A44,EG_Wycena_strona!$A:$A,0)),""),"")</x:f>
        <x:v>10981</x:v>
      </x:c>
      <x:c r="O44" s="8" t="n">
        <x:f>IFERROR(IFERROR(INDEX('04_Wycena_strona_nowa'!$G:$G,MATCH($A44,'04_Wycena_strona_nowa'!$A:$A,0)),""),"")</x:f>
        <x:v>9587</x:v>
      </x:c>
      <x:c r="P44" s="545" t="n">
        <x:f>IF(OR(N44="",O44=""),"",O44-N44)</x:f>
        <x:v>-1394</x:v>
      </x:c>
      <x:c r="Q44" s="8" t="n">
        <x:f>IFERROR(IFERROR(INDEX(EG_Wycena_strona!$K:$K,MATCH($A44,EG_Wycena_strona!$A:$A,0)),""),"")</x:f>
        <x:v>7711</x:v>
      </x:c>
      <x:c r="R44" s="8" t="n">
        <x:f>IFERROR(IFERROR(INDEX('04_Wycena_strona_nowa'!$K:$K,MATCH($A44,'04_Wycena_strona_nowa'!$A:$A,0)),""),"")</x:f>
        <x:v>6901</x:v>
      </x:c>
      <x:c r="S44" s="545" t="n">
        <x:f>IF(OR(Q44="",R44=""),"",R44-Q44)</x:f>
        <x:v>-810</x:v>
      </x:c>
    </x:row>
    <x:row r="45">
      <x:c r="A45" s="6" t="inlineStr">
        <x:is>
          <x:t xml:space="preserve">500 x 606 cm</x:t>
        </x:is>
      </x:c>
      <x:c r="B45" s="8" t="n">
        <x:f>IFERROR(IFERROR(INDEX(EG_Wycena_strona!$B:$B,MATCH($A45,EG_Wycena_strona!$A:$A,0)),""),"")</x:f>
        <x:v>23579</x:v>
      </x:c>
      <x:c r="C45" s="8" t="n">
        <x:f>IFERROR(IFERROR(INDEX('04_Wycena_strona_nowa'!$B:$B,MATCH($A45,'04_Wycena_strona_nowa'!$A:$A,0)),""),"")</x:f>
        <x:v>22320</x:v>
      </x:c>
      <x:c r="D45" s="545" t="n">
        <x:f>IF(OR(B45="",C45=""),"",C45-B45)</x:f>
        <x:v>-1259</x:v>
      </x:c>
      <x:c r="E45" s="8" t="n">
        <x:f>IFERROR(IFERROR(INDEX(EG_Wycena_strona!$C:$C,MATCH($A45,EG_Wycena_strona!$A:$A,0)),""),"")</x:f>
        <x:v>27728</x:v>
      </x:c>
      <x:c r="F45" s="8" t="n">
        <x:f>IFERROR(IFERROR(INDEX('04_Wycena_strona_nowa'!$C:$C,MATCH($A45,'04_Wycena_strona_nowa'!$A:$A,0)),""),"")</x:f>
        <x:v>24696</x:v>
      </x:c>
      <x:c r="G45" s="545" t="n">
        <x:f>IF(OR(E45="",F45=""),"",F45-E45)</x:f>
        <x:v>-3032</x:v>
      </x:c>
      <x:c r="H45" s="8" t="n">
        <x:f>IFERROR(IFERROR(INDEX(EG_Wycena_strona!$D:$D,MATCH($A45,EG_Wycena_strona!$A:$A,0)),""),"")</x:f>
        <x:v>30346</x:v>
      </x:c>
      <x:c r="I45" s="8" t="n">
        <x:f>IFERROR(IFERROR(INDEX('04_Wycena_strona_nowa'!$D:$D,MATCH($A45,'04_Wycena_strona_nowa'!$A:$A,0)),""),"")</x:f>
        <x:v>27140</x:v>
      </x:c>
      <x:c r="J45" s="545" t="n">
        <x:f>IF(OR(H45="",I45=""),"",I45-H45)</x:f>
        <x:v>-3206</x:v>
      </x:c>
      <x:c r="K45" s="8" t="n">
        <x:f>IFERROR(IFERROR(INDEX(EG_Wycena_strona!$F:$F,MATCH($A45,EG_Wycena_strona!$A:$A,0)),""),"")</x:f>
        <x:v>12206</x:v>
      </x:c>
      <x:c r="L45" s="8" t="n">
        <x:f>IFERROR(IFERROR(INDEX('04_Wycena_strona_nowa'!$F:$F,MATCH($A45,'04_Wycena_strona_nowa'!$A:$A,0)),""),"")</x:f>
        <x:v>10669</x:v>
      </x:c>
      <x:c r="M45" s="545" t="n">
        <x:f>IF(OR(K45="",L45=""),"",L45-K45)</x:f>
        <x:v>-1537</x:v>
      </x:c>
      <x:c r="N45" s="8" t="n">
        <x:f>IFERROR(IFERROR(INDEX(EG_Wycena_strona!$G:$G,MATCH($A45,EG_Wycena_strona!$A:$A,0)),""),"")</x:f>
        <x:v>13352</x:v>
      </x:c>
      <x:c r="O45" s="8" t="n">
        <x:f>IFERROR(IFERROR(INDEX('04_Wycena_strona_nowa'!$G:$G,MATCH($A45,'04_Wycena_strona_nowa'!$A:$A,0)),""),"")</x:f>
        <x:v>11738</x:v>
      </x:c>
      <x:c r="P45" s="545" t="n">
        <x:f>IF(OR(N45="",O45=""),"",O45-N45)</x:f>
        <x:v>-1614</x:v>
      </x:c>
      <x:c r="Q45" s="8" t="n">
        <x:f>IFERROR(IFERROR(INDEX(EG_Wycena_strona!$K:$K,MATCH($A45,EG_Wycena_strona!$A:$A,0)),""),"")</x:f>
        <x:v>11500</x:v>
      </x:c>
      <x:c r="R45" s="8" t="n">
        <x:f>IFERROR(IFERROR(INDEX('04_Wycena_strona_nowa'!$K:$K,MATCH($A45,'04_Wycena_strona_nowa'!$A:$A,0)),""),"")</x:f>
        <x:v>10389</x:v>
      </x:c>
      <x:c r="S45" s="545" t="n">
        <x:f>IF(OR(Q45="",R45=""),"",R45-Q45)</x:f>
        <x:v>-1111</x:v>
      </x:c>
    </x:row>
    <x:row r="46">
      <x:c r="A46" s="6" t="inlineStr">
        <x:is>
          <x:t xml:space="preserve">500 x 706 cm</x:t>
        </x:is>
      </x:c>
      <x:c r="B46" s="8" t="n">
        <x:f>IFERROR(IFERROR(INDEX(EG_Wycena_strona!$B:$B,MATCH($A46,EG_Wycena_strona!$A:$A,0)),""),"")</x:f>
        <x:v>28257</x:v>
      </x:c>
      <x:c r="C46" s="8" t="n">
        <x:f>IFERROR(IFERROR(INDEX('04_Wycena_strona_nowa'!$B:$B,MATCH($A46,'04_Wycena_strona_nowa'!$A:$A,0)),""),"")</x:f>
        <x:v>26712</x:v>
      </x:c>
      <x:c r="D46" s="545" t="n">
        <x:f>IF(OR(B46="",C46=""),"",C46-B46)</x:f>
        <x:v>-1545</x:v>
      </x:c>
      <x:c r="E46" s="8" t="n">
        <x:f>IFERROR(IFERROR(INDEX(EG_Wycena_strona!$C:$C,MATCH($A46,EG_Wycena_strona!$A:$A,0)),""),"")</x:f>
        <x:v>27935</x:v>
      </x:c>
      <x:c r="F46" s="8" t="n">
        <x:f>IFERROR(IFERROR(INDEX('04_Wycena_strona_nowa'!$C:$C,MATCH($A46,'04_Wycena_strona_nowa'!$A:$A,0)),""),"")</x:f>
        <x:v>24769</x:v>
      </x:c>
      <x:c r="G46" s="545" t="n">
        <x:f>IF(OR(E46="",F46=""),"",F46-E46)</x:f>
        <x:v>-3166</x:v>
      </x:c>
      <x:c r="H46" s="8" t="n">
        <x:f>IFERROR(IFERROR(INDEX(EG_Wycena_strona!$D:$D,MATCH($A46,EG_Wycena_strona!$A:$A,0)),""),"")</x:f>
        <x:v>30716</x:v>
      </x:c>
      <x:c r="I46" s="8" t="n">
        <x:f>IFERROR(IFERROR(INDEX('04_Wycena_strona_nowa'!$D:$D,MATCH($A46,'04_Wycena_strona_nowa'!$A:$A,0)),""),"")</x:f>
        <x:v>27367</x:v>
      </x:c>
      <x:c r="J46" s="545" t="n">
        <x:f>IF(OR(H46="",I46=""),"",I46-H46)</x:f>
        <x:v>-3349</x:v>
      </x:c>
      <x:c r="K46" s="8" t="n">
        <x:f>IFERROR(IFERROR(INDEX(EG_Wycena_strona!$F:$F,MATCH($A46,EG_Wycena_strona!$A:$A,0)),""),"")</x:f>
        <x:v>14415</x:v>
      </x:c>
      <x:c r="L46" s="8" t="n">
        <x:f>IFERROR(IFERROR(INDEX('04_Wycena_strona_nowa'!$F:$F,MATCH($A46,'04_Wycena_strona_nowa'!$A:$A,0)),""),"")</x:f>
        <x:v>12618</x:v>
      </x:c>
      <x:c r="M46" s="545" t="n">
        <x:f>IF(OR(K46="",L46=""),"",L46-K46)</x:f>
        <x:v>-1797</x:v>
      </x:c>
      <x:c r="N46" s="8" t="n">
        <x:f>IFERROR(IFERROR(INDEX(EG_Wycena_strona!$G:$G,MATCH($A46,EG_Wycena_strona!$A:$A,0)),""),"")</x:f>
        <x:v>15751</x:v>
      </x:c>
      <x:c r="O46" s="8" t="n">
        <x:f>IFERROR(IFERROR(INDEX('04_Wycena_strona_nowa'!$G:$G,MATCH($A46,'04_Wycena_strona_nowa'!$A:$A,0)),""),"")</x:f>
        <x:v>13866</x:v>
      </x:c>
      <x:c r="P46" s="545" t="n">
        <x:f>IF(OR(N46="",O46=""),"",O46-N46)</x:f>
        <x:v>-1885</x:v>
      </x:c>
      <x:c r="Q46" s="8" t="n">
        <x:f>IFERROR(IFERROR(INDEX(EG_Wycena_strona!$K:$K,MATCH($A46,EG_Wycena_strona!$A:$A,0)),""),"")</x:f>
        <x:v>12411</x:v>
      </x:c>
      <x:c r="R46" s="8" t="n">
        <x:f>IFERROR(IFERROR(INDEX('04_Wycena_strona_nowa'!$K:$K,MATCH($A46,'04_Wycena_strona_nowa'!$A:$A,0)),""),"")</x:f>
        <x:v>11140</x:v>
      </x:c>
      <x:c r="S46" s="545" t="n">
        <x:f>IF(OR(Q46="",R46=""),"",R46-Q46)</x:f>
        <x:v>-1271</x:v>
      </x:c>
    </x:row>
    <x:row r="47">
      <x:c r="A47" s="6" t="inlineStr">
        <x:is>
          <x:t xml:space="preserve">500 x 806 cm</x:t>
        </x:is>
      </x:c>
      <x:c r="B47" s="8" t="n">
        <x:f>IFERROR(IFERROR(INDEX(EG_Wycena_strona!$B:$B,MATCH($A47,EG_Wycena_strona!$A:$A,0)),""),"")</x:f>
        <x:v>31287</x:v>
      </x:c>
      <x:c r="C47" s="8" t="n">
        <x:f>IFERROR(IFERROR(INDEX('04_Wycena_strona_nowa'!$B:$B,MATCH($A47,'04_Wycena_strona_nowa'!$A:$A,0)),""),"")</x:f>
        <x:v>29561</x:v>
      </x:c>
      <x:c r="D47" s="545" t="n">
        <x:f>IF(OR(B47="",C47=""),"",C47-B47)</x:f>
        <x:v>-1726</x:v>
      </x:c>
      <x:c r="E47" s="8" t="n">
        <x:f>IFERROR(IFERROR(INDEX(EG_Wycena_strona!$C:$C,MATCH($A47,EG_Wycena_strona!$A:$A,0)),""),"")</x:f>
        <x:v>29341</x:v>
      </x:c>
      <x:c r="F47" s="8" t="n">
        <x:f>IFERROR(IFERROR(INDEX('04_Wycena_strona_nowa'!$C:$C,MATCH($A47,'04_Wycena_strona_nowa'!$A:$A,0)),""),"")</x:f>
        <x:v>25974</x:v>
      </x:c>
      <x:c r="G47" s="545" t="n">
        <x:f>IF(OR(E47="",F47=""),"",F47-E47)</x:f>
        <x:v>-3367</x:v>
      </x:c>
      <x:c r="H47" s="8" t="n">
        <x:f>IFERROR(IFERROR(INDEX(EG_Wycena_strona!$D:$D,MATCH($A47,EG_Wycena_strona!$A:$A,0)),""),"")</x:f>
        <x:v>32286</x:v>
      </x:c>
      <x:c r="I47" s="8" t="n">
        <x:f>IFERROR(IFERROR(INDEX('04_Wycena_strona_nowa'!$D:$D,MATCH($A47,'04_Wycena_strona_nowa'!$A:$A,0)),""),"")</x:f>
        <x:v>28724</x:v>
      </x:c>
      <x:c r="J47" s="545" t="n">
        <x:f>IF(OR(H47="",I47=""),"",I47-H47)</x:f>
        <x:v>-3562</x:v>
      </x:c>
      <x:c r="K47" s="8" t="n">
        <x:f>IFERROR(IFERROR(INDEX(EG_Wycena_strona!$F:$F,MATCH($A47,EG_Wycena_strona!$A:$A,0)),""),"")</x:f>
        <x:v>16635</x:v>
      </x:c>
      <x:c r="L47" s="8" t="n">
        <x:f>IFERROR(IFERROR(INDEX('04_Wycena_strona_nowa'!$F:$F,MATCH($A47,'04_Wycena_strona_nowa'!$A:$A,0)),""),"")</x:f>
        <x:v>14591</x:v>
      </x:c>
      <x:c r="M47" s="545" t="n">
        <x:f>IF(OR(K47="",L47=""),"",L47-K47)</x:f>
        <x:v>-2044</x:v>
      </x:c>
      <x:c r="N47" s="8" t="n">
        <x:f>IFERROR(IFERROR(INDEX(EG_Wycena_strona!$G:$G,MATCH($A47,EG_Wycena_strona!$A:$A,0)),""),"")</x:f>
        <x:v>18163</x:v>
      </x:c>
      <x:c r="O47" s="8" t="n">
        <x:f>IFERROR(IFERROR(INDEX('04_Wycena_strona_nowa'!$G:$G,MATCH($A47,'04_Wycena_strona_nowa'!$A:$A,0)),""),"")</x:f>
        <x:v>16018</x:v>
      </x:c>
      <x:c r="P47" s="545" t="n">
        <x:f>IF(OR(N47="",O47=""),"",O47-N47)</x:f>
        <x:v>-2145</x:v>
      </x:c>
      <x:c r="Q47" s="8" t="n">
        <x:f>IFERROR(IFERROR(INDEX(EG_Wycena_strona!$K:$K,MATCH($A47,EG_Wycena_strona!$A:$A,0)),""),"")</x:f>
        <x:v>13269</x:v>
      </x:c>
      <x:c r="R47" s="8" t="n">
        <x:f>IFERROR(IFERROR(INDEX('04_Wycena_strona_nowa'!$K:$K,MATCH($A47,'04_Wycena_strona_nowa'!$A:$A,0)),""),"")</x:f>
        <x:v>11891</x:v>
      </x:c>
      <x:c r="S47" s="545" t="n">
        <x:f>IF(OR(Q47="",R47=""),"",R47-Q47)</x:f>
        <x:v>-1378</x:v>
      </x:c>
    </x:row>
    <x:row r="48">
      <x:c r="A48" s="6" t="inlineStr">
        <x:is>
          <x:t xml:space="preserve">500 x 906 cm</x:t>
        </x:is>
      </x:c>
      <x:c r="B48" s="8" t="n">
        <x:f>IFERROR(IFERROR(INDEX(EG_Wycena_strona!$B:$B,MATCH($A48,EG_Wycena_strona!$A:$A,0)),""),"")</x:f>
        <x:v>34983</x:v>
      </x:c>
      <x:c r="C48" s="8" t="n">
        <x:f>IFERROR(IFERROR(INDEX('04_Wycena_strona_nowa'!$B:$B,MATCH($A48,'04_Wycena_strona_nowa'!$A:$A,0)),""),"")</x:f>
        <x:v>33036</x:v>
      </x:c>
      <x:c r="D48" s="545" t="n">
        <x:f>IF(OR(B48="",C48=""),"",C48-B48)</x:f>
        <x:v>-1947</x:v>
      </x:c>
      <x:c r="E48" s="8" t="n">
        <x:f>IFERROR(IFERROR(INDEX(EG_Wycena_strona!$C:$C,MATCH($A48,EG_Wycena_strona!$A:$A,0)),""),"")</x:f>
        <x:v>31090</x:v>
      </x:c>
      <x:c r="F48" s="8" t="n">
        <x:f>IFERROR(IFERROR(INDEX('04_Wycena_strona_nowa'!$C:$C,MATCH($A48,'04_Wycena_strona_nowa'!$A:$A,0)),""),"")</x:f>
        <x:v>27470</x:v>
      </x:c>
      <x:c r="G48" s="545" t="n">
        <x:f>IF(OR(E48="",F48=""),"",F48-E48)</x:f>
        <x:v>-3620</x:v>
      </x:c>
      <x:c r="H48" s="8" t="n">
        <x:f>IFERROR(IFERROR(INDEX(EG_Wycena_strona!$D:$D,MATCH($A48,EG_Wycena_strona!$A:$A,0)),""),"")</x:f>
        <x:v>34199</x:v>
      </x:c>
      <x:c r="I48" s="8" t="n">
        <x:f>IFERROR(IFERROR(INDEX('04_Wycena_strona_nowa'!$D:$D,MATCH($A48,'04_Wycena_strona_nowa'!$A:$A,0)),""),"")</x:f>
        <x:v>30373</x:v>
      </x:c>
      <x:c r="J48" s="545" t="n">
        <x:f>IF(OR(H48="",I48=""),"",I48-H48)</x:f>
        <x:v>-3826</x:v>
      </x:c>
      <x:c r="K48" s="8" t="n">
        <x:f>IFERROR(IFERROR(INDEX(EG_Wycena_strona!$F:$F,MATCH($A48,EG_Wycena_strona!$A:$A,0)),""),"")</x:f>
        <x:v>18845</x:v>
      </x:c>
      <x:c r="L48" s="8" t="n">
        <x:f>IFERROR(IFERROR(INDEX('04_Wycena_strona_nowa'!$F:$F,MATCH($A48,'04_Wycena_strona_nowa'!$A:$A,0)),""),"")</x:f>
        <x:v>16564</x:v>
      </x:c>
      <x:c r="M48" s="545" t="n">
        <x:f>IF(OR(K48="",L48=""),"",L48-K48)</x:f>
        <x:v>-2281</x:v>
      </x:c>
      <x:c r="N48" s="8" t="n">
        <x:f>IFERROR(IFERROR(INDEX(EG_Wycena_strona!$G:$G,MATCH($A48,EG_Wycena_strona!$A:$A,0)),""),"")</x:f>
        <x:v>20563</x:v>
      </x:c>
      <x:c r="O48" s="8" t="n">
        <x:f>IFERROR(IFERROR(INDEX('04_Wycena_strona_nowa'!$G:$G,MATCH($A48,'04_Wycena_strona_nowa'!$A:$A,0)),""),"")</x:f>
        <x:v>18168</x:v>
      </x:c>
      <x:c r="P48" s="545" t="n">
        <x:f>IF(OR(N48="",O48=""),"",O48-N48)</x:f>
        <x:v>-2395</x:v>
      </x:c>
      <x:c r="Q48" s="8" t="n">
        <x:f>IFERROR(IFERROR(INDEX(EG_Wycena_strona!$K:$K,MATCH($A48,EG_Wycena_strona!$A:$A,0)),""),"")</x:f>
        <x:v>14346</x:v>
      </x:c>
      <x:c r="R48" s="8" t="n">
        <x:f>IFERROR(IFERROR(INDEX('04_Wycena_strona_nowa'!$K:$K,MATCH($A48,'04_Wycena_strona_nowa'!$A:$A,0)),""),"")</x:f>
        <x:v>12846</x:v>
      </x:c>
      <x:c r="S48" s="545" t="n">
        <x:f>IF(OR(Q48="",R48=""),"",R48-Q48)</x:f>
        <x:v>-1500</x:v>
      </x:c>
    </x:row>
    <x:row r="49">
      <x:c r="A49" s="6" t="inlineStr">
        <x:is>
          <x:t xml:space="preserve">500 x 1006 cm</x:t>
        </x:is>
      </x:c>
      <x:c r="B49" s="8" t="n">
        <x:f>IFERROR(IFERROR(INDEX(EG_Wycena_strona!$B:$B,MATCH($A49,EG_Wycena_strona!$A:$A,0)),""),"")</x:f>
        <x:v>38014</x:v>
      </x:c>
      <x:c r="C49" s="8" t="n">
        <x:f>IFERROR(IFERROR(INDEX('04_Wycena_strona_nowa'!$B:$B,MATCH($A49,'04_Wycena_strona_nowa'!$A:$A,0)),""),"")</x:f>
        <x:v>35886</x:v>
      </x:c>
      <x:c r="D49" s="545" t="n">
        <x:f>IF(OR(B49="",C49=""),"",C49-B49)</x:f>
        <x:v>-2128</x:v>
      </x:c>
      <x:c r="E49" s="8" t="n">
        <x:f>IFERROR(IFERROR(INDEX(EG_Wycena_strona!$C:$C,MATCH($A49,EG_Wycena_strona!$A:$A,0)),""),"")</x:f>
        <x:v>32846</x:v>
      </x:c>
      <x:c r="F49" s="8" t="n">
        <x:f>IFERROR(IFERROR(INDEX('04_Wycena_strona_nowa'!$C:$C,MATCH($A49,'04_Wycena_strona_nowa'!$A:$A,0)),""),"")</x:f>
        <x:v>28994</x:v>
      </x:c>
      <x:c r="G49" s="545" t="n">
        <x:f>IF(OR(E49="",F49=""),"",F49-E49)</x:f>
        <x:v>-3852</x:v>
      </x:c>
      <x:c r="H49" s="8" t="n">
        <x:f>IFERROR(IFERROR(INDEX(EG_Wycena_strona!$D:$D,MATCH($A49,EG_Wycena_strona!$A:$A,0)),""),"")</x:f>
        <x:v>36117</x:v>
      </x:c>
      <x:c r="I49" s="8" t="n">
        <x:f>IFERROR(IFERROR(INDEX('04_Wycena_strona_nowa'!$D:$D,MATCH($A49,'04_Wycena_strona_nowa'!$A:$A,0)),""),"")</x:f>
        <x:v>32049</x:v>
      </x:c>
      <x:c r="J49" s="545" t="n">
        <x:f>IF(OR(H49="",I49=""),"",I49-H49)</x:f>
        <x:v>-4068</x:v>
      </x:c>
      <x:c r="K49" s="8" t="n">
        <x:f>IFERROR(IFERROR(INDEX(EG_Wycena_strona!$F:$F,MATCH($A49,EG_Wycena_strona!$A:$A,0)),""),"")</x:f>
        <x:v>21039</x:v>
      </x:c>
      <x:c r="L49" s="8" t="n">
        <x:f>IFERROR(IFERROR(INDEX('04_Wycena_strona_nowa'!$F:$F,MATCH($A49,'04_Wycena_strona_nowa'!$A:$A,0)),""),"")</x:f>
        <x:v>18511</x:v>
      </x:c>
      <x:c r="M49" s="545" t="n">
        <x:f>IF(OR(K49="",L49=""),"",L49-K49)</x:f>
        <x:v>-2528</x:v>
      </x:c>
      <x:c r="N49" s="8" t="n">
        <x:f>IFERROR(IFERROR(INDEX(EG_Wycena_strona!$G:$G,MATCH($A49,EG_Wycena_strona!$A:$A,0)),""),"")</x:f>
        <x:v>22948</x:v>
      </x:c>
      <x:c r="O49" s="8" t="n">
        <x:f>IFERROR(IFERROR(INDEX('04_Wycena_strona_nowa'!$G:$G,MATCH($A49,'04_Wycena_strona_nowa'!$A:$A,0)),""),"")</x:f>
        <x:v>20293</x:v>
      </x:c>
      <x:c r="P49" s="545" t="n">
        <x:f>IF(OR(N49="",O49=""),"",O49-N49)</x:f>
        <x:v>-2655</x:v>
      </x:c>
      <x:c r="Q49" s="8" t="n">
        <x:f>IFERROR(IFERROR(INDEX(EG_Wycena_strona!$K:$K,MATCH($A49,EG_Wycena_strona!$A:$A,0)),""),"")</x:f>
        <x:v>15407</x:v>
      </x:c>
      <x:c r="R49" s="8" t="n">
        <x:f>IFERROR(IFERROR(INDEX('04_Wycena_strona_nowa'!$K:$K,MATCH($A49,'04_Wycena_strona_nowa'!$A:$A,0)),""),"")</x:f>
        <x:v>13788</x:v>
      </x:c>
      <x:c r="S49" s="545" t="n">
        <x:f>IF(OR(Q49="",R49=""),"",R49-Q49)</x:f>
        <x:v>-1619</x:v>
      </x:c>
    </x:row>
    <x:row r="50">
      <x:c r="A50" s="6" t="inlineStr">
        <x:is>
          <x:t xml:space="preserve">500 x 1106 cm</x:t>
        </x:is>
      </x:c>
      <x:c r="B50" s="8" t="n">
        <x:f>IFERROR(IFERROR(INDEX(EG_Wycena_strona!$B:$B,MATCH($A50,EG_Wycena_strona!$A:$A,0)),""),"")</x:f>
        <x:v>42313</x:v>
      </x:c>
      <x:c r="C50" s="8" t="n">
        <x:f>IFERROR(IFERROR(INDEX('04_Wycena_strona_nowa'!$B:$B,MATCH($A50,'04_Wycena_strona_nowa'!$A:$A,0)),""),"")</x:f>
        <x:v>39921</x:v>
      </x:c>
      <x:c r="D50" s="545" t="n">
        <x:f>IF(OR(B50="",C50=""),"",C50-B50)</x:f>
        <x:v>-2392</x:v>
      </x:c>
      <x:c r="E50" s="8" t="n">
        <x:f>IFERROR(IFERROR(INDEX(EG_Wycena_strona!$C:$C,MATCH($A50,EG_Wycena_strona!$A:$A,0)),""),"")</x:f>
        <x:v>34666</x:v>
      </x:c>
      <x:c r="F50" s="8" t="n">
        <x:f>IFERROR(IFERROR(INDEX('04_Wycena_strona_nowa'!$C:$C,MATCH($A50,'04_Wycena_strona_nowa'!$A:$A,0)),""),"")</x:f>
        <x:v>30540</x:v>
      </x:c>
      <x:c r="G50" s="545" t="n">
        <x:f>IF(OR(E50="",F50=""),"",F50-E50)</x:f>
        <x:v>-4126</x:v>
      </x:c>
      <x:c r="H50" s="8" t="n">
        <x:f>IFERROR(IFERROR(INDEX(EG_Wycena_strona!$D:$D,MATCH($A50,EG_Wycena_strona!$A:$A,0)),""),"")</x:f>
        <x:v>38101</x:v>
      </x:c>
      <x:c r="I50" s="8" t="n">
        <x:f>IFERROR(IFERROR(INDEX('04_Wycena_strona_nowa'!$D:$D,MATCH($A50,'04_Wycena_strona_nowa'!$A:$A,0)),""),"")</x:f>
        <x:v>33749</x:v>
      </x:c>
      <x:c r="J50" s="545" t="n">
        <x:f>IF(OR(H50="",I50=""),"",I50-H50)</x:f>
        <x:v>-4352</x:v>
      </x:c>
      <x:c r="K50" s="8" t="n">
        <x:f>IFERROR(IFERROR(INDEX(EG_Wycena_strona!$F:$F,MATCH($A50,EG_Wycena_strona!$A:$A,0)),""),"")</x:f>
        <x:v>25415</x:v>
      </x:c>
      <x:c r="L50" s="8" t="n">
        <x:f>IFERROR(IFERROR(INDEX('04_Wycena_strona_nowa'!$F:$F,MATCH($A50,'04_Wycena_strona_nowa'!$A:$A,0)),""),"")</x:f>
        <x:v>20472</x:v>
      </x:c>
      <x:c r="M50" s="545" t="n">
        <x:f>IF(OR(K50="",L50=""),"",L50-K50)</x:f>
        <x:v>-4943</x:v>
      </x:c>
      <x:c r="N50" s="8" t="n">
        <x:f>IFERROR(IFERROR(INDEX(EG_Wycena_strona!$G:$G,MATCH($A50,EG_Wycena_strona!$A:$A,0)),""),"")</x:f>
        <x:v>27515</x:v>
      </x:c>
      <x:c r="O50" s="8" t="n">
        <x:f>IFERROR(IFERROR(INDEX('04_Wycena_strona_nowa'!$G:$G,MATCH($A50,'04_Wycena_strona_nowa'!$A:$A,0)),""),"")</x:f>
        <x:v>22432</x:v>
      </x:c>
      <x:c r="P50" s="545" t="n">
        <x:f>IF(OR(N50="",O50=""),"",O50-N50)</x:f>
        <x:v>-5083</x:v>
      </x:c>
      <x:c r="Q50" s="8" t="n">
        <x:f>IFERROR(IFERROR(INDEX(EG_Wycena_strona!$K:$K,MATCH($A50,EG_Wycena_strona!$A:$A,0)),""),"")</x:f>
        <x:v>18992</x:v>
      </x:c>
      <x:c r="R50" s="8" t="n">
        <x:f>IFERROR(IFERROR(INDEX('04_Wycena_strona_nowa'!$K:$K,MATCH($A50,'04_Wycena_strona_nowa'!$A:$A,0)),""),"")</x:f>
        <x:v>17087</x:v>
      </x:c>
      <x:c r="S50" s="545" t="n">
        <x:f>IF(OR(Q50="",R50=""),"",R50-Q50)</x:f>
        <x:v>-1905</x:v>
      </x:c>
    </x:row>
    <x:row r="51">
      <x:c r="A51" s="6" t="inlineStr">
        <x:is>
          <x:t xml:space="preserve">500 x 1206 cm</x:t>
        </x:is>
      </x:c>
      <x:c r="B51" s="8" t="n">
        <x:f>IFERROR(IFERROR(INDEX(EG_Wycena_strona!$B:$B,MATCH($A51,EG_Wycena_strona!$A:$A,0)),""),"")</x:f>
        <x:v>45341</x:v>
      </x:c>
      <x:c r="C51" s="8" t="n">
        <x:f>IFERROR(IFERROR(INDEX('04_Wycena_strona_nowa'!$B:$B,MATCH($A51,'04_Wycena_strona_nowa'!$A:$A,0)),""),"")</x:f>
        <x:v>42769</x:v>
      </x:c>
      <x:c r="D51" s="545" t="n">
        <x:f>IF(OR(B51="",C51=""),"",C51-B51)</x:f>
        <x:v>-2572</x:v>
      </x:c>
      <x:c r="E51" s="8" t="n">
        <x:f>IFERROR(IFERROR(INDEX(EG_Wycena_strona!$C:$C,MATCH($A51,EG_Wycena_strona!$A:$A,0)),""),"")</x:f>
        <x:v>36512</x:v>
      </x:c>
      <x:c r="F51" s="8" t="n">
        <x:f>IFERROR(IFERROR(INDEX('04_Wycena_strona_nowa'!$C:$C,MATCH($A51,'04_Wycena_strona_nowa'!$A:$A,0)),""),"")</x:f>
        <x:v>32142</x:v>
      </x:c>
      <x:c r="G51" s="545" t="n">
        <x:f>IF(OR(E51="",F51=""),"",F51-E51)</x:f>
        <x:v>-4370</x:v>
      </x:c>
      <x:c r="H51" s="8" t="n">
        <x:f>IFERROR(IFERROR(INDEX(EG_Wycena_strona!$D:$D,MATCH($A51,EG_Wycena_strona!$A:$A,0)),""),"")</x:f>
        <x:v>40111</x:v>
      </x:c>
      <x:c r="I51" s="8" t="n">
        <x:f>IFERROR(IFERROR(INDEX('04_Wycena_strona_nowa'!$D:$D,MATCH($A51,'04_Wycena_strona_nowa'!$A:$A,0)),""),"")</x:f>
        <x:v>35503</x:v>
      </x:c>
      <x:c r="J51" s="545" t="n">
        <x:f>IF(OR(H51="",I51=""),"",I51-H51)</x:f>
        <x:v>-4608</x:v>
      </x:c>
      <x:c r="K51" s="8" t="n">
        <x:f>IFERROR(IFERROR(INDEX(EG_Wycena_strona!$F:$F,MATCH($A51,EG_Wycena_strona!$A:$A,0)),""),"")</x:f>
        <x:v>25444</x:v>
      </x:c>
      <x:c r="L51" s="8" t="n">
        <x:f>IFERROR(IFERROR(INDEX('04_Wycena_strona_nowa'!$F:$F,MATCH($A51,'04_Wycena_strona_nowa'!$A:$A,0)),""),"")</x:f>
        <x:v>22433</x:v>
      </x:c>
      <x:c r="M51" s="545" t="n">
        <x:f>IF(OR(K51="",L51=""),"",L51-K51)</x:f>
        <x:v>-3011</x:v>
      </x:c>
      <x:c r="N51" s="8" t="n">
        <x:f>IFERROR(IFERROR(INDEX(EG_Wycena_strona!$G:$G,MATCH($A51,EG_Wycena_strona!$A:$A,0)),""),"")</x:f>
        <x:v>27734</x:v>
      </x:c>
      <x:c r="O51" s="8" t="n">
        <x:f>IFERROR(IFERROR(INDEX('04_Wycena_strona_nowa'!$G:$G,MATCH($A51,'04_Wycena_strona_nowa'!$A:$A,0)),""),"")</x:f>
        <x:v>24572</x:v>
      </x:c>
      <x:c r="P51" s="545" t="n">
        <x:f>IF(OR(N51="",O51=""),"",O51-N51)</x:f>
        <x:v>-3162</x:v>
      </x:c>
      <x:c r="Q51" s="8" t="n">
        <x:f>IFERROR(IFERROR(INDEX(EG_Wycena_strona!$K:$K,MATCH($A51,EG_Wycena_strona!$A:$A,0)),""),"")</x:f>
        <x:v>19849</x:v>
      </x:c>
      <x:c r="R51" s="8" t="n">
        <x:f>IFERROR(IFERROR(INDEX('04_Wycena_strona_nowa'!$K:$K,MATCH($A51,'04_Wycena_strona_nowa'!$A:$A,0)),""),"")</x:f>
        <x:v>17837</x:v>
      </x:c>
      <x:c r="S51" s="545" t="n">
        <x:f>IF(OR(Q51="",R51=""),"",R51-Q51)</x:f>
        <x:v>-2012</x:v>
      </x:c>
    </x:row>
  </x:sheetData>
  <x:conditionalFormatting sqref="D2:D51">
    <x:cfRule type="expression" dxfId="4" priority="31">
      <x:formula>AND(ISNUMBER(D2),D2&gt;0)</x:formula>
    </x:cfRule>
    <x:cfRule type="expression" dxfId="3" priority="32">
      <x:formula>AND(ISNUMBER(D2),D2&lt;0,D2&gt;$Y$1)</x:formula>
    </x:cfRule>
    <x:cfRule type="expression" dxfId="2" priority="33">
      <x:formula>AND(ISNUMBER(D2),D2&lt;=$Y$1,D2&gt;=$Y$1-$Y$2)</x:formula>
    </x:cfRule>
    <x:cfRule type="expression" dxfId="1" priority="34">
      <x:formula>AND(ISNUMBER(D2),D2&lt;$Y$1-$Y$2,D2&gt;=$Y$3)</x:formula>
    </x:cfRule>
    <x:cfRule type="expression" dxfId="0" priority="35">
      <x:formula>AND(ISNUMBER(D2),D2&lt;$Y$3)</x:formula>
    </x:cfRule>
  </x:conditionalFormatting>
  <x:conditionalFormatting sqref="G2:G51">
    <x:cfRule type="expression" dxfId="4" priority="36">
      <x:formula>AND(ISNUMBER(G2),G2&gt;0)</x:formula>
    </x:cfRule>
    <x:cfRule type="expression" dxfId="3" priority="37">
      <x:formula>AND(ISNUMBER(G2),G2&lt;0,G2&gt;$Y$1)</x:formula>
    </x:cfRule>
    <x:cfRule type="expression" dxfId="2" priority="38">
      <x:formula>AND(ISNUMBER(G2),G2&lt;=$Y$1,G2&gt;=$Y$1-$Y$2)</x:formula>
    </x:cfRule>
    <x:cfRule type="expression" dxfId="1" priority="39">
      <x:formula>AND(ISNUMBER(G2),G2&lt;$Y$1-$Y$2,G2&gt;=$Y$3)</x:formula>
    </x:cfRule>
    <x:cfRule type="expression" dxfId="0" priority="40">
      <x:formula>AND(ISNUMBER(G2),G2&lt;$Y$3)</x:formula>
    </x:cfRule>
  </x:conditionalFormatting>
  <x:conditionalFormatting sqref="J2:J51">
    <x:cfRule type="expression" dxfId="4" priority="41">
      <x:formula>AND(ISNUMBER(J2),J2&gt;0)</x:formula>
    </x:cfRule>
    <x:cfRule type="expression" dxfId="3" priority="42">
      <x:formula>AND(ISNUMBER(J2),J2&lt;0,J2&gt;$Y$1)</x:formula>
    </x:cfRule>
    <x:cfRule type="expression" dxfId="2" priority="43">
      <x:formula>AND(ISNUMBER(J2),J2&lt;=$Y$1,J2&gt;=$Y$1-$Y$2)</x:formula>
    </x:cfRule>
    <x:cfRule type="expression" dxfId="1" priority="44">
      <x:formula>AND(ISNUMBER(J2),J2&lt;$Y$1-$Y$2,J2&gt;=$Y$3)</x:formula>
    </x:cfRule>
    <x:cfRule type="expression" dxfId="0" priority="45">
      <x:formula>AND(ISNUMBER(J2),J2&lt;$Y$3)</x:formula>
    </x:cfRule>
  </x:conditionalFormatting>
  <x:conditionalFormatting sqref="M2:M51">
    <x:cfRule type="expression" dxfId="4" priority="46">
      <x:formula>AND(ISNUMBER(M2),M2&gt;0)</x:formula>
    </x:cfRule>
    <x:cfRule type="expression" dxfId="3" priority="47">
      <x:formula>AND(ISNUMBER(M2),M2&lt;0,M2&gt;$Y$1)</x:formula>
    </x:cfRule>
    <x:cfRule type="expression" dxfId="2" priority="48">
      <x:formula>AND(ISNUMBER(M2),M2&lt;=$Y$1,M2&gt;=$Y$1-$Y$2)</x:formula>
    </x:cfRule>
    <x:cfRule type="expression" dxfId="1" priority="49">
      <x:formula>AND(ISNUMBER(M2),M2&lt;$Y$1-$Y$2,M2&gt;=$Y$3)</x:formula>
    </x:cfRule>
    <x:cfRule type="expression" dxfId="0" priority="50">
      <x:formula>AND(ISNUMBER(M2),M2&lt;$Y$3)</x:formula>
    </x:cfRule>
  </x:conditionalFormatting>
  <x:conditionalFormatting sqref="P2:P51">
    <x:cfRule type="expression" dxfId="4" priority="51">
      <x:formula>AND(ISNUMBER(P2),P2&gt;0)</x:formula>
    </x:cfRule>
    <x:cfRule type="expression" dxfId="3" priority="52">
      <x:formula>AND(ISNUMBER(P2),P2&lt;0,P2&gt;$Y$1)</x:formula>
    </x:cfRule>
    <x:cfRule type="expression" dxfId="2" priority="53">
      <x:formula>AND(ISNUMBER(P2),P2&lt;=$Y$1,P2&gt;=$Y$1-$Y$2)</x:formula>
    </x:cfRule>
    <x:cfRule type="expression" dxfId="1" priority="54">
      <x:formula>AND(ISNUMBER(P2),P2&lt;$Y$1-$Y$2,P2&gt;=$Y$3)</x:formula>
    </x:cfRule>
    <x:cfRule type="expression" dxfId="0" priority="55">
      <x:formula>AND(ISNUMBER(P2),P2&lt;$Y$3)</x:formula>
    </x:cfRule>
  </x:conditionalFormatting>
  <x:conditionalFormatting sqref="S2:S51">
    <x:cfRule type="expression" dxfId="4" priority="56">
      <x:formula>AND(ISNUMBER(S2),S2&gt;0)</x:formula>
    </x:cfRule>
    <x:cfRule type="expression" dxfId="3" priority="57">
      <x:formula>AND(ISNUMBER(S2),S2&lt;0,S2&gt;$Y$1)</x:formula>
    </x:cfRule>
    <x:cfRule type="expression" dxfId="2" priority="58">
      <x:formula>AND(ISNUMBER(S2),S2&lt;=$Y$1,S2&gt;=$Y$1-$Y$2)</x:formula>
    </x:cfRule>
    <x:cfRule type="expression" dxfId="1" priority="59">
      <x:formula>AND(ISNUMBER(S2),S2&lt;$Y$1-$Y$2,S2&gt;=$Y$3)</x:formula>
    </x:cfRule>
    <x:cfRule type="expression" dxfId="0" priority="60">
      <x:formula>AND(ISNUMBER(S2),S2&lt;$Y$3)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ef8a8effcc49da"/>
  </x:tableParts>
</x:worksheet>
</file>

<file path=xl/worksheets/sheet24.xml><?xml version="1.0" encoding="utf-8"?>
<x:worksheet xmlns:x="http://schemas.openxmlformats.org/spreadsheetml/2006/main">
  <x:sheetFormatPr baseColWidth="8" defaultRowHeight="14.75"/>
  <x:cols>
    <x:col min="1" max="1" width="10" style="655" customWidth="1"/>
    <x:col min="2" max="2" width="15" style="655" customWidth="1"/>
    <x:col min="3" max="4" width="10" style="655" customWidth="1"/>
    <x:col min="5" max="5" width="8" style="655" customWidth="1"/>
    <x:col min="6" max="6" width="30" style="655" customWidth="1"/>
    <x:col min="7" max="7" width="16" style="655" customWidth="1"/>
    <x:col min="8" max="8" width="18" style="655" customWidth="1"/>
    <x:col min="9" max="10" width="20" style="655" customWidth="1"/>
    <x:col min="11" max="11" width="18" style="655" customWidth="1"/>
    <x:col min="12" max="12" width="34" style="655" customWidth="1"/>
    <x:col min="13" max="13" width="48" style="655" customWidth="1"/>
    <x:col min="14" max="14" width="60" style="655" customWidth="1"/>
    <x:col min="15" max="15" width="32" style="655" customWidth="1"/>
    <x:col min="16" max="16" width="24" style="655" customWidth="1"/>
  </x:cols>
  <x:sheetData>
    <x:row r="1" s="655" customFormat="1" ht="29.5" customHeight="1">
      <x:c r="A1" s="583" t="inlineStr">
        <x:is>
          <x:t xml:space="preserve">Wiersz_03</x:t>
        </x:is>
      </x:c>
      <x:c r="B1" s="583" t="inlineStr">
        <x:is>
          <x:t xml:space="preserve">Wymiar</x:t>
        </x:is>
      </x:c>
      <x:c r="C1" s="583" t="inlineStr">
        <x:is>
          <x:t xml:space="preserve">Szerokość</x:t>
        </x:is>
      </x:c>
      <x:c r="D1" s="583" t="inlineStr">
        <x:is>
          <x:t xml:space="preserve">Długość</x:t>
        </x:is>
      </x:c>
      <x:c r="E1" s="583" t="inlineStr">
        <x:is>
          <x:t xml:space="preserve">Kod</x:t>
        </x:is>
      </x:c>
      <x:c r="F1" s="583" t="inlineStr">
        <x:is>
          <x:t xml:space="preserve">Nazwa komponentu</x:t>
        </x:is>
      </x:c>
      <x:c r="G1" s="583" t="inlineStr">
        <x:is>
          <x:t xml:space="preserve">PROP. Montaż netto</x:t>
        </x:is>
      </x:c>
      <x:c r="H1" s="583" t="inlineStr">
        <x:is>
          <x:t xml:space="preserve">PROP. Wynagr.+koszty</x:t>
        </x:is>
      </x:c>
      <x:c r="I1" s="583" t="inlineStr">
        <x:is>
          <x:t xml:space="preserve">PROP. Cena brutto dla strony</x:t>
        </x:is>
      </x:c>
      <x:c r="J1" s="583" t="inlineStr">
        <x:is>
          <x:t xml:space="preserve">PROP. Czysty zysk netto</x:t>
        </x:is>
      </x:c>
      <x:c r="K1" s="583" t="inlineStr">
        <x:is>
          <x:t xml:space="preserve">PROP. Rentowność %</x:t>
        </x:is>
      </x:c>
      <x:c r="L1" s="583" t="inlineStr">
        <x:is>
          <x:t xml:space="preserve">Status</x:t>
        </x:is>
      </x:c>
      <x:c r="M1" s="583" t="inlineStr">
        <x:is>
          <x:t xml:space="preserve">Metoda</x:t>
        </x:is>
      </x:c>
      <x:c r="N1" s="583" t="inlineStr">
        <x:is>
          <x:t xml:space="preserve">Uwagi</x:t>
        </x:is>
      </x:c>
      <x:c r="O1" s="583" t="inlineStr">
        <x:is>
          <x:t xml:space="preserve">Źródło</x:t>
        </x:is>
      </x:c>
      <x:c r="P1" s="583" t="inlineStr">
        <x:is>
          <x:t xml:space="preserve">Klucz</x:t>
        </x:is>
      </x:c>
    </x:row>
    <x:row r="2" s="655" customFormat="1" ht="29.5" customHeight="1">
      <x:c r="A2" s="584" t="n">
        <x:v>952</x:v>
      </x:c>
      <x:c r="B2" s="585" t="inlineStr">
        <x:is>
          <x:t xml:space="preserve">550 x 306 cm</x:t>
        </x:is>
      </x:c>
      <x:c r="C2" s="584" t="n">
        <x:v>550</x:v>
      </x:c>
      <x:c r="D2" s="584" t="n">
        <x:v>306</x:v>
      </x:c>
      <x:c r="E2" s="585" t="inlineStr">
        <x:is>
          <x:t xml:space="preserve">ZP</x:t>
        </x:is>
      </x:c>
      <x:c r="F2" s="585" t="inlineStr">
        <x:is>
          <x:t xml:space="preserve">Zadaszenie poliwęglan - baza</x:t>
        </x:is>
      </x:c>
      <x:c r="G2" s="586" t="n">
        <x:v>3860</x:v>
      </x:c>
      <x:c r="H2" s="586" t="n">
        <x:v>1150</x:v>
      </x:c>
      <x:c r="I2" s="586" t="n">
        <x:v>16850</x:v>
      </x:c>
      <x:c r="J2" s="586" t="n">
        <x:v>6354</x:v>
      </x:c>
      <x:c r="K2" s="587" t="n">
        <x:v>0.4072554800666581</x:v>
      </x:c>
      <x:c r="L2" s="585" t="inlineStr">
        <x:is>
          <x:t xml:space="preserve">UZUPEŁNIĆ</x:t>
        </x:is>
      </x:c>
      <x:c r="M2" s="585" t="inlineStr">
        <x:is>
          <x:t xml:space="preserve">K: model rentowności 450/500; L: przedłużenie Wynagr. ekipy 450→500</x:t>
        </x:is>
      </x:c>
      <x:c r="N2" s="585" t="inlineStr">
        <x:is>
          <x:t xml:space="preserve">Podstawowa konstrukcja z ceną dostawcy dla 550/600.</x:t>
        </x:is>
      </x:c>
      <x:c r="O2" s="585" t="inlineStr">
        <x:is>
          <x:t xml:space="preserve">RAW_ZP B/C</x:t>
        </x:is>
      </x:c>
      <x:c r="P2" s="585" t="inlineStr">
        <x:is>
          <x:t xml:space="preserve">550 x 306 cm|ZP</x:t>
        </x:is>
      </x:c>
    </x:row>
    <x:row r="3" s="655" customFormat="1" ht="29.5" customHeight="1">
      <x:c r="A3" s="588" t="n">
        <x:v>953</x:v>
      </x:c>
      <x:c r="B3" s="589" t="inlineStr">
        <x:is>
          <x:t xml:space="preserve">550 x 306 cm</x:t>
        </x:is>
      </x:c>
      <x:c r="C3" s="588" t="n">
        <x:v>550</x:v>
      </x:c>
      <x:c r="D3" s="588" t="n">
        <x:v>306</x:v>
      </x:c>
      <x:c r="E3" s="589" t="inlineStr">
        <x:is>
          <x:t xml:space="preserve">ZS</x:t>
        </x:is>
      </x:c>
      <x:c r="F3" s="589" t="inlineStr">
        <x:is>
          <x:t xml:space="preserve">Zadaszenie szkło - pełna konstrukcja</x:t>
        </x:is>
      </x:c>
      <x:c r="G3" s="590" t="n">
        <x:v>3860</x:v>
      </x:c>
      <x:c r="H3" s="590" t="n">
        <x:v>1480</x:v>
      </x:c>
      <x:c r="I3" s="590" t="n"/>
      <x:c r="J3" s="590" t="n"/>
      <x:c r="K3" s="591" t="n"/>
      <x:c r="L3" s="589" t="inlineStr">
        <x:is>
          <x:t xml:space="preserve">NIE PUBLIKOWAĆ / BRAK RAW_ZS</x:t>
        </x:is>
      </x:c>
      <x:c r="M3" s="589" t="inlineStr">
        <x:is>
          <x:t xml:space="preserve">Informacyjnie: K jak ZP, L = pełny montaż zadaszenia szklanego z przedłużenia</x:t>
        </x:is>
      </x:c>
      <x:c r="N3" s="589" t="inlineStr">
        <x:is>
          <x:t xml:space="preserve">Brak ceny dostawcy dla ZS 550/600, więc nieaktywny do czasu cennika dostawcy.</x:t>
        </x:is>
      </x:c>
      <x:c r="O3" s="589" t="inlineStr">
        <x:is>
          <x:t xml:space="preserve">RAW_ZS B/C</x:t>
        </x:is>
      </x:c>
      <x:c r="P3" s="589" t="inlineStr">
        <x:is>
          <x:t xml:space="preserve">550 x 306 cm|ZS</x:t>
        </x:is>
      </x:c>
    </x:row>
    <x:row r="4" s="655" customFormat="1" ht="29.5" customHeight="1">
      <x:c r="A4" s="584" t="n">
        <x:v>954</x:v>
      </x:c>
      <x:c r="B4" s="585" t="inlineStr">
        <x:is>
          <x:t xml:space="preserve">550 x 306 cm</x:t>
        </x:is>
      </x:c>
      <x:c r="C4" s="584" t="n">
        <x:v>550</x:v>
      </x:c>
      <x:c r="D4" s="584" t="n">
        <x:v>306</x:v>
      </x:c>
      <x:c r="E4" s="585" t="inlineStr">
        <x:is>
          <x:t xml:space="preserve">OP</x:t>
        </x:is>
      </x:c>
      <x:c r="F4" s="585" t="inlineStr">
        <x:is>
          <x:t xml:space="preserve">Ogród zimowy poliwęglan - baza</x:t>
        </x:is>
      </x:c>
      <x:c r="G4" s="586" t="n">
        <x:v>4690</x:v>
      </x:c>
      <x:c r="H4" s="586" t="n">
        <x:v>1620</x:v>
      </x:c>
      <x:c r="I4" s="586" t="n">
        <x:v>40039</x:v>
      </x:c>
      <x:c r="J4" s="586" t="n">
        <x:v>13120</x:v>
      </x:c>
      <x:c r="K4" s="587" t="n">
        <x:v>0.3538963666280042</x:v>
      </x:c>
      <x:c r="L4" s="585" t="inlineStr">
        <x:is>
          <x:t xml:space="preserve">UZUPEŁNIĆ</x:t>
        </x:is>
      </x:c>
      <x:c r="M4" s="585" t="inlineStr">
        <x:is>
          <x:t xml:space="preserve">K: model rentowności 450/500; L: przedłużenie Wynagr. ekipy 450→500</x:t>
        </x:is>
      </x:c>
      <x:c r="N4" s="585" t="inlineStr">
        <x:is>
          <x:t xml:space="preserve">Podstawowa konstrukcja z ceną dostawcy dla 550/600.</x:t>
        </x:is>
      </x:c>
      <x:c r="O4" s="585" t="inlineStr">
        <x:is>
          <x:t xml:space="preserve">RAW_OP B/C</x:t>
        </x:is>
      </x:c>
      <x:c r="P4" s="585" t="inlineStr">
        <x:is>
          <x:t xml:space="preserve">550 x 306 cm|OP</x:t>
        </x:is>
      </x:c>
    </x:row>
    <x:row r="5" s="655" customFormat="1" ht="29.5" customHeight="1">
      <x:c r="A5" s="588" t="n">
        <x:v>955</x:v>
      </x:c>
      <x:c r="B5" s="589" t="inlineStr">
        <x:is>
          <x:t xml:space="preserve">550 x 306 cm</x:t>
        </x:is>
      </x:c>
      <x:c r="C5" s="588" t="n">
        <x:v>550</x:v>
      </x:c>
      <x:c r="D5" s="588" t="n">
        <x:v>306</x:v>
      </x:c>
      <x:c r="E5" s="589" t="inlineStr">
        <x:is>
          <x:t xml:space="preserve">OS</x:t>
        </x:is>
      </x:c>
      <x:c r="F5" s="589" t="inlineStr">
        <x:is>
          <x:t xml:space="preserve">Ogród zimowy szkło - pełna konstrukcja</x:t>
        </x:is>
      </x:c>
      <x:c r="G5" s="590" t="n">
        <x:v>4690</x:v>
      </x:c>
      <x:c r="H5" s="590" t="n">
        <x:v>1950</x:v>
      </x:c>
      <x:c r="I5" s="590" t="n"/>
      <x:c r="J5" s="590" t="n"/>
      <x:c r="K5" s="591" t="n"/>
      <x:c r="L5" s="589" t="inlineStr">
        <x:is>
          <x:t xml:space="preserve">NIE PUBLIKOWAĆ / BRAK RAW_OS</x:t>
        </x:is>
      </x:c>
      <x:c r="M5" s="589" t="inlineStr">
        <x:is>
          <x:t xml:space="preserve">Informacyjnie: K jak OP, L = pełny montaż ogrodu szklanego z przedłużenia</x:t>
        </x:is>
      </x:c>
      <x:c r="N5" s="589" t="inlineStr">
        <x:is>
          <x:t xml:space="preserve">Brak ceny dostawcy dla OS 550/600, więc nieaktywny do czasu cennika dostawcy.</x:t>
        </x:is>
      </x:c>
      <x:c r="O5" s="589" t="inlineStr">
        <x:is>
          <x:t xml:space="preserve">RAW_OS B/C</x:t>
        </x:is>
      </x:c>
      <x:c r="P5" s="589" t="inlineStr">
        <x:is>
          <x:t xml:space="preserve">550 x 306 cm|OS</x:t>
        </x:is>
      </x:c>
    </x:row>
    <x:row r="6" s="655" customFormat="1" ht="29.5" customHeight="1">
      <x:c r="A6" s="584" t="n">
        <x:v>956</x:v>
      </x:c>
      <x:c r="B6" s="585" t="inlineStr">
        <x:is>
          <x:t xml:space="preserve">550 x 306 cm</x:t>
        </x:is>
      </x:c>
      <x:c r="C6" s="584" t="n">
        <x:v>550</x:v>
      </x:c>
      <x:c r="D6" s="584" t="n">
        <x:v>306</x:v>
      </x:c>
      <x:c r="E6" s="585" t="inlineStr">
        <x:is>
          <x:t xml:space="preserve">PDS</x:t>
        </x:is>
      </x:c>
      <x:c r="F6" s="585" t="inlineStr">
        <x:is>
          <x:t xml:space="preserve">Dopłata dach szkło przezroczyste</x:t>
        </x:is>
      </x:c>
      <x:c r="G6" s="586" t="n">
        <x:v>0</x:v>
      </x:c>
      <x:c r="H6" s="586" t="n">
        <x:v>330</x:v>
      </x:c>
      <x:c r="I6" s="586" t="n"/>
      <x:c r="J6" s="586" t="n"/>
      <x:c r="K6" s="587" t="n"/>
      <x:c r="L6" s="585" t="inlineStr">
        <x:is>
          <x:t xml:space="preserve">DO UŻYCIA DOPIERO GDY BĘDZIE CENA DACHU SZKŁO</x:t>
        </x:is>
      </x:c>
      <x:c r="M6" s="585" t="inlineStr">
        <x:is>
          <x:t xml:space="preserve">L = montaż zadaszenia szkło - montaż zadaszenia poliwęglan</x:t>
        </x:is>
      </x:c>
      <x:c r="N6" s="585" t="inlineStr">
        <x:is>
          <x:t xml:space="preserve">Potrzebne dla dopłaty dachu szklanego; obecnie brak ceny dostawcy PDS 550/600.</x:t>
        </x:is>
      </x:c>
      <x:c r="O6" s="585" t="inlineStr">
        <x:is>
          <x:t xml:space="preserve">RAW_ZS - RAW_ZP</x:t>
        </x:is>
      </x:c>
      <x:c r="P6" s="585" t="inlineStr">
        <x:is>
          <x:t xml:space="preserve">550 x 306 cm|PDS</x:t>
        </x:is>
      </x:c>
    </x:row>
    <x:row r="7" s="655" customFormat="1" ht="29.5" customHeight="1">
      <x:c r="A7" s="592" t="n">
        <x:v>957</x:v>
      </x:c>
      <x:c r="B7" s="593" t="inlineStr">
        <x:is>
          <x:t xml:space="preserve">550 x 306 cm</x:t>
        </x:is>
      </x:c>
      <x:c r="C7" s="592" t="n">
        <x:v>550</x:v>
      </x:c>
      <x:c r="D7" s="592" t="n">
        <x:v>306</x:v>
      </x:c>
      <x:c r="E7" s="593" t="inlineStr">
        <x:is>
          <x:t xml:space="preserve">PDSB</x:t>
        </x:is>
      </x:c>
      <x:c r="F7" s="593" t="inlineStr">
        <x:is>
          <x:t xml:space="preserve">Dopłata dach szkło barwione/mleczne</x:t>
        </x:is>
      </x:c>
      <x:c r="G7" s="594" t="n">
        <x:v>0</x:v>
      </x:c>
      <x:c r="H7" s="594" t="n">
        <x:v>0</x:v>
      </x:c>
      <x:c r="I7" s="594" t="n"/>
      <x:c r="J7" s="594" t="n"/>
      <x:c r="K7" s="595" t="n"/>
      <x:c r="L7" s="593" t="inlineStr">
        <x:is>
          <x:t xml:space="preserve">POZOSTAWIĆ 0 / BRAK CENY PDSB</x:t>
        </x:is>
      </x:c>
      <x:c r="M7" s="593" t="inlineStr">
        <x:is>
          <x:t xml:space="preserve">Zgodnie z dotychczasową logiką: dopłata barwienia szkła nie ma osobnego wynagrodzenia</x:t>
        </x:is>
      </x:c>
      <x:c r="N7" s="593" t="inlineStr">
        <x:is>
          <x:t xml:space="preserve">Brak ceny dostawcy dla PDSB 550/600.</x:t>
        </x:is>
      </x:c>
      <x:c r="O7" s="593" t="inlineStr">
        <x:is>
          <x:t xml:space="preserve">RAW_ZS D/E</x:t>
        </x:is>
      </x:c>
      <x:c r="P7" s="593" t="inlineStr">
        <x:is>
          <x:t xml:space="preserve">550 x 306 cm|PDSB</x:t>
        </x:is>
      </x:c>
    </x:row>
    <x:row r="8" s="655" customFormat="1" ht="29.5" customHeight="1">
      <x:c r="A8" s="592" t="n">
        <x:v>958</x:v>
      </x:c>
      <x:c r="B8" s="593" t="inlineStr">
        <x:is>
          <x:t xml:space="preserve">550 x 306 cm</x:t>
        </x:is>
      </x:c>
      <x:c r="C8" s="592" t="n">
        <x:v>550</x:v>
      </x:c>
      <x:c r="D8" s="592" t="n">
        <x:v>306</x:v>
      </x:c>
      <x:c r="E8" s="593" t="inlineStr">
        <x:is>
          <x:t xml:space="preserve">PDPB</x:t>
        </x:is>
      </x:c>
      <x:c r="F8" s="593" t="inlineStr">
        <x:is>
          <x:t xml:space="preserve">Dopłata poliwęglan barwiony</x:t>
        </x:is>
      </x:c>
      <x:c r="G8" s="594" t="n">
        <x:v>0</x:v>
      </x:c>
      <x:c r="H8" s="594" t="n">
        <x:v>0</x:v>
      </x:c>
      <x:c r="I8" s="594" t="n">
        <x:v>369</x:v>
      </x:c>
      <x:c r="J8" s="594" t="n">
        <x:v>106</x:v>
      </x:c>
      <x:c r="K8" s="595" t="n">
        <x:v>0.3099415204678362</x:v>
      </x:c>
      <x:c r="L8" s="593" t="inlineStr">
        <x:is>
          <x:t xml:space="preserve">POZOSTAWIĆ 0</x:t>
        </x:is>
      </x:c>
      <x:c r="M8" s="593" t="inlineStr">
        <x:is>
          <x:t xml:space="preserve">Zgodnie z Cennik usług: poliwęglan barwiony nie miał osobnej pracy ekipy</x:t>
        </x:is>
      </x:c>
      <x:c r="N8" s="593" t="inlineStr">
        <x:is>
          <x:t xml:space="preserve">Ma cenę dostawcy; montaż/wynagrodzenie zostaje 0.</x:t>
        </x:is>
      </x:c>
      <x:c r="O8" s="593" t="inlineStr">
        <x:is>
          <x:t xml:space="preserve">RAW_ZP D/E</x:t>
        </x:is>
      </x:c>
      <x:c r="P8" s="593" t="inlineStr">
        <x:is>
          <x:t xml:space="preserve">550 x 306 cm|PDPB</x:t>
        </x:is>
      </x:c>
    </x:row>
    <x:row r="9" s="655" customFormat="1" ht="29.5" customHeight="1">
      <x:c r="A9" s="592" t="n">
        <x:v>959</x:v>
      </x:c>
      <x:c r="B9" s="593" t="inlineStr">
        <x:is>
          <x:t xml:space="preserve">550 x 306 cm</x:t>
        </x:is>
      </x:c>
      <x:c r="C9" s="592" t="n">
        <x:v>550</x:v>
      </x:c>
      <x:c r="D9" s="592" t="n">
        <x:v>306</x:v>
      </x:c>
      <x:c r="E9" s="593" t="inlineStr">
        <x:is>
          <x:t xml:space="preserve">SBB</x:t>
        </x:is>
      </x:c>
      <x:c r="F9" s="593" t="inlineStr">
        <x:is>
          <x:t xml:space="preserve">Dopłata szkło boczne przyciemniane</x:t>
        </x:is>
      </x:c>
      <x:c r="G9" s="594" t="n">
        <x:v>0</x:v>
      </x:c>
      <x:c r="H9" s="594" t="n">
        <x:v>0</x:v>
      </x:c>
      <x:c r="I9" s="594" t="n">
        <x:v>2291</x:v>
      </x:c>
      <x:c r="J9" s="594" t="n">
        <x:v>658</x:v>
      </x:c>
      <x:c r="K9" s="595" t="n">
        <x:v>0.3102310231023102</x:v>
      </x:c>
      <x:c r="L9" s="593" t="inlineStr">
        <x:is>
          <x:t xml:space="preserve">POZOSTAWIĆ 0</x:t>
        </x:is>
      </x:c>
      <x:c r="M9" s="593" t="inlineStr">
        <x:is>
          <x:t xml:space="preserve">Zgodnie z Cennik usług: szyby boczne barwione nie miały osobnej pracy ekipy</x:t>
        </x:is>
      </x:c>
      <x:c r="N9" s="593" t="inlineStr">
        <x:is>
          <x:t xml:space="preserve">Ma cenę dostawcy; montaż/wynagrodzenie zostaje 0.</x:t>
        </x:is>
      </x:c>
      <x:c r="O9" s="593" t="inlineStr">
        <x:is>
          <x:t xml:space="preserve">RAW_OP H/I</x:t>
        </x:is>
      </x:c>
      <x:c r="P9" s="593" t="inlineStr">
        <x:is>
          <x:t xml:space="preserve">550 x 306 cm|SBB</x:t>
        </x:is>
      </x:c>
    </x:row>
    <x:row r="10" s="655" customFormat="1" ht="29.5" customHeight="1">
      <x:c r="A10" s="584" t="n">
        <x:v>960</x:v>
      </x:c>
      <x:c r="B10" s="585" t="inlineStr">
        <x:is>
          <x:t xml:space="preserve">550 x 306 cm</x:t>
        </x:is>
      </x:c>
      <x:c r="C10" s="584" t="n">
        <x:v>550</x:v>
      </x:c>
      <x:c r="D10" s="584" t="n">
        <x:v>306</x:v>
      </x:c>
      <x:c r="E10" s="585" t="inlineStr">
        <x:is>
          <x:t xml:space="preserve">RB</x:t>
        </x:is>
      </x:c>
      <x:c r="F10" s="585" t="inlineStr">
        <x:is>
          <x:t xml:space="preserve">Roleta boczna ZIP</x:t>
        </x:is>
      </x:c>
      <x:c r="G10" s="586" t="n">
        <x:v>0</x:v>
      </x:c>
      <x:c r="H10" s="586" t="n">
        <x:v>150</x:v>
      </x:c>
      <x:c r="I10" s="586" t="n">
        <x:v>5067</x:v>
      </x:c>
      <x:c r="J10" s="586" t="n">
        <x:v>1306</x:v>
      </x:c>
      <x:c r="K10" s="587" t="n">
        <x:v>0.2783461210571185</x:v>
      </x:c>
      <x:c r="L10" s="585" t="inlineStr">
        <x:is>
          <x:t xml:space="preserve">UZUPEŁNIĆ L</x:t>
        </x:is>
      </x:c>
      <x:c r="M10" s="585" t="inlineStr">
        <x:is>
          <x:t xml:space="preserve">L = przedłużona kolumna Montaż rolety bocznej</x:t>
        </x:is>
      </x:c>
      <x:c r="N10" s="585" t="inlineStr">
        <x:is>
          <x:t xml:space="preserve">K zostaje 0; rentowność po L pozostaje podobna do mniejszych wymiarów.</x:t>
        </x:is>
      </x:c>
      <x:c r="O10" s="585" t="inlineStr">
        <x:is>
          <x:t xml:space="preserve">RAW_ZP J/K</x:t>
        </x:is>
      </x:c>
      <x:c r="P10" s="585" t="inlineStr">
        <x:is>
          <x:t xml:space="preserve">550 x 306 cm|RB</x:t>
        </x:is>
      </x:c>
    </x:row>
    <x:row r="11" s="655" customFormat="1" ht="29.5" customHeight="1">
      <x:c r="A11" s="584" t="n">
        <x:v>961</x:v>
      </x:c>
      <x:c r="B11" s="585" t="inlineStr">
        <x:is>
          <x:t xml:space="preserve">550 x 306 cm</x:t>
        </x:is>
      </x:c>
      <x:c r="C11" s="584" t="n">
        <x:v>550</x:v>
      </x:c>
      <x:c r="D11" s="584" t="n">
        <x:v>306</x:v>
      </x:c>
      <x:c r="E11" s="585" t="inlineStr">
        <x:is>
          <x:t xml:space="preserve">RP</x:t>
        </x:is>
      </x:c>
      <x:c r="F11" s="585" t="inlineStr">
        <x:is>
          <x:t xml:space="preserve">Roleta przednia ZIP</x:t>
        </x:is>
      </x:c>
      <x:c r="G11" s="586" t="n">
        <x:v>0</x:v>
      </x:c>
      <x:c r="H11" s="586" t="n">
        <x:v>150</x:v>
      </x:c>
      <x:c r="I11" s="586" t="n">
        <x:v>2725</x:v>
      </x:c>
      <x:c r="J11" s="586" t="n">
        <x:v>633</x:v>
      </x:c>
      <x:c r="K11" s="587" t="n">
        <x:v>0.2508917954815695</x:v>
      </x:c>
      <x:c r="L11" s="585" t="inlineStr">
        <x:is>
          <x:t xml:space="preserve">UZUPEŁNIĆ L</x:t>
        </x:is>
      </x:c>
      <x:c r="M11" s="585" t="inlineStr">
        <x:is>
          <x:t xml:space="preserve">L = przedłużona kolumna Montaż rolety przedniej</x:t>
        </x:is>
      </x:c>
      <x:c r="N11" s="585" t="inlineStr">
        <x:is>
          <x:t xml:space="preserve">K zostaje 0; rentowność po L pozostaje podobna do mniejszych wymiarów.</x:t>
        </x:is>
      </x:c>
      <x:c r="O11" s="585" t="inlineStr">
        <x:is>
          <x:t xml:space="preserve">RAW_ZP N/O</x:t>
        </x:is>
      </x:c>
      <x:c r="P11" s="585" t="inlineStr">
        <x:is>
          <x:t xml:space="preserve">550 x 306 cm|RP</x:t>
        </x:is>
      </x:c>
    </x:row>
    <x:row r="12" s="655" customFormat="1" ht="29.5" customHeight="1">
      <x:c r="A12" s="584" t="n">
        <x:v>962</x:v>
      </x:c>
      <x:c r="B12" s="585" t="inlineStr">
        <x:is>
          <x:t xml:space="preserve">550 x 306 cm</x:t>
        </x:is>
      </x:c>
      <x:c r="C12" s="584" t="n">
        <x:v>550</x:v>
      </x:c>
      <x:c r="D12" s="584" t="n">
        <x:v>306</x:v>
      </x:c>
      <x:c r="E12" s="585" t="inlineStr">
        <x:is>
          <x:t xml:space="preserve">M</x:t>
        </x:is>
      </x:c>
      <x:c r="F12" s="585" t="inlineStr">
        <x:is>
          <x:t xml:space="preserve">Markiza dachowa</x:t>
        </x:is>
      </x:c>
      <x:c r="G12" s="586" t="n">
        <x:v>0</x:v>
      </x:c>
      <x:c r="H12" s="586" t="n">
        <x:v>200</x:v>
      </x:c>
      <x:c r="I12" s="586" t="n">
        <x:v>5321</x:v>
      </x:c>
      <x:c r="J12" s="586" t="n">
        <x:v>1329</x:v>
      </x:c>
      <x:c r="K12" s="587" t="n">
        <x:v>0.2697381773898924</x:v>
      </x:c>
      <x:c r="L12" s="585" t="inlineStr">
        <x:is>
          <x:t xml:space="preserve">UZUPEŁNIĆ L</x:t>
        </x:is>
      </x:c>
      <x:c r="M12" s="585" t="inlineStr">
        <x:is>
          <x:t xml:space="preserve">L = przedłużona kolumna Montaż markizy na dach</x:t>
        </x:is>
      </x:c>
      <x:c r="N12" s="585" t="inlineStr">
        <x:is>
          <x:t xml:space="preserve">K zostaje 0; rentowność po L pozostaje podobna do mniejszych wymiarów.</x:t>
        </x:is>
      </x:c>
      <x:c r="O12" s="585" t="inlineStr">
        <x:is>
          <x:t xml:space="preserve">RAW_ZP H/I</x:t>
        </x:is>
      </x:c>
      <x:c r="P12" s="585" t="inlineStr">
        <x:is>
          <x:t xml:space="preserve">550 x 306 cm|M</x:t>
        </x:is>
      </x:c>
    </x:row>
    <x:row r="13" s="655" customFormat="1" ht="29.5" customHeight="1">
      <x:c r="A13" s="584" t="n">
        <x:v>963</x:v>
      </x:c>
      <x:c r="B13" s="585" t="inlineStr">
        <x:is>
          <x:t xml:space="preserve">550 x 306 cm</x:t>
        </x:is>
      </x:c>
      <x:c r="C13" s="584" t="n">
        <x:v>550</x:v>
      </x:c>
      <x:c r="D13" s="584" t="n">
        <x:v>306</x:v>
      </x:c>
      <x:c r="E13" s="585" t="inlineStr">
        <x:is>
          <x:t xml:space="preserve">PDWP</x:t>
        </x:is>
      </x:c>
      <x:c r="F13" s="585" t="inlineStr">
        <x:is>
          <x:t xml:space="preserve">Fundament/profile</x:t>
        </x:is>
      </x:c>
      <x:c r="G13" s="586" t="n">
        <x:v>480</x:v>
      </x:c>
      <x:c r="H13" s="586" t="n">
        <x:v>440</x:v>
      </x:c>
      <x:c r="I13" s="586" t="n">
        <x:v>1995</x:v>
      </x:c>
      <x:c r="J13" s="586" t="n">
        <x:v>464</x:v>
      </x:c>
      <x:c r="K13" s="587" t="n">
        <x:v>0.2512181916621549</x:v>
      </x:c>
      <x:c r="L13" s="585" t="inlineStr">
        <x:is>
          <x:t xml:space="preserve">UZUPEŁNIĆ K+L / KOREKTA RENTOWNOŚCI</x:t>
        </x:is>
      </x:c>
      <x:c r="M13" s="585" t="inlineStr">
        <x:is>
          <x:t xml:space="preserve">L = Wyrównanie podłoża; K = dopłata montażowa wyliczona do min. 25% rentowności</x:t>
        </x:is>
      </x:c>
      <x:c r="N13" s="585" t="inlineStr">
        <x:is>
          <x:t xml:space="preserve">Bez K ten dodatek ma ujemną rentowność. To jest korekta biznesowa, nie tylko przedłużenie EG.</x:t>
        </x:is>
      </x:c>
      <x:c r="O13" s="585" t="inlineStr">
        <x:is>
          <x:t xml:space="preserve">RAW_OP AB/AC</x:t>
        </x:is>
      </x:c>
      <x:c r="P13" s="585" t="inlineStr">
        <x:is>
          <x:t xml:space="preserve">550 x 306 cm|PDWP</x:t>
        </x:is>
      </x:c>
    </x:row>
    <x:row r="14" s="655" customFormat="1" ht="29.5" customHeight="1">
      <x:c r="A14" s="592" t="n">
        <x:v>964</x:v>
      </x:c>
      <x:c r="B14" s="593" t="inlineStr">
        <x:is>
          <x:t xml:space="preserve">550 x 306 cm</x:t>
        </x:is>
      </x:c>
      <x:c r="C14" s="592" t="n">
        <x:v>550</x:v>
      </x:c>
      <x:c r="D14" s="592" t="n">
        <x:v>306</x:v>
      </x:c>
      <x:c r="E14" s="593" t="inlineStr">
        <x:is>
          <x:t xml:space="preserve">ZAB</x:t>
        </x:is>
      </x:c>
      <x:c r="F14" s="593" t="inlineStr">
        <x:is>
          <x:t xml:space="preserve">Zabieraki do ścian przesuwnych</x:t>
        </x:is>
      </x:c>
      <x:c r="G14" s="594" t="n">
        <x:v>0</x:v>
      </x:c>
      <x:c r="H14" s="594" t="n">
        <x:v>0</x:v>
      </x:c>
      <x:c r="I14" s="594" t="n">
        <x:v>611</x:v>
      </x:c>
      <x:c r="J14" s="594" t="n">
        <x:v>176</x:v>
      </x:c>
      <x:c r="K14" s="595" t="n">
        <x:v>0.3109540636042403</x:v>
      </x:c>
      <x:c r="L14" s="593" t="inlineStr">
        <x:is>
          <x:t xml:space="preserve">POZOSTAWIĆ 0</x:t>
        </x:is>
      </x:c>
      <x:c r="M14" s="593" t="inlineStr">
        <x:is>
          <x:t xml:space="preserve">Brak osobnej kolumny wynagrodzenia w Cennik usług; traktować jako element dodatkowy bez osobnej pracy</x:t>
        </x:is>
      </x:c>
      <x:c r="N14" s="593" t="n"/>
      <x:c r="O14" s="593" t="inlineStr">
        <x:is>
          <x:t xml:space="preserve">RAW_OP AD/AE</x:t>
        </x:is>
      </x:c>
      <x:c r="P14" s="593" t="inlineStr">
        <x:is>
          <x:t xml:space="preserve">550 x 306 cm|ZAB</x:t>
        </x:is>
      </x:c>
    </x:row>
    <x:row r="15" s="655" customFormat="1" ht="29.5" customHeight="1">
      <x:c r="A15" s="592" t="n">
        <x:v>965</x:v>
      </x:c>
      <x:c r="B15" s="593" t="inlineStr">
        <x:is>
          <x:t xml:space="preserve">550 x 306 cm</x:t>
        </x:is>
      </x:c>
      <x:c r="C15" s="592" t="n">
        <x:v>550</x:v>
      </x:c>
      <x:c r="D15" s="592" t="n">
        <x:v>306</x:v>
      </x:c>
      <x:c r="E15" s="593" t="inlineStr">
        <x:is>
          <x:t xml:space="preserve">S</x:t>
        </x:is>
      </x:c>
      <x:c r="F15" s="593" t="inlineStr">
        <x:is>
          <x:t xml:space="preserve">Szczotki przeciwkurzowe</x:t>
        </x:is>
      </x:c>
      <x:c r="G15" s="594" t="n">
        <x:v>0</x:v>
      </x:c>
      <x:c r="H15" s="594" t="n">
        <x:v>0</x:v>
      </x:c>
      <x:c r="I15" s="594" t="n">
        <x:v>637</x:v>
      </x:c>
      <x:c r="J15" s="594" t="n">
        <x:v>183</x:v>
      </x:c>
      <x:c r="K15" s="595" t="n">
        <x:v>0.3101694915254237</x:v>
      </x:c>
      <x:c r="L15" s="593" t="inlineStr">
        <x:is>
          <x:t xml:space="preserve">POZOSTAWIĆ 0</x:t>
        </x:is>
      </x:c>
      <x:c r="M15" s="593" t="inlineStr">
        <x:is>
          <x:t xml:space="preserve">Zgodnie z Cennik usług: szczotki przeciwkurzowe bez osobnego wynagrodzenia</x:t>
        </x:is>
      </x:c>
      <x:c r="N15" s="593" t="n"/>
      <x:c r="O15" s="593" t="inlineStr">
        <x:is>
          <x:t xml:space="preserve">RAW_OP L/M</x:t>
        </x:is>
      </x:c>
      <x:c r="P15" s="593" t="inlineStr">
        <x:is>
          <x:t xml:space="preserve">550 x 306 cm|S</x:t>
        </x:is>
      </x:c>
    </x:row>
    <x:row r="16" s="655" customFormat="1" ht="29.5" customHeight="1">
      <x:c r="A16" s="592" t="n">
        <x:v>966</x:v>
      </x:c>
      <x:c r="B16" s="593" t="inlineStr">
        <x:is>
          <x:t xml:space="preserve">550 x 306 cm</x:t>
        </x:is>
      </x:c>
      <x:c r="C16" s="592" t="n">
        <x:v>550</x:v>
      </x:c>
      <x:c r="D16" s="592" t="n">
        <x:v>306</x:v>
      </x:c>
      <x:c r="E16" s="593" t="inlineStr">
        <x:is>
          <x:t xml:space="preserve">U</x:t>
        </x:is>
      </x:c>
      <x:c r="F16" s="593" t="inlineStr">
        <x:is>
          <x:t xml:space="preserve">Uchwyty na szkło ścienne</x:t>
        </x:is>
      </x:c>
      <x:c r="G16" s="594" t="n">
        <x:v>0</x:v>
      </x:c>
      <x:c r="H16" s="594" t="n">
        <x:v>0</x:v>
      </x:c>
      <x:c r="I16" s="594" t="n">
        <x:v>573</x:v>
      </x:c>
      <x:c r="J16" s="594" t="n">
        <x:v>165</x:v>
      </x:c>
      <x:c r="K16" s="595" t="n">
        <x:v>0.3107344632768362</x:v>
      </x:c>
      <x:c r="L16" s="593" t="inlineStr">
        <x:is>
          <x:t xml:space="preserve">POZOSTAWIĆ 0</x:t>
        </x:is>
      </x:c>
      <x:c r="M16" s="593" t="inlineStr">
        <x:is>
          <x:t xml:space="preserve">Zgodnie z Cennik usług: uchwyty bez osobnego wynagrodzenia</x:t>
        </x:is>
      </x:c>
      <x:c r="N16" s="593" t="n"/>
      <x:c r="O16" s="593" t="inlineStr">
        <x:is>
          <x:t xml:space="preserve">RAW_OP N/O</x:t>
        </x:is>
      </x:c>
      <x:c r="P16" s="593" t="inlineStr">
        <x:is>
          <x:t xml:space="preserve">550 x 306 cm|U</x:t>
        </x:is>
      </x:c>
    </x:row>
    <x:row r="17" s="655" customFormat="1" ht="29.5" customHeight="1">
      <x:c r="A17" s="592" t="n">
        <x:v>967</x:v>
      </x:c>
      <x:c r="B17" s="593" t="inlineStr">
        <x:is>
          <x:t xml:space="preserve">550 x 306 cm</x:t>
        </x:is>
      </x:c>
      <x:c r="C17" s="592" t="n">
        <x:v>550</x:v>
      </x:c>
      <x:c r="D17" s="592" t="n">
        <x:v>306</x:v>
      </x:c>
      <x:c r="E17" s="593" t="inlineStr">
        <x:is>
          <x:t xml:space="preserve">LED2</x:t>
        </x:is>
      </x:c>
      <x:c r="F17" s="593" t="inlineStr">
        <x:is>
          <x:t xml:space="preserve">Oświetlenie LED 2 punkty</x:t>
        </x:is>
      </x:c>
      <x:c r="G17" s="594" t="n">
        <x:v>0</x:v>
      </x:c>
      <x:c r="H17" s="594" t="n">
        <x:v>0</x:v>
      </x:c>
      <x:c r="I17" s="594" t="n">
        <x:v>534</x:v>
      </x:c>
      <x:c r="J17" s="594" t="n">
        <x:v>153</x:v>
      </x:c>
      <x:c r="K17" s="595" t="n">
        <x:v>0.3097165991902834</x:v>
      </x:c>
      <x:c r="L17" s="593" t="inlineStr">
        <x:is>
          <x:t xml:space="preserve">POZOSTAWIĆ 0 NA RAZIE</x:t>
        </x:is>
      </x:c>
      <x:c r="M17" s="593" t="inlineStr">
        <x:is>
          <x:t xml:space="preserve">Cennik usług miał LED bez osobnego wynagrodzenia; kolumna LED z Wynagr. ekipy jest tylko informacyjna</x:t>
        </x:is>
      </x:c>
      <x:c r="N17" s="593" t="inlineStr">
        <x:is>
          <x:t xml:space="preserve">Informacyjnie wg Wynagr. ekipy LED na krokiew: 250 zł.</x:t>
        </x:is>
      </x:c>
      <x:c r="O17" s="593" t="inlineStr">
        <x:is>
          <x:t xml:space="preserve">RAW_ZP P/Q</x:t>
        </x:is>
      </x:c>
      <x:c r="P17" s="593" t="inlineStr">
        <x:is>
          <x:t xml:space="preserve">550 x 306 cm|LED2</x:t>
        </x:is>
      </x:c>
    </x:row>
    <x:row r="18" s="655" customFormat="1" ht="29.5" customHeight="1">
      <x:c r="A18" s="592" t="n">
        <x:v>968</x:v>
      </x:c>
      <x:c r="B18" s="593" t="inlineStr">
        <x:is>
          <x:t xml:space="preserve">550 x 306 cm</x:t>
        </x:is>
      </x:c>
      <x:c r="C18" s="592" t="n">
        <x:v>550</x:v>
      </x:c>
      <x:c r="D18" s="592" t="n">
        <x:v>306</x:v>
      </x:c>
      <x:c r="E18" s="593" t="inlineStr">
        <x:is>
          <x:t xml:space="preserve">LED3</x:t>
        </x:is>
      </x:c>
      <x:c r="F18" s="593" t="inlineStr">
        <x:is>
          <x:t xml:space="preserve">Oświetlenie LED 3 punkty</x:t>
        </x:is>
      </x:c>
      <x:c r="G18" s="594" t="n">
        <x:v>0</x:v>
      </x:c>
      <x:c r="H18" s="594" t="n">
        <x:v>0</x:v>
      </x:c>
      <x:c r="I18" s="594" t="n">
        <x:v>814</x:v>
      </x:c>
      <x:c r="J18" s="594" t="n">
        <x:v>234</x:v>
      </x:c>
      <x:c r="K18" s="595" t="n">
        <x:v>0.3103448275862069</x:v>
      </x:c>
      <x:c r="L18" s="593" t="inlineStr">
        <x:is>
          <x:t xml:space="preserve">POZOSTAWIĆ 0 NA RAZIE</x:t>
        </x:is>
      </x:c>
      <x:c r="M18" s="593" t="inlineStr">
        <x:is>
          <x:t xml:space="preserve">Cennik usług miał LED bez osobnego wynagrodzenia; kolumna LED z Wynagr. ekipy jest tylko informacyjna</x:t>
        </x:is>
      </x:c>
      <x:c r="N18" s="593" t="inlineStr">
        <x:is>
          <x:t xml:space="preserve">Informacyjnie wg Wynagr. ekipy LED na krokiew: 250 zł.</x:t>
        </x:is>
      </x:c>
      <x:c r="O18" s="593" t="inlineStr">
        <x:is>
          <x:t xml:space="preserve">RAW_ZP R/S</x:t>
        </x:is>
      </x:c>
      <x:c r="P18" s="593" t="inlineStr">
        <x:is>
          <x:t xml:space="preserve">550 x 306 cm|LED3</x:t>
        </x:is>
      </x:c>
    </x:row>
    <x:row r="19" s="655" customFormat="1" ht="29.5" customHeight="1">
      <x:c r="A19" s="592" t="n">
        <x:v>969</x:v>
      </x:c>
      <x:c r="B19" s="593" t="inlineStr">
        <x:is>
          <x:t xml:space="preserve">550 x 306 cm</x:t>
        </x:is>
      </x:c>
      <x:c r="C19" s="592" t="n">
        <x:v>550</x:v>
      </x:c>
      <x:c r="D19" s="592" t="n">
        <x:v>306</x:v>
      </x:c>
      <x:c r="E19" s="593" t="inlineStr">
        <x:is>
          <x:t xml:space="preserve">LEDCCT</x:t>
        </x:is>
      </x:c>
      <x:c r="F19" s="593" t="inlineStr">
        <x:is>
          <x:t xml:space="preserve">Oświetlenie LED CCT</x:t>
        </x:is>
      </x:c>
      <x:c r="G19" s="594" t="n">
        <x:v>0</x:v>
      </x:c>
      <x:c r="H19" s="594" t="n">
        <x:v>0</x:v>
      </x:c>
      <x:c r="I19" s="594" t="n">
        <x:v>0</x:v>
      </x:c>
      <x:c r="J19" s="594" t="n">
        <x:v>0</x:v>
      </x:c>
      <x:c r="K19" s="595" t="n"/>
      <x:c r="L19" s="593" t="inlineStr">
        <x:is>
          <x:t xml:space="preserve">POZOSTAWIĆ 0 / UKRYTE</x:t>
        </x:is>
      </x:c>
      <x:c r="M19" s="593" t="inlineStr">
        <x:is>
          <x:t xml:space="preserve">Brak pełnego cennika dla 550/600; opcje nadal crm_only/ukryte</x:t>
        </x:is>
      </x:c>
      <x:c r="N19" s="593" t="n"/>
      <x:c r="O19" s="593" t="inlineStr">
        <x:is>
          <x:t xml:space="preserve">RAW_ZP T/U</x:t>
        </x:is>
      </x:c>
      <x:c r="P19" s="593" t="inlineStr">
        <x:is>
          <x:t xml:space="preserve">550 x 306 cm|LEDCCT</x:t>
        </x:is>
      </x:c>
    </x:row>
    <x:row r="20" s="655" customFormat="1" ht="29.5" customHeight="1">
      <x:c r="A20" s="592" t="n">
        <x:v>970</x:v>
      </x:c>
      <x:c r="B20" s="593" t="inlineStr">
        <x:is>
          <x:t xml:space="preserve">550 x 306 cm</x:t>
        </x:is>
      </x:c>
      <x:c r="C20" s="592" t="n">
        <x:v>550</x:v>
      </x:c>
      <x:c r="D20" s="592" t="n">
        <x:v>306</x:v>
      </x:c>
      <x:c r="E20" s="593" t="inlineStr">
        <x:is>
          <x:t xml:space="preserve">LEDRGBCCT</x:t>
        </x:is>
      </x:c>
      <x:c r="F20" s="593" t="inlineStr">
        <x:is>
          <x:t xml:space="preserve">Oświetlenie LED RGB CCT</x:t>
        </x:is>
      </x:c>
      <x:c r="G20" s="594" t="n">
        <x:v>0</x:v>
      </x:c>
      <x:c r="H20" s="594" t="n">
        <x:v>0</x:v>
      </x:c>
      <x:c r="I20" s="594" t="n">
        <x:v>0</x:v>
      </x:c>
      <x:c r="J20" s="594" t="n">
        <x:v>0</x:v>
      </x:c>
      <x:c r="K20" s="595" t="n"/>
      <x:c r="L20" s="593" t="inlineStr">
        <x:is>
          <x:t xml:space="preserve">POZOSTAWIĆ 0 / UKRYTE</x:t>
        </x:is>
      </x:c>
      <x:c r="M20" s="593" t="inlineStr">
        <x:is>
          <x:t xml:space="preserve">Brak pełnego cennika dla 550/600; opcje nadal crm_only/ukryte</x:t>
        </x:is>
      </x:c>
      <x:c r="N20" s="593" t="n"/>
      <x:c r="O20" s="593" t="inlineStr">
        <x:is>
          <x:t xml:space="preserve">RAW_ZP V/W</x:t>
        </x:is>
      </x:c>
      <x:c r="P20" s="593" t="inlineStr">
        <x:is>
          <x:t xml:space="preserve">550 x 306 cm|LEDRGBCCT</x:t>
        </x:is>
      </x:c>
    </x:row>
    <x:row r="21" s="655" customFormat="1" ht="29.5" customHeight="1">
      <x:c r="A21" s="584" t="n">
        <x:v>971</x:v>
      </x:c>
      <x:c r="B21" s="585" t="inlineStr">
        <x:is>
          <x:t xml:space="preserve">550 x 406 cm</x:t>
        </x:is>
      </x:c>
      <x:c r="C21" s="584" t="n">
        <x:v>550</x:v>
      </x:c>
      <x:c r="D21" s="584" t="n">
        <x:v>406</x:v>
      </x:c>
      <x:c r="E21" s="585" t="inlineStr">
        <x:is>
          <x:t xml:space="preserve">ZP</x:t>
        </x:is>
      </x:c>
      <x:c r="F21" s="585" t="inlineStr">
        <x:is>
          <x:t xml:space="preserve">Zadaszenie poliwęglan - baza</x:t>
        </x:is>
      </x:c>
      <x:c r="G21" s="586" t="n">
        <x:v>4250</x:v>
      </x:c>
      <x:c r="H21" s="586" t="n">
        <x:v>1280</x:v>
      </x:c>
      <x:c r="I21" s="586" t="n">
        <x:v>21206</x:v>
      </x:c>
      <x:c r="J21" s="586" t="n">
        <x:v>7745</x:v>
      </x:c>
      <x:c r="K21" s="587" t="n">
        <x:v>0.3944486885663356</x:v>
      </x:c>
      <x:c r="L21" s="585" t="inlineStr">
        <x:is>
          <x:t xml:space="preserve">UZUPEŁNIĆ</x:t>
        </x:is>
      </x:c>
      <x:c r="M21" s="585" t="inlineStr">
        <x:is>
          <x:t xml:space="preserve">K: model rentowności 450/500; L: przedłużenie Wynagr. ekipy 450→500</x:t>
        </x:is>
      </x:c>
      <x:c r="N21" s="585" t="inlineStr">
        <x:is>
          <x:t xml:space="preserve">Podstawowa konstrukcja z ceną dostawcy dla 550/600.</x:t>
        </x:is>
      </x:c>
      <x:c r="O21" s="585" t="inlineStr">
        <x:is>
          <x:t xml:space="preserve">RAW_ZP B/C</x:t>
        </x:is>
      </x:c>
      <x:c r="P21" s="585" t="inlineStr">
        <x:is>
          <x:t xml:space="preserve">550 x 406 cm|ZP</x:t>
        </x:is>
      </x:c>
    </x:row>
    <x:row r="22" s="655" customFormat="1" ht="29.5" customHeight="1">
      <x:c r="A22" s="588" t="n">
        <x:v>972</x:v>
      </x:c>
      <x:c r="B22" s="589" t="inlineStr">
        <x:is>
          <x:t xml:space="preserve">550 x 406 cm</x:t>
        </x:is>
      </x:c>
      <x:c r="C22" s="588" t="n">
        <x:v>550</x:v>
      </x:c>
      <x:c r="D22" s="588" t="n">
        <x:v>406</x:v>
      </x:c>
      <x:c r="E22" s="589" t="inlineStr">
        <x:is>
          <x:t xml:space="preserve">ZS</x:t>
        </x:is>
      </x:c>
      <x:c r="F22" s="589" t="inlineStr">
        <x:is>
          <x:t xml:space="preserve">Zadaszenie szkło - pełna konstrukcja</x:t>
        </x:is>
      </x:c>
      <x:c r="G22" s="590" t="n">
        <x:v>4250</x:v>
      </x:c>
      <x:c r="H22" s="590" t="n">
        <x:v>1640</x:v>
      </x:c>
      <x:c r="I22" s="590" t="n"/>
      <x:c r="J22" s="590" t="n"/>
      <x:c r="K22" s="591" t="n"/>
      <x:c r="L22" s="589" t="inlineStr">
        <x:is>
          <x:t xml:space="preserve">NIE PUBLIKOWAĆ / BRAK RAW_ZS</x:t>
        </x:is>
      </x:c>
      <x:c r="M22" s="589" t="inlineStr">
        <x:is>
          <x:t xml:space="preserve">Informacyjnie: K jak ZP, L = pełny montaż zadaszenia szklanego z przedłużenia</x:t>
        </x:is>
      </x:c>
      <x:c r="N22" s="589" t="inlineStr">
        <x:is>
          <x:t xml:space="preserve">Brak ceny dostawcy dla ZS 550/600, więc nieaktywny do czasu cennika dostawcy.</x:t>
        </x:is>
      </x:c>
      <x:c r="O22" s="589" t="inlineStr">
        <x:is>
          <x:t xml:space="preserve">RAW_ZS B/C</x:t>
        </x:is>
      </x:c>
      <x:c r="P22" s="589" t="inlineStr">
        <x:is>
          <x:t xml:space="preserve">550 x 406 cm|ZS</x:t>
        </x:is>
      </x:c>
    </x:row>
    <x:row r="23" s="655" customFormat="1" ht="29.5" customHeight="1">
      <x:c r="A23" s="584" t="n">
        <x:v>973</x:v>
      </x:c>
      <x:c r="B23" s="585" t="inlineStr">
        <x:is>
          <x:t xml:space="preserve">550 x 406 cm</x:t>
        </x:is>
      </x:c>
      <x:c r="C23" s="584" t="n">
        <x:v>550</x:v>
      </x:c>
      <x:c r="D23" s="584" t="n">
        <x:v>406</x:v>
      </x:c>
      <x:c r="E23" s="585" t="inlineStr">
        <x:is>
          <x:t xml:space="preserve">OP</x:t>
        </x:is>
      </x:c>
      <x:c r="F23" s="585" t="inlineStr">
        <x:is>
          <x:t xml:space="preserve">Ogród zimowy poliwęglan - baza</x:t>
        </x:is>
      </x:c>
      <x:c r="G23" s="586" t="n">
        <x:v>5100</x:v>
      </x:c>
      <x:c r="H23" s="586" t="n">
        <x:v>1800</x:v>
      </x:c>
      <x:c r="I23" s="586" t="n">
        <x:v>45459</x:v>
      </x:c>
      <x:c r="J23" s="586" t="n">
        <x:v>14780</x:v>
      </x:c>
      <x:c r="K23" s="587" t="n">
        <x:v>0.3511356077164307</x:v>
      </x:c>
      <x:c r="L23" s="585" t="inlineStr">
        <x:is>
          <x:t xml:space="preserve">UZUPEŁNIĆ</x:t>
        </x:is>
      </x:c>
      <x:c r="M23" s="585" t="inlineStr">
        <x:is>
          <x:t xml:space="preserve">K: model rentowności 450/500; L: przedłużenie Wynagr. ekipy 450→500</x:t>
        </x:is>
      </x:c>
      <x:c r="N23" s="585" t="inlineStr">
        <x:is>
          <x:t xml:space="preserve">Podstawowa konstrukcja z ceną dostawcy dla 550/600.</x:t>
        </x:is>
      </x:c>
      <x:c r="O23" s="585" t="inlineStr">
        <x:is>
          <x:t xml:space="preserve">RAW_OP B/C</x:t>
        </x:is>
      </x:c>
      <x:c r="P23" s="585" t="inlineStr">
        <x:is>
          <x:t xml:space="preserve">550 x 406 cm|OP</x:t>
        </x:is>
      </x:c>
    </x:row>
    <x:row r="24" s="655" customFormat="1" ht="29.5" customHeight="1">
      <x:c r="A24" s="588" t="n">
        <x:v>974</x:v>
      </x:c>
      <x:c r="B24" s="589" t="inlineStr">
        <x:is>
          <x:t xml:space="preserve">550 x 406 cm</x:t>
        </x:is>
      </x:c>
      <x:c r="C24" s="588" t="n">
        <x:v>550</x:v>
      </x:c>
      <x:c r="D24" s="588" t="n">
        <x:v>406</x:v>
      </x:c>
      <x:c r="E24" s="589" t="inlineStr">
        <x:is>
          <x:t xml:space="preserve">OS</x:t>
        </x:is>
      </x:c>
      <x:c r="F24" s="589" t="inlineStr">
        <x:is>
          <x:t xml:space="preserve">Ogród zimowy szkło - pełna konstrukcja</x:t>
        </x:is>
      </x:c>
      <x:c r="G24" s="590" t="n">
        <x:v>5100</x:v>
      </x:c>
      <x:c r="H24" s="590" t="n">
        <x:v>2160</x:v>
      </x:c>
      <x:c r="I24" s="590" t="n"/>
      <x:c r="J24" s="590" t="n"/>
      <x:c r="K24" s="591" t="n"/>
      <x:c r="L24" s="589" t="inlineStr">
        <x:is>
          <x:t xml:space="preserve">NIE PUBLIKOWAĆ / BRAK RAW_OS</x:t>
        </x:is>
      </x:c>
      <x:c r="M24" s="589" t="inlineStr">
        <x:is>
          <x:t xml:space="preserve">Informacyjnie: K jak OP, L = pełny montaż ogrodu szklanego z przedłużenia</x:t>
        </x:is>
      </x:c>
      <x:c r="N24" s="589" t="inlineStr">
        <x:is>
          <x:t xml:space="preserve">Brak ceny dostawcy dla OS 550/600, więc nieaktywny do czasu cennika dostawcy.</x:t>
        </x:is>
      </x:c>
      <x:c r="O24" s="589" t="inlineStr">
        <x:is>
          <x:t xml:space="preserve">RAW_OS B/C</x:t>
        </x:is>
      </x:c>
      <x:c r="P24" s="589" t="inlineStr">
        <x:is>
          <x:t xml:space="preserve">550 x 406 cm|OS</x:t>
        </x:is>
      </x:c>
    </x:row>
    <x:row r="25" s="655" customFormat="1" ht="29.5" customHeight="1">
      <x:c r="A25" s="584" t="n">
        <x:v>975</x:v>
      </x:c>
      <x:c r="B25" s="585" t="inlineStr">
        <x:is>
          <x:t xml:space="preserve">550 x 406 cm</x:t>
        </x:is>
      </x:c>
      <x:c r="C25" s="584" t="n">
        <x:v>550</x:v>
      </x:c>
      <x:c r="D25" s="584" t="n">
        <x:v>406</x:v>
      </x:c>
      <x:c r="E25" s="585" t="inlineStr">
        <x:is>
          <x:t xml:space="preserve">PDS</x:t>
        </x:is>
      </x:c>
      <x:c r="F25" s="585" t="inlineStr">
        <x:is>
          <x:t xml:space="preserve">Dopłata dach szkło przezroczyste</x:t>
        </x:is>
      </x:c>
      <x:c r="G25" s="586" t="n">
        <x:v>0</x:v>
      </x:c>
      <x:c r="H25" s="586" t="n">
        <x:v>360</x:v>
      </x:c>
      <x:c r="I25" s="586" t="n"/>
      <x:c r="J25" s="586" t="n"/>
      <x:c r="K25" s="587" t="n"/>
      <x:c r="L25" s="585" t="inlineStr">
        <x:is>
          <x:t xml:space="preserve">DO UŻYCIA DOPIERO GDY BĘDZIE CENA DACHU SZKŁO</x:t>
        </x:is>
      </x:c>
      <x:c r="M25" s="585" t="inlineStr">
        <x:is>
          <x:t xml:space="preserve">L = montaż zadaszenia szkło - montaż zadaszenia poliwęglan</x:t>
        </x:is>
      </x:c>
      <x:c r="N25" s="585" t="inlineStr">
        <x:is>
          <x:t xml:space="preserve">Potrzebne dla dopłaty dachu szklanego; obecnie brak ceny dostawcy PDS 550/600.</x:t>
        </x:is>
      </x:c>
      <x:c r="O25" s="585" t="inlineStr">
        <x:is>
          <x:t xml:space="preserve">RAW_ZS - RAW_ZP</x:t>
        </x:is>
      </x:c>
      <x:c r="P25" s="585" t="inlineStr">
        <x:is>
          <x:t xml:space="preserve">550 x 406 cm|PDS</x:t>
        </x:is>
      </x:c>
    </x:row>
    <x:row r="26" s="655" customFormat="1" ht="29.5" customHeight="1">
      <x:c r="A26" s="592" t="n">
        <x:v>976</x:v>
      </x:c>
      <x:c r="B26" s="593" t="inlineStr">
        <x:is>
          <x:t xml:space="preserve">550 x 406 cm</x:t>
        </x:is>
      </x:c>
      <x:c r="C26" s="592" t="n">
        <x:v>550</x:v>
      </x:c>
      <x:c r="D26" s="592" t="n">
        <x:v>406</x:v>
      </x:c>
      <x:c r="E26" s="593" t="inlineStr">
        <x:is>
          <x:t xml:space="preserve">PDSB</x:t>
        </x:is>
      </x:c>
      <x:c r="F26" s="593" t="inlineStr">
        <x:is>
          <x:t xml:space="preserve">Dopłata dach szkło barwione/mleczne</x:t>
        </x:is>
      </x:c>
      <x:c r="G26" s="594" t="n">
        <x:v>0</x:v>
      </x:c>
      <x:c r="H26" s="594" t="n">
        <x:v>0</x:v>
      </x:c>
      <x:c r="I26" s="594" t="n"/>
      <x:c r="J26" s="594" t="n"/>
      <x:c r="K26" s="595" t="n"/>
      <x:c r="L26" s="593" t="inlineStr">
        <x:is>
          <x:t xml:space="preserve">POZOSTAWIĆ 0 / BRAK CENY PDSB</x:t>
        </x:is>
      </x:c>
      <x:c r="M26" s="593" t="inlineStr">
        <x:is>
          <x:t xml:space="preserve">Zgodnie z dotychczasową logiką: dopłata barwienia szkła nie ma osobnego wynagrodzenia</x:t>
        </x:is>
      </x:c>
      <x:c r="N26" s="593" t="inlineStr">
        <x:is>
          <x:t xml:space="preserve">Brak ceny dostawcy dla PDSB 550/600.</x:t>
        </x:is>
      </x:c>
      <x:c r="O26" s="593" t="inlineStr">
        <x:is>
          <x:t xml:space="preserve">RAW_ZS D/E</x:t>
        </x:is>
      </x:c>
      <x:c r="P26" s="593" t="inlineStr">
        <x:is>
          <x:t xml:space="preserve">550 x 406 cm|PDSB</x:t>
        </x:is>
      </x:c>
    </x:row>
    <x:row r="27" s="655" customFormat="1" ht="29.5" customHeight="1">
      <x:c r="A27" s="592" t="n">
        <x:v>977</x:v>
      </x:c>
      <x:c r="B27" s="593" t="inlineStr">
        <x:is>
          <x:t xml:space="preserve">550 x 406 cm</x:t>
        </x:is>
      </x:c>
      <x:c r="C27" s="592" t="n">
        <x:v>550</x:v>
      </x:c>
      <x:c r="D27" s="592" t="n">
        <x:v>406</x:v>
      </x:c>
      <x:c r="E27" s="593" t="inlineStr">
        <x:is>
          <x:t xml:space="preserve">PDPB</x:t>
        </x:is>
      </x:c>
      <x:c r="F27" s="593" t="inlineStr">
        <x:is>
          <x:t xml:space="preserve">Dopłata poliwęglan barwiony</x:t>
        </x:is>
      </x:c>
      <x:c r="G27" s="594" t="n">
        <x:v>0</x:v>
      </x:c>
      <x:c r="H27" s="594" t="n">
        <x:v>0</x:v>
      </x:c>
      <x:c r="I27" s="594" t="n">
        <x:v>484</x:v>
      </x:c>
      <x:c r="J27" s="594" t="n">
        <x:v>139</x:v>
      </x:c>
      <x:c r="K27" s="595" t="n">
        <x:v>0.3102678571428572</x:v>
      </x:c>
      <x:c r="L27" s="593" t="inlineStr">
        <x:is>
          <x:t xml:space="preserve">POZOSTAWIĆ 0</x:t>
        </x:is>
      </x:c>
      <x:c r="M27" s="593" t="inlineStr">
        <x:is>
          <x:t xml:space="preserve">Zgodnie z Cennik usług: poliwęglan barwiony nie miał osobnej pracy ekipy</x:t>
        </x:is>
      </x:c>
      <x:c r="N27" s="593" t="inlineStr">
        <x:is>
          <x:t xml:space="preserve">Ma cenę dostawcy; montaż/wynagrodzenie zostaje 0.</x:t>
        </x:is>
      </x:c>
      <x:c r="O27" s="593" t="inlineStr">
        <x:is>
          <x:t xml:space="preserve">RAW_ZP D/E</x:t>
        </x:is>
      </x:c>
      <x:c r="P27" s="593" t="inlineStr">
        <x:is>
          <x:t xml:space="preserve">550 x 406 cm|PDPB</x:t>
        </x:is>
      </x:c>
    </x:row>
    <x:row r="28" s="655" customFormat="1" ht="29.5" customHeight="1">
      <x:c r="A28" s="592" t="n">
        <x:v>978</x:v>
      </x:c>
      <x:c r="B28" s="593" t="inlineStr">
        <x:is>
          <x:t xml:space="preserve">550 x 406 cm</x:t>
        </x:is>
      </x:c>
      <x:c r="C28" s="592" t="n">
        <x:v>550</x:v>
      </x:c>
      <x:c r="D28" s="592" t="n">
        <x:v>406</x:v>
      </x:c>
      <x:c r="E28" s="593" t="inlineStr">
        <x:is>
          <x:t xml:space="preserve">SBB</x:t>
        </x:is>
      </x:c>
      <x:c r="F28" s="593" t="inlineStr">
        <x:is>
          <x:t xml:space="preserve">Dopłata szkło boczne przyciemniane</x:t>
        </x:is>
      </x:c>
      <x:c r="G28" s="594" t="n">
        <x:v>0</x:v>
      </x:c>
      <x:c r="H28" s="594" t="n">
        <x:v>0</x:v>
      </x:c>
      <x:c r="I28" s="594" t="n">
        <x:v>2444</x:v>
      </x:c>
      <x:c r="J28" s="594" t="n">
        <x:v>702</x:v>
      </x:c>
      <x:c r="K28" s="595" t="n">
        <x:v>0.3102076889085285</x:v>
      </x:c>
      <x:c r="L28" s="593" t="inlineStr">
        <x:is>
          <x:t xml:space="preserve">POZOSTAWIĆ 0</x:t>
        </x:is>
      </x:c>
      <x:c r="M28" s="593" t="inlineStr">
        <x:is>
          <x:t xml:space="preserve">Zgodnie z Cennik usług: szyby boczne barwione nie miały osobnej pracy ekipy</x:t>
        </x:is>
      </x:c>
      <x:c r="N28" s="593" t="inlineStr">
        <x:is>
          <x:t xml:space="preserve">Ma cenę dostawcy; montaż/wynagrodzenie zostaje 0.</x:t>
        </x:is>
      </x:c>
      <x:c r="O28" s="593" t="inlineStr">
        <x:is>
          <x:t xml:space="preserve">RAW_OP H/I</x:t>
        </x:is>
      </x:c>
      <x:c r="P28" s="593" t="inlineStr">
        <x:is>
          <x:t xml:space="preserve">550 x 406 cm|SBB</x:t>
        </x:is>
      </x:c>
    </x:row>
    <x:row r="29" s="655" customFormat="1" ht="29.5" customHeight="1">
      <x:c r="A29" s="584" t="n">
        <x:v>979</x:v>
      </x:c>
      <x:c r="B29" s="585" t="inlineStr">
        <x:is>
          <x:t xml:space="preserve">550 x 406 cm</x:t>
        </x:is>
      </x:c>
      <x:c r="C29" s="584" t="n">
        <x:v>550</x:v>
      </x:c>
      <x:c r="D29" s="584" t="n">
        <x:v>406</x:v>
      </x:c>
      <x:c r="E29" s="585" t="inlineStr">
        <x:is>
          <x:t xml:space="preserve">RB</x:t>
        </x:is>
      </x:c>
      <x:c r="F29" s="585" t="inlineStr">
        <x:is>
          <x:t xml:space="preserve">Roleta boczna ZIP</x:t>
        </x:is>
      </x:c>
      <x:c r="G29" s="586" t="n">
        <x:v>0</x:v>
      </x:c>
      <x:c r="H29" s="586" t="n">
        <x:v>150</x:v>
      </x:c>
      <x:c r="I29" s="586" t="n">
        <x:v>5067</x:v>
      </x:c>
      <x:c r="J29" s="586" t="n">
        <x:v>1306</x:v>
      </x:c>
      <x:c r="K29" s="587" t="n">
        <x:v>0.2783461210571185</x:v>
      </x:c>
      <x:c r="L29" s="585" t="inlineStr">
        <x:is>
          <x:t xml:space="preserve">UZUPEŁNIĆ L</x:t>
        </x:is>
      </x:c>
      <x:c r="M29" s="585" t="inlineStr">
        <x:is>
          <x:t xml:space="preserve">L = przedłużona kolumna Montaż rolety bocznej</x:t>
        </x:is>
      </x:c>
      <x:c r="N29" s="585" t="inlineStr">
        <x:is>
          <x:t xml:space="preserve">K zostaje 0; rentowność po L pozostaje podobna do mniejszych wymiarów.</x:t>
        </x:is>
      </x:c>
      <x:c r="O29" s="585" t="inlineStr">
        <x:is>
          <x:t xml:space="preserve">RAW_ZP J/K</x:t>
        </x:is>
      </x:c>
      <x:c r="P29" s="585" t="inlineStr">
        <x:is>
          <x:t xml:space="preserve">550 x 406 cm|RB</x:t>
        </x:is>
      </x:c>
    </x:row>
    <x:row r="30" s="655" customFormat="1" ht="29.5" customHeight="1">
      <x:c r="A30" s="584" t="n">
        <x:v>980</x:v>
      </x:c>
      <x:c r="B30" s="585" t="inlineStr">
        <x:is>
          <x:t xml:space="preserve">550 x 406 cm</x:t>
        </x:is>
      </x:c>
      <x:c r="C30" s="584" t="n">
        <x:v>550</x:v>
      </x:c>
      <x:c r="D30" s="584" t="n">
        <x:v>406</x:v>
      </x:c>
      <x:c r="E30" s="585" t="inlineStr">
        <x:is>
          <x:t xml:space="preserve">RP</x:t>
        </x:is>
      </x:c>
      <x:c r="F30" s="585" t="inlineStr">
        <x:is>
          <x:t xml:space="preserve">Roleta przednia ZIP</x:t>
        </x:is>
      </x:c>
      <x:c r="G30" s="586" t="n">
        <x:v>0</x:v>
      </x:c>
      <x:c r="H30" s="586" t="n">
        <x:v>150</x:v>
      </x:c>
      <x:c r="I30" s="586" t="n">
        <x:v>3361</x:v>
      </x:c>
      <x:c r="J30" s="586" t="n">
        <x:v>816</x:v>
      </x:c>
      <x:c r="K30" s="587" t="n">
        <x:v>0.2622107969151671</x:v>
      </x:c>
      <x:c r="L30" s="585" t="inlineStr">
        <x:is>
          <x:t xml:space="preserve">UZUPEŁNIĆ L</x:t>
        </x:is>
      </x:c>
      <x:c r="M30" s="585" t="inlineStr">
        <x:is>
          <x:t xml:space="preserve">L = przedłużona kolumna Montaż rolety przedniej</x:t>
        </x:is>
      </x:c>
      <x:c r="N30" s="585" t="inlineStr">
        <x:is>
          <x:t xml:space="preserve">K zostaje 0; rentowność po L pozostaje podobna do mniejszych wymiarów.</x:t>
        </x:is>
      </x:c>
      <x:c r="O30" s="585" t="inlineStr">
        <x:is>
          <x:t xml:space="preserve">RAW_ZP N/O</x:t>
        </x:is>
      </x:c>
      <x:c r="P30" s="585" t="inlineStr">
        <x:is>
          <x:t xml:space="preserve">550 x 406 cm|RP</x:t>
        </x:is>
      </x:c>
    </x:row>
    <x:row r="31" s="655" customFormat="1" ht="29.5" customHeight="1">
      <x:c r="A31" s="584" t="n">
        <x:v>981</x:v>
      </x:c>
      <x:c r="B31" s="585" t="inlineStr">
        <x:is>
          <x:t xml:space="preserve">550 x 406 cm</x:t>
        </x:is>
      </x:c>
      <x:c r="C31" s="584" t="n">
        <x:v>550</x:v>
      </x:c>
      <x:c r="D31" s="584" t="n">
        <x:v>406</x:v>
      </x:c>
      <x:c r="E31" s="585" t="inlineStr">
        <x:is>
          <x:t xml:space="preserve">M</x:t>
        </x:is>
      </x:c>
      <x:c r="F31" s="585" t="inlineStr">
        <x:is>
          <x:t xml:space="preserve">Markiza dachowa</x:t>
        </x:is>
      </x:c>
      <x:c r="G31" s="586" t="n">
        <x:v>0</x:v>
      </x:c>
      <x:c r="H31" s="586" t="n">
        <x:v>250</x:v>
      </x:c>
      <x:c r="I31" s="586" t="n">
        <x:v>6086</x:v>
      </x:c>
      <x:c r="J31" s="586" t="n">
        <x:v>1499</x:v>
      </x:c>
      <x:c r="K31" s="587" t="n">
        <x:v>0.2660159716060337</x:v>
      </x:c>
      <x:c r="L31" s="585" t="inlineStr">
        <x:is>
          <x:t xml:space="preserve">UZUPEŁNIĆ L</x:t>
        </x:is>
      </x:c>
      <x:c r="M31" s="585" t="inlineStr">
        <x:is>
          <x:t xml:space="preserve">L = przedłużona kolumna Montaż markizy na dach</x:t>
        </x:is>
      </x:c>
      <x:c r="N31" s="585" t="inlineStr">
        <x:is>
          <x:t xml:space="preserve">K zostaje 0; rentowność po L pozostaje podobna do mniejszych wymiarów.</x:t>
        </x:is>
      </x:c>
      <x:c r="O31" s="585" t="inlineStr">
        <x:is>
          <x:t xml:space="preserve">RAW_ZP H/I</x:t>
        </x:is>
      </x:c>
      <x:c r="P31" s="585" t="inlineStr">
        <x:is>
          <x:t xml:space="preserve">550 x 406 cm|M</x:t>
        </x:is>
      </x:c>
    </x:row>
    <x:row r="32" s="655" customFormat="1" ht="29.5" customHeight="1">
      <x:c r="A32" s="584" t="n">
        <x:v>982</x:v>
      </x:c>
      <x:c r="B32" s="585" t="inlineStr">
        <x:is>
          <x:t xml:space="preserve">550 x 406 cm</x:t>
        </x:is>
      </x:c>
      <x:c r="C32" s="584" t="n">
        <x:v>550</x:v>
      </x:c>
      <x:c r="D32" s="584" t="n">
        <x:v>406</x:v>
      </x:c>
      <x:c r="E32" s="585" t="inlineStr">
        <x:is>
          <x:t xml:space="preserve">PDWP</x:t>
        </x:is>
      </x:c>
      <x:c r="F32" s="585" t="inlineStr">
        <x:is>
          <x:t xml:space="preserve">Fundament/profile</x:t>
        </x:is>
      </x:c>
      <x:c r="G32" s="586" t="n">
        <x:v>540</x:v>
      </x:c>
      <x:c r="H32" s="586" t="n">
        <x:v>490</x:v>
      </x:c>
      <x:c r="I32" s="586" t="n">
        <x:v>2213</x:v>
      </x:c>
      <x:c r="J32" s="586" t="n">
        <x:v>518</x:v>
      </x:c>
      <x:c r="K32" s="587" t="n">
        <x:v>0.2528062469497316</x:v>
      </x:c>
      <x:c r="L32" s="585" t="inlineStr">
        <x:is>
          <x:t xml:space="preserve">UZUPEŁNIĆ K+L / KOREKTA RENTOWNOŚCI</x:t>
        </x:is>
      </x:c>
      <x:c r="M32" s="585" t="inlineStr">
        <x:is>
          <x:t xml:space="preserve">L = Wyrównanie podłoża; K = dopłata montażowa wyliczona do min. 25% rentowności</x:t>
        </x:is>
      </x:c>
      <x:c r="N32" s="585" t="inlineStr">
        <x:is>
          <x:t xml:space="preserve">Bez K ten dodatek ma ujemną rentowność. To jest korekta biznesowa, nie tylko przedłużenie EG.</x:t>
        </x:is>
      </x:c>
      <x:c r="O32" s="585" t="inlineStr">
        <x:is>
          <x:t xml:space="preserve">RAW_OP AB/AC</x:t>
        </x:is>
      </x:c>
      <x:c r="P32" s="585" t="inlineStr">
        <x:is>
          <x:t xml:space="preserve">550 x 406 cm|PDWP</x:t>
        </x:is>
      </x:c>
    </x:row>
    <x:row r="33" s="655" customFormat="1" ht="29.5" customHeight="1">
      <x:c r="A33" s="592" t="n">
        <x:v>983</x:v>
      </x:c>
      <x:c r="B33" s="593" t="inlineStr">
        <x:is>
          <x:t xml:space="preserve">550 x 406 cm</x:t>
        </x:is>
      </x:c>
      <x:c r="C33" s="592" t="n">
        <x:v>550</x:v>
      </x:c>
      <x:c r="D33" s="592" t="n">
        <x:v>406</x:v>
      </x:c>
      <x:c r="E33" s="593" t="inlineStr">
        <x:is>
          <x:t xml:space="preserve">ZAB</x:t>
        </x:is>
      </x:c>
      <x:c r="F33" s="593" t="inlineStr">
        <x:is>
          <x:t xml:space="preserve">Zabieraki do ścian przesuwnych</x:t>
        </x:is>
      </x:c>
      <x:c r="G33" s="594" t="n">
        <x:v>0</x:v>
      </x:c>
      <x:c r="H33" s="594" t="n">
        <x:v>0</x:v>
      </x:c>
      <x:c r="I33" s="594" t="n">
        <x:v>662</x:v>
      </x:c>
      <x:c r="J33" s="594" t="n">
        <x:v>190</x:v>
      </x:c>
      <x:c r="K33" s="595" t="n">
        <x:v>0.3099510603588907</x:v>
      </x:c>
      <x:c r="L33" s="593" t="inlineStr">
        <x:is>
          <x:t xml:space="preserve">POZOSTAWIĆ 0</x:t>
        </x:is>
      </x:c>
      <x:c r="M33" s="593" t="inlineStr">
        <x:is>
          <x:t xml:space="preserve">Brak osobnej kolumny wynagrodzenia w Cennik usług; traktować jako element dodatkowy bez osobnej pracy</x:t>
        </x:is>
      </x:c>
      <x:c r="N33" s="593" t="n"/>
      <x:c r="O33" s="593" t="inlineStr">
        <x:is>
          <x:t xml:space="preserve">RAW_OP AD/AE</x:t>
        </x:is>
      </x:c>
      <x:c r="P33" s="593" t="inlineStr">
        <x:is>
          <x:t xml:space="preserve">550 x 406 cm|ZAB</x:t>
        </x:is>
      </x:c>
    </x:row>
    <x:row r="34" s="655" customFormat="1" ht="29.5" customHeight="1">
      <x:c r="A34" s="592" t="n">
        <x:v>984</x:v>
      </x:c>
      <x:c r="B34" s="593" t="inlineStr">
        <x:is>
          <x:t xml:space="preserve">550 x 406 cm</x:t>
        </x:is>
      </x:c>
      <x:c r="C34" s="592" t="n">
        <x:v>550</x:v>
      </x:c>
      <x:c r="D34" s="592" t="n">
        <x:v>406</x:v>
      </x:c>
      <x:c r="E34" s="593" t="inlineStr">
        <x:is>
          <x:t xml:space="preserve">S</x:t>
        </x:is>
      </x:c>
      <x:c r="F34" s="593" t="inlineStr">
        <x:is>
          <x:t xml:space="preserve">Szczotki przeciwkurzowe</x:t>
        </x:is>
      </x:c>
      <x:c r="G34" s="594" t="n">
        <x:v>0</x:v>
      </x:c>
      <x:c r="H34" s="594" t="n">
        <x:v>0</x:v>
      </x:c>
      <x:c r="I34" s="594" t="n">
        <x:v>675</x:v>
      </x:c>
      <x:c r="J34" s="594" t="n">
        <x:v>194</x:v>
      </x:c>
      <x:c r="K34" s="595" t="n">
        <x:v>0.3104</x:v>
      </x:c>
      <x:c r="L34" s="593" t="inlineStr">
        <x:is>
          <x:t xml:space="preserve">POZOSTAWIĆ 0</x:t>
        </x:is>
      </x:c>
      <x:c r="M34" s="593" t="inlineStr">
        <x:is>
          <x:t xml:space="preserve">Zgodnie z Cennik usług: szczotki przeciwkurzowe bez osobnego wynagrodzenia</x:t>
        </x:is>
      </x:c>
      <x:c r="N34" s="593" t="n"/>
      <x:c r="O34" s="593" t="inlineStr">
        <x:is>
          <x:t xml:space="preserve">RAW_OP L/M</x:t>
        </x:is>
      </x:c>
      <x:c r="P34" s="593" t="inlineStr">
        <x:is>
          <x:t xml:space="preserve">550 x 406 cm|S</x:t>
        </x:is>
      </x:c>
    </x:row>
    <x:row r="35" s="655" customFormat="1" ht="29.5" customHeight="1">
      <x:c r="A35" s="592" t="n">
        <x:v>985</x:v>
      </x:c>
      <x:c r="B35" s="593" t="inlineStr">
        <x:is>
          <x:t xml:space="preserve">550 x 406 cm</x:t>
        </x:is>
      </x:c>
      <x:c r="C35" s="592" t="n">
        <x:v>550</x:v>
      </x:c>
      <x:c r="D35" s="592" t="n">
        <x:v>406</x:v>
      </x:c>
      <x:c r="E35" s="593" t="inlineStr">
        <x:is>
          <x:t xml:space="preserve">U</x:t>
        </x:is>
      </x:c>
      <x:c r="F35" s="593" t="inlineStr">
        <x:is>
          <x:t xml:space="preserve">Uchwyty na szkło ścienne</x:t>
        </x:is>
      </x:c>
      <x:c r="G35" s="594" t="n">
        <x:v>0</x:v>
      </x:c>
      <x:c r="H35" s="594" t="n">
        <x:v>0</x:v>
      </x:c>
      <x:c r="I35" s="594" t="n">
        <x:v>611</x:v>
      </x:c>
      <x:c r="J35" s="594" t="n">
        <x:v>176</x:v>
      </x:c>
      <x:c r="K35" s="595" t="n">
        <x:v>0.3109540636042403</x:v>
      </x:c>
      <x:c r="L35" s="593" t="inlineStr">
        <x:is>
          <x:t xml:space="preserve">POZOSTAWIĆ 0</x:t>
        </x:is>
      </x:c>
      <x:c r="M35" s="593" t="inlineStr">
        <x:is>
          <x:t xml:space="preserve">Zgodnie z Cennik usług: uchwyty bez osobnego wynagrodzenia</x:t>
        </x:is>
      </x:c>
      <x:c r="N35" s="593" t="n"/>
      <x:c r="O35" s="593" t="inlineStr">
        <x:is>
          <x:t xml:space="preserve">RAW_OP N/O</x:t>
        </x:is>
      </x:c>
      <x:c r="P35" s="593" t="inlineStr">
        <x:is>
          <x:t xml:space="preserve">550 x 406 cm|U</x:t>
        </x:is>
      </x:c>
    </x:row>
    <x:row r="36" s="655" customFormat="1" ht="29.5" customHeight="1">
      <x:c r="A36" s="592" t="n">
        <x:v>986</x:v>
      </x:c>
      <x:c r="B36" s="593" t="inlineStr">
        <x:is>
          <x:t xml:space="preserve">550 x 406 cm</x:t>
        </x:is>
      </x:c>
      <x:c r="C36" s="592" t="n">
        <x:v>550</x:v>
      </x:c>
      <x:c r="D36" s="592" t="n">
        <x:v>406</x:v>
      </x:c>
      <x:c r="E36" s="593" t="inlineStr">
        <x:is>
          <x:t xml:space="preserve">LED2</x:t>
        </x:is>
      </x:c>
      <x:c r="F36" s="593" t="inlineStr">
        <x:is>
          <x:t xml:space="preserve">Oświetlenie LED 2 punkty</x:t>
        </x:is>
      </x:c>
      <x:c r="G36" s="594" t="n">
        <x:v>0</x:v>
      </x:c>
      <x:c r="H36" s="594" t="n">
        <x:v>0</x:v>
      </x:c>
      <x:c r="I36" s="594" t="n">
        <x:v>650</x:v>
      </x:c>
      <x:c r="J36" s="594" t="n">
        <x:v>187</x:v>
      </x:c>
      <x:c r="K36" s="595" t="n">
        <x:v>0.3106312292358804</x:v>
      </x:c>
      <x:c r="L36" s="593" t="inlineStr">
        <x:is>
          <x:t xml:space="preserve">POZOSTAWIĆ 0 NA RAZIE</x:t>
        </x:is>
      </x:c>
      <x:c r="M36" s="593" t="inlineStr">
        <x:is>
          <x:t xml:space="preserve">Cennik usług miał LED bez osobnego wynagrodzenia; kolumna LED z Wynagr. ekipy jest tylko informacyjna</x:t>
        </x:is>
      </x:c>
      <x:c r="N36" s="593" t="inlineStr">
        <x:is>
          <x:t xml:space="preserve">Informacyjnie wg Wynagr. ekipy LED na krokiew: 300 zł.</x:t>
        </x:is>
      </x:c>
      <x:c r="O36" s="593" t="inlineStr">
        <x:is>
          <x:t xml:space="preserve">RAW_ZP P/Q</x:t>
        </x:is>
      </x:c>
      <x:c r="P36" s="593" t="inlineStr">
        <x:is>
          <x:t xml:space="preserve">550 x 406 cm|LED2</x:t>
        </x:is>
      </x:c>
    </x:row>
    <x:row r="37" s="655" customFormat="1" ht="29.5" customHeight="1">
      <x:c r="A37" s="592" t="n">
        <x:v>987</x:v>
      </x:c>
      <x:c r="B37" s="593" t="inlineStr">
        <x:is>
          <x:t xml:space="preserve">550 x 406 cm</x:t>
        </x:is>
      </x:c>
      <x:c r="C37" s="592" t="n">
        <x:v>550</x:v>
      </x:c>
      <x:c r="D37" s="592" t="n">
        <x:v>406</x:v>
      </x:c>
      <x:c r="E37" s="593" t="inlineStr">
        <x:is>
          <x:t xml:space="preserve">LED3</x:t>
        </x:is>
      </x:c>
      <x:c r="F37" s="593" t="inlineStr">
        <x:is>
          <x:t xml:space="preserve">Oświetlenie LED 3 punkty</x:t>
        </x:is>
      </x:c>
      <x:c r="G37" s="594" t="n">
        <x:v>0</x:v>
      </x:c>
      <x:c r="H37" s="594" t="n">
        <x:v>0</x:v>
      </x:c>
      <x:c r="I37" s="594" t="n">
        <x:v>943</x:v>
      </x:c>
      <x:c r="J37" s="594" t="n">
        <x:v>271</x:v>
      </x:c>
      <x:c r="K37" s="595" t="n">
        <x:v>0.3104238258877434</x:v>
      </x:c>
      <x:c r="L37" s="593" t="inlineStr">
        <x:is>
          <x:t xml:space="preserve">POZOSTAWIĆ 0 NA RAZIE</x:t>
        </x:is>
      </x:c>
      <x:c r="M37" s="593" t="inlineStr">
        <x:is>
          <x:t xml:space="preserve">Cennik usług miał LED bez osobnego wynagrodzenia; kolumna LED z Wynagr. ekipy jest tylko informacyjna</x:t>
        </x:is>
      </x:c>
      <x:c r="N37" s="593" t="inlineStr">
        <x:is>
          <x:t xml:space="preserve">Informacyjnie wg Wynagr. ekipy LED na krokiew: 300 zł.</x:t>
        </x:is>
      </x:c>
      <x:c r="O37" s="593" t="inlineStr">
        <x:is>
          <x:t xml:space="preserve">RAW_ZP R/S</x:t>
        </x:is>
      </x:c>
      <x:c r="P37" s="593" t="inlineStr">
        <x:is>
          <x:t xml:space="preserve">550 x 406 cm|LED3</x:t>
        </x:is>
      </x:c>
    </x:row>
    <x:row r="38" s="655" customFormat="1" ht="29.5" customHeight="1">
      <x:c r="A38" s="592" t="n">
        <x:v>988</x:v>
      </x:c>
      <x:c r="B38" s="593" t="inlineStr">
        <x:is>
          <x:t xml:space="preserve">550 x 406 cm</x:t>
        </x:is>
      </x:c>
      <x:c r="C38" s="592" t="n">
        <x:v>550</x:v>
      </x:c>
      <x:c r="D38" s="592" t="n">
        <x:v>406</x:v>
      </x:c>
      <x:c r="E38" s="593" t="inlineStr">
        <x:is>
          <x:t xml:space="preserve">LEDCCT</x:t>
        </x:is>
      </x:c>
      <x:c r="F38" s="593" t="inlineStr">
        <x:is>
          <x:t xml:space="preserve">Oświetlenie LED CCT</x:t>
        </x:is>
      </x:c>
      <x:c r="G38" s="594" t="n">
        <x:v>0</x:v>
      </x:c>
      <x:c r="H38" s="594" t="n">
        <x:v>0</x:v>
      </x:c>
      <x:c r="I38" s="594" t="n">
        <x:v>0</x:v>
      </x:c>
      <x:c r="J38" s="594" t="n">
        <x:v>0</x:v>
      </x:c>
      <x:c r="K38" s="595" t="n"/>
      <x:c r="L38" s="593" t="inlineStr">
        <x:is>
          <x:t xml:space="preserve">POZOSTAWIĆ 0 / UKRYTE</x:t>
        </x:is>
      </x:c>
      <x:c r="M38" s="593" t="inlineStr">
        <x:is>
          <x:t xml:space="preserve">Brak pełnego cennika dla 550/600; opcje nadal crm_only/ukryte</x:t>
        </x:is>
      </x:c>
      <x:c r="N38" s="593" t="n"/>
      <x:c r="O38" s="593" t="inlineStr">
        <x:is>
          <x:t xml:space="preserve">RAW_ZP T/U</x:t>
        </x:is>
      </x:c>
      <x:c r="P38" s="593" t="inlineStr">
        <x:is>
          <x:t xml:space="preserve">550 x 406 cm|LEDCCT</x:t>
        </x:is>
      </x:c>
    </x:row>
    <x:row r="39" s="655" customFormat="1" ht="29.5" customHeight="1">
      <x:c r="A39" s="592" t="n">
        <x:v>989</x:v>
      </x:c>
      <x:c r="B39" s="593" t="inlineStr">
        <x:is>
          <x:t xml:space="preserve">550 x 406 cm</x:t>
        </x:is>
      </x:c>
      <x:c r="C39" s="592" t="n">
        <x:v>550</x:v>
      </x:c>
      <x:c r="D39" s="592" t="n">
        <x:v>406</x:v>
      </x:c>
      <x:c r="E39" s="593" t="inlineStr">
        <x:is>
          <x:t xml:space="preserve">LEDRGBCCT</x:t>
        </x:is>
      </x:c>
      <x:c r="F39" s="593" t="inlineStr">
        <x:is>
          <x:t xml:space="preserve">Oświetlenie LED RGB CCT</x:t>
        </x:is>
      </x:c>
      <x:c r="G39" s="594" t="n">
        <x:v>0</x:v>
      </x:c>
      <x:c r="H39" s="594" t="n">
        <x:v>0</x:v>
      </x:c>
      <x:c r="I39" s="594" t="n">
        <x:v>0</x:v>
      </x:c>
      <x:c r="J39" s="594" t="n">
        <x:v>0</x:v>
      </x:c>
      <x:c r="K39" s="595" t="n"/>
      <x:c r="L39" s="593" t="inlineStr">
        <x:is>
          <x:t xml:space="preserve">POZOSTAWIĆ 0 / UKRYTE</x:t>
        </x:is>
      </x:c>
      <x:c r="M39" s="593" t="inlineStr">
        <x:is>
          <x:t xml:space="preserve">Brak pełnego cennika dla 550/600; opcje nadal crm_only/ukryte</x:t>
        </x:is>
      </x:c>
      <x:c r="N39" s="593" t="n"/>
      <x:c r="O39" s="593" t="inlineStr">
        <x:is>
          <x:t xml:space="preserve">RAW_ZP V/W</x:t>
        </x:is>
      </x:c>
      <x:c r="P39" s="593" t="inlineStr">
        <x:is>
          <x:t xml:space="preserve">550 x 406 cm|LEDRGBCCT</x:t>
        </x:is>
      </x:c>
    </x:row>
    <x:row r="40" s="655" customFormat="1" ht="29.5" customHeight="1">
      <x:c r="A40" s="584" t="n">
        <x:v>990</x:v>
      </x:c>
      <x:c r="B40" s="585" t="inlineStr">
        <x:is>
          <x:t xml:space="preserve">550 x 506 cm</x:t>
        </x:is>
      </x:c>
      <x:c r="C40" s="584" t="n">
        <x:v>550</x:v>
      </x:c>
      <x:c r="D40" s="584" t="n">
        <x:v>506</x:v>
      </x:c>
      <x:c r="E40" s="585" t="inlineStr">
        <x:is>
          <x:t xml:space="preserve">ZP</x:t>
        </x:is>
      </x:c>
      <x:c r="F40" s="585" t="inlineStr">
        <x:is>
          <x:t xml:space="preserve">Zadaszenie poliwęglan - baza</x:t>
        </x:is>
      </x:c>
      <x:c r="G40" s="586" t="n">
        <x:v>4610</x:v>
      </x:c>
      <x:c r="H40" s="586" t="n">
        <x:v>1410</x:v>
      </x:c>
      <x:c r="I40" s="586" t="n">
        <x:v>26164</x:v>
      </x:c>
      <x:c r="J40" s="586" t="n">
        <x:v>9288</x:v>
      </x:c>
      <x:c r="K40" s="587" t="n">
        <x:v>0.3833897465532898</x:v>
      </x:c>
      <x:c r="L40" s="585" t="inlineStr">
        <x:is>
          <x:t xml:space="preserve">UZUPEŁNIĆ</x:t>
        </x:is>
      </x:c>
      <x:c r="M40" s="585" t="inlineStr">
        <x:is>
          <x:t xml:space="preserve">K: model rentowności 450/500; L: przedłużenie Wynagr. ekipy 450→500</x:t>
        </x:is>
      </x:c>
      <x:c r="N40" s="585" t="inlineStr">
        <x:is>
          <x:t xml:space="preserve">Podstawowa konstrukcja z ceną dostawcy dla 550/600.</x:t>
        </x:is>
      </x:c>
      <x:c r="O40" s="585" t="inlineStr">
        <x:is>
          <x:t xml:space="preserve">RAW_ZP B/C</x:t>
        </x:is>
      </x:c>
      <x:c r="P40" s="585" t="inlineStr">
        <x:is>
          <x:t xml:space="preserve">550 x 506 cm|ZP</x:t>
        </x:is>
      </x:c>
    </x:row>
    <x:row r="41" s="655" customFormat="1" ht="29.5" customHeight="1">
      <x:c r="A41" s="588" t="n">
        <x:v>991</x:v>
      </x:c>
      <x:c r="B41" s="589" t="inlineStr">
        <x:is>
          <x:t xml:space="preserve">550 x 506 cm</x:t>
        </x:is>
      </x:c>
      <x:c r="C41" s="588" t="n">
        <x:v>550</x:v>
      </x:c>
      <x:c r="D41" s="588" t="n">
        <x:v>506</x:v>
      </x:c>
      <x:c r="E41" s="589" t="inlineStr">
        <x:is>
          <x:t xml:space="preserve">ZS</x:t>
        </x:is>
      </x:c>
      <x:c r="F41" s="589" t="inlineStr">
        <x:is>
          <x:t xml:space="preserve">Zadaszenie szkło - pełna konstrukcja</x:t>
        </x:is>
      </x:c>
      <x:c r="G41" s="590" t="n">
        <x:v>4610</x:v>
      </x:c>
      <x:c r="H41" s="590" t="n">
        <x:v>1810</x:v>
      </x:c>
      <x:c r="I41" s="590" t="n"/>
      <x:c r="J41" s="590" t="n"/>
      <x:c r="K41" s="591" t="n"/>
      <x:c r="L41" s="589" t="inlineStr">
        <x:is>
          <x:t xml:space="preserve">NIE PUBLIKOWAĆ / BRAK RAW_ZS</x:t>
        </x:is>
      </x:c>
      <x:c r="M41" s="589" t="inlineStr">
        <x:is>
          <x:t xml:space="preserve">Informacyjnie: K jak ZP, L = pełny montaż zadaszenia szklanego z przedłużenia</x:t>
        </x:is>
      </x:c>
      <x:c r="N41" s="589" t="inlineStr">
        <x:is>
          <x:t xml:space="preserve">Brak ceny dostawcy dla ZS 550/600, więc nieaktywny do czasu cennika dostawcy.</x:t>
        </x:is>
      </x:c>
      <x:c r="O41" s="589" t="inlineStr">
        <x:is>
          <x:t xml:space="preserve">RAW_ZS B/C</x:t>
        </x:is>
      </x:c>
      <x:c r="P41" s="589" t="inlineStr">
        <x:is>
          <x:t xml:space="preserve">550 x 506 cm|ZS</x:t>
        </x:is>
      </x:c>
    </x:row>
    <x:row r="42" s="655" customFormat="1" ht="29.5" customHeight="1">
      <x:c r="A42" s="584" t="n">
        <x:v>992</x:v>
      </x:c>
      <x:c r="B42" s="585" t="inlineStr">
        <x:is>
          <x:t xml:space="preserve">550 x 506 cm</x:t>
        </x:is>
      </x:c>
      <x:c r="C42" s="584" t="n">
        <x:v>550</x:v>
      </x:c>
      <x:c r="D42" s="584" t="n">
        <x:v>506</x:v>
      </x:c>
      <x:c r="E42" s="585" t="inlineStr">
        <x:is>
          <x:t xml:space="preserve">OP</x:t>
        </x:is>
      </x:c>
      <x:c r="F42" s="585" t="inlineStr">
        <x:is>
          <x:t xml:space="preserve">Ogród zimowy poliwęglan - baza</x:t>
        </x:is>
      </x:c>
      <x:c r="G42" s="586" t="n">
        <x:v>5510</x:v>
      </x:c>
      <x:c r="H42" s="586" t="n">
        <x:v>1980</x:v>
      </x:c>
      <x:c r="I42" s="586" t="n">
        <x:v>51682</x:v>
      </x:c>
      <x:c r="J42" s="586" t="n">
        <x:v>16671</x:v>
      </x:c>
      <x:c r="K42" s="587" t="n">
        <x:v>0.3483721319011995</x:v>
      </x:c>
      <x:c r="L42" s="585" t="inlineStr">
        <x:is>
          <x:t xml:space="preserve">UZUPEŁNIĆ</x:t>
        </x:is>
      </x:c>
      <x:c r="M42" s="585" t="inlineStr">
        <x:is>
          <x:t xml:space="preserve">K: model rentowności 450/500; L: przedłużenie Wynagr. ekipy 450→500</x:t>
        </x:is>
      </x:c>
      <x:c r="N42" s="585" t="inlineStr">
        <x:is>
          <x:t xml:space="preserve">Podstawowa konstrukcja z ceną dostawcy dla 550/600.</x:t>
        </x:is>
      </x:c>
      <x:c r="O42" s="585" t="inlineStr">
        <x:is>
          <x:t xml:space="preserve">RAW_OP B/C</x:t>
        </x:is>
      </x:c>
      <x:c r="P42" s="585" t="inlineStr">
        <x:is>
          <x:t xml:space="preserve">550 x 506 cm|OP</x:t>
        </x:is>
      </x:c>
    </x:row>
    <x:row r="43" s="655" customFormat="1" ht="29.5" customHeight="1">
      <x:c r="A43" s="588" t="n">
        <x:v>993</x:v>
      </x:c>
      <x:c r="B43" s="589" t="inlineStr">
        <x:is>
          <x:t xml:space="preserve">550 x 506 cm</x:t>
        </x:is>
      </x:c>
      <x:c r="C43" s="588" t="n">
        <x:v>550</x:v>
      </x:c>
      <x:c r="D43" s="588" t="n">
        <x:v>506</x:v>
      </x:c>
      <x:c r="E43" s="589" t="inlineStr">
        <x:is>
          <x:t xml:space="preserve">OS</x:t>
        </x:is>
      </x:c>
      <x:c r="F43" s="589" t="inlineStr">
        <x:is>
          <x:t xml:space="preserve">Ogród zimowy szkło - pełna konstrukcja</x:t>
        </x:is>
      </x:c>
      <x:c r="G43" s="590" t="n">
        <x:v>5510</x:v>
      </x:c>
      <x:c r="H43" s="590" t="n">
        <x:v>2380</x:v>
      </x:c>
      <x:c r="I43" s="590" t="n"/>
      <x:c r="J43" s="590" t="n"/>
      <x:c r="K43" s="591" t="n"/>
      <x:c r="L43" s="589" t="inlineStr">
        <x:is>
          <x:t xml:space="preserve">NIE PUBLIKOWAĆ / BRAK RAW_OS</x:t>
        </x:is>
      </x:c>
      <x:c r="M43" s="589" t="inlineStr">
        <x:is>
          <x:t xml:space="preserve">Informacyjnie: K jak OP, L = pełny montaż ogrodu szklanego z przedłużenia</x:t>
        </x:is>
      </x:c>
      <x:c r="N43" s="589" t="inlineStr">
        <x:is>
          <x:t xml:space="preserve">Brak ceny dostawcy dla OS 550/600, więc nieaktywny do czasu cennika dostawcy.</x:t>
        </x:is>
      </x:c>
      <x:c r="O43" s="589" t="inlineStr">
        <x:is>
          <x:t xml:space="preserve">RAW_OS B/C</x:t>
        </x:is>
      </x:c>
      <x:c r="P43" s="589" t="inlineStr">
        <x:is>
          <x:t xml:space="preserve">550 x 506 cm|OS</x:t>
        </x:is>
      </x:c>
    </x:row>
    <x:row r="44" s="655" customFormat="1" ht="29.5" customHeight="1">
      <x:c r="A44" s="584" t="n">
        <x:v>994</x:v>
      </x:c>
      <x:c r="B44" s="585" t="inlineStr">
        <x:is>
          <x:t xml:space="preserve">550 x 506 cm</x:t>
        </x:is>
      </x:c>
      <x:c r="C44" s="584" t="n">
        <x:v>550</x:v>
      </x:c>
      <x:c r="D44" s="584" t="n">
        <x:v>506</x:v>
      </x:c>
      <x:c r="E44" s="585" t="inlineStr">
        <x:is>
          <x:t xml:space="preserve">PDS</x:t>
        </x:is>
      </x:c>
      <x:c r="F44" s="585" t="inlineStr">
        <x:is>
          <x:t xml:space="preserve">Dopłata dach szkło przezroczyste</x:t>
        </x:is>
      </x:c>
      <x:c r="G44" s="586" t="n">
        <x:v>0</x:v>
      </x:c>
      <x:c r="H44" s="586" t="n">
        <x:v>400</x:v>
      </x:c>
      <x:c r="I44" s="586" t="n"/>
      <x:c r="J44" s="586" t="n"/>
      <x:c r="K44" s="587" t="n"/>
      <x:c r="L44" s="585" t="inlineStr">
        <x:is>
          <x:t xml:space="preserve">DO UŻYCIA DOPIERO GDY BĘDZIE CENA DACHU SZKŁO</x:t>
        </x:is>
      </x:c>
      <x:c r="M44" s="585" t="inlineStr">
        <x:is>
          <x:t xml:space="preserve">L = montaż zadaszenia szkło - montaż zadaszenia poliwęglan</x:t>
        </x:is>
      </x:c>
      <x:c r="N44" s="585" t="inlineStr">
        <x:is>
          <x:t xml:space="preserve">Potrzebne dla dopłaty dachu szklanego; obecnie brak ceny dostawcy PDS 550/600.</x:t>
        </x:is>
      </x:c>
      <x:c r="O44" s="585" t="inlineStr">
        <x:is>
          <x:t xml:space="preserve">RAW_ZS - RAW_ZP</x:t>
        </x:is>
      </x:c>
      <x:c r="P44" s="585" t="inlineStr">
        <x:is>
          <x:t xml:space="preserve">550 x 506 cm|PDS</x:t>
        </x:is>
      </x:c>
    </x:row>
    <x:row r="45" s="655" customFormat="1" ht="29.5" customHeight="1">
      <x:c r="A45" s="592" t="n">
        <x:v>995</x:v>
      </x:c>
      <x:c r="B45" s="593" t="inlineStr">
        <x:is>
          <x:t xml:space="preserve">550 x 506 cm</x:t>
        </x:is>
      </x:c>
      <x:c r="C45" s="592" t="n">
        <x:v>550</x:v>
      </x:c>
      <x:c r="D45" s="592" t="n">
        <x:v>506</x:v>
      </x:c>
      <x:c r="E45" s="593" t="inlineStr">
        <x:is>
          <x:t xml:space="preserve">PDSB</x:t>
        </x:is>
      </x:c>
      <x:c r="F45" s="593" t="inlineStr">
        <x:is>
          <x:t xml:space="preserve">Dopłata dach szkło barwione/mleczne</x:t>
        </x:is>
      </x:c>
      <x:c r="G45" s="594" t="n">
        <x:v>0</x:v>
      </x:c>
      <x:c r="H45" s="594" t="n">
        <x:v>0</x:v>
      </x:c>
      <x:c r="I45" s="594" t="n"/>
      <x:c r="J45" s="594" t="n"/>
      <x:c r="K45" s="595" t="n"/>
      <x:c r="L45" s="593" t="inlineStr">
        <x:is>
          <x:t xml:space="preserve">POZOSTAWIĆ 0 / BRAK CENY PDSB</x:t>
        </x:is>
      </x:c>
      <x:c r="M45" s="593" t="inlineStr">
        <x:is>
          <x:t xml:space="preserve">Zgodnie z dotychczasową logiką: dopłata barwienia szkła nie ma osobnego wynagrodzenia</x:t>
        </x:is>
      </x:c>
      <x:c r="N45" s="593" t="inlineStr">
        <x:is>
          <x:t xml:space="preserve">Brak ceny dostawcy dla PDSB 550/600.</x:t>
        </x:is>
      </x:c>
      <x:c r="O45" s="593" t="inlineStr">
        <x:is>
          <x:t xml:space="preserve">RAW_ZS D/E</x:t>
        </x:is>
      </x:c>
      <x:c r="P45" s="593" t="inlineStr">
        <x:is>
          <x:t xml:space="preserve">550 x 506 cm|PDSB</x:t>
        </x:is>
      </x:c>
    </x:row>
    <x:row r="46" s="655" customFormat="1" ht="29.5" customHeight="1">
      <x:c r="A46" s="592" t="n">
        <x:v>996</x:v>
      </x:c>
      <x:c r="B46" s="593" t="inlineStr">
        <x:is>
          <x:t xml:space="preserve">550 x 506 cm</x:t>
        </x:is>
      </x:c>
      <x:c r="C46" s="592" t="n">
        <x:v>550</x:v>
      </x:c>
      <x:c r="D46" s="592" t="n">
        <x:v>506</x:v>
      </x:c>
      <x:c r="E46" s="593" t="inlineStr">
        <x:is>
          <x:t xml:space="preserve">PDPB</x:t>
        </x:is>
      </x:c>
      <x:c r="F46" s="593" t="inlineStr">
        <x:is>
          <x:t xml:space="preserve">Dopłata poliwęglan barwiony</x:t>
        </x:is>
      </x:c>
      <x:c r="G46" s="594" t="n">
        <x:v>0</x:v>
      </x:c>
      <x:c r="H46" s="594" t="n">
        <x:v>0</x:v>
      </x:c>
      <x:c r="I46" s="594" t="n">
        <x:v>611</x:v>
      </x:c>
      <x:c r="J46" s="594" t="n">
        <x:v>176</x:v>
      </x:c>
      <x:c r="K46" s="595" t="n">
        <x:v>0.3109540636042403</x:v>
      </x:c>
      <x:c r="L46" s="593" t="inlineStr">
        <x:is>
          <x:t xml:space="preserve">POZOSTAWIĆ 0</x:t>
        </x:is>
      </x:c>
      <x:c r="M46" s="593" t="inlineStr">
        <x:is>
          <x:t xml:space="preserve">Zgodnie z Cennik usług: poliwęglan barwiony nie miał osobnej pracy ekipy</x:t>
        </x:is>
      </x:c>
      <x:c r="N46" s="593" t="inlineStr">
        <x:is>
          <x:t xml:space="preserve">Ma cenę dostawcy; montaż/wynagrodzenie zostaje 0.</x:t>
        </x:is>
      </x:c>
      <x:c r="O46" s="593" t="inlineStr">
        <x:is>
          <x:t xml:space="preserve">RAW_ZP D/E</x:t>
        </x:is>
      </x:c>
      <x:c r="P46" s="593" t="inlineStr">
        <x:is>
          <x:t xml:space="preserve">550 x 506 cm|PDPB</x:t>
        </x:is>
      </x:c>
    </x:row>
    <x:row r="47" s="655" customFormat="1" ht="29.5" customHeight="1">
      <x:c r="A47" s="592" t="n">
        <x:v>997</x:v>
      </x:c>
      <x:c r="B47" s="593" t="inlineStr">
        <x:is>
          <x:t xml:space="preserve">550 x 506 cm</x:t>
        </x:is>
      </x:c>
      <x:c r="C47" s="592" t="n">
        <x:v>550</x:v>
      </x:c>
      <x:c r="D47" s="592" t="n">
        <x:v>506</x:v>
      </x:c>
      <x:c r="E47" s="593" t="inlineStr">
        <x:is>
          <x:t xml:space="preserve">SBB</x:t>
        </x:is>
      </x:c>
      <x:c r="F47" s="593" t="inlineStr">
        <x:is>
          <x:t xml:space="preserve">Dopłata szkło boczne przyciemniane</x:t>
        </x:is>
      </x:c>
      <x:c r="G47" s="594" t="n">
        <x:v>0</x:v>
      </x:c>
      <x:c r="H47" s="594" t="n">
        <x:v>0</x:v>
      </x:c>
      <x:c r="I47" s="594" t="n">
        <x:v>2598</x:v>
      </x:c>
      <x:c r="J47" s="594" t="n">
        <x:v>747</x:v>
      </x:c>
      <x:c r="K47" s="595" t="n">
        <x:v>0.3104738154613466</x:v>
      </x:c>
      <x:c r="L47" s="593" t="inlineStr">
        <x:is>
          <x:t xml:space="preserve">POZOSTAWIĆ 0</x:t>
        </x:is>
      </x:c>
      <x:c r="M47" s="593" t="inlineStr">
        <x:is>
          <x:t xml:space="preserve">Zgodnie z Cennik usług: szyby boczne barwione nie miały osobnej pracy ekipy</x:t>
        </x:is>
      </x:c>
      <x:c r="N47" s="593" t="inlineStr">
        <x:is>
          <x:t xml:space="preserve">Ma cenę dostawcy; montaż/wynagrodzenie zostaje 0.</x:t>
        </x:is>
      </x:c>
      <x:c r="O47" s="593" t="inlineStr">
        <x:is>
          <x:t xml:space="preserve">RAW_OP H/I</x:t>
        </x:is>
      </x:c>
      <x:c r="P47" s="593" t="inlineStr">
        <x:is>
          <x:t xml:space="preserve">550 x 506 cm|SBB</x:t>
        </x:is>
      </x:c>
    </x:row>
    <x:row r="48" s="655" customFormat="1" ht="29.5" customHeight="1">
      <x:c r="A48" s="584" t="n">
        <x:v>998</x:v>
      </x:c>
      <x:c r="B48" s="585" t="inlineStr">
        <x:is>
          <x:t xml:space="preserve">550 x 506 cm</x:t>
        </x:is>
      </x:c>
      <x:c r="C48" s="584" t="n">
        <x:v>550</x:v>
      </x:c>
      <x:c r="D48" s="584" t="n">
        <x:v>506</x:v>
      </x:c>
      <x:c r="E48" s="585" t="inlineStr">
        <x:is>
          <x:t xml:space="preserve">RB</x:t>
        </x:is>
      </x:c>
      <x:c r="F48" s="585" t="inlineStr">
        <x:is>
          <x:t xml:space="preserve">Roleta boczna ZIP</x:t>
        </x:is>
      </x:c>
      <x:c r="G48" s="586" t="n">
        <x:v>0</x:v>
      </x:c>
      <x:c r="H48" s="586" t="n">
        <x:v>150</x:v>
      </x:c>
      <x:c r="I48" s="586" t="n">
        <x:v>5067</x:v>
      </x:c>
      <x:c r="J48" s="586" t="n">
        <x:v>1306</x:v>
      </x:c>
      <x:c r="K48" s="587" t="n">
        <x:v>0.2783461210571185</x:v>
      </x:c>
      <x:c r="L48" s="585" t="inlineStr">
        <x:is>
          <x:t xml:space="preserve">UZUPEŁNIĆ L</x:t>
        </x:is>
      </x:c>
      <x:c r="M48" s="585" t="inlineStr">
        <x:is>
          <x:t xml:space="preserve">L = przedłużona kolumna Montaż rolety bocznej</x:t>
        </x:is>
      </x:c>
      <x:c r="N48" s="585" t="inlineStr">
        <x:is>
          <x:t xml:space="preserve">K zostaje 0; rentowność po L pozostaje podobna do mniejszych wymiarów.</x:t>
        </x:is>
      </x:c>
      <x:c r="O48" s="585" t="inlineStr">
        <x:is>
          <x:t xml:space="preserve">RAW_ZP J/K</x:t>
        </x:is>
      </x:c>
      <x:c r="P48" s="585" t="inlineStr">
        <x:is>
          <x:t xml:space="preserve">550 x 506 cm|RB</x:t>
        </x:is>
      </x:c>
    </x:row>
    <x:row r="49" s="655" customFormat="1" ht="29.5" customHeight="1">
      <x:c r="A49" s="584" t="n">
        <x:v>999</x:v>
      </x:c>
      <x:c r="B49" s="585" t="inlineStr">
        <x:is>
          <x:t xml:space="preserve">550 x 506 cm</x:t>
        </x:is>
      </x:c>
      <x:c r="C49" s="584" t="n">
        <x:v>550</x:v>
      </x:c>
      <x:c r="D49" s="584" t="n">
        <x:v>506</x:v>
      </x:c>
      <x:c r="E49" s="585" t="inlineStr">
        <x:is>
          <x:t xml:space="preserve">RP</x:t>
        </x:is>
      </x:c>
      <x:c r="F49" s="585" t="inlineStr">
        <x:is>
          <x:t xml:space="preserve">Roleta przednia ZIP</x:t>
        </x:is>
      </x:c>
      <x:c r="G49" s="586" t="n">
        <x:v>0</x:v>
      </x:c>
      <x:c r="H49" s="586" t="n">
        <x:v>300</x:v>
      </x:c>
      <x:c r="I49" s="586" t="n">
        <x:v>4711</x:v>
      </x:c>
      <x:c r="J49" s="586" t="n">
        <x:v>1054</x:v>
      </x:c>
      <x:c r="K49" s="587" t="n">
        <x:v>0.2416322787712059</x:v>
      </x:c>
      <x:c r="L49" s="585" t="inlineStr">
        <x:is>
          <x:t xml:space="preserve">UZUPEŁNIĆ L</x:t>
        </x:is>
      </x:c>
      <x:c r="M49" s="585" t="inlineStr">
        <x:is>
          <x:t xml:space="preserve">L = przedłużona kolumna Montaż rolety przedniej</x:t>
        </x:is>
      </x:c>
      <x:c r="N49" s="585" t="inlineStr">
        <x:is>
          <x:t xml:space="preserve">K zostaje 0; rentowność po L pozostaje podobna do mniejszych wymiarów.</x:t>
        </x:is>
      </x:c>
      <x:c r="O49" s="585" t="inlineStr">
        <x:is>
          <x:t xml:space="preserve">RAW_ZP N/O</x:t>
        </x:is>
      </x:c>
      <x:c r="P49" s="585" t="inlineStr">
        <x:is>
          <x:t xml:space="preserve">550 x 506 cm|RP</x:t>
        </x:is>
      </x:c>
    </x:row>
    <x:row r="50" s="655" customFormat="1" ht="29.5" customHeight="1">
      <x:c r="A50" s="584" t="n">
        <x:v>1000</x:v>
      </x:c>
      <x:c r="B50" s="585" t="inlineStr">
        <x:is>
          <x:t xml:space="preserve">550 x 506 cm</x:t>
        </x:is>
      </x:c>
      <x:c r="C50" s="584" t="n">
        <x:v>550</x:v>
      </x:c>
      <x:c r="D50" s="584" t="n">
        <x:v>506</x:v>
      </x:c>
      <x:c r="E50" s="585" t="inlineStr">
        <x:is>
          <x:t xml:space="preserve">M</x:t>
        </x:is>
      </x:c>
      <x:c r="F50" s="585" t="inlineStr">
        <x:is>
          <x:t xml:space="preserve">Markiza dachowa</x:t>
        </x:is>
      </x:c>
      <x:c r="G50" s="586" t="n">
        <x:v>0</x:v>
      </x:c>
      <x:c r="H50" s="586" t="n">
        <x:v>300</x:v>
      </x:c>
      <x:c r="I50" s="586" t="n">
        <x:v>7078</x:v>
      </x:c>
      <x:c r="J50" s="586" t="n">
        <x:v>1734</x:v>
      </x:c>
      <x:c r="K50" s="587" t="n">
        <x:v>0.2645712541959109</x:v>
      </x:c>
      <x:c r="L50" s="585" t="inlineStr">
        <x:is>
          <x:t xml:space="preserve">UZUPEŁNIĆ L</x:t>
        </x:is>
      </x:c>
      <x:c r="M50" s="585" t="inlineStr">
        <x:is>
          <x:t xml:space="preserve">L = przedłużona kolumna Montaż markizy na dach</x:t>
        </x:is>
      </x:c>
      <x:c r="N50" s="585" t="inlineStr">
        <x:is>
          <x:t xml:space="preserve">K zostaje 0; rentowność po L pozostaje podobna do mniejszych wymiarów.</x:t>
        </x:is>
      </x:c>
      <x:c r="O50" s="585" t="inlineStr">
        <x:is>
          <x:t xml:space="preserve">RAW_ZP H/I</x:t>
        </x:is>
      </x:c>
      <x:c r="P50" s="585" t="inlineStr">
        <x:is>
          <x:t xml:space="preserve">550 x 506 cm|M</x:t>
        </x:is>
      </x:c>
    </x:row>
    <x:row r="51" s="655" customFormat="1" ht="29.5" customHeight="1">
      <x:c r="A51" s="584" t="n">
        <x:v>1001</x:v>
      </x:c>
      <x:c r="B51" s="585" t="inlineStr">
        <x:is>
          <x:t xml:space="preserve">550 x 506 cm</x:t>
        </x:is>
      </x:c>
      <x:c r="C51" s="584" t="n">
        <x:v>550</x:v>
      </x:c>
      <x:c r="D51" s="584" t="n">
        <x:v>506</x:v>
      </x:c>
      <x:c r="E51" s="585" t="inlineStr">
        <x:is>
          <x:t xml:space="preserve">PDWP</x:t>
        </x:is>
      </x:c>
      <x:c r="F51" s="585" t="inlineStr">
        <x:is>
          <x:t xml:space="preserve">Fundament/profile</x:t>
        </x:is>
      </x:c>
      <x:c r="G51" s="586" t="n">
        <x:v>590</x:v>
      </x:c>
      <x:c r="H51" s="586" t="n">
        <x:v>540</x:v>
      </x:c>
      <x:c r="I51" s="586" t="n">
        <x:v>2432</x:v>
      </x:c>
      <x:c r="J51" s="586" t="n">
        <x:v>566</x:v>
      </x:c>
      <x:c r="K51" s="587" t="n">
        <x:v>0.2513321492007105</x:v>
      </x:c>
      <x:c r="L51" s="585" t="inlineStr">
        <x:is>
          <x:t xml:space="preserve">UZUPEŁNIĆ K+L / KOREKTA RENTOWNOŚCI</x:t>
        </x:is>
      </x:c>
      <x:c r="M51" s="585" t="inlineStr">
        <x:is>
          <x:t xml:space="preserve">L = Wyrównanie podłoża; K = dopłata montażowa wyliczona do min. 25% rentowności</x:t>
        </x:is>
      </x:c>
      <x:c r="N51" s="585" t="inlineStr">
        <x:is>
          <x:t xml:space="preserve">Bez K ten dodatek ma ujemną rentowność. To jest korekta biznesowa, nie tylko przedłużenie EG.</x:t>
        </x:is>
      </x:c>
      <x:c r="O51" s="585" t="inlineStr">
        <x:is>
          <x:t xml:space="preserve">RAW_OP AB/AC</x:t>
        </x:is>
      </x:c>
      <x:c r="P51" s="585" t="inlineStr">
        <x:is>
          <x:t xml:space="preserve">550 x 506 cm|PDWP</x:t>
        </x:is>
      </x:c>
    </x:row>
    <x:row r="52" s="655" customFormat="1" ht="29.5" customHeight="1">
      <x:c r="A52" s="592" t="n">
        <x:v>1002</x:v>
      </x:c>
      <x:c r="B52" s="593" t="inlineStr">
        <x:is>
          <x:t xml:space="preserve">550 x 506 cm</x:t>
        </x:is>
      </x:c>
      <x:c r="C52" s="592" t="n">
        <x:v>550</x:v>
      </x:c>
      <x:c r="D52" s="592" t="n">
        <x:v>506</x:v>
      </x:c>
      <x:c r="E52" s="593" t="inlineStr">
        <x:is>
          <x:t xml:space="preserve">ZAB</x:t>
        </x:is>
      </x:c>
      <x:c r="F52" s="593" t="inlineStr">
        <x:is>
          <x:t xml:space="preserve">Zabieraki do ścian przesuwnych</x:t>
        </x:is>
      </x:c>
      <x:c r="G52" s="594" t="n">
        <x:v>0</x:v>
      </x:c>
      <x:c r="H52" s="594" t="n">
        <x:v>0</x:v>
      </x:c>
      <x:c r="I52" s="594" t="n">
        <x:v>662</x:v>
      </x:c>
      <x:c r="J52" s="594" t="n">
        <x:v>190</x:v>
      </x:c>
      <x:c r="K52" s="595" t="n">
        <x:v>0.3099510603588907</x:v>
      </x:c>
      <x:c r="L52" s="593" t="inlineStr">
        <x:is>
          <x:t xml:space="preserve">POZOSTAWIĆ 0</x:t>
        </x:is>
      </x:c>
      <x:c r="M52" s="593" t="inlineStr">
        <x:is>
          <x:t xml:space="preserve">Brak osobnej kolumny wynagrodzenia w Cennik usług; traktować jako element dodatkowy bez osobnej pracy</x:t>
        </x:is>
      </x:c>
      <x:c r="N52" s="593" t="n"/>
      <x:c r="O52" s="593" t="inlineStr">
        <x:is>
          <x:t xml:space="preserve">RAW_OP AD/AE</x:t>
        </x:is>
      </x:c>
      <x:c r="P52" s="593" t="inlineStr">
        <x:is>
          <x:t xml:space="preserve">550 x 506 cm|ZAB</x:t>
        </x:is>
      </x:c>
    </x:row>
    <x:row r="53" s="655" customFormat="1" ht="29.5" customHeight="1">
      <x:c r="A53" s="592" t="n">
        <x:v>1003</x:v>
      </x:c>
      <x:c r="B53" s="593" t="inlineStr">
        <x:is>
          <x:t xml:space="preserve">550 x 506 cm</x:t>
        </x:is>
      </x:c>
      <x:c r="C53" s="592" t="n">
        <x:v>550</x:v>
      </x:c>
      <x:c r="D53" s="592" t="n">
        <x:v>506</x:v>
      </x:c>
      <x:c r="E53" s="593" t="inlineStr">
        <x:is>
          <x:t xml:space="preserve">S</x:t>
        </x:is>
      </x:c>
      <x:c r="F53" s="593" t="inlineStr">
        <x:is>
          <x:t xml:space="preserve">Szczotki przeciwkurzowe</x:t>
        </x:is>
      </x:c>
      <x:c r="G53" s="594" t="n">
        <x:v>0</x:v>
      </x:c>
      <x:c r="H53" s="594" t="n">
        <x:v>0</x:v>
      </x:c>
      <x:c r="I53" s="594" t="n">
        <x:v>725</x:v>
      </x:c>
      <x:c r="J53" s="594" t="n">
        <x:v>208</x:v>
      </x:c>
      <x:c r="K53" s="595" t="n">
        <x:v>0.3099850968703428</x:v>
      </x:c>
      <x:c r="L53" s="593" t="inlineStr">
        <x:is>
          <x:t xml:space="preserve">POZOSTAWIĆ 0</x:t>
        </x:is>
      </x:c>
      <x:c r="M53" s="593" t="inlineStr">
        <x:is>
          <x:t xml:space="preserve">Zgodnie z Cennik usług: szczotki przeciwkurzowe bez osobnego wynagrodzenia</x:t>
        </x:is>
      </x:c>
      <x:c r="N53" s="593" t="n"/>
      <x:c r="O53" s="593" t="inlineStr">
        <x:is>
          <x:t xml:space="preserve">RAW_OP L/M</x:t>
        </x:is>
      </x:c>
      <x:c r="P53" s="593" t="inlineStr">
        <x:is>
          <x:t xml:space="preserve">550 x 506 cm|S</x:t>
        </x:is>
      </x:c>
    </x:row>
    <x:row r="54" s="655" customFormat="1" ht="29.5" customHeight="1">
      <x:c r="A54" s="592" t="n">
        <x:v>1004</x:v>
      </x:c>
      <x:c r="B54" s="593" t="inlineStr">
        <x:is>
          <x:t xml:space="preserve">550 x 506 cm</x:t>
        </x:is>
      </x:c>
      <x:c r="C54" s="592" t="n">
        <x:v>550</x:v>
      </x:c>
      <x:c r="D54" s="592" t="n">
        <x:v>506</x:v>
      </x:c>
      <x:c r="E54" s="593" t="inlineStr">
        <x:is>
          <x:t xml:space="preserve">U</x:t>
        </x:is>
      </x:c>
      <x:c r="F54" s="593" t="inlineStr">
        <x:is>
          <x:t xml:space="preserve">Uchwyty na szkło ścienne</x:t>
        </x:is>
      </x:c>
      <x:c r="G54" s="594" t="n">
        <x:v>0</x:v>
      </x:c>
      <x:c r="H54" s="594" t="n">
        <x:v>0</x:v>
      </x:c>
      <x:c r="I54" s="594" t="n">
        <x:v>662</x:v>
      </x:c>
      <x:c r="J54" s="594" t="n">
        <x:v>190</x:v>
      </x:c>
      <x:c r="K54" s="595" t="n">
        <x:v>0.3099510603588907</x:v>
      </x:c>
      <x:c r="L54" s="593" t="inlineStr">
        <x:is>
          <x:t xml:space="preserve">POZOSTAWIĆ 0</x:t>
        </x:is>
      </x:c>
      <x:c r="M54" s="593" t="inlineStr">
        <x:is>
          <x:t xml:space="preserve">Zgodnie z Cennik usług: uchwyty bez osobnego wynagrodzenia</x:t>
        </x:is>
      </x:c>
      <x:c r="N54" s="593" t="n"/>
      <x:c r="O54" s="593" t="inlineStr">
        <x:is>
          <x:t xml:space="preserve">RAW_OP N/O</x:t>
        </x:is>
      </x:c>
      <x:c r="P54" s="593" t="inlineStr">
        <x:is>
          <x:t xml:space="preserve">550 x 506 cm|U</x:t>
        </x:is>
      </x:c>
    </x:row>
    <x:row r="55" s="655" customFormat="1" ht="29.5" customHeight="1">
      <x:c r="A55" s="592" t="n">
        <x:v>1005</x:v>
      </x:c>
      <x:c r="B55" s="593" t="inlineStr">
        <x:is>
          <x:t xml:space="preserve">550 x 506 cm</x:t>
        </x:is>
      </x:c>
      <x:c r="C55" s="592" t="n">
        <x:v>550</x:v>
      </x:c>
      <x:c r="D55" s="592" t="n">
        <x:v>506</x:v>
      </x:c>
      <x:c r="E55" s="593" t="inlineStr">
        <x:is>
          <x:t xml:space="preserve">LED2</x:t>
        </x:is>
      </x:c>
      <x:c r="F55" s="593" t="inlineStr">
        <x:is>
          <x:t xml:space="preserve">Oświetlenie LED 2 punkty</x:t>
        </x:is>
      </x:c>
      <x:c r="G55" s="594" t="n">
        <x:v>0</x:v>
      </x:c>
      <x:c r="H55" s="594" t="n">
        <x:v>0</x:v>
      </x:c>
      <x:c r="I55" s="594" t="n">
        <x:v>765</x:v>
      </x:c>
      <x:c r="J55" s="594" t="n">
        <x:v>220</x:v>
      </x:c>
      <x:c r="K55" s="595" t="n">
        <x:v>0.3107344632768362</x:v>
      </x:c>
      <x:c r="L55" s="593" t="inlineStr">
        <x:is>
          <x:t xml:space="preserve">POZOSTAWIĆ 0 NA RAZIE</x:t>
        </x:is>
      </x:c>
      <x:c r="M55" s="593" t="inlineStr">
        <x:is>
          <x:t xml:space="preserve">Cennik usług miał LED bez osobnego wynagrodzenia; kolumna LED z Wynagr. ekipy jest tylko informacyjna</x:t>
        </x:is>
      </x:c>
      <x:c r="N55" s="593" t="inlineStr">
        <x:is>
          <x:t xml:space="preserve">Informacyjnie wg Wynagr. ekipy LED na krokiew: 350 zł.</x:t>
        </x:is>
      </x:c>
      <x:c r="O55" s="593" t="inlineStr">
        <x:is>
          <x:t xml:space="preserve">RAW_ZP P/Q</x:t>
        </x:is>
      </x:c>
      <x:c r="P55" s="593" t="inlineStr">
        <x:is>
          <x:t xml:space="preserve">550 x 506 cm|LED2</x:t>
        </x:is>
      </x:c>
    </x:row>
    <x:row r="56" s="655" customFormat="1" ht="29.5" customHeight="1">
      <x:c r="A56" s="592" t="n">
        <x:v>1006</x:v>
      </x:c>
      <x:c r="B56" s="593" t="inlineStr">
        <x:is>
          <x:t xml:space="preserve">550 x 506 cm</x:t>
        </x:is>
      </x:c>
      <x:c r="C56" s="592" t="n">
        <x:v>550</x:v>
      </x:c>
      <x:c r="D56" s="592" t="n">
        <x:v>506</x:v>
      </x:c>
      <x:c r="E56" s="593" t="inlineStr">
        <x:is>
          <x:t xml:space="preserve">LED3</x:t>
        </x:is>
      </x:c>
      <x:c r="F56" s="593" t="inlineStr">
        <x:is>
          <x:t xml:space="preserve">Oświetlenie LED 3 punkty</x:t>
        </x:is>
      </x:c>
      <x:c r="G56" s="594" t="n">
        <x:v>0</x:v>
      </x:c>
      <x:c r="H56" s="594" t="n">
        <x:v>0</x:v>
      </x:c>
      <x:c r="I56" s="594" t="n">
        <x:v>1221</x:v>
      </x:c>
      <x:c r="J56" s="594" t="n">
        <x:v>351</x:v>
      </x:c>
      <x:c r="K56" s="595" t="n">
        <x:v>0.3103448275862069</x:v>
      </x:c>
      <x:c r="L56" s="593" t="inlineStr">
        <x:is>
          <x:t xml:space="preserve">POZOSTAWIĆ 0 NA RAZIE</x:t>
        </x:is>
      </x:c>
      <x:c r="M56" s="593" t="inlineStr">
        <x:is>
          <x:t xml:space="preserve">Cennik usług miał LED bez osobnego wynagrodzenia; kolumna LED z Wynagr. ekipy jest tylko informacyjna</x:t>
        </x:is>
      </x:c>
      <x:c r="N56" s="593" t="inlineStr">
        <x:is>
          <x:t xml:space="preserve">Informacyjnie wg Wynagr. ekipy LED na krokiew: 350 zł.</x:t>
        </x:is>
      </x:c>
      <x:c r="O56" s="593" t="inlineStr">
        <x:is>
          <x:t xml:space="preserve">RAW_ZP R/S</x:t>
        </x:is>
      </x:c>
      <x:c r="P56" s="593" t="inlineStr">
        <x:is>
          <x:t xml:space="preserve">550 x 506 cm|LED3</x:t>
        </x:is>
      </x:c>
    </x:row>
    <x:row r="57" s="655" customFormat="1" ht="29.5" customHeight="1">
      <x:c r="A57" s="592" t="n">
        <x:v>1007</x:v>
      </x:c>
      <x:c r="B57" s="593" t="inlineStr">
        <x:is>
          <x:t xml:space="preserve">550 x 506 cm</x:t>
        </x:is>
      </x:c>
      <x:c r="C57" s="592" t="n">
        <x:v>550</x:v>
      </x:c>
      <x:c r="D57" s="592" t="n">
        <x:v>506</x:v>
      </x:c>
      <x:c r="E57" s="593" t="inlineStr">
        <x:is>
          <x:t xml:space="preserve">LEDCCT</x:t>
        </x:is>
      </x:c>
      <x:c r="F57" s="593" t="inlineStr">
        <x:is>
          <x:t xml:space="preserve">Oświetlenie LED CCT</x:t>
        </x:is>
      </x:c>
      <x:c r="G57" s="594" t="n">
        <x:v>0</x:v>
      </x:c>
      <x:c r="H57" s="594" t="n">
        <x:v>0</x:v>
      </x:c>
      <x:c r="I57" s="594" t="n">
        <x:v>0</x:v>
      </x:c>
      <x:c r="J57" s="594" t="n">
        <x:v>0</x:v>
      </x:c>
      <x:c r="K57" s="595" t="n"/>
      <x:c r="L57" s="593" t="inlineStr">
        <x:is>
          <x:t xml:space="preserve">POZOSTAWIĆ 0 / UKRYTE</x:t>
        </x:is>
      </x:c>
      <x:c r="M57" s="593" t="inlineStr">
        <x:is>
          <x:t xml:space="preserve">Brak pełnego cennika dla 550/600; opcje nadal crm_only/ukryte</x:t>
        </x:is>
      </x:c>
      <x:c r="N57" s="593" t="n"/>
      <x:c r="O57" s="593" t="inlineStr">
        <x:is>
          <x:t xml:space="preserve">RAW_ZP T/U</x:t>
        </x:is>
      </x:c>
      <x:c r="P57" s="593" t="inlineStr">
        <x:is>
          <x:t xml:space="preserve">550 x 506 cm|LEDCCT</x:t>
        </x:is>
      </x:c>
    </x:row>
    <x:row r="58" s="655" customFormat="1" ht="29.5" customHeight="1">
      <x:c r="A58" s="592" t="n">
        <x:v>1008</x:v>
      </x:c>
      <x:c r="B58" s="593" t="inlineStr">
        <x:is>
          <x:t xml:space="preserve">550 x 506 cm</x:t>
        </x:is>
      </x:c>
      <x:c r="C58" s="592" t="n">
        <x:v>550</x:v>
      </x:c>
      <x:c r="D58" s="592" t="n">
        <x:v>506</x:v>
      </x:c>
      <x:c r="E58" s="593" t="inlineStr">
        <x:is>
          <x:t xml:space="preserve">LEDRGBCCT</x:t>
        </x:is>
      </x:c>
      <x:c r="F58" s="593" t="inlineStr">
        <x:is>
          <x:t xml:space="preserve">Oświetlenie LED RGB CCT</x:t>
        </x:is>
      </x:c>
      <x:c r="G58" s="594" t="n">
        <x:v>0</x:v>
      </x:c>
      <x:c r="H58" s="594" t="n">
        <x:v>0</x:v>
      </x:c>
      <x:c r="I58" s="594" t="n">
        <x:v>0</x:v>
      </x:c>
      <x:c r="J58" s="594" t="n">
        <x:v>0</x:v>
      </x:c>
      <x:c r="K58" s="595" t="n"/>
      <x:c r="L58" s="593" t="inlineStr">
        <x:is>
          <x:t xml:space="preserve">POZOSTAWIĆ 0 / UKRYTE</x:t>
        </x:is>
      </x:c>
      <x:c r="M58" s="593" t="inlineStr">
        <x:is>
          <x:t xml:space="preserve">Brak pełnego cennika dla 550/600; opcje nadal crm_only/ukryte</x:t>
        </x:is>
      </x:c>
      <x:c r="N58" s="593" t="n"/>
      <x:c r="O58" s="593" t="inlineStr">
        <x:is>
          <x:t xml:space="preserve">RAW_ZP V/W</x:t>
        </x:is>
      </x:c>
      <x:c r="P58" s="593" t="inlineStr">
        <x:is>
          <x:t xml:space="preserve">550 x 506 cm|LEDRGBCCT</x:t>
        </x:is>
      </x:c>
    </x:row>
    <x:row r="59" s="655" customFormat="1" ht="29.5" customHeight="1">
      <x:c r="A59" s="584" t="n">
        <x:v>1009</x:v>
      </x:c>
      <x:c r="B59" s="585" t="inlineStr">
        <x:is>
          <x:t xml:space="preserve">550 x 606 cm</x:t>
        </x:is>
      </x:c>
      <x:c r="C59" s="584" t="n">
        <x:v>550</x:v>
      </x:c>
      <x:c r="D59" s="584" t="n">
        <x:v>606</x:v>
      </x:c>
      <x:c r="E59" s="585" t="inlineStr">
        <x:is>
          <x:t xml:space="preserve">ZP</x:t>
        </x:is>
      </x:c>
      <x:c r="F59" s="585" t="inlineStr">
        <x:is>
          <x:t xml:space="preserve">Zadaszenie poliwęglan - baza</x:t>
        </x:is>
      </x:c>
      <x:c r="G59" s="586" t="n">
        <x:v>4950</x:v>
      </x:c>
      <x:c r="H59" s="586" t="n">
        <x:v>1550</x:v>
      </x:c>
      <x:c r="I59" s="586" t="n">
        <x:v>30249</x:v>
      </x:c>
      <x:c r="J59" s="586" t="n">
        <x:v>10556</x:v>
      </x:c>
      <x:c r="K59" s="587" t="n">
        <x:v>0.3768923164810054</x:v>
      </x:c>
      <x:c r="L59" s="585" t="inlineStr">
        <x:is>
          <x:t xml:space="preserve">UZUPEŁNIĆ</x:t>
        </x:is>
      </x:c>
      <x:c r="M59" s="585" t="inlineStr">
        <x:is>
          <x:t xml:space="preserve">K: model rentowności 450/500; L: przedłużenie Wynagr. ekipy 450→500</x:t>
        </x:is>
      </x:c>
      <x:c r="N59" s="585" t="inlineStr">
        <x:is>
          <x:t xml:space="preserve">Podstawowa konstrukcja z ceną dostawcy dla 550/600.</x:t>
        </x:is>
      </x:c>
      <x:c r="O59" s="585" t="inlineStr">
        <x:is>
          <x:t xml:space="preserve">RAW_ZP B/C</x:t>
        </x:is>
      </x:c>
      <x:c r="P59" s="585" t="inlineStr">
        <x:is>
          <x:t xml:space="preserve">550 x 606 cm|ZP</x:t>
        </x:is>
      </x:c>
    </x:row>
    <x:row r="60" s="655" customFormat="1" ht="29.5" customHeight="1">
      <x:c r="A60" s="588" t="n">
        <x:v>1010</x:v>
      </x:c>
      <x:c r="B60" s="589" t="inlineStr">
        <x:is>
          <x:t xml:space="preserve">550 x 606 cm</x:t>
        </x:is>
      </x:c>
      <x:c r="C60" s="588" t="n">
        <x:v>550</x:v>
      </x:c>
      <x:c r="D60" s="588" t="n">
        <x:v>606</x:v>
      </x:c>
      <x:c r="E60" s="589" t="inlineStr">
        <x:is>
          <x:t xml:space="preserve">ZS</x:t>
        </x:is>
      </x:c>
      <x:c r="F60" s="589" t="inlineStr">
        <x:is>
          <x:t xml:space="preserve">Zadaszenie szkło - pełna konstrukcja</x:t>
        </x:is>
      </x:c>
      <x:c r="G60" s="590" t="n">
        <x:v>4950</x:v>
      </x:c>
      <x:c r="H60" s="590" t="n">
        <x:v>1970</x:v>
      </x:c>
      <x:c r="I60" s="590" t="n"/>
      <x:c r="J60" s="590" t="n"/>
      <x:c r="K60" s="591" t="n"/>
      <x:c r="L60" s="589" t="inlineStr">
        <x:is>
          <x:t xml:space="preserve">NIE PUBLIKOWAĆ / BRAK RAW_ZS</x:t>
        </x:is>
      </x:c>
      <x:c r="M60" s="589" t="inlineStr">
        <x:is>
          <x:t xml:space="preserve">Informacyjnie: K jak ZP, L = pełny montaż zadaszenia szklanego z przedłużenia</x:t>
        </x:is>
      </x:c>
      <x:c r="N60" s="589" t="inlineStr">
        <x:is>
          <x:t xml:space="preserve">Brak ceny dostawcy dla ZS 550/600, więc nieaktywny do czasu cennika dostawcy.</x:t>
        </x:is>
      </x:c>
      <x:c r="O60" s="589" t="inlineStr">
        <x:is>
          <x:t xml:space="preserve">RAW_ZS B/C</x:t>
        </x:is>
      </x:c>
      <x:c r="P60" s="589" t="inlineStr">
        <x:is>
          <x:t xml:space="preserve">550 x 606 cm|ZS</x:t>
        </x:is>
      </x:c>
    </x:row>
    <x:row r="61" s="655" customFormat="1" ht="29.5" customHeight="1">
      <x:c r="A61" s="584" t="n">
        <x:v>1011</x:v>
      </x:c>
      <x:c r="B61" s="585" t="inlineStr">
        <x:is>
          <x:t xml:space="preserve">550 x 606 cm</x:t>
        </x:is>
      </x:c>
      <x:c r="C61" s="584" t="n">
        <x:v>550</x:v>
      </x:c>
      <x:c r="D61" s="584" t="n">
        <x:v>606</x:v>
      </x:c>
      <x:c r="E61" s="585" t="inlineStr">
        <x:is>
          <x:t xml:space="preserve">OP</x:t>
        </x:is>
      </x:c>
      <x:c r="F61" s="585" t="inlineStr">
        <x:is>
          <x:t xml:space="preserve">Ogród zimowy poliwęglan - baza</x:t>
        </x:is>
      </x:c>
      <x:c r="G61" s="586" t="n">
        <x:v>5860</x:v>
      </x:c>
      <x:c r="H61" s="586" t="n">
        <x:v>2160</x:v>
      </x:c>
      <x:c r="I61" s="586" t="n">
        <x:v>56301</x:v>
      </x:c>
      <x:c r="J61" s="586" t="n">
        <x:v>18060</x:v>
      </x:c>
      <x:c r="K61" s="587" t="n">
        <x:v>0.346434942740404</x:v>
      </x:c>
      <x:c r="L61" s="585" t="inlineStr">
        <x:is>
          <x:t xml:space="preserve">UZUPEŁNIĆ</x:t>
        </x:is>
      </x:c>
      <x:c r="M61" s="585" t="inlineStr">
        <x:is>
          <x:t xml:space="preserve">K: model rentowności 450/500; L: przedłużenie Wynagr. ekipy 450→500</x:t>
        </x:is>
      </x:c>
      <x:c r="N61" s="585" t="inlineStr">
        <x:is>
          <x:t xml:space="preserve">Podstawowa konstrukcja z ceną dostawcy dla 550/600.</x:t>
        </x:is>
      </x:c>
      <x:c r="O61" s="585" t="inlineStr">
        <x:is>
          <x:t xml:space="preserve">RAW_OP B/C</x:t>
        </x:is>
      </x:c>
      <x:c r="P61" s="585" t="inlineStr">
        <x:is>
          <x:t xml:space="preserve">550 x 606 cm|OP</x:t>
        </x:is>
      </x:c>
    </x:row>
    <x:row r="62" s="655" customFormat="1" ht="29.5" customHeight="1">
      <x:c r="A62" s="588" t="n">
        <x:v>1012</x:v>
      </x:c>
      <x:c r="B62" s="589" t="inlineStr">
        <x:is>
          <x:t xml:space="preserve">550 x 606 cm</x:t>
        </x:is>
      </x:c>
      <x:c r="C62" s="588" t="n">
        <x:v>550</x:v>
      </x:c>
      <x:c r="D62" s="588" t="n">
        <x:v>606</x:v>
      </x:c>
      <x:c r="E62" s="589" t="inlineStr">
        <x:is>
          <x:t xml:space="preserve">OS</x:t>
        </x:is>
      </x:c>
      <x:c r="F62" s="589" t="inlineStr">
        <x:is>
          <x:t xml:space="preserve">Ogród zimowy szkło - pełna konstrukcja</x:t>
        </x:is>
      </x:c>
      <x:c r="G62" s="590" t="n">
        <x:v>5860</x:v>
      </x:c>
      <x:c r="H62" s="590" t="n">
        <x:v>2580</x:v>
      </x:c>
      <x:c r="I62" s="590" t="n"/>
      <x:c r="J62" s="590" t="n"/>
      <x:c r="K62" s="591" t="n"/>
      <x:c r="L62" s="589" t="inlineStr">
        <x:is>
          <x:t xml:space="preserve">NIE PUBLIKOWAĆ / BRAK RAW_OS</x:t>
        </x:is>
      </x:c>
      <x:c r="M62" s="589" t="inlineStr">
        <x:is>
          <x:t xml:space="preserve">Informacyjnie: K jak OP, L = pełny montaż ogrodu szklanego z przedłużenia</x:t>
        </x:is>
      </x:c>
      <x:c r="N62" s="589" t="inlineStr">
        <x:is>
          <x:t xml:space="preserve">Brak ceny dostawcy dla OS 550/600, więc nieaktywny do czasu cennika dostawcy.</x:t>
        </x:is>
      </x:c>
      <x:c r="O62" s="589" t="inlineStr">
        <x:is>
          <x:t xml:space="preserve">RAW_OS B/C</x:t>
        </x:is>
      </x:c>
      <x:c r="P62" s="589" t="inlineStr">
        <x:is>
          <x:t xml:space="preserve">550 x 606 cm|OS</x:t>
        </x:is>
      </x:c>
    </x:row>
    <x:row r="63" s="655" customFormat="1" ht="29.5" customHeight="1">
      <x:c r="A63" s="584" t="n">
        <x:v>1013</x:v>
      </x:c>
      <x:c r="B63" s="585" t="inlineStr">
        <x:is>
          <x:t xml:space="preserve">550 x 606 cm</x:t>
        </x:is>
      </x:c>
      <x:c r="C63" s="584" t="n">
        <x:v>550</x:v>
      </x:c>
      <x:c r="D63" s="584" t="n">
        <x:v>606</x:v>
      </x:c>
      <x:c r="E63" s="585" t="inlineStr">
        <x:is>
          <x:t xml:space="preserve">PDS</x:t>
        </x:is>
      </x:c>
      <x:c r="F63" s="585" t="inlineStr">
        <x:is>
          <x:t xml:space="preserve">Dopłata dach szkło przezroczyste</x:t>
        </x:is>
      </x:c>
      <x:c r="G63" s="586" t="n">
        <x:v>0</x:v>
      </x:c>
      <x:c r="H63" s="586" t="n">
        <x:v>420</x:v>
      </x:c>
      <x:c r="I63" s="586" t="n"/>
      <x:c r="J63" s="586" t="n"/>
      <x:c r="K63" s="587" t="n"/>
      <x:c r="L63" s="585" t="inlineStr">
        <x:is>
          <x:t xml:space="preserve">DO UŻYCIA DOPIERO GDY BĘDZIE CENA DACHU SZKŁO</x:t>
        </x:is>
      </x:c>
      <x:c r="M63" s="585" t="inlineStr">
        <x:is>
          <x:t xml:space="preserve">L = montaż zadaszenia szkło - montaż zadaszenia poliwęglan</x:t>
        </x:is>
      </x:c>
      <x:c r="N63" s="585" t="inlineStr">
        <x:is>
          <x:t xml:space="preserve">Potrzebne dla dopłaty dachu szklanego; obecnie brak ceny dostawcy PDS 550/600.</x:t>
        </x:is>
      </x:c>
      <x:c r="O63" s="585" t="inlineStr">
        <x:is>
          <x:t xml:space="preserve">RAW_ZS - RAW_ZP</x:t>
        </x:is>
      </x:c>
      <x:c r="P63" s="585" t="inlineStr">
        <x:is>
          <x:t xml:space="preserve">550 x 606 cm|PDS</x:t>
        </x:is>
      </x:c>
    </x:row>
    <x:row r="64" s="655" customFormat="1" ht="29.5" customHeight="1">
      <x:c r="A64" s="592" t="n">
        <x:v>1014</x:v>
      </x:c>
      <x:c r="B64" s="593" t="inlineStr">
        <x:is>
          <x:t xml:space="preserve">550 x 606 cm</x:t>
        </x:is>
      </x:c>
      <x:c r="C64" s="592" t="n">
        <x:v>550</x:v>
      </x:c>
      <x:c r="D64" s="592" t="n">
        <x:v>606</x:v>
      </x:c>
      <x:c r="E64" s="593" t="inlineStr">
        <x:is>
          <x:t xml:space="preserve">PDSB</x:t>
        </x:is>
      </x:c>
      <x:c r="F64" s="593" t="inlineStr">
        <x:is>
          <x:t xml:space="preserve">Dopłata dach szkło barwione/mleczne</x:t>
        </x:is>
      </x:c>
      <x:c r="G64" s="594" t="n">
        <x:v>0</x:v>
      </x:c>
      <x:c r="H64" s="594" t="n">
        <x:v>0</x:v>
      </x:c>
      <x:c r="I64" s="594" t="n"/>
      <x:c r="J64" s="594" t="n"/>
      <x:c r="K64" s="595" t="n"/>
      <x:c r="L64" s="593" t="inlineStr">
        <x:is>
          <x:t xml:space="preserve">POZOSTAWIĆ 0 / BRAK CENY PDSB</x:t>
        </x:is>
      </x:c>
      <x:c r="M64" s="593" t="inlineStr">
        <x:is>
          <x:t xml:space="preserve">Zgodnie z dotychczasową logiką: dopłata barwienia szkła nie ma osobnego wynagrodzenia</x:t>
        </x:is>
      </x:c>
      <x:c r="N64" s="593" t="inlineStr">
        <x:is>
          <x:t xml:space="preserve">Brak ceny dostawcy dla PDSB 550/600.</x:t>
        </x:is>
      </x:c>
      <x:c r="O64" s="593" t="inlineStr">
        <x:is>
          <x:t xml:space="preserve">RAW_ZS D/E</x:t>
        </x:is>
      </x:c>
      <x:c r="P64" s="593" t="inlineStr">
        <x:is>
          <x:t xml:space="preserve">550 x 606 cm|PDSB</x:t>
        </x:is>
      </x:c>
    </x:row>
    <x:row r="65" s="655" customFormat="1" ht="29.5" customHeight="1">
      <x:c r="A65" s="592" t="n">
        <x:v>1015</x:v>
      </x:c>
      <x:c r="B65" s="593" t="inlineStr">
        <x:is>
          <x:t xml:space="preserve">550 x 606 cm</x:t>
        </x:is>
      </x:c>
      <x:c r="C65" s="592" t="n">
        <x:v>550</x:v>
      </x:c>
      <x:c r="D65" s="592" t="n">
        <x:v>606</x:v>
      </x:c>
      <x:c r="E65" s="593" t="inlineStr">
        <x:is>
          <x:t xml:space="preserve">PDPB</x:t>
        </x:is>
      </x:c>
      <x:c r="F65" s="593" t="inlineStr">
        <x:is>
          <x:t xml:space="preserve">Dopłata poliwęglan barwiony</x:t>
        </x:is>
      </x:c>
      <x:c r="G65" s="594" t="n">
        <x:v>0</x:v>
      </x:c>
      <x:c r="H65" s="594" t="n">
        <x:v>0</x:v>
      </x:c>
      <x:c r="I65" s="594" t="n">
        <x:v>739</x:v>
      </x:c>
      <x:c r="J65" s="594" t="n">
        <x:v>212</x:v>
      </x:c>
      <x:c r="K65" s="595" t="n">
        <x:v>0.3099415204678362</x:v>
      </x:c>
      <x:c r="L65" s="593" t="inlineStr">
        <x:is>
          <x:t xml:space="preserve">POZOSTAWIĆ 0</x:t>
        </x:is>
      </x:c>
      <x:c r="M65" s="593" t="inlineStr">
        <x:is>
          <x:t xml:space="preserve">Zgodnie z Cennik usług: poliwęglan barwiony nie miał osobnej pracy ekipy</x:t>
        </x:is>
      </x:c>
      <x:c r="N65" s="593" t="inlineStr">
        <x:is>
          <x:t xml:space="preserve">Ma cenę dostawcy; montaż/wynagrodzenie zostaje 0.</x:t>
        </x:is>
      </x:c>
      <x:c r="O65" s="593" t="inlineStr">
        <x:is>
          <x:t xml:space="preserve">RAW_ZP D/E</x:t>
        </x:is>
      </x:c>
      <x:c r="P65" s="593" t="inlineStr">
        <x:is>
          <x:t xml:space="preserve">550 x 606 cm|PDPB</x:t>
        </x:is>
      </x:c>
    </x:row>
    <x:row r="66" s="655" customFormat="1" ht="29.5" customHeight="1">
      <x:c r="A66" s="592" t="n">
        <x:v>1016</x:v>
      </x:c>
      <x:c r="B66" s="593" t="inlineStr">
        <x:is>
          <x:t xml:space="preserve">550 x 606 cm</x:t>
        </x:is>
      </x:c>
      <x:c r="C66" s="592" t="n">
        <x:v>550</x:v>
      </x:c>
      <x:c r="D66" s="592" t="n">
        <x:v>606</x:v>
      </x:c>
      <x:c r="E66" s="593" t="inlineStr">
        <x:is>
          <x:t xml:space="preserve">SBB</x:t>
        </x:is>
      </x:c>
      <x:c r="F66" s="593" t="inlineStr">
        <x:is>
          <x:t xml:space="preserve">Dopłata szkło boczne przyciemniane</x:t>
        </x:is>
      </x:c>
      <x:c r="G66" s="594" t="n">
        <x:v>0</x:v>
      </x:c>
      <x:c r="H66" s="594" t="n">
        <x:v>0</x:v>
      </x:c>
      <x:c r="I66" s="594" t="n">
        <x:v>2750</x:v>
      </x:c>
      <x:c r="J66" s="594" t="n">
        <x:v>790</x:v>
      </x:c>
      <x:c r="K66" s="595" t="n">
        <x:v>0.3102906520031422</x:v>
      </x:c>
      <x:c r="L66" s="593" t="inlineStr">
        <x:is>
          <x:t xml:space="preserve">POZOSTAWIĆ 0</x:t>
        </x:is>
      </x:c>
      <x:c r="M66" s="593" t="inlineStr">
        <x:is>
          <x:t xml:space="preserve">Zgodnie z Cennik usług: szyby boczne barwione nie miały osobnej pracy ekipy</x:t>
        </x:is>
      </x:c>
      <x:c r="N66" s="593" t="inlineStr">
        <x:is>
          <x:t xml:space="preserve">Ma cenę dostawcy; montaż/wynagrodzenie zostaje 0.</x:t>
        </x:is>
      </x:c>
      <x:c r="O66" s="593" t="inlineStr">
        <x:is>
          <x:t xml:space="preserve">RAW_OP H/I</x:t>
        </x:is>
      </x:c>
      <x:c r="P66" s="593" t="inlineStr">
        <x:is>
          <x:t xml:space="preserve">550 x 606 cm|SBB</x:t>
        </x:is>
      </x:c>
    </x:row>
    <x:row r="67" s="655" customFormat="1" ht="29.5" customHeight="1">
      <x:c r="A67" s="584" t="n">
        <x:v>1017</x:v>
      </x:c>
      <x:c r="B67" s="585" t="inlineStr">
        <x:is>
          <x:t xml:space="preserve">550 x 606 cm</x:t>
        </x:is>
      </x:c>
      <x:c r="C67" s="584" t="n">
        <x:v>550</x:v>
      </x:c>
      <x:c r="D67" s="584" t="n">
        <x:v>606</x:v>
      </x:c>
      <x:c r="E67" s="585" t="inlineStr">
        <x:is>
          <x:t xml:space="preserve">RB</x:t>
        </x:is>
      </x:c>
      <x:c r="F67" s="585" t="inlineStr">
        <x:is>
          <x:t xml:space="preserve">Roleta boczna ZIP</x:t>
        </x:is>
      </x:c>
      <x:c r="G67" s="586" t="n">
        <x:v>0</x:v>
      </x:c>
      <x:c r="H67" s="586" t="n">
        <x:v>150</x:v>
      </x:c>
      <x:c r="I67" s="586" t="n">
        <x:v>5067</x:v>
      </x:c>
      <x:c r="J67" s="586" t="n">
        <x:v>1306</x:v>
      </x:c>
      <x:c r="K67" s="587" t="n">
        <x:v>0.2783461210571185</x:v>
      </x:c>
      <x:c r="L67" s="585" t="inlineStr">
        <x:is>
          <x:t xml:space="preserve">UZUPEŁNIĆ L</x:t>
        </x:is>
      </x:c>
      <x:c r="M67" s="585" t="inlineStr">
        <x:is>
          <x:t xml:space="preserve">L = przedłużona kolumna Montaż rolety bocznej</x:t>
        </x:is>
      </x:c>
      <x:c r="N67" s="585" t="inlineStr">
        <x:is>
          <x:t xml:space="preserve">K zostaje 0; rentowność po L pozostaje podobna do mniejszych wymiarów.</x:t>
        </x:is>
      </x:c>
      <x:c r="O67" s="585" t="inlineStr">
        <x:is>
          <x:t xml:space="preserve">RAW_ZP J/K</x:t>
        </x:is>
      </x:c>
      <x:c r="P67" s="585" t="inlineStr">
        <x:is>
          <x:t xml:space="preserve">550 x 606 cm|RB</x:t>
        </x:is>
      </x:c>
    </x:row>
    <x:row r="68" s="655" customFormat="1" ht="29.5" customHeight="1">
      <x:c r="A68" s="584" t="n">
        <x:v>1018</x:v>
      </x:c>
      <x:c r="B68" s="585" t="inlineStr">
        <x:is>
          <x:t xml:space="preserve">550 x 606 cm</x:t>
        </x:is>
      </x:c>
      <x:c r="C68" s="584" t="n">
        <x:v>550</x:v>
      </x:c>
      <x:c r="D68" s="584" t="n">
        <x:v>606</x:v>
      </x:c>
      <x:c r="E68" s="585" t="inlineStr">
        <x:is>
          <x:t xml:space="preserve">RP</x:t>
        </x:is>
      </x:c>
      <x:c r="F68" s="585" t="inlineStr">
        <x:is>
          <x:t xml:space="preserve">Roleta przednia ZIP</x:t>
        </x:is>
      </x:c>
      <x:c r="G68" s="586" t="n">
        <x:v>0</x:v>
      </x:c>
      <x:c r="H68" s="586" t="n">
        <x:v>300</x:v>
      </x:c>
      <x:c r="I68" s="586" t="n">
        <x:v>5437</x:v>
      </x:c>
      <x:c r="J68" s="586" t="n">
        <x:v>1262</x:v>
      </x:c>
      <x:c r="K68" s="587" t="n">
        <x:v>0.2506952721493842</x:v>
      </x:c>
      <x:c r="L68" s="585" t="inlineStr">
        <x:is>
          <x:t xml:space="preserve">UZUPEŁNIĆ L</x:t>
        </x:is>
      </x:c>
      <x:c r="M68" s="585" t="inlineStr">
        <x:is>
          <x:t xml:space="preserve">L = przedłużona kolumna Montaż rolety przedniej</x:t>
        </x:is>
      </x:c>
      <x:c r="N68" s="585" t="inlineStr">
        <x:is>
          <x:t xml:space="preserve">K zostaje 0; rentowność po L pozostaje podobna do mniejszych wymiarów.</x:t>
        </x:is>
      </x:c>
      <x:c r="O68" s="585" t="inlineStr">
        <x:is>
          <x:t xml:space="preserve">RAW_ZP N/O</x:t>
        </x:is>
      </x:c>
      <x:c r="P68" s="585" t="inlineStr">
        <x:is>
          <x:t xml:space="preserve">550 x 606 cm|RP</x:t>
        </x:is>
      </x:c>
    </x:row>
    <x:row r="69" s="655" customFormat="1" ht="29.5" customHeight="1">
      <x:c r="A69" s="584" t="n">
        <x:v>1019</x:v>
      </x:c>
      <x:c r="B69" s="585" t="inlineStr">
        <x:is>
          <x:t xml:space="preserve">550 x 606 cm</x:t>
        </x:is>
      </x:c>
      <x:c r="C69" s="584" t="n">
        <x:v>550</x:v>
      </x:c>
      <x:c r="D69" s="584" t="n">
        <x:v>606</x:v>
      </x:c>
      <x:c r="E69" s="585" t="inlineStr">
        <x:is>
          <x:t xml:space="preserve">M</x:t>
        </x:is>
      </x:c>
      <x:c r="F69" s="585" t="inlineStr">
        <x:is>
          <x:t xml:space="preserve">Markiza dachowa</x:t>
        </x:is>
      </x:c>
      <x:c r="G69" s="586" t="n">
        <x:v>0</x:v>
      </x:c>
      <x:c r="H69" s="586" t="n">
        <x:v>350</x:v>
      </x:c>
      <x:c r="I69" s="586" t="n">
        <x:v>10644</x:v>
      </x:c>
      <x:c r="J69" s="586" t="n">
        <x:v>2709</x:v>
      </x:c>
      <x:c r="K69" s="587" t="n">
        <x:v>0.2748579545454545</x:v>
      </x:c>
      <x:c r="L69" s="585" t="inlineStr">
        <x:is>
          <x:t xml:space="preserve">UZUPEŁNIĆ L</x:t>
        </x:is>
      </x:c>
      <x:c r="M69" s="585" t="inlineStr">
        <x:is>
          <x:t xml:space="preserve">L = przedłużona kolumna Montaż markizy na dach</x:t>
        </x:is>
      </x:c>
      <x:c r="N69" s="585" t="inlineStr">
        <x:is>
          <x:t xml:space="preserve">K zostaje 0; rentowność po L pozostaje podobna do mniejszych wymiarów.</x:t>
        </x:is>
      </x:c>
      <x:c r="O69" s="585" t="inlineStr">
        <x:is>
          <x:t xml:space="preserve">RAW_ZP H/I</x:t>
        </x:is>
      </x:c>
      <x:c r="P69" s="585" t="inlineStr">
        <x:is>
          <x:t xml:space="preserve">550 x 606 cm|M</x:t>
        </x:is>
      </x:c>
    </x:row>
    <x:row r="70" s="655" customFormat="1" ht="29.5" customHeight="1">
      <x:c r="A70" s="584" t="n">
        <x:v>1020</x:v>
      </x:c>
      <x:c r="B70" s="585" t="inlineStr">
        <x:is>
          <x:t xml:space="preserve">550 x 606 cm</x:t>
        </x:is>
      </x:c>
      <x:c r="C70" s="584" t="n">
        <x:v>550</x:v>
      </x:c>
      <x:c r="D70" s="584" t="n">
        <x:v>606</x:v>
      </x:c>
      <x:c r="E70" s="585" t="inlineStr">
        <x:is>
          <x:t xml:space="preserve">PDWP</x:t>
        </x:is>
      </x:c>
      <x:c r="F70" s="585" t="inlineStr">
        <x:is>
          <x:t xml:space="preserve">Fundament/profile</x:t>
        </x:is>
      </x:c>
      <x:c r="G70" s="586" t="n">
        <x:v>700</x:v>
      </x:c>
      <x:c r="H70" s="586" t="n">
        <x:v>640</x:v>
      </x:c>
      <x:c r="I70" s="586" t="n">
        <x:v>2920</x:v>
      </x:c>
      <x:c r="J70" s="586" t="n">
        <x:v>682</x:v>
      </x:c>
      <x:c r="K70" s="587" t="n">
        <x:v>0.2522189349112426</x:v>
      </x:c>
      <x:c r="L70" s="585" t="inlineStr">
        <x:is>
          <x:t xml:space="preserve">UZUPEŁNIĆ K+L / KOREKTA RENTOWNOŚCI</x:t>
        </x:is>
      </x:c>
      <x:c r="M70" s="585" t="inlineStr">
        <x:is>
          <x:t xml:space="preserve">L = Wyrównanie podłoża; K = dopłata montażowa wyliczona do min. 25% rentowności</x:t>
        </x:is>
      </x:c>
      <x:c r="N70" s="585" t="inlineStr">
        <x:is>
          <x:t xml:space="preserve">Bez K ten dodatek ma ujemną rentowność. To jest korekta biznesowa, nie tylko przedłużenie EG.</x:t>
        </x:is>
      </x:c>
      <x:c r="O70" s="585" t="inlineStr">
        <x:is>
          <x:t xml:space="preserve">RAW_OP AB/AC</x:t>
        </x:is>
      </x:c>
      <x:c r="P70" s="585" t="inlineStr">
        <x:is>
          <x:t xml:space="preserve">550 x 606 cm|PDWP</x:t>
        </x:is>
      </x:c>
    </x:row>
    <x:row r="71" s="655" customFormat="1" ht="29.5" customHeight="1">
      <x:c r="A71" s="592" t="n">
        <x:v>1021</x:v>
      </x:c>
      <x:c r="B71" s="593" t="inlineStr">
        <x:is>
          <x:t xml:space="preserve">550 x 606 cm</x:t>
        </x:is>
      </x:c>
      <x:c r="C71" s="592" t="n">
        <x:v>550</x:v>
      </x:c>
      <x:c r="D71" s="592" t="n">
        <x:v>606</x:v>
      </x:c>
      <x:c r="E71" s="593" t="inlineStr">
        <x:is>
          <x:t xml:space="preserve">ZAB</x:t>
        </x:is>
      </x:c>
      <x:c r="F71" s="593" t="inlineStr">
        <x:is>
          <x:t xml:space="preserve">Zabieraki do ścian przesuwnych</x:t>
        </x:is>
      </x:c>
      <x:c r="G71" s="594" t="n">
        <x:v>0</x:v>
      </x:c>
      <x:c r="H71" s="594" t="n">
        <x:v>0</x:v>
      </x:c>
      <x:c r="I71" s="594" t="n">
        <x:v>713</x:v>
      </x:c>
      <x:c r="J71" s="594" t="n">
        <x:v>205</x:v>
      </x:c>
      <x:c r="K71" s="595" t="n">
        <x:v>0.3106060606060606</x:v>
      </x:c>
      <x:c r="L71" s="593" t="inlineStr">
        <x:is>
          <x:t xml:space="preserve">POZOSTAWIĆ 0</x:t>
        </x:is>
      </x:c>
      <x:c r="M71" s="593" t="inlineStr">
        <x:is>
          <x:t xml:space="preserve">Brak osobnej kolumny wynagrodzenia w Cennik usług; traktować jako element dodatkowy bez osobnej pracy</x:t>
        </x:is>
      </x:c>
      <x:c r="N71" s="593" t="n"/>
      <x:c r="O71" s="593" t="inlineStr">
        <x:is>
          <x:t xml:space="preserve">RAW_OP AD/AE</x:t>
        </x:is>
      </x:c>
      <x:c r="P71" s="593" t="inlineStr">
        <x:is>
          <x:t xml:space="preserve">550 x 606 cm|ZAB</x:t>
        </x:is>
      </x:c>
    </x:row>
    <x:row r="72" s="655" customFormat="1" ht="29.5" customHeight="1">
      <x:c r="A72" s="592" t="n">
        <x:v>1022</x:v>
      </x:c>
      <x:c r="B72" s="593" t="inlineStr">
        <x:is>
          <x:t xml:space="preserve">550 x 606 cm</x:t>
        </x:is>
      </x:c>
      <x:c r="C72" s="592" t="n">
        <x:v>550</x:v>
      </x:c>
      <x:c r="D72" s="592" t="n">
        <x:v>606</x:v>
      </x:c>
      <x:c r="E72" s="593" t="inlineStr">
        <x:is>
          <x:t xml:space="preserve">S</x:t>
        </x:is>
      </x:c>
      <x:c r="F72" s="593" t="inlineStr">
        <x:is>
          <x:t xml:space="preserve">Szczotki przeciwkurzowe</x:t>
        </x:is>
      </x:c>
      <x:c r="G72" s="594" t="n">
        <x:v>0</x:v>
      </x:c>
      <x:c r="H72" s="594" t="n">
        <x:v>0</x:v>
      </x:c>
      <x:c r="I72" s="594" t="n">
        <x:v>777</x:v>
      </x:c>
      <x:c r="J72" s="594" t="n">
        <x:v>223</x:v>
      </x:c>
      <x:c r="K72" s="595" t="n">
        <x:v>0.3101529902642559</x:v>
      </x:c>
      <x:c r="L72" s="593" t="inlineStr">
        <x:is>
          <x:t xml:space="preserve">POZOSTAWIĆ 0</x:t>
        </x:is>
      </x:c>
      <x:c r="M72" s="593" t="inlineStr">
        <x:is>
          <x:t xml:space="preserve">Zgodnie z Cennik usług: szczotki przeciwkurzowe bez osobnego wynagrodzenia</x:t>
        </x:is>
      </x:c>
      <x:c r="N72" s="593" t="n"/>
      <x:c r="O72" s="593" t="inlineStr">
        <x:is>
          <x:t xml:space="preserve">RAW_OP L/M</x:t>
        </x:is>
      </x:c>
      <x:c r="P72" s="593" t="inlineStr">
        <x:is>
          <x:t xml:space="preserve">550 x 606 cm|S</x:t>
        </x:is>
      </x:c>
    </x:row>
    <x:row r="73" s="655" customFormat="1" ht="29.5" customHeight="1">
      <x:c r="A73" s="592" t="n">
        <x:v>1023</x:v>
      </x:c>
      <x:c r="B73" s="593" t="inlineStr">
        <x:is>
          <x:t xml:space="preserve">550 x 606 cm</x:t>
        </x:is>
      </x:c>
      <x:c r="C73" s="592" t="n">
        <x:v>550</x:v>
      </x:c>
      <x:c r="D73" s="592" t="n">
        <x:v>606</x:v>
      </x:c>
      <x:c r="E73" s="593" t="inlineStr">
        <x:is>
          <x:t xml:space="preserve">U</x:t>
        </x:is>
      </x:c>
      <x:c r="F73" s="593" t="inlineStr">
        <x:is>
          <x:t xml:space="preserve">Uchwyty na szkło ścienne</x:t>
        </x:is>
      </x:c>
      <x:c r="G73" s="594" t="n">
        <x:v>0</x:v>
      </x:c>
      <x:c r="H73" s="594" t="n">
        <x:v>0</x:v>
      </x:c>
      <x:c r="I73" s="594" t="n">
        <x:v>700</x:v>
      </x:c>
      <x:c r="J73" s="594" t="n">
        <x:v>201</x:v>
      </x:c>
      <x:c r="K73" s="595" t="n">
        <x:v>0.3101851851851852</x:v>
      </x:c>
      <x:c r="L73" s="593" t="inlineStr">
        <x:is>
          <x:t xml:space="preserve">POZOSTAWIĆ 0</x:t>
        </x:is>
      </x:c>
      <x:c r="M73" s="593" t="inlineStr">
        <x:is>
          <x:t xml:space="preserve">Zgodnie z Cennik usług: uchwyty bez osobnego wynagrodzenia</x:t>
        </x:is>
      </x:c>
      <x:c r="N73" s="593" t="n"/>
      <x:c r="O73" s="593" t="inlineStr">
        <x:is>
          <x:t xml:space="preserve">RAW_OP N/O</x:t>
        </x:is>
      </x:c>
      <x:c r="P73" s="593" t="inlineStr">
        <x:is>
          <x:t xml:space="preserve">550 x 606 cm|U</x:t>
        </x:is>
      </x:c>
    </x:row>
    <x:row r="74" s="655" customFormat="1" ht="29.5" customHeight="1">
      <x:c r="A74" s="592" t="n">
        <x:v>1024</x:v>
      </x:c>
      <x:c r="B74" s="593" t="inlineStr">
        <x:is>
          <x:t xml:space="preserve">550 x 606 cm</x:t>
        </x:is>
      </x:c>
      <x:c r="C74" s="592" t="n">
        <x:v>550</x:v>
      </x:c>
      <x:c r="D74" s="592" t="n">
        <x:v>606</x:v>
      </x:c>
      <x:c r="E74" s="593" t="inlineStr">
        <x:is>
          <x:t xml:space="preserve">LED2</x:t>
        </x:is>
      </x:c>
      <x:c r="F74" s="593" t="inlineStr">
        <x:is>
          <x:t xml:space="preserve">Oświetlenie LED 2 punkty</x:t>
        </x:is>
      </x:c>
      <x:c r="G74" s="594" t="n">
        <x:v>0</x:v>
      </x:c>
      <x:c r="H74" s="594" t="n">
        <x:v>0</x:v>
      </x:c>
      <x:c r="I74" s="594" t="n">
        <x:v>1005</x:v>
      </x:c>
      <x:c r="J74" s="594" t="n">
        <x:v>289</x:v>
      </x:c>
      <x:c r="K74" s="595" t="n">
        <x:v>0.3104189044038668</x:v>
      </x:c>
      <x:c r="L74" s="593" t="inlineStr">
        <x:is>
          <x:t xml:space="preserve">POZOSTAWIĆ 0 NA RAZIE</x:t>
        </x:is>
      </x:c>
      <x:c r="M74" s="593" t="inlineStr">
        <x:is>
          <x:t xml:space="preserve">Cennik usług miał LED bez osobnego wynagrodzenia; kolumna LED z Wynagr. ekipy jest tylko informacyjna</x:t>
        </x:is>
      </x:c>
      <x:c r="N74" s="593" t="inlineStr">
        <x:is>
          <x:t xml:space="preserve">Informacyjnie wg Wynagr. ekipy LED na krokiew: 400 zł.</x:t>
        </x:is>
      </x:c>
      <x:c r="O74" s="593" t="inlineStr">
        <x:is>
          <x:t xml:space="preserve">RAW_ZP P/Q</x:t>
        </x:is>
      </x:c>
      <x:c r="P74" s="593" t="inlineStr">
        <x:is>
          <x:t xml:space="preserve">550 x 606 cm|LED2</x:t>
        </x:is>
      </x:c>
    </x:row>
    <x:row r="75" s="655" customFormat="1" ht="29.5" customHeight="1">
      <x:c r="A75" s="592" t="n">
        <x:v>1025</x:v>
      </x:c>
      <x:c r="B75" s="593" t="inlineStr">
        <x:is>
          <x:t xml:space="preserve">550 x 606 cm</x:t>
        </x:is>
      </x:c>
      <x:c r="C75" s="592" t="n">
        <x:v>550</x:v>
      </x:c>
      <x:c r="D75" s="592" t="n">
        <x:v>606</x:v>
      </x:c>
      <x:c r="E75" s="593" t="inlineStr">
        <x:is>
          <x:t xml:space="preserve">LED3</x:t>
        </x:is>
      </x:c>
      <x:c r="F75" s="593" t="inlineStr">
        <x:is>
          <x:t xml:space="preserve">Oświetlenie LED 3 punkty</x:t>
        </x:is>
      </x:c>
      <x:c r="G75" s="594" t="n">
        <x:v>0</x:v>
      </x:c>
      <x:c r="H75" s="594" t="n">
        <x:v>0</x:v>
      </x:c>
      <x:c r="I75" s="594" t="n">
        <x:v>1388</x:v>
      </x:c>
      <x:c r="J75" s="594" t="n">
        <x:v>399</x:v>
      </x:c>
      <x:c r="K75" s="595" t="n">
        <x:v>0.3105058365758755</x:v>
      </x:c>
      <x:c r="L75" s="593" t="inlineStr">
        <x:is>
          <x:t xml:space="preserve">POZOSTAWIĆ 0 NA RAZIE</x:t>
        </x:is>
      </x:c>
      <x:c r="M75" s="593" t="inlineStr">
        <x:is>
          <x:t xml:space="preserve">Cennik usług miał LED bez osobnego wynagrodzenia; kolumna LED z Wynagr. ekipy jest tylko informacyjna</x:t>
        </x:is>
      </x:c>
      <x:c r="N75" s="593" t="inlineStr">
        <x:is>
          <x:t xml:space="preserve">Informacyjnie wg Wynagr. ekipy LED na krokiew: 400 zł.</x:t>
        </x:is>
      </x:c>
      <x:c r="O75" s="593" t="inlineStr">
        <x:is>
          <x:t xml:space="preserve">RAW_ZP R/S</x:t>
        </x:is>
      </x:c>
      <x:c r="P75" s="593" t="inlineStr">
        <x:is>
          <x:t xml:space="preserve">550 x 606 cm|LED3</x:t>
        </x:is>
      </x:c>
    </x:row>
    <x:row r="76" s="655" customFormat="1" ht="29.5" customHeight="1">
      <x:c r="A76" s="592" t="n">
        <x:v>1026</x:v>
      </x:c>
      <x:c r="B76" s="593" t="inlineStr">
        <x:is>
          <x:t xml:space="preserve">550 x 606 cm</x:t>
        </x:is>
      </x:c>
      <x:c r="C76" s="592" t="n">
        <x:v>550</x:v>
      </x:c>
      <x:c r="D76" s="592" t="n">
        <x:v>606</x:v>
      </x:c>
      <x:c r="E76" s="593" t="inlineStr">
        <x:is>
          <x:t xml:space="preserve">LEDCCT</x:t>
        </x:is>
      </x:c>
      <x:c r="F76" s="593" t="inlineStr">
        <x:is>
          <x:t xml:space="preserve">Oświetlenie LED CCT</x:t>
        </x:is>
      </x:c>
      <x:c r="G76" s="594" t="n">
        <x:v>0</x:v>
      </x:c>
      <x:c r="H76" s="594" t="n">
        <x:v>0</x:v>
      </x:c>
      <x:c r="I76" s="594" t="n">
        <x:v>0</x:v>
      </x:c>
      <x:c r="J76" s="594" t="n">
        <x:v>0</x:v>
      </x:c>
      <x:c r="K76" s="595" t="n"/>
      <x:c r="L76" s="593" t="inlineStr">
        <x:is>
          <x:t xml:space="preserve">POZOSTAWIĆ 0 / UKRYTE</x:t>
        </x:is>
      </x:c>
      <x:c r="M76" s="593" t="inlineStr">
        <x:is>
          <x:t xml:space="preserve">Brak pełnego cennika dla 550/600; opcje nadal crm_only/ukryte</x:t>
        </x:is>
      </x:c>
      <x:c r="N76" s="593" t="n"/>
      <x:c r="O76" s="593" t="inlineStr">
        <x:is>
          <x:t xml:space="preserve">RAW_ZP T/U</x:t>
        </x:is>
      </x:c>
      <x:c r="P76" s="593" t="inlineStr">
        <x:is>
          <x:t xml:space="preserve">550 x 606 cm|LEDCCT</x:t>
        </x:is>
      </x:c>
    </x:row>
    <x:row r="77" s="655" customFormat="1" ht="29.5" customHeight="1">
      <x:c r="A77" s="592" t="n">
        <x:v>1027</x:v>
      </x:c>
      <x:c r="B77" s="593" t="inlineStr">
        <x:is>
          <x:t xml:space="preserve">550 x 606 cm</x:t>
        </x:is>
      </x:c>
      <x:c r="C77" s="592" t="n">
        <x:v>550</x:v>
      </x:c>
      <x:c r="D77" s="592" t="n">
        <x:v>606</x:v>
      </x:c>
      <x:c r="E77" s="593" t="inlineStr">
        <x:is>
          <x:t xml:space="preserve">LEDRGBCCT</x:t>
        </x:is>
      </x:c>
      <x:c r="F77" s="593" t="inlineStr">
        <x:is>
          <x:t xml:space="preserve">Oświetlenie LED RGB CCT</x:t>
        </x:is>
      </x:c>
      <x:c r="G77" s="594" t="n">
        <x:v>0</x:v>
      </x:c>
      <x:c r="H77" s="594" t="n">
        <x:v>0</x:v>
      </x:c>
      <x:c r="I77" s="594" t="n">
        <x:v>0</x:v>
      </x:c>
      <x:c r="J77" s="594" t="n">
        <x:v>0</x:v>
      </x:c>
      <x:c r="K77" s="595" t="n"/>
      <x:c r="L77" s="593" t="inlineStr">
        <x:is>
          <x:t xml:space="preserve">POZOSTAWIĆ 0 / UKRYTE</x:t>
        </x:is>
      </x:c>
      <x:c r="M77" s="593" t="inlineStr">
        <x:is>
          <x:t xml:space="preserve">Brak pełnego cennika dla 550/600; opcje nadal crm_only/ukryte</x:t>
        </x:is>
      </x:c>
      <x:c r="N77" s="593" t="n"/>
      <x:c r="O77" s="593" t="inlineStr">
        <x:is>
          <x:t xml:space="preserve">RAW_ZP V/W</x:t>
        </x:is>
      </x:c>
      <x:c r="P77" s="593" t="inlineStr">
        <x:is>
          <x:t xml:space="preserve">550 x 606 cm|LEDRGBCCT</x:t>
        </x:is>
      </x:c>
    </x:row>
    <x:row r="78" s="655" customFormat="1" ht="29.5" customHeight="1">
      <x:c r="A78" s="584" t="n">
        <x:v>1028</x:v>
      </x:c>
      <x:c r="B78" s="585" t="inlineStr">
        <x:is>
          <x:t xml:space="preserve">550 x 706 cm</x:t>
        </x:is>
      </x:c>
      <x:c r="C78" s="584" t="n">
        <x:v>550</x:v>
      </x:c>
      <x:c r="D78" s="584" t="n">
        <x:v>706</x:v>
      </x:c>
      <x:c r="E78" s="585" t="inlineStr">
        <x:is>
          <x:t xml:space="preserve">ZP</x:t>
        </x:is>
      </x:c>
      <x:c r="F78" s="585" t="inlineStr">
        <x:is>
          <x:t xml:space="preserve">Zadaszenie poliwęglan - baza</x:t>
        </x:is>
      </x:c>
      <x:c r="G78" s="586" t="n">
        <x:v>5120</x:v>
      </x:c>
      <x:c r="H78" s="586" t="n">
        <x:v>1680</x:v>
      </x:c>
      <x:c r="I78" s="586" t="n">
        <x:v>34532</x:v>
      </x:c>
      <x:c r="J78" s="586" t="n">
        <x:v>11774</x:v>
      </x:c>
      <x:c r="K78" s="587" t="n">
        <x:v>0.3682366923125039</x:v>
      </x:c>
      <x:c r="L78" s="585" t="inlineStr">
        <x:is>
          <x:t xml:space="preserve">UZUPEŁNIĆ</x:t>
        </x:is>
      </x:c>
      <x:c r="M78" s="585" t="inlineStr">
        <x:is>
          <x:t xml:space="preserve">K: model rentowności 450/500; L: przedłużenie Wynagr. ekipy 450→500</x:t>
        </x:is>
      </x:c>
      <x:c r="N78" s="585" t="inlineStr">
        <x:is>
          <x:t xml:space="preserve">Podstawowa konstrukcja z ceną dostawcy dla 550/600.</x:t>
        </x:is>
      </x:c>
      <x:c r="O78" s="585" t="inlineStr">
        <x:is>
          <x:t xml:space="preserve">RAW_ZP B/C</x:t>
        </x:is>
      </x:c>
      <x:c r="P78" s="585" t="inlineStr">
        <x:is>
          <x:t xml:space="preserve">550 x 706 cm|ZP</x:t>
        </x:is>
      </x:c>
    </x:row>
    <x:row r="79" s="655" customFormat="1" ht="29.5" customHeight="1">
      <x:c r="A79" s="588" t="n">
        <x:v>1029</x:v>
      </x:c>
      <x:c r="B79" s="589" t="inlineStr">
        <x:is>
          <x:t xml:space="preserve">550 x 706 cm</x:t>
        </x:is>
      </x:c>
      <x:c r="C79" s="588" t="n">
        <x:v>550</x:v>
      </x:c>
      <x:c r="D79" s="588" t="n">
        <x:v>706</x:v>
      </x:c>
      <x:c r="E79" s="589" t="inlineStr">
        <x:is>
          <x:t xml:space="preserve">ZS</x:t>
        </x:is>
      </x:c>
      <x:c r="F79" s="589" t="inlineStr">
        <x:is>
          <x:t xml:space="preserve">Zadaszenie szkło - pełna konstrukcja</x:t>
        </x:is>
      </x:c>
      <x:c r="G79" s="590" t="n">
        <x:v>5120</x:v>
      </x:c>
      <x:c r="H79" s="590" t="n">
        <x:v>2150</x:v>
      </x:c>
      <x:c r="I79" s="590" t="n"/>
      <x:c r="J79" s="590" t="n"/>
      <x:c r="K79" s="591" t="n"/>
      <x:c r="L79" s="589" t="inlineStr">
        <x:is>
          <x:t xml:space="preserve">NIE PUBLIKOWAĆ / BRAK RAW_ZS</x:t>
        </x:is>
      </x:c>
      <x:c r="M79" s="589" t="inlineStr">
        <x:is>
          <x:t xml:space="preserve">Informacyjnie: K jak ZP, L = pełny montaż zadaszenia szklanego z przedłużenia</x:t>
        </x:is>
      </x:c>
      <x:c r="N79" s="589" t="inlineStr">
        <x:is>
          <x:t xml:space="preserve">Brak ceny dostawcy dla ZS 550/600, więc nieaktywny do czasu cennika dostawcy.</x:t>
        </x:is>
      </x:c>
      <x:c r="O79" s="589" t="inlineStr">
        <x:is>
          <x:t xml:space="preserve">RAW_ZS B/C</x:t>
        </x:is>
      </x:c>
      <x:c r="P79" s="589" t="inlineStr">
        <x:is>
          <x:t xml:space="preserve">550 x 706 cm|ZS</x:t>
        </x:is>
      </x:c>
    </x:row>
    <x:row r="80" s="655" customFormat="1" ht="29.5" customHeight="1">
      <x:c r="A80" s="584" t="n">
        <x:v>1030</x:v>
      </x:c>
      <x:c r="B80" s="585" t="inlineStr">
        <x:is>
          <x:t xml:space="preserve">550 x 706 cm</x:t>
        </x:is>
      </x:c>
      <x:c r="C80" s="584" t="n">
        <x:v>550</x:v>
      </x:c>
      <x:c r="D80" s="584" t="n">
        <x:v>706</x:v>
      </x:c>
      <x:c r="E80" s="585" t="inlineStr">
        <x:is>
          <x:t xml:space="preserve">OP</x:t>
        </x:is>
      </x:c>
      <x:c r="F80" s="585" t="inlineStr">
        <x:is>
          <x:t xml:space="preserve">Ogród zimowy poliwęglan - baza</x:t>
        </x:is>
      </x:c>
      <x:c r="G80" s="586" t="n">
        <x:v>6250</x:v>
      </x:c>
      <x:c r="H80" s="586" t="n">
        <x:v>2340</x:v>
      </x:c>
      <x:c r="I80" s="586" t="n">
        <x:v>61853</x:v>
      </x:c>
      <x:c r="J80" s="586" t="n">
        <x:v>19744</x:v>
      </x:c>
      <x:c r="K80" s="587" t="n">
        <x:v>0.3447469050653909</x:v>
      </x:c>
      <x:c r="L80" s="585" t="inlineStr">
        <x:is>
          <x:t xml:space="preserve">UZUPEŁNIĆ</x:t>
        </x:is>
      </x:c>
      <x:c r="M80" s="585" t="inlineStr">
        <x:is>
          <x:t xml:space="preserve">K: model rentowności 450/500; L: przedłużenie Wynagr. ekipy 450→500</x:t>
        </x:is>
      </x:c>
      <x:c r="N80" s="585" t="inlineStr">
        <x:is>
          <x:t xml:space="preserve">Podstawowa konstrukcja z ceną dostawcy dla 550/600.</x:t>
        </x:is>
      </x:c>
      <x:c r="O80" s="585" t="inlineStr">
        <x:is>
          <x:t xml:space="preserve">RAW_OP B/C</x:t>
        </x:is>
      </x:c>
      <x:c r="P80" s="585" t="inlineStr">
        <x:is>
          <x:t xml:space="preserve">550 x 706 cm|OP</x:t>
        </x:is>
      </x:c>
    </x:row>
    <x:row r="81" s="655" customFormat="1" ht="29.5" customHeight="1">
      <x:c r="A81" s="588" t="n">
        <x:v>1031</x:v>
      </x:c>
      <x:c r="B81" s="589" t="inlineStr">
        <x:is>
          <x:t xml:space="preserve">550 x 706 cm</x:t>
        </x:is>
      </x:c>
      <x:c r="C81" s="588" t="n">
        <x:v>550</x:v>
      </x:c>
      <x:c r="D81" s="588" t="n">
        <x:v>706</x:v>
      </x:c>
      <x:c r="E81" s="589" t="inlineStr">
        <x:is>
          <x:t xml:space="preserve">OS</x:t>
        </x:is>
      </x:c>
      <x:c r="F81" s="589" t="inlineStr">
        <x:is>
          <x:t xml:space="preserve">Ogród zimowy szkło - pełna konstrukcja</x:t>
        </x:is>
      </x:c>
      <x:c r="G81" s="590" t="n">
        <x:v>6250</x:v>
      </x:c>
      <x:c r="H81" s="590" t="n">
        <x:v>2810</x:v>
      </x:c>
      <x:c r="I81" s="590" t="n"/>
      <x:c r="J81" s="590" t="n"/>
      <x:c r="K81" s="591" t="n"/>
      <x:c r="L81" s="589" t="inlineStr">
        <x:is>
          <x:t xml:space="preserve">NIE PUBLIKOWAĆ / BRAK RAW_OS</x:t>
        </x:is>
      </x:c>
      <x:c r="M81" s="589" t="inlineStr">
        <x:is>
          <x:t xml:space="preserve">Informacyjnie: K jak OP, L = pełny montaż ogrodu szklanego z przedłużenia</x:t>
        </x:is>
      </x:c>
      <x:c r="N81" s="589" t="inlineStr">
        <x:is>
          <x:t xml:space="preserve">Brak ceny dostawcy dla OS 550/600, więc nieaktywny do czasu cennika dostawcy.</x:t>
        </x:is>
      </x:c>
      <x:c r="O81" s="589" t="inlineStr">
        <x:is>
          <x:t xml:space="preserve">RAW_OS B/C</x:t>
        </x:is>
      </x:c>
      <x:c r="P81" s="589" t="inlineStr">
        <x:is>
          <x:t xml:space="preserve">550 x 706 cm|OS</x:t>
        </x:is>
      </x:c>
    </x:row>
    <x:row r="82" s="655" customFormat="1" ht="29.5" customHeight="1">
      <x:c r="A82" s="584" t="n">
        <x:v>1032</x:v>
      </x:c>
      <x:c r="B82" s="585" t="inlineStr">
        <x:is>
          <x:t xml:space="preserve">550 x 706 cm</x:t>
        </x:is>
      </x:c>
      <x:c r="C82" s="584" t="n">
        <x:v>550</x:v>
      </x:c>
      <x:c r="D82" s="584" t="n">
        <x:v>706</x:v>
      </x:c>
      <x:c r="E82" s="585" t="inlineStr">
        <x:is>
          <x:t xml:space="preserve">PDS</x:t>
        </x:is>
      </x:c>
      <x:c r="F82" s="585" t="inlineStr">
        <x:is>
          <x:t xml:space="preserve">Dopłata dach szkło przezroczyste</x:t>
        </x:is>
      </x:c>
      <x:c r="G82" s="586" t="n">
        <x:v>0</x:v>
      </x:c>
      <x:c r="H82" s="586" t="n">
        <x:v>470</x:v>
      </x:c>
      <x:c r="I82" s="586" t="n"/>
      <x:c r="J82" s="586" t="n"/>
      <x:c r="K82" s="587" t="n"/>
      <x:c r="L82" s="585" t="inlineStr">
        <x:is>
          <x:t xml:space="preserve">DO UŻYCIA DOPIERO GDY BĘDZIE CENA DACHU SZKŁO</x:t>
        </x:is>
      </x:c>
      <x:c r="M82" s="585" t="inlineStr">
        <x:is>
          <x:t xml:space="preserve">L = montaż zadaszenia szkło - montaż zadaszenia poliwęglan</x:t>
        </x:is>
      </x:c>
      <x:c r="N82" s="585" t="inlineStr">
        <x:is>
          <x:t xml:space="preserve">Potrzebne dla dopłaty dachu szklanego; obecnie brak ceny dostawcy PDS 550/600.</x:t>
        </x:is>
      </x:c>
      <x:c r="O82" s="585" t="inlineStr">
        <x:is>
          <x:t xml:space="preserve">RAW_ZS - RAW_ZP</x:t>
        </x:is>
      </x:c>
      <x:c r="P82" s="585" t="inlineStr">
        <x:is>
          <x:t xml:space="preserve">550 x 706 cm|PDS</x:t>
        </x:is>
      </x:c>
    </x:row>
    <x:row r="83" s="655" customFormat="1" ht="29.5" customHeight="1">
      <x:c r="A83" s="592" t="n">
        <x:v>1033</x:v>
      </x:c>
      <x:c r="B83" s="593" t="inlineStr">
        <x:is>
          <x:t xml:space="preserve">550 x 706 cm</x:t>
        </x:is>
      </x:c>
      <x:c r="C83" s="592" t="n">
        <x:v>550</x:v>
      </x:c>
      <x:c r="D83" s="592" t="n">
        <x:v>706</x:v>
      </x:c>
      <x:c r="E83" s="593" t="inlineStr">
        <x:is>
          <x:t xml:space="preserve">PDSB</x:t>
        </x:is>
      </x:c>
      <x:c r="F83" s="593" t="inlineStr">
        <x:is>
          <x:t xml:space="preserve">Dopłata dach szkło barwione/mleczne</x:t>
        </x:is>
      </x:c>
      <x:c r="G83" s="594" t="n">
        <x:v>0</x:v>
      </x:c>
      <x:c r="H83" s="594" t="n">
        <x:v>0</x:v>
      </x:c>
      <x:c r="I83" s="594" t="n"/>
      <x:c r="J83" s="594" t="n"/>
      <x:c r="K83" s="595" t="n"/>
      <x:c r="L83" s="593" t="inlineStr">
        <x:is>
          <x:t xml:space="preserve">POZOSTAWIĆ 0 / BRAK CENY PDSB</x:t>
        </x:is>
      </x:c>
      <x:c r="M83" s="593" t="inlineStr">
        <x:is>
          <x:t xml:space="preserve">Zgodnie z dotychczasową logiką: dopłata barwienia szkła nie ma osobnego wynagrodzenia</x:t>
        </x:is>
      </x:c>
      <x:c r="N83" s="593" t="inlineStr">
        <x:is>
          <x:t xml:space="preserve">Brak ceny dostawcy dla PDSB 550/600.</x:t>
        </x:is>
      </x:c>
      <x:c r="O83" s="593" t="inlineStr">
        <x:is>
          <x:t xml:space="preserve">RAW_ZS D/E</x:t>
        </x:is>
      </x:c>
      <x:c r="P83" s="593" t="inlineStr">
        <x:is>
          <x:t xml:space="preserve">550 x 706 cm|PDSB</x:t>
        </x:is>
      </x:c>
    </x:row>
    <x:row r="84" s="655" customFormat="1" ht="29.5" customHeight="1">
      <x:c r="A84" s="592" t="n">
        <x:v>1034</x:v>
      </x:c>
      <x:c r="B84" s="593" t="inlineStr">
        <x:is>
          <x:t xml:space="preserve">550 x 706 cm</x:t>
        </x:is>
      </x:c>
      <x:c r="C84" s="592" t="n">
        <x:v>550</x:v>
      </x:c>
      <x:c r="D84" s="592" t="n">
        <x:v>706</x:v>
      </x:c>
      <x:c r="E84" s="593" t="inlineStr">
        <x:is>
          <x:t xml:space="preserve">PDPB</x:t>
        </x:is>
      </x:c>
      <x:c r="F84" s="593" t="inlineStr">
        <x:is>
          <x:t xml:space="preserve">Dopłata poliwęglan barwiony</x:t>
        </x:is>
      </x:c>
      <x:c r="G84" s="594" t="n">
        <x:v>0</x:v>
      </x:c>
      <x:c r="H84" s="594" t="n">
        <x:v>0</x:v>
      </x:c>
      <x:c r="I84" s="594" t="n">
        <x:v>853</x:v>
      </x:c>
      <x:c r="J84" s="594" t="n">
        <x:v>245</x:v>
      </x:c>
      <x:c r="K84" s="595" t="n">
        <x:v>0.310126582278481</x:v>
      </x:c>
      <x:c r="L84" s="593" t="inlineStr">
        <x:is>
          <x:t xml:space="preserve">POZOSTAWIĆ 0</x:t>
        </x:is>
      </x:c>
      <x:c r="M84" s="593" t="inlineStr">
        <x:is>
          <x:t xml:space="preserve">Zgodnie z Cennik usług: poliwęglan barwiony nie miał osobnej pracy ekipy</x:t>
        </x:is>
      </x:c>
      <x:c r="N84" s="593" t="inlineStr">
        <x:is>
          <x:t xml:space="preserve">Ma cenę dostawcy; montaż/wynagrodzenie zostaje 0.</x:t>
        </x:is>
      </x:c>
      <x:c r="O84" s="593" t="inlineStr">
        <x:is>
          <x:t xml:space="preserve">RAW_ZP D/E</x:t>
        </x:is>
      </x:c>
      <x:c r="P84" s="593" t="inlineStr">
        <x:is>
          <x:t xml:space="preserve">550 x 706 cm|PDPB</x:t>
        </x:is>
      </x:c>
    </x:row>
    <x:row r="85" s="655" customFormat="1" ht="29.5" customHeight="1">
      <x:c r="A85" s="592" t="n">
        <x:v>1035</x:v>
      </x:c>
      <x:c r="B85" s="593" t="inlineStr">
        <x:is>
          <x:t xml:space="preserve">550 x 706 cm</x:t>
        </x:is>
      </x:c>
      <x:c r="C85" s="592" t="n">
        <x:v>550</x:v>
      </x:c>
      <x:c r="D85" s="592" t="n">
        <x:v>706</x:v>
      </x:c>
      <x:c r="E85" s="593" t="inlineStr">
        <x:is>
          <x:t xml:space="preserve">SBB</x:t>
        </x:is>
      </x:c>
      <x:c r="F85" s="593" t="inlineStr">
        <x:is>
          <x:t xml:space="preserve">Dopłata szkło boczne przyciemniane</x:t>
        </x:is>
      </x:c>
      <x:c r="G85" s="594" t="n">
        <x:v>0</x:v>
      </x:c>
      <x:c r="H85" s="594" t="n">
        <x:v>0</x:v>
      </x:c>
      <x:c r="I85" s="594" t="n">
        <x:v>2903</x:v>
      </x:c>
      <x:c r="J85" s="594" t="n">
        <x:v>834</x:v>
      </x:c>
      <x:c r="K85" s="595" t="n">
        <x:v>0.3102678571428572</x:v>
      </x:c>
      <x:c r="L85" s="593" t="inlineStr">
        <x:is>
          <x:t xml:space="preserve">POZOSTAWIĆ 0</x:t>
        </x:is>
      </x:c>
      <x:c r="M85" s="593" t="inlineStr">
        <x:is>
          <x:t xml:space="preserve">Zgodnie z Cennik usług: szyby boczne barwione nie miały osobnej pracy ekipy</x:t>
        </x:is>
      </x:c>
      <x:c r="N85" s="593" t="inlineStr">
        <x:is>
          <x:t xml:space="preserve">Ma cenę dostawcy; montaż/wynagrodzenie zostaje 0.</x:t>
        </x:is>
      </x:c>
      <x:c r="O85" s="593" t="inlineStr">
        <x:is>
          <x:t xml:space="preserve">RAW_OP H/I</x:t>
        </x:is>
      </x:c>
      <x:c r="P85" s="593" t="inlineStr">
        <x:is>
          <x:t xml:space="preserve">550 x 706 cm|SBB</x:t>
        </x:is>
      </x:c>
    </x:row>
    <x:row r="86" s="655" customFormat="1" ht="29.5" customHeight="1">
      <x:c r="A86" s="584" t="n">
        <x:v>1036</x:v>
      </x:c>
      <x:c r="B86" s="585" t="inlineStr">
        <x:is>
          <x:t xml:space="preserve">550 x 706 cm</x:t>
        </x:is>
      </x:c>
      <x:c r="C86" s="584" t="n">
        <x:v>550</x:v>
      </x:c>
      <x:c r="D86" s="584" t="n">
        <x:v>706</x:v>
      </x:c>
      <x:c r="E86" s="585" t="inlineStr">
        <x:is>
          <x:t xml:space="preserve">RB</x:t>
        </x:is>
      </x:c>
      <x:c r="F86" s="585" t="inlineStr">
        <x:is>
          <x:t xml:space="preserve">Roleta boczna ZIP</x:t>
        </x:is>
      </x:c>
      <x:c r="G86" s="586" t="n">
        <x:v>0</x:v>
      </x:c>
      <x:c r="H86" s="586" t="n">
        <x:v>150</x:v>
      </x:c>
      <x:c r="I86" s="586" t="n">
        <x:v>5067</x:v>
      </x:c>
      <x:c r="J86" s="586" t="n">
        <x:v>1306</x:v>
      </x:c>
      <x:c r="K86" s="587" t="n">
        <x:v>0.2783461210571185</x:v>
      </x:c>
      <x:c r="L86" s="585" t="inlineStr">
        <x:is>
          <x:t xml:space="preserve">UZUPEŁNIĆ L</x:t>
        </x:is>
      </x:c>
      <x:c r="M86" s="585" t="inlineStr">
        <x:is>
          <x:t xml:space="preserve">L = przedłużona kolumna Montaż rolety bocznej</x:t>
        </x:is>
      </x:c>
      <x:c r="N86" s="585" t="inlineStr">
        <x:is>
          <x:t xml:space="preserve">K zostaje 0; rentowność po L pozostaje podobna do mniejszych wymiarów.</x:t>
        </x:is>
      </x:c>
      <x:c r="O86" s="585" t="inlineStr">
        <x:is>
          <x:t xml:space="preserve">RAW_ZP J/K</x:t>
        </x:is>
      </x:c>
      <x:c r="P86" s="585" t="inlineStr">
        <x:is>
          <x:t xml:space="preserve">550 x 706 cm|RB</x:t>
        </x:is>
      </x:c>
    </x:row>
    <x:row r="87" s="655" customFormat="1" ht="29.5" customHeight="1">
      <x:c r="A87" s="584" t="n">
        <x:v>1037</x:v>
      </x:c>
      <x:c r="B87" s="585" t="inlineStr">
        <x:is>
          <x:t xml:space="preserve">550 x 706 cm</x:t>
        </x:is>
      </x:c>
      <x:c r="C87" s="584" t="n">
        <x:v>550</x:v>
      </x:c>
      <x:c r="D87" s="584" t="n">
        <x:v>706</x:v>
      </x:c>
      <x:c r="E87" s="585" t="inlineStr">
        <x:is>
          <x:t xml:space="preserve">RP</x:t>
        </x:is>
      </x:c>
      <x:c r="F87" s="585" t="inlineStr">
        <x:is>
          <x:t xml:space="preserve">Roleta przednia ZIP</x:t>
        </x:is>
      </x:c>
      <x:c r="G87" s="586" t="n">
        <x:v>0</x:v>
      </x:c>
      <x:c r="H87" s="586" t="n">
        <x:v>300</x:v>
      </x:c>
      <x:c r="I87" s="586" t="n">
        <x:v>6086</x:v>
      </x:c>
      <x:c r="J87" s="586" t="n">
        <x:v>1449</x:v>
      </x:c>
      <x:c r="K87" s="587" t="n">
        <x:v>0.2571428571428571</x:v>
      </x:c>
      <x:c r="L87" s="585" t="inlineStr">
        <x:is>
          <x:t xml:space="preserve">UZUPEŁNIĆ L</x:t>
        </x:is>
      </x:c>
      <x:c r="M87" s="585" t="inlineStr">
        <x:is>
          <x:t xml:space="preserve">L = przedłużona kolumna Montaż rolety przedniej</x:t>
        </x:is>
      </x:c>
      <x:c r="N87" s="585" t="inlineStr">
        <x:is>
          <x:t xml:space="preserve">K zostaje 0; rentowność po L pozostaje podobna do mniejszych wymiarów.</x:t>
        </x:is>
      </x:c>
      <x:c r="O87" s="585" t="inlineStr">
        <x:is>
          <x:t xml:space="preserve">RAW_ZP N/O</x:t>
        </x:is>
      </x:c>
      <x:c r="P87" s="585" t="inlineStr">
        <x:is>
          <x:t xml:space="preserve">550 x 706 cm|RP</x:t>
        </x:is>
      </x:c>
    </x:row>
    <x:row r="88" s="655" customFormat="1" ht="29.5" customHeight="1">
      <x:c r="A88" s="584" t="n">
        <x:v>1038</x:v>
      </x:c>
      <x:c r="B88" s="585" t="inlineStr">
        <x:is>
          <x:t xml:space="preserve">550 x 706 cm</x:t>
        </x:is>
      </x:c>
      <x:c r="C88" s="584" t="n">
        <x:v>550</x:v>
      </x:c>
      <x:c r="D88" s="584" t="n">
        <x:v>706</x:v>
      </x:c>
      <x:c r="E88" s="585" t="inlineStr">
        <x:is>
          <x:t xml:space="preserve">M</x:t>
        </x:is>
      </x:c>
      <x:c r="F88" s="585" t="inlineStr">
        <x:is>
          <x:t xml:space="preserve">Markiza dachowa</x:t>
        </x:is>
      </x:c>
      <x:c r="G88" s="586" t="n">
        <x:v>0</x:v>
      </x:c>
      <x:c r="H88" s="586" t="n">
        <x:v>450</x:v>
      </x:c>
      <x:c r="I88" s="586" t="n">
        <x:v>11408</x:v>
      </x:c>
      <x:c r="J88" s="586" t="n">
        <x:v>2828</x:v>
      </x:c>
      <x:c r="K88" s="587" t="n">
        <x:v>0.2677269715043075</x:v>
      </x:c>
      <x:c r="L88" s="585" t="inlineStr">
        <x:is>
          <x:t xml:space="preserve">UZUPEŁNIĆ L</x:t>
        </x:is>
      </x:c>
      <x:c r="M88" s="585" t="inlineStr">
        <x:is>
          <x:t xml:space="preserve">L = przedłużona kolumna Montaż markizy na dach</x:t>
        </x:is>
      </x:c>
      <x:c r="N88" s="585" t="inlineStr">
        <x:is>
          <x:t xml:space="preserve">K zostaje 0; rentowność po L pozostaje podobna do mniejszych wymiarów.</x:t>
        </x:is>
      </x:c>
      <x:c r="O88" s="585" t="inlineStr">
        <x:is>
          <x:t xml:space="preserve">RAW_ZP H/I</x:t>
        </x:is>
      </x:c>
      <x:c r="P88" s="585" t="inlineStr">
        <x:is>
          <x:t xml:space="preserve">550 x 706 cm|M</x:t>
        </x:is>
      </x:c>
    </x:row>
    <x:row r="89" s="655" customFormat="1" ht="29.5" customHeight="1">
      <x:c r="A89" s="584" t="n">
        <x:v>1039</x:v>
      </x:c>
      <x:c r="B89" s="585" t="inlineStr">
        <x:is>
          <x:t xml:space="preserve">550 x 706 cm</x:t>
        </x:is>
      </x:c>
      <x:c r="C89" s="584" t="n">
        <x:v>550</x:v>
      </x:c>
      <x:c r="D89" s="584" t="n">
        <x:v>706</x:v>
      </x:c>
      <x:c r="E89" s="585" t="inlineStr">
        <x:is>
          <x:t xml:space="preserve">PDWP</x:t>
        </x:is>
      </x:c>
      <x:c r="F89" s="585" t="inlineStr">
        <x:is>
          <x:t xml:space="preserve">Fundament/profile</x:t>
        </x:is>
      </x:c>
      <x:c r="G89" s="586" t="n">
        <x:v>620</x:v>
      </x:c>
      <x:c r="H89" s="586" t="n">
        <x:v>570</x:v>
      </x:c>
      <x:c r="I89" s="586" t="n">
        <x:v>2580</x:v>
      </x:c>
      <x:c r="J89" s="586" t="n">
        <x:v>599</x:v>
      </x:c>
      <x:c r="K89" s="587" t="n">
        <x:v>0.250732524068648</x:v>
      </x:c>
      <x:c r="L89" s="585" t="inlineStr">
        <x:is>
          <x:t xml:space="preserve">UZUPEŁNIĆ K+L / KOREKTA RENTOWNOŚCI</x:t>
        </x:is>
      </x:c>
      <x:c r="M89" s="585" t="inlineStr">
        <x:is>
          <x:t xml:space="preserve">L = Wyrównanie podłoża; K = dopłata montażowa wyliczona do min. 25% rentowności</x:t>
        </x:is>
      </x:c>
      <x:c r="N89" s="585" t="inlineStr">
        <x:is>
          <x:t xml:space="preserve">Bez K ten dodatek ma ujemną rentowność. To jest korekta biznesowa, nie tylko przedłużenie EG.</x:t>
        </x:is>
      </x:c>
      <x:c r="O89" s="585" t="inlineStr">
        <x:is>
          <x:t xml:space="preserve">RAW_OP AB/AC</x:t>
        </x:is>
      </x:c>
      <x:c r="P89" s="585" t="inlineStr">
        <x:is>
          <x:t xml:space="preserve">550 x 706 cm|PDWP</x:t>
        </x:is>
      </x:c>
    </x:row>
    <x:row r="90" s="655" customFormat="1" ht="29.5" customHeight="1">
      <x:c r="A90" s="592" t="n">
        <x:v>1040</x:v>
      </x:c>
      <x:c r="B90" s="593" t="inlineStr">
        <x:is>
          <x:t xml:space="preserve">550 x 706 cm</x:t>
        </x:is>
      </x:c>
      <x:c r="C90" s="592" t="n">
        <x:v>550</x:v>
      </x:c>
      <x:c r="D90" s="592" t="n">
        <x:v>706</x:v>
      </x:c>
      <x:c r="E90" s="593" t="inlineStr">
        <x:is>
          <x:t xml:space="preserve">ZAB</x:t>
        </x:is>
      </x:c>
      <x:c r="F90" s="593" t="inlineStr">
        <x:is>
          <x:t xml:space="preserve">Zabieraki do ścian przesuwnych</x:t>
        </x:is>
      </x:c>
      <x:c r="G90" s="594" t="n">
        <x:v>0</x:v>
      </x:c>
      <x:c r="H90" s="594" t="n">
        <x:v>0</x:v>
      </x:c>
      <x:c r="I90" s="594" t="n">
        <x:v>765</x:v>
      </x:c>
      <x:c r="J90" s="594" t="n">
        <x:v>220</x:v>
      </x:c>
      <x:c r="K90" s="595" t="n">
        <x:v>0.3107344632768362</x:v>
      </x:c>
      <x:c r="L90" s="593" t="inlineStr">
        <x:is>
          <x:t xml:space="preserve">POZOSTAWIĆ 0</x:t>
        </x:is>
      </x:c>
      <x:c r="M90" s="593" t="inlineStr">
        <x:is>
          <x:t xml:space="preserve">Brak osobnej kolumny wynagrodzenia w Cennik usług; traktować jako element dodatkowy bez osobnej pracy</x:t>
        </x:is>
      </x:c>
      <x:c r="N90" s="593" t="n"/>
      <x:c r="O90" s="593" t="inlineStr">
        <x:is>
          <x:t xml:space="preserve">RAW_OP AD/AE</x:t>
        </x:is>
      </x:c>
      <x:c r="P90" s="593" t="inlineStr">
        <x:is>
          <x:t xml:space="preserve">550 x 706 cm|ZAB</x:t>
        </x:is>
      </x:c>
    </x:row>
    <x:row r="91" s="655" customFormat="1" ht="29.5" customHeight="1">
      <x:c r="A91" s="592" t="n">
        <x:v>1041</x:v>
      </x:c>
      <x:c r="B91" s="593" t="inlineStr">
        <x:is>
          <x:t xml:space="preserve">550 x 706 cm</x:t>
        </x:is>
      </x:c>
      <x:c r="C91" s="592" t="n">
        <x:v>550</x:v>
      </x:c>
      <x:c r="D91" s="592" t="n">
        <x:v>706</x:v>
      </x:c>
      <x:c r="E91" s="593" t="inlineStr">
        <x:is>
          <x:t xml:space="preserve">S</x:t>
        </x:is>
      </x:c>
      <x:c r="F91" s="593" t="inlineStr">
        <x:is>
          <x:t xml:space="preserve">Szczotki przeciwkurzowe</x:t>
        </x:is>
      </x:c>
      <x:c r="G91" s="594" t="n">
        <x:v>0</x:v>
      </x:c>
      <x:c r="H91" s="594" t="n">
        <x:v>0</x:v>
      </x:c>
      <x:c r="I91" s="594" t="n">
        <x:v>827</x:v>
      </x:c>
      <x:c r="J91" s="594" t="n">
        <x:v>238</x:v>
      </x:c>
      <x:c r="K91" s="595" t="n">
        <x:v>0.3107049608355091</x:v>
      </x:c>
      <x:c r="L91" s="593" t="inlineStr">
        <x:is>
          <x:t xml:space="preserve">POZOSTAWIĆ 0</x:t>
        </x:is>
      </x:c>
      <x:c r="M91" s="593" t="inlineStr">
        <x:is>
          <x:t xml:space="preserve">Zgodnie z Cennik usług: szczotki przeciwkurzowe bez osobnego wynagrodzenia</x:t>
        </x:is>
      </x:c>
      <x:c r="N91" s="593" t="n"/>
      <x:c r="O91" s="593" t="inlineStr">
        <x:is>
          <x:t xml:space="preserve">RAW_OP L/M</x:t>
        </x:is>
      </x:c>
      <x:c r="P91" s="593" t="inlineStr">
        <x:is>
          <x:t xml:space="preserve">550 x 706 cm|S</x:t>
        </x:is>
      </x:c>
    </x:row>
    <x:row r="92" s="655" customFormat="1" ht="29.5" customHeight="1">
      <x:c r="A92" s="592" t="n">
        <x:v>1042</x:v>
      </x:c>
      <x:c r="B92" s="593" t="inlineStr">
        <x:is>
          <x:t xml:space="preserve">550 x 706 cm</x:t>
        </x:is>
      </x:c>
      <x:c r="C92" s="592" t="n">
        <x:v>550</x:v>
      </x:c>
      <x:c r="D92" s="592" t="n">
        <x:v>706</x:v>
      </x:c>
      <x:c r="E92" s="593" t="inlineStr">
        <x:is>
          <x:t xml:space="preserve">U</x:t>
        </x:is>
      </x:c>
      <x:c r="F92" s="593" t="inlineStr">
        <x:is>
          <x:t xml:space="preserve">Uchwyty na szkło ścienne</x:t>
        </x:is>
      </x:c>
      <x:c r="G92" s="594" t="n">
        <x:v>0</x:v>
      </x:c>
      <x:c r="H92" s="594" t="n">
        <x:v>0</x:v>
      </x:c>
      <x:c r="I92" s="594" t="n">
        <x:v>752</x:v>
      </x:c>
      <x:c r="J92" s="594" t="n">
        <x:v>216</x:v>
      </x:c>
      <x:c r="K92" s="595" t="n">
        <x:v>0.3103448275862069</x:v>
      </x:c>
      <x:c r="L92" s="593" t="inlineStr">
        <x:is>
          <x:t xml:space="preserve">POZOSTAWIĆ 0</x:t>
        </x:is>
      </x:c>
      <x:c r="M92" s="593" t="inlineStr">
        <x:is>
          <x:t xml:space="preserve">Zgodnie z Cennik usług: uchwyty bez osobnego wynagrodzenia</x:t>
        </x:is>
      </x:c>
      <x:c r="N92" s="593" t="n"/>
      <x:c r="O92" s="593" t="inlineStr">
        <x:is>
          <x:t xml:space="preserve">RAW_OP N/O</x:t>
        </x:is>
      </x:c>
      <x:c r="P92" s="593" t="inlineStr">
        <x:is>
          <x:t xml:space="preserve">550 x 706 cm|U</x:t>
        </x:is>
      </x:c>
    </x:row>
    <x:row r="93" s="655" customFormat="1" ht="29.5" customHeight="1">
      <x:c r="A93" s="592" t="n">
        <x:v>1043</x:v>
      </x:c>
      <x:c r="B93" s="593" t="inlineStr">
        <x:is>
          <x:t xml:space="preserve">550 x 706 cm</x:t>
        </x:is>
      </x:c>
      <x:c r="C93" s="592" t="n">
        <x:v>550</x:v>
      </x:c>
      <x:c r="D93" s="592" t="n">
        <x:v>706</x:v>
      </x:c>
      <x:c r="E93" s="593" t="inlineStr">
        <x:is>
          <x:t xml:space="preserve">LED2</x:t>
        </x:is>
      </x:c>
      <x:c r="F93" s="593" t="inlineStr">
        <x:is>
          <x:t xml:space="preserve">Oświetlenie LED 2 punkty</x:t>
        </x:is>
      </x:c>
      <x:c r="G93" s="594" t="n">
        <x:v>0</x:v>
      </x:c>
      <x:c r="H93" s="594" t="n">
        <x:v>0</x:v>
      </x:c>
      <x:c r="I93" s="594" t="n">
        <x:v>1107</x:v>
      </x:c>
      <x:c r="J93" s="594" t="n">
        <x:v>318</x:v>
      </x:c>
      <x:c r="K93" s="595" t="n">
        <x:v>0.3102439024390244</x:v>
      </x:c>
      <x:c r="L93" s="593" t="inlineStr">
        <x:is>
          <x:t xml:space="preserve">POZOSTAWIĆ 0 NA RAZIE</x:t>
        </x:is>
      </x:c>
      <x:c r="M93" s="593" t="inlineStr">
        <x:is>
          <x:t xml:space="preserve">Cennik usług miał LED bez osobnego wynagrodzenia; kolumna LED z Wynagr. ekipy jest tylko informacyjna</x:t>
        </x:is>
      </x:c>
      <x:c r="N93" s="593" t="inlineStr">
        <x:is>
          <x:t xml:space="preserve">Informacyjnie wg Wynagr. ekipy LED na krokiew: 450 zł.</x:t>
        </x:is>
      </x:c>
      <x:c r="O93" s="593" t="inlineStr">
        <x:is>
          <x:t xml:space="preserve">RAW_ZP P/Q</x:t>
        </x:is>
      </x:c>
      <x:c r="P93" s="593" t="inlineStr">
        <x:is>
          <x:t xml:space="preserve">550 x 706 cm|LED2</x:t>
        </x:is>
      </x:c>
    </x:row>
    <x:row r="94" s="655" customFormat="1" ht="29.5" customHeight="1">
      <x:c r="A94" s="592" t="n">
        <x:v>1044</x:v>
      </x:c>
      <x:c r="B94" s="593" t="inlineStr">
        <x:is>
          <x:t xml:space="preserve">550 x 706 cm</x:t>
        </x:is>
      </x:c>
      <x:c r="C94" s="592" t="n">
        <x:v>550</x:v>
      </x:c>
      <x:c r="D94" s="592" t="n">
        <x:v>706</x:v>
      </x:c>
      <x:c r="E94" s="593" t="inlineStr">
        <x:is>
          <x:t xml:space="preserve">LED3</x:t>
        </x:is>
      </x:c>
      <x:c r="F94" s="593" t="inlineStr">
        <x:is>
          <x:t xml:space="preserve">Oświetlenie LED 3 punkty</x:t>
        </x:is>
      </x:c>
      <x:c r="G94" s="594" t="n">
        <x:v>0</x:v>
      </x:c>
      <x:c r="H94" s="594" t="n">
        <x:v>0</x:v>
      </x:c>
      <x:c r="I94" s="594" t="n">
        <x:v>1541</x:v>
      </x:c>
      <x:c r="J94" s="594" t="n">
        <x:v>443</x:v>
      </x:c>
      <x:c r="K94" s="595" t="n">
        <x:v>0.3104414856341976</x:v>
      </x:c>
      <x:c r="L94" s="593" t="inlineStr">
        <x:is>
          <x:t xml:space="preserve">POZOSTAWIĆ 0 NA RAZIE</x:t>
        </x:is>
      </x:c>
      <x:c r="M94" s="593" t="inlineStr">
        <x:is>
          <x:t xml:space="preserve">Cennik usług miał LED bez osobnego wynagrodzenia; kolumna LED z Wynagr. ekipy jest tylko informacyjna</x:t>
        </x:is>
      </x:c>
      <x:c r="N94" s="593" t="inlineStr">
        <x:is>
          <x:t xml:space="preserve">Informacyjnie wg Wynagr. ekipy LED na krokiew: 450 zł.</x:t>
        </x:is>
      </x:c>
      <x:c r="O94" s="593" t="inlineStr">
        <x:is>
          <x:t xml:space="preserve">RAW_ZP R/S</x:t>
        </x:is>
      </x:c>
      <x:c r="P94" s="593" t="inlineStr">
        <x:is>
          <x:t xml:space="preserve">550 x 706 cm|LED3</x:t>
        </x:is>
      </x:c>
    </x:row>
    <x:row r="95" s="655" customFormat="1" ht="29.5" customHeight="1">
      <x:c r="A95" s="592" t="n">
        <x:v>1045</x:v>
      </x:c>
      <x:c r="B95" s="593" t="inlineStr">
        <x:is>
          <x:t xml:space="preserve">550 x 706 cm</x:t>
        </x:is>
      </x:c>
      <x:c r="C95" s="592" t="n">
        <x:v>550</x:v>
      </x:c>
      <x:c r="D95" s="592" t="n">
        <x:v>706</x:v>
      </x:c>
      <x:c r="E95" s="593" t="inlineStr">
        <x:is>
          <x:t xml:space="preserve">LEDCCT</x:t>
        </x:is>
      </x:c>
      <x:c r="F95" s="593" t="inlineStr">
        <x:is>
          <x:t xml:space="preserve">Oświetlenie LED CCT</x:t>
        </x:is>
      </x:c>
      <x:c r="G95" s="594" t="n">
        <x:v>0</x:v>
      </x:c>
      <x:c r="H95" s="594" t="n">
        <x:v>0</x:v>
      </x:c>
      <x:c r="I95" s="594" t="n">
        <x:v>0</x:v>
      </x:c>
      <x:c r="J95" s="594" t="n">
        <x:v>0</x:v>
      </x:c>
      <x:c r="K95" s="595" t="n"/>
      <x:c r="L95" s="593" t="inlineStr">
        <x:is>
          <x:t xml:space="preserve">POZOSTAWIĆ 0 / UKRYTE</x:t>
        </x:is>
      </x:c>
      <x:c r="M95" s="593" t="inlineStr">
        <x:is>
          <x:t xml:space="preserve">Brak pełnego cennika dla 550/600; opcje nadal crm_only/ukryte</x:t>
        </x:is>
      </x:c>
      <x:c r="N95" s="593" t="n"/>
      <x:c r="O95" s="593" t="inlineStr">
        <x:is>
          <x:t xml:space="preserve">RAW_ZP T/U</x:t>
        </x:is>
      </x:c>
      <x:c r="P95" s="593" t="inlineStr">
        <x:is>
          <x:t xml:space="preserve">550 x 706 cm|LEDCCT</x:t>
        </x:is>
      </x:c>
    </x:row>
    <x:row r="96" s="655" customFormat="1" ht="29.5" customHeight="1">
      <x:c r="A96" s="592" t="n">
        <x:v>1046</x:v>
      </x:c>
      <x:c r="B96" s="593" t="inlineStr">
        <x:is>
          <x:t xml:space="preserve">550 x 706 cm</x:t>
        </x:is>
      </x:c>
      <x:c r="C96" s="592" t="n">
        <x:v>550</x:v>
      </x:c>
      <x:c r="D96" s="592" t="n">
        <x:v>706</x:v>
      </x:c>
      <x:c r="E96" s="593" t="inlineStr">
        <x:is>
          <x:t xml:space="preserve">LEDRGBCCT</x:t>
        </x:is>
      </x:c>
      <x:c r="F96" s="593" t="inlineStr">
        <x:is>
          <x:t xml:space="preserve">Oświetlenie LED RGB CCT</x:t>
        </x:is>
      </x:c>
      <x:c r="G96" s="594" t="n">
        <x:v>0</x:v>
      </x:c>
      <x:c r="H96" s="594" t="n">
        <x:v>0</x:v>
      </x:c>
      <x:c r="I96" s="594" t="n">
        <x:v>0</x:v>
      </x:c>
      <x:c r="J96" s="594" t="n">
        <x:v>0</x:v>
      </x:c>
      <x:c r="K96" s="595" t="n"/>
      <x:c r="L96" s="593" t="inlineStr">
        <x:is>
          <x:t xml:space="preserve">POZOSTAWIĆ 0 / UKRYTE</x:t>
        </x:is>
      </x:c>
      <x:c r="M96" s="593" t="inlineStr">
        <x:is>
          <x:t xml:space="preserve">Brak pełnego cennika dla 550/600; opcje nadal crm_only/ukryte</x:t>
        </x:is>
      </x:c>
      <x:c r="N96" s="593" t="n"/>
      <x:c r="O96" s="593" t="inlineStr">
        <x:is>
          <x:t xml:space="preserve">RAW_ZP V/W</x:t>
        </x:is>
      </x:c>
      <x:c r="P96" s="593" t="inlineStr">
        <x:is>
          <x:t xml:space="preserve">550 x 706 cm|LEDRGBCCT</x:t>
        </x:is>
      </x:c>
    </x:row>
    <x:row r="97" s="655" customFormat="1" ht="29.5" customHeight="1">
      <x:c r="A97" s="584" t="n">
        <x:v>1047</x:v>
      </x:c>
      <x:c r="B97" s="585" t="inlineStr">
        <x:is>
          <x:t xml:space="preserve">550 x 806 cm</x:t>
        </x:is>
      </x:c>
      <x:c r="C97" s="584" t="n">
        <x:v>550</x:v>
      </x:c>
      <x:c r="D97" s="584" t="n">
        <x:v>806</x:v>
      </x:c>
      <x:c r="E97" s="585" t="inlineStr">
        <x:is>
          <x:t xml:space="preserve">ZP</x:t>
        </x:is>
      </x:c>
      <x:c r="F97" s="585" t="inlineStr">
        <x:is>
          <x:t xml:space="preserve">Zadaszenie poliwęglan - baza</x:t>
        </x:is>
      </x:c>
      <x:c r="G97" s="586" t="n">
        <x:v>5480</x:v>
      </x:c>
      <x:c r="H97" s="586" t="n">
        <x:v>1810</x:v>
      </x:c>
      <x:c r="I97" s="586" t="n">
        <x:v>38894</x:v>
      </x:c>
      <x:c r="J97" s="586" t="n">
        <x:v>13146</x:v>
      </x:c>
      <x:c r="K97" s="587" t="n">
        <x:v>0.3650348485269208</x:v>
      </x:c>
      <x:c r="L97" s="585" t="inlineStr">
        <x:is>
          <x:t xml:space="preserve">UZUPEŁNIĆ</x:t>
        </x:is>
      </x:c>
      <x:c r="M97" s="585" t="inlineStr">
        <x:is>
          <x:t xml:space="preserve">K: model rentowności 450/500; L: przedłużenie Wynagr. ekipy 450→500</x:t>
        </x:is>
      </x:c>
      <x:c r="N97" s="585" t="inlineStr">
        <x:is>
          <x:t xml:space="preserve">Podstawowa konstrukcja z ceną dostawcy dla 550/600.</x:t>
        </x:is>
      </x:c>
      <x:c r="O97" s="585" t="inlineStr">
        <x:is>
          <x:t xml:space="preserve">RAW_ZP B/C</x:t>
        </x:is>
      </x:c>
      <x:c r="P97" s="585" t="inlineStr">
        <x:is>
          <x:t xml:space="preserve">550 x 806 cm|ZP</x:t>
        </x:is>
      </x:c>
    </x:row>
    <x:row r="98" s="655" customFormat="1" ht="29.5" customHeight="1">
      <x:c r="A98" s="588" t="n">
        <x:v>1048</x:v>
      </x:c>
      <x:c r="B98" s="589" t="inlineStr">
        <x:is>
          <x:t xml:space="preserve">550 x 806 cm</x:t>
        </x:is>
      </x:c>
      <x:c r="C98" s="588" t="n">
        <x:v>550</x:v>
      </x:c>
      <x:c r="D98" s="588" t="n">
        <x:v>806</x:v>
      </x:c>
      <x:c r="E98" s="589" t="inlineStr">
        <x:is>
          <x:t xml:space="preserve">ZS</x:t>
        </x:is>
      </x:c>
      <x:c r="F98" s="589" t="inlineStr">
        <x:is>
          <x:t xml:space="preserve">Zadaszenie szkło - pełna konstrukcja</x:t>
        </x:is>
      </x:c>
      <x:c r="G98" s="590" t="n">
        <x:v>5480</x:v>
      </x:c>
      <x:c r="H98" s="590" t="n">
        <x:v>2320</x:v>
      </x:c>
      <x:c r="I98" s="590" t="n"/>
      <x:c r="J98" s="590" t="n"/>
      <x:c r="K98" s="591" t="n"/>
      <x:c r="L98" s="589" t="inlineStr">
        <x:is>
          <x:t xml:space="preserve">NIE PUBLIKOWAĆ / BRAK RAW_ZS</x:t>
        </x:is>
      </x:c>
      <x:c r="M98" s="589" t="inlineStr">
        <x:is>
          <x:t xml:space="preserve">Informacyjnie: K jak ZP, L = pełny montaż zadaszenia szklanego z przedłużenia</x:t>
        </x:is>
      </x:c>
      <x:c r="N98" s="589" t="inlineStr">
        <x:is>
          <x:t xml:space="preserve">Brak ceny dostawcy dla ZS 550/600, więc nieaktywny do czasu cennika dostawcy.</x:t>
        </x:is>
      </x:c>
      <x:c r="O98" s="589" t="inlineStr">
        <x:is>
          <x:t xml:space="preserve">RAW_ZS B/C</x:t>
        </x:is>
      </x:c>
      <x:c r="P98" s="589" t="inlineStr">
        <x:is>
          <x:t xml:space="preserve">550 x 806 cm|ZS</x:t>
        </x:is>
      </x:c>
    </x:row>
    <x:row r="99" s="655" customFormat="1" ht="29.5" customHeight="1">
      <x:c r="A99" s="584" t="n">
        <x:v>1049</x:v>
      </x:c>
      <x:c r="B99" s="585" t="inlineStr">
        <x:is>
          <x:t xml:space="preserve">550 x 806 cm</x:t>
        </x:is>
      </x:c>
      <x:c r="C99" s="584" t="n">
        <x:v>550</x:v>
      </x:c>
      <x:c r="D99" s="584" t="n">
        <x:v>806</x:v>
      </x:c>
      <x:c r="E99" s="585" t="inlineStr">
        <x:is>
          <x:t xml:space="preserve">OP</x:t>
        </x:is>
      </x:c>
      <x:c r="F99" s="585" t="inlineStr">
        <x:is>
          <x:t xml:space="preserve">Ogród zimowy poliwęglan - baza</x:t>
        </x:is>
      </x:c>
      <x:c r="G99" s="586" t="n">
        <x:v>6650</x:v>
      </x:c>
      <x:c r="H99" s="586" t="n">
        <x:v>2520</x:v>
      </x:c>
      <x:c r="I99" s="586" t="n">
        <x:v>67301</x:v>
      </x:c>
      <x:c r="J99" s="586" t="n">
        <x:v>21406</x:v>
      </x:c>
      <x:c r="K99" s="587" t="n">
        <x:v>0.34350728544836</x:v>
      </x:c>
      <x:c r="L99" s="585" t="inlineStr">
        <x:is>
          <x:t xml:space="preserve">UZUPEŁNIĆ</x:t>
        </x:is>
      </x:c>
      <x:c r="M99" s="585" t="inlineStr">
        <x:is>
          <x:t xml:space="preserve">K: model rentowności 450/500; L: przedłużenie Wynagr. ekipy 450→500</x:t>
        </x:is>
      </x:c>
      <x:c r="N99" s="585" t="inlineStr">
        <x:is>
          <x:t xml:space="preserve">Podstawowa konstrukcja z ceną dostawcy dla 550/600.</x:t>
        </x:is>
      </x:c>
      <x:c r="O99" s="585" t="inlineStr">
        <x:is>
          <x:t xml:space="preserve">RAW_OP B/C</x:t>
        </x:is>
      </x:c>
      <x:c r="P99" s="585" t="inlineStr">
        <x:is>
          <x:t xml:space="preserve">550 x 806 cm|OP</x:t>
        </x:is>
      </x:c>
    </x:row>
    <x:row r="100" s="655" customFormat="1" ht="29.5" customHeight="1">
      <x:c r="A100" s="588" t="n">
        <x:v>1050</x:v>
      </x:c>
      <x:c r="B100" s="589" t="inlineStr">
        <x:is>
          <x:t xml:space="preserve">550 x 806 cm</x:t>
        </x:is>
      </x:c>
      <x:c r="C100" s="588" t="n">
        <x:v>550</x:v>
      </x:c>
      <x:c r="D100" s="588" t="n">
        <x:v>806</x:v>
      </x:c>
      <x:c r="E100" s="589" t="inlineStr">
        <x:is>
          <x:t xml:space="preserve">OS</x:t>
        </x:is>
      </x:c>
      <x:c r="F100" s="589" t="inlineStr">
        <x:is>
          <x:t xml:space="preserve">Ogród zimowy szkło - pełna konstrukcja</x:t>
        </x:is>
      </x:c>
      <x:c r="G100" s="590" t="n">
        <x:v>6650</x:v>
      </x:c>
      <x:c r="H100" s="590" t="n">
        <x:v>3030</x:v>
      </x:c>
      <x:c r="I100" s="590" t="n"/>
      <x:c r="J100" s="590" t="n"/>
      <x:c r="K100" s="591" t="n"/>
      <x:c r="L100" s="589" t="inlineStr">
        <x:is>
          <x:t xml:space="preserve">NIE PUBLIKOWAĆ / BRAK RAW_OS</x:t>
        </x:is>
      </x:c>
      <x:c r="M100" s="589" t="inlineStr">
        <x:is>
          <x:t xml:space="preserve">Informacyjnie: K jak OP, L = pełny montaż ogrodu szklanego z przedłużenia</x:t>
        </x:is>
      </x:c>
      <x:c r="N100" s="589" t="inlineStr">
        <x:is>
          <x:t xml:space="preserve">Brak ceny dostawcy dla OS 550/600, więc nieaktywny do czasu cennika dostawcy.</x:t>
        </x:is>
      </x:c>
      <x:c r="O100" s="589" t="inlineStr">
        <x:is>
          <x:t xml:space="preserve">RAW_OS B/C</x:t>
        </x:is>
      </x:c>
      <x:c r="P100" s="589" t="inlineStr">
        <x:is>
          <x:t xml:space="preserve">550 x 806 cm|OS</x:t>
        </x:is>
      </x:c>
    </x:row>
    <x:row r="101" s="655" customFormat="1" ht="29.5" customHeight="1">
      <x:c r="A101" s="584" t="n">
        <x:v>1051</x:v>
      </x:c>
      <x:c r="B101" s="585" t="inlineStr">
        <x:is>
          <x:t xml:space="preserve">550 x 806 cm</x:t>
        </x:is>
      </x:c>
      <x:c r="C101" s="584" t="n">
        <x:v>550</x:v>
      </x:c>
      <x:c r="D101" s="584" t="n">
        <x:v>806</x:v>
      </x:c>
      <x:c r="E101" s="585" t="inlineStr">
        <x:is>
          <x:t xml:space="preserve">PDS</x:t>
        </x:is>
      </x:c>
      <x:c r="F101" s="585" t="inlineStr">
        <x:is>
          <x:t xml:space="preserve">Dopłata dach szkło przezroczyste</x:t>
        </x:is>
      </x:c>
      <x:c r="G101" s="586" t="n">
        <x:v>0</x:v>
      </x:c>
      <x:c r="H101" s="586" t="n">
        <x:v>510</x:v>
      </x:c>
      <x:c r="I101" s="586" t="n"/>
      <x:c r="J101" s="586" t="n"/>
      <x:c r="K101" s="587" t="n"/>
      <x:c r="L101" s="585" t="inlineStr">
        <x:is>
          <x:t xml:space="preserve">DO UŻYCIA DOPIERO GDY BĘDZIE CENA DACHU SZKŁO</x:t>
        </x:is>
      </x:c>
      <x:c r="M101" s="585" t="inlineStr">
        <x:is>
          <x:t xml:space="preserve">L = montaż zadaszenia szkło - montaż zadaszenia poliwęglan</x:t>
        </x:is>
      </x:c>
      <x:c r="N101" s="585" t="inlineStr">
        <x:is>
          <x:t xml:space="preserve">Potrzebne dla dopłaty dachu szklanego; obecnie brak ceny dostawcy PDS 550/600.</x:t>
        </x:is>
      </x:c>
      <x:c r="O101" s="585" t="inlineStr">
        <x:is>
          <x:t xml:space="preserve">RAW_ZS - RAW_ZP</x:t>
        </x:is>
      </x:c>
      <x:c r="P101" s="585" t="inlineStr">
        <x:is>
          <x:t xml:space="preserve">550 x 806 cm|PDS</x:t>
        </x:is>
      </x:c>
    </x:row>
    <x:row r="102" s="655" customFormat="1" ht="29.5" customHeight="1">
      <x:c r="A102" s="592" t="n">
        <x:v>1052</x:v>
      </x:c>
      <x:c r="B102" s="593" t="inlineStr">
        <x:is>
          <x:t xml:space="preserve">550 x 806 cm</x:t>
        </x:is>
      </x:c>
      <x:c r="C102" s="592" t="n">
        <x:v>550</x:v>
      </x:c>
      <x:c r="D102" s="592" t="n">
        <x:v>806</x:v>
      </x:c>
      <x:c r="E102" s="593" t="inlineStr">
        <x:is>
          <x:t xml:space="preserve">PDSB</x:t>
        </x:is>
      </x:c>
      <x:c r="F102" s="593" t="inlineStr">
        <x:is>
          <x:t xml:space="preserve">Dopłata dach szkło barwione/mleczne</x:t>
        </x:is>
      </x:c>
      <x:c r="G102" s="594" t="n">
        <x:v>0</x:v>
      </x:c>
      <x:c r="H102" s="594" t="n">
        <x:v>0</x:v>
      </x:c>
      <x:c r="I102" s="594" t="n"/>
      <x:c r="J102" s="594" t="n"/>
      <x:c r="K102" s="595" t="n"/>
      <x:c r="L102" s="593" t="inlineStr">
        <x:is>
          <x:t xml:space="preserve">POZOSTAWIĆ 0 / BRAK CENY PDSB</x:t>
        </x:is>
      </x:c>
      <x:c r="M102" s="593" t="inlineStr">
        <x:is>
          <x:t xml:space="preserve">Zgodnie z dotychczasową logiką: dopłata barwienia szkła nie ma osobnego wynagrodzenia</x:t>
        </x:is>
      </x:c>
      <x:c r="N102" s="593" t="inlineStr">
        <x:is>
          <x:t xml:space="preserve">Brak ceny dostawcy dla PDSB 550/600.</x:t>
        </x:is>
      </x:c>
      <x:c r="O102" s="593" t="inlineStr">
        <x:is>
          <x:t xml:space="preserve">RAW_ZS D/E</x:t>
        </x:is>
      </x:c>
      <x:c r="P102" s="593" t="inlineStr">
        <x:is>
          <x:t xml:space="preserve">550 x 806 cm|PDSB</x:t>
        </x:is>
      </x:c>
    </x:row>
    <x:row r="103" s="655" customFormat="1" ht="29.5" customHeight="1">
      <x:c r="A103" s="592" t="n">
        <x:v>1053</x:v>
      </x:c>
      <x:c r="B103" s="593" t="inlineStr">
        <x:is>
          <x:t xml:space="preserve">550 x 806 cm</x:t>
        </x:is>
      </x:c>
      <x:c r="C103" s="592" t="n">
        <x:v>550</x:v>
      </x:c>
      <x:c r="D103" s="592" t="n">
        <x:v>806</x:v>
      </x:c>
      <x:c r="E103" s="593" t="inlineStr">
        <x:is>
          <x:t xml:space="preserve">PDPB</x:t>
        </x:is>
      </x:c>
      <x:c r="F103" s="593" t="inlineStr">
        <x:is>
          <x:t xml:space="preserve">Dopłata poliwęglan barwiony</x:t>
        </x:is>
      </x:c>
      <x:c r="G103" s="594" t="n">
        <x:v>0</x:v>
      </x:c>
      <x:c r="H103" s="594" t="n">
        <x:v>0</x:v>
      </x:c>
      <x:c r="I103" s="594" t="n">
        <x:v>981</x:v>
      </x:c>
      <x:c r="J103" s="594" t="n">
        <x:v>282</x:v>
      </x:c>
      <x:c r="K103" s="595" t="n">
        <x:v>0.3105726872246696</x:v>
      </x:c>
      <x:c r="L103" s="593" t="inlineStr">
        <x:is>
          <x:t xml:space="preserve">POZOSTAWIĆ 0</x:t>
        </x:is>
      </x:c>
      <x:c r="M103" s="593" t="inlineStr">
        <x:is>
          <x:t xml:space="preserve">Zgodnie z Cennik usług: poliwęglan barwiony nie miał osobnej pracy ekipy</x:t>
        </x:is>
      </x:c>
      <x:c r="N103" s="593" t="inlineStr">
        <x:is>
          <x:t xml:space="preserve">Ma cenę dostawcy; montaż/wynagrodzenie zostaje 0.</x:t>
        </x:is>
      </x:c>
      <x:c r="O103" s="593" t="inlineStr">
        <x:is>
          <x:t xml:space="preserve">RAW_ZP D/E</x:t>
        </x:is>
      </x:c>
      <x:c r="P103" s="593" t="inlineStr">
        <x:is>
          <x:t xml:space="preserve">550 x 806 cm|PDPB</x:t>
        </x:is>
      </x:c>
    </x:row>
    <x:row r="104" s="655" customFormat="1" ht="29.5" customHeight="1">
      <x:c r="A104" s="592" t="n">
        <x:v>1054</x:v>
      </x:c>
      <x:c r="B104" s="593" t="inlineStr">
        <x:is>
          <x:t xml:space="preserve">550 x 806 cm</x:t>
        </x:is>
      </x:c>
      <x:c r="C104" s="592" t="n">
        <x:v>550</x:v>
      </x:c>
      <x:c r="D104" s="592" t="n">
        <x:v>806</x:v>
      </x:c>
      <x:c r="E104" s="593" t="inlineStr">
        <x:is>
          <x:t xml:space="preserve">SBB</x:t>
        </x:is>
      </x:c>
      <x:c r="F104" s="593" t="inlineStr">
        <x:is>
          <x:t xml:space="preserve">Dopłata szkło boczne przyciemniane</x:t>
        </x:is>
      </x:c>
      <x:c r="G104" s="594" t="n">
        <x:v>0</x:v>
      </x:c>
      <x:c r="H104" s="594" t="n">
        <x:v>0</x:v>
      </x:c>
      <x:c r="I104" s="594" t="n">
        <x:v>3055</x:v>
      </x:c>
      <x:c r="J104" s="594" t="n">
        <x:v>878</x:v>
      </x:c>
      <x:c r="K104" s="595" t="n">
        <x:v>0.3103570166136444</x:v>
      </x:c>
      <x:c r="L104" s="593" t="inlineStr">
        <x:is>
          <x:t xml:space="preserve">POZOSTAWIĆ 0</x:t>
        </x:is>
      </x:c>
      <x:c r="M104" s="593" t="inlineStr">
        <x:is>
          <x:t xml:space="preserve">Zgodnie z Cennik usług: szyby boczne barwione nie miały osobnej pracy ekipy</x:t>
        </x:is>
      </x:c>
      <x:c r="N104" s="593" t="inlineStr">
        <x:is>
          <x:t xml:space="preserve">Ma cenę dostawcy; montaż/wynagrodzenie zostaje 0.</x:t>
        </x:is>
      </x:c>
      <x:c r="O104" s="593" t="inlineStr">
        <x:is>
          <x:t xml:space="preserve">RAW_OP H/I</x:t>
        </x:is>
      </x:c>
      <x:c r="P104" s="593" t="inlineStr">
        <x:is>
          <x:t xml:space="preserve">550 x 806 cm|SBB</x:t>
        </x:is>
      </x:c>
    </x:row>
    <x:row r="105" s="655" customFormat="1" ht="29.5" customHeight="1">
      <x:c r="A105" s="584" t="n">
        <x:v>1055</x:v>
      </x:c>
      <x:c r="B105" s="585" t="inlineStr">
        <x:is>
          <x:t xml:space="preserve">550 x 806 cm</x:t>
        </x:is>
      </x:c>
      <x:c r="C105" s="584" t="n">
        <x:v>550</x:v>
      </x:c>
      <x:c r="D105" s="584" t="n">
        <x:v>806</x:v>
      </x:c>
      <x:c r="E105" s="585" t="inlineStr">
        <x:is>
          <x:t xml:space="preserve">RB</x:t>
        </x:is>
      </x:c>
      <x:c r="F105" s="585" t="inlineStr">
        <x:is>
          <x:t xml:space="preserve">Roleta boczna ZIP</x:t>
        </x:is>
      </x:c>
      <x:c r="G105" s="586" t="n">
        <x:v>0</x:v>
      </x:c>
      <x:c r="H105" s="586" t="n">
        <x:v>150</x:v>
      </x:c>
      <x:c r="I105" s="586" t="n">
        <x:v>5067</x:v>
      </x:c>
      <x:c r="J105" s="586" t="n">
        <x:v>1306</x:v>
      </x:c>
      <x:c r="K105" s="587" t="n">
        <x:v>0.2783461210571185</x:v>
      </x:c>
      <x:c r="L105" s="585" t="inlineStr">
        <x:is>
          <x:t xml:space="preserve">UZUPEŁNIĆ L</x:t>
        </x:is>
      </x:c>
      <x:c r="M105" s="585" t="inlineStr">
        <x:is>
          <x:t xml:space="preserve">L = przedłużona kolumna Montaż rolety bocznej</x:t>
        </x:is>
      </x:c>
      <x:c r="N105" s="585" t="inlineStr">
        <x:is>
          <x:t xml:space="preserve">K zostaje 0; rentowność po L pozostaje podobna do mniejszych wymiarów.</x:t>
        </x:is>
      </x:c>
      <x:c r="O105" s="585" t="inlineStr">
        <x:is>
          <x:t xml:space="preserve">RAW_ZP J/K</x:t>
        </x:is>
      </x:c>
      <x:c r="P105" s="585" t="inlineStr">
        <x:is>
          <x:t xml:space="preserve">550 x 806 cm|RB</x:t>
        </x:is>
      </x:c>
    </x:row>
    <x:row r="106" s="655" customFormat="1" ht="29.5" customHeight="1">
      <x:c r="A106" s="584" t="n">
        <x:v>1056</x:v>
      </x:c>
      <x:c r="B106" s="585" t="inlineStr">
        <x:is>
          <x:t xml:space="preserve">550 x 806 cm</x:t>
        </x:is>
      </x:c>
      <x:c r="C106" s="584" t="n">
        <x:v>550</x:v>
      </x:c>
      <x:c r="D106" s="584" t="n">
        <x:v>806</x:v>
      </x:c>
      <x:c r="E106" s="585" t="inlineStr">
        <x:is>
          <x:t xml:space="preserve">RP</x:t>
        </x:is>
      </x:c>
      <x:c r="F106" s="585" t="inlineStr">
        <x:is>
          <x:t xml:space="preserve">Roleta przednia ZIP</x:t>
        </x:is>
      </x:c>
      <x:c r="G106" s="586" t="n">
        <x:v>0</x:v>
      </x:c>
      <x:c r="H106" s="586" t="n">
        <x:v>300</x:v>
      </x:c>
      <x:c r="I106" s="586" t="n">
        <x:v>6723</x:v>
      </x:c>
      <x:c r="J106" s="586" t="n">
        <x:v>1632</x:v>
      </x:c>
      <x:c r="K106" s="587" t="n">
        <x:v>0.2621686746987952</x:v>
      </x:c>
      <x:c r="L106" s="585" t="inlineStr">
        <x:is>
          <x:t xml:space="preserve">UZUPEŁNIĆ L</x:t>
        </x:is>
      </x:c>
      <x:c r="M106" s="585" t="inlineStr">
        <x:is>
          <x:t xml:space="preserve">L = przedłużona kolumna Montaż rolety przedniej</x:t>
        </x:is>
      </x:c>
      <x:c r="N106" s="585" t="inlineStr">
        <x:is>
          <x:t xml:space="preserve">K zostaje 0; rentowność po L pozostaje podobna do mniejszych wymiarów.</x:t>
        </x:is>
      </x:c>
      <x:c r="O106" s="585" t="inlineStr">
        <x:is>
          <x:t xml:space="preserve">RAW_ZP N/O</x:t>
        </x:is>
      </x:c>
      <x:c r="P106" s="585" t="inlineStr">
        <x:is>
          <x:t xml:space="preserve">550 x 806 cm|RP</x:t>
        </x:is>
      </x:c>
    </x:row>
    <x:row r="107" s="655" customFormat="1" ht="29.5" customHeight="1">
      <x:c r="A107" s="584" t="n">
        <x:v>1057</x:v>
      </x:c>
      <x:c r="B107" s="585" t="inlineStr">
        <x:is>
          <x:t xml:space="preserve">550 x 806 cm</x:t>
        </x:is>
      </x:c>
      <x:c r="C107" s="584" t="n">
        <x:v>550</x:v>
      </x:c>
      <x:c r="D107" s="584" t="n">
        <x:v>806</x:v>
      </x:c>
      <x:c r="E107" s="585" t="inlineStr">
        <x:is>
          <x:t xml:space="preserve">M</x:t>
        </x:is>
      </x:c>
      <x:c r="F107" s="585" t="inlineStr">
        <x:is>
          <x:t xml:space="preserve">Markiza dachowa</x:t>
        </x:is>
      </x:c>
      <x:c r="G107" s="586" t="n">
        <x:v>0</x:v>
      </x:c>
      <x:c r="H107" s="586" t="n">
        <x:v>500</x:v>
      </x:c>
      <x:c r="I107" s="586" t="n">
        <x:v>12183</x:v>
      </x:c>
      <x:c r="J107" s="586" t="n">
        <x:v>3001</x:v>
      </x:c>
      <x:c r="K107" s="587" t="n">
        <x:v>0.2660225157344207</x:v>
      </x:c>
      <x:c r="L107" s="585" t="inlineStr">
        <x:is>
          <x:t xml:space="preserve">UZUPEŁNIĆ L</x:t>
        </x:is>
      </x:c>
      <x:c r="M107" s="585" t="inlineStr">
        <x:is>
          <x:t xml:space="preserve">L = przedłużona kolumna Montaż markizy na dach</x:t>
        </x:is>
      </x:c>
      <x:c r="N107" s="585" t="inlineStr">
        <x:is>
          <x:t xml:space="preserve">K zostaje 0; rentowność po L pozostaje podobna do mniejszych wymiarów.</x:t>
        </x:is>
      </x:c>
      <x:c r="O107" s="585" t="inlineStr">
        <x:is>
          <x:t xml:space="preserve">RAW_ZP H/I</x:t>
        </x:is>
      </x:c>
      <x:c r="P107" s="585" t="inlineStr">
        <x:is>
          <x:t xml:space="preserve">550 x 806 cm|M</x:t>
        </x:is>
      </x:c>
    </x:row>
    <x:row r="108" s="655" customFormat="1" ht="29.5" customHeight="1">
      <x:c r="A108" s="584" t="n">
        <x:v>1058</x:v>
      </x:c>
      <x:c r="B108" s="585" t="inlineStr">
        <x:is>
          <x:t xml:space="preserve">550 x 806 cm</x:t>
        </x:is>
      </x:c>
      <x:c r="C108" s="584" t="n">
        <x:v>550</x:v>
      </x:c>
      <x:c r="D108" s="584" t="n">
        <x:v>806</x:v>
      </x:c>
      <x:c r="E108" s="585" t="inlineStr">
        <x:is>
          <x:t xml:space="preserve">PDWP</x:t>
        </x:is>
      </x:c>
      <x:c r="F108" s="585" t="inlineStr">
        <x:is>
          <x:t xml:space="preserve">Fundament/profile</x:t>
        </x:is>
      </x:c>
      <x:c r="G108" s="586" t="n">
        <x:v>670</x:v>
      </x:c>
      <x:c r="H108" s="586" t="n">
        <x:v>610</x:v>
      </x:c>
      <x:c r="I108" s="586" t="n">
        <x:v>2773</x:v>
      </x:c>
      <x:c r="J108" s="586" t="n">
        <x:v>649</x:v>
      </x:c>
      <x:c r="K108" s="587" t="n">
        <x:v>0.2527258566978193</x:v>
      </x:c>
      <x:c r="L108" s="585" t="inlineStr">
        <x:is>
          <x:t xml:space="preserve">UZUPEŁNIĆ K+L / KOREKTA RENTOWNOŚCI</x:t>
        </x:is>
      </x:c>
      <x:c r="M108" s="585" t="inlineStr">
        <x:is>
          <x:t xml:space="preserve">L = Wyrównanie podłoża; K = dopłata montażowa wyliczona do min. 25% rentowności</x:t>
        </x:is>
      </x:c>
      <x:c r="N108" s="585" t="inlineStr">
        <x:is>
          <x:t xml:space="preserve">Bez K ten dodatek ma ujemną rentowność. To jest korekta biznesowa, nie tylko przedłużenie EG.</x:t>
        </x:is>
      </x:c>
      <x:c r="O108" s="585" t="inlineStr">
        <x:is>
          <x:t xml:space="preserve">RAW_OP AB/AC</x:t>
        </x:is>
      </x:c>
      <x:c r="P108" s="585" t="inlineStr">
        <x:is>
          <x:t xml:space="preserve">550 x 806 cm|PDWP</x:t>
        </x:is>
      </x:c>
    </x:row>
    <x:row r="109" s="655" customFormat="1" ht="29.5" customHeight="1">
      <x:c r="A109" s="592" t="n">
        <x:v>1059</x:v>
      </x:c>
      <x:c r="B109" s="593" t="inlineStr">
        <x:is>
          <x:t xml:space="preserve">550 x 806 cm</x:t>
        </x:is>
      </x:c>
      <x:c r="C109" s="592" t="n">
        <x:v>550</x:v>
      </x:c>
      <x:c r="D109" s="592" t="n">
        <x:v>806</x:v>
      </x:c>
      <x:c r="E109" s="593" t="inlineStr">
        <x:is>
          <x:t xml:space="preserve">ZAB</x:t>
        </x:is>
      </x:c>
      <x:c r="F109" s="593" t="inlineStr">
        <x:is>
          <x:t xml:space="preserve">Zabieraki do ścian przesuwnych</x:t>
        </x:is>
      </x:c>
      <x:c r="G109" s="594" t="n">
        <x:v>0</x:v>
      </x:c>
      <x:c r="H109" s="594" t="n">
        <x:v>0</x:v>
      </x:c>
      <x:c r="I109" s="594" t="n">
        <x:v>814</x:v>
      </x:c>
      <x:c r="J109" s="594" t="n">
        <x:v>234</x:v>
      </x:c>
      <x:c r="K109" s="595" t="n">
        <x:v>0.3103448275862069</x:v>
      </x:c>
      <x:c r="L109" s="593" t="inlineStr">
        <x:is>
          <x:t xml:space="preserve">POZOSTAWIĆ 0</x:t>
        </x:is>
      </x:c>
      <x:c r="M109" s="593" t="inlineStr">
        <x:is>
          <x:t xml:space="preserve">Brak osobnej kolumny wynagrodzenia w Cennik usług; traktować jako element dodatkowy bez osobnej pracy</x:t>
        </x:is>
      </x:c>
      <x:c r="N109" s="593" t="n"/>
      <x:c r="O109" s="593" t="inlineStr">
        <x:is>
          <x:t xml:space="preserve">RAW_OP AD/AE</x:t>
        </x:is>
      </x:c>
      <x:c r="P109" s="593" t="inlineStr">
        <x:is>
          <x:t xml:space="preserve">550 x 806 cm|ZAB</x:t>
        </x:is>
      </x:c>
    </x:row>
    <x:row r="110" s="655" customFormat="1" ht="29.5" customHeight="1">
      <x:c r="A110" s="592" t="n">
        <x:v>1060</x:v>
      </x:c>
      <x:c r="B110" s="593" t="inlineStr">
        <x:is>
          <x:t xml:space="preserve">550 x 806 cm</x:t>
        </x:is>
      </x:c>
      <x:c r="C110" s="592" t="n">
        <x:v>550</x:v>
      </x:c>
      <x:c r="D110" s="592" t="n">
        <x:v>806</x:v>
      </x:c>
      <x:c r="E110" s="593" t="inlineStr">
        <x:is>
          <x:t xml:space="preserve">S</x:t>
        </x:is>
      </x:c>
      <x:c r="F110" s="593" t="inlineStr">
        <x:is>
          <x:t xml:space="preserve">Szczotki przeciwkurzowe</x:t>
        </x:is>
      </x:c>
      <x:c r="G110" s="594" t="n">
        <x:v>0</x:v>
      </x:c>
      <x:c r="H110" s="594" t="n">
        <x:v>0</x:v>
      </x:c>
      <x:c r="I110" s="594" t="n">
        <x:v>878</x:v>
      </x:c>
      <x:c r="J110" s="594" t="n">
        <x:v>252</x:v>
      </x:c>
      <x:c r="K110" s="595" t="n">
        <x:v>0.3099630996309963</x:v>
      </x:c>
      <x:c r="L110" s="593" t="inlineStr">
        <x:is>
          <x:t xml:space="preserve">POZOSTAWIĆ 0</x:t>
        </x:is>
      </x:c>
      <x:c r="M110" s="593" t="inlineStr">
        <x:is>
          <x:t xml:space="preserve">Zgodnie z Cennik usług: szczotki przeciwkurzowe bez osobnego wynagrodzenia</x:t>
        </x:is>
      </x:c>
      <x:c r="N110" s="593" t="n"/>
      <x:c r="O110" s="593" t="inlineStr">
        <x:is>
          <x:t xml:space="preserve">RAW_OP L/M</x:t>
        </x:is>
      </x:c>
      <x:c r="P110" s="593" t="inlineStr">
        <x:is>
          <x:t xml:space="preserve">550 x 806 cm|S</x:t>
        </x:is>
      </x:c>
    </x:row>
    <x:row r="111" s="655" customFormat="1" ht="29.5" customHeight="1">
      <x:c r="A111" s="592" t="n">
        <x:v>1061</x:v>
      </x:c>
      <x:c r="B111" s="593" t="inlineStr">
        <x:is>
          <x:t xml:space="preserve">550 x 806 cm</x:t>
        </x:is>
      </x:c>
      <x:c r="C111" s="592" t="n">
        <x:v>550</x:v>
      </x:c>
      <x:c r="D111" s="592" t="n">
        <x:v>806</x:v>
      </x:c>
      <x:c r="E111" s="593" t="inlineStr">
        <x:is>
          <x:t xml:space="preserve">U</x:t>
        </x:is>
      </x:c>
      <x:c r="F111" s="593" t="inlineStr">
        <x:is>
          <x:t xml:space="preserve">Uchwyty na szkło ścienne</x:t>
        </x:is>
      </x:c>
      <x:c r="G111" s="594" t="n">
        <x:v>0</x:v>
      </x:c>
      <x:c r="H111" s="594" t="n">
        <x:v>0</x:v>
      </x:c>
      <x:c r="I111" s="594" t="n">
        <x:v>789</x:v>
      </x:c>
      <x:c r="J111" s="594" t="n">
        <x:v>227</x:v>
      </x:c>
      <x:c r="K111" s="595" t="n">
        <x:v>0.3105335157318742</x:v>
      </x:c>
      <x:c r="L111" s="593" t="inlineStr">
        <x:is>
          <x:t xml:space="preserve">POZOSTAWIĆ 0</x:t>
        </x:is>
      </x:c>
      <x:c r="M111" s="593" t="inlineStr">
        <x:is>
          <x:t xml:space="preserve">Zgodnie z Cennik usług: uchwyty bez osobnego wynagrodzenia</x:t>
        </x:is>
      </x:c>
      <x:c r="N111" s="593" t="n"/>
      <x:c r="O111" s="593" t="inlineStr">
        <x:is>
          <x:t xml:space="preserve">RAW_OP N/O</x:t>
        </x:is>
      </x:c>
      <x:c r="P111" s="593" t="inlineStr">
        <x:is>
          <x:t xml:space="preserve">550 x 806 cm|U</x:t>
        </x:is>
      </x:c>
    </x:row>
    <x:row r="112" s="655" customFormat="1" ht="29.5" customHeight="1">
      <x:c r="A112" s="592" t="n">
        <x:v>1062</x:v>
      </x:c>
      <x:c r="B112" s="593" t="inlineStr">
        <x:is>
          <x:t xml:space="preserve">550 x 806 cm</x:t>
        </x:is>
      </x:c>
      <x:c r="C112" s="592" t="n">
        <x:v>550</x:v>
      </x:c>
      <x:c r="D112" s="592" t="n">
        <x:v>806</x:v>
      </x:c>
      <x:c r="E112" s="593" t="inlineStr">
        <x:is>
          <x:t xml:space="preserve">LED2</x:t>
        </x:is>
      </x:c>
      <x:c r="F112" s="593" t="inlineStr">
        <x:is>
          <x:t xml:space="preserve">Oświetlenie LED 2 punkty</x:t>
        </x:is>
      </x:c>
      <x:c r="G112" s="594" t="n">
        <x:v>0</x:v>
      </x:c>
      <x:c r="H112" s="594" t="n">
        <x:v>0</x:v>
      </x:c>
      <x:c r="I112" s="594" t="n">
        <x:v>1221</x:v>
      </x:c>
      <x:c r="J112" s="594" t="n">
        <x:v>351</x:v>
      </x:c>
      <x:c r="K112" s="595" t="n">
        <x:v>0.3103448275862069</x:v>
      </x:c>
      <x:c r="L112" s="593" t="inlineStr">
        <x:is>
          <x:t xml:space="preserve">POZOSTAWIĆ 0 NA RAZIE</x:t>
        </x:is>
      </x:c>
      <x:c r="M112" s="593" t="inlineStr">
        <x:is>
          <x:t xml:space="preserve">Cennik usług miał LED bez osobnego wynagrodzenia; kolumna LED z Wynagr. ekipy jest tylko informacyjna</x:t>
        </x:is>
      </x:c>
      <x:c r="N112" s="593" t="inlineStr">
        <x:is>
          <x:t xml:space="preserve">Informacyjnie wg Wynagr. ekipy LED na krokiew: 500 zł.</x:t>
        </x:is>
      </x:c>
      <x:c r="O112" s="593" t="inlineStr">
        <x:is>
          <x:t xml:space="preserve">RAW_ZP P/Q</x:t>
        </x:is>
      </x:c>
      <x:c r="P112" s="593" t="inlineStr">
        <x:is>
          <x:t xml:space="preserve">550 x 806 cm|LED2</x:t>
        </x:is>
      </x:c>
    </x:row>
    <x:row r="113" s="655" customFormat="1" ht="29.5" customHeight="1">
      <x:c r="A113" s="592" t="n">
        <x:v>1063</x:v>
      </x:c>
      <x:c r="B113" s="593" t="inlineStr">
        <x:is>
          <x:t xml:space="preserve">550 x 806 cm</x:t>
        </x:is>
      </x:c>
      <x:c r="C113" s="592" t="n">
        <x:v>550</x:v>
      </x:c>
      <x:c r="D113" s="592" t="n">
        <x:v>806</x:v>
      </x:c>
      <x:c r="E113" s="593" t="inlineStr">
        <x:is>
          <x:t xml:space="preserve">LED3</x:t>
        </x:is>
      </x:c>
      <x:c r="F113" s="593" t="inlineStr">
        <x:is>
          <x:t xml:space="preserve">Oświetlenie LED 3 punkty</x:t>
        </x:is>
      </x:c>
      <x:c r="G113" s="594" t="n">
        <x:v>0</x:v>
      </x:c>
      <x:c r="H113" s="594" t="n">
        <x:v>0</x:v>
      </x:c>
      <x:c r="I113" s="594" t="n">
        <x:v>1834</x:v>
      </x:c>
      <x:c r="J113" s="594" t="n">
        <x:v>527</x:v>
      </x:c>
      <x:c r="K113" s="595" t="n">
        <x:v>0.3103651354534747</x:v>
      </x:c>
      <x:c r="L113" s="593" t="inlineStr">
        <x:is>
          <x:t xml:space="preserve">POZOSTAWIĆ 0 NA RAZIE</x:t>
        </x:is>
      </x:c>
      <x:c r="M113" s="593" t="inlineStr">
        <x:is>
          <x:t xml:space="preserve">Cennik usług miał LED bez osobnego wynagrodzenia; kolumna LED z Wynagr. ekipy jest tylko informacyjna</x:t>
        </x:is>
      </x:c>
      <x:c r="N113" s="593" t="inlineStr">
        <x:is>
          <x:t xml:space="preserve">Informacyjnie wg Wynagr. ekipy LED na krokiew: 500 zł.</x:t>
        </x:is>
      </x:c>
      <x:c r="O113" s="593" t="inlineStr">
        <x:is>
          <x:t xml:space="preserve">RAW_ZP R/S</x:t>
        </x:is>
      </x:c>
      <x:c r="P113" s="593" t="inlineStr">
        <x:is>
          <x:t xml:space="preserve">550 x 806 cm|LED3</x:t>
        </x:is>
      </x:c>
    </x:row>
    <x:row r="114" s="655" customFormat="1" ht="29.5" customHeight="1">
      <x:c r="A114" s="592" t="n">
        <x:v>1064</x:v>
      </x:c>
      <x:c r="B114" s="593" t="inlineStr">
        <x:is>
          <x:t xml:space="preserve">550 x 806 cm</x:t>
        </x:is>
      </x:c>
      <x:c r="C114" s="592" t="n">
        <x:v>550</x:v>
      </x:c>
      <x:c r="D114" s="592" t="n">
        <x:v>806</x:v>
      </x:c>
      <x:c r="E114" s="593" t="inlineStr">
        <x:is>
          <x:t xml:space="preserve">LEDCCT</x:t>
        </x:is>
      </x:c>
      <x:c r="F114" s="593" t="inlineStr">
        <x:is>
          <x:t xml:space="preserve">Oświetlenie LED CCT</x:t>
        </x:is>
      </x:c>
      <x:c r="G114" s="594" t="n">
        <x:v>0</x:v>
      </x:c>
      <x:c r="H114" s="594" t="n">
        <x:v>0</x:v>
      </x:c>
      <x:c r="I114" s="594" t="n">
        <x:v>0</x:v>
      </x:c>
      <x:c r="J114" s="594" t="n">
        <x:v>0</x:v>
      </x:c>
      <x:c r="K114" s="595" t="n"/>
      <x:c r="L114" s="593" t="inlineStr">
        <x:is>
          <x:t xml:space="preserve">POZOSTAWIĆ 0 / UKRYTE</x:t>
        </x:is>
      </x:c>
      <x:c r="M114" s="593" t="inlineStr">
        <x:is>
          <x:t xml:space="preserve">Brak pełnego cennika dla 550/600; opcje nadal crm_only/ukryte</x:t>
        </x:is>
      </x:c>
      <x:c r="N114" s="593" t="n"/>
      <x:c r="O114" s="593" t="inlineStr">
        <x:is>
          <x:t xml:space="preserve">RAW_ZP T/U</x:t>
        </x:is>
      </x:c>
      <x:c r="P114" s="593" t="inlineStr">
        <x:is>
          <x:t xml:space="preserve">550 x 806 cm|LEDCCT</x:t>
        </x:is>
      </x:c>
    </x:row>
    <x:row r="115" s="655" customFormat="1" ht="29.5" customHeight="1">
      <x:c r="A115" s="592" t="n">
        <x:v>1065</x:v>
      </x:c>
      <x:c r="B115" s="593" t="inlineStr">
        <x:is>
          <x:t xml:space="preserve">550 x 806 cm</x:t>
        </x:is>
      </x:c>
      <x:c r="C115" s="592" t="n">
        <x:v>550</x:v>
      </x:c>
      <x:c r="D115" s="592" t="n">
        <x:v>806</x:v>
      </x:c>
      <x:c r="E115" s="593" t="inlineStr">
        <x:is>
          <x:t xml:space="preserve">LEDRGBCCT</x:t>
        </x:is>
      </x:c>
      <x:c r="F115" s="593" t="inlineStr">
        <x:is>
          <x:t xml:space="preserve">Oświetlenie LED RGB CCT</x:t>
        </x:is>
      </x:c>
      <x:c r="G115" s="594" t="n">
        <x:v>0</x:v>
      </x:c>
      <x:c r="H115" s="594" t="n">
        <x:v>0</x:v>
      </x:c>
      <x:c r="I115" s="594" t="n">
        <x:v>0</x:v>
      </x:c>
      <x:c r="J115" s="594" t="n">
        <x:v>0</x:v>
      </x:c>
      <x:c r="K115" s="595" t="n"/>
      <x:c r="L115" s="593" t="inlineStr">
        <x:is>
          <x:t xml:space="preserve">POZOSTAWIĆ 0 / UKRYTE</x:t>
        </x:is>
      </x:c>
      <x:c r="M115" s="593" t="inlineStr">
        <x:is>
          <x:t xml:space="preserve">Brak pełnego cennika dla 550/600; opcje nadal crm_only/ukryte</x:t>
        </x:is>
      </x:c>
      <x:c r="N115" s="593" t="n"/>
      <x:c r="O115" s="593" t="inlineStr">
        <x:is>
          <x:t xml:space="preserve">RAW_ZP V/W</x:t>
        </x:is>
      </x:c>
      <x:c r="P115" s="593" t="inlineStr">
        <x:is>
          <x:t xml:space="preserve">550 x 806 cm|LEDRGBCCT</x:t>
        </x:is>
      </x:c>
    </x:row>
    <x:row r="116" s="655" customFormat="1" ht="29.5" customHeight="1">
      <x:c r="A116" s="584" t="n">
        <x:v>1066</x:v>
      </x:c>
      <x:c r="B116" s="585" t="inlineStr">
        <x:is>
          <x:t xml:space="preserve">550 x 906 cm</x:t>
        </x:is>
      </x:c>
      <x:c r="C116" s="584" t="n">
        <x:v>550</x:v>
      </x:c>
      <x:c r="D116" s="584" t="n">
        <x:v>906</x:v>
      </x:c>
      <x:c r="E116" s="585" t="inlineStr">
        <x:is>
          <x:t xml:space="preserve">ZP</x:t>
        </x:is>
      </x:c>
      <x:c r="F116" s="585" t="inlineStr">
        <x:is>
          <x:t xml:space="preserve">Zadaszenie poliwęglan - baza</x:t>
        </x:is>
      </x:c>
      <x:c r="G116" s="586" t="n">
        <x:v>5780</x:v>
      </x:c>
      <x:c r="H116" s="586" t="n">
        <x:v>1920</x:v>
      </x:c>
      <x:c r="I116" s="586" t="n">
        <x:v>43737</x:v>
      </x:c>
      <x:c r="J116" s="586" t="n">
        <x:v>14634</x:v>
      </x:c>
      <x:c r="K116" s="587" t="n">
        <x:v>0.3613601007482036</x:v>
      </x:c>
      <x:c r="L116" s="585" t="inlineStr">
        <x:is>
          <x:t xml:space="preserve">UZUPEŁNIĆ</x:t>
        </x:is>
      </x:c>
      <x:c r="M116" s="585" t="inlineStr">
        <x:is>
          <x:t xml:space="preserve">K: model rentowności 450/500; L: przedłużenie Wynagr. ekipy 450→500</x:t>
        </x:is>
      </x:c>
      <x:c r="N116" s="585" t="inlineStr">
        <x:is>
          <x:t xml:space="preserve">Podstawowa konstrukcja z ceną dostawcy dla 550/600.</x:t>
        </x:is>
      </x:c>
      <x:c r="O116" s="585" t="inlineStr">
        <x:is>
          <x:t xml:space="preserve">RAW_ZP B/C</x:t>
        </x:is>
      </x:c>
      <x:c r="P116" s="585" t="inlineStr">
        <x:is>
          <x:t xml:space="preserve">550 x 906 cm|ZP</x:t>
        </x:is>
      </x:c>
    </x:row>
    <x:row r="117" s="655" customFormat="1" ht="29.5" customHeight="1">
      <x:c r="A117" s="588" t="n">
        <x:v>1067</x:v>
      </x:c>
      <x:c r="B117" s="589" t="inlineStr">
        <x:is>
          <x:t xml:space="preserve">550 x 906 cm</x:t>
        </x:is>
      </x:c>
      <x:c r="C117" s="588" t="n">
        <x:v>550</x:v>
      </x:c>
      <x:c r="D117" s="588" t="n">
        <x:v>906</x:v>
      </x:c>
      <x:c r="E117" s="589" t="inlineStr">
        <x:is>
          <x:t xml:space="preserve">ZS</x:t>
        </x:is>
      </x:c>
      <x:c r="F117" s="589" t="inlineStr">
        <x:is>
          <x:t xml:space="preserve">Zadaszenie szkło - pełna konstrukcja</x:t>
        </x:is>
      </x:c>
      <x:c r="G117" s="590" t="n">
        <x:v>5780</x:v>
      </x:c>
      <x:c r="H117" s="590" t="n">
        <x:v>2460</x:v>
      </x:c>
      <x:c r="I117" s="590" t="n"/>
      <x:c r="J117" s="590" t="n"/>
      <x:c r="K117" s="591" t="n"/>
      <x:c r="L117" s="589" t="inlineStr">
        <x:is>
          <x:t xml:space="preserve">NIE PUBLIKOWAĆ / BRAK RAW_ZS</x:t>
        </x:is>
      </x:c>
      <x:c r="M117" s="589" t="inlineStr">
        <x:is>
          <x:t xml:space="preserve">Informacyjnie: K jak ZP, L = pełny montaż zadaszenia szklanego z przedłużenia</x:t>
        </x:is>
      </x:c>
      <x:c r="N117" s="589" t="inlineStr">
        <x:is>
          <x:t xml:space="preserve">Brak ceny dostawcy dla ZS 550/600, więc nieaktywny do czasu cennika dostawcy.</x:t>
        </x:is>
      </x:c>
      <x:c r="O117" s="589" t="inlineStr">
        <x:is>
          <x:t xml:space="preserve">RAW_ZS B/C</x:t>
        </x:is>
      </x:c>
      <x:c r="P117" s="589" t="inlineStr">
        <x:is>
          <x:t xml:space="preserve">550 x 906 cm|ZS</x:t>
        </x:is>
      </x:c>
    </x:row>
    <x:row r="118" s="655" customFormat="1" ht="29.5" customHeight="1">
      <x:c r="A118" s="584" t="n">
        <x:v>1068</x:v>
      </x:c>
      <x:c r="B118" s="585" t="inlineStr">
        <x:is>
          <x:t xml:space="preserve">550 x 906 cm</x:t>
        </x:is>
      </x:c>
      <x:c r="C118" s="584" t="n">
        <x:v>550</x:v>
      </x:c>
      <x:c r="D118" s="584" t="n">
        <x:v>906</x:v>
      </x:c>
      <x:c r="E118" s="585" t="inlineStr">
        <x:is>
          <x:t xml:space="preserve">OP</x:t>
        </x:is>
      </x:c>
      <x:c r="F118" s="585" t="inlineStr">
        <x:is>
          <x:t xml:space="preserve">Ogród zimowy poliwęglan - baza</x:t>
        </x:is>
      </x:c>
      <x:c r="G118" s="586" t="n">
        <x:v>7060</x:v>
      </x:c>
      <x:c r="H118" s="586" t="n">
        <x:v>2700</x:v>
      </x:c>
      <x:c r="I118" s="586" t="n">
        <x:v>73588</x:v>
      </x:c>
      <x:c r="J118" s="586" t="n">
        <x:v>23315</x:v>
      </x:c>
      <x:c r="K118" s="587" t="n">
        <x:v>0.342178258508593</x:v>
      </x:c>
      <x:c r="L118" s="585" t="inlineStr">
        <x:is>
          <x:t xml:space="preserve">UZUPEŁNIĆ</x:t>
        </x:is>
      </x:c>
      <x:c r="M118" s="585" t="inlineStr">
        <x:is>
          <x:t xml:space="preserve">K: model rentowności 450/500; L: przedłużenie Wynagr. ekipy 450→500</x:t>
        </x:is>
      </x:c>
      <x:c r="N118" s="585" t="inlineStr">
        <x:is>
          <x:t xml:space="preserve">Podstawowa konstrukcja z ceną dostawcy dla 550/600.</x:t>
        </x:is>
      </x:c>
      <x:c r="O118" s="585" t="inlineStr">
        <x:is>
          <x:t xml:space="preserve">RAW_OP B/C</x:t>
        </x:is>
      </x:c>
      <x:c r="P118" s="585" t="inlineStr">
        <x:is>
          <x:t xml:space="preserve">550 x 906 cm|OP</x:t>
        </x:is>
      </x:c>
    </x:row>
    <x:row r="119" s="655" customFormat="1" ht="29.5" customHeight="1">
      <x:c r="A119" s="588" t="n">
        <x:v>1069</x:v>
      </x:c>
      <x:c r="B119" s="589" t="inlineStr">
        <x:is>
          <x:t xml:space="preserve">550 x 906 cm</x:t>
        </x:is>
      </x:c>
      <x:c r="C119" s="588" t="n">
        <x:v>550</x:v>
      </x:c>
      <x:c r="D119" s="588" t="n">
        <x:v>906</x:v>
      </x:c>
      <x:c r="E119" s="589" t="inlineStr">
        <x:is>
          <x:t xml:space="preserve">OS</x:t>
        </x:is>
      </x:c>
      <x:c r="F119" s="589" t="inlineStr">
        <x:is>
          <x:t xml:space="preserve">Ogród zimowy szkło - pełna konstrukcja</x:t>
        </x:is>
      </x:c>
      <x:c r="G119" s="590" t="n">
        <x:v>7060</x:v>
      </x:c>
      <x:c r="H119" s="590" t="n">
        <x:v>3240</x:v>
      </x:c>
      <x:c r="I119" s="590" t="n"/>
      <x:c r="J119" s="590" t="n"/>
      <x:c r="K119" s="591" t="n"/>
      <x:c r="L119" s="589" t="inlineStr">
        <x:is>
          <x:t xml:space="preserve">NIE PUBLIKOWAĆ / BRAK RAW_OS</x:t>
        </x:is>
      </x:c>
      <x:c r="M119" s="589" t="inlineStr">
        <x:is>
          <x:t xml:space="preserve">Informacyjnie: K jak OP, L = pełny montaż ogrodu szklanego z przedłużenia</x:t>
        </x:is>
      </x:c>
      <x:c r="N119" s="589" t="inlineStr">
        <x:is>
          <x:t xml:space="preserve">Brak ceny dostawcy dla OS 550/600, więc nieaktywny do czasu cennika dostawcy.</x:t>
        </x:is>
      </x:c>
      <x:c r="O119" s="589" t="inlineStr">
        <x:is>
          <x:t xml:space="preserve">RAW_OS B/C</x:t>
        </x:is>
      </x:c>
      <x:c r="P119" s="589" t="inlineStr">
        <x:is>
          <x:t xml:space="preserve">550 x 906 cm|OS</x:t>
        </x:is>
      </x:c>
    </x:row>
    <x:row r="120" s="655" customFormat="1" ht="29.5" customHeight="1">
      <x:c r="A120" s="584" t="n">
        <x:v>1070</x:v>
      </x:c>
      <x:c r="B120" s="585" t="inlineStr">
        <x:is>
          <x:t xml:space="preserve">550 x 906 cm</x:t>
        </x:is>
      </x:c>
      <x:c r="C120" s="584" t="n">
        <x:v>550</x:v>
      </x:c>
      <x:c r="D120" s="584" t="n">
        <x:v>906</x:v>
      </x:c>
      <x:c r="E120" s="585" t="inlineStr">
        <x:is>
          <x:t xml:space="preserve">PDS</x:t>
        </x:is>
      </x:c>
      <x:c r="F120" s="585" t="inlineStr">
        <x:is>
          <x:t xml:space="preserve">Dopłata dach szkło przezroczyste</x:t>
        </x:is>
      </x:c>
      <x:c r="G120" s="586" t="n">
        <x:v>0</x:v>
      </x:c>
      <x:c r="H120" s="586" t="n">
        <x:v>540</x:v>
      </x:c>
      <x:c r="I120" s="586" t="n"/>
      <x:c r="J120" s="586" t="n"/>
      <x:c r="K120" s="587" t="n"/>
      <x:c r="L120" s="585" t="inlineStr">
        <x:is>
          <x:t xml:space="preserve">DO UŻYCIA DOPIERO GDY BĘDZIE CENA DACHU SZKŁO</x:t>
        </x:is>
      </x:c>
      <x:c r="M120" s="585" t="inlineStr">
        <x:is>
          <x:t xml:space="preserve">L = montaż zadaszenia szkło - montaż zadaszenia poliwęglan</x:t>
        </x:is>
      </x:c>
      <x:c r="N120" s="585" t="inlineStr">
        <x:is>
          <x:t xml:space="preserve">Potrzebne dla dopłaty dachu szklanego; obecnie brak ceny dostawcy PDS 550/600.</x:t>
        </x:is>
      </x:c>
      <x:c r="O120" s="585" t="inlineStr">
        <x:is>
          <x:t xml:space="preserve">RAW_ZS - RAW_ZP</x:t>
        </x:is>
      </x:c>
      <x:c r="P120" s="585" t="inlineStr">
        <x:is>
          <x:t xml:space="preserve">550 x 906 cm|PDS</x:t>
        </x:is>
      </x:c>
    </x:row>
    <x:row r="121" s="655" customFormat="1" ht="29.5" customHeight="1">
      <x:c r="A121" s="592" t="n">
        <x:v>1071</x:v>
      </x:c>
      <x:c r="B121" s="593" t="inlineStr">
        <x:is>
          <x:t xml:space="preserve">550 x 906 cm</x:t>
        </x:is>
      </x:c>
      <x:c r="C121" s="592" t="n">
        <x:v>550</x:v>
      </x:c>
      <x:c r="D121" s="592" t="n">
        <x:v>906</x:v>
      </x:c>
      <x:c r="E121" s="593" t="inlineStr">
        <x:is>
          <x:t xml:space="preserve">PDSB</x:t>
        </x:is>
      </x:c>
      <x:c r="F121" s="593" t="inlineStr">
        <x:is>
          <x:t xml:space="preserve">Dopłata dach szkło barwione/mleczne</x:t>
        </x:is>
      </x:c>
      <x:c r="G121" s="594" t="n">
        <x:v>0</x:v>
      </x:c>
      <x:c r="H121" s="594" t="n">
        <x:v>0</x:v>
      </x:c>
      <x:c r="I121" s="594" t="n"/>
      <x:c r="J121" s="594" t="n"/>
      <x:c r="K121" s="595" t="n"/>
      <x:c r="L121" s="593" t="inlineStr">
        <x:is>
          <x:t xml:space="preserve">POZOSTAWIĆ 0 / BRAK CENY PDSB</x:t>
        </x:is>
      </x:c>
      <x:c r="M121" s="593" t="inlineStr">
        <x:is>
          <x:t xml:space="preserve">Zgodnie z dotychczasową logiką: dopłata barwienia szkła nie ma osobnego wynagrodzenia</x:t>
        </x:is>
      </x:c>
      <x:c r="N121" s="593" t="inlineStr">
        <x:is>
          <x:t xml:space="preserve">Brak ceny dostawcy dla PDSB 550/600.</x:t>
        </x:is>
      </x:c>
      <x:c r="O121" s="593" t="inlineStr">
        <x:is>
          <x:t xml:space="preserve">RAW_ZS D/E</x:t>
        </x:is>
      </x:c>
      <x:c r="P121" s="593" t="inlineStr">
        <x:is>
          <x:t xml:space="preserve">550 x 906 cm|PDSB</x:t>
        </x:is>
      </x:c>
    </x:row>
    <x:row r="122" s="655" customFormat="1" ht="29.5" customHeight="1">
      <x:c r="A122" s="592" t="n">
        <x:v>1072</x:v>
      </x:c>
      <x:c r="B122" s="593" t="inlineStr">
        <x:is>
          <x:t xml:space="preserve">550 x 906 cm</x:t>
        </x:is>
      </x:c>
      <x:c r="C122" s="592" t="n">
        <x:v>550</x:v>
      </x:c>
      <x:c r="D122" s="592" t="n">
        <x:v>906</x:v>
      </x:c>
      <x:c r="E122" s="593" t="inlineStr">
        <x:is>
          <x:t xml:space="preserve">PDPB</x:t>
        </x:is>
      </x:c>
      <x:c r="F122" s="593" t="inlineStr">
        <x:is>
          <x:t xml:space="preserve">Dopłata poliwęglan barwiony</x:t>
        </x:is>
      </x:c>
      <x:c r="G122" s="594" t="n">
        <x:v>0</x:v>
      </x:c>
      <x:c r="H122" s="594" t="n">
        <x:v>0</x:v>
      </x:c>
      <x:c r="I122" s="594" t="n">
        <x:v>1095</x:v>
      </x:c>
      <x:c r="J122" s="594" t="n">
        <x:v>315</x:v>
      </x:c>
      <x:c r="K122" s="595" t="n">
        <x:v>0.3106508875739645</x:v>
      </x:c>
      <x:c r="L122" s="593" t="inlineStr">
        <x:is>
          <x:t xml:space="preserve">POZOSTAWIĆ 0</x:t>
        </x:is>
      </x:c>
      <x:c r="M122" s="593" t="inlineStr">
        <x:is>
          <x:t xml:space="preserve">Zgodnie z Cennik usług: poliwęglan barwiony nie miał osobnej pracy ekipy</x:t>
        </x:is>
      </x:c>
      <x:c r="N122" s="593" t="inlineStr">
        <x:is>
          <x:t xml:space="preserve">Ma cenę dostawcy; montaż/wynagrodzenie zostaje 0.</x:t>
        </x:is>
      </x:c>
      <x:c r="O122" s="593" t="inlineStr">
        <x:is>
          <x:t xml:space="preserve">RAW_ZP D/E</x:t>
        </x:is>
      </x:c>
      <x:c r="P122" s="593" t="inlineStr">
        <x:is>
          <x:t xml:space="preserve">550 x 906 cm|PDPB</x:t>
        </x:is>
      </x:c>
    </x:row>
    <x:row r="123" s="655" customFormat="1" ht="29.5" customHeight="1">
      <x:c r="A123" s="592" t="n">
        <x:v>1073</x:v>
      </x:c>
      <x:c r="B123" s="593" t="inlineStr">
        <x:is>
          <x:t xml:space="preserve">550 x 906 cm</x:t>
        </x:is>
      </x:c>
      <x:c r="C123" s="592" t="n">
        <x:v>550</x:v>
      </x:c>
      <x:c r="D123" s="592" t="n">
        <x:v>906</x:v>
      </x:c>
      <x:c r="E123" s="593" t="inlineStr">
        <x:is>
          <x:t xml:space="preserve">SBB</x:t>
        </x:is>
      </x:c>
      <x:c r="F123" s="593" t="inlineStr">
        <x:is>
          <x:t xml:space="preserve">Dopłata szkło boczne przyciemniane</x:t>
        </x:is>
      </x:c>
      <x:c r="G123" s="594" t="n">
        <x:v>0</x:v>
      </x:c>
      <x:c r="H123" s="594" t="n">
        <x:v>0</x:v>
      </x:c>
      <x:c r="I123" s="594" t="n">
        <x:v>3209</x:v>
      </x:c>
      <x:c r="J123" s="594" t="n">
        <x:v>922</x:v>
      </x:c>
      <x:c r="K123" s="595" t="n">
        <x:v>0.3103332211376641</x:v>
      </x:c>
      <x:c r="L123" s="593" t="inlineStr">
        <x:is>
          <x:t xml:space="preserve">POZOSTAWIĆ 0</x:t>
        </x:is>
      </x:c>
      <x:c r="M123" s="593" t="inlineStr">
        <x:is>
          <x:t xml:space="preserve">Zgodnie z Cennik usług: szyby boczne barwione nie miały osobnej pracy ekipy</x:t>
        </x:is>
      </x:c>
      <x:c r="N123" s="593" t="inlineStr">
        <x:is>
          <x:t xml:space="preserve">Ma cenę dostawcy; montaż/wynagrodzenie zostaje 0.</x:t>
        </x:is>
      </x:c>
      <x:c r="O123" s="593" t="inlineStr">
        <x:is>
          <x:t xml:space="preserve">RAW_OP H/I</x:t>
        </x:is>
      </x:c>
      <x:c r="P123" s="593" t="inlineStr">
        <x:is>
          <x:t xml:space="preserve">550 x 906 cm|SBB</x:t>
        </x:is>
      </x:c>
    </x:row>
    <x:row r="124" s="655" customFormat="1" ht="29.5" customHeight="1">
      <x:c r="A124" s="584" t="n">
        <x:v>1074</x:v>
      </x:c>
      <x:c r="B124" s="585" t="inlineStr">
        <x:is>
          <x:t xml:space="preserve">550 x 906 cm</x:t>
        </x:is>
      </x:c>
      <x:c r="C124" s="584" t="n">
        <x:v>550</x:v>
      </x:c>
      <x:c r="D124" s="584" t="n">
        <x:v>906</x:v>
      </x:c>
      <x:c r="E124" s="585" t="inlineStr">
        <x:is>
          <x:t xml:space="preserve">RB</x:t>
        </x:is>
      </x:c>
      <x:c r="F124" s="585" t="inlineStr">
        <x:is>
          <x:t xml:space="preserve">Roleta boczna ZIP</x:t>
        </x:is>
      </x:c>
      <x:c r="G124" s="586" t="n">
        <x:v>0</x:v>
      </x:c>
      <x:c r="H124" s="586" t="n">
        <x:v>150</x:v>
      </x:c>
      <x:c r="I124" s="586" t="n">
        <x:v>5067</x:v>
      </x:c>
      <x:c r="J124" s="586" t="n">
        <x:v>1306</x:v>
      </x:c>
      <x:c r="K124" s="587" t="n">
        <x:v>0.2783461210571185</x:v>
      </x:c>
      <x:c r="L124" s="585" t="inlineStr">
        <x:is>
          <x:t xml:space="preserve">UZUPEŁNIĆ L</x:t>
        </x:is>
      </x:c>
      <x:c r="M124" s="585" t="inlineStr">
        <x:is>
          <x:t xml:space="preserve">L = przedłużona kolumna Montaż rolety bocznej</x:t>
        </x:is>
      </x:c>
      <x:c r="N124" s="585" t="inlineStr">
        <x:is>
          <x:t xml:space="preserve">K zostaje 0; rentowność po L pozostaje podobna do mniejszych wymiarów.</x:t>
        </x:is>
      </x:c>
      <x:c r="O124" s="585" t="inlineStr">
        <x:is>
          <x:t xml:space="preserve">RAW_ZP J/K</x:t>
        </x:is>
      </x:c>
      <x:c r="P124" s="585" t="inlineStr">
        <x:is>
          <x:t xml:space="preserve">550 x 906 cm|RB</x:t>
        </x:is>
      </x:c>
    </x:row>
    <x:row r="125" s="655" customFormat="1" ht="29.5" customHeight="1">
      <x:c r="A125" s="584" t="n">
        <x:v>1075</x:v>
      </x:c>
      <x:c r="B125" s="585" t="inlineStr">
        <x:is>
          <x:t xml:space="preserve">550 x 906 cm</x:t>
        </x:is>
      </x:c>
      <x:c r="C125" s="584" t="n">
        <x:v>550</x:v>
      </x:c>
      <x:c r="D125" s="584" t="n">
        <x:v>906</x:v>
      </x:c>
      <x:c r="E125" s="585" t="inlineStr">
        <x:is>
          <x:t xml:space="preserve">RP</x:t>
        </x:is>
      </x:c>
      <x:c r="F125" s="585" t="inlineStr">
        <x:is>
          <x:t xml:space="preserve">Roleta przednia ZIP</x:t>
        </x:is>
      </x:c>
      <x:c r="G125" s="586" t="n">
        <x:v>0</x:v>
      </x:c>
      <x:c r="H125" s="586" t="n">
        <x:v>450</x:v>
      </x:c>
      <x:c r="I125" s="586" t="n">
        <x:v>8148</x:v>
      </x:c>
      <x:c r="J125" s="586" t="n">
        <x:v>1891</x:v>
      </x:c>
      <x:c r="K125" s="587" t="n">
        <x:v>0.2506627783669141</x:v>
      </x:c>
      <x:c r="L125" s="585" t="inlineStr">
        <x:is>
          <x:t xml:space="preserve">UZUPEŁNIĆ L</x:t>
        </x:is>
      </x:c>
      <x:c r="M125" s="585" t="inlineStr">
        <x:is>
          <x:t xml:space="preserve">L = przedłużona kolumna Montaż rolety przedniej</x:t>
        </x:is>
      </x:c>
      <x:c r="N125" s="585" t="inlineStr">
        <x:is>
          <x:t xml:space="preserve">K zostaje 0; rentowność po L pozostaje podobna do mniejszych wymiarów.</x:t>
        </x:is>
      </x:c>
      <x:c r="O125" s="585" t="inlineStr">
        <x:is>
          <x:t xml:space="preserve">RAW_ZP N/O</x:t>
        </x:is>
      </x:c>
      <x:c r="P125" s="585" t="inlineStr">
        <x:is>
          <x:t xml:space="preserve">550 x 906 cm|RP</x:t>
        </x:is>
      </x:c>
    </x:row>
    <x:row r="126" s="655" customFormat="1" ht="29.5" customHeight="1">
      <x:c r="A126" s="584" t="n">
        <x:v>1076</x:v>
      </x:c>
      <x:c r="B126" s="585" t="inlineStr">
        <x:is>
          <x:t xml:space="preserve">550 x 906 cm</x:t>
        </x:is>
      </x:c>
      <x:c r="C126" s="584" t="n">
        <x:v>550</x:v>
      </x:c>
      <x:c r="D126" s="584" t="n">
        <x:v>906</x:v>
      </x:c>
      <x:c r="E126" s="585" t="inlineStr">
        <x:is>
          <x:t xml:space="preserve">M</x:t>
        </x:is>
      </x:c>
      <x:c r="F126" s="585" t="inlineStr">
        <x:is>
          <x:t xml:space="preserve">Markiza dachowa</x:t>
        </x:is>
      </x:c>
      <x:c r="G126" s="586" t="n">
        <x:v>0</x:v>
      </x:c>
      <x:c r="H126" s="586" t="n">
        <x:v>550</x:v>
      </x:c>
      <x:c r="I126" s="586" t="n">
        <x:v>13165</x:v>
      </x:c>
      <x:c r="J126" s="586" t="n">
        <x:v>3233</x:v>
      </x:c>
      <x:c r="K126" s="587" t="n">
        <x:v>0.2652173913043478</x:v>
      </x:c>
      <x:c r="L126" s="585" t="inlineStr">
        <x:is>
          <x:t xml:space="preserve">UZUPEŁNIĆ L</x:t>
        </x:is>
      </x:c>
      <x:c r="M126" s="585" t="inlineStr">
        <x:is>
          <x:t xml:space="preserve">L = przedłużona kolumna Montaż markizy na dach</x:t>
        </x:is>
      </x:c>
      <x:c r="N126" s="585" t="inlineStr">
        <x:is>
          <x:t xml:space="preserve">K zostaje 0; rentowność po L pozostaje podobna do mniejszych wymiarów.</x:t>
        </x:is>
      </x:c>
      <x:c r="O126" s="585" t="inlineStr">
        <x:is>
          <x:t xml:space="preserve">RAW_ZP H/I</x:t>
        </x:is>
      </x:c>
      <x:c r="P126" s="585" t="inlineStr">
        <x:is>
          <x:t xml:space="preserve">550 x 906 cm|M</x:t>
        </x:is>
      </x:c>
    </x:row>
    <x:row r="127" s="655" customFormat="1" ht="29.5" customHeight="1">
      <x:c r="A127" s="584" t="n">
        <x:v>1077</x:v>
      </x:c>
      <x:c r="B127" s="585" t="inlineStr">
        <x:is>
          <x:t xml:space="preserve">550 x 906 cm</x:t>
        </x:is>
      </x:c>
      <x:c r="C127" s="584" t="n">
        <x:v>550</x:v>
      </x:c>
      <x:c r="D127" s="584" t="n">
        <x:v>906</x:v>
      </x:c>
      <x:c r="E127" s="585" t="inlineStr">
        <x:is>
          <x:t xml:space="preserve">PDWP</x:t>
        </x:is>
      </x:c>
      <x:c r="F127" s="585" t="inlineStr">
        <x:is>
          <x:t xml:space="preserve">Fundament/profile</x:t>
        </x:is>
      </x:c>
      <x:c r="G127" s="586" t="n">
        <x:v>650</x:v>
      </x:c>
      <x:c r="H127" s="586" t="n">
        <x:v>610</x:v>
      </x:c>
      <x:c r="I127" s="586" t="n">
        <x:v>2930</x:v>
      </x:c>
      <x:c r="J127" s="586" t="n">
        <x:v>680</x:v>
      </x:c>
      <x:c r="K127" s="587" t="n">
        <x:v>0.2506450423884998</x:v>
      </x:c>
      <x:c r="L127" s="585" t="inlineStr">
        <x:is>
          <x:t xml:space="preserve">UZUPEŁNIĆ K+L / KOREKTA RENTOWNOŚCI</x:t>
        </x:is>
      </x:c>
      <x:c r="M127" s="585" t="inlineStr">
        <x:is>
          <x:t xml:space="preserve">L = Wyrównanie podłoża; K = dopłata montażowa wyliczona do min. 25% rentowności</x:t>
        </x:is>
      </x:c>
      <x:c r="N127" s="585" t="inlineStr">
        <x:is>
          <x:t xml:space="preserve">Bez K ten dodatek ma ujemną rentowność. To jest korekta biznesowa, nie tylko przedłużenie EG.</x:t>
        </x:is>
      </x:c>
      <x:c r="O127" s="585" t="inlineStr">
        <x:is>
          <x:t xml:space="preserve">RAW_OP AB/AC</x:t>
        </x:is>
      </x:c>
      <x:c r="P127" s="585" t="inlineStr">
        <x:is>
          <x:t xml:space="preserve">550 x 906 cm|PDWP</x:t>
        </x:is>
      </x:c>
    </x:row>
    <x:row r="128" s="655" customFormat="1" ht="29.5" customHeight="1">
      <x:c r="A128" s="592" t="n">
        <x:v>1078</x:v>
      </x:c>
      <x:c r="B128" s="593" t="inlineStr">
        <x:is>
          <x:t xml:space="preserve">550 x 906 cm</x:t>
        </x:is>
      </x:c>
      <x:c r="C128" s="592" t="n">
        <x:v>550</x:v>
      </x:c>
      <x:c r="D128" s="592" t="n">
        <x:v>906</x:v>
      </x:c>
      <x:c r="E128" s="593" t="inlineStr">
        <x:is>
          <x:t xml:space="preserve">ZAB</x:t>
        </x:is>
      </x:c>
      <x:c r="F128" s="593" t="inlineStr">
        <x:is>
          <x:t xml:space="preserve">Zabieraki do ścian przesuwnych</x:t>
        </x:is>
      </x:c>
      <x:c r="G128" s="594" t="n">
        <x:v>0</x:v>
      </x:c>
      <x:c r="H128" s="594" t="n">
        <x:v>0</x:v>
      </x:c>
      <x:c r="I128" s="594" t="n">
        <x:v>814</x:v>
      </x:c>
      <x:c r="J128" s="594" t="n">
        <x:v>234</x:v>
      </x:c>
      <x:c r="K128" s="595" t="n">
        <x:v>0.3103448275862069</x:v>
      </x:c>
      <x:c r="L128" s="593" t="inlineStr">
        <x:is>
          <x:t xml:space="preserve">POZOSTAWIĆ 0</x:t>
        </x:is>
      </x:c>
      <x:c r="M128" s="593" t="inlineStr">
        <x:is>
          <x:t xml:space="preserve">Brak osobnej kolumny wynagrodzenia w Cennik usług; traktować jako element dodatkowy bez osobnej pracy</x:t>
        </x:is>
      </x:c>
      <x:c r="N128" s="593" t="n"/>
      <x:c r="O128" s="593" t="inlineStr">
        <x:is>
          <x:t xml:space="preserve">RAW_OP AD/AE</x:t>
        </x:is>
      </x:c>
      <x:c r="P128" s="593" t="inlineStr">
        <x:is>
          <x:t xml:space="preserve">550 x 906 cm|ZAB</x:t>
        </x:is>
      </x:c>
    </x:row>
    <x:row r="129" s="655" customFormat="1" ht="29.5" customHeight="1">
      <x:c r="A129" s="592" t="n">
        <x:v>1079</x:v>
      </x:c>
      <x:c r="B129" s="593" t="inlineStr">
        <x:is>
          <x:t xml:space="preserve">550 x 906 cm</x:t>
        </x:is>
      </x:c>
      <x:c r="C129" s="592" t="n">
        <x:v>550</x:v>
      </x:c>
      <x:c r="D129" s="592" t="n">
        <x:v>906</x:v>
      </x:c>
      <x:c r="E129" s="593" t="inlineStr">
        <x:is>
          <x:t xml:space="preserve">S</x:t>
        </x:is>
      </x:c>
      <x:c r="F129" s="593" t="inlineStr">
        <x:is>
          <x:t xml:space="preserve">Szczotki przeciwkurzowe</x:t>
        </x:is>
      </x:c>
      <x:c r="G129" s="594" t="n">
        <x:v>0</x:v>
      </x:c>
      <x:c r="H129" s="594" t="n">
        <x:v>0</x:v>
      </x:c>
      <x:c r="I129" s="594" t="n">
        <x:v>916</x:v>
      </x:c>
      <x:c r="J129" s="594" t="n">
        <x:v>263</x:v>
      </x:c>
      <x:c r="K129" s="595" t="n">
        <x:v>0.3101415094339622</x:v>
      </x:c>
      <x:c r="L129" s="593" t="inlineStr">
        <x:is>
          <x:t xml:space="preserve">POZOSTAWIĆ 0</x:t>
        </x:is>
      </x:c>
      <x:c r="M129" s="593" t="inlineStr">
        <x:is>
          <x:t xml:space="preserve">Zgodnie z Cennik usług: szczotki przeciwkurzowe bez osobnego wynagrodzenia</x:t>
        </x:is>
      </x:c>
      <x:c r="N129" s="593" t="n"/>
      <x:c r="O129" s="593" t="inlineStr">
        <x:is>
          <x:t xml:space="preserve">RAW_OP L/M</x:t>
        </x:is>
      </x:c>
      <x:c r="P129" s="593" t="inlineStr">
        <x:is>
          <x:t xml:space="preserve">550 x 906 cm|S</x:t>
        </x:is>
      </x:c>
    </x:row>
    <x:row r="130" s="655" customFormat="1" ht="29.5" customHeight="1">
      <x:c r="A130" s="592" t="n">
        <x:v>1080</x:v>
      </x:c>
      <x:c r="B130" s="593" t="inlineStr">
        <x:is>
          <x:t xml:space="preserve">550 x 906 cm</x:t>
        </x:is>
      </x:c>
      <x:c r="C130" s="592" t="n">
        <x:v>550</x:v>
      </x:c>
      <x:c r="D130" s="592" t="n">
        <x:v>906</x:v>
      </x:c>
      <x:c r="E130" s="593" t="inlineStr">
        <x:is>
          <x:t xml:space="preserve">U</x:t>
        </x:is>
      </x:c>
      <x:c r="F130" s="593" t="inlineStr">
        <x:is>
          <x:t xml:space="preserve">Uchwyty na szkło ścienne</x:t>
        </x:is>
      </x:c>
      <x:c r="G130" s="594" t="n">
        <x:v>0</x:v>
      </x:c>
      <x:c r="H130" s="594" t="n">
        <x:v>0</x:v>
      </x:c>
      <x:c r="I130" s="594" t="n">
        <x:v>827</x:v>
      </x:c>
      <x:c r="J130" s="594" t="n">
        <x:v>238</x:v>
      </x:c>
      <x:c r="K130" s="595" t="n">
        <x:v>0.3107049608355091</x:v>
      </x:c>
      <x:c r="L130" s="593" t="inlineStr">
        <x:is>
          <x:t xml:space="preserve">POZOSTAWIĆ 0</x:t>
        </x:is>
      </x:c>
      <x:c r="M130" s="593" t="inlineStr">
        <x:is>
          <x:t xml:space="preserve">Zgodnie z Cennik usług: uchwyty bez osobnego wynagrodzenia</x:t>
        </x:is>
      </x:c>
      <x:c r="N130" s="593" t="n"/>
      <x:c r="O130" s="593" t="inlineStr">
        <x:is>
          <x:t xml:space="preserve">RAW_OP N/O</x:t>
        </x:is>
      </x:c>
      <x:c r="P130" s="593" t="inlineStr">
        <x:is>
          <x:t xml:space="preserve">550 x 906 cm|U</x:t>
        </x:is>
      </x:c>
    </x:row>
    <x:row r="131" s="655" customFormat="1" ht="29.5" customHeight="1">
      <x:c r="A131" s="592" t="n">
        <x:v>1081</x:v>
      </x:c>
      <x:c r="B131" s="593" t="inlineStr">
        <x:is>
          <x:t xml:space="preserve">550 x 906 cm</x:t>
        </x:is>
      </x:c>
      <x:c r="C131" s="592" t="n">
        <x:v>550</x:v>
      </x:c>
      <x:c r="D131" s="592" t="n">
        <x:v>906</x:v>
      </x:c>
      <x:c r="E131" s="593" t="inlineStr">
        <x:is>
          <x:t xml:space="preserve">LED2</x:t>
        </x:is>
      </x:c>
      <x:c r="F131" s="593" t="inlineStr">
        <x:is>
          <x:t xml:space="preserve">Oświetlenie LED 2 punkty</x:t>
        </x:is>
      </x:c>
      <x:c r="G131" s="594" t="n">
        <x:v>0</x:v>
      </x:c>
      <x:c r="H131" s="594" t="n">
        <x:v>0</x:v>
      </x:c>
      <x:c r="I131" s="594" t="n">
        <x:v>1325</x:v>
      </x:c>
      <x:c r="J131" s="594" t="n">
        <x:v>381</x:v>
      </x:c>
      <x:c r="K131" s="595" t="n">
        <x:v>0.3105134474327628</x:v>
      </x:c>
      <x:c r="L131" s="593" t="inlineStr">
        <x:is>
          <x:t xml:space="preserve">POZOSTAWIĆ 0 NA RAZIE</x:t>
        </x:is>
      </x:c>
      <x:c r="M131" s="593" t="inlineStr">
        <x:is>
          <x:t xml:space="preserve">Cennik usług miał LED bez osobnego wynagrodzenia; kolumna LED z Wynagr. ekipy jest tylko informacyjna</x:t>
        </x:is>
      </x:c>
      <x:c r="N131" s="593" t="inlineStr">
        <x:is>
          <x:t xml:space="preserve">Informacyjnie wg Wynagr. ekipy LED na krokiew: 550 zł.</x:t>
        </x:is>
      </x:c>
      <x:c r="O131" s="593" t="inlineStr">
        <x:is>
          <x:t xml:space="preserve">RAW_ZP P/Q</x:t>
        </x:is>
      </x:c>
      <x:c r="P131" s="593" t="inlineStr">
        <x:is>
          <x:t xml:space="preserve">550 x 906 cm|LED2</x:t>
        </x:is>
      </x:c>
    </x:row>
    <x:row r="132" s="655" customFormat="1" ht="29.5" customHeight="1">
      <x:c r="A132" s="592" t="n">
        <x:v>1082</x:v>
      </x:c>
      <x:c r="B132" s="593" t="inlineStr">
        <x:is>
          <x:t xml:space="preserve">550 x 906 cm</x:t>
        </x:is>
      </x:c>
      <x:c r="C132" s="592" t="n">
        <x:v>550</x:v>
      </x:c>
      <x:c r="D132" s="592" t="n">
        <x:v>906</x:v>
      </x:c>
      <x:c r="E132" s="593" t="inlineStr">
        <x:is>
          <x:t xml:space="preserve">LED3</x:t>
        </x:is>
      </x:c>
      <x:c r="F132" s="593" t="inlineStr">
        <x:is>
          <x:t xml:space="preserve">Oświetlenie LED 3 punkty</x:t>
        </x:is>
      </x:c>
      <x:c r="G132" s="594" t="n">
        <x:v>0</x:v>
      </x:c>
      <x:c r="H132" s="594" t="n">
        <x:v>0</x:v>
      </x:c>
      <x:c r="I132" s="594" t="n">
        <x:v>1986</x:v>
      </x:c>
      <x:c r="J132" s="594" t="n">
        <x:v>571</x:v>
      </x:c>
      <x:c r="K132" s="595" t="n">
        <x:v>0.310494834148994</x:v>
      </x:c>
      <x:c r="L132" s="593" t="inlineStr">
        <x:is>
          <x:t xml:space="preserve">POZOSTAWIĆ 0 NA RAZIE</x:t>
        </x:is>
      </x:c>
      <x:c r="M132" s="593" t="inlineStr">
        <x:is>
          <x:t xml:space="preserve">Cennik usług miał LED bez osobnego wynagrodzenia; kolumna LED z Wynagr. ekipy jest tylko informacyjna</x:t>
        </x:is>
      </x:c>
      <x:c r="N132" s="593" t="inlineStr">
        <x:is>
          <x:t xml:space="preserve">Informacyjnie wg Wynagr. ekipy LED na krokiew: 550 zł.</x:t>
        </x:is>
      </x:c>
      <x:c r="O132" s="593" t="inlineStr">
        <x:is>
          <x:t xml:space="preserve">RAW_ZP R/S</x:t>
        </x:is>
      </x:c>
      <x:c r="P132" s="593" t="inlineStr">
        <x:is>
          <x:t xml:space="preserve">550 x 906 cm|LED3</x:t>
        </x:is>
      </x:c>
    </x:row>
    <x:row r="133" s="655" customFormat="1" ht="29.5" customHeight="1">
      <x:c r="A133" s="592" t="n">
        <x:v>1083</x:v>
      </x:c>
      <x:c r="B133" s="593" t="inlineStr">
        <x:is>
          <x:t xml:space="preserve">550 x 906 cm</x:t>
        </x:is>
      </x:c>
      <x:c r="C133" s="592" t="n">
        <x:v>550</x:v>
      </x:c>
      <x:c r="D133" s="592" t="n">
        <x:v>906</x:v>
      </x:c>
      <x:c r="E133" s="593" t="inlineStr">
        <x:is>
          <x:t xml:space="preserve">LEDCCT</x:t>
        </x:is>
      </x:c>
      <x:c r="F133" s="593" t="inlineStr">
        <x:is>
          <x:t xml:space="preserve">Oświetlenie LED CCT</x:t>
        </x:is>
      </x:c>
      <x:c r="G133" s="594" t="n">
        <x:v>0</x:v>
      </x:c>
      <x:c r="H133" s="594" t="n">
        <x:v>0</x:v>
      </x:c>
      <x:c r="I133" s="594" t="n">
        <x:v>0</x:v>
      </x:c>
      <x:c r="J133" s="594" t="n">
        <x:v>0</x:v>
      </x:c>
      <x:c r="K133" s="595" t="n"/>
      <x:c r="L133" s="593" t="inlineStr">
        <x:is>
          <x:t xml:space="preserve">POZOSTAWIĆ 0 / UKRYTE</x:t>
        </x:is>
      </x:c>
      <x:c r="M133" s="593" t="inlineStr">
        <x:is>
          <x:t xml:space="preserve">Brak pełnego cennika dla 550/600; opcje nadal crm_only/ukryte</x:t>
        </x:is>
      </x:c>
      <x:c r="N133" s="593" t="n"/>
      <x:c r="O133" s="593" t="inlineStr">
        <x:is>
          <x:t xml:space="preserve">RAW_ZP T/U</x:t>
        </x:is>
      </x:c>
      <x:c r="P133" s="593" t="inlineStr">
        <x:is>
          <x:t xml:space="preserve">550 x 906 cm|LEDCCT</x:t>
        </x:is>
      </x:c>
    </x:row>
    <x:row r="134" s="655" customFormat="1" ht="29.5" customHeight="1">
      <x:c r="A134" s="592" t="n">
        <x:v>1084</x:v>
      </x:c>
      <x:c r="B134" s="593" t="inlineStr">
        <x:is>
          <x:t xml:space="preserve">550 x 906 cm</x:t>
        </x:is>
      </x:c>
      <x:c r="C134" s="592" t="n">
        <x:v>550</x:v>
      </x:c>
      <x:c r="D134" s="592" t="n">
        <x:v>906</x:v>
      </x:c>
      <x:c r="E134" s="593" t="inlineStr">
        <x:is>
          <x:t xml:space="preserve">LEDRGBCCT</x:t>
        </x:is>
      </x:c>
      <x:c r="F134" s="593" t="inlineStr">
        <x:is>
          <x:t xml:space="preserve">Oświetlenie LED RGB CCT</x:t>
        </x:is>
      </x:c>
      <x:c r="G134" s="594" t="n">
        <x:v>0</x:v>
      </x:c>
      <x:c r="H134" s="594" t="n">
        <x:v>0</x:v>
      </x:c>
      <x:c r="I134" s="594" t="n">
        <x:v>0</x:v>
      </x:c>
      <x:c r="J134" s="594" t="n">
        <x:v>0</x:v>
      </x:c>
      <x:c r="K134" s="595" t="n"/>
      <x:c r="L134" s="593" t="inlineStr">
        <x:is>
          <x:t xml:space="preserve">POZOSTAWIĆ 0 / UKRYTE</x:t>
        </x:is>
      </x:c>
      <x:c r="M134" s="593" t="inlineStr">
        <x:is>
          <x:t xml:space="preserve">Brak pełnego cennika dla 550/600; opcje nadal crm_only/ukryte</x:t>
        </x:is>
      </x:c>
      <x:c r="N134" s="593" t="n"/>
      <x:c r="O134" s="593" t="inlineStr">
        <x:is>
          <x:t xml:space="preserve">RAW_ZP V/W</x:t>
        </x:is>
      </x:c>
      <x:c r="P134" s="593" t="inlineStr">
        <x:is>
          <x:t xml:space="preserve">550 x 906 cm|LEDRGBCCT</x:t>
        </x:is>
      </x:c>
    </x:row>
    <x:row r="135" s="655" customFormat="1" ht="29.5" customHeight="1">
      <x:c r="A135" s="584" t="n">
        <x:v>1085</x:v>
      </x:c>
      <x:c r="B135" s="585" t="inlineStr">
        <x:is>
          <x:t xml:space="preserve">550 x 1006 cm</x:t>
        </x:is>
      </x:c>
      <x:c r="C135" s="584" t="n">
        <x:v>550</x:v>
      </x:c>
      <x:c r="D135" s="584" t="n">
        <x:v>1006</x:v>
      </x:c>
      <x:c r="E135" s="585" t="inlineStr">
        <x:is>
          <x:t xml:space="preserve">ZP</x:t>
        </x:is>
      </x:c>
      <x:c r="F135" s="585" t="inlineStr">
        <x:is>
          <x:t xml:space="preserve">Zadaszenie poliwęglan - baza</x:t>
        </x:is>
      </x:c>
      <x:c r="G135" s="586" t="n">
        <x:v>6100</x:v>
      </x:c>
      <x:c r="H135" s="586" t="n">
        <x:v>2050</x:v>
      </x:c>
      <x:c r="I135" s="586" t="n">
        <x:v>47927</x:v>
      </x:c>
      <x:c r="J135" s="586" t="n">
        <x:v>15929</x:v>
      </x:c>
      <x:c r="K135" s="587" t="n">
        <x:v>0.3589472023796111</x:v>
      </x:c>
      <x:c r="L135" s="585" t="inlineStr">
        <x:is>
          <x:t xml:space="preserve">UZUPEŁNIĆ</x:t>
        </x:is>
      </x:c>
      <x:c r="M135" s="585" t="inlineStr">
        <x:is>
          <x:t xml:space="preserve">K: model rentowności 450/500; L: przedłużenie Wynagr. ekipy 450→500</x:t>
        </x:is>
      </x:c>
      <x:c r="N135" s="585" t="inlineStr">
        <x:is>
          <x:t xml:space="preserve">Podstawowa konstrukcja z ceną dostawcy dla 550/600.</x:t>
        </x:is>
      </x:c>
      <x:c r="O135" s="585" t="inlineStr">
        <x:is>
          <x:t xml:space="preserve">RAW_ZP B/C</x:t>
        </x:is>
      </x:c>
      <x:c r="P135" s="585" t="inlineStr">
        <x:is>
          <x:t xml:space="preserve">550 x 1006 cm|ZP</x:t>
        </x:is>
      </x:c>
    </x:row>
    <x:row r="136" s="655" customFormat="1" ht="29.5" customHeight="1">
      <x:c r="A136" s="588" t="n">
        <x:v>1086</x:v>
      </x:c>
      <x:c r="B136" s="589" t="inlineStr">
        <x:is>
          <x:t xml:space="preserve">550 x 1006 cm</x:t>
        </x:is>
      </x:c>
      <x:c r="C136" s="588" t="n">
        <x:v>550</x:v>
      </x:c>
      <x:c r="D136" s="588" t="n">
        <x:v>1006</x:v>
      </x:c>
      <x:c r="E136" s="589" t="inlineStr">
        <x:is>
          <x:t xml:space="preserve">ZS</x:t>
        </x:is>
      </x:c>
      <x:c r="F136" s="589" t="inlineStr">
        <x:is>
          <x:t xml:space="preserve">Zadaszenie szkło - pełna konstrukcja</x:t>
        </x:is>
      </x:c>
      <x:c r="G136" s="590" t="n">
        <x:v>6100</x:v>
      </x:c>
      <x:c r="H136" s="590" t="n">
        <x:v>2630</x:v>
      </x:c>
      <x:c r="I136" s="590" t="n"/>
      <x:c r="J136" s="590" t="n"/>
      <x:c r="K136" s="591" t="n"/>
      <x:c r="L136" s="589" t="inlineStr">
        <x:is>
          <x:t xml:space="preserve">NIE PUBLIKOWAĆ / BRAK RAW_ZS</x:t>
        </x:is>
      </x:c>
      <x:c r="M136" s="589" t="inlineStr">
        <x:is>
          <x:t xml:space="preserve">Informacyjnie: K jak ZP, L = pełny montaż zadaszenia szklanego z przedłużenia</x:t>
        </x:is>
      </x:c>
      <x:c r="N136" s="589" t="inlineStr">
        <x:is>
          <x:t xml:space="preserve">Brak ceny dostawcy dla ZS 550/600, więc nieaktywny do czasu cennika dostawcy.</x:t>
        </x:is>
      </x:c>
      <x:c r="O136" s="589" t="inlineStr">
        <x:is>
          <x:t xml:space="preserve">RAW_ZS B/C</x:t>
        </x:is>
      </x:c>
      <x:c r="P136" s="589" t="inlineStr">
        <x:is>
          <x:t xml:space="preserve">550 x 1006 cm|ZS</x:t>
        </x:is>
      </x:c>
    </x:row>
    <x:row r="137" s="655" customFormat="1" ht="29.5" customHeight="1">
      <x:c r="A137" s="584" t="n">
        <x:v>1087</x:v>
      </x:c>
      <x:c r="B137" s="585" t="inlineStr">
        <x:is>
          <x:t xml:space="preserve">550 x 1006 cm</x:t>
        </x:is>
      </x:c>
      <x:c r="C137" s="584" t="n">
        <x:v>550</x:v>
      </x:c>
      <x:c r="D137" s="584" t="n">
        <x:v>1006</x:v>
      </x:c>
      <x:c r="E137" s="585" t="inlineStr">
        <x:is>
          <x:t xml:space="preserve">OP</x:t>
        </x:is>
      </x:c>
      <x:c r="F137" s="585" t="inlineStr">
        <x:is>
          <x:t xml:space="preserve">Ogród zimowy poliwęglan - baza</x:t>
        </x:is>
      </x:c>
      <x:c r="G137" s="586" t="n">
        <x:v>7450</x:v>
      </x:c>
      <x:c r="H137" s="586" t="n">
        <x:v>2880</x:v>
      </x:c>
      <x:c r="I137" s="586" t="n">
        <x:v>79216</x:v>
      </x:c>
      <x:c r="J137" s="586" t="n">
        <x:v>25021</x:v>
      </x:c>
      <x:c r="K137" s="587" t="n">
        <x:v>0.3411272290996346</x:v>
      </x:c>
      <x:c r="L137" s="585" t="inlineStr">
        <x:is>
          <x:t xml:space="preserve">UZUPEŁNIĆ</x:t>
        </x:is>
      </x:c>
      <x:c r="M137" s="585" t="inlineStr">
        <x:is>
          <x:t xml:space="preserve">K: model rentowności 450/500; L: przedłużenie Wynagr. ekipy 450→500</x:t>
        </x:is>
      </x:c>
      <x:c r="N137" s="585" t="inlineStr">
        <x:is>
          <x:t xml:space="preserve">Podstawowa konstrukcja z ceną dostawcy dla 550/600.</x:t>
        </x:is>
      </x:c>
      <x:c r="O137" s="585" t="inlineStr">
        <x:is>
          <x:t xml:space="preserve">RAW_OP B/C</x:t>
        </x:is>
      </x:c>
      <x:c r="P137" s="585" t="inlineStr">
        <x:is>
          <x:t xml:space="preserve">550 x 1006 cm|OP</x:t>
        </x:is>
      </x:c>
    </x:row>
    <x:row r="138" s="655" customFormat="1" ht="29.5" customHeight="1">
      <x:c r="A138" s="588" t="n">
        <x:v>1088</x:v>
      </x:c>
      <x:c r="B138" s="589" t="inlineStr">
        <x:is>
          <x:t xml:space="preserve">550 x 1006 cm</x:t>
        </x:is>
      </x:c>
      <x:c r="C138" s="588" t="n">
        <x:v>550</x:v>
      </x:c>
      <x:c r="D138" s="588" t="n">
        <x:v>1006</x:v>
      </x:c>
      <x:c r="E138" s="589" t="inlineStr">
        <x:is>
          <x:t xml:space="preserve">OS</x:t>
        </x:is>
      </x:c>
      <x:c r="F138" s="589" t="inlineStr">
        <x:is>
          <x:t xml:space="preserve">Ogród zimowy szkło - pełna konstrukcja</x:t>
        </x:is>
      </x:c>
      <x:c r="G138" s="590" t="n">
        <x:v>7450</x:v>
      </x:c>
      <x:c r="H138" s="590" t="n">
        <x:v>3460</x:v>
      </x:c>
      <x:c r="I138" s="590" t="n"/>
      <x:c r="J138" s="590" t="n"/>
      <x:c r="K138" s="591" t="n"/>
      <x:c r="L138" s="589" t="inlineStr">
        <x:is>
          <x:t xml:space="preserve">NIE PUBLIKOWAĆ / BRAK RAW_OS</x:t>
        </x:is>
      </x:c>
      <x:c r="M138" s="589" t="inlineStr">
        <x:is>
          <x:t xml:space="preserve">Informacyjnie: K jak OP, L = pełny montaż ogrodu szklanego z przedłużenia</x:t>
        </x:is>
      </x:c>
      <x:c r="N138" s="589" t="inlineStr">
        <x:is>
          <x:t xml:space="preserve">Brak ceny dostawcy dla OS 550/600, więc nieaktywny do czasu cennika dostawcy.</x:t>
        </x:is>
      </x:c>
      <x:c r="O138" s="589" t="inlineStr">
        <x:is>
          <x:t xml:space="preserve">RAW_OS B/C</x:t>
        </x:is>
      </x:c>
      <x:c r="P138" s="589" t="inlineStr">
        <x:is>
          <x:t xml:space="preserve">550 x 1006 cm|OS</x:t>
        </x:is>
      </x:c>
    </x:row>
    <x:row r="139" s="655" customFormat="1" ht="29.5" customHeight="1">
      <x:c r="A139" s="584" t="n">
        <x:v>1089</x:v>
      </x:c>
      <x:c r="B139" s="585" t="inlineStr">
        <x:is>
          <x:t xml:space="preserve">550 x 1006 cm</x:t>
        </x:is>
      </x:c>
      <x:c r="C139" s="584" t="n">
        <x:v>550</x:v>
      </x:c>
      <x:c r="D139" s="584" t="n">
        <x:v>1006</x:v>
      </x:c>
      <x:c r="E139" s="585" t="inlineStr">
        <x:is>
          <x:t xml:space="preserve">PDS</x:t>
        </x:is>
      </x:c>
      <x:c r="F139" s="585" t="inlineStr">
        <x:is>
          <x:t xml:space="preserve">Dopłata dach szkło przezroczyste</x:t>
        </x:is>
      </x:c>
      <x:c r="G139" s="586" t="n">
        <x:v>0</x:v>
      </x:c>
      <x:c r="H139" s="586" t="n">
        <x:v>580</x:v>
      </x:c>
      <x:c r="I139" s="586" t="n"/>
      <x:c r="J139" s="586" t="n"/>
      <x:c r="K139" s="587" t="n"/>
      <x:c r="L139" s="585" t="inlineStr">
        <x:is>
          <x:t xml:space="preserve">DO UŻYCIA DOPIERO GDY BĘDZIE CENA DACHU SZKŁO</x:t>
        </x:is>
      </x:c>
      <x:c r="M139" s="585" t="inlineStr">
        <x:is>
          <x:t xml:space="preserve">L = montaż zadaszenia szkło - montaż zadaszenia poliwęglan</x:t>
        </x:is>
      </x:c>
      <x:c r="N139" s="585" t="inlineStr">
        <x:is>
          <x:t xml:space="preserve">Potrzebne dla dopłaty dachu szklanego; obecnie brak ceny dostawcy PDS 550/600.</x:t>
        </x:is>
      </x:c>
      <x:c r="O139" s="585" t="inlineStr">
        <x:is>
          <x:t xml:space="preserve">RAW_ZS - RAW_ZP</x:t>
        </x:is>
      </x:c>
      <x:c r="P139" s="585" t="inlineStr">
        <x:is>
          <x:t xml:space="preserve">550 x 1006 cm|PDS</x:t>
        </x:is>
      </x:c>
    </x:row>
    <x:row r="140" s="655" customFormat="1" ht="29.5" customHeight="1">
      <x:c r="A140" s="592" t="n">
        <x:v>1090</x:v>
      </x:c>
      <x:c r="B140" s="593" t="inlineStr">
        <x:is>
          <x:t xml:space="preserve">550 x 1006 cm</x:t>
        </x:is>
      </x:c>
      <x:c r="C140" s="592" t="n">
        <x:v>550</x:v>
      </x:c>
      <x:c r="D140" s="592" t="n">
        <x:v>1006</x:v>
      </x:c>
      <x:c r="E140" s="593" t="inlineStr">
        <x:is>
          <x:t xml:space="preserve">PDSB</x:t>
        </x:is>
      </x:c>
      <x:c r="F140" s="593" t="inlineStr">
        <x:is>
          <x:t xml:space="preserve">Dopłata dach szkło barwione/mleczne</x:t>
        </x:is>
      </x:c>
      <x:c r="G140" s="594" t="n">
        <x:v>0</x:v>
      </x:c>
      <x:c r="H140" s="594" t="n">
        <x:v>0</x:v>
      </x:c>
      <x:c r="I140" s="594" t="n"/>
      <x:c r="J140" s="594" t="n"/>
      <x:c r="K140" s="595" t="n"/>
      <x:c r="L140" s="593" t="inlineStr">
        <x:is>
          <x:t xml:space="preserve">POZOSTAWIĆ 0 / BRAK CENY PDSB</x:t>
        </x:is>
      </x:c>
      <x:c r="M140" s="593" t="inlineStr">
        <x:is>
          <x:t xml:space="preserve">Zgodnie z dotychczasową logiką: dopłata barwienia szkła nie ma osobnego wynagrodzenia</x:t>
        </x:is>
      </x:c>
      <x:c r="N140" s="593" t="inlineStr">
        <x:is>
          <x:t xml:space="preserve">Brak ceny dostawcy dla PDSB 550/600.</x:t>
        </x:is>
      </x:c>
      <x:c r="O140" s="593" t="inlineStr">
        <x:is>
          <x:t xml:space="preserve">RAW_ZS D/E</x:t>
        </x:is>
      </x:c>
      <x:c r="P140" s="593" t="inlineStr">
        <x:is>
          <x:t xml:space="preserve">550 x 1006 cm|PDSB</x:t>
        </x:is>
      </x:c>
    </x:row>
    <x:row r="141" s="655" customFormat="1" ht="29.5" customHeight="1">
      <x:c r="A141" s="592" t="n">
        <x:v>1091</x:v>
      </x:c>
      <x:c r="B141" s="593" t="inlineStr">
        <x:is>
          <x:t xml:space="preserve">550 x 1006 cm</x:t>
        </x:is>
      </x:c>
      <x:c r="C141" s="592" t="n">
        <x:v>550</x:v>
      </x:c>
      <x:c r="D141" s="592" t="n">
        <x:v>1006</x:v>
      </x:c>
      <x:c r="E141" s="593" t="inlineStr">
        <x:is>
          <x:t xml:space="preserve">PDPB</x:t>
        </x:is>
      </x:c>
      <x:c r="F141" s="593" t="inlineStr">
        <x:is>
          <x:t xml:space="preserve">Dopłata poliwęglan barwiony</x:t>
        </x:is>
      </x:c>
      <x:c r="G141" s="594" t="n">
        <x:v>0</x:v>
      </x:c>
      <x:c r="H141" s="594" t="n">
        <x:v>0</x:v>
      </x:c>
      <x:c r="I141" s="594" t="n">
        <x:v>1221</x:v>
      </x:c>
      <x:c r="J141" s="594" t="n">
        <x:v>351</x:v>
      </x:c>
      <x:c r="K141" s="595" t="n">
        <x:v>0.3103448275862069</x:v>
      </x:c>
      <x:c r="L141" s="593" t="inlineStr">
        <x:is>
          <x:t xml:space="preserve">POZOSTAWIĆ 0</x:t>
        </x:is>
      </x:c>
      <x:c r="M141" s="593" t="inlineStr">
        <x:is>
          <x:t xml:space="preserve">Zgodnie z Cennik usług: poliwęglan barwiony nie miał osobnej pracy ekipy</x:t>
        </x:is>
      </x:c>
      <x:c r="N141" s="593" t="inlineStr">
        <x:is>
          <x:t xml:space="preserve">Ma cenę dostawcy; montaż/wynagrodzenie zostaje 0.</x:t>
        </x:is>
      </x:c>
      <x:c r="O141" s="593" t="inlineStr">
        <x:is>
          <x:t xml:space="preserve">RAW_ZP D/E</x:t>
        </x:is>
      </x:c>
      <x:c r="P141" s="593" t="inlineStr">
        <x:is>
          <x:t xml:space="preserve">550 x 1006 cm|PDPB</x:t>
        </x:is>
      </x:c>
    </x:row>
    <x:row r="142" s="655" customFormat="1" ht="29.5" customHeight="1">
      <x:c r="A142" s="592" t="n">
        <x:v>1092</x:v>
      </x:c>
      <x:c r="B142" s="593" t="inlineStr">
        <x:is>
          <x:t xml:space="preserve">550 x 1006 cm</x:t>
        </x:is>
      </x:c>
      <x:c r="C142" s="592" t="n">
        <x:v>550</x:v>
      </x:c>
      <x:c r="D142" s="592" t="n">
        <x:v>1006</x:v>
      </x:c>
      <x:c r="E142" s="593" t="inlineStr">
        <x:is>
          <x:t xml:space="preserve">SBB</x:t>
        </x:is>
      </x:c>
      <x:c r="F142" s="593" t="inlineStr">
        <x:is>
          <x:t xml:space="preserve">Dopłata szkło boczne przyciemniane</x:t>
        </x:is>
      </x:c>
      <x:c r="G142" s="594" t="n">
        <x:v>0</x:v>
      </x:c>
      <x:c r="H142" s="594" t="n">
        <x:v>0</x:v>
      </x:c>
      <x:c r="I142" s="594" t="n">
        <x:v>3361</x:v>
      </x:c>
      <x:c r="J142" s="594" t="n">
        <x:v>966</x:v>
      </x:c>
      <x:c r="K142" s="595" t="n">
        <x:v>0.3104113110539846</x:v>
      </x:c>
      <x:c r="L142" s="593" t="inlineStr">
        <x:is>
          <x:t xml:space="preserve">POZOSTAWIĆ 0</x:t>
        </x:is>
      </x:c>
      <x:c r="M142" s="593" t="inlineStr">
        <x:is>
          <x:t xml:space="preserve">Zgodnie z Cennik usług: szyby boczne barwione nie miały osobnej pracy ekipy</x:t>
        </x:is>
      </x:c>
      <x:c r="N142" s="593" t="inlineStr">
        <x:is>
          <x:t xml:space="preserve">Ma cenę dostawcy; montaż/wynagrodzenie zostaje 0.</x:t>
        </x:is>
      </x:c>
      <x:c r="O142" s="593" t="inlineStr">
        <x:is>
          <x:t xml:space="preserve">RAW_OP H/I</x:t>
        </x:is>
      </x:c>
      <x:c r="P142" s="593" t="inlineStr">
        <x:is>
          <x:t xml:space="preserve">550 x 1006 cm|SBB</x:t>
        </x:is>
      </x:c>
    </x:row>
    <x:row r="143" s="655" customFormat="1" ht="29.5" customHeight="1">
      <x:c r="A143" s="584" t="n">
        <x:v>1093</x:v>
      </x:c>
      <x:c r="B143" s="585" t="inlineStr">
        <x:is>
          <x:t xml:space="preserve">550 x 1006 cm</x:t>
        </x:is>
      </x:c>
      <x:c r="C143" s="584" t="n">
        <x:v>550</x:v>
      </x:c>
      <x:c r="D143" s="584" t="n">
        <x:v>1006</x:v>
      </x:c>
      <x:c r="E143" s="585" t="inlineStr">
        <x:is>
          <x:t xml:space="preserve">RB</x:t>
        </x:is>
      </x:c>
      <x:c r="F143" s="585" t="inlineStr">
        <x:is>
          <x:t xml:space="preserve">Roleta boczna ZIP</x:t>
        </x:is>
      </x:c>
      <x:c r="G143" s="586" t="n">
        <x:v>0</x:v>
      </x:c>
      <x:c r="H143" s="586" t="n">
        <x:v>150</x:v>
      </x:c>
      <x:c r="I143" s="586" t="n">
        <x:v>5067</x:v>
      </x:c>
      <x:c r="J143" s="586" t="n">
        <x:v>1306</x:v>
      </x:c>
      <x:c r="K143" s="587" t="n">
        <x:v>0.2783461210571185</x:v>
      </x:c>
      <x:c r="L143" s="585" t="inlineStr">
        <x:is>
          <x:t xml:space="preserve">UZUPEŁNIĆ L</x:t>
        </x:is>
      </x:c>
      <x:c r="M143" s="585" t="inlineStr">
        <x:is>
          <x:t xml:space="preserve">L = przedłużona kolumna Montaż rolety bocznej</x:t>
        </x:is>
      </x:c>
      <x:c r="N143" s="585" t="inlineStr">
        <x:is>
          <x:t xml:space="preserve">K zostaje 0; rentowność po L pozostaje podobna do mniejszych wymiarów.</x:t>
        </x:is>
      </x:c>
      <x:c r="O143" s="585" t="inlineStr">
        <x:is>
          <x:t xml:space="preserve">RAW_ZP J/K</x:t>
        </x:is>
      </x:c>
      <x:c r="P143" s="585" t="inlineStr">
        <x:is>
          <x:t xml:space="preserve">550 x 1006 cm|RB</x:t>
        </x:is>
      </x:c>
    </x:row>
    <x:row r="144" s="655" customFormat="1" ht="29.5" customHeight="1">
      <x:c r="A144" s="584" t="n">
        <x:v>1094</x:v>
      </x:c>
      <x:c r="B144" s="585" t="inlineStr">
        <x:is>
          <x:t xml:space="preserve">550 x 1006 cm</x:t>
        </x:is>
      </x:c>
      <x:c r="C144" s="584" t="n">
        <x:v>550</x:v>
      </x:c>
      <x:c r="D144" s="584" t="n">
        <x:v>1006</x:v>
      </x:c>
      <x:c r="E144" s="585" t="inlineStr">
        <x:is>
          <x:t xml:space="preserve">RP</x:t>
        </x:is>
      </x:c>
      <x:c r="F144" s="585" t="inlineStr">
        <x:is>
          <x:t xml:space="preserve">Roleta przednia ZIP</x:t>
        </x:is>
      </x:c>
      <x:c r="G144" s="586" t="n">
        <x:v>0</x:v>
      </x:c>
      <x:c r="H144" s="586" t="n">
        <x:v>450</x:v>
      </x:c>
      <x:c r="I144" s="586" t="n">
        <x:v>8798</x:v>
      </x:c>
      <x:c r="J144" s="586" t="n">
        <x:v>2078</x:v>
      </x:c>
      <x:c r="K144" s="587" t="n">
        <x:v>0.2550945249202062</x:v>
      </x:c>
      <x:c r="L144" s="585" t="inlineStr">
        <x:is>
          <x:t xml:space="preserve">UZUPEŁNIĆ L</x:t>
        </x:is>
      </x:c>
      <x:c r="M144" s="585" t="inlineStr">
        <x:is>
          <x:t xml:space="preserve">L = przedłużona kolumna Montaż rolety przedniej</x:t>
        </x:is>
      </x:c>
      <x:c r="N144" s="585" t="inlineStr">
        <x:is>
          <x:t xml:space="preserve">K zostaje 0; rentowność po L pozostaje podobna do mniejszych wymiarów.</x:t>
        </x:is>
      </x:c>
      <x:c r="O144" s="585" t="inlineStr">
        <x:is>
          <x:t xml:space="preserve">RAW_ZP N/O</x:t>
        </x:is>
      </x:c>
      <x:c r="P144" s="585" t="inlineStr">
        <x:is>
          <x:t xml:space="preserve">550 x 1006 cm|RP</x:t>
        </x:is>
      </x:c>
    </x:row>
    <x:row r="145" s="655" customFormat="1" ht="29.5" customHeight="1">
      <x:c r="A145" s="584" t="n">
        <x:v>1095</x:v>
      </x:c>
      <x:c r="B145" s="585" t="inlineStr">
        <x:is>
          <x:t xml:space="preserve">550 x 1006 cm</x:t>
        </x:is>
      </x:c>
      <x:c r="C145" s="584" t="n">
        <x:v>550</x:v>
      </x:c>
      <x:c r="D145" s="584" t="n">
        <x:v>1006</x:v>
      </x:c>
      <x:c r="E145" s="585" t="inlineStr">
        <x:is>
          <x:t xml:space="preserve">M</x:t>
        </x:is>
      </x:c>
      <x:c r="F145" s="585" t="inlineStr">
        <x:is>
          <x:t xml:space="preserve">Markiza dachowa</x:t>
        </x:is>
      </x:c>
      <x:c r="G145" s="586" t="n">
        <x:v>0</x:v>
      </x:c>
      <x:c r="H145" s="586" t="n">
        <x:v>600</x:v>
      </x:c>
      <x:c r="I145" s="586" t="n">
        <x:v>14158</x:v>
      </x:c>
      <x:c r="J145" s="586" t="n">
        <x:v>3468</x:v>
      </x:c>
      <x:c r="K145" s="587" t="n">
        <x:v>0.2645510717827447</x:v>
      </x:c>
      <x:c r="L145" s="585" t="inlineStr">
        <x:is>
          <x:t xml:space="preserve">UZUPEŁNIĆ L</x:t>
        </x:is>
      </x:c>
      <x:c r="M145" s="585" t="inlineStr">
        <x:is>
          <x:t xml:space="preserve">L = przedłużona kolumna Montaż markizy na dach</x:t>
        </x:is>
      </x:c>
      <x:c r="N145" s="585" t="inlineStr">
        <x:is>
          <x:t xml:space="preserve">K zostaje 0; rentowność po L pozostaje podobna do mniejszych wymiarów.</x:t>
        </x:is>
      </x:c>
      <x:c r="O145" s="585" t="inlineStr">
        <x:is>
          <x:t xml:space="preserve">RAW_ZP H/I</x:t>
        </x:is>
      </x:c>
      <x:c r="P145" s="585" t="inlineStr">
        <x:is>
          <x:t xml:space="preserve">550 x 1006 cm|M</x:t>
        </x:is>
      </x:c>
    </x:row>
    <x:row r="146" s="655" customFormat="1" ht="29.5" customHeight="1">
      <x:c r="A146" s="584" t="n">
        <x:v>1096</x:v>
      </x:c>
      <x:c r="B146" s="585" t="inlineStr">
        <x:is>
          <x:t xml:space="preserve">550 x 1006 cm</x:t>
        </x:is>
      </x:c>
      <x:c r="C146" s="584" t="n">
        <x:v>550</x:v>
      </x:c>
      <x:c r="D146" s="584" t="n">
        <x:v>1006</x:v>
      </x:c>
      <x:c r="E146" s="585" t="inlineStr">
        <x:is>
          <x:t xml:space="preserve">PDWP</x:t>
        </x:is>
      </x:c>
      <x:c r="F146" s="585" t="inlineStr">
        <x:is>
          <x:t xml:space="preserve">Fundament/profile</x:t>
        </x:is>
      </x:c>
      <x:c r="G146" s="586" t="n">
        <x:v>690</x:v>
      </x:c>
      <x:c r="H146" s="586" t="n">
        <x:v>650</x:v>
      </x:c>
      <x:c r="I146" s="586" t="n">
        <x:v>3138</x:v>
      </x:c>
      <x:c r="J146" s="586" t="n">
        <x:v>728</x:v>
      </x:c>
      <x:c r="K146" s="587" t="n">
        <x:v>0.2505161734342739</x:v>
      </x:c>
      <x:c r="L146" s="585" t="inlineStr">
        <x:is>
          <x:t xml:space="preserve">UZUPEŁNIĆ K+L / KOREKTA RENTOWNOŚCI</x:t>
        </x:is>
      </x:c>
      <x:c r="M146" s="585" t="inlineStr">
        <x:is>
          <x:t xml:space="preserve">L = Wyrównanie podłoża; K = dopłata montażowa wyliczona do min. 25% rentowności</x:t>
        </x:is>
      </x:c>
      <x:c r="N146" s="585" t="inlineStr">
        <x:is>
          <x:t xml:space="preserve">Bez K ten dodatek ma ujemną rentowność. To jest korekta biznesowa, nie tylko przedłużenie EG.</x:t>
        </x:is>
      </x:c>
      <x:c r="O146" s="585" t="inlineStr">
        <x:is>
          <x:t xml:space="preserve">RAW_OP AB/AC</x:t>
        </x:is>
      </x:c>
      <x:c r="P146" s="585" t="inlineStr">
        <x:is>
          <x:t xml:space="preserve">550 x 1006 cm|PDWP</x:t>
        </x:is>
      </x:c>
    </x:row>
    <x:row r="147" s="655" customFormat="1" ht="29.5" customHeight="1">
      <x:c r="A147" s="592" t="n">
        <x:v>1097</x:v>
      </x:c>
      <x:c r="B147" s="593" t="inlineStr">
        <x:is>
          <x:t xml:space="preserve">550 x 1006 cm</x:t>
        </x:is>
      </x:c>
      <x:c r="C147" s="592" t="n">
        <x:v>550</x:v>
      </x:c>
      <x:c r="D147" s="592" t="n">
        <x:v>1006</x:v>
      </x:c>
      <x:c r="E147" s="593" t="inlineStr">
        <x:is>
          <x:t xml:space="preserve">ZAB</x:t>
        </x:is>
      </x:c>
      <x:c r="F147" s="593" t="inlineStr">
        <x:is>
          <x:t xml:space="preserve">Zabieraki do ścian przesuwnych</x:t>
        </x:is>
      </x:c>
      <x:c r="G147" s="594" t="n">
        <x:v>0</x:v>
      </x:c>
      <x:c r="H147" s="594" t="n">
        <x:v>0</x:v>
      </x:c>
      <x:c r="I147" s="594" t="n">
        <x:v>866</x:v>
      </x:c>
      <x:c r="J147" s="594" t="n">
        <x:v>249</x:v>
      </x:c>
      <x:c r="K147" s="595" t="n">
        <x:v>0.3104738154613466</x:v>
      </x:c>
      <x:c r="L147" s="593" t="inlineStr">
        <x:is>
          <x:t xml:space="preserve">POZOSTAWIĆ 0</x:t>
        </x:is>
      </x:c>
      <x:c r="M147" s="593" t="inlineStr">
        <x:is>
          <x:t xml:space="preserve">Brak osobnej kolumny wynagrodzenia w Cennik usług; traktować jako element dodatkowy bez osobnej pracy</x:t>
        </x:is>
      </x:c>
      <x:c r="N147" s="593" t="n"/>
      <x:c r="O147" s="593" t="inlineStr">
        <x:is>
          <x:t xml:space="preserve">RAW_OP AD/AE</x:t>
        </x:is>
      </x:c>
      <x:c r="P147" s="593" t="inlineStr">
        <x:is>
          <x:t xml:space="preserve">550 x 1006 cm|ZAB</x:t>
        </x:is>
      </x:c>
    </x:row>
    <x:row r="148" s="655" customFormat="1" ht="29.5" customHeight="1">
      <x:c r="A148" s="592" t="n">
        <x:v>1098</x:v>
      </x:c>
      <x:c r="B148" s="593" t="inlineStr">
        <x:is>
          <x:t xml:space="preserve">550 x 1006 cm</x:t>
        </x:is>
      </x:c>
      <x:c r="C148" s="592" t="n">
        <x:v>550</x:v>
      </x:c>
      <x:c r="D148" s="592" t="n">
        <x:v>1006</x:v>
      </x:c>
      <x:c r="E148" s="593" t="inlineStr">
        <x:is>
          <x:t xml:space="preserve">S</x:t>
        </x:is>
      </x:c>
      <x:c r="F148" s="593" t="inlineStr">
        <x:is>
          <x:t xml:space="preserve">Szczotki przeciwkurzowe</x:t>
        </x:is>
      </x:c>
      <x:c r="G148" s="594" t="n">
        <x:v>0</x:v>
      </x:c>
      <x:c r="H148" s="594" t="n">
        <x:v>0</x:v>
      </x:c>
      <x:c r="I148" s="594" t="n">
        <x:v>968</x:v>
      </x:c>
      <x:c r="J148" s="594" t="n">
        <x:v>278</x:v>
      </x:c>
      <x:c r="K148" s="595" t="n">
        <x:v>0.3102678571428572</x:v>
      </x:c>
      <x:c r="L148" s="593" t="inlineStr">
        <x:is>
          <x:t xml:space="preserve">POZOSTAWIĆ 0</x:t>
        </x:is>
      </x:c>
      <x:c r="M148" s="593" t="inlineStr">
        <x:is>
          <x:t xml:space="preserve">Zgodnie z Cennik usług: szczotki przeciwkurzowe bez osobnego wynagrodzenia</x:t>
        </x:is>
      </x:c>
      <x:c r="N148" s="593" t="n"/>
      <x:c r="O148" s="593" t="inlineStr">
        <x:is>
          <x:t xml:space="preserve">RAW_OP L/M</x:t>
        </x:is>
      </x:c>
      <x:c r="P148" s="593" t="inlineStr">
        <x:is>
          <x:t xml:space="preserve">550 x 1006 cm|S</x:t>
        </x:is>
      </x:c>
    </x:row>
    <x:row r="149" s="655" customFormat="1" ht="29.5" customHeight="1">
      <x:c r="A149" s="592" t="n">
        <x:v>1099</x:v>
      </x:c>
      <x:c r="B149" s="593" t="inlineStr">
        <x:is>
          <x:t xml:space="preserve">550 x 1006 cm</x:t>
        </x:is>
      </x:c>
      <x:c r="C149" s="592" t="n">
        <x:v>550</x:v>
      </x:c>
      <x:c r="D149" s="592" t="n">
        <x:v>1006</x:v>
      </x:c>
      <x:c r="E149" s="593" t="inlineStr">
        <x:is>
          <x:t xml:space="preserve">U</x:t>
        </x:is>
      </x:c>
      <x:c r="F149" s="593" t="inlineStr">
        <x:is>
          <x:t xml:space="preserve">Uchwyty na szkło ścienne</x:t>
        </x:is>
      </x:c>
      <x:c r="G149" s="594" t="n">
        <x:v>0</x:v>
      </x:c>
      <x:c r="H149" s="594" t="n">
        <x:v>0</x:v>
      </x:c>
      <x:c r="I149" s="594" t="n">
        <x:v>878</x:v>
      </x:c>
      <x:c r="J149" s="594" t="n">
        <x:v>252</x:v>
      </x:c>
      <x:c r="K149" s="595" t="n">
        <x:v>0.3099630996309963</x:v>
      </x:c>
      <x:c r="L149" s="593" t="inlineStr">
        <x:is>
          <x:t xml:space="preserve">POZOSTAWIĆ 0</x:t>
        </x:is>
      </x:c>
      <x:c r="M149" s="593" t="inlineStr">
        <x:is>
          <x:t xml:space="preserve">Zgodnie z Cennik usług: uchwyty bez osobnego wynagrodzenia</x:t>
        </x:is>
      </x:c>
      <x:c r="N149" s="593" t="n"/>
      <x:c r="O149" s="593" t="inlineStr">
        <x:is>
          <x:t xml:space="preserve">RAW_OP N/O</x:t>
        </x:is>
      </x:c>
      <x:c r="P149" s="593" t="inlineStr">
        <x:is>
          <x:t xml:space="preserve">550 x 1006 cm|U</x:t>
        </x:is>
      </x:c>
    </x:row>
    <x:row r="150" s="655" customFormat="1" ht="29.5" customHeight="1">
      <x:c r="A150" s="592" t="n">
        <x:v>1100</x:v>
      </x:c>
      <x:c r="B150" s="593" t="inlineStr">
        <x:is>
          <x:t xml:space="preserve">550 x 1006 cm</x:t>
        </x:is>
      </x:c>
      <x:c r="C150" s="592" t="n">
        <x:v>550</x:v>
      </x:c>
      <x:c r="D150" s="592" t="n">
        <x:v>1006</x:v>
      </x:c>
      <x:c r="E150" s="593" t="inlineStr">
        <x:is>
          <x:t xml:space="preserve">LED2</x:t>
        </x:is>
      </x:c>
      <x:c r="F150" s="593" t="inlineStr">
        <x:is>
          <x:t xml:space="preserve">Oświetlenie LED 2 punkty</x:t>
        </x:is>
      </x:c>
      <x:c r="G150" s="594" t="n">
        <x:v>0</x:v>
      </x:c>
      <x:c r="H150" s="594" t="n">
        <x:v>0</x:v>
      </x:c>
      <x:c r="I150" s="594" t="n">
        <x:v>1566</x:v>
      </x:c>
      <x:c r="J150" s="594" t="n">
        <x:v>450</x:v>
      </x:c>
      <x:c r="K150" s="595" t="n">
        <x:v>0.3103448275862069</x:v>
      </x:c>
      <x:c r="L150" s="593" t="inlineStr">
        <x:is>
          <x:t xml:space="preserve">POZOSTAWIĆ 0 NA RAZIE</x:t>
        </x:is>
      </x:c>
      <x:c r="M150" s="593" t="inlineStr">
        <x:is>
          <x:t xml:space="preserve">Cennik usług miał LED bez osobnego wynagrodzenia; kolumna LED z Wynagr. ekipy jest tylko informacyjna</x:t>
        </x:is>
      </x:c>
      <x:c r="N150" s="593" t="inlineStr">
        <x:is>
          <x:t xml:space="preserve">Informacyjnie wg Wynagr. ekipy LED na krokiew: 600 zł.</x:t>
        </x:is>
      </x:c>
      <x:c r="O150" s="593" t="inlineStr">
        <x:is>
          <x:t xml:space="preserve">RAW_ZP P/Q</x:t>
        </x:is>
      </x:c>
      <x:c r="P150" s="593" t="inlineStr">
        <x:is>
          <x:t xml:space="preserve">550 x 1006 cm|LED2</x:t>
        </x:is>
      </x:c>
    </x:row>
    <x:row r="151" s="655" customFormat="1" ht="29.5" customHeight="1">
      <x:c r="A151" s="592" t="n">
        <x:v>1101</x:v>
      </x:c>
      <x:c r="B151" s="593" t="inlineStr">
        <x:is>
          <x:t xml:space="preserve">550 x 1006 cm</x:t>
        </x:is>
      </x:c>
      <x:c r="C151" s="592" t="n">
        <x:v>550</x:v>
      </x:c>
      <x:c r="D151" s="592" t="n">
        <x:v>1006</x:v>
      </x:c>
      <x:c r="E151" s="593" t="inlineStr">
        <x:is>
          <x:t xml:space="preserve">LED3</x:t>
        </x:is>
      </x:c>
      <x:c r="F151" s="593" t="inlineStr">
        <x:is>
          <x:t xml:space="preserve">Oświetlenie LED 3 punkty</x:t>
        </x:is>
      </x:c>
      <x:c r="G151" s="594" t="n">
        <x:v>0</x:v>
      </x:c>
      <x:c r="H151" s="594" t="n">
        <x:v>0</x:v>
      </x:c>
      <x:c r="I151" s="594" t="n">
        <x:v>2100</x:v>
      </x:c>
      <x:c r="J151" s="594" t="n">
        <x:v>603</x:v>
      </x:c>
      <x:c r="K151" s="595" t="n">
        <x:v>0.3101851851851852</x:v>
      </x:c>
      <x:c r="L151" s="593" t="inlineStr">
        <x:is>
          <x:t xml:space="preserve">POZOSTAWIĆ 0 NA RAZIE</x:t>
        </x:is>
      </x:c>
      <x:c r="M151" s="593" t="inlineStr">
        <x:is>
          <x:t xml:space="preserve">Cennik usług miał LED bez osobnego wynagrodzenia; kolumna LED z Wynagr. ekipy jest tylko informacyjna</x:t>
        </x:is>
      </x:c>
      <x:c r="N151" s="593" t="inlineStr">
        <x:is>
          <x:t xml:space="preserve">Informacyjnie wg Wynagr. ekipy LED na krokiew: 600 zł.</x:t>
        </x:is>
      </x:c>
      <x:c r="O151" s="593" t="inlineStr">
        <x:is>
          <x:t xml:space="preserve">RAW_ZP R/S</x:t>
        </x:is>
      </x:c>
      <x:c r="P151" s="593" t="inlineStr">
        <x:is>
          <x:t xml:space="preserve">550 x 1006 cm|LED3</x:t>
        </x:is>
      </x:c>
    </x:row>
    <x:row r="152" s="655" customFormat="1" ht="29.5" customHeight="1">
      <x:c r="A152" s="592" t="n">
        <x:v>1102</x:v>
      </x:c>
      <x:c r="B152" s="593" t="inlineStr">
        <x:is>
          <x:t xml:space="preserve">550 x 1006 cm</x:t>
        </x:is>
      </x:c>
      <x:c r="C152" s="592" t="n">
        <x:v>550</x:v>
      </x:c>
      <x:c r="D152" s="592" t="n">
        <x:v>1006</x:v>
      </x:c>
      <x:c r="E152" s="593" t="inlineStr">
        <x:is>
          <x:t xml:space="preserve">LEDCCT</x:t>
        </x:is>
      </x:c>
      <x:c r="F152" s="593" t="inlineStr">
        <x:is>
          <x:t xml:space="preserve">Oświetlenie LED CCT</x:t>
        </x:is>
      </x:c>
      <x:c r="G152" s="594" t="n">
        <x:v>0</x:v>
      </x:c>
      <x:c r="H152" s="594" t="n">
        <x:v>0</x:v>
      </x:c>
      <x:c r="I152" s="594" t="n">
        <x:v>0</x:v>
      </x:c>
      <x:c r="J152" s="594" t="n">
        <x:v>0</x:v>
      </x:c>
      <x:c r="K152" s="595" t="n"/>
      <x:c r="L152" s="593" t="inlineStr">
        <x:is>
          <x:t xml:space="preserve">POZOSTAWIĆ 0 / UKRYTE</x:t>
        </x:is>
      </x:c>
      <x:c r="M152" s="593" t="inlineStr">
        <x:is>
          <x:t xml:space="preserve">Brak pełnego cennika dla 550/600; opcje nadal crm_only/ukryte</x:t>
        </x:is>
      </x:c>
      <x:c r="N152" s="593" t="n"/>
      <x:c r="O152" s="593" t="inlineStr">
        <x:is>
          <x:t xml:space="preserve">RAW_ZP T/U</x:t>
        </x:is>
      </x:c>
      <x:c r="P152" s="593" t="inlineStr">
        <x:is>
          <x:t xml:space="preserve">550 x 1006 cm|LEDCCT</x:t>
        </x:is>
      </x:c>
    </x:row>
    <x:row r="153" s="655" customFormat="1" ht="29.5" customHeight="1">
      <x:c r="A153" s="592" t="n">
        <x:v>1103</x:v>
      </x:c>
      <x:c r="B153" s="593" t="inlineStr">
        <x:is>
          <x:t xml:space="preserve">550 x 1006 cm</x:t>
        </x:is>
      </x:c>
      <x:c r="C153" s="592" t="n">
        <x:v>550</x:v>
      </x:c>
      <x:c r="D153" s="592" t="n">
        <x:v>1006</x:v>
      </x:c>
      <x:c r="E153" s="593" t="inlineStr">
        <x:is>
          <x:t xml:space="preserve">LEDRGBCCT</x:t>
        </x:is>
      </x:c>
      <x:c r="F153" s="593" t="inlineStr">
        <x:is>
          <x:t xml:space="preserve">Oświetlenie LED RGB CCT</x:t>
        </x:is>
      </x:c>
      <x:c r="G153" s="594" t="n">
        <x:v>0</x:v>
      </x:c>
      <x:c r="H153" s="594" t="n">
        <x:v>0</x:v>
      </x:c>
      <x:c r="I153" s="594" t="n">
        <x:v>0</x:v>
      </x:c>
      <x:c r="J153" s="594" t="n">
        <x:v>0</x:v>
      </x:c>
      <x:c r="K153" s="595" t="n"/>
      <x:c r="L153" s="593" t="inlineStr">
        <x:is>
          <x:t xml:space="preserve">POZOSTAWIĆ 0 / UKRYTE</x:t>
        </x:is>
      </x:c>
      <x:c r="M153" s="593" t="inlineStr">
        <x:is>
          <x:t xml:space="preserve">Brak pełnego cennika dla 550/600; opcje nadal crm_only/ukryte</x:t>
        </x:is>
      </x:c>
      <x:c r="N153" s="593" t="n"/>
      <x:c r="O153" s="593" t="inlineStr">
        <x:is>
          <x:t xml:space="preserve">RAW_ZP V/W</x:t>
        </x:is>
      </x:c>
      <x:c r="P153" s="593" t="inlineStr">
        <x:is>
          <x:t xml:space="preserve">550 x 1006 cm|LEDRGBCCT</x:t>
        </x:is>
      </x:c>
    </x:row>
    <x:row r="154" s="655" customFormat="1" ht="29.5" customHeight="1">
      <x:c r="A154" s="584" t="n">
        <x:v>1104</x:v>
      </x:c>
      <x:c r="B154" s="585" t="inlineStr">
        <x:is>
          <x:t xml:space="preserve">550 x 1106 cm</x:t>
        </x:is>
      </x:c>
      <x:c r="C154" s="584" t="n">
        <x:v>550</x:v>
      </x:c>
      <x:c r="D154" s="584" t="n">
        <x:v>1106</x:v>
      </x:c>
      <x:c r="E154" s="585" t="inlineStr">
        <x:is>
          <x:t xml:space="preserve">ZP</x:t>
        </x:is>
      </x:c>
      <x:c r="F154" s="585" t="inlineStr">
        <x:is>
          <x:t xml:space="preserve">Zadaszenie poliwęglan - baza</x:t>
        </x:is>
      </x:c>
      <x:c r="G154" s="586" t="n">
        <x:v>6330</x:v>
      </x:c>
      <x:c r="H154" s="586" t="n">
        <x:v>2180</x:v>
      </x:c>
      <x:c r="I154" s="586" t="n">
        <x:v>52136</x:v>
      </x:c>
      <x:c r="J154" s="586" t="n">
        <x:v>17167</x:v>
      </x:c>
      <x:c r="K154" s="587" t="n">
        <x:v>0.3556158594688652</x:v>
      </x:c>
      <x:c r="L154" s="585" t="inlineStr">
        <x:is>
          <x:t xml:space="preserve">UZUPEŁNIĆ</x:t>
        </x:is>
      </x:c>
      <x:c r="M154" s="585" t="inlineStr">
        <x:is>
          <x:t xml:space="preserve">K: model rentowności 450/500; L: przedłużenie Wynagr. ekipy 450→500</x:t>
        </x:is>
      </x:c>
      <x:c r="N154" s="585" t="inlineStr">
        <x:is>
          <x:t xml:space="preserve">Podstawowa konstrukcja z ceną dostawcy dla 550/600.</x:t>
        </x:is>
      </x:c>
      <x:c r="O154" s="585" t="inlineStr">
        <x:is>
          <x:t xml:space="preserve">RAW_ZP B/C</x:t>
        </x:is>
      </x:c>
      <x:c r="P154" s="585" t="inlineStr">
        <x:is>
          <x:t xml:space="preserve">550 x 1106 cm|ZP</x:t>
        </x:is>
      </x:c>
    </x:row>
    <x:row r="155" s="655" customFormat="1" ht="29.5" customHeight="1">
      <x:c r="A155" s="588" t="n">
        <x:v>1105</x:v>
      </x:c>
      <x:c r="B155" s="589" t="inlineStr">
        <x:is>
          <x:t xml:space="preserve">550 x 1106 cm</x:t>
        </x:is>
      </x:c>
      <x:c r="C155" s="588" t="n">
        <x:v>550</x:v>
      </x:c>
      <x:c r="D155" s="588" t="n">
        <x:v>1106</x:v>
      </x:c>
      <x:c r="E155" s="589" t="inlineStr">
        <x:is>
          <x:t xml:space="preserve">ZS</x:t>
        </x:is>
      </x:c>
      <x:c r="F155" s="589" t="inlineStr">
        <x:is>
          <x:t xml:space="preserve">Zadaszenie szkło - pełna konstrukcja</x:t>
        </x:is>
      </x:c>
      <x:c r="G155" s="590" t="n">
        <x:v>6330</x:v>
      </x:c>
      <x:c r="H155" s="590" t="n">
        <x:v>2780</x:v>
      </x:c>
      <x:c r="I155" s="590" t="n"/>
      <x:c r="J155" s="590" t="n"/>
      <x:c r="K155" s="591" t="n"/>
      <x:c r="L155" s="589" t="inlineStr">
        <x:is>
          <x:t xml:space="preserve">NIE PUBLIKOWAĆ / BRAK RAW_ZS</x:t>
        </x:is>
      </x:c>
      <x:c r="M155" s="589" t="inlineStr">
        <x:is>
          <x:t xml:space="preserve">Informacyjnie: K jak ZP, L = pełny montaż zadaszenia szklanego z przedłużenia</x:t>
        </x:is>
      </x:c>
      <x:c r="N155" s="589" t="inlineStr">
        <x:is>
          <x:t xml:space="preserve">Brak ceny dostawcy dla ZS 550/600, więc nieaktywny do czasu cennika dostawcy.</x:t>
        </x:is>
      </x:c>
      <x:c r="O155" s="589" t="inlineStr">
        <x:is>
          <x:t xml:space="preserve">RAW_ZS B/C</x:t>
        </x:is>
      </x:c>
      <x:c r="P155" s="589" t="inlineStr">
        <x:is>
          <x:t xml:space="preserve">550 x 1106 cm|ZS</x:t>
        </x:is>
      </x:c>
    </x:row>
    <x:row r="156" s="655" customFormat="1" ht="29.5" customHeight="1">
      <x:c r="A156" s="584" t="n">
        <x:v>1106</x:v>
      </x:c>
      <x:c r="B156" s="585" t="inlineStr">
        <x:is>
          <x:t xml:space="preserve">550 x 1106 cm</x:t>
        </x:is>
      </x:c>
      <x:c r="C156" s="584" t="n">
        <x:v>550</x:v>
      </x:c>
      <x:c r="D156" s="584" t="n">
        <x:v>1106</x:v>
      </x:c>
      <x:c r="E156" s="585" t="inlineStr">
        <x:is>
          <x:t xml:space="preserve">OP</x:t>
        </x:is>
      </x:c>
      <x:c r="F156" s="585" t="inlineStr">
        <x:is>
          <x:t xml:space="preserve">Ogród zimowy poliwęglan - baza</x:t>
        </x:is>
      </x:c>
      <x:c r="G156" s="586" t="n">
        <x:v>7750</x:v>
      </x:c>
      <x:c r="H156" s="586" t="n">
        <x:v>3060</x:v>
      </x:c>
      <x:c r="I156" s="586" t="n">
        <x:v>83576</x:v>
      </x:c>
      <x:c r="J156" s="586" t="n">
        <x:v>26301</x:v>
      </x:c>
      <x:c r="K156" s="587" t="n">
        <x:v>0.3398720682302772</x:v>
      </x:c>
      <x:c r="L156" s="585" t="inlineStr">
        <x:is>
          <x:t xml:space="preserve">UZUPEŁNIĆ</x:t>
        </x:is>
      </x:c>
      <x:c r="M156" s="585" t="inlineStr">
        <x:is>
          <x:t xml:space="preserve">K: model rentowności 450/500; L: przedłużenie Wynagr. ekipy 450→500</x:t>
        </x:is>
      </x:c>
      <x:c r="N156" s="585" t="inlineStr">
        <x:is>
          <x:t xml:space="preserve">Podstawowa konstrukcja z ceną dostawcy dla 550/600.</x:t>
        </x:is>
      </x:c>
      <x:c r="O156" s="585" t="inlineStr">
        <x:is>
          <x:t xml:space="preserve">RAW_OP B/C</x:t>
        </x:is>
      </x:c>
      <x:c r="P156" s="585" t="inlineStr">
        <x:is>
          <x:t xml:space="preserve">550 x 1106 cm|OP</x:t>
        </x:is>
      </x:c>
    </x:row>
    <x:row r="157" s="655" customFormat="1" ht="29.5" customHeight="1">
      <x:c r="A157" s="588" t="n">
        <x:v>1107</x:v>
      </x:c>
      <x:c r="B157" s="589" t="inlineStr">
        <x:is>
          <x:t xml:space="preserve">550 x 1106 cm</x:t>
        </x:is>
      </x:c>
      <x:c r="C157" s="588" t="n">
        <x:v>550</x:v>
      </x:c>
      <x:c r="D157" s="588" t="n">
        <x:v>1106</x:v>
      </x:c>
      <x:c r="E157" s="589" t="inlineStr">
        <x:is>
          <x:t xml:space="preserve">OS</x:t>
        </x:is>
      </x:c>
      <x:c r="F157" s="589" t="inlineStr">
        <x:is>
          <x:t xml:space="preserve">Ogród zimowy szkło - pełna konstrukcja</x:t>
        </x:is>
      </x:c>
      <x:c r="G157" s="590" t="n">
        <x:v>7750</x:v>
      </x:c>
      <x:c r="H157" s="590" t="n">
        <x:v>3660</x:v>
      </x:c>
      <x:c r="I157" s="590" t="n"/>
      <x:c r="J157" s="590" t="n"/>
      <x:c r="K157" s="591" t="n"/>
      <x:c r="L157" s="589" t="inlineStr">
        <x:is>
          <x:t xml:space="preserve">NIE PUBLIKOWAĆ / BRAK RAW_OS</x:t>
        </x:is>
      </x:c>
      <x:c r="M157" s="589" t="inlineStr">
        <x:is>
          <x:t xml:space="preserve">Informacyjnie: K jak OP, L = pełny montaż ogrodu szklanego z przedłużenia</x:t>
        </x:is>
      </x:c>
      <x:c r="N157" s="589" t="inlineStr">
        <x:is>
          <x:t xml:space="preserve">Brak ceny dostawcy dla OS 550/600, więc nieaktywny do czasu cennika dostawcy.</x:t>
        </x:is>
      </x:c>
      <x:c r="O157" s="589" t="inlineStr">
        <x:is>
          <x:t xml:space="preserve">RAW_OS B/C</x:t>
        </x:is>
      </x:c>
      <x:c r="P157" s="589" t="inlineStr">
        <x:is>
          <x:t xml:space="preserve">550 x 1106 cm|OS</x:t>
        </x:is>
      </x:c>
    </x:row>
    <x:row r="158" s="655" customFormat="1" ht="29.5" customHeight="1">
      <x:c r="A158" s="584" t="n">
        <x:v>1108</x:v>
      </x:c>
      <x:c r="B158" s="585" t="inlineStr">
        <x:is>
          <x:t xml:space="preserve">550 x 1106 cm</x:t>
        </x:is>
      </x:c>
      <x:c r="C158" s="584" t="n">
        <x:v>550</x:v>
      </x:c>
      <x:c r="D158" s="584" t="n">
        <x:v>1106</x:v>
      </x:c>
      <x:c r="E158" s="585" t="inlineStr">
        <x:is>
          <x:t xml:space="preserve">PDS</x:t>
        </x:is>
      </x:c>
      <x:c r="F158" s="585" t="inlineStr">
        <x:is>
          <x:t xml:space="preserve">Dopłata dach szkło przezroczyste</x:t>
        </x:is>
      </x:c>
      <x:c r="G158" s="586" t="n">
        <x:v>0</x:v>
      </x:c>
      <x:c r="H158" s="586" t="n">
        <x:v>600</x:v>
      </x:c>
      <x:c r="I158" s="586" t="n"/>
      <x:c r="J158" s="586" t="n"/>
      <x:c r="K158" s="587" t="n"/>
      <x:c r="L158" s="585" t="inlineStr">
        <x:is>
          <x:t xml:space="preserve">DO UŻYCIA DOPIERO GDY BĘDZIE CENA DACHU SZKŁO</x:t>
        </x:is>
      </x:c>
      <x:c r="M158" s="585" t="inlineStr">
        <x:is>
          <x:t xml:space="preserve">L = montaż zadaszenia szkło - montaż zadaszenia poliwęglan</x:t>
        </x:is>
      </x:c>
      <x:c r="N158" s="585" t="inlineStr">
        <x:is>
          <x:t xml:space="preserve">Potrzebne dla dopłaty dachu szklanego; obecnie brak ceny dostawcy PDS 550/600.</x:t>
        </x:is>
      </x:c>
      <x:c r="O158" s="585" t="inlineStr">
        <x:is>
          <x:t xml:space="preserve">RAW_ZS - RAW_ZP</x:t>
        </x:is>
      </x:c>
      <x:c r="P158" s="585" t="inlineStr">
        <x:is>
          <x:t xml:space="preserve">550 x 1106 cm|PDS</x:t>
        </x:is>
      </x:c>
    </x:row>
    <x:row r="159" s="655" customFormat="1" ht="29.5" customHeight="1">
      <x:c r="A159" s="592" t="n">
        <x:v>1109</x:v>
      </x:c>
      <x:c r="B159" s="593" t="inlineStr">
        <x:is>
          <x:t xml:space="preserve">550 x 1106 cm</x:t>
        </x:is>
      </x:c>
      <x:c r="C159" s="592" t="n">
        <x:v>550</x:v>
      </x:c>
      <x:c r="D159" s="592" t="n">
        <x:v>1106</x:v>
      </x:c>
      <x:c r="E159" s="593" t="inlineStr">
        <x:is>
          <x:t xml:space="preserve">PDSB</x:t>
        </x:is>
      </x:c>
      <x:c r="F159" s="593" t="inlineStr">
        <x:is>
          <x:t xml:space="preserve">Dopłata dach szkło barwione/mleczne</x:t>
        </x:is>
      </x:c>
      <x:c r="G159" s="594" t="n">
        <x:v>0</x:v>
      </x:c>
      <x:c r="H159" s="594" t="n">
        <x:v>0</x:v>
      </x:c>
      <x:c r="I159" s="594" t="n"/>
      <x:c r="J159" s="594" t="n"/>
      <x:c r="K159" s="595" t="n"/>
      <x:c r="L159" s="593" t="inlineStr">
        <x:is>
          <x:t xml:space="preserve">POZOSTAWIĆ 0 / BRAK CENY PDSB</x:t>
        </x:is>
      </x:c>
      <x:c r="M159" s="593" t="inlineStr">
        <x:is>
          <x:t xml:space="preserve">Zgodnie z dotychczasową logiką: dopłata barwienia szkła nie ma osobnego wynagrodzenia</x:t>
        </x:is>
      </x:c>
      <x:c r="N159" s="593" t="inlineStr">
        <x:is>
          <x:t xml:space="preserve">Brak ceny dostawcy dla PDSB 550/600.</x:t>
        </x:is>
      </x:c>
      <x:c r="O159" s="593" t="inlineStr">
        <x:is>
          <x:t xml:space="preserve">RAW_ZS D/E</x:t>
        </x:is>
      </x:c>
      <x:c r="P159" s="593" t="inlineStr">
        <x:is>
          <x:t xml:space="preserve">550 x 1106 cm|PDSB</x:t>
        </x:is>
      </x:c>
    </x:row>
    <x:row r="160" s="655" customFormat="1" ht="29.5" customHeight="1">
      <x:c r="A160" s="592" t="n">
        <x:v>1110</x:v>
      </x:c>
      <x:c r="B160" s="593" t="inlineStr">
        <x:is>
          <x:t xml:space="preserve">550 x 1106 cm</x:t>
        </x:is>
      </x:c>
      <x:c r="C160" s="592" t="n">
        <x:v>550</x:v>
      </x:c>
      <x:c r="D160" s="592" t="n">
        <x:v>1106</x:v>
      </x:c>
      <x:c r="E160" s="593" t="inlineStr">
        <x:is>
          <x:t xml:space="preserve">PDPB</x:t>
        </x:is>
      </x:c>
      <x:c r="F160" s="593" t="inlineStr">
        <x:is>
          <x:t xml:space="preserve">Dopłata poliwęglan barwiony</x:t>
        </x:is>
      </x:c>
      <x:c r="G160" s="594" t="n">
        <x:v>0</x:v>
      </x:c>
      <x:c r="H160" s="594" t="n">
        <x:v>0</x:v>
      </x:c>
      <x:c r="I160" s="594" t="n">
        <x:v>1350</x:v>
      </x:c>
      <x:c r="J160" s="594" t="n">
        <x:v>388</x:v>
      </x:c>
      <x:c r="K160" s="595" t="n">
        <x:v>0.3104</x:v>
      </x:c>
      <x:c r="L160" s="593" t="inlineStr">
        <x:is>
          <x:t xml:space="preserve">POZOSTAWIĆ 0</x:t>
        </x:is>
      </x:c>
      <x:c r="M160" s="593" t="inlineStr">
        <x:is>
          <x:t xml:space="preserve">Zgodnie z Cennik usług: poliwęglan barwiony nie miał osobnej pracy ekipy</x:t>
        </x:is>
      </x:c>
      <x:c r="N160" s="593" t="inlineStr">
        <x:is>
          <x:t xml:space="preserve">Ma cenę dostawcy; montaż/wynagrodzenie zostaje 0.</x:t>
        </x:is>
      </x:c>
      <x:c r="O160" s="593" t="inlineStr">
        <x:is>
          <x:t xml:space="preserve">RAW_ZP D/E</x:t>
        </x:is>
      </x:c>
      <x:c r="P160" s="593" t="inlineStr">
        <x:is>
          <x:t xml:space="preserve">550 x 1106 cm|PDPB</x:t>
        </x:is>
      </x:c>
    </x:row>
    <x:row r="161" s="655" customFormat="1" ht="29.5" customHeight="1">
      <x:c r="A161" s="592" t="n">
        <x:v>1111</x:v>
      </x:c>
      <x:c r="B161" s="593" t="inlineStr">
        <x:is>
          <x:t xml:space="preserve">550 x 1106 cm</x:t>
        </x:is>
      </x:c>
      <x:c r="C161" s="592" t="n">
        <x:v>550</x:v>
      </x:c>
      <x:c r="D161" s="592" t="n">
        <x:v>1106</x:v>
      </x:c>
      <x:c r="E161" s="593" t="inlineStr">
        <x:is>
          <x:t xml:space="preserve">SBB</x:t>
        </x:is>
      </x:c>
      <x:c r="F161" s="593" t="inlineStr">
        <x:is>
          <x:t xml:space="preserve">Dopłata szkło boczne przyciemniane</x:t>
        </x:is>
      </x:c>
      <x:c r="G161" s="594" t="n">
        <x:v>0</x:v>
      </x:c>
      <x:c r="H161" s="594" t="n">
        <x:v>0</x:v>
      </x:c>
      <x:c r="I161" s="594" t="n">
        <x:v>3514</x:v>
      </x:c>
      <x:c r="J161" s="594" t="n">
        <x:v>1010</x:v>
      </x:c>
      <x:c r="K161" s="595" t="n">
        <x:v>0.3103872157344806</x:v>
      </x:c>
      <x:c r="L161" s="593" t="inlineStr">
        <x:is>
          <x:t xml:space="preserve">POZOSTAWIĆ 0</x:t>
        </x:is>
      </x:c>
      <x:c r="M161" s="593" t="inlineStr">
        <x:is>
          <x:t xml:space="preserve">Zgodnie z Cennik usług: szyby boczne barwione nie miały osobnej pracy ekipy</x:t>
        </x:is>
      </x:c>
      <x:c r="N161" s="593" t="inlineStr">
        <x:is>
          <x:t xml:space="preserve">Ma cenę dostawcy; montaż/wynagrodzenie zostaje 0.</x:t>
        </x:is>
      </x:c>
      <x:c r="O161" s="593" t="inlineStr">
        <x:is>
          <x:t xml:space="preserve">RAW_OP H/I</x:t>
        </x:is>
      </x:c>
      <x:c r="P161" s="593" t="inlineStr">
        <x:is>
          <x:t xml:space="preserve">550 x 1106 cm|SBB</x:t>
        </x:is>
      </x:c>
    </x:row>
    <x:row r="162" s="655" customFormat="1" ht="29.5" customHeight="1">
      <x:c r="A162" s="584" t="n">
        <x:v>1112</x:v>
      </x:c>
      <x:c r="B162" s="585" t="inlineStr">
        <x:is>
          <x:t xml:space="preserve">550 x 1106 cm</x:t>
        </x:is>
      </x:c>
      <x:c r="C162" s="584" t="n">
        <x:v>550</x:v>
      </x:c>
      <x:c r="D162" s="584" t="n">
        <x:v>1106</x:v>
      </x:c>
      <x:c r="E162" s="585" t="inlineStr">
        <x:is>
          <x:t xml:space="preserve">RB</x:t>
        </x:is>
      </x:c>
      <x:c r="F162" s="585" t="inlineStr">
        <x:is>
          <x:t xml:space="preserve">Roleta boczna ZIP</x:t>
        </x:is>
      </x:c>
      <x:c r="G162" s="586" t="n">
        <x:v>0</x:v>
      </x:c>
      <x:c r="H162" s="586" t="n">
        <x:v>150</x:v>
      </x:c>
      <x:c r="I162" s="586" t="n">
        <x:v>5067</x:v>
      </x:c>
      <x:c r="J162" s="586" t="n">
        <x:v>1306</x:v>
      </x:c>
      <x:c r="K162" s="587" t="n">
        <x:v>0.2783461210571185</x:v>
      </x:c>
      <x:c r="L162" s="585" t="inlineStr">
        <x:is>
          <x:t xml:space="preserve">UZUPEŁNIĆ L</x:t>
        </x:is>
      </x:c>
      <x:c r="M162" s="585" t="inlineStr">
        <x:is>
          <x:t xml:space="preserve">L = przedłużona kolumna Montaż rolety bocznej</x:t>
        </x:is>
      </x:c>
      <x:c r="N162" s="585" t="inlineStr">
        <x:is>
          <x:t xml:space="preserve">K zostaje 0; rentowność po L pozostaje podobna do mniejszych wymiarów.</x:t>
        </x:is>
      </x:c>
      <x:c r="O162" s="585" t="inlineStr">
        <x:is>
          <x:t xml:space="preserve">RAW_ZP J/K</x:t>
        </x:is>
      </x:c>
      <x:c r="P162" s="585" t="inlineStr">
        <x:is>
          <x:t xml:space="preserve">550 x 1106 cm|RB</x:t>
        </x:is>
      </x:c>
    </x:row>
    <x:row r="163" s="655" customFormat="1" ht="29.5" customHeight="1">
      <x:c r="A163" s="584" t="n">
        <x:v>1113</x:v>
      </x:c>
      <x:c r="B163" s="585" t="inlineStr">
        <x:is>
          <x:t xml:space="preserve">550 x 1106 cm</x:t>
        </x:is>
      </x:c>
      <x:c r="C163" s="584" t="n">
        <x:v>550</x:v>
      </x:c>
      <x:c r="D163" s="584" t="n">
        <x:v>1106</x:v>
      </x:c>
      <x:c r="E163" s="585" t="inlineStr">
        <x:is>
          <x:t xml:space="preserve">RP</x:t>
        </x:is>
      </x:c>
      <x:c r="F163" s="585" t="inlineStr">
        <x:is>
          <x:t xml:space="preserve">Roleta przednia ZIP</x:t>
        </x:is>
      </x:c>
      <x:c r="G163" s="586" t="n">
        <x:v>0</x:v>
      </x:c>
      <x:c r="H163" s="586" t="n">
        <x:v>450</x:v>
      </x:c>
      <x:c r="I163" s="586" t="n">
        <x:v>9448</x:v>
      </x:c>
      <x:c r="J163" s="586" t="n">
        <x:v>2265</x:v>
      </x:c>
      <x:c r="K163" s="587" t="n">
        <x:v>0.2589163237311385</x:v>
      </x:c>
      <x:c r="L163" s="585" t="inlineStr">
        <x:is>
          <x:t xml:space="preserve">UZUPEŁNIĆ L</x:t>
        </x:is>
      </x:c>
      <x:c r="M163" s="585" t="inlineStr">
        <x:is>
          <x:t xml:space="preserve">L = przedłużona kolumna Montaż rolety przedniej</x:t>
        </x:is>
      </x:c>
      <x:c r="N163" s="585" t="inlineStr">
        <x:is>
          <x:t xml:space="preserve">K zostaje 0; rentowność po L pozostaje podobna do mniejszych wymiarów.</x:t>
        </x:is>
      </x:c>
      <x:c r="O163" s="585" t="inlineStr">
        <x:is>
          <x:t xml:space="preserve">RAW_ZP N/O</x:t>
        </x:is>
      </x:c>
      <x:c r="P163" s="585" t="inlineStr">
        <x:is>
          <x:t xml:space="preserve">550 x 1106 cm|RP</x:t>
        </x:is>
      </x:c>
    </x:row>
    <x:row r="164" s="655" customFormat="1" ht="29.5" customHeight="1">
      <x:c r="A164" s="584" t="n">
        <x:v>1114</x:v>
      </x:c>
      <x:c r="B164" s="585" t="inlineStr">
        <x:is>
          <x:t xml:space="preserve">550 x 1106 cm</x:t>
        </x:is>
      </x:c>
      <x:c r="C164" s="584" t="n">
        <x:v>550</x:v>
      </x:c>
      <x:c r="D164" s="584" t="n">
        <x:v>1106</x:v>
      </x:c>
      <x:c r="E164" s="585" t="inlineStr">
        <x:is>
          <x:t xml:space="preserve">M</x:t>
        </x:is>
      </x:c>
      <x:c r="F164" s="585" t="inlineStr">
        <x:is>
          <x:t xml:space="preserve">Markiza dachowa</x:t>
        </x:is>
      </x:c>
      <x:c r="G164" s="586" t="n">
        <x:v>0</x:v>
      </x:c>
      <x:c r="H164" s="586" t="n">
        <x:v>650</x:v>
      </x:c>
      <x:c r="I164" s="586" t="n">
        <x:v>17494</x:v>
      </x:c>
      <x:c r="J164" s="586" t="n">
        <x:v>4377</x:v>
      </x:c>
      <x:c r="K164" s="587" t="n">
        <x:v>0.2702185454994444</x:v>
      </x:c>
      <x:c r="L164" s="585" t="inlineStr">
        <x:is>
          <x:t xml:space="preserve">UZUPEŁNIĆ L</x:t>
        </x:is>
      </x:c>
      <x:c r="M164" s="585" t="inlineStr">
        <x:is>
          <x:t xml:space="preserve">L = przedłużona kolumna Montaż markizy na dach</x:t>
        </x:is>
      </x:c>
      <x:c r="N164" s="585" t="inlineStr">
        <x:is>
          <x:t xml:space="preserve">K zostaje 0; rentowność po L pozostaje podobna do mniejszych wymiarów.</x:t>
        </x:is>
      </x:c>
      <x:c r="O164" s="585" t="inlineStr">
        <x:is>
          <x:t xml:space="preserve">RAW_ZP H/I</x:t>
        </x:is>
      </x:c>
      <x:c r="P164" s="585" t="inlineStr">
        <x:is>
          <x:t xml:space="preserve">550 x 1106 cm|M</x:t>
        </x:is>
      </x:c>
    </x:row>
    <x:row r="165" s="655" customFormat="1" ht="29.5" customHeight="1">
      <x:c r="A165" s="584" t="n">
        <x:v>1115</x:v>
      </x:c>
      <x:c r="B165" s="585" t="inlineStr">
        <x:is>
          <x:t xml:space="preserve">550 x 1106 cm</x:t>
        </x:is>
      </x:c>
      <x:c r="C165" s="584" t="n">
        <x:v>550</x:v>
      </x:c>
      <x:c r="D165" s="584" t="n">
        <x:v>1106</x:v>
      </x:c>
      <x:c r="E165" s="585" t="inlineStr">
        <x:is>
          <x:t xml:space="preserve">PDWP</x:t>
        </x:is>
      </x:c>
      <x:c r="F165" s="585" t="inlineStr">
        <x:is>
          <x:t xml:space="preserve">Fundament/profile</x:t>
        </x:is>
      </x:c>
      <x:c r="G165" s="586" t="n">
        <x:v>720</x:v>
      </x:c>
      <x:c r="H165" s="586" t="n">
        <x:v>690</x:v>
      </x:c>
      <x:c r="I165" s="586" t="n">
        <x:v>3540</x:v>
      </x:c>
      <x:c r="J165" s="586" t="n">
        <x:v>824</x:v>
      </x:c>
      <x:c r="K165" s="587" t="n">
        <x:v>0.2513727882855399</x:v>
      </x:c>
      <x:c r="L165" s="585" t="inlineStr">
        <x:is>
          <x:t xml:space="preserve">UZUPEŁNIĆ K+L / KOREKTA RENTOWNOŚCI</x:t>
        </x:is>
      </x:c>
      <x:c r="M165" s="585" t="inlineStr">
        <x:is>
          <x:t xml:space="preserve">L = Wyrównanie podłoża; K = dopłata montażowa wyliczona do min. 25% rentowności</x:t>
        </x:is>
      </x:c>
      <x:c r="N165" s="585" t="inlineStr">
        <x:is>
          <x:t xml:space="preserve">Bez K ten dodatek ma ujemną rentowność. To jest korekta biznesowa, nie tylko przedłużenie EG.</x:t>
        </x:is>
      </x:c>
      <x:c r="O165" s="585" t="inlineStr">
        <x:is>
          <x:t xml:space="preserve">RAW_OP AB/AC</x:t>
        </x:is>
      </x:c>
      <x:c r="P165" s="585" t="inlineStr">
        <x:is>
          <x:t xml:space="preserve">550 x 1106 cm|PDWP</x:t>
        </x:is>
      </x:c>
    </x:row>
    <x:row r="166" s="655" customFormat="1" ht="29.5" customHeight="1">
      <x:c r="A166" s="592" t="n">
        <x:v>1116</x:v>
      </x:c>
      <x:c r="B166" s="593" t="inlineStr">
        <x:is>
          <x:t xml:space="preserve">550 x 1106 cm</x:t>
        </x:is>
      </x:c>
      <x:c r="C166" s="592" t="n">
        <x:v>550</x:v>
      </x:c>
      <x:c r="D166" s="592" t="n">
        <x:v>1106</x:v>
      </x:c>
      <x:c r="E166" s="593" t="inlineStr">
        <x:is>
          <x:t xml:space="preserve">ZAB</x:t>
        </x:is>
      </x:c>
      <x:c r="F166" s="593" t="inlineStr">
        <x:is>
          <x:t xml:space="preserve">Zabieraki do ścian przesuwnych</x:t>
        </x:is>
      </x:c>
      <x:c r="G166" s="594" t="n">
        <x:v>0</x:v>
      </x:c>
      <x:c r="H166" s="594" t="n">
        <x:v>0</x:v>
      </x:c>
      <x:c r="I166" s="594" t="n">
        <x:v>916</x:v>
      </x:c>
      <x:c r="J166" s="594" t="n">
        <x:v>263</x:v>
      </x:c>
      <x:c r="K166" s="595" t="n">
        <x:v>0.3101415094339622</x:v>
      </x:c>
      <x:c r="L166" s="593" t="inlineStr">
        <x:is>
          <x:t xml:space="preserve">POZOSTAWIĆ 0</x:t>
        </x:is>
      </x:c>
      <x:c r="M166" s="593" t="inlineStr">
        <x:is>
          <x:t xml:space="preserve">Brak osobnej kolumny wynagrodzenia w Cennik usług; traktować jako element dodatkowy bez osobnej pracy</x:t>
        </x:is>
      </x:c>
      <x:c r="N166" s="593" t="n"/>
      <x:c r="O166" s="593" t="inlineStr">
        <x:is>
          <x:t xml:space="preserve">RAW_OP AD/AE</x:t>
        </x:is>
      </x:c>
      <x:c r="P166" s="593" t="inlineStr">
        <x:is>
          <x:t xml:space="preserve">550 x 1106 cm|ZAB</x:t>
        </x:is>
      </x:c>
    </x:row>
    <x:row r="167" s="655" customFormat="1" ht="29.5" customHeight="1">
      <x:c r="A167" s="592" t="n">
        <x:v>1117</x:v>
      </x:c>
      <x:c r="B167" s="593" t="inlineStr">
        <x:is>
          <x:t xml:space="preserve">550 x 1106 cm</x:t>
        </x:is>
      </x:c>
      <x:c r="C167" s="592" t="n">
        <x:v>550</x:v>
      </x:c>
      <x:c r="D167" s="592" t="n">
        <x:v>1106</x:v>
      </x:c>
      <x:c r="E167" s="593" t="inlineStr">
        <x:is>
          <x:t xml:space="preserve">S</x:t>
        </x:is>
      </x:c>
      <x:c r="F167" s="593" t="inlineStr">
        <x:is>
          <x:t xml:space="preserve">Szczotki przeciwkurzowe</x:t>
        </x:is>
      </x:c>
      <x:c r="G167" s="594" t="n">
        <x:v>0</x:v>
      </x:c>
      <x:c r="H167" s="594" t="n">
        <x:v>0</x:v>
      </x:c>
      <x:c r="I167" s="594" t="n">
        <x:v>1018</x:v>
      </x:c>
      <x:c r="J167" s="594" t="n">
        <x:v>293</x:v>
      </x:c>
      <x:c r="K167" s="595" t="n">
        <x:v>0.3107104984093319</x:v>
      </x:c>
      <x:c r="L167" s="593" t="inlineStr">
        <x:is>
          <x:t xml:space="preserve">POZOSTAWIĆ 0</x:t>
        </x:is>
      </x:c>
      <x:c r="M167" s="593" t="inlineStr">
        <x:is>
          <x:t xml:space="preserve">Zgodnie z Cennik usług: szczotki przeciwkurzowe bez osobnego wynagrodzenia</x:t>
        </x:is>
      </x:c>
      <x:c r="N167" s="593" t="n"/>
      <x:c r="O167" s="593" t="inlineStr">
        <x:is>
          <x:t xml:space="preserve">RAW_OP L/M</x:t>
        </x:is>
      </x:c>
      <x:c r="P167" s="593" t="inlineStr">
        <x:is>
          <x:t xml:space="preserve">550 x 1106 cm|S</x:t>
        </x:is>
      </x:c>
    </x:row>
    <x:row r="168" s="655" customFormat="1" ht="29.5" customHeight="1">
      <x:c r="A168" s="592" t="n">
        <x:v>1118</x:v>
      </x:c>
      <x:c r="B168" s="593" t="inlineStr">
        <x:is>
          <x:t xml:space="preserve">550 x 1106 cm</x:t>
        </x:is>
      </x:c>
      <x:c r="C168" s="592" t="n">
        <x:v>550</x:v>
      </x:c>
      <x:c r="D168" s="592" t="n">
        <x:v>1106</x:v>
      </x:c>
      <x:c r="E168" s="593" t="inlineStr">
        <x:is>
          <x:t xml:space="preserve">U</x:t>
        </x:is>
      </x:c>
      <x:c r="F168" s="593" t="inlineStr">
        <x:is>
          <x:t xml:space="preserve">Uchwyty na szkło ścienne</x:t>
        </x:is>
      </x:c>
      <x:c r="G168" s="594" t="n">
        <x:v>0</x:v>
      </x:c>
      <x:c r="H168" s="594" t="n">
        <x:v>0</x:v>
      </x:c>
      <x:c r="I168" s="594" t="n">
        <x:v>916</x:v>
      </x:c>
      <x:c r="J168" s="594" t="n">
        <x:v>263</x:v>
      </x:c>
      <x:c r="K168" s="595" t="n">
        <x:v>0.3101415094339622</x:v>
      </x:c>
      <x:c r="L168" s="593" t="inlineStr">
        <x:is>
          <x:t xml:space="preserve">POZOSTAWIĆ 0</x:t>
        </x:is>
      </x:c>
      <x:c r="M168" s="593" t="inlineStr">
        <x:is>
          <x:t xml:space="preserve">Zgodnie z Cennik usług: uchwyty bez osobnego wynagrodzenia</x:t>
        </x:is>
      </x:c>
      <x:c r="N168" s="593" t="n"/>
      <x:c r="O168" s="593" t="inlineStr">
        <x:is>
          <x:t xml:space="preserve">RAW_OP N/O</x:t>
        </x:is>
      </x:c>
      <x:c r="P168" s="593" t="inlineStr">
        <x:is>
          <x:t xml:space="preserve">550 x 1106 cm|U</x:t>
        </x:is>
      </x:c>
    </x:row>
    <x:row r="169" s="655" customFormat="1" ht="29.5" customHeight="1">
      <x:c r="A169" s="592" t="n">
        <x:v>1119</x:v>
      </x:c>
      <x:c r="B169" s="593" t="inlineStr">
        <x:is>
          <x:t xml:space="preserve">550 x 1106 cm</x:t>
        </x:is>
      </x:c>
      <x:c r="C169" s="592" t="n">
        <x:v>550</x:v>
      </x:c>
      <x:c r="D169" s="592" t="n">
        <x:v>1106</x:v>
      </x:c>
      <x:c r="E169" s="593" t="inlineStr">
        <x:is>
          <x:t xml:space="preserve">LED2</x:t>
        </x:is>
      </x:c>
      <x:c r="F169" s="593" t="inlineStr">
        <x:is>
          <x:t xml:space="preserve">Oświetlenie LED 2 punkty</x:t>
        </x:is>
      </x:c>
      <x:c r="G169" s="594" t="n">
        <x:v>0</x:v>
      </x:c>
      <x:c r="H169" s="594" t="n">
        <x:v>0</x:v>
      </x:c>
      <x:c r="I169" s="594" t="n">
        <x:v>1821</x:v>
      </x:c>
      <x:c r="J169" s="594" t="n">
        <x:v>523</x:v>
      </x:c>
      <x:c r="K169" s="595" t="n">
        <x:v>0.3102016607354686</x:v>
      </x:c>
      <x:c r="L169" s="593" t="inlineStr">
        <x:is>
          <x:t xml:space="preserve">POZOSTAWIĆ 0 NA RAZIE</x:t>
        </x:is>
      </x:c>
      <x:c r="M169" s="593" t="inlineStr">
        <x:is>
          <x:t xml:space="preserve">Cennik usług miał LED bez osobnego wynagrodzenia; kolumna LED z Wynagr. ekipy jest tylko informacyjna</x:t>
        </x:is>
      </x:c>
      <x:c r="N169" s="593" t="inlineStr">
        <x:is>
          <x:t xml:space="preserve">Informacyjnie wg Wynagr. ekipy LED na krokiew: 650 zł.</x:t>
        </x:is>
      </x:c>
      <x:c r="O169" s="593" t="inlineStr">
        <x:is>
          <x:t xml:space="preserve">RAW_ZP P/Q</x:t>
        </x:is>
      </x:c>
      <x:c r="P169" s="593" t="inlineStr">
        <x:is>
          <x:t xml:space="preserve">550 x 1106 cm|LED2</x:t>
        </x:is>
      </x:c>
    </x:row>
    <x:row r="170" s="655" customFormat="1" ht="29.5" customHeight="1">
      <x:c r="A170" s="592" t="n">
        <x:v>1120</x:v>
      </x:c>
      <x:c r="B170" s="593" t="inlineStr">
        <x:is>
          <x:t xml:space="preserve">550 x 1106 cm</x:t>
        </x:is>
      </x:c>
      <x:c r="C170" s="592" t="n">
        <x:v>550</x:v>
      </x:c>
      <x:c r="D170" s="592" t="n">
        <x:v>1106</x:v>
      </x:c>
      <x:c r="E170" s="593" t="inlineStr">
        <x:is>
          <x:t xml:space="preserve">LED3</x:t>
        </x:is>
      </x:c>
      <x:c r="F170" s="593" t="inlineStr">
        <x:is>
          <x:t xml:space="preserve">Oświetlenie LED 3 punkty</x:t>
        </x:is>
      </x:c>
      <x:c r="G170" s="594" t="n">
        <x:v>0</x:v>
      </x:c>
      <x:c r="H170" s="594" t="n">
        <x:v>0</x:v>
      </x:c>
      <x:c r="I170" s="594" t="n">
        <x:v>2254</x:v>
      </x:c>
      <x:c r="J170" s="594" t="n">
        <x:v>648</x:v>
      </x:c>
      <x:c r="K170" s="595" t="n">
        <x:v>0.3104935313847628</x:v>
      </x:c>
      <x:c r="L170" s="593" t="inlineStr">
        <x:is>
          <x:t xml:space="preserve">POZOSTAWIĆ 0 NA RAZIE</x:t>
        </x:is>
      </x:c>
      <x:c r="M170" s="593" t="inlineStr">
        <x:is>
          <x:t xml:space="preserve">Cennik usług miał LED bez osobnego wynagrodzenia; kolumna LED z Wynagr. ekipy jest tylko informacyjna</x:t>
        </x:is>
      </x:c>
      <x:c r="N170" s="593" t="inlineStr">
        <x:is>
          <x:t xml:space="preserve">Informacyjnie wg Wynagr. ekipy LED na krokiew: 650 zł.</x:t>
        </x:is>
      </x:c>
      <x:c r="O170" s="593" t="inlineStr">
        <x:is>
          <x:t xml:space="preserve">RAW_ZP R/S</x:t>
        </x:is>
      </x:c>
      <x:c r="P170" s="593" t="inlineStr">
        <x:is>
          <x:t xml:space="preserve">550 x 1106 cm|LED3</x:t>
        </x:is>
      </x:c>
    </x:row>
    <x:row r="171" s="655" customFormat="1" ht="29.5" customHeight="1">
      <x:c r="A171" s="592" t="n">
        <x:v>1121</x:v>
      </x:c>
      <x:c r="B171" s="593" t="inlineStr">
        <x:is>
          <x:t xml:space="preserve">550 x 1106 cm</x:t>
        </x:is>
      </x:c>
      <x:c r="C171" s="592" t="n">
        <x:v>550</x:v>
      </x:c>
      <x:c r="D171" s="592" t="n">
        <x:v>1106</x:v>
      </x:c>
      <x:c r="E171" s="593" t="inlineStr">
        <x:is>
          <x:t xml:space="preserve">LEDCCT</x:t>
        </x:is>
      </x:c>
      <x:c r="F171" s="593" t="inlineStr">
        <x:is>
          <x:t xml:space="preserve">Oświetlenie LED CCT</x:t>
        </x:is>
      </x:c>
      <x:c r="G171" s="594" t="n">
        <x:v>0</x:v>
      </x:c>
      <x:c r="H171" s="594" t="n">
        <x:v>0</x:v>
      </x:c>
      <x:c r="I171" s="594" t="n">
        <x:v>0</x:v>
      </x:c>
      <x:c r="J171" s="594" t="n">
        <x:v>0</x:v>
      </x:c>
      <x:c r="K171" s="595" t="n"/>
      <x:c r="L171" s="593" t="inlineStr">
        <x:is>
          <x:t xml:space="preserve">POZOSTAWIĆ 0 / UKRYTE</x:t>
        </x:is>
      </x:c>
      <x:c r="M171" s="593" t="inlineStr">
        <x:is>
          <x:t xml:space="preserve">Brak pełnego cennika dla 550/600; opcje nadal crm_only/ukryte</x:t>
        </x:is>
      </x:c>
      <x:c r="N171" s="593" t="n"/>
      <x:c r="O171" s="593" t="inlineStr">
        <x:is>
          <x:t xml:space="preserve">RAW_ZP T/U</x:t>
        </x:is>
      </x:c>
      <x:c r="P171" s="593" t="inlineStr">
        <x:is>
          <x:t xml:space="preserve">550 x 1106 cm|LEDCCT</x:t>
        </x:is>
      </x:c>
    </x:row>
    <x:row r="172" s="655" customFormat="1" ht="29.5" customHeight="1">
      <x:c r="A172" s="592" t="n">
        <x:v>1122</x:v>
      </x:c>
      <x:c r="B172" s="593" t="inlineStr">
        <x:is>
          <x:t xml:space="preserve">550 x 1106 cm</x:t>
        </x:is>
      </x:c>
      <x:c r="C172" s="592" t="n">
        <x:v>550</x:v>
      </x:c>
      <x:c r="D172" s="592" t="n">
        <x:v>1106</x:v>
      </x:c>
      <x:c r="E172" s="593" t="inlineStr">
        <x:is>
          <x:t xml:space="preserve">LEDRGBCCT</x:t>
        </x:is>
      </x:c>
      <x:c r="F172" s="593" t="inlineStr">
        <x:is>
          <x:t xml:space="preserve">Oświetlenie LED RGB CCT</x:t>
        </x:is>
      </x:c>
      <x:c r="G172" s="594" t="n">
        <x:v>0</x:v>
      </x:c>
      <x:c r="H172" s="594" t="n">
        <x:v>0</x:v>
      </x:c>
      <x:c r="I172" s="594" t="n">
        <x:v>0</x:v>
      </x:c>
      <x:c r="J172" s="594" t="n">
        <x:v>0</x:v>
      </x:c>
      <x:c r="K172" s="595" t="n"/>
      <x:c r="L172" s="593" t="inlineStr">
        <x:is>
          <x:t xml:space="preserve">POZOSTAWIĆ 0 / UKRYTE</x:t>
        </x:is>
      </x:c>
      <x:c r="M172" s="593" t="inlineStr">
        <x:is>
          <x:t xml:space="preserve">Brak pełnego cennika dla 550/600; opcje nadal crm_only/ukryte</x:t>
        </x:is>
      </x:c>
      <x:c r="N172" s="593" t="n"/>
      <x:c r="O172" s="593" t="inlineStr">
        <x:is>
          <x:t xml:space="preserve">RAW_ZP V/W</x:t>
        </x:is>
      </x:c>
      <x:c r="P172" s="593" t="inlineStr">
        <x:is>
          <x:t xml:space="preserve">550 x 1106 cm|LEDRGBCCT</x:t>
        </x:is>
      </x:c>
    </x:row>
    <x:row r="173" s="655" customFormat="1" ht="29.5" customHeight="1">
      <x:c r="A173" s="584" t="n">
        <x:v>1123</x:v>
      </x:c>
      <x:c r="B173" s="585" t="inlineStr">
        <x:is>
          <x:t xml:space="preserve">550 x 1206 cm</x:t>
        </x:is>
      </x:c>
      <x:c r="C173" s="584" t="n">
        <x:v>550</x:v>
      </x:c>
      <x:c r="D173" s="584" t="n">
        <x:v>1206</x:v>
      </x:c>
      <x:c r="E173" s="585" t="inlineStr">
        <x:is>
          <x:t xml:space="preserve">ZP</x:t>
        </x:is>
      </x:c>
      <x:c r="F173" s="585" t="inlineStr">
        <x:is>
          <x:t xml:space="preserve">Zadaszenie poliwęglan - baza</x:t>
        </x:is>
      </x:c>
      <x:c r="G173" s="586" t="n">
        <x:v>6660</x:v>
      </x:c>
      <x:c r="H173" s="586" t="n">
        <x:v>2310</x:v>
      </x:c>
      <x:c r="I173" s="586" t="n">
        <x:v>56299</x:v>
      </x:c>
      <x:c r="J173" s="586" t="n">
        <x:v>18461</x:v>
      </x:c>
      <x:c r="K173" s="587" t="n">
        <x:v>0.3541406894434959</x:v>
      </x:c>
      <x:c r="L173" s="585" t="inlineStr">
        <x:is>
          <x:t xml:space="preserve">UZUPEŁNIĆ</x:t>
        </x:is>
      </x:c>
      <x:c r="M173" s="585" t="inlineStr">
        <x:is>
          <x:t xml:space="preserve">K: model rentowności 450/500; L: przedłużenie Wynagr. ekipy 450→500</x:t>
        </x:is>
      </x:c>
      <x:c r="N173" s="585" t="inlineStr">
        <x:is>
          <x:t xml:space="preserve">Podstawowa konstrukcja z ceną dostawcy dla 550/600.</x:t>
        </x:is>
      </x:c>
      <x:c r="O173" s="585" t="inlineStr">
        <x:is>
          <x:t xml:space="preserve">RAW_ZP B/C</x:t>
        </x:is>
      </x:c>
      <x:c r="P173" s="585" t="inlineStr">
        <x:is>
          <x:t xml:space="preserve">550 x 1206 cm|ZP</x:t>
        </x:is>
      </x:c>
    </x:row>
    <x:row r="174" s="655" customFormat="1" ht="29.5" customHeight="1">
      <x:c r="A174" s="588" t="n">
        <x:v>1124</x:v>
      </x:c>
      <x:c r="B174" s="589" t="inlineStr">
        <x:is>
          <x:t xml:space="preserve">550 x 1206 cm</x:t>
        </x:is>
      </x:c>
      <x:c r="C174" s="588" t="n">
        <x:v>550</x:v>
      </x:c>
      <x:c r="D174" s="588" t="n">
        <x:v>1206</x:v>
      </x:c>
      <x:c r="E174" s="589" t="inlineStr">
        <x:is>
          <x:t xml:space="preserve">ZS</x:t>
        </x:is>
      </x:c>
      <x:c r="F174" s="589" t="inlineStr">
        <x:is>
          <x:t xml:space="preserve">Zadaszenie szkło - pełna konstrukcja</x:t>
        </x:is>
      </x:c>
      <x:c r="G174" s="590" t="n">
        <x:v>6660</x:v>
      </x:c>
      <x:c r="H174" s="590" t="n">
        <x:v>2960</x:v>
      </x:c>
      <x:c r="I174" s="590" t="n"/>
      <x:c r="J174" s="590" t="n"/>
      <x:c r="K174" s="591" t="n"/>
      <x:c r="L174" s="589" t="inlineStr">
        <x:is>
          <x:t xml:space="preserve">NIE PUBLIKOWAĆ / BRAK RAW_ZS</x:t>
        </x:is>
      </x:c>
      <x:c r="M174" s="589" t="inlineStr">
        <x:is>
          <x:t xml:space="preserve">Informacyjnie: K jak ZP, L = pełny montaż zadaszenia szklanego z przedłużenia</x:t>
        </x:is>
      </x:c>
      <x:c r="N174" s="589" t="inlineStr">
        <x:is>
          <x:t xml:space="preserve">Brak ceny dostawcy dla ZS 550/600, więc nieaktywny do czasu cennika dostawcy.</x:t>
        </x:is>
      </x:c>
      <x:c r="O174" s="589" t="inlineStr">
        <x:is>
          <x:t xml:space="preserve">RAW_ZS B/C</x:t>
        </x:is>
      </x:c>
      <x:c r="P174" s="589" t="inlineStr">
        <x:is>
          <x:t xml:space="preserve">550 x 1206 cm|ZS</x:t>
        </x:is>
      </x:c>
    </x:row>
    <x:row r="175" s="655" customFormat="1" ht="29.5" customHeight="1">
      <x:c r="A175" s="584" t="n">
        <x:v>1125</x:v>
      </x:c>
      <x:c r="B175" s="585" t="inlineStr">
        <x:is>
          <x:t xml:space="preserve">550 x 1206 cm</x:t>
        </x:is>
      </x:c>
      <x:c r="C175" s="584" t="n">
        <x:v>550</x:v>
      </x:c>
      <x:c r="D175" s="584" t="n">
        <x:v>1206</x:v>
      </x:c>
      <x:c r="E175" s="585" t="inlineStr">
        <x:is>
          <x:t xml:space="preserve">OP</x:t>
        </x:is>
      </x:c>
      <x:c r="F175" s="585" t="inlineStr">
        <x:is>
          <x:t xml:space="preserve">Ogród zimowy poliwęglan - baza</x:t>
        </x:is>
      </x:c>
      <x:c r="G175" s="586" t="n">
        <x:v>8130</x:v>
      </x:c>
      <x:c r="H175" s="586" t="n">
        <x:v>3240</x:v>
      </x:c>
      <x:c r="I175" s="586" t="n">
        <x:v>88838</x:v>
      </x:c>
      <x:c r="J175" s="586" t="n">
        <x:v>27895</x:v>
      </x:c>
      <x:c r="K175" s="587" t="n">
        <x:v>0.3391200748872437</x:v>
      </x:c>
      <x:c r="L175" s="585" t="inlineStr">
        <x:is>
          <x:t xml:space="preserve">UZUPEŁNIĆ</x:t>
        </x:is>
      </x:c>
      <x:c r="M175" s="585" t="inlineStr">
        <x:is>
          <x:t xml:space="preserve">K: model rentowności 450/500; L: przedłużenie Wynagr. ekipy 450→500</x:t>
        </x:is>
      </x:c>
      <x:c r="N175" s="585" t="inlineStr">
        <x:is>
          <x:t xml:space="preserve">Podstawowa konstrukcja z ceną dostawcy dla 550/600.</x:t>
        </x:is>
      </x:c>
      <x:c r="O175" s="585" t="inlineStr">
        <x:is>
          <x:t xml:space="preserve">RAW_OP B/C</x:t>
        </x:is>
      </x:c>
      <x:c r="P175" s="585" t="inlineStr">
        <x:is>
          <x:t xml:space="preserve">550 x 1206 cm|OP</x:t>
        </x:is>
      </x:c>
    </x:row>
    <x:row r="176" s="655" customFormat="1" ht="29.5" customHeight="1">
      <x:c r="A176" s="588" t="n">
        <x:v>1126</x:v>
      </x:c>
      <x:c r="B176" s="589" t="inlineStr">
        <x:is>
          <x:t xml:space="preserve">550 x 1206 cm</x:t>
        </x:is>
      </x:c>
      <x:c r="C176" s="588" t="n">
        <x:v>550</x:v>
      </x:c>
      <x:c r="D176" s="588" t="n">
        <x:v>1206</x:v>
      </x:c>
      <x:c r="E176" s="589" t="inlineStr">
        <x:is>
          <x:t xml:space="preserve">OS</x:t>
        </x:is>
      </x:c>
      <x:c r="F176" s="589" t="inlineStr">
        <x:is>
          <x:t xml:space="preserve">Ogród zimowy szkło - pełna konstrukcja</x:t>
        </x:is>
      </x:c>
      <x:c r="G176" s="590" t="n">
        <x:v>8130</x:v>
      </x:c>
      <x:c r="H176" s="590" t="n">
        <x:v>3890</x:v>
      </x:c>
      <x:c r="I176" s="590" t="n"/>
      <x:c r="J176" s="590" t="n"/>
      <x:c r="K176" s="591" t="n"/>
      <x:c r="L176" s="589" t="inlineStr">
        <x:is>
          <x:t xml:space="preserve">NIE PUBLIKOWAĆ / BRAK RAW_OS</x:t>
        </x:is>
      </x:c>
      <x:c r="M176" s="589" t="inlineStr">
        <x:is>
          <x:t xml:space="preserve">Informacyjnie: K jak OP, L = pełny montaż ogrodu szklanego z przedłużenia</x:t>
        </x:is>
      </x:c>
      <x:c r="N176" s="589" t="inlineStr">
        <x:is>
          <x:t xml:space="preserve">Brak ceny dostawcy dla OS 550/600, więc nieaktywny do czasu cennika dostawcy.</x:t>
        </x:is>
      </x:c>
      <x:c r="O176" s="589" t="inlineStr">
        <x:is>
          <x:t xml:space="preserve">RAW_OS B/C</x:t>
        </x:is>
      </x:c>
      <x:c r="P176" s="589" t="inlineStr">
        <x:is>
          <x:t xml:space="preserve">550 x 1206 cm|OS</x:t>
        </x:is>
      </x:c>
    </x:row>
    <x:row r="177" s="655" customFormat="1" ht="29.5" customHeight="1">
      <x:c r="A177" s="584" t="n">
        <x:v>1127</x:v>
      </x:c>
      <x:c r="B177" s="585" t="inlineStr">
        <x:is>
          <x:t xml:space="preserve">550 x 1206 cm</x:t>
        </x:is>
      </x:c>
      <x:c r="C177" s="584" t="n">
        <x:v>550</x:v>
      </x:c>
      <x:c r="D177" s="584" t="n">
        <x:v>1206</x:v>
      </x:c>
      <x:c r="E177" s="585" t="inlineStr">
        <x:is>
          <x:t xml:space="preserve">PDS</x:t>
        </x:is>
      </x:c>
      <x:c r="F177" s="585" t="inlineStr">
        <x:is>
          <x:t xml:space="preserve">Dopłata dach szkło przezroczyste</x:t>
        </x:is>
      </x:c>
      <x:c r="G177" s="586" t="n">
        <x:v>0</x:v>
      </x:c>
      <x:c r="H177" s="586" t="n">
        <x:v>650</x:v>
      </x:c>
      <x:c r="I177" s="586" t="n"/>
      <x:c r="J177" s="586" t="n"/>
      <x:c r="K177" s="587" t="n"/>
      <x:c r="L177" s="585" t="inlineStr">
        <x:is>
          <x:t xml:space="preserve">DO UŻYCIA DOPIERO GDY BĘDZIE CENA DACHU SZKŁO</x:t>
        </x:is>
      </x:c>
      <x:c r="M177" s="585" t="inlineStr">
        <x:is>
          <x:t xml:space="preserve">L = montaż zadaszenia szkło - montaż zadaszenia poliwęglan</x:t>
        </x:is>
      </x:c>
      <x:c r="N177" s="585" t="inlineStr">
        <x:is>
          <x:t xml:space="preserve">Potrzebne dla dopłaty dachu szklanego; obecnie brak ceny dostawcy PDS 550/600.</x:t>
        </x:is>
      </x:c>
      <x:c r="O177" s="585" t="inlineStr">
        <x:is>
          <x:t xml:space="preserve">RAW_ZS - RAW_ZP</x:t>
        </x:is>
      </x:c>
      <x:c r="P177" s="585" t="inlineStr">
        <x:is>
          <x:t xml:space="preserve">550 x 1206 cm|PDS</x:t>
        </x:is>
      </x:c>
    </x:row>
    <x:row r="178" s="655" customFormat="1" ht="29.5" customHeight="1">
      <x:c r="A178" s="592" t="n">
        <x:v>1128</x:v>
      </x:c>
      <x:c r="B178" s="593" t="inlineStr">
        <x:is>
          <x:t xml:space="preserve">550 x 1206 cm</x:t>
        </x:is>
      </x:c>
      <x:c r="C178" s="592" t="n">
        <x:v>550</x:v>
      </x:c>
      <x:c r="D178" s="592" t="n">
        <x:v>1206</x:v>
      </x:c>
      <x:c r="E178" s="593" t="inlineStr">
        <x:is>
          <x:t xml:space="preserve">PDSB</x:t>
        </x:is>
      </x:c>
      <x:c r="F178" s="593" t="inlineStr">
        <x:is>
          <x:t xml:space="preserve">Dopłata dach szkło barwione/mleczne</x:t>
        </x:is>
      </x:c>
      <x:c r="G178" s="594" t="n">
        <x:v>0</x:v>
      </x:c>
      <x:c r="H178" s="594" t="n">
        <x:v>0</x:v>
      </x:c>
      <x:c r="I178" s="594" t="n"/>
      <x:c r="J178" s="594" t="n"/>
      <x:c r="K178" s="595" t="n"/>
      <x:c r="L178" s="593" t="inlineStr">
        <x:is>
          <x:t xml:space="preserve">POZOSTAWIĆ 0 / BRAK CENY PDSB</x:t>
        </x:is>
      </x:c>
      <x:c r="M178" s="593" t="inlineStr">
        <x:is>
          <x:t xml:space="preserve">Zgodnie z dotychczasową logiką: dopłata barwienia szkła nie ma osobnego wynagrodzenia</x:t>
        </x:is>
      </x:c>
      <x:c r="N178" s="593" t="inlineStr">
        <x:is>
          <x:t xml:space="preserve">Brak ceny dostawcy dla PDSB 550/600.</x:t>
        </x:is>
      </x:c>
      <x:c r="O178" s="593" t="inlineStr">
        <x:is>
          <x:t xml:space="preserve">RAW_ZS D/E</x:t>
        </x:is>
      </x:c>
      <x:c r="P178" s="593" t="inlineStr">
        <x:is>
          <x:t xml:space="preserve">550 x 1206 cm|PDSB</x:t>
        </x:is>
      </x:c>
    </x:row>
    <x:row r="179" s="655" customFormat="1" ht="29.5" customHeight="1">
      <x:c r="A179" s="592" t="n">
        <x:v>1129</x:v>
      </x:c>
      <x:c r="B179" s="593" t="inlineStr">
        <x:is>
          <x:t xml:space="preserve">550 x 1206 cm</x:t>
        </x:is>
      </x:c>
      <x:c r="C179" s="592" t="n">
        <x:v>550</x:v>
      </x:c>
      <x:c r="D179" s="592" t="n">
        <x:v>1206</x:v>
      </x:c>
      <x:c r="E179" s="593" t="inlineStr">
        <x:is>
          <x:t xml:space="preserve">PDPB</x:t>
        </x:is>
      </x:c>
      <x:c r="F179" s="593" t="inlineStr">
        <x:is>
          <x:t xml:space="preserve">Dopłata poliwęglan barwiony</x:t>
        </x:is>
      </x:c>
      <x:c r="G179" s="594" t="n">
        <x:v>0</x:v>
      </x:c>
      <x:c r="H179" s="594" t="n">
        <x:v>0</x:v>
      </x:c>
      <x:c r="I179" s="594" t="n">
        <x:v>1464</x:v>
      </x:c>
      <x:c r="J179" s="594" t="n">
        <x:v>421</x:v>
      </x:c>
      <x:c r="K179" s="595" t="n">
        <x:v>0.31047197640118</x:v>
      </x:c>
      <x:c r="L179" s="593" t="inlineStr">
        <x:is>
          <x:t xml:space="preserve">POZOSTAWIĆ 0</x:t>
        </x:is>
      </x:c>
      <x:c r="M179" s="593" t="inlineStr">
        <x:is>
          <x:t xml:space="preserve">Zgodnie z Cennik usług: poliwęglan barwiony nie miał osobnej pracy ekipy</x:t>
        </x:is>
      </x:c>
      <x:c r="N179" s="593" t="inlineStr">
        <x:is>
          <x:t xml:space="preserve">Ma cenę dostawcy; montaż/wynagrodzenie zostaje 0.</x:t>
        </x:is>
      </x:c>
      <x:c r="O179" s="593" t="inlineStr">
        <x:is>
          <x:t xml:space="preserve">RAW_ZP D/E</x:t>
        </x:is>
      </x:c>
      <x:c r="P179" s="593" t="inlineStr">
        <x:is>
          <x:t xml:space="preserve">550 x 1206 cm|PDPB</x:t>
        </x:is>
      </x:c>
    </x:row>
    <x:row r="180" s="655" customFormat="1" ht="29.5" customHeight="1">
      <x:c r="A180" s="592" t="n">
        <x:v>1130</x:v>
      </x:c>
      <x:c r="B180" s="593" t="inlineStr">
        <x:is>
          <x:t xml:space="preserve">550 x 1206 cm</x:t>
        </x:is>
      </x:c>
      <x:c r="C180" s="592" t="n">
        <x:v>550</x:v>
      </x:c>
      <x:c r="D180" s="592" t="n">
        <x:v>1206</x:v>
      </x:c>
      <x:c r="E180" s="593" t="inlineStr">
        <x:is>
          <x:t xml:space="preserve">SBB</x:t>
        </x:is>
      </x:c>
      <x:c r="F180" s="593" t="inlineStr">
        <x:is>
          <x:t xml:space="preserve">Dopłata szkło boczne przyciemniane</x:t>
        </x:is>
      </x:c>
      <x:c r="G180" s="594" t="n">
        <x:v>0</x:v>
      </x:c>
      <x:c r="H180" s="594" t="n">
        <x:v>0</x:v>
      </x:c>
      <x:c r="I180" s="594" t="n">
        <x:v>3514</x:v>
      </x:c>
      <x:c r="J180" s="594" t="n">
        <x:v>1010</x:v>
      </x:c>
      <x:c r="K180" s="595" t="n">
        <x:v>0.3103872157344806</x:v>
      </x:c>
      <x:c r="L180" s="593" t="inlineStr">
        <x:is>
          <x:t xml:space="preserve">POZOSTAWIĆ 0</x:t>
        </x:is>
      </x:c>
      <x:c r="M180" s="593" t="inlineStr">
        <x:is>
          <x:t xml:space="preserve">Zgodnie z Cennik usług: szyby boczne barwione nie miały osobnej pracy ekipy</x:t>
        </x:is>
      </x:c>
      <x:c r="N180" s="593" t="inlineStr">
        <x:is>
          <x:t xml:space="preserve">Ma cenę dostawcy; montaż/wynagrodzenie zostaje 0.</x:t>
        </x:is>
      </x:c>
      <x:c r="O180" s="593" t="inlineStr">
        <x:is>
          <x:t xml:space="preserve">RAW_OP H/I</x:t>
        </x:is>
      </x:c>
      <x:c r="P180" s="593" t="inlineStr">
        <x:is>
          <x:t xml:space="preserve">550 x 1206 cm|SBB</x:t>
        </x:is>
      </x:c>
    </x:row>
    <x:row r="181" s="655" customFormat="1" ht="29.5" customHeight="1">
      <x:c r="A181" s="584" t="n">
        <x:v>1131</x:v>
      </x:c>
      <x:c r="B181" s="585" t="inlineStr">
        <x:is>
          <x:t xml:space="preserve">550 x 1206 cm</x:t>
        </x:is>
      </x:c>
      <x:c r="C181" s="584" t="n">
        <x:v>550</x:v>
      </x:c>
      <x:c r="D181" s="584" t="n">
        <x:v>1206</x:v>
      </x:c>
      <x:c r="E181" s="585" t="inlineStr">
        <x:is>
          <x:t xml:space="preserve">RB</x:t>
        </x:is>
      </x:c>
      <x:c r="F181" s="585" t="inlineStr">
        <x:is>
          <x:t xml:space="preserve">Roleta boczna ZIP</x:t>
        </x:is>
      </x:c>
      <x:c r="G181" s="586" t="n">
        <x:v>0</x:v>
      </x:c>
      <x:c r="H181" s="586" t="n">
        <x:v>150</x:v>
      </x:c>
      <x:c r="I181" s="586" t="n">
        <x:v>5067</x:v>
      </x:c>
      <x:c r="J181" s="586" t="n">
        <x:v>1306</x:v>
      </x:c>
      <x:c r="K181" s="587" t="n">
        <x:v>0.2783461210571185</x:v>
      </x:c>
      <x:c r="L181" s="585" t="inlineStr">
        <x:is>
          <x:t xml:space="preserve">UZUPEŁNIĆ L</x:t>
        </x:is>
      </x:c>
      <x:c r="M181" s="585" t="inlineStr">
        <x:is>
          <x:t xml:space="preserve">L = przedłużona kolumna Montaż rolety bocznej</x:t>
        </x:is>
      </x:c>
      <x:c r="N181" s="585" t="inlineStr">
        <x:is>
          <x:t xml:space="preserve">K zostaje 0; rentowność po L pozostaje podobna do mniejszych wymiarów.</x:t>
        </x:is>
      </x:c>
      <x:c r="O181" s="585" t="inlineStr">
        <x:is>
          <x:t xml:space="preserve">RAW_ZP J/K</x:t>
        </x:is>
      </x:c>
      <x:c r="P181" s="585" t="inlineStr">
        <x:is>
          <x:t xml:space="preserve">550 x 1206 cm|RB</x:t>
        </x:is>
      </x:c>
    </x:row>
    <x:row r="182" s="655" customFormat="1" ht="29.5" customHeight="1">
      <x:c r="A182" s="584" t="n">
        <x:v>1132</x:v>
      </x:c>
      <x:c r="B182" s="585" t="inlineStr">
        <x:is>
          <x:t xml:space="preserve">550 x 1206 cm</x:t>
        </x:is>
      </x:c>
      <x:c r="C182" s="584" t="n">
        <x:v>550</x:v>
      </x:c>
      <x:c r="D182" s="584" t="n">
        <x:v>1206</x:v>
      </x:c>
      <x:c r="E182" s="585" t="inlineStr">
        <x:is>
          <x:t xml:space="preserve">RP</x:t>
        </x:is>
      </x:c>
      <x:c r="F182" s="585" t="inlineStr">
        <x:is>
          <x:t xml:space="preserve">Roleta przednia ZIP</x:t>
        </x:is>
      </x:c>
      <x:c r="G182" s="586" t="n">
        <x:v>0</x:v>
      </x:c>
      <x:c r="H182" s="586" t="n">
        <x:v>450</x:v>
      </x:c>
      <x:c r="I182" s="586" t="n">
        <x:v>10084</x:v>
      </x:c>
      <x:c r="J182" s="586" t="n">
        <x:v>2448</x:v>
      </x:c>
      <x:c r="K182" s="587" t="n">
        <x:v>0.2621827139338117</x:v>
      </x:c>
      <x:c r="L182" s="585" t="inlineStr">
        <x:is>
          <x:t xml:space="preserve">UZUPEŁNIĆ L</x:t>
        </x:is>
      </x:c>
      <x:c r="M182" s="585" t="inlineStr">
        <x:is>
          <x:t xml:space="preserve">L = przedłużona kolumna Montaż rolety przedniej</x:t>
        </x:is>
      </x:c>
      <x:c r="N182" s="585" t="inlineStr">
        <x:is>
          <x:t xml:space="preserve">K zostaje 0; rentowność po L pozostaje podobna do mniejszych wymiarów.</x:t>
        </x:is>
      </x:c>
      <x:c r="O182" s="585" t="inlineStr">
        <x:is>
          <x:t xml:space="preserve">RAW_ZP N/O</x:t>
        </x:is>
      </x:c>
      <x:c r="P182" s="585" t="inlineStr">
        <x:is>
          <x:t xml:space="preserve">550 x 1206 cm|RP</x:t>
        </x:is>
      </x:c>
    </x:row>
    <x:row r="183" s="655" customFormat="1" ht="29.5" customHeight="1">
      <x:c r="A183" s="584" t="n">
        <x:v>1133</x:v>
      </x:c>
      <x:c r="B183" s="585" t="inlineStr">
        <x:is>
          <x:t xml:space="preserve">550 x 1206 cm</x:t>
        </x:is>
      </x:c>
      <x:c r="C183" s="584" t="n">
        <x:v>550</x:v>
      </x:c>
      <x:c r="D183" s="584" t="n">
        <x:v>1206</x:v>
      </x:c>
      <x:c r="E183" s="585" t="inlineStr">
        <x:is>
          <x:t xml:space="preserve">M</x:t>
        </x:is>
      </x:c>
      <x:c r="F183" s="585" t="inlineStr">
        <x:is>
          <x:t xml:space="preserve">Markiza dachowa</x:t>
        </x:is>
      </x:c>
      <x:c r="G183" s="586" t="n">
        <x:v>0</x:v>
      </x:c>
      <x:c r="H183" s="586" t="n">
        <x:v>700</x:v>
      </x:c>
      <x:c r="I183" s="586" t="n">
        <x:v>17837</x:v>
      </x:c>
      <x:c r="J183" s="586" t="n">
        <x:v>4426</x:v>
      </x:c>
      <x:c r="K183" s="587" t="n">
        <x:v>0.2679825623637684</x:v>
      </x:c>
      <x:c r="L183" s="585" t="inlineStr">
        <x:is>
          <x:t xml:space="preserve">UZUPEŁNIĆ L</x:t>
        </x:is>
      </x:c>
      <x:c r="M183" s="585" t="inlineStr">
        <x:is>
          <x:t xml:space="preserve">L = przedłużona kolumna Montaż markizy na dach</x:t>
        </x:is>
      </x:c>
      <x:c r="N183" s="585" t="inlineStr">
        <x:is>
          <x:t xml:space="preserve">K zostaje 0; rentowność po L pozostaje podobna do mniejszych wymiarów.</x:t>
        </x:is>
      </x:c>
      <x:c r="O183" s="585" t="inlineStr">
        <x:is>
          <x:t xml:space="preserve">RAW_ZP H/I</x:t>
        </x:is>
      </x:c>
      <x:c r="P183" s="585" t="inlineStr">
        <x:is>
          <x:t xml:space="preserve">550 x 1206 cm|M</x:t>
        </x:is>
      </x:c>
    </x:row>
    <x:row r="184" s="655" customFormat="1" ht="29.5" customHeight="1">
      <x:c r="A184" s="584" t="n">
        <x:v>1134</x:v>
      </x:c>
      <x:c r="B184" s="585" t="inlineStr">
        <x:is>
          <x:t xml:space="preserve">550 x 1206 cm</x:t>
        </x:is>
      </x:c>
      <x:c r="C184" s="584" t="n">
        <x:v>550</x:v>
      </x:c>
      <x:c r="D184" s="584" t="n">
        <x:v>1206</x:v>
      </x:c>
      <x:c r="E184" s="585" t="inlineStr">
        <x:is>
          <x:t xml:space="preserve">PDWP</x:t>
        </x:is>
      </x:c>
      <x:c r="F184" s="585" t="inlineStr">
        <x:is>
          <x:t xml:space="preserve">Fundament/profile</x:t>
        </x:is>
      </x:c>
      <x:c r="G184" s="586" t="n">
        <x:v>760</x:v>
      </x:c>
      <x:c r="H184" s="586" t="n">
        <x:v>740</x:v>
      </x:c>
      <x:c r="I184" s="586" t="n">
        <x:v>3953</x:v>
      </x:c>
      <x:c r="J184" s="586" t="n">
        <x:v>920</x:v>
      </x:c>
      <x:c r="K184" s="587" t="n">
        <x:v>0.2513661202185792</x:v>
      </x:c>
      <x:c r="L184" s="585" t="inlineStr">
        <x:is>
          <x:t xml:space="preserve">UZUPEŁNIĆ K+L / KOREKTA RENTOWNOŚCI</x:t>
        </x:is>
      </x:c>
      <x:c r="M184" s="585" t="inlineStr">
        <x:is>
          <x:t xml:space="preserve">L = Wyrównanie podłoża; K = dopłata montażowa wyliczona do min. 25% rentowności</x:t>
        </x:is>
      </x:c>
      <x:c r="N184" s="585" t="inlineStr">
        <x:is>
          <x:t xml:space="preserve">Bez K ten dodatek ma ujemną rentowność. To jest korekta biznesowa, nie tylko przedłużenie EG.</x:t>
        </x:is>
      </x:c>
      <x:c r="O184" s="585" t="inlineStr">
        <x:is>
          <x:t xml:space="preserve">RAW_OP AB/AC</x:t>
        </x:is>
      </x:c>
      <x:c r="P184" s="585" t="inlineStr">
        <x:is>
          <x:t xml:space="preserve">550 x 1206 cm|PDWP</x:t>
        </x:is>
      </x:c>
    </x:row>
    <x:row r="185" s="655" customFormat="1" ht="29.5" customHeight="1">
      <x:c r="A185" s="592" t="n">
        <x:v>1135</x:v>
      </x:c>
      <x:c r="B185" s="593" t="inlineStr">
        <x:is>
          <x:t xml:space="preserve">550 x 1206 cm</x:t>
        </x:is>
      </x:c>
      <x:c r="C185" s="592" t="n">
        <x:v>550</x:v>
      </x:c>
      <x:c r="D185" s="592" t="n">
        <x:v>1206</x:v>
      </x:c>
      <x:c r="E185" s="593" t="inlineStr">
        <x:is>
          <x:t xml:space="preserve">ZAB</x:t>
        </x:is>
      </x:c>
      <x:c r="F185" s="593" t="inlineStr">
        <x:is>
          <x:t xml:space="preserve">Zabieraki do ścian przesuwnych</x:t>
        </x:is>
      </x:c>
      <x:c r="G185" s="594" t="n">
        <x:v>0</x:v>
      </x:c>
      <x:c r="H185" s="594" t="n">
        <x:v>0</x:v>
      </x:c>
      <x:c r="I185" s="594" t="n">
        <x:v>968</x:v>
      </x:c>
      <x:c r="J185" s="594" t="n">
        <x:v>278</x:v>
      </x:c>
      <x:c r="K185" s="595" t="n">
        <x:v>0.3102678571428572</x:v>
      </x:c>
      <x:c r="L185" s="593" t="inlineStr">
        <x:is>
          <x:t xml:space="preserve">POZOSTAWIĆ 0</x:t>
        </x:is>
      </x:c>
      <x:c r="M185" s="593" t="inlineStr">
        <x:is>
          <x:t xml:space="preserve">Brak osobnej kolumny wynagrodzenia w Cennik usług; traktować jako element dodatkowy bez osobnej pracy</x:t>
        </x:is>
      </x:c>
      <x:c r="N185" s="593" t="n"/>
      <x:c r="O185" s="593" t="inlineStr">
        <x:is>
          <x:t xml:space="preserve">RAW_OP AD/AE</x:t>
        </x:is>
      </x:c>
      <x:c r="P185" s="593" t="inlineStr">
        <x:is>
          <x:t xml:space="preserve">550 x 1206 cm|ZAB</x:t>
        </x:is>
      </x:c>
    </x:row>
    <x:row r="186" s="655" customFormat="1" ht="29.5" customHeight="1">
      <x:c r="A186" s="592" t="n">
        <x:v>1136</x:v>
      </x:c>
      <x:c r="B186" s="593" t="inlineStr">
        <x:is>
          <x:t xml:space="preserve">550 x 1206 cm</x:t>
        </x:is>
      </x:c>
      <x:c r="C186" s="592" t="n">
        <x:v>550</x:v>
      </x:c>
      <x:c r="D186" s="592" t="n">
        <x:v>1206</x:v>
      </x:c>
      <x:c r="E186" s="593" t="inlineStr">
        <x:is>
          <x:t xml:space="preserve">S</x:t>
        </x:is>
      </x:c>
      <x:c r="F186" s="593" t="inlineStr">
        <x:is>
          <x:t xml:space="preserve">Szczotki przeciwkurzowe</x:t>
        </x:is>
      </x:c>
      <x:c r="G186" s="594" t="n">
        <x:v>0</x:v>
      </x:c>
      <x:c r="H186" s="594" t="n">
        <x:v>0</x:v>
      </x:c>
      <x:c r="I186" s="594" t="n">
        <x:v>1069</x:v>
      </x:c>
      <x:c r="J186" s="594" t="n">
        <x:v>307</x:v>
      </x:c>
      <x:c r="K186" s="595" t="n">
        <x:v>0.3101010101010101</x:v>
      </x:c>
      <x:c r="L186" s="593" t="inlineStr">
        <x:is>
          <x:t xml:space="preserve">POZOSTAWIĆ 0</x:t>
        </x:is>
      </x:c>
      <x:c r="M186" s="593" t="inlineStr">
        <x:is>
          <x:t xml:space="preserve">Zgodnie z Cennik usług: szczotki przeciwkurzowe bez osobnego wynagrodzenia</x:t>
        </x:is>
      </x:c>
      <x:c r="N186" s="593" t="n"/>
      <x:c r="O186" s="593" t="inlineStr">
        <x:is>
          <x:t xml:space="preserve">RAW_OP L/M</x:t>
        </x:is>
      </x:c>
      <x:c r="P186" s="593" t="inlineStr">
        <x:is>
          <x:t xml:space="preserve">550 x 1206 cm|S</x:t>
        </x:is>
      </x:c>
    </x:row>
    <x:row r="187" s="655" customFormat="1" ht="29.5" customHeight="1">
      <x:c r="A187" s="592" t="n">
        <x:v>1137</x:v>
      </x:c>
      <x:c r="B187" s="593" t="inlineStr">
        <x:is>
          <x:t xml:space="preserve">550 x 1206 cm</x:t>
        </x:is>
      </x:c>
      <x:c r="C187" s="592" t="n">
        <x:v>550</x:v>
      </x:c>
      <x:c r="D187" s="592" t="n">
        <x:v>1206</x:v>
      </x:c>
      <x:c r="E187" s="593" t="inlineStr">
        <x:is>
          <x:t xml:space="preserve">U</x:t>
        </x:is>
      </x:c>
      <x:c r="F187" s="593" t="inlineStr">
        <x:is>
          <x:t xml:space="preserve">Uchwyty na szkło ścienne</x:t>
        </x:is>
      </x:c>
      <x:c r="G187" s="594" t="n">
        <x:v>0</x:v>
      </x:c>
      <x:c r="H187" s="594" t="n">
        <x:v>0</x:v>
      </x:c>
      <x:c r="I187" s="594" t="n">
        <x:v>968</x:v>
      </x:c>
      <x:c r="J187" s="594" t="n">
        <x:v>278</x:v>
      </x:c>
      <x:c r="K187" s="595" t="n">
        <x:v>0.3102678571428572</x:v>
      </x:c>
      <x:c r="L187" s="593" t="inlineStr">
        <x:is>
          <x:t xml:space="preserve">POZOSTAWIĆ 0</x:t>
        </x:is>
      </x:c>
      <x:c r="M187" s="593" t="inlineStr">
        <x:is>
          <x:t xml:space="preserve">Zgodnie z Cennik usług: uchwyty bez osobnego wynagrodzenia</x:t>
        </x:is>
      </x:c>
      <x:c r="N187" s="593" t="n"/>
      <x:c r="O187" s="593" t="inlineStr">
        <x:is>
          <x:t xml:space="preserve">RAW_OP N/O</x:t>
        </x:is>
      </x:c>
      <x:c r="P187" s="593" t="inlineStr">
        <x:is>
          <x:t xml:space="preserve">550 x 1206 cm|U</x:t>
        </x:is>
      </x:c>
    </x:row>
    <x:row r="188" s="655" customFormat="1" ht="29.5" customHeight="1">
      <x:c r="A188" s="592" t="n">
        <x:v>1138</x:v>
      </x:c>
      <x:c r="B188" s="593" t="inlineStr">
        <x:is>
          <x:t xml:space="preserve">550 x 1206 cm</x:t>
        </x:is>
      </x:c>
      <x:c r="C188" s="592" t="n">
        <x:v>550</x:v>
      </x:c>
      <x:c r="D188" s="592" t="n">
        <x:v>1206</x:v>
      </x:c>
      <x:c r="E188" s="593" t="inlineStr">
        <x:is>
          <x:t xml:space="preserve">LED2</x:t>
        </x:is>
      </x:c>
      <x:c r="F188" s="593" t="inlineStr">
        <x:is>
          <x:t xml:space="preserve">Oświetlenie LED 2 punkty</x:t>
        </x:is>
      </x:c>
      <x:c r="G188" s="594" t="n">
        <x:v>0</x:v>
      </x:c>
      <x:c r="H188" s="594" t="n">
        <x:v>0</x:v>
      </x:c>
      <x:c r="I188" s="594" t="n">
        <x:v>1923</x:v>
      </x:c>
      <x:c r="J188" s="594" t="n">
        <x:v>553</x:v>
      </x:c>
      <x:c r="K188" s="595" t="n">
        <x:v>0.3104997192588433</x:v>
      </x:c>
      <x:c r="L188" s="593" t="inlineStr">
        <x:is>
          <x:t xml:space="preserve">POZOSTAWIĆ 0 NA RAZIE</x:t>
        </x:is>
      </x:c>
      <x:c r="M188" s="593" t="inlineStr">
        <x:is>
          <x:t xml:space="preserve">Cennik usług miał LED bez osobnego wynagrodzenia; kolumna LED z Wynagr. ekipy jest tylko informacyjna</x:t>
        </x:is>
      </x:c>
      <x:c r="N188" s="593" t="inlineStr">
        <x:is>
          <x:t xml:space="preserve">Informacyjnie wg Wynagr. ekipy LED na krokiew: 700 zł.</x:t>
        </x:is>
      </x:c>
      <x:c r="O188" s="593" t="inlineStr">
        <x:is>
          <x:t xml:space="preserve">RAW_ZP P/Q</x:t>
        </x:is>
      </x:c>
      <x:c r="P188" s="593" t="inlineStr">
        <x:is>
          <x:t xml:space="preserve">550 x 1206 cm|LED2</x:t>
        </x:is>
      </x:c>
    </x:row>
    <x:row r="189" s="655" customFormat="1" ht="29.5" customHeight="1">
      <x:c r="A189" s="592" t="n">
        <x:v>1139</x:v>
      </x:c>
      <x:c r="B189" s="593" t="inlineStr">
        <x:is>
          <x:t xml:space="preserve">550 x 1206 cm</x:t>
        </x:is>
      </x:c>
      <x:c r="C189" s="592" t="n">
        <x:v>550</x:v>
      </x:c>
      <x:c r="D189" s="592" t="n">
        <x:v>1206</x:v>
      </x:c>
      <x:c r="E189" s="593" t="inlineStr">
        <x:is>
          <x:t xml:space="preserve">LED3</x:t>
        </x:is>
      </x:c>
      <x:c r="F189" s="593" t="inlineStr">
        <x:is>
          <x:t xml:space="preserve">Oświetlenie LED 3 punkty</x:t>
        </x:is>
      </x:c>
      <x:c r="G189" s="594" t="n">
        <x:v>0</x:v>
      </x:c>
      <x:c r="H189" s="594" t="n">
        <x:v>0</x:v>
      </x:c>
      <x:c r="I189" s="594" t="n">
        <x:v>2419</x:v>
      </x:c>
      <x:c r="J189" s="594" t="n">
        <x:v>695</x:v>
      </x:c>
      <x:c r="K189" s="595" t="n">
        <x:v>0.3102678571428572</x:v>
      </x:c>
      <x:c r="L189" s="593" t="inlineStr">
        <x:is>
          <x:t xml:space="preserve">POZOSTAWIĆ 0 NA RAZIE</x:t>
        </x:is>
      </x:c>
      <x:c r="M189" s="593" t="inlineStr">
        <x:is>
          <x:t xml:space="preserve">Cennik usług miał LED bez osobnego wynagrodzenia; kolumna LED z Wynagr. ekipy jest tylko informacyjna</x:t>
        </x:is>
      </x:c>
      <x:c r="N189" s="593" t="inlineStr">
        <x:is>
          <x:t xml:space="preserve">Informacyjnie wg Wynagr. ekipy LED na krokiew: 700 zł.</x:t>
        </x:is>
      </x:c>
      <x:c r="O189" s="593" t="inlineStr">
        <x:is>
          <x:t xml:space="preserve">RAW_ZP R/S</x:t>
        </x:is>
      </x:c>
      <x:c r="P189" s="593" t="inlineStr">
        <x:is>
          <x:t xml:space="preserve">550 x 1206 cm|LED3</x:t>
        </x:is>
      </x:c>
    </x:row>
    <x:row r="190" s="655" customFormat="1" ht="29.5" customHeight="1">
      <x:c r="A190" s="592" t="n">
        <x:v>1140</x:v>
      </x:c>
      <x:c r="B190" s="593" t="inlineStr">
        <x:is>
          <x:t xml:space="preserve">550 x 1206 cm</x:t>
        </x:is>
      </x:c>
      <x:c r="C190" s="592" t="n">
        <x:v>550</x:v>
      </x:c>
      <x:c r="D190" s="592" t="n">
        <x:v>1206</x:v>
      </x:c>
      <x:c r="E190" s="593" t="inlineStr">
        <x:is>
          <x:t xml:space="preserve">LEDCCT</x:t>
        </x:is>
      </x:c>
      <x:c r="F190" s="593" t="inlineStr">
        <x:is>
          <x:t xml:space="preserve">Oświetlenie LED CCT</x:t>
        </x:is>
      </x:c>
      <x:c r="G190" s="594" t="n">
        <x:v>0</x:v>
      </x:c>
      <x:c r="H190" s="594" t="n">
        <x:v>0</x:v>
      </x:c>
      <x:c r="I190" s="594" t="n">
        <x:v>0</x:v>
      </x:c>
      <x:c r="J190" s="594" t="n">
        <x:v>0</x:v>
      </x:c>
      <x:c r="K190" s="595" t="n"/>
      <x:c r="L190" s="593" t="inlineStr">
        <x:is>
          <x:t xml:space="preserve">POZOSTAWIĆ 0 / UKRYTE</x:t>
        </x:is>
      </x:c>
      <x:c r="M190" s="593" t="inlineStr">
        <x:is>
          <x:t xml:space="preserve">Brak pełnego cennika dla 550/600; opcje nadal crm_only/ukryte</x:t>
        </x:is>
      </x:c>
      <x:c r="N190" s="593" t="n"/>
      <x:c r="O190" s="593" t="inlineStr">
        <x:is>
          <x:t xml:space="preserve">RAW_ZP T/U</x:t>
        </x:is>
      </x:c>
      <x:c r="P190" s="593" t="inlineStr">
        <x:is>
          <x:t xml:space="preserve">550 x 1206 cm|LEDCCT</x:t>
        </x:is>
      </x:c>
    </x:row>
    <x:row r="191" s="655" customFormat="1" ht="29.5" customHeight="1">
      <x:c r="A191" s="592" t="n">
        <x:v>1141</x:v>
      </x:c>
      <x:c r="B191" s="593" t="inlineStr">
        <x:is>
          <x:t xml:space="preserve">550 x 1206 cm</x:t>
        </x:is>
      </x:c>
      <x:c r="C191" s="592" t="n">
        <x:v>550</x:v>
      </x:c>
      <x:c r="D191" s="592" t="n">
        <x:v>1206</x:v>
      </x:c>
      <x:c r="E191" s="593" t="inlineStr">
        <x:is>
          <x:t xml:space="preserve">LEDRGBCCT</x:t>
        </x:is>
      </x:c>
      <x:c r="F191" s="593" t="inlineStr">
        <x:is>
          <x:t xml:space="preserve">Oświetlenie LED RGB CCT</x:t>
        </x:is>
      </x:c>
      <x:c r="G191" s="594" t="n">
        <x:v>0</x:v>
      </x:c>
      <x:c r="H191" s="594" t="n">
        <x:v>0</x:v>
      </x:c>
      <x:c r="I191" s="594" t="n">
        <x:v>0</x:v>
      </x:c>
      <x:c r="J191" s="594" t="n">
        <x:v>0</x:v>
      </x:c>
      <x:c r="K191" s="595" t="n"/>
      <x:c r="L191" s="593" t="inlineStr">
        <x:is>
          <x:t xml:space="preserve">POZOSTAWIĆ 0 / UKRYTE</x:t>
        </x:is>
      </x:c>
      <x:c r="M191" s="593" t="inlineStr">
        <x:is>
          <x:t xml:space="preserve">Brak pełnego cennika dla 550/600; opcje nadal crm_only/ukryte</x:t>
        </x:is>
      </x:c>
      <x:c r="N191" s="593" t="n"/>
      <x:c r="O191" s="593" t="inlineStr">
        <x:is>
          <x:t xml:space="preserve">RAW_ZP V/W</x:t>
        </x:is>
      </x:c>
      <x:c r="P191" s="593" t="inlineStr">
        <x:is>
          <x:t xml:space="preserve">550 x 1206 cm|LEDRGBCCT</x:t>
        </x:is>
      </x:c>
    </x:row>
    <x:row r="192" s="655" customFormat="1" ht="29.5" customHeight="1">
      <x:c r="A192" s="584" t="n">
        <x:v>1142</x:v>
      </x:c>
      <x:c r="B192" s="585" t="inlineStr">
        <x:is>
          <x:t xml:space="preserve">600 x 306 cm</x:t>
        </x:is>
      </x:c>
      <x:c r="C192" s="584" t="n">
        <x:v>600</x:v>
      </x:c>
      <x:c r="D192" s="584" t="n">
        <x:v>306</x:v>
      </x:c>
      <x:c r="E192" s="585" t="inlineStr">
        <x:is>
          <x:t xml:space="preserve">ZP</x:t>
        </x:is>
      </x:c>
      <x:c r="F192" s="585" t="inlineStr">
        <x:is>
          <x:t xml:space="preserve">Zadaszenie poliwęglan - baza</x:t>
        </x:is>
      </x:c>
      <x:c r="G192" s="586" t="n">
        <x:v>4100</x:v>
      </x:c>
      <x:c r="H192" s="586" t="n">
        <x:v>1210</x:v>
      </x:c>
      <x:c r="I192" s="586" t="n">
        <x:v>18038</x:v>
      </x:c>
      <x:c r="J192" s="586" t="n">
        <x:v>6801</x:v>
      </x:c>
      <x:c r="K192" s="587" t="n">
        <x:v>0.4071967429050413</x:v>
      </x:c>
      <x:c r="L192" s="585" t="inlineStr">
        <x:is>
          <x:t xml:space="preserve">UZUPEŁNIĆ</x:t>
        </x:is>
      </x:c>
      <x:c r="M192" s="585" t="inlineStr">
        <x:is>
          <x:t xml:space="preserve">K: model rentowności 450/500; L: przedłużenie Wynagr. ekipy 450→500</x:t>
        </x:is>
      </x:c>
      <x:c r="N192" s="585" t="inlineStr">
        <x:is>
          <x:t xml:space="preserve">Podstawowa konstrukcja z ceną dostawcy dla 550/600.</x:t>
        </x:is>
      </x:c>
      <x:c r="O192" s="585" t="inlineStr">
        <x:is>
          <x:t xml:space="preserve">RAW_ZP B/C</x:t>
        </x:is>
      </x:c>
      <x:c r="P192" s="585" t="inlineStr">
        <x:is>
          <x:t xml:space="preserve">600 x 306 cm|ZP</x:t>
        </x:is>
      </x:c>
    </x:row>
    <x:row r="193" s="655" customFormat="1" ht="29.5" customHeight="1">
      <x:c r="A193" s="588" t="n">
        <x:v>1143</x:v>
      </x:c>
      <x:c r="B193" s="589" t="inlineStr">
        <x:is>
          <x:t xml:space="preserve">600 x 306 cm</x:t>
        </x:is>
      </x:c>
      <x:c r="C193" s="588" t="n">
        <x:v>600</x:v>
      </x:c>
      <x:c r="D193" s="588" t="n">
        <x:v>306</x:v>
      </x:c>
      <x:c r="E193" s="589" t="inlineStr">
        <x:is>
          <x:t xml:space="preserve">ZS</x:t>
        </x:is>
      </x:c>
      <x:c r="F193" s="589" t="inlineStr">
        <x:is>
          <x:t xml:space="preserve">Zadaszenie szkło - pełna konstrukcja</x:t>
        </x:is>
      </x:c>
      <x:c r="G193" s="590" t="n">
        <x:v>4100</x:v>
      </x:c>
      <x:c r="H193" s="590" t="n">
        <x:v>1560</x:v>
      </x:c>
      <x:c r="I193" s="590" t="n"/>
      <x:c r="J193" s="590" t="n"/>
      <x:c r="K193" s="591" t="n"/>
      <x:c r="L193" s="589" t="inlineStr">
        <x:is>
          <x:t xml:space="preserve">NIE PUBLIKOWAĆ / BRAK RAW_ZS</x:t>
        </x:is>
      </x:c>
      <x:c r="M193" s="589" t="inlineStr">
        <x:is>
          <x:t xml:space="preserve">Informacyjnie: K jak ZP, L = pełny montaż zadaszenia szklanego z przedłużenia</x:t>
        </x:is>
      </x:c>
      <x:c r="N193" s="589" t="inlineStr">
        <x:is>
          <x:t xml:space="preserve">Brak ceny dostawcy dla ZS 550/600, więc nieaktywny do czasu cennika dostawcy.</x:t>
        </x:is>
      </x:c>
      <x:c r="O193" s="589" t="inlineStr">
        <x:is>
          <x:t xml:space="preserve">RAW_ZS B/C</x:t>
        </x:is>
      </x:c>
      <x:c r="P193" s="589" t="inlineStr">
        <x:is>
          <x:t xml:space="preserve">600 x 306 cm|ZS</x:t>
        </x:is>
      </x:c>
    </x:row>
    <x:row r="194" s="655" customFormat="1" ht="29.5" customHeight="1">
      <x:c r="A194" s="584" t="n">
        <x:v>1144</x:v>
      </x:c>
      <x:c r="B194" s="585" t="inlineStr">
        <x:is>
          <x:t xml:space="preserve">600 x 306 cm</x:t>
        </x:is>
      </x:c>
      <x:c r="C194" s="584" t="n">
        <x:v>600</x:v>
      </x:c>
      <x:c r="D194" s="584" t="n">
        <x:v>306</x:v>
      </x:c>
      <x:c r="E194" s="585" t="inlineStr">
        <x:is>
          <x:t xml:space="preserve">OP</x:t>
        </x:is>
      </x:c>
      <x:c r="F194" s="585" t="inlineStr">
        <x:is>
          <x:t xml:space="preserve">Ogród zimowy poliwęglan - baza</x:t>
        </x:is>
      </x:c>
      <x:c r="G194" s="586" t="n">
        <x:v>4900</x:v>
      </x:c>
      <x:c r="H194" s="586" t="n">
        <x:v>1710</x:v>
      </x:c>
      <x:c r="I194" s="586" t="n">
        <x:v>41412</x:v>
      </x:c>
      <x:c r="J194" s="586" t="n">
        <x:v>13569</x:v>
      </x:c>
      <x:c r="K194" s="587" t="n">
        <x:v>0.3538754433548926</x:v>
      </x:c>
      <x:c r="L194" s="585" t="inlineStr">
        <x:is>
          <x:t xml:space="preserve">UZUPEŁNIĆ</x:t>
        </x:is>
      </x:c>
      <x:c r="M194" s="585" t="inlineStr">
        <x:is>
          <x:t xml:space="preserve">K: model rentowności 450/500; L: przedłużenie Wynagr. ekipy 450→500</x:t>
        </x:is>
      </x:c>
      <x:c r="N194" s="585" t="inlineStr">
        <x:is>
          <x:t xml:space="preserve">Podstawowa konstrukcja z ceną dostawcy dla 550/600.</x:t>
        </x:is>
      </x:c>
      <x:c r="O194" s="585" t="inlineStr">
        <x:is>
          <x:t xml:space="preserve">RAW_OP B/C</x:t>
        </x:is>
      </x:c>
      <x:c r="P194" s="585" t="inlineStr">
        <x:is>
          <x:t xml:space="preserve">600 x 306 cm|OP</x:t>
        </x:is>
      </x:c>
    </x:row>
    <x:row r="195" s="655" customFormat="1" ht="29.5" customHeight="1">
      <x:c r="A195" s="588" t="n">
        <x:v>1145</x:v>
      </x:c>
      <x:c r="B195" s="589" t="inlineStr">
        <x:is>
          <x:t xml:space="preserve">600 x 306 cm</x:t>
        </x:is>
      </x:c>
      <x:c r="C195" s="588" t="n">
        <x:v>600</x:v>
      </x:c>
      <x:c r="D195" s="588" t="n">
        <x:v>306</x:v>
      </x:c>
      <x:c r="E195" s="589" t="inlineStr">
        <x:is>
          <x:t xml:space="preserve">OS</x:t>
        </x:is>
      </x:c>
      <x:c r="F195" s="589" t="inlineStr">
        <x:is>
          <x:t xml:space="preserve">Ogród zimowy szkło - pełna konstrukcja</x:t>
        </x:is>
      </x:c>
      <x:c r="G195" s="590" t="n">
        <x:v>4900</x:v>
      </x:c>
      <x:c r="H195" s="590" t="n">
        <x:v>2060</x:v>
      </x:c>
      <x:c r="I195" s="590" t="n"/>
      <x:c r="J195" s="590" t="n"/>
      <x:c r="K195" s="591" t="n"/>
      <x:c r="L195" s="589" t="inlineStr">
        <x:is>
          <x:t xml:space="preserve">NIE PUBLIKOWAĆ / BRAK RAW_OS</x:t>
        </x:is>
      </x:c>
      <x:c r="M195" s="589" t="inlineStr">
        <x:is>
          <x:t xml:space="preserve">Informacyjnie: K jak OP, L = pełny montaż ogrodu szklanego z przedłużenia</x:t>
        </x:is>
      </x:c>
      <x:c r="N195" s="589" t="inlineStr">
        <x:is>
          <x:t xml:space="preserve">Brak ceny dostawcy dla OS 550/600, więc nieaktywny do czasu cennika dostawcy.</x:t>
        </x:is>
      </x:c>
      <x:c r="O195" s="589" t="inlineStr">
        <x:is>
          <x:t xml:space="preserve">RAW_OS B/C</x:t>
        </x:is>
      </x:c>
      <x:c r="P195" s="589" t="inlineStr">
        <x:is>
          <x:t xml:space="preserve">600 x 306 cm|OS</x:t>
        </x:is>
      </x:c>
    </x:row>
    <x:row r="196" s="655" customFormat="1" ht="29.5" customHeight="1">
      <x:c r="A196" s="584" t="n">
        <x:v>1146</x:v>
      </x:c>
      <x:c r="B196" s="585" t="inlineStr">
        <x:is>
          <x:t xml:space="preserve">600 x 306 cm</x:t>
        </x:is>
      </x:c>
      <x:c r="C196" s="584" t="n">
        <x:v>600</x:v>
      </x:c>
      <x:c r="D196" s="584" t="n">
        <x:v>306</x:v>
      </x:c>
      <x:c r="E196" s="585" t="inlineStr">
        <x:is>
          <x:t xml:space="preserve">PDS</x:t>
        </x:is>
      </x:c>
      <x:c r="F196" s="585" t="inlineStr">
        <x:is>
          <x:t xml:space="preserve">Dopłata dach szkło przezroczyste</x:t>
        </x:is>
      </x:c>
      <x:c r="G196" s="586" t="n">
        <x:v>0</x:v>
      </x:c>
      <x:c r="H196" s="586" t="n">
        <x:v>350</x:v>
      </x:c>
      <x:c r="I196" s="586" t="n"/>
      <x:c r="J196" s="586" t="n"/>
      <x:c r="K196" s="587" t="n"/>
      <x:c r="L196" s="585" t="inlineStr">
        <x:is>
          <x:t xml:space="preserve">DO UŻYCIA DOPIERO GDY BĘDZIE CENA DACHU SZKŁO</x:t>
        </x:is>
      </x:c>
      <x:c r="M196" s="585" t="inlineStr">
        <x:is>
          <x:t xml:space="preserve">L = montaż zadaszenia szkło - montaż zadaszenia poliwęglan</x:t>
        </x:is>
      </x:c>
      <x:c r="N196" s="585" t="inlineStr">
        <x:is>
          <x:t xml:space="preserve">Potrzebne dla dopłaty dachu szklanego; obecnie brak ceny dostawcy PDS 550/600.</x:t>
        </x:is>
      </x:c>
      <x:c r="O196" s="585" t="inlineStr">
        <x:is>
          <x:t xml:space="preserve">RAW_ZS - RAW_ZP</x:t>
        </x:is>
      </x:c>
      <x:c r="P196" s="585" t="inlineStr">
        <x:is>
          <x:t xml:space="preserve">600 x 306 cm|PDS</x:t>
        </x:is>
      </x:c>
    </x:row>
    <x:row r="197" s="655" customFormat="1" ht="29.5" customHeight="1">
      <x:c r="A197" s="592" t="n">
        <x:v>1147</x:v>
      </x:c>
      <x:c r="B197" s="593" t="inlineStr">
        <x:is>
          <x:t xml:space="preserve">600 x 306 cm</x:t>
        </x:is>
      </x:c>
      <x:c r="C197" s="592" t="n">
        <x:v>600</x:v>
      </x:c>
      <x:c r="D197" s="592" t="n">
        <x:v>306</x:v>
      </x:c>
      <x:c r="E197" s="593" t="inlineStr">
        <x:is>
          <x:t xml:space="preserve">PDSB</x:t>
        </x:is>
      </x:c>
      <x:c r="F197" s="593" t="inlineStr">
        <x:is>
          <x:t xml:space="preserve">Dopłata dach szkło barwione/mleczne</x:t>
        </x:is>
      </x:c>
      <x:c r="G197" s="594" t="n">
        <x:v>0</x:v>
      </x:c>
      <x:c r="H197" s="594" t="n">
        <x:v>0</x:v>
      </x:c>
      <x:c r="I197" s="594" t="n"/>
      <x:c r="J197" s="594" t="n"/>
      <x:c r="K197" s="595" t="n"/>
      <x:c r="L197" s="593" t="inlineStr">
        <x:is>
          <x:t xml:space="preserve">POZOSTAWIĆ 0 / BRAK CENY PDSB</x:t>
        </x:is>
      </x:c>
      <x:c r="M197" s="593" t="inlineStr">
        <x:is>
          <x:t xml:space="preserve">Zgodnie z dotychczasową logiką: dopłata barwienia szkła nie ma osobnego wynagrodzenia</x:t>
        </x:is>
      </x:c>
      <x:c r="N197" s="593" t="inlineStr">
        <x:is>
          <x:t xml:space="preserve">Brak ceny dostawcy dla PDSB 550/600.</x:t>
        </x:is>
      </x:c>
      <x:c r="O197" s="593" t="inlineStr">
        <x:is>
          <x:t xml:space="preserve">RAW_ZS D/E</x:t>
        </x:is>
      </x:c>
      <x:c r="P197" s="593" t="inlineStr">
        <x:is>
          <x:t xml:space="preserve">600 x 306 cm|PDSB</x:t>
        </x:is>
      </x:c>
    </x:row>
    <x:row r="198" s="655" customFormat="1" ht="29.5" customHeight="1">
      <x:c r="A198" s="592" t="n">
        <x:v>1148</x:v>
      </x:c>
      <x:c r="B198" s="593" t="inlineStr">
        <x:is>
          <x:t xml:space="preserve">600 x 306 cm</x:t>
        </x:is>
      </x:c>
      <x:c r="C198" s="592" t="n">
        <x:v>600</x:v>
      </x:c>
      <x:c r="D198" s="592" t="n">
        <x:v>306</x:v>
      </x:c>
      <x:c r="E198" s="593" t="inlineStr">
        <x:is>
          <x:t xml:space="preserve">PDPB</x:t>
        </x:is>
      </x:c>
      <x:c r="F198" s="593" t="inlineStr">
        <x:is>
          <x:t xml:space="preserve">Dopłata poliwęglan barwiony</x:t>
        </x:is>
      </x:c>
      <x:c r="G198" s="594" t="n">
        <x:v>0</x:v>
      </x:c>
      <x:c r="H198" s="594" t="n">
        <x:v>0</x:v>
      </x:c>
      <x:c r="I198" s="594" t="n">
        <x:v>394</x:v>
      </x:c>
      <x:c r="J198" s="594" t="n">
        <x:v>113</x:v>
      </x:c>
      <x:c r="K198" s="595" t="n">
        <x:v>0.3095890410958904</x:v>
      </x:c>
      <x:c r="L198" s="593" t="inlineStr">
        <x:is>
          <x:t xml:space="preserve">POZOSTAWIĆ 0</x:t>
        </x:is>
      </x:c>
      <x:c r="M198" s="593" t="inlineStr">
        <x:is>
          <x:t xml:space="preserve">Zgodnie z Cennik usług: poliwęglan barwiony nie miał osobnej pracy ekipy</x:t>
        </x:is>
      </x:c>
      <x:c r="N198" s="593" t="inlineStr">
        <x:is>
          <x:t xml:space="preserve">Ma cenę dostawcy; montaż/wynagrodzenie zostaje 0.</x:t>
        </x:is>
      </x:c>
      <x:c r="O198" s="593" t="inlineStr">
        <x:is>
          <x:t xml:space="preserve">RAW_ZP D/E</x:t>
        </x:is>
      </x:c>
      <x:c r="P198" s="593" t="inlineStr">
        <x:is>
          <x:t xml:space="preserve">600 x 306 cm|PDPB</x:t>
        </x:is>
      </x:c>
    </x:row>
    <x:row r="199" s="655" customFormat="1" ht="29.5" customHeight="1">
      <x:c r="A199" s="592" t="n">
        <x:v>1149</x:v>
      </x:c>
      <x:c r="B199" s="593" t="inlineStr">
        <x:is>
          <x:t xml:space="preserve">600 x 306 cm</x:t>
        </x:is>
      </x:c>
      <x:c r="C199" s="592" t="n">
        <x:v>600</x:v>
      </x:c>
      <x:c r="D199" s="592" t="n">
        <x:v>306</x:v>
      </x:c>
      <x:c r="E199" s="593" t="inlineStr">
        <x:is>
          <x:t xml:space="preserve">SBB</x:t>
        </x:is>
      </x:c>
      <x:c r="F199" s="593" t="inlineStr">
        <x:is>
          <x:t xml:space="preserve">Dopłata szkło boczne przyciemniane</x:t>
        </x:is>
      </x:c>
      <x:c r="G199" s="594" t="n">
        <x:v>0</x:v>
      </x:c>
      <x:c r="H199" s="594" t="n">
        <x:v>0</x:v>
      </x:c>
      <x:c r="I199" s="594" t="n">
        <x:v>2291</x:v>
      </x:c>
      <x:c r="J199" s="594" t="n">
        <x:v>658</x:v>
      </x:c>
      <x:c r="K199" s="595" t="n">
        <x:v>0.3102310231023102</x:v>
      </x:c>
      <x:c r="L199" s="593" t="inlineStr">
        <x:is>
          <x:t xml:space="preserve">POZOSTAWIĆ 0</x:t>
        </x:is>
      </x:c>
      <x:c r="M199" s="593" t="inlineStr">
        <x:is>
          <x:t xml:space="preserve">Zgodnie z Cennik usług: szyby boczne barwione nie miały osobnej pracy ekipy</x:t>
        </x:is>
      </x:c>
      <x:c r="N199" s="593" t="inlineStr">
        <x:is>
          <x:t xml:space="preserve">Ma cenę dostawcy; montaż/wynagrodzenie zostaje 0.</x:t>
        </x:is>
      </x:c>
      <x:c r="O199" s="593" t="inlineStr">
        <x:is>
          <x:t xml:space="preserve">RAW_OP H/I</x:t>
        </x:is>
      </x:c>
      <x:c r="P199" s="593" t="inlineStr">
        <x:is>
          <x:t xml:space="preserve">600 x 306 cm|SBB</x:t>
        </x:is>
      </x:c>
    </x:row>
    <x:row r="200" s="655" customFormat="1" ht="29.5" customHeight="1">
      <x:c r="A200" s="584" t="n">
        <x:v>1150</x:v>
      </x:c>
      <x:c r="B200" s="585" t="inlineStr">
        <x:is>
          <x:t xml:space="preserve">600 x 306 cm</x:t>
        </x:is>
      </x:c>
      <x:c r="C200" s="584" t="n">
        <x:v>600</x:v>
      </x:c>
      <x:c r="D200" s="584" t="n">
        <x:v>306</x:v>
      </x:c>
      <x:c r="E200" s="585" t="inlineStr">
        <x:is>
          <x:t xml:space="preserve">RB</x:t>
        </x:is>
      </x:c>
      <x:c r="F200" s="585" t="inlineStr">
        <x:is>
          <x:t xml:space="preserve">Roleta boczna ZIP</x:t>
        </x:is>
      </x:c>
      <x:c r="G200" s="586" t="n">
        <x:v>0</x:v>
      </x:c>
      <x:c r="H200" s="586" t="n">
        <x:v>150</x:v>
      </x:c>
      <x:c r="I200" s="586" t="n">
        <x:v>5437</x:v>
      </x:c>
      <x:c r="J200" s="586" t="n">
        <x:v>1412</x:v>
      </x:c>
      <x:c r="K200" s="587" t="n">
        <x:v>0.2804926499801351</x:v>
      </x:c>
      <x:c r="L200" s="585" t="inlineStr">
        <x:is>
          <x:t xml:space="preserve">UZUPEŁNIĆ L</x:t>
        </x:is>
      </x:c>
      <x:c r="M200" s="585" t="inlineStr">
        <x:is>
          <x:t xml:space="preserve">L = przedłużona kolumna Montaż rolety bocznej</x:t>
        </x:is>
      </x:c>
      <x:c r="N200" s="585" t="inlineStr">
        <x:is>
          <x:t xml:space="preserve">K zostaje 0; rentowność po L pozostaje podobna do mniejszych wymiarów.</x:t>
        </x:is>
      </x:c>
      <x:c r="O200" s="585" t="inlineStr">
        <x:is>
          <x:t xml:space="preserve">RAW_ZP J/K</x:t>
        </x:is>
      </x:c>
      <x:c r="P200" s="585" t="inlineStr">
        <x:is>
          <x:t xml:space="preserve">600 x 306 cm|RB</x:t>
        </x:is>
      </x:c>
    </x:row>
    <x:row r="201" s="655" customFormat="1" ht="29.5" customHeight="1">
      <x:c r="A201" s="584" t="n">
        <x:v>1151</x:v>
      </x:c>
      <x:c r="B201" s="585" t="inlineStr">
        <x:is>
          <x:t xml:space="preserve">600 x 306 cm</x:t>
        </x:is>
      </x:c>
      <x:c r="C201" s="584" t="n">
        <x:v>600</x:v>
      </x:c>
      <x:c r="D201" s="584" t="n">
        <x:v>306</x:v>
      </x:c>
      <x:c r="E201" s="585" t="inlineStr">
        <x:is>
          <x:t xml:space="preserve">RP</x:t>
        </x:is>
      </x:c>
      <x:c r="F201" s="585" t="inlineStr">
        <x:is>
          <x:t xml:space="preserve">Roleta przednia ZIP</x:t>
        </x:is>
      </x:c>
      <x:c r="G201" s="586" t="n">
        <x:v>0</x:v>
      </x:c>
      <x:c r="H201" s="586" t="n">
        <x:v>150</x:v>
      </x:c>
      <x:c r="I201" s="586" t="n">
        <x:v>2725</x:v>
      </x:c>
      <x:c r="J201" s="586" t="n">
        <x:v>633</x:v>
      </x:c>
      <x:c r="K201" s="587" t="n">
        <x:v>0.2508917954815695</x:v>
      </x:c>
      <x:c r="L201" s="585" t="inlineStr">
        <x:is>
          <x:t xml:space="preserve">UZUPEŁNIĆ L</x:t>
        </x:is>
      </x:c>
      <x:c r="M201" s="585" t="inlineStr">
        <x:is>
          <x:t xml:space="preserve">L = przedłużona kolumna Montaż rolety przedniej</x:t>
        </x:is>
      </x:c>
      <x:c r="N201" s="585" t="inlineStr">
        <x:is>
          <x:t xml:space="preserve">K zostaje 0; rentowność po L pozostaje podobna do mniejszych wymiarów.</x:t>
        </x:is>
      </x:c>
      <x:c r="O201" s="585" t="inlineStr">
        <x:is>
          <x:t xml:space="preserve">RAW_ZP N/O</x:t>
        </x:is>
      </x:c>
      <x:c r="P201" s="585" t="inlineStr">
        <x:is>
          <x:t xml:space="preserve">600 x 306 cm|RP</x:t>
        </x:is>
      </x:c>
    </x:row>
    <x:row r="202" s="655" customFormat="1" ht="29.5" customHeight="1">
      <x:c r="A202" s="584" t="n">
        <x:v>1152</x:v>
      </x:c>
      <x:c r="B202" s="585" t="inlineStr">
        <x:is>
          <x:t xml:space="preserve">600 x 306 cm</x:t>
        </x:is>
      </x:c>
      <x:c r="C202" s="584" t="n">
        <x:v>600</x:v>
      </x:c>
      <x:c r="D202" s="584" t="n">
        <x:v>306</x:v>
      </x:c>
      <x:c r="E202" s="585" t="inlineStr">
        <x:is>
          <x:t xml:space="preserve">M</x:t>
        </x:is>
      </x:c>
      <x:c r="F202" s="585" t="inlineStr">
        <x:is>
          <x:t xml:space="preserve">Markiza dachowa</x:t>
        </x:is>
      </x:c>
      <x:c r="G202" s="586" t="n">
        <x:v>0</x:v>
      </x:c>
      <x:c r="H202" s="586" t="n">
        <x:v>200</x:v>
      </x:c>
      <x:c r="I202" s="586" t="n">
        <x:v>5321</x:v>
      </x:c>
      <x:c r="J202" s="586" t="n">
        <x:v>1329</x:v>
      </x:c>
      <x:c r="K202" s="587" t="n">
        <x:v>0.2697381773898924</x:v>
      </x:c>
      <x:c r="L202" s="585" t="inlineStr">
        <x:is>
          <x:t xml:space="preserve">UZUPEŁNIĆ L</x:t>
        </x:is>
      </x:c>
      <x:c r="M202" s="585" t="inlineStr">
        <x:is>
          <x:t xml:space="preserve">L = przedłużona kolumna Montaż markizy na dach</x:t>
        </x:is>
      </x:c>
      <x:c r="N202" s="585" t="inlineStr">
        <x:is>
          <x:t xml:space="preserve">K zostaje 0; rentowność po L pozostaje podobna do mniejszych wymiarów.</x:t>
        </x:is>
      </x:c>
      <x:c r="O202" s="585" t="inlineStr">
        <x:is>
          <x:t xml:space="preserve">RAW_ZP H/I</x:t>
        </x:is>
      </x:c>
      <x:c r="P202" s="585" t="inlineStr">
        <x:is>
          <x:t xml:space="preserve">600 x 306 cm|M</x:t>
        </x:is>
      </x:c>
    </x:row>
    <x:row r="203" s="655" customFormat="1" ht="29.5" customHeight="1">
      <x:c r="A203" s="584" t="n">
        <x:v>1153</x:v>
      </x:c>
      <x:c r="B203" s="585" t="inlineStr">
        <x:is>
          <x:t xml:space="preserve">600 x 306 cm</x:t>
        </x:is>
      </x:c>
      <x:c r="C203" s="584" t="n">
        <x:v>600</x:v>
      </x:c>
      <x:c r="D203" s="584" t="n">
        <x:v>306</x:v>
      </x:c>
      <x:c r="E203" s="585" t="inlineStr">
        <x:is>
          <x:t xml:space="preserve">PDWP</x:t>
        </x:is>
      </x:c>
      <x:c r="F203" s="585" t="inlineStr">
        <x:is>
          <x:t xml:space="preserve">Fundament/profile</x:t>
        </x:is>
      </x:c>
      <x:c r="G203" s="586" t="n">
        <x:v>480</x:v>
      </x:c>
      <x:c r="H203" s="586" t="n">
        <x:v>440</x:v>
      </x:c>
      <x:c r="I203" s="586" t="n">
        <x:v>1995</x:v>
      </x:c>
      <x:c r="J203" s="586" t="n">
        <x:v>464</x:v>
      </x:c>
      <x:c r="K203" s="587" t="n">
        <x:v>0.2512181916621549</x:v>
      </x:c>
      <x:c r="L203" s="585" t="inlineStr">
        <x:is>
          <x:t xml:space="preserve">UZUPEŁNIĆ K+L / KOREKTA RENTOWNOŚCI</x:t>
        </x:is>
      </x:c>
      <x:c r="M203" s="585" t="inlineStr">
        <x:is>
          <x:t xml:space="preserve">L = Wyrównanie podłoża; K = dopłata montażowa wyliczona do min. 25% rentowności</x:t>
        </x:is>
      </x:c>
      <x:c r="N203" s="585" t="inlineStr">
        <x:is>
          <x:t xml:space="preserve">Bez K ten dodatek ma ujemną rentowność. To jest korekta biznesowa, nie tylko przedłużenie EG.</x:t>
        </x:is>
      </x:c>
      <x:c r="O203" s="585" t="inlineStr">
        <x:is>
          <x:t xml:space="preserve">RAW_OP AB/AC</x:t>
        </x:is>
      </x:c>
      <x:c r="P203" s="585" t="inlineStr">
        <x:is>
          <x:t xml:space="preserve">600 x 306 cm|PDWP</x:t>
        </x:is>
      </x:c>
    </x:row>
    <x:row r="204" s="655" customFormat="1" ht="29.5" customHeight="1">
      <x:c r="A204" s="592" t="n">
        <x:v>1154</x:v>
      </x:c>
      <x:c r="B204" s="593" t="inlineStr">
        <x:is>
          <x:t xml:space="preserve">600 x 306 cm</x:t>
        </x:is>
      </x:c>
      <x:c r="C204" s="592" t="n">
        <x:v>600</x:v>
      </x:c>
      <x:c r="D204" s="592" t="n">
        <x:v>306</x:v>
      </x:c>
      <x:c r="E204" s="593" t="inlineStr">
        <x:is>
          <x:t xml:space="preserve">ZAB</x:t>
        </x:is>
      </x:c>
      <x:c r="F204" s="593" t="inlineStr">
        <x:is>
          <x:t xml:space="preserve">Zabieraki do ścian przesuwnych</x:t>
        </x:is>
      </x:c>
      <x:c r="G204" s="594" t="n">
        <x:v>0</x:v>
      </x:c>
      <x:c r="H204" s="594" t="n">
        <x:v>0</x:v>
      </x:c>
      <x:c r="I204" s="594" t="n">
        <x:v>611</x:v>
      </x:c>
      <x:c r="J204" s="594" t="n">
        <x:v>176</x:v>
      </x:c>
      <x:c r="K204" s="595" t="n">
        <x:v>0.3109540636042403</x:v>
      </x:c>
      <x:c r="L204" s="593" t="inlineStr">
        <x:is>
          <x:t xml:space="preserve">POZOSTAWIĆ 0</x:t>
        </x:is>
      </x:c>
      <x:c r="M204" s="593" t="inlineStr">
        <x:is>
          <x:t xml:space="preserve">Brak osobnej kolumny wynagrodzenia w Cennik usług; traktować jako element dodatkowy bez osobnej pracy</x:t>
        </x:is>
      </x:c>
      <x:c r="N204" s="593" t="n"/>
      <x:c r="O204" s="593" t="inlineStr">
        <x:is>
          <x:t xml:space="preserve">RAW_OP AD/AE</x:t>
        </x:is>
      </x:c>
      <x:c r="P204" s="593" t="inlineStr">
        <x:is>
          <x:t xml:space="preserve">600 x 306 cm|ZAB</x:t>
        </x:is>
      </x:c>
    </x:row>
    <x:row r="205" s="655" customFormat="1" ht="29.5" customHeight="1">
      <x:c r="A205" s="592" t="n">
        <x:v>1155</x:v>
      </x:c>
      <x:c r="B205" s="593" t="inlineStr">
        <x:is>
          <x:t xml:space="preserve">600 x 306 cm</x:t>
        </x:is>
      </x:c>
      <x:c r="C205" s="592" t="n">
        <x:v>600</x:v>
      </x:c>
      <x:c r="D205" s="592" t="n">
        <x:v>306</x:v>
      </x:c>
      <x:c r="E205" s="593" t="inlineStr">
        <x:is>
          <x:t xml:space="preserve">S</x:t>
        </x:is>
      </x:c>
      <x:c r="F205" s="593" t="inlineStr">
        <x:is>
          <x:t xml:space="preserve">Szczotki przeciwkurzowe</x:t>
        </x:is>
      </x:c>
      <x:c r="G205" s="594" t="n">
        <x:v>0</x:v>
      </x:c>
      <x:c r="H205" s="594" t="n">
        <x:v>0</x:v>
      </x:c>
      <x:c r="I205" s="594" t="n">
        <x:v>637</x:v>
      </x:c>
      <x:c r="J205" s="594" t="n">
        <x:v>183</x:v>
      </x:c>
      <x:c r="K205" s="595" t="n">
        <x:v>0.3101694915254237</x:v>
      </x:c>
      <x:c r="L205" s="593" t="inlineStr">
        <x:is>
          <x:t xml:space="preserve">POZOSTAWIĆ 0</x:t>
        </x:is>
      </x:c>
      <x:c r="M205" s="593" t="inlineStr">
        <x:is>
          <x:t xml:space="preserve">Zgodnie z Cennik usług: szczotki przeciwkurzowe bez osobnego wynagrodzenia</x:t>
        </x:is>
      </x:c>
      <x:c r="N205" s="593" t="n"/>
      <x:c r="O205" s="593" t="inlineStr">
        <x:is>
          <x:t xml:space="preserve">RAW_OP L/M</x:t>
        </x:is>
      </x:c>
      <x:c r="P205" s="593" t="inlineStr">
        <x:is>
          <x:t xml:space="preserve">600 x 306 cm|S</x:t>
        </x:is>
      </x:c>
    </x:row>
    <x:row r="206" s="655" customFormat="1" ht="29.5" customHeight="1">
      <x:c r="A206" s="592" t="n">
        <x:v>1156</x:v>
      </x:c>
      <x:c r="B206" s="593" t="inlineStr">
        <x:is>
          <x:t xml:space="preserve">600 x 306 cm</x:t>
        </x:is>
      </x:c>
      <x:c r="C206" s="592" t="n">
        <x:v>600</x:v>
      </x:c>
      <x:c r="D206" s="592" t="n">
        <x:v>306</x:v>
      </x:c>
      <x:c r="E206" s="593" t="inlineStr">
        <x:is>
          <x:t xml:space="preserve">U</x:t>
        </x:is>
      </x:c>
      <x:c r="F206" s="593" t="inlineStr">
        <x:is>
          <x:t xml:space="preserve">Uchwyty na szkło ścienne</x:t>
        </x:is>
      </x:c>
      <x:c r="G206" s="594" t="n">
        <x:v>0</x:v>
      </x:c>
      <x:c r="H206" s="594" t="n">
        <x:v>0</x:v>
      </x:c>
      <x:c r="I206" s="594" t="n">
        <x:v>573</x:v>
      </x:c>
      <x:c r="J206" s="594" t="n">
        <x:v>165</x:v>
      </x:c>
      <x:c r="K206" s="595" t="n">
        <x:v>0.3107344632768362</x:v>
      </x:c>
      <x:c r="L206" s="593" t="inlineStr">
        <x:is>
          <x:t xml:space="preserve">POZOSTAWIĆ 0</x:t>
        </x:is>
      </x:c>
      <x:c r="M206" s="593" t="inlineStr">
        <x:is>
          <x:t xml:space="preserve">Zgodnie z Cennik usług: uchwyty bez osobnego wynagrodzenia</x:t>
        </x:is>
      </x:c>
      <x:c r="N206" s="593" t="n"/>
      <x:c r="O206" s="593" t="inlineStr">
        <x:is>
          <x:t xml:space="preserve">RAW_OP N/O</x:t>
        </x:is>
      </x:c>
      <x:c r="P206" s="593" t="inlineStr">
        <x:is>
          <x:t xml:space="preserve">600 x 306 cm|U</x:t>
        </x:is>
      </x:c>
    </x:row>
    <x:row r="207" s="655" customFormat="1" ht="29.5" customHeight="1">
      <x:c r="A207" s="592" t="n">
        <x:v>1157</x:v>
      </x:c>
      <x:c r="B207" s="593" t="inlineStr">
        <x:is>
          <x:t xml:space="preserve">600 x 306 cm</x:t>
        </x:is>
      </x:c>
      <x:c r="C207" s="592" t="n">
        <x:v>600</x:v>
      </x:c>
      <x:c r="D207" s="592" t="n">
        <x:v>306</x:v>
      </x:c>
      <x:c r="E207" s="593" t="inlineStr">
        <x:is>
          <x:t xml:space="preserve">LED2</x:t>
        </x:is>
      </x:c>
      <x:c r="F207" s="593" t="inlineStr">
        <x:is>
          <x:t xml:space="preserve">Oświetlenie LED 2 punkty</x:t>
        </x:is>
      </x:c>
      <x:c r="G207" s="594" t="n">
        <x:v>0</x:v>
      </x:c>
      <x:c r="H207" s="594" t="n">
        <x:v>0</x:v>
      </x:c>
      <x:c r="I207" s="594" t="n">
        <x:v>534</x:v>
      </x:c>
      <x:c r="J207" s="594" t="n">
        <x:v>153</x:v>
      </x:c>
      <x:c r="K207" s="595" t="n">
        <x:v>0.3097165991902834</x:v>
      </x:c>
      <x:c r="L207" s="593" t="inlineStr">
        <x:is>
          <x:t xml:space="preserve">POZOSTAWIĆ 0 NA RAZIE</x:t>
        </x:is>
      </x:c>
      <x:c r="M207" s="593" t="inlineStr">
        <x:is>
          <x:t xml:space="preserve">Cennik usług miał LED bez osobnego wynagrodzenia; kolumna LED z Wynagr. ekipy jest tylko informacyjna</x:t>
        </x:is>
      </x:c>
      <x:c r="N207" s="593" t="inlineStr">
        <x:is>
          <x:t xml:space="preserve">Informacyjnie wg Wynagr. ekipy LED na krokiew: 250 zł.</x:t>
        </x:is>
      </x:c>
      <x:c r="O207" s="593" t="inlineStr">
        <x:is>
          <x:t xml:space="preserve">RAW_ZP P/Q</x:t>
        </x:is>
      </x:c>
      <x:c r="P207" s="593" t="inlineStr">
        <x:is>
          <x:t xml:space="preserve">600 x 306 cm|LED2</x:t>
        </x:is>
      </x:c>
    </x:row>
    <x:row r="208" s="655" customFormat="1" ht="29.5" customHeight="1">
      <x:c r="A208" s="592" t="n">
        <x:v>1158</x:v>
      </x:c>
      <x:c r="B208" s="593" t="inlineStr">
        <x:is>
          <x:t xml:space="preserve">600 x 306 cm</x:t>
        </x:is>
      </x:c>
      <x:c r="C208" s="592" t="n">
        <x:v>600</x:v>
      </x:c>
      <x:c r="D208" s="592" t="n">
        <x:v>306</x:v>
      </x:c>
      <x:c r="E208" s="593" t="inlineStr">
        <x:is>
          <x:t xml:space="preserve">LED3</x:t>
        </x:is>
      </x:c>
      <x:c r="F208" s="593" t="inlineStr">
        <x:is>
          <x:t xml:space="preserve">Oświetlenie LED 3 punkty</x:t>
        </x:is>
      </x:c>
      <x:c r="G208" s="594" t="n">
        <x:v>0</x:v>
      </x:c>
      <x:c r="H208" s="594" t="n">
        <x:v>0</x:v>
      </x:c>
      <x:c r="I208" s="594" t="n">
        <x:v>814</x:v>
      </x:c>
      <x:c r="J208" s="594" t="n">
        <x:v>234</x:v>
      </x:c>
      <x:c r="K208" s="595" t="n">
        <x:v>0.3103448275862069</x:v>
      </x:c>
      <x:c r="L208" s="593" t="inlineStr">
        <x:is>
          <x:t xml:space="preserve">POZOSTAWIĆ 0 NA RAZIE</x:t>
        </x:is>
      </x:c>
      <x:c r="M208" s="593" t="inlineStr">
        <x:is>
          <x:t xml:space="preserve">Cennik usług miał LED bez osobnego wynagrodzenia; kolumna LED z Wynagr. ekipy jest tylko informacyjna</x:t>
        </x:is>
      </x:c>
      <x:c r="N208" s="593" t="inlineStr">
        <x:is>
          <x:t xml:space="preserve">Informacyjnie wg Wynagr. ekipy LED na krokiew: 250 zł.</x:t>
        </x:is>
      </x:c>
      <x:c r="O208" s="593" t="inlineStr">
        <x:is>
          <x:t xml:space="preserve">RAW_ZP R/S</x:t>
        </x:is>
      </x:c>
      <x:c r="P208" s="593" t="inlineStr">
        <x:is>
          <x:t xml:space="preserve">600 x 306 cm|LED3</x:t>
        </x:is>
      </x:c>
    </x:row>
    <x:row r="209" s="655" customFormat="1" ht="29.5" customHeight="1">
      <x:c r="A209" s="592" t="n">
        <x:v>1159</x:v>
      </x:c>
      <x:c r="B209" s="593" t="inlineStr">
        <x:is>
          <x:t xml:space="preserve">600 x 306 cm</x:t>
        </x:is>
      </x:c>
      <x:c r="C209" s="592" t="n">
        <x:v>600</x:v>
      </x:c>
      <x:c r="D209" s="592" t="n">
        <x:v>306</x:v>
      </x:c>
      <x:c r="E209" s="593" t="inlineStr">
        <x:is>
          <x:t xml:space="preserve">LEDCCT</x:t>
        </x:is>
      </x:c>
      <x:c r="F209" s="593" t="inlineStr">
        <x:is>
          <x:t xml:space="preserve">Oświetlenie LED CCT</x:t>
        </x:is>
      </x:c>
      <x:c r="G209" s="594" t="n">
        <x:v>0</x:v>
      </x:c>
      <x:c r="H209" s="594" t="n">
        <x:v>0</x:v>
      </x:c>
      <x:c r="I209" s="594" t="n">
        <x:v>0</x:v>
      </x:c>
      <x:c r="J209" s="594" t="n">
        <x:v>0</x:v>
      </x:c>
      <x:c r="K209" s="595" t="n"/>
      <x:c r="L209" s="593" t="inlineStr">
        <x:is>
          <x:t xml:space="preserve">POZOSTAWIĆ 0 / UKRYTE</x:t>
        </x:is>
      </x:c>
      <x:c r="M209" s="593" t="inlineStr">
        <x:is>
          <x:t xml:space="preserve">Brak pełnego cennika dla 550/600; opcje nadal crm_only/ukryte</x:t>
        </x:is>
      </x:c>
      <x:c r="N209" s="593" t="n"/>
      <x:c r="O209" s="593" t="inlineStr">
        <x:is>
          <x:t xml:space="preserve">RAW_ZP T/U</x:t>
        </x:is>
      </x:c>
      <x:c r="P209" s="593" t="inlineStr">
        <x:is>
          <x:t xml:space="preserve">600 x 306 cm|LEDCCT</x:t>
        </x:is>
      </x:c>
    </x:row>
    <x:row r="210" s="655" customFormat="1" ht="29.5" customHeight="1">
      <x:c r="A210" s="592" t="n">
        <x:v>1160</x:v>
      </x:c>
      <x:c r="B210" s="593" t="inlineStr">
        <x:is>
          <x:t xml:space="preserve">600 x 306 cm</x:t>
        </x:is>
      </x:c>
      <x:c r="C210" s="592" t="n">
        <x:v>600</x:v>
      </x:c>
      <x:c r="D210" s="592" t="n">
        <x:v>306</x:v>
      </x:c>
      <x:c r="E210" s="593" t="inlineStr">
        <x:is>
          <x:t xml:space="preserve">LEDRGBCCT</x:t>
        </x:is>
      </x:c>
      <x:c r="F210" s="593" t="inlineStr">
        <x:is>
          <x:t xml:space="preserve">Oświetlenie LED RGB CCT</x:t>
        </x:is>
      </x:c>
      <x:c r="G210" s="594" t="n">
        <x:v>0</x:v>
      </x:c>
      <x:c r="H210" s="594" t="n">
        <x:v>0</x:v>
      </x:c>
      <x:c r="I210" s="594" t="n">
        <x:v>0</x:v>
      </x:c>
      <x:c r="J210" s="594" t="n">
        <x:v>0</x:v>
      </x:c>
      <x:c r="K210" s="595" t="n"/>
      <x:c r="L210" s="593" t="inlineStr">
        <x:is>
          <x:t xml:space="preserve">POZOSTAWIĆ 0 / UKRYTE</x:t>
        </x:is>
      </x:c>
      <x:c r="M210" s="593" t="inlineStr">
        <x:is>
          <x:t xml:space="preserve">Brak pełnego cennika dla 550/600; opcje nadal crm_only/ukryte</x:t>
        </x:is>
      </x:c>
      <x:c r="N210" s="593" t="n"/>
      <x:c r="O210" s="593" t="inlineStr">
        <x:is>
          <x:t xml:space="preserve">RAW_ZP V/W</x:t>
        </x:is>
      </x:c>
      <x:c r="P210" s="593" t="inlineStr">
        <x:is>
          <x:t xml:space="preserve">600 x 306 cm|LEDRGBCCT</x:t>
        </x:is>
      </x:c>
    </x:row>
    <x:row r="211" s="655" customFormat="1" ht="29.5" customHeight="1">
      <x:c r="A211" s="584" t="n">
        <x:v>1161</x:v>
      </x:c>
      <x:c r="B211" s="585" t="inlineStr">
        <x:is>
          <x:t xml:space="preserve">600 x 406 cm</x:t>
        </x:is>
      </x:c>
      <x:c r="C211" s="584" t="n">
        <x:v>600</x:v>
      </x:c>
      <x:c r="D211" s="584" t="n">
        <x:v>406</x:v>
      </x:c>
      <x:c r="E211" s="585" t="inlineStr">
        <x:is>
          <x:t xml:space="preserve">ZP</x:t>
        </x:is>
      </x:c>
      <x:c r="F211" s="585" t="inlineStr">
        <x:is>
          <x:t xml:space="preserve">Zadaszenie poliwęglan - baza</x:t>
        </x:is>
      </x:c>
      <x:c r="G211" s="586" t="n">
        <x:v>4510</x:v>
      </x:c>
      <x:c r="H211" s="586" t="n">
        <x:v>1340</x:v>
      </x:c>
      <x:c r="I211" s="586" t="n">
        <x:v>22734</x:v>
      </x:c>
      <x:c r="J211" s="586" t="n">
        <x:v>8303</x:v>
      </x:c>
      <x:c r="K211" s="587" t="n">
        <x:v>0.3944418052256532</x:v>
      </x:c>
      <x:c r="L211" s="585" t="inlineStr">
        <x:is>
          <x:t xml:space="preserve">UZUPEŁNIĆ</x:t>
        </x:is>
      </x:c>
      <x:c r="M211" s="585" t="inlineStr">
        <x:is>
          <x:t xml:space="preserve">K: model rentowności 450/500; L: przedłużenie Wynagr. ekipy 450→500</x:t>
        </x:is>
      </x:c>
      <x:c r="N211" s="585" t="inlineStr">
        <x:is>
          <x:t xml:space="preserve">Podstawowa konstrukcja z ceną dostawcy dla 550/600.</x:t>
        </x:is>
      </x:c>
      <x:c r="O211" s="585" t="inlineStr">
        <x:is>
          <x:t xml:space="preserve">RAW_ZP B/C</x:t>
        </x:is>
      </x:c>
      <x:c r="P211" s="585" t="inlineStr">
        <x:is>
          <x:t xml:space="preserve">600 x 406 cm|ZP</x:t>
        </x:is>
      </x:c>
    </x:row>
    <x:row r="212" s="655" customFormat="1" ht="29.5" customHeight="1">
      <x:c r="A212" s="588" t="n">
        <x:v>1162</x:v>
      </x:c>
      <x:c r="B212" s="589" t="inlineStr">
        <x:is>
          <x:t xml:space="preserve">600 x 406 cm</x:t>
        </x:is>
      </x:c>
      <x:c r="C212" s="588" t="n">
        <x:v>600</x:v>
      </x:c>
      <x:c r="D212" s="588" t="n">
        <x:v>406</x:v>
      </x:c>
      <x:c r="E212" s="589" t="inlineStr">
        <x:is>
          <x:t xml:space="preserve">ZS</x:t>
        </x:is>
      </x:c>
      <x:c r="F212" s="589" t="inlineStr">
        <x:is>
          <x:t xml:space="preserve">Zadaszenie szkło - pełna konstrukcja</x:t>
        </x:is>
      </x:c>
      <x:c r="G212" s="590" t="n">
        <x:v>4510</x:v>
      </x:c>
      <x:c r="H212" s="590" t="n">
        <x:v>1720</x:v>
      </x:c>
      <x:c r="I212" s="590" t="n"/>
      <x:c r="J212" s="590" t="n"/>
      <x:c r="K212" s="591" t="n"/>
      <x:c r="L212" s="589" t="inlineStr">
        <x:is>
          <x:t xml:space="preserve">NIE PUBLIKOWAĆ / BRAK RAW_ZS</x:t>
        </x:is>
      </x:c>
      <x:c r="M212" s="589" t="inlineStr">
        <x:is>
          <x:t xml:space="preserve">Informacyjnie: K jak ZP, L = pełny montaż zadaszenia szklanego z przedłużenia</x:t>
        </x:is>
      </x:c>
      <x:c r="N212" s="589" t="inlineStr">
        <x:is>
          <x:t xml:space="preserve">Brak ceny dostawcy dla ZS 550/600, więc nieaktywny do czasu cennika dostawcy.</x:t>
        </x:is>
      </x:c>
      <x:c r="O212" s="589" t="inlineStr">
        <x:is>
          <x:t xml:space="preserve">RAW_ZS B/C</x:t>
        </x:is>
      </x:c>
      <x:c r="P212" s="589" t="inlineStr">
        <x:is>
          <x:t xml:space="preserve">600 x 406 cm|ZS</x:t>
        </x:is>
      </x:c>
    </x:row>
    <x:row r="213" s="655" customFormat="1" ht="29.5" customHeight="1">
      <x:c r="A213" s="584" t="n">
        <x:v>1163</x:v>
      </x:c>
      <x:c r="B213" s="585" t="inlineStr">
        <x:is>
          <x:t xml:space="preserve">600 x 406 cm</x:t>
        </x:is>
      </x:c>
      <x:c r="C213" s="584" t="n">
        <x:v>600</x:v>
      </x:c>
      <x:c r="D213" s="584" t="n">
        <x:v>406</x:v>
      </x:c>
      <x:c r="E213" s="585" t="inlineStr">
        <x:is>
          <x:t xml:space="preserve">OP</x:t>
        </x:is>
      </x:c>
      <x:c r="F213" s="585" t="inlineStr">
        <x:is>
          <x:t xml:space="preserve">Ogród zimowy poliwęglan - baza</x:t>
        </x:is>
      </x:c>
      <x:c r="G213" s="586" t="n">
        <x:v>5320</x:v>
      </x:c>
      <x:c r="H213" s="586" t="n">
        <x:v>1890</x:v>
      </x:c>
      <x:c r="I213" s="586" t="n">
        <x:v>47137</x:v>
      </x:c>
      <x:c r="J213" s="586" t="n">
        <x:v>15324</x:v>
      </x:c>
      <x:c r="K213" s="587" t="n">
        <x:v>0.3511055103677397</x:v>
      </x:c>
      <x:c r="L213" s="585" t="inlineStr">
        <x:is>
          <x:t xml:space="preserve">UZUPEŁNIĆ</x:t>
        </x:is>
      </x:c>
      <x:c r="M213" s="585" t="inlineStr">
        <x:is>
          <x:t xml:space="preserve">K: model rentowności 450/500; L: przedłużenie Wynagr. ekipy 450→500</x:t>
        </x:is>
      </x:c>
      <x:c r="N213" s="585" t="inlineStr">
        <x:is>
          <x:t xml:space="preserve">Podstawowa konstrukcja z ceną dostawcy dla 550/600.</x:t>
        </x:is>
      </x:c>
      <x:c r="O213" s="585" t="inlineStr">
        <x:is>
          <x:t xml:space="preserve">RAW_OP B/C</x:t>
        </x:is>
      </x:c>
      <x:c r="P213" s="585" t="inlineStr">
        <x:is>
          <x:t xml:space="preserve">600 x 406 cm|OP</x:t>
        </x:is>
      </x:c>
    </x:row>
    <x:row r="214" s="655" customFormat="1" ht="29.5" customHeight="1">
      <x:c r="A214" s="588" t="n">
        <x:v>1164</x:v>
      </x:c>
      <x:c r="B214" s="589" t="inlineStr">
        <x:is>
          <x:t xml:space="preserve">600 x 406 cm</x:t>
        </x:is>
      </x:c>
      <x:c r="C214" s="588" t="n">
        <x:v>600</x:v>
      </x:c>
      <x:c r="D214" s="588" t="n">
        <x:v>406</x:v>
      </x:c>
      <x:c r="E214" s="589" t="inlineStr">
        <x:is>
          <x:t xml:space="preserve">OS</x:t>
        </x:is>
      </x:c>
      <x:c r="F214" s="589" t="inlineStr">
        <x:is>
          <x:t xml:space="preserve">Ogród zimowy szkło - pełna konstrukcja</x:t>
        </x:is>
      </x:c>
      <x:c r="G214" s="590" t="n">
        <x:v>5320</x:v>
      </x:c>
      <x:c r="H214" s="590" t="n">
        <x:v>2270</x:v>
      </x:c>
      <x:c r="I214" s="590" t="n"/>
      <x:c r="J214" s="590" t="n"/>
      <x:c r="K214" s="591" t="n"/>
      <x:c r="L214" s="589" t="inlineStr">
        <x:is>
          <x:t xml:space="preserve">NIE PUBLIKOWAĆ / BRAK RAW_OS</x:t>
        </x:is>
      </x:c>
      <x:c r="M214" s="589" t="inlineStr">
        <x:is>
          <x:t xml:space="preserve">Informacyjnie: K jak OP, L = pełny montaż ogrodu szklanego z przedłużenia</x:t>
        </x:is>
      </x:c>
      <x:c r="N214" s="589" t="inlineStr">
        <x:is>
          <x:t xml:space="preserve">Brak ceny dostawcy dla OS 550/600, więc nieaktywny do czasu cennika dostawcy.</x:t>
        </x:is>
      </x:c>
      <x:c r="O214" s="589" t="inlineStr">
        <x:is>
          <x:t xml:space="preserve">RAW_OS B/C</x:t>
        </x:is>
      </x:c>
      <x:c r="P214" s="589" t="inlineStr">
        <x:is>
          <x:t xml:space="preserve">600 x 406 cm|OS</x:t>
        </x:is>
      </x:c>
    </x:row>
    <x:row r="215" s="655" customFormat="1" ht="29.5" customHeight="1">
      <x:c r="A215" s="584" t="n">
        <x:v>1165</x:v>
      </x:c>
      <x:c r="B215" s="585" t="inlineStr">
        <x:is>
          <x:t xml:space="preserve">600 x 406 cm</x:t>
        </x:is>
      </x:c>
      <x:c r="C215" s="584" t="n">
        <x:v>600</x:v>
      </x:c>
      <x:c r="D215" s="584" t="n">
        <x:v>406</x:v>
      </x:c>
      <x:c r="E215" s="585" t="inlineStr">
        <x:is>
          <x:t xml:space="preserve">PDS</x:t>
        </x:is>
      </x:c>
      <x:c r="F215" s="585" t="inlineStr">
        <x:is>
          <x:t xml:space="preserve">Dopłata dach szkło przezroczyste</x:t>
        </x:is>
      </x:c>
      <x:c r="G215" s="586" t="n">
        <x:v>0</x:v>
      </x:c>
      <x:c r="H215" s="586" t="n">
        <x:v>380</x:v>
      </x:c>
      <x:c r="I215" s="586" t="n"/>
      <x:c r="J215" s="586" t="n"/>
      <x:c r="K215" s="587" t="n"/>
      <x:c r="L215" s="585" t="inlineStr">
        <x:is>
          <x:t xml:space="preserve">DO UŻYCIA DOPIERO GDY BĘDZIE CENA DACHU SZKŁO</x:t>
        </x:is>
      </x:c>
      <x:c r="M215" s="585" t="inlineStr">
        <x:is>
          <x:t xml:space="preserve">L = montaż zadaszenia szkło - montaż zadaszenia poliwęglan</x:t>
        </x:is>
      </x:c>
      <x:c r="N215" s="585" t="inlineStr">
        <x:is>
          <x:t xml:space="preserve">Potrzebne dla dopłaty dachu szklanego; obecnie brak ceny dostawcy PDS 550/600.</x:t>
        </x:is>
      </x:c>
      <x:c r="O215" s="585" t="inlineStr">
        <x:is>
          <x:t xml:space="preserve">RAW_ZS - RAW_ZP</x:t>
        </x:is>
      </x:c>
      <x:c r="P215" s="585" t="inlineStr">
        <x:is>
          <x:t xml:space="preserve">600 x 406 cm|PDS</x:t>
        </x:is>
      </x:c>
    </x:row>
    <x:row r="216" s="655" customFormat="1" ht="29.5" customHeight="1">
      <x:c r="A216" s="592" t="n">
        <x:v>1166</x:v>
      </x:c>
      <x:c r="B216" s="593" t="inlineStr">
        <x:is>
          <x:t xml:space="preserve">600 x 406 cm</x:t>
        </x:is>
      </x:c>
      <x:c r="C216" s="592" t="n">
        <x:v>600</x:v>
      </x:c>
      <x:c r="D216" s="592" t="n">
        <x:v>406</x:v>
      </x:c>
      <x:c r="E216" s="593" t="inlineStr">
        <x:is>
          <x:t xml:space="preserve">PDSB</x:t>
        </x:is>
      </x:c>
      <x:c r="F216" s="593" t="inlineStr">
        <x:is>
          <x:t xml:space="preserve">Dopłata dach szkło barwione/mleczne</x:t>
        </x:is>
      </x:c>
      <x:c r="G216" s="594" t="n">
        <x:v>0</x:v>
      </x:c>
      <x:c r="H216" s="594" t="n">
        <x:v>0</x:v>
      </x:c>
      <x:c r="I216" s="594" t="n"/>
      <x:c r="J216" s="594" t="n"/>
      <x:c r="K216" s="595" t="n"/>
      <x:c r="L216" s="593" t="inlineStr">
        <x:is>
          <x:t xml:space="preserve">POZOSTAWIĆ 0 / BRAK CENY PDSB</x:t>
        </x:is>
      </x:c>
      <x:c r="M216" s="593" t="inlineStr">
        <x:is>
          <x:t xml:space="preserve">Zgodnie z dotychczasową logiką: dopłata barwienia szkła nie ma osobnego wynagrodzenia</x:t>
        </x:is>
      </x:c>
      <x:c r="N216" s="593" t="inlineStr">
        <x:is>
          <x:t xml:space="preserve">Brak ceny dostawcy dla PDSB 550/600.</x:t>
        </x:is>
      </x:c>
      <x:c r="O216" s="593" t="inlineStr">
        <x:is>
          <x:t xml:space="preserve">RAW_ZS D/E</x:t>
        </x:is>
      </x:c>
      <x:c r="P216" s="593" t="inlineStr">
        <x:is>
          <x:t xml:space="preserve">600 x 406 cm|PDSB</x:t>
        </x:is>
      </x:c>
    </x:row>
    <x:row r="217" s="655" customFormat="1" ht="29.5" customHeight="1">
      <x:c r="A217" s="592" t="n">
        <x:v>1167</x:v>
      </x:c>
      <x:c r="B217" s="593" t="inlineStr">
        <x:is>
          <x:t xml:space="preserve">600 x 406 cm</x:t>
        </x:is>
      </x:c>
      <x:c r="C217" s="592" t="n">
        <x:v>600</x:v>
      </x:c>
      <x:c r="D217" s="592" t="n">
        <x:v>406</x:v>
      </x:c>
      <x:c r="E217" s="593" t="inlineStr">
        <x:is>
          <x:t xml:space="preserve">PDPB</x:t>
        </x:is>
      </x:c>
      <x:c r="F217" s="593" t="inlineStr">
        <x:is>
          <x:t xml:space="preserve">Dopłata poliwęglan barwiony</x:t>
        </x:is>
      </x:c>
      <x:c r="G217" s="594" t="n">
        <x:v>0</x:v>
      </x:c>
      <x:c r="H217" s="594" t="n">
        <x:v>0</x:v>
      </x:c>
      <x:c r="I217" s="594" t="n">
        <x:v>534</x:v>
      </x:c>
      <x:c r="J217" s="594" t="n">
        <x:v>153</x:v>
      </x:c>
      <x:c r="K217" s="595" t="n">
        <x:v>0.3097165991902834</x:v>
      </x:c>
      <x:c r="L217" s="593" t="inlineStr">
        <x:is>
          <x:t xml:space="preserve">POZOSTAWIĆ 0</x:t>
        </x:is>
      </x:c>
      <x:c r="M217" s="593" t="inlineStr">
        <x:is>
          <x:t xml:space="preserve">Zgodnie z Cennik usług: poliwęglan barwiony nie miał osobnej pracy ekipy</x:t>
        </x:is>
      </x:c>
      <x:c r="N217" s="593" t="inlineStr">
        <x:is>
          <x:t xml:space="preserve">Ma cenę dostawcy; montaż/wynagrodzenie zostaje 0.</x:t>
        </x:is>
      </x:c>
      <x:c r="O217" s="593" t="inlineStr">
        <x:is>
          <x:t xml:space="preserve">RAW_ZP D/E</x:t>
        </x:is>
      </x:c>
      <x:c r="P217" s="593" t="inlineStr">
        <x:is>
          <x:t xml:space="preserve">600 x 406 cm|PDPB</x:t>
        </x:is>
      </x:c>
    </x:row>
    <x:row r="218" s="655" customFormat="1" ht="29.5" customHeight="1">
      <x:c r="A218" s="592" t="n">
        <x:v>1168</x:v>
      </x:c>
      <x:c r="B218" s="593" t="inlineStr">
        <x:is>
          <x:t xml:space="preserve">600 x 406 cm</x:t>
        </x:is>
      </x:c>
      <x:c r="C218" s="592" t="n">
        <x:v>600</x:v>
      </x:c>
      <x:c r="D218" s="592" t="n">
        <x:v>406</x:v>
      </x:c>
      <x:c r="E218" s="593" t="inlineStr">
        <x:is>
          <x:t xml:space="preserve">SBB</x:t>
        </x:is>
      </x:c>
      <x:c r="F218" s="593" t="inlineStr">
        <x:is>
          <x:t xml:space="preserve">Dopłata szkło boczne przyciemniane</x:t>
        </x:is>
      </x:c>
      <x:c r="G218" s="594" t="n">
        <x:v>0</x:v>
      </x:c>
      <x:c r="H218" s="594" t="n">
        <x:v>0</x:v>
      </x:c>
      <x:c r="I218" s="594" t="n">
        <x:v>2444</x:v>
      </x:c>
      <x:c r="J218" s="594" t="n">
        <x:v>702</x:v>
      </x:c>
      <x:c r="K218" s="595" t="n">
        <x:v>0.3102076889085285</x:v>
      </x:c>
      <x:c r="L218" s="593" t="inlineStr">
        <x:is>
          <x:t xml:space="preserve">POZOSTAWIĆ 0</x:t>
        </x:is>
      </x:c>
      <x:c r="M218" s="593" t="inlineStr">
        <x:is>
          <x:t xml:space="preserve">Zgodnie z Cennik usług: szyby boczne barwione nie miały osobnej pracy ekipy</x:t>
        </x:is>
      </x:c>
      <x:c r="N218" s="593" t="inlineStr">
        <x:is>
          <x:t xml:space="preserve">Ma cenę dostawcy; montaż/wynagrodzenie zostaje 0.</x:t>
        </x:is>
      </x:c>
      <x:c r="O218" s="593" t="inlineStr">
        <x:is>
          <x:t xml:space="preserve">RAW_OP H/I</x:t>
        </x:is>
      </x:c>
      <x:c r="P218" s="593" t="inlineStr">
        <x:is>
          <x:t xml:space="preserve">600 x 406 cm|SBB</x:t>
        </x:is>
      </x:c>
    </x:row>
    <x:row r="219" s="655" customFormat="1" ht="29.5" customHeight="1">
      <x:c r="A219" s="584" t="n">
        <x:v>1169</x:v>
      </x:c>
      <x:c r="B219" s="585" t="inlineStr">
        <x:is>
          <x:t xml:space="preserve">600 x 406 cm</x:t>
        </x:is>
      </x:c>
      <x:c r="C219" s="584" t="n">
        <x:v>600</x:v>
      </x:c>
      <x:c r="D219" s="584" t="n">
        <x:v>406</x:v>
      </x:c>
      <x:c r="E219" s="585" t="inlineStr">
        <x:is>
          <x:t xml:space="preserve">RB</x:t>
        </x:is>
      </x:c>
      <x:c r="F219" s="585" t="inlineStr">
        <x:is>
          <x:t xml:space="preserve">Roleta boczna ZIP</x:t>
        </x:is>
      </x:c>
      <x:c r="G219" s="586" t="n">
        <x:v>0</x:v>
      </x:c>
      <x:c r="H219" s="586" t="n">
        <x:v>150</x:v>
      </x:c>
      <x:c r="I219" s="586" t="n">
        <x:v>5437</x:v>
      </x:c>
      <x:c r="J219" s="586" t="n">
        <x:v>1412</x:v>
      </x:c>
      <x:c r="K219" s="587" t="n">
        <x:v>0.2804926499801351</x:v>
      </x:c>
      <x:c r="L219" s="585" t="inlineStr">
        <x:is>
          <x:t xml:space="preserve">UZUPEŁNIĆ L</x:t>
        </x:is>
      </x:c>
      <x:c r="M219" s="585" t="inlineStr">
        <x:is>
          <x:t xml:space="preserve">L = przedłużona kolumna Montaż rolety bocznej</x:t>
        </x:is>
      </x:c>
      <x:c r="N219" s="585" t="inlineStr">
        <x:is>
          <x:t xml:space="preserve">K zostaje 0; rentowność po L pozostaje podobna do mniejszych wymiarów.</x:t>
        </x:is>
      </x:c>
      <x:c r="O219" s="585" t="inlineStr">
        <x:is>
          <x:t xml:space="preserve">RAW_ZP J/K</x:t>
        </x:is>
      </x:c>
      <x:c r="P219" s="585" t="inlineStr">
        <x:is>
          <x:t xml:space="preserve">600 x 406 cm|RB</x:t>
        </x:is>
      </x:c>
    </x:row>
    <x:row r="220" s="655" customFormat="1" ht="29.5" customHeight="1">
      <x:c r="A220" s="584" t="n">
        <x:v>1170</x:v>
      </x:c>
      <x:c r="B220" s="585" t="inlineStr">
        <x:is>
          <x:t xml:space="preserve">600 x 406 cm</x:t>
        </x:is>
      </x:c>
      <x:c r="C220" s="584" t="n">
        <x:v>600</x:v>
      </x:c>
      <x:c r="D220" s="584" t="n">
        <x:v>406</x:v>
      </x:c>
      <x:c r="E220" s="585" t="inlineStr">
        <x:is>
          <x:t xml:space="preserve">RP</x:t>
        </x:is>
      </x:c>
      <x:c r="F220" s="585" t="inlineStr">
        <x:is>
          <x:t xml:space="preserve">Roleta przednia ZIP</x:t>
        </x:is>
      </x:c>
      <x:c r="G220" s="586" t="n">
        <x:v>0</x:v>
      </x:c>
      <x:c r="H220" s="586" t="n">
        <x:v>150</x:v>
      </x:c>
      <x:c r="I220" s="586" t="n">
        <x:v>3361</x:v>
      </x:c>
      <x:c r="J220" s="586" t="n">
        <x:v>816</x:v>
      </x:c>
      <x:c r="K220" s="587" t="n">
        <x:v>0.2622107969151671</x:v>
      </x:c>
      <x:c r="L220" s="585" t="inlineStr">
        <x:is>
          <x:t xml:space="preserve">UZUPEŁNIĆ L</x:t>
        </x:is>
      </x:c>
      <x:c r="M220" s="585" t="inlineStr">
        <x:is>
          <x:t xml:space="preserve">L = przedłużona kolumna Montaż rolety przedniej</x:t>
        </x:is>
      </x:c>
      <x:c r="N220" s="585" t="inlineStr">
        <x:is>
          <x:t xml:space="preserve">K zostaje 0; rentowność po L pozostaje podobna do mniejszych wymiarów.</x:t>
        </x:is>
      </x:c>
      <x:c r="O220" s="585" t="inlineStr">
        <x:is>
          <x:t xml:space="preserve">RAW_ZP N/O</x:t>
        </x:is>
      </x:c>
      <x:c r="P220" s="585" t="inlineStr">
        <x:is>
          <x:t xml:space="preserve">600 x 406 cm|RP</x:t>
        </x:is>
      </x:c>
    </x:row>
    <x:row r="221" s="655" customFormat="1" ht="29.5" customHeight="1">
      <x:c r="A221" s="584" t="n">
        <x:v>1171</x:v>
      </x:c>
      <x:c r="B221" s="585" t="inlineStr">
        <x:is>
          <x:t xml:space="preserve">600 x 406 cm</x:t>
        </x:is>
      </x:c>
      <x:c r="C221" s="584" t="n">
        <x:v>600</x:v>
      </x:c>
      <x:c r="D221" s="584" t="n">
        <x:v>406</x:v>
      </x:c>
      <x:c r="E221" s="585" t="inlineStr">
        <x:is>
          <x:t xml:space="preserve">M</x:t>
        </x:is>
      </x:c>
      <x:c r="F221" s="585" t="inlineStr">
        <x:is>
          <x:t xml:space="preserve">Markiza dachowa</x:t>
        </x:is>
      </x:c>
      <x:c r="G221" s="586" t="n">
        <x:v>0</x:v>
      </x:c>
      <x:c r="H221" s="586" t="n">
        <x:v>250</x:v>
      </x:c>
      <x:c r="I221" s="586" t="n">
        <x:v>6086</x:v>
      </x:c>
      <x:c r="J221" s="586" t="n">
        <x:v>1499</x:v>
      </x:c>
      <x:c r="K221" s="587" t="n">
        <x:v>0.2660159716060337</x:v>
      </x:c>
      <x:c r="L221" s="585" t="inlineStr">
        <x:is>
          <x:t xml:space="preserve">UZUPEŁNIĆ L</x:t>
        </x:is>
      </x:c>
      <x:c r="M221" s="585" t="inlineStr">
        <x:is>
          <x:t xml:space="preserve">L = przedłużona kolumna Montaż markizy na dach</x:t>
        </x:is>
      </x:c>
      <x:c r="N221" s="585" t="inlineStr">
        <x:is>
          <x:t xml:space="preserve">K zostaje 0; rentowność po L pozostaje podobna do mniejszych wymiarów.</x:t>
        </x:is>
      </x:c>
      <x:c r="O221" s="585" t="inlineStr">
        <x:is>
          <x:t xml:space="preserve">RAW_ZP H/I</x:t>
        </x:is>
      </x:c>
      <x:c r="P221" s="585" t="inlineStr">
        <x:is>
          <x:t xml:space="preserve">600 x 406 cm|M</x:t>
        </x:is>
      </x:c>
    </x:row>
    <x:row r="222" s="655" customFormat="1" ht="29.5" customHeight="1">
      <x:c r="A222" s="584" t="n">
        <x:v>1172</x:v>
      </x:c>
      <x:c r="B222" s="585" t="inlineStr">
        <x:is>
          <x:t xml:space="preserve">600 x 406 cm</x:t>
        </x:is>
      </x:c>
      <x:c r="C222" s="584" t="n">
        <x:v>600</x:v>
      </x:c>
      <x:c r="D222" s="584" t="n">
        <x:v>406</x:v>
      </x:c>
      <x:c r="E222" s="585" t="inlineStr">
        <x:is>
          <x:t xml:space="preserve">PDWP</x:t>
        </x:is>
      </x:c>
      <x:c r="F222" s="585" t="inlineStr">
        <x:is>
          <x:t xml:space="preserve">Fundament/profile</x:t>
        </x:is>
      </x:c>
      <x:c r="G222" s="586" t="n">
        <x:v>540</x:v>
      </x:c>
      <x:c r="H222" s="586" t="n">
        <x:v>490</x:v>
      </x:c>
      <x:c r="I222" s="586" t="n">
        <x:v>2213</x:v>
      </x:c>
      <x:c r="J222" s="586" t="n">
        <x:v>518</x:v>
      </x:c>
      <x:c r="K222" s="587" t="n">
        <x:v>0.2528062469497316</x:v>
      </x:c>
      <x:c r="L222" s="585" t="inlineStr">
        <x:is>
          <x:t xml:space="preserve">UZUPEŁNIĆ K+L / KOREKTA RENTOWNOŚCI</x:t>
        </x:is>
      </x:c>
      <x:c r="M222" s="585" t="inlineStr">
        <x:is>
          <x:t xml:space="preserve">L = Wyrównanie podłoża; K = dopłata montażowa wyliczona do min. 25% rentowności</x:t>
        </x:is>
      </x:c>
      <x:c r="N222" s="585" t="inlineStr">
        <x:is>
          <x:t xml:space="preserve">Bez K ten dodatek ma ujemną rentowność. To jest korekta biznesowa, nie tylko przedłużenie EG.</x:t>
        </x:is>
      </x:c>
      <x:c r="O222" s="585" t="inlineStr">
        <x:is>
          <x:t xml:space="preserve">RAW_OP AB/AC</x:t>
        </x:is>
      </x:c>
      <x:c r="P222" s="585" t="inlineStr">
        <x:is>
          <x:t xml:space="preserve">600 x 406 cm|PDWP</x:t>
        </x:is>
      </x:c>
    </x:row>
    <x:row r="223" s="655" customFormat="1" ht="29.5" customHeight="1">
      <x:c r="A223" s="592" t="n">
        <x:v>1173</x:v>
      </x:c>
      <x:c r="B223" s="593" t="inlineStr">
        <x:is>
          <x:t xml:space="preserve">600 x 406 cm</x:t>
        </x:is>
      </x:c>
      <x:c r="C223" s="592" t="n">
        <x:v>600</x:v>
      </x:c>
      <x:c r="D223" s="592" t="n">
        <x:v>406</x:v>
      </x:c>
      <x:c r="E223" s="593" t="inlineStr">
        <x:is>
          <x:t xml:space="preserve">ZAB</x:t>
        </x:is>
      </x:c>
      <x:c r="F223" s="593" t="inlineStr">
        <x:is>
          <x:t xml:space="preserve">Zabieraki do ścian przesuwnych</x:t>
        </x:is>
      </x:c>
      <x:c r="G223" s="594" t="n">
        <x:v>0</x:v>
      </x:c>
      <x:c r="H223" s="594" t="n">
        <x:v>0</x:v>
      </x:c>
      <x:c r="I223" s="594" t="n">
        <x:v>662</x:v>
      </x:c>
      <x:c r="J223" s="594" t="n">
        <x:v>190</x:v>
      </x:c>
      <x:c r="K223" s="595" t="n">
        <x:v>0.3099510603588907</x:v>
      </x:c>
      <x:c r="L223" s="593" t="inlineStr">
        <x:is>
          <x:t xml:space="preserve">POZOSTAWIĆ 0</x:t>
        </x:is>
      </x:c>
      <x:c r="M223" s="593" t="inlineStr">
        <x:is>
          <x:t xml:space="preserve">Brak osobnej kolumny wynagrodzenia w Cennik usług; traktować jako element dodatkowy bez osobnej pracy</x:t>
        </x:is>
      </x:c>
      <x:c r="N223" s="593" t="n"/>
      <x:c r="O223" s="593" t="inlineStr">
        <x:is>
          <x:t xml:space="preserve">RAW_OP AD/AE</x:t>
        </x:is>
      </x:c>
      <x:c r="P223" s="593" t="inlineStr">
        <x:is>
          <x:t xml:space="preserve">600 x 406 cm|ZAB</x:t>
        </x:is>
      </x:c>
    </x:row>
    <x:row r="224" s="655" customFormat="1" ht="29.5" customHeight="1">
      <x:c r="A224" s="592" t="n">
        <x:v>1174</x:v>
      </x:c>
      <x:c r="B224" s="593" t="inlineStr">
        <x:is>
          <x:t xml:space="preserve">600 x 406 cm</x:t>
        </x:is>
      </x:c>
      <x:c r="C224" s="592" t="n">
        <x:v>600</x:v>
      </x:c>
      <x:c r="D224" s="592" t="n">
        <x:v>406</x:v>
      </x:c>
      <x:c r="E224" s="593" t="inlineStr">
        <x:is>
          <x:t xml:space="preserve">S</x:t>
        </x:is>
      </x:c>
      <x:c r="F224" s="593" t="inlineStr">
        <x:is>
          <x:t xml:space="preserve">Szczotki przeciwkurzowe</x:t>
        </x:is>
      </x:c>
      <x:c r="G224" s="594" t="n">
        <x:v>0</x:v>
      </x:c>
      <x:c r="H224" s="594" t="n">
        <x:v>0</x:v>
      </x:c>
      <x:c r="I224" s="594" t="n">
        <x:v>675</x:v>
      </x:c>
      <x:c r="J224" s="594" t="n">
        <x:v>194</x:v>
      </x:c>
      <x:c r="K224" s="595" t="n">
        <x:v>0.3104</x:v>
      </x:c>
      <x:c r="L224" s="593" t="inlineStr">
        <x:is>
          <x:t xml:space="preserve">POZOSTAWIĆ 0</x:t>
        </x:is>
      </x:c>
      <x:c r="M224" s="593" t="inlineStr">
        <x:is>
          <x:t xml:space="preserve">Zgodnie z Cennik usług: szczotki przeciwkurzowe bez osobnego wynagrodzenia</x:t>
        </x:is>
      </x:c>
      <x:c r="N224" s="593" t="n"/>
      <x:c r="O224" s="593" t="inlineStr">
        <x:is>
          <x:t xml:space="preserve">RAW_OP L/M</x:t>
        </x:is>
      </x:c>
      <x:c r="P224" s="593" t="inlineStr">
        <x:is>
          <x:t xml:space="preserve">600 x 406 cm|S</x:t>
        </x:is>
      </x:c>
    </x:row>
    <x:row r="225" s="655" customFormat="1" ht="29.5" customHeight="1">
      <x:c r="A225" s="592" t="n">
        <x:v>1175</x:v>
      </x:c>
      <x:c r="B225" s="593" t="inlineStr">
        <x:is>
          <x:t xml:space="preserve">600 x 406 cm</x:t>
        </x:is>
      </x:c>
      <x:c r="C225" s="592" t="n">
        <x:v>600</x:v>
      </x:c>
      <x:c r="D225" s="592" t="n">
        <x:v>406</x:v>
      </x:c>
      <x:c r="E225" s="593" t="inlineStr">
        <x:is>
          <x:t xml:space="preserve">U</x:t>
        </x:is>
      </x:c>
      <x:c r="F225" s="593" t="inlineStr">
        <x:is>
          <x:t xml:space="preserve">Uchwyty na szkło ścienne</x:t>
        </x:is>
      </x:c>
      <x:c r="G225" s="594" t="n">
        <x:v>0</x:v>
      </x:c>
      <x:c r="H225" s="594" t="n">
        <x:v>0</x:v>
      </x:c>
      <x:c r="I225" s="594" t="n">
        <x:v>611</x:v>
      </x:c>
      <x:c r="J225" s="594" t="n">
        <x:v>176</x:v>
      </x:c>
      <x:c r="K225" s="595" t="n">
        <x:v>0.3109540636042403</x:v>
      </x:c>
      <x:c r="L225" s="593" t="inlineStr">
        <x:is>
          <x:t xml:space="preserve">POZOSTAWIĆ 0</x:t>
        </x:is>
      </x:c>
      <x:c r="M225" s="593" t="inlineStr">
        <x:is>
          <x:t xml:space="preserve">Zgodnie z Cennik usług: uchwyty bez osobnego wynagrodzenia</x:t>
        </x:is>
      </x:c>
      <x:c r="N225" s="593" t="n"/>
      <x:c r="O225" s="593" t="inlineStr">
        <x:is>
          <x:t xml:space="preserve">RAW_OP N/O</x:t>
        </x:is>
      </x:c>
      <x:c r="P225" s="593" t="inlineStr">
        <x:is>
          <x:t xml:space="preserve">600 x 406 cm|U</x:t>
        </x:is>
      </x:c>
    </x:row>
    <x:row r="226" s="655" customFormat="1" ht="29.5" customHeight="1">
      <x:c r="A226" s="592" t="n">
        <x:v>1176</x:v>
      </x:c>
      <x:c r="B226" s="593" t="inlineStr">
        <x:is>
          <x:t xml:space="preserve">600 x 406 cm</x:t>
        </x:is>
      </x:c>
      <x:c r="C226" s="592" t="n">
        <x:v>600</x:v>
      </x:c>
      <x:c r="D226" s="592" t="n">
        <x:v>406</x:v>
      </x:c>
      <x:c r="E226" s="593" t="inlineStr">
        <x:is>
          <x:t xml:space="preserve">LED2</x:t>
        </x:is>
      </x:c>
      <x:c r="F226" s="593" t="inlineStr">
        <x:is>
          <x:t xml:space="preserve">Oświetlenie LED 2 punkty</x:t>
        </x:is>
      </x:c>
      <x:c r="G226" s="594" t="n">
        <x:v>0</x:v>
      </x:c>
      <x:c r="H226" s="594" t="n">
        <x:v>0</x:v>
      </x:c>
      <x:c r="I226" s="594" t="n">
        <x:v>650</x:v>
      </x:c>
      <x:c r="J226" s="594" t="n">
        <x:v>187</x:v>
      </x:c>
      <x:c r="K226" s="595" t="n">
        <x:v>0.3106312292358804</x:v>
      </x:c>
      <x:c r="L226" s="593" t="inlineStr">
        <x:is>
          <x:t xml:space="preserve">POZOSTAWIĆ 0 NA RAZIE</x:t>
        </x:is>
      </x:c>
      <x:c r="M226" s="593" t="inlineStr">
        <x:is>
          <x:t xml:space="preserve">Cennik usług miał LED bez osobnego wynagrodzenia; kolumna LED z Wynagr. ekipy jest tylko informacyjna</x:t>
        </x:is>
      </x:c>
      <x:c r="N226" s="593" t="inlineStr">
        <x:is>
          <x:t xml:space="preserve">Informacyjnie wg Wynagr. ekipy LED na krokiew: 300 zł.</x:t>
        </x:is>
      </x:c>
      <x:c r="O226" s="593" t="inlineStr">
        <x:is>
          <x:t xml:space="preserve">RAW_ZP P/Q</x:t>
        </x:is>
      </x:c>
      <x:c r="P226" s="593" t="inlineStr">
        <x:is>
          <x:t xml:space="preserve">600 x 406 cm|LED2</x:t>
        </x:is>
      </x:c>
    </x:row>
    <x:row r="227" s="655" customFormat="1" ht="29.5" customHeight="1">
      <x:c r="A227" s="592" t="n">
        <x:v>1177</x:v>
      </x:c>
      <x:c r="B227" s="593" t="inlineStr">
        <x:is>
          <x:t xml:space="preserve">600 x 406 cm</x:t>
        </x:is>
      </x:c>
      <x:c r="C227" s="592" t="n">
        <x:v>600</x:v>
      </x:c>
      <x:c r="D227" s="592" t="n">
        <x:v>406</x:v>
      </x:c>
      <x:c r="E227" s="593" t="inlineStr">
        <x:is>
          <x:t xml:space="preserve">LED3</x:t>
        </x:is>
      </x:c>
      <x:c r="F227" s="593" t="inlineStr">
        <x:is>
          <x:t xml:space="preserve">Oświetlenie LED 3 punkty</x:t>
        </x:is>
      </x:c>
      <x:c r="G227" s="594" t="n">
        <x:v>0</x:v>
      </x:c>
      <x:c r="H227" s="594" t="n">
        <x:v>0</x:v>
      </x:c>
      <x:c r="I227" s="594" t="n">
        <x:v>943</x:v>
      </x:c>
      <x:c r="J227" s="594" t="n">
        <x:v>271</x:v>
      </x:c>
      <x:c r="K227" s="595" t="n">
        <x:v>0.3104238258877434</x:v>
      </x:c>
      <x:c r="L227" s="593" t="inlineStr">
        <x:is>
          <x:t xml:space="preserve">POZOSTAWIĆ 0 NA RAZIE</x:t>
        </x:is>
      </x:c>
      <x:c r="M227" s="593" t="inlineStr">
        <x:is>
          <x:t xml:space="preserve">Cennik usług miał LED bez osobnego wynagrodzenia; kolumna LED z Wynagr. ekipy jest tylko informacyjna</x:t>
        </x:is>
      </x:c>
      <x:c r="N227" s="593" t="inlineStr">
        <x:is>
          <x:t xml:space="preserve">Informacyjnie wg Wynagr. ekipy LED na krokiew: 300 zł.</x:t>
        </x:is>
      </x:c>
      <x:c r="O227" s="593" t="inlineStr">
        <x:is>
          <x:t xml:space="preserve">RAW_ZP R/S</x:t>
        </x:is>
      </x:c>
      <x:c r="P227" s="593" t="inlineStr">
        <x:is>
          <x:t xml:space="preserve">600 x 406 cm|LED3</x:t>
        </x:is>
      </x:c>
    </x:row>
    <x:row r="228" s="655" customFormat="1" ht="29.5" customHeight="1">
      <x:c r="A228" s="592" t="n">
        <x:v>1178</x:v>
      </x:c>
      <x:c r="B228" s="593" t="inlineStr">
        <x:is>
          <x:t xml:space="preserve">600 x 406 cm</x:t>
        </x:is>
      </x:c>
      <x:c r="C228" s="592" t="n">
        <x:v>600</x:v>
      </x:c>
      <x:c r="D228" s="592" t="n">
        <x:v>406</x:v>
      </x:c>
      <x:c r="E228" s="593" t="inlineStr">
        <x:is>
          <x:t xml:space="preserve">LEDCCT</x:t>
        </x:is>
      </x:c>
      <x:c r="F228" s="593" t="inlineStr">
        <x:is>
          <x:t xml:space="preserve">Oświetlenie LED CCT</x:t>
        </x:is>
      </x:c>
      <x:c r="G228" s="594" t="n">
        <x:v>0</x:v>
      </x:c>
      <x:c r="H228" s="594" t="n">
        <x:v>0</x:v>
      </x:c>
      <x:c r="I228" s="594" t="n">
        <x:v>0</x:v>
      </x:c>
      <x:c r="J228" s="594" t="n">
        <x:v>0</x:v>
      </x:c>
      <x:c r="K228" s="595" t="n"/>
      <x:c r="L228" s="593" t="inlineStr">
        <x:is>
          <x:t xml:space="preserve">POZOSTAWIĆ 0 / UKRYTE</x:t>
        </x:is>
      </x:c>
      <x:c r="M228" s="593" t="inlineStr">
        <x:is>
          <x:t xml:space="preserve">Brak pełnego cennika dla 550/600; opcje nadal crm_only/ukryte</x:t>
        </x:is>
      </x:c>
      <x:c r="N228" s="593" t="n"/>
      <x:c r="O228" s="593" t="inlineStr">
        <x:is>
          <x:t xml:space="preserve">RAW_ZP T/U</x:t>
        </x:is>
      </x:c>
      <x:c r="P228" s="593" t="inlineStr">
        <x:is>
          <x:t xml:space="preserve">600 x 406 cm|LEDCCT</x:t>
        </x:is>
      </x:c>
    </x:row>
    <x:row r="229" s="655" customFormat="1" ht="29.5" customHeight="1">
      <x:c r="A229" s="592" t="n">
        <x:v>1179</x:v>
      </x:c>
      <x:c r="B229" s="593" t="inlineStr">
        <x:is>
          <x:t xml:space="preserve">600 x 406 cm</x:t>
        </x:is>
      </x:c>
      <x:c r="C229" s="592" t="n">
        <x:v>600</x:v>
      </x:c>
      <x:c r="D229" s="592" t="n">
        <x:v>406</x:v>
      </x:c>
      <x:c r="E229" s="593" t="inlineStr">
        <x:is>
          <x:t xml:space="preserve">LEDRGBCCT</x:t>
        </x:is>
      </x:c>
      <x:c r="F229" s="593" t="inlineStr">
        <x:is>
          <x:t xml:space="preserve">Oświetlenie LED RGB CCT</x:t>
        </x:is>
      </x:c>
      <x:c r="G229" s="594" t="n">
        <x:v>0</x:v>
      </x:c>
      <x:c r="H229" s="594" t="n">
        <x:v>0</x:v>
      </x:c>
      <x:c r="I229" s="594" t="n">
        <x:v>0</x:v>
      </x:c>
      <x:c r="J229" s="594" t="n">
        <x:v>0</x:v>
      </x:c>
      <x:c r="K229" s="595" t="n"/>
      <x:c r="L229" s="593" t="inlineStr">
        <x:is>
          <x:t xml:space="preserve">POZOSTAWIĆ 0 / UKRYTE</x:t>
        </x:is>
      </x:c>
      <x:c r="M229" s="593" t="inlineStr">
        <x:is>
          <x:t xml:space="preserve">Brak pełnego cennika dla 550/600; opcje nadal crm_only/ukryte</x:t>
        </x:is>
      </x:c>
      <x:c r="N229" s="593" t="n"/>
      <x:c r="O229" s="593" t="inlineStr">
        <x:is>
          <x:t xml:space="preserve">RAW_ZP V/W</x:t>
        </x:is>
      </x:c>
      <x:c r="P229" s="593" t="inlineStr">
        <x:is>
          <x:t xml:space="preserve">600 x 406 cm|LEDRGBCCT</x:t>
        </x:is>
      </x:c>
    </x:row>
    <x:row r="230" s="655" customFormat="1" ht="29.5" customHeight="1">
      <x:c r="A230" s="584" t="n">
        <x:v>1180</x:v>
      </x:c>
      <x:c r="B230" s="585" t="inlineStr">
        <x:is>
          <x:t xml:space="preserve">600 x 506 cm</x:t>
        </x:is>
      </x:c>
      <x:c r="C230" s="584" t="n">
        <x:v>600</x:v>
      </x:c>
      <x:c r="D230" s="584" t="n">
        <x:v>506</x:v>
      </x:c>
      <x:c r="E230" s="585" t="inlineStr">
        <x:is>
          <x:t xml:space="preserve">ZP</x:t>
        </x:is>
      </x:c>
      <x:c r="F230" s="585" t="inlineStr">
        <x:is>
          <x:t xml:space="preserve">Zadaszenie poliwęglan - baza</x:t>
        </x:is>
      </x:c>
      <x:c r="G230" s="586" t="n">
        <x:v>4850</x:v>
      </x:c>
      <x:c r="H230" s="586" t="n">
        <x:v>1470</x:v>
      </x:c>
      <x:c r="I230" s="586" t="n">
        <x:v>27684</x:v>
      </x:c>
      <x:c r="J230" s="586" t="n">
        <x:v>9830</x:v>
      </x:c>
      <x:c r="K230" s="587" t="n">
        <x:v>0.383490032380135</x:v>
      </x:c>
      <x:c r="L230" s="585" t="inlineStr">
        <x:is>
          <x:t xml:space="preserve">UZUPEŁNIĆ</x:t>
        </x:is>
      </x:c>
      <x:c r="M230" s="585" t="inlineStr">
        <x:is>
          <x:t xml:space="preserve">K: model rentowności 450/500; L: przedłużenie Wynagr. ekipy 450→500</x:t>
        </x:is>
      </x:c>
      <x:c r="N230" s="585" t="inlineStr">
        <x:is>
          <x:t xml:space="preserve">Podstawowa konstrukcja z ceną dostawcy dla 550/600.</x:t>
        </x:is>
      </x:c>
      <x:c r="O230" s="585" t="inlineStr">
        <x:is>
          <x:t xml:space="preserve">RAW_ZP B/C</x:t>
        </x:is>
      </x:c>
      <x:c r="P230" s="585" t="inlineStr">
        <x:is>
          <x:t xml:space="preserve">600 x 506 cm|ZP</x:t>
        </x:is>
      </x:c>
    </x:row>
    <x:row r="231" s="655" customFormat="1" ht="29.5" customHeight="1">
      <x:c r="A231" s="588" t="n">
        <x:v>1181</x:v>
      </x:c>
      <x:c r="B231" s="589" t="inlineStr">
        <x:is>
          <x:t xml:space="preserve">600 x 506 cm</x:t>
        </x:is>
      </x:c>
      <x:c r="C231" s="588" t="n">
        <x:v>600</x:v>
      </x:c>
      <x:c r="D231" s="588" t="n">
        <x:v>506</x:v>
      </x:c>
      <x:c r="E231" s="589" t="inlineStr">
        <x:is>
          <x:t xml:space="preserve">ZS</x:t>
        </x:is>
      </x:c>
      <x:c r="F231" s="589" t="inlineStr">
        <x:is>
          <x:t xml:space="preserve">Zadaszenie szkło - pełna konstrukcja</x:t>
        </x:is>
      </x:c>
      <x:c r="G231" s="590" t="n">
        <x:v>4850</x:v>
      </x:c>
      <x:c r="H231" s="590" t="n">
        <x:v>1890</x:v>
      </x:c>
      <x:c r="I231" s="590" t="n"/>
      <x:c r="J231" s="590" t="n"/>
      <x:c r="K231" s="591" t="n"/>
      <x:c r="L231" s="589" t="inlineStr">
        <x:is>
          <x:t xml:space="preserve">NIE PUBLIKOWAĆ / BRAK RAW_ZS</x:t>
        </x:is>
      </x:c>
      <x:c r="M231" s="589" t="inlineStr">
        <x:is>
          <x:t xml:space="preserve">Informacyjnie: K jak ZP, L = pełny montaż zadaszenia szklanego z przedłużenia</x:t>
        </x:is>
      </x:c>
      <x:c r="N231" s="589" t="inlineStr">
        <x:is>
          <x:t xml:space="preserve">Brak ceny dostawcy dla ZS 550/600, więc nieaktywny do czasu cennika dostawcy.</x:t>
        </x:is>
      </x:c>
      <x:c r="O231" s="589" t="inlineStr">
        <x:is>
          <x:t xml:space="preserve">RAW_ZS B/C</x:t>
        </x:is>
      </x:c>
      <x:c r="P231" s="589" t="inlineStr">
        <x:is>
          <x:t xml:space="preserve">600 x 506 cm|ZS</x:t>
        </x:is>
      </x:c>
    </x:row>
    <x:row r="232" s="655" customFormat="1" ht="29.5" customHeight="1">
      <x:c r="A232" s="584" t="n">
        <x:v>1182</x:v>
      </x:c>
      <x:c r="B232" s="585" t="inlineStr">
        <x:is>
          <x:t xml:space="preserve">600 x 506 cm</x:t>
        </x:is>
      </x:c>
      <x:c r="C232" s="584" t="n">
        <x:v>600</x:v>
      </x:c>
      <x:c r="D232" s="584" t="n">
        <x:v>506</x:v>
      </x:c>
      <x:c r="E232" s="585" t="inlineStr">
        <x:is>
          <x:t xml:space="preserve">OP</x:t>
        </x:is>
      </x:c>
      <x:c r="F232" s="585" t="inlineStr">
        <x:is>
          <x:t xml:space="preserve">Ogród zimowy poliwęglan - baza</x:t>
        </x:is>
      </x:c>
      <x:c r="G232" s="586" t="n">
        <x:v>5730</x:v>
      </x:c>
      <x:c r="H232" s="586" t="n">
        <x:v>2070</x:v>
      </x:c>
      <x:c r="I232" s="586" t="n">
        <x:v>53499</x:v>
      </x:c>
      <x:c r="J232" s="586" t="n">
        <x:v>17255</x:v>
      </x:c>
      <x:c r="K232" s="587" t="n">
        <x:v>0.3483325258397933</x:v>
      </x:c>
      <x:c r="L232" s="585" t="inlineStr">
        <x:is>
          <x:t xml:space="preserve">UZUPEŁNIĆ</x:t>
        </x:is>
      </x:c>
      <x:c r="M232" s="585" t="inlineStr">
        <x:is>
          <x:t xml:space="preserve">K: model rentowności 450/500; L: przedłużenie Wynagr. ekipy 450→500</x:t>
        </x:is>
      </x:c>
      <x:c r="N232" s="585" t="inlineStr">
        <x:is>
          <x:t xml:space="preserve">Podstawowa konstrukcja z ceną dostawcy dla 550/600.</x:t>
        </x:is>
      </x:c>
      <x:c r="O232" s="585" t="inlineStr">
        <x:is>
          <x:t xml:space="preserve">RAW_OP B/C</x:t>
        </x:is>
      </x:c>
      <x:c r="P232" s="585" t="inlineStr">
        <x:is>
          <x:t xml:space="preserve">600 x 506 cm|OP</x:t>
        </x:is>
      </x:c>
    </x:row>
    <x:row r="233" s="655" customFormat="1" ht="29.5" customHeight="1">
      <x:c r="A233" s="588" t="n">
        <x:v>1183</x:v>
      </x:c>
      <x:c r="B233" s="589" t="inlineStr">
        <x:is>
          <x:t xml:space="preserve">600 x 506 cm</x:t>
        </x:is>
      </x:c>
      <x:c r="C233" s="588" t="n">
        <x:v>600</x:v>
      </x:c>
      <x:c r="D233" s="588" t="n">
        <x:v>506</x:v>
      </x:c>
      <x:c r="E233" s="589" t="inlineStr">
        <x:is>
          <x:t xml:space="preserve">OS</x:t>
        </x:is>
      </x:c>
      <x:c r="F233" s="589" t="inlineStr">
        <x:is>
          <x:t xml:space="preserve">Ogród zimowy szkło - pełna konstrukcja</x:t>
        </x:is>
      </x:c>
      <x:c r="G233" s="590" t="n">
        <x:v>5730</x:v>
      </x:c>
      <x:c r="H233" s="590" t="n">
        <x:v>2490</x:v>
      </x:c>
      <x:c r="I233" s="590" t="n"/>
      <x:c r="J233" s="590" t="n"/>
      <x:c r="K233" s="591" t="n"/>
      <x:c r="L233" s="589" t="inlineStr">
        <x:is>
          <x:t xml:space="preserve">NIE PUBLIKOWAĆ / BRAK RAW_OS</x:t>
        </x:is>
      </x:c>
      <x:c r="M233" s="589" t="inlineStr">
        <x:is>
          <x:t xml:space="preserve">Informacyjnie: K jak OP, L = pełny montaż ogrodu szklanego z przedłużenia</x:t>
        </x:is>
      </x:c>
      <x:c r="N233" s="589" t="inlineStr">
        <x:is>
          <x:t xml:space="preserve">Brak ceny dostawcy dla OS 550/600, więc nieaktywny do czasu cennika dostawcy.</x:t>
        </x:is>
      </x:c>
      <x:c r="O233" s="589" t="inlineStr">
        <x:is>
          <x:t xml:space="preserve">RAW_OS B/C</x:t>
        </x:is>
      </x:c>
      <x:c r="P233" s="589" t="inlineStr">
        <x:is>
          <x:t xml:space="preserve">600 x 506 cm|OS</x:t>
        </x:is>
      </x:c>
    </x:row>
    <x:row r="234" s="655" customFormat="1" ht="29.5" customHeight="1">
      <x:c r="A234" s="584" t="n">
        <x:v>1184</x:v>
      </x:c>
      <x:c r="B234" s="585" t="inlineStr">
        <x:is>
          <x:t xml:space="preserve">600 x 506 cm</x:t>
        </x:is>
      </x:c>
      <x:c r="C234" s="584" t="n">
        <x:v>600</x:v>
      </x:c>
      <x:c r="D234" s="584" t="n">
        <x:v>506</x:v>
      </x:c>
      <x:c r="E234" s="585" t="inlineStr">
        <x:is>
          <x:t xml:space="preserve">PDS</x:t>
        </x:is>
      </x:c>
      <x:c r="F234" s="585" t="inlineStr">
        <x:is>
          <x:t xml:space="preserve">Dopłata dach szkło przezroczyste</x:t>
        </x:is>
      </x:c>
      <x:c r="G234" s="586" t="n">
        <x:v>0</x:v>
      </x:c>
      <x:c r="H234" s="586" t="n">
        <x:v>420</x:v>
      </x:c>
      <x:c r="I234" s="586" t="n"/>
      <x:c r="J234" s="586" t="n"/>
      <x:c r="K234" s="587" t="n"/>
      <x:c r="L234" s="585" t="inlineStr">
        <x:is>
          <x:t xml:space="preserve">DO UŻYCIA DOPIERO GDY BĘDZIE CENA DACHU SZKŁO</x:t>
        </x:is>
      </x:c>
      <x:c r="M234" s="585" t="inlineStr">
        <x:is>
          <x:t xml:space="preserve">L = montaż zadaszenia szkło - montaż zadaszenia poliwęglan</x:t>
        </x:is>
      </x:c>
      <x:c r="N234" s="585" t="inlineStr">
        <x:is>
          <x:t xml:space="preserve">Potrzebne dla dopłaty dachu szklanego; obecnie brak ceny dostawcy PDS 550/600.</x:t>
        </x:is>
      </x:c>
      <x:c r="O234" s="585" t="inlineStr">
        <x:is>
          <x:t xml:space="preserve">RAW_ZS - RAW_ZP</x:t>
        </x:is>
      </x:c>
      <x:c r="P234" s="585" t="inlineStr">
        <x:is>
          <x:t xml:space="preserve">600 x 506 cm|PDS</x:t>
        </x:is>
      </x:c>
    </x:row>
    <x:row r="235" s="655" customFormat="1" ht="29.5" customHeight="1">
      <x:c r="A235" s="592" t="n">
        <x:v>1185</x:v>
      </x:c>
      <x:c r="B235" s="593" t="inlineStr">
        <x:is>
          <x:t xml:space="preserve">600 x 506 cm</x:t>
        </x:is>
      </x:c>
      <x:c r="C235" s="592" t="n">
        <x:v>600</x:v>
      </x:c>
      <x:c r="D235" s="592" t="n">
        <x:v>506</x:v>
      </x:c>
      <x:c r="E235" s="593" t="inlineStr">
        <x:is>
          <x:t xml:space="preserve">PDSB</x:t>
        </x:is>
      </x:c>
      <x:c r="F235" s="593" t="inlineStr">
        <x:is>
          <x:t xml:space="preserve">Dopłata dach szkło barwione/mleczne</x:t>
        </x:is>
      </x:c>
      <x:c r="G235" s="594" t="n">
        <x:v>0</x:v>
      </x:c>
      <x:c r="H235" s="594" t="n">
        <x:v>0</x:v>
      </x:c>
      <x:c r="I235" s="594" t="n"/>
      <x:c r="J235" s="594" t="n"/>
      <x:c r="K235" s="595" t="n"/>
      <x:c r="L235" s="593" t="inlineStr">
        <x:is>
          <x:t xml:space="preserve">POZOSTAWIĆ 0 / BRAK CENY PDSB</x:t>
        </x:is>
      </x:c>
      <x:c r="M235" s="593" t="inlineStr">
        <x:is>
          <x:t xml:space="preserve">Zgodnie z dotychczasową logiką: dopłata barwienia szkła nie ma osobnego wynagrodzenia</x:t>
        </x:is>
      </x:c>
      <x:c r="N235" s="593" t="inlineStr">
        <x:is>
          <x:t xml:space="preserve">Brak ceny dostawcy dla PDSB 550/600.</x:t>
        </x:is>
      </x:c>
      <x:c r="O235" s="593" t="inlineStr">
        <x:is>
          <x:t xml:space="preserve">RAW_ZS D/E</x:t>
        </x:is>
      </x:c>
      <x:c r="P235" s="593" t="inlineStr">
        <x:is>
          <x:t xml:space="preserve">600 x 506 cm|PDSB</x:t>
        </x:is>
      </x:c>
    </x:row>
    <x:row r="236" s="655" customFormat="1" ht="29.5" customHeight="1">
      <x:c r="A236" s="592" t="n">
        <x:v>1186</x:v>
      </x:c>
      <x:c r="B236" s="593" t="inlineStr">
        <x:is>
          <x:t xml:space="preserve">600 x 506 cm</x:t>
        </x:is>
      </x:c>
      <x:c r="C236" s="592" t="n">
        <x:v>600</x:v>
      </x:c>
      <x:c r="D236" s="592" t="n">
        <x:v>506</x:v>
      </x:c>
      <x:c r="E236" s="593" t="inlineStr">
        <x:is>
          <x:t xml:space="preserve">PDPB</x:t>
        </x:is>
      </x:c>
      <x:c r="F236" s="593" t="inlineStr">
        <x:is>
          <x:t xml:space="preserve">Dopłata poliwęglan barwiony</x:t>
        </x:is>
      </x:c>
      <x:c r="G236" s="594" t="n">
        <x:v>0</x:v>
      </x:c>
      <x:c r="H236" s="594" t="n">
        <x:v>0</x:v>
      </x:c>
      <x:c r="I236" s="594" t="n">
        <x:v>662</x:v>
      </x:c>
      <x:c r="J236" s="594" t="n">
        <x:v>190</x:v>
      </x:c>
      <x:c r="K236" s="595" t="n">
        <x:v>0.3099510603588907</x:v>
      </x:c>
      <x:c r="L236" s="593" t="inlineStr">
        <x:is>
          <x:t xml:space="preserve">POZOSTAWIĆ 0</x:t>
        </x:is>
      </x:c>
      <x:c r="M236" s="593" t="inlineStr">
        <x:is>
          <x:t xml:space="preserve">Zgodnie z Cennik usług: poliwęglan barwiony nie miał osobnej pracy ekipy</x:t>
        </x:is>
      </x:c>
      <x:c r="N236" s="593" t="inlineStr">
        <x:is>
          <x:t xml:space="preserve">Ma cenę dostawcy; montaż/wynagrodzenie zostaje 0.</x:t>
        </x:is>
      </x:c>
      <x:c r="O236" s="593" t="inlineStr">
        <x:is>
          <x:t xml:space="preserve">RAW_ZP D/E</x:t>
        </x:is>
      </x:c>
      <x:c r="P236" s="593" t="inlineStr">
        <x:is>
          <x:t xml:space="preserve">600 x 506 cm|PDPB</x:t>
        </x:is>
      </x:c>
    </x:row>
    <x:row r="237" s="655" customFormat="1" ht="29.5" customHeight="1">
      <x:c r="A237" s="592" t="n">
        <x:v>1187</x:v>
      </x:c>
      <x:c r="B237" s="593" t="inlineStr">
        <x:is>
          <x:t xml:space="preserve">600 x 506 cm</x:t>
        </x:is>
      </x:c>
      <x:c r="C237" s="592" t="n">
        <x:v>600</x:v>
      </x:c>
      <x:c r="D237" s="592" t="n">
        <x:v>506</x:v>
      </x:c>
      <x:c r="E237" s="593" t="inlineStr">
        <x:is>
          <x:t xml:space="preserve">SBB</x:t>
        </x:is>
      </x:c>
      <x:c r="F237" s="593" t="inlineStr">
        <x:is>
          <x:t xml:space="preserve">Dopłata szkło boczne przyciemniane</x:t>
        </x:is>
      </x:c>
      <x:c r="G237" s="594" t="n">
        <x:v>0</x:v>
      </x:c>
      <x:c r="H237" s="594" t="n">
        <x:v>0</x:v>
      </x:c>
      <x:c r="I237" s="594" t="n">
        <x:v>2598</x:v>
      </x:c>
      <x:c r="J237" s="594" t="n">
        <x:v>747</x:v>
      </x:c>
      <x:c r="K237" s="595" t="n">
        <x:v>0.3104738154613466</x:v>
      </x:c>
      <x:c r="L237" s="593" t="inlineStr">
        <x:is>
          <x:t xml:space="preserve">POZOSTAWIĆ 0</x:t>
        </x:is>
      </x:c>
      <x:c r="M237" s="593" t="inlineStr">
        <x:is>
          <x:t xml:space="preserve">Zgodnie z Cennik usług: szyby boczne barwione nie miały osobnej pracy ekipy</x:t>
        </x:is>
      </x:c>
      <x:c r="N237" s="593" t="inlineStr">
        <x:is>
          <x:t xml:space="preserve">Ma cenę dostawcy; montaż/wynagrodzenie zostaje 0.</x:t>
        </x:is>
      </x:c>
      <x:c r="O237" s="593" t="inlineStr">
        <x:is>
          <x:t xml:space="preserve">RAW_OP H/I</x:t>
        </x:is>
      </x:c>
      <x:c r="P237" s="593" t="inlineStr">
        <x:is>
          <x:t xml:space="preserve">600 x 506 cm|SBB</x:t>
        </x:is>
      </x:c>
    </x:row>
    <x:row r="238" s="655" customFormat="1" ht="29.5" customHeight="1">
      <x:c r="A238" s="584" t="n">
        <x:v>1188</x:v>
      </x:c>
      <x:c r="B238" s="585" t="inlineStr">
        <x:is>
          <x:t xml:space="preserve">600 x 506 cm</x:t>
        </x:is>
      </x:c>
      <x:c r="C238" s="584" t="n">
        <x:v>600</x:v>
      </x:c>
      <x:c r="D238" s="584" t="n">
        <x:v>506</x:v>
      </x:c>
      <x:c r="E238" s="585" t="inlineStr">
        <x:is>
          <x:t xml:space="preserve">RB</x:t>
        </x:is>
      </x:c>
      <x:c r="F238" s="585" t="inlineStr">
        <x:is>
          <x:t xml:space="preserve">Roleta boczna ZIP</x:t>
        </x:is>
      </x:c>
      <x:c r="G238" s="586" t="n">
        <x:v>0</x:v>
      </x:c>
      <x:c r="H238" s="586" t="n">
        <x:v>150</x:v>
      </x:c>
      <x:c r="I238" s="586" t="n">
        <x:v>5437</x:v>
      </x:c>
      <x:c r="J238" s="586" t="n">
        <x:v>1412</x:v>
      </x:c>
      <x:c r="K238" s="587" t="n">
        <x:v>0.2804926499801351</x:v>
      </x:c>
      <x:c r="L238" s="585" t="inlineStr">
        <x:is>
          <x:t xml:space="preserve">UZUPEŁNIĆ L</x:t>
        </x:is>
      </x:c>
      <x:c r="M238" s="585" t="inlineStr">
        <x:is>
          <x:t xml:space="preserve">L = przedłużona kolumna Montaż rolety bocznej</x:t>
        </x:is>
      </x:c>
      <x:c r="N238" s="585" t="inlineStr">
        <x:is>
          <x:t xml:space="preserve">K zostaje 0; rentowność po L pozostaje podobna do mniejszych wymiarów.</x:t>
        </x:is>
      </x:c>
      <x:c r="O238" s="585" t="inlineStr">
        <x:is>
          <x:t xml:space="preserve">RAW_ZP J/K</x:t>
        </x:is>
      </x:c>
      <x:c r="P238" s="585" t="inlineStr">
        <x:is>
          <x:t xml:space="preserve">600 x 506 cm|RB</x:t>
        </x:is>
      </x:c>
    </x:row>
    <x:row r="239" s="655" customFormat="1" ht="29.5" customHeight="1">
      <x:c r="A239" s="584" t="n">
        <x:v>1189</x:v>
      </x:c>
      <x:c r="B239" s="585" t="inlineStr">
        <x:is>
          <x:t xml:space="preserve">600 x 506 cm</x:t>
        </x:is>
      </x:c>
      <x:c r="C239" s="584" t="n">
        <x:v>600</x:v>
      </x:c>
      <x:c r="D239" s="584" t="n">
        <x:v>506</x:v>
      </x:c>
      <x:c r="E239" s="585" t="inlineStr">
        <x:is>
          <x:t xml:space="preserve">RP</x:t>
        </x:is>
      </x:c>
      <x:c r="F239" s="585" t="inlineStr">
        <x:is>
          <x:t xml:space="preserve">Roleta przednia ZIP</x:t>
        </x:is>
      </x:c>
      <x:c r="G239" s="586" t="n">
        <x:v>0</x:v>
      </x:c>
      <x:c r="H239" s="586" t="n">
        <x:v>300</x:v>
      </x:c>
      <x:c r="I239" s="586" t="n">
        <x:v>4711</x:v>
      </x:c>
      <x:c r="J239" s="586" t="n">
        <x:v>1054</x:v>
      </x:c>
      <x:c r="K239" s="587" t="n">
        <x:v>0.2416322787712059</x:v>
      </x:c>
      <x:c r="L239" s="585" t="inlineStr">
        <x:is>
          <x:t xml:space="preserve">UZUPEŁNIĆ L</x:t>
        </x:is>
      </x:c>
      <x:c r="M239" s="585" t="inlineStr">
        <x:is>
          <x:t xml:space="preserve">L = przedłużona kolumna Montaż rolety przedniej</x:t>
        </x:is>
      </x:c>
      <x:c r="N239" s="585" t="inlineStr">
        <x:is>
          <x:t xml:space="preserve">K zostaje 0; rentowność po L pozostaje podobna do mniejszych wymiarów.</x:t>
        </x:is>
      </x:c>
      <x:c r="O239" s="585" t="inlineStr">
        <x:is>
          <x:t xml:space="preserve">RAW_ZP N/O</x:t>
        </x:is>
      </x:c>
      <x:c r="P239" s="585" t="inlineStr">
        <x:is>
          <x:t xml:space="preserve">600 x 506 cm|RP</x:t>
        </x:is>
      </x:c>
    </x:row>
    <x:row r="240" s="655" customFormat="1" ht="29.5" customHeight="1">
      <x:c r="A240" s="584" t="n">
        <x:v>1190</x:v>
      </x:c>
      <x:c r="B240" s="585" t="inlineStr">
        <x:is>
          <x:t xml:space="preserve">600 x 506 cm</x:t>
        </x:is>
      </x:c>
      <x:c r="C240" s="584" t="n">
        <x:v>600</x:v>
      </x:c>
      <x:c r="D240" s="584" t="n">
        <x:v>506</x:v>
      </x:c>
      <x:c r="E240" s="585" t="inlineStr">
        <x:is>
          <x:t xml:space="preserve">M</x:t>
        </x:is>
      </x:c>
      <x:c r="F240" s="585" t="inlineStr">
        <x:is>
          <x:t xml:space="preserve">Markiza dachowa</x:t>
        </x:is>
      </x:c>
      <x:c r="G240" s="586" t="n">
        <x:v>0</x:v>
      </x:c>
      <x:c r="H240" s="586" t="n">
        <x:v>300</x:v>
      </x:c>
      <x:c r="I240" s="586" t="n">
        <x:v>7078</x:v>
      </x:c>
      <x:c r="J240" s="586" t="n">
        <x:v>1734</x:v>
      </x:c>
      <x:c r="K240" s="587" t="n">
        <x:v>0.2645712541959109</x:v>
      </x:c>
      <x:c r="L240" s="585" t="inlineStr">
        <x:is>
          <x:t xml:space="preserve">UZUPEŁNIĆ L</x:t>
        </x:is>
      </x:c>
      <x:c r="M240" s="585" t="inlineStr">
        <x:is>
          <x:t xml:space="preserve">L = przedłużona kolumna Montaż markizy na dach</x:t>
        </x:is>
      </x:c>
      <x:c r="N240" s="585" t="inlineStr">
        <x:is>
          <x:t xml:space="preserve">K zostaje 0; rentowność po L pozostaje podobna do mniejszych wymiarów.</x:t>
        </x:is>
      </x:c>
      <x:c r="O240" s="585" t="inlineStr">
        <x:is>
          <x:t xml:space="preserve">RAW_ZP H/I</x:t>
        </x:is>
      </x:c>
      <x:c r="P240" s="585" t="inlineStr">
        <x:is>
          <x:t xml:space="preserve">600 x 506 cm|M</x:t>
        </x:is>
      </x:c>
    </x:row>
    <x:row r="241" s="655" customFormat="1" ht="29.5" customHeight="1">
      <x:c r="A241" s="584" t="n">
        <x:v>1191</x:v>
      </x:c>
      <x:c r="B241" s="585" t="inlineStr">
        <x:is>
          <x:t xml:space="preserve">600 x 506 cm</x:t>
        </x:is>
      </x:c>
      <x:c r="C241" s="584" t="n">
        <x:v>600</x:v>
      </x:c>
      <x:c r="D241" s="584" t="n">
        <x:v>506</x:v>
      </x:c>
      <x:c r="E241" s="585" t="inlineStr">
        <x:is>
          <x:t xml:space="preserve">PDWP</x:t>
        </x:is>
      </x:c>
      <x:c r="F241" s="585" t="inlineStr">
        <x:is>
          <x:t xml:space="preserve">Fundament/profile</x:t>
        </x:is>
      </x:c>
      <x:c r="G241" s="586" t="n">
        <x:v>590</x:v>
      </x:c>
      <x:c r="H241" s="586" t="n">
        <x:v>540</x:v>
      </x:c>
      <x:c r="I241" s="586" t="n">
        <x:v>2432</x:v>
      </x:c>
      <x:c r="J241" s="586" t="n">
        <x:v>566</x:v>
      </x:c>
      <x:c r="K241" s="587" t="n">
        <x:v>0.2513321492007105</x:v>
      </x:c>
      <x:c r="L241" s="585" t="inlineStr">
        <x:is>
          <x:t xml:space="preserve">UZUPEŁNIĆ K+L / KOREKTA RENTOWNOŚCI</x:t>
        </x:is>
      </x:c>
      <x:c r="M241" s="585" t="inlineStr">
        <x:is>
          <x:t xml:space="preserve">L = Wyrównanie podłoża; K = dopłata montażowa wyliczona do min. 25% rentowności</x:t>
        </x:is>
      </x:c>
      <x:c r="N241" s="585" t="inlineStr">
        <x:is>
          <x:t xml:space="preserve">Bez K ten dodatek ma ujemną rentowność. To jest korekta biznesowa, nie tylko przedłużenie EG.</x:t>
        </x:is>
      </x:c>
      <x:c r="O241" s="585" t="inlineStr">
        <x:is>
          <x:t xml:space="preserve">RAW_OP AB/AC</x:t>
        </x:is>
      </x:c>
      <x:c r="P241" s="585" t="inlineStr">
        <x:is>
          <x:t xml:space="preserve">600 x 506 cm|PDWP</x:t>
        </x:is>
      </x:c>
    </x:row>
    <x:row r="242" s="655" customFormat="1" ht="29.5" customHeight="1">
      <x:c r="A242" s="592" t="n">
        <x:v>1192</x:v>
      </x:c>
      <x:c r="B242" s="593" t="inlineStr">
        <x:is>
          <x:t xml:space="preserve">600 x 506 cm</x:t>
        </x:is>
      </x:c>
      <x:c r="C242" s="592" t="n">
        <x:v>600</x:v>
      </x:c>
      <x:c r="D242" s="592" t="n">
        <x:v>506</x:v>
      </x:c>
      <x:c r="E242" s="593" t="inlineStr">
        <x:is>
          <x:t xml:space="preserve">ZAB</x:t>
        </x:is>
      </x:c>
      <x:c r="F242" s="593" t="inlineStr">
        <x:is>
          <x:t xml:space="preserve">Zabieraki do ścian przesuwnych</x:t>
        </x:is>
      </x:c>
      <x:c r="G242" s="594" t="n">
        <x:v>0</x:v>
      </x:c>
      <x:c r="H242" s="594" t="n">
        <x:v>0</x:v>
      </x:c>
      <x:c r="I242" s="594" t="n">
        <x:v>662</x:v>
      </x:c>
      <x:c r="J242" s="594" t="n">
        <x:v>190</x:v>
      </x:c>
      <x:c r="K242" s="595" t="n">
        <x:v>0.3099510603588907</x:v>
      </x:c>
      <x:c r="L242" s="593" t="inlineStr">
        <x:is>
          <x:t xml:space="preserve">POZOSTAWIĆ 0</x:t>
        </x:is>
      </x:c>
      <x:c r="M242" s="593" t="inlineStr">
        <x:is>
          <x:t xml:space="preserve">Brak osobnej kolumny wynagrodzenia w Cennik usług; traktować jako element dodatkowy bez osobnej pracy</x:t>
        </x:is>
      </x:c>
      <x:c r="N242" s="593" t="n"/>
      <x:c r="O242" s="593" t="inlineStr">
        <x:is>
          <x:t xml:space="preserve">RAW_OP AD/AE</x:t>
        </x:is>
      </x:c>
      <x:c r="P242" s="593" t="inlineStr">
        <x:is>
          <x:t xml:space="preserve">600 x 506 cm|ZAB</x:t>
        </x:is>
      </x:c>
    </x:row>
    <x:row r="243" s="655" customFormat="1" ht="29.5" customHeight="1">
      <x:c r="A243" s="592" t="n">
        <x:v>1193</x:v>
      </x:c>
      <x:c r="B243" s="593" t="inlineStr">
        <x:is>
          <x:t xml:space="preserve">600 x 506 cm</x:t>
        </x:is>
      </x:c>
      <x:c r="C243" s="592" t="n">
        <x:v>600</x:v>
      </x:c>
      <x:c r="D243" s="592" t="n">
        <x:v>506</x:v>
      </x:c>
      <x:c r="E243" s="593" t="inlineStr">
        <x:is>
          <x:t xml:space="preserve">S</x:t>
        </x:is>
      </x:c>
      <x:c r="F243" s="593" t="inlineStr">
        <x:is>
          <x:t xml:space="preserve">Szczotki przeciwkurzowe</x:t>
        </x:is>
      </x:c>
      <x:c r="G243" s="594" t="n">
        <x:v>0</x:v>
      </x:c>
      <x:c r="H243" s="594" t="n">
        <x:v>0</x:v>
      </x:c>
      <x:c r="I243" s="594" t="n">
        <x:v>725</x:v>
      </x:c>
      <x:c r="J243" s="594" t="n">
        <x:v>208</x:v>
      </x:c>
      <x:c r="K243" s="595" t="n">
        <x:v>0.3099850968703428</x:v>
      </x:c>
      <x:c r="L243" s="593" t="inlineStr">
        <x:is>
          <x:t xml:space="preserve">POZOSTAWIĆ 0</x:t>
        </x:is>
      </x:c>
      <x:c r="M243" s="593" t="inlineStr">
        <x:is>
          <x:t xml:space="preserve">Zgodnie z Cennik usług: szczotki przeciwkurzowe bez osobnego wynagrodzenia</x:t>
        </x:is>
      </x:c>
      <x:c r="N243" s="593" t="n"/>
      <x:c r="O243" s="593" t="inlineStr">
        <x:is>
          <x:t xml:space="preserve">RAW_OP L/M</x:t>
        </x:is>
      </x:c>
      <x:c r="P243" s="593" t="inlineStr">
        <x:is>
          <x:t xml:space="preserve">600 x 506 cm|S</x:t>
        </x:is>
      </x:c>
    </x:row>
    <x:row r="244" s="655" customFormat="1" ht="29.5" customHeight="1">
      <x:c r="A244" s="592" t="n">
        <x:v>1194</x:v>
      </x:c>
      <x:c r="B244" s="593" t="inlineStr">
        <x:is>
          <x:t xml:space="preserve">600 x 506 cm</x:t>
        </x:is>
      </x:c>
      <x:c r="C244" s="592" t="n">
        <x:v>600</x:v>
      </x:c>
      <x:c r="D244" s="592" t="n">
        <x:v>506</x:v>
      </x:c>
      <x:c r="E244" s="593" t="inlineStr">
        <x:is>
          <x:t xml:space="preserve">U</x:t>
        </x:is>
      </x:c>
      <x:c r="F244" s="593" t="inlineStr">
        <x:is>
          <x:t xml:space="preserve">Uchwyty na szkło ścienne</x:t>
        </x:is>
      </x:c>
      <x:c r="G244" s="594" t="n">
        <x:v>0</x:v>
      </x:c>
      <x:c r="H244" s="594" t="n">
        <x:v>0</x:v>
      </x:c>
      <x:c r="I244" s="594" t="n">
        <x:v>662</x:v>
      </x:c>
      <x:c r="J244" s="594" t="n">
        <x:v>190</x:v>
      </x:c>
      <x:c r="K244" s="595" t="n">
        <x:v>0.3099510603588907</x:v>
      </x:c>
      <x:c r="L244" s="593" t="inlineStr">
        <x:is>
          <x:t xml:space="preserve">POZOSTAWIĆ 0</x:t>
        </x:is>
      </x:c>
      <x:c r="M244" s="593" t="inlineStr">
        <x:is>
          <x:t xml:space="preserve">Zgodnie z Cennik usług: uchwyty bez osobnego wynagrodzenia</x:t>
        </x:is>
      </x:c>
      <x:c r="N244" s="593" t="n"/>
      <x:c r="O244" s="593" t="inlineStr">
        <x:is>
          <x:t xml:space="preserve">RAW_OP N/O</x:t>
        </x:is>
      </x:c>
      <x:c r="P244" s="593" t="inlineStr">
        <x:is>
          <x:t xml:space="preserve">600 x 506 cm|U</x:t>
        </x:is>
      </x:c>
    </x:row>
    <x:row r="245" s="655" customFormat="1" ht="29.5" customHeight="1">
      <x:c r="A245" s="592" t="n">
        <x:v>1195</x:v>
      </x:c>
      <x:c r="B245" s="593" t="inlineStr">
        <x:is>
          <x:t xml:space="preserve">600 x 506 cm</x:t>
        </x:is>
      </x:c>
      <x:c r="C245" s="592" t="n">
        <x:v>600</x:v>
      </x:c>
      <x:c r="D245" s="592" t="n">
        <x:v>506</x:v>
      </x:c>
      <x:c r="E245" s="593" t="inlineStr">
        <x:is>
          <x:t xml:space="preserve">LED2</x:t>
        </x:is>
      </x:c>
      <x:c r="F245" s="593" t="inlineStr">
        <x:is>
          <x:t xml:space="preserve">Oświetlenie LED 2 punkty</x:t>
        </x:is>
      </x:c>
      <x:c r="G245" s="594" t="n">
        <x:v>0</x:v>
      </x:c>
      <x:c r="H245" s="594" t="n">
        <x:v>0</x:v>
      </x:c>
      <x:c r="I245" s="594" t="n">
        <x:v>765</x:v>
      </x:c>
      <x:c r="J245" s="594" t="n">
        <x:v>220</x:v>
      </x:c>
      <x:c r="K245" s="595" t="n">
        <x:v>0.3107344632768362</x:v>
      </x:c>
      <x:c r="L245" s="593" t="inlineStr">
        <x:is>
          <x:t xml:space="preserve">POZOSTAWIĆ 0 NA RAZIE</x:t>
        </x:is>
      </x:c>
      <x:c r="M245" s="593" t="inlineStr">
        <x:is>
          <x:t xml:space="preserve">Cennik usług miał LED bez osobnego wynagrodzenia; kolumna LED z Wynagr. ekipy jest tylko informacyjna</x:t>
        </x:is>
      </x:c>
      <x:c r="N245" s="593" t="inlineStr">
        <x:is>
          <x:t xml:space="preserve">Informacyjnie wg Wynagr. ekipy LED na krokiew: 350 zł.</x:t>
        </x:is>
      </x:c>
      <x:c r="O245" s="593" t="inlineStr">
        <x:is>
          <x:t xml:space="preserve">RAW_ZP P/Q</x:t>
        </x:is>
      </x:c>
      <x:c r="P245" s="593" t="inlineStr">
        <x:is>
          <x:t xml:space="preserve">600 x 506 cm|LED2</x:t>
        </x:is>
      </x:c>
    </x:row>
    <x:row r="246" s="655" customFormat="1" ht="29.5" customHeight="1">
      <x:c r="A246" s="592" t="n">
        <x:v>1196</x:v>
      </x:c>
      <x:c r="B246" s="593" t="inlineStr">
        <x:is>
          <x:t xml:space="preserve">600 x 506 cm</x:t>
        </x:is>
      </x:c>
      <x:c r="C246" s="592" t="n">
        <x:v>600</x:v>
      </x:c>
      <x:c r="D246" s="592" t="n">
        <x:v>506</x:v>
      </x:c>
      <x:c r="E246" s="593" t="inlineStr">
        <x:is>
          <x:t xml:space="preserve">LED3</x:t>
        </x:is>
      </x:c>
      <x:c r="F246" s="593" t="inlineStr">
        <x:is>
          <x:t xml:space="preserve">Oświetlenie LED 3 punkty</x:t>
        </x:is>
      </x:c>
      <x:c r="G246" s="594" t="n">
        <x:v>0</x:v>
      </x:c>
      <x:c r="H246" s="594" t="n">
        <x:v>0</x:v>
      </x:c>
      <x:c r="I246" s="594" t="n">
        <x:v>1221</x:v>
      </x:c>
      <x:c r="J246" s="594" t="n">
        <x:v>351</x:v>
      </x:c>
      <x:c r="K246" s="595" t="n">
        <x:v>0.3103448275862069</x:v>
      </x:c>
      <x:c r="L246" s="593" t="inlineStr">
        <x:is>
          <x:t xml:space="preserve">POZOSTAWIĆ 0 NA RAZIE</x:t>
        </x:is>
      </x:c>
      <x:c r="M246" s="593" t="inlineStr">
        <x:is>
          <x:t xml:space="preserve">Cennik usług miał LED bez osobnego wynagrodzenia; kolumna LED z Wynagr. ekipy jest tylko informacyjna</x:t>
        </x:is>
      </x:c>
      <x:c r="N246" s="593" t="inlineStr">
        <x:is>
          <x:t xml:space="preserve">Informacyjnie wg Wynagr. ekipy LED na krokiew: 350 zł.</x:t>
        </x:is>
      </x:c>
      <x:c r="O246" s="593" t="inlineStr">
        <x:is>
          <x:t xml:space="preserve">RAW_ZP R/S</x:t>
        </x:is>
      </x:c>
      <x:c r="P246" s="593" t="inlineStr">
        <x:is>
          <x:t xml:space="preserve">600 x 506 cm|LED3</x:t>
        </x:is>
      </x:c>
    </x:row>
    <x:row r="247" s="655" customFormat="1" ht="29.5" customHeight="1">
      <x:c r="A247" s="592" t="n">
        <x:v>1197</x:v>
      </x:c>
      <x:c r="B247" s="593" t="inlineStr">
        <x:is>
          <x:t xml:space="preserve">600 x 506 cm</x:t>
        </x:is>
      </x:c>
      <x:c r="C247" s="592" t="n">
        <x:v>600</x:v>
      </x:c>
      <x:c r="D247" s="592" t="n">
        <x:v>506</x:v>
      </x:c>
      <x:c r="E247" s="593" t="inlineStr">
        <x:is>
          <x:t xml:space="preserve">LEDCCT</x:t>
        </x:is>
      </x:c>
      <x:c r="F247" s="593" t="inlineStr">
        <x:is>
          <x:t xml:space="preserve">Oświetlenie LED CCT</x:t>
        </x:is>
      </x:c>
      <x:c r="G247" s="594" t="n">
        <x:v>0</x:v>
      </x:c>
      <x:c r="H247" s="594" t="n">
        <x:v>0</x:v>
      </x:c>
      <x:c r="I247" s="594" t="n">
        <x:v>0</x:v>
      </x:c>
      <x:c r="J247" s="594" t="n">
        <x:v>0</x:v>
      </x:c>
      <x:c r="K247" s="595" t="n"/>
      <x:c r="L247" s="593" t="inlineStr">
        <x:is>
          <x:t xml:space="preserve">POZOSTAWIĆ 0 / UKRYTE</x:t>
        </x:is>
      </x:c>
      <x:c r="M247" s="593" t="inlineStr">
        <x:is>
          <x:t xml:space="preserve">Brak pełnego cennika dla 550/600; opcje nadal crm_only/ukryte</x:t>
        </x:is>
      </x:c>
      <x:c r="N247" s="593" t="n"/>
      <x:c r="O247" s="593" t="inlineStr">
        <x:is>
          <x:t xml:space="preserve">RAW_ZP T/U</x:t>
        </x:is>
      </x:c>
      <x:c r="P247" s="593" t="inlineStr">
        <x:is>
          <x:t xml:space="preserve">600 x 506 cm|LEDCCT</x:t>
        </x:is>
      </x:c>
    </x:row>
    <x:row r="248" s="655" customFormat="1" ht="29.5" customHeight="1">
      <x:c r="A248" s="592" t="n">
        <x:v>1198</x:v>
      </x:c>
      <x:c r="B248" s="593" t="inlineStr">
        <x:is>
          <x:t xml:space="preserve">600 x 506 cm</x:t>
        </x:is>
      </x:c>
      <x:c r="C248" s="592" t="n">
        <x:v>600</x:v>
      </x:c>
      <x:c r="D248" s="592" t="n">
        <x:v>506</x:v>
      </x:c>
      <x:c r="E248" s="593" t="inlineStr">
        <x:is>
          <x:t xml:space="preserve">LEDRGBCCT</x:t>
        </x:is>
      </x:c>
      <x:c r="F248" s="593" t="inlineStr">
        <x:is>
          <x:t xml:space="preserve">Oświetlenie LED RGB CCT</x:t>
        </x:is>
      </x:c>
      <x:c r="G248" s="594" t="n">
        <x:v>0</x:v>
      </x:c>
      <x:c r="H248" s="594" t="n">
        <x:v>0</x:v>
      </x:c>
      <x:c r="I248" s="594" t="n">
        <x:v>0</x:v>
      </x:c>
      <x:c r="J248" s="594" t="n">
        <x:v>0</x:v>
      </x:c>
      <x:c r="K248" s="595" t="n"/>
      <x:c r="L248" s="593" t="inlineStr">
        <x:is>
          <x:t xml:space="preserve">POZOSTAWIĆ 0 / UKRYTE</x:t>
        </x:is>
      </x:c>
      <x:c r="M248" s="593" t="inlineStr">
        <x:is>
          <x:t xml:space="preserve">Brak pełnego cennika dla 550/600; opcje nadal crm_only/ukryte</x:t>
        </x:is>
      </x:c>
      <x:c r="N248" s="593" t="n"/>
      <x:c r="O248" s="593" t="inlineStr">
        <x:is>
          <x:t xml:space="preserve">RAW_ZP V/W</x:t>
        </x:is>
      </x:c>
      <x:c r="P248" s="593" t="inlineStr">
        <x:is>
          <x:t xml:space="preserve">600 x 506 cm|LEDRGBCCT</x:t>
        </x:is>
      </x:c>
    </x:row>
    <x:row r="249" s="655" customFormat="1" ht="29.5" customHeight="1">
      <x:c r="A249" s="584" t="n">
        <x:v>1199</x:v>
      </x:c>
      <x:c r="B249" s="585" t="inlineStr">
        <x:is>
          <x:t xml:space="preserve">600 x 606 cm</x:t>
        </x:is>
      </x:c>
      <x:c r="C249" s="584" t="n">
        <x:v>600</x:v>
      </x:c>
      <x:c r="D249" s="584" t="n">
        <x:v>606</x:v>
      </x:c>
      <x:c r="E249" s="585" t="inlineStr">
        <x:is>
          <x:t xml:space="preserve">ZP</x:t>
        </x:is>
      </x:c>
      <x:c r="F249" s="585" t="inlineStr">
        <x:is>
          <x:t xml:space="preserve">Zadaszenie poliwęglan - baza</x:t>
        </x:is>
      </x:c>
      <x:c r="G249" s="586" t="n">
        <x:v>5230</x:v>
      </x:c>
      <x:c r="H249" s="586" t="n">
        <x:v>1620</x:v>
      </x:c>
      <x:c r="I249" s="586" t="n">
        <x:v>32233</x:v>
      </x:c>
      <x:c r="J249" s="586" t="n">
        <x:v>11249</x:v>
      </x:c>
      <x:c r="K249" s="587" t="n">
        <x:v>0.3769140559557715</x:v>
      </x:c>
      <x:c r="L249" s="585" t="inlineStr">
        <x:is>
          <x:t xml:space="preserve">UZUPEŁNIĆ</x:t>
        </x:is>
      </x:c>
      <x:c r="M249" s="585" t="inlineStr">
        <x:is>
          <x:t xml:space="preserve">K: model rentowności 450/500; L: przedłużenie Wynagr. ekipy 450→500</x:t>
        </x:is>
      </x:c>
      <x:c r="N249" s="585" t="inlineStr">
        <x:is>
          <x:t xml:space="preserve">Podstawowa konstrukcja z ceną dostawcy dla 550/600.</x:t>
        </x:is>
      </x:c>
      <x:c r="O249" s="585" t="inlineStr">
        <x:is>
          <x:t xml:space="preserve">RAW_ZP B/C</x:t>
        </x:is>
      </x:c>
      <x:c r="P249" s="585" t="inlineStr">
        <x:is>
          <x:t xml:space="preserve">600 x 606 cm|ZP</x:t>
        </x:is>
      </x:c>
    </x:row>
    <x:row r="250" s="655" customFormat="1" ht="29.5" customHeight="1">
      <x:c r="A250" s="588" t="n">
        <x:v>1200</x:v>
      </x:c>
      <x:c r="B250" s="589" t="inlineStr">
        <x:is>
          <x:t xml:space="preserve">600 x 606 cm</x:t>
        </x:is>
      </x:c>
      <x:c r="C250" s="588" t="n">
        <x:v>600</x:v>
      </x:c>
      <x:c r="D250" s="588" t="n">
        <x:v>606</x:v>
      </x:c>
      <x:c r="E250" s="589" t="inlineStr">
        <x:is>
          <x:t xml:space="preserve">ZS</x:t>
        </x:is>
      </x:c>
      <x:c r="F250" s="589" t="inlineStr">
        <x:is>
          <x:t xml:space="preserve">Zadaszenie szkło - pełna konstrukcja</x:t>
        </x:is>
      </x:c>
      <x:c r="G250" s="590" t="n">
        <x:v>5230</x:v>
      </x:c>
      <x:c r="H250" s="590" t="n">
        <x:v>2050</x:v>
      </x:c>
      <x:c r="I250" s="590" t="n"/>
      <x:c r="J250" s="590" t="n"/>
      <x:c r="K250" s="591" t="n"/>
      <x:c r="L250" s="589" t="inlineStr">
        <x:is>
          <x:t xml:space="preserve">NIE PUBLIKOWAĆ / BRAK RAW_ZS</x:t>
        </x:is>
      </x:c>
      <x:c r="M250" s="589" t="inlineStr">
        <x:is>
          <x:t xml:space="preserve">Informacyjnie: K jak ZP, L = pełny montaż zadaszenia szklanego z przedłużenia</x:t>
        </x:is>
      </x:c>
      <x:c r="N250" s="589" t="inlineStr">
        <x:is>
          <x:t xml:space="preserve">Brak ceny dostawcy dla ZS 550/600, więc nieaktywny do czasu cennika dostawcy.</x:t>
        </x:is>
      </x:c>
      <x:c r="O250" s="589" t="inlineStr">
        <x:is>
          <x:t xml:space="preserve">RAW_ZS B/C</x:t>
        </x:is>
      </x:c>
      <x:c r="P250" s="589" t="inlineStr">
        <x:is>
          <x:t xml:space="preserve">600 x 606 cm|ZS</x:t>
        </x:is>
      </x:c>
    </x:row>
    <x:row r="251" s="655" customFormat="1" ht="29.5" customHeight="1">
      <x:c r="A251" s="584" t="n">
        <x:v>1201</x:v>
      </x:c>
      <x:c r="B251" s="585" t="inlineStr">
        <x:is>
          <x:t xml:space="preserve">600 x 606 cm</x:t>
        </x:is>
      </x:c>
      <x:c r="C251" s="584" t="n">
        <x:v>600</x:v>
      </x:c>
      <x:c r="D251" s="584" t="n">
        <x:v>606</x:v>
      </x:c>
      <x:c r="E251" s="585" t="inlineStr">
        <x:is>
          <x:t xml:space="preserve">OP</x:t>
        </x:is>
      </x:c>
      <x:c r="F251" s="585" t="inlineStr">
        <x:is>
          <x:t xml:space="preserve">Ogród zimowy poliwęglan - baza</x:t>
        </x:is>
      </x:c>
      <x:c r="G251" s="586" t="n">
        <x:v>6090</x:v>
      </x:c>
      <x:c r="H251" s="586" t="n">
        <x:v>2250</x:v>
      </x:c>
      <x:c r="I251" s="586" t="n">
        <x:v>58409</x:v>
      </x:c>
      <x:c r="J251" s="586" t="n">
        <x:v>18734</x:v>
      </x:c>
      <x:c r="K251" s="587" t="n">
        <x:v>0.3463999112458859</x:v>
      </x:c>
      <x:c r="L251" s="585" t="inlineStr">
        <x:is>
          <x:t xml:space="preserve">UZUPEŁNIĆ</x:t>
        </x:is>
      </x:c>
      <x:c r="M251" s="585" t="inlineStr">
        <x:is>
          <x:t xml:space="preserve">K: model rentowności 450/500; L: przedłużenie Wynagr. ekipy 450→500</x:t>
        </x:is>
      </x:c>
      <x:c r="N251" s="585" t="inlineStr">
        <x:is>
          <x:t xml:space="preserve">Podstawowa konstrukcja z ceną dostawcy dla 550/600.</x:t>
        </x:is>
      </x:c>
      <x:c r="O251" s="585" t="inlineStr">
        <x:is>
          <x:t xml:space="preserve">RAW_OP B/C</x:t>
        </x:is>
      </x:c>
      <x:c r="P251" s="585" t="inlineStr">
        <x:is>
          <x:t xml:space="preserve">600 x 606 cm|OP</x:t>
        </x:is>
      </x:c>
    </x:row>
    <x:row r="252" s="655" customFormat="1" ht="29.5" customHeight="1">
      <x:c r="A252" s="588" t="n">
        <x:v>1202</x:v>
      </x:c>
      <x:c r="B252" s="589" t="inlineStr">
        <x:is>
          <x:t xml:space="preserve">600 x 606 cm</x:t>
        </x:is>
      </x:c>
      <x:c r="C252" s="588" t="n">
        <x:v>600</x:v>
      </x:c>
      <x:c r="D252" s="588" t="n">
        <x:v>606</x:v>
      </x:c>
      <x:c r="E252" s="589" t="inlineStr">
        <x:is>
          <x:t xml:space="preserve">OS</x:t>
        </x:is>
      </x:c>
      <x:c r="F252" s="589" t="inlineStr">
        <x:is>
          <x:t xml:space="preserve">Ogród zimowy szkło - pełna konstrukcja</x:t>
        </x:is>
      </x:c>
      <x:c r="G252" s="590" t="n">
        <x:v>6090</x:v>
      </x:c>
      <x:c r="H252" s="590" t="n">
        <x:v>2680</x:v>
      </x:c>
      <x:c r="I252" s="590" t="n"/>
      <x:c r="J252" s="590" t="n"/>
      <x:c r="K252" s="591" t="n"/>
      <x:c r="L252" s="589" t="inlineStr">
        <x:is>
          <x:t xml:space="preserve">NIE PUBLIKOWAĆ / BRAK RAW_OS</x:t>
        </x:is>
      </x:c>
      <x:c r="M252" s="589" t="inlineStr">
        <x:is>
          <x:t xml:space="preserve">Informacyjnie: K jak OP, L = pełny montaż ogrodu szklanego z przedłużenia</x:t>
        </x:is>
      </x:c>
      <x:c r="N252" s="589" t="inlineStr">
        <x:is>
          <x:t xml:space="preserve">Brak ceny dostawcy dla OS 550/600, więc nieaktywny do czasu cennika dostawcy.</x:t>
        </x:is>
      </x:c>
      <x:c r="O252" s="589" t="inlineStr">
        <x:is>
          <x:t xml:space="preserve">RAW_OS B/C</x:t>
        </x:is>
      </x:c>
      <x:c r="P252" s="589" t="inlineStr">
        <x:is>
          <x:t xml:space="preserve">600 x 606 cm|OS</x:t>
        </x:is>
      </x:c>
    </x:row>
    <x:row r="253" s="655" customFormat="1" ht="29.5" customHeight="1">
      <x:c r="A253" s="584" t="n">
        <x:v>1203</x:v>
      </x:c>
      <x:c r="B253" s="585" t="inlineStr">
        <x:is>
          <x:t xml:space="preserve">600 x 606 cm</x:t>
        </x:is>
      </x:c>
      <x:c r="C253" s="584" t="n">
        <x:v>600</x:v>
      </x:c>
      <x:c r="D253" s="584" t="n">
        <x:v>606</x:v>
      </x:c>
      <x:c r="E253" s="585" t="inlineStr">
        <x:is>
          <x:t xml:space="preserve">PDS</x:t>
        </x:is>
      </x:c>
      <x:c r="F253" s="585" t="inlineStr">
        <x:is>
          <x:t xml:space="preserve">Dopłata dach szkło przezroczyste</x:t>
        </x:is>
      </x:c>
      <x:c r="G253" s="586" t="n">
        <x:v>0</x:v>
      </x:c>
      <x:c r="H253" s="586" t="n">
        <x:v>430</x:v>
      </x:c>
      <x:c r="I253" s="586" t="n"/>
      <x:c r="J253" s="586" t="n"/>
      <x:c r="K253" s="587" t="n"/>
      <x:c r="L253" s="585" t="inlineStr">
        <x:is>
          <x:t xml:space="preserve">DO UŻYCIA DOPIERO GDY BĘDZIE CENA DACHU SZKŁO</x:t>
        </x:is>
      </x:c>
      <x:c r="M253" s="585" t="inlineStr">
        <x:is>
          <x:t xml:space="preserve">L = montaż zadaszenia szkło - montaż zadaszenia poliwęglan</x:t>
        </x:is>
      </x:c>
      <x:c r="N253" s="585" t="inlineStr">
        <x:is>
          <x:t xml:space="preserve">Potrzebne dla dopłaty dachu szklanego; obecnie brak ceny dostawcy PDS 550/600.</x:t>
        </x:is>
      </x:c>
      <x:c r="O253" s="585" t="inlineStr">
        <x:is>
          <x:t xml:space="preserve">RAW_ZS - RAW_ZP</x:t>
        </x:is>
      </x:c>
      <x:c r="P253" s="585" t="inlineStr">
        <x:is>
          <x:t xml:space="preserve">600 x 606 cm|PDS</x:t>
        </x:is>
      </x:c>
    </x:row>
    <x:row r="254" s="655" customFormat="1" ht="29.5" customHeight="1">
      <x:c r="A254" s="592" t="n">
        <x:v>1204</x:v>
      </x:c>
      <x:c r="B254" s="593" t="inlineStr">
        <x:is>
          <x:t xml:space="preserve">600 x 606 cm</x:t>
        </x:is>
      </x:c>
      <x:c r="C254" s="592" t="n">
        <x:v>600</x:v>
      </x:c>
      <x:c r="D254" s="592" t="n">
        <x:v>606</x:v>
      </x:c>
      <x:c r="E254" s="593" t="inlineStr">
        <x:is>
          <x:t xml:space="preserve">PDSB</x:t>
        </x:is>
      </x:c>
      <x:c r="F254" s="593" t="inlineStr">
        <x:is>
          <x:t xml:space="preserve">Dopłata dach szkło barwione/mleczne</x:t>
        </x:is>
      </x:c>
      <x:c r="G254" s="594" t="n">
        <x:v>0</x:v>
      </x:c>
      <x:c r="H254" s="594" t="n">
        <x:v>0</x:v>
      </x:c>
      <x:c r="I254" s="594" t="n"/>
      <x:c r="J254" s="594" t="n"/>
      <x:c r="K254" s="595" t="n"/>
      <x:c r="L254" s="593" t="inlineStr">
        <x:is>
          <x:t xml:space="preserve">POZOSTAWIĆ 0 / BRAK CENY PDSB</x:t>
        </x:is>
      </x:c>
      <x:c r="M254" s="593" t="inlineStr">
        <x:is>
          <x:t xml:space="preserve">Zgodnie z dotychczasową logiką: dopłata barwienia szkła nie ma osobnego wynagrodzenia</x:t>
        </x:is>
      </x:c>
      <x:c r="N254" s="593" t="inlineStr">
        <x:is>
          <x:t xml:space="preserve">Brak ceny dostawcy dla PDSB 550/600.</x:t>
        </x:is>
      </x:c>
      <x:c r="O254" s="593" t="inlineStr">
        <x:is>
          <x:t xml:space="preserve">RAW_ZS D/E</x:t>
        </x:is>
      </x:c>
      <x:c r="P254" s="593" t="inlineStr">
        <x:is>
          <x:t xml:space="preserve">600 x 606 cm|PDSB</x:t>
        </x:is>
      </x:c>
    </x:row>
    <x:row r="255" s="655" customFormat="1" ht="29.5" customHeight="1">
      <x:c r="A255" s="592" t="n">
        <x:v>1205</x:v>
      </x:c>
      <x:c r="B255" s="593" t="inlineStr">
        <x:is>
          <x:t xml:space="preserve">600 x 606 cm</x:t>
        </x:is>
      </x:c>
      <x:c r="C255" s="592" t="n">
        <x:v>600</x:v>
      </x:c>
      <x:c r="D255" s="592" t="n">
        <x:v>606</x:v>
      </x:c>
      <x:c r="E255" s="593" t="inlineStr">
        <x:is>
          <x:t xml:space="preserve">PDPB</x:t>
        </x:is>
      </x:c>
      <x:c r="F255" s="593" t="inlineStr">
        <x:is>
          <x:t xml:space="preserve">Dopłata poliwęglan barwiony</x:t>
        </x:is>
      </x:c>
      <x:c r="G255" s="594" t="n">
        <x:v>0</x:v>
      </x:c>
      <x:c r="H255" s="594" t="n">
        <x:v>0</x:v>
      </x:c>
      <x:c r="I255" s="594" t="n">
        <x:v>789</x:v>
      </x:c>
      <x:c r="J255" s="594" t="n">
        <x:v>227</x:v>
      </x:c>
      <x:c r="K255" s="595" t="n">
        <x:v>0.3105335157318742</x:v>
      </x:c>
      <x:c r="L255" s="593" t="inlineStr">
        <x:is>
          <x:t xml:space="preserve">POZOSTAWIĆ 0</x:t>
        </x:is>
      </x:c>
      <x:c r="M255" s="593" t="inlineStr">
        <x:is>
          <x:t xml:space="preserve">Zgodnie z Cennik usług: poliwęglan barwiony nie miał osobnej pracy ekipy</x:t>
        </x:is>
      </x:c>
      <x:c r="N255" s="593" t="inlineStr">
        <x:is>
          <x:t xml:space="preserve">Ma cenę dostawcy; montaż/wynagrodzenie zostaje 0.</x:t>
        </x:is>
      </x:c>
      <x:c r="O255" s="593" t="inlineStr">
        <x:is>
          <x:t xml:space="preserve">RAW_ZP D/E</x:t>
        </x:is>
      </x:c>
      <x:c r="P255" s="593" t="inlineStr">
        <x:is>
          <x:t xml:space="preserve">600 x 606 cm|PDPB</x:t>
        </x:is>
      </x:c>
    </x:row>
    <x:row r="256" s="655" customFormat="1" ht="29.5" customHeight="1">
      <x:c r="A256" s="592" t="n">
        <x:v>1206</x:v>
      </x:c>
      <x:c r="B256" s="593" t="inlineStr">
        <x:is>
          <x:t xml:space="preserve">600 x 606 cm</x:t>
        </x:is>
      </x:c>
      <x:c r="C256" s="592" t="n">
        <x:v>600</x:v>
      </x:c>
      <x:c r="D256" s="592" t="n">
        <x:v>606</x:v>
      </x:c>
      <x:c r="E256" s="593" t="inlineStr">
        <x:is>
          <x:t xml:space="preserve">SBB</x:t>
        </x:is>
      </x:c>
      <x:c r="F256" s="593" t="inlineStr">
        <x:is>
          <x:t xml:space="preserve">Dopłata szkło boczne przyciemniane</x:t>
        </x:is>
      </x:c>
      <x:c r="G256" s="594" t="n">
        <x:v>0</x:v>
      </x:c>
      <x:c r="H256" s="594" t="n">
        <x:v>0</x:v>
      </x:c>
      <x:c r="I256" s="594" t="n">
        <x:v>2750</x:v>
      </x:c>
      <x:c r="J256" s="594" t="n">
        <x:v>790</x:v>
      </x:c>
      <x:c r="K256" s="595" t="n">
        <x:v>0.3102906520031422</x:v>
      </x:c>
      <x:c r="L256" s="593" t="inlineStr">
        <x:is>
          <x:t xml:space="preserve">POZOSTAWIĆ 0</x:t>
        </x:is>
      </x:c>
      <x:c r="M256" s="593" t="inlineStr">
        <x:is>
          <x:t xml:space="preserve">Zgodnie z Cennik usług: szyby boczne barwione nie miały osobnej pracy ekipy</x:t>
        </x:is>
      </x:c>
      <x:c r="N256" s="593" t="inlineStr">
        <x:is>
          <x:t xml:space="preserve">Ma cenę dostawcy; montaż/wynagrodzenie zostaje 0.</x:t>
        </x:is>
      </x:c>
      <x:c r="O256" s="593" t="inlineStr">
        <x:is>
          <x:t xml:space="preserve">RAW_OP H/I</x:t>
        </x:is>
      </x:c>
      <x:c r="P256" s="593" t="inlineStr">
        <x:is>
          <x:t xml:space="preserve">600 x 606 cm|SBB</x:t>
        </x:is>
      </x:c>
    </x:row>
    <x:row r="257" s="655" customFormat="1" ht="29.5" customHeight="1">
      <x:c r="A257" s="584" t="n">
        <x:v>1207</x:v>
      </x:c>
      <x:c r="B257" s="585" t="inlineStr">
        <x:is>
          <x:t xml:space="preserve">600 x 606 cm</x:t>
        </x:is>
      </x:c>
      <x:c r="C257" s="584" t="n">
        <x:v>600</x:v>
      </x:c>
      <x:c r="D257" s="584" t="n">
        <x:v>606</x:v>
      </x:c>
      <x:c r="E257" s="585" t="inlineStr">
        <x:is>
          <x:t xml:space="preserve">RB</x:t>
        </x:is>
      </x:c>
      <x:c r="F257" s="585" t="inlineStr">
        <x:is>
          <x:t xml:space="preserve">Roleta boczna ZIP</x:t>
        </x:is>
      </x:c>
      <x:c r="G257" s="586" t="n">
        <x:v>0</x:v>
      </x:c>
      <x:c r="H257" s="586" t="n">
        <x:v>150</x:v>
      </x:c>
      <x:c r="I257" s="586" t="n">
        <x:v>5437</x:v>
      </x:c>
      <x:c r="J257" s="586" t="n">
        <x:v>1412</x:v>
      </x:c>
      <x:c r="K257" s="587" t="n">
        <x:v>0.2804926499801351</x:v>
      </x:c>
      <x:c r="L257" s="585" t="inlineStr">
        <x:is>
          <x:t xml:space="preserve">UZUPEŁNIĆ L</x:t>
        </x:is>
      </x:c>
      <x:c r="M257" s="585" t="inlineStr">
        <x:is>
          <x:t xml:space="preserve">L = przedłużona kolumna Montaż rolety bocznej</x:t>
        </x:is>
      </x:c>
      <x:c r="N257" s="585" t="inlineStr">
        <x:is>
          <x:t xml:space="preserve">K zostaje 0; rentowność po L pozostaje podobna do mniejszych wymiarów.</x:t>
        </x:is>
      </x:c>
      <x:c r="O257" s="585" t="inlineStr">
        <x:is>
          <x:t xml:space="preserve">RAW_ZP J/K</x:t>
        </x:is>
      </x:c>
      <x:c r="P257" s="585" t="inlineStr">
        <x:is>
          <x:t xml:space="preserve">600 x 606 cm|RB</x:t>
        </x:is>
      </x:c>
    </x:row>
    <x:row r="258" s="655" customFormat="1" ht="29.5" customHeight="1">
      <x:c r="A258" s="584" t="n">
        <x:v>1208</x:v>
      </x:c>
      <x:c r="B258" s="585" t="inlineStr">
        <x:is>
          <x:t xml:space="preserve">600 x 606 cm</x:t>
        </x:is>
      </x:c>
      <x:c r="C258" s="584" t="n">
        <x:v>600</x:v>
      </x:c>
      <x:c r="D258" s="584" t="n">
        <x:v>606</x:v>
      </x:c>
      <x:c r="E258" s="585" t="inlineStr">
        <x:is>
          <x:t xml:space="preserve">RP</x:t>
        </x:is>
      </x:c>
      <x:c r="F258" s="585" t="inlineStr">
        <x:is>
          <x:t xml:space="preserve">Roleta przednia ZIP</x:t>
        </x:is>
      </x:c>
      <x:c r="G258" s="586" t="n">
        <x:v>0</x:v>
      </x:c>
      <x:c r="H258" s="586" t="n">
        <x:v>300</x:v>
      </x:c>
      <x:c r="I258" s="586" t="n">
        <x:v>5437</x:v>
      </x:c>
      <x:c r="J258" s="586" t="n">
        <x:v>1262</x:v>
      </x:c>
      <x:c r="K258" s="587" t="n">
        <x:v>0.2506952721493842</x:v>
      </x:c>
      <x:c r="L258" s="585" t="inlineStr">
        <x:is>
          <x:t xml:space="preserve">UZUPEŁNIĆ L</x:t>
        </x:is>
      </x:c>
      <x:c r="M258" s="585" t="inlineStr">
        <x:is>
          <x:t xml:space="preserve">L = przedłużona kolumna Montaż rolety przedniej</x:t>
        </x:is>
      </x:c>
      <x:c r="N258" s="585" t="inlineStr">
        <x:is>
          <x:t xml:space="preserve">K zostaje 0; rentowność po L pozostaje podobna do mniejszych wymiarów.</x:t>
        </x:is>
      </x:c>
      <x:c r="O258" s="585" t="inlineStr">
        <x:is>
          <x:t xml:space="preserve">RAW_ZP N/O</x:t>
        </x:is>
      </x:c>
      <x:c r="P258" s="585" t="inlineStr">
        <x:is>
          <x:t xml:space="preserve">600 x 606 cm|RP</x:t>
        </x:is>
      </x:c>
    </x:row>
    <x:row r="259" s="655" customFormat="1" ht="29.5" customHeight="1">
      <x:c r="A259" s="584" t="n">
        <x:v>1209</x:v>
      </x:c>
      <x:c r="B259" s="585" t="inlineStr">
        <x:is>
          <x:t xml:space="preserve">600 x 606 cm</x:t>
        </x:is>
      </x:c>
      <x:c r="C259" s="584" t="n">
        <x:v>600</x:v>
      </x:c>
      <x:c r="D259" s="584" t="n">
        <x:v>606</x:v>
      </x:c>
      <x:c r="E259" s="585" t="inlineStr">
        <x:is>
          <x:t xml:space="preserve">M</x:t>
        </x:is>
      </x:c>
      <x:c r="F259" s="585" t="inlineStr">
        <x:is>
          <x:t xml:space="preserve">Markiza dachowa</x:t>
        </x:is>
      </x:c>
      <x:c r="G259" s="586" t="n">
        <x:v>0</x:v>
      </x:c>
      <x:c r="H259" s="586" t="n">
        <x:v>350</x:v>
      </x:c>
      <x:c r="I259" s="586" t="n">
        <x:v>10644</x:v>
      </x:c>
      <x:c r="J259" s="586" t="n">
        <x:v>2709</x:v>
      </x:c>
      <x:c r="K259" s="587" t="n">
        <x:v>0.2748579545454545</x:v>
      </x:c>
      <x:c r="L259" s="585" t="inlineStr">
        <x:is>
          <x:t xml:space="preserve">UZUPEŁNIĆ L</x:t>
        </x:is>
      </x:c>
      <x:c r="M259" s="585" t="inlineStr">
        <x:is>
          <x:t xml:space="preserve">L = przedłużona kolumna Montaż markizy na dach</x:t>
        </x:is>
      </x:c>
      <x:c r="N259" s="585" t="inlineStr">
        <x:is>
          <x:t xml:space="preserve">K zostaje 0; rentowność po L pozostaje podobna do mniejszych wymiarów.</x:t>
        </x:is>
      </x:c>
      <x:c r="O259" s="585" t="inlineStr">
        <x:is>
          <x:t xml:space="preserve">RAW_ZP H/I</x:t>
        </x:is>
      </x:c>
      <x:c r="P259" s="585" t="inlineStr">
        <x:is>
          <x:t xml:space="preserve">600 x 606 cm|M</x:t>
        </x:is>
      </x:c>
    </x:row>
    <x:row r="260" s="655" customFormat="1" ht="29.5" customHeight="1">
      <x:c r="A260" s="584" t="n">
        <x:v>1210</x:v>
      </x:c>
      <x:c r="B260" s="585" t="inlineStr">
        <x:is>
          <x:t xml:space="preserve">600 x 606 cm</x:t>
        </x:is>
      </x:c>
      <x:c r="C260" s="584" t="n">
        <x:v>600</x:v>
      </x:c>
      <x:c r="D260" s="584" t="n">
        <x:v>606</x:v>
      </x:c>
      <x:c r="E260" s="585" t="inlineStr">
        <x:is>
          <x:t xml:space="preserve">PDWP</x:t>
        </x:is>
      </x:c>
      <x:c r="F260" s="585" t="inlineStr">
        <x:is>
          <x:t xml:space="preserve">Fundament/profile</x:t>
        </x:is>
      </x:c>
      <x:c r="G260" s="586" t="n">
        <x:v>700</x:v>
      </x:c>
      <x:c r="H260" s="586" t="n">
        <x:v>640</x:v>
      </x:c>
      <x:c r="I260" s="586" t="n">
        <x:v>2920</x:v>
      </x:c>
      <x:c r="J260" s="586" t="n">
        <x:v>682</x:v>
      </x:c>
      <x:c r="K260" s="587" t="n">
        <x:v>0.2522189349112426</x:v>
      </x:c>
      <x:c r="L260" s="585" t="inlineStr">
        <x:is>
          <x:t xml:space="preserve">UZUPEŁNIĆ K+L / KOREKTA RENTOWNOŚCI</x:t>
        </x:is>
      </x:c>
      <x:c r="M260" s="585" t="inlineStr">
        <x:is>
          <x:t xml:space="preserve">L = Wyrównanie podłoża; K = dopłata montażowa wyliczona do min. 25% rentowności</x:t>
        </x:is>
      </x:c>
      <x:c r="N260" s="585" t="inlineStr">
        <x:is>
          <x:t xml:space="preserve">Bez K ten dodatek ma ujemną rentowność. To jest korekta biznesowa, nie tylko przedłużenie EG.</x:t>
        </x:is>
      </x:c>
      <x:c r="O260" s="585" t="inlineStr">
        <x:is>
          <x:t xml:space="preserve">RAW_OP AB/AC</x:t>
        </x:is>
      </x:c>
      <x:c r="P260" s="585" t="inlineStr">
        <x:is>
          <x:t xml:space="preserve">600 x 606 cm|PDWP</x:t>
        </x:is>
      </x:c>
    </x:row>
    <x:row r="261" s="655" customFormat="1" ht="29.5" customHeight="1">
      <x:c r="A261" s="592" t="n">
        <x:v>1211</x:v>
      </x:c>
      <x:c r="B261" s="593" t="inlineStr">
        <x:is>
          <x:t xml:space="preserve">600 x 606 cm</x:t>
        </x:is>
      </x:c>
      <x:c r="C261" s="592" t="n">
        <x:v>600</x:v>
      </x:c>
      <x:c r="D261" s="592" t="n">
        <x:v>606</x:v>
      </x:c>
      <x:c r="E261" s="593" t="inlineStr">
        <x:is>
          <x:t xml:space="preserve">ZAB</x:t>
        </x:is>
      </x:c>
      <x:c r="F261" s="593" t="inlineStr">
        <x:is>
          <x:t xml:space="preserve">Zabieraki do ścian przesuwnych</x:t>
        </x:is>
      </x:c>
      <x:c r="G261" s="594" t="n">
        <x:v>0</x:v>
      </x:c>
      <x:c r="H261" s="594" t="n">
        <x:v>0</x:v>
      </x:c>
      <x:c r="I261" s="594" t="n">
        <x:v>713</x:v>
      </x:c>
      <x:c r="J261" s="594" t="n">
        <x:v>205</x:v>
      </x:c>
      <x:c r="K261" s="595" t="n">
        <x:v>0.3106060606060606</x:v>
      </x:c>
      <x:c r="L261" s="593" t="inlineStr">
        <x:is>
          <x:t xml:space="preserve">POZOSTAWIĆ 0</x:t>
        </x:is>
      </x:c>
      <x:c r="M261" s="593" t="inlineStr">
        <x:is>
          <x:t xml:space="preserve">Brak osobnej kolumny wynagrodzenia w Cennik usług; traktować jako element dodatkowy bez osobnej pracy</x:t>
        </x:is>
      </x:c>
      <x:c r="N261" s="593" t="n"/>
      <x:c r="O261" s="593" t="inlineStr">
        <x:is>
          <x:t xml:space="preserve">RAW_OP AD/AE</x:t>
        </x:is>
      </x:c>
      <x:c r="P261" s="593" t="inlineStr">
        <x:is>
          <x:t xml:space="preserve">600 x 606 cm|ZAB</x:t>
        </x:is>
      </x:c>
    </x:row>
    <x:row r="262" s="655" customFormat="1" ht="29.5" customHeight="1">
      <x:c r="A262" s="592" t="n">
        <x:v>1212</x:v>
      </x:c>
      <x:c r="B262" s="593" t="inlineStr">
        <x:is>
          <x:t xml:space="preserve">600 x 606 cm</x:t>
        </x:is>
      </x:c>
      <x:c r="C262" s="592" t="n">
        <x:v>600</x:v>
      </x:c>
      <x:c r="D262" s="592" t="n">
        <x:v>606</x:v>
      </x:c>
      <x:c r="E262" s="593" t="inlineStr">
        <x:is>
          <x:t xml:space="preserve">S</x:t>
        </x:is>
      </x:c>
      <x:c r="F262" s="593" t="inlineStr">
        <x:is>
          <x:t xml:space="preserve">Szczotki przeciwkurzowe</x:t>
        </x:is>
      </x:c>
      <x:c r="G262" s="594" t="n">
        <x:v>0</x:v>
      </x:c>
      <x:c r="H262" s="594" t="n">
        <x:v>0</x:v>
      </x:c>
      <x:c r="I262" s="594" t="n">
        <x:v>777</x:v>
      </x:c>
      <x:c r="J262" s="594" t="n">
        <x:v>223</x:v>
      </x:c>
      <x:c r="K262" s="595" t="n">
        <x:v>0.3101529902642559</x:v>
      </x:c>
      <x:c r="L262" s="593" t="inlineStr">
        <x:is>
          <x:t xml:space="preserve">POZOSTAWIĆ 0</x:t>
        </x:is>
      </x:c>
      <x:c r="M262" s="593" t="inlineStr">
        <x:is>
          <x:t xml:space="preserve">Zgodnie z Cennik usług: szczotki przeciwkurzowe bez osobnego wynagrodzenia</x:t>
        </x:is>
      </x:c>
      <x:c r="N262" s="593" t="n"/>
      <x:c r="O262" s="593" t="inlineStr">
        <x:is>
          <x:t xml:space="preserve">RAW_OP L/M</x:t>
        </x:is>
      </x:c>
      <x:c r="P262" s="593" t="inlineStr">
        <x:is>
          <x:t xml:space="preserve">600 x 606 cm|S</x:t>
        </x:is>
      </x:c>
    </x:row>
    <x:row r="263" s="655" customFormat="1" ht="29.5" customHeight="1">
      <x:c r="A263" s="592" t="n">
        <x:v>1213</x:v>
      </x:c>
      <x:c r="B263" s="593" t="inlineStr">
        <x:is>
          <x:t xml:space="preserve">600 x 606 cm</x:t>
        </x:is>
      </x:c>
      <x:c r="C263" s="592" t="n">
        <x:v>600</x:v>
      </x:c>
      <x:c r="D263" s="592" t="n">
        <x:v>606</x:v>
      </x:c>
      <x:c r="E263" s="593" t="inlineStr">
        <x:is>
          <x:t xml:space="preserve">U</x:t>
        </x:is>
      </x:c>
      <x:c r="F263" s="593" t="inlineStr">
        <x:is>
          <x:t xml:space="preserve">Uchwyty na szkło ścienne</x:t>
        </x:is>
      </x:c>
      <x:c r="G263" s="594" t="n">
        <x:v>0</x:v>
      </x:c>
      <x:c r="H263" s="594" t="n">
        <x:v>0</x:v>
      </x:c>
      <x:c r="I263" s="594" t="n">
        <x:v>700</x:v>
      </x:c>
      <x:c r="J263" s="594" t="n">
        <x:v>201</x:v>
      </x:c>
      <x:c r="K263" s="595" t="n">
        <x:v>0.3101851851851852</x:v>
      </x:c>
      <x:c r="L263" s="593" t="inlineStr">
        <x:is>
          <x:t xml:space="preserve">POZOSTAWIĆ 0</x:t>
        </x:is>
      </x:c>
      <x:c r="M263" s="593" t="inlineStr">
        <x:is>
          <x:t xml:space="preserve">Zgodnie z Cennik usług: uchwyty bez osobnego wynagrodzenia</x:t>
        </x:is>
      </x:c>
      <x:c r="N263" s="593" t="n"/>
      <x:c r="O263" s="593" t="inlineStr">
        <x:is>
          <x:t xml:space="preserve">RAW_OP N/O</x:t>
        </x:is>
      </x:c>
      <x:c r="P263" s="593" t="inlineStr">
        <x:is>
          <x:t xml:space="preserve">600 x 606 cm|U</x:t>
        </x:is>
      </x:c>
    </x:row>
    <x:row r="264" s="655" customFormat="1" ht="29.5" customHeight="1">
      <x:c r="A264" s="592" t="n">
        <x:v>1214</x:v>
      </x:c>
      <x:c r="B264" s="593" t="inlineStr">
        <x:is>
          <x:t xml:space="preserve">600 x 606 cm</x:t>
        </x:is>
      </x:c>
      <x:c r="C264" s="592" t="n">
        <x:v>600</x:v>
      </x:c>
      <x:c r="D264" s="592" t="n">
        <x:v>606</x:v>
      </x:c>
      <x:c r="E264" s="593" t="inlineStr">
        <x:is>
          <x:t xml:space="preserve">LED2</x:t>
        </x:is>
      </x:c>
      <x:c r="F264" s="593" t="inlineStr">
        <x:is>
          <x:t xml:space="preserve">Oświetlenie LED 2 punkty</x:t>
        </x:is>
      </x:c>
      <x:c r="G264" s="594" t="n">
        <x:v>0</x:v>
      </x:c>
      <x:c r="H264" s="594" t="n">
        <x:v>0</x:v>
      </x:c>
      <x:c r="I264" s="594" t="n">
        <x:v>1005</x:v>
      </x:c>
      <x:c r="J264" s="594" t="n">
        <x:v>289</x:v>
      </x:c>
      <x:c r="K264" s="595" t="n">
        <x:v>0.3104189044038668</x:v>
      </x:c>
      <x:c r="L264" s="593" t="inlineStr">
        <x:is>
          <x:t xml:space="preserve">POZOSTAWIĆ 0 NA RAZIE</x:t>
        </x:is>
      </x:c>
      <x:c r="M264" s="593" t="inlineStr">
        <x:is>
          <x:t xml:space="preserve">Cennik usług miał LED bez osobnego wynagrodzenia; kolumna LED z Wynagr. ekipy jest tylko informacyjna</x:t>
        </x:is>
      </x:c>
      <x:c r="N264" s="593" t="inlineStr">
        <x:is>
          <x:t xml:space="preserve">Informacyjnie wg Wynagr. ekipy LED na krokiew: 400 zł.</x:t>
        </x:is>
      </x:c>
      <x:c r="O264" s="593" t="inlineStr">
        <x:is>
          <x:t xml:space="preserve">RAW_ZP P/Q</x:t>
        </x:is>
      </x:c>
      <x:c r="P264" s="593" t="inlineStr">
        <x:is>
          <x:t xml:space="preserve">600 x 606 cm|LED2</x:t>
        </x:is>
      </x:c>
    </x:row>
    <x:row r="265" s="655" customFormat="1" ht="29.5" customHeight="1">
      <x:c r="A265" s="592" t="n">
        <x:v>1215</x:v>
      </x:c>
      <x:c r="B265" s="593" t="inlineStr">
        <x:is>
          <x:t xml:space="preserve">600 x 606 cm</x:t>
        </x:is>
      </x:c>
      <x:c r="C265" s="592" t="n">
        <x:v>600</x:v>
      </x:c>
      <x:c r="D265" s="592" t="n">
        <x:v>606</x:v>
      </x:c>
      <x:c r="E265" s="593" t="inlineStr">
        <x:is>
          <x:t xml:space="preserve">LED3</x:t>
        </x:is>
      </x:c>
      <x:c r="F265" s="593" t="inlineStr">
        <x:is>
          <x:t xml:space="preserve">Oświetlenie LED 3 punkty</x:t>
        </x:is>
      </x:c>
      <x:c r="G265" s="594" t="n">
        <x:v>0</x:v>
      </x:c>
      <x:c r="H265" s="594" t="n">
        <x:v>0</x:v>
      </x:c>
      <x:c r="I265" s="594" t="n">
        <x:v>1388</x:v>
      </x:c>
      <x:c r="J265" s="594" t="n">
        <x:v>399</x:v>
      </x:c>
      <x:c r="K265" s="595" t="n">
        <x:v>0.3105058365758755</x:v>
      </x:c>
      <x:c r="L265" s="593" t="inlineStr">
        <x:is>
          <x:t xml:space="preserve">POZOSTAWIĆ 0 NA RAZIE</x:t>
        </x:is>
      </x:c>
      <x:c r="M265" s="593" t="inlineStr">
        <x:is>
          <x:t xml:space="preserve">Cennik usług miał LED bez osobnego wynagrodzenia; kolumna LED z Wynagr. ekipy jest tylko informacyjna</x:t>
        </x:is>
      </x:c>
      <x:c r="N265" s="593" t="inlineStr">
        <x:is>
          <x:t xml:space="preserve">Informacyjnie wg Wynagr. ekipy LED na krokiew: 400 zł.</x:t>
        </x:is>
      </x:c>
      <x:c r="O265" s="593" t="inlineStr">
        <x:is>
          <x:t xml:space="preserve">RAW_ZP R/S</x:t>
        </x:is>
      </x:c>
      <x:c r="P265" s="593" t="inlineStr">
        <x:is>
          <x:t xml:space="preserve">600 x 606 cm|LED3</x:t>
        </x:is>
      </x:c>
    </x:row>
    <x:row r="266" s="655" customFormat="1" ht="29.5" customHeight="1">
      <x:c r="A266" s="592" t="n">
        <x:v>1216</x:v>
      </x:c>
      <x:c r="B266" s="593" t="inlineStr">
        <x:is>
          <x:t xml:space="preserve">600 x 606 cm</x:t>
        </x:is>
      </x:c>
      <x:c r="C266" s="592" t="n">
        <x:v>600</x:v>
      </x:c>
      <x:c r="D266" s="592" t="n">
        <x:v>606</x:v>
      </x:c>
      <x:c r="E266" s="593" t="inlineStr">
        <x:is>
          <x:t xml:space="preserve">LEDCCT</x:t>
        </x:is>
      </x:c>
      <x:c r="F266" s="593" t="inlineStr">
        <x:is>
          <x:t xml:space="preserve">Oświetlenie LED CCT</x:t>
        </x:is>
      </x:c>
      <x:c r="G266" s="594" t="n">
        <x:v>0</x:v>
      </x:c>
      <x:c r="H266" s="594" t="n">
        <x:v>0</x:v>
      </x:c>
      <x:c r="I266" s="594" t="n">
        <x:v>0</x:v>
      </x:c>
      <x:c r="J266" s="594" t="n">
        <x:v>0</x:v>
      </x:c>
      <x:c r="K266" s="595" t="n"/>
      <x:c r="L266" s="593" t="inlineStr">
        <x:is>
          <x:t xml:space="preserve">POZOSTAWIĆ 0 / UKRYTE</x:t>
        </x:is>
      </x:c>
      <x:c r="M266" s="593" t="inlineStr">
        <x:is>
          <x:t xml:space="preserve">Brak pełnego cennika dla 550/600; opcje nadal crm_only/ukryte</x:t>
        </x:is>
      </x:c>
      <x:c r="N266" s="593" t="n"/>
      <x:c r="O266" s="593" t="inlineStr">
        <x:is>
          <x:t xml:space="preserve">RAW_ZP T/U</x:t>
        </x:is>
      </x:c>
      <x:c r="P266" s="593" t="inlineStr">
        <x:is>
          <x:t xml:space="preserve">600 x 606 cm|LEDCCT</x:t>
        </x:is>
      </x:c>
    </x:row>
    <x:row r="267" s="655" customFormat="1" ht="29.5" customHeight="1">
      <x:c r="A267" s="592" t="n">
        <x:v>1217</x:v>
      </x:c>
      <x:c r="B267" s="593" t="inlineStr">
        <x:is>
          <x:t xml:space="preserve">600 x 606 cm</x:t>
        </x:is>
      </x:c>
      <x:c r="C267" s="592" t="n">
        <x:v>600</x:v>
      </x:c>
      <x:c r="D267" s="592" t="n">
        <x:v>606</x:v>
      </x:c>
      <x:c r="E267" s="593" t="inlineStr">
        <x:is>
          <x:t xml:space="preserve">LEDRGBCCT</x:t>
        </x:is>
      </x:c>
      <x:c r="F267" s="593" t="inlineStr">
        <x:is>
          <x:t xml:space="preserve">Oświetlenie LED RGB CCT</x:t>
        </x:is>
      </x:c>
      <x:c r="G267" s="594" t="n">
        <x:v>0</x:v>
      </x:c>
      <x:c r="H267" s="594" t="n">
        <x:v>0</x:v>
      </x:c>
      <x:c r="I267" s="594" t="n">
        <x:v>0</x:v>
      </x:c>
      <x:c r="J267" s="594" t="n">
        <x:v>0</x:v>
      </x:c>
      <x:c r="K267" s="595" t="n"/>
      <x:c r="L267" s="593" t="inlineStr">
        <x:is>
          <x:t xml:space="preserve">POZOSTAWIĆ 0 / UKRYTE</x:t>
        </x:is>
      </x:c>
      <x:c r="M267" s="593" t="inlineStr">
        <x:is>
          <x:t xml:space="preserve">Brak pełnego cennika dla 550/600; opcje nadal crm_only/ukryte</x:t>
        </x:is>
      </x:c>
      <x:c r="N267" s="593" t="n"/>
      <x:c r="O267" s="593" t="inlineStr">
        <x:is>
          <x:t xml:space="preserve">RAW_ZP V/W</x:t>
        </x:is>
      </x:c>
      <x:c r="P267" s="593" t="inlineStr">
        <x:is>
          <x:t xml:space="preserve">600 x 606 cm|LEDRGBCCT</x:t>
        </x:is>
      </x:c>
    </x:row>
    <x:row r="268" s="655" customFormat="1" ht="29.5" customHeight="1">
      <x:c r="A268" s="584" t="n">
        <x:v>1218</x:v>
      </x:c>
      <x:c r="B268" s="585" t="inlineStr">
        <x:is>
          <x:t xml:space="preserve">600 x 706 cm</x:t>
        </x:is>
      </x:c>
      <x:c r="C268" s="584" t="n">
        <x:v>600</x:v>
      </x:c>
      <x:c r="D268" s="584" t="n">
        <x:v>706</x:v>
      </x:c>
      <x:c r="E268" s="585" t="inlineStr">
        <x:is>
          <x:t xml:space="preserve">ZP</x:t>
        </x:is>
      </x:c>
      <x:c r="F268" s="585" t="inlineStr">
        <x:is>
          <x:t xml:space="preserve">Zadaszenie poliwęglan - baza</x:t>
        </x:is>
      </x:c>
      <x:c r="G268" s="586" t="n">
        <x:v>5400</x:v>
      </x:c>
      <x:c r="H268" s="586" t="n">
        <x:v>1750</x:v>
      </x:c>
      <x:c r="I268" s="586" t="n">
        <x:v>36795</x:v>
      </x:c>
      <x:c r="J268" s="586" t="n">
        <x:v>12547</x:v>
      </x:c>
      <x:c r="K268" s="587" t="n">
        <x:v>0.3682820159088908</x:v>
      </x:c>
      <x:c r="L268" s="585" t="inlineStr">
        <x:is>
          <x:t xml:space="preserve">UZUPEŁNIĆ</x:t>
        </x:is>
      </x:c>
      <x:c r="M268" s="585" t="inlineStr">
        <x:is>
          <x:t xml:space="preserve">K: model rentowności 450/500; L: przedłużenie Wynagr. ekipy 450→500</x:t>
        </x:is>
      </x:c>
      <x:c r="N268" s="585" t="inlineStr">
        <x:is>
          <x:t xml:space="preserve">Podstawowa konstrukcja z ceną dostawcy dla 550/600.</x:t>
        </x:is>
      </x:c>
      <x:c r="O268" s="585" t="inlineStr">
        <x:is>
          <x:t xml:space="preserve">RAW_ZP B/C</x:t>
        </x:is>
      </x:c>
      <x:c r="P268" s="585" t="inlineStr">
        <x:is>
          <x:t xml:space="preserve">600 x 706 cm|ZP</x:t>
        </x:is>
      </x:c>
    </x:row>
    <x:row r="269" s="655" customFormat="1" ht="29.5" customHeight="1">
      <x:c r="A269" s="588" t="n">
        <x:v>1219</x:v>
      </x:c>
      <x:c r="B269" s="589" t="inlineStr">
        <x:is>
          <x:t xml:space="preserve">600 x 706 cm</x:t>
        </x:is>
      </x:c>
      <x:c r="C269" s="588" t="n">
        <x:v>600</x:v>
      </x:c>
      <x:c r="D269" s="588" t="n">
        <x:v>706</x:v>
      </x:c>
      <x:c r="E269" s="589" t="inlineStr">
        <x:is>
          <x:t xml:space="preserve">ZS</x:t>
        </x:is>
      </x:c>
      <x:c r="F269" s="589" t="inlineStr">
        <x:is>
          <x:t xml:space="preserve">Zadaszenie szkło - pełna konstrukcja</x:t>
        </x:is>
      </x:c>
      <x:c r="G269" s="590" t="n">
        <x:v>5400</x:v>
      </x:c>
      <x:c r="H269" s="590" t="n">
        <x:v>2240</x:v>
      </x:c>
      <x:c r="I269" s="590" t="n"/>
      <x:c r="J269" s="590" t="n"/>
      <x:c r="K269" s="591" t="n"/>
      <x:c r="L269" s="589" t="inlineStr">
        <x:is>
          <x:t xml:space="preserve">NIE PUBLIKOWAĆ / BRAK RAW_ZS</x:t>
        </x:is>
      </x:c>
      <x:c r="M269" s="589" t="inlineStr">
        <x:is>
          <x:t xml:space="preserve">Informacyjnie: K jak ZP, L = pełny montaż zadaszenia szklanego z przedłużenia</x:t>
        </x:is>
      </x:c>
      <x:c r="N269" s="589" t="inlineStr">
        <x:is>
          <x:t xml:space="preserve">Brak ceny dostawcy dla ZS 550/600, więc nieaktywny do czasu cennika dostawcy.</x:t>
        </x:is>
      </x:c>
      <x:c r="O269" s="589" t="inlineStr">
        <x:is>
          <x:t xml:space="preserve">RAW_ZS B/C</x:t>
        </x:is>
      </x:c>
      <x:c r="P269" s="589" t="inlineStr">
        <x:is>
          <x:t xml:space="preserve">600 x 706 cm|ZS</x:t>
        </x:is>
      </x:c>
    </x:row>
    <x:row r="270" s="655" customFormat="1" ht="29.5" customHeight="1">
      <x:c r="A270" s="584" t="n">
        <x:v>1220</x:v>
      </x:c>
      <x:c r="B270" s="585" t="inlineStr">
        <x:is>
          <x:t xml:space="preserve">600 x 706 cm</x:t>
        </x:is>
      </x:c>
      <x:c r="C270" s="584" t="n">
        <x:v>600</x:v>
      </x:c>
      <x:c r="D270" s="584" t="n">
        <x:v>706</x:v>
      </x:c>
      <x:c r="E270" s="585" t="inlineStr">
        <x:is>
          <x:t xml:space="preserve">OP</x:t>
        </x:is>
      </x:c>
      <x:c r="F270" s="585" t="inlineStr">
        <x:is>
          <x:t xml:space="preserve">Ogród zimowy poliwęglan - baza</x:t>
        </x:is>
      </x:c>
      <x:c r="G270" s="586" t="n">
        <x:v>6490</x:v>
      </x:c>
      <x:c r="H270" s="586" t="n">
        <x:v>2430</x:v>
      </x:c>
      <x:c r="I270" s="586" t="n">
        <x:v>64227</x:v>
      </x:c>
      <x:c r="J270" s="586" t="n">
        <x:v>20502</x:v>
      </x:c>
      <x:c r="K270" s="587" t="n">
        <x:v>0.3447510467638601</x:v>
      </x:c>
      <x:c r="L270" s="585" t="inlineStr">
        <x:is>
          <x:t xml:space="preserve">UZUPEŁNIĆ</x:t>
        </x:is>
      </x:c>
      <x:c r="M270" s="585" t="inlineStr">
        <x:is>
          <x:t xml:space="preserve">K: model rentowności 450/500; L: przedłużenie Wynagr. ekipy 450→500</x:t>
        </x:is>
      </x:c>
      <x:c r="N270" s="585" t="inlineStr">
        <x:is>
          <x:t xml:space="preserve">Podstawowa konstrukcja z ceną dostawcy dla 550/600.</x:t>
        </x:is>
      </x:c>
      <x:c r="O270" s="585" t="inlineStr">
        <x:is>
          <x:t xml:space="preserve">RAW_OP B/C</x:t>
        </x:is>
      </x:c>
      <x:c r="P270" s="585" t="inlineStr">
        <x:is>
          <x:t xml:space="preserve">600 x 706 cm|OP</x:t>
        </x:is>
      </x:c>
    </x:row>
    <x:row r="271" s="655" customFormat="1" ht="29.5" customHeight="1">
      <x:c r="A271" s="588" t="n">
        <x:v>1221</x:v>
      </x:c>
      <x:c r="B271" s="589" t="inlineStr">
        <x:is>
          <x:t xml:space="preserve">600 x 706 cm</x:t>
        </x:is>
      </x:c>
      <x:c r="C271" s="588" t="n">
        <x:v>600</x:v>
      </x:c>
      <x:c r="D271" s="588" t="n">
        <x:v>706</x:v>
      </x:c>
      <x:c r="E271" s="589" t="inlineStr">
        <x:is>
          <x:t xml:space="preserve">OS</x:t>
        </x:is>
      </x:c>
      <x:c r="F271" s="589" t="inlineStr">
        <x:is>
          <x:t xml:space="preserve">Ogród zimowy szkło - pełna konstrukcja</x:t>
        </x:is>
      </x:c>
      <x:c r="G271" s="590" t="n">
        <x:v>6490</x:v>
      </x:c>
      <x:c r="H271" s="590" t="n">
        <x:v>2920</x:v>
      </x:c>
      <x:c r="I271" s="590" t="n"/>
      <x:c r="J271" s="590" t="n"/>
      <x:c r="K271" s="591" t="n"/>
      <x:c r="L271" s="589" t="inlineStr">
        <x:is>
          <x:t xml:space="preserve">NIE PUBLIKOWAĆ / BRAK RAW_OS</x:t>
        </x:is>
      </x:c>
      <x:c r="M271" s="589" t="inlineStr">
        <x:is>
          <x:t xml:space="preserve">Informacyjnie: K jak OP, L = pełny montaż ogrodu szklanego z przedłużenia</x:t>
        </x:is>
      </x:c>
      <x:c r="N271" s="589" t="inlineStr">
        <x:is>
          <x:t xml:space="preserve">Brak ceny dostawcy dla OS 550/600, więc nieaktywny do czasu cennika dostawcy.</x:t>
        </x:is>
      </x:c>
      <x:c r="O271" s="589" t="inlineStr">
        <x:is>
          <x:t xml:space="preserve">RAW_OS B/C</x:t>
        </x:is>
      </x:c>
      <x:c r="P271" s="589" t="inlineStr">
        <x:is>
          <x:t xml:space="preserve">600 x 706 cm|OS</x:t>
        </x:is>
      </x:c>
    </x:row>
    <x:row r="272" s="655" customFormat="1" ht="29.5" customHeight="1">
      <x:c r="A272" s="584" t="n">
        <x:v>1222</x:v>
      </x:c>
      <x:c r="B272" s="585" t="inlineStr">
        <x:is>
          <x:t xml:space="preserve">600 x 706 cm</x:t>
        </x:is>
      </x:c>
      <x:c r="C272" s="584" t="n">
        <x:v>600</x:v>
      </x:c>
      <x:c r="D272" s="584" t="n">
        <x:v>706</x:v>
      </x:c>
      <x:c r="E272" s="585" t="inlineStr">
        <x:is>
          <x:t xml:space="preserve">PDS</x:t>
        </x:is>
      </x:c>
      <x:c r="F272" s="585" t="inlineStr">
        <x:is>
          <x:t xml:space="preserve">Dopłata dach szkło przezroczyste</x:t>
        </x:is>
      </x:c>
      <x:c r="G272" s="586" t="n">
        <x:v>0</x:v>
      </x:c>
      <x:c r="H272" s="586" t="n">
        <x:v>490</x:v>
      </x:c>
      <x:c r="I272" s="586" t="n"/>
      <x:c r="J272" s="586" t="n"/>
      <x:c r="K272" s="587" t="n"/>
      <x:c r="L272" s="585" t="inlineStr">
        <x:is>
          <x:t xml:space="preserve">DO UŻYCIA DOPIERO GDY BĘDZIE CENA DACHU SZKŁO</x:t>
        </x:is>
      </x:c>
      <x:c r="M272" s="585" t="inlineStr">
        <x:is>
          <x:t xml:space="preserve">L = montaż zadaszenia szkło - montaż zadaszenia poliwęglan</x:t>
        </x:is>
      </x:c>
      <x:c r="N272" s="585" t="inlineStr">
        <x:is>
          <x:t xml:space="preserve">Potrzebne dla dopłaty dachu szklanego; obecnie brak ceny dostawcy PDS 550/600.</x:t>
        </x:is>
      </x:c>
      <x:c r="O272" s="585" t="inlineStr">
        <x:is>
          <x:t xml:space="preserve">RAW_ZS - RAW_ZP</x:t>
        </x:is>
      </x:c>
      <x:c r="P272" s="585" t="inlineStr">
        <x:is>
          <x:t xml:space="preserve">600 x 706 cm|PDS</x:t>
        </x:is>
      </x:c>
    </x:row>
    <x:row r="273" s="655" customFormat="1" ht="29.5" customHeight="1">
      <x:c r="A273" s="592" t="n">
        <x:v>1223</x:v>
      </x:c>
      <x:c r="B273" s="593" t="inlineStr">
        <x:is>
          <x:t xml:space="preserve">600 x 706 cm</x:t>
        </x:is>
      </x:c>
      <x:c r="C273" s="592" t="n">
        <x:v>600</x:v>
      </x:c>
      <x:c r="D273" s="592" t="n">
        <x:v>706</x:v>
      </x:c>
      <x:c r="E273" s="593" t="inlineStr">
        <x:is>
          <x:t xml:space="preserve">PDSB</x:t>
        </x:is>
      </x:c>
      <x:c r="F273" s="593" t="inlineStr">
        <x:is>
          <x:t xml:space="preserve">Dopłata dach szkło barwione/mleczne</x:t>
        </x:is>
      </x:c>
      <x:c r="G273" s="594" t="n">
        <x:v>0</x:v>
      </x:c>
      <x:c r="H273" s="594" t="n">
        <x:v>0</x:v>
      </x:c>
      <x:c r="I273" s="594" t="n"/>
      <x:c r="J273" s="594" t="n"/>
      <x:c r="K273" s="595" t="n"/>
      <x:c r="L273" s="593" t="inlineStr">
        <x:is>
          <x:t xml:space="preserve">POZOSTAWIĆ 0 / BRAK CENY PDSB</x:t>
        </x:is>
      </x:c>
      <x:c r="M273" s="593" t="inlineStr">
        <x:is>
          <x:t xml:space="preserve">Zgodnie z dotychczasową logiką: dopłata barwienia szkła nie ma osobnego wynagrodzenia</x:t>
        </x:is>
      </x:c>
      <x:c r="N273" s="593" t="inlineStr">
        <x:is>
          <x:t xml:space="preserve">Brak ceny dostawcy dla PDSB 550/600.</x:t>
        </x:is>
      </x:c>
      <x:c r="O273" s="593" t="inlineStr">
        <x:is>
          <x:t xml:space="preserve">RAW_ZS D/E</x:t>
        </x:is>
      </x:c>
      <x:c r="P273" s="593" t="inlineStr">
        <x:is>
          <x:t xml:space="preserve">600 x 706 cm|PDSB</x:t>
        </x:is>
      </x:c>
    </x:row>
    <x:row r="274" s="655" customFormat="1" ht="29.5" customHeight="1">
      <x:c r="A274" s="592" t="n">
        <x:v>1224</x:v>
      </x:c>
      <x:c r="B274" s="593" t="inlineStr">
        <x:is>
          <x:t xml:space="preserve">600 x 706 cm</x:t>
        </x:is>
      </x:c>
      <x:c r="C274" s="592" t="n">
        <x:v>600</x:v>
      </x:c>
      <x:c r="D274" s="592" t="n">
        <x:v>706</x:v>
      </x:c>
      <x:c r="E274" s="593" t="inlineStr">
        <x:is>
          <x:t xml:space="preserve">PDPB</x:t>
        </x:is>
      </x:c>
      <x:c r="F274" s="593" t="inlineStr">
        <x:is>
          <x:t xml:space="preserve">Dopłata poliwęglan barwiony</x:t>
        </x:is>
      </x:c>
      <x:c r="G274" s="594" t="n">
        <x:v>0</x:v>
      </x:c>
      <x:c r="H274" s="594" t="n">
        <x:v>0</x:v>
      </x:c>
      <x:c r="I274" s="594" t="n">
        <x:v>929</x:v>
      </x:c>
      <x:c r="J274" s="594" t="n">
        <x:v>267</x:v>
      </x:c>
      <x:c r="K274" s="595" t="n">
        <x:v>0.3104651162790698</x:v>
      </x:c>
      <x:c r="L274" s="593" t="inlineStr">
        <x:is>
          <x:t xml:space="preserve">POZOSTAWIĆ 0</x:t>
        </x:is>
      </x:c>
      <x:c r="M274" s="593" t="inlineStr">
        <x:is>
          <x:t xml:space="preserve">Zgodnie z Cennik usług: poliwęglan barwiony nie miał osobnej pracy ekipy</x:t>
        </x:is>
      </x:c>
      <x:c r="N274" s="593" t="inlineStr">
        <x:is>
          <x:t xml:space="preserve">Ma cenę dostawcy; montaż/wynagrodzenie zostaje 0.</x:t>
        </x:is>
      </x:c>
      <x:c r="O274" s="593" t="inlineStr">
        <x:is>
          <x:t xml:space="preserve">RAW_ZP D/E</x:t>
        </x:is>
      </x:c>
      <x:c r="P274" s="593" t="inlineStr">
        <x:is>
          <x:t xml:space="preserve">600 x 706 cm|PDPB</x:t>
        </x:is>
      </x:c>
    </x:row>
    <x:row r="275" s="655" customFormat="1" ht="29.5" customHeight="1">
      <x:c r="A275" s="592" t="n">
        <x:v>1225</x:v>
      </x:c>
      <x:c r="B275" s="593" t="inlineStr">
        <x:is>
          <x:t xml:space="preserve">600 x 706 cm</x:t>
        </x:is>
      </x:c>
      <x:c r="C275" s="592" t="n">
        <x:v>600</x:v>
      </x:c>
      <x:c r="D275" s="592" t="n">
        <x:v>706</x:v>
      </x:c>
      <x:c r="E275" s="593" t="inlineStr">
        <x:is>
          <x:t xml:space="preserve">SBB</x:t>
        </x:is>
      </x:c>
      <x:c r="F275" s="593" t="inlineStr">
        <x:is>
          <x:t xml:space="preserve">Dopłata szkło boczne przyciemniane</x:t>
        </x:is>
      </x:c>
      <x:c r="G275" s="594" t="n">
        <x:v>0</x:v>
      </x:c>
      <x:c r="H275" s="594" t="n">
        <x:v>0</x:v>
      </x:c>
      <x:c r="I275" s="594" t="n">
        <x:v>2903</x:v>
      </x:c>
      <x:c r="J275" s="594" t="n">
        <x:v>834</x:v>
      </x:c>
      <x:c r="K275" s="595" t="n">
        <x:v>0.3102678571428572</x:v>
      </x:c>
      <x:c r="L275" s="593" t="inlineStr">
        <x:is>
          <x:t xml:space="preserve">POZOSTAWIĆ 0</x:t>
        </x:is>
      </x:c>
      <x:c r="M275" s="593" t="inlineStr">
        <x:is>
          <x:t xml:space="preserve">Zgodnie z Cennik usług: szyby boczne barwione nie miały osobnej pracy ekipy</x:t>
        </x:is>
      </x:c>
      <x:c r="N275" s="593" t="inlineStr">
        <x:is>
          <x:t xml:space="preserve">Ma cenę dostawcy; montaż/wynagrodzenie zostaje 0.</x:t>
        </x:is>
      </x:c>
      <x:c r="O275" s="593" t="inlineStr">
        <x:is>
          <x:t xml:space="preserve">RAW_OP H/I</x:t>
        </x:is>
      </x:c>
      <x:c r="P275" s="593" t="inlineStr">
        <x:is>
          <x:t xml:space="preserve">600 x 706 cm|SBB</x:t>
        </x:is>
      </x:c>
    </x:row>
    <x:row r="276" s="655" customFormat="1" ht="29.5" customHeight="1">
      <x:c r="A276" s="584" t="n">
        <x:v>1226</x:v>
      </x:c>
      <x:c r="B276" s="585" t="inlineStr">
        <x:is>
          <x:t xml:space="preserve">600 x 706 cm</x:t>
        </x:is>
      </x:c>
      <x:c r="C276" s="584" t="n">
        <x:v>600</x:v>
      </x:c>
      <x:c r="D276" s="584" t="n">
        <x:v>706</x:v>
      </x:c>
      <x:c r="E276" s="585" t="inlineStr">
        <x:is>
          <x:t xml:space="preserve">RB</x:t>
        </x:is>
      </x:c>
      <x:c r="F276" s="585" t="inlineStr">
        <x:is>
          <x:t xml:space="preserve">Roleta boczna ZIP</x:t>
        </x:is>
      </x:c>
      <x:c r="G276" s="586" t="n">
        <x:v>0</x:v>
      </x:c>
      <x:c r="H276" s="586" t="n">
        <x:v>150</x:v>
      </x:c>
      <x:c r="I276" s="586" t="n">
        <x:v>5437</x:v>
      </x:c>
      <x:c r="J276" s="586" t="n">
        <x:v>1412</x:v>
      </x:c>
      <x:c r="K276" s="587" t="n">
        <x:v>0.2804926499801351</x:v>
      </x:c>
      <x:c r="L276" s="585" t="inlineStr">
        <x:is>
          <x:t xml:space="preserve">UZUPEŁNIĆ L</x:t>
        </x:is>
      </x:c>
      <x:c r="M276" s="585" t="inlineStr">
        <x:is>
          <x:t xml:space="preserve">L = przedłużona kolumna Montaż rolety bocznej</x:t>
        </x:is>
      </x:c>
      <x:c r="N276" s="585" t="inlineStr">
        <x:is>
          <x:t xml:space="preserve">K zostaje 0; rentowność po L pozostaje podobna do mniejszych wymiarów.</x:t>
        </x:is>
      </x:c>
      <x:c r="O276" s="585" t="inlineStr">
        <x:is>
          <x:t xml:space="preserve">RAW_ZP J/K</x:t>
        </x:is>
      </x:c>
      <x:c r="P276" s="585" t="inlineStr">
        <x:is>
          <x:t xml:space="preserve">600 x 706 cm|RB</x:t>
        </x:is>
      </x:c>
    </x:row>
    <x:row r="277" s="655" customFormat="1" ht="29.5" customHeight="1">
      <x:c r="A277" s="584" t="n">
        <x:v>1227</x:v>
      </x:c>
      <x:c r="B277" s="585" t="inlineStr">
        <x:is>
          <x:t xml:space="preserve">600 x 706 cm</x:t>
        </x:is>
      </x:c>
      <x:c r="C277" s="584" t="n">
        <x:v>600</x:v>
      </x:c>
      <x:c r="D277" s="584" t="n">
        <x:v>706</x:v>
      </x:c>
      <x:c r="E277" s="585" t="inlineStr">
        <x:is>
          <x:t xml:space="preserve">RP</x:t>
        </x:is>
      </x:c>
      <x:c r="F277" s="585" t="inlineStr">
        <x:is>
          <x:t xml:space="preserve">Roleta przednia ZIP</x:t>
        </x:is>
      </x:c>
      <x:c r="G277" s="586" t="n">
        <x:v>0</x:v>
      </x:c>
      <x:c r="H277" s="586" t="n">
        <x:v>300</x:v>
      </x:c>
      <x:c r="I277" s="586" t="n">
        <x:v>6086</x:v>
      </x:c>
      <x:c r="J277" s="586" t="n">
        <x:v>1449</x:v>
      </x:c>
      <x:c r="K277" s="587" t="n">
        <x:v>0.2571428571428571</x:v>
      </x:c>
      <x:c r="L277" s="585" t="inlineStr">
        <x:is>
          <x:t xml:space="preserve">UZUPEŁNIĆ L</x:t>
        </x:is>
      </x:c>
      <x:c r="M277" s="585" t="inlineStr">
        <x:is>
          <x:t xml:space="preserve">L = przedłużona kolumna Montaż rolety przedniej</x:t>
        </x:is>
      </x:c>
      <x:c r="N277" s="585" t="inlineStr">
        <x:is>
          <x:t xml:space="preserve">K zostaje 0; rentowność po L pozostaje podobna do mniejszych wymiarów.</x:t>
        </x:is>
      </x:c>
      <x:c r="O277" s="585" t="inlineStr">
        <x:is>
          <x:t xml:space="preserve">RAW_ZP N/O</x:t>
        </x:is>
      </x:c>
      <x:c r="P277" s="585" t="inlineStr">
        <x:is>
          <x:t xml:space="preserve">600 x 706 cm|RP</x:t>
        </x:is>
      </x:c>
    </x:row>
    <x:row r="278" s="655" customFormat="1" ht="29.5" customHeight="1">
      <x:c r="A278" s="584" t="n">
        <x:v>1228</x:v>
      </x:c>
      <x:c r="B278" s="585" t="inlineStr">
        <x:is>
          <x:t xml:space="preserve">600 x 706 cm</x:t>
        </x:is>
      </x:c>
      <x:c r="C278" s="584" t="n">
        <x:v>600</x:v>
      </x:c>
      <x:c r="D278" s="584" t="n">
        <x:v>706</x:v>
      </x:c>
      <x:c r="E278" s="585" t="inlineStr">
        <x:is>
          <x:t xml:space="preserve">M</x:t>
        </x:is>
      </x:c>
      <x:c r="F278" s="585" t="inlineStr">
        <x:is>
          <x:t xml:space="preserve">Markiza dachowa</x:t>
        </x:is>
      </x:c>
      <x:c r="G278" s="586" t="n">
        <x:v>0</x:v>
      </x:c>
      <x:c r="H278" s="586" t="n">
        <x:v>450</x:v>
      </x:c>
      <x:c r="I278" s="586" t="n">
        <x:v>11408</x:v>
      </x:c>
      <x:c r="J278" s="586" t="n">
        <x:v>2828</x:v>
      </x:c>
      <x:c r="K278" s="587" t="n">
        <x:v>0.2677269715043075</x:v>
      </x:c>
      <x:c r="L278" s="585" t="inlineStr">
        <x:is>
          <x:t xml:space="preserve">UZUPEŁNIĆ L</x:t>
        </x:is>
      </x:c>
      <x:c r="M278" s="585" t="inlineStr">
        <x:is>
          <x:t xml:space="preserve">L = przedłużona kolumna Montaż markizy na dach</x:t>
        </x:is>
      </x:c>
      <x:c r="N278" s="585" t="inlineStr">
        <x:is>
          <x:t xml:space="preserve">K zostaje 0; rentowność po L pozostaje podobna do mniejszych wymiarów.</x:t>
        </x:is>
      </x:c>
      <x:c r="O278" s="585" t="inlineStr">
        <x:is>
          <x:t xml:space="preserve">RAW_ZP H/I</x:t>
        </x:is>
      </x:c>
      <x:c r="P278" s="585" t="inlineStr">
        <x:is>
          <x:t xml:space="preserve">600 x 706 cm|M</x:t>
        </x:is>
      </x:c>
    </x:row>
    <x:row r="279" s="655" customFormat="1" ht="29.5" customHeight="1">
      <x:c r="A279" s="584" t="n">
        <x:v>1229</x:v>
      </x:c>
      <x:c r="B279" s="585" t="inlineStr">
        <x:is>
          <x:t xml:space="preserve">600 x 706 cm</x:t>
        </x:is>
      </x:c>
      <x:c r="C279" s="584" t="n">
        <x:v>600</x:v>
      </x:c>
      <x:c r="D279" s="584" t="n">
        <x:v>706</x:v>
      </x:c>
      <x:c r="E279" s="585" t="inlineStr">
        <x:is>
          <x:t xml:space="preserve">PDWP</x:t>
        </x:is>
      </x:c>
      <x:c r="F279" s="585" t="inlineStr">
        <x:is>
          <x:t xml:space="preserve">Fundament/profile</x:t>
        </x:is>
      </x:c>
      <x:c r="G279" s="586" t="n">
        <x:v>620</x:v>
      </x:c>
      <x:c r="H279" s="586" t="n">
        <x:v>570</x:v>
      </x:c>
      <x:c r="I279" s="586" t="n">
        <x:v>2580</x:v>
      </x:c>
      <x:c r="J279" s="586" t="n">
        <x:v>599</x:v>
      </x:c>
      <x:c r="K279" s="587" t="n">
        <x:v>0.250732524068648</x:v>
      </x:c>
      <x:c r="L279" s="585" t="inlineStr">
        <x:is>
          <x:t xml:space="preserve">UZUPEŁNIĆ K+L / KOREKTA RENTOWNOŚCI</x:t>
        </x:is>
      </x:c>
      <x:c r="M279" s="585" t="inlineStr">
        <x:is>
          <x:t xml:space="preserve">L = Wyrównanie podłoża; K = dopłata montażowa wyliczona do min. 25% rentowności</x:t>
        </x:is>
      </x:c>
      <x:c r="N279" s="585" t="inlineStr">
        <x:is>
          <x:t xml:space="preserve">Bez K ten dodatek ma ujemną rentowność. To jest korekta biznesowa, nie tylko przedłużenie EG.</x:t>
        </x:is>
      </x:c>
      <x:c r="O279" s="585" t="inlineStr">
        <x:is>
          <x:t xml:space="preserve">RAW_OP AB/AC</x:t>
        </x:is>
      </x:c>
      <x:c r="P279" s="585" t="inlineStr">
        <x:is>
          <x:t xml:space="preserve">600 x 706 cm|PDWP</x:t>
        </x:is>
      </x:c>
    </x:row>
    <x:row r="280" s="655" customFormat="1" ht="29.5" customHeight="1">
      <x:c r="A280" s="592" t="n">
        <x:v>1230</x:v>
      </x:c>
      <x:c r="B280" s="593" t="inlineStr">
        <x:is>
          <x:t xml:space="preserve">600 x 706 cm</x:t>
        </x:is>
      </x:c>
      <x:c r="C280" s="592" t="n">
        <x:v>600</x:v>
      </x:c>
      <x:c r="D280" s="592" t="n">
        <x:v>706</x:v>
      </x:c>
      <x:c r="E280" s="593" t="inlineStr">
        <x:is>
          <x:t xml:space="preserve">ZAB</x:t>
        </x:is>
      </x:c>
      <x:c r="F280" s="593" t="inlineStr">
        <x:is>
          <x:t xml:space="preserve">Zabieraki do ścian przesuwnych</x:t>
        </x:is>
      </x:c>
      <x:c r="G280" s="594" t="n">
        <x:v>0</x:v>
      </x:c>
      <x:c r="H280" s="594" t="n">
        <x:v>0</x:v>
      </x:c>
      <x:c r="I280" s="594" t="n">
        <x:v>765</x:v>
      </x:c>
      <x:c r="J280" s="594" t="n">
        <x:v>220</x:v>
      </x:c>
      <x:c r="K280" s="595" t="n">
        <x:v>0.3107344632768362</x:v>
      </x:c>
      <x:c r="L280" s="593" t="inlineStr">
        <x:is>
          <x:t xml:space="preserve">POZOSTAWIĆ 0</x:t>
        </x:is>
      </x:c>
      <x:c r="M280" s="593" t="inlineStr">
        <x:is>
          <x:t xml:space="preserve">Brak osobnej kolumny wynagrodzenia w Cennik usług; traktować jako element dodatkowy bez osobnej pracy</x:t>
        </x:is>
      </x:c>
      <x:c r="N280" s="593" t="n"/>
      <x:c r="O280" s="593" t="inlineStr">
        <x:is>
          <x:t xml:space="preserve">RAW_OP AD/AE</x:t>
        </x:is>
      </x:c>
      <x:c r="P280" s="593" t="inlineStr">
        <x:is>
          <x:t xml:space="preserve">600 x 706 cm|ZAB</x:t>
        </x:is>
      </x:c>
    </x:row>
    <x:row r="281" s="655" customFormat="1" ht="29.5" customHeight="1">
      <x:c r="A281" s="592" t="n">
        <x:v>1231</x:v>
      </x:c>
      <x:c r="B281" s="593" t="inlineStr">
        <x:is>
          <x:t xml:space="preserve">600 x 706 cm</x:t>
        </x:is>
      </x:c>
      <x:c r="C281" s="592" t="n">
        <x:v>600</x:v>
      </x:c>
      <x:c r="D281" s="592" t="n">
        <x:v>706</x:v>
      </x:c>
      <x:c r="E281" s="593" t="inlineStr">
        <x:is>
          <x:t xml:space="preserve">S</x:t>
        </x:is>
      </x:c>
      <x:c r="F281" s="593" t="inlineStr">
        <x:is>
          <x:t xml:space="preserve">Szczotki przeciwkurzowe</x:t>
        </x:is>
      </x:c>
      <x:c r="G281" s="594" t="n">
        <x:v>0</x:v>
      </x:c>
      <x:c r="H281" s="594" t="n">
        <x:v>0</x:v>
      </x:c>
      <x:c r="I281" s="594" t="n">
        <x:v>827</x:v>
      </x:c>
      <x:c r="J281" s="594" t="n">
        <x:v>238</x:v>
      </x:c>
      <x:c r="K281" s="595" t="n">
        <x:v>0.3107049608355091</x:v>
      </x:c>
      <x:c r="L281" s="593" t="inlineStr">
        <x:is>
          <x:t xml:space="preserve">POZOSTAWIĆ 0</x:t>
        </x:is>
      </x:c>
      <x:c r="M281" s="593" t="inlineStr">
        <x:is>
          <x:t xml:space="preserve">Zgodnie z Cennik usług: szczotki przeciwkurzowe bez osobnego wynagrodzenia</x:t>
        </x:is>
      </x:c>
      <x:c r="N281" s="593" t="n"/>
      <x:c r="O281" s="593" t="inlineStr">
        <x:is>
          <x:t xml:space="preserve">RAW_OP L/M</x:t>
        </x:is>
      </x:c>
      <x:c r="P281" s="593" t="inlineStr">
        <x:is>
          <x:t xml:space="preserve">600 x 706 cm|S</x:t>
        </x:is>
      </x:c>
    </x:row>
    <x:row r="282" s="655" customFormat="1" ht="29.5" customHeight="1">
      <x:c r="A282" s="592" t="n">
        <x:v>1232</x:v>
      </x:c>
      <x:c r="B282" s="593" t="inlineStr">
        <x:is>
          <x:t xml:space="preserve">600 x 706 cm</x:t>
        </x:is>
      </x:c>
      <x:c r="C282" s="592" t="n">
        <x:v>600</x:v>
      </x:c>
      <x:c r="D282" s="592" t="n">
        <x:v>706</x:v>
      </x:c>
      <x:c r="E282" s="593" t="inlineStr">
        <x:is>
          <x:t xml:space="preserve">U</x:t>
        </x:is>
      </x:c>
      <x:c r="F282" s="593" t="inlineStr">
        <x:is>
          <x:t xml:space="preserve">Uchwyty na szkło ścienne</x:t>
        </x:is>
      </x:c>
      <x:c r="G282" s="594" t="n">
        <x:v>0</x:v>
      </x:c>
      <x:c r="H282" s="594" t="n">
        <x:v>0</x:v>
      </x:c>
      <x:c r="I282" s="594" t="n">
        <x:v>752</x:v>
      </x:c>
      <x:c r="J282" s="594" t="n">
        <x:v>216</x:v>
      </x:c>
      <x:c r="K282" s="595" t="n">
        <x:v>0.3103448275862069</x:v>
      </x:c>
      <x:c r="L282" s="593" t="inlineStr">
        <x:is>
          <x:t xml:space="preserve">POZOSTAWIĆ 0</x:t>
        </x:is>
      </x:c>
      <x:c r="M282" s="593" t="inlineStr">
        <x:is>
          <x:t xml:space="preserve">Zgodnie z Cennik usług: uchwyty bez osobnego wynagrodzenia</x:t>
        </x:is>
      </x:c>
      <x:c r="N282" s="593" t="n"/>
      <x:c r="O282" s="593" t="inlineStr">
        <x:is>
          <x:t xml:space="preserve">RAW_OP N/O</x:t>
        </x:is>
      </x:c>
      <x:c r="P282" s="593" t="inlineStr">
        <x:is>
          <x:t xml:space="preserve">600 x 706 cm|U</x:t>
        </x:is>
      </x:c>
    </x:row>
    <x:row r="283" s="655" customFormat="1" ht="29.5" customHeight="1">
      <x:c r="A283" s="592" t="n">
        <x:v>1233</x:v>
      </x:c>
      <x:c r="B283" s="593" t="inlineStr">
        <x:is>
          <x:t xml:space="preserve">600 x 706 cm</x:t>
        </x:is>
      </x:c>
      <x:c r="C283" s="592" t="n">
        <x:v>600</x:v>
      </x:c>
      <x:c r="D283" s="592" t="n">
        <x:v>706</x:v>
      </x:c>
      <x:c r="E283" s="593" t="inlineStr">
        <x:is>
          <x:t xml:space="preserve">LED2</x:t>
        </x:is>
      </x:c>
      <x:c r="F283" s="593" t="inlineStr">
        <x:is>
          <x:t xml:space="preserve">Oświetlenie LED 2 punkty</x:t>
        </x:is>
      </x:c>
      <x:c r="G283" s="594" t="n">
        <x:v>0</x:v>
      </x:c>
      <x:c r="H283" s="594" t="n">
        <x:v>0</x:v>
      </x:c>
      <x:c r="I283" s="594" t="n">
        <x:v>1107</x:v>
      </x:c>
      <x:c r="J283" s="594" t="n">
        <x:v>318</x:v>
      </x:c>
      <x:c r="K283" s="595" t="n">
        <x:v>0.3102439024390244</x:v>
      </x:c>
      <x:c r="L283" s="593" t="inlineStr">
        <x:is>
          <x:t xml:space="preserve">POZOSTAWIĆ 0 NA RAZIE</x:t>
        </x:is>
      </x:c>
      <x:c r="M283" s="593" t="inlineStr">
        <x:is>
          <x:t xml:space="preserve">Cennik usług miał LED bez osobnego wynagrodzenia; kolumna LED z Wynagr. ekipy jest tylko informacyjna</x:t>
        </x:is>
      </x:c>
      <x:c r="N283" s="593" t="inlineStr">
        <x:is>
          <x:t xml:space="preserve">Informacyjnie wg Wynagr. ekipy LED na krokiew: 450 zł.</x:t>
        </x:is>
      </x:c>
      <x:c r="O283" s="593" t="inlineStr">
        <x:is>
          <x:t xml:space="preserve">RAW_ZP P/Q</x:t>
        </x:is>
      </x:c>
      <x:c r="P283" s="593" t="inlineStr">
        <x:is>
          <x:t xml:space="preserve">600 x 706 cm|LED2</x:t>
        </x:is>
      </x:c>
    </x:row>
    <x:row r="284" s="655" customFormat="1" ht="29.5" customHeight="1">
      <x:c r="A284" s="592" t="n">
        <x:v>1234</x:v>
      </x:c>
      <x:c r="B284" s="593" t="inlineStr">
        <x:is>
          <x:t xml:space="preserve">600 x 706 cm</x:t>
        </x:is>
      </x:c>
      <x:c r="C284" s="592" t="n">
        <x:v>600</x:v>
      </x:c>
      <x:c r="D284" s="592" t="n">
        <x:v>706</x:v>
      </x:c>
      <x:c r="E284" s="593" t="inlineStr">
        <x:is>
          <x:t xml:space="preserve">LED3</x:t>
        </x:is>
      </x:c>
      <x:c r="F284" s="593" t="inlineStr">
        <x:is>
          <x:t xml:space="preserve">Oświetlenie LED 3 punkty</x:t>
        </x:is>
      </x:c>
      <x:c r="G284" s="594" t="n">
        <x:v>0</x:v>
      </x:c>
      <x:c r="H284" s="594" t="n">
        <x:v>0</x:v>
      </x:c>
      <x:c r="I284" s="594" t="n">
        <x:v>1541</x:v>
      </x:c>
      <x:c r="J284" s="594" t="n">
        <x:v>443</x:v>
      </x:c>
      <x:c r="K284" s="595" t="n">
        <x:v>0.3104414856341976</x:v>
      </x:c>
      <x:c r="L284" s="593" t="inlineStr">
        <x:is>
          <x:t xml:space="preserve">POZOSTAWIĆ 0 NA RAZIE</x:t>
        </x:is>
      </x:c>
      <x:c r="M284" s="593" t="inlineStr">
        <x:is>
          <x:t xml:space="preserve">Cennik usług miał LED bez osobnego wynagrodzenia; kolumna LED z Wynagr. ekipy jest tylko informacyjna</x:t>
        </x:is>
      </x:c>
      <x:c r="N284" s="593" t="inlineStr">
        <x:is>
          <x:t xml:space="preserve">Informacyjnie wg Wynagr. ekipy LED na krokiew: 450 zł.</x:t>
        </x:is>
      </x:c>
      <x:c r="O284" s="593" t="inlineStr">
        <x:is>
          <x:t xml:space="preserve">RAW_ZP R/S</x:t>
        </x:is>
      </x:c>
      <x:c r="P284" s="593" t="inlineStr">
        <x:is>
          <x:t xml:space="preserve">600 x 706 cm|LED3</x:t>
        </x:is>
      </x:c>
    </x:row>
    <x:row r="285" s="655" customFormat="1" ht="29.5" customHeight="1">
      <x:c r="A285" s="592" t="n">
        <x:v>1235</x:v>
      </x:c>
      <x:c r="B285" s="593" t="inlineStr">
        <x:is>
          <x:t xml:space="preserve">600 x 706 cm</x:t>
        </x:is>
      </x:c>
      <x:c r="C285" s="592" t="n">
        <x:v>600</x:v>
      </x:c>
      <x:c r="D285" s="592" t="n">
        <x:v>706</x:v>
      </x:c>
      <x:c r="E285" s="593" t="inlineStr">
        <x:is>
          <x:t xml:space="preserve">LEDCCT</x:t>
        </x:is>
      </x:c>
      <x:c r="F285" s="593" t="inlineStr">
        <x:is>
          <x:t xml:space="preserve">Oświetlenie LED CCT</x:t>
        </x:is>
      </x:c>
      <x:c r="G285" s="594" t="n">
        <x:v>0</x:v>
      </x:c>
      <x:c r="H285" s="594" t="n">
        <x:v>0</x:v>
      </x:c>
      <x:c r="I285" s="594" t="n">
        <x:v>0</x:v>
      </x:c>
      <x:c r="J285" s="594" t="n">
        <x:v>0</x:v>
      </x:c>
      <x:c r="K285" s="595" t="n"/>
      <x:c r="L285" s="593" t="inlineStr">
        <x:is>
          <x:t xml:space="preserve">POZOSTAWIĆ 0 / UKRYTE</x:t>
        </x:is>
      </x:c>
      <x:c r="M285" s="593" t="inlineStr">
        <x:is>
          <x:t xml:space="preserve">Brak pełnego cennika dla 550/600; opcje nadal crm_only/ukryte</x:t>
        </x:is>
      </x:c>
      <x:c r="N285" s="593" t="n"/>
      <x:c r="O285" s="593" t="inlineStr">
        <x:is>
          <x:t xml:space="preserve">RAW_ZP T/U</x:t>
        </x:is>
      </x:c>
      <x:c r="P285" s="593" t="inlineStr">
        <x:is>
          <x:t xml:space="preserve">600 x 706 cm|LEDCCT</x:t>
        </x:is>
      </x:c>
    </x:row>
    <x:row r="286" s="655" customFormat="1" ht="29.5" customHeight="1">
      <x:c r="A286" s="592" t="n">
        <x:v>1236</x:v>
      </x:c>
      <x:c r="B286" s="593" t="inlineStr">
        <x:is>
          <x:t xml:space="preserve">600 x 706 cm</x:t>
        </x:is>
      </x:c>
      <x:c r="C286" s="592" t="n">
        <x:v>600</x:v>
      </x:c>
      <x:c r="D286" s="592" t="n">
        <x:v>706</x:v>
      </x:c>
      <x:c r="E286" s="593" t="inlineStr">
        <x:is>
          <x:t xml:space="preserve">LEDRGBCCT</x:t>
        </x:is>
      </x:c>
      <x:c r="F286" s="593" t="inlineStr">
        <x:is>
          <x:t xml:space="preserve">Oświetlenie LED RGB CCT</x:t>
        </x:is>
      </x:c>
      <x:c r="G286" s="594" t="n">
        <x:v>0</x:v>
      </x:c>
      <x:c r="H286" s="594" t="n">
        <x:v>0</x:v>
      </x:c>
      <x:c r="I286" s="594" t="n">
        <x:v>0</x:v>
      </x:c>
      <x:c r="J286" s="594" t="n">
        <x:v>0</x:v>
      </x:c>
      <x:c r="K286" s="595" t="n"/>
      <x:c r="L286" s="593" t="inlineStr">
        <x:is>
          <x:t xml:space="preserve">POZOSTAWIĆ 0 / UKRYTE</x:t>
        </x:is>
      </x:c>
      <x:c r="M286" s="593" t="inlineStr">
        <x:is>
          <x:t xml:space="preserve">Brak pełnego cennika dla 550/600; opcje nadal crm_only/ukryte</x:t>
        </x:is>
      </x:c>
      <x:c r="N286" s="593" t="n"/>
      <x:c r="O286" s="593" t="inlineStr">
        <x:is>
          <x:t xml:space="preserve">RAW_ZP V/W</x:t>
        </x:is>
      </x:c>
      <x:c r="P286" s="593" t="inlineStr">
        <x:is>
          <x:t xml:space="preserve">600 x 706 cm|LEDRGBCCT</x:t>
        </x:is>
      </x:c>
    </x:row>
    <x:row r="287" s="655" customFormat="1" ht="29.5" customHeight="1">
      <x:c r="A287" s="584" t="n">
        <x:v>1237</x:v>
      </x:c>
      <x:c r="B287" s="585" t="inlineStr">
        <x:is>
          <x:t xml:space="preserve">600 x 806 cm</x:t>
        </x:is>
      </x:c>
      <x:c r="C287" s="584" t="n">
        <x:v>600</x:v>
      </x:c>
      <x:c r="D287" s="584" t="n">
        <x:v>806</x:v>
      </x:c>
      <x:c r="E287" s="585" t="inlineStr">
        <x:is>
          <x:t xml:space="preserve">ZP</x:t>
        </x:is>
      </x:c>
      <x:c r="F287" s="585" t="inlineStr">
        <x:is>
          <x:t xml:space="preserve">Zadaszenie poliwęglan - baza</x:t>
        </x:is>
      </x:c>
      <x:c r="G287" s="586" t="n">
        <x:v>5770</x:v>
      </x:c>
      <x:c r="H287" s="586" t="n">
        <x:v>1880</x:v>
      </x:c>
      <x:c r="I287" s="586" t="n">
        <x:v>41473</x:v>
      </x:c>
      <x:c r="J287" s="586" t="n">
        <x:v>14017</x:v>
      </x:c>
      <x:c r="K287" s="587" t="n">
        <x:v>0.3650165360277076</x:v>
      </x:c>
      <x:c r="L287" s="585" t="inlineStr">
        <x:is>
          <x:t xml:space="preserve">UZUPEŁNIĆ</x:t>
        </x:is>
      </x:c>
      <x:c r="M287" s="585" t="inlineStr">
        <x:is>
          <x:t xml:space="preserve">K: model rentowności 450/500; L: przedłużenie Wynagr. ekipy 450→500</x:t>
        </x:is>
      </x:c>
      <x:c r="N287" s="585" t="inlineStr">
        <x:is>
          <x:t xml:space="preserve">Podstawowa konstrukcja z ceną dostawcy dla 550/600.</x:t>
        </x:is>
      </x:c>
      <x:c r="O287" s="585" t="inlineStr">
        <x:is>
          <x:t xml:space="preserve">RAW_ZP B/C</x:t>
        </x:is>
      </x:c>
      <x:c r="P287" s="585" t="inlineStr">
        <x:is>
          <x:t xml:space="preserve">600 x 806 cm|ZP</x:t>
        </x:is>
      </x:c>
    </x:row>
    <x:row r="288" s="655" customFormat="1" ht="29.5" customHeight="1">
      <x:c r="A288" s="588" t="n">
        <x:v>1238</x:v>
      </x:c>
      <x:c r="B288" s="589" t="inlineStr">
        <x:is>
          <x:t xml:space="preserve">600 x 806 cm</x:t>
        </x:is>
      </x:c>
      <x:c r="C288" s="588" t="n">
        <x:v>600</x:v>
      </x:c>
      <x:c r="D288" s="588" t="n">
        <x:v>806</x:v>
      </x:c>
      <x:c r="E288" s="589" t="inlineStr">
        <x:is>
          <x:t xml:space="preserve">ZS</x:t>
        </x:is>
      </x:c>
      <x:c r="F288" s="589" t="inlineStr">
        <x:is>
          <x:t xml:space="preserve">Zadaszenie szkło - pełna konstrukcja</x:t>
        </x:is>
      </x:c>
      <x:c r="G288" s="590" t="n">
        <x:v>5770</x:v>
      </x:c>
      <x:c r="H288" s="590" t="n">
        <x:v>2410</x:v>
      </x:c>
      <x:c r="I288" s="590" t="n"/>
      <x:c r="J288" s="590" t="n"/>
      <x:c r="K288" s="591" t="n"/>
      <x:c r="L288" s="589" t="inlineStr">
        <x:is>
          <x:t xml:space="preserve">NIE PUBLIKOWAĆ / BRAK RAW_ZS</x:t>
        </x:is>
      </x:c>
      <x:c r="M288" s="589" t="inlineStr">
        <x:is>
          <x:t xml:space="preserve">Informacyjnie: K jak ZP, L = pełny montaż zadaszenia szklanego z przedłużenia</x:t>
        </x:is>
      </x:c>
      <x:c r="N288" s="589" t="inlineStr">
        <x:is>
          <x:t xml:space="preserve">Brak ceny dostawcy dla ZS 550/600, więc nieaktywny do czasu cennika dostawcy.</x:t>
        </x:is>
      </x:c>
      <x:c r="O288" s="589" t="inlineStr">
        <x:is>
          <x:t xml:space="preserve">RAW_ZS B/C</x:t>
        </x:is>
      </x:c>
      <x:c r="P288" s="589" t="inlineStr">
        <x:is>
          <x:t xml:space="preserve">600 x 806 cm|ZS</x:t>
        </x:is>
      </x:c>
    </x:row>
    <x:row r="289" s="655" customFormat="1" ht="29.5" customHeight="1">
      <x:c r="A289" s="584" t="n">
        <x:v>1239</x:v>
      </x:c>
      <x:c r="B289" s="585" t="inlineStr">
        <x:is>
          <x:t xml:space="preserve">600 x 806 cm</x:t>
        </x:is>
      </x:c>
      <x:c r="C289" s="584" t="n">
        <x:v>600</x:v>
      </x:c>
      <x:c r="D289" s="584" t="n">
        <x:v>806</x:v>
      </x:c>
      <x:c r="E289" s="585" t="inlineStr">
        <x:is>
          <x:t xml:space="preserve">OP</x:t>
        </x:is>
      </x:c>
      <x:c r="F289" s="585" t="inlineStr">
        <x:is>
          <x:t xml:space="preserve">Ogród zimowy poliwęglan - baza</x:t>
        </x:is>
      </x:c>
      <x:c r="G289" s="586" t="n">
        <x:v>6900</x:v>
      </x:c>
      <x:c r="H289" s="586" t="n">
        <x:v>2610</x:v>
      </x:c>
      <x:c r="I289" s="586" t="n">
        <x:v>69966</x:v>
      </x:c>
      <x:c r="J289" s="586" t="n">
        <x:v>22254</x:v>
      </x:c>
      <x:c r="K289" s="587" t="n">
        <x:v>0.343516045876233</x:v>
      </x:c>
      <x:c r="L289" s="585" t="inlineStr">
        <x:is>
          <x:t xml:space="preserve">UZUPEŁNIĆ</x:t>
        </x:is>
      </x:c>
      <x:c r="M289" s="585" t="inlineStr">
        <x:is>
          <x:t xml:space="preserve">K: model rentowności 450/500; L: przedłużenie Wynagr. ekipy 450→500</x:t>
        </x:is>
      </x:c>
      <x:c r="N289" s="585" t="inlineStr">
        <x:is>
          <x:t xml:space="preserve">Podstawowa konstrukcja z ceną dostawcy dla 550/600.</x:t>
        </x:is>
      </x:c>
      <x:c r="O289" s="585" t="inlineStr">
        <x:is>
          <x:t xml:space="preserve">RAW_OP B/C</x:t>
        </x:is>
      </x:c>
      <x:c r="P289" s="585" t="inlineStr">
        <x:is>
          <x:t xml:space="preserve">600 x 806 cm|OP</x:t>
        </x:is>
      </x:c>
    </x:row>
    <x:row r="290" s="655" customFormat="1" ht="29.5" customHeight="1">
      <x:c r="A290" s="588" t="n">
        <x:v>1240</x:v>
      </x:c>
      <x:c r="B290" s="589" t="inlineStr">
        <x:is>
          <x:t xml:space="preserve">600 x 806 cm</x:t>
        </x:is>
      </x:c>
      <x:c r="C290" s="588" t="n">
        <x:v>600</x:v>
      </x:c>
      <x:c r="D290" s="588" t="n">
        <x:v>806</x:v>
      </x:c>
      <x:c r="E290" s="589" t="inlineStr">
        <x:is>
          <x:t xml:space="preserve">OS</x:t>
        </x:is>
      </x:c>
      <x:c r="F290" s="589" t="inlineStr">
        <x:is>
          <x:t xml:space="preserve">Ogród zimowy szkło - pełna konstrukcja</x:t>
        </x:is>
      </x:c>
      <x:c r="G290" s="590" t="n">
        <x:v>6900</x:v>
      </x:c>
      <x:c r="H290" s="590" t="n">
        <x:v>3140</x:v>
      </x:c>
      <x:c r="I290" s="590" t="n"/>
      <x:c r="J290" s="590" t="n"/>
      <x:c r="K290" s="591" t="n"/>
      <x:c r="L290" s="589" t="inlineStr">
        <x:is>
          <x:t xml:space="preserve">NIE PUBLIKOWAĆ / BRAK RAW_OS</x:t>
        </x:is>
      </x:c>
      <x:c r="M290" s="589" t="inlineStr">
        <x:is>
          <x:t xml:space="preserve">Informacyjnie: K jak OP, L = pełny montaż ogrodu szklanego z przedłużenia</x:t>
        </x:is>
      </x:c>
      <x:c r="N290" s="589" t="inlineStr">
        <x:is>
          <x:t xml:space="preserve">Brak ceny dostawcy dla OS 550/600, więc nieaktywny do czasu cennika dostawcy.</x:t>
        </x:is>
      </x:c>
      <x:c r="O290" s="589" t="inlineStr">
        <x:is>
          <x:t xml:space="preserve">RAW_OS B/C</x:t>
        </x:is>
      </x:c>
      <x:c r="P290" s="589" t="inlineStr">
        <x:is>
          <x:t xml:space="preserve">600 x 806 cm|OS</x:t>
        </x:is>
      </x:c>
    </x:row>
    <x:row r="291" s="655" customFormat="1" ht="29.5" customHeight="1">
      <x:c r="A291" s="584" t="n">
        <x:v>1241</x:v>
      </x:c>
      <x:c r="B291" s="585" t="inlineStr">
        <x:is>
          <x:t xml:space="preserve">600 x 806 cm</x:t>
        </x:is>
      </x:c>
      <x:c r="C291" s="584" t="n">
        <x:v>600</x:v>
      </x:c>
      <x:c r="D291" s="584" t="n">
        <x:v>806</x:v>
      </x:c>
      <x:c r="E291" s="585" t="inlineStr">
        <x:is>
          <x:t xml:space="preserve">PDS</x:t>
        </x:is>
      </x:c>
      <x:c r="F291" s="585" t="inlineStr">
        <x:is>
          <x:t xml:space="preserve">Dopłata dach szkło przezroczyste</x:t>
        </x:is>
      </x:c>
      <x:c r="G291" s="586" t="n">
        <x:v>0</x:v>
      </x:c>
      <x:c r="H291" s="586" t="n">
        <x:v>530</x:v>
      </x:c>
      <x:c r="I291" s="586" t="n"/>
      <x:c r="J291" s="586" t="n"/>
      <x:c r="K291" s="587" t="n"/>
      <x:c r="L291" s="585" t="inlineStr">
        <x:is>
          <x:t xml:space="preserve">DO UŻYCIA DOPIERO GDY BĘDZIE CENA DACHU SZKŁO</x:t>
        </x:is>
      </x:c>
      <x:c r="M291" s="585" t="inlineStr">
        <x:is>
          <x:t xml:space="preserve">L = montaż zadaszenia szkło - montaż zadaszenia poliwęglan</x:t>
        </x:is>
      </x:c>
      <x:c r="N291" s="585" t="inlineStr">
        <x:is>
          <x:t xml:space="preserve">Potrzebne dla dopłaty dachu szklanego; obecnie brak ceny dostawcy PDS 550/600.</x:t>
        </x:is>
      </x:c>
      <x:c r="O291" s="585" t="inlineStr">
        <x:is>
          <x:t xml:space="preserve">RAW_ZS - RAW_ZP</x:t>
        </x:is>
      </x:c>
      <x:c r="P291" s="585" t="inlineStr">
        <x:is>
          <x:t xml:space="preserve">600 x 806 cm|PDS</x:t>
        </x:is>
      </x:c>
    </x:row>
    <x:row r="292" s="655" customFormat="1" ht="29.5" customHeight="1">
      <x:c r="A292" s="592" t="n">
        <x:v>1242</x:v>
      </x:c>
      <x:c r="B292" s="593" t="inlineStr">
        <x:is>
          <x:t xml:space="preserve">600 x 806 cm</x:t>
        </x:is>
      </x:c>
      <x:c r="C292" s="592" t="n">
        <x:v>600</x:v>
      </x:c>
      <x:c r="D292" s="592" t="n">
        <x:v>806</x:v>
      </x:c>
      <x:c r="E292" s="593" t="inlineStr">
        <x:is>
          <x:t xml:space="preserve">PDSB</x:t>
        </x:is>
      </x:c>
      <x:c r="F292" s="593" t="inlineStr">
        <x:is>
          <x:t xml:space="preserve">Dopłata dach szkło barwione/mleczne</x:t>
        </x:is>
      </x:c>
      <x:c r="G292" s="594" t="n">
        <x:v>0</x:v>
      </x:c>
      <x:c r="H292" s="594" t="n">
        <x:v>0</x:v>
      </x:c>
      <x:c r="I292" s="594" t="n"/>
      <x:c r="J292" s="594" t="n"/>
      <x:c r="K292" s="595" t="n"/>
      <x:c r="L292" s="593" t="inlineStr">
        <x:is>
          <x:t xml:space="preserve">POZOSTAWIĆ 0 / BRAK CENY PDSB</x:t>
        </x:is>
      </x:c>
      <x:c r="M292" s="593" t="inlineStr">
        <x:is>
          <x:t xml:space="preserve">Zgodnie z dotychczasową logiką: dopłata barwienia szkła nie ma osobnego wynagrodzenia</x:t>
        </x:is>
      </x:c>
      <x:c r="N292" s="593" t="inlineStr">
        <x:is>
          <x:t xml:space="preserve">Brak ceny dostawcy dla PDSB 550/600.</x:t>
        </x:is>
      </x:c>
      <x:c r="O292" s="593" t="inlineStr">
        <x:is>
          <x:t xml:space="preserve">RAW_ZS D/E</x:t>
        </x:is>
      </x:c>
      <x:c r="P292" s="593" t="inlineStr">
        <x:is>
          <x:t xml:space="preserve">600 x 806 cm|PDSB</x:t>
        </x:is>
      </x:c>
    </x:row>
    <x:row r="293" s="655" customFormat="1" ht="29.5" customHeight="1">
      <x:c r="A293" s="592" t="n">
        <x:v>1243</x:v>
      </x:c>
      <x:c r="B293" s="593" t="inlineStr">
        <x:is>
          <x:t xml:space="preserve">600 x 806 cm</x:t>
        </x:is>
      </x:c>
      <x:c r="C293" s="592" t="n">
        <x:v>600</x:v>
      </x:c>
      <x:c r="D293" s="592" t="n">
        <x:v>806</x:v>
      </x:c>
      <x:c r="E293" s="593" t="inlineStr">
        <x:is>
          <x:t xml:space="preserve">PDPB</x:t>
        </x:is>
      </x:c>
      <x:c r="F293" s="593" t="inlineStr">
        <x:is>
          <x:t xml:space="preserve">Dopłata poliwęglan barwiony</x:t>
        </x:is>
      </x:c>
      <x:c r="G293" s="594" t="n">
        <x:v>0</x:v>
      </x:c>
      <x:c r="H293" s="594" t="n">
        <x:v>0</x:v>
      </x:c>
      <x:c r="I293" s="594" t="n">
        <x:v>1057</x:v>
      </x:c>
      <x:c r="J293" s="594" t="n">
        <x:v>304</x:v>
      </x:c>
      <x:c r="K293" s="595" t="n">
        <x:v>0.3105209397344229</x:v>
      </x:c>
      <x:c r="L293" s="593" t="inlineStr">
        <x:is>
          <x:t xml:space="preserve">POZOSTAWIĆ 0</x:t>
        </x:is>
      </x:c>
      <x:c r="M293" s="593" t="inlineStr">
        <x:is>
          <x:t xml:space="preserve">Zgodnie z Cennik usług: poliwęglan barwiony nie miał osobnej pracy ekipy</x:t>
        </x:is>
      </x:c>
      <x:c r="N293" s="593" t="inlineStr">
        <x:is>
          <x:t xml:space="preserve">Ma cenę dostawcy; montaż/wynagrodzenie zostaje 0.</x:t>
        </x:is>
      </x:c>
      <x:c r="O293" s="593" t="inlineStr">
        <x:is>
          <x:t xml:space="preserve">RAW_ZP D/E</x:t>
        </x:is>
      </x:c>
      <x:c r="P293" s="593" t="inlineStr">
        <x:is>
          <x:t xml:space="preserve">600 x 806 cm|PDPB</x:t>
        </x:is>
      </x:c>
    </x:row>
    <x:row r="294" s="655" customFormat="1" ht="29.5" customHeight="1">
      <x:c r="A294" s="592" t="n">
        <x:v>1244</x:v>
      </x:c>
      <x:c r="B294" s="593" t="inlineStr">
        <x:is>
          <x:t xml:space="preserve">600 x 806 cm</x:t>
        </x:is>
      </x:c>
      <x:c r="C294" s="592" t="n">
        <x:v>600</x:v>
      </x:c>
      <x:c r="D294" s="592" t="n">
        <x:v>806</x:v>
      </x:c>
      <x:c r="E294" s="593" t="inlineStr">
        <x:is>
          <x:t xml:space="preserve">SBB</x:t>
        </x:is>
      </x:c>
      <x:c r="F294" s="593" t="inlineStr">
        <x:is>
          <x:t xml:space="preserve">Dopłata szkło boczne przyciemniane</x:t>
        </x:is>
      </x:c>
      <x:c r="G294" s="594" t="n">
        <x:v>0</x:v>
      </x:c>
      <x:c r="H294" s="594" t="n">
        <x:v>0</x:v>
      </x:c>
      <x:c r="I294" s="594" t="n">
        <x:v>3055</x:v>
      </x:c>
      <x:c r="J294" s="594" t="n">
        <x:v>878</x:v>
      </x:c>
      <x:c r="K294" s="595" t="n">
        <x:v>0.3103570166136444</x:v>
      </x:c>
      <x:c r="L294" s="593" t="inlineStr">
        <x:is>
          <x:t xml:space="preserve">POZOSTAWIĆ 0</x:t>
        </x:is>
      </x:c>
      <x:c r="M294" s="593" t="inlineStr">
        <x:is>
          <x:t xml:space="preserve">Zgodnie z Cennik usług: szyby boczne barwione nie miały osobnej pracy ekipy</x:t>
        </x:is>
      </x:c>
      <x:c r="N294" s="593" t="inlineStr">
        <x:is>
          <x:t xml:space="preserve">Ma cenę dostawcy; montaż/wynagrodzenie zostaje 0.</x:t>
        </x:is>
      </x:c>
      <x:c r="O294" s="593" t="inlineStr">
        <x:is>
          <x:t xml:space="preserve">RAW_OP H/I</x:t>
        </x:is>
      </x:c>
      <x:c r="P294" s="593" t="inlineStr">
        <x:is>
          <x:t xml:space="preserve">600 x 806 cm|SBB</x:t>
        </x:is>
      </x:c>
    </x:row>
    <x:row r="295" s="655" customFormat="1" ht="29.5" customHeight="1">
      <x:c r="A295" s="584" t="n">
        <x:v>1245</x:v>
      </x:c>
      <x:c r="B295" s="585" t="inlineStr">
        <x:is>
          <x:t xml:space="preserve">600 x 806 cm</x:t>
        </x:is>
      </x:c>
      <x:c r="C295" s="584" t="n">
        <x:v>600</x:v>
      </x:c>
      <x:c r="D295" s="584" t="n">
        <x:v>806</x:v>
      </x:c>
      <x:c r="E295" s="585" t="inlineStr">
        <x:is>
          <x:t xml:space="preserve">RB</x:t>
        </x:is>
      </x:c>
      <x:c r="F295" s="585" t="inlineStr">
        <x:is>
          <x:t xml:space="preserve">Roleta boczna ZIP</x:t>
        </x:is>
      </x:c>
      <x:c r="G295" s="586" t="n">
        <x:v>0</x:v>
      </x:c>
      <x:c r="H295" s="586" t="n">
        <x:v>150</x:v>
      </x:c>
      <x:c r="I295" s="586" t="n">
        <x:v>5437</x:v>
      </x:c>
      <x:c r="J295" s="586" t="n">
        <x:v>1412</x:v>
      </x:c>
      <x:c r="K295" s="587" t="n">
        <x:v>0.2804926499801351</x:v>
      </x:c>
      <x:c r="L295" s="585" t="inlineStr">
        <x:is>
          <x:t xml:space="preserve">UZUPEŁNIĆ L</x:t>
        </x:is>
      </x:c>
      <x:c r="M295" s="585" t="inlineStr">
        <x:is>
          <x:t xml:space="preserve">L = przedłużona kolumna Montaż rolety bocznej</x:t>
        </x:is>
      </x:c>
      <x:c r="N295" s="585" t="inlineStr">
        <x:is>
          <x:t xml:space="preserve">K zostaje 0; rentowność po L pozostaje podobna do mniejszych wymiarów.</x:t>
        </x:is>
      </x:c>
      <x:c r="O295" s="585" t="inlineStr">
        <x:is>
          <x:t xml:space="preserve">RAW_ZP J/K</x:t>
        </x:is>
      </x:c>
      <x:c r="P295" s="585" t="inlineStr">
        <x:is>
          <x:t xml:space="preserve">600 x 806 cm|RB</x:t>
        </x:is>
      </x:c>
    </x:row>
    <x:row r="296" s="655" customFormat="1" ht="29.5" customHeight="1">
      <x:c r="A296" s="584" t="n">
        <x:v>1246</x:v>
      </x:c>
      <x:c r="B296" s="585" t="inlineStr">
        <x:is>
          <x:t xml:space="preserve">600 x 806 cm</x:t>
        </x:is>
      </x:c>
      <x:c r="C296" s="584" t="n">
        <x:v>600</x:v>
      </x:c>
      <x:c r="D296" s="584" t="n">
        <x:v>806</x:v>
      </x:c>
      <x:c r="E296" s="585" t="inlineStr">
        <x:is>
          <x:t xml:space="preserve">RP</x:t>
        </x:is>
      </x:c>
      <x:c r="F296" s="585" t="inlineStr">
        <x:is>
          <x:t xml:space="preserve">Roleta przednia ZIP</x:t>
        </x:is>
      </x:c>
      <x:c r="G296" s="586" t="n">
        <x:v>0</x:v>
      </x:c>
      <x:c r="H296" s="586" t="n">
        <x:v>300</x:v>
      </x:c>
      <x:c r="I296" s="586" t="n">
        <x:v>6723</x:v>
      </x:c>
      <x:c r="J296" s="586" t="n">
        <x:v>1632</x:v>
      </x:c>
      <x:c r="K296" s="587" t="n">
        <x:v>0.2621686746987952</x:v>
      </x:c>
      <x:c r="L296" s="585" t="inlineStr">
        <x:is>
          <x:t xml:space="preserve">UZUPEŁNIĆ L</x:t>
        </x:is>
      </x:c>
      <x:c r="M296" s="585" t="inlineStr">
        <x:is>
          <x:t xml:space="preserve">L = przedłużona kolumna Montaż rolety przedniej</x:t>
        </x:is>
      </x:c>
      <x:c r="N296" s="585" t="inlineStr">
        <x:is>
          <x:t xml:space="preserve">K zostaje 0; rentowność po L pozostaje podobna do mniejszych wymiarów.</x:t>
        </x:is>
      </x:c>
      <x:c r="O296" s="585" t="inlineStr">
        <x:is>
          <x:t xml:space="preserve">RAW_ZP N/O</x:t>
        </x:is>
      </x:c>
      <x:c r="P296" s="585" t="inlineStr">
        <x:is>
          <x:t xml:space="preserve">600 x 806 cm|RP</x:t>
        </x:is>
      </x:c>
    </x:row>
    <x:row r="297" s="655" customFormat="1" ht="29.5" customHeight="1">
      <x:c r="A297" s="584" t="n">
        <x:v>1247</x:v>
      </x:c>
      <x:c r="B297" s="585" t="inlineStr">
        <x:is>
          <x:t xml:space="preserve">600 x 806 cm</x:t>
        </x:is>
      </x:c>
      <x:c r="C297" s="584" t="n">
        <x:v>600</x:v>
      </x:c>
      <x:c r="D297" s="584" t="n">
        <x:v>806</x:v>
      </x:c>
      <x:c r="E297" s="585" t="inlineStr">
        <x:is>
          <x:t xml:space="preserve">M</x:t>
        </x:is>
      </x:c>
      <x:c r="F297" s="585" t="inlineStr">
        <x:is>
          <x:t xml:space="preserve">Markiza dachowa</x:t>
        </x:is>
      </x:c>
      <x:c r="G297" s="586" t="n">
        <x:v>0</x:v>
      </x:c>
      <x:c r="H297" s="586" t="n">
        <x:v>500</x:v>
      </x:c>
      <x:c r="I297" s="586" t="n">
        <x:v>12183</x:v>
      </x:c>
      <x:c r="J297" s="586" t="n">
        <x:v>3001</x:v>
      </x:c>
      <x:c r="K297" s="587" t="n">
        <x:v>0.2660225157344207</x:v>
      </x:c>
      <x:c r="L297" s="585" t="inlineStr">
        <x:is>
          <x:t xml:space="preserve">UZUPEŁNIĆ L</x:t>
        </x:is>
      </x:c>
      <x:c r="M297" s="585" t="inlineStr">
        <x:is>
          <x:t xml:space="preserve">L = przedłużona kolumna Montaż markizy na dach</x:t>
        </x:is>
      </x:c>
      <x:c r="N297" s="585" t="inlineStr">
        <x:is>
          <x:t xml:space="preserve">K zostaje 0; rentowność po L pozostaje podobna do mniejszych wymiarów.</x:t>
        </x:is>
      </x:c>
      <x:c r="O297" s="585" t="inlineStr">
        <x:is>
          <x:t xml:space="preserve">RAW_ZP H/I</x:t>
        </x:is>
      </x:c>
      <x:c r="P297" s="585" t="inlineStr">
        <x:is>
          <x:t xml:space="preserve">600 x 806 cm|M</x:t>
        </x:is>
      </x:c>
    </x:row>
    <x:row r="298" s="655" customFormat="1" ht="29.5" customHeight="1">
      <x:c r="A298" s="584" t="n">
        <x:v>1248</x:v>
      </x:c>
      <x:c r="B298" s="585" t="inlineStr">
        <x:is>
          <x:t xml:space="preserve">600 x 806 cm</x:t>
        </x:is>
      </x:c>
      <x:c r="C298" s="584" t="n">
        <x:v>600</x:v>
      </x:c>
      <x:c r="D298" s="584" t="n">
        <x:v>806</x:v>
      </x:c>
      <x:c r="E298" s="585" t="inlineStr">
        <x:is>
          <x:t xml:space="preserve">PDWP</x:t>
        </x:is>
      </x:c>
      <x:c r="F298" s="585" t="inlineStr">
        <x:is>
          <x:t xml:space="preserve">Fundament/profile</x:t>
        </x:is>
      </x:c>
      <x:c r="G298" s="586" t="n">
        <x:v>670</x:v>
      </x:c>
      <x:c r="H298" s="586" t="n">
        <x:v>610</x:v>
      </x:c>
      <x:c r="I298" s="586" t="n">
        <x:v>2773</x:v>
      </x:c>
      <x:c r="J298" s="586" t="n">
        <x:v>649</x:v>
      </x:c>
      <x:c r="K298" s="587" t="n">
        <x:v>0.2527258566978193</x:v>
      </x:c>
      <x:c r="L298" s="585" t="inlineStr">
        <x:is>
          <x:t xml:space="preserve">UZUPEŁNIĆ K+L / KOREKTA RENTOWNOŚCI</x:t>
        </x:is>
      </x:c>
      <x:c r="M298" s="585" t="inlineStr">
        <x:is>
          <x:t xml:space="preserve">L = Wyrównanie podłoża; K = dopłata montażowa wyliczona do min. 25% rentowności</x:t>
        </x:is>
      </x:c>
      <x:c r="N298" s="585" t="inlineStr">
        <x:is>
          <x:t xml:space="preserve">Bez K ten dodatek ma ujemną rentowność. To jest korekta biznesowa, nie tylko przedłużenie EG.</x:t>
        </x:is>
      </x:c>
      <x:c r="O298" s="585" t="inlineStr">
        <x:is>
          <x:t xml:space="preserve">RAW_OP AB/AC</x:t>
        </x:is>
      </x:c>
      <x:c r="P298" s="585" t="inlineStr">
        <x:is>
          <x:t xml:space="preserve">600 x 806 cm|PDWP</x:t>
        </x:is>
      </x:c>
    </x:row>
    <x:row r="299" s="655" customFormat="1" ht="29.5" customHeight="1">
      <x:c r="A299" s="592" t="n">
        <x:v>1249</x:v>
      </x:c>
      <x:c r="B299" s="593" t="inlineStr">
        <x:is>
          <x:t xml:space="preserve">600 x 806 cm</x:t>
        </x:is>
      </x:c>
      <x:c r="C299" s="592" t="n">
        <x:v>600</x:v>
      </x:c>
      <x:c r="D299" s="592" t="n">
        <x:v>806</x:v>
      </x:c>
      <x:c r="E299" s="593" t="inlineStr">
        <x:is>
          <x:t xml:space="preserve">ZAB</x:t>
        </x:is>
      </x:c>
      <x:c r="F299" s="593" t="inlineStr">
        <x:is>
          <x:t xml:space="preserve">Zabieraki do ścian przesuwnych</x:t>
        </x:is>
      </x:c>
      <x:c r="G299" s="594" t="n">
        <x:v>0</x:v>
      </x:c>
      <x:c r="H299" s="594" t="n">
        <x:v>0</x:v>
      </x:c>
      <x:c r="I299" s="594" t="n">
        <x:v>814</x:v>
      </x:c>
      <x:c r="J299" s="594" t="n">
        <x:v>234</x:v>
      </x:c>
      <x:c r="K299" s="595" t="n">
        <x:v>0.3103448275862069</x:v>
      </x:c>
      <x:c r="L299" s="593" t="inlineStr">
        <x:is>
          <x:t xml:space="preserve">POZOSTAWIĆ 0</x:t>
        </x:is>
      </x:c>
      <x:c r="M299" s="593" t="inlineStr">
        <x:is>
          <x:t xml:space="preserve">Brak osobnej kolumny wynagrodzenia w Cennik usług; traktować jako element dodatkowy bez osobnej pracy</x:t>
        </x:is>
      </x:c>
      <x:c r="N299" s="593" t="n"/>
      <x:c r="O299" s="593" t="inlineStr">
        <x:is>
          <x:t xml:space="preserve">RAW_OP AD/AE</x:t>
        </x:is>
      </x:c>
      <x:c r="P299" s="593" t="inlineStr">
        <x:is>
          <x:t xml:space="preserve">600 x 806 cm|ZAB</x:t>
        </x:is>
      </x:c>
    </x:row>
    <x:row r="300" s="655" customFormat="1" ht="29.5" customHeight="1">
      <x:c r="A300" s="592" t="n">
        <x:v>1250</x:v>
      </x:c>
      <x:c r="B300" s="593" t="inlineStr">
        <x:is>
          <x:t xml:space="preserve">600 x 806 cm</x:t>
        </x:is>
      </x:c>
      <x:c r="C300" s="592" t="n">
        <x:v>600</x:v>
      </x:c>
      <x:c r="D300" s="592" t="n">
        <x:v>806</x:v>
      </x:c>
      <x:c r="E300" s="593" t="inlineStr">
        <x:is>
          <x:t xml:space="preserve">S</x:t>
        </x:is>
      </x:c>
      <x:c r="F300" s="593" t="inlineStr">
        <x:is>
          <x:t xml:space="preserve">Szczotki przeciwkurzowe</x:t>
        </x:is>
      </x:c>
      <x:c r="G300" s="594" t="n">
        <x:v>0</x:v>
      </x:c>
      <x:c r="H300" s="594" t="n">
        <x:v>0</x:v>
      </x:c>
      <x:c r="I300" s="594" t="n">
        <x:v>878</x:v>
      </x:c>
      <x:c r="J300" s="594" t="n">
        <x:v>252</x:v>
      </x:c>
      <x:c r="K300" s="595" t="n">
        <x:v>0.3099630996309963</x:v>
      </x:c>
      <x:c r="L300" s="593" t="inlineStr">
        <x:is>
          <x:t xml:space="preserve">POZOSTAWIĆ 0</x:t>
        </x:is>
      </x:c>
      <x:c r="M300" s="593" t="inlineStr">
        <x:is>
          <x:t xml:space="preserve">Zgodnie z Cennik usług: szczotki przeciwkurzowe bez osobnego wynagrodzenia</x:t>
        </x:is>
      </x:c>
      <x:c r="N300" s="593" t="n"/>
      <x:c r="O300" s="593" t="inlineStr">
        <x:is>
          <x:t xml:space="preserve">RAW_OP L/M</x:t>
        </x:is>
      </x:c>
      <x:c r="P300" s="593" t="inlineStr">
        <x:is>
          <x:t xml:space="preserve">600 x 806 cm|S</x:t>
        </x:is>
      </x:c>
    </x:row>
    <x:row r="301" s="655" customFormat="1" ht="29.5" customHeight="1">
      <x:c r="A301" s="592" t="n">
        <x:v>1251</x:v>
      </x:c>
      <x:c r="B301" s="593" t="inlineStr">
        <x:is>
          <x:t xml:space="preserve">600 x 806 cm</x:t>
        </x:is>
      </x:c>
      <x:c r="C301" s="592" t="n">
        <x:v>600</x:v>
      </x:c>
      <x:c r="D301" s="592" t="n">
        <x:v>806</x:v>
      </x:c>
      <x:c r="E301" s="593" t="inlineStr">
        <x:is>
          <x:t xml:space="preserve">U</x:t>
        </x:is>
      </x:c>
      <x:c r="F301" s="593" t="inlineStr">
        <x:is>
          <x:t xml:space="preserve">Uchwyty na szkło ścienne</x:t>
        </x:is>
      </x:c>
      <x:c r="G301" s="594" t="n">
        <x:v>0</x:v>
      </x:c>
      <x:c r="H301" s="594" t="n">
        <x:v>0</x:v>
      </x:c>
      <x:c r="I301" s="594" t="n">
        <x:v>789</x:v>
      </x:c>
      <x:c r="J301" s="594" t="n">
        <x:v>227</x:v>
      </x:c>
      <x:c r="K301" s="595" t="n">
        <x:v>0.3105335157318742</x:v>
      </x:c>
      <x:c r="L301" s="593" t="inlineStr">
        <x:is>
          <x:t xml:space="preserve">POZOSTAWIĆ 0</x:t>
        </x:is>
      </x:c>
      <x:c r="M301" s="593" t="inlineStr">
        <x:is>
          <x:t xml:space="preserve">Zgodnie z Cennik usług: uchwyty bez osobnego wynagrodzenia</x:t>
        </x:is>
      </x:c>
      <x:c r="N301" s="593" t="n"/>
      <x:c r="O301" s="593" t="inlineStr">
        <x:is>
          <x:t xml:space="preserve">RAW_OP N/O</x:t>
        </x:is>
      </x:c>
      <x:c r="P301" s="593" t="inlineStr">
        <x:is>
          <x:t xml:space="preserve">600 x 806 cm|U</x:t>
        </x:is>
      </x:c>
    </x:row>
    <x:row r="302" s="655" customFormat="1" ht="29.5" customHeight="1">
      <x:c r="A302" s="592" t="n">
        <x:v>1252</x:v>
      </x:c>
      <x:c r="B302" s="593" t="inlineStr">
        <x:is>
          <x:t xml:space="preserve">600 x 806 cm</x:t>
        </x:is>
      </x:c>
      <x:c r="C302" s="592" t="n">
        <x:v>600</x:v>
      </x:c>
      <x:c r="D302" s="592" t="n">
        <x:v>806</x:v>
      </x:c>
      <x:c r="E302" s="593" t="inlineStr">
        <x:is>
          <x:t xml:space="preserve">LED2</x:t>
        </x:is>
      </x:c>
      <x:c r="F302" s="593" t="inlineStr">
        <x:is>
          <x:t xml:space="preserve">Oświetlenie LED 2 punkty</x:t>
        </x:is>
      </x:c>
      <x:c r="G302" s="594" t="n">
        <x:v>0</x:v>
      </x:c>
      <x:c r="H302" s="594" t="n">
        <x:v>0</x:v>
      </x:c>
      <x:c r="I302" s="594" t="n">
        <x:v>1221</x:v>
      </x:c>
      <x:c r="J302" s="594" t="n">
        <x:v>351</x:v>
      </x:c>
      <x:c r="K302" s="595" t="n">
        <x:v>0.3103448275862069</x:v>
      </x:c>
      <x:c r="L302" s="593" t="inlineStr">
        <x:is>
          <x:t xml:space="preserve">POZOSTAWIĆ 0 NA RAZIE</x:t>
        </x:is>
      </x:c>
      <x:c r="M302" s="593" t="inlineStr">
        <x:is>
          <x:t xml:space="preserve">Cennik usług miał LED bez osobnego wynagrodzenia; kolumna LED z Wynagr. ekipy jest tylko informacyjna</x:t>
        </x:is>
      </x:c>
      <x:c r="N302" s="593" t="inlineStr">
        <x:is>
          <x:t xml:space="preserve">Informacyjnie wg Wynagr. ekipy LED na krokiew: 500 zł.</x:t>
        </x:is>
      </x:c>
      <x:c r="O302" s="593" t="inlineStr">
        <x:is>
          <x:t xml:space="preserve">RAW_ZP P/Q</x:t>
        </x:is>
      </x:c>
      <x:c r="P302" s="593" t="inlineStr">
        <x:is>
          <x:t xml:space="preserve">600 x 806 cm|LED2</x:t>
        </x:is>
      </x:c>
    </x:row>
    <x:row r="303" s="655" customFormat="1" ht="29.5" customHeight="1">
      <x:c r="A303" s="592" t="n">
        <x:v>1253</x:v>
      </x:c>
      <x:c r="B303" s="593" t="inlineStr">
        <x:is>
          <x:t xml:space="preserve">600 x 806 cm</x:t>
        </x:is>
      </x:c>
      <x:c r="C303" s="592" t="n">
        <x:v>600</x:v>
      </x:c>
      <x:c r="D303" s="592" t="n">
        <x:v>806</x:v>
      </x:c>
      <x:c r="E303" s="593" t="inlineStr">
        <x:is>
          <x:t xml:space="preserve">LED3</x:t>
        </x:is>
      </x:c>
      <x:c r="F303" s="593" t="inlineStr">
        <x:is>
          <x:t xml:space="preserve">Oświetlenie LED 3 punkty</x:t>
        </x:is>
      </x:c>
      <x:c r="G303" s="594" t="n">
        <x:v>0</x:v>
      </x:c>
      <x:c r="H303" s="594" t="n">
        <x:v>0</x:v>
      </x:c>
      <x:c r="I303" s="594" t="n">
        <x:v>1834</x:v>
      </x:c>
      <x:c r="J303" s="594" t="n">
        <x:v>527</x:v>
      </x:c>
      <x:c r="K303" s="595" t="n">
        <x:v>0.3103651354534747</x:v>
      </x:c>
      <x:c r="L303" s="593" t="inlineStr">
        <x:is>
          <x:t xml:space="preserve">POZOSTAWIĆ 0 NA RAZIE</x:t>
        </x:is>
      </x:c>
      <x:c r="M303" s="593" t="inlineStr">
        <x:is>
          <x:t xml:space="preserve">Cennik usług miał LED bez osobnego wynagrodzenia; kolumna LED z Wynagr. ekipy jest tylko informacyjna</x:t>
        </x:is>
      </x:c>
      <x:c r="N303" s="593" t="inlineStr">
        <x:is>
          <x:t xml:space="preserve">Informacyjnie wg Wynagr. ekipy LED na krokiew: 500 zł.</x:t>
        </x:is>
      </x:c>
      <x:c r="O303" s="593" t="inlineStr">
        <x:is>
          <x:t xml:space="preserve">RAW_ZP R/S</x:t>
        </x:is>
      </x:c>
      <x:c r="P303" s="593" t="inlineStr">
        <x:is>
          <x:t xml:space="preserve">600 x 806 cm|LED3</x:t>
        </x:is>
      </x:c>
    </x:row>
    <x:row r="304" s="655" customFormat="1" ht="29.5" customHeight="1">
      <x:c r="A304" s="592" t="n">
        <x:v>1254</x:v>
      </x:c>
      <x:c r="B304" s="593" t="inlineStr">
        <x:is>
          <x:t xml:space="preserve">600 x 806 cm</x:t>
        </x:is>
      </x:c>
      <x:c r="C304" s="592" t="n">
        <x:v>600</x:v>
      </x:c>
      <x:c r="D304" s="592" t="n">
        <x:v>806</x:v>
      </x:c>
      <x:c r="E304" s="593" t="inlineStr">
        <x:is>
          <x:t xml:space="preserve">LEDCCT</x:t>
        </x:is>
      </x:c>
      <x:c r="F304" s="593" t="inlineStr">
        <x:is>
          <x:t xml:space="preserve">Oświetlenie LED CCT</x:t>
        </x:is>
      </x:c>
      <x:c r="G304" s="594" t="n">
        <x:v>0</x:v>
      </x:c>
      <x:c r="H304" s="594" t="n">
        <x:v>0</x:v>
      </x:c>
      <x:c r="I304" s="594" t="n">
        <x:v>0</x:v>
      </x:c>
      <x:c r="J304" s="594" t="n">
        <x:v>0</x:v>
      </x:c>
      <x:c r="K304" s="595" t="n"/>
      <x:c r="L304" s="593" t="inlineStr">
        <x:is>
          <x:t xml:space="preserve">POZOSTAWIĆ 0 / UKRYTE</x:t>
        </x:is>
      </x:c>
      <x:c r="M304" s="593" t="inlineStr">
        <x:is>
          <x:t xml:space="preserve">Brak pełnego cennika dla 550/600; opcje nadal crm_only/ukryte</x:t>
        </x:is>
      </x:c>
      <x:c r="N304" s="593" t="n"/>
      <x:c r="O304" s="593" t="inlineStr">
        <x:is>
          <x:t xml:space="preserve">RAW_ZP T/U</x:t>
        </x:is>
      </x:c>
      <x:c r="P304" s="593" t="inlineStr">
        <x:is>
          <x:t xml:space="preserve">600 x 806 cm|LEDCCT</x:t>
        </x:is>
      </x:c>
    </x:row>
    <x:row r="305" s="655" customFormat="1" ht="29.5" customHeight="1">
      <x:c r="A305" s="592" t="n">
        <x:v>1255</x:v>
      </x:c>
      <x:c r="B305" s="593" t="inlineStr">
        <x:is>
          <x:t xml:space="preserve">600 x 806 cm</x:t>
        </x:is>
      </x:c>
      <x:c r="C305" s="592" t="n">
        <x:v>600</x:v>
      </x:c>
      <x:c r="D305" s="592" t="n">
        <x:v>806</x:v>
      </x:c>
      <x:c r="E305" s="593" t="inlineStr">
        <x:is>
          <x:t xml:space="preserve">LEDRGBCCT</x:t>
        </x:is>
      </x:c>
      <x:c r="F305" s="593" t="inlineStr">
        <x:is>
          <x:t xml:space="preserve">Oświetlenie LED RGB CCT</x:t>
        </x:is>
      </x:c>
      <x:c r="G305" s="594" t="n">
        <x:v>0</x:v>
      </x:c>
      <x:c r="H305" s="594" t="n">
        <x:v>0</x:v>
      </x:c>
      <x:c r="I305" s="594" t="n">
        <x:v>0</x:v>
      </x:c>
      <x:c r="J305" s="594" t="n">
        <x:v>0</x:v>
      </x:c>
      <x:c r="K305" s="595" t="n"/>
      <x:c r="L305" s="593" t="inlineStr">
        <x:is>
          <x:t xml:space="preserve">POZOSTAWIĆ 0 / UKRYTE</x:t>
        </x:is>
      </x:c>
      <x:c r="M305" s="593" t="inlineStr">
        <x:is>
          <x:t xml:space="preserve">Brak pełnego cennika dla 550/600; opcje nadal crm_only/ukryte</x:t>
        </x:is>
      </x:c>
      <x:c r="N305" s="593" t="n"/>
      <x:c r="O305" s="593" t="inlineStr">
        <x:is>
          <x:t xml:space="preserve">RAW_ZP V/W</x:t>
        </x:is>
      </x:c>
      <x:c r="P305" s="593" t="inlineStr">
        <x:is>
          <x:t xml:space="preserve">600 x 806 cm|LEDRGBCCT</x:t>
        </x:is>
      </x:c>
    </x:row>
    <x:row r="306" s="655" customFormat="1" ht="29.5" customHeight="1">
      <x:c r="A306" s="584" t="n">
        <x:v>1256</x:v>
      </x:c>
      <x:c r="B306" s="585" t="inlineStr">
        <x:is>
          <x:t xml:space="preserve">600 x 906 cm</x:t>
        </x:is>
      </x:c>
      <x:c r="C306" s="584" t="n">
        <x:v>600</x:v>
      </x:c>
      <x:c r="D306" s="584" t="n">
        <x:v>906</x:v>
      </x:c>
      <x:c r="E306" s="585" t="inlineStr">
        <x:is>
          <x:t xml:space="preserve">ZP</x:t>
        </x:is>
      </x:c>
      <x:c r="F306" s="585" t="inlineStr">
        <x:is>
          <x:t xml:space="preserve">Zadaszenie poliwęglan - baza</x:t>
        </x:is>
      </x:c>
      <x:c r="G306" s="586" t="n">
        <x:v>6060</x:v>
      </x:c>
      <x:c r="H306" s="586" t="n">
        <x:v>1980</x:v>
      </x:c>
      <x:c r="I306" s="586" t="n">
        <x:v>46573</x:v>
      </x:c>
      <x:c r="J306" s="586" t="n">
        <x:v>15582</x:v>
      </x:c>
      <x:c r="K306" s="587" t="n">
        <x:v>0.3613384968578253</x:v>
      </x:c>
      <x:c r="L306" s="585" t="inlineStr">
        <x:is>
          <x:t xml:space="preserve">UZUPEŁNIĆ</x:t>
        </x:is>
      </x:c>
      <x:c r="M306" s="585" t="inlineStr">
        <x:is>
          <x:t xml:space="preserve">K: model rentowności 450/500; L: przedłużenie Wynagr. ekipy 450→500</x:t>
        </x:is>
      </x:c>
      <x:c r="N306" s="585" t="inlineStr">
        <x:is>
          <x:t xml:space="preserve">Podstawowa konstrukcja z ceną dostawcy dla 550/600.</x:t>
        </x:is>
      </x:c>
      <x:c r="O306" s="585" t="inlineStr">
        <x:is>
          <x:t xml:space="preserve">RAW_ZP B/C</x:t>
        </x:is>
      </x:c>
      <x:c r="P306" s="585" t="inlineStr">
        <x:is>
          <x:t xml:space="preserve">600 x 906 cm|ZP</x:t>
        </x:is>
      </x:c>
    </x:row>
    <x:row r="307" s="655" customFormat="1" ht="29.5" customHeight="1">
      <x:c r="A307" s="588" t="n">
        <x:v>1257</x:v>
      </x:c>
      <x:c r="B307" s="589" t="inlineStr">
        <x:is>
          <x:t xml:space="preserve">600 x 906 cm</x:t>
        </x:is>
      </x:c>
      <x:c r="C307" s="588" t="n">
        <x:v>600</x:v>
      </x:c>
      <x:c r="D307" s="588" t="n">
        <x:v>906</x:v>
      </x:c>
      <x:c r="E307" s="589" t="inlineStr">
        <x:is>
          <x:t xml:space="preserve">ZS</x:t>
        </x:is>
      </x:c>
      <x:c r="F307" s="589" t="inlineStr">
        <x:is>
          <x:t xml:space="preserve">Zadaszenie szkło - pełna konstrukcja</x:t>
        </x:is>
      </x:c>
      <x:c r="G307" s="590" t="n">
        <x:v>6060</x:v>
      </x:c>
      <x:c r="H307" s="590" t="n">
        <x:v>2540</x:v>
      </x:c>
      <x:c r="I307" s="590" t="n"/>
      <x:c r="J307" s="590" t="n"/>
      <x:c r="K307" s="591" t="n"/>
      <x:c r="L307" s="589" t="inlineStr">
        <x:is>
          <x:t xml:space="preserve">NIE PUBLIKOWAĆ / BRAK RAW_ZS</x:t>
        </x:is>
      </x:c>
      <x:c r="M307" s="589" t="inlineStr">
        <x:is>
          <x:t xml:space="preserve">Informacyjnie: K jak ZP, L = pełny montaż zadaszenia szklanego z przedłużenia</x:t>
        </x:is>
      </x:c>
      <x:c r="N307" s="589" t="inlineStr">
        <x:is>
          <x:t xml:space="preserve">Brak ceny dostawcy dla ZS 550/600, więc nieaktywny do czasu cennika dostawcy.</x:t>
        </x:is>
      </x:c>
      <x:c r="O307" s="589" t="inlineStr">
        <x:is>
          <x:t xml:space="preserve">RAW_ZS B/C</x:t>
        </x:is>
      </x:c>
      <x:c r="P307" s="589" t="inlineStr">
        <x:is>
          <x:t xml:space="preserve">600 x 906 cm|ZS</x:t>
        </x:is>
      </x:c>
    </x:row>
    <x:row r="308" s="655" customFormat="1" ht="29.5" customHeight="1">
      <x:c r="A308" s="584" t="n">
        <x:v>1258</x:v>
      </x:c>
      <x:c r="B308" s="585" t="inlineStr">
        <x:is>
          <x:t xml:space="preserve">600 x 906 cm</x:t>
        </x:is>
      </x:c>
      <x:c r="C308" s="584" t="n">
        <x:v>600</x:v>
      </x:c>
      <x:c r="D308" s="584" t="n">
        <x:v>906</x:v>
      </x:c>
      <x:c r="E308" s="585" t="inlineStr">
        <x:is>
          <x:t xml:space="preserve">OP</x:t>
        </x:is>
      </x:c>
      <x:c r="F308" s="585" t="inlineStr">
        <x:is>
          <x:t xml:space="preserve">Ogród zimowy poliwęglan - baza</x:t>
        </x:is>
      </x:c>
      <x:c r="G308" s="586" t="n">
        <x:v>7320</x:v>
      </x:c>
      <x:c r="H308" s="586" t="n">
        <x:v>2790</x:v>
      </x:c>
      <x:c r="I308" s="586" t="n">
        <x:v>76529</x:v>
      </x:c>
      <x:c r="J308" s="586" t="n">
        <x:v>24249</x:v>
      </x:c>
      <x:c r="K308" s="587" t="n">
        <x:v>0.3422099915325995</x:v>
      </x:c>
      <x:c r="L308" s="585" t="inlineStr">
        <x:is>
          <x:t xml:space="preserve">UZUPEŁNIĆ</x:t>
        </x:is>
      </x:c>
      <x:c r="M308" s="585" t="inlineStr">
        <x:is>
          <x:t xml:space="preserve">K: model rentowności 450/500; L: przedłużenie Wynagr. ekipy 450→500</x:t>
        </x:is>
      </x:c>
      <x:c r="N308" s="585" t="inlineStr">
        <x:is>
          <x:t xml:space="preserve">Podstawowa konstrukcja z ceną dostawcy dla 550/600.</x:t>
        </x:is>
      </x:c>
      <x:c r="O308" s="585" t="inlineStr">
        <x:is>
          <x:t xml:space="preserve">RAW_OP B/C</x:t>
        </x:is>
      </x:c>
      <x:c r="P308" s="585" t="inlineStr">
        <x:is>
          <x:t xml:space="preserve">600 x 906 cm|OP</x:t>
        </x:is>
      </x:c>
    </x:row>
    <x:row r="309" s="655" customFormat="1" ht="29.5" customHeight="1">
      <x:c r="A309" s="588" t="n">
        <x:v>1259</x:v>
      </x:c>
      <x:c r="B309" s="589" t="inlineStr">
        <x:is>
          <x:t xml:space="preserve">600 x 906 cm</x:t>
        </x:is>
      </x:c>
      <x:c r="C309" s="588" t="n">
        <x:v>600</x:v>
      </x:c>
      <x:c r="D309" s="588" t="n">
        <x:v>906</x:v>
      </x:c>
      <x:c r="E309" s="589" t="inlineStr">
        <x:is>
          <x:t xml:space="preserve">OS</x:t>
        </x:is>
      </x:c>
      <x:c r="F309" s="589" t="inlineStr">
        <x:is>
          <x:t xml:space="preserve">Ogród zimowy szkło - pełna konstrukcja</x:t>
        </x:is>
      </x:c>
      <x:c r="G309" s="590" t="n">
        <x:v>7320</x:v>
      </x:c>
      <x:c r="H309" s="590" t="n">
        <x:v>3350</x:v>
      </x:c>
      <x:c r="I309" s="590" t="n"/>
      <x:c r="J309" s="590" t="n"/>
      <x:c r="K309" s="591" t="n"/>
      <x:c r="L309" s="589" t="inlineStr">
        <x:is>
          <x:t xml:space="preserve">NIE PUBLIKOWAĆ / BRAK RAW_OS</x:t>
        </x:is>
      </x:c>
      <x:c r="M309" s="589" t="inlineStr">
        <x:is>
          <x:t xml:space="preserve">Informacyjnie: K jak OP, L = pełny montaż ogrodu szklanego z przedłużenia</x:t>
        </x:is>
      </x:c>
      <x:c r="N309" s="589" t="inlineStr">
        <x:is>
          <x:t xml:space="preserve">Brak ceny dostawcy dla OS 550/600, więc nieaktywny do czasu cennika dostawcy.</x:t>
        </x:is>
      </x:c>
      <x:c r="O309" s="589" t="inlineStr">
        <x:is>
          <x:t xml:space="preserve">RAW_OS B/C</x:t>
        </x:is>
      </x:c>
      <x:c r="P309" s="589" t="inlineStr">
        <x:is>
          <x:t xml:space="preserve">600 x 906 cm|OS</x:t>
        </x:is>
      </x:c>
    </x:row>
    <x:row r="310" s="655" customFormat="1" ht="29.5" customHeight="1">
      <x:c r="A310" s="584" t="n">
        <x:v>1260</x:v>
      </x:c>
      <x:c r="B310" s="585" t="inlineStr">
        <x:is>
          <x:t xml:space="preserve">600 x 906 cm</x:t>
        </x:is>
      </x:c>
      <x:c r="C310" s="584" t="n">
        <x:v>600</x:v>
      </x:c>
      <x:c r="D310" s="584" t="n">
        <x:v>906</x:v>
      </x:c>
      <x:c r="E310" s="585" t="inlineStr">
        <x:is>
          <x:t xml:space="preserve">PDS</x:t>
        </x:is>
      </x:c>
      <x:c r="F310" s="585" t="inlineStr">
        <x:is>
          <x:t xml:space="preserve">Dopłata dach szkło przezroczyste</x:t>
        </x:is>
      </x:c>
      <x:c r="G310" s="586" t="n">
        <x:v>0</x:v>
      </x:c>
      <x:c r="H310" s="586" t="n">
        <x:v>560</x:v>
      </x:c>
      <x:c r="I310" s="586" t="n"/>
      <x:c r="J310" s="586" t="n"/>
      <x:c r="K310" s="587" t="n"/>
      <x:c r="L310" s="585" t="inlineStr">
        <x:is>
          <x:t xml:space="preserve">DO UŻYCIA DOPIERO GDY BĘDZIE CENA DACHU SZKŁO</x:t>
        </x:is>
      </x:c>
      <x:c r="M310" s="585" t="inlineStr">
        <x:is>
          <x:t xml:space="preserve">L = montaż zadaszenia szkło - montaż zadaszenia poliwęglan</x:t>
        </x:is>
      </x:c>
      <x:c r="N310" s="585" t="inlineStr">
        <x:is>
          <x:t xml:space="preserve">Potrzebne dla dopłaty dachu szklanego; obecnie brak ceny dostawcy PDS 550/600.</x:t>
        </x:is>
      </x:c>
      <x:c r="O310" s="585" t="inlineStr">
        <x:is>
          <x:t xml:space="preserve">RAW_ZS - RAW_ZP</x:t>
        </x:is>
      </x:c>
      <x:c r="P310" s="585" t="inlineStr">
        <x:is>
          <x:t xml:space="preserve">600 x 906 cm|PDS</x:t>
        </x:is>
      </x:c>
    </x:row>
    <x:row r="311" s="655" customFormat="1" ht="29.5" customHeight="1">
      <x:c r="A311" s="592" t="n">
        <x:v>1261</x:v>
      </x:c>
      <x:c r="B311" s="593" t="inlineStr">
        <x:is>
          <x:t xml:space="preserve">600 x 906 cm</x:t>
        </x:is>
      </x:c>
      <x:c r="C311" s="592" t="n">
        <x:v>600</x:v>
      </x:c>
      <x:c r="D311" s="592" t="n">
        <x:v>906</x:v>
      </x:c>
      <x:c r="E311" s="593" t="inlineStr">
        <x:is>
          <x:t xml:space="preserve">PDSB</x:t>
        </x:is>
      </x:c>
      <x:c r="F311" s="593" t="inlineStr">
        <x:is>
          <x:t xml:space="preserve">Dopłata dach szkło barwione/mleczne</x:t>
        </x:is>
      </x:c>
      <x:c r="G311" s="594" t="n">
        <x:v>0</x:v>
      </x:c>
      <x:c r="H311" s="594" t="n">
        <x:v>0</x:v>
      </x:c>
      <x:c r="I311" s="594" t="n"/>
      <x:c r="J311" s="594" t="n"/>
      <x:c r="K311" s="595" t="n"/>
      <x:c r="L311" s="593" t="inlineStr">
        <x:is>
          <x:t xml:space="preserve">POZOSTAWIĆ 0 / BRAK CENY PDSB</x:t>
        </x:is>
      </x:c>
      <x:c r="M311" s="593" t="inlineStr">
        <x:is>
          <x:t xml:space="preserve">Zgodnie z dotychczasową logiką: dopłata barwienia szkła nie ma osobnego wynagrodzenia</x:t>
        </x:is>
      </x:c>
      <x:c r="N311" s="593" t="inlineStr">
        <x:is>
          <x:t xml:space="preserve">Brak ceny dostawcy dla PDSB 550/600.</x:t>
        </x:is>
      </x:c>
      <x:c r="O311" s="593" t="inlineStr">
        <x:is>
          <x:t xml:space="preserve">RAW_ZS D/E</x:t>
        </x:is>
      </x:c>
      <x:c r="P311" s="593" t="inlineStr">
        <x:is>
          <x:t xml:space="preserve">600 x 906 cm|PDSB</x:t>
        </x:is>
      </x:c>
    </x:row>
    <x:row r="312" s="655" customFormat="1" ht="29.5" customHeight="1">
      <x:c r="A312" s="592" t="n">
        <x:v>1262</x:v>
      </x:c>
      <x:c r="B312" s="593" t="inlineStr">
        <x:is>
          <x:t xml:space="preserve">600 x 906 cm</x:t>
        </x:is>
      </x:c>
      <x:c r="C312" s="592" t="n">
        <x:v>600</x:v>
      </x:c>
      <x:c r="D312" s="592" t="n">
        <x:v>906</x:v>
      </x:c>
      <x:c r="E312" s="593" t="inlineStr">
        <x:is>
          <x:t xml:space="preserve">PDPB</x:t>
        </x:is>
      </x:c>
      <x:c r="F312" s="593" t="inlineStr">
        <x:is>
          <x:t xml:space="preserve">Dopłata poliwęglan barwiony</x:t>
        </x:is>
      </x:c>
      <x:c r="G312" s="594" t="n">
        <x:v>0</x:v>
      </x:c>
      <x:c r="H312" s="594" t="n">
        <x:v>0</x:v>
      </x:c>
      <x:c r="I312" s="594" t="n">
        <x:v>1197</x:v>
      </x:c>
      <x:c r="J312" s="594" t="n">
        <x:v>344</x:v>
      </x:c>
      <x:c r="K312" s="595" t="n">
        <x:v>0.3104693140794224</x:v>
      </x:c>
      <x:c r="L312" s="593" t="inlineStr">
        <x:is>
          <x:t xml:space="preserve">POZOSTAWIĆ 0</x:t>
        </x:is>
      </x:c>
      <x:c r="M312" s="593" t="inlineStr">
        <x:is>
          <x:t xml:space="preserve">Zgodnie z Cennik usług: poliwęglan barwiony nie miał osobnej pracy ekipy</x:t>
        </x:is>
      </x:c>
      <x:c r="N312" s="593" t="inlineStr">
        <x:is>
          <x:t xml:space="preserve">Ma cenę dostawcy; montaż/wynagrodzenie zostaje 0.</x:t>
        </x:is>
      </x:c>
      <x:c r="O312" s="593" t="inlineStr">
        <x:is>
          <x:t xml:space="preserve">RAW_ZP D/E</x:t>
        </x:is>
      </x:c>
      <x:c r="P312" s="593" t="inlineStr">
        <x:is>
          <x:t xml:space="preserve">600 x 906 cm|PDPB</x:t>
        </x:is>
      </x:c>
    </x:row>
    <x:row r="313" s="655" customFormat="1" ht="29.5" customHeight="1">
      <x:c r="A313" s="592" t="n">
        <x:v>1263</x:v>
      </x:c>
      <x:c r="B313" s="593" t="inlineStr">
        <x:is>
          <x:t xml:space="preserve">600 x 906 cm</x:t>
        </x:is>
      </x:c>
      <x:c r="C313" s="592" t="n">
        <x:v>600</x:v>
      </x:c>
      <x:c r="D313" s="592" t="n">
        <x:v>906</x:v>
      </x:c>
      <x:c r="E313" s="593" t="inlineStr">
        <x:is>
          <x:t xml:space="preserve">SBB</x:t>
        </x:is>
      </x:c>
      <x:c r="F313" s="593" t="inlineStr">
        <x:is>
          <x:t xml:space="preserve">Dopłata szkło boczne przyciemniane</x:t>
        </x:is>
      </x:c>
      <x:c r="G313" s="594" t="n">
        <x:v>0</x:v>
      </x:c>
      <x:c r="H313" s="594" t="n">
        <x:v>0</x:v>
      </x:c>
      <x:c r="I313" s="594" t="n">
        <x:v>3209</x:v>
      </x:c>
      <x:c r="J313" s="594" t="n">
        <x:v>922</x:v>
      </x:c>
      <x:c r="K313" s="595" t="n">
        <x:v>0.3103332211376641</x:v>
      </x:c>
      <x:c r="L313" s="593" t="inlineStr">
        <x:is>
          <x:t xml:space="preserve">POZOSTAWIĆ 0</x:t>
        </x:is>
      </x:c>
      <x:c r="M313" s="593" t="inlineStr">
        <x:is>
          <x:t xml:space="preserve">Zgodnie z Cennik usług: szyby boczne barwione nie miały osobnej pracy ekipy</x:t>
        </x:is>
      </x:c>
      <x:c r="N313" s="593" t="inlineStr">
        <x:is>
          <x:t xml:space="preserve">Ma cenę dostawcy; montaż/wynagrodzenie zostaje 0.</x:t>
        </x:is>
      </x:c>
      <x:c r="O313" s="593" t="inlineStr">
        <x:is>
          <x:t xml:space="preserve">RAW_OP H/I</x:t>
        </x:is>
      </x:c>
      <x:c r="P313" s="593" t="inlineStr">
        <x:is>
          <x:t xml:space="preserve">600 x 906 cm|SBB</x:t>
        </x:is>
      </x:c>
    </x:row>
    <x:row r="314" s="655" customFormat="1" ht="29.5" customHeight="1">
      <x:c r="A314" s="584" t="n">
        <x:v>1264</x:v>
      </x:c>
      <x:c r="B314" s="585" t="inlineStr">
        <x:is>
          <x:t xml:space="preserve">600 x 906 cm</x:t>
        </x:is>
      </x:c>
      <x:c r="C314" s="584" t="n">
        <x:v>600</x:v>
      </x:c>
      <x:c r="D314" s="584" t="n">
        <x:v>906</x:v>
      </x:c>
      <x:c r="E314" s="585" t="inlineStr">
        <x:is>
          <x:t xml:space="preserve">RB</x:t>
        </x:is>
      </x:c>
      <x:c r="F314" s="585" t="inlineStr">
        <x:is>
          <x:t xml:space="preserve">Roleta boczna ZIP</x:t>
        </x:is>
      </x:c>
      <x:c r="G314" s="586" t="n">
        <x:v>0</x:v>
      </x:c>
      <x:c r="H314" s="586" t="n">
        <x:v>150</x:v>
      </x:c>
      <x:c r="I314" s="586" t="n">
        <x:v>5437</x:v>
      </x:c>
      <x:c r="J314" s="586" t="n">
        <x:v>1412</x:v>
      </x:c>
      <x:c r="K314" s="587" t="n">
        <x:v>0.2804926499801351</x:v>
      </x:c>
      <x:c r="L314" s="585" t="inlineStr">
        <x:is>
          <x:t xml:space="preserve">UZUPEŁNIĆ L</x:t>
        </x:is>
      </x:c>
      <x:c r="M314" s="585" t="inlineStr">
        <x:is>
          <x:t xml:space="preserve">L = przedłużona kolumna Montaż rolety bocznej</x:t>
        </x:is>
      </x:c>
      <x:c r="N314" s="585" t="inlineStr">
        <x:is>
          <x:t xml:space="preserve">K zostaje 0; rentowność po L pozostaje podobna do mniejszych wymiarów.</x:t>
        </x:is>
      </x:c>
      <x:c r="O314" s="585" t="inlineStr">
        <x:is>
          <x:t xml:space="preserve">RAW_ZP J/K</x:t>
        </x:is>
      </x:c>
      <x:c r="P314" s="585" t="inlineStr">
        <x:is>
          <x:t xml:space="preserve">600 x 906 cm|RB</x:t>
        </x:is>
      </x:c>
    </x:row>
    <x:row r="315" s="655" customFormat="1" ht="29.5" customHeight="1">
      <x:c r="A315" s="584" t="n">
        <x:v>1265</x:v>
      </x:c>
      <x:c r="B315" s="585" t="inlineStr">
        <x:is>
          <x:t xml:space="preserve">600 x 906 cm</x:t>
        </x:is>
      </x:c>
      <x:c r="C315" s="584" t="n">
        <x:v>600</x:v>
      </x:c>
      <x:c r="D315" s="584" t="n">
        <x:v>906</x:v>
      </x:c>
      <x:c r="E315" s="585" t="inlineStr">
        <x:is>
          <x:t xml:space="preserve">RP</x:t>
        </x:is>
      </x:c>
      <x:c r="F315" s="585" t="inlineStr">
        <x:is>
          <x:t xml:space="preserve">Roleta przednia ZIP</x:t>
        </x:is>
      </x:c>
      <x:c r="G315" s="586" t="n">
        <x:v>0</x:v>
      </x:c>
      <x:c r="H315" s="586" t="n">
        <x:v>450</x:v>
      </x:c>
      <x:c r="I315" s="586" t="n">
        <x:v>8148</x:v>
      </x:c>
      <x:c r="J315" s="586" t="n">
        <x:v>1891</x:v>
      </x:c>
      <x:c r="K315" s="587" t="n">
        <x:v>0.2506627783669141</x:v>
      </x:c>
      <x:c r="L315" s="585" t="inlineStr">
        <x:is>
          <x:t xml:space="preserve">UZUPEŁNIĆ L</x:t>
        </x:is>
      </x:c>
      <x:c r="M315" s="585" t="inlineStr">
        <x:is>
          <x:t xml:space="preserve">L = przedłużona kolumna Montaż rolety przedniej</x:t>
        </x:is>
      </x:c>
      <x:c r="N315" s="585" t="inlineStr">
        <x:is>
          <x:t xml:space="preserve">K zostaje 0; rentowność po L pozostaje podobna do mniejszych wymiarów.</x:t>
        </x:is>
      </x:c>
      <x:c r="O315" s="585" t="inlineStr">
        <x:is>
          <x:t xml:space="preserve">RAW_ZP N/O</x:t>
        </x:is>
      </x:c>
      <x:c r="P315" s="585" t="inlineStr">
        <x:is>
          <x:t xml:space="preserve">600 x 906 cm|RP</x:t>
        </x:is>
      </x:c>
    </x:row>
    <x:row r="316" s="655" customFormat="1" ht="29.5" customHeight="1">
      <x:c r="A316" s="584" t="n">
        <x:v>1266</x:v>
      </x:c>
      <x:c r="B316" s="585" t="inlineStr">
        <x:is>
          <x:t xml:space="preserve">600 x 906 cm</x:t>
        </x:is>
      </x:c>
      <x:c r="C316" s="584" t="n">
        <x:v>600</x:v>
      </x:c>
      <x:c r="D316" s="584" t="n">
        <x:v>906</x:v>
      </x:c>
      <x:c r="E316" s="585" t="inlineStr">
        <x:is>
          <x:t xml:space="preserve">M</x:t>
        </x:is>
      </x:c>
      <x:c r="F316" s="585" t="inlineStr">
        <x:is>
          <x:t xml:space="preserve">Markiza dachowa</x:t>
        </x:is>
      </x:c>
      <x:c r="G316" s="586" t="n">
        <x:v>0</x:v>
      </x:c>
      <x:c r="H316" s="586" t="n">
        <x:v>550</x:v>
      </x:c>
      <x:c r="I316" s="586" t="n">
        <x:v>13165</x:v>
      </x:c>
      <x:c r="J316" s="586" t="n">
        <x:v>3233</x:v>
      </x:c>
      <x:c r="K316" s="587" t="n">
        <x:v>0.2652173913043478</x:v>
      </x:c>
      <x:c r="L316" s="585" t="inlineStr">
        <x:is>
          <x:t xml:space="preserve">UZUPEŁNIĆ L</x:t>
        </x:is>
      </x:c>
      <x:c r="M316" s="585" t="inlineStr">
        <x:is>
          <x:t xml:space="preserve">L = przedłużona kolumna Montaż markizy na dach</x:t>
        </x:is>
      </x:c>
      <x:c r="N316" s="585" t="inlineStr">
        <x:is>
          <x:t xml:space="preserve">K zostaje 0; rentowność po L pozostaje podobna do mniejszych wymiarów.</x:t>
        </x:is>
      </x:c>
      <x:c r="O316" s="585" t="inlineStr">
        <x:is>
          <x:t xml:space="preserve">RAW_ZP H/I</x:t>
        </x:is>
      </x:c>
      <x:c r="P316" s="585" t="inlineStr">
        <x:is>
          <x:t xml:space="preserve">600 x 906 cm|M</x:t>
        </x:is>
      </x:c>
    </x:row>
    <x:row r="317" s="655" customFormat="1" ht="29.5" customHeight="1">
      <x:c r="A317" s="584" t="n">
        <x:v>1267</x:v>
      </x:c>
      <x:c r="B317" s="585" t="inlineStr">
        <x:is>
          <x:t xml:space="preserve">600 x 906 cm</x:t>
        </x:is>
      </x:c>
      <x:c r="C317" s="584" t="n">
        <x:v>600</x:v>
      </x:c>
      <x:c r="D317" s="584" t="n">
        <x:v>906</x:v>
      </x:c>
      <x:c r="E317" s="585" t="inlineStr">
        <x:is>
          <x:t xml:space="preserve">PDWP</x:t>
        </x:is>
      </x:c>
      <x:c r="F317" s="585" t="inlineStr">
        <x:is>
          <x:t xml:space="preserve">Fundament/profile</x:t>
        </x:is>
      </x:c>
      <x:c r="G317" s="586" t="n">
        <x:v>650</x:v>
      </x:c>
      <x:c r="H317" s="586" t="n">
        <x:v>610</x:v>
      </x:c>
      <x:c r="I317" s="586" t="n">
        <x:v>2930</x:v>
      </x:c>
      <x:c r="J317" s="586" t="n">
        <x:v>680</x:v>
      </x:c>
      <x:c r="K317" s="587" t="n">
        <x:v>0.2506450423884998</x:v>
      </x:c>
      <x:c r="L317" s="585" t="inlineStr">
        <x:is>
          <x:t xml:space="preserve">UZUPEŁNIĆ K+L / KOREKTA RENTOWNOŚCI</x:t>
        </x:is>
      </x:c>
      <x:c r="M317" s="585" t="inlineStr">
        <x:is>
          <x:t xml:space="preserve">L = Wyrównanie podłoża; K = dopłata montażowa wyliczona do min. 25% rentowności</x:t>
        </x:is>
      </x:c>
      <x:c r="N317" s="585" t="inlineStr">
        <x:is>
          <x:t xml:space="preserve">Bez K ten dodatek ma ujemną rentowność. To jest korekta biznesowa, nie tylko przedłużenie EG.</x:t>
        </x:is>
      </x:c>
      <x:c r="O317" s="585" t="inlineStr">
        <x:is>
          <x:t xml:space="preserve">RAW_OP AB/AC</x:t>
        </x:is>
      </x:c>
      <x:c r="P317" s="585" t="inlineStr">
        <x:is>
          <x:t xml:space="preserve">600 x 906 cm|PDWP</x:t>
        </x:is>
      </x:c>
    </x:row>
    <x:row r="318" s="655" customFormat="1" ht="29.5" customHeight="1">
      <x:c r="A318" s="592" t="n">
        <x:v>1268</x:v>
      </x:c>
      <x:c r="B318" s="593" t="inlineStr">
        <x:is>
          <x:t xml:space="preserve">600 x 906 cm</x:t>
        </x:is>
      </x:c>
      <x:c r="C318" s="592" t="n">
        <x:v>600</x:v>
      </x:c>
      <x:c r="D318" s="592" t="n">
        <x:v>906</x:v>
      </x:c>
      <x:c r="E318" s="593" t="inlineStr">
        <x:is>
          <x:t xml:space="preserve">ZAB</x:t>
        </x:is>
      </x:c>
      <x:c r="F318" s="593" t="inlineStr">
        <x:is>
          <x:t xml:space="preserve">Zabieraki do ścian przesuwnych</x:t>
        </x:is>
      </x:c>
      <x:c r="G318" s="594" t="n">
        <x:v>0</x:v>
      </x:c>
      <x:c r="H318" s="594" t="n">
        <x:v>0</x:v>
      </x:c>
      <x:c r="I318" s="594" t="n">
        <x:v>814</x:v>
      </x:c>
      <x:c r="J318" s="594" t="n">
        <x:v>234</x:v>
      </x:c>
      <x:c r="K318" s="595" t="n">
        <x:v>0.3103448275862069</x:v>
      </x:c>
      <x:c r="L318" s="593" t="inlineStr">
        <x:is>
          <x:t xml:space="preserve">POZOSTAWIĆ 0</x:t>
        </x:is>
      </x:c>
      <x:c r="M318" s="593" t="inlineStr">
        <x:is>
          <x:t xml:space="preserve">Brak osobnej kolumny wynagrodzenia w Cennik usług; traktować jako element dodatkowy bez osobnej pracy</x:t>
        </x:is>
      </x:c>
      <x:c r="N318" s="593" t="n"/>
      <x:c r="O318" s="593" t="inlineStr">
        <x:is>
          <x:t xml:space="preserve">RAW_OP AD/AE</x:t>
        </x:is>
      </x:c>
      <x:c r="P318" s="593" t="inlineStr">
        <x:is>
          <x:t xml:space="preserve">600 x 906 cm|ZAB</x:t>
        </x:is>
      </x:c>
    </x:row>
    <x:row r="319" s="655" customFormat="1" ht="29.5" customHeight="1">
      <x:c r="A319" s="592" t="n">
        <x:v>1269</x:v>
      </x:c>
      <x:c r="B319" s="593" t="inlineStr">
        <x:is>
          <x:t xml:space="preserve">600 x 906 cm</x:t>
        </x:is>
      </x:c>
      <x:c r="C319" s="592" t="n">
        <x:v>600</x:v>
      </x:c>
      <x:c r="D319" s="592" t="n">
        <x:v>906</x:v>
      </x:c>
      <x:c r="E319" s="593" t="inlineStr">
        <x:is>
          <x:t xml:space="preserve">S</x:t>
        </x:is>
      </x:c>
      <x:c r="F319" s="593" t="inlineStr">
        <x:is>
          <x:t xml:space="preserve">Szczotki przeciwkurzowe</x:t>
        </x:is>
      </x:c>
      <x:c r="G319" s="594" t="n">
        <x:v>0</x:v>
      </x:c>
      <x:c r="H319" s="594" t="n">
        <x:v>0</x:v>
      </x:c>
      <x:c r="I319" s="594" t="n">
        <x:v>916</x:v>
      </x:c>
      <x:c r="J319" s="594" t="n">
        <x:v>263</x:v>
      </x:c>
      <x:c r="K319" s="595" t="n">
        <x:v>0.3101415094339622</x:v>
      </x:c>
      <x:c r="L319" s="593" t="inlineStr">
        <x:is>
          <x:t xml:space="preserve">POZOSTAWIĆ 0</x:t>
        </x:is>
      </x:c>
      <x:c r="M319" s="593" t="inlineStr">
        <x:is>
          <x:t xml:space="preserve">Zgodnie z Cennik usług: szczotki przeciwkurzowe bez osobnego wynagrodzenia</x:t>
        </x:is>
      </x:c>
      <x:c r="N319" s="593" t="n"/>
      <x:c r="O319" s="593" t="inlineStr">
        <x:is>
          <x:t xml:space="preserve">RAW_OP L/M</x:t>
        </x:is>
      </x:c>
      <x:c r="P319" s="593" t="inlineStr">
        <x:is>
          <x:t xml:space="preserve">600 x 906 cm|S</x:t>
        </x:is>
      </x:c>
    </x:row>
    <x:row r="320" s="655" customFormat="1" ht="29.5" customHeight="1">
      <x:c r="A320" s="592" t="n">
        <x:v>1270</x:v>
      </x:c>
      <x:c r="B320" s="593" t="inlineStr">
        <x:is>
          <x:t xml:space="preserve">600 x 906 cm</x:t>
        </x:is>
      </x:c>
      <x:c r="C320" s="592" t="n">
        <x:v>600</x:v>
      </x:c>
      <x:c r="D320" s="592" t="n">
        <x:v>906</x:v>
      </x:c>
      <x:c r="E320" s="593" t="inlineStr">
        <x:is>
          <x:t xml:space="preserve">U</x:t>
        </x:is>
      </x:c>
      <x:c r="F320" s="593" t="inlineStr">
        <x:is>
          <x:t xml:space="preserve">Uchwyty na szkło ścienne</x:t>
        </x:is>
      </x:c>
      <x:c r="G320" s="594" t="n">
        <x:v>0</x:v>
      </x:c>
      <x:c r="H320" s="594" t="n">
        <x:v>0</x:v>
      </x:c>
      <x:c r="I320" s="594" t="n">
        <x:v>841</x:v>
      </x:c>
      <x:c r="J320" s="594" t="n">
        <x:v>242</x:v>
      </x:c>
      <x:c r="K320" s="595" t="n">
        <x:v>0.3106546854942234</x:v>
      </x:c>
      <x:c r="L320" s="593" t="inlineStr">
        <x:is>
          <x:t xml:space="preserve">POZOSTAWIĆ 0</x:t>
        </x:is>
      </x:c>
      <x:c r="M320" s="593" t="inlineStr">
        <x:is>
          <x:t xml:space="preserve">Zgodnie z Cennik usług: uchwyty bez osobnego wynagrodzenia</x:t>
        </x:is>
      </x:c>
      <x:c r="N320" s="593" t="n"/>
      <x:c r="O320" s="593" t="inlineStr">
        <x:is>
          <x:t xml:space="preserve">RAW_OP N/O</x:t>
        </x:is>
      </x:c>
      <x:c r="P320" s="593" t="inlineStr">
        <x:is>
          <x:t xml:space="preserve">600 x 906 cm|U</x:t>
        </x:is>
      </x:c>
    </x:row>
    <x:row r="321" s="655" customFormat="1" ht="29.5" customHeight="1">
      <x:c r="A321" s="592" t="n">
        <x:v>1271</x:v>
      </x:c>
      <x:c r="B321" s="593" t="inlineStr">
        <x:is>
          <x:t xml:space="preserve">600 x 906 cm</x:t>
        </x:is>
      </x:c>
      <x:c r="C321" s="592" t="n">
        <x:v>600</x:v>
      </x:c>
      <x:c r="D321" s="592" t="n">
        <x:v>906</x:v>
      </x:c>
      <x:c r="E321" s="593" t="inlineStr">
        <x:is>
          <x:t xml:space="preserve">LED2</x:t>
        </x:is>
      </x:c>
      <x:c r="F321" s="593" t="inlineStr">
        <x:is>
          <x:t xml:space="preserve">Oświetlenie LED 2 punkty</x:t>
        </x:is>
      </x:c>
      <x:c r="G321" s="594" t="n">
        <x:v>0</x:v>
      </x:c>
      <x:c r="H321" s="594" t="n">
        <x:v>0</x:v>
      </x:c>
      <x:c r="I321" s="594" t="n">
        <x:v>1325</x:v>
      </x:c>
      <x:c r="J321" s="594" t="n">
        <x:v>381</x:v>
      </x:c>
      <x:c r="K321" s="595" t="n">
        <x:v>0.3105134474327628</x:v>
      </x:c>
      <x:c r="L321" s="593" t="inlineStr">
        <x:is>
          <x:t xml:space="preserve">POZOSTAWIĆ 0 NA RAZIE</x:t>
        </x:is>
      </x:c>
      <x:c r="M321" s="593" t="inlineStr">
        <x:is>
          <x:t xml:space="preserve">Cennik usług miał LED bez osobnego wynagrodzenia; kolumna LED z Wynagr. ekipy jest tylko informacyjna</x:t>
        </x:is>
      </x:c>
      <x:c r="N321" s="593" t="inlineStr">
        <x:is>
          <x:t xml:space="preserve">Informacyjnie wg Wynagr. ekipy LED na krokiew: 550 zł.</x:t>
        </x:is>
      </x:c>
      <x:c r="O321" s="593" t="inlineStr">
        <x:is>
          <x:t xml:space="preserve">RAW_ZP P/Q</x:t>
        </x:is>
      </x:c>
      <x:c r="P321" s="593" t="inlineStr">
        <x:is>
          <x:t xml:space="preserve">600 x 906 cm|LED2</x:t>
        </x:is>
      </x:c>
    </x:row>
    <x:row r="322" s="655" customFormat="1" ht="29.5" customHeight="1">
      <x:c r="A322" s="592" t="n">
        <x:v>1272</x:v>
      </x:c>
      <x:c r="B322" s="593" t="inlineStr">
        <x:is>
          <x:t xml:space="preserve">600 x 906 cm</x:t>
        </x:is>
      </x:c>
      <x:c r="C322" s="592" t="n">
        <x:v>600</x:v>
      </x:c>
      <x:c r="D322" s="592" t="n">
        <x:v>906</x:v>
      </x:c>
      <x:c r="E322" s="593" t="inlineStr">
        <x:is>
          <x:t xml:space="preserve">LED3</x:t>
        </x:is>
      </x:c>
      <x:c r="F322" s="593" t="inlineStr">
        <x:is>
          <x:t xml:space="preserve">Oświetlenie LED 3 punkty</x:t>
        </x:is>
      </x:c>
      <x:c r="G322" s="594" t="n">
        <x:v>0</x:v>
      </x:c>
      <x:c r="H322" s="594" t="n">
        <x:v>0</x:v>
      </x:c>
      <x:c r="I322" s="594" t="n">
        <x:v>1986</x:v>
      </x:c>
      <x:c r="J322" s="594" t="n">
        <x:v>571</x:v>
      </x:c>
      <x:c r="K322" s="595" t="n">
        <x:v>0.310494834148994</x:v>
      </x:c>
      <x:c r="L322" s="593" t="inlineStr">
        <x:is>
          <x:t xml:space="preserve">POZOSTAWIĆ 0 NA RAZIE</x:t>
        </x:is>
      </x:c>
      <x:c r="M322" s="593" t="inlineStr">
        <x:is>
          <x:t xml:space="preserve">Cennik usług miał LED bez osobnego wynagrodzenia; kolumna LED z Wynagr. ekipy jest tylko informacyjna</x:t>
        </x:is>
      </x:c>
      <x:c r="N322" s="593" t="inlineStr">
        <x:is>
          <x:t xml:space="preserve">Informacyjnie wg Wynagr. ekipy LED na krokiew: 550 zł.</x:t>
        </x:is>
      </x:c>
      <x:c r="O322" s="593" t="inlineStr">
        <x:is>
          <x:t xml:space="preserve">RAW_ZP R/S</x:t>
        </x:is>
      </x:c>
      <x:c r="P322" s="593" t="inlineStr">
        <x:is>
          <x:t xml:space="preserve">600 x 906 cm|LED3</x:t>
        </x:is>
      </x:c>
    </x:row>
    <x:row r="323" s="655" customFormat="1" ht="29.5" customHeight="1">
      <x:c r="A323" s="592" t="n">
        <x:v>1273</x:v>
      </x:c>
      <x:c r="B323" s="593" t="inlineStr">
        <x:is>
          <x:t xml:space="preserve">600 x 906 cm</x:t>
        </x:is>
      </x:c>
      <x:c r="C323" s="592" t="n">
        <x:v>600</x:v>
      </x:c>
      <x:c r="D323" s="592" t="n">
        <x:v>906</x:v>
      </x:c>
      <x:c r="E323" s="593" t="inlineStr">
        <x:is>
          <x:t xml:space="preserve">LEDCCT</x:t>
        </x:is>
      </x:c>
      <x:c r="F323" s="593" t="inlineStr">
        <x:is>
          <x:t xml:space="preserve">Oświetlenie LED CCT</x:t>
        </x:is>
      </x:c>
      <x:c r="G323" s="594" t="n">
        <x:v>0</x:v>
      </x:c>
      <x:c r="H323" s="594" t="n">
        <x:v>0</x:v>
      </x:c>
      <x:c r="I323" s="594" t="n">
        <x:v>0</x:v>
      </x:c>
      <x:c r="J323" s="594" t="n">
        <x:v>0</x:v>
      </x:c>
      <x:c r="K323" s="595" t="n"/>
      <x:c r="L323" s="593" t="inlineStr">
        <x:is>
          <x:t xml:space="preserve">POZOSTAWIĆ 0 / UKRYTE</x:t>
        </x:is>
      </x:c>
      <x:c r="M323" s="593" t="inlineStr">
        <x:is>
          <x:t xml:space="preserve">Brak pełnego cennika dla 550/600; opcje nadal crm_only/ukryte</x:t>
        </x:is>
      </x:c>
      <x:c r="N323" s="593" t="n"/>
      <x:c r="O323" s="593" t="inlineStr">
        <x:is>
          <x:t xml:space="preserve">RAW_ZP T/U</x:t>
        </x:is>
      </x:c>
      <x:c r="P323" s="593" t="inlineStr">
        <x:is>
          <x:t xml:space="preserve">600 x 906 cm|LEDCCT</x:t>
        </x:is>
      </x:c>
    </x:row>
    <x:row r="324" s="655" customFormat="1" ht="29.5" customHeight="1">
      <x:c r="A324" s="592" t="n">
        <x:v>1274</x:v>
      </x:c>
      <x:c r="B324" s="593" t="inlineStr">
        <x:is>
          <x:t xml:space="preserve">600 x 906 cm</x:t>
        </x:is>
      </x:c>
      <x:c r="C324" s="592" t="n">
        <x:v>600</x:v>
      </x:c>
      <x:c r="D324" s="592" t="n">
        <x:v>906</x:v>
      </x:c>
      <x:c r="E324" s="593" t="inlineStr">
        <x:is>
          <x:t xml:space="preserve">LEDRGBCCT</x:t>
        </x:is>
      </x:c>
      <x:c r="F324" s="593" t="inlineStr">
        <x:is>
          <x:t xml:space="preserve">Oświetlenie LED RGB CCT</x:t>
        </x:is>
      </x:c>
      <x:c r="G324" s="594" t="n">
        <x:v>0</x:v>
      </x:c>
      <x:c r="H324" s="594" t="n">
        <x:v>0</x:v>
      </x:c>
      <x:c r="I324" s="594" t="n">
        <x:v>0</x:v>
      </x:c>
      <x:c r="J324" s="594" t="n">
        <x:v>0</x:v>
      </x:c>
      <x:c r="K324" s="595" t="n"/>
      <x:c r="L324" s="593" t="inlineStr">
        <x:is>
          <x:t xml:space="preserve">POZOSTAWIĆ 0 / UKRYTE</x:t>
        </x:is>
      </x:c>
      <x:c r="M324" s="593" t="inlineStr">
        <x:is>
          <x:t xml:space="preserve">Brak pełnego cennika dla 550/600; opcje nadal crm_only/ukryte</x:t>
        </x:is>
      </x:c>
      <x:c r="N324" s="593" t="n"/>
      <x:c r="O324" s="593" t="inlineStr">
        <x:is>
          <x:t xml:space="preserve">RAW_ZP V/W</x:t>
        </x:is>
      </x:c>
      <x:c r="P324" s="593" t="inlineStr">
        <x:is>
          <x:t xml:space="preserve">600 x 906 cm|LEDRGBCCT</x:t>
        </x:is>
      </x:c>
    </x:row>
    <x:row r="325" s="655" customFormat="1" ht="29.5" customHeight="1">
      <x:c r="A325" s="584" t="n">
        <x:v>1275</x:v>
      </x:c>
      <x:c r="B325" s="585" t="inlineStr">
        <x:is>
          <x:t xml:space="preserve">600 x 1006 cm</x:t>
        </x:is>
      </x:c>
      <x:c r="C325" s="584" t="n">
        <x:v>600</x:v>
      </x:c>
      <x:c r="D325" s="584" t="n">
        <x:v>1006</x:v>
      </x:c>
      <x:c r="E325" s="585" t="inlineStr">
        <x:is>
          <x:t xml:space="preserve">ZP</x:t>
        </x:is>
      </x:c>
      <x:c r="F325" s="585" t="inlineStr">
        <x:is>
          <x:t xml:space="preserve">Zadaszenie poliwęglan - baza</x:t>
        </x:is>
      </x:c>
      <x:c r="G325" s="586" t="n">
        <x:v>6400</x:v>
      </x:c>
      <x:c r="H325" s="586" t="n">
        <x:v>2110</x:v>
      </x:c>
      <x:c r="I325" s="586" t="n">
        <x:v>51090</x:v>
      </x:c>
      <x:c r="J325" s="586" t="n">
        <x:v>16985</x:v>
      </x:c>
      <x:c r="K325" s="587" t="n">
        <x:v>0.3590453642244113</x:v>
      </x:c>
      <x:c r="L325" s="585" t="inlineStr">
        <x:is>
          <x:t xml:space="preserve">UZUPEŁNIĆ</x:t>
        </x:is>
      </x:c>
      <x:c r="M325" s="585" t="inlineStr">
        <x:is>
          <x:t xml:space="preserve">K: model rentowności 450/500; L: przedłużenie Wynagr. ekipy 450→500</x:t>
        </x:is>
      </x:c>
      <x:c r="N325" s="585" t="inlineStr">
        <x:is>
          <x:t xml:space="preserve">Podstawowa konstrukcja z ceną dostawcy dla 550/600.</x:t>
        </x:is>
      </x:c>
      <x:c r="O325" s="585" t="inlineStr">
        <x:is>
          <x:t xml:space="preserve">RAW_ZP B/C</x:t>
        </x:is>
      </x:c>
      <x:c r="P325" s="585" t="inlineStr">
        <x:is>
          <x:t xml:space="preserve">600 x 1006 cm|ZP</x:t>
        </x:is>
      </x:c>
    </x:row>
    <x:row r="326" s="655" customFormat="1" ht="29.5" customHeight="1">
      <x:c r="A326" s="588" t="n">
        <x:v>1276</x:v>
      </x:c>
      <x:c r="B326" s="589" t="inlineStr">
        <x:is>
          <x:t xml:space="preserve">600 x 1006 cm</x:t>
        </x:is>
      </x:c>
      <x:c r="C326" s="588" t="n">
        <x:v>600</x:v>
      </x:c>
      <x:c r="D326" s="588" t="n">
        <x:v>1006</x:v>
      </x:c>
      <x:c r="E326" s="589" t="inlineStr">
        <x:is>
          <x:t xml:space="preserve">ZS</x:t>
        </x:is>
      </x:c>
      <x:c r="F326" s="589" t="inlineStr">
        <x:is>
          <x:t xml:space="preserve">Zadaszenie szkło - pełna konstrukcja</x:t>
        </x:is>
      </x:c>
      <x:c r="G326" s="590" t="n">
        <x:v>6400</x:v>
      </x:c>
      <x:c r="H326" s="590" t="n">
        <x:v>2710</x:v>
      </x:c>
      <x:c r="I326" s="590" t="n"/>
      <x:c r="J326" s="590" t="n"/>
      <x:c r="K326" s="591" t="n"/>
      <x:c r="L326" s="589" t="inlineStr">
        <x:is>
          <x:t xml:space="preserve">NIE PUBLIKOWAĆ / BRAK RAW_ZS</x:t>
        </x:is>
      </x:c>
      <x:c r="M326" s="589" t="inlineStr">
        <x:is>
          <x:t xml:space="preserve">Informacyjnie: K jak ZP, L = pełny montaż zadaszenia szklanego z przedłużenia</x:t>
        </x:is>
      </x:c>
      <x:c r="N326" s="589" t="inlineStr">
        <x:is>
          <x:t xml:space="preserve">Brak ceny dostawcy dla ZS 550/600, więc nieaktywny do czasu cennika dostawcy.</x:t>
        </x:is>
      </x:c>
      <x:c r="O326" s="589" t="inlineStr">
        <x:is>
          <x:t xml:space="preserve">RAW_ZS B/C</x:t>
        </x:is>
      </x:c>
      <x:c r="P326" s="589" t="inlineStr">
        <x:is>
          <x:t xml:space="preserve">600 x 1006 cm|ZS</x:t>
        </x:is>
      </x:c>
    </x:row>
    <x:row r="327" s="655" customFormat="1" ht="29.5" customHeight="1">
      <x:c r="A327" s="584" t="n">
        <x:v>1277</x:v>
      </x:c>
      <x:c r="B327" s="585" t="inlineStr">
        <x:is>
          <x:t xml:space="preserve">600 x 1006 cm</x:t>
        </x:is>
      </x:c>
      <x:c r="C327" s="584" t="n">
        <x:v>600</x:v>
      </x:c>
      <x:c r="D327" s="584" t="n">
        <x:v>1006</x:v>
      </x:c>
      <x:c r="E327" s="585" t="inlineStr">
        <x:is>
          <x:t xml:space="preserve">OP</x:t>
        </x:is>
      </x:c>
      <x:c r="F327" s="585" t="inlineStr">
        <x:is>
          <x:t xml:space="preserve">Ogród zimowy poliwęglan - baza</x:t>
        </x:is>
      </x:c>
      <x:c r="G327" s="586" t="n">
        <x:v>7720</x:v>
      </x:c>
      <x:c r="H327" s="586" t="n">
        <x:v>2970</x:v>
      </x:c>
      <x:c r="I327" s="586" t="n">
        <x:v>82461</x:v>
      </x:c>
      <x:c r="J327" s="586" t="n">
        <x:v>26050</x:v>
      </x:c>
      <x:c r="K327" s="587" t="n">
        <x:v>0.3411784736683562</x:v>
      </x:c>
      <x:c r="L327" s="585" t="inlineStr">
        <x:is>
          <x:t xml:space="preserve">UZUPEŁNIĆ</x:t>
        </x:is>
      </x:c>
      <x:c r="M327" s="585" t="inlineStr">
        <x:is>
          <x:t xml:space="preserve">K: model rentowności 450/500; L: przedłużenie Wynagr. ekipy 450→500</x:t>
        </x:is>
      </x:c>
      <x:c r="N327" s="585" t="inlineStr">
        <x:is>
          <x:t xml:space="preserve">Podstawowa konstrukcja z ceną dostawcy dla 550/600.</x:t>
        </x:is>
      </x:c>
      <x:c r="O327" s="585" t="inlineStr">
        <x:is>
          <x:t xml:space="preserve">RAW_OP B/C</x:t>
        </x:is>
      </x:c>
      <x:c r="P327" s="585" t="inlineStr">
        <x:is>
          <x:t xml:space="preserve">600 x 1006 cm|OP</x:t>
        </x:is>
      </x:c>
    </x:row>
    <x:row r="328" s="655" customFormat="1" ht="29.5" customHeight="1">
      <x:c r="A328" s="588" t="n">
        <x:v>1278</x:v>
      </x:c>
      <x:c r="B328" s="589" t="inlineStr">
        <x:is>
          <x:t xml:space="preserve">600 x 1006 cm</x:t>
        </x:is>
      </x:c>
      <x:c r="C328" s="588" t="n">
        <x:v>600</x:v>
      </x:c>
      <x:c r="D328" s="588" t="n">
        <x:v>1006</x:v>
      </x:c>
      <x:c r="E328" s="589" t="inlineStr">
        <x:is>
          <x:t xml:space="preserve">OS</x:t>
        </x:is>
      </x:c>
      <x:c r="F328" s="589" t="inlineStr">
        <x:is>
          <x:t xml:space="preserve">Ogród zimowy szkło - pełna konstrukcja</x:t>
        </x:is>
      </x:c>
      <x:c r="G328" s="590" t="n">
        <x:v>7720</x:v>
      </x:c>
      <x:c r="H328" s="590" t="n">
        <x:v>3570</x:v>
      </x:c>
      <x:c r="I328" s="590" t="n"/>
      <x:c r="J328" s="590" t="n"/>
      <x:c r="K328" s="591" t="n"/>
      <x:c r="L328" s="589" t="inlineStr">
        <x:is>
          <x:t xml:space="preserve">NIE PUBLIKOWAĆ / BRAK RAW_OS</x:t>
        </x:is>
      </x:c>
      <x:c r="M328" s="589" t="inlineStr">
        <x:is>
          <x:t xml:space="preserve">Informacyjnie: K jak OP, L = pełny montaż ogrodu szklanego z przedłużenia</x:t>
        </x:is>
      </x:c>
      <x:c r="N328" s="589" t="inlineStr">
        <x:is>
          <x:t xml:space="preserve">Brak ceny dostawcy dla OS 550/600, więc nieaktywny do czasu cennika dostawcy.</x:t>
        </x:is>
      </x:c>
      <x:c r="O328" s="589" t="inlineStr">
        <x:is>
          <x:t xml:space="preserve">RAW_OS B/C</x:t>
        </x:is>
      </x:c>
      <x:c r="P328" s="589" t="inlineStr">
        <x:is>
          <x:t xml:space="preserve">600 x 1006 cm|OS</x:t>
        </x:is>
      </x:c>
    </x:row>
    <x:row r="329" s="655" customFormat="1" ht="29.5" customHeight="1">
      <x:c r="A329" s="584" t="n">
        <x:v>1279</x:v>
      </x:c>
      <x:c r="B329" s="585" t="inlineStr">
        <x:is>
          <x:t xml:space="preserve">600 x 1006 cm</x:t>
        </x:is>
      </x:c>
      <x:c r="C329" s="584" t="n">
        <x:v>600</x:v>
      </x:c>
      <x:c r="D329" s="584" t="n">
        <x:v>1006</x:v>
      </x:c>
      <x:c r="E329" s="585" t="inlineStr">
        <x:is>
          <x:t xml:space="preserve">PDS</x:t>
        </x:is>
      </x:c>
      <x:c r="F329" s="585" t="inlineStr">
        <x:is>
          <x:t xml:space="preserve">Dopłata dach szkło przezroczyste</x:t>
        </x:is>
      </x:c>
      <x:c r="G329" s="586" t="n">
        <x:v>0</x:v>
      </x:c>
      <x:c r="H329" s="586" t="n">
        <x:v>600</x:v>
      </x:c>
      <x:c r="I329" s="586" t="n"/>
      <x:c r="J329" s="586" t="n"/>
      <x:c r="K329" s="587" t="n"/>
      <x:c r="L329" s="585" t="inlineStr">
        <x:is>
          <x:t xml:space="preserve">DO UŻYCIA DOPIERO GDY BĘDZIE CENA DACHU SZKŁO</x:t>
        </x:is>
      </x:c>
      <x:c r="M329" s="585" t="inlineStr">
        <x:is>
          <x:t xml:space="preserve">L = montaż zadaszenia szkło - montaż zadaszenia poliwęglan</x:t>
        </x:is>
      </x:c>
      <x:c r="N329" s="585" t="inlineStr">
        <x:is>
          <x:t xml:space="preserve">Potrzebne dla dopłaty dachu szklanego; obecnie brak ceny dostawcy PDS 550/600.</x:t>
        </x:is>
      </x:c>
      <x:c r="O329" s="585" t="inlineStr">
        <x:is>
          <x:t xml:space="preserve">RAW_ZS - RAW_ZP</x:t>
        </x:is>
      </x:c>
      <x:c r="P329" s="585" t="inlineStr">
        <x:is>
          <x:t xml:space="preserve">600 x 1006 cm|PDS</x:t>
        </x:is>
      </x:c>
    </x:row>
    <x:row r="330" s="655" customFormat="1" ht="29.5" customHeight="1">
      <x:c r="A330" s="592" t="n">
        <x:v>1280</x:v>
      </x:c>
      <x:c r="B330" s="593" t="inlineStr">
        <x:is>
          <x:t xml:space="preserve">600 x 1006 cm</x:t>
        </x:is>
      </x:c>
      <x:c r="C330" s="592" t="n">
        <x:v>600</x:v>
      </x:c>
      <x:c r="D330" s="592" t="n">
        <x:v>1006</x:v>
      </x:c>
      <x:c r="E330" s="593" t="inlineStr">
        <x:is>
          <x:t xml:space="preserve">PDSB</x:t>
        </x:is>
      </x:c>
      <x:c r="F330" s="593" t="inlineStr">
        <x:is>
          <x:t xml:space="preserve">Dopłata dach szkło barwione/mleczne</x:t>
        </x:is>
      </x:c>
      <x:c r="G330" s="594" t="n">
        <x:v>0</x:v>
      </x:c>
      <x:c r="H330" s="594" t="n">
        <x:v>0</x:v>
      </x:c>
      <x:c r="I330" s="594" t="n"/>
      <x:c r="J330" s="594" t="n"/>
      <x:c r="K330" s="595" t="n"/>
      <x:c r="L330" s="593" t="inlineStr">
        <x:is>
          <x:t xml:space="preserve">POZOSTAWIĆ 0 / BRAK CENY PDSB</x:t>
        </x:is>
      </x:c>
      <x:c r="M330" s="593" t="inlineStr">
        <x:is>
          <x:t xml:space="preserve">Zgodnie z dotychczasową logiką: dopłata barwienia szkła nie ma osobnego wynagrodzenia</x:t>
        </x:is>
      </x:c>
      <x:c r="N330" s="593" t="inlineStr">
        <x:is>
          <x:t xml:space="preserve">Brak ceny dostawcy dla PDSB 550/600.</x:t>
        </x:is>
      </x:c>
      <x:c r="O330" s="593" t="inlineStr">
        <x:is>
          <x:t xml:space="preserve">RAW_ZS D/E</x:t>
        </x:is>
      </x:c>
      <x:c r="P330" s="593" t="inlineStr">
        <x:is>
          <x:t xml:space="preserve">600 x 1006 cm|PDSB</x:t>
        </x:is>
      </x:c>
    </x:row>
    <x:row r="331" s="655" customFormat="1" ht="29.5" customHeight="1">
      <x:c r="A331" s="592" t="n">
        <x:v>1281</x:v>
      </x:c>
      <x:c r="B331" s="593" t="inlineStr">
        <x:is>
          <x:t xml:space="preserve">600 x 1006 cm</x:t>
        </x:is>
      </x:c>
      <x:c r="C331" s="592" t="n">
        <x:v>600</x:v>
      </x:c>
      <x:c r="D331" s="592" t="n">
        <x:v>1006</x:v>
      </x:c>
      <x:c r="E331" s="593" t="inlineStr">
        <x:is>
          <x:t xml:space="preserve">PDPB</x:t>
        </x:is>
      </x:c>
      <x:c r="F331" s="593" t="inlineStr">
        <x:is>
          <x:t xml:space="preserve">Dopłata poliwęglan barwiony</x:t>
        </x:is>
      </x:c>
      <x:c r="G331" s="594" t="n">
        <x:v>0</x:v>
      </x:c>
      <x:c r="H331" s="594" t="n">
        <x:v>0</x:v>
      </x:c>
      <x:c r="I331" s="594" t="n">
        <x:v>1325</x:v>
      </x:c>
      <x:c r="J331" s="594" t="n">
        <x:v>381</x:v>
      </x:c>
      <x:c r="K331" s="595" t="n">
        <x:v>0.3105134474327628</x:v>
      </x:c>
      <x:c r="L331" s="593" t="inlineStr">
        <x:is>
          <x:t xml:space="preserve">POZOSTAWIĆ 0</x:t>
        </x:is>
      </x:c>
      <x:c r="M331" s="593" t="inlineStr">
        <x:is>
          <x:t xml:space="preserve">Zgodnie z Cennik usług: poliwęglan barwiony nie miał osobnej pracy ekipy</x:t>
        </x:is>
      </x:c>
      <x:c r="N331" s="593" t="inlineStr">
        <x:is>
          <x:t xml:space="preserve">Ma cenę dostawcy; montaż/wynagrodzenie zostaje 0.</x:t>
        </x:is>
      </x:c>
      <x:c r="O331" s="593" t="inlineStr">
        <x:is>
          <x:t xml:space="preserve">RAW_ZP D/E</x:t>
        </x:is>
      </x:c>
      <x:c r="P331" s="593" t="inlineStr">
        <x:is>
          <x:t xml:space="preserve">600 x 1006 cm|PDPB</x:t>
        </x:is>
      </x:c>
    </x:row>
    <x:row r="332" s="655" customFormat="1" ht="29.5" customHeight="1">
      <x:c r="A332" s="592" t="n">
        <x:v>1282</x:v>
      </x:c>
      <x:c r="B332" s="593" t="inlineStr">
        <x:is>
          <x:t xml:space="preserve">600 x 1006 cm</x:t>
        </x:is>
      </x:c>
      <x:c r="C332" s="592" t="n">
        <x:v>600</x:v>
      </x:c>
      <x:c r="D332" s="592" t="n">
        <x:v>1006</x:v>
      </x:c>
      <x:c r="E332" s="593" t="inlineStr">
        <x:is>
          <x:t xml:space="preserve">SBB</x:t>
        </x:is>
      </x:c>
      <x:c r="F332" s="593" t="inlineStr">
        <x:is>
          <x:t xml:space="preserve">Dopłata szkło boczne przyciemniane</x:t>
        </x:is>
      </x:c>
      <x:c r="G332" s="594" t="n">
        <x:v>0</x:v>
      </x:c>
      <x:c r="H332" s="594" t="n">
        <x:v>0</x:v>
      </x:c>
      <x:c r="I332" s="594" t="n">
        <x:v>3361</x:v>
      </x:c>
      <x:c r="J332" s="594" t="n">
        <x:v>966</x:v>
      </x:c>
      <x:c r="K332" s="595" t="n">
        <x:v>0.3104113110539846</x:v>
      </x:c>
      <x:c r="L332" s="593" t="inlineStr">
        <x:is>
          <x:t xml:space="preserve">POZOSTAWIĆ 0</x:t>
        </x:is>
      </x:c>
      <x:c r="M332" s="593" t="inlineStr">
        <x:is>
          <x:t xml:space="preserve">Zgodnie z Cennik usług: szyby boczne barwione nie miały osobnej pracy ekipy</x:t>
        </x:is>
      </x:c>
      <x:c r="N332" s="593" t="inlineStr">
        <x:is>
          <x:t xml:space="preserve">Ma cenę dostawcy; montaż/wynagrodzenie zostaje 0.</x:t>
        </x:is>
      </x:c>
      <x:c r="O332" s="593" t="inlineStr">
        <x:is>
          <x:t xml:space="preserve">RAW_OP H/I</x:t>
        </x:is>
      </x:c>
      <x:c r="P332" s="593" t="inlineStr">
        <x:is>
          <x:t xml:space="preserve">600 x 1006 cm|SBB</x:t>
        </x:is>
      </x:c>
    </x:row>
    <x:row r="333" s="655" customFormat="1" ht="29.5" customHeight="1">
      <x:c r="A333" s="584" t="n">
        <x:v>1283</x:v>
      </x:c>
      <x:c r="B333" s="585" t="inlineStr">
        <x:is>
          <x:t xml:space="preserve">600 x 1006 cm</x:t>
        </x:is>
      </x:c>
      <x:c r="C333" s="584" t="n">
        <x:v>600</x:v>
      </x:c>
      <x:c r="D333" s="584" t="n">
        <x:v>1006</x:v>
      </x:c>
      <x:c r="E333" s="585" t="inlineStr">
        <x:is>
          <x:t xml:space="preserve">RB</x:t>
        </x:is>
      </x:c>
      <x:c r="F333" s="585" t="inlineStr">
        <x:is>
          <x:t xml:space="preserve">Roleta boczna ZIP</x:t>
        </x:is>
      </x:c>
      <x:c r="G333" s="586" t="n">
        <x:v>0</x:v>
      </x:c>
      <x:c r="H333" s="586" t="n">
        <x:v>150</x:v>
      </x:c>
      <x:c r="I333" s="586" t="n">
        <x:v>5437</x:v>
      </x:c>
      <x:c r="J333" s="586" t="n">
        <x:v>1412</x:v>
      </x:c>
      <x:c r="K333" s="587" t="n">
        <x:v>0.2804926499801351</x:v>
      </x:c>
      <x:c r="L333" s="585" t="inlineStr">
        <x:is>
          <x:t xml:space="preserve">UZUPEŁNIĆ L</x:t>
        </x:is>
      </x:c>
      <x:c r="M333" s="585" t="inlineStr">
        <x:is>
          <x:t xml:space="preserve">L = przedłużona kolumna Montaż rolety bocznej</x:t>
        </x:is>
      </x:c>
      <x:c r="N333" s="585" t="inlineStr">
        <x:is>
          <x:t xml:space="preserve">K zostaje 0; rentowność po L pozostaje podobna do mniejszych wymiarów.</x:t>
        </x:is>
      </x:c>
      <x:c r="O333" s="585" t="inlineStr">
        <x:is>
          <x:t xml:space="preserve">RAW_ZP J/K</x:t>
        </x:is>
      </x:c>
      <x:c r="P333" s="585" t="inlineStr">
        <x:is>
          <x:t xml:space="preserve">600 x 1006 cm|RB</x:t>
        </x:is>
      </x:c>
    </x:row>
    <x:row r="334" s="655" customFormat="1" ht="29.5" customHeight="1">
      <x:c r="A334" s="584" t="n">
        <x:v>1284</x:v>
      </x:c>
      <x:c r="B334" s="585" t="inlineStr">
        <x:is>
          <x:t xml:space="preserve">600 x 1006 cm</x:t>
        </x:is>
      </x:c>
      <x:c r="C334" s="584" t="n">
        <x:v>600</x:v>
      </x:c>
      <x:c r="D334" s="584" t="n">
        <x:v>1006</x:v>
      </x:c>
      <x:c r="E334" s="585" t="inlineStr">
        <x:is>
          <x:t xml:space="preserve">RP</x:t>
        </x:is>
      </x:c>
      <x:c r="F334" s="585" t="inlineStr">
        <x:is>
          <x:t xml:space="preserve">Roleta przednia ZIP</x:t>
        </x:is>
      </x:c>
      <x:c r="G334" s="586" t="n">
        <x:v>0</x:v>
      </x:c>
      <x:c r="H334" s="586" t="n">
        <x:v>450</x:v>
      </x:c>
      <x:c r="I334" s="586" t="n">
        <x:v>8798</x:v>
      </x:c>
      <x:c r="J334" s="586" t="n">
        <x:v>2078</x:v>
      </x:c>
      <x:c r="K334" s="587" t="n">
        <x:v>0.2550945249202062</x:v>
      </x:c>
      <x:c r="L334" s="585" t="inlineStr">
        <x:is>
          <x:t xml:space="preserve">UZUPEŁNIĆ L</x:t>
        </x:is>
      </x:c>
      <x:c r="M334" s="585" t="inlineStr">
        <x:is>
          <x:t xml:space="preserve">L = przedłużona kolumna Montaż rolety przedniej</x:t>
        </x:is>
      </x:c>
      <x:c r="N334" s="585" t="inlineStr">
        <x:is>
          <x:t xml:space="preserve">K zostaje 0; rentowność po L pozostaje podobna do mniejszych wymiarów.</x:t>
        </x:is>
      </x:c>
      <x:c r="O334" s="585" t="inlineStr">
        <x:is>
          <x:t xml:space="preserve">RAW_ZP N/O</x:t>
        </x:is>
      </x:c>
      <x:c r="P334" s="585" t="inlineStr">
        <x:is>
          <x:t xml:space="preserve">600 x 1006 cm|RP</x:t>
        </x:is>
      </x:c>
    </x:row>
    <x:row r="335" s="655" customFormat="1" ht="29.5" customHeight="1">
      <x:c r="A335" s="584" t="n">
        <x:v>1285</x:v>
      </x:c>
      <x:c r="B335" s="585" t="inlineStr">
        <x:is>
          <x:t xml:space="preserve">600 x 1006 cm</x:t>
        </x:is>
      </x:c>
      <x:c r="C335" s="584" t="n">
        <x:v>600</x:v>
      </x:c>
      <x:c r="D335" s="584" t="n">
        <x:v>1006</x:v>
      </x:c>
      <x:c r="E335" s="585" t="inlineStr">
        <x:is>
          <x:t xml:space="preserve">M</x:t>
        </x:is>
      </x:c>
      <x:c r="F335" s="585" t="inlineStr">
        <x:is>
          <x:t xml:space="preserve">Markiza dachowa</x:t>
        </x:is>
      </x:c>
      <x:c r="G335" s="586" t="n">
        <x:v>0</x:v>
      </x:c>
      <x:c r="H335" s="586" t="n">
        <x:v>600</x:v>
      </x:c>
      <x:c r="I335" s="586" t="n">
        <x:v>14158</x:v>
      </x:c>
      <x:c r="J335" s="586" t="n">
        <x:v>3468</x:v>
      </x:c>
      <x:c r="K335" s="587" t="n">
        <x:v>0.2645510717827447</x:v>
      </x:c>
      <x:c r="L335" s="585" t="inlineStr">
        <x:is>
          <x:t xml:space="preserve">UZUPEŁNIĆ L</x:t>
        </x:is>
      </x:c>
      <x:c r="M335" s="585" t="inlineStr">
        <x:is>
          <x:t xml:space="preserve">L = przedłużona kolumna Montaż markizy na dach</x:t>
        </x:is>
      </x:c>
      <x:c r="N335" s="585" t="inlineStr">
        <x:is>
          <x:t xml:space="preserve">K zostaje 0; rentowność po L pozostaje podobna do mniejszych wymiarów.</x:t>
        </x:is>
      </x:c>
      <x:c r="O335" s="585" t="inlineStr">
        <x:is>
          <x:t xml:space="preserve">RAW_ZP H/I</x:t>
        </x:is>
      </x:c>
      <x:c r="P335" s="585" t="inlineStr">
        <x:is>
          <x:t xml:space="preserve">600 x 1006 cm|M</x:t>
        </x:is>
      </x:c>
    </x:row>
    <x:row r="336" s="655" customFormat="1" ht="29.5" customHeight="1">
      <x:c r="A336" s="584" t="n">
        <x:v>1286</x:v>
      </x:c>
      <x:c r="B336" s="585" t="inlineStr">
        <x:is>
          <x:t xml:space="preserve">600 x 1006 cm</x:t>
        </x:is>
      </x:c>
      <x:c r="C336" s="584" t="n">
        <x:v>600</x:v>
      </x:c>
      <x:c r="D336" s="584" t="n">
        <x:v>1006</x:v>
      </x:c>
      <x:c r="E336" s="585" t="inlineStr">
        <x:is>
          <x:t xml:space="preserve">PDWP</x:t>
        </x:is>
      </x:c>
      <x:c r="F336" s="585" t="inlineStr">
        <x:is>
          <x:t xml:space="preserve">Fundament/profile</x:t>
        </x:is>
      </x:c>
      <x:c r="G336" s="586" t="n">
        <x:v>690</x:v>
      </x:c>
      <x:c r="H336" s="586" t="n">
        <x:v>650</x:v>
      </x:c>
      <x:c r="I336" s="586" t="n">
        <x:v>3138</x:v>
      </x:c>
      <x:c r="J336" s="586" t="n">
        <x:v>728</x:v>
      </x:c>
      <x:c r="K336" s="587" t="n">
        <x:v>0.2505161734342739</x:v>
      </x:c>
      <x:c r="L336" s="585" t="inlineStr">
        <x:is>
          <x:t xml:space="preserve">UZUPEŁNIĆ K+L / KOREKTA RENTOWNOŚCI</x:t>
        </x:is>
      </x:c>
      <x:c r="M336" s="585" t="inlineStr">
        <x:is>
          <x:t xml:space="preserve">L = Wyrównanie podłoża; K = dopłata montażowa wyliczona do min. 25% rentowności</x:t>
        </x:is>
      </x:c>
      <x:c r="N336" s="585" t="inlineStr">
        <x:is>
          <x:t xml:space="preserve">Bez K ten dodatek ma ujemną rentowność. To jest korekta biznesowa, nie tylko przedłużenie EG.</x:t>
        </x:is>
      </x:c>
      <x:c r="O336" s="585" t="inlineStr">
        <x:is>
          <x:t xml:space="preserve">RAW_OP AB/AC</x:t>
        </x:is>
      </x:c>
      <x:c r="P336" s="585" t="inlineStr">
        <x:is>
          <x:t xml:space="preserve">600 x 1006 cm|PDWP</x:t>
        </x:is>
      </x:c>
    </x:row>
    <x:row r="337" s="655" customFormat="1" ht="29.5" customHeight="1">
      <x:c r="A337" s="592" t="n">
        <x:v>1287</x:v>
      </x:c>
      <x:c r="B337" s="593" t="inlineStr">
        <x:is>
          <x:t xml:space="preserve">600 x 1006 cm</x:t>
        </x:is>
      </x:c>
      <x:c r="C337" s="592" t="n">
        <x:v>600</x:v>
      </x:c>
      <x:c r="D337" s="592" t="n">
        <x:v>1006</x:v>
      </x:c>
      <x:c r="E337" s="593" t="inlineStr">
        <x:is>
          <x:t xml:space="preserve">ZAB</x:t>
        </x:is>
      </x:c>
      <x:c r="F337" s="593" t="inlineStr">
        <x:is>
          <x:t xml:space="preserve">Zabieraki do ścian przesuwnych</x:t>
        </x:is>
      </x:c>
      <x:c r="G337" s="594" t="n">
        <x:v>0</x:v>
      </x:c>
      <x:c r="H337" s="594" t="n">
        <x:v>0</x:v>
      </x:c>
      <x:c r="I337" s="594" t="n">
        <x:v>866</x:v>
      </x:c>
      <x:c r="J337" s="594" t="n">
        <x:v>249</x:v>
      </x:c>
      <x:c r="K337" s="595" t="n">
        <x:v>0.3104738154613466</x:v>
      </x:c>
      <x:c r="L337" s="593" t="inlineStr">
        <x:is>
          <x:t xml:space="preserve">POZOSTAWIĆ 0</x:t>
        </x:is>
      </x:c>
      <x:c r="M337" s="593" t="inlineStr">
        <x:is>
          <x:t xml:space="preserve">Brak osobnej kolumny wynagrodzenia w Cennik usług; traktować jako element dodatkowy bez osobnej pracy</x:t>
        </x:is>
      </x:c>
      <x:c r="N337" s="593" t="n"/>
      <x:c r="O337" s="593" t="inlineStr">
        <x:is>
          <x:t xml:space="preserve">RAW_OP AD/AE</x:t>
        </x:is>
      </x:c>
      <x:c r="P337" s="593" t="inlineStr">
        <x:is>
          <x:t xml:space="preserve">600 x 1006 cm|ZAB</x:t>
        </x:is>
      </x:c>
    </x:row>
    <x:row r="338" s="655" customFormat="1" ht="29.5" customHeight="1">
      <x:c r="A338" s="592" t="n">
        <x:v>1288</x:v>
      </x:c>
      <x:c r="B338" s="593" t="inlineStr">
        <x:is>
          <x:t xml:space="preserve">600 x 1006 cm</x:t>
        </x:is>
      </x:c>
      <x:c r="C338" s="592" t="n">
        <x:v>600</x:v>
      </x:c>
      <x:c r="D338" s="592" t="n">
        <x:v>1006</x:v>
      </x:c>
      <x:c r="E338" s="593" t="inlineStr">
        <x:is>
          <x:t xml:space="preserve">S</x:t>
        </x:is>
      </x:c>
      <x:c r="F338" s="593" t="inlineStr">
        <x:is>
          <x:t xml:space="preserve">Szczotki przeciwkurzowe</x:t>
        </x:is>
      </x:c>
      <x:c r="G338" s="594" t="n">
        <x:v>0</x:v>
      </x:c>
      <x:c r="H338" s="594" t="n">
        <x:v>0</x:v>
      </x:c>
      <x:c r="I338" s="594" t="n">
        <x:v>968</x:v>
      </x:c>
      <x:c r="J338" s="594" t="n">
        <x:v>278</x:v>
      </x:c>
      <x:c r="K338" s="595" t="n">
        <x:v>0.3102678571428572</x:v>
      </x:c>
      <x:c r="L338" s="593" t="inlineStr">
        <x:is>
          <x:t xml:space="preserve">POZOSTAWIĆ 0</x:t>
        </x:is>
      </x:c>
      <x:c r="M338" s="593" t="inlineStr">
        <x:is>
          <x:t xml:space="preserve">Zgodnie z Cennik usług: szczotki przeciwkurzowe bez osobnego wynagrodzenia</x:t>
        </x:is>
      </x:c>
      <x:c r="N338" s="593" t="n"/>
      <x:c r="O338" s="593" t="inlineStr">
        <x:is>
          <x:t xml:space="preserve">RAW_OP L/M</x:t>
        </x:is>
      </x:c>
      <x:c r="P338" s="593" t="inlineStr">
        <x:is>
          <x:t xml:space="preserve">600 x 1006 cm|S</x:t>
        </x:is>
      </x:c>
    </x:row>
    <x:row r="339" s="655" customFormat="1" ht="29.5" customHeight="1">
      <x:c r="A339" s="592" t="n">
        <x:v>1289</x:v>
      </x:c>
      <x:c r="B339" s="593" t="inlineStr">
        <x:is>
          <x:t xml:space="preserve">600 x 1006 cm</x:t>
        </x:is>
      </x:c>
      <x:c r="C339" s="592" t="n">
        <x:v>600</x:v>
      </x:c>
      <x:c r="D339" s="592" t="n">
        <x:v>1006</x:v>
      </x:c>
      <x:c r="E339" s="593" t="inlineStr">
        <x:is>
          <x:t xml:space="preserve">U</x:t>
        </x:is>
      </x:c>
      <x:c r="F339" s="593" t="inlineStr">
        <x:is>
          <x:t xml:space="preserve">Uchwyty na szkło ścienne</x:t>
        </x:is>
      </x:c>
      <x:c r="G339" s="594" t="n">
        <x:v>0</x:v>
      </x:c>
      <x:c r="H339" s="594" t="n">
        <x:v>0</x:v>
      </x:c>
      <x:c r="I339" s="594" t="n">
        <x:v>878</x:v>
      </x:c>
      <x:c r="J339" s="594" t="n">
        <x:v>252</x:v>
      </x:c>
      <x:c r="K339" s="595" t="n">
        <x:v>0.3099630996309963</x:v>
      </x:c>
      <x:c r="L339" s="593" t="inlineStr">
        <x:is>
          <x:t xml:space="preserve">POZOSTAWIĆ 0</x:t>
        </x:is>
      </x:c>
      <x:c r="M339" s="593" t="inlineStr">
        <x:is>
          <x:t xml:space="preserve">Zgodnie z Cennik usług: uchwyty bez osobnego wynagrodzenia</x:t>
        </x:is>
      </x:c>
      <x:c r="N339" s="593" t="n"/>
      <x:c r="O339" s="593" t="inlineStr">
        <x:is>
          <x:t xml:space="preserve">RAW_OP N/O</x:t>
        </x:is>
      </x:c>
      <x:c r="P339" s="593" t="inlineStr">
        <x:is>
          <x:t xml:space="preserve">600 x 1006 cm|U</x:t>
        </x:is>
      </x:c>
    </x:row>
    <x:row r="340" s="655" customFormat="1" ht="29.5" customHeight="1">
      <x:c r="A340" s="592" t="n">
        <x:v>1290</x:v>
      </x:c>
      <x:c r="B340" s="593" t="inlineStr">
        <x:is>
          <x:t xml:space="preserve">600 x 1006 cm</x:t>
        </x:is>
      </x:c>
      <x:c r="C340" s="592" t="n">
        <x:v>600</x:v>
      </x:c>
      <x:c r="D340" s="592" t="n">
        <x:v>1006</x:v>
      </x:c>
      <x:c r="E340" s="593" t="inlineStr">
        <x:is>
          <x:t xml:space="preserve">LED2</x:t>
        </x:is>
      </x:c>
      <x:c r="F340" s="593" t="inlineStr">
        <x:is>
          <x:t xml:space="preserve">Oświetlenie LED 2 punkty</x:t>
        </x:is>
      </x:c>
      <x:c r="G340" s="594" t="n">
        <x:v>0</x:v>
      </x:c>
      <x:c r="H340" s="594" t="n">
        <x:v>0</x:v>
      </x:c>
      <x:c r="I340" s="594" t="n">
        <x:v>1566</x:v>
      </x:c>
      <x:c r="J340" s="594" t="n">
        <x:v>450</x:v>
      </x:c>
      <x:c r="K340" s="595" t="n">
        <x:v>0.3103448275862069</x:v>
      </x:c>
      <x:c r="L340" s="593" t="inlineStr">
        <x:is>
          <x:t xml:space="preserve">POZOSTAWIĆ 0 NA RAZIE</x:t>
        </x:is>
      </x:c>
      <x:c r="M340" s="593" t="inlineStr">
        <x:is>
          <x:t xml:space="preserve">Cennik usług miał LED bez osobnego wynagrodzenia; kolumna LED z Wynagr. ekipy jest tylko informacyjna</x:t>
        </x:is>
      </x:c>
      <x:c r="N340" s="593" t="inlineStr">
        <x:is>
          <x:t xml:space="preserve">Informacyjnie wg Wynagr. ekipy LED na krokiew: 600 zł.</x:t>
        </x:is>
      </x:c>
      <x:c r="O340" s="593" t="inlineStr">
        <x:is>
          <x:t xml:space="preserve">RAW_ZP P/Q</x:t>
        </x:is>
      </x:c>
      <x:c r="P340" s="593" t="inlineStr">
        <x:is>
          <x:t xml:space="preserve">600 x 1006 cm|LED2</x:t>
        </x:is>
      </x:c>
    </x:row>
    <x:row r="341" s="655" customFormat="1" ht="29.5" customHeight="1">
      <x:c r="A341" s="592" t="n">
        <x:v>1291</x:v>
      </x:c>
      <x:c r="B341" s="593" t="inlineStr">
        <x:is>
          <x:t xml:space="preserve">600 x 1006 cm</x:t>
        </x:is>
      </x:c>
      <x:c r="C341" s="592" t="n">
        <x:v>600</x:v>
      </x:c>
      <x:c r="D341" s="592" t="n">
        <x:v>1006</x:v>
      </x:c>
      <x:c r="E341" s="593" t="inlineStr">
        <x:is>
          <x:t xml:space="preserve">LED3</x:t>
        </x:is>
      </x:c>
      <x:c r="F341" s="593" t="inlineStr">
        <x:is>
          <x:t xml:space="preserve">Oświetlenie LED 3 punkty</x:t>
        </x:is>
      </x:c>
      <x:c r="G341" s="594" t="n">
        <x:v>0</x:v>
      </x:c>
      <x:c r="H341" s="594" t="n">
        <x:v>0</x:v>
      </x:c>
      <x:c r="I341" s="594" t="n">
        <x:v>2100</x:v>
      </x:c>
      <x:c r="J341" s="594" t="n">
        <x:v>603</x:v>
      </x:c>
      <x:c r="K341" s="595" t="n">
        <x:v>0.3101851851851852</x:v>
      </x:c>
      <x:c r="L341" s="593" t="inlineStr">
        <x:is>
          <x:t xml:space="preserve">POZOSTAWIĆ 0 NA RAZIE</x:t>
        </x:is>
      </x:c>
      <x:c r="M341" s="593" t="inlineStr">
        <x:is>
          <x:t xml:space="preserve">Cennik usług miał LED bez osobnego wynagrodzenia; kolumna LED z Wynagr. ekipy jest tylko informacyjna</x:t>
        </x:is>
      </x:c>
      <x:c r="N341" s="593" t="inlineStr">
        <x:is>
          <x:t xml:space="preserve">Informacyjnie wg Wynagr. ekipy LED na krokiew: 600 zł.</x:t>
        </x:is>
      </x:c>
      <x:c r="O341" s="593" t="inlineStr">
        <x:is>
          <x:t xml:space="preserve">RAW_ZP R/S</x:t>
        </x:is>
      </x:c>
      <x:c r="P341" s="593" t="inlineStr">
        <x:is>
          <x:t xml:space="preserve">600 x 1006 cm|LED3</x:t>
        </x:is>
      </x:c>
    </x:row>
    <x:row r="342" s="655" customFormat="1" ht="29.5" customHeight="1">
      <x:c r="A342" s="592" t="n">
        <x:v>1292</x:v>
      </x:c>
      <x:c r="B342" s="593" t="inlineStr">
        <x:is>
          <x:t xml:space="preserve">600 x 1006 cm</x:t>
        </x:is>
      </x:c>
      <x:c r="C342" s="592" t="n">
        <x:v>600</x:v>
      </x:c>
      <x:c r="D342" s="592" t="n">
        <x:v>1006</x:v>
      </x:c>
      <x:c r="E342" s="593" t="inlineStr">
        <x:is>
          <x:t xml:space="preserve">LEDCCT</x:t>
        </x:is>
      </x:c>
      <x:c r="F342" s="593" t="inlineStr">
        <x:is>
          <x:t xml:space="preserve">Oświetlenie LED CCT</x:t>
        </x:is>
      </x:c>
      <x:c r="G342" s="594" t="n">
        <x:v>0</x:v>
      </x:c>
      <x:c r="H342" s="594" t="n">
        <x:v>0</x:v>
      </x:c>
      <x:c r="I342" s="594" t="n">
        <x:v>0</x:v>
      </x:c>
      <x:c r="J342" s="594" t="n">
        <x:v>0</x:v>
      </x:c>
      <x:c r="K342" s="595" t="n"/>
      <x:c r="L342" s="593" t="inlineStr">
        <x:is>
          <x:t xml:space="preserve">POZOSTAWIĆ 0 / UKRYTE</x:t>
        </x:is>
      </x:c>
      <x:c r="M342" s="593" t="inlineStr">
        <x:is>
          <x:t xml:space="preserve">Brak pełnego cennika dla 550/600; opcje nadal crm_only/ukryte</x:t>
        </x:is>
      </x:c>
      <x:c r="N342" s="593" t="n"/>
      <x:c r="O342" s="593" t="inlineStr">
        <x:is>
          <x:t xml:space="preserve">RAW_ZP T/U</x:t>
        </x:is>
      </x:c>
      <x:c r="P342" s="593" t="inlineStr">
        <x:is>
          <x:t xml:space="preserve">600 x 1006 cm|LEDCCT</x:t>
        </x:is>
      </x:c>
    </x:row>
    <x:row r="343" s="655" customFormat="1" ht="29.5" customHeight="1">
      <x:c r="A343" s="592" t="n">
        <x:v>1293</x:v>
      </x:c>
      <x:c r="B343" s="593" t="inlineStr">
        <x:is>
          <x:t xml:space="preserve">600 x 1006 cm</x:t>
        </x:is>
      </x:c>
      <x:c r="C343" s="592" t="n">
        <x:v>600</x:v>
      </x:c>
      <x:c r="D343" s="592" t="n">
        <x:v>1006</x:v>
      </x:c>
      <x:c r="E343" s="593" t="inlineStr">
        <x:is>
          <x:t xml:space="preserve">LEDRGBCCT</x:t>
        </x:is>
      </x:c>
      <x:c r="F343" s="593" t="inlineStr">
        <x:is>
          <x:t xml:space="preserve">Oświetlenie LED RGB CCT</x:t>
        </x:is>
      </x:c>
      <x:c r="G343" s="594" t="n">
        <x:v>0</x:v>
      </x:c>
      <x:c r="H343" s="594" t="n">
        <x:v>0</x:v>
      </x:c>
      <x:c r="I343" s="594" t="n">
        <x:v>0</x:v>
      </x:c>
      <x:c r="J343" s="594" t="n">
        <x:v>0</x:v>
      </x:c>
      <x:c r="K343" s="595" t="n"/>
      <x:c r="L343" s="593" t="inlineStr">
        <x:is>
          <x:t xml:space="preserve">POZOSTAWIĆ 0 / UKRYTE</x:t>
        </x:is>
      </x:c>
      <x:c r="M343" s="593" t="inlineStr">
        <x:is>
          <x:t xml:space="preserve">Brak pełnego cennika dla 550/600; opcje nadal crm_only/ukryte</x:t>
        </x:is>
      </x:c>
      <x:c r="N343" s="593" t="n"/>
      <x:c r="O343" s="593" t="inlineStr">
        <x:is>
          <x:t xml:space="preserve">RAW_ZP V/W</x:t>
        </x:is>
      </x:c>
      <x:c r="P343" s="593" t="inlineStr">
        <x:is>
          <x:t xml:space="preserve">600 x 1006 cm|LEDRGBCCT</x:t>
        </x:is>
      </x:c>
    </x:row>
    <x:row r="344" s="655" customFormat="1" ht="29.5" customHeight="1">
      <x:c r="A344" s="584" t="n">
        <x:v>1294</x:v>
      </x:c>
      <x:c r="B344" s="585" t="inlineStr">
        <x:is>
          <x:t xml:space="preserve">600 x 1106 cm</x:t>
        </x:is>
      </x:c>
      <x:c r="C344" s="584" t="n">
        <x:v>600</x:v>
      </x:c>
      <x:c r="D344" s="584" t="n">
        <x:v>1106</x:v>
      </x:c>
      <x:c r="E344" s="585" t="inlineStr">
        <x:is>
          <x:t xml:space="preserve">ZP</x:t>
        </x:is>
      </x:c>
      <x:c r="F344" s="585" t="inlineStr">
        <x:is>
          <x:t xml:space="preserve">Zadaszenie poliwęglan - baza</x:t>
        </x:is>
      </x:c>
      <x:c r="G344" s="586" t="n">
        <x:v>6630</x:v>
      </x:c>
      <x:c r="H344" s="586" t="n">
        <x:v>2240</x:v>
      </x:c>
      <x:c r="I344" s="586" t="n">
        <x:v>55567</x:v>
      </x:c>
      <x:c r="J344" s="586" t="n">
        <x:v>18300</x:v>
      </x:c>
      <x:c r="K344" s="587" t="n">
        <x:v>0.3556782181104352</x:v>
      </x:c>
      <x:c r="L344" s="585" t="inlineStr">
        <x:is>
          <x:t xml:space="preserve">UZUPEŁNIĆ</x:t>
        </x:is>
      </x:c>
      <x:c r="M344" s="585" t="inlineStr">
        <x:is>
          <x:t xml:space="preserve">K: model rentowności 450/500; L: przedłużenie Wynagr. ekipy 450→500</x:t>
        </x:is>
      </x:c>
      <x:c r="N344" s="585" t="inlineStr">
        <x:is>
          <x:t xml:space="preserve">Podstawowa konstrukcja z ceną dostawcy dla 550/600.</x:t>
        </x:is>
      </x:c>
      <x:c r="O344" s="585" t="inlineStr">
        <x:is>
          <x:t xml:space="preserve">RAW_ZP B/C</x:t>
        </x:is>
      </x:c>
      <x:c r="P344" s="585" t="inlineStr">
        <x:is>
          <x:t xml:space="preserve">600 x 1106 cm|ZP</x:t>
        </x:is>
      </x:c>
    </x:row>
    <x:row r="345" s="655" customFormat="1" ht="29.5" customHeight="1">
      <x:c r="A345" s="588" t="n">
        <x:v>1295</x:v>
      </x:c>
      <x:c r="B345" s="589" t="inlineStr">
        <x:is>
          <x:t xml:space="preserve">600 x 1106 cm</x:t>
        </x:is>
      </x:c>
      <x:c r="C345" s="588" t="n">
        <x:v>600</x:v>
      </x:c>
      <x:c r="D345" s="588" t="n">
        <x:v>1106</x:v>
      </x:c>
      <x:c r="E345" s="589" t="inlineStr">
        <x:is>
          <x:t xml:space="preserve">ZS</x:t>
        </x:is>
      </x:c>
      <x:c r="F345" s="589" t="inlineStr">
        <x:is>
          <x:t xml:space="preserve">Zadaszenie szkło - pełna konstrukcja</x:t>
        </x:is>
      </x:c>
      <x:c r="G345" s="590" t="n">
        <x:v>6630</x:v>
      </x:c>
      <x:c r="H345" s="590" t="n">
        <x:v>2850</x:v>
      </x:c>
      <x:c r="I345" s="590" t="n"/>
      <x:c r="J345" s="590" t="n"/>
      <x:c r="K345" s="591" t="n"/>
      <x:c r="L345" s="589" t="inlineStr">
        <x:is>
          <x:t xml:space="preserve">NIE PUBLIKOWAĆ / BRAK RAW_ZS</x:t>
        </x:is>
      </x:c>
      <x:c r="M345" s="589" t="inlineStr">
        <x:is>
          <x:t xml:space="preserve">Informacyjnie: K jak ZP, L = pełny montaż zadaszenia szklanego z przedłużenia</x:t>
        </x:is>
      </x:c>
      <x:c r="N345" s="589" t="inlineStr">
        <x:is>
          <x:t xml:space="preserve">Brak ceny dostawcy dla ZS 550/600, więc nieaktywny do czasu cennika dostawcy.</x:t>
        </x:is>
      </x:c>
      <x:c r="O345" s="589" t="inlineStr">
        <x:is>
          <x:t xml:space="preserve">RAW_ZS B/C</x:t>
        </x:is>
      </x:c>
      <x:c r="P345" s="589" t="inlineStr">
        <x:is>
          <x:t xml:space="preserve">600 x 1106 cm|ZS</x:t>
        </x:is>
      </x:c>
    </x:row>
    <x:row r="346" s="655" customFormat="1" ht="29.5" customHeight="1">
      <x:c r="A346" s="584" t="n">
        <x:v>1296</x:v>
      </x:c>
      <x:c r="B346" s="585" t="inlineStr">
        <x:is>
          <x:t xml:space="preserve">600 x 1106 cm</x:t>
        </x:is>
      </x:c>
      <x:c r="C346" s="584" t="n">
        <x:v>600</x:v>
      </x:c>
      <x:c r="D346" s="584" t="n">
        <x:v>1106</x:v>
      </x:c>
      <x:c r="E346" s="585" t="inlineStr">
        <x:is>
          <x:t xml:space="preserve">OP</x:t>
        </x:is>
      </x:c>
      <x:c r="F346" s="585" t="inlineStr">
        <x:is>
          <x:t xml:space="preserve">Ogród zimowy poliwęglan - baza</x:t>
        </x:is>
      </x:c>
      <x:c r="G346" s="586" t="n">
        <x:v>8020</x:v>
      </x:c>
      <x:c r="H346" s="586" t="n">
        <x:v>3150</x:v>
      </x:c>
      <x:c r="I346" s="586" t="n">
        <x:v>87076</x:v>
      </x:c>
      <x:c r="J346" s="586" t="n">
        <x:v>27403</x:v>
      </x:c>
      <x:c r="K346" s="587" t="n">
        <x:v>0.3398779550021085</x:v>
      </x:c>
      <x:c r="L346" s="585" t="inlineStr">
        <x:is>
          <x:t xml:space="preserve">UZUPEŁNIĆ</x:t>
        </x:is>
      </x:c>
      <x:c r="M346" s="585" t="inlineStr">
        <x:is>
          <x:t xml:space="preserve">K: model rentowności 450/500; L: przedłużenie Wynagr. ekipy 450→500</x:t>
        </x:is>
      </x:c>
      <x:c r="N346" s="585" t="inlineStr">
        <x:is>
          <x:t xml:space="preserve">Podstawowa konstrukcja z ceną dostawcy dla 550/600.</x:t>
        </x:is>
      </x:c>
      <x:c r="O346" s="585" t="inlineStr">
        <x:is>
          <x:t xml:space="preserve">RAW_OP B/C</x:t>
        </x:is>
      </x:c>
      <x:c r="P346" s="585" t="inlineStr">
        <x:is>
          <x:t xml:space="preserve">600 x 1106 cm|OP</x:t>
        </x:is>
      </x:c>
    </x:row>
    <x:row r="347" s="655" customFormat="1" ht="29.5" customHeight="1">
      <x:c r="A347" s="588" t="n">
        <x:v>1297</x:v>
      </x:c>
      <x:c r="B347" s="589" t="inlineStr">
        <x:is>
          <x:t xml:space="preserve">600 x 1106 cm</x:t>
        </x:is>
      </x:c>
      <x:c r="C347" s="588" t="n">
        <x:v>600</x:v>
      </x:c>
      <x:c r="D347" s="588" t="n">
        <x:v>1106</x:v>
      </x:c>
      <x:c r="E347" s="589" t="inlineStr">
        <x:is>
          <x:t xml:space="preserve">OS</x:t>
        </x:is>
      </x:c>
      <x:c r="F347" s="589" t="inlineStr">
        <x:is>
          <x:t xml:space="preserve">Ogród zimowy szkło - pełna konstrukcja</x:t>
        </x:is>
      </x:c>
      <x:c r="G347" s="590" t="n">
        <x:v>8020</x:v>
      </x:c>
      <x:c r="H347" s="590" t="n">
        <x:v>3760</x:v>
      </x:c>
      <x:c r="I347" s="590" t="n"/>
      <x:c r="J347" s="590" t="n"/>
      <x:c r="K347" s="591" t="n"/>
      <x:c r="L347" s="589" t="inlineStr">
        <x:is>
          <x:t xml:space="preserve">NIE PUBLIKOWAĆ / BRAK RAW_OS</x:t>
        </x:is>
      </x:c>
      <x:c r="M347" s="589" t="inlineStr">
        <x:is>
          <x:t xml:space="preserve">Informacyjnie: K jak OP, L = pełny montaż ogrodu szklanego z przedłużenia</x:t>
        </x:is>
      </x:c>
      <x:c r="N347" s="589" t="inlineStr">
        <x:is>
          <x:t xml:space="preserve">Brak ceny dostawcy dla OS 550/600, więc nieaktywny do czasu cennika dostawcy.</x:t>
        </x:is>
      </x:c>
      <x:c r="O347" s="589" t="inlineStr">
        <x:is>
          <x:t xml:space="preserve">RAW_OS B/C</x:t>
        </x:is>
      </x:c>
      <x:c r="P347" s="589" t="inlineStr">
        <x:is>
          <x:t xml:space="preserve">600 x 1106 cm|OS</x:t>
        </x:is>
      </x:c>
    </x:row>
    <x:row r="348" s="655" customFormat="1" ht="29.5" customHeight="1">
      <x:c r="A348" s="584" t="n">
        <x:v>1298</x:v>
      </x:c>
      <x:c r="B348" s="585" t="inlineStr">
        <x:is>
          <x:t xml:space="preserve">600 x 1106 cm</x:t>
        </x:is>
      </x:c>
      <x:c r="C348" s="584" t="n">
        <x:v>600</x:v>
      </x:c>
      <x:c r="D348" s="584" t="n">
        <x:v>1106</x:v>
      </x:c>
      <x:c r="E348" s="585" t="inlineStr">
        <x:is>
          <x:t xml:space="preserve">PDS</x:t>
        </x:is>
      </x:c>
      <x:c r="F348" s="585" t="inlineStr">
        <x:is>
          <x:t xml:space="preserve">Dopłata dach szkło przezroczyste</x:t>
        </x:is>
      </x:c>
      <x:c r="G348" s="586" t="n">
        <x:v>0</x:v>
      </x:c>
      <x:c r="H348" s="586" t="n">
        <x:v>610</x:v>
      </x:c>
      <x:c r="I348" s="586" t="n"/>
      <x:c r="J348" s="586" t="n"/>
      <x:c r="K348" s="587" t="n"/>
      <x:c r="L348" s="585" t="inlineStr">
        <x:is>
          <x:t xml:space="preserve">DO UŻYCIA DOPIERO GDY BĘDZIE CENA DACHU SZKŁO</x:t>
        </x:is>
      </x:c>
      <x:c r="M348" s="585" t="inlineStr">
        <x:is>
          <x:t xml:space="preserve">L = montaż zadaszenia szkło - montaż zadaszenia poliwęglan</x:t>
        </x:is>
      </x:c>
      <x:c r="N348" s="585" t="inlineStr">
        <x:is>
          <x:t xml:space="preserve">Potrzebne dla dopłaty dachu szklanego; obecnie brak ceny dostawcy PDS 550/600.</x:t>
        </x:is>
      </x:c>
      <x:c r="O348" s="585" t="inlineStr">
        <x:is>
          <x:t xml:space="preserve">RAW_ZS - RAW_ZP</x:t>
        </x:is>
      </x:c>
      <x:c r="P348" s="585" t="inlineStr">
        <x:is>
          <x:t xml:space="preserve">600 x 1106 cm|PDS</x:t>
        </x:is>
      </x:c>
    </x:row>
    <x:row r="349" s="655" customFormat="1" ht="29.5" customHeight="1">
      <x:c r="A349" s="592" t="n">
        <x:v>1299</x:v>
      </x:c>
      <x:c r="B349" s="593" t="inlineStr">
        <x:is>
          <x:t xml:space="preserve">600 x 1106 cm</x:t>
        </x:is>
      </x:c>
      <x:c r="C349" s="592" t="n">
        <x:v>600</x:v>
      </x:c>
      <x:c r="D349" s="592" t="n">
        <x:v>1106</x:v>
      </x:c>
      <x:c r="E349" s="593" t="inlineStr">
        <x:is>
          <x:t xml:space="preserve">PDSB</x:t>
        </x:is>
      </x:c>
      <x:c r="F349" s="593" t="inlineStr">
        <x:is>
          <x:t xml:space="preserve">Dopłata dach szkło barwione/mleczne</x:t>
        </x:is>
      </x:c>
      <x:c r="G349" s="594" t="n">
        <x:v>0</x:v>
      </x:c>
      <x:c r="H349" s="594" t="n">
        <x:v>0</x:v>
      </x:c>
      <x:c r="I349" s="594" t="n"/>
      <x:c r="J349" s="594" t="n"/>
      <x:c r="K349" s="595" t="n"/>
      <x:c r="L349" s="593" t="inlineStr">
        <x:is>
          <x:t xml:space="preserve">POZOSTAWIĆ 0 / BRAK CENY PDSB</x:t>
        </x:is>
      </x:c>
      <x:c r="M349" s="593" t="inlineStr">
        <x:is>
          <x:t xml:space="preserve">Zgodnie z dotychczasową logiką: dopłata barwienia szkła nie ma osobnego wynagrodzenia</x:t>
        </x:is>
      </x:c>
      <x:c r="N349" s="593" t="inlineStr">
        <x:is>
          <x:t xml:space="preserve">Brak ceny dostawcy dla PDSB 550/600.</x:t>
        </x:is>
      </x:c>
      <x:c r="O349" s="593" t="inlineStr">
        <x:is>
          <x:t xml:space="preserve">RAW_ZS D/E</x:t>
        </x:is>
      </x:c>
      <x:c r="P349" s="593" t="inlineStr">
        <x:is>
          <x:t xml:space="preserve">600 x 1106 cm|PDSB</x:t>
        </x:is>
      </x:c>
    </x:row>
    <x:row r="350" s="655" customFormat="1" ht="29.5" customHeight="1">
      <x:c r="A350" s="592" t="n">
        <x:v>1300</x:v>
      </x:c>
      <x:c r="B350" s="593" t="inlineStr">
        <x:is>
          <x:t xml:space="preserve">600 x 1106 cm</x:t>
        </x:is>
      </x:c>
      <x:c r="C350" s="592" t="n">
        <x:v>600</x:v>
      </x:c>
      <x:c r="D350" s="592" t="n">
        <x:v>1106</x:v>
      </x:c>
      <x:c r="E350" s="593" t="inlineStr">
        <x:is>
          <x:t xml:space="preserve">PDPB</x:t>
        </x:is>
      </x:c>
      <x:c r="F350" s="593" t="inlineStr">
        <x:is>
          <x:t xml:space="preserve">Dopłata poliwęglan barwiony</x:t>
        </x:is>
      </x:c>
      <x:c r="G350" s="594" t="n">
        <x:v>0</x:v>
      </x:c>
      <x:c r="H350" s="594" t="n">
        <x:v>0</x:v>
      </x:c>
      <x:c r="I350" s="594" t="n">
        <x:v>1464</x:v>
      </x:c>
      <x:c r="J350" s="594" t="n">
        <x:v>421</x:v>
      </x:c>
      <x:c r="K350" s="595" t="n">
        <x:v>0.31047197640118</x:v>
      </x:c>
      <x:c r="L350" s="593" t="inlineStr">
        <x:is>
          <x:t xml:space="preserve">POZOSTAWIĆ 0</x:t>
        </x:is>
      </x:c>
      <x:c r="M350" s="593" t="inlineStr">
        <x:is>
          <x:t xml:space="preserve">Zgodnie z Cennik usług: poliwęglan barwiony nie miał osobnej pracy ekipy</x:t>
        </x:is>
      </x:c>
      <x:c r="N350" s="593" t="inlineStr">
        <x:is>
          <x:t xml:space="preserve">Ma cenę dostawcy; montaż/wynagrodzenie zostaje 0.</x:t>
        </x:is>
      </x:c>
      <x:c r="O350" s="593" t="inlineStr">
        <x:is>
          <x:t xml:space="preserve">RAW_ZP D/E</x:t>
        </x:is>
      </x:c>
      <x:c r="P350" s="593" t="inlineStr">
        <x:is>
          <x:t xml:space="preserve">600 x 1106 cm|PDPB</x:t>
        </x:is>
      </x:c>
    </x:row>
    <x:row r="351" s="655" customFormat="1" ht="29.5" customHeight="1">
      <x:c r="A351" s="592" t="n">
        <x:v>1301</x:v>
      </x:c>
      <x:c r="B351" s="593" t="inlineStr">
        <x:is>
          <x:t xml:space="preserve">600 x 1106 cm</x:t>
        </x:is>
      </x:c>
      <x:c r="C351" s="592" t="n">
        <x:v>600</x:v>
      </x:c>
      <x:c r="D351" s="592" t="n">
        <x:v>1106</x:v>
      </x:c>
      <x:c r="E351" s="593" t="inlineStr">
        <x:is>
          <x:t xml:space="preserve">SBB</x:t>
        </x:is>
      </x:c>
      <x:c r="F351" s="593" t="inlineStr">
        <x:is>
          <x:t xml:space="preserve">Dopłata szkło boczne przyciemniane</x:t>
        </x:is>
      </x:c>
      <x:c r="G351" s="594" t="n">
        <x:v>0</x:v>
      </x:c>
      <x:c r="H351" s="594" t="n">
        <x:v>0</x:v>
      </x:c>
      <x:c r="I351" s="594" t="n">
        <x:v>3514</x:v>
      </x:c>
      <x:c r="J351" s="594" t="n">
        <x:v>1010</x:v>
      </x:c>
      <x:c r="K351" s="595" t="n">
        <x:v>0.3103872157344806</x:v>
      </x:c>
      <x:c r="L351" s="593" t="inlineStr">
        <x:is>
          <x:t xml:space="preserve">POZOSTAWIĆ 0</x:t>
        </x:is>
      </x:c>
      <x:c r="M351" s="593" t="inlineStr">
        <x:is>
          <x:t xml:space="preserve">Zgodnie z Cennik usług: szyby boczne barwione nie miały osobnej pracy ekipy</x:t>
        </x:is>
      </x:c>
      <x:c r="N351" s="593" t="inlineStr">
        <x:is>
          <x:t xml:space="preserve">Ma cenę dostawcy; montaż/wynagrodzenie zostaje 0.</x:t>
        </x:is>
      </x:c>
      <x:c r="O351" s="593" t="inlineStr">
        <x:is>
          <x:t xml:space="preserve">RAW_OP H/I</x:t>
        </x:is>
      </x:c>
      <x:c r="P351" s="593" t="inlineStr">
        <x:is>
          <x:t xml:space="preserve">600 x 1106 cm|SBB</x:t>
        </x:is>
      </x:c>
    </x:row>
    <x:row r="352" s="655" customFormat="1" ht="29.5" customHeight="1">
      <x:c r="A352" s="584" t="n">
        <x:v>1302</x:v>
      </x:c>
      <x:c r="B352" s="585" t="inlineStr">
        <x:is>
          <x:t xml:space="preserve">600 x 1106 cm</x:t>
        </x:is>
      </x:c>
      <x:c r="C352" s="584" t="n">
        <x:v>600</x:v>
      </x:c>
      <x:c r="D352" s="584" t="n">
        <x:v>1106</x:v>
      </x:c>
      <x:c r="E352" s="585" t="inlineStr">
        <x:is>
          <x:t xml:space="preserve">RB</x:t>
        </x:is>
      </x:c>
      <x:c r="F352" s="585" t="inlineStr">
        <x:is>
          <x:t xml:space="preserve">Roleta boczna ZIP</x:t>
        </x:is>
      </x:c>
      <x:c r="G352" s="586" t="n">
        <x:v>0</x:v>
      </x:c>
      <x:c r="H352" s="586" t="n">
        <x:v>150</x:v>
      </x:c>
      <x:c r="I352" s="586" t="n">
        <x:v>5437</x:v>
      </x:c>
      <x:c r="J352" s="586" t="n">
        <x:v>1412</x:v>
      </x:c>
      <x:c r="K352" s="587" t="n">
        <x:v>0.2804926499801351</x:v>
      </x:c>
      <x:c r="L352" s="585" t="inlineStr">
        <x:is>
          <x:t xml:space="preserve">UZUPEŁNIĆ L</x:t>
        </x:is>
      </x:c>
      <x:c r="M352" s="585" t="inlineStr">
        <x:is>
          <x:t xml:space="preserve">L = przedłużona kolumna Montaż rolety bocznej</x:t>
        </x:is>
      </x:c>
      <x:c r="N352" s="585" t="inlineStr">
        <x:is>
          <x:t xml:space="preserve">K zostaje 0; rentowność po L pozostaje podobna do mniejszych wymiarów.</x:t>
        </x:is>
      </x:c>
      <x:c r="O352" s="585" t="inlineStr">
        <x:is>
          <x:t xml:space="preserve">RAW_ZP J/K</x:t>
        </x:is>
      </x:c>
      <x:c r="P352" s="585" t="inlineStr">
        <x:is>
          <x:t xml:space="preserve">600 x 1106 cm|RB</x:t>
        </x:is>
      </x:c>
    </x:row>
    <x:row r="353" s="655" customFormat="1" ht="29.5" customHeight="1">
      <x:c r="A353" s="584" t="n">
        <x:v>1303</x:v>
      </x:c>
      <x:c r="B353" s="585" t="inlineStr">
        <x:is>
          <x:t xml:space="preserve">600 x 1106 cm</x:t>
        </x:is>
      </x:c>
      <x:c r="C353" s="584" t="n">
        <x:v>600</x:v>
      </x:c>
      <x:c r="D353" s="584" t="n">
        <x:v>1106</x:v>
      </x:c>
      <x:c r="E353" s="585" t="inlineStr">
        <x:is>
          <x:t xml:space="preserve">RP</x:t>
        </x:is>
      </x:c>
      <x:c r="F353" s="585" t="inlineStr">
        <x:is>
          <x:t xml:space="preserve">Roleta przednia ZIP</x:t>
        </x:is>
      </x:c>
      <x:c r="G353" s="586" t="n">
        <x:v>0</x:v>
      </x:c>
      <x:c r="H353" s="586" t="n">
        <x:v>450</x:v>
      </x:c>
      <x:c r="I353" s="586" t="n">
        <x:v>9448</x:v>
      </x:c>
      <x:c r="J353" s="586" t="n">
        <x:v>2265</x:v>
      </x:c>
      <x:c r="K353" s="587" t="n">
        <x:v>0.2589163237311385</x:v>
      </x:c>
      <x:c r="L353" s="585" t="inlineStr">
        <x:is>
          <x:t xml:space="preserve">UZUPEŁNIĆ L</x:t>
        </x:is>
      </x:c>
      <x:c r="M353" s="585" t="inlineStr">
        <x:is>
          <x:t xml:space="preserve">L = przedłużona kolumna Montaż rolety przedniej</x:t>
        </x:is>
      </x:c>
      <x:c r="N353" s="585" t="inlineStr">
        <x:is>
          <x:t xml:space="preserve">K zostaje 0; rentowność po L pozostaje podobna do mniejszych wymiarów.</x:t>
        </x:is>
      </x:c>
      <x:c r="O353" s="585" t="inlineStr">
        <x:is>
          <x:t xml:space="preserve">RAW_ZP N/O</x:t>
        </x:is>
      </x:c>
      <x:c r="P353" s="585" t="inlineStr">
        <x:is>
          <x:t xml:space="preserve">600 x 1106 cm|RP</x:t>
        </x:is>
      </x:c>
    </x:row>
    <x:row r="354" s="655" customFormat="1" ht="29.5" customHeight="1">
      <x:c r="A354" s="584" t="n">
        <x:v>1304</x:v>
      </x:c>
      <x:c r="B354" s="585" t="inlineStr">
        <x:is>
          <x:t xml:space="preserve">600 x 1106 cm</x:t>
        </x:is>
      </x:c>
      <x:c r="C354" s="584" t="n">
        <x:v>600</x:v>
      </x:c>
      <x:c r="D354" s="584" t="n">
        <x:v>1106</x:v>
      </x:c>
      <x:c r="E354" s="585" t="inlineStr">
        <x:is>
          <x:t xml:space="preserve">M</x:t>
        </x:is>
      </x:c>
      <x:c r="F354" s="585" t="inlineStr">
        <x:is>
          <x:t xml:space="preserve">Markiza dachowa</x:t>
        </x:is>
      </x:c>
      <x:c r="G354" s="586" t="n">
        <x:v>0</x:v>
      </x:c>
      <x:c r="H354" s="586" t="n">
        <x:v>650</x:v>
      </x:c>
      <x:c r="I354" s="586" t="n">
        <x:v>17494</x:v>
      </x:c>
      <x:c r="J354" s="586" t="n">
        <x:v>4377</x:v>
      </x:c>
      <x:c r="K354" s="587" t="n">
        <x:v>0.2702185454994444</x:v>
      </x:c>
      <x:c r="L354" s="585" t="inlineStr">
        <x:is>
          <x:t xml:space="preserve">UZUPEŁNIĆ L</x:t>
        </x:is>
      </x:c>
      <x:c r="M354" s="585" t="inlineStr">
        <x:is>
          <x:t xml:space="preserve">L = przedłużona kolumna Montaż markizy na dach</x:t>
        </x:is>
      </x:c>
      <x:c r="N354" s="585" t="inlineStr">
        <x:is>
          <x:t xml:space="preserve">K zostaje 0; rentowność po L pozostaje podobna do mniejszych wymiarów.</x:t>
        </x:is>
      </x:c>
      <x:c r="O354" s="585" t="inlineStr">
        <x:is>
          <x:t xml:space="preserve">RAW_ZP H/I</x:t>
        </x:is>
      </x:c>
      <x:c r="P354" s="585" t="inlineStr">
        <x:is>
          <x:t xml:space="preserve">600 x 1106 cm|M</x:t>
        </x:is>
      </x:c>
    </x:row>
    <x:row r="355" s="655" customFormat="1" ht="29.5" customHeight="1">
      <x:c r="A355" s="584" t="n">
        <x:v>1305</x:v>
      </x:c>
      <x:c r="B355" s="585" t="inlineStr">
        <x:is>
          <x:t xml:space="preserve">600 x 1106 cm</x:t>
        </x:is>
      </x:c>
      <x:c r="C355" s="584" t="n">
        <x:v>600</x:v>
      </x:c>
      <x:c r="D355" s="584" t="n">
        <x:v>1106</x:v>
      </x:c>
      <x:c r="E355" s="585" t="inlineStr">
        <x:is>
          <x:t xml:space="preserve">PDWP</x:t>
        </x:is>
      </x:c>
      <x:c r="F355" s="585" t="inlineStr">
        <x:is>
          <x:t xml:space="preserve">Fundament/profile</x:t>
        </x:is>
      </x:c>
      <x:c r="G355" s="586" t="n">
        <x:v>720</x:v>
      </x:c>
      <x:c r="H355" s="586" t="n">
        <x:v>690</x:v>
      </x:c>
      <x:c r="I355" s="586" t="n">
        <x:v>3540</x:v>
      </x:c>
      <x:c r="J355" s="586" t="n">
        <x:v>824</x:v>
      </x:c>
      <x:c r="K355" s="587" t="n">
        <x:v>0.2513727882855399</x:v>
      </x:c>
      <x:c r="L355" s="585" t="inlineStr">
        <x:is>
          <x:t xml:space="preserve">UZUPEŁNIĆ K+L / KOREKTA RENTOWNOŚCI</x:t>
        </x:is>
      </x:c>
      <x:c r="M355" s="585" t="inlineStr">
        <x:is>
          <x:t xml:space="preserve">L = Wyrównanie podłoża; K = dopłata montażowa wyliczona do min. 25% rentowności</x:t>
        </x:is>
      </x:c>
      <x:c r="N355" s="585" t="inlineStr">
        <x:is>
          <x:t xml:space="preserve">Bez K ten dodatek ma ujemną rentowność. To jest korekta biznesowa, nie tylko przedłużenie EG.</x:t>
        </x:is>
      </x:c>
      <x:c r="O355" s="585" t="inlineStr">
        <x:is>
          <x:t xml:space="preserve">RAW_OP AB/AC</x:t>
        </x:is>
      </x:c>
      <x:c r="P355" s="585" t="inlineStr">
        <x:is>
          <x:t xml:space="preserve">600 x 1106 cm|PDWP</x:t>
        </x:is>
      </x:c>
    </x:row>
    <x:row r="356" s="655" customFormat="1" ht="29.5" customHeight="1">
      <x:c r="A356" s="592" t="n">
        <x:v>1306</x:v>
      </x:c>
      <x:c r="B356" s="593" t="inlineStr">
        <x:is>
          <x:t xml:space="preserve">600 x 1106 cm</x:t>
        </x:is>
      </x:c>
      <x:c r="C356" s="592" t="n">
        <x:v>600</x:v>
      </x:c>
      <x:c r="D356" s="592" t="n">
        <x:v>1106</x:v>
      </x:c>
      <x:c r="E356" s="593" t="inlineStr">
        <x:is>
          <x:t xml:space="preserve">ZAB</x:t>
        </x:is>
      </x:c>
      <x:c r="F356" s="593" t="inlineStr">
        <x:is>
          <x:t xml:space="preserve">Zabieraki do ścian przesuwnych</x:t>
        </x:is>
      </x:c>
      <x:c r="G356" s="594" t="n">
        <x:v>0</x:v>
      </x:c>
      <x:c r="H356" s="594" t="n">
        <x:v>0</x:v>
      </x:c>
      <x:c r="I356" s="594" t="n">
        <x:v>916</x:v>
      </x:c>
      <x:c r="J356" s="594" t="n">
        <x:v>263</x:v>
      </x:c>
      <x:c r="K356" s="595" t="n">
        <x:v>0.3101415094339622</x:v>
      </x:c>
      <x:c r="L356" s="593" t="inlineStr">
        <x:is>
          <x:t xml:space="preserve">POZOSTAWIĆ 0</x:t>
        </x:is>
      </x:c>
      <x:c r="M356" s="593" t="inlineStr">
        <x:is>
          <x:t xml:space="preserve">Brak osobnej kolumny wynagrodzenia w Cennik usług; traktować jako element dodatkowy bez osobnej pracy</x:t>
        </x:is>
      </x:c>
      <x:c r="N356" s="593" t="n"/>
      <x:c r="O356" s="593" t="inlineStr">
        <x:is>
          <x:t xml:space="preserve">RAW_OP AD/AE</x:t>
        </x:is>
      </x:c>
      <x:c r="P356" s="593" t="inlineStr">
        <x:is>
          <x:t xml:space="preserve">600 x 1106 cm|ZAB</x:t>
        </x:is>
      </x:c>
    </x:row>
    <x:row r="357" s="655" customFormat="1" ht="29.5" customHeight="1">
      <x:c r="A357" s="592" t="n">
        <x:v>1307</x:v>
      </x:c>
      <x:c r="B357" s="593" t="inlineStr">
        <x:is>
          <x:t xml:space="preserve">600 x 1106 cm</x:t>
        </x:is>
      </x:c>
      <x:c r="C357" s="592" t="n">
        <x:v>600</x:v>
      </x:c>
      <x:c r="D357" s="592" t="n">
        <x:v>1106</x:v>
      </x:c>
      <x:c r="E357" s="593" t="inlineStr">
        <x:is>
          <x:t xml:space="preserve">S</x:t>
        </x:is>
      </x:c>
      <x:c r="F357" s="593" t="inlineStr">
        <x:is>
          <x:t xml:space="preserve">Szczotki przeciwkurzowe</x:t>
        </x:is>
      </x:c>
      <x:c r="G357" s="594" t="n">
        <x:v>0</x:v>
      </x:c>
      <x:c r="H357" s="594" t="n">
        <x:v>0</x:v>
      </x:c>
      <x:c r="I357" s="594" t="n">
        <x:v>1018</x:v>
      </x:c>
      <x:c r="J357" s="594" t="n">
        <x:v>293</x:v>
      </x:c>
      <x:c r="K357" s="595" t="n">
        <x:v>0.3107104984093319</x:v>
      </x:c>
      <x:c r="L357" s="593" t="inlineStr">
        <x:is>
          <x:t xml:space="preserve">POZOSTAWIĆ 0</x:t>
        </x:is>
      </x:c>
      <x:c r="M357" s="593" t="inlineStr">
        <x:is>
          <x:t xml:space="preserve">Zgodnie z Cennik usług: szczotki przeciwkurzowe bez osobnego wynagrodzenia</x:t>
        </x:is>
      </x:c>
      <x:c r="N357" s="593" t="n"/>
      <x:c r="O357" s="593" t="inlineStr">
        <x:is>
          <x:t xml:space="preserve">RAW_OP L/M</x:t>
        </x:is>
      </x:c>
      <x:c r="P357" s="593" t="inlineStr">
        <x:is>
          <x:t xml:space="preserve">600 x 1106 cm|S</x:t>
        </x:is>
      </x:c>
    </x:row>
    <x:row r="358" s="655" customFormat="1" ht="29.5" customHeight="1">
      <x:c r="A358" s="592" t="n">
        <x:v>1308</x:v>
      </x:c>
      <x:c r="B358" s="593" t="inlineStr">
        <x:is>
          <x:t xml:space="preserve">600 x 1106 cm</x:t>
        </x:is>
      </x:c>
      <x:c r="C358" s="592" t="n">
        <x:v>600</x:v>
      </x:c>
      <x:c r="D358" s="592" t="n">
        <x:v>1106</x:v>
      </x:c>
      <x:c r="E358" s="593" t="inlineStr">
        <x:is>
          <x:t xml:space="preserve">U</x:t>
        </x:is>
      </x:c>
      <x:c r="F358" s="593" t="inlineStr">
        <x:is>
          <x:t xml:space="preserve">Uchwyty na szkło ścienne</x:t>
        </x:is>
      </x:c>
      <x:c r="G358" s="594" t="n">
        <x:v>0</x:v>
      </x:c>
      <x:c r="H358" s="594" t="n">
        <x:v>0</x:v>
      </x:c>
      <x:c r="I358" s="594" t="n">
        <x:v>916</x:v>
      </x:c>
      <x:c r="J358" s="594" t="n">
        <x:v>263</x:v>
      </x:c>
      <x:c r="K358" s="595" t="n">
        <x:v>0.3101415094339622</x:v>
      </x:c>
      <x:c r="L358" s="593" t="inlineStr">
        <x:is>
          <x:t xml:space="preserve">POZOSTAWIĆ 0</x:t>
        </x:is>
      </x:c>
      <x:c r="M358" s="593" t="inlineStr">
        <x:is>
          <x:t xml:space="preserve">Zgodnie z Cennik usług: uchwyty bez osobnego wynagrodzenia</x:t>
        </x:is>
      </x:c>
      <x:c r="N358" s="593" t="n"/>
      <x:c r="O358" s="593" t="inlineStr">
        <x:is>
          <x:t xml:space="preserve">RAW_OP N/O</x:t>
        </x:is>
      </x:c>
      <x:c r="P358" s="593" t="inlineStr">
        <x:is>
          <x:t xml:space="preserve">600 x 1106 cm|U</x:t>
        </x:is>
      </x:c>
    </x:row>
    <x:row r="359" s="655" customFormat="1" ht="29.5" customHeight="1">
      <x:c r="A359" s="592" t="n">
        <x:v>1309</x:v>
      </x:c>
      <x:c r="B359" s="593" t="inlineStr">
        <x:is>
          <x:t xml:space="preserve">600 x 1106 cm</x:t>
        </x:is>
      </x:c>
      <x:c r="C359" s="592" t="n">
        <x:v>600</x:v>
      </x:c>
      <x:c r="D359" s="592" t="n">
        <x:v>1106</x:v>
      </x:c>
      <x:c r="E359" s="593" t="inlineStr">
        <x:is>
          <x:t xml:space="preserve">LED2</x:t>
        </x:is>
      </x:c>
      <x:c r="F359" s="593" t="inlineStr">
        <x:is>
          <x:t xml:space="preserve">Oświetlenie LED 2 punkty</x:t>
        </x:is>
      </x:c>
      <x:c r="G359" s="594" t="n">
        <x:v>0</x:v>
      </x:c>
      <x:c r="H359" s="594" t="n">
        <x:v>0</x:v>
      </x:c>
      <x:c r="I359" s="594" t="n">
        <x:v>1821</x:v>
      </x:c>
      <x:c r="J359" s="594" t="n">
        <x:v>523</x:v>
      </x:c>
      <x:c r="K359" s="595" t="n">
        <x:v>0.3102016607354686</x:v>
      </x:c>
      <x:c r="L359" s="593" t="inlineStr">
        <x:is>
          <x:t xml:space="preserve">POZOSTAWIĆ 0 NA RAZIE</x:t>
        </x:is>
      </x:c>
      <x:c r="M359" s="593" t="inlineStr">
        <x:is>
          <x:t xml:space="preserve">Cennik usług miał LED bez osobnego wynagrodzenia; kolumna LED z Wynagr. ekipy jest tylko informacyjna</x:t>
        </x:is>
      </x:c>
      <x:c r="N359" s="593" t="inlineStr">
        <x:is>
          <x:t xml:space="preserve">Informacyjnie wg Wynagr. ekipy LED na krokiew: 650 zł.</x:t>
        </x:is>
      </x:c>
      <x:c r="O359" s="593" t="inlineStr">
        <x:is>
          <x:t xml:space="preserve">RAW_ZP P/Q</x:t>
        </x:is>
      </x:c>
      <x:c r="P359" s="593" t="inlineStr">
        <x:is>
          <x:t xml:space="preserve">600 x 1106 cm|LED2</x:t>
        </x:is>
      </x:c>
    </x:row>
    <x:row r="360" s="655" customFormat="1" ht="29.5" customHeight="1">
      <x:c r="A360" s="592" t="n">
        <x:v>1310</x:v>
      </x:c>
      <x:c r="B360" s="593" t="inlineStr">
        <x:is>
          <x:t xml:space="preserve">600 x 1106 cm</x:t>
        </x:is>
      </x:c>
      <x:c r="C360" s="592" t="n">
        <x:v>600</x:v>
      </x:c>
      <x:c r="D360" s="592" t="n">
        <x:v>1106</x:v>
      </x:c>
      <x:c r="E360" s="593" t="inlineStr">
        <x:is>
          <x:t xml:space="preserve">LED3</x:t>
        </x:is>
      </x:c>
      <x:c r="F360" s="593" t="inlineStr">
        <x:is>
          <x:t xml:space="preserve">Oświetlenie LED 3 punkty</x:t>
        </x:is>
      </x:c>
      <x:c r="G360" s="594" t="n">
        <x:v>0</x:v>
      </x:c>
      <x:c r="H360" s="594" t="n">
        <x:v>0</x:v>
      </x:c>
      <x:c r="I360" s="594" t="n">
        <x:v>2254</x:v>
      </x:c>
      <x:c r="J360" s="594" t="n">
        <x:v>648</x:v>
      </x:c>
      <x:c r="K360" s="595" t="n">
        <x:v>0.3104935313847628</x:v>
      </x:c>
      <x:c r="L360" s="593" t="inlineStr">
        <x:is>
          <x:t xml:space="preserve">POZOSTAWIĆ 0 NA RAZIE</x:t>
        </x:is>
      </x:c>
      <x:c r="M360" s="593" t="inlineStr">
        <x:is>
          <x:t xml:space="preserve">Cennik usług miał LED bez osobnego wynagrodzenia; kolumna LED z Wynagr. ekipy jest tylko informacyjna</x:t>
        </x:is>
      </x:c>
      <x:c r="N360" s="593" t="inlineStr">
        <x:is>
          <x:t xml:space="preserve">Informacyjnie wg Wynagr. ekipy LED na krokiew: 650 zł.</x:t>
        </x:is>
      </x:c>
      <x:c r="O360" s="593" t="inlineStr">
        <x:is>
          <x:t xml:space="preserve">RAW_ZP R/S</x:t>
        </x:is>
      </x:c>
      <x:c r="P360" s="593" t="inlineStr">
        <x:is>
          <x:t xml:space="preserve">600 x 1106 cm|LED3</x:t>
        </x:is>
      </x:c>
    </x:row>
    <x:row r="361" s="655" customFormat="1" ht="29.5" customHeight="1">
      <x:c r="A361" s="592" t="n">
        <x:v>1311</x:v>
      </x:c>
      <x:c r="B361" s="593" t="inlineStr">
        <x:is>
          <x:t xml:space="preserve">600 x 1106 cm</x:t>
        </x:is>
      </x:c>
      <x:c r="C361" s="592" t="n">
        <x:v>600</x:v>
      </x:c>
      <x:c r="D361" s="592" t="n">
        <x:v>1106</x:v>
      </x:c>
      <x:c r="E361" s="593" t="inlineStr">
        <x:is>
          <x:t xml:space="preserve">LEDCCT</x:t>
        </x:is>
      </x:c>
      <x:c r="F361" s="593" t="inlineStr">
        <x:is>
          <x:t xml:space="preserve">Oświetlenie LED CCT</x:t>
        </x:is>
      </x:c>
      <x:c r="G361" s="594" t="n">
        <x:v>0</x:v>
      </x:c>
      <x:c r="H361" s="594" t="n">
        <x:v>0</x:v>
      </x:c>
      <x:c r="I361" s="594" t="n">
        <x:v>0</x:v>
      </x:c>
      <x:c r="J361" s="594" t="n">
        <x:v>0</x:v>
      </x:c>
      <x:c r="K361" s="595" t="n"/>
      <x:c r="L361" s="593" t="inlineStr">
        <x:is>
          <x:t xml:space="preserve">POZOSTAWIĆ 0 / UKRYTE</x:t>
        </x:is>
      </x:c>
      <x:c r="M361" s="593" t="inlineStr">
        <x:is>
          <x:t xml:space="preserve">Brak pełnego cennika dla 550/600; opcje nadal crm_only/ukryte</x:t>
        </x:is>
      </x:c>
      <x:c r="N361" s="593" t="n"/>
      <x:c r="O361" s="593" t="inlineStr">
        <x:is>
          <x:t xml:space="preserve">RAW_ZP T/U</x:t>
        </x:is>
      </x:c>
      <x:c r="P361" s="593" t="inlineStr">
        <x:is>
          <x:t xml:space="preserve">600 x 1106 cm|LEDCCT</x:t>
        </x:is>
      </x:c>
    </x:row>
    <x:row r="362" s="655" customFormat="1" ht="29.5" customHeight="1">
      <x:c r="A362" s="592" t="n">
        <x:v>1312</x:v>
      </x:c>
      <x:c r="B362" s="593" t="inlineStr">
        <x:is>
          <x:t xml:space="preserve">600 x 1106 cm</x:t>
        </x:is>
      </x:c>
      <x:c r="C362" s="592" t="n">
        <x:v>600</x:v>
      </x:c>
      <x:c r="D362" s="592" t="n">
        <x:v>1106</x:v>
      </x:c>
      <x:c r="E362" s="593" t="inlineStr">
        <x:is>
          <x:t xml:space="preserve">LEDRGBCCT</x:t>
        </x:is>
      </x:c>
      <x:c r="F362" s="593" t="inlineStr">
        <x:is>
          <x:t xml:space="preserve">Oświetlenie LED RGB CCT</x:t>
        </x:is>
      </x:c>
      <x:c r="G362" s="594" t="n">
        <x:v>0</x:v>
      </x:c>
      <x:c r="H362" s="594" t="n">
        <x:v>0</x:v>
      </x:c>
      <x:c r="I362" s="594" t="n">
        <x:v>0</x:v>
      </x:c>
      <x:c r="J362" s="594" t="n">
        <x:v>0</x:v>
      </x:c>
      <x:c r="K362" s="595" t="n"/>
      <x:c r="L362" s="593" t="inlineStr">
        <x:is>
          <x:t xml:space="preserve">POZOSTAWIĆ 0 / UKRYTE</x:t>
        </x:is>
      </x:c>
      <x:c r="M362" s="593" t="inlineStr">
        <x:is>
          <x:t xml:space="preserve">Brak pełnego cennika dla 550/600; opcje nadal crm_only/ukryte</x:t>
        </x:is>
      </x:c>
      <x:c r="N362" s="593" t="n"/>
      <x:c r="O362" s="593" t="inlineStr">
        <x:is>
          <x:t xml:space="preserve">RAW_ZP V/W</x:t>
        </x:is>
      </x:c>
      <x:c r="P362" s="593" t="inlineStr">
        <x:is>
          <x:t xml:space="preserve">600 x 1106 cm|LEDRGBCCT</x:t>
        </x:is>
      </x:c>
    </x:row>
    <x:row r="363" s="655" customFormat="1" ht="29.5" customHeight="1">
      <x:c r="A363" s="584" t="n">
        <x:v>1313</x:v>
      </x:c>
      <x:c r="B363" s="585" t="inlineStr">
        <x:is>
          <x:t xml:space="preserve">600 x 1206 cm</x:t>
        </x:is>
      </x:c>
      <x:c r="C363" s="584" t="n">
        <x:v>600</x:v>
      </x:c>
      <x:c r="D363" s="584" t="n">
        <x:v>1206</x:v>
      </x:c>
      <x:c r="E363" s="585" t="inlineStr">
        <x:is>
          <x:t xml:space="preserve">ZP</x:t>
        </x:is>
      </x:c>
      <x:c r="F363" s="585" t="inlineStr">
        <x:is>
          <x:t xml:space="preserve">Zadaszenie poliwęglan - baza</x:t>
        </x:is>
      </x:c>
      <x:c r="G363" s="586" t="n">
        <x:v>6970</x:v>
      </x:c>
      <x:c r="H363" s="586" t="n">
        <x:v>2370</x:v>
      </x:c>
      <x:c r="I363" s="586" t="n">
        <x:v>60059</x:v>
      </x:c>
      <x:c r="J363" s="586" t="n">
        <x:v>19695</x:v>
      </x:c>
      <x:c r="K363" s="587" t="n">
        <x:v>0.3541629203380687</x:v>
      </x:c>
      <x:c r="L363" s="585" t="inlineStr">
        <x:is>
          <x:t xml:space="preserve">UZUPEŁNIĆ</x:t>
        </x:is>
      </x:c>
      <x:c r="M363" s="585" t="inlineStr">
        <x:is>
          <x:t xml:space="preserve">K: model rentowności 450/500; L: przedłużenie Wynagr. ekipy 450→500</x:t>
        </x:is>
      </x:c>
      <x:c r="N363" s="585" t="inlineStr">
        <x:is>
          <x:t xml:space="preserve">Podstawowa konstrukcja z ceną dostawcy dla 550/600.</x:t>
        </x:is>
      </x:c>
      <x:c r="O363" s="585" t="inlineStr">
        <x:is>
          <x:t xml:space="preserve">RAW_ZP B/C</x:t>
        </x:is>
      </x:c>
      <x:c r="P363" s="585" t="inlineStr">
        <x:is>
          <x:t xml:space="preserve">600 x 1206 cm|ZP</x:t>
        </x:is>
      </x:c>
    </x:row>
    <x:row r="364" s="655" customFormat="1" ht="29.5" customHeight="1">
      <x:c r="A364" s="588" t="n">
        <x:v>1314</x:v>
      </x:c>
      <x:c r="B364" s="589" t="inlineStr">
        <x:is>
          <x:t xml:space="preserve">600 x 1206 cm</x:t>
        </x:is>
      </x:c>
      <x:c r="C364" s="588" t="n">
        <x:v>600</x:v>
      </x:c>
      <x:c r="D364" s="588" t="n">
        <x:v>1206</x:v>
      </x:c>
      <x:c r="E364" s="589" t="inlineStr">
        <x:is>
          <x:t xml:space="preserve">ZS</x:t>
        </x:is>
      </x:c>
      <x:c r="F364" s="589" t="inlineStr">
        <x:is>
          <x:t xml:space="preserve">Zadaszenie szkło - pełna konstrukcja</x:t>
        </x:is>
      </x:c>
      <x:c r="G364" s="590" t="n">
        <x:v>6970</x:v>
      </x:c>
      <x:c r="H364" s="590" t="n">
        <x:v>3040</x:v>
      </x:c>
      <x:c r="I364" s="590" t="n"/>
      <x:c r="J364" s="590" t="n"/>
      <x:c r="K364" s="591" t="n"/>
      <x:c r="L364" s="589" t="inlineStr">
        <x:is>
          <x:t xml:space="preserve">NIE PUBLIKOWAĆ / BRAK RAW_ZS</x:t>
        </x:is>
      </x:c>
      <x:c r="M364" s="589" t="inlineStr">
        <x:is>
          <x:t xml:space="preserve">Informacyjnie: K jak ZP, L = pełny montaż zadaszenia szklanego z przedłużenia</x:t>
        </x:is>
      </x:c>
      <x:c r="N364" s="589" t="inlineStr">
        <x:is>
          <x:t xml:space="preserve">Brak ceny dostawcy dla ZS 550/600, więc nieaktywny do czasu cennika dostawcy.</x:t>
        </x:is>
      </x:c>
      <x:c r="O364" s="589" t="inlineStr">
        <x:is>
          <x:t xml:space="preserve">RAW_ZS B/C</x:t>
        </x:is>
      </x:c>
      <x:c r="P364" s="589" t="inlineStr">
        <x:is>
          <x:t xml:space="preserve">600 x 1206 cm|ZS</x:t>
        </x:is>
      </x:c>
    </x:row>
    <x:row r="365" s="655" customFormat="1" ht="29.5" customHeight="1">
      <x:c r="A365" s="584" t="n">
        <x:v>1315</x:v>
      </x:c>
      <x:c r="B365" s="585" t="inlineStr">
        <x:is>
          <x:t xml:space="preserve">600 x 1206 cm</x:t>
        </x:is>
      </x:c>
      <x:c r="C365" s="584" t="n">
        <x:v>600</x:v>
      </x:c>
      <x:c r="D365" s="584" t="n">
        <x:v>1206</x:v>
      </x:c>
      <x:c r="E365" s="585" t="inlineStr">
        <x:is>
          <x:t xml:space="preserve">OP</x:t>
        </x:is>
      </x:c>
      <x:c r="F365" s="585" t="inlineStr">
        <x:is>
          <x:t xml:space="preserve">Ogród zimowy poliwęglan - baza</x:t>
        </x:is>
      </x:c>
      <x:c r="G365" s="586" t="n">
        <x:v>8410</x:v>
      </x:c>
      <x:c r="H365" s="586" t="n">
        <x:v>3330</x:v>
      </x:c>
      <x:c r="I365" s="586" t="n">
        <x:v>92641</x:v>
      </x:c>
      <x:c r="J365" s="586" t="n">
        <x:v>29091</x:v>
      </x:c>
      <x:c r="K365" s="587" t="n">
        <x:v>0.33913895009268</x:v>
      </x:c>
      <x:c r="L365" s="585" t="inlineStr">
        <x:is>
          <x:t xml:space="preserve">UZUPEŁNIĆ</x:t>
        </x:is>
      </x:c>
      <x:c r="M365" s="585" t="inlineStr">
        <x:is>
          <x:t xml:space="preserve">K: model rentowności 450/500; L: przedłużenie Wynagr. ekipy 450→500</x:t>
        </x:is>
      </x:c>
      <x:c r="N365" s="585" t="inlineStr">
        <x:is>
          <x:t xml:space="preserve">Podstawowa konstrukcja z ceną dostawcy dla 550/600.</x:t>
        </x:is>
      </x:c>
      <x:c r="O365" s="585" t="inlineStr">
        <x:is>
          <x:t xml:space="preserve">RAW_OP B/C</x:t>
        </x:is>
      </x:c>
      <x:c r="P365" s="585" t="inlineStr">
        <x:is>
          <x:t xml:space="preserve">600 x 1206 cm|OP</x:t>
        </x:is>
      </x:c>
    </x:row>
    <x:row r="366" s="655" customFormat="1" ht="29.5" customHeight="1">
      <x:c r="A366" s="588" t="n">
        <x:v>1316</x:v>
      </x:c>
      <x:c r="B366" s="589" t="inlineStr">
        <x:is>
          <x:t xml:space="preserve">600 x 1206 cm</x:t>
        </x:is>
      </x:c>
      <x:c r="C366" s="588" t="n">
        <x:v>600</x:v>
      </x:c>
      <x:c r="D366" s="588" t="n">
        <x:v>1206</x:v>
      </x:c>
      <x:c r="E366" s="589" t="inlineStr">
        <x:is>
          <x:t xml:space="preserve">OS</x:t>
        </x:is>
      </x:c>
      <x:c r="F366" s="589" t="inlineStr">
        <x:is>
          <x:t xml:space="preserve">Ogród zimowy szkło - pełna konstrukcja</x:t>
        </x:is>
      </x:c>
      <x:c r="G366" s="590" t="n">
        <x:v>8410</x:v>
      </x:c>
      <x:c r="H366" s="590" t="n">
        <x:v>4000</x:v>
      </x:c>
      <x:c r="I366" s="590" t="n"/>
      <x:c r="J366" s="590" t="n"/>
      <x:c r="K366" s="591" t="n"/>
      <x:c r="L366" s="589" t="inlineStr">
        <x:is>
          <x:t xml:space="preserve">NIE PUBLIKOWAĆ / BRAK RAW_OS</x:t>
        </x:is>
      </x:c>
      <x:c r="M366" s="589" t="inlineStr">
        <x:is>
          <x:t xml:space="preserve">Informacyjnie: K jak OP, L = pełny montaż ogrodu szklanego z przedłużenia</x:t>
        </x:is>
      </x:c>
      <x:c r="N366" s="589" t="inlineStr">
        <x:is>
          <x:t xml:space="preserve">Brak ceny dostawcy dla OS 550/600, więc nieaktywny do czasu cennika dostawcy.</x:t>
        </x:is>
      </x:c>
      <x:c r="O366" s="589" t="inlineStr">
        <x:is>
          <x:t xml:space="preserve">RAW_OS B/C</x:t>
        </x:is>
      </x:c>
      <x:c r="P366" s="589" t="inlineStr">
        <x:is>
          <x:t xml:space="preserve">600 x 1206 cm|OS</x:t>
        </x:is>
      </x:c>
    </x:row>
    <x:row r="367" s="655" customFormat="1" ht="29.5" customHeight="1">
      <x:c r="A367" s="584" t="n">
        <x:v>1317</x:v>
      </x:c>
      <x:c r="B367" s="585" t="inlineStr">
        <x:is>
          <x:t xml:space="preserve">600 x 1206 cm</x:t>
        </x:is>
      </x:c>
      <x:c r="C367" s="584" t="n">
        <x:v>600</x:v>
      </x:c>
      <x:c r="D367" s="584" t="n">
        <x:v>1206</x:v>
      </x:c>
      <x:c r="E367" s="585" t="inlineStr">
        <x:is>
          <x:t xml:space="preserve">PDS</x:t>
        </x:is>
      </x:c>
      <x:c r="F367" s="585" t="inlineStr">
        <x:is>
          <x:t xml:space="preserve">Dopłata dach szkło przezroczyste</x:t>
        </x:is>
      </x:c>
      <x:c r="G367" s="586" t="n">
        <x:v>0</x:v>
      </x:c>
      <x:c r="H367" s="586" t="n">
        <x:v>670</x:v>
      </x:c>
      <x:c r="I367" s="586" t="n"/>
      <x:c r="J367" s="586" t="n"/>
      <x:c r="K367" s="587" t="n"/>
      <x:c r="L367" s="585" t="inlineStr">
        <x:is>
          <x:t xml:space="preserve">DO UŻYCIA DOPIERO GDY BĘDZIE CENA DACHU SZKŁO</x:t>
        </x:is>
      </x:c>
      <x:c r="M367" s="585" t="inlineStr">
        <x:is>
          <x:t xml:space="preserve">L = montaż zadaszenia szkło - montaż zadaszenia poliwęglan</x:t>
        </x:is>
      </x:c>
      <x:c r="N367" s="585" t="inlineStr">
        <x:is>
          <x:t xml:space="preserve">Potrzebne dla dopłaty dachu szklanego; obecnie brak ceny dostawcy PDS 550/600.</x:t>
        </x:is>
      </x:c>
      <x:c r="O367" s="585" t="inlineStr">
        <x:is>
          <x:t xml:space="preserve">RAW_ZS - RAW_ZP</x:t>
        </x:is>
      </x:c>
      <x:c r="P367" s="585" t="inlineStr">
        <x:is>
          <x:t xml:space="preserve">600 x 1206 cm|PDS</x:t>
        </x:is>
      </x:c>
    </x:row>
    <x:row r="368" s="655" customFormat="1" ht="29.5" customHeight="1">
      <x:c r="A368" s="592" t="n">
        <x:v>1318</x:v>
      </x:c>
      <x:c r="B368" s="593" t="inlineStr">
        <x:is>
          <x:t xml:space="preserve">600 x 1206 cm</x:t>
        </x:is>
      </x:c>
      <x:c r="C368" s="592" t="n">
        <x:v>600</x:v>
      </x:c>
      <x:c r="D368" s="592" t="n">
        <x:v>1206</x:v>
      </x:c>
      <x:c r="E368" s="593" t="inlineStr">
        <x:is>
          <x:t xml:space="preserve">PDSB</x:t>
        </x:is>
      </x:c>
      <x:c r="F368" s="593" t="inlineStr">
        <x:is>
          <x:t xml:space="preserve">Dopłata dach szkło barwione/mleczne</x:t>
        </x:is>
      </x:c>
      <x:c r="G368" s="594" t="n">
        <x:v>0</x:v>
      </x:c>
      <x:c r="H368" s="594" t="n">
        <x:v>0</x:v>
      </x:c>
      <x:c r="I368" s="594" t="n"/>
      <x:c r="J368" s="594" t="n"/>
      <x:c r="K368" s="595" t="n"/>
      <x:c r="L368" s="593" t="inlineStr">
        <x:is>
          <x:t xml:space="preserve">POZOSTAWIĆ 0 / BRAK CENY PDSB</x:t>
        </x:is>
      </x:c>
      <x:c r="M368" s="593" t="inlineStr">
        <x:is>
          <x:t xml:space="preserve">Zgodnie z dotychczasową logiką: dopłata barwienia szkła nie ma osobnego wynagrodzenia</x:t>
        </x:is>
      </x:c>
      <x:c r="N368" s="593" t="inlineStr">
        <x:is>
          <x:t xml:space="preserve">Brak ceny dostawcy dla PDSB 550/600.</x:t>
        </x:is>
      </x:c>
      <x:c r="O368" s="593" t="inlineStr">
        <x:is>
          <x:t xml:space="preserve">RAW_ZS D/E</x:t>
        </x:is>
      </x:c>
      <x:c r="P368" s="593" t="inlineStr">
        <x:is>
          <x:t xml:space="preserve">600 x 1206 cm|PDSB</x:t>
        </x:is>
      </x:c>
    </x:row>
    <x:row r="369" s="655" customFormat="1" ht="29.5" customHeight="1">
      <x:c r="A369" s="592" t="n">
        <x:v>1319</x:v>
      </x:c>
      <x:c r="B369" s="593" t="inlineStr">
        <x:is>
          <x:t xml:space="preserve">600 x 1206 cm</x:t>
        </x:is>
      </x:c>
      <x:c r="C369" s="592" t="n">
        <x:v>600</x:v>
      </x:c>
      <x:c r="D369" s="592" t="n">
        <x:v>1206</x:v>
      </x:c>
      <x:c r="E369" s="593" t="inlineStr">
        <x:is>
          <x:t xml:space="preserve">PDPB</x:t>
        </x:is>
      </x:c>
      <x:c r="F369" s="593" t="inlineStr">
        <x:is>
          <x:t xml:space="preserve">Dopłata poliwęglan barwiony</x:t>
        </x:is>
      </x:c>
      <x:c r="G369" s="594" t="n">
        <x:v>0</x:v>
      </x:c>
      <x:c r="H369" s="594" t="n">
        <x:v>0</x:v>
      </x:c>
      <x:c r="I369" s="594" t="n">
        <x:v>1591</x:v>
      </x:c>
      <x:c r="J369" s="594" t="n">
        <x:v>457</x:v>
      </x:c>
      <x:c r="K369" s="595" t="n">
        <x:v>0.3102511880515954</x:v>
      </x:c>
      <x:c r="L369" s="593" t="inlineStr">
        <x:is>
          <x:t xml:space="preserve">POZOSTAWIĆ 0</x:t>
        </x:is>
      </x:c>
      <x:c r="M369" s="593" t="inlineStr">
        <x:is>
          <x:t xml:space="preserve">Zgodnie z Cennik usług: poliwęglan barwiony nie miał osobnej pracy ekipy</x:t>
        </x:is>
      </x:c>
      <x:c r="N369" s="593" t="inlineStr">
        <x:is>
          <x:t xml:space="preserve">Ma cenę dostawcy; montaż/wynagrodzenie zostaje 0.</x:t>
        </x:is>
      </x:c>
      <x:c r="O369" s="593" t="inlineStr">
        <x:is>
          <x:t xml:space="preserve">RAW_ZP D/E</x:t>
        </x:is>
      </x:c>
      <x:c r="P369" s="593" t="inlineStr">
        <x:is>
          <x:t xml:space="preserve">600 x 1206 cm|PDPB</x:t>
        </x:is>
      </x:c>
    </x:row>
    <x:row r="370" s="655" customFormat="1" ht="29.5" customHeight="1">
      <x:c r="A370" s="592" t="n">
        <x:v>1320</x:v>
      </x:c>
      <x:c r="B370" s="593" t="inlineStr">
        <x:is>
          <x:t xml:space="preserve">600 x 1206 cm</x:t>
        </x:is>
      </x:c>
      <x:c r="C370" s="592" t="n">
        <x:v>600</x:v>
      </x:c>
      <x:c r="D370" s="592" t="n">
        <x:v>1206</x:v>
      </x:c>
      <x:c r="E370" s="593" t="inlineStr">
        <x:is>
          <x:t xml:space="preserve">SBB</x:t>
        </x:is>
      </x:c>
      <x:c r="F370" s="593" t="inlineStr">
        <x:is>
          <x:t xml:space="preserve">Dopłata szkło boczne przyciemniane</x:t>
        </x:is>
      </x:c>
      <x:c r="G370" s="594" t="n">
        <x:v>0</x:v>
      </x:c>
      <x:c r="H370" s="594" t="n">
        <x:v>0</x:v>
      </x:c>
      <x:c r="I370" s="594" t="n">
        <x:v>3666</x:v>
      </x:c>
      <x:c r="J370" s="594" t="n">
        <x:v>1053</x:v>
      </x:c>
      <x:c r="K370" s="595" t="n">
        <x:v>0.3102533883323512</x:v>
      </x:c>
      <x:c r="L370" s="593" t="inlineStr">
        <x:is>
          <x:t xml:space="preserve">POZOSTAWIĆ 0</x:t>
        </x:is>
      </x:c>
      <x:c r="M370" s="593" t="inlineStr">
        <x:is>
          <x:t xml:space="preserve">Zgodnie z Cennik usług: szyby boczne barwione nie miały osobnej pracy ekipy</x:t>
        </x:is>
      </x:c>
      <x:c r="N370" s="593" t="inlineStr">
        <x:is>
          <x:t xml:space="preserve">Ma cenę dostawcy; montaż/wynagrodzenie zostaje 0.</x:t>
        </x:is>
      </x:c>
      <x:c r="O370" s="593" t="inlineStr">
        <x:is>
          <x:t xml:space="preserve">RAW_OP H/I</x:t>
        </x:is>
      </x:c>
      <x:c r="P370" s="593" t="inlineStr">
        <x:is>
          <x:t xml:space="preserve">600 x 1206 cm|SBB</x:t>
        </x:is>
      </x:c>
    </x:row>
    <x:row r="371" s="655" customFormat="1" ht="29.5" customHeight="1">
      <x:c r="A371" s="584" t="n">
        <x:v>1321</x:v>
      </x:c>
      <x:c r="B371" s="585" t="inlineStr">
        <x:is>
          <x:t xml:space="preserve">600 x 1206 cm</x:t>
        </x:is>
      </x:c>
      <x:c r="C371" s="584" t="n">
        <x:v>600</x:v>
      </x:c>
      <x:c r="D371" s="584" t="n">
        <x:v>1206</x:v>
      </x:c>
      <x:c r="E371" s="585" t="inlineStr">
        <x:is>
          <x:t xml:space="preserve">RB</x:t>
        </x:is>
      </x:c>
      <x:c r="F371" s="585" t="inlineStr">
        <x:is>
          <x:t xml:space="preserve">Roleta boczna ZIP</x:t>
        </x:is>
      </x:c>
      <x:c r="G371" s="586" t="n">
        <x:v>0</x:v>
      </x:c>
      <x:c r="H371" s="586" t="n">
        <x:v>150</x:v>
      </x:c>
      <x:c r="I371" s="586" t="n">
        <x:v>5437</x:v>
      </x:c>
      <x:c r="J371" s="586" t="n">
        <x:v>1412</x:v>
      </x:c>
      <x:c r="K371" s="587" t="n">
        <x:v>0.2804926499801351</x:v>
      </x:c>
      <x:c r="L371" s="585" t="inlineStr">
        <x:is>
          <x:t xml:space="preserve">UZUPEŁNIĆ L</x:t>
        </x:is>
      </x:c>
      <x:c r="M371" s="585" t="inlineStr">
        <x:is>
          <x:t xml:space="preserve">L = przedłużona kolumna Montaż rolety bocznej</x:t>
        </x:is>
      </x:c>
      <x:c r="N371" s="585" t="inlineStr">
        <x:is>
          <x:t xml:space="preserve">K zostaje 0; rentowność po L pozostaje podobna do mniejszych wymiarów.</x:t>
        </x:is>
      </x:c>
      <x:c r="O371" s="585" t="inlineStr">
        <x:is>
          <x:t xml:space="preserve">RAW_ZP J/K</x:t>
        </x:is>
      </x:c>
      <x:c r="P371" s="585" t="inlineStr">
        <x:is>
          <x:t xml:space="preserve">600 x 1206 cm|RB</x:t>
        </x:is>
      </x:c>
    </x:row>
    <x:row r="372" s="655" customFormat="1" ht="29.5" customHeight="1">
      <x:c r="A372" s="584" t="n">
        <x:v>1322</x:v>
      </x:c>
      <x:c r="B372" s="585" t="inlineStr">
        <x:is>
          <x:t xml:space="preserve">600 x 1206 cm</x:t>
        </x:is>
      </x:c>
      <x:c r="C372" s="584" t="n">
        <x:v>600</x:v>
      </x:c>
      <x:c r="D372" s="584" t="n">
        <x:v>1206</x:v>
      </x:c>
      <x:c r="E372" s="585" t="inlineStr">
        <x:is>
          <x:t xml:space="preserve">RP</x:t>
        </x:is>
      </x:c>
      <x:c r="F372" s="585" t="inlineStr">
        <x:is>
          <x:t xml:space="preserve">Roleta przednia ZIP</x:t>
        </x:is>
      </x:c>
      <x:c r="G372" s="586" t="n">
        <x:v>0</x:v>
      </x:c>
      <x:c r="H372" s="586" t="n">
        <x:v>450</x:v>
      </x:c>
      <x:c r="I372" s="586" t="n">
        <x:v>10084</x:v>
      </x:c>
      <x:c r="J372" s="586" t="n">
        <x:v>2448</x:v>
      </x:c>
      <x:c r="K372" s="587" t="n">
        <x:v>0.2621827139338117</x:v>
      </x:c>
      <x:c r="L372" s="585" t="inlineStr">
        <x:is>
          <x:t xml:space="preserve">UZUPEŁNIĆ L</x:t>
        </x:is>
      </x:c>
      <x:c r="M372" s="585" t="inlineStr">
        <x:is>
          <x:t xml:space="preserve">L = przedłużona kolumna Montaż rolety przedniej</x:t>
        </x:is>
      </x:c>
      <x:c r="N372" s="585" t="inlineStr">
        <x:is>
          <x:t xml:space="preserve">K zostaje 0; rentowność po L pozostaje podobna do mniejszych wymiarów.</x:t>
        </x:is>
      </x:c>
      <x:c r="O372" s="585" t="inlineStr">
        <x:is>
          <x:t xml:space="preserve">RAW_ZP N/O</x:t>
        </x:is>
      </x:c>
      <x:c r="P372" s="585" t="inlineStr">
        <x:is>
          <x:t xml:space="preserve">600 x 1206 cm|RP</x:t>
        </x:is>
      </x:c>
    </x:row>
    <x:row r="373" s="655" customFormat="1" ht="29.5" customHeight="1">
      <x:c r="A373" s="584" t="n">
        <x:v>1323</x:v>
      </x:c>
      <x:c r="B373" s="585" t="inlineStr">
        <x:is>
          <x:t xml:space="preserve">600 x 1206 cm</x:t>
        </x:is>
      </x:c>
      <x:c r="C373" s="584" t="n">
        <x:v>600</x:v>
      </x:c>
      <x:c r="D373" s="584" t="n">
        <x:v>1206</x:v>
      </x:c>
      <x:c r="E373" s="585" t="inlineStr">
        <x:is>
          <x:t xml:space="preserve">M</x:t>
        </x:is>
      </x:c>
      <x:c r="F373" s="585" t="inlineStr">
        <x:is>
          <x:t xml:space="preserve">Markiza dachowa</x:t>
        </x:is>
      </x:c>
      <x:c r="G373" s="586" t="n">
        <x:v>0</x:v>
      </x:c>
      <x:c r="H373" s="586" t="n">
        <x:v>700</x:v>
      </x:c>
      <x:c r="I373" s="586" t="n">
        <x:v>17837</x:v>
      </x:c>
      <x:c r="J373" s="586" t="n">
        <x:v>4426</x:v>
      </x:c>
      <x:c r="K373" s="587" t="n">
        <x:v>0.2679825623637684</x:v>
      </x:c>
      <x:c r="L373" s="585" t="inlineStr">
        <x:is>
          <x:t xml:space="preserve">UZUPEŁNIĆ L</x:t>
        </x:is>
      </x:c>
      <x:c r="M373" s="585" t="inlineStr">
        <x:is>
          <x:t xml:space="preserve">L = przedłużona kolumna Montaż markizy na dach</x:t>
        </x:is>
      </x:c>
      <x:c r="N373" s="585" t="inlineStr">
        <x:is>
          <x:t xml:space="preserve">K zostaje 0; rentowność po L pozostaje podobna do mniejszych wymiarów.</x:t>
        </x:is>
      </x:c>
      <x:c r="O373" s="585" t="inlineStr">
        <x:is>
          <x:t xml:space="preserve">RAW_ZP H/I</x:t>
        </x:is>
      </x:c>
      <x:c r="P373" s="585" t="inlineStr">
        <x:is>
          <x:t xml:space="preserve">600 x 1206 cm|M</x:t>
        </x:is>
      </x:c>
    </x:row>
    <x:row r="374" s="655" customFormat="1" ht="29.5" customHeight="1">
      <x:c r="A374" s="584" t="n">
        <x:v>1324</x:v>
      </x:c>
      <x:c r="B374" s="585" t="inlineStr">
        <x:is>
          <x:t xml:space="preserve">600 x 1206 cm</x:t>
        </x:is>
      </x:c>
      <x:c r="C374" s="584" t="n">
        <x:v>600</x:v>
      </x:c>
      <x:c r="D374" s="584" t="n">
        <x:v>1206</x:v>
      </x:c>
      <x:c r="E374" s="585" t="inlineStr">
        <x:is>
          <x:t xml:space="preserve">PDWP</x:t>
        </x:is>
      </x:c>
      <x:c r="F374" s="585" t="inlineStr">
        <x:is>
          <x:t xml:space="preserve">Fundament/profile</x:t>
        </x:is>
      </x:c>
      <x:c r="G374" s="586" t="n">
        <x:v>760</x:v>
      </x:c>
      <x:c r="H374" s="586" t="n">
        <x:v>740</x:v>
      </x:c>
      <x:c r="I374" s="586" t="n">
        <x:v>3953</x:v>
      </x:c>
      <x:c r="J374" s="586" t="n">
        <x:v>920</x:v>
      </x:c>
      <x:c r="K374" s="587" t="n">
        <x:v>0.2513661202185792</x:v>
      </x:c>
      <x:c r="L374" s="585" t="inlineStr">
        <x:is>
          <x:t xml:space="preserve">UZUPEŁNIĆ K+L / KOREKTA RENTOWNOŚCI</x:t>
        </x:is>
      </x:c>
      <x:c r="M374" s="585" t="inlineStr">
        <x:is>
          <x:t xml:space="preserve">L = Wyrównanie podłoża; K = dopłata montażowa wyliczona do min. 25% rentowności</x:t>
        </x:is>
      </x:c>
      <x:c r="N374" s="585" t="inlineStr">
        <x:is>
          <x:t xml:space="preserve">Bez K ten dodatek ma ujemną rentowność. To jest korekta biznesowa, nie tylko przedłużenie EG.</x:t>
        </x:is>
      </x:c>
      <x:c r="O374" s="585" t="inlineStr">
        <x:is>
          <x:t xml:space="preserve">RAW_OP AB/AC</x:t>
        </x:is>
      </x:c>
      <x:c r="P374" s="585" t="inlineStr">
        <x:is>
          <x:t xml:space="preserve">600 x 1206 cm|PDWP</x:t>
        </x:is>
      </x:c>
    </x:row>
    <x:row r="375" s="655" customFormat="1" ht="29.5" customHeight="1">
      <x:c r="A375" s="592" t="n">
        <x:v>1325</x:v>
      </x:c>
      <x:c r="B375" s="593" t="inlineStr">
        <x:is>
          <x:t xml:space="preserve">600 x 1206 cm</x:t>
        </x:is>
      </x:c>
      <x:c r="C375" s="592" t="n">
        <x:v>600</x:v>
      </x:c>
      <x:c r="D375" s="592" t="n">
        <x:v>1206</x:v>
      </x:c>
      <x:c r="E375" s="593" t="inlineStr">
        <x:is>
          <x:t xml:space="preserve">ZAB</x:t>
        </x:is>
      </x:c>
      <x:c r="F375" s="593" t="inlineStr">
        <x:is>
          <x:t xml:space="preserve">Zabieraki do ścian przesuwnych</x:t>
        </x:is>
      </x:c>
      <x:c r="G375" s="594" t="n">
        <x:v>0</x:v>
      </x:c>
      <x:c r="H375" s="594" t="n">
        <x:v>0</x:v>
      </x:c>
      <x:c r="I375" s="594" t="n">
        <x:v>968</x:v>
      </x:c>
      <x:c r="J375" s="594" t="n">
        <x:v>278</x:v>
      </x:c>
      <x:c r="K375" s="595" t="n">
        <x:v>0.3102678571428572</x:v>
      </x:c>
      <x:c r="L375" s="593" t="inlineStr">
        <x:is>
          <x:t xml:space="preserve">POZOSTAWIĆ 0</x:t>
        </x:is>
      </x:c>
      <x:c r="M375" s="593" t="inlineStr">
        <x:is>
          <x:t xml:space="preserve">Brak osobnej kolumny wynagrodzenia w Cennik usług; traktować jako element dodatkowy bez osobnej pracy</x:t>
        </x:is>
      </x:c>
      <x:c r="N375" s="593" t="n"/>
      <x:c r="O375" s="593" t="inlineStr">
        <x:is>
          <x:t xml:space="preserve">RAW_OP AD/AE</x:t>
        </x:is>
      </x:c>
      <x:c r="P375" s="593" t="inlineStr">
        <x:is>
          <x:t xml:space="preserve">600 x 1206 cm|ZAB</x:t>
        </x:is>
      </x:c>
    </x:row>
    <x:row r="376" s="655" customFormat="1" ht="29.5" customHeight="1">
      <x:c r="A376" s="592" t="n">
        <x:v>1326</x:v>
      </x:c>
      <x:c r="B376" s="593" t="inlineStr">
        <x:is>
          <x:t xml:space="preserve">600 x 1206 cm</x:t>
        </x:is>
      </x:c>
      <x:c r="C376" s="592" t="n">
        <x:v>600</x:v>
      </x:c>
      <x:c r="D376" s="592" t="n">
        <x:v>1206</x:v>
      </x:c>
      <x:c r="E376" s="593" t="inlineStr">
        <x:is>
          <x:t xml:space="preserve">S</x:t>
        </x:is>
      </x:c>
      <x:c r="F376" s="593" t="inlineStr">
        <x:is>
          <x:t xml:space="preserve">Szczotki przeciwkurzowe</x:t>
        </x:is>
      </x:c>
      <x:c r="G376" s="594" t="n">
        <x:v>0</x:v>
      </x:c>
      <x:c r="H376" s="594" t="n">
        <x:v>0</x:v>
      </x:c>
      <x:c r="I376" s="594" t="n">
        <x:v>1069</x:v>
      </x:c>
      <x:c r="J376" s="594" t="n">
        <x:v>307</x:v>
      </x:c>
      <x:c r="K376" s="595" t="n">
        <x:v>0.3101010101010101</x:v>
      </x:c>
      <x:c r="L376" s="593" t="inlineStr">
        <x:is>
          <x:t xml:space="preserve">POZOSTAWIĆ 0</x:t>
        </x:is>
      </x:c>
      <x:c r="M376" s="593" t="inlineStr">
        <x:is>
          <x:t xml:space="preserve">Zgodnie z Cennik usług: szczotki przeciwkurzowe bez osobnego wynagrodzenia</x:t>
        </x:is>
      </x:c>
      <x:c r="N376" s="593" t="n"/>
      <x:c r="O376" s="593" t="inlineStr">
        <x:is>
          <x:t xml:space="preserve">RAW_OP L/M</x:t>
        </x:is>
      </x:c>
      <x:c r="P376" s="593" t="inlineStr">
        <x:is>
          <x:t xml:space="preserve">600 x 1206 cm|S</x:t>
        </x:is>
      </x:c>
    </x:row>
    <x:row r="377" s="655" customFormat="1" ht="29.5" customHeight="1">
      <x:c r="A377" s="592" t="n">
        <x:v>1327</x:v>
      </x:c>
      <x:c r="B377" s="593" t="inlineStr">
        <x:is>
          <x:t xml:space="preserve">600 x 1206 cm</x:t>
        </x:is>
      </x:c>
      <x:c r="C377" s="592" t="n">
        <x:v>600</x:v>
      </x:c>
      <x:c r="D377" s="592" t="n">
        <x:v>1206</x:v>
      </x:c>
      <x:c r="E377" s="593" t="inlineStr">
        <x:is>
          <x:t xml:space="preserve">U</x:t>
        </x:is>
      </x:c>
      <x:c r="F377" s="593" t="inlineStr">
        <x:is>
          <x:t xml:space="preserve">Uchwyty na szkło ścienne</x:t>
        </x:is>
      </x:c>
      <x:c r="G377" s="594" t="n">
        <x:v>0</x:v>
      </x:c>
      <x:c r="H377" s="594" t="n">
        <x:v>0</x:v>
      </x:c>
      <x:c r="I377" s="594" t="n">
        <x:v>968</x:v>
      </x:c>
      <x:c r="J377" s="594" t="n">
        <x:v>278</x:v>
      </x:c>
      <x:c r="K377" s="595" t="n">
        <x:v>0.3102678571428572</x:v>
      </x:c>
      <x:c r="L377" s="593" t="inlineStr">
        <x:is>
          <x:t xml:space="preserve">POZOSTAWIĆ 0</x:t>
        </x:is>
      </x:c>
      <x:c r="M377" s="593" t="inlineStr">
        <x:is>
          <x:t xml:space="preserve">Zgodnie z Cennik usług: uchwyty bez osobnego wynagrodzenia</x:t>
        </x:is>
      </x:c>
      <x:c r="N377" s="593" t="n"/>
      <x:c r="O377" s="593" t="inlineStr">
        <x:is>
          <x:t xml:space="preserve">RAW_OP N/O</x:t>
        </x:is>
      </x:c>
      <x:c r="P377" s="593" t="inlineStr">
        <x:is>
          <x:t xml:space="preserve">600 x 1206 cm|U</x:t>
        </x:is>
      </x:c>
    </x:row>
    <x:row r="378" s="655" customFormat="1" ht="29.5" customHeight="1">
      <x:c r="A378" s="592" t="n">
        <x:v>1328</x:v>
      </x:c>
      <x:c r="B378" s="593" t="inlineStr">
        <x:is>
          <x:t xml:space="preserve">600 x 1206 cm</x:t>
        </x:is>
      </x:c>
      <x:c r="C378" s="592" t="n">
        <x:v>600</x:v>
      </x:c>
      <x:c r="D378" s="592" t="n">
        <x:v>1206</x:v>
      </x:c>
      <x:c r="E378" s="593" t="inlineStr">
        <x:is>
          <x:t xml:space="preserve">LED2</x:t>
        </x:is>
      </x:c>
      <x:c r="F378" s="593" t="inlineStr">
        <x:is>
          <x:t xml:space="preserve">Oświetlenie LED 2 punkty</x:t>
        </x:is>
      </x:c>
      <x:c r="G378" s="594" t="n">
        <x:v>0</x:v>
      </x:c>
      <x:c r="H378" s="594" t="n">
        <x:v>0</x:v>
      </x:c>
      <x:c r="I378" s="594" t="n">
        <x:v>1923</x:v>
      </x:c>
      <x:c r="J378" s="594" t="n">
        <x:v>553</x:v>
      </x:c>
      <x:c r="K378" s="595" t="n">
        <x:v>0.3104997192588433</x:v>
      </x:c>
      <x:c r="L378" s="593" t="inlineStr">
        <x:is>
          <x:t xml:space="preserve">POZOSTAWIĆ 0 NA RAZIE</x:t>
        </x:is>
      </x:c>
      <x:c r="M378" s="593" t="inlineStr">
        <x:is>
          <x:t xml:space="preserve">Cennik usług miał LED bez osobnego wynagrodzenia; kolumna LED z Wynagr. ekipy jest tylko informacyjna</x:t>
        </x:is>
      </x:c>
      <x:c r="N378" s="593" t="inlineStr">
        <x:is>
          <x:t xml:space="preserve">Informacyjnie wg Wynagr. ekipy LED na krokiew: 700 zł.</x:t>
        </x:is>
      </x:c>
      <x:c r="O378" s="593" t="inlineStr">
        <x:is>
          <x:t xml:space="preserve">RAW_ZP P/Q</x:t>
        </x:is>
      </x:c>
      <x:c r="P378" s="593" t="inlineStr">
        <x:is>
          <x:t xml:space="preserve">600 x 1206 cm|LED2</x:t>
        </x:is>
      </x:c>
    </x:row>
    <x:row r="379" s="655" customFormat="1" ht="29.5" customHeight="1">
      <x:c r="A379" s="592" t="n">
        <x:v>1329</x:v>
      </x:c>
      <x:c r="B379" s="593" t="inlineStr">
        <x:is>
          <x:t xml:space="preserve">600 x 1206 cm</x:t>
        </x:is>
      </x:c>
      <x:c r="C379" s="592" t="n">
        <x:v>600</x:v>
      </x:c>
      <x:c r="D379" s="592" t="n">
        <x:v>1206</x:v>
      </x:c>
      <x:c r="E379" s="593" t="inlineStr">
        <x:is>
          <x:t xml:space="preserve">LED3</x:t>
        </x:is>
      </x:c>
      <x:c r="F379" s="593" t="inlineStr">
        <x:is>
          <x:t xml:space="preserve">Oświetlenie LED 3 punkty</x:t>
        </x:is>
      </x:c>
      <x:c r="G379" s="594" t="n">
        <x:v>0</x:v>
      </x:c>
      <x:c r="H379" s="594" t="n">
        <x:v>0</x:v>
      </x:c>
      <x:c r="I379" s="594" t="n">
        <x:v>2419</x:v>
      </x:c>
      <x:c r="J379" s="594" t="n">
        <x:v>695</x:v>
      </x:c>
      <x:c r="K379" s="595" t="n">
        <x:v>0.3102678571428572</x:v>
      </x:c>
      <x:c r="L379" s="593" t="inlineStr">
        <x:is>
          <x:t xml:space="preserve">POZOSTAWIĆ 0 NA RAZIE</x:t>
        </x:is>
      </x:c>
      <x:c r="M379" s="593" t="inlineStr">
        <x:is>
          <x:t xml:space="preserve">Cennik usług miał LED bez osobnego wynagrodzenia; kolumna LED z Wynagr. ekipy jest tylko informacyjna</x:t>
        </x:is>
      </x:c>
      <x:c r="N379" s="593" t="inlineStr">
        <x:is>
          <x:t xml:space="preserve">Informacyjnie wg Wynagr. ekipy LED na krokiew: 700 zł.</x:t>
        </x:is>
      </x:c>
      <x:c r="O379" s="593" t="inlineStr">
        <x:is>
          <x:t xml:space="preserve">RAW_ZP R/S</x:t>
        </x:is>
      </x:c>
      <x:c r="P379" s="593" t="inlineStr">
        <x:is>
          <x:t xml:space="preserve">600 x 1206 cm|LED3</x:t>
        </x:is>
      </x:c>
    </x:row>
    <x:row r="380" s="655" customFormat="1" ht="29.5" customHeight="1">
      <x:c r="A380" s="592" t="n">
        <x:v>1330</x:v>
      </x:c>
      <x:c r="B380" s="593" t="inlineStr">
        <x:is>
          <x:t xml:space="preserve">600 x 1206 cm</x:t>
        </x:is>
      </x:c>
      <x:c r="C380" s="592" t="n">
        <x:v>600</x:v>
      </x:c>
      <x:c r="D380" s="592" t="n">
        <x:v>1206</x:v>
      </x:c>
      <x:c r="E380" s="593" t="inlineStr">
        <x:is>
          <x:t xml:space="preserve">LEDCCT</x:t>
        </x:is>
      </x:c>
      <x:c r="F380" s="593" t="inlineStr">
        <x:is>
          <x:t xml:space="preserve">Oświetlenie LED CCT</x:t>
        </x:is>
      </x:c>
      <x:c r="G380" s="594" t="n">
        <x:v>0</x:v>
      </x:c>
      <x:c r="H380" s="594" t="n">
        <x:v>0</x:v>
      </x:c>
      <x:c r="I380" s="594" t="n">
        <x:v>0</x:v>
      </x:c>
      <x:c r="J380" s="594" t="n">
        <x:v>0</x:v>
      </x:c>
      <x:c r="K380" s="595" t="n"/>
      <x:c r="L380" s="593" t="inlineStr">
        <x:is>
          <x:t xml:space="preserve">POZOSTAWIĆ 0 / UKRYTE</x:t>
        </x:is>
      </x:c>
      <x:c r="M380" s="593" t="inlineStr">
        <x:is>
          <x:t xml:space="preserve">Brak pełnego cennika dla 550/600; opcje nadal crm_only/ukryte</x:t>
        </x:is>
      </x:c>
      <x:c r="N380" s="593" t="n"/>
      <x:c r="O380" s="593" t="inlineStr">
        <x:is>
          <x:t xml:space="preserve">RAW_ZP T/U</x:t>
        </x:is>
      </x:c>
      <x:c r="P380" s="593" t="inlineStr">
        <x:is>
          <x:t xml:space="preserve">600 x 1206 cm|LEDCCT</x:t>
        </x:is>
      </x:c>
    </x:row>
    <x:row r="381" s="655" customFormat="1" ht="29.5" customHeight="1">
      <x:c r="A381" s="592" t="n">
        <x:v>1331</x:v>
      </x:c>
      <x:c r="B381" s="593" t="inlineStr">
        <x:is>
          <x:t xml:space="preserve">600 x 1206 cm</x:t>
        </x:is>
      </x:c>
      <x:c r="C381" s="592" t="n">
        <x:v>600</x:v>
      </x:c>
      <x:c r="D381" s="592" t="n">
        <x:v>1206</x:v>
      </x:c>
      <x:c r="E381" s="593" t="inlineStr">
        <x:is>
          <x:t xml:space="preserve">LEDRGBCCT</x:t>
        </x:is>
      </x:c>
      <x:c r="F381" s="593" t="inlineStr">
        <x:is>
          <x:t xml:space="preserve">Oświetlenie LED RGB CCT</x:t>
        </x:is>
      </x:c>
      <x:c r="G381" s="594" t="n">
        <x:v>0</x:v>
      </x:c>
      <x:c r="H381" s="594" t="n">
        <x:v>0</x:v>
      </x:c>
      <x:c r="I381" s="594" t="n">
        <x:v>0</x:v>
      </x:c>
      <x:c r="J381" s="594" t="n">
        <x:v>0</x:v>
      </x:c>
      <x:c r="K381" s="595" t="n"/>
      <x:c r="L381" s="593" t="inlineStr">
        <x:is>
          <x:t xml:space="preserve">POZOSTAWIĆ 0 / UKRYTE</x:t>
        </x:is>
      </x:c>
      <x:c r="M381" s="593" t="inlineStr">
        <x:is>
          <x:t xml:space="preserve">Brak pełnego cennika dla 550/600; opcje nadal crm_only/ukryte</x:t>
        </x:is>
      </x:c>
      <x:c r="N381" s="593" t="n"/>
      <x:c r="O381" s="593" t="inlineStr">
        <x:is>
          <x:t xml:space="preserve">RAW_ZP V/W</x:t>
        </x:is>
      </x:c>
      <x:c r="P381" s="593" t="inlineStr">
        <x:is>
          <x:t xml:space="preserve">600 x 1206 cm|LEDRGBCCT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4.75"/>
  <x:cols>
    <x:col min="1" max="1" width="42" style="655" customWidth="1"/>
    <x:col min="2" max="2" width="18" style="655" customWidth="1"/>
    <x:col min="3" max="3" width="72" style="655" customWidth="1"/>
    <x:col min="4" max="4" width="32" style="655" customWidth="1"/>
  </x:cols>
  <x:sheetData>
    <x:row r="1" s="655" customFormat="1" ht="26" customHeight="1">
      <x:c r="A1" s="596" t="inlineStr">
        <x:is>
          <x:t xml:space="preserve">FIX11 — uzupełnienie montażu i wynagrodzenia dla 550/600</x:t>
        </x:is>
      </x:c>
    </x:row>
    <x:row r="2" s="655" customFormat="1" ht="26" customHeight="1"/>
    <x:row r="3" s="655" customFormat="1" ht="26" customHeight="1">
      <x:c r="A3" s="578" t="inlineStr">
        <x:is>
          <x:t xml:space="preserve">Cel</x:t>
        </x:is>
      </x:c>
      <x:c r="B3" s="579" t="inlineStr">
        <x:is>
          <x:t xml:space="preserve">Uzupełnić kolumny K (Cena montażu netto) i L (Wynagrodzenie + koszty) w 03_Cennik_uslug_nowy dla wymiarów 550/600, na podstawie modelu z propozycji.</x:t>
        </x:is>
      </x:c>
    </x:row>
    <x:row r="4" s="655" customFormat="1" ht="26" customHeight="1">
      <x:c r="A4" s="578" t="inlineStr">
        <x:is>
          <x:t xml:space="preserve">Źródło decyzji</x:t>
        </x:is>
      </x:c>
      <x:c r="B4" s="579" t="inlineStr">
        <x:is>
          <x:t xml:space="preserve">MoonGlass_propozycja_kolumn_montaz_wynagrodzenie_550_600_v0_2.xlsx + arkusz 09_FIX11_MONT_550_600.</x:t>
        </x:is>
      </x:c>
    </x:row>
    <x:row r="5" s="655" customFormat="1" ht="26" customHeight="1">
      <x:c r="A5" s="578" t="inlineStr">
        <x:is>
          <x:t xml:space="preserve">Zakres</x:t>
        </x:is>
      </x:c>
      <x:c r="B5" s="579" t="inlineStr">
        <x:is>
          <x:t xml:space="preserve">Wszystkie pozycje 550/600 z 03_Cennik_uslug_nowy. ZP/OP/PDWP/RB/RP/M uzupełnione roboczo; ZS/OS/PDS mają wartości robocizny informacyjnie, ale brak pełnych cen dostawcy szkła.</x:t>
        </x:is>
      </x:c>
    </x:row>
    <x:row r="6" s="655" customFormat="1" ht="26" customHeight="1">
      <x:c r="A6" s="578" t="inlineStr">
        <x:is>
          <x:t xml:space="preserve">Uwaga</x:t>
        </x:is>
      </x:c>
      <x:c r="B6" s="579" t="inlineStr">
        <x:is>
          <x:t xml:space="preserve">To jest FIX11 roboczy. Szkło 550/600 nadal nie powinno trafić na stronę jako normalna opcja, dopóki nie ma RAW_ZS/RAW_OS / ceny dostawcy.</x:t>
        </x:is>
      </x:c>
    </x:row>
    <x:row r="7" s="655" customFormat="1" ht="26" customHeight="1"/>
    <x:row r="8">
      <x:c r="A8" s="583" t="inlineStr">
        <x:is>
          <x:t xml:space="preserve">Status</x:t>
        </x:is>
      </x:c>
      <x:c r="B8" s="583" t="inlineStr">
        <x:is>
          <x:t xml:space="preserve">Liczba pozycji</x:t>
        </x:is>
      </x:c>
      <x:c r="C8" s="583" t="inlineStr">
        <x:is>
          <x:t xml:space="preserve">Uwagi</x:t>
        </x:is>
      </x:c>
    </x:row>
    <x:row r="9">
      <x:c r="A9" s="597" t="inlineStr">
        <x:is>
          <x:t xml:space="preserve">UZUPEŁNIĆ</x:t>
        </x:is>
      </x:c>
      <x:c r="B9" s="597" t="n">
        <x:v>40</x:v>
      </x:c>
      <x:c r="C9" s="597" t="inlineStr">
        <x:is>
          <x:t xml:space="preserve">Wartości przeniesione do kolumn K/L w 03_Cennik_uslug_nowy.</x:t>
        </x:is>
      </x:c>
    </x:row>
    <x:row r="10">
      <x:c r="A10" s="597" t="inlineStr">
        <x:is>
          <x:t xml:space="preserve">UZUPEŁNIĆ L</x:t>
        </x:is>
      </x:c>
      <x:c r="B10" s="597" t="n">
        <x:v>60</x:v>
      </x:c>
      <x:c r="C10" s="597" t="inlineStr">
        <x:is>
          <x:t xml:space="preserve">Wartości przeniesione do kolumn K/L w 03_Cennik_uslug_nowy.</x:t>
        </x:is>
      </x:c>
    </x:row>
    <x:row r="11">
      <x:c r="A11" s="597" t="inlineStr">
        <x:is>
          <x:t xml:space="preserve">UZUPEŁNIĆ K+L / KOREKTA RENTOWNOŚCI</x:t>
        </x:is>
      </x:c>
      <x:c r="B11" s="597" t="n">
        <x:v>20</x:v>
      </x:c>
      <x:c r="C11" s="597" t="inlineStr">
        <x:is>
          <x:t xml:space="preserve">Wartości przeniesione do kolumn K/L w 03_Cennik_uslug_nowy.</x:t>
        </x:is>
      </x:c>
    </x:row>
    <x:row r="12">
      <x:c r="A12" s="597" t="inlineStr">
        <x:is>
          <x:t xml:space="preserve">NIE PUBLIKOWAĆ / BRAK RAW_ZS</x:t>
        </x:is>
      </x:c>
      <x:c r="B12" s="597" t="n">
        <x:v>20</x:v>
      </x:c>
      <x:c r="C12" s="597" t="inlineStr">
        <x:is>
          <x:t xml:space="preserve">Robocizna jest w modelu, ale brak ceny dostawcy dla pełnej konstrukcji szkła.</x:t>
        </x:is>
      </x:c>
    </x:row>
    <x:row r="13">
      <x:c r="A13" s="597" t="inlineStr">
        <x:is>
          <x:t xml:space="preserve">NIE PUBLIKOWAĆ / BRAK RAW_OS</x:t>
        </x:is>
      </x:c>
      <x:c r="B13" s="597" t="n">
        <x:v>20</x:v>
      </x:c>
      <x:c r="C13" s="597" t="inlineStr">
        <x:is>
          <x:t xml:space="preserve">Robocizna jest w modelu, ale brak ceny dostawcy dla pełnej konstrukcji szkła.</x:t>
        </x:is>
      </x:c>
    </x:row>
    <x:row r="14" s="655" customFormat="1" ht="29.5" customHeight="1">
      <x:c r="A14" s="597" t="inlineStr">
        <x:is>
          <x:t xml:space="preserve">DO UŻYCIA DOPIERO GDY BĘDZIE CENA DACHU SZKŁO</x:t>
        </x:is>
      </x:c>
      <x:c r="B14" s="597" t="n">
        <x:v>20</x:v>
      </x:c>
      <x:c r="C14" s="597" t="inlineStr">
        <x:is>
          <x:t xml:space="preserve">Wartości pomocnicze do wykorzystania po otrzymaniu cen dachu szklanego.</x:t>
        </x:is>
      </x:c>
    </x:row>
    <x:row r="15">
      <x:c r="A15" s="597" t="inlineStr">
        <x:is>
          <x:t xml:space="preserve">POZOSTAWIĆ 0 / BRAK CENY PDSB</x:t>
        </x:is>
      </x:c>
      <x:c r="B15" s="597" t="n">
        <x:v>20</x:v>
      </x:c>
      <x:c r="C15" s="597" t="inlineStr">
        <x:is>
          <x:t xml:space="preserve">Pozostawiono 0 zgodnie z modelem.</x:t>
        </x:is>
      </x:c>
    </x:row>
    <x:row r="16">
      <x:c r="A16" s="597" t="inlineStr">
        <x:is>
          <x:t xml:space="preserve">POZOSTAWIĆ 0</x:t>
        </x:is>
      </x:c>
      <x:c r="B16" s="597" t="n">
        <x:v>100</x:v>
      </x:c>
      <x:c r="C16" s="597" t="inlineStr">
        <x:is>
          <x:t xml:space="preserve">Pozostawiono 0 zgodnie z modelem.</x:t>
        </x:is>
      </x:c>
    </x:row>
    <x:row r="17">
      <x:c r="A17" s="597" t="inlineStr">
        <x:is>
          <x:t xml:space="preserve">POZOSTAWIĆ 0 NA RAZIE</x:t>
        </x:is>
      </x:c>
      <x:c r="B17" s="597" t="n">
        <x:v>40</x:v>
      </x:c>
      <x:c r="C17" s="597" t="inlineStr">
        <x:is>
          <x:t xml:space="preserve">Pozostawiono 0 zgodnie z modelem.</x:t>
        </x:is>
      </x:c>
    </x:row>
    <x:row r="18">
      <x:c r="A18" s="597" t="inlineStr">
        <x:is>
          <x:t xml:space="preserve">POZOSTAWIĆ 0 / UKRYTE</x:t>
        </x:is>
      </x:c>
      <x:c r="B18" s="597" t="n">
        <x:v>40</x:v>
      </x:c>
      <x:c r="C18" s="597" t="inlineStr">
        <x:is>
          <x:t xml:space="preserve">Pozostawiono 0 zgodnie z modelem.</x:t>
        </x:is>
      </x:c>
    </x:row>
    <x:row r="21">
      <x:c r="A21" s="583" t="inlineStr">
        <x:is>
          <x:t xml:space="preserve">Kod</x:t>
        </x:is>
      </x:c>
      <x:c r="B21" s="583" t="inlineStr">
        <x:is>
          <x:t xml:space="preserve">Liczba pozycji</x:t>
        </x:is>
      </x:c>
      <x:c r="C21" s="583" t="inlineStr">
        <x:is>
          <x:t xml:space="preserve">Suma PROP. Montaż netto</x:t>
        </x:is>
      </x:c>
      <x:c r="D21" s="583" t="inlineStr">
        <x:is>
          <x:t xml:space="preserve">Suma PROP. Wynagr.+koszty</x:t>
        </x:is>
      </x:c>
    </x:row>
    <x:row r="22">
      <x:c r="A22" s="598" t="inlineStr">
        <x:is>
          <x:t xml:space="preserve">LED2</x:t>
        </x:is>
      </x:c>
      <x:c r="B22" s="598" t="n">
        <x:v>20</x:v>
      </x:c>
      <x:c r="C22" s="599" t="n">
        <x:v>0</x:v>
      </x:c>
      <x:c r="D22" s="599" t="n">
        <x:v>0</x:v>
      </x:c>
    </x:row>
    <x:row r="23">
      <x:c r="A23" s="598" t="inlineStr">
        <x:is>
          <x:t xml:space="preserve">LED3</x:t>
        </x:is>
      </x:c>
      <x:c r="B23" s="598" t="n">
        <x:v>20</x:v>
      </x:c>
      <x:c r="C23" s="599" t="n">
        <x:v>0</x:v>
      </x:c>
      <x:c r="D23" s="599" t="n">
        <x:v>0</x:v>
      </x:c>
    </x:row>
    <x:row r="24">
      <x:c r="A24" s="598" t="inlineStr">
        <x:is>
          <x:t xml:space="preserve">LEDCCT</x:t>
        </x:is>
      </x:c>
      <x:c r="B24" s="598" t="n">
        <x:v>20</x:v>
      </x:c>
      <x:c r="C24" s="599" t="n">
        <x:v>0</x:v>
      </x:c>
      <x:c r="D24" s="599" t="n">
        <x:v>0</x:v>
      </x:c>
    </x:row>
    <x:row r="25">
      <x:c r="A25" s="598" t="inlineStr">
        <x:is>
          <x:t xml:space="preserve">LEDRGBCCT</x:t>
        </x:is>
      </x:c>
      <x:c r="B25" s="598" t="n">
        <x:v>20</x:v>
      </x:c>
      <x:c r="C25" s="599" t="n">
        <x:v>0</x:v>
      </x:c>
      <x:c r="D25" s="599" t="n">
        <x:v>0</x:v>
      </x:c>
    </x:row>
    <x:row r="26">
      <x:c r="A26" s="598" t="inlineStr">
        <x:is>
          <x:t xml:space="preserve">M</x:t>
        </x:is>
      </x:c>
      <x:c r="B26" s="598" t="n">
        <x:v>20</x:v>
      </x:c>
      <x:c r="C26" s="599" t="n">
        <x:v>0</x:v>
      </x:c>
      <x:c r="D26" s="599" t="n">
        <x:v>9100</x:v>
      </x:c>
    </x:row>
    <x:row r="27">
      <x:c r="A27" s="598" t="inlineStr">
        <x:is>
          <x:t xml:space="preserve">OP</x:t>
        </x:is>
      </x:c>
      <x:c r="B27" s="598" t="n">
        <x:v>20</x:v>
      </x:c>
      <x:c r="C27" s="599" t="n">
        <x:v>131350</x:v>
      </x:c>
      <x:c r="D27" s="599" t="n">
        <x:v>49500</x:v>
      </x:c>
    </x:row>
    <x:row r="28">
      <x:c r="A28" s="598" t="inlineStr">
        <x:is>
          <x:t xml:space="preserve">OS</x:t>
        </x:is>
      </x:c>
      <x:c r="B28" s="598" t="n">
        <x:v>20</x:v>
      </x:c>
      <x:c r="C28" s="599" t="n">
        <x:v>131350</x:v>
      </x:c>
      <x:c r="D28" s="599" t="n">
        <x:v>59400</x:v>
      </x:c>
    </x:row>
    <x:row r="29">
      <x:c r="A29" s="598" t="inlineStr">
        <x:is>
          <x:t xml:space="preserve">PDPB</x:t>
        </x:is>
      </x:c>
      <x:c r="B29" s="598" t="n">
        <x:v>20</x:v>
      </x:c>
      <x:c r="C29" s="599" t="n">
        <x:v>0</x:v>
      </x:c>
      <x:c r="D29" s="599" t="n">
        <x:v>0</x:v>
      </x:c>
    </x:row>
    <x:row r="30">
      <x:c r="A30" s="598" t="inlineStr">
        <x:is>
          <x:t xml:space="preserve">PDS</x:t>
        </x:is>
      </x:c>
      <x:c r="B30" s="598" t="n">
        <x:v>20</x:v>
      </x:c>
      <x:c r="C30" s="599" t="n">
        <x:v>0</x:v>
      </x:c>
      <x:c r="D30" s="599" t="n">
        <x:v>9900</x:v>
      </x:c>
    </x:row>
    <x:row r="31">
      <x:c r="A31" s="598" t="inlineStr">
        <x:is>
          <x:t xml:space="preserve">PDSB</x:t>
        </x:is>
      </x:c>
      <x:c r="B31" s="598" t="n">
        <x:v>20</x:v>
      </x:c>
      <x:c r="C31" s="599" t="n">
        <x:v>0</x:v>
      </x:c>
      <x:c r="D31" s="599" t="n">
        <x:v>0</x:v>
      </x:c>
    </x:row>
    <x:row r="32">
      <x:c r="A32" s="598" t="inlineStr">
        <x:is>
          <x:t xml:space="preserve">PDWP</x:t>
        </x:is>
      </x:c>
      <x:c r="B32" s="598" t="n">
        <x:v>20</x:v>
      </x:c>
      <x:c r="C32" s="599" t="n">
        <x:v>12840</x:v>
      </x:c>
      <x:c r="D32" s="599" t="n">
        <x:v>11960</x:v>
      </x:c>
    </x:row>
    <x:row r="33">
      <x:c r="A33" s="598" t="inlineStr">
        <x:is>
          <x:t xml:space="preserve">RB</x:t>
        </x:is>
      </x:c>
      <x:c r="B33" s="598" t="n">
        <x:v>20</x:v>
      </x:c>
      <x:c r="C33" s="599" t="n">
        <x:v>0</x:v>
      </x:c>
      <x:c r="D33" s="599" t="n">
        <x:v>3000</x:v>
      </x:c>
    </x:row>
    <x:row r="34">
      <x:c r="A34" s="598" t="inlineStr">
        <x:is>
          <x:t xml:space="preserve">RP</x:t>
        </x:is>
      </x:c>
      <x:c r="B34" s="598" t="n">
        <x:v>20</x:v>
      </x:c>
      <x:c r="C34" s="599" t="n">
        <x:v>0</x:v>
      </x:c>
      <x:c r="D34" s="599" t="n">
        <x:v>6600</x:v>
      </x:c>
    </x:row>
    <x:row r="35">
      <x:c r="A35" s="598" t="inlineStr">
        <x:is>
          <x:t xml:space="preserve">S</x:t>
        </x:is>
      </x:c>
      <x:c r="B35" s="598" t="n">
        <x:v>20</x:v>
      </x:c>
      <x:c r="C35" s="599" t="n">
        <x:v>0</x:v>
      </x:c>
      <x:c r="D35" s="599" t="n">
        <x:v>0</x:v>
      </x:c>
    </x:row>
    <x:row r="36">
      <x:c r="A36" s="598" t="inlineStr">
        <x:is>
          <x:t xml:space="preserve">SBB</x:t>
        </x:is>
      </x:c>
      <x:c r="B36" s="598" t="n">
        <x:v>20</x:v>
      </x:c>
      <x:c r="C36" s="599" t="n">
        <x:v>0</x:v>
      </x:c>
      <x:c r="D36" s="599" t="n">
        <x:v>0</x:v>
      </x:c>
    </x:row>
    <x:row r="37">
      <x:c r="A37" s="598" t="inlineStr">
        <x:is>
          <x:t xml:space="preserve">U</x:t>
        </x:is>
      </x:c>
      <x:c r="B37" s="598" t="n">
        <x:v>20</x:v>
      </x:c>
      <x:c r="C37" s="599" t="n">
        <x:v>0</x:v>
      </x:c>
      <x:c r="D37" s="599" t="n">
        <x:v>0</x:v>
      </x:c>
    </x:row>
    <x:row r="38">
      <x:c r="A38" s="598" t="inlineStr">
        <x:is>
          <x:t xml:space="preserve">ZAB</x:t>
        </x:is>
      </x:c>
      <x:c r="B38" s="598" t="n">
        <x:v>20</x:v>
      </x:c>
      <x:c r="C38" s="599" t="n">
        <x:v>0</x:v>
      </x:c>
      <x:c r="D38" s="599" t="n">
        <x:v>0</x:v>
      </x:c>
    </x:row>
    <x:row r="39">
      <x:c r="A39" s="598" t="inlineStr">
        <x:is>
          <x:t xml:space="preserve">ZP</x:t>
        </x:is>
      </x:c>
      <x:c r="B39" s="598" t="n">
        <x:v>20</x:v>
      </x:c>
      <x:c r="C39" s="599" t="n">
        <x:v>109060</x:v>
      </x:c>
      <x:c r="D39" s="599" t="n">
        <x:v>35310</x:v>
      </x:c>
    </x:row>
    <x:row r="40">
      <x:c r="A40" s="598" t="inlineStr">
        <x:is>
          <x:t xml:space="preserve">ZS</x:t>
        </x:is>
      </x:c>
      <x:c r="B40" s="598" t="n">
        <x:v>20</x:v>
      </x:c>
      <x:c r="C40" s="599" t="n">
        <x:v>109060</x:v>
      </x:c>
      <x:c r="D40" s="599" t="n">
        <x:v>45210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BFBFBF"/>
  </x:sheetPr>
  <x:sheetViews>
    <x:sheetView showGridLines="0" workbookViewId="0"/>
  </x:sheetViews>
  <x:sheetFormatPr baseColWidth="8" defaultRowHeight="14.75"/>
  <x:cols>
    <x:col min="1" max="1" width="24.7265625" style="655" customWidth="1"/>
    <x:col min="2" max="2" width="11.7265625" style="655" customWidth="1"/>
    <x:col min="3" max="23" width="13" style="655" customWidth="1"/>
  </x:cols>
  <x:sheetData>
    <x:row r="1" s="655" customFormat="1" ht="43.5" customHeight="1">
      <x:c r="A1" s="15" t="inlineStr">
        <x:is>
          <x:t xml:space="preserve">WYMIARY 
Szerokość (od ściany do słupa)
x Długość (wzdłuż ściany)</x:t>
        </x:is>
      </x:c>
      <x:c r="B1" s="628" t="inlineStr">
        <x:is>
          <x:t xml:space="preserve"> Zadaszenie z poliwęglanem 
 wielokomorowym 16 mm 
 bezbarwnym</x:t>
        </x:is>
      </x:c>
      <x:c r="C1" s="617" t="n"/>
      <x:c r="D1" s="616" t="inlineStr">
        <x:is>
          <x:t xml:space="preserve"> Dopłata za poliwęglan 
 mleczny /szary /przyciemniany</x:t>
        </x:is>
      </x:c>
      <x:c r="E1" s="617" t="n"/>
      <x:c r="F1" s="625" t="inlineStr">
        <x:is>
          <x:t xml:space="preserve"> Dopłata za poliwęglan 
 jednokomorowy 3,5 kg /m3</x:t>
        </x:is>
      </x:c>
      <x:c r="G1" s="617" t="n"/>
      <x:c r="H1" s="623" t="inlineStr">
        <x:is>
          <x:t xml:space="preserve"> Markiza dachowa zewnętrzna</x:t>
        </x:is>
      </x:c>
      <x:c r="I1" s="617" t="n"/>
      <x:c r="J1" s="624" t="inlineStr">
        <x:is>
          <x:t xml:space="preserve"> Roleta ścienna ZIP lewa</x:t>
        </x:is>
      </x:c>
      <x:c r="K1" s="617" t="n"/>
      <x:c r="L1" s="622" t="inlineStr">
        <x:is>
          <x:t xml:space="preserve"> Roleta ścienna ZIP prawa</x:t>
        </x:is>
      </x:c>
      <x:c r="M1" s="617" t="n"/>
      <x:c r="N1" s="624" t="inlineStr">
        <x:is>
          <x:t xml:space="preserve"> Roleta ścienna ZIP przednia</x:t>
        </x:is>
      </x:c>
      <x:c r="O1" s="617" t="n"/>
      <x:c r="P1" s="622" t="inlineStr">
        <x:is>
          <x:t xml:space="preserve"> Oświetlenie LED 2 punkty 
 na krokwie wewnętrzne 
 - komplet</x:t>
        </x:is>
      </x:c>
      <x:c r="Q1" s="617" t="n"/>
      <x:c r="R1" s="620" t="inlineStr">
        <x:is>
          <x:t xml:space="preserve"> Oświetlenie LED 3 punkty 
 na krokwie wewnętrzne 
 - komplet</x:t>
        </x:is>
      </x:c>
      <x:c r="S1" s="621" t="n"/>
      <x:c r="T1" s="622" t="inlineStr">
        <x:is>
          <x:t xml:space="preserve">Oświetlenie LED CCT
 - komplet</x:t>
        </x:is>
      </x:c>
      <x:c r="U1" s="617" t="n"/>
      <x:c r="V1" s="620" t="inlineStr">
        <x:is>
          <x:t xml:space="preserve">Oświetlenie LED RGB CCT
 - komplet</x:t>
        </x:is>
      </x:c>
      <x:c r="W1" s="621" t="n"/>
    </x:row>
    <x:row r="2" s="655" customFormat="1" ht="39.75" customHeight="1">
      <x:c r="A2" s="16" t="inlineStr">
        <x:is>
          <x:t xml:space="preserve">Zadaszenie 
- dach z poliwęglanu </x:t>
        </x:is>
      </x:c>
      <x:c r="B2" s="17" t="inlineStr">
        <x:is>
          <x:t xml:space="preserve">Cena brutto </x:t>
        </x:is>
      </x:c>
      <x:c r="C2" s="18" t="inlineStr">
        <x:is>
          <x:t xml:space="preserve">netto </x:t>
        </x:is>
      </x:c>
      <x:c r="D2" s="19" t="inlineStr">
        <x:is>
          <x:t xml:space="preserve">Cena brutto </x:t>
        </x:is>
      </x:c>
      <x:c r="E2" s="18" t="inlineStr">
        <x:is>
          <x:t xml:space="preserve">netto </x:t>
        </x:is>
      </x:c>
      <x:c r="F2" s="19" t="inlineStr">
        <x:is>
          <x:t xml:space="preserve">Cena brutto </x:t>
        </x:is>
      </x:c>
      <x:c r="G2" s="20" t="inlineStr">
        <x:is>
          <x:t xml:space="preserve">netto </x:t>
        </x:is>
      </x:c>
      <x:c r="H2" s="17" t="inlineStr">
        <x:is>
          <x:t xml:space="preserve">Cena brutto </x:t>
        </x:is>
      </x:c>
      <x:c r="I2" s="18" t="inlineStr">
        <x:is>
          <x:t xml:space="preserve">netto </x:t>
        </x:is>
      </x:c>
      <x:c r="J2" s="19" t="inlineStr">
        <x:is>
          <x:t xml:space="preserve">Cena brutto </x:t>
        </x:is>
      </x:c>
      <x:c r="K2" s="18" t="inlineStr">
        <x:is>
          <x:t xml:space="preserve">netto </x:t>
        </x:is>
      </x:c>
      <x:c r="L2" s="19" t="inlineStr">
        <x:is>
          <x:t xml:space="preserve">Cena brutto </x:t>
        </x:is>
      </x:c>
      <x:c r="M2" s="18" t="inlineStr">
        <x:is>
          <x:t xml:space="preserve">netto </x:t>
        </x:is>
      </x:c>
      <x:c r="N2" s="19" t="inlineStr">
        <x:is>
          <x:t xml:space="preserve">Cena brutto </x:t>
        </x:is>
      </x:c>
      <x:c r="O2" s="18" t="inlineStr">
        <x:is>
          <x:t xml:space="preserve">netto </x:t>
        </x:is>
      </x:c>
      <x:c r="P2" s="19" t="inlineStr">
        <x:is>
          <x:t xml:space="preserve">Cena brutto </x:t>
        </x:is>
      </x:c>
      <x:c r="Q2" s="18" t="inlineStr">
        <x:is>
          <x:t xml:space="preserve">netto </x:t>
        </x:is>
      </x:c>
      <x:c r="R2" s="19" t="inlineStr">
        <x:is>
          <x:t xml:space="preserve">Cena brutto </x:t>
        </x:is>
      </x:c>
      <x:c r="S2" s="18" t="inlineStr">
        <x:is>
          <x:t xml:space="preserve">netto </x:t>
        </x:is>
      </x:c>
      <x:c r="T2" s="19" t="inlineStr">
        <x:is>
          <x:t xml:space="preserve">Cena brutto </x:t>
        </x:is>
      </x:c>
      <x:c r="U2" s="18" t="inlineStr">
        <x:is>
          <x:t xml:space="preserve">netto </x:t>
        </x:is>
      </x:c>
      <x:c r="V2" s="19" t="inlineStr">
        <x:is>
          <x:t xml:space="preserve">Cena brutto </x:t>
        </x:is>
      </x:c>
      <x:c r="W2" s="18" t="inlineStr">
        <x:is>
          <x:t xml:space="preserve">netto </x:t>
        </x:is>
      </x:c>
    </x:row>
    <x:row r="3" s="655" customFormat="1" ht="21.75" customHeight="1">
      <x:c r="A3" s="21" t="inlineStr">
        <x:is>
          <x:t xml:space="preserve">SERIA PRO  300-400 cm</x:t>
        </x:is>
      </x:c>
      <x:c r="B3" s="618" t="inlineStr">
        <x:is>
          <x:t xml:space="preserve">  ZADASZENIE POLIWĘGLAN</x:t>
        </x:is>
      </x:c>
      <x:c r="C3" s="619" t="n"/>
      <x:c r="D3" s="619" t="n"/>
      <x:c r="E3" s="619" t="n"/>
      <x:c r="F3" s="619" t="n"/>
      <x:c r="G3" s="619" t="n"/>
      <x:c r="H3" s="619" t="n"/>
      <x:c r="I3" s="619" t="n"/>
      <x:c r="J3" s="619" t="n"/>
      <x:c r="K3" s="619" t="n"/>
      <x:c r="L3" s="619" t="n"/>
      <x:c r="M3" s="619" t="n"/>
      <x:c r="N3" s="619" t="n"/>
      <x:c r="O3" s="619" t="n"/>
      <x:c r="P3" s="619" t="n"/>
      <x:c r="Q3" s="619" t="n"/>
      <x:c r="R3" s="619" t="n"/>
      <x:c r="S3" s="619" t="n"/>
      <x:c r="T3" s="22" t="n"/>
      <x:c r="U3" s="22" t="n"/>
      <x:c r="V3" s="23" t="n"/>
      <x:c r="W3" s="24" t="n"/>
    </x:row>
    <x:row r="4" s="655" customFormat="1" ht="15.75" customHeight="1">
      <x:c r="A4" s="25" t="inlineStr">
        <x:is>
          <x:t xml:space="preserve">300 x 306   cm</x:t>
        </x:is>
      </x:c>
      <x:c r="B4" s="26" t="n">
        <x:v>4130</x:v>
      </x:c>
      <x:c r="C4" s="27" t="n">
        <x:f>B4/1.23</x:f>
        <x:v>3357.7235772357726</x:v>
      </x:c>
      <x:c r="D4" s="28" t="n">
        <x:v>120</x:v>
      </x:c>
      <x:c r="E4" s="27" t="n">
        <x:f>D4/1.23</x:f>
        <x:v>97.5609756097561</x:v>
      </x:c>
      <x:c r="F4" s="28" t="n">
        <x:v>340</x:v>
      </x:c>
      <x:c r="G4" s="27" t="n">
        <x:f>F4/1.23</x:f>
        <x:v>276.4227642276423</x:v>
      </x:c>
      <x:c r="H4" s="28" t="n">
        <x:v>3900</x:v>
      </x:c>
      <x:c r="I4" s="27" t="n">
        <x:f>H4/1.23</x:f>
        <x:v>3170.7317073170734</x:v>
      </x:c>
      <x:c r="J4" s="28" t="n">
        <x:v>2140</x:v>
      </x:c>
      <x:c r="K4" s="27" t="n">
        <x:f>J4/1.23</x:f>
        <x:v>1739.8373983739837</x:v>
      </x:c>
      <x:c r="L4" s="28" t="n">
        <x:v>2140</x:v>
      </x:c>
      <x:c r="M4" s="27" t="n">
        <x:f>L4/1.23</x:f>
        <x:v>1739.8373983739837</x:v>
      </x:c>
      <x:c r="N4" s="28" t="n">
        <x:v>2140</x:v>
      </x:c>
      <x:c r="O4" s="27" t="n">
        <x:f>N4/1.23</x:f>
        <x:v>1739.8373983739837</x:v>
      </x:c>
      <x:c r="P4" s="28" t="n">
        <x:v>420</x:v>
      </x:c>
      <x:c r="Q4" s="27" t="n">
        <x:f>P4/1.23</x:f>
        <x:v>341.4634146341464</x:v>
      </x:c>
      <x:c r="R4" s="28" t="n">
        <x:v>640</x:v>
      </x:c>
      <x:c r="S4" s="27" t="n">
        <x:f>R4/1.23</x:f>
        <x:v>520.3252032520326</x:v>
      </x:c>
      <x:c r="T4" s="28" t="n">
        <x:v>972</x:v>
      </x:c>
      <x:c r="U4" s="27" t="n">
        <x:f>T4/1.23</x:f>
        <x:v>790.2439024390244</x:v>
      </x:c>
      <x:c r="V4" s="28" t="n">
        <x:v>1205</x:v>
      </x:c>
      <x:c r="W4" s="27" t="n">
        <x:f>V4/1.23</x:f>
        <x:v>979.6747967479675</x:v>
      </x:c>
    </x:row>
    <x:row r="5" s="655" customFormat="1" ht="15.75" customHeight="1">
      <x:c r="A5" s="25" t="inlineStr">
        <x:is>
          <x:t xml:space="preserve">300 x 406   cm</x:t>
        </x:is>
      </x:c>
      <x:c r="B5" s="26" t="n">
        <x:v>5270</x:v>
      </x:c>
      <x:c r="C5" s="27" t="n">
        <x:f>B5/1.23</x:f>
        <x:v>4284.552845528456</x:v>
      </x:c>
      <x:c r="D5" s="28" t="n">
        <x:v>185</x:v>
      </x:c>
      <x:c r="E5" s="27" t="n">
        <x:f>D5/1.23</x:f>
        <x:v>150.40650406504065</x:v>
      </x:c>
      <x:c r="F5" s="28" t="n">
        <x:v>450</x:v>
      </x:c>
      <x:c r="G5" s="27" t="n">
        <x:f>F5/1.23</x:f>
        <x:v>365.8536585365854</x:v>
      </x:c>
      <x:c r="H5" s="28" t="n">
        <x:v>4300</x:v>
      </x:c>
      <x:c r="I5" s="27" t="n">
        <x:f>H5/1.23</x:f>
        <x:v>3495.9349593495936</x:v>
      </x:c>
      <x:c r="J5" s="28" t="n">
        <x:v>2140</x:v>
      </x:c>
      <x:c r="K5" s="27" t="n">
        <x:f>J5/1.23</x:f>
        <x:v>1739.8373983739837</x:v>
      </x:c>
      <x:c r="L5" s="28" t="n">
        <x:v>2140</x:v>
      </x:c>
      <x:c r="M5" s="27" t="n">
        <x:f>L5/1.23</x:f>
        <x:v>1739.8373983739837</x:v>
      </x:c>
      <x:c r="N5" s="28" t="n">
        <x:v>2640</x:v>
      </x:c>
      <x:c r="O5" s="27" t="n">
        <x:f>N5/1.23</x:f>
        <x:v>2146.3414634146343</x:v>
      </x:c>
      <x:c r="P5" s="28" t="n">
        <x:v>510</x:v>
      </x:c>
      <x:c r="Q5" s="27" t="n">
        <x:f>P5/1.23</x:f>
        <x:v>414.6341463414634</x:v>
      </x:c>
      <x:c r="R5" s="28" t="n">
        <x:v>740</x:v>
      </x:c>
      <x:c r="S5" s="27" t="n">
        <x:f>R5/1.23</x:f>
        <x:v>601.6260162601626</x:v>
      </x:c>
      <x:c r="T5" s="28" t="n">
        <x:v>1132</x:v>
      </x:c>
      <x:c r="U5" s="27" t="n">
        <x:f>T5/1.23</x:f>
        <x:v>920.3252032520326</x:v>
      </x:c>
      <x:c r="V5" s="28" t="n">
        <x:v>1476</x:v>
      </x:c>
      <x:c r="W5" s="27" t="n">
        <x:f>V5/1.23</x:f>
        <x:v>1200</x:v>
      </x:c>
    </x:row>
    <x:row r="6" s="655" customFormat="1" ht="17.25" customHeight="1">
      <x:c r="A6" s="25" t="inlineStr">
        <x:is>
          <x:t xml:space="preserve">300 x 506   cm</x:t>
        </x:is>
      </x:c>
      <x:c r="B6" s="26" t="n">
        <x:v>6580</x:v>
      </x:c>
      <x:c r="C6" s="27" t="n">
        <x:f>B6/1.23</x:f>
        <x:v>5349.59349593496</x:v>
      </x:c>
      <x:c r="D6" s="28" t="n">
        <x:v>250</x:v>
      </x:c>
      <x:c r="E6" s="27" t="n">
        <x:f>D6/1.23</x:f>
        <x:v>203.2520325203252</x:v>
      </x:c>
      <x:c r="F6" s="28" t="n">
        <x:v>570</x:v>
      </x:c>
      <x:c r="G6" s="27" t="n">
        <x:f>F6/1.23</x:f>
        <x:v>463.4146341463415</x:v>
      </x:c>
      <x:c r="H6" s="28" t="n">
        <x:v>4980</x:v>
      </x:c>
      <x:c r="I6" s="27" t="n">
        <x:f>H6/1.23</x:f>
        <x:v>4048.7804878048782</x:v>
      </x:c>
      <x:c r="J6" s="28" t="n">
        <x:v>2140</x:v>
      </x:c>
      <x:c r="K6" s="27" t="n">
        <x:f>J6/1.23</x:f>
        <x:v>1739.8373983739837</x:v>
      </x:c>
      <x:c r="L6" s="28" t="n">
        <x:v>2140</x:v>
      </x:c>
      <x:c r="M6" s="27" t="n">
        <x:f>L6/1.23</x:f>
        <x:v>1739.8373983739837</x:v>
      </x:c>
      <x:c r="N6" s="28" t="n">
        <x:v>3700</x:v>
      </x:c>
      <x:c r="O6" s="27" t="n">
        <x:f>N6/1.23</x:f>
        <x:v>3008.130081300813</x:v>
      </x:c>
      <x:c r="P6" s="28" t="n">
        <x:v>600</x:v>
      </x:c>
      <x:c r="Q6" s="27" t="n">
        <x:f>P6/1.23</x:f>
        <x:v>487.8048780487805</x:v>
      </x:c>
      <x:c r="R6" s="28" t="n">
        <x:v>960</x:v>
      </x:c>
      <x:c r="S6" s="27" t="n">
        <x:f>R6/1.23</x:f>
        <x:v>780.4878048780488</x:v>
      </x:c>
      <x:c r="T6" s="28" t="n">
        <x:v>1304</x:v>
      </x:c>
      <x:c r="U6" s="27" t="n">
        <x:f>T6/1.23</x:f>
        <x:v>1060.1626016260163</x:v>
      </x:c>
      <x:c r="V6" s="28" t="n">
        <x:v>1747</x:v>
      </x:c>
      <x:c r="W6" s="27" t="n">
        <x:f>V6/1.23</x:f>
        <x:v>1420.3252032520325</x:v>
      </x:c>
    </x:row>
    <x:row r="7" s="655" customFormat="1" ht="15.75" customHeight="1">
      <x:c r="A7" s="25" t="inlineStr">
        <x:is>
          <x:t xml:space="preserve">300 x 606   cm</x:t>
        </x:is>
      </x:c>
      <x:c r="B7" s="26" t="n">
        <x:v>7520</x:v>
      </x:c>
      <x:c r="C7" s="27" t="n">
        <x:f>B7/1.23</x:f>
        <x:v>6113.821138211382</x:v>
      </x:c>
      <x:c r="D7" s="28" t="n">
        <x:v>310</x:v>
      </x:c>
      <x:c r="E7" s="27" t="n">
        <x:f>D7/1.23</x:f>
        <x:v>252.03252032520325</x:v>
      </x:c>
      <x:c r="F7" s="28" t="n">
        <x:v>680</x:v>
      </x:c>
      <x:c r="G7" s="27" t="n">
        <x:f>F7/1.23</x:f>
        <x:v>552.8455284552846</x:v>
      </x:c>
      <x:c r="H7" s="28" t="n">
        <x:v>7800</x:v>
      </x:c>
      <x:c r="I7" s="27" t="n">
        <x:f>H7/1.23</x:f>
        <x:v>6341.463414634147</x:v>
      </x:c>
      <x:c r="J7" s="28" t="n">
        <x:v>2140</x:v>
      </x:c>
      <x:c r="K7" s="27" t="n">
        <x:f>J7/1.23</x:f>
        <x:v>1739.8373983739837</x:v>
      </x:c>
      <x:c r="L7" s="28" t="n">
        <x:v>2140</x:v>
      </x:c>
      <x:c r="M7" s="27" t="n">
        <x:f>L7/1.23</x:f>
        <x:v>1739.8373983739837</x:v>
      </x:c>
      <x:c r="N7" s="28" t="n">
        <x:v>4270</x:v>
      </x:c>
      <x:c r="O7" s="27" t="n">
        <x:f>N7/1.23</x:f>
        <x:v>3471.5447154471544</x:v>
      </x:c>
      <x:c r="P7" s="28" t="n">
        <x:v>790</x:v>
      </x:c>
      <x:c r="Q7" s="27" t="n">
        <x:f>P7/1.23</x:f>
        <x:v>642.2764227642276</x:v>
      </x:c>
      <x:c r="R7" s="28" t="n">
        <x:v>1090</x:v>
      </x:c>
      <x:c r="S7" s="27" t="n">
        <x:f>R7/1.23</x:f>
        <x:v>886.178861788618</x:v>
      </x:c>
      <x:c r="T7" s="28" t="n">
        <x:v>1304</x:v>
      </x:c>
      <x:c r="U7" s="27" t="n">
        <x:f>T7/1.23</x:f>
        <x:v>1060.1626016260163</x:v>
      </x:c>
      <x:c r="V7" s="28" t="n">
        <x:v>2042</x:v>
      </x:c>
      <x:c r="W7" s="27" t="n">
        <x:f>V7/1.23</x:f>
        <x:v>1660.1626016260163</x:v>
      </x:c>
    </x:row>
    <x:row r="8" s="655" customFormat="1" ht="15.75" customHeight="1">
      <x:c r="A8" s="25" t="inlineStr">
        <x:is>
          <x:t xml:space="preserve">300 x 706   cm</x:t>
        </x:is>
      </x:c>
      <x:c r="B8" s="26" t="n">
        <x:v>8740</x:v>
      </x:c>
      <x:c r="C8" s="27" t="n">
        <x:f>B8/1.23</x:f>
        <x:v>7105.691056910569</x:v>
      </x:c>
      <x:c r="D8" s="28" t="n">
        <x:v>370</x:v>
      </x:c>
      <x:c r="E8" s="27" t="n">
        <x:f>D8/1.23</x:f>
        <x:v>300.8130081300813</x:v>
      </x:c>
      <x:c r="F8" s="28" t="n">
        <x:v>790</x:v>
      </x:c>
      <x:c r="G8" s="27" t="n">
        <x:f>F8/1.23</x:f>
        <x:v>642.2764227642276</x:v>
      </x:c>
      <x:c r="H8" s="28" t="n">
        <x:v>8210</x:v>
      </x:c>
      <x:c r="I8" s="27" t="n">
        <x:f>H8/1.23</x:f>
        <x:v>6674.79674796748</x:v>
      </x:c>
      <x:c r="J8" s="28" t="n">
        <x:v>2140</x:v>
      </x:c>
      <x:c r="K8" s="27" t="n">
        <x:f>J8/1.23</x:f>
        <x:v>1739.8373983739837</x:v>
      </x:c>
      <x:c r="L8" s="28" t="n">
        <x:v>2140</x:v>
      </x:c>
      <x:c r="M8" s="27" t="n">
        <x:f>L8/1.23</x:f>
        <x:v>1739.8373983739837</x:v>
      </x:c>
      <x:c r="N8" s="28" t="n">
        <x:v>4780</x:v>
      </x:c>
      <x:c r="O8" s="27" t="n">
        <x:f>N8/1.23</x:f>
        <x:v>3886.1788617886177</x:v>
      </x:c>
      <x:c r="P8" s="28" t="n">
        <x:v>870</x:v>
      </x:c>
      <x:c r="Q8" s="27" t="n">
        <x:f>P8/1.23</x:f>
        <x:v>707.3170731707318</x:v>
      </x:c>
      <x:c r="R8" s="28" t="n">
        <x:v>1210</x:v>
      </x:c>
      <x:c r="S8" s="27" t="n">
        <x:f>R8/1.23</x:f>
        <x:v>983.739837398374</x:v>
      </x:c>
      <x:c r="T8" s="28" t="n">
        <x:v>1464</x:v>
      </x:c>
      <x:c r="U8" s="27" t="n">
        <x:f>T8/1.23</x:f>
        <x:v>1190.2439024390244</x:v>
      </x:c>
      <x:c r="V8" s="28" t="n">
        <x:v>2325</x:v>
      </x:c>
      <x:c r="W8" s="27" t="n">
        <x:f>V8/1.23</x:f>
        <x:v>1890.2439024390244</x:v>
      </x:c>
    </x:row>
    <x:row r="9" s="655" customFormat="1" ht="15.75" customHeight="1">
      <x:c r="A9" s="25" t="inlineStr">
        <x:is>
          <x:t xml:space="preserve">300 x 806   cm</x:t>
        </x:is>
      </x:c>
      <x:c r="B9" s="26" t="n">
        <x:v>10550</x:v>
      </x:c>
      <x:c r="C9" s="27" t="n">
        <x:f>B9/1.23</x:f>
        <x:v>8577.235772357724</x:v>
      </x:c>
      <x:c r="D9" s="28" t="n">
        <x:v>430</x:v>
      </x:c>
      <x:c r="E9" s="27" t="n">
        <x:f>D9/1.23</x:f>
        <x:v>349.5934959349594</x:v>
      </x:c>
      <x:c r="F9" s="28" t="n">
        <x:v>910</x:v>
      </x:c>
      <x:c r="G9" s="27" t="n">
        <x:f>F9/1.23</x:f>
        <x:v>739.8373983739838</x:v>
      </x:c>
      <x:c r="H9" s="28" t="n">
        <x:v>8600</x:v>
      </x:c>
      <x:c r="I9" s="27" t="n">
        <x:f>H9/1.23</x:f>
        <x:v>6991.869918699187</x:v>
      </x:c>
      <x:c r="J9" s="28" t="n">
        <x:v>2140</x:v>
      </x:c>
      <x:c r="K9" s="27" t="n">
        <x:f>J9/1.23</x:f>
        <x:v>1739.8373983739837</x:v>
      </x:c>
      <x:c r="L9" s="28" t="n">
        <x:v>2140</x:v>
      </x:c>
      <x:c r="M9" s="27" t="n">
        <x:f>L9/1.23</x:f>
        <x:v>1739.8373983739837</x:v>
      </x:c>
      <x:c r="N9" s="28" t="n">
        <x:v>5280</x:v>
      </x:c>
      <x:c r="O9" s="27" t="n">
        <x:f>N9/1.23</x:f>
        <x:v>4292.682926829269</x:v>
      </x:c>
      <x:c r="P9" s="28" t="n">
        <x:v>960</x:v>
      </x:c>
      <x:c r="Q9" s="27" t="n">
        <x:f>P9/1.23</x:f>
        <x:v>780.4878048780488</x:v>
      </x:c>
      <x:c r="R9" s="28" t="n">
        <x:v>1440</x:v>
      </x:c>
      <x:c r="S9" s="27" t="n">
        <x:f>R9/1.23</x:f>
        <x:v>1170.7317073170732</x:v>
      </x:c>
      <x:c r="T9" s="28" t="n">
        <x:v>1648</x:v>
      </x:c>
      <x:c r="U9" s="27" t="n">
        <x:f>T9/1.23</x:f>
        <x:v>1339.8373983739837</x:v>
      </x:c>
      <x:c r="V9" s="28" t="n">
        <x:v>2620</x:v>
      </x:c>
      <x:c r="W9" s="27" t="n">
        <x:f>V9/1.23</x:f>
        <x:v>2130.081300813008</x:v>
      </x:c>
    </x:row>
    <x:row r="10" s="655" customFormat="1" ht="15.75" customHeight="1">
      <x:c r="A10" s="25" t="inlineStr">
        <x:is>
          <x:t xml:space="preserve">300 x 906   cm</x:t>
        </x:is>
      </x:c>
      <x:c r="B10" s="26" t="n">
        <x:v>11850</x:v>
      </x:c>
      <x:c r="C10" s="27" t="n">
        <x:f>B10/1.23</x:f>
        <x:v>9634.146341463415</x:v>
      </x:c>
      <x:c r="D10" s="28" t="n">
        <x:v>490</x:v>
      </x:c>
      <x:c r="E10" s="27" t="n">
        <x:f>D10/1.23</x:f>
        <x:v>398.3739837398374</x:v>
      </x:c>
      <x:c r="F10" s="28" t="n">
        <x:v>1020</x:v>
      </x:c>
      <x:c r="G10" s="27" t="n">
        <x:f>F10/1.23</x:f>
        <x:v>829.2682926829268</x:v>
      </x:c>
      <x:c r="H10" s="28" t="n">
        <x:v>9280</x:v>
      </x:c>
      <x:c r="I10" s="27" t="n">
        <x:f>H10/1.23</x:f>
        <x:v>7544.715447154472</x:v>
      </x:c>
      <x:c r="J10" s="28" t="n">
        <x:v>2140</x:v>
      </x:c>
      <x:c r="K10" s="27" t="n">
        <x:f>J10/1.23</x:f>
        <x:v>1739.8373983739837</x:v>
      </x:c>
      <x:c r="L10" s="28" t="n">
        <x:v>2140</x:v>
      </x:c>
      <x:c r="M10" s="27" t="n">
        <x:f>L10/1.23</x:f>
        <x:v>1739.8373983739837</x:v>
      </x:c>
      <x:c r="N10" s="28" t="n">
        <x:v>6400</x:v>
      </x:c>
      <x:c r="O10" s="27" t="n">
        <x:f>N10/1.23</x:f>
        <x:v>5203.252032520325</x:v>
      </x:c>
      <x:c r="P10" s="28" t="n">
        <x:v>1040</x:v>
      </x:c>
      <x:c r="Q10" s="27" t="n">
        <x:f>P10/1.23</x:f>
        <x:v>845.5284552845528</x:v>
      </x:c>
      <x:c r="R10" s="28" t="n">
        <x:v>1560</x:v>
      </x:c>
      <x:c r="S10" s="27" t="n">
        <x:f>R10/1.23</x:f>
        <x:v>1268.2926829268292</x:v>
      </x:c>
      <x:c r="T10" s="28" t="n">
        <x:v>1833</x:v>
      </x:c>
      <x:c r="U10" s="27" t="n">
        <x:f>T10/1.23</x:f>
        <x:v>1490.2439024390244</x:v>
      </x:c>
      <x:c r="V10" s="28" t="n">
        <x:v>2915</x:v>
      </x:c>
      <x:c r="W10" s="27" t="n">
        <x:f>V10/1.23</x:f>
        <x:v>2369.918699186992</x:v>
      </x:c>
    </x:row>
    <x:row r="11" s="655" customFormat="1" ht="15" customHeight="1">
      <x:c r="A11" s="25" t="inlineStr">
        <x:is>
          <x:t xml:space="preserve">300 x 1006 cm</x:t>
        </x:is>
      </x:c>
      <x:c r="B11" s="26" t="n">
        <x:v>13150</x:v>
      </x:c>
      <x:c r="C11" s="27" t="n">
        <x:f>B11/1.23</x:f>
        <x:v>10691.056910569107</x:v>
      </x:c>
      <x:c r="D11" s="28" t="n">
        <x:v>550</x:v>
      </x:c>
      <x:c r="E11" s="27" t="n">
        <x:f>D11/1.23</x:f>
        <x:v>447.1544715447155</x:v>
      </x:c>
      <x:c r="F11" s="28" t="n">
        <x:v>1140</x:v>
      </x:c>
      <x:c r="G11" s="27" t="n">
        <x:f>F11/1.23</x:f>
        <x:v>926.829268292683</x:v>
      </x:c>
      <x:c r="H11" s="28" t="n">
        <x:v>9950</x:v>
      </x:c>
      <x:c r="I11" s="27" t="n">
        <x:f>H11/1.23</x:f>
        <x:v>8089.430894308944</x:v>
      </x:c>
      <x:c r="J11" s="28" t="n">
        <x:v>2140</x:v>
      </x:c>
      <x:c r="K11" s="27" t="n">
        <x:f>J11/1.23</x:f>
        <x:v>1739.8373983739837</x:v>
      </x:c>
      <x:c r="L11" s="28" t="n">
        <x:v>2140</x:v>
      </x:c>
      <x:c r="M11" s="27" t="n">
        <x:f>L11/1.23</x:f>
        <x:v>1739.8373983739837</x:v>
      </x:c>
      <x:c r="N11" s="28" t="n">
        <x:v>6910</x:v>
      </x:c>
      <x:c r="O11" s="27" t="n">
        <x:f>N11/1.23</x:f>
        <x:v>5617.886178861789</x:v>
      </x:c>
      <x:c r="P11" s="28" t="n">
        <x:v>1230</x:v>
      </x:c>
      <x:c r="Q11" s="27" t="n">
        <x:f>P11/1.23</x:f>
        <x:v>1000</x:v>
      </x:c>
      <x:c r="R11" s="28" t="n">
        <x:v>1650</x:v>
      </x:c>
      <x:c r="S11" s="27" t="n">
        <x:f>R11/1.23</x:f>
        <x:v>1341.4634146341464</x:v>
      </x:c>
      <x:c r="T11" s="28" t="n">
        <x:v>2189</x:v>
      </x:c>
      <x:c r="U11" s="27" t="n">
        <x:f>T11/1.23</x:f>
        <x:v>1779.6747967479675</x:v>
      </x:c>
      <x:c r="V11" s="28" t="n">
        <x:v>3198</x:v>
      </x:c>
      <x:c r="W11" s="27" t="n">
        <x:f>V11/1.23</x:f>
        <x:v>2600</x:v>
      </x:c>
    </x:row>
    <x:row r="12" s="655" customFormat="1" ht="15.75" customHeight="1">
      <x:c r="A12" s="25" t="inlineStr">
        <x:is>
          <x:t xml:space="preserve">300 x 1106 cm</x:t>
        </x:is>
      </x:c>
      <x:c r="B12" s="26" t="n">
        <x:v>14100</x:v>
      </x:c>
      <x:c r="C12" s="27" t="n">
        <x:f>B12/1.23</x:f>
        <x:v>11463.414634146342</x:v>
      </x:c>
      <x:c r="D12" s="28" t="n">
        <x:v>620</x:v>
      </x:c>
      <x:c r="E12" s="27" t="n">
        <x:f>D12/1.23</x:f>
        <x:v>504.0650406504065</x:v>
      </x:c>
      <x:c r="F12" s="28" t="n">
        <x:v>1250</x:v>
      </x:c>
      <x:c r="G12" s="27" t="n">
        <x:f>F12/1.23</x:f>
        <x:v>1016.260162601626</x:v>
      </x:c>
      <x:c r="H12" s="28" t="n">
        <x:v>12500</x:v>
      </x:c>
      <x:c r="I12" s="27" t="n">
        <x:f>H12/1.23</x:f>
        <x:v>10162.60162601626</x:v>
      </x:c>
      <x:c r="J12" s="28" t="n">
        <x:v>2140</x:v>
      </x:c>
      <x:c r="K12" s="27" t="n">
        <x:f>J12/1.23</x:f>
        <x:v>1739.8373983739837</x:v>
      </x:c>
      <x:c r="L12" s="28" t="n">
        <x:v>2140</x:v>
      </x:c>
      <x:c r="M12" s="27" t="n">
        <x:f>L12/1.23</x:f>
        <x:v>1739.8373983739837</x:v>
      </x:c>
      <x:c r="N12" s="28" t="n">
        <x:v>7420</x:v>
      </x:c>
      <x:c r="O12" s="27" t="n">
        <x:f>N12/1.23</x:f>
        <x:v>6032.5203252032525</x:v>
      </x:c>
      <x:c r="P12" s="28" t="n">
        <x:v>1430</x:v>
      </x:c>
      <x:c r="Q12" s="27" t="n">
        <x:f>P12/1.23</x:f>
        <x:v>1162.60162601626</x:v>
      </x:c>
      <x:c r="R12" s="28" t="n">
        <x:v>1770</x:v>
      </x:c>
      <x:c r="S12" s="27" t="n">
        <x:f>R12/1.23</x:f>
        <x:v>1439.0243902439024</x:v>
      </x:c>
      <x:c r="T12" s="28" t="n">
        <x:v>2374</x:v>
      </x:c>
      <x:c r="U12" s="27" t="n">
        <x:f>T12/1.23</x:f>
        <x:v>1930.081300813008</x:v>
      </x:c>
      <x:c r="V12" s="28" t="n">
        <x:v>3493</x:v>
      </x:c>
      <x:c r="W12" s="27" t="n">
        <x:f>V12/1.23</x:f>
        <x:v>2839.837398373984</x:v>
      </x:c>
    </x:row>
    <x:row r="13" s="655" customFormat="1" ht="15.75" customHeight="1">
      <x:c r="A13" s="25" t="inlineStr">
        <x:is>
          <x:t xml:space="preserve">300 x 1206 cm</x:t>
        </x:is>
      </x:c>
      <x:c r="B13" s="26" t="n">
        <x:v>15050</x:v>
      </x:c>
      <x:c r="C13" s="27" t="n">
        <x:f>B13/1.23</x:f>
        <x:v>12235.772357723577</x:v>
      </x:c>
      <x:c r="D13" s="28" t="n">
        <x:v>680</x:v>
      </x:c>
      <x:c r="E13" s="27" t="n">
        <x:f>D13/1.23</x:f>
        <x:v>552.8455284552846</x:v>
      </x:c>
      <x:c r="F13" s="28" t="n">
        <x:v>1360</x:v>
      </x:c>
      <x:c r="G13" s="27" t="n">
        <x:f>F13/1.23</x:f>
        <x:v>1105.6910569105692</x:v>
      </x:c>
      <x:c r="H13" s="28" t="n">
        <x:v>12900</x:v>
      </x:c>
      <x:c r="I13" s="27" t="n">
        <x:f>H13/1.23</x:f>
        <x:v>10487.80487804878</x:v>
      </x:c>
      <x:c r="J13" s="28" t="n">
        <x:v>2140</x:v>
      </x:c>
      <x:c r="K13" s="27" t="n">
        <x:f>J13/1.23</x:f>
        <x:v>1739.8373983739837</x:v>
      </x:c>
      <x:c r="L13" s="28" t="n">
        <x:v>2140</x:v>
      </x:c>
      <x:c r="M13" s="27" t="n">
        <x:f>L13/1.23</x:f>
        <x:v>1739.8373983739837</x:v>
      </x:c>
      <x:c r="N13" s="28" t="n">
        <x:v>7920</x:v>
      </x:c>
      <x:c r="O13" s="27" t="n">
        <x:f>N13/1.23</x:f>
        <x:v>6439.024390243902</x:v>
      </x:c>
      <x:c r="P13" s="28" t="n">
        <x:v>1510</x:v>
      </x:c>
      <x:c r="Q13" s="27" t="n">
        <x:f>P13/1.23</x:f>
        <x:v>1227.6422764227643</x:v>
      </x:c>
      <x:c r="R13" s="28" t="n">
        <x:v>1900</x:v>
      </x:c>
      <x:c r="S13" s="27" t="n">
        <x:f>R13/1.23</x:f>
        <x:v>1544.7154471544716</x:v>
      </x:c>
      <x:c r="T13" s="28" t="n">
        <x:v>2546</x:v>
      </x:c>
      <x:c r="U13" s="27" t="n">
        <x:f>T13/1.23</x:f>
        <x:v>2069.918699186992</x:v>
      </x:c>
      <x:c r="V13" s="28" t="n">
        <x:v>3788</x:v>
      </x:c>
      <x:c r="W13" s="27" t="n">
        <x:f>V13/1.23</x:f>
        <x:v>3079.6747967479673</x:v>
      </x:c>
    </x:row>
    <x:row r="14" s="655" customFormat="1" ht="15.75" customHeight="1">
      <x:c r="A14" s="29" t="inlineStr">
        <x:is>
          <x:t xml:space="preserve">350 x 306   cm</x:t>
        </x:is>
      </x:c>
      <x:c r="B14" s="30" t="n">
        <x:v>4340</x:v>
      </x:c>
      <x:c r="C14" s="31" t="n">
        <x:f>B14/1.23</x:f>
        <x:v>3528.4552845528456</x:v>
      </x:c>
      <x:c r="D14" s="32" t="n">
        <x:v>150</x:v>
      </x:c>
      <x:c r="E14" s="31" t="n">
        <x:f>D14/1.23</x:f>
        <x:v>121.95121951219512</x:v>
      </x:c>
      <x:c r="F14" s="32" t="n">
        <x:v>430</x:v>
      </x:c>
      <x:c r="G14" s="31" t="n">
        <x:f>F14/1.23</x:f>
        <x:v>349.5934959349594</x:v>
      </x:c>
      <x:c r="H14" s="32" t="n">
        <x:v>3980</x:v>
      </x:c>
      <x:c r="I14" s="31" t="n">
        <x:f>H14/1.23</x:f>
        <x:v>3235.7723577235774</x:v>
      </x:c>
      <x:c r="J14" s="32" t="n">
        <x:v>2340</x:v>
      </x:c>
      <x:c r="K14" s="31" t="n">
        <x:f>J14/1.23</x:f>
        <x:v>1902.439024390244</x:v>
      </x:c>
      <x:c r="L14" s="32" t="n">
        <x:v>2340</x:v>
      </x:c>
      <x:c r="M14" s="31" t="n">
        <x:f>L14/1.23</x:f>
        <x:v>1902.439024390244</x:v>
      </x:c>
      <x:c r="N14" s="32" t="n">
        <x:v>2140</x:v>
      </x:c>
      <x:c r="O14" s="31" t="n">
        <x:f>N14/1.23</x:f>
        <x:v>1739.8373983739837</x:v>
      </x:c>
      <x:c r="P14" s="32" t="n">
        <x:v>420</x:v>
      </x:c>
      <x:c r="Q14" s="31" t="n">
        <x:f>P14/1.23</x:f>
        <x:v>341.4634146341464</x:v>
      </x:c>
      <x:c r="R14" s="32" t="n">
        <x:v>640</x:v>
      </x:c>
      <x:c r="S14" s="31" t="n">
        <x:f>R14/1.23</x:f>
        <x:v>520.3252032520326</x:v>
      </x:c>
      <x:c r="T14" s="32" t="n">
        <x:v>1009</x:v>
      </x:c>
      <x:c r="U14" s="31" t="n">
        <x:f>T14/1.23</x:f>
        <x:v>820.3252032520326</x:v>
      </x:c>
      <x:c r="V14" s="32" t="n">
        <x:v>1279</x:v>
      </x:c>
      <x:c r="W14" s="31" t="n">
        <x:f>V14/1.23</x:f>
        <x:v>1039.8373983739837</x:v>
      </x:c>
    </x:row>
    <x:row r="15" s="655" customFormat="1" ht="15.75" customHeight="1">
      <x:c r="A15" s="29" t="inlineStr">
        <x:is>
          <x:t xml:space="preserve">350 x 406   cm</x:t>
        </x:is>
      </x:c>
      <x:c r="B15" s="30" t="n">
        <x:v>5700</x:v>
      </x:c>
      <x:c r="C15" s="31" t="n">
        <x:f>B15/1.23</x:f>
        <x:v>4634.1463414634145</x:v>
      </x:c>
      <x:c r="D15" s="32" t="n">
        <x:v>200</x:v>
      </x:c>
      <x:c r="E15" s="31" t="n">
        <x:f>D15/1.23</x:f>
        <x:v>162.60162601626016</x:v>
      </x:c>
      <x:c r="F15" s="32" t="n">
        <x:v>570</x:v>
      </x:c>
      <x:c r="G15" s="31" t="n">
        <x:f>F15/1.23</x:f>
        <x:v>463.4146341463415</x:v>
      </x:c>
      <x:c r="H15" s="32" t="n">
        <x:v>4500</x:v>
      </x:c>
      <x:c r="I15" s="31" t="n">
        <x:f>H15/1.23</x:f>
        <x:v>3658.5365853658536</x:v>
      </x:c>
      <x:c r="J15" s="32" t="n">
        <x:v>2340</x:v>
      </x:c>
      <x:c r="K15" s="31" t="n">
        <x:f>J15/1.23</x:f>
        <x:v>1902.439024390244</x:v>
      </x:c>
      <x:c r="L15" s="32" t="n">
        <x:v>2340</x:v>
      </x:c>
      <x:c r="M15" s="31" t="n">
        <x:f>L15/1.23</x:f>
        <x:v>1902.439024390244</x:v>
      </x:c>
      <x:c r="N15" s="32" t="n">
        <x:v>2640</x:v>
      </x:c>
      <x:c r="O15" s="31" t="n">
        <x:f>N15/1.23</x:f>
        <x:v>2146.3414634146343</x:v>
      </x:c>
      <x:c r="P15" s="32" t="n">
        <x:v>510</x:v>
      </x:c>
      <x:c r="Q15" s="31" t="n">
        <x:f>P15/1.23</x:f>
        <x:v>414.6341463414634</x:v>
      </x:c>
      <x:c r="R15" s="32" t="n">
        <x:v>740</x:v>
      </x:c>
      <x:c r="S15" s="31" t="n">
        <x:f>R15/1.23</x:f>
        <x:v>601.6260162601626</x:v>
      </x:c>
      <x:c r="T15" s="32" t="n">
        <x:v>1205</x:v>
      </x:c>
      <x:c r="U15" s="31" t="n">
        <x:f>T15/1.23</x:f>
        <x:v>979.6747967479675</x:v>
      </x:c>
      <x:c r="V15" s="32" t="n">
        <x:v>1599</x:v>
      </x:c>
      <x:c r="W15" s="31" t="n">
        <x:f>V15/1.23</x:f>
        <x:v>1300</x:v>
      </x:c>
    </x:row>
    <x:row r="16" s="655" customFormat="1" ht="15.75" customHeight="1">
      <x:c r="A16" s="29" t="inlineStr">
        <x:is>
          <x:t xml:space="preserve">350 x 506   cm</x:t>
        </x:is>
      </x:c>
      <x:c r="B16" s="30" t="n">
        <x:v>7100</x:v>
      </x:c>
      <x:c r="C16" s="31" t="n">
        <x:f>B16/1.23</x:f>
        <x:v>5772.357723577235</x:v>
      </x:c>
      <x:c r="D16" s="32" t="n">
        <x:v>250</x:v>
      </x:c>
      <x:c r="E16" s="31" t="n">
        <x:f>D16/1.23</x:f>
        <x:v>203.2520325203252</x:v>
      </x:c>
      <x:c r="F16" s="32" t="n">
        <x:v>720</x:v>
      </x:c>
      <x:c r="G16" s="31" t="n">
        <x:f>F16/1.23</x:f>
        <x:v>585.3658536585366</x:v>
      </x:c>
      <x:c r="H16" s="32" t="n">
        <x:v>5200</x:v>
      </x:c>
      <x:c r="I16" s="31" t="n">
        <x:f>H16/1.23</x:f>
        <x:v>4227.642276422765</x:v>
      </x:c>
      <x:c r="J16" s="32" t="n">
        <x:v>2340</x:v>
      </x:c>
      <x:c r="K16" s="31" t="n">
        <x:f>J16/1.23</x:f>
        <x:v>1902.439024390244</x:v>
      </x:c>
      <x:c r="L16" s="32" t="n">
        <x:v>2340</x:v>
      </x:c>
      <x:c r="M16" s="31" t="n">
        <x:f>L16/1.23</x:f>
        <x:v>1902.439024390244</x:v>
      </x:c>
      <x:c r="N16" s="32" t="n">
        <x:v>3700</x:v>
      </x:c>
      <x:c r="O16" s="31" t="n">
        <x:f>N16/1.23</x:f>
        <x:v>3008.130081300813</x:v>
      </x:c>
      <x:c r="P16" s="32" t="n">
        <x:v>600</x:v>
      </x:c>
      <x:c r="Q16" s="31" t="n">
        <x:f>P16/1.23</x:f>
        <x:v>487.8048780487805</x:v>
      </x:c>
      <x:c r="R16" s="32" t="n">
        <x:v>960</x:v>
      </x:c>
      <x:c r="S16" s="31" t="n">
        <x:f>R16/1.23</x:f>
        <x:v>780.4878048780488</x:v>
      </x:c>
      <x:c r="T16" s="32" t="n">
        <x:v>1390</x:v>
      </x:c>
      <x:c r="U16" s="31" t="n">
        <x:f>T16/1.23</x:f>
        <x:v>1130.081300813008</x:v>
      </x:c>
      <x:c r="V16" s="32" t="n">
        <x:v>1907</x:v>
      </x:c>
      <x:c r="W16" s="31" t="n">
        <x:f>V16/1.23</x:f>
        <x:v>1550.4065040650407</x:v>
      </x:c>
    </x:row>
    <x:row r="17" s="655" customFormat="1" ht="15.75" customHeight="1">
      <x:c r="A17" s="29" t="inlineStr">
        <x:is>
          <x:t xml:space="preserve">350 x 606   cm</x:t>
        </x:is>
      </x:c>
      <x:c r="B17" s="30" t="n">
        <x:v>8130</x:v>
      </x:c>
      <x:c r="C17" s="31" t="n">
        <x:f>B17/1.23</x:f>
        <x:v>6609.756097560976</x:v>
      </x:c>
      <x:c r="D17" s="32" t="n">
        <x:v>300</x:v>
      </x:c>
      <x:c r="E17" s="31" t="n">
        <x:f>D17/1.23</x:f>
        <x:v>243.90243902439025</x:v>
      </x:c>
      <x:c r="F17" s="32" t="n">
        <x:v>860</x:v>
      </x:c>
      <x:c r="G17" s="31" t="n">
        <x:f>F17/1.23</x:f>
        <x:v>699.1869918699188</x:v>
      </x:c>
      <x:c r="H17" s="32" t="n">
        <x:v>7960</x:v>
      </x:c>
      <x:c r="I17" s="31" t="n">
        <x:f>H17/1.23</x:f>
        <x:v>6471.544715447155</x:v>
      </x:c>
      <x:c r="J17" s="32" t="n">
        <x:v>2340</x:v>
      </x:c>
      <x:c r="K17" s="31" t="n">
        <x:f>J17/1.23</x:f>
        <x:v>1902.439024390244</x:v>
      </x:c>
      <x:c r="L17" s="32" t="n">
        <x:v>2340</x:v>
      </x:c>
      <x:c r="M17" s="31" t="n">
        <x:f>L17/1.23</x:f>
        <x:v>1902.439024390244</x:v>
      </x:c>
      <x:c r="N17" s="32" t="n">
        <x:v>4270</x:v>
      </x:c>
      <x:c r="O17" s="31" t="n">
        <x:f>N17/1.23</x:f>
        <x:v>3471.5447154471544</x:v>
      </x:c>
      <x:c r="P17" s="32" t="n">
        <x:v>790</x:v>
      </x:c>
      <x:c r="Q17" s="31" t="n">
        <x:f>P17/1.23</x:f>
        <x:v>642.2764227642276</x:v>
      </x:c>
      <x:c r="R17" s="32" t="n">
        <x:v>1090</x:v>
      </x:c>
      <x:c r="S17" s="31" t="n">
        <x:f>R17/1.23</x:f>
        <x:v>886.178861788618</x:v>
      </x:c>
      <x:c r="T17" s="32" t="n">
        <x:v>1587</x:v>
      </x:c>
      <x:c r="U17" s="31" t="n">
        <x:f>T17/1.23</x:f>
        <x:v>1290.2439024390244</x:v>
      </x:c>
      <x:c r="V17" s="32" t="n">
        <x:v>2239</x:v>
      </x:c>
      <x:c r="W17" s="31" t="n">
        <x:f>V17/1.23</x:f>
        <x:v>1820.3252032520325</x:v>
      </x:c>
    </x:row>
    <x:row r="18" s="655" customFormat="1" ht="15.75" customHeight="1">
      <x:c r="A18" s="29" t="inlineStr">
        <x:is>
          <x:t xml:space="preserve">350 x 706   cm</x:t>
        </x:is>
      </x:c>
      <x:c r="B18" s="30" t="n">
        <x:v>9440</x:v>
      </x:c>
      <x:c r="C18" s="31" t="n">
        <x:f>B18/1.23</x:f>
        <x:v>7674.79674796748</x:v>
      </x:c>
      <x:c r="D18" s="32" t="n">
        <x:v>350</x:v>
      </x:c>
      <x:c r="E18" s="31" t="n">
        <x:f>D18/1.23</x:f>
        <x:v>284.5528455284553</x:v>
      </x:c>
      <x:c r="F18" s="32" t="n">
        <x:v>1000</x:v>
      </x:c>
      <x:c r="G18" s="31" t="n">
        <x:f>F18/1.23</x:f>
        <x:v>813.0081300813008</x:v>
      </x:c>
      <x:c r="H18" s="32" t="n">
        <x:v>8480</x:v>
      </x:c>
      <x:c r="I18" s="31" t="n">
        <x:f>H18/1.23</x:f>
        <x:v>6894.308943089431</x:v>
      </x:c>
      <x:c r="J18" s="32" t="n">
        <x:v>2340</x:v>
      </x:c>
      <x:c r="K18" s="31" t="n">
        <x:f>J18/1.23</x:f>
        <x:v>1902.439024390244</x:v>
      </x:c>
      <x:c r="L18" s="32" t="n">
        <x:v>2340</x:v>
      </x:c>
      <x:c r="M18" s="31" t="n">
        <x:f>L18/1.23</x:f>
        <x:v>1902.439024390244</x:v>
      </x:c>
      <x:c r="N18" s="32" t="n">
        <x:v>4780</x:v>
      </x:c>
      <x:c r="O18" s="31" t="n">
        <x:f>N18/1.23</x:f>
        <x:v>3886.1788617886177</x:v>
      </x:c>
      <x:c r="P18" s="32" t="n">
        <x:v>870</x:v>
      </x:c>
      <x:c r="Q18" s="31" t="n">
        <x:f>P18/1.23</x:f>
        <x:v>707.3170731707318</x:v>
      </x:c>
      <x:c r="R18" s="32" t="n">
        <x:v>1210</x:v>
      </x:c>
      <x:c r="S18" s="31" t="n">
        <x:f>R18/1.23</x:f>
        <x:v>983.739837398374</x:v>
      </x:c>
      <x:c r="T18" s="32" t="n">
        <x:v>1784</x:v>
      </x:c>
      <x:c r="U18" s="31" t="n">
        <x:f>T18/1.23</x:f>
        <x:v>1450.4065040650407</x:v>
      </x:c>
      <x:c r="V18" s="32" t="n">
        <x:v>2571</x:v>
      </x:c>
      <x:c r="W18" s="31" t="n">
        <x:f>V18/1.23</x:f>
        <x:v>2090.2439024390246</x:v>
      </x:c>
    </x:row>
    <x:row r="19" s="655" customFormat="1" ht="15.75" customHeight="1">
      <x:c r="A19" s="29" t="inlineStr">
        <x:is>
          <x:t xml:space="preserve">350 x 806   cm</x:t>
        </x:is>
      </x:c>
      <x:c r="B19" s="30" t="n">
        <x:v>11400</x:v>
      </x:c>
      <x:c r="C19" s="31" t="n">
        <x:f>B19/1.23</x:f>
        <x:v>9268.292682926829</x:v>
      </x:c>
      <x:c r="D19" s="32" t="n">
        <x:v>400</x:v>
      </x:c>
      <x:c r="E19" s="31" t="n">
        <x:f>D19/1.23</x:f>
        <x:v>325.2032520325203</x:v>
      </x:c>
      <x:c r="F19" s="32" t="n">
        <x:v>1150</x:v>
      </x:c>
      <x:c r="G19" s="31" t="n">
        <x:f>F19/1.23</x:f>
        <x:v>934.959349593496</x:v>
      </x:c>
      <x:c r="H19" s="32" t="n">
        <x:v>8990</x:v>
      </x:c>
      <x:c r="I19" s="31" t="n">
        <x:f>H19/1.23</x:f>
        <x:v>7308.943089430894</x:v>
      </x:c>
      <x:c r="J19" s="32" t="n">
        <x:v>2340</x:v>
      </x:c>
      <x:c r="K19" s="31" t="n">
        <x:f>J19/1.23</x:f>
        <x:v>1902.439024390244</x:v>
      </x:c>
      <x:c r="L19" s="32" t="n">
        <x:v>2340</x:v>
      </x:c>
      <x:c r="M19" s="31" t="n">
        <x:f>L19/1.23</x:f>
        <x:v>1902.439024390244</x:v>
      </x:c>
      <x:c r="N19" s="32" t="n">
        <x:v>5280</x:v>
      </x:c>
      <x:c r="O19" s="31" t="n">
        <x:f>N19/1.23</x:f>
        <x:v>4292.682926829269</x:v>
      </x:c>
      <x:c r="P19" s="32" t="n">
        <x:v>960</x:v>
      </x:c>
      <x:c r="Q19" s="31" t="n">
        <x:f>P19/1.23</x:f>
        <x:v>780.4878048780488</x:v>
      </x:c>
      <x:c r="R19" s="32" t="n">
        <x:v>1440</x:v>
      </x:c>
      <x:c r="S19" s="31" t="n">
        <x:f>R19/1.23</x:f>
        <x:v>1170.7317073170732</x:v>
      </x:c>
      <x:c r="T19" s="32" t="n">
        <x:v>1993</x:v>
      </x:c>
      <x:c r="U19" s="31" t="n">
        <x:f>T19/1.23</x:f>
        <x:v>1620.3252032520325</x:v>
      </x:c>
      <x:c r="V19" s="32" t="n">
        <x:v>2891</x:v>
      </x:c>
      <x:c r="W19" s="31" t="n">
        <x:f>V19/1.23</x:f>
        <x:v>2350.4065040650407</x:v>
      </x:c>
    </x:row>
    <x:row r="20" s="655" customFormat="1" ht="15.75" customHeight="1">
      <x:c r="A20" s="29" t="inlineStr">
        <x:is>
          <x:t xml:space="preserve">350 x 906   cm</x:t>
        </x:is>
      </x:c>
      <x:c r="B20" s="30" t="n">
        <x:v>12800</x:v>
      </x:c>
      <x:c r="C20" s="31" t="n">
        <x:f>B20/1.23</x:f>
        <x:v>10406.50406504065</x:v>
      </x:c>
      <x:c r="D20" s="32" t="n">
        <x:v>450</x:v>
      </x:c>
      <x:c r="E20" s="31" t="n">
        <x:f>D20/1.23</x:f>
        <x:v>365.8536585365854</x:v>
      </x:c>
      <x:c r="F20" s="32" t="n">
        <x:v>1290</x:v>
      </x:c>
      <x:c r="G20" s="31" t="n">
        <x:f>F20/1.23</x:f>
        <x:v>1048.780487804878</x:v>
      </x:c>
      <x:c r="H20" s="32" t="n">
        <x:v>9700</x:v>
      </x:c>
      <x:c r="I20" s="31" t="n">
        <x:f>H20/1.23</x:f>
        <x:v>7886.178861788618</x:v>
      </x:c>
      <x:c r="J20" s="32" t="n">
        <x:v>2340</x:v>
      </x:c>
      <x:c r="K20" s="31" t="n">
        <x:f>J20/1.23</x:f>
        <x:v>1902.439024390244</x:v>
      </x:c>
      <x:c r="L20" s="32" t="n">
        <x:v>2340</x:v>
      </x:c>
      <x:c r="M20" s="31" t="n">
        <x:f>L20/1.23</x:f>
        <x:v>1902.439024390244</x:v>
      </x:c>
      <x:c r="N20" s="32" t="n">
        <x:v>6400</x:v>
      </x:c>
      <x:c r="O20" s="31" t="n">
        <x:f>N20/1.23</x:f>
        <x:v>5203.252032520325</x:v>
      </x:c>
      <x:c r="P20" s="32" t="n">
        <x:v>1040</x:v>
      </x:c>
      <x:c r="Q20" s="31" t="n">
        <x:f>P20/1.23</x:f>
        <x:v>845.5284552845528</x:v>
      </x:c>
      <x:c r="R20" s="32" t="n">
        <x:v>1560</x:v>
      </x:c>
      <x:c r="S20" s="31" t="n">
        <x:f>R20/1.23</x:f>
        <x:v>1268.2926829268292</x:v>
      </x:c>
      <x:c r="T20" s="32" t="n">
        <x:v>2189</x:v>
      </x:c>
      <x:c r="U20" s="31" t="n">
        <x:f>T20/1.23</x:f>
        <x:v>1779.6747967479675</x:v>
      </x:c>
      <x:c r="V20" s="32" t="n">
        <x:v>3223</x:v>
      </x:c>
      <x:c r="W20" s="31" t="n">
        <x:f>V20/1.23</x:f>
        <x:v>2620.3252032520327</x:v>
      </x:c>
    </x:row>
    <x:row r="21" s="655" customFormat="1" ht="15.75" customHeight="1">
      <x:c r="A21" s="29" t="inlineStr">
        <x:is>
          <x:t xml:space="preserve">350 x 1006 cm</x:t>
        </x:is>
      </x:c>
      <x:c r="B21" s="30" t="n">
        <x:v>14200</x:v>
      </x:c>
      <x:c r="C21" s="31" t="n">
        <x:f>B21/1.23</x:f>
        <x:v>11544.71544715447</x:v>
      </x:c>
      <x:c r="D21" s="32" t="n">
        <x:v>500</x:v>
      </x:c>
      <x:c r="E21" s="31" t="n">
        <x:f>D21/1.23</x:f>
        <x:v>406.5040650406504</x:v>
      </x:c>
      <x:c r="F21" s="32" t="n">
        <x:v>1430</x:v>
      </x:c>
      <x:c r="G21" s="31" t="n">
        <x:f>F21/1.23</x:f>
        <x:v>1162.60162601626</x:v>
      </x:c>
      <x:c r="H21" s="32" t="n">
        <x:v>10400</x:v>
      </x:c>
      <x:c r="I21" s="31" t="n">
        <x:f>H21/1.23</x:f>
        <x:v>8455.28455284553</x:v>
      </x:c>
      <x:c r="J21" s="32" t="n">
        <x:v>2340</x:v>
      </x:c>
      <x:c r="K21" s="31" t="n">
        <x:f>J21/1.23</x:f>
        <x:v>1902.439024390244</x:v>
      </x:c>
      <x:c r="L21" s="32" t="n">
        <x:v>2340</x:v>
      </x:c>
      <x:c r="M21" s="31" t="n">
        <x:f>L21/1.23</x:f>
        <x:v>1902.439024390244</x:v>
      </x:c>
      <x:c r="N21" s="32" t="n">
        <x:v>6910</x:v>
      </x:c>
      <x:c r="O21" s="31" t="n">
        <x:f>N21/1.23</x:f>
        <x:v>5617.886178861789</x:v>
      </x:c>
      <x:c r="P21" s="32" t="n">
        <x:v>1230</x:v>
      </x:c>
      <x:c r="Q21" s="31" t="n">
        <x:f>P21/1.23</x:f>
        <x:v>1000</x:v>
      </x:c>
      <x:c r="R21" s="32" t="n">
        <x:v>1650</x:v>
      </x:c>
      <x:c r="S21" s="31" t="n">
        <x:f>R21/1.23</x:f>
        <x:v>1341.4634146341464</x:v>
      </x:c>
      <x:c r="T21" s="32" t="n">
        <x:v>2399</x:v>
      </x:c>
      <x:c r="U21" s="31" t="n">
        <x:f>T21/1.23</x:f>
        <x:v>1950.4065040650407</x:v>
      </x:c>
      <x:c r="V21" s="32" t="n">
        <x:v>3555</x:v>
      </x:c>
      <x:c r="W21" s="31" t="n">
        <x:f>V21/1.23</x:f>
        <x:v>2890.2439024390246</x:v>
      </x:c>
    </x:row>
    <x:row r="22" s="655" customFormat="1" ht="15.75" customHeight="1">
      <x:c r="A22" s="29" t="inlineStr">
        <x:is>
          <x:t xml:space="preserve">350 x 1106 cm</x:t>
        </x:is>
      </x:c>
      <x:c r="B22" s="30" t="n">
        <x:v>15230</x:v>
      </x:c>
      <x:c r="C22" s="31" t="n">
        <x:f>B22/1.23</x:f>
        <x:v>12382.113821138211</x:v>
      </x:c>
      <x:c r="D22" s="32" t="n">
        <x:v>550</x:v>
      </x:c>
      <x:c r="E22" s="31" t="n">
        <x:f>D22/1.23</x:f>
        <x:v>447.1544715447155</x:v>
      </x:c>
      <x:c r="F22" s="32" t="n">
        <x:v>1580</x:v>
      </x:c>
      <x:c r="G22" s="31" t="n">
        <x:f>F22/1.23</x:f>
        <x:v>1284.5528455284552</x:v>
      </x:c>
      <x:c r="H22" s="32" t="n">
        <x:v>12980</x:v>
      </x:c>
      <x:c r="I22" s="31" t="n">
        <x:f>H22/1.23</x:f>
        <x:v>10552.845528455286</x:v>
      </x:c>
      <x:c r="J22" s="32" t="n">
        <x:v>2340</x:v>
      </x:c>
      <x:c r="K22" s="31" t="n">
        <x:f>J22/1.23</x:f>
        <x:v>1902.439024390244</x:v>
      </x:c>
      <x:c r="L22" s="32" t="n">
        <x:v>2340</x:v>
      </x:c>
      <x:c r="M22" s="31" t="n">
        <x:f>L22/1.23</x:f>
        <x:v>1902.439024390244</x:v>
      </x:c>
      <x:c r="N22" s="32" t="n">
        <x:v>7420</x:v>
      </x:c>
      <x:c r="O22" s="31" t="n">
        <x:f>N22/1.23</x:f>
        <x:v>6032.5203252032525</x:v>
      </x:c>
      <x:c r="P22" s="32" t="n">
        <x:v>1430</x:v>
      </x:c>
      <x:c r="Q22" s="31" t="n">
        <x:f>P22/1.23</x:f>
        <x:v>1162.60162601626</x:v>
      </x:c>
      <x:c r="R22" s="32" t="n">
        <x:v>1770</x:v>
      </x:c>
      <x:c r="S22" s="31" t="n">
        <x:f>R22/1.23</x:f>
        <x:v>1439.0243902439024</x:v>
      </x:c>
      <x:c r="T22" s="32" t="n">
        <x:v>2595</x:v>
      </x:c>
      <x:c r="U22" s="31" t="n">
        <x:f>T22/1.23</x:f>
        <x:v>2109.756097560976</x:v>
      </x:c>
      <x:c r="V22" s="32" t="n">
        <x:v>3887</x:v>
      </x:c>
      <x:c r="W22" s="31" t="n">
        <x:f>V22/1.23</x:f>
        <x:v>3160.162601626016</x:v>
      </x:c>
    </x:row>
    <x:row r="23" s="655" customFormat="1" ht="15.75" customHeight="1">
      <x:c r="A23" s="29" t="inlineStr">
        <x:is>
          <x:t xml:space="preserve">350 x 1206 cm</x:t>
        </x:is>
      </x:c>
      <x:c r="B23" s="30" t="n">
        <x:v>16260</x:v>
      </x:c>
      <x:c r="C23" s="31" t="n">
        <x:f>B23/1.23</x:f>
        <x:v>13219.512195121952</x:v>
      </x:c>
      <x:c r="D23" s="32" t="n">
        <x:v>600</x:v>
      </x:c>
      <x:c r="E23" s="31" t="n">
        <x:f>D23/1.23</x:f>
        <x:v>487.8048780487805</x:v>
      </x:c>
      <x:c r="F23" s="32" t="n">
        <x:v>1720</x:v>
      </x:c>
      <x:c r="G23" s="31" t="n">
        <x:f>F23/1.23</x:f>
        <x:v>1398.3739837398375</x:v>
      </x:c>
      <x:c r="H23" s="32" t="n">
        <x:v>13500</x:v>
      </x:c>
      <x:c r="I23" s="31" t="n">
        <x:f>H23/1.23</x:f>
        <x:v>10975.609756097561</x:v>
      </x:c>
      <x:c r="J23" s="32" t="n">
        <x:v>2340</x:v>
      </x:c>
      <x:c r="K23" s="31" t="n">
        <x:f>J23/1.23</x:f>
        <x:v>1902.439024390244</x:v>
      </x:c>
      <x:c r="L23" s="32" t="n">
        <x:v>2340</x:v>
      </x:c>
      <x:c r="M23" s="31" t="n">
        <x:f>L23/1.23</x:f>
        <x:v>1902.439024390244</x:v>
      </x:c>
      <x:c r="N23" s="32" t="n">
        <x:v>7920</x:v>
      </x:c>
      <x:c r="O23" s="31" t="n">
        <x:f>N23/1.23</x:f>
        <x:v>6439.024390243902</x:v>
      </x:c>
      <x:c r="P23" s="32" t="n">
        <x:v>1510</x:v>
      </x:c>
      <x:c r="Q23" s="31" t="n">
        <x:f>P23/1.23</x:f>
        <x:v>1227.6422764227643</x:v>
      </x:c>
      <x:c r="R23" s="32" t="n">
        <x:v>1900</x:v>
      </x:c>
      <x:c r="S23" s="31" t="n">
        <x:f>R23/1.23</x:f>
        <x:v>1544.7154471544716</x:v>
      </x:c>
      <x:c r="T23" s="32" t="n">
        <x:v>2804</x:v>
      </x:c>
      <x:c r="U23" s="31" t="n">
        <x:f>T23/1.23</x:f>
        <x:v>2279.6747967479673</x:v>
      </x:c>
      <x:c r="V23" s="32" t="n">
        <x:v>4219</x:v>
      </x:c>
      <x:c r="W23" s="31" t="n">
        <x:f>V23/1.23</x:f>
        <x:v>3430.081300813008</x:v>
      </x:c>
    </x:row>
    <x:row r="24" s="655" customFormat="1" ht="15.75" customHeight="1">
      <x:c r="A24" s="33" t="inlineStr">
        <x:is>
          <x:t xml:space="preserve">400 x 306   cm</x:t>
        </x:is>
      </x:c>
      <x:c r="B24" s="34" t="n">
        <x:v>5010</x:v>
      </x:c>
      <x:c r="C24" s="35" t="n">
        <x:f>B24/1.23</x:f>
        <x:v>4073.170731707317</x:v>
      </x:c>
      <x:c r="D24" s="36" t="n">
        <x:v>170</x:v>
      </x:c>
      <x:c r="E24" s="35" t="n">
        <x:f>D24/1.23</x:f>
        <x:v>138.21138211382114</x:v>
      </x:c>
      <x:c r="F24" s="36" t="n">
        <x:v>520</x:v>
      </x:c>
      <x:c r="G24" s="35" t="n">
        <x:f>F24/1.23</x:f>
        <x:v>422.7642276422764</x:v>
      </x:c>
      <x:c r="H24" s="36" t="n">
        <x:v>4030</x:v>
      </x:c>
      <x:c r="I24" s="35" t="n">
        <x:f>H24/1.23</x:f>
        <x:v>3276.4227642276423</x:v>
      </x:c>
      <x:c r="J24" s="36" t="n">
        <x:v>2640</x:v>
      </x:c>
      <x:c r="K24" s="35" t="n">
        <x:f>J24/1.23</x:f>
        <x:v>2146.3414634146343</x:v>
      </x:c>
      <x:c r="L24" s="36" t="n">
        <x:v>2640</x:v>
      </x:c>
      <x:c r="M24" s="35" t="n">
        <x:f>L24/1.23</x:f>
        <x:v>2146.3414634146343</x:v>
      </x:c>
      <x:c r="N24" s="36" t="n">
        <x:v>2140</x:v>
      </x:c>
      <x:c r="O24" s="35" t="n">
        <x:f>N24/1.23</x:f>
        <x:v>1739.8373983739837</x:v>
      </x:c>
      <x:c r="P24" s="36" t="n">
        <x:v>420</x:v>
      </x:c>
      <x:c r="Q24" s="35" t="n">
        <x:f>P24/1.23</x:f>
        <x:v>341.4634146341464</x:v>
      </x:c>
      <x:c r="R24" s="36" t="n">
        <x:v>640</x:v>
      </x:c>
      <x:c r="S24" s="35" t="n">
        <x:f>R24/1.23</x:f>
        <x:v>520.3252032520326</x:v>
      </x:c>
      <x:c r="T24" s="36" t="n">
        <x:v>1058</x:v>
      </x:c>
      <x:c r="U24" s="35" t="n">
        <x:f>T24/1.23</x:f>
        <x:v>860.1626016260162</x:v>
      </x:c>
      <x:c r="V24" s="36" t="n">
        <x:v>1365</x:v>
      </x:c>
      <x:c r="W24" s="35" t="n">
        <x:f>V24/1.23</x:f>
        <x:v>1109.7560975609756</x:v>
      </x:c>
    </x:row>
    <x:row r="25" s="655" customFormat="1" ht="15.75" customHeight="1">
      <x:c r="A25" s="33" t="inlineStr">
        <x:is>
          <x:t xml:space="preserve">400 x 406   cm</x:t>
        </x:is>
      </x:c>
      <x:c r="B25" s="34" t="n">
        <x:v>6130</x:v>
      </x:c>
      <x:c r="C25" s="35" t="n">
        <x:f>B25/1.23</x:f>
        <x:v>4983.739837398374</x:v>
      </x:c>
      <x:c r="D25" s="36" t="n">
        <x:v>220</x:v>
      </x:c>
      <x:c r="E25" s="35" t="n">
        <x:f>D25/1.23</x:f>
        <x:v>178.8617886178862</x:v>
      </x:c>
      <x:c r="F25" s="36" t="n">
        <x:v>690</x:v>
      </x:c>
      <x:c r="G25" s="35" t="n">
        <x:f>F25/1.23</x:f>
        <x:v>560.9756097560976</x:v>
      </x:c>
      <x:c r="H25" s="36" t="n">
        <x:v>4660</x:v>
      </x:c>
      <x:c r="I25" s="35" t="n">
        <x:f>H25/1.23</x:f>
        <x:v>3788.6178861788617</x:v>
      </x:c>
      <x:c r="J25" s="36" t="n">
        <x:v>2640</x:v>
      </x:c>
      <x:c r="K25" s="35" t="n">
        <x:f>J25/1.23</x:f>
        <x:v>2146.3414634146343</x:v>
      </x:c>
      <x:c r="L25" s="36" t="n">
        <x:v>2640</x:v>
      </x:c>
      <x:c r="M25" s="35" t="n">
        <x:f>L25/1.23</x:f>
        <x:v>2146.3414634146343</x:v>
      </x:c>
      <x:c r="N25" s="36" t="n">
        <x:v>2640</x:v>
      </x:c>
      <x:c r="O25" s="35" t="n">
        <x:f>N25/1.23</x:f>
        <x:v>2146.3414634146343</x:v>
      </x:c>
      <x:c r="P25" s="36" t="n">
        <x:v>510</x:v>
      </x:c>
      <x:c r="Q25" s="35" t="n">
        <x:f>P25/1.23</x:f>
        <x:v>414.6341463414634</x:v>
      </x:c>
      <x:c r="R25" s="36" t="n">
        <x:v>740</x:v>
      </x:c>
      <x:c r="S25" s="35" t="n">
        <x:f>R25/1.23</x:f>
        <x:v>601.6260162601626</x:v>
      </x:c>
      <x:c r="T25" s="36" t="n">
        <x:v>1279</x:v>
      </x:c>
      <x:c r="U25" s="35" t="n">
        <x:f>T25/1.23</x:f>
        <x:v>1039.8373983739837</x:v>
      </x:c>
      <x:c r="V25" s="36" t="n">
        <x:v>1710</x:v>
      </x:c>
      <x:c r="W25" s="35" t="n">
        <x:f>V25/1.23</x:f>
        <x:v>1390.2439024390244</x:v>
      </x:c>
    </x:row>
    <x:row r="26" s="655" customFormat="1" ht="15.75" customHeight="1">
      <x:c r="A26" s="33" t="inlineStr">
        <x:is>
          <x:t xml:space="preserve">400 x 506   cm</x:t>
        </x:is>
      </x:c>
      <x:c r="B26" s="34" t="n">
        <x:v>7620</x:v>
      </x:c>
      <x:c r="C26" s="35" t="n">
        <x:f>B26/1.23</x:f>
        <x:v>6195.121951219512</x:v>
      </x:c>
      <x:c r="D26" s="36" t="n">
        <x:v>280</x:v>
      </x:c>
      <x:c r="E26" s="35" t="n">
        <x:f>D26/1.23</x:f>
        <x:v>227.64227642276424</x:v>
      </x:c>
      <x:c r="F26" s="36" t="n">
        <x:v>870</x:v>
      </x:c>
      <x:c r="G26" s="35" t="n">
        <x:f>F26/1.23</x:f>
        <x:v>707.3170731707318</x:v>
      </x:c>
      <x:c r="H26" s="36" t="n">
        <x:v>5310</x:v>
      </x:c>
      <x:c r="I26" s="35" t="n">
        <x:f>H26/1.23</x:f>
        <x:v>4317.073170731707</x:v>
      </x:c>
      <x:c r="J26" s="36" t="n">
        <x:v>2640</x:v>
      </x:c>
      <x:c r="K26" s="35" t="n">
        <x:f>J26/1.23</x:f>
        <x:v>2146.3414634146343</x:v>
      </x:c>
      <x:c r="L26" s="36" t="n">
        <x:v>2640</x:v>
      </x:c>
      <x:c r="M26" s="35" t="n">
        <x:f>L26/1.23</x:f>
        <x:v>2146.3414634146343</x:v>
      </x:c>
      <x:c r="N26" s="36" t="n">
        <x:v>3700</x:v>
      </x:c>
      <x:c r="O26" s="35" t="n">
        <x:f>N26/1.23</x:f>
        <x:v>3008.130081300813</x:v>
      </x:c>
      <x:c r="P26" s="36" t="n">
        <x:v>600</x:v>
      </x:c>
      <x:c r="Q26" s="35" t="n">
        <x:f>P26/1.23</x:f>
        <x:v>487.8048780487805</x:v>
      </x:c>
      <x:c r="R26" s="36" t="n">
        <x:v>960</x:v>
      </x:c>
      <x:c r="S26" s="35" t="n">
        <x:f>R26/1.23</x:f>
        <x:v>780.4878048780488</x:v>
      </x:c>
      <x:c r="T26" s="36" t="n">
        <x:v>1488</x:v>
      </x:c>
      <x:c r="U26" s="35" t="n">
        <x:f>T26/1.23</x:f>
        <x:v>1209.7560975609756</x:v>
      </x:c>
      <x:c r="V26" s="36" t="n">
        <x:v>2054</x:v>
      </x:c>
      <x:c r="W26" s="35" t="n">
        <x:f>V26/1.23</x:f>
        <x:v>1669.918699186992</x:v>
      </x:c>
    </x:row>
    <x:row r="27" s="655" customFormat="1" ht="16.5" customHeight="1">
      <x:c r="A27" s="33" t="inlineStr">
        <x:is>
          <x:t xml:space="preserve">400 x 606   cm</x:t>
        </x:is>
      </x:c>
      <x:c r="B27" s="34" t="n">
        <x:v>8350</x:v>
      </x:c>
      <x:c r="C27" s="35" t="n">
        <x:f>B27/1.23</x:f>
        <x:v>6788.617886178862</x:v>
      </x:c>
      <x:c r="D27" s="36" t="n">
        <x:v>340</x:v>
      </x:c>
      <x:c r="E27" s="35" t="n">
        <x:f>D27/1.23</x:f>
        <x:v>276.4227642276423</x:v>
      </x:c>
      <x:c r="F27" s="36" t="n">
        <x:v>1040</x:v>
      </x:c>
      <x:c r="G27" s="35" t="n">
        <x:f>F27/1.23</x:f>
        <x:v>845.5284552845528</x:v>
      </x:c>
      <x:c r="H27" s="36" t="n">
        <x:v>8060</x:v>
      </x:c>
      <x:c r="I27" s="35" t="n">
        <x:f>H27/1.23</x:f>
        <x:v>6552.845528455285</x:v>
      </x:c>
      <x:c r="J27" s="36" t="n">
        <x:v>2640</x:v>
      </x:c>
      <x:c r="K27" s="35" t="n">
        <x:f>J27/1.23</x:f>
        <x:v>2146.3414634146343</x:v>
      </x:c>
      <x:c r="L27" s="36" t="n">
        <x:v>2640</x:v>
      </x:c>
      <x:c r="M27" s="35" t="n">
        <x:f>L27/1.23</x:f>
        <x:v>2146.3414634146343</x:v>
      </x:c>
      <x:c r="N27" s="36" t="n">
        <x:v>4270</x:v>
      </x:c>
      <x:c r="O27" s="35" t="n">
        <x:f>N27/1.23</x:f>
        <x:v>3471.5447154471544</x:v>
      </x:c>
      <x:c r="P27" s="36" t="n">
        <x:v>790</x:v>
      </x:c>
      <x:c r="Q27" s="35" t="n">
        <x:f>P27/1.23</x:f>
        <x:v>642.2764227642276</x:v>
      </x:c>
      <x:c r="R27" s="36" t="n">
        <x:v>1090</x:v>
      </x:c>
      <x:c r="S27" s="35" t="n">
        <x:f>R27/1.23</x:f>
        <x:v>886.178861788618</x:v>
      </x:c>
      <x:c r="T27" s="36" t="n">
        <x:v>1697</x:v>
      </x:c>
      <x:c r="U27" s="35" t="n">
        <x:f>T27/1.23</x:f>
        <x:v>1379.6747967479675</x:v>
      </x:c>
      <x:c r="V27" s="36" t="n">
        <x:v>2423</x:v>
      </x:c>
      <x:c r="W27" s="35" t="n">
        <x:f>V27/1.23</x:f>
        <x:v>1969.918699186992</x:v>
      </x:c>
    </x:row>
    <x:row r="28" s="655" customFormat="1" ht="15.75" customHeight="1">
      <x:c r="A28" s="33" t="inlineStr">
        <x:is>
          <x:t xml:space="preserve">400 x 706   cm</x:t>
        </x:is>
      </x:c>
      <x:c r="B28" s="34" t="n">
        <x:v>10160</x:v>
      </x:c>
      <x:c r="C28" s="35" t="n">
        <x:f>B28/1.23</x:f>
        <x:v>8260.162601626016</x:v>
      </x:c>
      <x:c r="D28" s="36" t="n">
        <x:v>390</x:v>
      </x:c>
      <x:c r="E28" s="35" t="n">
        <x:f>D28/1.23</x:f>
        <x:v>317.0731707317073</x:v>
      </x:c>
      <x:c r="F28" s="36" t="n">
        <x:v>1210</x:v>
      </x:c>
      <x:c r="G28" s="35" t="n">
        <x:f>F28/1.23</x:f>
        <x:v>983.739837398374</x:v>
      </x:c>
      <x:c r="H28" s="36" t="n">
        <x:v>8700</x:v>
      </x:c>
      <x:c r="I28" s="35" t="n">
        <x:f>H28/1.23</x:f>
        <x:v>7073.170731707317</x:v>
      </x:c>
      <x:c r="J28" s="36" t="n">
        <x:v>2640</x:v>
      </x:c>
      <x:c r="K28" s="35" t="n">
        <x:f>J28/1.23</x:f>
        <x:v>2146.3414634146343</x:v>
      </x:c>
      <x:c r="L28" s="36" t="n">
        <x:v>2640</x:v>
      </x:c>
      <x:c r="M28" s="35" t="n">
        <x:f>L28/1.23</x:f>
        <x:v>2146.3414634146343</x:v>
      </x:c>
      <x:c r="N28" s="36" t="n">
        <x:v>4780</x:v>
      </x:c>
      <x:c r="O28" s="35" t="n">
        <x:f>N28/1.23</x:f>
        <x:v>3886.1788617886177</x:v>
      </x:c>
      <x:c r="P28" s="36" t="n">
        <x:v>870</x:v>
      </x:c>
      <x:c r="Q28" s="35" t="n">
        <x:f>P28/1.23</x:f>
        <x:v>707.3170731707318</x:v>
      </x:c>
      <x:c r="R28" s="36" t="n">
        <x:v>1210</x:v>
      </x:c>
      <x:c r="S28" s="35" t="n">
        <x:f>R28/1.23</x:f>
        <x:v>983.739837398374</x:v>
      </x:c>
      <x:c r="T28" s="36" t="n">
        <x:v>1919</x:v>
      </x:c>
      <x:c r="U28" s="35" t="n">
        <x:f>T28/1.23</x:f>
        <x:v>1560.1626016260163</x:v>
      </x:c>
      <x:c r="V28" s="36" t="n">
        <x:v>2792</x:v>
      </x:c>
      <x:c r="W28" s="35" t="n">
        <x:f>V28/1.23</x:f>
        <x:v>2269.918699186992</x:v>
      </x:c>
    </x:row>
    <x:row r="29" s="655" customFormat="1" ht="15.75" customHeight="1">
      <x:c r="A29" s="33" t="inlineStr">
        <x:is>
          <x:t xml:space="preserve">400 x 806   cm</x:t>
        </x:is>
      </x:c>
      <x:c r="B29" s="34" t="n">
        <x:v>12250</x:v>
      </x:c>
      <x:c r="C29" s="35" t="n">
        <x:f>B29/1.23</x:f>
        <x:v>9959.349593495936</x:v>
      </x:c>
      <x:c r="D29" s="36" t="n">
        <x:v>640</x:v>
      </x:c>
      <x:c r="E29" s="35" t="n">
        <x:f>D29/1.23</x:f>
        <x:v>520.3252032520326</x:v>
      </x:c>
      <x:c r="F29" s="36" t="n">
        <x:v>1644.8</x:v>
      </x:c>
      <x:c r="G29" s="35" t="n">
        <x:f>F29/1.23</x:f>
        <x:v>1337.2357723577236</x:v>
      </x:c>
      <x:c r="H29" s="36" t="n">
        <x:v>9328</x:v>
      </x:c>
      <x:c r="I29" s="35" t="n">
        <x:f>H29/1.23</x:f>
        <x:v>7583.739837398374</x:v>
      </x:c>
      <x:c r="J29" s="36" t="n">
        <x:v>2640</x:v>
      </x:c>
      <x:c r="K29" s="35" t="n">
        <x:f>J29/1.23</x:f>
        <x:v>2146.3414634146343</x:v>
      </x:c>
      <x:c r="L29" s="36" t="n">
        <x:v>2640</x:v>
      </x:c>
      <x:c r="M29" s="35" t="n">
        <x:f>L29/1.23</x:f>
        <x:v>2146.3414634146343</x:v>
      </x:c>
      <x:c r="N29" s="36" t="n">
        <x:v>5280</x:v>
      </x:c>
      <x:c r="O29" s="35" t="n">
        <x:f>N29/1.23</x:f>
        <x:v>4292.682926829269</x:v>
      </x:c>
      <x:c r="P29" s="36" t="n">
        <x:v>960</x:v>
      </x:c>
      <x:c r="Q29" s="35" t="n">
        <x:f>P29/1.23</x:f>
        <x:v>780.4878048780488</x:v>
      </x:c>
      <x:c r="R29" s="36" t="n">
        <x:v>1440</x:v>
      </x:c>
      <x:c r="S29" s="35" t="n">
        <x:f>R29/1.23</x:f>
        <x:v>1170.7317073170732</x:v>
      </x:c>
      <x:c r="T29" s="36" t="n">
        <x:v>2153</x:v>
      </x:c>
      <x:c r="U29" s="35" t="n">
        <x:f>T29/1.23</x:f>
        <x:v>1750.4065040650407</x:v>
      </x:c>
      <x:c r="V29" s="36" t="n">
        <x:v>3161</x:v>
      </x:c>
      <x:c r="W29" s="35" t="n">
        <x:f>V29/1.23</x:f>
        <x:v>2569.918699186992</x:v>
      </x:c>
    </x:row>
    <x:row r="30" s="655" customFormat="1" ht="15.75" customHeight="1">
      <x:c r="A30" s="33" t="inlineStr">
        <x:is>
          <x:t xml:space="preserve">400 x 906   cm</x:t>
        </x:is>
      </x:c>
      <x:c r="B30" s="34" t="n">
        <x:v>13750</x:v>
      </x:c>
      <x:c r="C30" s="35" t="n">
        <x:f>B30/1.23</x:f>
        <x:v>11178.861788617887</x:v>
      </x:c>
      <x:c r="D30" s="36" t="n">
        <x:v>500</x:v>
      </x:c>
      <x:c r="E30" s="35" t="n">
        <x:f>D30/1.23</x:f>
        <x:v>406.5040650406504</x:v>
      </x:c>
      <x:c r="F30" s="36" t="n">
        <x:v>1560</x:v>
      </x:c>
      <x:c r="G30" s="35" t="n">
        <x:f>F30/1.23</x:f>
        <x:v>1268.2926829268292</x:v>
      </x:c>
      <x:c r="H30" s="36" t="n">
        <x:v>9980</x:v>
      </x:c>
      <x:c r="I30" s="35" t="n">
        <x:f>H30/1.23</x:f>
        <x:v>8113.821138211382</x:v>
      </x:c>
      <x:c r="J30" s="36" t="n">
        <x:v>2640</x:v>
      </x:c>
      <x:c r="K30" s="35" t="n">
        <x:f>J30/1.23</x:f>
        <x:v>2146.3414634146343</x:v>
      </x:c>
      <x:c r="L30" s="36" t="n">
        <x:v>2640</x:v>
      </x:c>
      <x:c r="M30" s="35" t="n">
        <x:f>L30/1.23</x:f>
        <x:v>2146.3414634146343</x:v>
      </x:c>
      <x:c r="N30" s="36" t="n">
        <x:v>6400</x:v>
      </x:c>
      <x:c r="O30" s="35" t="n">
        <x:f>N30/1.23</x:f>
        <x:v>5203.252032520325</x:v>
      </x:c>
      <x:c r="P30" s="36" t="n">
        <x:v>1040</x:v>
      </x:c>
      <x:c r="Q30" s="35" t="n">
        <x:f>P30/1.23</x:f>
        <x:v>845.5284552845528</x:v>
      </x:c>
      <x:c r="R30" s="36" t="n">
        <x:v>1560</x:v>
      </x:c>
      <x:c r="S30" s="35" t="n">
        <x:f>R30/1.23</x:f>
        <x:v>1268.2926829268292</x:v>
      </x:c>
      <x:c r="T30" s="36" t="n">
        <x:v>2374</x:v>
      </x:c>
      <x:c r="U30" s="35" t="n">
        <x:f>T30/1.23</x:f>
        <x:v>1930.081300813008</x:v>
      </x:c>
      <x:c r="V30" s="36" t="n">
        <x:v>3530</x:v>
      </x:c>
      <x:c r="W30" s="35" t="n">
        <x:f>V30/1.23</x:f>
        <x:v>2869.918699186992</x:v>
      </x:c>
    </x:row>
    <x:row r="31" s="655" customFormat="1" ht="15.75" customHeight="1">
      <x:c r="A31" s="33" t="inlineStr">
        <x:is>
          <x:t xml:space="preserve">400 x 1006 cm</x:t>
        </x:is>
      </x:c>
      <x:c r="B31" s="34" t="n">
        <x:v>15250</x:v>
      </x:c>
      <x:c r="C31" s="35" t="n">
        <x:f>B31/1.23</x:f>
        <x:v>12398.373983739837</x:v>
      </x:c>
      <x:c r="D31" s="36" t="n">
        <x:v>560</x:v>
      </x:c>
      <x:c r="E31" s="35" t="n">
        <x:f>D31/1.23</x:f>
        <x:v>455.2845528455285</x:v>
      </x:c>
      <x:c r="F31" s="36" t="n">
        <x:v>1730</x:v>
      </x:c>
      <x:c r="G31" s="35" t="n">
        <x:f>F31/1.23</x:f>
        <x:v>1406.5040650406504</x:v>
      </x:c>
      <x:c r="H31" s="36" t="n">
        <x:v>10620</x:v>
      </x:c>
      <x:c r="I31" s="35" t="n">
        <x:f>H31/1.23</x:f>
        <x:v>8634.146341463415</x:v>
      </x:c>
      <x:c r="J31" s="36" t="n">
        <x:v>2640</x:v>
      </x:c>
      <x:c r="K31" s="35" t="n">
        <x:f>J31/1.23</x:f>
        <x:v>2146.3414634146343</x:v>
      </x:c>
      <x:c r="L31" s="36" t="n">
        <x:v>2640</x:v>
      </x:c>
      <x:c r="M31" s="35" t="n">
        <x:f>L31/1.23</x:f>
        <x:v>2146.3414634146343</x:v>
      </x:c>
      <x:c r="N31" s="36" t="n">
        <x:v>6910</x:v>
      </x:c>
      <x:c r="O31" s="35" t="n">
        <x:f>N31/1.23</x:f>
        <x:v>5617.886178861789</x:v>
      </x:c>
      <x:c r="P31" s="36" t="n">
        <x:v>1230</x:v>
      </x:c>
      <x:c r="Q31" s="35" t="n">
        <x:f>P31/1.23</x:f>
        <x:v>1000</x:v>
      </x:c>
      <x:c r="R31" s="36" t="n">
        <x:v>1650</x:v>
      </x:c>
      <x:c r="S31" s="35" t="n">
        <x:f>R31/1.23</x:f>
        <x:v>1341.4634146341464</x:v>
      </x:c>
      <x:c r="T31" s="36" t="n">
        <x:v>2595</x:v>
      </x:c>
      <x:c r="U31" s="35" t="n">
        <x:f>T31/1.23</x:f>
        <x:v>2109.756097560976</x:v>
      </x:c>
      <x:c r="V31" s="36" t="n">
        <x:v>3899</x:v>
      </x:c>
      <x:c r="W31" s="35" t="n">
        <x:f>V31/1.23</x:f>
        <x:v>3169.918699186992</x:v>
      </x:c>
    </x:row>
    <x:row r="32" s="655" customFormat="1" ht="15.75" customHeight="1">
      <x:c r="A32" s="33" t="inlineStr">
        <x:is>
          <x:t xml:space="preserve">400 x 1106 cm</x:t>
        </x:is>
      </x:c>
      <x:c r="B32" s="34" t="n">
        <x:v>15970</x:v>
      </x:c>
      <x:c r="C32" s="35" t="n">
        <x:f>B32/1.23</x:f>
        <x:v>12983.739837398374</x:v>
      </x:c>
      <x:c r="D32" s="36" t="n">
        <x:v>620</x:v>
      </x:c>
      <x:c r="E32" s="35" t="n">
        <x:f>D32/1.23</x:f>
        <x:v>504.0650406504065</x:v>
      </x:c>
      <x:c r="F32" s="36" t="n">
        <x:v>1900</x:v>
      </x:c>
      <x:c r="G32" s="35" t="n">
        <x:f>F32/1.23</x:f>
        <x:v>1544.7154471544716</x:v>
      </x:c>
      <x:c r="H32" s="36" t="n">
        <x:v>13350</x:v>
      </x:c>
      <x:c r="I32" s="35" t="n">
        <x:f>H32/1.23</x:f>
        <x:v>10853.658536585366</x:v>
      </x:c>
      <x:c r="J32" s="36" t="n">
        <x:v>2640</x:v>
      </x:c>
      <x:c r="K32" s="35" t="n">
        <x:f>J32/1.23</x:f>
        <x:v>2146.3414634146343</x:v>
      </x:c>
      <x:c r="L32" s="36" t="n">
        <x:v>2640</x:v>
      </x:c>
      <x:c r="M32" s="35" t="n">
        <x:f>L32/1.23</x:f>
        <x:v>2146.3414634146343</x:v>
      </x:c>
      <x:c r="N32" s="36" t="n">
        <x:v>7420</x:v>
      </x:c>
      <x:c r="O32" s="35" t="n">
        <x:f>N32/1.23</x:f>
        <x:v>6032.5203252032525</x:v>
      </x:c>
      <x:c r="P32" s="36" t="n">
        <x:v>1430</x:v>
      </x:c>
      <x:c r="Q32" s="35" t="n">
        <x:f>P32/1.23</x:f>
        <x:v>1162.60162601626</x:v>
      </x:c>
      <x:c r="R32" s="36" t="n">
        <x:v>1770</x:v>
      </x:c>
      <x:c r="S32" s="35" t="n">
        <x:f>R32/1.23</x:f>
        <x:v>1439.0243902439024</x:v>
      </x:c>
      <x:c r="T32" s="36" t="n">
        <x:v>2829</x:v>
      </x:c>
      <x:c r="U32" s="35" t="n">
        <x:f>T32/1.23</x:f>
        <x:v>2300</x:v>
      </x:c>
      <x:c r="V32" s="36" t="n">
        <x:v>4268</x:v>
      </x:c>
      <x:c r="W32" s="35" t="n">
        <x:f>V32/1.23</x:f>
        <x:v>3469.918699186992</x:v>
      </x:c>
    </x:row>
    <x:row r="33" s="655" customFormat="1" ht="15.75" customHeight="1">
      <x:c r="A33" s="33" t="inlineStr">
        <x:is>
          <x:t xml:space="preserve">400 x 1206 cm</x:t>
        </x:is>
      </x:c>
      <x:c r="B33" s="34" t="n">
        <x:v>16700</x:v>
      </x:c>
      <x:c r="C33" s="35" t="n">
        <x:f>B33/1.23</x:f>
        <x:v>13577.235772357724</x:v>
      </x:c>
      <x:c r="D33" s="36" t="n">
        <x:v>670</x:v>
      </x:c>
      <x:c r="E33" s="35" t="n">
        <x:f>D33/1.23</x:f>
        <x:v>544.7154471544716</x:v>
      </x:c>
      <x:c r="F33" s="36" t="n">
        <x:v>2080</x:v>
      </x:c>
      <x:c r="G33" s="35" t="n">
        <x:f>F33/1.23</x:f>
        <x:v>1691.0569105691056</x:v>
      </x:c>
      <x:c r="H33" s="36" t="n">
        <x:v>13980</x:v>
      </x:c>
      <x:c r="I33" s="35" t="n">
        <x:f>H33/1.23</x:f>
        <x:v>11365.853658536585</x:v>
      </x:c>
      <x:c r="J33" s="36" t="n">
        <x:v>2640</x:v>
      </x:c>
      <x:c r="K33" s="35" t="n">
        <x:f>J33/1.23</x:f>
        <x:v>2146.3414634146343</x:v>
      </x:c>
      <x:c r="L33" s="36" t="n">
        <x:v>2640</x:v>
      </x:c>
      <x:c r="M33" s="35" t="n">
        <x:f>L33/1.23</x:f>
        <x:v>2146.3414634146343</x:v>
      </x:c>
      <x:c r="N33" s="36" t="n">
        <x:v>7920</x:v>
      </x:c>
      <x:c r="O33" s="35" t="n">
        <x:f>N33/1.23</x:f>
        <x:v>6439.024390243902</x:v>
      </x:c>
      <x:c r="P33" s="36" t="n">
        <x:v>1510</x:v>
      </x:c>
      <x:c r="Q33" s="35" t="n">
        <x:f>P33/1.23</x:f>
        <x:v>1227.6422764227643</x:v>
      </x:c>
      <x:c r="R33" s="36" t="n">
        <x:v>1900</x:v>
      </x:c>
      <x:c r="S33" s="35" t="n">
        <x:f>R33/1.23</x:f>
        <x:v>1544.7154471544716</x:v>
      </x:c>
      <x:c r="T33" s="36" t="n">
        <x:v>3050</x:v>
      </x:c>
      <x:c r="U33" s="35" t="n">
        <x:f>T33/1.23</x:f>
        <x:v>2479.6747967479673</x:v>
      </x:c>
      <x:c r="V33" s="36" t="n">
        <x:v>4637</x:v>
      </x:c>
      <x:c r="W33" s="35" t="n">
        <x:f>V33/1.23</x:f>
        <x:v>3769.918699186992</x:v>
      </x:c>
    </x:row>
    <x:row r="34" s="655" customFormat="1" ht="21.75" customHeight="1">
      <x:c r="A34" s="37" t="inlineStr">
        <x:is>
          <x:t xml:space="preserve">SERIA PRO+  450-600 cm</x:t>
        </x:is>
      </x:c>
      <x:c r="B34" s="731" t="inlineStr">
        <x:is>
          <x:t xml:space="preserve">  ZADASZENIE POLIWĘGLAN</x:t>
        </x:is>
      </x:c>
      <x:c r="U34" s="627" t="n"/>
      <x:c r="V34" s="38" t="n"/>
      <x:c r="W34" s="39" t="n"/>
    </x:row>
    <x:row r="35" s="655" customFormat="1" ht="15.75" customHeight="1">
      <x:c r="A35" s="40" t="inlineStr">
        <x:is>
          <x:t xml:space="preserve">450 x 306   cm</x:t>
        </x:is>
      </x:c>
      <x:c r="B35" s="41" t="n">
        <x:v>7220</x:v>
      </x:c>
      <x:c r="C35" s="42" t="n">
        <x:f>B35/1.23</x:f>
        <x:v>5869.918699186992</x:v>
      </x:c>
      <x:c r="D35" s="43" t="n">
        <x:v>290</x:v>
      </x:c>
      <x:c r="E35" s="42" t="n">
        <x:f>D35/1.23</x:f>
        <x:v>235.77235772357724</x:v>
      </x:c>
      <x:c r="F35" s="43" t="n">
        <x:v>610</x:v>
      </x:c>
      <x:c r="G35" s="42" t="n">
        <x:f>F35/1.23</x:f>
        <x:v>495.9349593495935</x:v>
      </x:c>
      <x:c r="H35" s="43" t="n">
        <x:v>4080</x:v>
      </x:c>
      <x:c r="I35" s="42" t="n">
        <x:f>H35/1.23</x:f>
        <x:v>3317.0731707317073</x:v>
      </x:c>
      <x:c r="J35" s="43" t="n">
        <x:v>3160</x:v>
      </x:c>
      <x:c r="K35" s="42" t="n">
        <x:f>J35/1.23</x:f>
        <x:v>2569.1056910569105</x:v>
      </x:c>
      <x:c r="L35" s="43" t="n">
        <x:v>3160</x:v>
      </x:c>
      <x:c r="M35" s="42" t="n">
        <x:f>L35/1.23</x:f>
        <x:v>2569.1056910569105</x:v>
      </x:c>
      <x:c r="N35" s="43" t="n">
        <x:v>2140</x:v>
      </x:c>
      <x:c r="O35" s="44" t="n">
        <x:f>N35/1.23</x:f>
        <x:v>1739.8373983739837</x:v>
      </x:c>
      <x:c r="P35" s="41" t="n">
        <x:v>420</x:v>
      </x:c>
      <x:c r="Q35" s="44" t="n">
        <x:f>P35/1.23</x:f>
        <x:v>341.4634146341464</x:v>
      </x:c>
      <x:c r="R35" s="41" t="n">
        <x:v>640</x:v>
      </x:c>
      <x:c r="S35" s="42" t="n">
        <x:f>R35/1.23</x:f>
        <x:v>520.3252032520326</x:v>
      </x:c>
      <x:c r="T35" s="45" t="n"/>
      <x:c r="U35" s="46" t="n"/>
      <x:c r="V35" s="45" t="n"/>
      <x:c r="W35" s="46" t="n"/>
    </x:row>
    <x:row r="36" s="655" customFormat="1" ht="15.75" customHeight="1">
      <x:c r="A36" s="40" t="inlineStr">
        <x:is>
          <x:t xml:space="preserve">450 x 406   cm</x:t>
        </x:is>
      </x:c>
      <x:c r="B36" s="41" t="n">
        <x:v>9080</x:v>
      </x:c>
      <x:c r="C36" s="42" t="n">
        <x:f>B36/1.23</x:f>
        <x:v>7382.113821138211</x:v>
      </x:c>
      <x:c r="D36" s="43" t="n">
        <x:v>380</x:v>
      </x:c>
      <x:c r="E36" s="42" t="n">
        <x:f>D36/1.23</x:f>
        <x:v>308.9430894308943</x:v>
      </x:c>
      <x:c r="F36" s="43" t="n">
        <x:v>810</x:v>
      </x:c>
      <x:c r="G36" s="42" t="n">
        <x:f>F36/1.23</x:f>
        <x:v>658.5365853658536</x:v>
      </x:c>
      <x:c r="H36" s="43" t="n">
        <x:v>4670</x:v>
      </x:c>
      <x:c r="I36" s="42" t="n">
        <x:f>H36/1.23</x:f>
        <x:v>3796.747967479675</x:v>
      </x:c>
      <x:c r="J36" s="43" t="n">
        <x:v>3160</x:v>
      </x:c>
      <x:c r="K36" s="42" t="n">
        <x:f>J36/1.23</x:f>
        <x:v>2569.1056910569105</x:v>
      </x:c>
      <x:c r="L36" s="43" t="n">
        <x:v>3160</x:v>
      </x:c>
      <x:c r="M36" s="42" t="n">
        <x:f>L36/1.23</x:f>
        <x:v>2569.1056910569105</x:v>
      </x:c>
      <x:c r="N36" s="43" t="n">
        <x:v>2640</x:v>
      </x:c>
      <x:c r="O36" s="44" t="n">
        <x:f>N36/1.23</x:f>
        <x:v>2146.3414634146343</x:v>
      </x:c>
      <x:c r="P36" s="41" t="n">
        <x:v>510</x:v>
      </x:c>
      <x:c r="Q36" s="44" t="n">
        <x:f>P36/1.23</x:f>
        <x:v>414.6341463414634</x:v>
      </x:c>
      <x:c r="R36" s="41" t="n">
        <x:v>740</x:v>
      </x:c>
      <x:c r="S36" s="42" t="n">
        <x:f>R36/1.23</x:f>
        <x:v>601.6260162601626</x:v>
      </x:c>
      <x:c r="T36" s="45" t="n"/>
      <x:c r="U36" s="46" t="n"/>
      <x:c r="V36" s="45" t="n"/>
      <x:c r="W36" s="46" t="n"/>
    </x:row>
    <x:row r="37" s="655" customFormat="1" ht="15.75" customHeight="1">
      <x:c r="A37" s="40" t="inlineStr">
        <x:is>
          <x:t xml:space="preserve">450 x 506   cm</x:t>
        </x:is>
      </x:c>
      <x:c r="B37" s="41" t="n">
        <x:v>11270</x:v>
      </x:c>
      <x:c r="C37" s="42" t="n">
        <x:f>B37/1.23</x:f>
        <x:v>9162.60162601626</x:v>
      </x:c>
      <x:c r="D37" s="43" t="n">
        <x:v>480</x:v>
      </x:c>
      <x:c r="E37" s="42" t="n">
        <x:f>D37/1.23</x:f>
        <x:v>390.2439024390244</x:v>
      </x:c>
      <x:c r="F37" s="43" t="n">
        <x:v>1020</x:v>
      </x:c>
      <x:c r="G37" s="42" t="n">
        <x:f>F37/1.23</x:f>
        <x:v>829.2682926829268</x:v>
      </x:c>
      <x:c r="H37" s="43" t="n">
        <x:v>5420</x:v>
      </x:c>
      <x:c r="I37" s="42" t="n">
        <x:f>H37/1.23</x:f>
        <x:v>4406.504065040651</x:v>
      </x:c>
      <x:c r="J37" s="43" t="n">
        <x:v>3160</x:v>
      </x:c>
      <x:c r="K37" s="42" t="n">
        <x:f>J37/1.23</x:f>
        <x:v>2569.1056910569105</x:v>
      </x:c>
      <x:c r="L37" s="43" t="n">
        <x:v>3160</x:v>
      </x:c>
      <x:c r="M37" s="42" t="n">
        <x:f>L37/1.23</x:f>
        <x:v>2569.1056910569105</x:v>
      </x:c>
      <x:c r="N37" s="43" t="n">
        <x:v>3700</x:v>
      </x:c>
      <x:c r="O37" s="44" t="n">
        <x:f>N37/1.23</x:f>
        <x:v>3008.130081300813</x:v>
      </x:c>
      <x:c r="P37" s="41" t="n">
        <x:v>600</x:v>
      </x:c>
      <x:c r="Q37" s="44" t="n">
        <x:f>P37/1.23</x:f>
        <x:v>487.8048780487805</x:v>
      </x:c>
      <x:c r="R37" s="41" t="n">
        <x:v>960</x:v>
      </x:c>
      <x:c r="S37" s="42" t="n">
        <x:f>R37/1.23</x:f>
        <x:v>780.4878048780488</x:v>
      </x:c>
      <x:c r="T37" s="45" t="n"/>
      <x:c r="U37" s="46" t="n"/>
      <x:c r="V37" s="45" t="n"/>
      <x:c r="W37" s="46" t="n"/>
    </x:row>
    <x:row r="38" s="655" customFormat="1" ht="15.75" customHeight="1">
      <x:c r="A38" s="40" t="inlineStr">
        <x:is>
          <x:t xml:space="preserve">450 x 606   cm</x:t>
        </x:is>
      </x:c>
      <x:c r="B38" s="41" t="n">
        <x:v>13140</x:v>
      </x:c>
      <x:c r="C38" s="42" t="n">
        <x:f>B38/1.23</x:f>
        <x:v>10682.926829268294</x:v>
      </x:c>
      <x:c r="D38" s="43" t="n">
        <x:v>580</x:v>
      </x:c>
      <x:c r="E38" s="42" t="n">
        <x:f>D38/1.23</x:f>
        <x:v>471.5447154471545</x:v>
      </x:c>
      <x:c r="F38" s="43" t="n">
        <x:v>1220</x:v>
      </x:c>
      <x:c r="G38" s="42" t="n">
        <x:f>F38/1.23</x:f>
        <x:v>991.869918699187</x:v>
      </x:c>
      <x:c r="H38" s="43" t="n">
        <x:v>8160</x:v>
      </x:c>
      <x:c r="I38" s="42" t="n">
        <x:f>H38/1.23</x:f>
        <x:v>6634.1463414634145</x:v>
      </x:c>
      <x:c r="J38" s="43" t="n">
        <x:v>3160</x:v>
      </x:c>
      <x:c r="K38" s="42" t="n">
        <x:f>J38/1.23</x:f>
        <x:v>2569.1056910569105</x:v>
      </x:c>
      <x:c r="L38" s="43" t="n">
        <x:v>3160</x:v>
      </x:c>
      <x:c r="M38" s="42" t="n">
        <x:f>L38/1.23</x:f>
        <x:v>2569.1056910569105</x:v>
      </x:c>
      <x:c r="N38" s="43" t="n">
        <x:v>4270</x:v>
      </x:c>
      <x:c r="O38" s="44" t="n">
        <x:f>N38/1.23</x:f>
        <x:v>3471.5447154471544</x:v>
      </x:c>
      <x:c r="P38" s="41" t="n">
        <x:v>790</x:v>
      </x:c>
      <x:c r="Q38" s="44" t="n">
        <x:f>P38/1.23</x:f>
        <x:v>642.2764227642276</x:v>
      </x:c>
      <x:c r="R38" s="41" t="n">
        <x:v>1090</x:v>
      </x:c>
      <x:c r="S38" s="42" t="n">
        <x:f>R38/1.23</x:f>
        <x:v>886.178861788618</x:v>
      </x:c>
      <x:c r="T38" s="45" t="n"/>
      <x:c r="U38" s="46" t="n"/>
      <x:c r="V38" s="45" t="n"/>
      <x:c r="W38" s="46" t="n"/>
    </x:row>
    <x:row r="39" s="655" customFormat="1" ht="15.75" customHeight="1">
      <x:c r="A39" s="40" t="inlineStr">
        <x:is>
          <x:t xml:space="preserve">450 x 706   cm</x:t>
        </x:is>
      </x:c>
      <x:c r="B39" s="41" t="n">
        <x:v>16160</x:v>
      </x:c>
      <x:c r="C39" s="42" t="n">
        <x:f>B39/1.23</x:f>
        <x:v>13138.211382113821</x:v>
      </x:c>
      <x:c r="D39" s="43" t="n">
        <x:v>670</x:v>
      </x:c>
      <x:c r="E39" s="42" t="n">
        <x:f>D39/1.23</x:f>
        <x:v>544.7154471544716</x:v>
      </x:c>
      <x:c r="F39" s="43" t="n">
        <x:v>1420</x:v>
      </x:c>
      <x:c r="G39" s="42" t="n">
        <x:f>F39/1.23</x:f>
        <x:v>1154.4715447154472</x:v>
      </x:c>
      <x:c r="H39" s="43" t="n">
        <x:v>8750</x:v>
      </x:c>
      <x:c r="I39" s="42" t="n">
        <x:f>H39/1.23</x:f>
        <x:v>7113.821138211382</x:v>
      </x:c>
      <x:c r="J39" s="43" t="n">
        <x:v>3160</x:v>
      </x:c>
      <x:c r="K39" s="42" t="n">
        <x:f>J39/1.23</x:f>
        <x:v>2569.1056910569105</x:v>
      </x:c>
      <x:c r="L39" s="43" t="n">
        <x:v>3160</x:v>
      </x:c>
      <x:c r="M39" s="42" t="n">
        <x:f>L39/1.23</x:f>
        <x:v>2569.1056910569105</x:v>
      </x:c>
      <x:c r="N39" s="43" t="n">
        <x:v>4780</x:v>
      </x:c>
      <x:c r="O39" s="44" t="n">
        <x:f>N39/1.23</x:f>
        <x:v>3886.1788617886177</x:v>
      </x:c>
      <x:c r="P39" s="41" t="n">
        <x:v>870.0000000000001</x:v>
      </x:c>
      <x:c r="Q39" s="44" t="n">
        <x:f>P39/1.23</x:f>
        <x:v>707.3170731707318</x:v>
      </x:c>
      <x:c r="R39" s="41" t="n">
        <x:v>1210</x:v>
      </x:c>
      <x:c r="S39" s="42" t="n">
        <x:f>R39/1.23</x:f>
        <x:v>983.739837398374</x:v>
      </x:c>
      <x:c r="T39" s="45" t="n"/>
      <x:c r="U39" s="46" t="n"/>
      <x:c r="V39" s="45" t="n"/>
      <x:c r="W39" s="46" t="n"/>
    </x:row>
    <x:row r="40" s="655" customFormat="1" ht="15.75" customHeight="1">
      <x:c r="A40" s="40" t="inlineStr">
        <x:is>
          <x:t xml:space="preserve">450 x 806   cm</x:t>
        </x:is>
      </x:c>
      <x:c r="B40" s="41" t="n">
        <x:v>18030</x:v>
      </x:c>
      <x:c r="C40" s="42" t="n">
        <x:f>B40/1.23</x:f>
        <x:v>14658.536585365853</x:v>
      </x:c>
      <x:c r="D40" s="43" t="n">
        <x:v>770</x:v>
      </x:c>
      <x:c r="E40" s="42" t="n">
        <x:f>D40/1.23</x:f>
        <x:v>626.0162601626016</x:v>
      </x:c>
      <x:c r="F40" s="43" t="n">
        <x:v>1620</x:v>
      </x:c>
      <x:c r="G40" s="42" t="n">
        <x:f>F40/1.23</x:f>
        <x:v>1317.0731707317073</x:v>
      </x:c>
      <x:c r="H40" s="43" t="n">
        <x:v>9340</x:v>
      </x:c>
      <x:c r="I40" s="42" t="n">
        <x:f>H40/1.23</x:f>
        <x:v>7593.49593495935</x:v>
      </x:c>
      <x:c r="J40" s="43" t="n">
        <x:v>3160</x:v>
      </x:c>
      <x:c r="K40" s="42" t="n">
        <x:f>J40/1.23</x:f>
        <x:v>2569.1056910569105</x:v>
      </x:c>
      <x:c r="L40" s="43" t="n">
        <x:v>3160</x:v>
      </x:c>
      <x:c r="M40" s="42" t="n">
        <x:f>L40/1.23</x:f>
        <x:v>2569.1056910569105</x:v>
      </x:c>
      <x:c r="N40" s="43" t="n">
        <x:v>5280</x:v>
      </x:c>
      <x:c r="O40" s="44" t="n">
        <x:f>N40/1.23</x:f>
        <x:v>4292.682926829269</x:v>
      </x:c>
      <x:c r="P40" s="41" t="n">
        <x:v>960</x:v>
      </x:c>
      <x:c r="Q40" s="44" t="n">
        <x:f>P40/1.23</x:f>
        <x:v>780.4878048780488</x:v>
      </x:c>
      <x:c r="R40" s="41" t="n">
        <x:v>1440</x:v>
      </x:c>
      <x:c r="S40" s="42" t="n">
        <x:f>R40/1.23</x:f>
        <x:v>1170.7317073170732</x:v>
      </x:c>
      <x:c r="T40" s="45" t="n"/>
      <x:c r="U40" s="46" t="n"/>
      <x:c r="V40" s="45" t="n"/>
      <x:c r="W40" s="46" t="n"/>
    </x:row>
    <x:row r="41" s="655" customFormat="1" ht="15.75" customHeight="1">
      <x:c r="A41" s="40" t="inlineStr">
        <x:is>
          <x:t xml:space="preserve">450 x 906   cm</x:t>
        </x:is>
      </x:c>
      <x:c r="B41" s="41" t="n">
        <x:v>20390</x:v>
      </x:c>
      <x:c r="C41" s="42" t="n">
        <x:f>B41/1.23</x:f>
        <x:v>16577.235772357722</x:v>
      </x:c>
      <x:c r="D41" s="43" t="n">
        <x:v>860</x:v>
      </x:c>
      <x:c r="E41" s="42" t="n">
        <x:f>D41/1.23</x:f>
        <x:v>699.1869918699188</x:v>
      </x:c>
      <x:c r="F41" s="43" t="n">
        <x:v>1830</x:v>
      </x:c>
      <x:c r="G41" s="42" t="n">
        <x:f>F41/1.23</x:f>
        <x:v>1487.8048780487804</x:v>
      </x:c>
      <x:c r="H41" s="43" t="n">
        <x:v>10090</x:v>
      </x:c>
      <x:c r="I41" s="42" t="n">
        <x:f>H41/1.23</x:f>
        <x:v>8203.252032520326</x:v>
      </x:c>
      <x:c r="J41" s="43" t="n">
        <x:v>3160</x:v>
      </x:c>
      <x:c r="K41" s="42" t="n">
        <x:f>J41/1.23</x:f>
        <x:v>2569.1056910569105</x:v>
      </x:c>
      <x:c r="L41" s="43" t="n">
        <x:v>3160</x:v>
      </x:c>
      <x:c r="M41" s="42" t="n">
        <x:f>L41/1.23</x:f>
        <x:v>2569.1056910569105</x:v>
      </x:c>
      <x:c r="N41" s="43" t="n">
        <x:v>6400</x:v>
      </x:c>
      <x:c r="O41" s="44" t="n">
        <x:f>N41/1.23</x:f>
        <x:v>5203.252032520325</x:v>
      </x:c>
      <x:c r="P41" s="41" t="n">
        <x:v>1040</x:v>
      </x:c>
      <x:c r="Q41" s="44" t="n">
        <x:f>P41/1.23</x:f>
        <x:v>845.5284552845528</x:v>
      </x:c>
      <x:c r="R41" s="41" t="n">
        <x:v>1560</x:v>
      </x:c>
      <x:c r="S41" s="42" t="n">
        <x:f>R41/1.23</x:f>
        <x:v>1268.2926829268292</x:v>
      </x:c>
      <x:c r="T41" s="45" t="n"/>
      <x:c r="U41" s="46" t="n"/>
      <x:c r="V41" s="45" t="n"/>
      <x:c r="W41" s="46" t="n"/>
    </x:row>
    <x:row r="42" s="655" customFormat="1" ht="15.75" customHeight="1">
      <x:c r="A42" s="40" t="inlineStr">
        <x:is>
          <x:t xml:space="preserve">450 x 1006 cm</x:t>
        </x:is>
      </x:c>
      <x:c r="B42" s="41" t="n">
        <x:v>22260</x:v>
      </x:c>
      <x:c r="C42" s="42" t="n">
        <x:f>B42/1.23</x:f>
        <x:v>18097.560975609755</x:v>
      </x:c>
      <x:c r="D42" s="43" t="n">
        <x:v>960</x:v>
      </x:c>
      <x:c r="E42" s="42" t="n">
        <x:f>D42/1.23</x:f>
        <x:v>780.4878048780488</x:v>
      </x:c>
      <x:c r="F42" s="43" t="n">
        <x:v>2030</x:v>
      </x:c>
      <x:c r="G42" s="42" t="n">
        <x:f>F42/1.23</x:f>
        <x:v>1650.4065040650407</x:v>
      </x:c>
      <x:c r="H42" s="43" t="n">
        <x:v>10830</x:v>
      </x:c>
      <x:c r="I42" s="42" t="n">
        <x:f>H42/1.23</x:f>
        <x:v>8804.878048780489</x:v>
      </x:c>
      <x:c r="J42" s="43" t="n">
        <x:v>3160</x:v>
      </x:c>
      <x:c r="K42" s="42" t="n">
        <x:f>J42/1.23</x:f>
        <x:v>2569.1056910569105</x:v>
      </x:c>
      <x:c r="L42" s="43" t="n">
        <x:v>3160</x:v>
      </x:c>
      <x:c r="M42" s="42" t="n">
        <x:f>L42/1.23</x:f>
        <x:v>2569.1056910569105</x:v>
      </x:c>
      <x:c r="N42" s="43" t="n">
        <x:v>6910</x:v>
      </x:c>
      <x:c r="O42" s="44" t="n">
        <x:f>N42/1.23</x:f>
        <x:v>5617.886178861789</x:v>
      </x:c>
      <x:c r="P42" s="41" t="n">
        <x:v>1230</x:v>
      </x:c>
      <x:c r="Q42" s="44" t="n">
        <x:f>P42/1.23</x:f>
        <x:v>1000</x:v>
      </x:c>
      <x:c r="R42" s="41" t="n">
        <x:v>1650</x:v>
      </x:c>
      <x:c r="S42" s="42" t="n">
        <x:f>R42/1.23</x:f>
        <x:v>1341.4634146341464</x:v>
      </x:c>
      <x:c r="T42" s="45" t="n"/>
      <x:c r="U42" s="46" t="n"/>
      <x:c r="V42" s="45" t="n"/>
      <x:c r="W42" s="46" t="n"/>
    </x:row>
    <x:row r="43" s="655" customFormat="1" ht="15.75" customHeight="1">
      <x:c r="A43" s="40" t="inlineStr">
        <x:is>
          <x:t xml:space="preserve">450 x 1106 cm</x:t>
        </x:is>
      </x:c>
      <x:c r="B43" s="41" t="n">
        <x:v>25000</x:v>
      </x:c>
      <x:c r="C43" s="42" t="n">
        <x:f>B43/1.23</x:f>
        <x:v>20325.20325203252</x:v>
      </x:c>
      <x:c r="D43" s="43" t="n">
        <x:v>1060</x:v>
      </x:c>
      <x:c r="E43" s="42" t="n">
        <x:f>D43/1.23</x:f>
        <x:v>861.7886178861788</x:v>
      </x:c>
      <x:c r="F43" s="43" t="n">
        <x:v>2230</x:v>
      </x:c>
      <x:c r="G43" s="42" t="n">
        <x:f>F43/1.23</x:f>
        <x:v>1813.0081300813008</x:v>
      </x:c>
      <x:c r="H43" s="43" t="n">
        <x:v>13420</x:v>
      </x:c>
      <x:c r="I43" s="42" t="n">
        <x:f>H43/1.23</x:f>
        <x:v>10910.569105691056</x:v>
      </x:c>
      <x:c r="J43" s="43" t="n">
        <x:v>3160</x:v>
      </x:c>
      <x:c r="K43" s="42" t="n">
        <x:f>J43/1.23</x:f>
        <x:v>2569.1056910569105</x:v>
      </x:c>
      <x:c r="L43" s="43" t="n">
        <x:v>3160</x:v>
      </x:c>
      <x:c r="M43" s="42" t="n">
        <x:f>L43/1.23</x:f>
        <x:v>2569.1056910569105</x:v>
      </x:c>
      <x:c r="N43" s="43" t="n">
        <x:v>7420</x:v>
      </x:c>
      <x:c r="O43" s="44" t="n">
        <x:f>N43/1.23</x:f>
        <x:v>6032.5203252032525</x:v>
      </x:c>
      <x:c r="P43" s="41" t="n">
        <x:v>1430</x:v>
      </x:c>
      <x:c r="Q43" s="44" t="n">
        <x:f>P43/1.23</x:f>
        <x:v>1162.60162601626</x:v>
      </x:c>
      <x:c r="R43" s="41" t="n">
        <x:v>1770</x:v>
      </x:c>
      <x:c r="S43" s="42" t="n">
        <x:f>R43/1.23</x:f>
        <x:v>1439.0243902439024</x:v>
      </x:c>
      <x:c r="T43" s="45" t="n"/>
      <x:c r="U43" s="46" t="n"/>
      <x:c r="V43" s="45" t="n"/>
      <x:c r="W43" s="46" t="n"/>
    </x:row>
    <x:row r="44" s="655" customFormat="1" ht="15.75" customHeight="1">
      <x:c r="A44" s="40" t="inlineStr">
        <x:is>
          <x:t xml:space="preserve">450 x 1206 cm</x:t>
        </x:is>
      </x:c>
      <x:c r="B44" s="41" t="n">
        <x:v>26870</x:v>
      </x:c>
      <x:c r="C44" s="42" t="n">
        <x:f>B44/1.23</x:f>
        <x:v>21845.52845528455</x:v>
      </x:c>
      <x:c r="D44" s="43" t="n">
        <x:v>1150</x:v>
      </x:c>
      <x:c r="E44" s="42" t="n">
        <x:f>D44/1.23</x:f>
        <x:v>934.959349593496</x:v>
      </x:c>
      <x:c r="F44" s="43" t="n">
        <x:v>2440</x:v>
      </x:c>
      <x:c r="G44" s="42" t="n">
        <x:f>F44/1.23</x:f>
        <x:v>1983.739837398374</x:v>
      </x:c>
      <x:c r="H44" s="43" t="n">
        <x:v>14010</x:v>
      </x:c>
      <x:c r="I44" s="42" t="n">
        <x:f>H44/1.23</x:f>
        <x:v>11390.243902439024</x:v>
      </x:c>
      <x:c r="J44" s="43" t="n">
        <x:v>3160</x:v>
      </x:c>
      <x:c r="K44" s="42" t="n">
        <x:f>J44/1.23</x:f>
        <x:v>2569.1056910569105</x:v>
      </x:c>
      <x:c r="L44" s="43" t="n">
        <x:v>3160</x:v>
      </x:c>
      <x:c r="M44" s="42" t="n">
        <x:f>L44/1.23</x:f>
        <x:v>2569.1056910569105</x:v>
      </x:c>
      <x:c r="N44" s="43" t="n">
        <x:v>7920</x:v>
      </x:c>
      <x:c r="O44" s="44" t="n">
        <x:f>N44/1.23</x:f>
        <x:v>6439.024390243902</x:v>
      </x:c>
      <x:c r="P44" s="41" t="n">
        <x:v>1510</x:v>
      </x:c>
      <x:c r="Q44" s="44" t="n">
        <x:f>P44/1.23</x:f>
        <x:v>1227.6422764227643</x:v>
      </x:c>
      <x:c r="R44" s="41" t="n">
        <x:v>1900</x:v>
      </x:c>
      <x:c r="S44" s="42" t="n">
        <x:f>R44/1.23</x:f>
        <x:v>1544.7154471544716</x:v>
      </x:c>
      <x:c r="T44" s="45" t="n"/>
      <x:c r="U44" s="46" t="n"/>
      <x:c r="V44" s="45" t="n"/>
      <x:c r="W44" s="46" t="n"/>
    </x:row>
    <x:row r="45" s="655" customFormat="1" ht="15.75" customHeight="1">
      <x:c r="A45" s="47" t="inlineStr">
        <x:is>
          <x:t xml:space="preserve">500 x 306   cm</x:t>
        </x:is>
      </x:c>
      <x:c r="B45" s="48" t="n">
        <x:v>7680</x:v>
      </x:c>
      <x:c r="C45" s="49" t="n">
        <x:f>B45/1.23</x:f>
        <x:v>6243.90243902439</x:v>
      </x:c>
      <x:c r="D45" s="50" t="n">
        <x:v>310</x:v>
      </x:c>
      <x:c r="E45" s="49" t="n">
        <x:f>D45/1.23</x:f>
        <x:v>252.03252032520325</x:v>
      </x:c>
      <x:c r="F45" s="50" t="n">
        <x:v>700</x:v>
      </x:c>
      <x:c r="G45" s="49" t="n">
        <x:f>F45/1.23</x:f>
        <x:v>569.1056910569106</x:v>
      </x:c>
      <x:c r="H45" s="50" t="n">
        <x:v>4080</x:v>
      </x:c>
      <x:c r="I45" s="49" t="n">
        <x:v>3317.073170731707</x:v>
      </x:c>
      <x:c r="J45" s="50" t="n">
        <x:v>3700</x:v>
      </x:c>
      <x:c r="K45" s="49" t="n">
        <x:f>J45/1.23</x:f>
        <x:v>3008.130081300813</x:v>
      </x:c>
      <x:c r="L45" s="50" t="n">
        <x:v>3700</x:v>
      </x:c>
      <x:c r="M45" s="49" t="n">
        <x:f>L45/1.23</x:f>
        <x:v>3008.130081300813</x:v>
      </x:c>
      <x:c r="N45" s="50" t="n">
        <x:v>2140</x:v>
      </x:c>
      <x:c r="O45" s="51" t="n">
        <x:f>N45/1.23</x:f>
        <x:v>1739.8373983739837</x:v>
      </x:c>
      <x:c r="P45" s="48" t="n">
        <x:v>420</x:v>
      </x:c>
      <x:c r="Q45" s="51" t="n">
        <x:f>P45/1.23</x:f>
        <x:v>341.4634146341464</x:v>
      </x:c>
      <x:c r="R45" s="48" t="n">
        <x:v>640</x:v>
      </x:c>
      <x:c r="S45" s="49" t="n">
        <x:f>R45/1.23</x:f>
        <x:v>520.3252032520326</x:v>
      </x:c>
      <x:c r="T45" s="45" t="n"/>
      <x:c r="U45" s="46" t="n"/>
      <x:c r="V45" s="45" t="n"/>
      <x:c r="W45" s="46" t="n"/>
    </x:row>
    <x:row r="46" s="655" customFormat="1" ht="15.75" customHeight="1">
      <x:c r="A46" s="47" t="inlineStr">
        <x:is>
          <x:t xml:space="preserve">500 x 406   cm</x:t>
        </x:is>
      </x:c>
      <x:c r="B46" s="48" t="n">
        <x:v>9690</x:v>
      </x:c>
      <x:c r="C46" s="49" t="n">
        <x:f>B46/1.23</x:f>
        <x:v>7878.048780487805</x:v>
      </x:c>
      <x:c r="D46" s="50" t="n">
        <x:v>420</x:v>
      </x:c>
      <x:c r="E46" s="49" t="n">
        <x:f>D46/1.23</x:f>
        <x:v>341.4634146341464</x:v>
      </x:c>
      <x:c r="F46" s="50" t="n">
        <x:v>930</x:v>
      </x:c>
      <x:c r="G46" s="49" t="n">
        <x:f>F46/1.23</x:f>
        <x:v>756.0975609756098</x:v>
      </x:c>
      <x:c r="H46" s="50" t="n">
        <x:v>4670</x:v>
      </x:c>
      <x:c r="I46" s="49" t="n">
        <x:v>3796.747967479675</x:v>
      </x:c>
      <x:c r="J46" s="50" t="n">
        <x:v>3700</x:v>
      </x:c>
      <x:c r="K46" s="49" t="n">
        <x:f>J46/1.23</x:f>
        <x:v>3008.130081300813</x:v>
      </x:c>
      <x:c r="L46" s="50" t="n">
        <x:v>3700</x:v>
      </x:c>
      <x:c r="M46" s="49" t="n">
        <x:f>L46/1.23</x:f>
        <x:v>3008.130081300813</x:v>
      </x:c>
      <x:c r="N46" s="50" t="n">
        <x:v>2640</x:v>
      </x:c>
      <x:c r="O46" s="51" t="n">
        <x:f>N46/1.23</x:f>
        <x:v>2146.3414634146343</x:v>
      </x:c>
      <x:c r="P46" s="48" t="n">
        <x:v>510</x:v>
      </x:c>
      <x:c r="Q46" s="51" t="n">
        <x:f>P46/1.23</x:f>
        <x:v>414.6341463414634</x:v>
      </x:c>
      <x:c r="R46" s="48" t="n">
        <x:v>740</x:v>
      </x:c>
      <x:c r="S46" s="49" t="n">
        <x:f>R46/1.23</x:f>
        <x:v>601.6260162601626</x:v>
      </x:c>
      <x:c r="T46" s="45" t="n"/>
      <x:c r="U46" s="46" t="n"/>
      <x:c r="V46" s="45" t="n"/>
      <x:c r="W46" s="46" t="n"/>
    </x:row>
    <x:row r="47" s="655" customFormat="1" ht="15.75" customHeight="1">
      <x:c r="A47" s="47" t="inlineStr">
        <x:is>
          <x:t xml:space="preserve">500 x 506   cm</x:t>
        </x:is>
      </x:c>
      <x:c r="B47" s="48" t="n">
        <x:v>12020</x:v>
      </x:c>
      <x:c r="C47" s="49" t="n">
        <x:f>B47/1.23</x:f>
        <x:v>9772.357723577235</x:v>
      </x:c>
      <x:c r="D47" s="50" t="n">
        <x:v>520</x:v>
      </x:c>
      <x:c r="E47" s="49" t="n">
        <x:f>D47/1.23</x:f>
        <x:v>422.7642276422764</x:v>
      </x:c>
      <x:c r="F47" s="50" t="n">
        <x:v>1160</x:v>
      </x:c>
      <x:c r="G47" s="49" t="n">
        <x:f>F47/1.23</x:f>
        <x:v>943.089430894309</x:v>
      </x:c>
      <x:c r="H47" s="50" t="n">
        <x:v>5420</x:v>
      </x:c>
      <x:c r="I47" s="49" t="n">
        <x:v>4406.504065040651</x:v>
      </x:c>
      <x:c r="J47" s="50" t="n">
        <x:v>3700</x:v>
      </x:c>
      <x:c r="K47" s="49" t="n">
        <x:f>J47/1.23</x:f>
        <x:v>3008.130081300813</x:v>
      </x:c>
      <x:c r="L47" s="50" t="n">
        <x:v>3700</x:v>
      </x:c>
      <x:c r="M47" s="49" t="n">
        <x:f>L47/1.23</x:f>
        <x:v>3008.130081300813</x:v>
      </x:c>
      <x:c r="N47" s="50" t="n">
        <x:v>3700</x:v>
      </x:c>
      <x:c r="O47" s="51" t="n">
        <x:f>N47/1.23</x:f>
        <x:v>3008.130081300813</x:v>
      </x:c>
      <x:c r="P47" s="48" t="n">
        <x:v>600</x:v>
      </x:c>
      <x:c r="Q47" s="51" t="n">
        <x:f>P47/1.23</x:f>
        <x:v>487.8048780487805</x:v>
      </x:c>
      <x:c r="R47" s="48" t="n">
        <x:v>960</x:v>
      </x:c>
      <x:c r="S47" s="49" t="n">
        <x:f>R47/1.23</x:f>
        <x:v>780.4878048780488</x:v>
      </x:c>
      <x:c r="T47" s="45" t="n"/>
      <x:c r="U47" s="46" t="n"/>
      <x:c r="V47" s="45" t="n"/>
      <x:c r="W47" s="46" t="n"/>
    </x:row>
    <x:row r="48" s="655" customFormat="1" ht="15.75" customHeight="1">
      <x:c r="A48" s="47" t="inlineStr">
        <x:is>
          <x:t xml:space="preserve">500 x 606   cm</x:t>
        </x:is>
      </x:c>
      <x:c r="B48" s="48" t="n">
        <x:v>14020</x:v>
      </x:c>
      <x:c r="C48" s="49" t="n">
        <x:f>B48/1.23</x:f>
        <x:v>11398.373983739837</x:v>
      </x:c>
      <x:c r="D48" s="50" t="n">
        <x:v>620</x:v>
      </x:c>
      <x:c r="E48" s="49" t="n">
        <x:f>D48/1.23</x:f>
        <x:v>504.0650406504065</x:v>
      </x:c>
      <x:c r="F48" s="50" t="n">
        <x:v>1400</x:v>
      </x:c>
      <x:c r="G48" s="49" t="n">
        <x:f>F48/1.23</x:f>
        <x:v>1138.2113821138212</x:v>
      </x:c>
      <x:c r="H48" s="50" t="n">
        <x:v>8160</x:v>
      </x:c>
      <x:c r="I48" s="49" t="n">
        <x:v>6634.146341463415</x:v>
      </x:c>
      <x:c r="J48" s="50" t="n">
        <x:v>3700</x:v>
      </x:c>
      <x:c r="K48" s="49" t="n">
        <x:f>J48/1.23</x:f>
        <x:v>3008.130081300813</x:v>
      </x:c>
      <x:c r="L48" s="50" t="n">
        <x:v>3700</x:v>
      </x:c>
      <x:c r="M48" s="49" t="n">
        <x:f>L48/1.23</x:f>
        <x:v>3008.130081300813</x:v>
      </x:c>
      <x:c r="N48" s="50" t="n">
        <x:v>4270</x:v>
      </x:c>
      <x:c r="O48" s="51" t="n">
        <x:f>N48/1.23</x:f>
        <x:v>3471.5447154471544</x:v>
      </x:c>
      <x:c r="P48" s="48" t="n">
        <x:v>790</x:v>
      </x:c>
      <x:c r="Q48" s="51" t="n">
        <x:f>P48/1.23</x:f>
        <x:v>642.2764227642276</x:v>
      </x:c>
      <x:c r="R48" s="48" t="n">
        <x:v>1090</x:v>
      </x:c>
      <x:c r="S48" s="49" t="n">
        <x:f>R48/1.23</x:f>
        <x:v>886.178861788618</x:v>
      </x:c>
      <x:c r="T48" s="45" t="n"/>
      <x:c r="U48" s="46" t="n"/>
      <x:c r="V48" s="45" t="n"/>
      <x:c r="W48" s="46" t="n"/>
    </x:row>
    <x:row r="49" s="655" customFormat="1" ht="15.75" customHeight="1">
      <x:c r="A49" s="47" t="inlineStr">
        <x:is>
          <x:t xml:space="preserve">500 x 706   cm</x:t>
        </x:is>
      </x:c>
      <x:c r="B49" s="48" t="n">
        <x:v>17240</x:v>
      </x:c>
      <x:c r="C49" s="49" t="n">
        <x:f>B49/1.23</x:f>
        <x:v>14016.260162601626</x:v>
      </x:c>
      <x:c r="D49" s="50" t="n">
        <x:v>730</x:v>
      </x:c>
      <x:c r="E49" s="49" t="n">
        <x:f>D49/1.23</x:f>
        <x:v>593.4959349593496</x:v>
      </x:c>
      <x:c r="F49" s="50" t="n">
        <x:v>1630</x:v>
      </x:c>
      <x:c r="G49" s="49" t="n">
        <x:f>F49/1.23</x:f>
        <x:v>1325.2032520325204</x:v>
      </x:c>
      <x:c r="H49" s="50" t="n">
        <x:v>8750</x:v>
      </x:c>
      <x:c r="I49" s="49" t="n">
        <x:v>7113.821138211382</x:v>
      </x:c>
      <x:c r="J49" s="50" t="n">
        <x:v>3700</x:v>
      </x:c>
      <x:c r="K49" s="49" t="n">
        <x:f>J49/1.23</x:f>
        <x:v>3008.130081300813</x:v>
      </x:c>
      <x:c r="L49" s="50" t="n">
        <x:v>3700</x:v>
      </x:c>
      <x:c r="M49" s="49" t="n">
        <x:f>L49/1.23</x:f>
        <x:v>3008.130081300813</x:v>
      </x:c>
      <x:c r="N49" s="50" t="n">
        <x:v>4780</x:v>
      </x:c>
      <x:c r="O49" s="51" t="n">
        <x:f>N49/1.23</x:f>
        <x:v>3886.1788617886177</x:v>
      </x:c>
      <x:c r="P49" s="48" t="n">
        <x:v>870</x:v>
      </x:c>
      <x:c r="Q49" s="51" t="n">
        <x:f>P49/1.23</x:f>
        <x:v>707.3170731707318</x:v>
      </x:c>
      <x:c r="R49" s="48" t="n">
        <x:v>1210</x:v>
      </x:c>
      <x:c r="S49" s="49" t="n">
        <x:f>R49/1.23</x:f>
        <x:v>983.739837398374</x:v>
      </x:c>
      <x:c r="T49" s="45" t="n"/>
      <x:c r="U49" s="46" t="n"/>
      <x:c r="V49" s="45" t="n"/>
      <x:c r="W49" s="46" t="n"/>
    </x:row>
    <x:row r="50" s="655" customFormat="1" ht="15.75" customHeight="1">
      <x:c r="A50" s="47" t="inlineStr">
        <x:is>
          <x:t xml:space="preserve">500 x 806   cm</x:t>
        </x:is>
      </x:c>
      <x:c r="B50" s="48" t="n">
        <x:v>19240</x:v>
      </x:c>
      <x:c r="C50" s="49" t="n">
        <x:f>B50/1.23</x:f>
        <x:v>15642.276422764227</x:v>
      </x:c>
      <x:c r="D50" s="50" t="n">
        <x:v>830</x:v>
      </x:c>
      <x:c r="E50" s="49" t="n">
        <x:f>D50/1.23</x:f>
        <x:v>674.7967479674796</x:v>
      </x:c>
      <x:c r="F50" s="50" t="n">
        <x:v>1860</x:v>
      </x:c>
      <x:c r="G50" s="49" t="n">
        <x:f>F50/1.23</x:f>
        <x:v>1512.1951219512196</x:v>
      </x:c>
      <x:c r="H50" s="50" t="n">
        <x:v>9340</x:v>
      </x:c>
      <x:c r="I50" s="49" t="n">
        <x:v>7593.49593495935</x:v>
      </x:c>
      <x:c r="J50" s="50" t="n">
        <x:v>3700</x:v>
      </x:c>
      <x:c r="K50" s="49" t="n">
        <x:f>J50/1.23</x:f>
        <x:v>3008.130081300813</x:v>
      </x:c>
      <x:c r="L50" s="50" t="n">
        <x:v>3700</x:v>
      </x:c>
      <x:c r="M50" s="49" t="n">
        <x:f>L50/1.23</x:f>
        <x:v>3008.130081300813</x:v>
      </x:c>
      <x:c r="N50" s="50" t="n">
        <x:v>5280</x:v>
      </x:c>
      <x:c r="O50" s="51" t="n">
        <x:f>N50/1.23</x:f>
        <x:v>4292.682926829269</x:v>
      </x:c>
      <x:c r="P50" s="48" t="n">
        <x:v>960</x:v>
      </x:c>
      <x:c r="Q50" s="51" t="n">
        <x:f>P50/1.23</x:f>
        <x:v>780.4878048780488</x:v>
      </x:c>
      <x:c r="R50" s="48" t="n">
        <x:v>1440</x:v>
      </x:c>
      <x:c r="S50" s="49" t="n">
        <x:f>R50/1.23</x:f>
        <x:v>1170.7317073170732</x:v>
      </x:c>
      <x:c r="T50" s="45" t="n"/>
      <x:c r="U50" s="46" t="n"/>
      <x:c r="V50" s="45" t="n"/>
      <x:c r="W50" s="46" t="n"/>
    </x:row>
    <x:row r="51" s="655" customFormat="1" ht="15.75" customHeight="1">
      <x:c r="A51" s="47" t="inlineStr">
        <x:is>
          <x:t xml:space="preserve">500 x 906   cm</x:t>
        </x:is>
      </x:c>
      <x:c r="B51" s="48" t="n">
        <x:v>21740</x:v>
      </x:c>
      <x:c r="C51" s="49" t="n">
        <x:f>B51/1.23</x:f>
        <x:v>17674.79674796748</x:v>
      </x:c>
      <x:c r="D51" s="50" t="n">
        <x:v>940</x:v>
      </x:c>
      <x:c r="E51" s="49" t="n">
        <x:f>D51/1.23</x:f>
        <x:v>764.2276422764228</x:v>
      </x:c>
      <x:c r="F51" s="50" t="n">
        <x:v>2100</x:v>
      </x:c>
      <x:c r="G51" s="49" t="n">
        <x:f>F51/1.23</x:f>
        <x:v>1707.3170731707316</x:v>
      </x:c>
      <x:c r="H51" s="52" t="n">
        <x:v>10090</x:v>
      </x:c>
      <x:c r="I51" s="49" t="n">
        <x:v>8203.252032520326</x:v>
      </x:c>
      <x:c r="J51" s="50" t="n">
        <x:v>3700</x:v>
      </x:c>
      <x:c r="K51" s="49" t="n">
        <x:f>J51/1.23</x:f>
        <x:v>3008.130081300813</x:v>
      </x:c>
      <x:c r="L51" s="50" t="n">
        <x:v>3700</x:v>
      </x:c>
      <x:c r="M51" s="49" t="n">
        <x:f>L51/1.23</x:f>
        <x:v>3008.130081300813</x:v>
      </x:c>
      <x:c r="N51" s="50" t="n">
        <x:v>6400</x:v>
      </x:c>
      <x:c r="O51" s="51" t="n">
        <x:f>N51/1.23</x:f>
        <x:v>5203.252032520325</x:v>
      </x:c>
      <x:c r="P51" s="48" t="n">
        <x:v>1040</x:v>
      </x:c>
      <x:c r="Q51" s="51" t="n">
        <x:f>P51/1.23</x:f>
        <x:v>845.5284552845528</x:v>
      </x:c>
      <x:c r="R51" s="48" t="n">
        <x:v>1560</x:v>
      </x:c>
      <x:c r="S51" s="49" t="n">
        <x:f>R51/1.23</x:f>
        <x:v>1268.2926829268292</x:v>
      </x:c>
      <x:c r="T51" s="45" t="n"/>
      <x:c r="U51" s="46" t="n"/>
      <x:c r="V51" s="45" t="n"/>
      <x:c r="W51" s="46" t="n"/>
    </x:row>
    <x:row r="52" s="655" customFormat="1" ht="15.75" customHeight="1">
      <x:c r="A52" s="47" t="inlineStr">
        <x:is>
          <x:t xml:space="preserve">500 x 1006 cm</x:t>
        </x:is>
      </x:c>
      <x:c r="B52" s="48" t="n">
        <x:v>23750</x:v>
      </x:c>
      <x:c r="C52" s="49" t="n">
        <x:f>B52/1.23</x:f>
        <x:v>19308.943089430893</x:v>
      </x:c>
      <x:c r="D52" s="50" t="n">
        <x:v>1040</x:v>
      </x:c>
      <x:c r="E52" s="49" t="n">
        <x:f>D52/1.23</x:f>
        <x:v>845.5284552845528</x:v>
      </x:c>
      <x:c r="F52" s="50" t="n">
        <x:v>2330</x:v>
      </x:c>
      <x:c r="G52" s="49" t="n">
        <x:f>F52/1.23</x:f>
        <x:v>1894.3089430894308</x:v>
      </x:c>
      <x:c r="H52" s="50" t="n">
        <x:v>10830</x:v>
      </x:c>
      <x:c r="I52" s="49" t="n">
        <x:v>8804.878048780489</x:v>
      </x:c>
      <x:c r="J52" s="50" t="n">
        <x:v>3700</x:v>
      </x:c>
      <x:c r="K52" s="49" t="n">
        <x:f>J52/1.23</x:f>
        <x:v>3008.130081300813</x:v>
      </x:c>
      <x:c r="L52" s="50" t="n">
        <x:v>3700</x:v>
      </x:c>
      <x:c r="M52" s="49" t="n">
        <x:f>L52/1.23</x:f>
        <x:v>3008.130081300813</x:v>
      </x:c>
      <x:c r="N52" s="50" t="n">
        <x:v>6910</x:v>
      </x:c>
      <x:c r="O52" s="51" t="n">
        <x:f>N52/1.23</x:f>
        <x:v>5617.886178861789</x:v>
      </x:c>
      <x:c r="P52" s="48" t="n">
        <x:v>1230</x:v>
      </x:c>
      <x:c r="Q52" s="51" t="n">
        <x:f>P52/1.23</x:f>
        <x:v>1000</x:v>
      </x:c>
      <x:c r="R52" s="48" t="n">
        <x:v>1650</x:v>
      </x:c>
      <x:c r="S52" s="49" t="n">
        <x:f>R52/1.23</x:f>
        <x:v>1341.4634146341464</x:v>
      </x:c>
      <x:c r="T52" s="45" t="n"/>
      <x:c r="U52" s="46" t="n"/>
      <x:c r="V52" s="45" t="n"/>
      <x:c r="W52" s="46" t="n"/>
    </x:row>
    <x:row r="53" s="655" customFormat="1" ht="15.75" customHeight="1">
      <x:c r="A53" s="47" t="inlineStr">
        <x:is>
          <x:t xml:space="preserve">500 x 1106 cm</x:t>
        </x:is>
      </x:c>
      <x:c r="B53" s="48" t="n">
        <x:v>26690</x:v>
      </x:c>
      <x:c r="C53" s="49" t="n">
        <x:f>B53/1.23</x:f>
        <x:v>21699.18699186992</x:v>
      </x:c>
      <x:c r="D53" s="50" t="n">
        <x:v>1140</x:v>
      </x:c>
      <x:c r="E53" s="49" t="n">
        <x:f>D53/1.23</x:f>
        <x:v>926.829268292683</x:v>
      </x:c>
      <x:c r="F53" s="50" t="n">
        <x:v>2560</x:v>
      </x:c>
      <x:c r="G53" s="49" t="n">
        <x:f>F53/1.23</x:f>
        <x:v>2081.3008130081303</x:v>
      </x:c>
      <x:c r="H53" s="50" t="n">
        <x:v>13420</x:v>
      </x:c>
      <x:c r="I53" s="49" t="n">
        <x:v>10910.56910569106</x:v>
      </x:c>
      <x:c r="J53" s="50" t="n">
        <x:v>3700</x:v>
      </x:c>
      <x:c r="K53" s="49" t="n">
        <x:f>J53/1.23</x:f>
        <x:v>3008.130081300813</x:v>
      </x:c>
      <x:c r="L53" s="50" t="n">
        <x:v>3700</x:v>
      </x:c>
      <x:c r="M53" s="49" t="n">
        <x:f>L53/1.23</x:f>
        <x:v>3008.130081300813</x:v>
      </x:c>
      <x:c r="N53" s="50" t="n">
        <x:v>7420</x:v>
      </x:c>
      <x:c r="O53" s="51" t="n">
        <x:f>N53/1.23</x:f>
        <x:v>6032.5203252032525</x:v>
      </x:c>
      <x:c r="P53" s="48" t="n">
        <x:v>1430</x:v>
      </x:c>
      <x:c r="Q53" s="51" t="n">
        <x:f>P53/1.23</x:f>
        <x:v>1162.60162601626</x:v>
      </x:c>
      <x:c r="R53" s="48" t="n">
        <x:v>1770</x:v>
      </x:c>
      <x:c r="S53" s="49" t="n">
        <x:f>R53/1.23</x:f>
        <x:v>1439.0243902439024</x:v>
      </x:c>
      <x:c r="T53" s="45" t="n"/>
      <x:c r="U53" s="46" t="n"/>
      <x:c r="V53" s="45" t="n"/>
      <x:c r="W53" s="46" t="n"/>
    </x:row>
    <x:row r="54" s="655" customFormat="1" ht="19.5" customHeight="1">
      <x:c r="A54" s="47" t="inlineStr">
        <x:is>
          <x:t xml:space="preserve">500 x 1206 cm</x:t>
        </x:is>
      </x:c>
      <x:c r="B54" s="48" t="n">
        <x:v>28690</x:v>
      </x:c>
      <x:c r="C54" s="49" t="n">
        <x:f>B54/1.23</x:f>
        <x:v>23325.20325203252</x:v>
      </x:c>
      <x:c r="D54" s="50" t="n">
        <x:v>1250</x:v>
      </x:c>
      <x:c r="E54" s="49" t="n">
        <x:f>D54/1.23</x:f>
        <x:v>1016.260162601626</x:v>
      </x:c>
      <x:c r="F54" s="50" t="n">
        <x:v>2790</x:v>
      </x:c>
      <x:c r="G54" s="49" t="n">
        <x:f>F54/1.23</x:f>
        <x:v>2268.2926829268295</x:v>
      </x:c>
      <x:c r="H54" s="52" t="n">
        <x:v>14010</x:v>
      </x:c>
      <x:c r="I54" s="49" t="n">
        <x:v>11390.24390243902</x:v>
      </x:c>
      <x:c r="J54" s="50" t="n">
        <x:v>3700</x:v>
      </x:c>
      <x:c r="K54" s="49" t="n">
        <x:f>J54/1.23</x:f>
        <x:v>3008.130081300813</x:v>
      </x:c>
      <x:c r="L54" s="50" t="n">
        <x:v>3700</x:v>
      </x:c>
      <x:c r="M54" s="49" t="n">
        <x:f>L54/1.23</x:f>
        <x:v>3008.130081300813</x:v>
      </x:c>
      <x:c r="N54" s="50" t="n">
        <x:v>7920</x:v>
      </x:c>
      <x:c r="O54" s="51" t="n">
        <x:f>N54/1.23</x:f>
        <x:v>6439.024390243902</x:v>
      </x:c>
      <x:c r="P54" s="48" t="n">
        <x:v>1510</x:v>
      </x:c>
      <x:c r="Q54" s="51" t="n">
        <x:f>P54/1.23</x:f>
        <x:v>1227.6422764227643</x:v>
      </x:c>
      <x:c r="R54" s="48" t="n">
        <x:v>1900</x:v>
      </x:c>
      <x:c r="S54" s="49" t="n">
        <x:f>R54/1.23</x:f>
        <x:v>1544.7154471544716</x:v>
      </x:c>
      <x:c r="T54" s="45" t="n"/>
      <x:c r="U54" s="46" t="n"/>
      <x:c r="V54" s="45" t="n"/>
      <x:c r="W54" s="46" t="n"/>
    </x:row>
    <x:row r="55" s="655" customFormat="1" ht="15.75" customHeight="1">
      <x:c r="A55" s="53" t="inlineStr">
        <x:is>
          <x:t xml:space="preserve">550 x 306   cm</x:t>
        </x:is>
      </x:c>
      <x:c r="B55" s="54" t="n">
        <x:v>9960</x:v>
      </x:c>
      <x:c r="C55" s="55" t="n">
        <x:f>B55/1.23</x:f>
        <x:v>8097.5609756097565</x:v>
      </x:c>
      <x:c r="D55" s="56" t="n">
        <x:v>290</x:v>
      </x:c>
      <x:c r="E55" s="55" t="n">
        <x:f>D55/1.23</x:f>
        <x:v>235.77235772357724</x:v>
      </x:c>
      <x:c r="F55" s="56" t="n">
        <x:v>790</x:v>
      </x:c>
      <x:c r="G55" s="55" t="n">
        <x:f>F55/1.23</x:f>
        <x:v>642.2764227642276</x:v>
      </x:c>
      <x:c r="H55" s="56" t="n">
        <x:v>4180</x:v>
      </x:c>
      <x:c r="I55" s="55" t="n">
        <x:v>3398.373983739838</x:v>
      </x:c>
      <x:c r="J55" s="56" t="n">
        <x:v>3980</x:v>
      </x:c>
      <x:c r="K55" s="55" t="n">
        <x:f>J55/1.23</x:f>
        <x:v>3235.7723577235774</x:v>
      </x:c>
      <x:c r="L55" s="56" t="n">
        <x:v>3980</x:v>
      </x:c>
      <x:c r="M55" s="55" t="n">
        <x:f>L55/1.23</x:f>
        <x:v>3235.7723577235774</x:v>
      </x:c>
      <x:c r="N55" s="56" t="n">
        <x:v>2140</x:v>
      </x:c>
      <x:c r="O55" s="57" t="n">
        <x:f>N55/1.23</x:f>
        <x:v>1739.8373983739837</x:v>
      </x:c>
      <x:c r="P55" s="54" t="n">
        <x:v>420</x:v>
      </x:c>
      <x:c r="Q55" s="57" t="n">
        <x:f>P55/1.23</x:f>
        <x:v>341.4634146341464</x:v>
      </x:c>
      <x:c r="R55" s="54" t="n">
        <x:v>640</x:v>
      </x:c>
      <x:c r="S55" s="55" t="n">
        <x:f>R55/1.23</x:f>
        <x:v>520.3252032520326</x:v>
      </x:c>
      <x:c r="T55" s="45" t="n"/>
      <x:c r="U55" s="46" t="n"/>
      <x:c r="V55" s="45" t="n"/>
      <x:c r="W55" s="46" t="n"/>
    </x:row>
    <x:row r="56" s="655" customFormat="1" ht="15.75" customHeight="1">
      <x:c r="A56" s="53" t="inlineStr">
        <x:is>
          <x:t xml:space="preserve">550 x 406   cm</x:t>
        </x:is>
      </x:c>
      <x:c r="B56" s="54" t="n">
        <x:v>13050</x:v>
      </x:c>
      <x:c r="C56" s="55" t="n">
        <x:f>B56/1.23</x:f>
        <x:v>10609.756097560976</x:v>
      </x:c>
      <x:c r="D56" s="56" t="n">
        <x:v>380</x:v>
      </x:c>
      <x:c r="E56" s="55" t="n">
        <x:f>D56/1.23</x:f>
        <x:v>308.9430894308943</x:v>
      </x:c>
      <x:c r="F56" s="56" t="n">
        <x:v>1050</x:v>
      </x:c>
      <x:c r="G56" s="55" t="n">
        <x:f>F56/1.23</x:f>
        <x:v>853.6585365853658</x:v>
      </x:c>
      <x:c r="H56" s="56" t="n">
        <x:v>4780</x:v>
      </x:c>
      <x:c r="I56" s="55" t="n">
        <x:v>3886.178861788618</x:v>
      </x:c>
      <x:c r="J56" s="56" t="n">
        <x:v>3980</x:v>
      </x:c>
      <x:c r="K56" s="55" t="n">
        <x:f>J56/1.23</x:f>
        <x:v>3235.7723577235774</x:v>
      </x:c>
      <x:c r="L56" s="56" t="n">
        <x:v>3980</x:v>
      </x:c>
      <x:c r="M56" s="55" t="n">
        <x:f>L56/1.23</x:f>
        <x:v>3235.7723577235774</x:v>
      </x:c>
      <x:c r="N56" s="56" t="n">
        <x:v>2640</x:v>
      </x:c>
      <x:c r="O56" s="57" t="n">
        <x:f>N56/1.23</x:f>
        <x:v>2146.3414634146343</x:v>
      </x:c>
      <x:c r="P56" s="54" t="n">
        <x:v>510</x:v>
      </x:c>
      <x:c r="Q56" s="57" t="n">
        <x:f>P56/1.23</x:f>
        <x:v>414.6341463414634</x:v>
      </x:c>
      <x:c r="R56" s="54" t="n">
        <x:v>740</x:v>
      </x:c>
      <x:c r="S56" s="55" t="n">
        <x:f>R56/1.23</x:f>
        <x:v>601.6260162601626</x:v>
      </x:c>
      <x:c r="T56" s="45" t="n"/>
      <x:c r="U56" s="46" t="n"/>
      <x:c r="V56" s="45" t="n"/>
      <x:c r="W56" s="46" t="n"/>
    </x:row>
    <x:row r="57" s="655" customFormat="1" ht="15.75" customHeight="1">
      <x:c r="A57" s="53" t="inlineStr">
        <x:is>
          <x:t xml:space="preserve">550 x 506   cm</x:t>
        </x:is>
      </x:c>
      <x:c r="B57" s="54" t="n">
        <x:v>16640</x:v>
      </x:c>
      <x:c r="C57" s="55" t="n">
        <x:f>B57/1.23</x:f>
        <x:v>13528.455284552845</x:v>
      </x:c>
      <x:c r="D57" s="56" t="n">
        <x:v>480</x:v>
      </x:c>
      <x:c r="E57" s="55" t="n">
        <x:f>D57/1.23</x:f>
        <x:v>390.2439024390244</x:v>
      </x:c>
      <x:c r="F57" s="56" t="n">
        <x:v>1310</x:v>
      </x:c>
      <x:c r="G57" s="55" t="n">
        <x:f>F57/1.23</x:f>
        <x:v>1065.040650406504</x:v>
      </x:c>
      <x:c r="H57" s="56" t="n">
        <x:v>5560</x:v>
      </x:c>
      <x:c r="I57" s="55" t="n">
        <x:v>4520.325203252032</x:v>
      </x:c>
      <x:c r="J57" s="56" t="n">
        <x:v>3980</x:v>
      </x:c>
      <x:c r="K57" s="55" t="n">
        <x:f>J57/1.23</x:f>
        <x:v>3235.7723577235774</x:v>
      </x:c>
      <x:c r="L57" s="56" t="n">
        <x:v>3980</x:v>
      </x:c>
      <x:c r="M57" s="55" t="n">
        <x:f>L57/1.23</x:f>
        <x:v>3235.7723577235774</x:v>
      </x:c>
      <x:c r="N57" s="56" t="n">
        <x:v>3700</x:v>
      </x:c>
      <x:c r="O57" s="57" t="n">
        <x:f>N57/1.23</x:f>
        <x:v>3008.130081300813</x:v>
      </x:c>
      <x:c r="P57" s="54" t="n">
        <x:v>600</x:v>
      </x:c>
      <x:c r="Q57" s="57" t="n">
        <x:f>P57/1.23</x:f>
        <x:v>487.8048780487805</x:v>
      </x:c>
      <x:c r="R57" s="54" t="n">
        <x:v>960</x:v>
      </x:c>
      <x:c r="S57" s="55" t="n">
        <x:f>R57/1.23</x:f>
        <x:v>780.4878048780488</x:v>
      </x:c>
      <x:c r="T57" s="45" t="n"/>
      <x:c r="U57" s="46" t="n"/>
      <x:c r="V57" s="45" t="n"/>
      <x:c r="W57" s="46" t="n"/>
    </x:row>
    <x:row r="58" s="655" customFormat="1" ht="15.75" customHeight="1">
      <x:c r="A58" s="53" t="inlineStr">
        <x:is>
          <x:t xml:space="preserve">550 x 606   cm</x:t>
        </x:is>
      </x:c>
      <x:c r="B58" s="54" t="n">
        <x:v>19560</x:v>
      </x:c>
      <x:c r="C58" s="55" t="n">
        <x:f>B58/1.23</x:f>
        <x:v>15902.439024390244</x:v>
      </x:c>
      <x:c r="D58" s="56" t="n">
        <x:v>580</x:v>
      </x:c>
      <x:c r="E58" s="55" t="n">
        <x:f>D58/1.23</x:f>
        <x:v>471.5447154471545</x:v>
      </x:c>
      <x:c r="F58" s="56" t="n">
        <x:v>1580</x:v>
      </x:c>
      <x:c r="G58" s="55" t="n">
        <x:f>F58/1.23</x:f>
        <x:v>1284.5528455284552</x:v>
      </x:c>
      <x:c r="H58" s="56" t="n">
        <x:v>8360</x:v>
      </x:c>
      <x:c r="I58" s="55" t="n">
        <x:v>6796.747967479675</x:v>
      </x:c>
      <x:c r="J58" s="56" t="n">
        <x:v>3980</x:v>
      </x:c>
      <x:c r="K58" s="55" t="n">
        <x:f>J58/1.23</x:f>
        <x:v>3235.7723577235774</x:v>
      </x:c>
      <x:c r="L58" s="56" t="n">
        <x:v>3980</x:v>
      </x:c>
      <x:c r="M58" s="55" t="n">
        <x:f>L58/1.23</x:f>
        <x:v>3235.7723577235774</x:v>
      </x:c>
      <x:c r="N58" s="56" t="n">
        <x:v>4270</x:v>
      </x:c>
      <x:c r="O58" s="57" t="n">
        <x:f>N58/1.23</x:f>
        <x:v>3471.5447154471544</x:v>
      </x:c>
      <x:c r="P58" s="54" t="n">
        <x:v>790</x:v>
      </x:c>
      <x:c r="Q58" s="57" t="n">
        <x:f>P58/1.23</x:f>
        <x:v>642.2764227642276</x:v>
      </x:c>
      <x:c r="R58" s="54" t="n">
        <x:v>1090</x:v>
      </x:c>
      <x:c r="S58" s="55" t="n">
        <x:f>R58/1.23</x:f>
        <x:v>886.178861788618</x:v>
      </x:c>
      <x:c r="T58" s="45" t="n"/>
      <x:c r="U58" s="46" t="n"/>
      <x:c r="V58" s="45" t="n"/>
      <x:c r="W58" s="46" t="n"/>
    </x:row>
    <x:row r="59" s="655" customFormat="1" ht="15.75" customHeight="1">
      <x:c r="A59" s="53" t="inlineStr">
        <x:is>
          <x:t xml:space="preserve">550 x 706   cm</x:t>
        </x:is>
      </x:c>
      <x:c r="B59" s="54" t="n">
        <x:v>22780</x:v>
      </x:c>
      <x:c r="C59" s="55" t="n">
        <x:f>B59/1.23</x:f>
        <x:v>18520.325203252032</x:v>
      </x:c>
      <x:c r="D59" s="56" t="n">
        <x:v>670</x:v>
      </x:c>
      <x:c r="E59" s="55" t="n">
        <x:f>D59/1.23</x:f>
        <x:v>544.7154471544716</x:v>
      </x:c>
      <x:c r="F59" s="56" t="n">
        <x:v>2160</x:v>
      </x:c>
      <x:c r="G59" s="55" t="n">
        <x:f>F59/1.23</x:f>
        <x:v>1756.09756097561</x:v>
      </x:c>
      <x:c r="H59" s="56" t="n">
        <x:v>8960</x:v>
      </x:c>
      <x:c r="I59" s="55" t="n">
        <x:v>7284.552845528456</x:v>
      </x:c>
      <x:c r="J59" s="56" t="n">
        <x:v>3980</x:v>
      </x:c>
      <x:c r="K59" s="55" t="n">
        <x:f>J59/1.23</x:f>
        <x:v>3235.7723577235774</x:v>
      </x:c>
      <x:c r="L59" s="56" t="n">
        <x:v>3980</x:v>
      </x:c>
      <x:c r="M59" s="55" t="n">
        <x:f>L59/1.23</x:f>
        <x:v>3235.7723577235774</x:v>
      </x:c>
      <x:c r="N59" s="56" t="n">
        <x:v>4780</x:v>
      </x:c>
      <x:c r="O59" s="57" t="n">
        <x:f>N59/1.23</x:f>
        <x:v>3886.1788617886177</x:v>
      </x:c>
      <x:c r="P59" s="54" t="n">
        <x:v>870</x:v>
      </x:c>
      <x:c r="Q59" s="57" t="n">
        <x:f>P59/1.23</x:f>
        <x:v>707.3170731707318</x:v>
      </x:c>
      <x:c r="R59" s="54" t="n">
        <x:v>1210</x:v>
      </x:c>
      <x:c r="S59" s="55" t="n">
        <x:f>R59/1.23</x:f>
        <x:v>983.739837398374</x:v>
      </x:c>
      <x:c r="T59" s="45" t="n"/>
      <x:c r="U59" s="46" t="n"/>
      <x:c r="V59" s="45" t="n"/>
      <x:c r="W59" s="46" t="n"/>
    </x:row>
    <x:row r="60" s="655" customFormat="1" ht="15.75" customHeight="1">
      <x:c r="A60" s="53" t="inlineStr">
        <x:is>
          <x:t xml:space="preserve">550 x 806   cm</x:t>
        </x:is>
      </x:c>
      <x:c r="B60" s="54" t="n">
        <x:v>25900</x:v>
      </x:c>
      <x:c r="C60" s="55" t="n">
        <x:f>B60/1.23</x:f>
        <x:v>21056.91056910569</x:v>
      </x:c>
      <x:c r="D60" s="56" t="n">
        <x:v>770</x:v>
      </x:c>
      <x:c r="E60" s="55" t="n">
        <x:f>D60/1.23</x:f>
        <x:v>626.0162601626016</x:v>
      </x:c>
      <x:c r="F60" s="56" t="n">
        <x:v>2100</x:v>
      </x:c>
      <x:c r="G60" s="55" t="n">
        <x:f>F60/1.23</x:f>
        <x:v>1707.3170731707316</x:v>
      </x:c>
      <x:c r="H60" s="56" t="n">
        <x:v>9570</x:v>
      </x:c>
      <x:c r="I60" s="55" t="n">
        <x:v>7780.487804878049</x:v>
      </x:c>
      <x:c r="J60" s="56" t="n">
        <x:v>3980</x:v>
      </x:c>
      <x:c r="K60" s="55" t="n">
        <x:f>J60/1.23</x:f>
        <x:v>3235.7723577235774</x:v>
      </x:c>
      <x:c r="L60" s="56" t="n">
        <x:v>3980</x:v>
      </x:c>
      <x:c r="M60" s="55" t="n">
        <x:f>L60/1.23</x:f>
        <x:v>3235.7723577235774</x:v>
      </x:c>
      <x:c r="N60" s="56" t="n">
        <x:v>5280</x:v>
      </x:c>
      <x:c r="O60" s="57" t="n">
        <x:f>N60/1.23</x:f>
        <x:v>4292.682926829269</x:v>
      </x:c>
      <x:c r="P60" s="54" t="n">
        <x:v>960</x:v>
      </x:c>
      <x:c r="Q60" s="57" t="n">
        <x:f>P60/1.23</x:f>
        <x:v>780.4878048780488</x:v>
      </x:c>
      <x:c r="R60" s="54" t="n">
        <x:v>1440</x:v>
      </x:c>
      <x:c r="S60" s="55" t="n">
        <x:f>R60/1.23</x:f>
        <x:v>1170.7317073170732</x:v>
      </x:c>
      <x:c r="T60" s="45" t="n"/>
      <x:c r="U60" s="46" t="n"/>
      <x:c r="V60" s="45" t="n"/>
      <x:c r="W60" s="46" t="n"/>
    </x:row>
    <x:row r="61" s="655" customFormat="1" ht="15.75" customHeight="1">
      <x:c r="A61" s="53" t="inlineStr">
        <x:is>
          <x:t xml:space="preserve">550 x 906   cm</x:t>
        </x:is>
      </x:c>
      <x:c r="B61" s="54" t="n">
        <x:v>29450</x:v>
      </x:c>
      <x:c r="C61" s="55" t="n">
        <x:f>B61/1.23</x:f>
        <x:v>23943.08943089431</x:v>
      </x:c>
      <x:c r="D61" s="56" t="n">
        <x:v>860</x:v>
      </x:c>
      <x:c r="E61" s="55" t="n">
        <x:f>D61/1.23</x:f>
        <x:v>699.1869918699188</x:v>
      </x:c>
      <x:c r="F61" s="56" t="n">
        <x:v>2360</x:v>
      </x:c>
      <x:c r="G61" s="55" t="n">
        <x:f>F61/1.23</x:f>
        <x:v>1918.69918699187</x:v>
      </x:c>
      <x:c r="H61" s="56" t="n">
        <x:v>10340</x:v>
      </x:c>
      <x:c r="I61" s="55" t="n">
        <x:v>8406.50406504065</x:v>
      </x:c>
      <x:c r="J61" s="56" t="n">
        <x:v>3980</x:v>
      </x:c>
      <x:c r="K61" s="55" t="n">
        <x:f>J61/1.23</x:f>
        <x:v>3235.7723577235774</x:v>
      </x:c>
      <x:c r="L61" s="56" t="n">
        <x:v>3980</x:v>
      </x:c>
      <x:c r="M61" s="55" t="n">
        <x:f>L61/1.23</x:f>
        <x:v>3235.7723577235774</x:v>
      </x:c>
      <x:c r="N61" s="56" t="n">
        <x:v>6400</x:v>
      </x:c>
      <x:c r="O61" s="57" t="n">
        <x:f>N61/1.23</x:f>
        <x:v>5203.252032520325</x:v>
      </x:c>
      <x:c r="P61" s="54" t="n">
        <x:v>1040</x:v>
      </x:c>
      <x:c r="Q61" s="57" t="n">
        <x:f>P61/1.23</x:f>
        <x:v>845.5284552845528</x:v>
      </x:c>
      <x:c r="R61" s="54" t="n">
        <x:v>1560</x:v>
      </x:c>
      <x:c r="S61" s="55" t="n">
        <x:f>R61/1.23</x:f>
        <x:v>1268.2926829268292</x:v>
      </x:c>
      <x:c r="T61" s="45" t="n"/>
      <x:c r="U61" s="46" t="n"/>
      <x:c r="V61" s="45" t="n"/>
      <x:c r="W61" s="46" t="n"/>
    </x:row>
    <x:row r="62" s="655" customFormat="1" ht="15.75" customHeight="1">
      <x:c r="A62" s="53" t="inlineStr">
        <x:is>
          <x:t xml:space="preserve">550 x 1006 cm</x:t>
        </x:is>
      </x:c>
      <x:c r="B62" s="54" t="n">
        <x:v>32470</x:v>
      </x:c>
      <x:c r="C62" s="55" t="n">
        <x:f>B62/1.23</x:f>
        <x:v>26398.37398373984</x:v>
      </x:c>
      <x:c r="D62" s="56" t="n">
        <x:v>960</x:v>
      </x:c>
      <x:c r="E62" s="55" t="n">
        <x:f>D62/1.23</x:f>
        <x:v>780.4878048780488</x:v>
      </x:c>
      <x:c r="F62" s="56" t="n">
        <x:v>2630</x:v>
      </x:c>
      <x:c r="G62" s="55" t="n">
        <x:f>F62/1.23</x:f>
        <x:v>2138.211382113821</x:v>
      </x:c>
      <x:c r="H62" s="56" t="n">
        <x:v>11120</x:v>
      </x:c>
      <x:c r="I62" s="55" t="n">
        <x:v>9040.650406504064</x:v>
      </x:c>
      <x:c r="J62" s="56" t="n">
        <x:v>3980</x:v>
      </x:c>
      <x:c r="K62" s="55" t="n">
        <x:f>J62/1.23</x:f>
        <x:v>3235.7723577235774</x:v>
      </x:c>
      <x:c r="L62" s="56" t="n">
        <x:v>3980</x:v>
      </x:c>
      <x:c r="M62" s="55" t="n">
        <x:f>L62/1.23</x:f>
        <x:v>3235.7723577235774</x:v>
      </x:c>
      <x:c r="N62" s="56" t="n">
        <x:v>6910</x:v>
      </x:c>
      <x:c r="O62" s="57" t="n">
        <x:f>N62/1.23</x:f>
        <x:v>5617.886178861789</x:v>
      </x:c>
      <x:c r="P62" s="54" t="n">
        <x:v>1230</x:v>
      </x:c>
      <x:c r="Q62" s="57" t="n">
        <x:f>P62/1.23</x:f>
        <x:v>1000</x:v>
      </x:c>
      <x:c r="R62" s="54" t="n">
        <x:v>1650</x:v>
      </x:c>
      <x:c r="S62" s="55" t="n">
        <x:f>R62/1.23</x:f>
        <x:v>1341.4634146341464</x:v>
      </x:c>
      <x:c r="T62" s="45" t="n"/>
      <x:c r="U62" s="46" t="n"/>
      <x:c r="V62" s="45" t="n"/>
      <x:c r="W62" s="46" t="n"/>
    </x:row>
    <x:row r="63" s="655" customFormat="1" ht="15.75" customHeight="1">
      <x:c r="A63" s="53" t="inlineStr">
        <x:is>
          <x:t xml:space="preserve">550 x 1106 cm</x:t>
        </x:is>
      </x:c>
      <x:c r="B63" s="54" t="n">
        <x:v>35580</x:v>
      </x:c>
      <x:c r="C63" s="55" t="n">
        <x:f>B63/1.23</x:f>
        <x:v>28926.829268292684</x:v>
      </x:c>
      <x:c r="D63" s="56" t="n">
        <x:v>1060</x:v>
      </x:c>
      <x:c r="E63" s="55" t="n">
        <x:f>D63/1.23</x:f>
        <x:v>861.7886178861788</x:v>
      </x:c>
      <x:c r="F63" s="56" t="n">
        <x:v>2890</x:v>
      </x:c>
      <x:c r="G63" s="55" t="n">
        <x:f>F63/1.23</x:f>
        <x:v>2349.5934959349593</x:v>
      </x:c>
      <x:c r="H63" s="56" t="n">
        <x:v>13740</x:v>
      </x:c>
      <x:c r="I63" s="55" t="n">
        <x:v>11170.73170731707</x:v>
      </x:c>
      <x:c r="J63" s="56" t="n">
        <x:v>3980</x:v>
      </x:c>
      <x:c r="K63" s="55" t="n">
        <x:f>J63/1.23</x:f>
        <x:v>3235.7723577235774</x:v>
      </x:c>
      <x:c r="L63" s="56" t="n">
        <x:v>3980</x:v>
      </x:c>
      <x:c r="M63" s="55" t="n">
        <x:f>L63/1.23</x:f>
        <x:v>3235.7723577235774</x:v>
      </x:c>
      <x:c r="N63" s="56" t="n">
        <x:v>7420</x:v>
      </x:c>
      <x:c r="O63" s="57" t="n">
        <x:f>N63/1.23</x:f>
        <x:v>6032.5203252032525</x:v>
      </x:c>
      <x:c r="P63" s="54" t="n">
        <x:v>1430</x:v>
      </x:c>
      <x:c r="Q63" s="57" t="n">
        <x:f>P63/1.23</x:f>
        <x:v>1162.60162601626</x:v>
      </x:c>
      <x:c r="R63" s="54" t="n">
        <x:v>1770</x:v>
      </x:c>
      <x:c r="S63" s="55" t="n">
        <x:f>R63/1.23</x:f>
        <x:v>1439.0243902439024</x:v>
      </x:c>
      <x:c r="T63" s="45" t="n"/>
      <x:c r="U63" s="46" t="n"/>
      <x:c r="V63" s="45" t="n"/>
      <x:c r="W63" s="46" t="n"/>
    </x:row>
    <x:row r="64" s="655" customFormat="1" ht="15.75" customHeight="1">
      <x:c r="A64" s="53" t="inlineStr">
        <x:is>
          <x:t xml:space="preserve">550 x 1206 cm</x:t>
        </x:is>
      </x:c>
      <x:c r="B64" s="54" t="n">
        <x:v>38570</x:v>
      </x:c>
      <x:c r="C64" s="55" t="n">
        <x:f>B64/1.23</x:f>
        <x:v>31357.723577235774</x:v>
      </x:c>
      <x:c r="D64" s="56" t="n">
        <x:v>1150</x:v>
      </x:c>
      <x:c r="E64" s="55" t="n">
        <x:f>D64/1.23</x:f>
        <x:v>934.959349593496</x:v>
      </x:c>
      <x:c r="F64" s="56" t="n">
        <x:v>2880</x:v>
      </x:c>
      <x:c r="G64" s="55" t="n">
        <x:f>F64/1.23</x:f>
        <x:v>2341.4634146341464</x:v>
      </x:c>
      <x:c r="H64" s="56" t="n">
        <x:v>14010</x:v>
      </x:c>
      <x:c r="I64" s="55" t="n">
        <x:v>11390.24390243902</x:v>
      </x:c>
      <x:c r="J64" s="56" t="n">
        <x:v>3980</x:v>
      </x:c>
      <x:c r="K64" s="55" t="n">
        <x:f>J64/1.23</x:f>
        <x:v>3235.7723577235774</x:v>
      </x:c>
      <x:c r="L64" s="56" t="n">
        <x:v>3980</x:v>
      </x:c>
      <x:c r="M64" s="55" t="n">
        <x:f>L64/1.23</x:f>
        <x:v>3235.7723577235774</x:v>
      </x:c>
      <x:c r="N64" s="56" t="n">
        <x:v>7920</x:v>
      </x:c>
      <x:c r="O64" s="57" t="n">
        <x:f>N64/1.23</x:f>
        <x:v>6439.024390243902</x:v>
      </x:c>
      <x:c r="P64" s="54" t="n">
        <x:v>1510</x:v>
      </x:c>
      <x:c r="Q64" s="57" t="n">
        <x:f>P64/1.23</x:f>
        <x:v>1227.6422764227643</x:v>
      </x:c>
      <x:c r="R64" s="54" t="n">
        <x:v>1900</x:v>
      </x:c>
      <x:c r="S64" s="55" t="n">
        <x:f>R64/1.23</x:f>
        <x:v>1544.7154471544716</x:v>
      </x:c>
      <x:c r="T64" s="45" t="n"/>
      <x:c r="U64" s="46" t="n"/>
      <x:c r="V64" s="45" t="n"/>
      <x:c r="W64" s="46" t="n"/>
    </x:row>
    <x:row r="65" s="655" customFormat="1" ht="15.75" customHeight="1">
      <x:c r="A65" s="58" t="inlineStr">
        <x:is>
          <x:t xml:space="preserve">600 x 306   cm</x:t>
        </x:is>
      </x:c>
      <x:c r="B65" s="59" t="n">
        <x:v>10690</x:v>
      </x:c>
      <x:c r="C65" s="60" t="n">
        <x:f>B65/1.23</x:f>
        <x:v>8691.056910569107</x:v>
      </x:c>
      <x:c r="D65" s="61" t="n">
        <x:v>310</x:v>
      </x:c>
      <x:c r="E65" s="62" t="n">
        <x:f>D65/1.23</x:f>
        <x:v>252.03252032520325</x:v>
      </x:c>
      <x:c r="F65" s="61" t="n">
        <x:v>880</x:v>
      </x:c>
      <x:c r="G65" s="62" t="n">
        <x:f>F65/1.23</x:f>
        <x:v>715.4471544715448</x:v>
      </x:c>
      <x:c r="H65" s="61" t="n">
        <x:v>4180</x:v>
      </x:c>
      <x:c r="I65" s="62" t="n">
        <x:f>H65/1.23</x:f>
        <x:v>3398.3739837398375</x:v>
      </x:c>
      <x:c r="J65" s="61" t="n">
        <x:v>4270</x:v>
      </x:c>
      <x:c r="K65" s="62" t="n">
        <x:f>J65/1.23</x:f>
        <x:v>3471.5447154471544</x:v>
      </x:c>
      <x:c r="L65" s="61" t="n">
        <x:v>4270</x:v>
      </x:c>
      <x:c r="M65" s="62" t="n">
        <x:f>L65/1.23</x:f>
        <x:v>3471.5447154471544</x:v>
      </x:c>
      <x:c r="N65" s="61" t="n">
        <x:v>2140</x:v>
      </x:c>
      <x:c r="O65" s="62" t="n">
        <x:f>N65/1.23</x:f>
        <x:v>1739.8373983739837</x:v>
      </x:c>
      <x:c r="P65" s="63" t="n">
        <x:v>420</x:v>
      </x:c>
      <x:c r="Q65" s="64" t="n">
        <x:f>P65/1.23</x:f>
        <x:v>341.4634146341464</x:v>
      </x:c>
      <x:c r="R65" s="65" t="n">
        <x:v>640</x:v>
      </x:c>
      <x:c r="S65" s="62" t="n">
        <x:f>R65/1.23</x:f>
        <x:v>520.3252032520326</x:v>
      </x:c>
      <x:c r="T65" s="45" t="n"/>
      <x:c r="U65" s="46" t="n"/>
      <x:c r="V65" s="45" t="n"/>
      <x:c r="W65" s="46" t="n"/>
    </x:row>
    <x:row r="66" s="655" customFormat="1" ht="15.75" customHeight="1">
      <x:c r="A66" s="58" t="inlineStr">
        <x:is>
          <x:t xml:space="preserve">600 x 406   cm</x:t>
        </x:is>
      </x:c>
      <x:c r="B66" s="66" t="n">
        <x:v>14030</x:v>
      </x:c>
      <x:c r="C66" s="60" t="n">
        <x:f>B66/1.23</x:f>
        <x:v>11406.50406504065</x:v>
      </x:c>
      <x:c r="D66" s="61" t="n">
        <x:v>420</x:v>
      </x:c>
      <x:c r="E66" s="62" t="n">
        <x:f>D66/1.23</x:f>
        <x:v>341.4634146341464</x:v>
      </x:c>
      <x:c r="F66" s="61" t="n">
        <x:v>1170</x:v>
      </x:c>
      <x:c r="G66" s="62" t="n">
        <x:f>F66/1.23</x:f>
        <x:v>951.219512195122</x:v>
      </x:c>
      <x:c r="H66" s="61" t="n">
        <x:v>4780</x:v>
      </x:c>
      <x:c r="I66" s="62" t="n">
        <x:f>H66/1.23</x:f>
        <x:v>3886.1788617886177</x:v>
      </x:c>
      <x:c r="J66" s="61" t="n">
        <x:v>4270</x:v>
      </x:c>
      <x:c r="K66" s="62" t="n">
        <x:f>J66/1.23</x:f>
        <x:v>3471.5447154471544</x:v>
      </x:c>
      <x:c r="L66" s="61" t="n">
        <x:v>4270</x:v>
      </x:c>
      <x:c r="M66" s="62" t="n">
        <x:f>L66/1.23</x:f>
        <x:v>3471.5447154471544</x:v>
      </x:c>
      <x:c r="N66" s="61" t="n">
        <x:v>2640</x:v>
      </x:c>
      <x:c r="O66" s="62" t="n">
        <x:f>N66/1.23</x:f>
        <x:v>2146.3414634146343</x:v>
      </x:c>
      <x:c r="P66" s="67" t="n">
        <x:v>510</x:v>
      </x:c>
      <x:c r="Q66" s="68" t="n">
        <x:f>P66/1.23</x:f>
        <x:v>414.6341463414634</x:v>
      </x:c>
      <x:c r="R66" s="65" t="n">
        <x:v>740</x:v>
      </x:c>
      <x:c r="S66" s="62" t="n">
        <x:f>R66/1.23</x:f>
        <x:v>601.6260162601626</x:v>
      </x:c>
      <x:c r="T66" s="45" t="n"/>
      <x:c r="U66" s="46" t="n"/>
      <x:c r="V66" s="45" t="n"/>
      <x:c r="W66" s="46" t="n"/>
    </x:row>
    <x:row r="67" s="655" customFormat="1" ht="15.75" customHeight="1">
      <x:c r="A67" s="58" t="inlineStr">
        <x:is>
          <x:t xml:space="preserve">600 x 506   cm</x:t>
        </x:is>
      </x:c>
      <x:c r="B67" s="66" t="n">
        <x:v>17630</x:v>
      </x:c>
      <x:c r="C67" s="60" t="n">
        <x:f>B67/1.23</x:f>
        <x:v>14333.333333333334</x:v>
      </x:c>
      <x:c r="D67" s="61" t="n">
        <x:v>520</x:v>
      </x:c>
      <x:c r="E67" s="62" t="n">
        <x:f>D67/1.23</x:f>
        <x:v>422.7642276422764</x:v>
      </x:c>
      <x:c r="F67" s="61" t="n">
        <x:v>1460</x:v>
      </x:c>
      <x:c r="G67" s="62" t="n">
        <x:f>F67/1.23</x:f>
        <x:v>1186.9918699186992</x:v>
      </x:c>
      <x:c r="H67" s="61" t="n">
        <x:v>5560</x:v>
      </x:c>
      <x:c r="I67" s="62" t="n">
        <x:f>H67/1.23</x:f>
        <x:v>4520.325203252032</x:v>
      </x:c>
      <x:c r="J67" s="61" t="n">
        <x:v>4270</x:v>
      </x:c>
      <x:c r="K67" s="62" t="n">
        <x:f>J67/1.23</x:f>
        <x:v>3471.5447154471544</x:v>
      </x:c>
      <x:c r="L67" s="61" t="n">
        <x:v>4270</x:v>
      </x:c>
      <x:c r="M67" s="62" t="n">
        <x:f>L67/1.23</x:f>
        <x:v>3471.5447154471544</x:v>
      </x:c>
      <x:c r="N67" s="61" t="n">
        <x:v>3700</x:v>
      </x:c>
      <x:c r="O67" s="62" t="n">
        <x:f>N67/1.23</x:f>
        <x:v>3008.130081300813</x:v>
      </x:c>
      <x:c r="P67" s="67" t="n">
        <x:v>600</x:v>
      </x:c>
      <x:c r="Q67" s="68" t="n">
        <x:f>P67/1.23</x:f>
        <x:v>487.8048780487805</x:v>
      </x:c>
      <x:c r="R67" s="65" t="n">
        <x:v>960</x:v>
      </x:c>
      <x:c r="S67" s="62" t="n">
        <x:f>R67/1.23</x:f>
        <x:v>780.4878048780488</x:v>
      </x:c>
      <x:c r="T67" s="45" t="n"/>
      <x:c r="U67" s="46" t="n"/>
      <x:c r="V67" s="45" t="n"/>
      <x:c r="W67" s="46" t="n"/>
    </x:row>
    <x:row r="68" s="655" customFormat="1" ht="15.75" customHeight="1">
      <x:c r="A68" s="58" t="inlineStr">
        <x:is>
          <x:t xml:space="preserve">600 x 606   cm</x:t>
        </x:is>
      </x:c>
      <x:c r="B68" s="66" t="n">
        <x:v>20880</x:v>
      </x:c>
      <x:c r="C68" s="60" t="n">
        <x:f>B68/1.23</x:f>
        <x:v>16975.60975609756</x:v>
      </x:c>
      <x:c r="D68" s="61" t="n">
        <x:v>620</x:v>
      </x:c>
      <x:c r="E68" s="62" t="n">
        <x:f>D68/1.23</x:f>
        <x:v>504.0650406504065</x:v>
      </x:c>
      <x:c r="F68" s="61" t="n">
        <x:v>1760</x:v>
      </x:c>
      <x:c r="G68" s="62" t="n">
        <x:f>F68/1.23</x:f>
        <x:v>1430.8943089430895</x:v>
      </x:c>
      <x:c r="H68" s="69" t="n">
        <x:v>8360</x:v>
      </x:c>
      <x:c r="I68" s="62" t="n">
        <x:f>H68/1.23</x:f>
        <x:v>6796.747967479675</x:v>
      </x:c>
      <x:c r="J68" s="61" t="n">
        <x:v>4270</x:v>
      </x:c>
      <x:c r="K68" s="62" t="n">
        <x:f>J68/1.23</x:f>
        <x:v>3471.5447154471544</x:v>
      </x:c>
      <x:c r="L68" s="61" t="n">
        <x:v>4270</x:v>
      </x:c>
      <x:c r="M68" s="62" t="n">
        <x:f>L68/1.23</x:f>
        <x:v>3471.5447154471544</x:v>
      </x:c>
      <x:c r="N68" s="61" t="n">
        <x:v>4270</x:v>
      </x:c>
      <x:c r="O68" s="62" t="n">
        <x:f>N68/1.23</x:f>
        <x:v>3471.5447154471544</x:v>
      </x:c>
      <x:c r="P68" s="67" t="n">
        <x:v>790</x:v>
      </x:c>
      <x:c r="Q68" s="68" t="n">
        <x:f>P68/1.23</x:f>
        <x:v>642.2764227642276</x:v>
      </x:c>
      <x:c r="R68" s="65" t="n">
        <x:v>1090</x:v>
      </x:c>
      <x:c r="S68" s="62" t="n">
        <x:f>R68/1.23</x:f>
        <x:v>886.178861788618</x:v>
      </x:c>
      <x:c r="T68" s="45" t="n"/>
      <x:c r="U68" s="46" t="n"/>
      <x:c r="V68" s="45" t="n"/>
      <x:c r="W68" s="46" t="n"/>
    </x:row>
    <x:row r="69" s="655" customFormat="1" ht="15.75" customHeight="1">
      <x:c r="A69" s="58" t="inlineStr">
        <x:is>
          <x:t xml:space="preserve">600 x 706   cm</x:t>
        </x:is>
      </x:c>
      <x:c r="B69" s="66" t="n">
        <x:v>24320</x:v>
      </x:c>
      <x:c r="C69" s="60" t="n">
        <x:f>B69/1.23</x:f>
        <x:v>19772.357723577235</x:v>
      </x:c>
      <x:c r="D69" s="61" t="n">
        <x:v>730</x:v>
      </x:c>
      <x:c r="E69" s="62" t="n">
        <x:f>D69/1.23</x:f>
        <x:v>593.4959349593496</x:v>
      </x:c>
      <x:c r="F69" s="61" t="n">
        <x:v>2050</x:v>
      </x:c>
      <x:c r="G69" s="62" t="n">
        <x:f>F69/1.23</x:f>
        <x:v>1666.6666666666667</x:v>
      </x:c>
      <x:c r="H69" s="61" t="n">
        <x:v>8960</x:v>
      </x:c>
      <x:c r="I69" s="62" t="n">
        <x:f>H69/1.23</x:f>
        <x:v>7284.552845528456</x:v>
      </x:c>
      <x:c r="J69" s="61" t="n">
        <x:v>4270</x:v>
      </x:c>
      <x:c r="K69" s="62" t="n">
        <x:f>J69/1.23</x:f>
        <x:v>3471.5447154471544</x:v>
      </x:c>
      <x:c r="L69" s="61" t="n">
        <x:v>4270</x:v>
      </x:c>
      <x:c r="M69" s="62" t="n">
        <x:f>L69/1.23</x:f>
        <x:v>3471.5447154471544</x:v>
      </x:c>
      <x:c r="N69" s="61" t="n">
        <x:v>4780</x:v>
      </x:c>
      <x:c r="O69" s="62" t="n">
        <x:f>N69/1.23</x:f>
        <x:v>3886.1788617886177</x:v>
      </x:c>
      <x:c r="P69" s="67" t="n">
        <x:v>870</x:v>
      </x:c>
      <x:c r="Q69" s="68" t="n">
        <x:f>P69/1.23</x:f>
        <x:v>707.3170731707318</x:v>
      </x:c>
      <x:c r="R69" s="65" t="n">
        <x:v>1210</x:v>
      </x:c>
      <x:c r="S69" s="62" t="n">
        <x:f>R69/1.23</x:f>
        <x:v>983.739837398374</x:v>
      </x:c>
      <x:c r="T69" s="45" t="n"/>
      <x:c r="U69" s="46" t="n"/>
      <x:c r="V69" s="45" t="n"/>
      <x:c r="W69" s="46" t="n"/>
    </x:row>
    <x:row r="70" s="655" customFormat="1" ht="15.75" customHeight="1">
      <x:c r="A70" s="58" t="inlineStr">
        <x:is>
          <x:t xml:space="preserve">600 x 806   cm</x:t>
        </x:is>
      </x:c>
      <x:c r="B70" s="66" t="n">
        <x:v>27680</x:v>
      </x:c>
      <x:c r="C70" s="60" t="n">
        <x:f>B70/1.23</x:f>
        <x:v>22504.065040650406</x:v>
      </x:c>
      <x:c r="D70" s="61" t="n">
        <x:v>830</x:v>
      </x:c>
      <x:c r="E70" s="62" t="n">
        <x:f>D70/1.23</x:f>
        <x:v>674.7967479674796</x:v>
      </x:c>
      <x:c r="F70" s="61" t="n">
        <x:v>2340</x:v>
      </x:c>
      <x:c r="G70" s="62" t="n">
        <x:f>F70/1.23</x:f>
        <x:v>1902.439024390244</x:v>
      </x:c>
      <x:c r="H70" s="61" t="n">
        <x:v>9570</x:v>
      </x:c>
      <x:c r="I70" s="62" t="n">
        <x:f>H70/1.23</x:f>
        <x:v>7780.487804878049</x:v>
      </x:c>
      <x:c r="J70" s="61" t="n">
        <x:v>4270</x:v>
      </x:c>
      <x:c r="K70" s="62" t="n">
        <x:f>J70/1.23</x:f>
        <x:v>3471.5447154471544</x:v>
      </x:c>
      <x:c r="L70" s="61" t="n">
        <x:v>4270</x:v>
      </x:c>
      <x:c r="M70" s="62" t="n">
        <x:f>L70/1.23</x:f>
        <x:v>3471.5447154471544</x:v>
      </x:c>
      <x:c r="N70" s="61" t="n">
        <x:v>5280</x:v>
      </x:c>
      <x:c r="O70" s="62" t="n">
        <x:f>N70/1.23</x:f>
        <x:v>4292.682926829269</x:v>
      </x:c>
      <x:c r="P70" s="67" t="n">
        <x:v>960</x:v>
      </x:c>
      <x:c r="Q70" s="68" t="n">
        <x:f>P70/1.23</x:f>
        <x:v>780.4878048780488</x:v>
      </x:c>
      <x:c r="R70" s="65" t="n">
        <x:v>1440</x:v>
      </x:c>
      <x:c r="S70" s="62" t="n">
        <x:f>R70/1.23</x:f>
        <x:v>1170.7317073170732</x:v>
      </x:c>
      <x:c r="T70" s="45" t="n"/>
      <x:c r="U70" s="46" t="n"/>
      <x:c r="V70" s="45" t="n"/>
      <x:c r="W70" s="46" t="n"/>
    </x:row>
    <x:row r="71" s="655" customFormat="1" ht="15.75" customHeight="1">
      <x:c r="A71" s="58" t="inlineStr">
        <x:is>
          <x:t xml:space="preserve">600 x 906   cm</x:t>
        </x:is>
      </x:c>
      <x:c r="B71" s="66" t="n">
        <x:v>31440</x:v>
      </x:c>
      <x:c r="C71" s="60" t="n">
        <x:f>B71/1.23</x:f>
        <x:v>25560.975609756097</x:v>
      </x:c>
      <x:c r="D71" s="61" t="n">
        <x:v>940</x:v>
      </x:c>
      <x:c r="E71" s="62" t="n">
        <x:f>D71/1.23</x:f>
        <x:v>764.2276422764228</x:v>
      </x:c>
      <x:c r="F71" s="61" t="n">
        <x:v>2630</x:v>
      </x:c>
      <x:c r="G71" s="62" t="n">
        <x:f>F71/1.23</x:f>
        <x:v>2138.211382113821</x:v>
      </x:c>
      <x:c r="H71" s="70" t="n">
        <x:v>10340</x:v>
      </x:c>
      <x:c r="I71" s="62" t="n">
        <x:f>H71/1.23</x:f>
        <x:v>8406.50406504065</x:v>
      </x:c>
      <x:c r="J71" s="61" t="n">
        <x:v>4270</x:v>
      </x:c>
      <x:c r="K71" s="62" t="n">
        <x:f>J71/1.23</x:f>
        <x:v>3471.5447154471544</x:v>
      </x:c>
      <x:c r="L71" s="61" t="n">
        <x:v>4270</x:v>
      </x:c>
      <x:c r="M71" s="62" t="n">
        <x:f>L71/1.23</x:f>
        <x:v>3471.5447154471544</x:v>
      </x:c>
      <x:c r="N71" s="61" t="n">
        <x:v>6400</x:v>
      </x:c>
      <x:c r="O71" s="62" t="n">
        <x:f>N71/1.23</x:f>
        <x:v>5203.252032520325</x:v>
      </x:c>
      <x:c r="P71" s="67" t="n">
        <x:v>1040</x:v>
      </x:c>
      <x:c r="Q71" s="68" t="n">
        <x:f>P71/1.23</x:f>
        <x:v>845.5284552845528</x:v>
      </x:c>
      <x:c r="R71" s="65" t="n">
        <x:v>1560</x:v>
      </x:c>
      <x:c r="S71" s="62" t="n">
        <x:f>R71/1.23</x:f>
        <x:v>1268.2926829268292</x:v>
      </x:c>
      <x:c r="T71" s="45" t="n"/>
      <x:c r="U71" s="46" t="n"/>
      <x:c r="V71" s="45" t="n"/>
      <x:c r="W71" s="46" t="n"/>
    </x:row>
    <x:row r="72" s="655" customFormat="1" ht="15.75" customHeight="1">
      <x:c r="A72" s="58" t="inlineStr">
        <x:is>
          <x:t xml:space="preserve">600 x 1006 cm</x:t>
        </x:is>
      </x:c>
      <x:c r="B72" s="66" t="n">
        <x:v>34700</x:v>
      </x:c>
      <x:c r="C72" s="60" t="n">
        <x:f>B72/1.23</x:f>
        <x:v>28211.38211382114</x:v>
      </x:c>
      <x:c r="D72" s="61" t="n">
        <x:v>1040</x:v>
      </x:c>
      <x:c r="E72" s="62" t="n">
        <x:f>D72/1.23</x:f>
        <x:v>845.5284552845528</x:v>
      </x:c>
      <x:c r="F72" s="61" t="n">
        <x:v>2930</x:v>
      </x:c>
      <x:c r="G72" s="62" t="n">
        <x:f>F72/1.23</x:f>
        <x:v>2382.1138211382113</x:v>
      </x:c>
      <x:c r="H72" s="61" t="n">
        <x:v>11120</x:v>
      </x:c>
      <x:c r="I72" s="62" t="n">
        <x:f>H72/1.23</x:f>
        <x:v>9040.650406504064</x:v>
      </x:c>
      <x:c r="J72" s="61" t="n">
        <x:v>4270</x:v>
      </x:c>
      <x:c r="K72" s="62" t="n">
        <x:f>J72/1.23</x:f>
        <x:v>3471.5447154471544</x:v>
      </x:c>
      <x:c r="L72" s="61" t="n">
        <x:v>4270</x:v>
      </x:c>
      <x:c r="M72" s="62" t="n">
        <x:f>L72/1.23</x:f>
        <x:v>3471.5447154471544</x:v>
      </x:c>
      <x:c r="N72" s="61" t="n">
        <x:v>6910</x:v>
      </x:c>
      <x:c r="O72" s="62" t="n">
        <x:f>N72/1.23</x:f>
        <x:v>5617.886178861789</x:v>
      </x:c>
      <x:c r="P72" s="67" t="n">
        <x:v>1230</x:v>
      </x:c>
      <x:c r="Q72" s="68" t="n">
        <x:f>P72/1.23</x:f>
        <x:v>1000</x:v>
      </x:c>
      <x:c r="R72" s="65" t="n">
        <x:v>1650</x:v>
      </x:c>
      <x:c r="S72" s="62" t="n">
        <x:f>R72/1.23</x:f>
        <x:v>1341.4634146341464</x:v>
      </x:c>
      <x:c r="T72" s="45" t="n"/>
      <x:c r="U72" s="46" t="n"/>
      <x:c r="V72" s="45" t="n"/>
      <x:c r="W72" s="46" t="n"/>
    </x:row>
    <x:row r="73" s="655" customFormat="1" ht="15.75" customHeight="1">
      <x:c r="A73" s="58" t="inlineStr">
        <x:is>
          <x:t xml:space="preserve">600 x 1106 cm</x:t>
        </x:is>
      </x:c>
      <x:c r="B73" s="66" t="n">
        <x:v>38020</x:v>
      </x:c>
      <x:c r="C73" s="60" t="n">
        <x:f>B73/1.23</x:f>
        <x:v>30910.56910569106</x:v>
      </x:c>
      <x:c r="D73" s="61" t="n">
        <x:v>1150</x:v>
      </x:c>
      <x:c r="E73" s="62" t="n">
        <x:f>D73/1.23</x:f>
        <x:v>934.959349593496</x:v>
      </x:c>
      <x:c r="F73" s="61" t="n">
        <x:v>3220</x:v>
      </x:c>
      <x:c r="G73" s="62" t="n">
        <x:f>F73/1.23</x:f>
        <x:v>2617.8861788617887</x:v>
      </x:c>
      <x:c r="H73" s="69" t="n">
        <x:v>13740</x:v>
      </x:c>
      <x:c r="I73" s="62" t="n">
        <x:f>H73/1.23</x:f>
        <x:v>11170.731707317073</x:v>
      </x:c>
      <x:c r="J73" s="61" t="n">
        <x:v>4270</x:v>
      </x:c>
      <x:c r="K73" s="62" t="n">
        <x:f>J73/1.23</x:f>
        <x:v>3471.5447154471544</x:v>
      </x:c>
      <x:c r="L73" s="61" t="n">
        <x:v>4270</x:v>
      </x:c>
      <x:c r="M73" s="62" t="n">
        <x:f>L73/1.23</x:f>
        <x:v>3471.5447154471544</x:v>
      </x:c>
      <x:c r="N73" s="61" t="n">
        <x:v>7420</x:v>
      </x:c>
      <x:c r="O73" s="62" t="n">
        <x:f>N73/1.23</x:f>
        <x:v>6032.5203252032525</x:v>
      </x:c>
      <x:c r="P73" s="67" t="n">
        <x:v>1430</x:v>
      </x:c>
      <x:c r="Q73" s="68" t="n">
        <x:f>P73/1.23</x:f>
        <x:v>1162.60162601626</x:v>
      </x:c>
      <x:c r="R73" s="65" t="n">
        <x:v>1770</x:v>
      </x:c>
      <x:c r="S73" s="62" t="n">
        <x:f>R73/1.23</x:f>
        <x:v>1439.0243902439024</x:v>
      </x:c>
      <x:c r="T73" s="45" t="n"/>
      <x:c r="U73" s="46" t="n"/>
      <x:c r="V73" s="45" t="n"/>
      <x:c r="W73" s="46" t="n"/>
    </x:row>
    <x:row r="74" s="655" customFormat="1" ht="15.75" customHeight="1">
      <x:c r="A74" s="58" t="inlineStr">
        <x:is>
          <x:t xml:space="preserve">600 x 1206 cm</x:t>
        </x:is>
      </x:c>
      <x:c r="B74" s="66" t="n">
        <x:v>41260</x:v>
      </x:c>
      <x:c r="C74" s="60" t="n">
        <x:f>B74/1.23</x:f>
        <x:v>33544.71544715447</x:v>
      </x:c>
      <x:c r="D74" s="61" t="n">
        <x:v>1250</x:v>
      </x:c>
      <x:c r="E74" s="62" t="n">
        <x:f>D74/1.23</x:f>
        <x:v>1016.260162601626</x:v>
      </x:c>
      <x:c r="F74" s="61" t="n">
        <x:v>3510</x:v>
      </x:c>
      <x:c r="G74" s="62" t="n">
        <x:f>F74/1.23</x:f>
        <x:v>2853.6585365853657</x:v>
      </x:c>
      <x:c r="H74" s="71" t="n">
        <x:v>14010</x:v>
      </x:c>
      <x:c r="I74" s="62" t="n">
        <x:f>H74/1.23</x:f>
        <x:v>11390.243902439024</x:v>
      </x:c>
      <x:c r="J74" s="61" t="n">
        <x:v>4270</x:v>
      </x:c>
      <x:c r="K74" s="62" t="n">
        <x:f>J74/1.23</x:f>
        <x:v>3471.5447154471544</x:v>
      </x:c>
      <x:c r="L74" s="61" t="n">
        <x:v>4270</x:v>
      </x:c>
      <x:c r="M74" s="62" t="n">
        <x:f>L74/1.23</x:f>
        <x:v>3471.5447154471544</x:v>
      </x:c>
      <x:c r="N74" s="61" t="n">
        <x:v>7920</x:v>
      </x:c>
      <x:c r="O74" s="62" t="n">
        <x:f>N74/1.23</x:f>
        <x:v>6439.024390243902</x:v>
      </x:c>
      <x:c r="P74" s="72" t="n">
        <x:v>1510</x:v>
      </x:c>
      <x:c r="Q74" s="73" t="n">
        <x:f>P74/1.23</x:f>
        <x:v>1227.6422764227643</x:v>
      </x:c>
      <x:c r="R74" s="65" t="n">
        <x:v>1900</x:v>
      </x:c>
      <x:c r="S74" s="62" t="n">
        <x:f>R74/1.23</x:f>
        <x:v>1544.7154471544716</x:v>
      </x:c>
      <x:c r="T74" s="45" t="n"/>
      <x:c r="U74" s="46" t="n"/>
      <x:c r="V74" s="45" t="n"/>
      <x:c r="W74" s="46" t="n"/>
    </x:row>
    <x:row r="75" s="655" customFormat="1" ht="19.5" customHeight="1">
      <x:c r="A75" s="74" t="n"/>
      <x:c r="B75" s="75" t="n"/>
      <x:c r="C75" s="76" t="n"/>
      <x:c r="D75" s="77" t="n"/>
      <x:c r="E75" s="78" t="n"/>
      <x:c r="F75" s="77" t="n"/>
      <x:c r="G75" s="79" t="n"/>
      <x:c r="H75" s="80" t="n"/>
      <x:c r="I75" s="78" t="n"/>
      <x:c r="J75" s="77" t="n"/>
      <x:c r="K75" s="78" t="n"/>
      <x:c r="L75" s="77" t="n"/>
      <x:c r="M75" s="78" t="n"/>
      <x:c r="N75" s="77" t="n"/>
      <x:c r="O75" s="78" t="n"/>
      <x:c r="P75" s="81" t="n"/>
      <x:c r="Q75" s="82" t="n"/>
      <x:c r="R75" s="77" t="n"/>
      <x:c r="S75" s="78" t="n"/>
      <x:c r="T75" s="22" t="n"/>
      <x:c r="U75" s="83" t="n"/>
      <x:c r="V75" s="22" t="n"/>
      <x:c r="W75" s="83" t="n"/>
    </x:row>
    <x:row r="76" s="655" customFormat="1" ht="39.75" customHeight="1">
      <x:c r="A76" s="84" t="inlineStr">
        <x:is>
          <x:t xml:space="preserve">REZYGNACJA - 1 szt 
POLIWĘGLAN DACHOWY </x:t>
        </x:is>
      </x:c>
      <x:c r="B76" s="85" t="inlineStr">
        <x:is>
          <x:t xml:space="preserve">Cena brutto </x:t>
        </x:is>
      </x:c>
      <x:c r="C76" s="86" t="inlineStr">
        <x:is>
          <x:t xml:space="preserve">netto </x:t>
        </x:is>
      </x:c>
      <x:c r="D76" s="87" t="n"/>
      <x:c r="E76" s="88" t="n"/>
      <x:c r="F76" s="87" t="n"/>
      <x:c r="G76" s="89" t="n"/>
      <x:c r="H76" s="90" t="n"/>
      <x:c r="I76" s="88" t="n"/>
      <x:c r="J76" s="87" t="n"/>
      <x:c r="K76" s="88" t="n"/>
      <x:c r="L76" s="87" t="n"/>
      <x:c r="M76" s="88" t="n"/>
      <x:c r="N76" s="87" t="n"/>
      <x:c r="O76" s="88" t="n"/>
      <x:c r="P76" s="87" t="n"/>
      <x:c r="Q76" s="88" t="n"/>
      <x:c r="R76" s="87" t="n"/>
      <x:c r="S76" s="88" t="n"/>
      <x:c r="T76" s="91" t="n"/>
      <x:c r="U76" s="92" t="n"/>
      <x:c r="V76" s="91" t="n"/>
      <x:c r="W76" s="92" t="n"/>
    </x:row>
    <x:row r="77" s="655" customFormat="1" ht="15.75" customHeight="1">
      <x:c r="A77" s="93" t="inlineStr">
        <x:is>
          <x:t xml:space="preserve">Poliwęglan 98 x 290 cm</x:t>
        </x:is>
      </x:c>
      <x:c r="B77" s="94" t="n">
        <x:v>170</x:v>
      </x:c>
      <x:c r="C77" s="95" t="n">
        <x:f>B77/1.23</x:f>
        <x:v>138.21138211382114</x:v>
      </x:c>
      <x:c r="D77" s="96" t="n"/>
      <x:c r="E77" s="97" t="n"/>
      <x:c r="F77" s="96" t="n"/>
      <x:c r="G77" s="98" t="n"/>
      <x:c r="H77" s="99" t="n"/>
      <x:c r="I77" s="100" t="n"/>
      <x:c r="J77" s="96" t="n"/>
      <x:c r="K77" s="100" t="n"/>
      <x:c r="L77" s="96" t="n"/>
      <x:c r="M77" s="100" t="n"/>
      <x:c r="N77" s="96" t="n"/>
      <x:c r="O77" s="100" t="n"/>
      <x:c r="P77" s="96" t="n"/>
      <x:c r="Q77" s="100" t="n"/>
      <x:c r="R77" s="96" t="n"/>
      <x:c r="S77" s="100" t="n"/>
      <x:c r="T77" s="96" t="n"/>
      <x:c r="U77" s="100" t="n"/>
      <x:c r="V77" s="96" t="n"/>
      <x:c r="W77" s="100" t="n"/>
    </x:row>
    <x:row r="78" s="655" customFormat="1" ht="15.75" customHeight="1">
      <x:c r="A78" s="101" t="inlineStr">
        <x:is>
          <x:t xml:space="preserve">Poliwęglan 98 x 340 cm</x:t>
        </x:is>
      </x:c>
      <x:c r="B78" s="102" t="n">
        <x:v>190</x:v>
      </x:c>
      <x:c r="C78" s="95" t="n">
        <x:f>B78/1.23</x:f>
        <x:v>154.47154471544715</x:v>
      </x:c>
      <x:c r="D78" s="96" t="n"/>
      <x:c r="E78" s="97" t="n"/>
      <x:c r="F78" s="96" t="n"/>
      <x:c r="G78" s="98" t="n"/>
      <x:c r="H78" s="99" t="n"/>
      <x:c r="I78" s="100" t="n"/>
      <x:c r="J78" s="96" t="n"/>
      <x:c r="K78" s="100" t="n"/>
      <x:c r="L78" s="96" t="n"/>
      <x:c r="M78" s="100" t="n"/>
      <x:c r="N78" s="96" t="n"/>
      <x:c r="O78" s="100" t="n"/>
      <x:c r="P78" s="96" t="n"/>
      <x:c r="Q78" s="100" t="n"/>
      <x:c r="R78" s="96" t="n"/>
      <x:c r="S78" s="100" t="n"/>
      <x:c r="T78" s="96" t="n"/>
      <x:c r="U78" s="100" t="n"/>
      <x:c r="V78" s="96" t="n"/>
      <x:c r="W78" s="100" t="n"/>
    </x:row>
    <x:row r="79" s="655" customFormat="1" ht="15.75" customHeight="1">
      <x:c r="A79" s="101" t="inlineStr">
        <x:is>
          <x:t xml:space="preserve">Poliwęglan 98 x 390 cm</x:t>
        </x:is>
      </x:c>
      <x:c r="B79" s="102" t="n">
        <x:v>220</x:v>
      </x:c>
      <x:c r="C79" s="95" t="n">
        <x:f>B79/1.23</x:f>
        <x:v>178.8617886178862</x:v>
      </x:c>
      <x:c r="D79" s="96" t="n"/>
      <x:c r="E79" s="97" t="n"/>
      <x:c r="F79" s="96" t="n"/>
      <x:c r="G79" s="98" t="n"/>
      <x:c r="H79" s="99" t="n"/>
      <x:c r="I79" s="100" t="n"/>
      <x:c r="J79" s="96" t="n"/>
      <x:c r="K79" s="100" t="n"/>
      <x:c r="L79" s="96" t="n"/>
      <x:c r="M79" s="100" t="n"/>
      <x:c r="N79" s="96" t="n"/>
      <x:c r="O79" s="100" t="n"/>
      <x:c r="P79" s="96" t="n"/>
      <x:c r="Q79" s="100" t="n"/>
      <x:c r="R79" s="96" t="n"/>
      <x:c r="S79" s="100" t="n"/>
      <x:c r="T79" s="96" t="n"/>
      <x:c r="U79" s="100" t="n"/>
      <x:c r="V79" s="96" t="n"/>
      <x:c r="W79" s="100" t="n"/>
    </x:row>
    <x:row r="80" s="655" customFormat="1" ht="15.75" customHeight="1">
      <x:c r="A80" s="101" t="inlineStr">
        <x:is>
          <x:t xml:space="preserve">Poliwęglan 98 x 440 cm</x:t>
        </x:is>
      </x:c>
      <x:c r="B80" s="102" t="n">
        <x:v>240</x:v>
      </x:c>
      <x:c r="C80" s="95" t="n">
        <x:f>B80/1.23</x:f>
        <x:v>195.1219512195122</x:v>
      </x:c>
      <x:c r="D80" s="96" t="n"/>
      <x:c r="E80" s="97" t="n"/>
      <x:c r="F80" s="96" t="n"/>
      <x:c r="G80" s="98" t="n"/>
      <x:c r="H80" s="99" t="n"/>
      <x:c r="I80" s="100" t="n"/>
      <x:c r="J80" s="96" t="n"/>
      <x:c r="K80" s="100" t="n"/>
      <x:c r="L80" s="96" t="n"/>
      <x:c r="M80" s="100" t="n"/>
      <x:c r="N80" s="96" t="n"/>
      <x:c r="O80" s="100" t="n"/>
      <x:c r="P80" s="96" t="n"/>
      <x:c r="Q80" s="100" t="n"/>
      <x:c r="R80" s="96" t="n"/>
      <x:c r="S80" s="100" t="n"/>
      <x:c r="T80" s="96" t="n"/>
      <x:c r="U80" s="100" t="n"/>
      <x:c r="V80" s="96" t="n"/>
      <x:c r="W80" s="100" t="n"/>
    </x:row>
    <x:row r="81" s="655" customFormat="1" ht="15.75" customHeight="1">
      <x:c r="A81" s="101" t="inlineStr">
        <x:is>
          <x:t xml:space="preserve">Poliwęglan 98 x 490 cm</x:t>
        </x:is>
      </x:c>
      <x:c r="B81" s="102" t="n">
        <x:v>260</x:v>
      </x:c>
      <x:c r="C81" s="95" t="n">
        <x:f>B81/1.23</x:f>
        <x:v>211.3821138211382</x:v>
      </x:c>
      <x:c r="D81" s="96" t="n"/>
      <x:c r="E81" s="97" t="n"/>
      <x:c r="F81" s="96" t="n"/>
      <x:c r="G81" s="98" t="n"/>
      <x:c r="H81" s="99" t="n"/>
      <x:c r="I81" s="100" t="n"/>
      <x:c r="J81" s="96" t="n"/>
      <x:c r="K81" s="100" t="n"/>
      <x:c r="L81" s="96" t="n"/>
      <x:c r="M81" s="100" t="n"/>
      <x:c r="N81" s="96" t="n"/>
      <x:c r="O81" s="100" t="n"/>
      <x:c r="P81" s="96" t="n"/>
      <x:c r="Q81" s="100" t="n"/>
      <x:c r="R81" s="96" t="n"/>
      <x:c r="S81" s="100" t="n"/>
      <x:c r="T81" s="96" t="n"/>
      <x:c r="U81" s="100" t="n"/>
      <x:c r="V81" s="96" t="n"/>
      <x:c r="W81" s="100" t="n"/>
    </x:row>
    <x:row r="82" s="655" customFormat="1" ht="15.75" customHeight="1">
      <x:c r="A82" s="103" t="inlineStr">
        <x:is>
          <x:t xml:space="preserve">Poliwęglan 98 x 540 cm    </x:t>
        </x:is>
      </x:c>
      <x:c r="B82" s="102" t="n">
        <x:v>280</x:v>
      </x:c>
      <x:c r="C82" s="95" t="n">
        <x:f>B82/1.23</x:f>
        <x:v>227.64227642276424</x:v>
      </x:c>
      <x:c r="D82" s="77" t="n"/>
      <x:c r="E82" s="78" t="n"/>
      <x:c r="F82" s="77" t="n"/>
      <x:c r="G82" s="79" t="n"/>
      <x:c r="H82" s="80" t="n"/>
      <x:c r="I82" s="78" t="n"/>
      <x:c r="J82" s="77" t="n"/>
      <x:c r="K82" s="78" t="n"/>
      <x:c r="L82" s="77" t="n"/>
      <x:c r="M82" s="78" t="n"/>
      <x:c r="N82" s="77" t="n"/>
      <x:c r="O82" s="78" t="n"/>
      <x:c r="P82" s="77" t="n"/>
      <x:c r="Q82" s="78" t="n"/>
      <x:c r="R82" s="77" t="n"/>
      <x:c r="S82" s="78" t="n"/>
      <x:c r="T82" s="77" t="n"/>
      <x:c r="U82" s="78" t="n"/>
      <x:c r="V82" s="77" t="n"/>
      <x:c r="W82" s="78" t="n"/>
    </x:row>
    <x:row r="83" s="655" customFormat="1" ht="15.75" customHeight="1">
      <x:c r="A83" s="103" t="inlineStr">
        <x:is>
          <x:t xml:space="preserve">Poliwęglan 98 x 590 cm    </x:t>
        </x:is>
      </x:c>
      <x:c r="B83" s="102" t="n">
        <x:v>300</x:v>
      </x:c>
      <x:c r="C83" s="95" t="n">
        <x:f>B83/1.23</x:f>
        <x:v>243.90243902439025</x:v>
      </x:c>
      <x:c r="D83" s="77" t="n"/>
      <x:c r="E83" s="78" t="n"/>
      <x:c r="F83" s="77" t="n"/>
      <x:c r="G83" s="79" t="n"/>
      <x:c r="H83" s="80" t="n"/>
      <x:c r="I83" s="78" t="n"/>
      <x:c r="J83" s="77" t="n"/>
      <x:c r="K83" s="78" t="n"/>
      <x:c r="L83" s="77" t="n"/>
      <x:c r="M83" s="78" t="n"/>
      <x:c r="N83" s="77" t="n"/>
      <x:c r="O83" s="78" t="n"/>
      <x:c r="P83" s="77" t="n"/>
      <x:c r="Q83" s="78" t="n"/>
      <x:c r="R83" s="77" t="n"/>
      <x:c r="S83" s="78" t="n"/>
      <x:c r="T83" s="77" t="n"/>
      <x:c r="U83" s="78" t="n"/>
      <x:c r="V83" s="77" t="n"/>
      <x:c r="W83" s="78" t="n"/>
    </x:row>
  </x:sheetData>
  <x:mergeCells>
    <x:mergeCell ref="N1:O1"/>
    <x:mergeCell ref="D1:E1"/>
    <x:mergeCell ref="B3:S3"/>
    <x:mergeCell ref="V1:W1"/>
    <x:mergeCell ref="T1:U1"/>
    <x:mergeCell ref="H1:I1"/>
    <x:mergeCell ref="L1:M1"/>
    <x:mergeCell ref="J1:K1"/>
    <x:mergeCell ref="P1:Q1"/>
    <x:mergeCell ref="B34:U34"/>
    <x:mergeCell ref="B1:C1"/>
    <x:mergeCell ref="F1:G1"/>
    <x:mergeCell ref="R1:S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BFBFBF"/>
  </x:sheetPr>
  <x:sheetViews>
    <x:sheetView showGridLines="0" workbookViewId="0"/>
  </x:sheetViews>
  <x:sheetFormatPr baseColWidth="8" defaultRowHeight="14.75"/>
  <x:cols>
    <x:col min="1" max="1" width="23.54296875" style="655" customWidth="1"/>
    <x:col min="2" max="2" width="11.7265625" style="655" customWidth="1"/>
    <x:col min="3" max="28" width="13" style="655" customWidth="1"/>
  </x:cols>
  <x:sheetData>
    <x:row r="1" s="655" customFormat="1" ht="43.5" customHeight="1">
      <x:c r="A1" s="15" t="inlineStr">
        <x:is>
          <x:t xml:space="preserve">WYMIARY 
Szerokość (od ściany do słupa)
x Długość (wzdłuż ściany)</x:t>
        </x:is>
      </x:c>
      <x:c r="B1" s="628" t="inlineStr">
        <x:is>
          <x:t xml:space="preserve"> Zadaszenie ze szkłem PVB 
 9,14 mm laminowanym 
 bezbarwnym</x:t>
        </x:is>
      </x:c>
      <x:c r="C1" s="617" t="n"/>
      <x:c r="D1" s="616" t="inlineStr">
        <x:is>
          <x:t xml:space="preserve"> Dopłata za szkło dachowe
 przyciemniane / mleczne</x:t>
        </x:is>
      </x:c>
      <x:c r="E1" s="617" t="n"/>
      <x:c r="F1" s="629" t="inlineStr">
        <x:is>
          <x:t xml:space="preserve"> Markiza dachowa zewnętrzna</x:t>
        </x:is>
      </x:c>
      <x:c r="G1" s="617" t="n"/>
      <x:c r="H1" s="630" t="inlineStr">
        <x:is>
          <x:t xml:space="preserve"> Roleta ścienna ZIP lewa</x:t>
        </x:is>
      </x:c>
      <x:c r="I1" s="617" t="n"/>
      <x:c r="J1" s="629" t="inlineStr">
        <x:is>
          <x:t xml:space="preserve"> Roleta ścienna ZIP prawa</x:t>
        </x:is>
      </x:c>
      <x:c r="K1" s="617" t="n"/>
      <x:c r="L1" s="630" t="inlineStr">
        <x:is>
          <x:t xml:space="preserve"> Roleta ścienna ZIP przednia</x:t>
        </x:is>
      </x:c>
      <x:c r="M1" s="617" t="n"/>
      <x:c r="N1" s="629" t="inlineStr">
        <x:is>
          <x:t xml:space="preserve"> Oświetlenie LED 2 punkty
 na krokwie wewnętrzne 
 - komplet</x:t>
        </x:is>
      </x:c>
      <x:c r="O1" s="617" t="n"/>
      <x:c r="P1" s="630" t="inlineStr">
        <x:is>
          <x:t xml:space="preserve"> Oświetlenie LED 3 punkty
 na krokwie wewnętrzne 
 - komplet</x:t>
        </x:is>
      </x:c>
      <x:c r="Q1" s="617" t="n"/>
      <x:c r="R1" s="622" t="inlineStr">
        <x:is>
          <x:t xml:space="preserve">Oświetlenie LED CCT
 - komplet</x:t>
        </x:is>
      </x:c>
      <x:c r="S1" s="617" t="n"/>
      <x:c r="T1" s="620" t="inlineStr">
        <x:is>
          <x:t xml:space="preserve">Oświetlenie LED RGB CCT
 - komplet</x:t>
        </x:is>
      </x:c>
      <x:c r="U1" s="621" t="n"/>
      <x:c r="V1" s="104" t="n"/>
      <x:c r="W1" s="104" t="n"/>
      <x:c r="X1" s="104" t="n"/>
      <x:c r="Y1" s="104" t="n"/>
      <x:c r="Z1" s="104" t="n"/>
      <x:c r="AA1" s="104" t="n"/>
      <x:c r="AB1" s="104" t="n"/>
    </x:row>
    <x:row r="2" s="655" customFormat="1" ht="39.75" customHeight="1">
      <x:c r="A2" s="16" t="inlineStr">
        <x:is>
          <x:t xml:space="preserve">Zadaszenie   
- dach ze szkła   </x:t>
        </x:is>
      </x:c>
      <x:c r="B2" s="19" t="inlineStr">
        <x:is>
          <x:t xml:space="preserve">Cena brutto </x:t>
        </x:is>
      </x:c>
      <x:c r="C2" s="18" t="inlineStr">
        <x:is>
          <x:t xml:space="preserve">netto </x:t>
        </x:is>
      </x:c>
      <x:c r="D2" s="19" t="inlineStr">
        <x:is>
          <x:t xml:space="preserve">Cena brutto </x:t>
        </x:is>
      </x:c>
      <x:c r="E2" s="18" t="inlineStr">
        <x:is>
          <x:t xml:space="preserve">netto </x:t>
        </x:is>
      </x:c>
      <x:c r="F2" s="19" t="inlineStr">
        <x:is>
          <x:t xml:space="preserve">Cena brutto </x:t>
        </x:is>
      </x:c>
      <x:c r="G2" s="18" t="inlineStr">
        <x:is>
          <x:t xml:space="preserve">netto </x:t>
        </x:is>
      </x:c>
      <x:c r="H2" s="19" t="inlineStr">
        <x:is>
          <x:t xml:space="preserve">Cena brutto </x:t>
        </x:is>
      </x:c>
      <x:c r="I2" s="18" t="inlineStr">
        <x:is>
          <x:t xml:space="preserve">netto </x:t>
        </x:is>
      </x:c>
      <x:c r="J2" s="19" t="inlineStr">
        <x:is>
          <x:t xml:space="preserve">Cena brutto </x:t>
        </x:is>
      </x:c>
      <x:c r="K2" s="18" t="inlineStr">
        <x:is>
          <x:t xml:space="preserve">netto </x:t>
        </x:is>
      </x:c>
      <x:c r="L2" s="19" t="inlineStr">
        <x:is>
          <x:t xml:space="preserve">Cena brutto </x:t>
        </x:is>
      </x:c>
      <x:c r="M2" s="18" t="inlineStr">
        <x:is>
          <x:t xml:space="preserve">netto </x:t>
        </x:is>
      </x:c>
      <x:c r="N2" s="19" t="inlineStr">
        <x:is>
          <x:t xml:space="preserve">Cena brutto </x:t>
        </x:is>
      </x:c>
      <x:c r="O2" s="18" t="inlineStr">
        <x:is>
          <x:t xml:space="preserve">netto </x:t>
        </x:is>
      </x:c>
      <x:c r="P2" s="19" t="inlineStr">
        <x:is>
          <x:t xml:space="preserve">Cena brutto </x:t>
        </x:is>
      </x:c>
      <x:c r="Q2" s="18" t="inlineStr">
        <x:is>
          <x:t xml:space="preserve">netto </x:t>
        </x:is>
      </x:c>
      <x:c r="R2" s="19" t="inlineStr">
        <x:is>
          <x:t xml:space="preserve">Cena brutto </x:t>
        </x:is>
      </x:c>
      <x:c r="S2" s="18" t="inlineStr">
        <x:is>
          <x:t xml:space="preserve">netto </x:t>
        </x:is>
      </x:c>
      <x:c r="T2" s="19" t="inlineStr">
        <x:is>
          <x:t xml:space="preserve">Cena brutto </x:t>
        </x:is>
      </x:c>
      <x:c r="U2" s="18" t="inlineStr">
        <x:is>
          <x:t xml:space="preserve">netto </x:t>
        </x:is>
      </x:c>
      <x:c r="V2" s="105" t="n"/>
      <x:c r="W2" s="105" t="n"/>
      <x:c r="X2" s="105" t="n"/>
      <x:c r="Y2" s="105" t="n"/>
      <x:c r="Z2" s="105" t="n"/>
      <x:c r="AA2" s="105" t="n"/>
      <x:c r="AB2" s="105" t="inlineStr">
        <x:is>
          <x:t xml:space="preserve"> </x:t>
        </x:is>
      </x:c>
    </x:row>
    <x:row r="3" s="655" customFormat="1" ht="21.75" customHeight="1">
      <x:c r="A3" s="21" t="inlineStr">
        <x:is>
          <x:t xml:space="preserve">SERIA PRO  300-400 cm</x:t>
        </x:is>
      </x:c>
      <x:c r="B3" s="631" t="inlineStr">
        <x:is>
          <x:t xml:space="preserve">  ZADASZENIE SZKŁO</x:t>
        </x:is>
      </x:c>
      <x:c r="C3" s="619" t="n"/>
      <x:c r="D3" s="619" t="n"/>
      <x:c r="E3" s="619" t="n"/>
      <x:c r="F3" s="619" t="n"/>
      <x:c r="G3" s="619" t="n"/>
      <x:c r="H3" s="619" t="n"/>
      <x:c r="I3" s="619" t="n"/>
      <x:c r="J3" s="619" t="n"/>
      <x:c r="K3" s="619" t="n"/>
      <x:c r="L3" s="619" t="n"/>
      <x:c r="M3" s="619" t="n"/>
      <x:c r="N3" s="619" t="n"/>
      <x:c r="O3" s="619" t="n"/>
      <x:c r="P3" s="619" t="n"/>
      <x:c r="Q3" s="619" t="n"/>
      <x:c r="R3" s="619" t="n"/>
      <x:c r="S3" s="619" t="n"/>
      <x:c r="T3" s="619" t="n"/>
      <x:c r="U3" s="619" t="n"/>
      <x:c r="V3" s="619" t="n"/>
      <x:c r="W3" s="619" t="n"/>
      <x:c r="X3" s="619" t="n"/>
      <x:c r="Y3" s="619" t="n"/>
      <x:c r="Z3" s="619" t="n"/>
      <x:c r="AA3" s="619" t="n"/>
      <x:c r="AB3" s="632" t="n"/>
    </x:row>
    <x:row r="4" s="655" customFormat="1" ht="15.75" customHeight="1">
      <x:c r="A4" s="25" t="inlineStr">
        <x:is>
          <x:t xml:space="preserve">300 x 306   cm</x:t>
        </x:is>
      </x:c>
      <x:c r="B4" s="28" t="n">
        <x:v>5779.956226358112</x:v>
      </x:c>
      <x:c r="C4" s="27" t="n">
        <x:f>B4/1.23</x:f>
        <x:v>4699.15140354318</x:v>
      </x:c>
      <x:c r="D4" s="28" t="n">
        <x:v>340</x:v>
      </x:c>
      <x:c r="E4" s="27" t="n">
        <x:f>D4/1.23</x:f>
        <x:v>276.4227642276423</x:v>
      </x:c>
      <x:c r="F4" s="28" t="n">
        <x:v>3900</x:v>
      </x:c>
      <x:c r="G4" s="27" t="n">
        <x:v>3170.731707317073</x:v>
      </x:c>
      <x:c r="H4" s="28" t="n">
        <x:v>2140</x:v>
      </x:c>
      <x:c r="I4" s="27" t="n">
        <x:f>H4/1.23</x:f>
        <x:v>1739.8373983739837</x:v>
      </x:c>
      <x:c r="J4" s="28" t="n">
        <x:v>2140</x:v>
      </x:c>
      <x:c r="K4" s="27" t="n">
        <x:f>J4/1.23</x:f>
        <x:v>1739.8373983739837</x:v>
      </x:c>
      <x:c r="L4" s="28" t="n">
        <x:v>2140</x:v>
      </x:c>
      <x:c r="M4" s="27" t="n">
        <x:f>L4/1.23</x:f>
        <x:v>1739.8373983739837</x:v>
      </x:c>
      <x:c r="N4" s="28" t="n">
        <x:v>420</x:v>
      </x:c>
      <x:c r="O4" s="27" t="n">
        <x:f>N4/1.23</x:f>
        <x:v>341.4634146341464</x:v>
      </x:c>
      <x:c r="P4" s="28" t="n">
        <x:v>640</x:v>
      </x:c>
      <x:c r="Q4" s="27" t="n">
        <x:f>P4/1.23</x:f>
        <x:v>520.3252032520326</x:v>
      </x:c>
      <x:c r="R4" s="28" t="n">
        <x:v>972</x:v>
      </x:c>
      <x:c r="S4" s="27" t="n">
        <x:f>R4/1.23</x:f>
        <x:v>790.2439024390244</x:v>
      </x:c>
      <x:c r="T4" s="28" t="n">
        <x:v>1205</x:v>
      </x:c>
      <x:c r="U4" s="27" t="n">
        <x:f>T4/1.23</x:f>
        <x:v>979.6747967479675</x:v>
      </x:c>
      <x:c r="V4" s="45" t="n"/>
      <x:c r="W4" s="45" t="n"/>
      <x:c r="X4" s="45" t="n"/>
      <x:c r="Y4" s="45" t="n"/>
      <x:c r="Z4" s="45" t="n"/>
      <x:c r="AA4" s="45" t="n"/>
      <x:c r="AB4" s="45" t="n"/>
    </x:row>
    <x:row r="5" s="655" customFormat="1" ht="15.75" customHeight="1">
      <x:c r="A5" s="25" t="inlineStr">
        <x:is>
          <x:t xml:space="preserve">300 x 406   cm</x:t>
        </x:is>
      </x:c>
      <x:c r="B5" s="28" t="n">
        <x:v>7520</x:v>
      </x:c>
      <x:c r="C5" s="27" t="n">
        <x:f>B5/1.23</x:f>
        <x:v>6113.821138211382</x:v>
      </x:c>
      <x:c r="D5" s="28" t="n">
        <x:v>450</x:v>
      </x:c>
      <x:c r="E5" s="27" t="n">
        <x:f>D5/1.23</x:f>
        <x:v>365.8536585365854</x:v>
      </x:c>
      <x:c r="F5" s="28" t="n">
        <x:v>4300</x:v>
      </x:c>
      <x:c r="G5" s="27" t="n">
        <x:v>3495.934959349594</x:v>
      </x:c>
      <x:c r="H5" s="28" t="n">
        <x:v>2140</x:v>
      </x:c>
      <x:c r="I5" s="27" t="n">
        <x:f>H5/1.23</x:f>
        <x:v>1739.8373983739837</x:v>
      </x:c>
      <x:c r="J5" s="28" t="n">
        <x:v>2140</x:v>
      </x:c>
      <x:c r="K5" s="27" t="n">
        <x:f>J5/1.23</x:f>
        <x:v>1739.8373983739837</x:v>
      </x:c>
      <x:c r="L5" s="28" t="n">
        <x:v>2640</x:v>
      </x:c>
      <x:c r="M5" s="27" t="n">
        <x:f>L5/1.23</x:f>
        <x:v>2146.3414634146343</x:v>
      </x:c>
      <x:c r="N5" s="28" t="n">
        <x:v>510</x:v>
      </x:c>
      <x:c r="O5" s="27" t="n">
        <x:f>N5/1.23</x:f>
        <x:v>414.6341463414634</x:v>
      </x:c>
      <x:c r="P5" s="28" t="n">
        <x:v>740</x:v>
      </x:c>
      <x:c r="Q5" s="27" t="n">
        <x:f>P5/1.23</x:f>
        <x:v>601.6260162601626</x:v>
      </x:c>
      <x:c r="R5" s="28" t="n">
        <x:v>1132</x:v>
      </x:c>
      <x:c r="S5" s="27" t="n">
        <x:f>R5/1.23</x:f>
        <x:v>920.3252032520326</x:v>
      </x:c>
      <x:c r="T5" s="28" t="n">
        <x:v>1476</x:v>
      </x:c>
      <x:c r="U5" s="27" t="n">
        <x:f>T5/1.23</x:f>
        <x:v>1200</x:v>
      </x:c>
      <x:c r="V5" s="46" t="n"/>
      <x:c r="W5" s="46" t="n"/>
      <x:c r="X5" s="46" t="n"/>
      <x:c r="Y5" s="46" t="n"/>
      <x:c r="Z5" s="46" t="n"/>
      <x:c r="AA5" s="46" t="n"/>
      <x:c r="AB5" s="46" t="n"/>
    </x:row>
    <x:row r="6" s="655" customFormat="1" ht="15.75" customHeight="1">
      <x:c r="A6" s="25" t="inlineStr">
        <x:is>
          <x:t xml:space="preserve">300 x 506   cm</x:t>
        </x:is>
      </x:c>
      <x:c r="B6" s="28" t="n">
        <x:v>9360</x:v>
      </x:c>
      <x:c r="C6" s="27" t="n">
        <x:f>B6/1.23</x:f>
        <x:v>7609.756097560976</x:v>
      </x:c>
      <x:c r="D6" s="28" t="n">
        <x:v>560</x:v>
      </x:c>
      <x:c r="E6" s="27" t="n">
        <x:f>D6/1.23</x:f>
        <x:v>455.2845528455285</x:v>
      </x:c>
      <x:c r="F6" s="28" t="n">
        <x:v>4980</x:v>
      </x:c>
      <x:c r="G6" s="27" t="n">
        <x:v>4048.780487804878</x:v>
      </x:c>
      <x:c r="H6" s="28" t="n">
        <x:v>2140</x:v>
      </x:c>
      <x:c r="I6" s="27" t="n">
        <x:f>H6/1.23</x:f>
        <x:v>1739.8373983739837</x:v>
      </x:c>
      <x:c r="J6" s="28" t="n">
        <x:v>2140</x:v>
      </x:c>
      <x:c r="K6" s="27" t="n">
        <x:f>J6/1.23</x:f>
        <x:v>1739.8373983739837</x:v>
      </x:c>
      <x:c r="L6" s="28" t="n">
        <x:v>3700</x:v>
      </x:c>
      <x:c r="M6" s="27" t="n">
        <x:f>L6/1.23</x:f>
        <x:v>3008.130081300813</x:v>
      </x:c>
      <x:c r="N6" s="28" t="n">
        <x:v>600</x:v>
      </x:c>
      <x:c r="O6" s="27" t="n">
        <x:f>N6/1.23</x:f>
        <x:v>487.8048780487805</x:v>
      </x:c>
      <x:c r="P6" s="28" t="n">
        <x:v>960</x:v>
      </x:c>
      <x:c r="Q6" s="27" t="n">
        <x:f>P6/1.23</x:f>
        <x:v>780.4878048780488</x:v>
      </x:c>
      <x:c r="R6" s="28" t="n">
        <x:v>1304</x:v>
      </x:c>
      <x:c r="S6" s="27" t="n">
        <x:f>R6/1.23</x:f>
        <x:v>1060.1626016260163</x:v>
      </x:c>
      <x:c r="T6" s="28" t="n">
        <x:v>1747</x:v>
      </x:c>
      <x:c r="U6" s="27" t="n">
        <x:f>T6/1.23</x:f>
        <x:v>1420.3252032520325</x:v>
      </x:c>
      <x:c r="V6" s="46" t="n"/>
      <x:c r="W6" s="46" t="n"/>
      <x:c r="X6" s="46" t="n"/>
      <x:c r="Y6" s="46" t="n"/>
      <x:c r="Z6" s="46" t="n"/>
      <x:c r="AA6" s="46" t="n"/>
      <x:c r="AB6" s="46" t="n"/>
    </x:row>
    <x:row r="7" s="655" customFormat="1" ht="15.75" customHeight="1">
      <x:c r="A7" s="25" t="inlineStr">
        <x:is>
          <x:t xml:space="preserve">300 x 606   cm</x:t>
        </x:is>
      </x:c>
      <x:c r="B7" s="28" t="n">
        <x:v>10910</x:v>
      </x:c>
      <x:c r="C7" s="27" t="n">
        <x:f>B7/1.23</x:f>
        <x:v>8869.918699186992</x:v>
      </x:c>
      <x:c r="D7" s="28" t="n">
        <x:v>670</x:v>
      </x:c>
      <x:c r="E7" s="27" t="n">
        <x:f>D7/1.23</x:f>
        <x:v>544.7154471544716</x:v>
      </x:c>
      <x:c r="F7" s="28" t="n">
        <x:v>7800</x:v>
      </x:c>
      <x:c r="G7" s="27" t="n">
        <x:v>6341.463414634147</x:v>
      </x:c>
      <x:c r="H7" s="28" t="n">
        <x:v>2140</x:v>
      </x:c>
      <x:c r="I7" s="27" t="n">
        <x:f>H7/1.23</x:f>
        <x:v>1739.8373983739837</x:v>
      </x:c>
      <x:c r="J7" s="28" t="n">
        <x:v>2140</x:v>
      </x:c>
      <x:c r="K7" s="27" t="n">
        <x:f>J7/1.23</x:f>
        <x:v>1739.8373983739837</x:v>
      </x:c>
      <x:c r="L7" s="28" t="n">
        <x:v>4270</x:v>
      </x:c>
      <x:c r="M7" s="27" t="n">
        <x:f>L7/1.23</x:f>
        <x:v>3471.5447154471544</x:v>
      </x:c>
      <x:c r="N7" s="28" t="n">
        <x:v>790</x:v>
      </x:c>
      <x:c r="O7" s="27" t="n">
        <x:f>N7/1.23</x:f>
        <x:v>642.2764227642276</x:v>
      </x:c>
      <x:c r="P7" s="28" t="n">
        <x:v>1090</x:v>
      </x:c>
      <x:c r="Q7" s="27" t="n">
        <x:f>P7/1.23</x:f>
        <x:v>886.178861788618</x:v>
      </x:c>
      <x:c r="R7" s="28" t="n">
        <x:v>1304</x:v>
      </x:c>
      <x:c r="S7" s="27" t="n">
        <x:f>R7/1.23</x:f>
        <x:v>1060.1626016260163</x:v>
      </x:c>
      <x:c r="T7" s="28" t="n">
        <x:v>2042</x:v>
      </x:c>
      <x:c r="U7" s="27" t="n">
        <x:f>T7/1.23</x:f>
        <x:v>1660.1626016260163</x:v>
      </x:c>
      <x:c r="V7" s="46" t="n"/>
      <x:c r="W7" s="46" t="n"/>
      <x:c r="X7" s="46" t="n"/>
      <x:c r="Y7" s="46" t="n"/>
      <x:c r="Z7" s="46" t="n"/>
      <x:c r="AA7" s="46" t="n"/>
      <x:c r="AB7" s="46" t="n"/>
    </x:row>
    <x:row r="8" s="655" customFormat="1" ht="15.75" customHeight="1">
      <x:c r="A8" s="25" t="inlineStr">
        <x:is>
          <x:t xml:space="preserve">300 x 706   cm</x:t>
        </x:is>
      </x:c>
      <x:c r="B8" s="28" t="n">
        <x:v>12670</x:v>
      </x:c>
      <x:c r="C8" s="27" t="n">
        <x:f>B8/1.23</x:f>
        <x:v>10300.81300813008</x:v>
      </x:c>
      <x:c r="D8" s="28" t="n">
        <x:v>780</x:v>
      </x:c>
      <x:c r="E8" s="27" t="n">
        <x:f>D8/1.23</x:f>
        <x:v>634.1463414634146</x:v>
      </x:c>
      <x:c r="F8" s="28" t="n">
        <x:v>8210</x:v>
      </x:c>
      <x:c r="G8" s="27" t="n">
        <x:v>6674.79674796748</x:v>
      </x:c>
      <x:c r="H8" s="28" t="n">
        <x:v>2140</x:v>
      </x:c>
      <x:c r="I8" s="27" t="n">
        <x:f>H8/1.23</x:f>
        <x:v>1739.8373983739837</x:v>
      </x:c>
      <x:c r="J8" s="28" t="n">
        <x:v>2140</x:v>
      </x:c>
      <x:c r="K8" s="27" t="n">
        <x:f>J8/1.23</x:f>
        <x:v>1739.8373983739837</x:v>
      </x:c>
      <x:c r="L8" s="28" t="n">
        <x:v>4780</x:v>
      </x:c>
      <x:c r="M8" s="27" t="n">
        <x:f>L8/1.23</x:f>
        <x:v>3886.1788617886177</x:v>
      </x:c>
      <x:c r="N8" s="28" t="n">
        <x:v>870</x:v>
      </x:c>
      <x:c r="O8" s="27" t="n">
        <x:f>N8/1.23</x:f>
        <x:v>707.3170731707318</x:v>
      </x:c>
      <x:c r="P8" s="28" t="n">
        <x:v>1210</x:v>
      </x:c>
      <x:c r="Q8" s="27" t="n">
        <x:f>P8/1.23</x:f>
        <x:v>983.739837398374</x:v>
      </x:c>
      <x:c r="R8" s="28" t="n">
        <x:v>1464</x:v>
      </x:c>
      <x:c r="S8" s="27" t="n">
        <x:f>R8/1.23</x:f>
        <x:v>1190.2439024390244</x:v>
      </x:c>
      <x:c r="T8" s="28" t="n">
        <x:v>2325</x:v>
      </x:c>
      <x:c r="U8" s="27" t="n">
        <x:f>T8/1.23</x:f>
        <x:v>1890.2439024390244</x:v>
      </x:c>
      <x:c r="V8" s="46" t="n"/>
      <x:c r="W8" s="46" t="n"/>
      <x:c r="X8" s="46" t="n"/>
      <x:c r="Y8" s="46" t="n"/>
      <x:c r="Z8" s="46" t="n"/>
      <x:c r="AA8" s="46" t="n"/>
      <x:c r="AB8" s="46" t="n"/>
    </x:row>
    <x:row r="9" s="655" customFormat="1" ht="15.75" customHeight="1">
      <x:c r="A9" s="25" t="inlineStr">
        <x:is>
          <x:t xml:space="preserve">300 x 806   cm</x:t>
        </x:is>
      </x:c>
      <x:c r="B9" s="28" t="n">
        <x:v>15230</x:v>
      </x:c>
      <x:c r="C9" s="27" t="n">
        <x:f>B9/1.23</x:f>
        <x:v>12382.113821138211</x:v>
      </x:c>
      <x:c r="D9" s="28" t="n">
        <x:v>900</x:v>
      </x:c>
      <x:c r="E9" s="27" t="n">
        <x:f>D9/1.23</x:f>
        <x:v>731.7073170731708</x:v>
      </x:c>
      <x:c r="F9" s="28" t="n">
        <x:v>8600</x:v>
      </x:c>
      <x:c r="G9" s="27" t="n">
        <x:v>6991.869918699187</x:v>
      </x:c>
      <x:c r="H9" s="28" t="n">
        <x:v>2140</x:v>
      </x:c>
      <x:c r="I9" s="27" t="n">
        <x:f>H9/1.23</x:f>
        <x:v>1739.8373983739837</x:v>
      </x:c>
      <x:c r="J9" s="28" t="n">
        <x:v>2140</x:v>
      </x:c>
      <x:c r="K9" s="27" t="n">
        <x:f>J9/1.23</x:f>
        <x:v>1739.8373983739837</x:v>
      </x:c>
      <x:c r="L9" s="28" t="n">
        <x:v>5280</x:v>
      </x:c>
      <x:c r="M9" s="27" t="n">
        <x:f>L9/1.23</x:f>
        <x:v>4292.682926829269</x:v>
      </x:c>
      <x:c r="N9" s="28" t="n">
        <x:v>960</x:v>
      </x:c>
      <x:c r="O9" s="27" t="n">
        <x:f>N9/1.23</x:f>
        <x:v>780.4878048780488</x:v>
      </x:c>
      <x:c r="P9" s="28" t="n">
        <x:v>1440</x:v>
      </x:c>
      <x:c r="Q9" s="27" t="n">
        <x:f>P9/1.23</x:f>
        <x:v>1170.7317073170732</x:v>
      </x:c>
      <x:c r="R9" s="28" t="n">
        <x:v>1648</x:v>
      </x:c>
      <x:c r="S9" s="27" t="n">
        <x:f>R9/1.23</x:f>
        <x:v>1339.8373983739837</x:v>
      </x:c>
      <x:c r="T9" s="28" t="n">
        <x:v>2620</x:v>
      </x:c>
      <x:c r="U9" s="27" t="n">
        <x:f>T9/1.23</x:f>
        <x:v>2130.081300813008</x:v>
      </x:c>
      <x:c r="V9" s="46" t="n"/>
      <x:c r="W9" s="46" t="n"/>
      <x:c r="X9" s="46" t="n"/>
      <x:c r="Y9" s="46" t="n"/>
      <x:c r="Z9" s="46" t="n"/>
      <x:c r="AA9" s="46" t="n"/>
      <x:c r="AB9" s="46" t="n"/>
    </x:row>
    <x:row r="10" s="655" customFormat="1" ht="15.75" customHeight="1">
      <x:c r="A10" s="25" t="inlineStr">
        <x:is>
          <x:t xml:space="preserve">300 x 906   cm</x:t>
        </x:is>
      </x:c>
      <x:c r="B10" s="28" t="n">
        <x:v>17080</x:v>
      </x:c>
      <x:c r="C10" s="27" t="n">
        <x:f>B10/1.23</x:f>
        <x:v>13886.178861788618</x:v>
      </x:c>
      <x:c r="D10" s="28" t="n">
        <x:v>1000</x:v>
      </x:c>
      <x:c r="E10" s="27" t="n">
        <x:f>D10/1.23</x:f>
        <x:v>813.0081300813008</x:v>
      </x:c>
      <x:c r="F10" s="28" t="n">
        <x:v>9280</x:v>
      </x:c>
      <x:c r="G10" s="27" t="n">
        <x:v>7544.715447154472</x:v>
      </x:c>
      <x:c r="H10" s="28" t="n">
        <x:v>2140</x:v>
      </x:c>
      <x:c r="I10" s="27" t="n">
        <x:f>H10/1.23</x:f>
        <x:v>1739.8373983739837</x:v>
      </x:c>
      <x:c r="J10" s="28" t="n">
        <x:v>2140</x:v>
      </x:c>
      <x:c r="K10" s="27" t="n">
        <x:f>J10/1.23</x:f>
        <x:v>1739.8373983739837</x:v>
      </x:c>
      <x:c r="L10" s="28" t="n">
        <x:v>6400</x:v>
      </x:c>
      <x:c r="M10" s="27" t="n">
        <x:f>L10/1.23</x:f>
        <x:v>5203.252032520325</x:v>
      </x:c>
      <x:c r="N10" s="28" t="n">
        <x:v>1040</x:v>
      </x:c>
      <x:c r="O10" s="27" t="n">
        <x:f>N10/1.23</x:f>
        <x:v>845.5284552845528</x:v>
      </x:c>
      <x:c r="P10" s="28" t="n">
        <x:v>1560</x:v>
      </x:c>
      <x:c r="Q10" s="27" t="n">
        <x:f>P10/1.23</x:f>
        <x:v>1268.2926829268292</x:v>
      </x:c>
      <x:c r="R10" s="28" t="n">
        <x:v>1833</x:v>
      </x:c>
      <x:c r="S10" s="27" t="n">
        <x:f>R10/1.23</x:f>
        <x:v>1490.2439024390244</x:v>
      </x:c>
      <x:c r="T10" s="28" t="n">
        <x:v>2915</x:v>
      </x:c>
      <x:c r="U10" s="27" t="n">
        <x:f>T10/1.23</x:f>
        <x:v>2369.918699186992</x:v>
      </x:c>
      <x:c r="V10" s="46" t="n"/>
      <x:c r="W10" s="46" t="n"/>
      <x:c r="X10" s="46" t="n"/>
      <x:c r="Y10" s="46" t="n"/>
      <x:c r="Z10" s="46" t="n"/>
      <x:c r="AA10" s="46" t="n"/>
      <x:c r="AB10" s="46" t="n"/>
    </x:row>
    <x:row r="11" s="655" customFormat="1" ht="15.75" customHeight="1">
      <x:c r="A11" s="25" t="inlineStr">
        <x:is>
          <x:t xml:space="preserve">300 x 1006 cm</x:t>
        </x:is>
      </x:c>
      <x:c r="B11" s="28" t="n">
        <x:v>18930</x:v>
      </x:c>
      <x:c r="C11" s="27" t="n">
        <x:f>B11/1.23</x:f>
        <x:v>15390.243902439024</x:v>
      </x:c>
      <x:c r="D11" s="28" t="n">
        <x:v>1110</x:v>
      </x:c>
      <x:c r="E11" s="27" t="n">
        <x:f>D11/1.23</x:f>
        <x:v>902.439024390244</x:v>
      </x:c>
      <x:c r="F11" s="28" t="n">
        <x:v>9950</x:v>
      </x:c>
      <x:c r="G11" s="27" t="n">
        <x:v>8089.430894308944</x:v>
      </x:c>
      <x:c r="H11" s="28" t="n">
        <x:v>2140</x:v>
      </x:c>
      <x:c r="I11" s="27" t="n">
        <x:f>H11/1.23</x:f>
        <x:v>1739.8373983739837</x:v>
      </x:c>
      <x:c r="J11" s="28" t="n">
        <x:v>2140</x:v>
      </x:c>
      <x:c r="K11" s="27" t="n">
        <x:f>J11/1.23</x:f>
        <x:v>1739.8373983739837</x:v>
      </x:c>
      <x:c r="L11" s="28" t="n">
        <x:v>6910</x:v>
      </x:c>
      <x:c r="M11" s="27" t="n">
        <x:f>L11/1.23</x:f>
        <x:v>5617.886178861789</x:v>
      </x:c>
      <x:c r="N11" s="28" t="n">
        <x:v>1230</x:v>
      </x:c>
      <x:c r="O11" s="27" t="n">
        <x:f>N11/1.23</x:f>
        <x:v>1000</x:v>
      </x:c>
      <x:c r="P11" s="28" t="n">
        <x:v>1650</x:v>
      </x:c>
      <x:c r="Q11" s="27" t="n">
        <x:f>P11/1.23</x:f>
        <x:v>1341.4634146341464</x:v>
      </x:c>
      <x:c r="R11" s="28" t="n">
        <x:v>2189</x:v>
      </x:c>
      <x:c r="S11" s="27" t="n">
        <x:f>R11/1.23</x:f>
        <x:v>1779.6747967479675</x:v>
      </x:c>
      <x:c r="T11" s="28" t="n">
        <x:v>3198</x:v>
      </x:c>
      <x:c r="U11" s="27" t="n">
        <x:f>T11/1.23</x:f>
        <x:v>2600</x:v>
      </x:c>
      <x:c r="V11" s="46" t="n"/>
      <x:c r="W11" s="46" t="n"/>
      <x:c r="X11" s="46" t="n"/>
      <x:c r="Y11" s="46" t="n"/>
      <x:c r="Z11" s="46" t="n"/>
      <x:c r="AA11" s="46" t="n"/>
      <x:c r="AB11" s="46" t="n"/>
    </x:row>
    <x:row r="12" s="655" customFormat="1" ht="15.75" customHeight="1">
      <x:c r="A12" s="25" t="inlineStr">
        <x:is>
          <x:t xml:space="preserve">300 x 1106 cm</x:t>
        </x:is>
      </x:c>
      <x:c r="B12" s="28" t="n">
        <x:v>20460</x:v>
      </x:c>
      <x:c r="C12" s="27" t="n">
        <x:f>B12/1.23</x:f>
        <x:v>16634.146341463416</x:v>
      </x:c>
      <x:c r="D12" s="28" t="n">
        <x:v>1220</x:v>
      </x:c>
      <x:c r="E12" s="27" t="n">
        <x:f>D12/1.23</x:f>
        <x:v>991.869918699187</x:v>
      </x:c>
      <x:c r="F12" s="28" t="n">
        <x:v>12500</x:v>
      </x:c>
      <x:c r="G12" s="27" t="n">
        <x:v>10162.60162601626</x:v>
      </x:c>
      <x:c r="H12" s="28" t="n">
        <x:v>2140</x:v>
      </x:c>
      <x:c r="I12" s="27" t="n">
        <x:f>H12/1.23</x:f>
        <x:v>1739.8373983739837</x:v>
      </x:c>
      <x:c r="J12" s="28" t="n">
        <x:v>2140</x:v>
      </x:c>
      <x:c r="K12" s="27" t="n">
        <x:f>J12/1.23</x:f>
        <x:v>1739.8373983739837</x:v>
      </x:c>
      <x:c r="L12" s="28" t="n">
        <x:v>7420</x:v>
      </x:c>
      <x:c r="M12" s="27" t="n">
        <x:f>L12/1.23</x:f>
        <x:v>6032.5203252032525</x:v>
      </x:c>
      <x:c r="N12" s="28" t="n">
        <x:v>1430</x:v>
      </x:c>
      <x:c r="O12" s="27" t="n">
        <x:f>N12/1.23</x:f>
        <x:v>1162.60162601626</x:v>
      </x:c>
      <x:c r="P12" s="28" t="n">
        <x:v>1770</x:v>
      </x:c>
      <x:c r="Q12" s="27" t="n">
        <x:f>P12/1.23</x:f>
        <x:v>1439.0243902439024</x:v>
      </x:c>
      <x:c r="R12" s="28" t="n">
        <x:v>2374</x:v>
      </x:c>
      <x:c r="S12" s="27" t="n">
        <x:f>R12/1.23</x:f>
        <x:v>1930.081300813008</x:v>
      </x:c>
      <x:c r="T12" s="28" t="n">
        <x:v>3493</x:v>
      </x:c>
      <x:c r="U12" s="27" t="n">
        <x:f>T12/1.23</x:f>
        <x:v>2839.837398373984</x:v>
      </x:c>
      <x:c r="V12" s="46" t="n"/>
      <x:c r="W12" s="46" t="n"/>
      <x:c r="X12" s="46" t="n"/>
      <x:c r="Y12" s="46" t="n"/>
      <x:c r="Z12" s="46" t="n"/>
      <x:c r="AA12" s="46" t="n"/>
      <x:c r="AB12" s="46" t="n"/>
    </x:row>
    <x:row r="13" s="655" customFormat="1" ht="15.75" customHeight="1">
      <x:c r="A13" s="25" t="inlineStr">
        <x:is>
          <x:t xml:space="preserve">300 x 1206 cm</x:t>
        </x:is>
      </x:c>
      <x:c r="B13" s="28" t="n">
        <x:v>22010</x:v>
      </x:c>
      <x:c r="C13" s="27" t="n">
        <x:f>B13/1.23</x:f>
        <x:v>17894.308943089432</x:v>
      </x:c>
      <x:c r="D13" s="28" t="n">
        <x:v>1340</x:v>
      </x:c>
      <x:c r="E13" s="27" t="n">
        <x:f>D13/1.23</x:f>
        <x:v>1089.4308943089432</x:v>
      </x:c>
      <x:c r="F13" s="28" t="n">
        <x:v>12900</x:v>
      </x:c>
      <x:c r="G13" s="27" t="n">
        <x:v>10487.80487804878</x:v>
      </x:c>
      <x:c r="H13" s="28" t="n">
        <x:v>2140</x:v>
      </x:c>
      <x:c r="I13" s="27" t="n">
        <x:f>H13/1.23</x:f>
        <x:v>1739.8373983739837</x:v>
      </x:c>
      <x:c r="J13" s="28" t="n">
        <x:v>2140</x:v>
      </x:c>
      <x:c r="K13" s="27" t="n">
        <x:f>J13/1.23</x:f>
        <x:v>1739.8373983739837</x:v>
      </x:c>
      <x:c r="L13" s="28" t="n">
        <x:v>7920</x:v>
      </x:c>
      <x:c r="M13" s="27" t="n">
        <x:f>L13/1.23</x:f>
        <x:v>6439.024390243902</x:v>
      </x:c>
      <x:c r="N13" s="28" t="n">
        <x:v>1510</x:v>
      </x:c>
      <x:c r="O13" s="27" t="n">
        <x:f>N13/1.23</x:f>
        <x:v>1227.6422764227643</x:v>
      </x:c>
      <x:c r="P13" s="28" t="n">
        <x:v>1900</x:v>
      </x:c>
      <x:c r="Q13" s="27" t="n">
        <x:f>P13/1.23</x:f>
        <x:v>1544.7154471544716</x:v>
      </x:c>
      <x:c r="R13" s="28" t="n">
        <x:v>2546</x:v>
      </x:c>
      <x:c r="S13" s="27" t="n">
        <x:f>R13/1.23</x:f>
        <x:v>2069.918699186992</x:v>
      </x:c>
      <x:c r="T13" s="28" t="n">
        <x:v>3788</x:v>
      </x:c>
      <x:c r="U13" s="27" t="n">
        <x:f>T13/1.23</x:f>
        <x:v>3079.6747967479673</x:v>
      </x:c>
      <x:c r="V13" s="46" t="n"/>
      <x:c r="W13" s="46" t="n"/>
      <x:c r="X13" s="46" t="n"/>
      <x:c r="Y13" s="46" t="n"/>
      <x:c r="Z13" s="46" t="n"/>
      <x:c r="AA13" s="46" t="n"/>
      <x:c r="AB13" s="46" t="n"/>
    </x:row>
    <x:row r="14" s="655" customFormat="1" ht="15.75" customHeight="1">
      <x:c r="A14" s="29" t="inlineStr">
        <x:is>
          <x:t xml:space="preserve">350 x 306   cm</x:t>
        </x:is>
      </x:c>
      <x:c r="B14" s="32" t="n">
        <x:v>6619.746153299357</x:v>
      </x:c>
      <x:c r="C14" s="31" t="n">
        <x:f>B14/1.23</x:f>
        <x:v>5381.907441706794</x:v>
      </x:c>
      <x:c r="D14" s="32" t="n">
        <x:v>340</x:v>
      </x:c>
      <x:c r="E14" s="31" t="n">
        <x:f>D14/1.23</x:f>
        <x:v>276.4227642276423</x:v>
      </x:c>
      <x:c r="F14" s="32" t="n">
        <x:v>3980</x:v>
      </x:c>
      <x:c r="G14" s="31" t="n">
        <x:v>3235.772357723577</x:v>
      </x:c>
      <x:c r="H14" s="32" t="n">
        <x:v>2340</x:v>
      </x:c>
      <x:c r="I14" s="31" t="n">
        <x:f>H14/1.23</x:f>
        <x:v>1902.439024390244</x:v>
      </x:c>
      <x:c r="J14" s="32" t="n">
        <x:v>2340</x:v>
      </x:c>
      <x:c r="K14" s="31" t="n">
        <x:f>J14/1.23</x:f>
        <x:v>1902.439024390244</x:v>
      </x:c>
      <x:c r="L14" s="32" t="n">
        <x:v>2140</x:v>
      </x:c>
      <x:c r="M14" s="31" t="n">
        <x:f>L14/1.23</x:f>
        <x:v>1739.8373983739837</x:v>
      </x:c>
      <x:c r="N14" s="32" t="n">
        <x:v>420</x:v>
      </x:c>
      <x:c r="O14" s="31" t="n">
        <x:f>N14/1.23</x:f>
        <x:v>341.4634146341464</x:v>
      </x:c>
      <x:c r="P14" s="32" t="n">
        <x:v>640</x:v>
      </x:c>
      <x:c r="Q14" s="31" t="n">
        <x:f>P14/1.23</x:f>
        <x:v>520.3252032520326</x:v>
      </x:c>
      <x:c r="R14" s="32" t="n">
        <x:v>1009</x:v>
      </x:c>
      <x:c r="S14" s="31" t="n">
        <x:f>R14/1.23</x:f>
        <x:v>820.3252032520326</x:v>
      </x:c>
      <x:c r="T14" s="32" t="n">
        <x:v>1279</x:v>
      </x:c>
      <x:c r="U14" s="31" t="n">
        <x:f>T14/1.23</x:f>
        <x:v>1039.8373983739837</x:v>
      </x:c>
      <x:c r="V14" s="46" t="n"/>
      <x:c r="W14" s="46" t="n"/>
      <x:c r="X14" s="46" t="n"/>
      <x:c r="Y14" s="46" t="n"/>
      <x:c r="Z14" s="46" t="n"/>
      <x:c r="AA14" s="46" t="n"/>
      <x:c r="AB14" s="46" t="n"/>
    </x:row>
    <x:row r="15" s="655" customFormat="1" ht="15.75" customHeight="1">
      <x:c r="A15" s="29" t="inlineStr">
        <x:is>
          <x:t xml:space="preserve">350 x 406   cm</x:t>
        </x:is>
      </x:c>
      <x:c r="B15" s="32" t="n">
        <x:v>8750.047989902629</x:v>
      </x:c>
      <x:c r="C15" s="31" t="n">
        <x:f>B15/1.23</x:f>
        <x:v>7113.860154392381</x:v>
      </x:c>
      <x:c r="D15" s="32" t="n">
        <x:v>450</x:v>
      </x:c>
      <x:c r="E15" s="31" t="n">
        <x:f>D15/1.23</x:f>
        <x:v>365.8536585365854</x:v>
      </x:c>
      <x:c r="F15" s="32" t="n">
        <x:v>4500</x:v>
      </x:c>
      <x:c r="G15" s="31" t="n">
        <x:v>3658.536585365854</x:v>
      </x:c>
      <x:c r="H15" s="32" t="n">
        <x:v>2340</x:v>
      </x:c>
      <x:c r="I15" s="31" t="n">
        <x:f>H15/1.23</x:f>
        <x:v>1902.439024390244</x:v>
      </x:c>
      <x:c r="J15" s="32" t="n">
        <x:v>2340</x:v>
      </x:c>
      <x:c r="K15" s="31" t="n">
        <x:f>J15/1.23</x:f>
        <x:v>1902.439024390244</x:v>
      </x:c>
      <x:c r="L15" s="32" t="n">
        <x:v>2640</x:v>
      </x:c>
      <x:c r="M15" s="31" t="n">
        <x:f>L15/1.23</x:f>
        <x:v>2146.3414634146343</x:v>
      </x:c>
      <x:c r="N15" s="32" t="n">
        <x:v>510</x:v>
      </x:c>
      <x:c r="O15" s="31" t="n">
        <x:f>N15/1.23</x:f>
        <x:v>414.6341463414634</x:v>
      </x:c>
      <x:c r="P15" s="32" t="n">
        <x:v>740</x:v>
      </x:c>
      <x:c r="Q15" s="31" t="n">
        <x:f>P15/1.23</x:f>
        <x:v>601.6260162601626</x:v>
      </x:c>
      <x:c r="R15" s="32" t="n">
        <x:v>1205</x:v>
      </x:c>
      <x:c r="S15" s="31" t="n">
        <x:f>R15/1.23</x:f>
        <x:v>979.6747967479675</x:v>
      </x:c>
      <x:c r="T15" s="32" t="n">
        <x:v>1599</x:v>
      </x:c>
      <x:c r="U15" s="31" t="n">
        <x:f>T15/1.23</x:f>
        <x:v>1300</x:v>
      </x:c>
      <x:c r="V15" s="46" t="n"/>
      <x:c r="W15" s="46" t="n"/>
      <x:c r="X15" s="46" t="n"/>
      <x:c r="Y15" s="46" t="n"/>
      <x:c r="Z15" s="46" t="n"/>
      <x:c r="AA15" s="46" t="n"/>
      <x:c r="AB15" s="46" t="n"/>
    </x:row>
    <x:row r="16" s="655" customFormat="1" ht="15.75" customHeight="1">
      <x:c r="A16" s="29" t="inlineStr">
        <x:is>
          <x:t xml:space="preserve">350 x 506   cm</x:t>
        </x:is>
      </x:c>
      <x:c r="B16" s="32" t="n">
        <x:v>11010.31112737829</x:v>
      </x:c>
      <x:c r="C16" s="31" t="n">
        <x:f>B16/1.23</x:f>
        <x:v>8951.472461283163</x:v>
      </x:c>
      <x:c r="D16" s="32" t="n">
        <x:v>570</x:v>
      </x:c>
      <x:c r="E16" s="31" t="n">
        <x:f>D16/1.23</x:f>
        <x:v>463.4146341463415</x:v>
      </x:c>
      <x:c r="F16" s="32" t="n">
        <x:v>5200</x:v>
      </x:c>
      <x:c r="G16" s="31" t="n">
        <x:v>4227.642276422765</x:v>
      </x:c>
      <x:c r="H16" s="32" t="n">
        <x:v>2340</x:v>
      </x:c>
      <x:c r="I16" s="31" t="n">
        <x:f>H16/1.23</x:f>
        <x:v>1902.439024390244</x:v>
      </x:c>
      <x:c r="J16" s="32" t="n">
        <x:v>2340</x:v>
      </x:c>
      <x:c r="K16" s="31" t="n">
        <x:f>J16/1.23</x:f>
        <x:v>1902.439024390244</x:v>
      </x:c>
      <x:c r="L16" s="32" t="n">
        <x:v>3700</x:v>
      </x:c>
      <x:c r="M16" s="31" t="n">
        <x:f>L16/1.23</x:f>
        <x:v>3008.130081300813</x:v>
      </x:c>
      <x:c r="N16" s="32" t="n">
        <x:v>600</x:v>
      </x:c>
      <x:c r="O16" s="31" t="n">
        <x:f>N16/1.23</x:f>
        <x:v>487.8048780487805</x:v>
      </x:c>
      <x:c r="P16" s="32" t="n">
        <x:v>960</x:v>
      </x:c>
      <x:c r="Q16" s="31" t="n">
        <x:f>P16/1.23</x:f>
        <x:v>780.4878048780488</x:v>
      </x:c>
      <x:c r="R16" s="32" t="n">
        <x:v>1390</x:v>
      </x:c>
      <x:c r="S16" s="31" t="n">
        <x:f>R16/1.23</x:f>
        <x:v>1130.081300813008</x:v>
      </x:c>
      <x:c r="T16" s="32" t="n">
        <x:v>1907</x:v>
      </x:c>
      <x:c r="U16" s="31" t="n">
        <x:f>T16/1.23</x:f>
        <x:v>1550.4065040650407</x:v>
      </x:c>
      <x:c r="V16" s="46" t="n"/>
      <x:c r="W16" s="46" t="n"/>
      <x:c r="X16" s="46" t="n"/>
      <x:c r="Y16" s="46" t="n"/>
      <x:c r="Z16" s="46" t="n"/>
      <x:c r="AA16" s="46" t="n"/>
      <x:c r="AB16" s="46" t="n"/>
    </x:row>
    <x:row r="17" s="655" customFormat="1" ht="15.75" customHeight="1">
      <x:c r="A17" s="29" t="inlineStr">
        <x:is>
          <x:t xml:space="preserve">350 x 606   cm</x:t>
        </x:is>
      </x:c>
      <x:c r="B17" s="32" t="n">
        <x:v>12820</x:v>
      </x:c>
      <x:c r="C17" s="31" t="n">
        <x:f>B17/1.23</x:f>
        <x:v>10422.764227642276</x:v>
      </x:c>
      <x:c r="D17" s="32" t="n">
        <x:v>690</x:v>
      </x:c>
      <x:c r="E17" s="31" t="n">
        <x:f>D17/1.23</x:f>
        <x:v>560.9756097560976</x:v>
      </x:c>
      <x:c r="F17" s="32" t="n">
        <x:v>7960</x:v>
      </x:c>
      <x:c r="G17" s="31" t="n">
        <x:v>6471.544715447155</x:v>
      </x:c>
      <x:c r="H17" s="32" t="n">
        <x:v>2340</x:v>
      </x:c>
      <x:c r="I17" s="31" t="n">
        <x:f>H17/1.23</x:f>
        <x:v>1902.439024390244</x:v>
      </x:c>
      <x:c r="J17" s="32" t="n">
        <x:v>2340</x:v>
      </x:c>
      <x:c r="K17" s="31" t="n">
        <x:f>J17/1.23</x:f>
        <x:v>1902.439024390244</x:v>
      </x:c>
      <x:c r="L17" s="32" t="n">
        <x:v>4270</x:v>
      </x:c>
      <x:c r="M17" s="31" t="n">
        <x:f>L17/1.23</x:f>
        <x:v>3471.5447154471544</x:v>
      </x:c>
      <x:c r="N17" s="32" t="n">
        <x:v>790</x:v>
      </x:c>
      <x:c r="O17" s="31" t="n">
        <x:f>N17/1.23</x:f>
        <x:v>642.2764227642276</x:v>
      </x:c>
      <x:c r="P17" s="32" t="n">
        <x:v>1090</x:v>
      </x:c>
      <x:c r="Q17" s="31" t="n">
        <x:f>P17/1.23</x:f>
        <x:v>886.178861788618</x:v>
      </x:c>
      <x:c r="R17" s="32" t="n">
        <x:v>1587</x:v>
      </x:c>
      <x:c r="S17" s="31" t="n">
        <x:f>R17/1.23</x:f>
        <x:v>1290.2439024390244</x:v>
      </x:c>
      <x:c r="T17" s="32" t="n">
        <x:v>2239</x:v>
      </x:c>
      <x:c r="U17" s="31" t="n">
        <x:f>T17/1.23</x:f>
        <x:v>1820.3252032520325</x:v>
      </x:c>
      <x:c r="V17" s="46" t="n"/>
      <x:c r="W17" s="46" t="n"/>
      <x:c r="X17" s="46" t="n"/>
      <x:c r="Y17" s="46" t="n"/>
      <x:c r="Z17" s="46" t="n"/>
      <x:c r="AA17" s="46" t="n"/>
      <x:c r="AB17" s="46" t="n"/>
    </x:row>
    <x:row r="18" s="655" customFormat="1" ht="15.75" customHeight="1">
      <x:c r="A18" s="29" t="inlineStr">
        <x:is>
          <x:t xml:space="preserve">350 x 706   cm</x:t>
        </x:is>
      </x:c>
      <x:c r="B18" s="32" t="n">
        <x:v>14819.6712423296</x:v>
      </x:c>
      <x:c r="C18" s="31" t="n">
        <x:f>B18/1.23</x:f>
        <x:v>12048.513205146017</x:v>
      </x:c>
      <x:c r="D18" s="32" t="n">
        <x:v>800</x:v>
      </x:c>
      <x:c r="E18" s="31" t="n">
        <x:f>D18/1.23</x:f>
        <x:v>650.4065040650406</x:v>
      </x:c>
      <x:c r="F18" s="32" t="n">
        <x:v>8480</x:v>
      </x:c>
      <x:c r="G18" s="31" t="n">
        <x:v>6894.308943089431</x:v>
      </x:c>
      <x:c r="H18" s="32" t="n">
        <x:v>2340</x:v>
      </x:c>
      <x:c r="I18" s="31" t="n">
        <x:f>H18/1.23</x:f>
        <x:v>1902.439024390244</x:v>
      </x:c>
      <x:c r="J18" s="32" t="n">
        <x:v>2340</x:v>
      </x:c>
      <x:c r="K18" s="31" t="n">
        <x:f>J18/1.23</x:f>
        <x:v>1902.439024390244</x:v>
      </x:c>
      <x:c r="L18" s="32" t="n">
        <x:v>4780</x:v>
      </x:c>
      <x:c r="M18" s="31" t="n">
        <x:f>L18/1.23</x:f>
        <x:v>3886.1788617886177</x:v>
      </x:c>
      <x:c r="N18" s="32" t="n">
        <x:v>870</x:v>
      </x:c>
      <x:c r="O18" s="31" t="n">
        <x:f>N18/1.23</x:f>
        <x:v>707.3170731707318</x:v>
      </x:c>
      <x:c r="P18" s="32" t="n">
        <x:v>1210</x:v>
      </x:c>
      <x:c r="Q18" s="31" t="n">
        <x:f>P18/1.23</x:f>
        <x:v>983.739837398374</x:v>
      </x:c>
      <x:c r="R18" s="32" t="n">
        <x:v>1784</x:v>
      </x:c>
      <x:c r="S18" s="31" t="n">
        <x:f>R18/1.23</x:f>
        <x:v>1450.4065040650407</x:v>
      </x:c>
      <x:c r="T18" s="32" t="n">
        <x:v>2571</x:v>
      </x:c>
      <x:c r="U18" s="31" t="n">
        <x:f>T18/1.23</x:f>
        <x:v>2090.2439024390246</x:v>
      </x:c>
      <x:c r="V18" s="46" t="n"/>
      <x:c r="W18" s="46" t="n"/>
      <x:c r="X18" s="46" t="n"/>
      <x:c r="Y18" s="46" t="n"/>
      <x:c r="Z18" s="46" t="n"/>
      <x:c r="AA18" s="46" t="n"/>
      <x:c r="AB18" s="46" t="n"/>
    </x:row>
    <x:row r="19" s="655" customFormat="1" ht="15.75" customHeight="1">
      <x:c r="A19" s="29" t="inlineStr">
        <x:is>
          <x:t xml:space="preserve">350 x 806   cm</x:t>
        </x:is>
      </x:c>
      <x:c r="B19" s="32" t="n">
        <x:v>17840</x:v>
      </x:c>
      <x:c r="C19" s="31" t="n">
        <x:f>B19/1.23</x:f>
        <x:v>14504.065040650406</x:v>
      </x:c>
      <x:c r="D19" s="32" t="n">
        <x:v>910</x:v>
      </x:c>
      <x:c r="E19" s="31" t="n">
        <x:f>D19/1.23</x:f>
        <x:v>739.8373983739838</x:v>
      </x:c>
      <x:c r="F19" s="32" t="n">
        <x:v>8990</x:v>
      </x:c>
      <x:c r="G19" s="31" t="n">
        <x:v>7308.943089430894</x:v>
      </x:c>
      <x:c r="H19" s="32" t="n">
        <x:v>2340</x:v>
      </x:c>
      <x:c r="I19" s="31" t="n">
        <x:f>H19/1.23</x:f>
        <x:v>1902.439024390244</x:v>
      </x:c>
      <x:c r="J19" s="32" t="n">
        <x:v>2340</x:v>
      </x:c>
      <x:c r="K19" s="31" t="n">
        <x:f>J19/1.23</x:f>
        <x:v>1902.439024390244</x:v>
      </x:c>
      <x:c r="L19" s="32" t="n">
        <x:v>5280</x:v>
      </x:c>
      <x:c r="M19" s="31" t="n">
        <x:f>L19/1.23</x:f>
        <x:v>4292.682926829269</x:v>
      </x:c>
      <x:c r="N19" s="32" t="n">
        <x:v>960</x:v>
      </x:c>
      <x:c r="O19" s="31" t="n">
        <x:f>N19/1.23</x:f>
        <x:v>780.4878048780488</x:v>
      </x:c>
      <x:c r="P19" s="32" t="n">
        <x:v>1440</x:v>
      </x:c>
      <x:c r="Q19" s="31" t="n">
        <x:f>P19/1.23</x:f>
        <x:v>1170.7317073170732</x:v>
      </x:c>
      <x:c r="R19" s="32" t="n">
        <x:v>1993</x:v>
      </x:c>
      <x:c r="S19" s="31" t="n">
        <x:f>R19/1.23</x:f>
        <x:v>1620.3252032520325</x:v>
      </x:c>
      <x:c r="T19" s="32" t="n">
        <x:v>2891</x:v>
      </x:c>
      <x:c r="U19" s="31" t="n">
        <x:f>T19/1.23</x:f>
        <x:v>2350.4065040650407</x:v>
      </x:c>
      <x:c r="V19" s="46" t="n"/>
      <x:c r="W19" s="46" t="n"/>
      <x:c r="X19" s="46" t="n"/>
      <x:c r="Y19" s="46" t="n"/>
      <x:c r="Z19" s="46" t="n"/>
      <x:c r="AA19" s="46" t="n"/>
      <x:c r="AB19" s="46" t="n"/>
    </x:row>
    <x:row r="20" s="655" customFormat="1" ht="15.75" customHeight="1">
      <x:c r="A20" s="29" t="inlineStr">
        <x:is>
          <x:t xml:space="preserve">350 x 906   cm</x:t>
        </x:is>
      </x:c>
      <x:c r="B20" s="32" t="n">
        <x:v>20110</x:v>
      </x:c>
      <x:c r="C20" s="31" t="n">
        <x:f>B20/1.23</x:f>
        <x:v>16349.59349593496</x:v>
      </x:c>
      <x:c r="D20" s="32" t="n">
        <x:v>1020</x:v>
      </x:c>
      <x:c r="E20" s="31" t="n">
        <x:f>D20/1.23</x:f>
        <x:v>829.2682926829268</x:v>
      </x:c>
      <x:c r="F20" s="32" t="n">
        <x:v>9700</x:v>
      </x:c>
      <x:c r="G20" s="31" t="n">
        <x:v>7886.178861788618</x:v>
      </x:c>
      <x:c r="H20" s="32" t="n">
        <x:v>2340</x:v>
      </x:c>
      <x:c r="I20" s="31" t="n">
        <x:f>H20/1.23</x:f>
        <x:v>1902.439024390244</x:v>
      </x:c>
      <x:c r="J20" s="32" t="n">
        <x:v>2340</x:v>
      </x:c>
      <x:c r="K20" s="31" t="n">
        <x:f>J20/1.23</x:f>
        <x:v>1902.439024390244</x:v>
      </x:c>
      <x:c r="L20" s="32" t="n">
        <x:v>6400</x:v>
      </x:c>
      <x:c r="M20" s="31" t="n">
        <x:f>L20/1.23</x:f>
        <x:v>5203.252032520325</x:v>
      </x:c>
      <x:c r="N20" s="32" t="n">
        <x:v>1040</x:v>
      </x:c>
      <x:c r="O20" s="31" t="n">
        <x:f>N20/1.23</x:f>
        <x:v>845.5284552845528</x:v>
      </x:c>
      <x:c r="P20" s="32" t="n">
        <x:v>1560</x:v>
      </x:c>
      <x:c r="Q20" s="31" t="n">
        <x:f>P20/1.23</x:f>
        <x:v>1268.2926829268292</x:v>
      </x:c>
      <x:c r="R20" s="32" t="n">
        <x:v>2189</x:v>
      </x:c>
      <x:c r="S20" s="31" t="n">
        <x:f>R20/1.23</x:f>
        <x:v>1779.6747967479675</x:v>
      </x:c>
      <x:c r="T20" s="32" t="n">
        <x:v>3223</x:v>
      </x:c>
      <x:c r="U20" s="31" t="n">
        <x:f>T20/1.23</x:f>
        <x:v>2620.3252032520327</x:v>
      </x:c>
      <x:c r="V20" s="46" t="n"/>
      <x:c r="W20" s="46" t="n"/>
      <x:c r="X20" s="46" t="n"/>
      <x:c r="Y20" s="46" t="n"/>
      <x:c r="Z20" s="46" t="n"/>
      <x:c r="AA20" s="46" t="n"/>
      <x:c r="AB20" s="46" t="n"/>
    </x:row>
    <x:row r="21" s="655" customFormat="1" ht="15.75" customHeight="1">
      <x:c r="A21" s="29" t="inlineStr">
        <x:is>
          <x:t xml:space="preserve">350 x 1006 cm</x:t>
        </x:is>
      </x:c>
      <x:c r="B21" s="32" t="n">
        <x:v>22340</x:v>
      </x:c>
      <x:c r="C21" s="31" t="n">
        <x:f>B21/1.23</x:f>
        <x:v>18162.60162601626</x:v>
      </x:c>
      <x:c r="D21" s="32" t="n">
        <x:v>1140</x:v>
      </x:c>
      <x:c r="E21" s="31" t="n">
        <x:f>D21/1.23</x:f>
        <x:v>926.829268292683</x:v>
      </x:c>
      <x:c r="F21" s="32" t="n">
        <x:v>10400</x:v>
      </x:c>
      <x:c r="G21" s="31" t="n">
        <x:v>8455.284552845529</x:v>
      </x:c>
      <x:c r="H21" s="32" t="n">
        <x:v>2340</x:v>
      </x:c>
      <x:c r="I21" s="31" t="n">
        <x:f>H21/1.23</x:f>
        <x:v>1902.439024390244</x:v>
      </x:c>
      <x:c r="J21" s="32" t="n">
        <x:v>2340</x:v>
      </x:c>
      <x:c r="K21" s="31" t="n">
        <x:f>J21/1.23</x:f>
        <x:v>1902.439024390244</x:v>
      </x:c>
      <x:c r="L21" s="32" t="n">
        <x:v>6910</x:v>
      </x:c>
      <x:c r="M21" s="31" t="n">
        <x:f>L21/1.23</x:f>
        <x:v>5617.886178861789</x:v>
      </x:c>
      <x:c r="N21" s="32" t="n">
        <x:v>1230</x:v>
      </x:c>
      <x:c r="O21" s="31" t="n">
        <x:f>N21/1.23</x:f>
        <x:v>1000</x:v>
      </x:c>
      <x:c r="P21" s="32" t="n">
        <x:v>1650</x:v>
      </x:c>
      <x:c r="Q21" s="31" t="n">
        <x:f>P21/1.23</x:f>
        <x:v>1341.4634146341464</x:v>
      </x:c>
      <x:c r="R21" s="32" t="n">
        <x:v>2399</x:v>
      </x:c>
      <x:c r="S21" s="31" t="n">
        <x:f>R21/1.23</x:f>
        <x:v>1950.4065040650407</x:v>
      </x:c>
      <x:c r="T21" s="32" t="n">
        <x:v>3555</x:v>
      </x:c>
      <x:c r="U21" s="31" t="n">
        <x:f>T21/1.23</x:f>
        <x:v>2890.2439024390246</x:v>
      </x:c>
      <x:c r="V21" s="46" t="n"/>
      <x:c r="W21" s="46" t="n"/>
      <x:c r="X21" s="46" t="n"/>
      <x:c r="Y21" s="46" t="n"/>
      <x:c r="Z21" s="46" t="n"/>
      <x:c r="AA21" s="46" t="n"/>
      <x:c r="AB21" s="46" t="n"/>
    </x:row>
    <x:row r="22" s="655" customFormat="1" ht="15.75" customHeight="1">
      <x:c r="A22" s="29" t="inlineStr">
        <x:is>
          <x:t xml:space="preserve">350 x 1106 cm</x:t>
        </x:is>
      </x:c>
      <x:c r="B22" s="32" t="n">
        <x:v>24170</x:v>
      </x:c>
      <x:c r="C22" s="31" t="n">
        <x:f>B22/1.23</x:f>
        <x:v>19650.406504065042</x:v>
      </x:c>
      <x:c r="D22" s="32" t="n">
        <x:v>1260</x:v>
      </x:c>
      <x:c r="E22" s="31" t="n">
        <x:f>D22/1.23</x:f>
        <x:v>1024.3902439024391</x:v>
      </x:c>
      <x:c r="F22" s="32" t="n">
        <x:v>12980</x:v>
      </x:c>
      <x:c r="G22" s="31" t="n">
        <x:v>10552.84552845529</x:v>
      </x:c>
      <x:c r="H22" s="32" t="n">
        <x:v>2340</x:v>
      </x:c>
      <x:c r="I22" s="31" t="n">
        <x:f>H22/1.23</x:f>
        <x:v>1902.439024390244</x:v>
      </x:c>
      <x:c r="J22" s="32" t="n">
        <x:v>2340</x:v>
      </x:c>
      <x:c r="K22" s="31" t="n">
        <x:f>J22/1.23</x:f>
        <x:v>1902.439024390244</x:v>
      </x:c>
      <x:c r="L22" s="32" t="n">
        <x:v>7420</x:v>
      </x:c>
      <x:c r="M22" s="31" t="n">
        <x:f>L22/1.23</x:f>
        <x:v>6032.5203252032525</x:v>
      </x:c>
      <x:c r="N22" s="32" t="n">
        <x:v>1430</x:v>
      </x:c>
      <x:c r="O22" s="31" t="n">
        <x:f>N22/1.23</x:f>
        <x:v>1162.60162601626</x:v>
      </x:c>
      <x:c r="P22" s="32" t="n">
        <x:v>1770</x:v>
      </x:c>
      <x:c r="Q22" s="31" t="n">
        <x:f>P22/1.23</x:f>
        <x:v>1439.0243902439024</x:v>
      </x:c>
      <x:c r="R22" s="32" t="n">
        <x:v>2595</x:v>
      </x:c>
      <x:c r="S22" s="31" t="n">
        <x:f>R22/1.23</x:f>
        <x:v>2109.756097560976</x:v>
      </x:c>
      <x:c r="T22" s="32" t="n">
        <x:v>3887</x:v>
      </x:c>
      <x:c r="U22" s="31" t="n">
        <x:f>T22/1.23</x:f>
        <x:v>3160.162601626016</x:v>
      </x:c>
      <x:c r="V22" s="46" t="n"/>
      <x:c r="W22" s="46" t="n"/>
      <x:c r="X22" s="46" t="n"/>
      <x:c r="Y22" s="46" t="n"/>
      <x:c r="Z22" s="46" t="n"/>
      <x:c r="AA22" s="46" t="n"/>
      <x:c r="AB22" s="46" t="n"/>
    </x:row>
    <x:row r="23" s="655" customFormat="1" ht="15.75" customHeight="1">
      <x:c r="A23" s="29" t="inlineStr">
        <x:is>
          <x:t xml:space="preserve">350 x 1206 cm</x:t>
        </x:is>
      </x:c>
      <x:c r="B23" s="32" t="n">
        <x:v>25960</x:v>
      </x:c>
      <x:c r="C23" s="31" t="n">
        <x:f>B23/1.23</x:f>
        <x:v>21105.69105691057</x:v>
      </x:c>
      <x:c r="D23" s="32" t="n">
        <x:v>1370</x:v>
      </x:c>
      <x:c r="E23" s="31" t="n">
        <x:f>D23/1.23</x:f>
        <x:v>1113.821138211382</x:v>
      </x:c>
      <x:c r="F23" s="32" t="n">
        <x:v>13500</x:v>
      </x:c>
      <x:c r="G23" s="31" t="n">
        <x:v>10975.60975609756</x:v>
      </x:c>
      <x:c r="H23" s="32" t="n">
        <x:v>2340</x:v>
      </x:c>
      <x:c r="I23" s="31" t="n">
        <x:f>H23/1.23</x:f>
        <x:v>1902.439024390244</x:v>
      </x:c>
      <x:c r="J23" s="32" t="n">
        <x:v>2340</x:v>
      </x:c>
      <x:c r="K23" s="31" t="n">
        <x:f>J23/1.23</x:f>
        <x:v>1902.439024390244</x:v>
      </x:c>
      <x:c r="L23" s="32" t="n">
        <x:v>7920</x:v>
      </x:c>
      <x:c r="M23" s="31" t="n">
        <x:f>L23/1.23</x:f>
        <x:v>6439.024390243902</x:v>
      </x:c>
      <x:c r="N23" s="32" t="n">
        <x:v>1510</x:v>
      </x:c>
      <x:c r="O23" s="31" t="n">
        <x:f>N23/1.23</x:f>
        <x:v>1227.6422764227643</x:v>
      </x:c>
      <x:c r="P23" s="32" t="n">
        <x:v>1900</x:v>
      </x:c>
      <x:c r="Q23" s="31" t="n">
        <x:f>P23/1.23</x:f>
        <x:v>1544.7154471544716</x:v>
      </x:c>
      <x:c r="R23" s="32" t="n">
        <x:v>2804</x:v>
      </x:c>
      <x:c r="S23" s="31" t="n">
        <x:f>R23/1.23</x:f>
        <x:v>2279.6747967479673</x:v>
      </x:c>
      <x:c r="T23" s="32" t="n">
        <x:v>4219</x:v>
      </x:c>
      <x:c r="U23" s="31" t="n">
        <x:f>T23/1.23</x:f>
        <x:v>3430.081300813008</x:v>
      </x:c>
      <x:c r="V23" s="46" t="n"/>
      <x:c r="W23" s="46" t="n"/>
      <x:c r="X23" s="46" t="n"/>
      <x:c r="Y23" s="46" t="n"/>
      <x:c r="Z23" s="46" t="n"/>
      <x:c r="AA23" s="46" t="n"/>
      <x:c r="AB23" s="46" t="n"/>
    </x:row>
    <x:row r="24" s="655" customFormat="1" ht="15.75" customHeight="1">
      <x:c r="A24" s="33" t="inlineStr">
        <x:is>
          <x:t xml:space="preserve">400 x 306   cm</x:t>
        </x:is>
      </x:c>
      <x:c r="B24" s="36" t="n">
        <x:v>8120</x:v>
      </x:c>
      <x:c r="C24" s="35" t="n">
        <x:f>B24/1.23</x:f>
        <x:v>6601.626016260163</x:v>
      </x:c>
      <x:c r="D24" s="36" t="n">
        <x:v>350</x:v>
      </x:c>
      <x:c r="E24" s="35" t="n">
        <x:f>D24/1.23</x:f>
        <x:v>284.5528455284553</x:v>
      </x:c>
      <x:c r="F24" s="36" t="n">
        <x:v>4030</x:v>
      </x:c>
      <x:c r="G24" s="35" t="n">
        <x:v>3276.422764227642</x:v>
      </x:c>
      <x:c r="H24" s="36" t="n">
        <x:v>2640</x:v>
      </x:c>
      <x:c r="I24" s="35" t="n">
        <x:f>H24/1.23</x:f>
        <x:v>2146.3414634146343</x:v>
      </x:c>
      <x:c r="J24" s="36" t="n">
        <x:v>2640</x:v>
      </x:c>
      <x:c r="K24" s="35" t="n">
        <x:f>J24/1.23</x:f>
        <x:v>2146.3414634146343</x:v>
      </x:c>
      <x:c r="L24" s="36" t="n">
        <x:v>2140</x:v>
      </x:c>
      <x:c r="M24" s="35" t="n">
        <x:f>L24/1.23</x:f>
        <x:v>1739.8373983739837</x:v>
      </x:c>
      <x:c r="N24" s="36" t="n">
        <x:v>420</x:v>
      </x:c>
      <x:c r="O24" s="35" t="n">
        <x:f>N24/1.23</x:f>
        <x:v>341.4634146341464</x:v>
      </x:c>
      <x:c r="P24" s="36" t="n">
        <x:v>640</x:v>
      </x:c>
      <x:c r="Q24" s="35" t="n">
        <x:f>P24/1.23</x:f>
        <x:v>520.3252032520326</x:v>
      </x:c>
      <x:c r="R24" s="36" t="n">
        <x:v>1058</x:v>
      </x:c>
      <x:c r="S24" s="35" t="n">
        <x:f>R24/1.23</x:f>
        <x:v>860.1626016260162</x:v>
      </x:c>
      <x:c r="T24" s="36" t="n">
        <x:v>1365</x:v>
      </x:c>
      <x:c r="U24" s="35" t="n">
        <x:f>T24/1.23</x:f>
        <x:v>1109.7560975609756</x:v>
      </x:c>
      <x:c r="V24" s="46" t="n"/>
      <x:c r="W24" s="46" t="n"/>
      <x:c r="X24" s="46" t="n"/>
      <x:c r="Y24" s="46" t="n"/>
      <x:c r="Z24" s="46" t="n"/>
      <x:c r="AA24" s="46" t="n"/>
      <x:c r="AB24" s="46" t="n"/>
    </x:row>
    <x:row r="25" s="655" customFormat="1" ht="15.75" customHeight="1">
      <x:c r="A25" s="33" t="inlineStr">
        <x:is>
          <x:t xml:space="preserve">400 x 406   cm</x:t>
        </x:is>
      </x:c>
      <x:c r="B25" s="36" t="n">
        <x:v>10240</x:v>
      </x:c>
      <x:c r="C25" s="35" t="n">
        <x:f>B25/1.23</x:f>
        <x:v>8325.203252032521</x:v>
      </x:c>
      <x:c r="D25" s="36" t="n">
        <x:v>460</x:v>
      </x:c>
      <x:c r="E25" s="35" t="n">
        <x:f>D25/1.23</x:f>
        <x:v>373.9837398373984</x:v>
      </x:c>
      <x:c r="F25" s="36" t="n">
        <x:v>4660</x:v>
      </x:c>
      <x:c r="G25" s="35" t="n">
        <x:v>3788.617886178862</x:v>
      </x:c>
      <x:c r="H25" s="36" t="n">
        <x:v>2640</x:v>
      </x:c>
      <x:c r="I25" s="35" t="n">
        <x:f>H25/1.23</x:f>
        <x:v>2146.3414634146343</x:v>
      </x:c>
      <x:c r="J25" s="36" t="n">
        <x:v>2640</x:v>
      </x:c>
      <x:c r="K25" s="35" t="n">
        <x:f>J25/1.23</x:f>
        <x:v>2146.3414634146343</x:v>
      </x:c>
      <x:c r="L25" s="36" t="n">
        <x:v>2640</x:v>
      </x:c>
      <x:c r="M25" s="35" t="n">
        <x:f>L25/1.23</x:f>
        <x:v>2146.3414634146343</x:v>
      </x:c>
      <x:c r="N25" s="36" t="n">
        <x:v>510</x:v>
      </x:c>
      <x:c r="O25" s="35" t="n">
        <x:f>N25/1.23</x:f>
        <x:v>414.6341463414634</x:v>
      </x:c>
      <x:c r="P25" s="36" t="n">
        <x:v>740</x:v>
      </x:c>
      <x:c r="Q25" s="35" t="n">
        <x:f>P25/1.23</x:f>
        <x:v>601.6260162601626</x:v>
      </x:c>
      <x:c r="R25" s="36" t="n">
        <x:v>1279</x:v>
      </x:c>
      <x:c r="S25" s="35" t="n">
        <x:f>R25/1.23</x:f>
        <x:v>1039.8373983739837</x:v>
      </x:c>
      <x:c r="T25" s="36" t="n">
        <x:v>1710</x:v>
      </x:c>
      <x:c r="U25" s="35" t="n">
        <x:f>T25/1.23</x:f>
        <x:v>1390.2439024390244</x:v>
      </x:c>
      <x:c r="V25" s="46" t="n"/>
      <x:c r="W25" s="46" t="n"/>
      <x:c r="X25" s="46" t="n"/>
      <x:c r="Y25" s="46" t="n"/>
      <x:c r="Z25" s="46" t="n"/>
      <x:c r="AA25" s="46" t="n"/>
      <x:c r="AB25" s="46" t="n"/>
    </x:row>
    <x:row r="26" s="655" customFormat="1" ht="15.75" customHeight="1">
      <x:c r="A26" s="33" t="inlineStr">
        <x:is>
          <x:t xml:space="preserve">400 x 506   cm</x:t>
        </x:is>
      </x:c>
      <x:c r="B26" s="36" t="n">
        <x:v>12670</x:v>
      </x:c>
      <x:c r="C26" s="35" t="n">
        <x:f>B26/1.23</x:f>
        <x:v>10300.81300813008</x:v>
      </x:c>
      <x:c r="D26" s="36" t="n">
        <x:v>580</x:v>
      </x:c>
      <x:c r="E26" s="35" t="n">
        <x:f>D26/1.23</x:f>
        <x:v>471.5447154471545</x:v>
      </x:c>
      <x:c r="F26" s="36" t="n">
        <x:v>5310</x:v>
      </x:c>
      <x:c r="G26" s="35" t="n">
        <x:v>4317.073170731707</x:v>
      </x:c>
      <x:c r="H26" s="36" t="n">
        <x:v>2640</x:v>
      </x:c>
      <x:c r="I26" s="35" t="n">
        <x:f>H26/1.23</x:f>
        <x:v>2146.3414634146343</x:v>
      </x:c>
      <x:c r="J26" s="36" t="n">
        <x:v>2640</x:v>
      </x:c>
      <x:c r="K26" s="35" t="n">
        <x:f>J26/1.23</x:f>
        <x:v>2146.3414634146343</x:v>
      </x:c>
      <x:c r="L26" s="36" t="n">
        <x:v>3700</x:v>
      </x:c>
      <x:c r="M26" s="35" t="n">
        <x:f>L26/1.23</x:f>
        <x:v>3008.130081300813</x:v>
      </x:c>
      <x:c r="N26" s="36" t="n">
        <x:v>600</x:v>
      </x:c>
      <x:c r="O26" s="35" t="n">
        <x:f>N26/1.23</x:f>
        <x:v>487.8048780487805</x:v>
      </x:c>
      <x:c r="P26" s="36" t="n">
        <x:v>960</x:v>
      </x:c>
      <x:c r="Q26" s="35" t="n">
        <x:f>P26/1.23</x:f>
        <x:v>780.4878048780488</x:v>
      </x:c>
      <x:c r="R26" s="36" t="n">
        <x:v>1488</x:v>
      </x:c>
      <x:c r="S26" s="35" t="n">
        <x:f>R26/1.23</x:f>
        <x:v>1209.7560975609756</x:v>
      </x:c>
      <x:c r="T26" s="36" t="n">
        <x:v>2054</x:v>
      </x:c>
      <x:c r="U26" s="35" t="n">
        <x:f>T26/1.23</x:f>
        <x:v>1669.918699186992</x:v>
      </x:c>
      <x:c r="V26" s="46" t="n"/>
      <x:c r="W26" s="46" t="n"/>
      <x:c r="X26" s="46" t="n"/>
      <x:c r="Y26" s="46" t="n"/>
      <x:c r="Z26" s="46" t="n"/>
      <x:c r="AA26" s="46" t="n"/>
      <x:c r="AB26" s="46" t="n"/>
    </x:row>
    <x:row r="27" s="655" customFormat="1" ht="15.75" customHeight="1">
      <x:c r="A27" s="33" t="inlineStr">
        <x:is>
          <x:t xml:space="preserve">400 x 606   cm</x:t>
        </x:is>
      </x:c>
      <x:c r="B27" s="36" t="n">
        <x:v>14340</x:v>
      </x:c>
      <x:c r="C27" s="35" t="n">
        <x:f>B27/1.23</x:f>
        <x:v>11658.536585365853</x:v>
      </x:c>
      <x:c r="D27" s="36" t="n">
        <x:v>700</x:v>
      </x:c>
      <x:c r="E27" s="35" t="n">
        <x:f>D27/1.23</x:f>
        <x:v>569.1056910569106</x:v>
      </x:c>
      <x:c r="F27" s="36" t="n">
        <x:v>8060</x:v>
      </x:c>
      <x:c r="G27" s="35" t="n">
        <x:v>6552.845528455285</x:v>
      </x:c>
      <x:c r="H27" s="36" t="n">
        <x:v>2640</x:v>
      </x:c>
      <x:c r="I27" s="35" t="n">
        <x:f>H27/1.23</x:f>
        <x:v>2146.3414634146343</x:v>
      </x:c>
      <x:c r="J27" s="36" t="n">
        <x:v>2640</x:v>
      </x:c>
      <x:c r="K27" s="35" t="n">
        <x:f>J27/1.23</x:f>
        <x:v>2146.3414634146343</x:v>
      </x:c>
      <x:c r="L27" s="36" t="n">
        <x:v>4270</x:v>
      </x:c>
      <x:c r="M27" s="35" t="n">
        <x:f>L27/1.23</x:f>
        <x:v>3471.5447154471544</x:v>
      </x:c>
      <x:c r="N27" s="36" t="n">
        <x:v>790</x:v>
      </x:c>
      <x:c r="O27" s="35" t="n">
        <x:f>N27/1.23</x:f>
        <x:v>642.2764227642276</x:v>
      </x:c>
      <x:c r="P27" s="36" t="n">
        <x:v>1090</x:v>
      </x:c>
      <x:c r="Q27" s="35" t="n">
        <x:f>P27/1.23</x:f>
        <x:v>886.178861788618</x:v>
      </x:c>
      <x:c r="R27" s="36" t="n">
        <x:v>1697</x:v>
      </x:c>
      <x:c r="S27" s="35" t="n">
        <x:f>R27/1.23</x:f>
        <x:v>1379.6747967479675</x:v>
      </x:c>
      <x:c r="T27" s="36" t="n">
        <x:v>2423</x:v>
      </x:c>
      <x:c r="U27" s="35" t="n">
        <x:f>T27/1.23</x:f>
        <x:v>1969.918699186992</x:v>
      </x:c>
      <x:c r="V27" s="46" t="n"/>
      <x:c r="W27" s="46" t="n"/>
      <x:c r="X27" s="46" t="n"/>
      <x:c r="Y27" s="46" t="n"/>
      <x:c r="Z27" s="46" t="n"/>
      <x:c r="AA27" s="46" t="n"/>
      <x:c r="AB27" s="46" t="n"/>
    </x:row>
    <x:row r="28" s="655" customFormat="1" ht="15.75" customHeight="1">
      <x:c r="A28" s="33" t="inlineStr">
        <x:is>
          <x:t xml:space="preserve">400 x 706   cm</x:t>
        </x:is>
      </x:c>
      <x:c r="B28" s="36" t="n">
        <x:v>16990</x:v>
      </x:c>
      <x:c r="C28" s="35" t="n">
        <x:f>B28/1.23</x:f>
        <x:v>13813.008130081302</x:v>
      </x:c>
      <x:c r="D28" s="36" t="n">
        <x:v>820</x:v>
      </x:c>
      <x:c r="E28" s="35" t="n">
        <x:f>D28/1.23</x:f>
        <x:v>666.6666666666666</x:v>
      </x:c>
      <x:c r="F28" s="36" t="n">
        <x:v>8700</x:v>
      </x:c>
      <x:c r="G28" s="35" t="n">
        <x:v>7073.170731707317</x:v>
      </x:c>
      <x:c r="H28" s="36" t="n">
        <x:v>2640</x:v>
      </x:c>
      <x:c r="I28" s="35" t="n">
        <x:f>H28/1.23</x:f>
        <x:v>2146.3414634146343</x:v>
      </x:c>
      <x:c r="J28" s="36" t="n">
        <x:v>2640</x:v>
      </x:c>
      <x:c r="K28" s="35" t="n">
        <x:f>J28/1.23</x:f>
        <x:v>2146.3414634146343</x:v>
      </x:c>
      <x:c r="L28" s="36" t="n">
        <x:v>4780</x:v>
      </x:c>
      <x:c r="M28" s="35" t="n">
        <x:f>L28/1.23</x:f>
        <x:v>3886.1788617886177</x:v>
      </x:c>
      <x:c r="N28" s="36" t="n">
        <x:v>870</x:v>
      </x:c>
      <x:c r="O28" s="35" t="n">
        <x:f>N28/1.23</x:f>
        <x:v>707.3170731707318</x:v>
      </x:c>
      <x:c r="P28" s="36" t="n">
        <x:v>1210</x:v>
      </x:c>
      <x:c r="Q28" s="35" t="n">
        <x:f>P28/1.23</x:f>
        <x:v>983.739837398374</x:v>
      </x:c>
      <x:c r="R28" s="36" t="n">
        <x:v>1919</x:v>
      </x:c>
      <x:c r="S28" s="35" t="n">
        <x:f>R28/1.23</x:f>
        <x:v>1560.1626016260163</x:v>
      </x:c>
      <x:c r="T28" s="36" t="n">
        <x:v>2792</x:v>
      </x:c>
      <x:c r="U28" s="35" t="n">
        <x:f>T28/1.23</x:f>
        <x:v>2269.918699186992</x:v>
      </x:c>
      <x:c r="V28" s="46" t="n"/>
      <x:c r="W28" s="46" t="n"/>
      <x:c r="X28" s="46" t="n"/>
      <x:c r="Y28" s="46" t="n"/>
      <x:c r="Z28" s="46" t="n"/>
      <x:c r="AA28" s="46" t="n"/>
      <x:c r="AB28" s="46" t="n"/>
    </x:row>
    <x:row r="29" s="655" customFormat="1" ht="15.75" customHeight="1">
      <x:c r="A29" s="33" t="inlineStr">
        <x:is>
          <x:t xml:space="preserve">400 x 806   cm</x:t>
        </x:is>
      </x:c>
      <x:c r="B29" s="36" t="n">
        <x:v>20470</x:v>
      </x:c>
      <x:c r="C29" s="35" t="n">
        <x:f>B29/1.23</x:f>
        <x:v>16642.27642276423</x:v>
      </x:c>
      <x:c r="D29" s="36" t="n">
        <x:v>930</x:v>
      </x:c>
      <x:c r="E29" s="35" t="n">
        <x:f>D29/1.23</x:f>
        <x:v>756.0975609756098</x:v>
      </x:c>
      <x:c r="F29" s="36" t="n">
        <x:v>9328</x:v>
      </x:c>
      <x:c r="G29" s="35" t="n">
        <x:v>7583.739837398374</x:v>
      </x:c>
      <x:c r="H29" s="36" t="n">
        <x:v>2640</x:v>
      </x:c>
      <x:c r="I29" s="35" t="n">
        <x:f>H29/1.23</x:f>
        <x:v>2146.3414634146343</x:v>
      </x:c>
      <x:c r="J29" s="36" t="n">
        <x:v>2640</x:v>
      </x:c>
      <x:c r="K29" s="35" t="n">
        <x:f>J29/1.23</x:f>
        <x:v>2146.3414634146343</x:v>
      </x:c>
      <x:c r="L29" s="36" t="n">
        <x:v>5280</x:v>
      </x:c>
      <x:c r="M29" s="35" t="n">
        <x:f>L29/1.23</x:f>
        <x:v>4292.682926829269</x:v>
      </x:c>
      <x:c r="N29" s="36" t="n">
        <x:v>960</x:v>
      </x:c>
      <x:c r="O29" s="35" t="n">
        <x:f>N29/1.23</x:f>
        <x:v>780.4878048780488</x:v>
      </x:c>
      <x:c r="P29" s="36" t="n">
        <x:v>1440</x:v>
      </x:c>
      <x:c r="Q29" s="35" t="n">
        <x:f>P29/1.23</x:f>
        <x:v>1170.7317073170732</x:v>
      </x:c>
      <x:c r="R29" s="36" t="n">
        <x:v>2153</x:v>
      </x:c>
      <x:c r="S29" s="35" t="n">
        <x:f>R29/1.23</x:f>
        <x:v>1750.4065040650407</x:v>
      </x:c>
      <x:c r="T29" s="36" t="n">
        <x:v>3161</x:v>
      </x:c>
      <x:c r="U29" s="35" t="n">
        <x:f>T29/1.23</x:f>
        <x:v>2569.918699186992</x:v>
      </x:c>
      <x:c r="V29" s="46" t="n"/>
      <x:c r="W29" s="46" t="n"/>
      <x:c r="X29" s="46" t="n"/>
      <x:c r="Y29" s="46" t="n"/>
      <x:c r="Z29" s="46" t="n"/>
      <x:c r="AA29" s="46" t="n"/>
      <x:c r="AB29" s="46" t="n"/>
    </x:row>
    <x:row r="30" s="655" customFormat="1" ht="15.75" customHeight="1">
      <x:c r="A30" s="33" t="inlineStr">
        <x:is>
          <x:t xml:space="preserve">400 x 906   cm</x:t>
        </x:is>
      </x:c>
      <x:c r="B30" s="36" t="n">
        <x:v>22910</x:v>
      </x:c>
      <x:c r="C30" s="35" t="n">
        <x:f>B30/1.23</x:f>
        <x:v>18626.016260162603</x:v>
      </x:c>
      <x:c r="D30" s="36" t="n">
        <x:v>1050</x:v>
      </x:c>
      <x:c r="E30" s="35" t="n">
        <x:f>D30/1.23</x:f>
        <x:v>853.6585365853658</x:v>
      </x:c>
      <x:c r="F30" s="36" t="n">
        <x:v>9980</x:v>
      </x:c>
      <x:c r="G30" s="35" t="n">
        <x:v>8113.821138211382</x:v>
      </x:c>
      <x:c r="H30" s="36" t="n">
        <x:v>2640</x:v>
      </x:c>
      <x:c r="I30" s="35" t="n">
        <x:f>H30/1.23</x:f>
        <x:v>2146.3414634146343</x:v>
      </x:c>
      <x:c r="J30" s="36" t="n">
        <x:v>2640</x:v>
      </x:c>
      <x:c r="K30" s="35" t="n">
        <x:f>J30/1.23</x:f>
        <x:v>2146.3414634146343</x:v>
      </x:c>
      <x:c r="L30" s="36" t="n">
        <x:v>6400</x:v>
      </x:c>
      <x:c r="M30" s="35" t="n">
        <x:f>L30/1.23</x:f>
        <x:v>5203.252032520325</x:v>
      </x:c>
      <x:c r="N30" s="36" t="n">
        <x:v>1040</x:v>
      </x:c>
      <x:c r="O30" s="35" t="n">
        <x:f>N30/1.23</x:f>
        <x:v>845.5284552845528</x:v>
      </x:c>
      <x:c r="P30" s="36" t="n">
        <x:v>1560</x:v>
      </x:c>
      <x:c r="Q30" s="35" t="n">
        <x:f>P30/1.23</x:f>
        <x:v>1268.2926829268292</x:v>
      </x:c>
      <x:c r="R30" s="36" t="n">
        <x:v>2374</x:v>
      </x:c>
      <x:c r="S30" s="35" t="n">
        <x:f>R30/1.23</x:f>
        <x:v>1930.081300813008</x:v>
      </x:c>
      <x:c r="T30" s="36" t="n">
        <x:v>3530</x:v>
      </x:c>
      <x:c r="U30" s="35" t="n">
        <x:f>T30/1.23</x:f>
        <x:v>2869.918699186992</x:v>
      </x:c>
      <x:c r="V30" s="46" t="n"/>
      <x:c r="W30" s="46" t="n"/>
      <x:c r="X30" s="46" t="n"/>
      <x:c r="Y30" s="46" t="n"/>
      <x:c r="Z30" s="46" t="n"/>
      <x:c r="AA30" s="46" t="n"/>
      <x:c r="AB30" s="46" t="n"/>
    </x:row>
    <x:row r="31" s="655" customFormat="1" ht="15.75" customHeight="1">
      <x:c r="A31" s="33" t="inlineStr">
        <x:is>
          <x:t xml:space="preserve">400 x 1006 cm</x:t>
        </x:is>
      </x:c>
      <x:c r="B31" s="36" t="n">
        <x:v>25350</x:v>
      </x:c>
      <x:c r="C31" s="35" t="n">
        <x:f>B31/1.23</x:f>
        <x:v>20609.756097560978</x:v>
      </x:c>
      <x:c r="D31" s="36" t="n">
        <x:v>1160</x:v>
      </x:c>
      <x:c r="E31" s="35" t="n">
        <x:f>D31/1.23</x:f>
        <x:v>943.089430894309</x:v>
      </x:c>
      <x:c r="F31" s="36" t="n">
        <x:v>10620</x:v>
      </x:c>
      <x:c r="G31" s="35" t="n">
        <x:v>8634.146341463415</x:v>
      </x:c>
      <x:c r="H31" s="36" t="n">
        <x:v>2640</x:v>
      </x:c>
      <x:c r="I31" s="35" t="n">
        <x:f>H31/1.23</x:f>
        <x:v>2146.3414634146343</x:v>
      </x:c>
      <x:c r="J31" s="36" t="n">
        <x:v>2640</x:v>
      </x:c>
      <x:c r="K31" s="35" t="n">
        <x:f>J31/1.23</x:f>
        <x:v>2146.3414634146343</x:v>
      </x:c>
      <x:c r="L31" s="36" t="n">
        <x:v>6910</x:v>
      </x:c>
      <x:c r="M31" s="35" t="n">
        <x:f>L31/1.23</x:f>
        <x:v>5617.886178861789</x:v>
      </x:c>
      <x:c r="N31" s="36" t="n">
        <x:v>1230</x:v>
      </x:c>
      <x:c r="O31" s="35" t="n">
        <x:f>N31/1.23</x:f>
        <x:v>1000</x:v>
      </x:c>
      <x:c r="P31" s="36" t="n">
        <x:v>1650</x:v>
      </x:c>
      <x:c r="Q31" s="35" t="n">
        <x:f>P31/1.23</x:f>
        <x:v>1341.4634146341464</x:v>
      </x:c>
      <x:c r="R31" s="36" t="n">
        <x:v>2595</x:v>
      </x:c>
      <x:c r="S31" s="35" t="n">
        <x:f>R31/1.23</x:f>
        <x:v>2109.756097560976</x:v>
      </x:c>
      <x:c r="T31" s="36" t="n">
        <x:v>3899</x:v>
      </x:c>
      <x:c r="U31" s="35" t="n">
        <x:f>T31/1.23</x:f>
        <x:v>3169.918699186992</x:v>
      </x:c>
      <x:c r="V31" s="46" t="n"/>
      <x:c r="W31" s="46" t="n"/>
      <x:c r="X31" s="46" t="n"/>
      <x:c r="Y31" s="46" t="n"/>
      <x:c r="Z31" s="46" t="n"/>
      <x:c r="AA31" s="46" t="n"/>
      <x:c r="AB31" s="46" t="n"/>
    </x:row>
    <x:row r="32" s="655" customFormat="1" ht="15.75" customHeight="1">
      <x:c r="A32" s="33" t="inlineStr">
        <x:is>
          <x:t xml:space="preserve">400 x 1106 cm</x:t>
        </x:is>
      </x:c>
      <x:c r="B32" s="36" t="n">
        <x:v>27000</x:v>
      </x:c>
      <x:c r="C32" s="35" t="n">
        <x:f>B32/1.23</x:f>
        <x:v>21951.219512195123</x:v>
      </x:c>
      <x:c r="D32" s="36" t="n">
        <x:v>1280</x:v>
      </x:c>
      <x:c r="E32" s="35" t="n">
        <x:f>D32/1.23</x:f>
        <x:v>1040.6504065040651</x:v>
      </x:c>
      <x:c r="F32" s="36" t="n">
        <x:v>13350</x:v>
      </x:c>
      <x:c r="G32" s="35" t="n">
        <x:v>10853.65853658537</x:v>
      </x:c>
      <x:c r="H32" s="36" t="n">
        <x:v>2640</x:v>
      </x:c>
      <x:c r="I32" s="35" t="n">
        <x:f>H32/1.23</x:f>
        <x:v>2146.3414634146343</x:v>
      </x:c>
      <x:c r="J32" s="36" t="n">
        <x:v>2640</x:v>
      </x:c>
      <x:c r="K32" s="35" t="n">
        <x:f>J32/1.23</x:f>
        <x:v>2146.3414634146343</x:v>
      </x:c>
      <x:c r="L32" s="36" t="n">
        <x:v>7420</x:v>
      </x:c>
      <x:c r="M32" s="35" t="n">
        <x:f>L32/1.23</x:f>
        <x:v>6032.5203252032525</x:v>
      </x:c>
      <x:c r="N32" s="36" t="n">
        <x:v>1430</x:v>
      </x:c>
      <x:c r="O32" s="35" t="n">
        <x:f>N32/1.23</x:f>
        <x:v>1162.60162601626</x:v>
      </x:c>
      <x:c r="P32" s="36" t="n">
        <x:v>1770</x:v>
      </x:c>
      <x:c r="Q32" s="35" t="n">
        <x:f>P32/1.23</x:f>
        <x:v>1439.0243902439024</x:v>
      </x:c>
      <x:c r="R32" s="36" t="n">
        <x:v>2829</x:v>
      </x:c>
      <x:c r="S32" s="35" t="n">
        <x:f>R32/1.23</x:f>
        <x:v>2300</x:v>
      </x:c>
      <x:c r="T32" s="36" t="n">
        <x:v>4268</x:v>
      </x:c>
      <x:c r="U32" s="35" t="n">
        <x:f>T32/1.23</x:f>
        <x:v>3469.918699186992</x:v>
      </x:c>
      <x:c r="V32" s="46" t="n"/>
      <x:c r="W32" s="46" t="n"/>
      <x:c r="X32" s="46" t="n"/>
      <x:c r="Y32" s="46" t="n"/>
      <x:c r="Z32" s="46" t="n"/>
      <x:c r="AA32" s="46" t="n"/>
      <x:c r="AB32" s="46" t="n"/>
    </x:row>
    <x:row r="33" s="655" customFormat="1" ht="15.75" customHeight="1">
      <x:c r="A33" s="33" t="inlineStr">
        <x:is>
          <x:t xml:space="preserve">400 x 1206 cm</x:t>
        </x:is>
      </x:c>
      <x:c r="B33" s="36" t="n">
        <x:v>28660</x:v>
      </x:c>
      <x:c r="C33" s="35" t="n">
        <x:f>B33/1.23</x:f>
        <x:v>23300.81300813008</x:v>
      </x:c>
      <x:c r="D33" s="36" t="n">
        <x:v>1390</x:v>
      </x:c>
      <x:c r="E33" s="35" t="n">
        <x:f>D33/1.23</x:f>
        <x:v>1130.081300813008</x:v>
      </x:c>
      <x:c r="F33" s="36" t="n">
        <x:v>13980</x:v>
      </x:c>
      <x:c r="G33" s="35" t="n">
        <x:v>11365.85365853659</x:v>
      </x:c>
      <x:c r="H33" s="36" t="n">
        <x:v>2640</x:v>
      </x:c>
      <x:c r="I33" s="35" t="n">
        <x:f>H33/1.23</x:f>
        <x:v>2146.3414634146343</x:v>
      </x:c>
      <x:c r="J33" s="36" t="n">
        <x:v>2640</x:v>
      </x:c>
      <x:c r="K33" s="35" t="n">
        <x:f>J33/1.23</x:f>
        <x:v>2146.3414634146343</x:v>
      </x:c>
      <x:c r="L33" s="36" t="n">
        <x:v>7920</x:v>
      </x:c>
      <x:c r="M33" s="35" t="n">
        <x:f>L33/1.23</x:f>
        <x:v>6439.024390243902</x:v>
      </x:c>
      <x:c r="N33" s="36" t="n">
        <x:v>1510</x:v>
      </x:c>
      <x:c r="O33" s="35" t="n">
        <x:f>N33/1.23</x:f>
        <x:v>1227.6422764227643</x:v>
      </x:c>
      <x:c r="P33" s="36" t="n">
        <x:v>1900</x:v>
      </x:c>
      <x:c r="Q33" s="35" t="n">
        <x:f>P33/1.23</x:f>
        <x:v>1544.7154471544716</x:v>
      </x:c>
      <x:c r="R33" s="36" t="n">
        <x:v>3050</x:v>
      </x:c>
      <x:c r="S33" s="35" t="n">
        <x:f>R33/1.23</x:f>
        <x:v>2479.6747967479673</x:v>
      </x:c>
      <x:c r="T33" s="36" t="n">
        <x:v>4637</x:v>
      </x:c>
      <x:c r="U33" s="35" t="n">
        <x:f>T33/1.23</x:f>
        <x:v>3769.918699186992</x:v>
      </x:c>
      <x:c r="V33" s="46" t="n"/>
      <x:c r="W33" s="46" t="n"/>
      <x:c r="X33" s="46" t="n"/>
      <x:c r="Y33" s="46" t="n"/>
      <x:c r="Z33" s="46" t="n"/>
      <x:c r="AA33" s="46" t="n"/>
      <x:c r="AB33" s="46" t="n"/>
    </x:row>
    <x:row r="34" s="655" customFormat="1" ht="21.75" customHeight="1">
      <x:c r="A34" s="21" t="inlineStr">
        <x:is>
          <x:t xml:space="preserve">SERIA PRO+  450-600 cm</x:t>
        </x:is>
      </x:c>
      <x:c r="B34" s="631" t="inlineStr">
        <x:is>
          <x:t xml:space="preserve">  ZADASZENIE SZKŁO</x:t>
        </x:is>
      </x:c>
      <x:c r="C34" s="619" t="n"/>
      <x:c r="D34" s="619" t="n"/>
      <x:c r="E34" s="619" t="n"/>
      <x:c r="F34" s="619" t="n"/>
      <x:c r="G34" s="619" t="n"/>
      <x:c r="H34" s="619" t="n"/>
      <x:c r="I34" s="619" t="n"/>
      <x:c r="J34" s="619" t="n"/>
      <x:c r="K34" s="619" t="n"/>
      <x:c r="L34" s="619" t="n"/>
      <x:c r="M34" s="619" t="n"/>
      <x:c r="N34" s="619" t="n"/>
      <x:c r="O34" s="619" t="n"/>
      <x:c r="P34" s="619" t="n"/>
      <x:c r="Q34" s="619" t="n"/>
      <x:c r="R34" s="619" t="n"/>
      <x:c r="S34" s="619" t="n"/>
      <x:c r="T34" s="619" t="n"/>
      <x:c r="U34" s="619" t="n"/>
      <x:c r="V34" s="619" t="n"/>
      <x:c r="W34" s="619" t="n"/>
      <x:c r="X34" s="619" t="n"/>
      <x:c r="Y34" s="619" t="n"/>
      <x:c r="Z34" s="619" t="n"/>
      <x:c r="AA34" s="619" t="n"/>
      <x:c r="AB34" s="632" t="n"/>
    </x:row>
    <x:row r="35" s="655" customFormat="1" ht="15.75" customHeight="1">
      <x:c r="A35" s="40" t="inlineStr">
        <x:is>
          <x:t xml:space="preserve">450 x 306   cm</x:t>
        </x:is>
      </x:c>
      <x:c r="B35" s="43" t="n">
        <x:v>10590</x:v>
      </x:c>
      <x:c r="C35" s="42" t="n">
        <x:f>B35/1.23</x:f>
        <x:v>8609.756097560976</x:v>
      </x:c>
      <x:c r="D35" s="43" t="n">
        <x:v>380</x:v>
      </x:c>
      <x:c r="E35" s="42" t="n">
        <x:f>D35/1.23</x:f>
        <x:v>308.9430894308943</x:v>
      </x:c>
      <x:c r="F35" s="43" t="n">
        <x:v>4080</x:v>
      </x:c>
      <x:c r="G35" s="42" t="n">
        <x:v>3317.073170731707</x:v>
      </x:c>
      <x:c r="H35" s="43" t="n">
        <x:v>3160</x:v>
      </x:c>
      <x:c r="I35" s="42" t="n">
        <x:f>H35/1.23</x:f>
        <x:v>2569.1056910569105</x:v>
      </x:c>
      <x:c r="J35" s="43" t="n">
        <x:v>3160</x:v>
      </x:c>
      <x:c r="K35" s="42" t="n">
        <x:f>J35/1.23</x:f>
        <x:v>2569.1056910569105</x:v>
      </x:c>
      <x:c r="L35" s="43" t="n">
        <x:v>2140</x:v>
      </x:c>
      <x:c r="M35" s="42" t="n">
        <x:f>L35/1.23</x:f>
        <x:v>1739.8373983739837</x:v>
      </x:c>
      <x:c r="N35" s="43" t="n">
        <x:v>420.0000000000001</x:v>
      </x:c>
      <x:c r="O35" s="42" t="n">
        <x:f>N35/1.23</x:f>
        <x:v>341.46341463414643</x:v>
      </x:c>
      <x:c r="P35" s="43" t="n">
        <x:v>640</x:v>
      </x:c>
      <x:c r="Q35" s="42" t="n">
        <x:f>P35/1.23</x:f>
        <x:v>520.3252032520326</x:v>
      </x:c>
      <x:c r="R35" s="45" t="n"/>
      <x:c r="S35" s="46" t="n"/>
      <x:c r="T35" s="45" t="n"/>
      <x:c r="U35" s="46" t="n"/>
      <x:c r="V35" s="46" t="n"/>
      <x:c r="W35" s="46" t="n"/>
      <x:c r="X35" s="46" t="n"/>
      <x:c r="Y35" s="46" t="n"/>
      <x:c r="Z35" s="46" t="n"/>
      <x:c r="AA35" s="46" t="n"/>
      <x:c r="AB35" s="46" t="n"/>
    </x:row>
    <x:row r="36" s="655" customFormat="1" ht="15.75" customHeight="1">
      <x:c r="A36" s="40" t="inlineStr">
        <x:is>
          <x:t xml:space="preserve">450 x 406   cm</x:t>
        </x:is>
      </x:c>
      <x:c r="B36" s="43" t="n">
        <x:v>13840</x:v>
      </x:c>
      <x:c r="C36" s="42" t="n">
        <x:f>B36/1.23</x:f>
        <x:v>11252.032520325203</x:v>
      </x:c>
      <x:c r="D36" s="43" t="n">
        <x:v>500</x:v>
      </x:c>
      <x:c r="E36" s="42" t="n">
        <x:f>D36/1.23</x:f>
        <x:v>406.5040650406504</x:v>
      </x:c>
      <x:c r="F36" s="43" t="n">
        <x:v>4670</x:v>
      </x:c>
      <x:c r="G36" s="42" t="n">
        <x:v>3796.747967479675</x:v>
      </x:c>
      <x:c r="H36" s="43" t="n">
        <x:v>3160</x:v>
      </x:c>
      <x:c r="I36" s="42" t="n">
        <x:f>H36/1.23</x:f>
        <x:v>2569.1056910569105</x:v>
      </x:c>
      <x:c r="J36" s="43" t="n">
        <x:v>3160</x:v>
      </x:c>
      <x:c r="K36" s="42" t="n">
        <x:f>J36/1.23</x:f>
        <x:v>2569.1056910569105</x:v>
      </x:c>
      <x:c r="L36" s="43" t="n">
        <x:v>2640</x:v>
      </x:c>
      <x:c r="M36" s="42" t="n">
        <x:f>L36/1.23</x:f>
        <x:v>2146.3414634146343</x:v>
      </x:c>
      <x:c r="N36" s="43" t="n">
        <x:v>510</x:v>
      </x:c>
      <x:c r="O36" s="42" t="n">
        <x:f>N36/1.23</x:f>
        <x:v>414.6341463414634</x:v>
      </x:c>
      <x:c r="P36" s="43" t="n">
        <x:v>740</x:v>
      </x:c>
      <x:c r="Q36" s="42" t="n">
        <x:f>P36/1.23</x:f>
        <x:v>601.6260162601626</x:v>
      </x:c>
      <x:c r="R36" s="45" t="n"/>
      <x:c r="S36" s="46" t="n"/>
      <x:c r="T36" s="45" t="n"/>
      <x:c r="U36" s="46" t="n"/>
      <x:c r="V36" s="46" t="n"/>
      <x:c r="W36" s="46" t="n"/>
      <x:c r="X36" s="46" t="n"/>
      <x:c r="Y36" s="46" t="n"/>
      <x:c r="Z36" s="46" t="n"/>
      <x:c r="AA36" s="46" t="n"/>
      <x:c r="AB36" s="46" t="n"/>
    </x:row>
    <x:row r="37" s="655" customFormat="1" ht="15.75" customHeight="1">
      <x:c r="A37" s="40" t="inlineStr">
        <x:is>
          <x:t xml:space="preserve">450 x 506   cm</x:t>
        </x:is>
      </x:c>
      <x:c r="B37" s="43" t="n">
        <x:v>17430</x:v>
      </x:c>
      <x:c r="C37" s="42" t="n">
        <x:f>B37/1.23</x:f>
        <x:v>14170.731707317073</x:v>
      </x:c>
      <x:c r="D37" s="43" t="n">
        <x:v>630</x:v>
      </x:c>
      <x:c r="E37" s="42" t="n">
        <x:f>D37/1.23</x:f>
        <x:v>512.1951219512196</x:v>
      </x:c>
      <x:c r="F37" s="43" t="n">
        <x:v>5420</x:v>
      </x:c>
      <x:c r="G37" s="42" t="n">
        <x:v>4406.504065040651</x:v>
      </x:c>
      <x:c r="H37" s="43" t="n">
        <x:v>3160</x:v>
      </x:c>
      <x:c r="I37" s="42" t="n">
        <x:f>H37/1.23</x:f>
        <x:v>2569.1056910569105</x:v>
      </x:c>
      <x:c r="J37" s="43" t="n">
        <x:v>3160</x:v>
      </x:c>
      <x:c r="K37" s="42" t="n">
        <x:f>J37/1.23</x:f>
        <x:v>2569.1056910569105</x:v>
      </x:c>
      <x:c r="L37" s="43" t="n">
        <x:v>3700</x:v>
      </x:c>
      <x:c r="M37" s="42" t="n">
        <x:f>L37/1.23</x:f>
        <x:v>3008.130081300813</x:v>
      </x:c>
      <x:c r="N37" s="43" t="n">
        <x:v>600</x:v>
      </x:c>
      <x:c r="O37" s="42" t="n">
        <x:f>N37/1.23</x:f>
        <x:v>487.8048780487805</x:v>
      </x:c>
      <x:c r="P37" s="43" t="n">
        <x:v>960</x:v>
      </x:c>
      <x:c r="Q37" s="42" t="n">
        <x:f>P37/1.23</x:f>
        <x:v>780.4878048780488</x:v>
      </x:c>
      <x:c r="R37" s="45" t="n"/>
      <x:c r="S37" s="46" t="n"/>
      <x:c r="T37" s="45" t="n"/>
      <x:c r="U37" s="46" t="n"/>
      <x:c r="V37" s="46" t="n"/>
      <x:c r="W37" s="46" t="n"/>
      <x:c r="X37" s="46" t="n"/>
      <x:c r="Y37" s="46" t="n"/>
      <x:c r="Z37" s="46" t="n"/>
      <x:c r="AA37" s="46" t="n"/>
      <x:c r="AB37" s="46" t="n"/>
    </x:row>
    <x:row r="38" s="655" customFormat="1" ht="15.75" customHeight="1">
      <x:c r="A38" s="40" t="inlineStr">
        <x:is>
          <x:t xml:space="preserve">450 x 606   cm</x:t>
        </x:is>
      </x:c>
      <x:c r="B38" s="43" t="n">
        <x:v>20680</x:v>
      </x:c>
      <x:c r="C38" s="42" t="n">
        <x:f>B38/1.23</x:f>
        <x:v>16813.0081300813</x:v>
      </x:c>
      <x:c r="D38" s="43" t="n">
        <x:v>760</x:v>
      </x:c>
      <x:c r="E38" s="42" t="n">
        <x:f>D38/1.23</x:f>
        <x:v>617.8861788617886</x:v>
      </x:c>
      <x:c r="F38" s="43" t="n">
        <x:v>8160</x:v>
      </x:c>
      <x:c r="G38" s="42" t="n">
        <x:v>6634.146341463415</x:v>
      </x:c>
      <x:c r="H38" s="43" t="n">
        <x:v>3160</x:v>
      </x:c>
      <x:c r="I38" s="42" t="n">
        <x:f>H38/1.23</x:f>
        <x:v>2569.1056910569105</x:v>
      </x:c>
      <x:c r="J38" s="43" t="n">
        <x:v>3160</x:v>
      </x:c>
      <x:c r="K38" s="42" t="n">
        <x:f>J38/1.23</x:f>
        <x:v>2569.1056910569105</x:v>
      </x:c>
      <x:c r="L38" s="43" t="n">
        <x:v>4270</x:v>
      </x:c>
      <x:c r="M38" s="42" t="n">
        <x:f>L38/1.23</x:f>
        <x:v>3471.5447154471544</x:v>
      </x:c>
      <x:c r="N38" s="43" t="n">
        <x:v>790</x:v>
      </x:c>
      <x:c r="O38" s="42" t="n">
        <x:f>N38/1.23</x:f>
        <x:v>642.2764227642276</x:v>
      </x:c>
      <x:c r="P38" s="43" t="n">
        <x:v>1090</x:v>
      </x:c>
      <x:c r="Q38" s="42" t="n">
        <x:f>P38/1.23</x:f>
        <x:v>886.178861788618</x:v>
      </x:c>
      <x:c r="R38" s="45" t="n"/>
      <x:c r="S38" s="46" t="n"/>
      <x:c r="T38" s="45" t="n"/>
      <x:c r="U38" s="46" t="n"/>
      <x:c r="V38" s="46" t="n"/>
      <x:c r="W38" s="46" t="n"/>
      <x:c r="X38" s="46" t="n"/>
      <x:c r="Y38" s="46" t="n"/>
      <x:c r="Z38" s="46" t="n"/>
      <x:c r="AA38" s="46" t="n"/>
      <x:c r="AB38" s="46" t="n"/>
    </x:row>
    <x:row r="39" s="655" customFormat="1" ht="15.75" customHeight="1">
      <x:c r="A39" s="40" t="inlineStr">
        <x:is>
          <x:t xml:space="preserve">450 x 706   cm</x:t>
        </x:is>
      </x:c>
      <x:c r="B39" s="43" t="n">
        <x:v>25090</x:v>
      </x:c>
      <x:c r="C39" s="42" t="n">
        <x:f>B39/1.23</x:f>
        <x:v>20398.37398373984</x:v>
      </x:c>
      <x:c r="D39" s="43" t="n">
        <x:v>880</x:v>
      </x:c>
      <x:c r="E39" s="42" t="n">
        <x:f>D39/1.23</x:f>
        <x:v>715.4471544715448</x:v>
      </x:c>
      <x:c r="F39" s="43" t="n">
        <x:v>8750</x:v>
      </x:c>
      <x:c r="G39" s="42" t="n">
        <x:v>7113.821138211382</x:v>
      </x:c>
      <x:c r="H39" s="43" t="n">
        <x:v>3160</x:v>
      </x:c>
      <x:c r="I39" s="42" t="n">
        <x:f>H39/1.23</x:f>
        <x:v>2569.1056910569105</x:v>
      </x:c>
      <x:c r="J39" s="43" t="n">
        <x:v>3160</x:v>
      </x:c>
      <x:c r="K39" s="42" t="n">
        <x:f>J39/1.23</x:f>
        <x:v>2569.1056910569105</x:v>
      </x:c>
      <x:c r="L39" s="43" t="n">
        <x:v>4780</x:v>
      </x:c>
      <x:c r="M39" s="42" t="n">
        <x:f>L39/1.23</x:f>
        <x:v>3886.1788617886177</x:v>
      </x:c>
      <x:c r="N39" s="43" t="n">
        <x:v>870.0000000000001</x:v>
      </x:c>
      <x:c r="O39" s="42" t="n">
        <x:f>N39/1.23</x:f>
        <x:v>707.3170731707318</x:v>
      </x:c>
      <x:c r="P39" s="43" t="n">
        <x:v>1210</x:v>
      </x:c>
      <x:c r="Q39" s="42" t="n">
        <x:f>P39/1.23</x:f>
        <x:v>983.739837398374</x:v>
      </x:c>
      <x:c r="R39" s="45" t="n"/>
      <x:c r="S39" s="46" t="n"/>
      <x:c r="T39" s="45" t="n"/>
      <x:c r="U39" s="46" t="n"/>
      <x:c r="V39" s="46" t="n"/>
      <x:c r="W39" s="46" t="n"/>
      <x:c r="X39" s="46" t="n"/>
      <x:c r="Y39" s="46" t="n"/>
      <x:c r="Z39" s="46" t="n"/>
      <x:c r="AA39" s="46" t="n"/>
      <x:c r="AB39" s="46" t="n"/>
    </x:row>
    <x:row r="40" s="655" customFormat="1" ht="15.75" customHeight="1">
      <x:c r="A40" s="40" t="inlineStr">
        <x:is>
          <x:t xml:space="preserve">450 x 806   cm</x:t>
        </x:is>
      </x:c>
      <x:c r="B40" s="43" t="n">
        <x:v>28340.24474294126</x:v>
      </x:c>
      <x:c r="C40" s="42" t="n">
        <x:f>B40/1.23</x:f>
        <x:v>23040.84938450509</x:v>
      </x:c>
      <x:c r="D40" s="43" t="n">
        <x:v>1010</x:v>
      </x:c>
      <x:c r="E40" s="42" t="n">
        <x:f>D40/1.23</x:f>
        <x:v>821.1382113821138</x:v>
      </x:c>
      <x:c r="F40" s="43" t="n">
        <x:v>9340</x:v>
      </x:c>
      <x:c r="G40" s="42" t="n">
        <x:v>7593.49593495935</x:v>
      </x:c>
      <x:c r="H40" s="43" t="n">
        <x:v>3160</x:v>
      </x:c>
      <x:c r="I40" s="42" t="n">
        <x:f>H40/1.23</x:f>
        <x:v>2569.1056910569105</x:v>
      </x:c>
      <x:c r="J40" s="43" t="n">
        <x:v>3160</x:v>
      </x:c>
      <x:c r="K40" s="42" t="n">
        <x:f>J40/1.23</x:f>
        <x:v>2569.1056910569105</x:v>
      </x:c>
      <x:c r="L40" s="43" t="n">
        <x:v>5280</x:v>
      </x:c>
      <x:c r="M40" s="42" t="n">
        <x:f>L40/1.23</x:f>
        <x:v>4292.682926829269</x:v>
      </x:c>
      <x:c r="N40" s="43" t="n">
        <x:v>960</x:v>
      </x:c>
      <x:c r="O40" s="42" t="n">
        <x:f>N40/1.23</x:f>
        <x:v>780.4878048780488</x:v>
      </x:c>
      <x:c r="P40" s="43" t="n">
        <x:v>1440</x:v>
      </x:c>
      <x:c r="Q40" s="42" t="n">
        <x:f>P40/1.23</x:f>
        <x:v>1170.7317073170732</x:v>
      </x:c>
      <x:c r="R40" s="45" t="n"/>
      <x:c r="S40" s="46" t="n"/>
      <x:c r="T40" s="45" t="n"/>
      <x:c r="U40" s="46" t="n"/>
      <x:c r="V40" s="46" t="n"/>
      <x:c r="W40" s="46" t="n"/>
      <x:c r="X40" s="46" t="n"/>
      <x:c r="Y40" s="46" t="n"/>
      <x:c r="Z40" s="46" t="n"/>
      <x:c r="AA40" s="46" t="n"/>
      <x:c r="AB40" s="46" t="n"/>
    </x:row>
    <x:row r="41" s="655" customFormat="1" ht="15.75" customHeight="1">
      <x:c r="A41" s="40" t="inlineStr">
        <x:is>
          <x:t xml:space="preserve">450 x 906   cm</x:t>
        </x:is>
      </x:c>
      <x:c r="B41" s="43" t="n">
        <x:v>32090</x:v>
      </x:c>
      <x:c r="C41" s="42" t="n">
        <x:f>B41/1.23</x:f>
        <x:v>26089.43089430894</x:v>
      </x:c>
      <x:c r="D41" s="43" t="n">
        <x:v>1140</x:v>
      </x:c>
      <x:c r="E41" s="42" t="n">
        <x:f>D41/1.23</x:f>
        <x:v>926.829268292683</x:v>
      </x:c>
      <x:c r="F41" s="43" t="n">
        <x:v>10090</x:v>
      </x:c>
      <x:c r="G41" s="42" t="n">
        <x:v>8203.252032520326</x:v>
      </x:c>
      <x:c r="H41" s="43" t="n">
        <x:v>3160</x:v>
      </x:c>
      <x:c r="I41" s="42" t="n">
        <x:f>H41/1.23</x:f>
        <x:v>2569.1056910569105</x:v>
      </x:c>
      <x:c r="J41" s="43" t="n">
        <x:v>3160</x:v>
      </x:c>
      <x:c r="K41" s="42" t="n">
        <x:f>J41/1.23</x:f>
        <x:v>2569.1056910569105</x:v>
      </x:c>
      <x:c r="L41" s="43" t="n">
        <x:v>6400</x:v>
      </x:c>
      <x:c r="M41" s="42" t="n">
        <x:f>L41/1.23</x:f>
        <x:v>5203.252032520325</x:v>
      </x:c>
      <x:c r="N41" s="43" t="n">
        <x:v>1040</x:v>
      </x:c>
      <x:c r="O41" s="42" t="n">
        <x:f>N41/1.23</x:f>
        <x:v>845.5284552845528</x:v>
      </x:c>
      <x:c r="P41" s="43" t="n">
        <x:v>1560</x:v>
      </x:c>
      <x:c r="Q41" s="42" t="n">
        <x:f>P41/1.23</x:f>
        <x:v>1268.2926829268292</x:v>
      </x:c>
      <x:c r="R41" s="45" t="n"/>
      <x:c r="S41" s="46" t="n"/>
      <x:c r="T41" s="45" t="n"/>
      <x:c r="U41" s="46" t="n"/>
      <x:c r="V41" s="46" t="n"/>
      <x:c r="W41" s="46" t="n"/>
      <x:c r="X41" s="46" t="n"/>
      <x:c r="Y41" s="46" t="n"/>
      <x:c r="Z41" s="46" t="n"/>
      <x:c r="AA41" s="46" t="n"/>
      <x:c r="AB41" s="46" t="n"/>
    </x:row>
    <x:row r="42" s="655" customFormat="1" ht="15.75" customHeight="1">
      <x:c r="A42" s="40" t="inlineStr">
        <x:is>
          <x:t xml:space="preserve">450 x 1006 cm</x:t>
        </x:is>
      </x:c>
      <x:c r="B42" s="43" t="n">
        <x:v>35350</x:v>
      </x:c>
      <x:c r="C42" s="42" t="n">
        <x:f>B42/1.23</x:f>
        <x:v>28739.837398373984</x:v>
      </x:c>
      <x:c r="D42" s="43" t="n">
        <x:v>1260</x:v>
      </x:c>
      <x:c r="E42" s="42" t="n">
        <x:f>D42/1.23</x:f>
        <x:v>1024.3902439024391</x:v>
      </x:c>
      <x:c r="F42" s="43" t="n">
        <x:v>10830</x:v>
      </x:c>
      <x:c r="G42" s="42" t="n">
        <x:v>8804.878048780489</x:v>
      </x:c>
      <x:c r="H42" s="43" t="n">
        <x:v>3160</x:v>
      </x:c>
      <x:c r="I42" s="42" t="n">
        <x:f>H42/1.23</x:f>
        <x:v>2569.1056910569105</x:v>
      </x:c>
      <x:c r="J42" s="43" t="n">
        <x:v>3160</x:v>
      </x:c>
      <x:c r="K42" s="42" t="n">
        <x:f>J42/1.23</x:f>
        <x:v>2569.1056910569105</x:v>
      </x:c>
      <x:c r="L42" s="43" t="n">
        <x:v>6910</x:v>
      </x:c>
      <x:c r="M42" s="42" t="n">
        <x:f>L42/1.23</x:f>
        <x:v>5617.886178861789</x:v>
      </x:c>
      <x:c r="N42" s="43" t="n">
        <x:v>1230</x:v>
      </x:c>
      <x:c r="O42" s="42" t="n">
        <x:f>N42/1.23</x:f>
        <x:v>1000</x:v>
      </x:c>
      <x:c r="P42" s="43" t="n">
        <x:v>1650</x:v>
      </x:c>
      <x:c r="Q42" s="42" t="n">
        <x:f>P42/1.23</x:f>
        <x:v>1341.4634146341464</x:v>
      </x:c>
      <x:c r="R42" s="45" t="n"/>
      <x:c r="S42" s="46" t="n"/>
      <x:c r="T42" s="45" t="n"/>
      <x:c r="U42" s="46" t="n"/>
      <x:c r="V42" s="46" t="n"/>
      <x:c r="W42" s="46" t="n"/>
      <x:c r="X42" s="46" t="n"/>
      <x:c r="Y42" s="46" t="n"/>
      <x:c r="Z42" s="46" t="n"/>
      <x:c r="AA42" s="46" t="n"/>
      <x:c r="AB42" s="46" t="n"/>
    </x:row>
    <x:row r="43" s="655" customFormat="1" ht="15.75" customHeight="1">
      <x:c r="A43" s="40" t="inlineStr">
        <x:is>
          <x:t xml:space="preserve">450 x 1106 cm</x:t>
        </x:is>
      </x:c>
      <x:c r="B43" s="43" t="n">
        <x:v>39490</x:v>
      </x:c>
      <x:c r="C43" s="42" t="n">
        <x:f>B43/1.23</x:f>
        <x:v>32105.69105691057</x:v>
      </x:c>
      <x:c r="D43" s="43" t="n">
        <x:v>1380</x:v>
      </x:c>
      <x:c r="E43" s="42" t="n">
        <x:f>D43/1.23</x:f>
        <x:v>1121.9512195121952</x:v>
      </x:c>
      <x:c r="F43" s="43" t="n">
        <x:v>13420</x:v>
      </x:c>
      <x:c r="G43" s="42" t="n">
        <x:v>10910.56910569106</x:v>
      </x:c>
      <x:c r="H43" s="43" t="n">
        <x:v>3160</x:v>
      </x:c>
      <x:c r="I43" s="42" t="n">
        <x:f>H43/1.23</x:f>
        <x:v>2569.1056910569105</x:v>
      </x:c>
      <x:c r="J43" s="43" t="n">
        <x:v>3160</x:v>
      </x:c>
      <x:c r="K43" s="42" t="n">
        <x:f>J43/1.23</x:f>
        <x:v>2569.1056910569105</x:v>
      </x:c>
      <x:c r="L43" s="43" t="n">
        <x:v>7420</x:v>
      </x:c>
      <x:c r="M43" s="42" t="n">
        <x:f>L43/1.23</x:f>
        <x:v>6032.5203252032525</x:v>
      </x:c>
      <x:c r="N43" s="43" t="n">
        <x:v>1430</x:v>
      </x:c>
      <x:c r="O43" s="42" t="n">
        <x:f>N43/1.23</x:f>
        <x:v>1162.60162601626</x:v>
      </x:c>
      <x:c r="P43" s="43" t="n">
        <x:v>1770</x:v>
      </x:c>
      <x:c r="Q43" s="42" t="n">
        <x:f>P43/1.23</x:f>
        <x:v>1439.0243902439024</x:v>
      </x:c>
      <x:c r="R43" s="45" t="n"/>
      <x:c r="S43" s="46" t="n"/>
      <x:c r="T43" s="45" t="n"/>
      <x:c r="U43" s="46" t="n"/>
      <x:c r="V43" s="46" t="n"/>
      <x:c r="W43" s="46" t="n"/>
      <x:c r="X43" s="46" t="n"/>
      <x:c r="Y43" s="46" t="n"/>
      <x:c r="Z43" s="46" t="n"/>
      <x:c r="AA43" s="46" t="n"/>
      <x:c r="AB43" s="46" t="n"/>
    </x:row>
    <x:row r="44" s="655" customFormat="1" ht="15.75" customHeight="1">
      <x:c r="A44" s="40" t="inlineStr">
        <x:is>
          <x:t xml:space="preserve">450 x 1206 cm</x:t>
        </x:is>
      </x:c>
      <x:c r="B44" s="43" t="n">
        <x:v>42740</x:v>
      </x:c>
      <x:c r="C44" s="42" t="n">
        <x:f>B44/1.23</x:f>
        <x:v>34747.9674796748</x:v>
      </x:c>
      <x:c r="D44" s="43" t="n">
        <x:v>1510</x:v>
      </x:c>
      <x:c r="E44" s="42" t="n">
        <x:f>D44/1.23</x:f>
        <x:v>1227.6422764227643</x:v>
      </x:c>
      <x:c r="F44" s="43" t="n">
        <x:v>14010</x:v>
      </x:c>
      <x:c r="G44" s="42" t="n">
        <x:v>11390.24390243902</x:v>
      </x:c>
      <x:c r="H44" s="43" t="n">
        <x:v>3160</x:v>
      </x:c>
      <x:c r="I44" s="42" t="n">
        <x:f>H44/1.23</x:f>
        <x:v>2569.1056910569105</x:v>
      </x:c>
      <x:c r="J44" s="43" t="n">
        <x:v>3160</x:v>
      </x:c>
      <x:c r="K44" s="42" t="n">
        <x:f>J44/1.23</x:f>
        <x:v>2569.1056910569105</x:v>
      </x:c>
      <x:c r="L44" s="43" t="n">
        <x:v>7920</x:v>
      </x:c>
      <x:c r="M44" s="42" t="n">
        <x:f>L44/1.23</x:f>
        <x:v>6439.024390243902</x:v>
      </x:c>
      <x:c r="N44" s="43" t="n">
        <x:v>1510</x:v>
      </x:c>
      <x:c r="O44" s="42" t="n">
        <x:f>N44/1.23</x:f>
        <x:v>1227.6422764227643</x:v>
      </x:c>
      <x:c r="P44" s="43" t="n">
        <x:v>1900</x:v>
      </x:c>
      <x:c r="Q44" s="42" t="n">
        <x:f>P44/1.23</x:f>
        <x:v>1544.7154471544716</x:v>
      </x:c>
      <x:c r="R44" s="45" t="n"/>
      <x:c r="S44" s="46" t="n"/>
      <x:c r="T44" s="45" t="n"/>
      <x:c r="U44" s="46" t="n"/>
      <x:c r="V44" s="46" t="n"/>
      <x:c r="W44" s="46" t="n"/>
      <x:c r="X44" s="46" t="n"/>
      <x:c r="Y44" s="46" t="n"/>
      <x:c r="Z44" s="46" t="n"/>
      <x:c r="AA44" s="46" t="n"/>
      <x:c r="AB44" s="46" t="n"/>
    </x:row>
    <x:row r="45" s="655" customFormat="1" ht="15.75" customHeight="1">
      <x:c r="A45" s="47" t="inlineStr">
        <x:is>
          <x:t xml:space="preserve">500 x 306   cm</x:t>
        </x:is>
      </x:c>
      <x:c r="B45" s="50" t="n">
        <x:v>11430</x:v>
      </x:c>
      <x:c r="C45" s="49" t="n">
        <x:f>B45/1.23</x:f>
        <x:v>9292.682926829268</x:v>
      </x:c>
      <x:c r="D45" s="50" t="n">
        <x:v>420</x:v>
      </x:c>
      <x:c r="E45" s="49" t="n">
        <x:f>D45/1.23</x:f>
        <x:v>341.4634146341464</x:v>
      </x:c>
      <x:c r="F45" s="50" t="n">
        <x:v>4080</x:v>
      </x:c>
      <x:c r="G45" s="49" t="n">
        <x:v>3317.073170731707</x:v>
      </x:c>
      <x:c r="H45" s="50" t="n">
        <x:v>3700</x:v>
      </x:c>
      <x:c r="I45" s="49" t="n">
        <x:f>H45/1.23</x:f>
        <x:v>3008.130081300813</x:v>
      </x:c>
      <x:c r="J45" s="50" t="n">
        <x:v>3700</x:v>
      </x:c>
      <x:c r="K45" s="49" t="n">
        <x:f>J45/1.23</x:f>
        <x:v>3008.130081300813</x:v>
      </x:c>
      <x:c r="L45" s="50" t="n">
        <x:v>2140</x:v>
      </x:c>
      <x:c r="M45" s="49" t="n">
        <x:f>L45/1.23</x:f>
        <x:v>1739.8373983739837</x:v>
      </x:c>
      <x:c r="N45" s="50" t="n">
        <x:v>420.0000000000001</x:v>
      </x:c>
      <x:c r="O45" s="49" t="n">
        <x:f>N45/1.23</x:f>
        <x:v>341.46341463414643</x:v>
      </x:c>
      <x:c r="P45" s="50" t="n">
        <x:v>640</x:v>
      </x:c>
      <x:c r="Q45" s="49" t="n">
        <x:f>P45/1.23</x:f>
        <x:v>520.3252032520326</x:v>
      </x:c>
      <x:c r="R45" s="45" t="n"/>
      <x:c r="S45" s="46" t="n"/>
      <x:c r="T45" s="45" t="n"/>
      <x:c r="U45" s="46" t="n"/>
      <x:c r="V45" s="46" t="n"/>
      <x:c r="W45" s="46" t="n"/>
      <x:c r="X45" s="46" t="n"/>
      <x:c r="Y45" s="46" t="n"/>
      <x:c r="Z45" s="46" t="n"/>
      <x:c r="AA45" s="46" t="n"/>
      <x:c r="AB45" s="46" t="n"/>
    </x:row>
    <x:row r="46" s="655" customFormat="1" ht="15.75" customHeight="1">
      <x:c r="A46" s="47" t="inlineStr">
        <x:is>
          <x:t xml:space="preserve">500 x 406   cm</x:t>
        </x:is>
      </x:c>
      <x:c r="B46" s="50" t="n">
        <x:v>14980</x:v>
      </x:c>
      <x:c r="C46" s="49" t="n">
        <x:f>B46/1.23</x:f>
        <x:v>12178.861788617887</x:v>
      </x:c>
      <x:c r="D46" s="50" t="n">
        <x:v>560</x:v>
      </x:c>
      <x:c r="E46" s="49" t="n">
        <x:f>D46/1.23</x:f>
        <x:v>455.2845528455285</x:v>
      </x:c>
      <x:c r="F46" s="50" t="n">
        <x:v>4670</x:v>
      </x:c>
      <x:c r="G46" s="49" t="n">
        <x:v>3796.747967479675</x:v>
      </x:c>
      <x:c r="H46" s="50" t="n">
        <x:v>3700</x:v>
      </x:c>
      <x:c r="I46" s="49" t="n">
        <x:f>H46/1.23</x:f>
        <x:v>3008.130081300813</x:v>
      </x:c>
      <x:c r="J46" s="50" t="n">
        <x:v>3700</x:v>
      </x:c>
      <x:c r="K46" s="49" t="n">
        <x:f>J46/1.23</x:f>
        <x:v>3008.130081300813</x:v>
      </x:c>
      <x:c r="L46" s="50" t="n">
        <x:v>2640</x:v>
      </x:c>
      <x:c r="M46" s="49" t="n">
        <x:f>L46/1.23</x:f>
        <x:v>2146.3414634146343</x:v>
      </x:c>
      <x:c r="N46" s="50" t="n">
        <x:v>510</x:v>
      </x:c>
      <x:c r="O46" s="49" t="n">
        <x:f>N46/1.23</x:f>
        <x:v>414.6341463414634</x:v>
      </x:c>
      <x:c r="P46" s="50" t="n">
        <x:v>740</x:v>
      </x:c>
      <x:c r="Q46" s="49" t="n">
        <x:f>P46/1.23</x:f>
        <x:v>601.6260162601626</x:v>
      </x:c>
      <x:c r="R46" s="45" t="n"/>
      <x:c r="S46" s="46" t="n"/>
      <x:c r="T46" s="45" t="n"/>
      <x:c r="U46" s="46" t="n"/>
      <x:c r="V46" s="46" t="n"/>
      <x:c r="W46" s="46" t="n"/>
      <x:c r="X46" s="46" t="n"/>
      <x:c r="Y46" s="46" t="n"/>
      <x:c r="Z46" s="46" t="n"/>
      <x:c r="AA46" s="46" t="n"/>
      <x:c r="AB46" s="46" t="n"/>
    </x:row>
    <x:row r="47" s="655" customFormat="1" ht="15.75" customHeight="1">
      <x:c r="A47" s="47" t="inlineStr">
        <x:is>
          <x:t xml:space="preserve">500 x 506   cm</x:t>
        </x:is>
      </x:c>
      <x:c r="B47" s="50" t="n">
        <x:v>18850</x:v>
      </x:c>
      <x:c r="C47" s="49" t="n">
        <x:f>B47/1.23</x:f>
        <x:v>15325.203252032521</x:v>
      </x:c>
      <x:c r="D47" s="50" t="n">
        <x:v>700</x:v>
      </x:c>
      <x:c r="E47" s="49" t="n">
        <x:f>D47/1.23</x:f>
        <x:v>569.1056910569106</x:v>
      </x:c>
      <x:c r="F47" s="50" t="n">
        <x:v>5420</x:v>
      </x:c>
      <x:c r="G47" s="49" t="n">
        <x:v>4406.504065040651</x:v>
      </x:c>
      <x:c r="H47" s="50" t="n">
        <x:v>3700</x:v>
      </x:c>
      <x:c r="I47" s="49" t="n">
        <x:f>H47/1.23</x:f>
        <x:v>3008.130081300813</x:v>
      </x:c>
      <x:c r="J47" s="50" t="n">
        <x:v>3700</x:v>
      </x:c>
      <x:c r="K47" s="49" t="n">
        <x:f>J47/1.23</x:f>
        <x:v>3008.130081300813</x:v>
      </x:c>
      <x:c r="L47" s="50" t="n">
        <x:v>3700</x:v>
      </x:c>
      <x:c r="M47" s="49" t="n">
        <x:f>L47/1.23</x:f>
        <x:v>3008.130081300813</x:v>
      </x:c>
      <x:c r="N47" s="50" t="n">
        <x:v>600</x:v>
      </x:c>
      <x:c r="O47" s="49" t="n">
        <x:f>N47/1.23</x:f>
        <x:v>487.8048780487805</x:v>
      </x:c>
      <x:c r="P47" s="50" t="n">
        <x:v>960</x:v>
      </x:c>
      <x:c r="Q47" s="49" t="n">
        <x:f>P47/1.23</x:f>
        <x:v>780.4878048780488</x:v>
      </x:c>
      <x:c r="R47" s="45" t="n"/>
      <x:c r="S47" s="46" t="n"/>
      <x:c r="T47" s="45" t="n"/>
      <x:c r="U47" s="46" t="n"/>
      <x:c r="V47" s="46" t="n"/>
      <x:c r="W47" s="46" t="n"/>
      <x:c r="X47" s="46" t="n"/>
      <x:c r="Y47" s="46" t="n"/>
      <x:c r="Z47" s="46" t="n"/>
      <x:c r="AA47" s="46" t="n"/>
      <x:c r="AB47" s="46" t="n"/>
    </x:row>
    <x:row r="48" s="655" customFormat="1" ht="15.75" customHeight="1">
      <x:c r="A48" s="47" t="inlineStr">
        <x:is>
          <x:t xml:space="preserve">500 x 606   cm</x:t>
        </x:is>
      </x:c>
      <x:c r="B48" s="50" t="n">
        <x:v>22400</x:v>
      </x:c>
      <x:c r="C48" s="49" t="n">
        <x:f>B48/1.23</x:f>
        <x:v>18211.38211382114</x:v>
      </x:c>
      <x:c r="D48" s="50" t="n">
        <x:v>840.0000000000001</x:v>
      </x:c>
      <x:c r="E48" s="49" t="n">
        <x:f>D48/1.23</x:f>
        <x:v>682.9268292682927</x:v>
      </x:c>
      <x:c r="F48" s="50" t="n">
        <x:v>8160</x:v>
      </x:c>
      <x:c r="G48" s="49" t="n">
        <x:v>6634.146341463415</x:v>
      </x:c>
      <x:c r="H48" s="50" t="n">
        <x:v>3700</x:v>
      </x:c>
      <x:c r="I48" s="49" t="n">
        <x:f>H48/1.23</x:f>
        <x:v>3008.130081300813</x:v>
      </x:c>
      <x:c r="J48" s="50" t="n">
        <x:v>3700</x:v>
      </x:c>
      <x:c r="K48" s="49" t="n">
        <x:f>J48/1.23</x:f>
        <x:v>3008.130081300813</x:v>
      </x:c>
      <x:c r="L48" s="50" t="n">
        <x:v>4270</x:v>
      </x:c>
      <x:c r="M48" s="49" t="n">
        <x:f>L48/1.23</x:f>
        <x:v>3471.5447154471544</x:v>
      </x:c>
      <x:c r="N48" s="50" t="n">
        <x:v>790</x:v>
      </x:c>
      <x:c r="O48" s="49" t="n">
        <x:f>N48/1.23</x:f>
        <x:v>642.2764227642276</x:v>
      </x:c>
      <x:c r="P48" s="50" t="n">
        <x:v>1090</x:v>
      </x:c>
      <x:c r="Q48" s="49" t="n">
        <x:f>P48/1.23</x:f>
        <x:v>886.178861788618</x:v>
      </x:c>
      <x:c r="R48" s="45" t="n"/>
      <x:c r="S48" s="46" t="n"/>
      <x:c r="T48" s="45" t="n"/>
      <x:c r="U48" s="46" t="n"/>
      <x:c r="V48" s="46" t="n"/>
      <x:c r="W48" s="46" t="n"/>
      <x:c r="X48" s="46" t="n"/>
      <x:c r="Y48" s="46" t="n"/>
      <x:c r="Z48" s="46" t="n"/>
      <x:c r="AA48" s="46" t="n"/>
      <x:c r="AB48" s="46" t="n"/>
    </x:row>
    <x:row r="49" s="655" customFormat="1" ht="15.75" customHeight="1">
      <x:c r="A49" s="47" t="inlineStr">
        <x:is>
          <x:t xml:space="preserve">500 x 706   cm</x:t>
        </x:is>
      </x:c>
      <x:c r="B49" s="50" t="n">
        <x:v>27150</x:v>
      </x:c>
      <x:c r="C49" s="49" t="n">
        <x:f>B49/1.23</x:f>
        <x:v>22073.170731707316</x:v>
      </x:c>
      <x:c r="D49" s="50" t="n">
        <x:v>980</x:v>
      </x:c>
      <x:c r="E49" s="49" t="n">
        <x:f>D49/1.23</x:f>
        <x:v>796.7479674796748</x:v>
      </x:c>
      <x:c r="F49" s="50" t="n">
        <x:v>8750</x:v>
      </x:c>
      <x:c r="G49" s="49" t="n">
        <x:v>7113.821138211382</x:v>
      </x:c>
      <x:c r="H49" s="50" t="n">
        <x:v>3700</x:v>
      </x:c>
      <x:c r="I49" s="49" t="n">
        <x:f>H49/1.23</x:f>
        <x:v>3008.130081300813</x:v>
      </x:c>
      <x:c r="J49" s="50" t="n">
        <x:v>3700</x:v>
      </x:c>
      <x:c r="K49" s="49" t="n">
        <x:f>J49/1.23</x:f>
        <x:v>3008.130081300813</x:v>
      </x:c>
      <x:c r="L49" s="50" t="n">
        <x:v>4780</x:v>
      </x:c>
      <x:c r="M49" s="49" t="n">
        <x:f>L49/1.23</x:f>
        <x:v>3886.1788617886177</x:v>
      </x:c>
      <x:c r="N49" s="50" t="n">
        <x:v>870.0000000000001</x:v>
      </x:c>
      <x:c r="O49" s="49" t="n">
        <x:f>N49/1.23</x:f>
        <x:v>707.3170731707318</x:v>
      </x:c>
      <x:c r="P49" s="50" t="n">
        <x:v>1210</x:v>
      </x:c>
      <x:c r="Q49" s="49" t="n">
        <x:f>P49/1.23</x:f>
        <x:v>983.739837398374</x:v>
      </x:c>
      <x:c r="R49" s="45" t="n"/>
      <x:c r="S49" s="46" t="n"/>
      <x:c r="T49" s="45" t="n"/>
      <x:c r="U49" s="46" t="n"/>
      <x:c r="V49" s="46" t="n"/>
      <x:c r="W49" s="46" t="n"/>
      <x:c r="X49" s="46" t="n"/>
      <x:c r="Y49" s="46" t="n"/>
      <x:c r="Z49" s="46" t="n"/>
      <x:c r="AA49" s="46" t="n"/>
      <x:c r="AB49" s="46" t="n"/>
    </x:row>
    <x:row r="50" s="655" customFormat="1" ht="15.75" customHeight="1">
      <x:c r="A50" s="47" t="inlineStr">
        <x:is>
          <x:t xml:space="preserve">500 x 806   cm</x:t>
        </x:is>
      </x:c>
      <x:c r="B50" s="50" t="n">
        <x:v>30700</x:v>
      </x:c>
      <x:c r="C50" s="49" t="n">
        <x:f>B50/1.23</x:f>
        <x:v>24959.349593495936</x:v>
      </x:c>
      <x:c r="D50" s="50" t="n">
        <x:v>1120</x:v>
      </x:c>
      <x:c r="E50" s="49" t="n">
        <x:f>D50/1.23</x:f>
        <x:v>910.569105691057</x:v>
      </x:c>
      <x:c r="F50" s="50" t="n">
        <x:v>9340</x:v>
      </x:c>
      <x:c r="G50" s="49" t="n">
        <x:v>7593.49593495935</x:v>
      </x:c>
      <x:c r="H50" s="50" t="n">
        <x:v>3700</x:v>
      </x:c>
      <x:c r="I50" s="49" t="n">
        <x:f>H50/1.23</x:f>
        <x:v>3008.130081300813</x:v>
      </x:c>
      <x:c r="J50" s="50" t="n">
        <x:v>3700</x:v>
      </x:c>
      <x:c r="K50" s="49" t="n">
        <x:f>J50/1.23</x:f>
        <x:v>3008.130081300813</x:v>
      </x:c>
      <x:c r="L50" s="50" t="n">
        <x:v>5280</x:v>
      </x:c>
      <x:c r="M50" s="49" t="n">
        <x:f>L50/1.23</x:f>
        <x:v>4292.682926829269</x:v>
      </x:c>
      <x:c r="N50" s="50" t="n">
        <x:v>960</x:v>
      </x:c>
      <x:c r="O50" s="49" t="n">
        <x:f>N50/1.23</x:f>
        <x:v>780.4878048780488</x:v>
      </x:c>
      <x:c r="P50" s="50" t="n">
        <x:v>1440</x:v>
      </x:c>
      <x:c r="Q50" s="49" t="n">
        <x:f>P50/1.23</x:f>
        <x:v>1170.7317073170732</x:v>
      </x:c>
      <x:c r="R50" s="45" t="n"/>
      <x:c r="S50" s="46" t="n"/>
      <x:c r="T50" s="45" t="n"/>
      <x:c r="U50" s="46" t="n"/>
      <x:c r="V50" s="46" t="n"/>
      <x:c r="W50" s="46" t="n"/>
      <x:c r="X50" s="46" t="n"/>
      <x:c r="Y50" s="46" t="n"/>
      <x:c r="Z50" s="46" t="n"/>
      <x:c r="AA50" s="46" t="n"/>
      <x:c r="AB50" s="46" t="n"/>
    </x:row>
    <x:row r="51" s="655" customFormat="1" ht="15.75" customHeight="1">
      <x:c r="A51" s="47" t="inlineStr">
        <x:is>
          <x:t xml:space="preserve">500 x 906   cm</x:t>
        </x:is>
      </x:c>
      <x:c r="B51" s="50" t="n">
        <x:v>34750</x:v>
      </x:c>
      <x:c r="C51" s="49" t="n">
        <x:f>B51/1.23</x:f>
        <x:v>28252.032520325203</x:v>
      </x:c>
      <x:c r="D51" s="50" t="n">
        <x:v>1260</x:v>
      </x:c>
      <x:c r="E51" s="49" t="n">
        <x:f>D51/1.23</x:f>
        <x:v>1024.3902439024391</x:v>
      </x:c>
      <x:c r="F51" s="106" t="n">
        <x:v>10090</x:v>
      </x:c>
      <x:c r="G51" s="49" t="n">
        <x:v>8203.252032520326</x:v>
      </x:c>
      <x:c r="H51" s="50" t="n">
        <x:v>3700</x:v>
      </x:c>
      <x:c r="I51" s="49" t="n">
        <x:f>H51/1.23</x:f>
        <x:v>3008.130081300813</x:v>
      </x:c>
      <x:c r="J51" s="50" t="n">
        <x:v>3700</x:v>
      </x:c>
      <x:c r="K51" s="49" t="n">
        <x:f>J51/1.23</x:f>
        <x:v>3008.130081300813</x:v>
      </x:c>
      <x:c r="L51" s="50" t="n">
        <x:v>6400</x:v>
      </x:c>
      <x:c r="M51" s="49" t="n">
        <x:f>L51/1.23</x:f>
        <x:v>5203.252032520325</x:v>
      </x:c>
      <x:c r="N51" s="50" t="n">
        <x:v>1040</x:v>
      </x:c>
      <x:c r="O51" s="49" t="n">
        <x:f>N51/1.23</x:f>
        <x:v>845.5284552845528</x:v>
      </x:c>
      <x:c r="P51" s="50" t="n">
        <x:v>1560</x:v>
      </x:c>
      <x:c r="Q51" s="49" t="n">
        <x:f>P51/1.23</x:f>
        <x:v>1268.2926829268292</x:v>
      </x:c>
      <x:c r="R51" s="45" t="n"/>
      <x:c r="S51" s="46" t="n"/>
      <x:c r="T51" s="45" t="n"/>
      <x:c r="U51" s="46" t="n"/>
      <x:c r="V51" s="46" t="n"/>
      <x:c r="W51" s="46" t="n"/>
      <x:c r="X51" s="46" t="n"/>
      <x:c r="Y51" s="46" t="n"/>
      <x:c r="Z51" s="46" t="n"/>
      <x:c r="AA51" s="46" t="n"/>
      <x:c r="AB51" s="46" t="n"/>
    </x:row>
    <x:row r="52" s="655" customFormat="1" ht="15.75" customHeight="1">
      <x:c r="A52" s="47" t="inlineStr">
        <x:is>
          <x:t xml:space="preserve">500 x 1006 cm</x:t>
        </x:is>
      </x:c>
      <x:c r="B52" s="50" t="n">
        <x:v>38290</x:v>
      </x:c>
      <x:c r="C52" s="49" t="n">
        <x:f>B52/1.23</x:f>
        <x:v>31130.08130081301</x:v>
      </x:c>
      <x:c r="D52" s="50" t="n">
        <x:v>1400</x:v>
      </x:c>
      <x:c r="E52" s="49" t="n">
        <x:f>D52/1.23</x:f>
        <x:v>1138.2113821138212</x:v>
      </x:c>
      <x:c r="F52" s="50" t="n">
        <x:v>10830</x:v>
      </x:c>
      <x:c r="G52" s="49" t="n">
        <x:v>8804.878048780489</x:v>
      </x:c>
      <x:c r="H52" s="50" t="n">
        <x:v>3700</x:v>
      </x:c>
      <x:c r="I52" s="49" t="n">
        <x:f>H52/1.23</x:f>
        <x:v>3008.130081300813</x:v>
      </x:c>
      <x:c r="J52" s="50" t="n">
        <x:v>3700</x:v>
      </x:c>
      <x:c r="K52" s="49" t="n">
        <x:f>J52/1.23</x:f>
        <x:v>3008.130081300813</x:v>
      </x:c>
      <x:c r="L52" s="50" t="n">
        <x:v>6910</x:v>
      </x:c>
      <x:c r="M52" s="49" t="n">
        <x:f>L52/1.23</x:f>
        <x:v>5617.886178861789</x:v>
      </x:c>
      <x:c r="N52" s="50" t="n">
        <x:v>1230</x:v>
      </x:c>
      <x:c r="O52" s="49" t="n">
        <x:f>N52/1.23</x:f>
        <x:v>1000</x:v>
      </x:c>
      <x:c r="P52" s="50" t="n">
        <x:v>1650</x:v>
      </x:c>
      <x:c r="Q52" s="49" t="n">
        <x:f>P52/1.23</x:f>
        <x:v>1341.4634146341464</x:v>
      </x:c>
      <x:c r="R52" s="45" t="n"/>
      <x:c r="S52" s="46" t="n"/>
      <x:c r="T52" s="45" t="n"/>
      <x:c r="U52" s="46" t="n"/>
      <x:c r="V52" s="46" t="n"/>
      <x:c r="W52" s="46" t="n"/>
      <x:c r="X52" s="46" t="n"/>
      <x:c r="Y52" s="46" t="n"/>
      <x:c r="Z52" s="46" t="n"/>
      <x:c r="AA52" s="46" t="n"/>
      <x:c r="AB52" s="46" t="n"/>
    </x:row>
    <x:row r="53" s="655" customFormat="1" ht="15.75" customHeight="1">
      <x:c r="A53" s="47" t="inlineStr">
        <x:is>
          <x:t xml:space="preserve">500 x 1106 cm</x:t>
        </x:is>
      </x:c>
      <x:c r="B53" s="50" t="n">
        <x:v>42770</x:v>
      </x:c>
      <x:c r="C53" s="49" t="n">
        <x:f>B53/1.23</x:f>
        <x:v>34772.35772357724</x:v>
      </x:c>
      <x:c r="D53" s="50" t="n">
        <x:v>1540</x:v>
      </x:c>
      <x:c r="E53" s="49" t="n">
        <x:f>D53/1.23</x:f>
        <x:v>1252.0325203252032</x:v>
      </x:c>
      <x:c r="F53" s="50" t="n">
        <x:v>13420</x:v>
      </x:c>
      <x:c r="G53" s="49" t="n">
        <x:v>10910.56910569106</x:v>
      </x:c>
      <x:c r="H53" s="50" t="n">
        <x:v>3700</x:v>
      </x:c>
      <x:c r="I53" s="49" t="n">
        <x:f>H53/1.23</x:f>
        <x:v>3008.130081300813</x:v>
      </x:c>
      <x:c r="J53" s="50" t="n">
        <x:v>3700</x:v>
      </x:c>
      <x:c r="K53" s="49" t="n">
        <x:f>J53/1.23</x:f>
        <x:v>3008.130081300813</x:v>
      </x:c>
      <x:c r="L53" s="50" t="n">
        <x:v>7420</x:v>
      </x:c>
      <x:c r="M53" s="49" t="n">
        <x:f>L53/1.23</x:f>
        <x:v>6032.5203252032525</x:v>
      </x:c>
      <x:c r="N53" s="50" t="n">
        <x:v>1430</x:v>
      </x:c>
      <x:c r="O53" s="49" t="n">
        <x:f>N53/1.23</x:f>
        <x:v>1162.60162601626</x:v>
      </x:c>
      <x:c r="P53" s="50" t="n">
        <x:v>1770</x:v>
      </x:c>
      <x:c r="Q53" s="49" t="n">
        <x:f>P53/1.23</x:f>
        <x:v>1439.0243902439024</x:v>
      </x:c>
      <x:c r="R53" s="45" t="n"/>
      <x:c r="S53" s="46" t="n"/>
      <x:c r="T53" s="45" t="n"/>
      <x:c r="U53" s="46" t="n"/>
      <x:c r="V53" s="46" t="n"/>
      <x:c r="W53" s="46" t="n"/>
      <x:c r="X53" s="46" t="n"/>
      <x:c r="Y53" s="46" t="n"/>
      <x:c r="Z53" s="46" t="n"/>
      <x:c r="AA53" s="46" t="n"/>
      <x:c r="AB53" s="46" t="n"/>
    </x:row>
    <x:row r="54" s="655" customFormat="1" ht="15.75" customHeight="1">
      <x:c r="A54" s="47" t="inlineStr">
        <x:is>
          <x:t xml:space="preserve">500 x 1206 cm</x:t>
        </x:is>
      </x:c>
      <x:c r="B54" s="50" t="n">
        <x:v>46310</x:v>
      </x:c>
      <x:c r="C54" s="49" t="n">
        <x:f>B54/1.23</x:f>
        <x:v>37650.40650406504</x:v>
      </x:c>
      <x:c r="D54" s="50" t="n">
        <x:v>1680</x:v>
      </x:c>
      <x:c r="E54" s="49" t="n">
        <x:f>D54/1.23</x:f>
        <x:v>1365.8536585365855</x:v>
      </x:c>
      <x:c r="F54" s="106" t="n">
        <x:v>14010</x:v>
      </x:c>
      <x:c r="G54" s="49" t="n">
        <x:v>11390.24390243902</x:v>
      </x:c>
      <x:c r="H54" s="50" t="n">
        <x:v>3700</x:v>
      </x:c>
      <x:c r="I54" s="49" t="n">
        <x:f>H54/1.23</x:f>
        <x:v>3008.130081300813</x:v>
      </x:c>
      <x:c r="J54" s="50" t="n">
        <x:v>3700</x:v>
      </x:c>
      <x:c r="K54" s="49" t="n">
        <x:f>J54/1.23</x:f>
        <x:v>3008.130081300813</x:v>
      </x:c>
      <x:c r="L54" s="50" t="n">
        <x:v>7920</x:v>
      </x:c>
      <x:c r="M54" s="49" t="n">
        <x:f>L54/1.23</x:f>
        <x:v>6439.024390243902</x:v>
      </x:c>
      <x:c r="N54" s="50" t="n">
        <x:v>1510</x:v>
      </x:c>
      <x:c r="O54" s="49" t="n">
        <x:f>N54/1.23</x:f>
        <x:v>1227.6422764227643</x:v>
      </x:c>
      <x:c r="P54" s="50" t="n">
        <x:v>1900</x:v>
      </x:c>
      <x:c r="Q54" s="49" t="n">
        <x:f>P54/1.23</x:f>
        <x:v>1544.7154471544716</x:v>
      </x:c>
      <x:c r="R54" s="45" t="n"/>
      <x:c r="S54" s="46" t="n"/>
      <x:c r="T54" s="45" t="n"/>
      <x:c r="U54" s="46" t="n"/>
      <x:c r="V54" s="46" t="n"/>
      <x:c r="W54" s="46" t="n"/>
      <x:c r="X54" s="46" t="n"/>
      <x:c r="Y54" s="46" t="n"/>
      <x:c r="Z54" s="46" t="n"/>
      <x:c r="AA54" s="46" t="n"/>
      <x:c r="AB54" s="46" t="n"/>
    </x:row>
    <x:row r="55" s="655" customFormat="1" ht="15.75" customHeight="1">
      <x:c r="A55" s="107" t="n"/>
      <x:c r="B55" s="108" t="n"/>
      <x:c r="C55" s="76" t="n"/>
      <x:c r="D55" s="77" t="n"/>
      <x:c r="E55" s="78" t="n"/>
      <x:c r="F55" s="77" t="n"/>
      <x:c r="G55" s="78" t="n"/>
      <x:c r="H55" s="77" t="n"/>
      <x:c r="I55" s="78" t="n"/>
      <x:c r="J55" s="77" t="n"/>
      <x:c r="K55" s="78" t="n"/>
      <x:c r="L55" s="77" t="n"/>
      <x:c r="M55" s="78" t="n"/>
      <x:c r="N55" s="77" t="n"/>
      <x:c r="O55" s="78" t="n"/>
      <x:c r="P55" s="77" t="n"/>
      <x:c r="Q55" s="78" t="n"/>
      <x:c r="R55" s="45" t="n"/>
      <x:c r="S55" s="46" t="n"/>
      <x:c r="T55" s="45" t="n"/>
      <x:c r="U55" s="46" t="n"/>
      <x:c r="V55" s="109" t="n"/>
      <x:c r="W55" s="109" t="n"/>
      <x:c r="X55" s="109" t="n"/>
      <x:c r="Y55" s="109" t="n"/>
      <x:c r="Z55" s="109" t="n"/>
      <x:c r="AA55" s="109" t="n"/>
      <x:c r="AB55" s="110" t="n"/>
    </x:row>
    <x:row r="56" s="655" customFormat="1" ht="39.75" customHeight="1">
      <x:c r="A56" s="111" t="inlineStr">
        <x:is>
          <x:t xml:space="preserve">REZYGNACJA - 1 szt 
SZKŁO DACHOWE</x:t>
        </x:is>
      </x:c>
      <x:c r="B56" s="112" t="inlineStr">
        <x:is>
          <x:t xml:space="preserve">Cena brutto </x:t>
        </x:is>
      </x:c>
      <x:c r="C56" s="113" t="inlineStr">
        <x:is>
          <x:t xml:space="preserve">netto </x:t>
        </x:is>
      </x:c>
      <x:c r="D56" s="87" t="n"/>
      <x:c r="E56" s="88" t="n"/>
      <x:c r="F56" s="87" t="n"/>
      <x:c r="G56" s="88" t="n"/>
      <x:c r="H56" s="87" t="n"/>
      <x:c r="I56" s="88" t="n"/>
      <x:c r="J56" s="87" t="n"/>
      <x:c r="K56" s="88" t="n"/>
      <x:c r="L56" s="87" t="n"/>
      <x:c r="M56" s="88" t="n"/>
      <x:c r="N56" s="87" t="n"/>
      <x:c r="O56" s="88" t="n"/>
      <x:c r="P56" s="87" t="n"/>
      <x:c r="Q56" s="88" t="n"/>
      <x:c r="R56" s="45" t="n"/>
      <x:c r="S56" s="46" t="n"/>
      <x:c r="T56" s="45" t="n"/>
      <x:c r="U56" s="46" t="n"/>
      <x:c r="V56" s="114" t="n"/>
      <x:c r="W56" s="114" t="n"/>
      <x:c r="X56" s="114" t="n"/>
      <x:c r="Y56" s="114" t="n"/>
      <x:c r="Z56" s="114" t="n"/>
      <x:c r="AA56" s="114" t="n"/>
      <x:c r="AB56" s="115" t="n"/>
    </x:row>
    <x:row r="57" s="655" customFormat="1" ht="15.75" customHeight="1">
      <x:c r="A57" s="116" t="inlineStr">
        <x:is>
          <x:t xml:space="preserve">Rezygnacja szkło 98 x 290cm</x:t>
        </x:is>
      </x:c>
      <x:c r="B57" s="117" t="n">
        <x:v>430</x:v>
      </x:c>
      <x:c r="C57" s="118" t="n">
        <x:f>B57/1.23</x:f>
        <x:v>349.5934959349594</x:v>
      </x:c>
      <x:c r="D57" s="77" t="n"/>
      <x:c r="E57" s="78" t="n"/>
      <x:c r="F57" s="77" t="n"/>
      <x:c r="G57" s="78" t="n"/>
      <x:c r="H57" s="77" t="n"/>
      <x:c r="I57" s="78" t="n"/>
      <x:c r="J57" s="77" t="n"/>
      <x:c r="K57" s="78" t="n"/>
      <x:c r="L57" s="77" t="n"/>
      <x:c r="M57" s="78" t="n"/>
      <x:c r="N57" s="77" t="n"/>
      <x:c r="O57" s="78" t="n"/>
      <x:c r="P57" s="77" t="n"/>
      <x:c r="Q57" s="78" t="n"/>
      <x:c r="R57" s="45" t="n"/>
      <x:c r="S57" s="46" t="n"/>
      <x:c r="T57" s="45" t="n"/>
      <x:c r="U57" s="46" t="n"/>
      <x:c r="V57" s="110" t="n"/>
      <x:c r="W57" s="110" t="n"/>
      <x:c r="X57" s="110" t="n"/>
      <x:c r="Y57" s="110" t="n"/>
      <x:c r="Z57" s="110" t="n"/>
      <x:c r="AA57" s="110" t="n"/>
      <x:c r="AB57" s="110" t="n"/>
    </x:row>
    <x:row r="58" s="655" customFormat="1" ht="15.75" customHeight="1">
      <x:c r="A58" s="119" t="inlineStr">
        <x:is>
          <x:t xml:space="preserve">Rezygnacja szkło 98 x 340cm</x:t>
        </x:is>
      </x:c>
      <x:c r="B58" s="120" t="n">
        <x:v>500</x:v>
      </x:c>
      <x:c r="C58" s="118" t="n">
        <x:f>B58/1.23</x:f>
        <x:v>406.5040650406504</x:v>
      </x:c>
      <x:c r="D58" s="77" t="n"/>
      <x:c r="E58" s="78" t="n"/>
      <x:c r="F58" s="77" t="n"/>
      <x:c r="G58" s="78" t="n"/>
      <x:c r="H58" s="77" t="n"/>
      <x:c r="I58" s="78" t="n"/>
      <x:c r="J58" s="77" t="n"/>
      <x:c r="K58" s="78" t="n"/>
      <x:c r="L58" s="77" t="n"/>
      <x:c r="M58" s="78" t="n"/>
      <x:c r="N58" s="77" t="n"/>
      <x:c r="O58" s="78" t="n"/>
      <x:c r="P58" s="77" t="n"/>
      <x:c r="Q58" s="78" t="n"/>
      <x:c r="R58" s="45" t="n"/>
      <x:c r="S58" s="46" t="n"/>
      <x:c r="T58" s="45" t="n"/>
      <x:c r="U58" s="46" t="n"/>
      <x:c r="V58" s="110" t="n"/>
      <x:c r="W58" s="110" t="n"/>
      <x:c r="X58" s="110" t="n"/>
      <x:c r="Y58" s="110" t="n"/>
      <x:c r="Z58" s="110" t="n"/>
      <x:c r="AA58" s="110" t="n"/>
      <x:c r="AB58" s="110" t="n"/>
    </x:row>
    <x:row r="59" s="655" customFormat="1" ht="15.75" customHeight="1">
      <x:c r="A59" s="119" t="inlineStr">
        <x:is>
          <x:t xml:space="preserve">Rezygnacja szkło 98 x 390cm</x:t>
        </x:is>
      </x:c>
      <x:c r="B59" s="120" t="n">
        <x:v>580</x:v>
      </x:c>
      <x:c r="C59" s="118" t="n">
        <x:f>B59/1.23</x:f>
        <x:v>471.5447154471545</x:v>
      </x:c>
      <x:c r="D59" s="77" t="n"/>
      <x:c r="E59" s="78" t="n"/>
      <x:c r="F59" s="121" t="n"/>
      <x:c r="G59" s="78" t="n"/>
      <x:c r="H59" s="77" t="n"/>
      <x:c r="I59" s="78" t="n"/>
      <x:c r="J59" s="77" t="n"/>
      <x:c r="K59" s="78" t="n"/>
      <x:c r="L59" s="77" t="n"/>
      <x:c r="M59" s="78" t="n"/>
      <x:c r="N59" s="77" t="n"/>
      <x:c r="O59" s="78" t="n"/>
      <x:c r="P59" s="77" t="n"/>
      <x:c r="Q59" s="78" t="n"/>
      <x:c r="R59" s="45" t="n"/>
      <x:c r="S59" s="46" t="n"/>
      <x:c r="T59" s="45" t="n"/>
      <x:c r="U59" s="46" t="n"/>
      <x:c r="V59" s="110" t="n"/>
      <x:c r="W59" s="110" t="n"/>
      <x:c r="X59" s="110" t="n"/>
      <x:c r="Y59" s="110" t="n"/>
      <x:c r="Z59" s="110" t="n"/>
      <x:c r="AA59" s="110" t="n"/>
      <x:c r="AB59" s="110" t="n"/>
    </x:row>
    <x:row r="60" s="655" customFormat="1" ht="15.75" customHeight="1">
      <x:c r="A60" s="122" t="inlineStr">
        <x:is>
          <x:t xml:space="preserve">Rezygnacja szkło 98 x 440cm</x:t>
        </x:is>
      </x:c>
      <x:c r="B60" s="120" t="n">
        <x:v>860</x:v>
      </x:c>
      <x:c r="C60" s="118" t="n">
        <x:f>B60/1.23</x:f>
        <x:v>699.1869918699188</x:v>
      </x:c>
      <x:c r="D60" s="77" t="n"/>
      <x:c r="E60" s="78" t="n"/>
      <x:c r="F60" s="77" t="n"/>
      <x:c r="G60" s="78" t="n"/>
      <x:c r="H60" s="77" t="n"/>
      <x:c r="I60" s="78" t="n"/>
      <x:c r="J60" s="77" t="n"/>
      <x:c r="K60" s="78" t="n"/>
      <x:c r="L60" s="77" t="n"/>
      <x:c r="M60" s="78" t="n"/>
      <x:c r="N60" s="77" t="n"/>
      <x:c r="O60" s="78" t="n"/>
      <x:c r="P60" s="77" t="n"/>
      <x:c r="Q60" s="78" t="n"/>
      <x:c r="R60" s="45" t="n"/>
      <x:c r="S60" s="46" t="n"/>
      <x:c r="T60" s="45" t="n"/>
      <x:c r="U60" s="46" t="n"/>
      <x:c r="V60" s="110" t="n"/>
      <x:c r="W60" s="110" t="n"/>
      <x:c r="X60" s="110" t="n"/>
      <x:c r="Y60" s="110" t="n"/>
      <x:c r="Z60" s="110" t="n"/>
      <x:c r="AA60" s="110" t="n"/>
      <x:c r="AB60" s="110" t="n"/>
    </x:row>
    <x:row r="61" s="655" customFormat="1" ht="15.75" customHeight="1">
      <x:c r="A61" s="122" t="inlineStr">
        <x:is>
          <x:t xml:space="preserve">Rezygnacja szkło 98 x 490cm</x:t>
        </x:is>
      </x:c>
      <x:c r="B61" s="120" t="n">
        <x:v>960</x:v>
      </x:c>
      <x:c r="C61" s="118" t="n">
        <x:f>B61/1.23</x:f>
        <x:v>780.4878048780488</x:v>
      </x:c>
      <x:c r="D61" s="77" t="n"/>
      <x:c r="E61" s="78" t="n"/>
      <x:c r="F61" s="77" t="n"/>
      <x:c r="G61" s="78" t="n"/>
      <x:c r="H61" s="77" t="n"/>
      <x:c r="I61" s="78" t="n"/>
      <x:c r="J61" s="77" t="n"/>
      <x:c r="K61" s="78" t="n"/>
      <x:c r="L61" s="77" t="n"/>
      <x:c r="M61" s="78" t="n"/>
      <x:c r="N61" s="77" t="n"/>
      <x:c r="O61" s="78" t="n"/>
      <x:c r="P61" s="77" t="n"/>
      <x:c r="Q61" s="78" t="n"/>
      <x:c r="R61" s="45" t="n"/>
      <x:c r="S61" s="46" t="n"/>
      <x:c r="T61" s="45" t="n"/>
      <x:c r="U61" s="46" t="n"/>
      <x:c r="V61" s="110" t="n"/>
      <x:c r="W61" s="110" t="n"/>
      <x:c r="X61" s="110" t="n"/>
      <x:c r="Y61" s="110" t="n"/>
      <x:c r="Z61" s="110" t="n"/>
      <x:c r="AA61" s="110" t="n"/>
      <x:c r="AB61" s="110" t="n"/>
    </x:row>
  </x:sheetData>
  <x:mergeCells>
    <x:mergeCell ref="N1:O1"/>
    <x:mergeCell ref="D1:E1"/>
    <x:mergeCell ref="T1:U1"/>
    <x:mergeCell ref="H1:I1"/>
    <x:mergeCell ref="B34:AB34"/>
    <x:mergeCell ref="J1:K1"/>
    <x:mergeCell ref="P1:Q1"/>
    <x:mergeCell ref="L1:M1"/>
    <x:mergeCell ref="B3:AB3"/>
    <x:mergeCell ref="B1:C1"/>
    <x:mergeCell ref="F1:G1"/>
    <x:mergeCell ref="R1:S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BFBFBF"/>
  </x:sheetPr>
  <x:sheetViews>
    <x:sheetView showGridLines="0" workbookViewId="0"/>
  </x:sheetViews>
  <x:sheetFormatPr baseColWidth="8" defaultRowHeight="14.75"/>
  <x:cols>
    <x:col min="1" max="1" width="24.7265625" style="655" customWidth="1"/>
    <x:col min="2" max="2" width="11.7265625" style="655" customWidth="1"/>
    <x:col min="3" max="35" width="13" style="655" customWidth="1"/>
  </x:cols>
  <x:sheetData>
    <x:row r="1" s="655" customFormat="1" ht="43.5" customHeight="1">
      <x:c r="A1" s="123" t="inlineStr">
        <x:is>
          <x:t xml:space="preserve">WYMIARY 
Szerokość (od ściany do słupa)
x Długość (wzdłuż ściany)</x:t>
        </x:is>
      </x:c>
      <x:c r="B1" s="642" t="inlineStr">
        <x:is>
          <x:t xml:space="preserve"> Ogród zimowy z poliwęglanem 
 wielokomorowym 16 mm 
 bezbarwnym </x:t>
        </x:is>
      </x:c>
      <x:c r="C1" s="634" t="n"/>
      <x:c r="D1" s="637" t="inlineStr">
        <x:is>
          <x:t xml:space="preserve"> Dopłata za poliwęglan 
 mleczny /szary /przyciemniany</x:t>
        </x:is>
      </x:c>
      <x:c r="E1" s="634" t="n"/>
      <x:c r="F1" s="643" t="inlineStr">
        <x:is>
          <x:t xml:space="preserve"> Dopłata za poliwęglan 
 jednokomorowy 3,5 kg /m3</x:t>
        </x:is>
      </x:c>
      <x:c r="G1" s="634" t="n"/>
      <x:c r="H1" s="641" t="inlineStr">
        <x:is>
          <x:t xml:space="preserve"> Dopłata za szkło ścienne 
 przyciemniane</x:t>
        </x:is>
      </x:c>
      <x:c r="I1" s="634" t="n"/>
      <x:c r="J1" s="641" t="inlineStr">
        <x:is>
          <x:t xml:space="preserve"> Dopłata za szkło ścienne przyciemniane z jedną ścianą mleczną</x:t>
        </x:is>
      </x:c>
      <x:c r="K1" s="634" t="n"/>
      <x:c r="L1" s="640" t="inlineStr">
        <x:is>
          <x:t xml:space="preserve"> Szczotki przeciw kurzowe 
 - komplet</x:t>
        </x:is>
      </x:c>
      <x:c r="M1" s="634" t="n"/>
      <x:c r="N1" s="633" t="inlineStr">
        <x:is>
          <x:t xml:space="preserve"> Uchwyty na szkło ścienne 
 - komplet</x:t>
        </x:is>
      </x:c>
      <x:c r="O1" s="634" t="n"/>
      <x:c r="P1" s="638" t="inlineStr">
        <x:is>
          <x:t xml:space="preserve"> Markiza dachowa zewnętrzna</x:t>
        </x:is>
      </x:c>
      <x:c r="Q1" s="634" t="n"/>
      <x:c r="R1" s="639" t="inlineStr">
        <x:is>
          <x:t xml:space="preserve"> Roleta ścienna ZIP lewa</x:t>
        </x:is>
      </x:c>
      <x:c r="S1" s="634" t="n"/>
      <x:c r="T1" s="638" t="inlineStr">
        <x:is>
          <x:t xml:space="preserve"> Roleta ścienna ZIP prawa</x:t>
        </x:is>
      </x:c>
      <x:c r="U1" s="634" t="n"/>
      <x:c r="V1" s="639" t="inlineStr">
        <x:is>
          <x:t xml:space="preserve"> Roleta ścienna ZIP przednia</x:t>
        </x:is>
      </x:c>
      <x:c r="W1" s="634" t="n"/>
      <x:c r="X1" s="638" t="inlineStr">
        <x:is>
          <x:t xml:space="preserve"> Oświetlenie LED 2 punkty 
 na krokwie wewnętrzne 
 - komplet</x:t>
        </x:is>
      </x:c>
      <x:c r="Y1" s="634" t="n"/>
      <x:c r="Z1" s="639" t="inlineStr">
        <x:is>
          <x:t xml:space="preserve"> Oświetlenie LED 3 punkty 
 na krokwie wewnętrzne 
 - komplet</x:t>
        </x:is>
      </x:c>
      <x:c r="AA1" s="634" t="n"/>
      <x:c r="AB1" s="635" t="inlineStr">
        <x:is>
          <x:t xml:space="preserve"> Fundamenty aluminiowe pod 
 systemy przesuwne - komplet</x:t>
        </x:is>
      </x:c>
      <x:c r="AC1" s="617" t="n"/>
      <x:c r="AD1" s="636" t="inlineStr">
        <x:is>
          <x:t xml:space="preserve">Zabieraki do ścian przesuwnych - komplet</x:t>
        </x:is>
      </x:c>
      <x:c r="AE1" s="634" t="n"/>
      <x:c r="AF1" s="622" t="inlineStr">
        <x:is>
          <x:t xml:space="preserve">Oświetlenie LED CCT
 - komplet</x:t>
        </x:is>
      </x:c>
      <x:c r="AG1" s="617" t="n"/>
      <x:c r="AH1" s="620" t="inlineStr">
        <x:is>
          <x:t xml:space="preserve">Oświetlenie LED RGB CCT
 - komplet</x:t>
        </x:is>
      </x:c>
      <x:c r="AI1" s="621" t="n"/>
    </x:row>
    <x:row r="2" s="655" customFormat="1" ht="39.75" customHeight="1">
      <x:c r="A2" s="16" t="inlineStr">
        <x:is>
          <x:t xml:space="preserve">Ogród zimowy 
- dach z poliwęglanu </x:t>
        </x:is>
      </x:c>
      <x:c r="B2" s="19" t="inlineStr">
        <x:is>
          <x:t xml:space="preserve">Cena brutto </x:t>
        </x:is>
      </x:c>
      <x:c r="C2" s="18" t="inlineStr">
        <x:is>
          <x:t xml:space="preserve">netto </x:t>
        </x:is>
      </x:c>
      <x:c r="D2" s="19" t="inlineStr">
        <x:is>
          <x:t xml:space="preserve">Cena brutto </x:t>
        </x:is>
      </x:c>
      <x:c r="E2" s="18" t="inlineStr">
        <x:is>
          <x:t xml:space="preserve">netto </x:t>
        </x:is>
      </x:c>
      <x:c r="F2" s="19" t="inlineStr">
        <x:is>
          <x:t xml:space="preserve">Cena brutto </x:t>
        </x:is>
      </x:c>
      <x:c r="G2" s="18" t="inlineStr">
        <x:is>
          <x:t xml:space="preserve">netto </x:t>
        </x:is>
      </x:c>
      <x:c r="H2" s="19" t="inlineStr">
        <x:is>
          <x:t xml:space="preserve">Cena brutto </x:t>
        </x:is>
      </x:c>
      <x:c r="I2" s="18" t="inlineStr">
        <x:is>
          <x:t xml:space="preserve">netto </x:t>
        </x:is>
      </x:c>
      <x:c r="J2" s="19" t="inlineStr">
        <x:is>
          <x:t xml:space="preserve">Cena brutto </x:t>
        </x:is>
      </x:c>
      <x:c r="K2" s="18" t="inlineStr">
        <x:is>
          <x:t xml:space="preserve">netto </x:t>
        </x:is>
      </x:c>
      <x:c r="L2" s="19" t="inlineStr">
        <x:is>
          <x:t xml:space="preserve">Cena brutto </x:t>
        </x:is>
      </x:c>
      <x:c r="M2" s="18" t="inlineStr">
        <x:is>
          <x:t xml:space="preserve">netto </x:t>
        </x:is>
      </x:c>
      <x:c r="N2" s="19" t="inlineStr">
        <x:is>
          <x:t xml:space="preserve">Cena brutto </x:t>
        </x:is>
      </x:c>
      <x:c r="O2" s="18" t="inlineStr">
        <x:is>
          <x:t xml:space="preserve">netto </x:t>
        </x:is>
      </x:c>
      <x:c r="P2" s="19" t="inlineStr">
        <x:is>
          <x:t xml:space="preserve">Cena brutto </x:t>
        </x:is>
      </x:c>
      <x:c r="Q2" s="18" t="inlineStr">
        <x:is>
          <x:t xml:space="preserve">netto </x:t>
        </x:is>
      </x:c>
      <x:c r="R2" s="19" t="inlineStr">
        <x:is>
          <x:t xml:space="preserve">Cena brutto </x:t>
        </x:is>
      </x:c>
      <x:c r="S2" s="18" t="inlineStr">
        <x:is>
          <x:t xml:space="preserve">netto </x:t>
        </x:is>
      </x:c>
      <x:c r="T2" s="19" t="inlineStr">
        <x:is>
          <x:t xml:space="preserve">Cena brutto </x:t>
        </x:is>
      </x:c>
      <x:c r="U2" s="18" t="inlineStr">
        <x:is>
          <x:t xml:space="preserve">netto </x:t>
        </x:is>
      </x:c>
      <x:c r="V2" s="19" t="inlineStr">
        <x:is>
          <x:t xml:space="preserve">Cena brutto </x:t>
        </x:is>
      </x:c>
      <x:c r="W2" s="18" t="inlineStr">
        <x:is>
          <x:t xml:space="preserve">netto </x:t>
        </x:is>
      </x:c>
      <x:c r="X2" s="19" t="inlineStr">
        <x:is>
          <x:t xml:space="preserve">Cena brutto </x:t>
        </x:is>
      </x:c>
      <x:c r="Y2" s="18" t="inlineStr">
        <x:is>
          <x:t xml:space="preserve">netto </x:t>
        </x:is>
      </x:c>
      <x:c r="Z2" s="19" t="inlineStr">
        <x:is>
          <x:t xml:space="preserve">Cena brutto </x:t>
        </x:is>
      </x:c>
      <x:c r="AA2" s="18" t="inlineStr">
        <x:is>
          <x:t xml:space="preserve">netto </x:t>
        </x:is>
      </x:c>
      <x:c r="AB2" s="19" t="inlineStr">
        <x:is>
          <x:t xml:space="preserve">Cena brutto </x:t>
        </x:is>
      </x:c>
      <x:c r="AC2" s="20" t="inlineStr">
        <x:is>
          <x:t xml:space="preserve">netto </x:t>
        </x:is>
      </x:c>
      <x:c r="AD2" s="124" t="inlineStr">
        <x:is>
          <x:t xml:space="preserve">Cena brutto </x:t>
        </x:is>
      </x:c>
      <x:c r="AE2" s="125" t="inlineStr">
        <x:is>
          <x:t xml:space="preserve">netto </x:t>
        </x:is>
      </x:c>
      <x:c r="AF2" s="19" t="inlineStr">
        <x:is>
          <x:t xml:space="preserve">Cena brutto </x:t>
        </x:is>
      </x:c>
      <x:c r="AG2" s="18" t="inlineStr">
        <x:is>
          <x:t xml:space="preserve">netto </x:t>
        </x:is>
      </x:c>
      <x:c r="AH2" s="19" t="inlineStr">
        <x:is>
          <x:t xml:space="preserve">Cena brutto </x:t>
        </x:is>
      </x:c>
      <x:c r="AI2" s="18" t="inlineStr">
        <x:is>
          <x:t xml:space="preserve">netto </x:t>
        </x:is>
      </x:c>
    </x:row>
    <x:row r="3" s="655" customFormat="1" ht="21.75" customHeight="1">
      <x:c r="A3" s="21" t="inlineStr">
        <x:is>
          <x:t xml:space="preserve">SERIA PRO  300-400 cm</x:t>
        </x:is>
      </x:c>
      <x:c r="B3" s="126" t="inlineStr">
        <x:is>
          <x:t xml:space="preserve">  OGRÓD ZIMOWY POLIWĘGLAN</x:t>
        </x:is>
      </x:c>
      <x:c r="C3" s="127" t="n"/>
      <x:c r="D3" s="126" t="n"/>
      <x:c r="E3" s="127" t="n"/>
      <x:c r="F3" s="126" t="n"/>
      <x:c r="G3" s="127" t="n"/>
      <x:c r="H3" s="126" t="n"/>
      <x:c r="I3" s="127" t="n"/>
      <x:c r="J3" s="127" t="n"/>
      <x:c r="K3" s="127" t="n"/>
      <x:c r="L3" s="126" t="n"/>
      <x:c r="M3" s="127" t="n"/>
      <x:c r="N3" s="126" t="n"/>
      <x:c r="O3" s="127" t="n"/>
      <x:c r="P3" s="126" t="n"/>
      <x:c r="Q3" s="127" t="n"/>
      <x:c r="R3" s="126" t="n"/>
      <x:c r="S3" s="127" t="n"/>
      <x:c r="T3" s="126" t="n"/>
      <x:c r="U3" s="127" t="n"/>
      <x:c r="V3" s="126" t="n"/>
      <x:c r="W3" s="127" t="n"/>
      <x:c r="X3" s="126" t="n"/>
      <x:c r="Y3" s="127" t="n"/>
      <x:c r="Z3" s="126" t="n"/>
      <x:c r="AA3" s="127" t="n"/>
      <x:c r="AB3" s="126" t="n"/>
      <x:c r="AC3" s="128" t="n"/>
      <x:c r="AD3" s="129" t="n"/>
      <x:c r="AE3" s="130" t="n"/>
      <x:c r="AF3" s="22" t="n"/>
      <x:c r="AG3" s="22" t="n"/>
      <x:c r="AH3" s="23" t="n"/>
      <x:c r="AI3" s="24" t="n"/>
    </x:row>
    <x:row r="4" s="655" customFormat="1" ht="15.75" customHeight="1">
      <x:c r="A4" s="25" t="inlineStr">
        <x:is>
          <x:t xml:space="preserve">300 x 306   cm</x:t>
        </x:is>
      </x:c>
      <x:c r="B4" s="28" t="n">
        <x:v>14000</x:v>
      </x:c>
      <x:c r="C4" s="27" t="n">
        <x:f>B4/1.23</x:f>
        <x:v>11382.113821138211</x:v>
      </x:c>
      <x:c r="D4" s="28" t="n">
        <x:v>120</x:v>
      </x:c>
      <x:c r="E4" s="27" t="n">
        <x:f>D4/1.23</x:f>
        <x:v>97.5609756097561</x:v>
      </x:c>
      <x:c r="F4" s="28" t="n">
        <x:v>340</x:v>
      </x:c>
      <x:c r="G4" s="27" t="n">
        <x:f>F4/1.23</x:f>
        <x:v>276.4227642276423</x:v>
      </x:c>
      <x:c r="H4" s="28" t="n">
        <x:v>1080</x:v>
      </x:c>
      <x:c r="I4" s="27" t="n">
        <x:f>H4/1.23</x:f>
        <x:v>878.048780487805</x:v>
      </x:c>
      <x:c r="J4" s="28" t="n">
        <x:v>1020</x:v>
      </x:c>
      <x:c r="K4" s="27" t="n">
        <x:f>J4/1.23</x:f>
        <x:v>829.2682926829268</x:v>
      </x:c>
      <x:c r="L4" s="28" t="n">
        <x:v>340</x:v>
      </x:c>
      <x:c r="M4" s="27" t="n">
        <x:f>L4/1.23</x:f>
        <x:v>276.4227642276423</x:v>
      </x:c>
      <x:c r="N4" s="28" t="n">
        <x:v>310</x:v>
      </x:c>
      <x:c r="O4" s="27" t="n">
        <x:f>N4/1.23</x:f>
        <x:v>252.03252032520325</x:v>
      </x:c>
      <x:c r="P4" s="28" t="n">
        <x:v>3900</x:v>
      </x:c>
      <x:c r="Q4" s="27" t="n">
        <x:v>3170.731707317073</x:v>
      </x:c>
      <x:c r="R4" s="28" t="n">
        <x:v>2140</x:v>
      </x:c>
      <x:c r="S4" s="27" t="n">
        <x:f>R4/1.23</x:f>
        <x:v>1739.8373983739837</x:v>
      </x:c>
      <x:c r="T4" s="28" t="n">
        <x:v>2140</x:v>
      </x:c>
      <x:c r="U4" s="27" t="n">
        <x:f>T4/1.23</x:f>
        <x:v>1739.8373983739837</x:v>
      </x:c>
      <x:c r="V4" s="28" t="n">
        <x:v>2140</x:v>
      </x:c>
      <x:c r="W4" s="27" t="n">
        <x:f>V4/1.23</x:f>
        <x:v>1739.8373983739837</x:v>
      </x:c>
      <x:c r="X4" s="28" t="n">
        <x:v>420</x:v>
      </x:c>
      <x:c r="Y4" s="27" t="n">
        <x:f>X4/1.23</x:f>
        <x:v>341.4634146341464</x:v>
      </x:c>
      <x:c r="Z4" s="28" t="n">
        <x:v>640</x:v>
      </x:c>
      <x:c r="AA4" s="27" t="n">
        <x:f>Z4/1.23</x:f>
        <x:v>520.3252032520326</x:v>
      </x:c>
      <x:c r="AB4" s="28" t="n">
        <x:v>660</x:v>
      </x:c>
      <x:c r="AC4" s="131" t="n">
        <x:f>AB4/1.23</x:f>
        <x:v>536.5853658536586</x:v>
      </x:c>
      <x:c r="AD4" s="132" t="n">
        <x:v>240</x:v>
      </x:c>
      <x:c r="AE4" s="133" t="n">
        <x:f>AD4/1.23</x:f>
        <x:v>195.1219512195122</x:v>
      </x:c>
      <x:c r="AF4" s="28" t="n">
        <x:v>972</x:v>
      </x:c>
      <x:c r="AG4" s="27" t="n">
        <x:f>AF4/1.23</x:f>
        <x:v>790.2439024390244</x:v>
      </x:c>
      <x:c r="AH4" s="28" t="n">
        <x:v>1205</x:v>
      </x:c>
      <x:c r="AI4" s="27" t="n">
        <x:f>AH4/1.23</x:f>
        <x:v>979.6747967479675</x:v>
      </x:c>
    </x:row>
    <x:row r="5" s="655" customFormat="1" ht="15.75" customHeight="1">
      <x:c r="A5" s="25" t="inlineStr">
        <x:is>
          <x:t xml:space="preserve">300 x 406   cm</x:t>
        </x:is>
      </x:c>
      <x:c r="B5" s="28" t="n">
        <x:v>16050</x:v>
      </x:c>
      <x:c r="C5" s="27" t="n">
        <x:f>B5/1.23</x:f>
        <x:v>13048.780487804877</x:v>
      </x:c>
      <x:c r="D5" s="28" t="n">
        <x:v>185</x:v>
      </x:c>
      <x:c r="E5" s="27" t="n">
        <x:f>D5/1.23</x:f>
        <x:v>150.40650406504065</x:v>
      </x:c>
      <x:c r="F5" s="28" t="n">
        <x:v>450</x:v>
      </x:c>
      <x:c r="G5" s="27" t="n">
        <x:f>F5/1.23</x:f>
        <x:v>365.8536585365854</x:v>
      </x:c>
      <x:c r="H5" s="28" t="n">
        <x:v>1200</x:v>
      </x:c>
      <x:c r="I5" s="27" t="n">
        <x:f>H5/1.23</x:f>
        <x:v>975.609756097561</x:v>
      </x:c>
      <x:c r="J5" s="28" t="n">
        <x:v>1140</x:v>
      </x:c>
      <x:c r="K5" s="27" t="n">
        <x:f>J5/1.23</x:f>
        <x:v>926.829268292683</x:v>
      </x:c>
      <x:c r="L5" s="28" t="n">
        <x:v>380</x:v>
      </x:c>
      <x:c r="M5" s="27" t="n">
        <x:f>L5/1.23</x:f>
        <x:v>308.9430894308943</x:v>
      </x:c>
      <x:c r="N5" s="28" t="n">
        <x:v>340</x:v>
      </x:c>
      <x:c r="O5" s="27" t="n">
        <x:f>N5/1.23</x:f>
        <x:v>276.4227642276423</x:v>
      </x:c>
      <x:c r="P5" s="28" t="n">
        <x:v>4300</x:v>
      </x:c>
      <x:c r="Q5" s="27" t="n">
        <x:v>3495.934959349594</x:v>
      </x:c>
      <x:c r="R5" s="28" t="n">
        <x:v>2140</x:v>
      </x:c>
      <x:c r="S5" s="27" t="n">
        <x:f>R5/1.23</x:f>
        <x:v>1739.8373983739837</x:v>
      </x:c>
      <x:c r="T5" s="28" t="n">
        <x:v>2140</x:v>
      </x:c>
      <x:c r="U5" s="27" t="n">
        <x:f>T5/1.23</x:f>
        <x:v>1739.8373983739837</x:v>
      </x:c>
      <x:c r="V5" s="28" t="n">
        <x:v>2640</x:v>
      </x:c>
      <x:c r="W5" s="27" t="n">
        <x:f>V5/1.23</x:f>
        <x:v>2146.3414634146343</x:v>
      </x:c>
      <x:c r="X5" s="28" t="n">
        <x:v>510</x:v>
      </x:c>
      <x:c r="Y5" s="27" t="n">
        <x:f>X5/1.23</x:f>
        <x:v>414.6341463414634</x:v>
      </x:c>
      <x:c r="Z5" s="28" t="n">
        <x:v>740</x:v>
      </x:c>
      <x:c r="AA5" s="27" t="n">
        <x:f>Z5/1.23</x:f>
        <x:v>601.6260162601626</x:v>
      </x:c>
      <x:c r="AB5" s="28" t="n">
        <x:v>770</x:v>
      </x:c>
      <x:c r="AC5" s="131" t="n">
        <x:f>AB5/1.23</x:f>
        <x:v>626.0162601626016</x:v>
      </x:c>
      <x:c r="AD5" s="132" t="n">
        <x:v>280</x:v>
      </x:c>
      <x:c r="AE5" s="133" t="n">
        <x:f>AD5/1.23</x:f>
        <x:v>227.64227642276424</x:v>
      </x:c>
      <x:c r="AF5" s="28" t="n">
        <x:v>1132</x:v>
      </x:c>
      <x:c r="AG5" s="27" t="n">
        <x:f>AF5/1.23</x:f>
        <x:v>920.3252032520326</x:v>
      </x:c>
      <x:c r="AH5" s="28" t="n">
        <x:v>1476</x:v>
      </x:c>
      <x:c r="AI5" s="27" t="n">
        <x:f>AH5/1.23</x:f>
        <x:v>1200</x:v>
      </x:c>
    </x:row>
    <x:row r="6" s="655" customFormat="1" ht="15.75" customHeight="1">
      <x:c r="A6" s="25" t="inlineStr">
        <x:is>
          <x:t xml:space="preserve">300 x 506   cm</x:t>
        </x:is>
      </x:c>
      <x:c r="B6" s="28" t="n">
        <x:v>18510</x:v>
      </x:c>
      <x:c r="C6" s="27" t="n">
        <x:f>B6/1.23</x:f>
        <x:v>15048.78048780488</x:v>
      </x:c>
      <x:c r="D6" s="28" t="n">
        <x:v>250</x:v>
      </x:c>
      <x:c r="E6" s="27" t="n">
        <x:f>D6/1.23</x:f>
        <x:v>203.2520325203252</x:v>
      </x:c>
      <x:c r="F6" s="28" t="n">
        <x:v>570</x:v>
      </x:c>
      <x:c r="G6" s="27" t="n">
        <x:f>F6/1.23</x:f>
        <x:v>463.4146341463415</x:v>
      </x:c>
      <x:c r="H6" s="28" t="n">
        <x:v>1320</x:v>
      </x:c>
      <x:c r="I6" s="27" t="n">
        <x:f>H6/1.23</x:f>
        <x:v>1073.1707317073171</x:v>
      </x:c>
      <x:c r="J6" s="28" t="n">
        <x:v>1260</x:v>
      </x:c>
      <x:c r="K6" s="27" t="n">
        <x:f>J6/1.23</x:f>
        <x:v>1024.3902439024391</x:v>
      </x:c>
      <x:c r="L6" s="28" t="n">
        <x:v>420</x:v>
      </x:c>
      <x:c r="M6" s="27" t="n">
        <x:f>L6/1.23</x:f>
        <x:v>341.4634146341464</x:v>
      </x:c>
      <x:c r="N6" s="28" t="n">
        <x:v>380</x:v>
      </x:c>
      <x:c r="O6" s="27" t="n">
        <x:f>N6/1.23</x:f>
        <x:v>308.9430894308943</x:v>
      </x:c>
      <x:c r="P6" s="28" t="n">
        <x:v>4980</x:v>
      </x:c>
      <x:c r="Q6" s="27" t="n">
        <x:v>4048.780487804878</x:v>
      </x:c>
      <x:c r="R6" s="28" t="n">
        <x:v>2140</x:v>
      </x:c>
      <x:c r="S6" s="27" t="n">
        <x:f>R6/1.23</x:f>
        <x:v>1739.8373983739837</x:v>
      </x:c>
      <x:c r="T6" s="28" t="n">
        <x:v>2140</x:v>
      </x:c>
      <x:c r="U6" s="27" t="n">
        <x:f>T6/1.23</x:f>
        <x:v>1739.8373983739837</x:v>
      </x:c>
      <x:c r="V6" s="28" t="n">
        <x:v>3700</x:v>
      </x:c>
      <x:c r="W6" s="27" t="n">
        <x:f>V6/1.23</x:f>
        <x:v>3008.130081300813</x:v>
      </x:c>
      <x:c r="X6" s="28" t="n">
        <x:v>600</x:v>
      </x:c>
      <x:c r="Y6" s="27" t="n">
        <x:f>X6/1.23</x:f>
        <x:v>487.8048780487805</x:v>
      </x:c>
      <x:c r="Z6" s="28" t="n">
        <x:v>960</x:v>
      </x:c>
      <x:c r="AA6" s="27" t="n">
        <x:f>Z6/1.23</x:f>
        <x:v>780.4878048780488</x:v>
      </x:c>
      <x:c r="AB6" s="28" t="n">
        <x:v>910</x:v>
      </x:c>
      <x:c r="AC6" s="131" t="n">
        <x:f>AB6/1.23</x:f>
        <x:v>739.8373983739838</x:v>
      </x:c>
      <x:c r="AD6" s="132" t="n">
        <x:v>280</x:v>
      </x:c>
      <x:c r="AE6" s="133" t="n">
        <x:f>AD6/1.23</x:f>
        <x:v>227.64227642276424</x:v>
      </x:c>
      <x:c r="AF6" s="28" t="n">
        <x:v>1304</x:v>
      </x:c>
      <x:c r="AG6" s="27" t="n">
        <x:f>AF6/1.23</x:f>
        <x:v>1060.1626016260163</x:v>
      </x:c>
      <x:c r="AH6" s="28" t="n">
        <x:v>1747</x:v>
      </x:c>
      <x:c r="AI6" s="27" t="n">
        <x:f>AH6/1.23</x:f>
        <x:v>1420.3252032520325</x:v>
      </x:c>
    </x:row>
    <x:row r="7" s="655" customFormat="1" ht="15.75" customHeight="1">
      <x:c r="A7" s="25" t="inlineStr">
        <x:is>
          <x:t xml:space="preserve">300 x 606   cm</x:t>
        </x:is>
      </x:c>
      <x:c r="B7" s="28" t="n">
        <x:v>20690</x:v>
      </x:c>
      <x:c r="C7" s="27" t="n">
        <x:f>B7/1.23</x:f>
        <x:v>16821.138211382113</x:v>
      </x:c>
      <x:c r="D7" s="28" t="n">
        <x:v>310</x:v>
      </x:c>
      <x:c r="E7" s="27" t="n">
        <x:f>D7/1.23</x:f>
        <x:v>252.03252032520325</x:v>
      </x:c>
      <x:c r="F7" s="28" t="n">
        <x:v>680</x:v>
      </x:c>
      <x:c r="G7" s="27" t="n">
        <x:f>F7/1.23</x:f>
        <x:v>552.8455284552846</x:v>
      </x:c>
      <x:c r="H7" s="28" t="n">
        <x:v>1440</x:v>
      </x:c>
      <x:c r="I7" s="27" t="n">
        <x:f>H7/1.23</x:f>
        <x:v>1170.7317073170732</x:v>
      </x:c>
      <x:c r="J7" s="28" t="n">
        <x:v>1380</x:v>
      </x:c>
      <x:c r="K7" s="27" t="n">
        <x:f>J7/1.23</x:f>
        <x:v>1121.9512195121952</x:v>
      </x:c>
      <x:c r="L7" s="28" t="n">
        <x:v>460</x:v>
      </x:c>
      <x:c r="M7" s="27" t="n">
        <x:f>L7/1.23</x:f>
        <x:v>373.9837398373984</x:v>
      </x:c>
      <x:c r="N7" s="28" t="n">
        <x:v>410</x:v>
      </x:c>
      <x:c r="O7" s="27" t="n">
        <x:f>N7/1.23</x:f>
        <x:v>333.3333333333333</x:v>
      </x:c>
      <x:c r="P7" s="28" t="n">
        <x:v>7800</x:v>
      </x:c>
      <x:c r="Q7" s="27" t="n">
        <x:v>6341.463414634147</x:v>
      </x:c>
      <x:c r="R7" s="28" t="n">
        <x:v>2140</x:v>
      </x:c>
      <x:c r="S7" s="27" t="n">
        <x:f>R7/1.23</x:f>
        <x:v>1739.8373983739837</x:v>
      </x:c>
      <x:c r="T7" s="28" t="n">
        <x:v>2140</x:v>
      </x:c>
      <x:c r="U7" s="27" t="n">
        <x:f>T7/1.23</x:f>
        <x:v>1739.8373983739837</x:v>
      </x:c>
      <x:c r="V7" s="28" t="n">
        <x:v>4270</x:v>
      </x:c>
      <x:c r="W7" s="27" t="n">
        <x:f>V7/1.23</x:f>
        <x:v>3471.5447154471544</x:v>
      </x:c>
      <x:c r="X7" s="28" t="n">
        <x:v>790</x:v>
      </x:c>
      <x:c r="Y7" s="27" t="n">
        <x:f>X7/1.23</x:f>
        <x:v>642.2764227642276</x:v>
      </x:c>
      <x:c r="Z7" s="28" t="n">
        <x:v>1090</x:v>
      </x:c>
      <x:c r="AA7" s="27" t="n">
        <x:f>Z7/1.23</x:f>
        <x:v>886.178861788618</x:v>
      </x:c>
      <x:c r="AB7" s="28" t="n">
        <x:v>1200</x:v>
      </x:c>
      <x:c r="AC7" s="131" t="n">
        <x:f>AB7/1.23</x:f>
        <x:v>975.609756097561</x:v>
      </x:c>
      <x:c r="AD7" s="132" t="n">
        <x:v>320</x:v>
      </x:c>
      <x:c r="AE7" s="133" t="n">
        <x:f>AD7/1.23</x:f>
        <x:v>260.1626016260163</x:v>
      </x:c>
      <x:c r="AF7" s="28" t="n">
        <x:v>1304</x:v>
      </x:c>
      <x:c r="AG7" s="27" t="n">
        <x:f>AF7/1.23</x:f>
        <x:v>1060.1626016260163</x:v>
      </x:c>
      <x:c r="AH7" s="28" t="n">
        <x:v>2042</x:v>
      </x:c>
      <x:c r="AI7" s="27" t="n">
        <x:f>AH7/1.23</x:f>
        <x:v>1660.1626016260163</x:v>
      </x:c>
    </x:row>
    <x:row r="8" s="655" customFormat="1" ht="15.75" customHeight="1">
      <x:c r="A8" s="25" t="inlineStr">
        <x:is>
          <x:t xml:space="preserve">300 x 706   cm</x:t>
        </x:is>
      </x:c>
      <x:c r="B8" s="28" t="n">
        <x:v>22000</x:v>
      </x:c>
      <x:c r="C8" s="27" t="n">
        <x:f>B8/1.23</x:f>
        <x:v>17886.17886178862</x:v>
      </x:c>
      <x:c r="D8" s="28" t="n">
        <x:v>370</x:v>
      </x:c>
      <x:c r="E8" s="27" t="n">
        <x:f>D8/1.23</x:f>
        <x:v>300.8130081300813</x:v>
      </x:c>
      <x:c r="F8" s="28" t="n">
        <x:v>790</x:v>
      </x:c>
      <x:c r="G8" s="27" t="n">
        <x:f>F8/1.23</x:f>
        <x:v>642.2764227642276</x:v>
      </x:c>
      <x:c r="H8" s="28" t="n">
        <x:v>1560</x:v>
      </x:c>
      <x:c r="I8" s="27" t="n">
        <x:f>H8/1.23</x:f>
        <x:v>1268.2926829268292</x:v>
      </x:c>
      <x:c r="J8" s="28" t="n">
        <x:v>1500</x:v>
      </x:c>
      <x:c r="K8" s="27" t="n">
        <x:f>J8/1.23</x:f>
        <x:v>1219.5121951219512</x:v>
      </x:c>
      <x:c r="L8" s="28" t="n">
        <x:v>500</x:v>
      </x:c>
      <x:c r="M8" s="27" t="n">
        <x:f>L8/1.23</x:f>
        <x:v>406.5040650406504</x:v>
      </x:c>
      <x:c r="N8" s="28" t="n">
        <x:v>450</x:v>
      </x:c>
      <x:c r="O8" s="27" t="n">
        <x:f>N8/1.23</x:f>
        <x:v>365.8536585365854</x:v>
      </x:c>
      <x:c r="P8" s="28" t="n">
        <x:v>8210</x:v>
      </x:c>
      <x:c r="Q8" s="27" t="n">
        <x:v>6674.79674796748</x:v>
      </x:c>
      <x:c r="R8" s="28" t="n">
        <x:v>2140</x:v>
      </x:c>
      <x:c r="S8" s="27" t="n">
        <x:f>R8/1.23</x:f>
        <x:v>1739.8373983739837</x:v>
      </x:c>
      <x:c r="T8" s="28" t="n">
        <x:v>2140</x:v>
      </x:c>
      <x:c r="U8" s="27" t="n">
        <x:f>T8/1.23</x:f>
        <x:v>1739.8373983739837</x:v>
      </x:c>
      <x:c r="V8" s="28" t="n">
        <x:v>4780</x:v>
      </x:c>
      <x:c r="W8" s="27" t="n">
        <x:f>V8/1.23</x:f>
        <x:v>3886.1788617886177</x:v>
      </x:c>
      <x:c r="X8" s="28" t="n">
        <x:v>870</x:v>
      </x:c>
      <x:c r="Y8" s="27" t="n">
        <x:f>X8/1.23</x:f>
        <x:v>707.3170731707318</x:v>
      </x:c>
      <x:c r="Z8" s="28" t="n">
        <x:v>1210</x:v>
      </x:c>
      <x:c r="AA8" s="27" t="n">
        <x:f>Z8/1.23</x:f>
        <x:v>983.739837398374</x:v>
      </x:c>
      <x:c r="AB8" s="28" t="n">
        <x:v>990</x:v>
      </x:c>
      <x:c r="AC8" s="131" t="n">
        <x:f>AB8/1.23</x:f>
        <x:v>804.8780487804878</x:v>
      </x:c>
      <x:c r="AD8" s="132" t="n">
        <x:v>360</x:v>
      </x:c>
      <x:c r="AE8" s="133" t="n">
        <x:f>AD8/1.23</x:f>
        <x:v>292.6829268292683</x:v>
      </x:c>
      <x:c r="AF8" s="28" t="n">
        <x:v>1464</x:v>
      </x:c>
      <x:c r="AG8" s="27" t="n">
        <x:f>AF8/1.23</x:f>
        <x:v>1190.2439024390244</x:v>
      </x:c>
      <x:c r="AH8" s="28" t="n">
        <x:v>2325</x:v>
      </x:c>
      <x:c r="AI8" s="27" t="n">
        <x:f>AH8/1.23</x:f>
        <x:v>1890.2439024390244</x:v>
      </x:c>
    </x:row>
    <x:row r="9" s="655" customFormat="1" ht="17.25" customHeight="1">
      <x:c r="A9" s="25" t="inlineStr">
        <x:is>
          <x:t xml:space="preserve">300 x 806   cm</x:t>
        </x:is>
      </x:c>
      <x:c r="B9" s="28" t="n">
        <x:v>24680</x:v>
      </x:c>
      <x:c r="C9" s="27" t="n">
        <x:f>B9/1.23</x:f>
        <x:v>20065.040650406503</x:v>
      </x:c>
      <x:c r="D9" s="28" t="n">
        <x:v>430</x:v>
      </x:c>
      <x:c r="E9" s="27" t="n">
        <x:f>D9/1.23</x:f>
        <x:v>349.5934959349594</x:v>
      </x:c>
      <x:c r="F9" s="28" t="n">
        <x:v>910</x:v>
      </x:c>
      <x:c r="G9" s="27" t="n">
        <x:f>F9/1.23</x:f>
        <x:v>739.8373983739838</x:v>
      </x:c>
      <x:c r="H9" s="28" t="n">
        <x:v>1680</x:v>
      </x:c>
      <x:c r="I9" s="27" t="n">
        <x:f>H9/1.23</x:f>
        <x:v>1365.8536585365855</x:v>
      </x:c>
      <x:c r="J9" s="28" t="n">
        <x:v>1620</x:v>
      </x:c>
      <x:c r="K9" s="27" t="n">
        <x:f>J9/1.23</x:f>
        <x:v>1317.0731707317073</x:v>
      </x:c>
      <x:c r="L9" s="28" t="n">
        <x:v>530</x:v>
      </x:c>
      <x:c r="M9" s="27" t="n">
        <x:f>L9/1.23</x:f>
        <x:v>430.8943089430894</x:v>
      </x:c>
      <x:c r="N9" s="28" t="n">
        <x:v>480</x:v>
      </x:c>
      <x:c r="O9" s="27" t="n">
        <x:f>N9/1.23</x:f>
        <x:v>390.2439024390244</x:v>
      </x:c>
      <x:c r="P9" s="28" t="n">
        <x:v>8600</x:v>
      </x:c>
      <x:c r="Q9" s="27" t="n">
        <x:v>6991.869918699187</x:v>
      </x:c>
      <x:c r="R9" s="28" t="n">
        <x:v>2140</x:v>
      </x:c>
      <x:c r="S9" s="27" t="n">
        <x:f>R9/1.23</x:f>
        <x:v>1739.8373983739837</x:v>
      </x:c>
      <x:c r="T9" s="28" t="n">
        <x:v>2140</x:v>
      </x:c>
      <x:c r="U9" s="27" t="n">
        <x:f>T9/1.23</x:f>
        <x:v>1739.8373983739837</x:v>
      </x:c>
      <x:c r="V9" s="28" t="n">
        <x:v>5280</x:v>
      </x:c>
      <x:c r="W9" s="27" t="n">
        <x:f>V9/1.23</x:f>
        <x:v>4292.682926829269</x:v>
      </x:c>
      <x:c r="X9" s="28" t="n">
        <x:v>960</x:v>
      </x:c>
      <x:c r="Y9" s="27" t="n">
        <x:f>X9/1.23</x:f>
        <x:v>780.4878048780488</x:v>
      </x:c>
      <x:c r="Z9" s="28" t="n">
        <x:v>1440</x:v>
      </x:c>
      <x:c r="AA9" s="27" t="n">
        <x:f>Z9/1.23</x:f>
        <x:v>1170.7317073170732</x:v>
      </x:c>
      <x:c r="AB9" s="28" t="n">
        <x:v>1110</x:v>
      </x:c>
      <x:c r="AC9" s="131" t="n">
        <x:f>AB9/1.23</x:f>
        <x:v>902.439024390244</x:v>
      </x:c>
      <x:c r="AD9" s="132" t="n">
        <x:v>400</x:v>
      </x:c>
      <x:c r="AE9" s="133" t="n">
        <x:f>AD9/1.23</x:f>
        <x:v>325.2032520325203</x:v>
      </x:c>
      <x:c r="AF9" s="28" t="n">
        <x:v>1648</x:v>
      </x:c>
      <x:c r="AG9" s="27" t="n">
        <x:f>AF9/1.23</x:f>
        <x:v>1339.8373983739837</x:v>
      </x:c>
      <x:c r="AH9" s="28" t="n">
        <x:v>2620</x:v>
      </x:c>
      <x:c r="AI9" s="27" t="n">
        <x:f>AH9/1.23</x:f>
        <x:v>2130.081300813008</x:v>
      </x:c>
    </x:row>
    <x:row r="10" s="655" customFormat="1" ht="15.75" customHeight="1">
      <x:c r="A10" s="25" t="inlineStr">
        <x:is>
          <x:t xml:space="preserve">300 x 906   cm</x:t>
        </x:is>
      </x:c>
      <x:c r="B10" s="28" t="n">
        <x:v>27150</x:v>
      </x:c>
      <x:c r="C10" s="27" t="n">
        <x:f>B10/1.23</x:f>
        <x:v>22073.170731707316</x:v>
      </x:c>
      <x:c r="D10" s="28" t="n">
        <x:v>490</x:v>
      </x:c>
      <x:c r="E10" s="27" t="n">
        <x:f>D10/1.23</x:f>
        <x:v>398.3739837398374</x:v>
      </x:c>
      <x:c r="F10" s="28" t="n">
        <x:v>1020</x:v>
      </x:c>
      <x:c r="G10" s="27" t="n">
        <x:f>F10/1.23</x:f>
        <x:v>829.2682926829268</x:v>
      </x:c>
      <x:c r="H10" s="28" t="n">
        <x:v>1800</x:v>
      </x:c>
      <x:c r="I10" s="27" t="n">
        <x:f>H10/1.23</x:f>
        <x:v>1463.4146341463415</x:v>
      </x:c>
      <x:c r="J10" s="28" t="n">
        <x:v>1740</x:v>
      </x:c>
      <x:c r="K10" s="27" t="n">
        <x:f>J10/1.23</x:f>
        <x:v>1414.6341463414635</x:v>
      </x:c>
      <x:c r="L10" s="28" t="n">
        <x:v>570</x:v>
      </x:c>
      <x:c r="M10" s="27" t="n">
        <x:f>L10/1.23</x:f>
        <x:v>463.4146341463415</x:v>
      </x:c>
      <x:c r="N10" s="28" t="n">
        <x:v>520</x:v>
      </x:c>
      <x:c r="O10" s="27" t="n">
        <x:f>N10/1.23</x:f>
        <x:v>422.7642276422764</x:v>
      </x:c>
      <x:c r="P10" s="28" t="n">
        <x:v>9280</x:v>
      </x:c>
      <x:c r="Q10" s="27" t="n">
        <x:v>7544.715447154472</x:v>
      </x:c>
      <x:c r="R10" s="28" t="n">
        <x:v>2140</x:v>
      </x:c>
      <x:c r="S10" s="27" t="n">
        <x:f>R10/1.23</x:f>
        <x:v>1739.8373983739837</x:v>
      </x:c>
      <x:c r="T10" s="28" t="n">
        <x:v>2140</x:v>
      </x:c>
      <x:c r="U10" s="27" t="n">
        <x:f>T10/1.23</x:f>
        <x:v>1739.8373983739837</x:v>
      </x:c>
      <x:c r="V10" s="28" t="n">
        <x:v>6400</x:v>
      </x:c>
      <x:c r="W10" s="27" t="n">
        <x:f>V10/1.23</x:f>
        <x:v>5203.252032520325</x:v>
      </x:c>
      <x:c r="X10" s="28" t="n">
        <x:v>1040</x:v>
      </x:c>
      <x:c r="Y10" s="27" t="n">
        <x:f>X10/1.23</x:f>
        <x:v>845.5284552845528</x:v>
      </x:c>
      <x:c r="Z10" s="28" t="n">
        <x:v>1560</x:v>
      </x:c>
      <x:c r="AA10" s="27" t="n">
        <x:f>Z10/1.23</x:f>
        <x:v>1268.2926829268292</x:v>
      </x:c>
      <x:c r="AB10" s="28" t="n">
        <x:v>1250</x:v>
      </x:c>
      <x:c r="AC10" s="131" t="n">
        <x:f>AB10/1.23</x:f>
        <x:v>1016.260162601626</x:v>
      </x:c>
      <x:c r="AD10" s="132" t="n">
        <x:v>400</x:v>
      </x:c>
      <x:c r="AE10" s="133" t="n">
        <x:f>AD10/1.23</x:f>
        <x:v>325.2032520325203</x:v>
      </x:c>
      <x:c r="AF10" s="28" t="n">
        <x:v>1833</x:v>
      </x:c>
      <x:c r="AG10" s="27" t="n">
        <x:f>AF10/1.23</x:f>
        <x:v>1490.2439024390244</x:v>
      </x:c>
      <x:c r="AH10" s="28" t="n">
        <x:v>2915</x:v>
      </x:c>
      <x:c r="AI10" s="27" t="n">
        <x:f>AH10/1.23</x:f>
        <x:v>2369.918699186992</x:v>
      </x:c>
    </x:row>
    <x:row r="11" s="655" customFormat="1" ht="15.75" customHeight="1">
      <x:c r="A11" s="25" t="inlineStr">
        <x:is>
          <x:t xml:space="preserve">300 x 1006 cm</x:t>
        </x:is>
      </x:c>
      <x:c r="B11" s="28" t="n">
        <x:v>29600</x:v>
      </x:c>
      <x:c r="C11" s="27" t="n">
        <x:f>B11/1.23</x:f>
        <x:v>24065.040650406503</x:v>
      </x:c>
      <x:c r="D11" s="28" t="n">
        <x:v>550</x:v>
      </x:c>
      <x:c r="E11" s="27" t="n">
        <x:f>D11/1.23</x:f>
        <x:v>447.1544715447155</x:v>
      </x:c>
      <x:c r="F11" s="28" t="n">
        <x:v>1140</x:v>
      </x:c>
      <x:c r="G11" s="27" t="n">
        <x:f>F11/1.23</x:f>
        <x:v>926.829268292683</x:v>
      </x:c>
      <x:c r="H11" s="28" t="n">
        <x:v>1920</x:v>
      </x:c>
      <x:c r="I11" s="27" t="n">
        <x:f>H11/1.23</x:f>
        <x:v>1560.9756097560976</x:v>
      </x:c>
      <x:c r="J11" s="28" t="n">
        <x:v>1860</x:v>
      </x:c>
      <x:c r="K11" s="27" t="n">
        <x:f>J11/1.23</x:f>
        <x:v>1512.1951219512196</x:v>
      </x:c>
      <x:c r="L11" s="28" t="n">
        <x:v>610</x:v>
      </x:c>
      <x:c r="M11" s="27" t="n">
        <x:f>L11/1.23</x:f>
        <x:v>495.9349593495935</x:v>
      </x:c>
      <x:c r="N11" s="28" t="n">
        <x:v>550</x:v>
      </x:c>
      <x:c r="O11" s="27" t="n">
        <x:f>N11/1.23</x:f>
        <x:v>447.1544715447155</x:v>
      </x:c>
      <x:c r="P11" s="28" t="n">
        <x:v>9950</x:v>
      </x:c>
      <x:c r="Q11" s="27" t="n">
        <x:v>8089.430894308944</x:v>
      </x:c>
      <x:c r="R11" s="28" t="n">
        <x:v>2140</x:v>
      </x:c>
      <x:c r="S11" s="27" t="n">
        <x:f>R11/1.23</x:f>
        <x:v>1739.8373983739837</x:v>
      </x:c>
      <x:c r="T11" s="28" t="n">
        <x:v>2140</x:v>
      </x:c>
      <x:c r="U11" s="27" t="n">
        <x:f>T11/1.23</x:f>
        <x:v>1739.8373983739837</x:v>
      </x:c>
      <x:c r="V11" s="28" t="n">
        <x:v>6910</x:v>
      </x:c>
      <x:c r="W11" s="27" t="n">
        <x:f>V11/1.23</x:f>
        <x:v>5617.886178861789</x:v>
      </x:c>
      <x:c r="X11" s="28" t="n">
        <x:v>1230</x:v>
      </x:c>
      <x:c r="Y11" s="27" t="n">
        <x:f>X11/1.23</x:f>
        <x:v>1000</x:v>
      </x:c>
      <x:c r="Z11" s="28" t="n">
        <x:v>1650</x:v>
      </x:c>
      <x:c r="AA11" s="27" t="n">
        <x:f>Z11/1.23</x:f>
        <x:v>1341.4634146341464</x:v>
      </x:c>
      <x:c r="AB11" s="28" t="n">
        <x:v>1380</x:v>
      </x:c>
      <x:c r="AC11" s="131" t="n">
        <x:f>AB11/1.23</x:f>
        <x:v>1121.9512195121952</x:v>
      </x:c>
      <x:c r="AD11" s="132" t="n">
        <x:v>440</x:v>
      </x:c>
      <x:c r="AE11" s="133" t="n">
        <x:f>AD11/1.23</x:f>
        <x:v>357.7235772357724</x:v>
      </x:c>
      <x:c r="AF11" s="28" t="n">
        <x:v>2189</x:v>
      </x:c>
      <x:c r="AG11" s="27" t="n">
        <x:f>AF11/1.23</x:f>
        <x:v>1779.6747967479675</x:v>
      </x:c>
      <x:c r="AH11" s="28" t="n">
        <x:v>3198</x:v>
      </x:c>
      <x:c r="AI11" s="27" t="n">
        <x:f>AH11/1.23</x:f>
        <x:v>2600</x:v>
      </x:c>
    </x:row>
    <x:row r="12" s="655" customFormat="1" ht="15.75" customHeight="1">
      <x:c r="A12" s="25" t="inlineStr">
        <x:is>
          <x:t xml:space="preserve">300 x 1106 cm</x:t>
        </x:is>
      </x:c>
      <x:c r="B12" s="28" t="n">
        <x:v>31790</x:v>
      </x:c>
      <x:c r="C12" s="27" t="n">
        <x:f>B12/1.23</x:f>
        <x:v>25845.52845528455</x:v>
      </x:c>
      <x:c r="D12" s="28" t="n">
        <x:v>620</x:v>
      </x:c>
      <x:c r="E12" s="27" t="n">
        <x:f>D12/1.23</x:f>
        <x:v>504.0650406504065</x:v>
      </x:c>
      <x:c r="F12" s="28" t="n">
        <x:v>1250</x:v>
      </x:c>
      <x:c r="G12" s="27" t="n">
        <x:f>F12/1.23</x:f>
        <x:v>1016.260162601626</x:v>
      </x:c>
      <x:c r="H12" s="28" t="n">
        <x:v>2040</x:v>
      </x:c>
      <x:c r="I12" s="27" t="n">
        <x:f>H12/1.23</x:f>
        <x:v>1658.5365853658536</x:v>
      </x:c>
      <x:c r="J12" s="28" t="n">
        <x:v>1980</x:v>
      </x:c>
      <x:c r="K12" s="27" t="n">
        <x:f>J12/1.23</x:f>
        <x:v>1609.7560975609756</x:v>
      </x:c>
      <x:c r="L12" s="28" t="n">
        <x:v>650</x:v>
      </x:c>
      <x:c r="M12" s="27" t="n">
        <x:f>L12/1.23</x:f>
        <x:v>528.4552845528456</x:v>
      </x:c>
      <x:c r="N12" s="28" t="n">
        <x:v>590</x:v>
      </x:c>
      <x:c r="O12" s="27" t="n">
        <x:f>N12/1.23</x:f>
        <x:v>479.6747967479675</x:v>
      </x:c>
      <x:c r="P12" s="28" t="n">
        <x:v>12500</x:v>
      </x:c>
      <x:c r="Q12" s="27" t="n">
        <x:v>10162.60162601626</x:v>
      </x:c>
      <x:c r="R12" s="28" t="n">
        <x:v>2140</x:v>
      </x:c>
      <x:c r="S12" s="27" t="n">
        <x:f>R12/1.23</x:f>
        <x:v>1739.8373983739837</x:v>
      </x:c>
      <x:c r="T12" s="28" t="n">
        <x:v>2140</x:v>
      </x:c>
      <x:c r="U12" s="27" t="n">
        <x:f>T12/1.23</x:f>
        <x:v>1739.8373983739837</x:v>
      </x:c>
      <x:c r="V12" s="28" t="n">
        <x:v>7420</x:v>
      </x:c>
      <x:c r="W12" s="27" t="n">
        <x:f>V12/1.23</x:f>
        <x:v>6032.5203252032525</x:v>
      </x:c>
      <x:c r="X12" s="28" t="n">
        <x:v>1430</x:v>
      </x:c>
      <x:c r="Y12" s="27" t="n">
        <x:f>X12/1.23</x:f>
        <x:v>1162.60162601626</x:v>
      </x:c>
      <x:c r="Z12" s="28" t="n">
        <x:v>1770</x:v>
      </x:c>
      <x:c r="AA12" s="27" t="n">
        <x:f>Z12/1.23</x:f>
        <x:v>1439.0243902439024</x:v>
      </x:c>
      <x:c r="AB12" s="28" t="n">
        <x:v>1960</x:v>
      </x:c>
      <x:c r="AC12" s="131" t="n">
        <x:f>AB12/1.23</x:f>
        <x:v>1593.4959349593496</x:v>
      </x:c>
      <x:c r="AD12" s="132" t="n">
        <x:v>480</x:v>
      </x:c>
      <x:c r="AE12" s="133" t="n">
        <x:f>AD12/1.23</x:f>
        <x:v>390.2439024390244</x:v>
      </x:c>
      <x:c r="AF12" s="28" t="n">
        <x:v>2374</x:v>
      </x:c>
      <x:c r="AG12" s="27" t="n">
        <x:f>AF12/1.23</x:f>
        <x:v>1930.081300813008</x:v>
      </x:c>
      <x:c r="AH12" s="28" t="n">
        <x:v>3493</x:v>
      </x:c>
      <x:c r="AI12" s="27" t="n">
        <x:f>AH12/1.23</x:f>
        <x:v>2839.837398373984</x:v>
      </x:c>
    </x:row>
    <x:row r="13" s="655" customFormat="1" ht="15.75" customHeight="1">
      <x:c r="A13" s="25" t="inlineStr">
        <x:is>
          <x:t xml:space="preserve">300 x 1206 cm</x:t>
        </x:is>
      </x:c>
      <x:c r="B13" s="28" t="n">
        <x:v>33960</x:v>
      </x:c>
      <x:c r="C13" s="27" t="n">
        <x:f>B13/1.23</x:f>
        <x:v>27609.756097560978</x:v>
      </x:c>
      <x:c r="D13" s="28" t="n">
        <x:v>680</x:v>
      </x:c>
      <x:c r="E13" s="27" t="n">
        <x:f>D13/1.23</x:f>
        <x:v>552.8455284552846</x:v>
      </x:c>
      <x:c r="F13" s="28" t="n">
        <x:v>1360</x:v>
      </x:c>
      <x:c r="G13" s="27" t="n">
        <x:f>F13/1.23</x:f>
        <x:v>1105.6910569105692</x:v>
      </x:c>
      <x:c r="H13" s="28" t="n">
        <x:v>2160</x:v>
      </x:c>
      <x:c r="I13" s="27" t="n">
        <x:f>H13/1.23</x:f>
        <x:v>1756.09756097561</x:v>
      </x:c>
      <x:c r="J13" s="28" t="n">
        <x:v>2100</x:v>
      </x:c>
      <x:c r="K13" s="27" t="n">
        <x:f>J13/1.23</x:f>
        <x:v>1707.3170731707316</x:v>
      </x:c>
      <x:c r="L13" s="28" t="n">
        <x:v>690</x:v>
      </x:c>
      <x:c r="M13" s="27" t="n">
        <x:f>L13/1.23</x:f>
        <x:v>560.9756097560976</x:v>
      </x:c>
      <x:c r="N13" s="28" t="n">
        <x:v>620</x:v>
      </x:c>
      <x:c r="O13" s="27" t="n">
        <x:f>N13/1.23</x:f>
        <x:v>504.0650406504065</x:v>
      </x:c>
      <x:c r="P13" s="28" t="n">
        <x:v>12900</x:v>
      </x:c>
      <x:c r="Q13" s="27" t="n">
        <x:v>10487.80487804878</x:v>
      </x:c>
      <x:c r="R13" s="28" t="n">
        <x:v>2140</x:v>
      </x:c>
      <x:c r="S13" s="27" t="n">
        <x:f>R13/1.23</x:f>
        <x:v>1739.8373983739837</x:v>
      </x:c>
      <x:c r="T13" s="28" t="n">
        <x:v>2140</x:v>
      </x:c>
      <x:c r="U13" s="27" t="n">
        <x:f>T13/1.23</x:f>
        <x:v>1739.8373983739837</x:v>
      </x:c>
      <x:c r="V13" s="28" t="n">
        <x:v>7920</x:v>
      </x:c>
      <x:c r="W13" s="27" t="n">
        <x:f>V13/1.23</x:f>
        <x:v>6439.024390243902</x:v>
      </x:c>
      <x:c r="X13" s="28" t="n">
        <x:v>1510</x:v>
      </x:c>
      <x:c r="Y13" s="27" t="n">
        <x:f>X13/1.23</x:f>
        <x:v>1227.6422764227643</x:v>
      </x:c>
      <x:c r="Z13" s="28" t="n">
        <x:v>1900</x:v>
      </x:c>
      <x:c r="AA13" s="27" t="n">
        <x:f>Z13/1.23</x:f>
        <x:v>1544.7154471544716</x:v>
      </x:c>
      <x:c r="AB13" s="28" t="n">
        <x:v>1960</x:v>
      </x:c>
      <x:c r="AC13" s="131" t="n">
        <x:f>AB13/1.23</x:f>
        <x:v>1593.4959349593496</x:v>
      </x:c>
      <x:c r="AD13" s="132" t="n">
        <x:v>520</x:v>
      </x:c>
      <x:c r="AE13" s="133" t="n">
        <x:f>AD13/1.23</x:f>
        <x:v>422.7642276422764</x:v>
      </x:c>
      <x:c r="AF13" s="28" t="n">
        <x:v>2546</x:v>
      </x:c>
      <x:c r="AG13" s="27" t="n">
        <x:f>AF13/1.23</x:f>
        <x:v>2069.918699186992</x:v>
      </x:c>
      <x:c r="AH13" s="28" t="n">
        <x:v>3788</x:v>
      </x:c>
      <x:c r="AI13" s="27" t="n">
        <x:f>AH13/1.23</x:f>
        <x:v>3079.6747967479673</x:v>
      </x:c>
    </x:row>
    <x:row r="14" s="655" customFormat="1" ht="15.75" customHeight="1">
      <x:c r="A14" s="29" t="inlineStr">
        <x:is>
          <x:t xml:space="preserve">350 x 306   cm</x:t>
        </x:is>
      </x:c>
      <x:c r="B14" s="32" t="n">
        <x:v>16530</x:v>
      </x:c>
      <x:c r="C14" s="31" t="n">
        <x:f>B14/1.23</x:f>
        <x:v>13439.024390243903</x:v>
      </x:c>
      <x:c r="D14" s="32" t="n">
        <x:v>150</x:v>
      </x:c>
      <x:c r="E14" s="31" t="n">
        <x:f>D14/1.23</x:f>
        <x:v>121.95121951219512</x:v>
      </x:c>
      <x:c r="F14" s="32" t="n">
        <x:v>430</x:v>
      </x:c>
      <x:c r="G14" s="31" t="n">
        <x:f>F14/1.23</x:f>
        <x:v>349.5934959349594</x:v>
      </x:c>
      <x:c r="H14" s="32" t="n">
        <x:v>1320</x:v>
      </x:c>
      <x:c r="I14" s="31" t="n">
        <x:f>H14/1.23</x:f>
        <x:v>1073.1707317073171</x:v>
      </x:c>
      <x:c r="J14" s="32" t="n">
        <x:v>1240</x:v>
      </x:c>
      <x:c r="K14" s="31" t="n">
        <x:f>J14/1.23</x:f>
        <x:v>1008.130081300813</x:v>
      </x:c>
      <x:c r="L14" s="32" t="n">
        <x:v>420</x:v>
      </x:c>
      <x:c r="M14" s="31" t="n">
        <x:f>L14/1.23</x:f>
        <x:v>341.4634146341464</x:v>
      </x:c>
      <x:c r="N14" s="32" t="n">
        <x:v>380</x:v>
      </x:c>
      <x:c r="O14" s="31" t="n">
        <x:f>N14/1.23</x:f>
        <x:v>308.9430894308943</x:v>
      </x:c>
      <x:c r="P14" s="32" t="n">
        <x:v>3980</x:v>
      </x:c>
      <x:c r="Q14" s="31" t="n">
        <x:v>3235.772357723577</x:v>
      </x:c>
      <x:c r="R14" s="32" t="n">
        <x:v>2340</x:v>
      </x:c>
      <x:c r="S14" s="134" t="n">
        <x:f>R14/1.23</x:f>
        <x:v>1902.439024390244</x:v>
      </x:c>
      <x:c r="T14" s="32" t="n">
        <x:v>2340</x:v>
      </x:c>
      <x:c r="U14" s="31" t="n">
        <x:f>T14/1.23</x:f>
        <x:v>1902.439024390244</x:v>
      </x:c>
      <x:c r="V14" s="32" t="n">
        <x:v>2140</x:v>
      </x:c>
      <x:c r="W14" s="31" t="n">
        <x:f>V14/1.23</x:f>
        <x:v>1739.8373983739837</x:v>
      </x:c>
      <x:c r="X14" s="32" t="n">
        <x:v>420</x:v>
      </x:c>
      <x:c r="Y14" s="31" t="n">
        <x:f>X14/1.23</x:f>
        <x:v>341.4634146341464</x:v>
      </x:c>
      <x:c r="Z14" s="32" t="n">
        <x:v>640</x:v>
      </x:c>
      <x:c r="AA14" s="31" t="n">
        <x:f>Z14/1.23</x:f>
        <x:v>520.3252032520326</x:v>
      </x:c>
      <x:c r="AB14" s="32" t="n">
        <x:v>890</x:v>
      </x:c>
      <x:c r="AC14" s="135" t="n">
        <x:f>AB14/1.23</x:f>
        <x:v>723.5772357723578</x:v>
      </x:c>
      <x:c r="AD14" s="136" t="n">
        <x:v>320</x:v>
      </x:c>
      <x:c r="AE14" s="137" t="n">
        <x:f>AD14/1.23</x:f>
        <x:v>260.1626016260163</x:v>
      </x:c>
      <x:c r="AF14" s="32" t="n">
        <x:v>1009</x:v>
      </x:c>
      <x:c r="AG14" s="31" t="n">
        <x:f>AF14/1.23</x:f>
        <x:v>820.3252032520326</x:v>
      </x:c>
      <x:c r="AH14" s="32" t="n">
        <x:v>1279</x:v>
      </x:c>
      <x:c r="AI14" s="31" t="n">
        <x:f>AH14/1.23</x:f>
        <x:v>1039.8373983739837</x:v>
      </x:c>
    </x:row>
    <x:row r="15" s="655" customFormat="1" ht="15.75" customHeight="1">
      <x:c r="A15" s="29" t="inlineStr">
        <x:is>
          <x:t xml:space="preserve">350 x 406   cm</x:t>
        </x:is>
      </x:c>
      <x:c r="B15" s="32" t="n">
        <x:v>18790</x:v>
      </x:c>
      <x:c r="C15" s="31" t="n">
        <x:f>B15/1.23</x:f>
        <x:v>15276.422764227642</x:v>
      </x:c>
      <x:c r="D15" s="32" t="n">
        <x:v>200</x:v>
      </x:c>
      <x:c r="E15" s="31" t="n">
        <x:f>D15/1.23</x:f>
        <x:v>162.60162601626016</x:v>
      </x:c>
      <x:c r="F15" s="32" t="n">
        <x:v>570</x:v>
      </x:c>
      <x:c r="G15" s="31" t="n">
        <x:f>F15/1.23</x:f>
        <x:v>463.4146341463415</x:v>
      </x:c>
      <x:c r="H15" s="32" t="n">
        <x:v>1440</x:v>
      </x:c>
      <x:c r="I15" s="31" t="n">
        <x:f>H15/1.23</x:f>
        <x:v>1170.7317073170732</x:v>
      </x:c>
      <x:c r="J15" s="32" t="n">
        <x:v>1360</x:v>
      </x:c>
      <x:c r="K15" s="31" t="n">
        <x:f>J15/1.23</x:f>
        <x:v>1105.6910569105692</x:v>
      </x:c>
      <x:c r="L15" s="32" t="n">
        <x:v>460</x:v>
      </x:c>
      <x:c r="M15" s="31" t="n">
        <x:f>L15/1.23</x:f>
        <x:v>373.9837398373984</x:v>
      </x:c>
      <x:c r="N15" s="32" t="n">
        <x:v>410</x:v>
      </x:c>
      <x:c r="O15" s="31" t="n">
        <x:f>N15/1.23</x:f>
        <x:v>333.3333333333333</x:v>
      </x:c>
      <x:c r="P15" s="32" t="n">
        <x:v>4500</x:v>
      </x:c>
      <x:c r="Q15" s="31" t="n">
        <x:v>3658.536585365854</x:v>
      </x:c>
      <x:c r="R15" s="32" t="n">
        <x:v>2340</x:v>
      </x:c>
      <x:c r="S15" s="134" t="n">
        <x:f>R15/1.23</x:f>
        <x:v>1902.439024390244</x:v>
      </x:c>
      <x:c r="T15" s="32" t="n">
        <x:v>2340</x:v>
      </x:c>
      <x:c r="U15" s="31" t="n">
        <x:f>T15/1.23</x:f>
        <x:v>1902.439024390244</x:v>
      </x:c>
      <x:c r="V15" s="32" t="n">
        <x:v>2640</x:v>
      </x:c>
      <x:c r="W15" s="31" t="n">
        <x:f>V15/1.23</x:f>
        <x:v>2146.3414634146343</x:v>
      </x:c>
      <x:c r="X15" s="32" t="n">
        <x:v>510</x:v>
      </x:c>
      <x:c r="Y15" s="31" t="n">
        <x:f>X15/1.23</x:f>
        <x:v>414.6341463414634</x:v>
      </x:c>
      <x:c r="Z15" s="32" t="n">
        <x:v>740</x:v>
      </x:c>
      <x:c r="AA15" s="31" t="n">
        <x:f>Z15/1.23</x:f>
        <x:v>601.6260162601626</x:v>
      </x:c>
      <x:c r="AB15" s="32" t="n">
        <x:v>1000</x:v>
      </x:c>
      <x:c r="AC15" s="135" t="n">
        <x:f>AB15/1.23</x:f>
        <x:v>813.0081300813008</x:v>
      </x:c>
      <x:c r="AD15" s="136" t="n">
        <x:v>360</x:v>
      </x:c>
      <x:c r="AE15" s="137" t="n">
        <x:f>AD15/1.23</x:f>
        <x:v>292.6829268292683</x:v>
      </x:c>
      <x:c r="AF15" s="32" t="n">
        <x:v>1205</x:v>
      </x:c>
      <x:c r="AG15" s="31" t="n">
        <x:f>AF15/1.23</x:f>
        <x:v>979.6747967479675</x:v>
      </x:c>
      <x:c r="AH15" s="32" t="n">
        <x:v>1599</x:v>
      </x:c>
      <x:c r="AI15" s="31" t="n">
        <x:f>AH15/1.23</x:f>
        <x:v>1300</x:v>
      </x:c>
    </x:row>
    <x:row r="16" s="655" customFormat="1" ht="15.75" customHeight="1">
      <x:c r="A16" s="29" t="inlineStr">
        <x:is>
          <x:t xml:space="preserve">350 x 506   cm</x:t>
        </x:is>
      </x:c>
      <x:c r="B16" s="32" t="n">
        <x:v>21340</x:v>
      </x:c>
      <x:c r="C16" s="31" t="n">
        <x:f>B16/1.23</x:f>
        <x:v>17349.593495934958</x:v>
      </x:c>
      <x:c r="D16" s="32" t="n">
        <x:v>250</x:v>
      </x:c>
      <x:c r="E16" s="31" t="n">
        <x:f>D16/1.23</x:f>
        <x:v>203.2520325203252</x:v>
      </x:c>
      <x:c r="F16" s="32" t="n">
        <x:v>720</x:v>
      </x:c>
      <x:c r="G16" s="31" t="n">
        <x:f>F16/1.23</x:f>
        <x:v>585.3658536585366</x:v>
      </x:c>
      <x:c r="H16" s="32" t="n">
        <x:v>1560</x:v>
      </x:c>
      <x:c r="I16" s="31" t="n">
        <x:f>H16/1.23</x:f>
        <x:v>1268.2926829268292</x:v>
      </x:c>
      <x:c r="J16" s="32" t="n">
        <x:v>1480</x:v>
      </x:c>
      <x:c r="K16" s="31" t="n">
        <x:f>J16/1.23</x:f>
        <x:v>1203.2520325203252</x:v>
      </x:c>
      <x:c r="L16" s="32" t="n">
        <x:v>500</x:v>
      </x:c>
      <x:c r="M16" s="31" t="n">
        <x:f>L16/1.23</x:f>
        <x:v>406.5040650406504</x:v>
      </x:c>
      <x:c r="N16" s="32" t="n">
        <x:v>450</x:v>
      </x:c>
      <x:c r="O16" s="31" t="n">
        <x:f>N16/1.23</x:f>
        <x:v>365.8536585365854</x:v>
      </x:c>
      <x:c r="P16" s="32" t="n">
        <x:v>5200</x:v>
      </x:c>
      <x:c r="Q16" s="31" t="n">
        <x:v>4227.642276422765</x:v>
      </x:c>
      <x:c r="R16" s="32" t="n">
        <x:v>2340</x:v>
      </x:c>
      <x:c r="S16" s="134" t="n">
        <x:f>R16/1.23</x:f>
        <x:v>1902.439024390244</x:v>
      </x:c>
      <x:c r="T16" s="32" t="n">
        <x:v>2340</x:v>
      </x:c>
      <x:c r="U16" s="31" t="n">
        <x:f>T16/1.23</x:f>
        <x:v>1902.439024390244</x:v>
      </x:c>
      <x:c r="V16" s="32" t="n">
        <x:v>3700</x:v>
      </x:c>
      <x:c r="W16" s="31" t="n">
        <x:f>V16/1.23</x:f>
        <x:v>3008.130081300813</x:v>
      </x:c>
      <x:c r="X16" s="32" t="n">
        <x:v>600</x:v>
      </x:c>
      <x:c r="Y16" s="31" t="n">
        <x:f>X16/1.23</x:f>
        <x:v>487.8048780487805</x:v>
      </x:c>
      <x:c r="Z16" s="32" t="n">
        <x:v>960</x:v>
      </x:c>
      <x:c r="AA16" s="31" t="n">
        <x:f>Z16/1.23</x:f>
        <x:v>780.4878048780488</x:v>
      </x:c>
      <x:c r="AB16" s="32" t="n">
        <x:v>1140</x:v>
      </x:c>
      <x:c r="AC16" s="135" t="n">
        <x:f>AB16/1.23</x:f>
        <x:v>926.829268292683</x:v>
      </x:c>
      <x:c r="AD16" s="136" t="n">
        <x:v>360</x:v>
      </x:c>
      <x:c r="AE16" s="137" t="n">
        <x:f>AD16/1.23</x:f>
        <x:v>292.6829268292683</x:v>
      </x:c>
      <x:c r="AF16" s="32" t="n">
        <x:v>1390</x:v>
      </x:c>
      <x:c r="AG16" s="31" t="n">
        <x:f>AF16/1.23</x:f>
        <x:v>1130.081300813008</x:v>
      </x:c>
      <x:c r="AH16" s="32" t="n">
        <x:v>1907</x:v>
      </x:c>
      <x:c r="AI16" s="31" t="n">
        <x:f>AH16/1.23</x:f>
        <x:v>1550.4065040650407</x:v>
      </x:c>
    </x:row>
    <x:row r="17" s="655" customFormat="1" ht="15.75" customHeight="1">
      <x:c r="A17" s="29" t="inlineStr">
        <x:is>
          <x:t xml:space="preserve">350 x 606   cm</x:t>
        </x:is>
      </x:c>
      <x:c r="B17" s="32" t="n">
        <x:v>23600</x:v>
      </x:c>
      <x:c r="C17" s="31" t="n">
        <x:f>B17/1.23</x:f>
        <x:v>19186.9918699187</x:v>
      </x:c>
      <x:c r="D17" s="32" t="n">
        <x:v>300</x:v>
      </x:c>
      <x:c r="E17" s="31" t="n">
        <x:f>D17/1.23</x:f>
        <x:v>243.90243902439025</x:v>
      </x:c>
      <x:c r="F17" s="32" t="n">
        <x:v>860</x:v>
      </x:c>
      <x:c r="G17" s="31" t="n">
        <x:f>F17/1.23</x:f>
        <x:v>699.1869918699188</x:v>
      </x:c>
      <x:c r="H17" s="32" t="n">
        <x:v>1680</x:v>
      </x:c>
      <x:c r="I17" s="31" t="n">
        <x:f>H17/1.23</x:f>
        <x:v>1365.8536585365855</x:v>
      </x:c>
      <x:c r="J17" s="32" t="n">
        <x:v>1600</x:v>
      </x:c>
      <x:c r="K17" s="31" t="n">
        <x:f>J17/1.23</x:f>
        <x:v>1300.8130081300812</x:v>
      </x:c>
      <x:c r="L17" s="32" t="n">
        <x:v>530</x:v>
      </x:c>
      <x:c r="M17" s="31" t="n">
        <x:f>L17/1.23</x:f>
        <x:v>430.8943089430894</x:v>
      </x:c>
      <x:c r="N17" s="32" t="n">
        <x:v>480</x:v>
      </x:c>
      <x:c r="O17" s="31" t="n">
        <x:f>N17/1.23</x:f>
        <x:v>390.2439024390244</x:v>
      </x:c>
      <x:c r="P17" s="32" t="n">
        <x:v>7960</x:v>
      </x:c>
      <x:c r="Q17" s="31" t="n">
        <x:v>6471.544715447155</x:v>
      </x:c>
      <x:c r="R17" s="32" t="n">
        <x:v>2340</x:v>
      </x:c>
      <x:c r="S17" s="134" t="n">
        <x:f>R17/1.23</x:f>
        <x:v>1902.439024390244</x:v>
      </x:c>
      <x:c r="T17" s="32" t="n">
        <x:v>2340</x:v>
      </x:c>
      <x:c r="U17" s="31" t="n">
        <x:f>T17/1.23</x:f>
        <x:v>1902.439024390244</x:v>
      </x:c>
      <x:c r="V17" s="32" t="n">
        <x:v>4270</x:v>
      </x:c>
      <x:c r="W17" s="31" t="n">
        <x:f>V17/1.23</x:f>
        <x:v>3471.5447154471544</x:v>
      </x:c>
      <x:c r="X17" s="32" t="n">
        <x:v>790</x:v>
      </x:c>
      <x:c r="Y17" s="31" t="n">
        <x:f>X17/1.23</x:f>
        <x:v>642.2764227642276</x:v>
      </x:c>
      <x:c r="Z17" s="32" t="n">
        <x:v>1090</x:v>
      </x:c>
      <x:c r="AA17" s="31" t="n">
        <x:f>Z17/1.23</x:f>
        <x:v>886.178861788618</x:v>
      </x:c>
      <x:c r="AB17" s="32" t="n">
        <x:v>1420</x:v>
      </x:c>
      <x:c r="AC17" s="135" t="n">
        <x:f>AB17/1.23</x:f>
        <x:v>1154.4715447154472</x:v>
      </x:c>
      <x:c r="AD17" s="136" t="n">
        <x:v>400</x:v>
      </x:c>
      <x:c r="AE17" s="137" t="n">
        <x:f>AD17/1.23</x:f>
        <x:v>325.2032520325203</x:v>
      </x:c>
      <x:c r="AF17" s="32" t="n">
        <x:v>1587</x:v>
      </x:c>
      <x:c r="AG17" s="31" t="n">
        <x:f>AF17/1.23</x:f>
        <x:v>1290.2439024390244</x:v>
      </x:c>
      <x:c r="AH17" s="32" t="n">
        <x:v>2239</x:v>
      </x:c>
      <x:c r="AI17" s="31" t="n">
        <x:f>AH17/1.23</x:f>
        <x:v>1820.3252032520325</x:v>
      </x:c>
    </x:row>
    <x:row r="18" s="655" customFormat="1" ht="15.75" customHeight="1">
      <x:c r="A18" s="29" t="inlineStr">
        <x:is>
          <x:t xml:space="preserve">350 x 706   cm</x:t>
        </x:is>
      </x:c>
      <x:c r="B18" s="32" t="n">
        <x:v>25000</x:v>
      </x:c>
      <x:c r="C18" s="31" t="n">
        <x:f>B18/1.23</x:f>
        <x:v>20325.20325203252</x:v>
      </x:c>
      <x:c r="D18" s="32" t="n">
        <x:v>350</x:v>
      </x:c>
      <x:c r="E18" s="31" t="n">
        <x:f>D18/1.23</x:f>
        <x:v>284.5528455284553</x:v>
      </x:c>
      <x:c r="F18" s="32" t="n">
        <x:v>1000</x:v>
      </x:c>
      <x:c r="G18" s="31" t="n">
        <x:f>F18/1.23</x:f>
        <x:v>813.0081300813008</x:v>
      </x:c>
      <x:c r="H18" s="32" t="n">
        <x:v>1800</x:v>
      </x:c>
      <x:c r="I18" s="31" t="n">
        <x:f>H18/1.23</x:f>
        <x:v>1463.4146341463415</x:v>
      </x:c>
      <x:c r="J18" s="32" t="n">
        <x:v>1720</x:v>
      </x:c>
      <x:c r="K18" s="31" t="n">
        <x:f>J18/1.23</x:f>
        <x:v>1398.3739837398375</x:v>
      </x:c>
      <x:c r="L18" s="32" t="n">
        <x:v>570</x:v>
      </x:c>
      <x:c r="M18" s="31" t="n">
        <x:f>L18/1.23</x:f>
        <x:v>463.4146341463415</x:v>
      </x:c>
      <x:c r="N18" s="32" t="n">
        <x:v>520</x:v>
      </x:c>
      <x:c r="O18" s="31" t="n">
        <x:f>N18/1.23</x:f>
        <x:v>422.7642276422764</x:v>
      </x:c>
      <x:c r="P18" s="32" t="n">
        <x:v>8480</x:v>
      </x:c>
      <x:c r="Q18" s="31" t="n">
        <x:v>6894.308943089431</x:v>
      </x:c>
      <x:c r="R18" s="32" t="n">
        <x:v>2340</x:v>
      </x:c>
      <x:c r="S18" s="134" t="n">
        <x:f>R18/1.23</x:f>
        <x:v>1902.439024390244</x:v>
      </x:c>
      <x:c r="T18" s="32" t="n">
        <x:v>2340</x:v>
      </x:c>
      <x:c r="U18" s="31" t="n">
        <x:f>T18/1.23</x:f>
        <x:v>1902.439024390244</x:v>
      </x:c>
      <x:c r="V18" s="32" t="n">
        <x:v>4780</x:v>
      </x:c>
      <x:c r="W18" s="31" t="n">
        <x:f>V18/1.23</x:f>
        <x:v>3886.1788617886177</x:v>
      </x:c>
      <x:c r="X18" s="32" t="n">
        <x:v>870</x:v>
      </x:c>
      <x:c r="Y18" s="31" t="n">
        <x:f>X18/1.23</x:f>
        <x:v>707.3170731707318</x:v>
      </x:c>
      <x:c r="Z18" s="32" t="n">
        <x:v>1210</x:v>
      </x:c>
      <x:c r="AA18" s="31" t="n">
        <x:f>Z18/1.23</x:f>
        <x:v>983.739837398374</x:v>
      </x:c>
      <x:c r="AB18" s="32" t="n">
        <x:v>1220</x:v>
      </x:c>
      <x:c r="AC18" s="135" t="n">
        <x:f>AB18/1.23</x:f>
        <x:v>991.869918699187</x:v>
      </x:c>
      <x:c r="AD18" s="136" t="n">
        <x:v>440</x:v>
      </x:c>
      <x:c r="AE18" s="137" t="n">
        <x:f>AD18/1.23</x:f>
        <x:v>357.7235772357724</x:v>
      </x:c>
      <x:c r="AF18" s="32" t="n">
        <x:v>1784</x:v>
      </x:c>
      <x:c r="AG18" s="31" t="n">
        <x:f>AF18/1.23</x:f>
        <x:v>1450.4065040650407</x:v>
      </x:c>
      <x:c r="AH18" s="32" t="n">
        <x:v>2571</x:v>
      </x:c>
      <x:c r="AI18" s="31" t="n">
        <x:f>AH18/1.23</x:f>
        <x:v>2090.2439024390246</x:v>
      </x:c>
    </x:row>
    <x:row r="19" s="655" customFormat="1" ht="15.75" customHeight="1">
      <x:c r="A19" s="29" t="inlineStr">
        <x:is>
          <x:t xml:space="preserve">350 x 806   cm</x:t>
        </x:is>
      </x:c>
      <x:c r="B19" s="32" t="n">
        <x:v>27830</x:v>
      </x:c>
      <x:c r="C19" s="31" t="n">
        <x:f>B19/1.23</x:f>
        <x:v>22626.016260162603</x:v>
      </x:c>
      <x:c r="D19" s="32" t="n">
        <x:v>400</x:v>
      </x:c>
      <x:c r="E19" s="31" t="n">
        <x:f>D19/1.23</x:f>
        <x:v>325.2032520325203</x:v>
      </x:c>
      <x:c r="F19" s="32" t="n">
        <x:v>1150</x:v>
      </x:c>
      <x:c r="G19" s="31" t="n">
        <x:f>F19/1.23</x:f>
        <x:v>934.959349593496</x:v>
      </x:c>
      <x:c r="H19" s="32" t="n">
        <x:v>1920</x:v>
      </x:c>
      <x:c r="I19" s="31" t="n">
        <x:f>H19/1.23</x:f>
        <x:v>1560.9756097560976</x:v>
      </x:c>
      <x:c r="J19" s="32" t="n">
        <x:v>1840</x:v>
      </x:c>
      <x:c r="K19" s="31" t="n">
        <x:f>J19/1.23</x:f>
        <x:v>1495.9349593495936</x:v>
      </x:c>
      <x:c r="L19" s="32" t="n">
        <x:v>610</x:v>
      </x:c>
      <x:c r="M19" s="31" t="n">
        <x:f>L19/1.23</x:f>
        <x:v>495.9349593495935</x:v>
      </x:c>
      <x:c r="N19" s="32" t="n">
        <x:v>550</x:v>
      </x:c>
      <x:c r="O19" s="31" t="n">
        <x:f>N19/1.23</x:f>
        <x:v>447.1544715447155</x:v>
      </x:c>
      <x:c r="P19" s="32" t="n">
        <x:v>8990</x:v>
      </x:c>
      <x:c r="Q19" s="31" t="n">
        <x:v>7308.943089430894</x:v>
      </x:c>
      <x:c r="R19" s="32" t="n">
        <x:v>2340</x:v>
      </x:c>
      <x:c r="S19" s="134" t="n">
        <x:f>R19/1.23</x:f>
        <x:v>1902.439024390244</x:v>
      </x:c>
      <x:c r="T19" s="32" t="n">
        <x:v>2340</x:v>
      </x:c>
      <x:c r="U19" s="31" t="n">
        <x:f>T19/1.23</x:f>
        <x:v>1902.439024390244</x:v>
      </x:c>
      <x:c r="V19" s="32" t="n">
        <x:v>5280</x:v>
      </x:c>
      <x:c r="W19" s="31" t="n">
        <x:f>V19/1.23</x:f>
        <x:v>4292.682926829269</x:v>
      </x:c>
      <x:c r="X19" s="32" t="n">
        <x:v>960</x:v>
      </x:c>
      <x:c r="Y19" s="31" t="n">
        <x:f>X19/1.23</x:f>
        <x:v>780.4878048780488</x:v>
      </x:c>
      <x:c r="Z19" s="32" t="n">
        <x:v>1440</x:v>
      </x:c>
      <x:c r="AA19" s="31" t="n">
        <x:f>Z19/1.23</x:f>
        <x:v>1170.7317073170732</x:v>
      </x:c>
      <x:c r="AB19" s="32" t="n">
        <x:v>1330</x:v>
      </x:c>
      <x:c r="AC19" s="135" t="n">
        <x:f>AB19/1.23</x:f>
        <x:v>1081.30081300813</x:v>
      </x:c>
      <x:c r="AD19" s="136" t="n">
        <x:v>480</x:v>
      </x:c>
      <x:c r="AE19" s="137" t="n">
        <x:f>AD19/1.23</x:f>
        <x:v>390.2439024390244</x:v>
      </x:c>
      <x:c r="AF19" s="32" t="n">
        <x:v>1993</x:v>
      </x:c>
      <x:c r="AG19" s="31" t="n">
        <x:f>AF19/1.23</x:f>
        <x:v>1620.3252032520325</x:v>
      </x:c>
      <x:c r="AH19" s="32" t="n">
        <x:v>2891</x:v>
      </x:c>
      <x:c r="AI19" s="31" t="n">
        <x:f>AH19/1.23</x:f>
        <x:v>2350.4065040650407</x:v>
      </x:c>
    </x:row>
    <x:row r="20" s="655" customFormat="1" ht="15.75" customHeight="1">
      <x:c r="A20" s="29" t="inlineStr">
        <x:is>
          <x:t xml:space="preserve">350 x 906   cm</x:t>
        </x:is>
      </x:c>
      <x:c r="B20" s="32" t="n">
        <x:v>30380</x:v>
      </x:c>
      <x:c r="C20" s="31" t="n">
        <x:f>B20/1.23</x:f>
        <x:v>24699.18699186992</x:v>
      </x:c>
      <x:c r="D20" s="32" t="n">
        <x:v>450</x:v>
      </x:c>
      <x:c r="E20" s="31" t="n">
        <x:f>D20/1.23</x:f>
        <x:v>365.8536585365854</x:v>
      </x:c>
      <x:c r="F20" s="32" t="n">
        <x:v>1290</x:v>
      </x:c>
      <x:c r="G20" s="31" t="n">
        <x:f>F20/1.23</x:f>
        <x:v>1048.780487804878</x:v>
      </x:c>
      <x:c r="H20" s="32" t="n">
        <x:v>2040</x:v>
      </x:c>
      <x:c r="I20" s="31" t="n">
        <x:f>H20/1.23</x:f>
        <x:v>1658.5365853658536</x:v>
      </x:c>
      <x:c r="J20" s="32" t="n">
        <x:v>1960</x:v>
      </x:c>
      <x:c r="K20" s="31" t="n">
        <x:f>J20/1.23</x:f>
        <x:v>1593.4959349593496</x:v>
      </x:c>
      <x:c r="L20" s="32" t="n">
        <x:v>650</x:v>
      </x:c>
      <x:c r="M20" s="31" t="n">
        <x:f>L20/1.23</x:f>
        <x:v>528.4552845528456</x:v>
      </x:c>
      <x:c r="N20" s="32" t="n">
        <x:v>590</x:v>
      </x:c>
      <x:c r="O20" s="31" t="n">
        <x:f>N20/1.23</x:f>
        <x:v>479.6747967479675</x:v>
      </x:c>
      <x:c r="P20" s="32" t="n">
        <x:v>9700</x:v>
      </x:c>
      <x:c r="Q20" s="31" t="n">
        <x:v>7886.178861788618</x:v>
      </x:c>
      <x:c r="R20" s="32" t="n">
        <x:v>2340</x:v>
      </x:c>
      <x:c r="S20" s="134" t="n">
        <x:f>R20/1.23</x:f>
        <x:v>1902.439024390244</x:v>
      </x:c>
      <x:c r="T20" s="32" t="n">
        <x:v>2340</x:v>
      </x:c>
      <x:c r="U20" s="31" t="n">
        <x:f>T20/1.23</x:f>
        <x:v>1902.439024390244</x:v>
      </x:c>
      <x:c r="V20" s="32" t="n">
        <x:v>6400</x:v>
      </x:c>
      <x:c r="W20" s="31" t="n">
        <x:f>V20/1.23</x:f>
        <x:v>5203.252032520325</x:v>
      </x:c>
      <x:c r="X20" s="32" t="n">
        <x:v>1040</x:v>
      </x:c>
      <x:c r="Y20" s="31" t="n">
        <x:f>X20/1.23</x:f>
        <x:v>845.5284552845528</x:v>
      </x:c>
      <x:c r="Z20" s="32" t="n">
        <x:v>1560</x:v>
      </x:c>
      <x:c r="AA20" s="31" t="n">
        <x:f>Z20/1.23</x:f>
        <x:v>1268.2926829268292</x:v>
      </x:c>
      <x:c r="AB20" s="32" t="n">
        <x:v>1470</x:v>
      </x:c>
      <x:c r="AC20" s="135" t="n">
        <x:f>AB20/1.23</x:f>
        <x:v>1195.1219512195123</x:v>
      </x:c>
      <x:c r="AD20" s="136" t="n">
        <x:v>480</x:v>
      </x:c>
      <x:c r="AE20" s="137" t="n">
        <x:f>AD20/1.23</x:f>
        <x:v>390.2439024390244</x:v>
      </x:c>
      <x:c r="AF20" s="32" t="n">
        <x:v>2189</x:v>
      </x:c>
      <x:c r="AG20" s="31" t="n">
        <x:f>AF20/1.23</x:f>
        <x:v>1779.6747967479675</x:v>
      </x:c>
      <x:c r="AH20" s="32" t="n">
        <x:v>3223</x:v>
      </x:c>
      <x:c r="AI20" s="31" t="n">
        <x:f>AH20/1.23</x:f>
        <x:v>2620.3252032520327</x:v>
      </x:c>
    </x:row>
    <x:row r="21" s="655" customFormat="1" ht="15.75" customHeight="1">
      <x:c r="A21" s="29" t="inlineStr">
        <x:is>
          <x:t xml:space="preserve">350 x 1006 cm</x:t>
        </x:is>
      </x:c>
      <x:c r="B21" s="32" t="n">
        <x:v>32940</x:v>
      </x:c>
      <x:c r="C21" s="31" t="n">
        <x:f>B21/1.23</x:f>
        <x:v>26780.48780487805</x:v>
      </x:c>
      <x:c r="D21" s="32" t="n">
        <x:v>500</x:v>
      </x:c>
      <x:c r="E21" s="31" t="n">
        <x:f>D21/1.23</x:f>
        <x:v>406.5040650406504</x:v>
      </x:c>
      <x:c r="F21" s="32" t="n">
        <x:v>1430</x:v>
      </x:c>
      <x:c r="G21" s="31" t="n">
        <x:f>F21/1.23</x:f>
        <x:v>1162.60162601626</x:v>
      </x:c>
      <x:c r="H21" s="32" t="n">
        <x:v>2160</x:v>
      </x:c>
      <x:c r="I21" s="31" t="n">
        <x:f>H21/1.23</x:f>
        <x:v>1756.09756097561</x:v>
      </x:c>
      <x:c r="J21" s="32" t="n">
        <x:v>2080</x:v>
      </x:c>
      <x:c r="K21" s="31" t="n">
        <x:f>J21/1.23</x:f>
        <x:v>1691.0569105691056</x:v>
      </x:c>
      <x:c r="L21" s="32" t="n">
        <x:v>690</x:v>
      </x:c>
      <x:c r="M21" s="31" t="n">
        <x:f>L21/1.23</x:f>
        <x:v>560.9756097560976</x:v>
      </x:c>
      <x:c r="N21" s="32" t="n">
        <x:v>620</x:v>
      </x:c>
      <x:c r="O21" s="31" t="n">
        <x:f>N21/1.23</x:f>
        <x:v>504.0650406504065</x:v>
      </x:c>
      <x:c r="P21" s="32" t="n">
        <x:v>10400</x:v>
      </x:c>
      <x:c r="Q21" s="31" t="n">
        <x:v>8455.284552845529</x:v>
      </x:c>
      <x:c r="R21" s="32" t="n">
        <x:v>2340</x:v>
      </x:c>
      <x:c r="S21" s="134" t="n">
        <x:f>R21/1.23</x:f>
        <x:v>1902.439024390244</x:v>
      </x:c>
      <x:c r="T21" s="32" t="n">
        <x:v>2340</x:v>
      </x:c>
      <x:c r="U21" s="31" t="n">
        <x:f>T21/1.23</x:f>
        <x:v>1902.439024390244</x:v>
      </x:c>
      <x:c r="V21" s="32" t="n">
        <x:v>6910</x:v>
      </x:c>
      <x:c r="W21" s="31" t="n">
        <x:f>V21/1.23</x:f>
        <x:v>5617.886178861789</x:v>
      </x:c>
      <x:c r="X21" s="32" t="n">
        <x:v>1230</x:v>
      </x:c>
      <x:c r="Y21" s="31" t="n">
        <x:f>X21/1.23</x:f>
        <x:v>1000</x:v>
      </x:c>
      <x:c r="Z21" s="32" t="n">
        <x:v>1650</x:v>
      </x:c>
      <x:c r="AA21" s="31" t="n">
        <x:f>Z21/1.23</x:f>
        <x:v>1341.4634146341464</x:v>
      </x:c>
      <x:c r="AB21" s="32" t="n">
        <x:v>1610</x:v>
      </x:c>
      <x:c r="AC21" s="135" t="n">
        <x:f>AB21/1.23</x:f>
        <x:v>1308.9430894308944</x:v>
      </x:c>
      <x:c r="AD21" s="136" t="n">
        <x:v>520</x:v>
      </x:c>
      <x:c r="AE21" s="137" t="n">
        <x:f>AD21/1.23</x:f>
        <x:v>422.7642276422764</x:v>
      </x:c>
      <x:c r="AF21" s="32" t="n">
        <x:v>2399</x:v>
      </x:c>
      <x:c r="AG21" s="31" t="n">
        <x:f>AF21/1.23</x:f>
        <x:v>1950.4065040650407</x:v>
      </x:c>
      <x:c r="AH21" s="32" t="n">
        <x:v>3555</x:v>
      </x:c>
      <x:c r="AI21" s="31" t="n">
        <x:f>AH21/1.23</x:f>
        <x:v>2890.2439024390246</x:v>
      </x:c>
    </x:row>
    <x:row r="22" s="655" customFormat="1" ht="15.75" customHeight="1">
      <x:c r="A22" s="29" t="inlineStr">
        <x:is>
          <x:t xml:space="preserve">350 x 1106 cm</x:t>
        </x:is>
      </x:c>
      <x:c r="B22" s="32" t="n">
        <x:v>35200</x:v>
      </x:c>
      <x:c r="C22" s="31" t="n">
        <x:f>B22/1.23</x:f>
        <x:v>28617.88617886179</x:v>
      </x:c>
      <x:c r="D22" s="32" t="n">
        <x:v>550</x:v>
      </x:c>
      <x:c r="E22" s="31" t="n">
        <x:f>D22/1.23</x:f>
        <x:v>447.1544715447155</x:v>
      </x:c>
      <x:c r="F22" s="32" t="n">
        <x:v>1580</x:v>
      </x:c>
      <x:c r="G22" s="31" t="n">
        <x:f>F22/1.23</x:f>
        <x:v>1284.5528455284552</x:v>
      </x:c>
      <x:c r="H22" s="32" t="n">
        <x:v>2280</x:v>
      </x:c>
      <x:c r="I22" s="31" t="n">
        <x:f>H22/1.23</x:f>
        <x:v>1853.658536585366</x:v>
      </x:c>
      <x:c r="J22" s="32" t="n">
        <x:v>2200</x:v>
      </x:c>
      <x:c r="K22" s="31" t="n">
        <x:f>J22/1.23</x:f>
        <x:v>1788.617886178862</x:v>
      </x:c>
      <x:c r="L22" s="32" t="n">
        <x:v>720</x:v>
      </x:c>
      <x:c r="M22" s="31" t="n">
        <x:f>L22/1.23</x:f>
        <x:v>585.3658536585366</x:v>
      </x:c>
      <x:c r="N22" s="32" t="n">
        <x:v>650</x:v>
      </x:c>
      <x:c r="O22" s="31" t="n">
        <x:f>N22/1.23</x:f>
        <x:v>528.4552845528456</x:v>
      </x:c>
      <x:c r="P22" s="32" t="n">
        <x:v>12980</x:v>
      </x:c>
      <x:c r="Q22" s="31" t="n">
        <x:v>10552.84552845529</x:v>
      </x:c>
      <x:c r="R22" s="32" t="n">
        <x:v>2340</x:v>
      </x:c>
      <x:c r="S22" s="134" t="n">
        <x:f>R22/1.23</x:f>
        <x:v>1902.439024390244</x:v>
      </x:c>
      <x:c r="T22" s="32" t="n">
        <x:v>2340</x:v>
      </x:c>
      <x:c r="U22" s="31" t="n">
        <x:f>T22/1.23</x:f>
        <x:v>1902.439024390244</x:v>
      </x:c>
      <x:c r="V22" s="32" t="n">
        <x:v>7420</x:v>
      </x:c>
      <x:c r="W22" s="31" t="n">
        <x:f>V22/1.23</x:f>
        <x:v>6032.5203252032525</x:v>
      </x:c>
      <x:c r="X22" s="32" t="n">
        <x:v>1430</x:v>
      </x:c>
      <x:c r="Y22" s="31" t="n">
        <x:f>X22/1.23</x:f>
        <x:v>1162.60162601626</x:v>
      </x:c>
      <x:c r="Z22" s="32" t="n">
        <x:v>1770</x:v>
      </x:c>
      <x:c r="AA22" s="31" t="n">
        <x:f>Z22/1.23</x:f>
        <x:v>1439.0243902439024</x:v>
      </x:c>
      <x:c r="AB22" s="32" t="n">
        <x:v>2180</x:v>
      </x:c>
      <x:c r="AC22" s="135" t="n">
        <x:f>AB22/1.23</x:f>
        <x:v>1772.357723577236</x:v>
      </x:c>
      <x:c r="AD22" s="136" t="n">
        <x:v>560</x:v>
      </x:c>
      <x:c r="AE22" s="137" t="n">
        <x:f>AD22/1.23</x:f>
        <x:v>455.2845528455285</x:v>
      </x:c>
      <x:c r="AF22" s="32" t="n">
        <x:v>2595</x:v>
      </x:c>
      <x:c r="AG22" s="31" t="n">
        <x:f>AF22/1.23</x:f>
        <x:v>2109.756097560976</x:v>
      </x:c>
      <x:c r="AH22" s="32" t="n">
        <x:v>3887</x:v>
      </x:c>
      <x:c r="AI22" s="31" t="n">
        <x:f>AH22/1.23</x:f>
        <x:v>3160.162601626016</x:v>
      </x:c>
    </x:row>
    <x:row r="23" s="655" customFormat="1" ht="15.75" customHeight="1">
      <x:c r="A23" s="29" t="inlineStr">
        <x:is>
          <x:t xml:space="preserve">350 x 1206 cm</x:t>
        </x:is>
      </x:c>
      <x:c r="B23" s="32" t="n">
        <x:v>37460</x:v>
      </x:c>
      <x:c r="C23" s="31" t="n">
        <x:f>B23/1.23</x:f>
        <x:v>30455.28455284553</x:v>
      </x:c>
      <x:c r="D23" s="32" t="n">
        <x:v>600</x:v>
      </x:c>
      <x:c r="E23" s="31" t="n">
        <x:f>D23/1.23</x:f>
        <x:v>487.8048780487805</x:v>
      </x:c>
      <x:c r="F23" s="32" t="n">
        <x:v>1720</x:v>
      </x:c>
      <x:c r="G23" s="31" t="n">
        <x:f>F23/1.23</x:f>
        <x:v>1398.3739837398375</x:v>
      </x:c>
      <x:c r="H23" s="32" t="n">
        <x:v>2400</x:v>
      </x:c>
      <x:c r="I23" s="31" t="n">
        <x:f>H23/1.23</x:f>
        <x:v>1951.219512195122</x:v>
      </x:c>
      <x:c r="J23" s="32" t="n">
        <x:v>2320</x:v>
      </x:c>
      <x:c r="K23" s="31" t="n">
        <x:f>J23/1.23</x:f>
        <x:v>1886.178861788618</x:v>
      </x:c>
      <x:c r="L23" s="32" t="n">
        <x:v>760</x:v>
      </x:c>
      <x:c r="M23" s="31" t="n">
        <x:f>L23/1.23</x:f>
        <x:v>617.8861788617886</x:v>
      </x:c>
      <x:c r="N23" s="32" t="n">
        <x:v>690</x:v>
      </x:c>
      <x:c r="O23" s="31" t="n">
        <x:f>N23/1.23</x:f>
        <x:v>560.9756097560976</x:v>
      </x:c>
      <x:c r="P23" s="32" t="n">
        <x:v>13500</x:v>
      </x:c>
      <x:c r="Q23" s="31" t="n">
        <x:v>10975.60975609756</x:v>
      </x:c>
      <x:c r="R23" s="32" t="n">
        <x:v>2340</x:v>
      </x:c>
      <x:c r="S23" s="134" t="n">
        <x:f>R23/1.23</x:f>
        <x:v>1902.439024390244</x:v>
      </x:c>
      <x:c r="T23" s="32" t="n">
        <x:v>2340</x:v>
      </x:c>
      <x:c r="U23" s="31" t="n">
        <x:f>T23/1.23</x:f>
        <x:v>1902.439024390244</x:v>
      </x:c>
      <x:c r="V23" s="32" t="n">
        <x:v>7920</x:v>
      </x:c>
      <x:c r="W23" s="31" t="n">
        <x:f>V23/1.23</x:f>
        <x:v>6439.024390243902</x:v>
      </x:c>
      <x:c r="X23" s="32" t="n">
        <x:v>1510</x:v>
      </x:c>
      <x:c r="Y23" s="31" t="n">
        <x:f>X23/1.23</x:f>
        <x:v>1227.6422764227643</x:v>
      </x:c>
      <x:c r="Z23" s="32" t="n">
        <x:v>1900</x:v>
      </x:c>
      <x:c r="AA23" s="31" t="n">
        <x:f>Z23/1.23</x:f>
        <x:v>1544.7154471544716</x:v>
      </x:c>
      <x:c r="AB23" s="32" t="n">
        <x:v>2180</x:v>
      </x:c>
      <x:c r="AC23" s="135" t="n">
        <x:f>AB23/1.23</x:f>
        <x:v>1772.357723577236</x:v>
      </x:c>
      <x:c r="AD23" s="136" t="n">
        <x:v>600</x:v>
      </x:c>
      <x:c r="AE23" s="137" t="n">
        <x:f>AD23/1.23</x:f>
        <x:v>487.8048780487805</x:v>
      </x:c>
      <x:c r="AF23" s="32" t="n">
        <x:v>2804</x:v>
      </x:c>
      <x:c r="AG23" s="31" t="n">
        <x:f>AF23/1.23</x:f>
        <x:v>2279.6747967479673</x:v>
      </x:c>
      <x:c r="AH23" s="32" t="n">
        <x:v>4219</x:v>
      </x:c>
      <x:c r="AI23" s="31" t="n">
        <x:f>AH23/1.23</x:f>
        <x:v>3430.081300813008</x:v>
      </x:c>
    </x:row>
    <x:row r="24" s="655" customFormat="1" ht="15.75" customHeight="1">
      <x:c r="A24" s="33" t="inlineStr">
        <x:is>
          <x:t xml:space="preserve">400 x 306   cm</x:t>
        </x:is>
      </x:c>
      <x:c r="B24" s="36" t="n">
        <x:v>17570</x:v>
      </x:c>
      <x:c r="C24" s="35" t="n">
        <x:f>B24/1.23</x:f>
        <x:v>14284.552845528455</x:v>
      </x:c>
      <x:c r="D24" s="36" t="n">
        <x:v>170</x:v>
      </x:c>
      <x:c r="E24" s="35" t="n">
        <x:f>D24/1.23</x:f>
        <x:v>138.21138211382114</x:v>
      </x:c>
      <x:c r="F24" s="36" t="n">
        <x:v>520</x:v>
      </x:c>
      <x:c r="G24" s="35" t="n">
        <x:f>F24/1.23</x:f>
        <x:v>422.7642276422764</x:v>
      </x:c>
      <x:c r="H24" s="36" t="n">
        <x:v>1320</x:v>
      </x:c>
      <x:c r="I24" s="35" t="n">
        <x:f>H24/1.23</x:f>
        <x:v>1073.1707317073171</x:v>
      </x:c>
      <x:c r="J24" s="36" t="n">
        <x:v>1240</x:v>
      </x:c>
      <x:c r="K24" s="35" t="n">
        <x:f>J24/1.23</x:f>
        <x:v>1008.130081300813</x:v>
      </x:c>
      <x:c r="L24" s="36" t="n">
        <x:v>420</x:v>
      </x:c>
      <x:c r="M24" s="35" t="n">
        <x:f>L24/1.23</x:f>
        <x:v>341.4634146341464</x:v>
      </x:c>
      <x:c r="N24" s="36" t="n">
        <x:v>380</x:v>
      </x:c>
      <x:c r="O24" s="35" t="n">
        <x:f>N24/1.23</x:f>
        <x:v>308.9430894308943</x:v>
      </x:c>
      <x:c r="P24" s="36" t="n">
        <x:v>4030</x:v>
      </x:c>
      <x:c r="Q24" s="35" t="n">
        <x:v>3276.422764227642</x:v>
      </x:c>
      <x:c r="R24" s="36" t="n">
        <x:v>2640</x:v>
      </x:c>
      <x:c r="S24" s="138" t="n">
        <x:f>R24/1.23</x:f>
        <x:v>2146.3414634146343</x:v>
      </x:c>
      <x:c r="T24" s="36" t="n">
        <x:v>2640</x:v>
      </x:c>
      <x:c r="U24" s="35" t="n">
        <x:f>T24/1.23</x:f>
        <x:v>2146.3414634146343</x:v>
      </x:c>
      <x:c r="V24" s="36" t="n">
        <x:v>2140</x:v>
      </x:c>
      <x:c r="W24" s="35" t="n">
        <x:f>V24/1.23</x:f>
        <x:v>1739.8373983739837</x:v>
      </x:c>
      <x:c r="X24" s="36" t="n">
        <x:v>420</x:v>
      </x:c>
      <x:c r="Y24" s="35" t="n">
        <x:f>X24/1.23</x:f>
        <x:v>341.4634146341464</x:v>
      </x:c>
      <x:c r="Z24" s="36" t="n">
        <x:v>640</x:v>
      </x:c>
      <x:c r="AA24" s="35" t="n">
        <x:f>Z24/1.23</x:f>
        <x:v>520.3252032520326</x:v>
      </x:c>
      <x:c r="AB24" s="36" t="n">
        <x:v>890</x:v>
      </x:c>
      <x:c r="AC24" s="139" t="n">
        <x:f>AB24/1.23</x:f>
        <x:v>723.5772357723578</x:v>
      </x:c>
      <x:c r="AD24" s="140" t="n">
        <x:v>320</x:v>
      </x:c>
      <x:c r="AE24" s="141" t="n">
        <x:f>AD24/1.23</x:f>
        <x:v>260.1626016260163</x:v>
      </x:c>
      <x:c r="AF24" s="36" t="n">
        <x:v>1058</x:v>
      </x:c>
      <x:c r="AG24" s="35" t="n">
        <x:f>AF24/1.23</x:f>
        <x:v>860.1626016260162</x:v>
      </x:c>
      <x:c r="AH24" s="36" t="n">
        <x:v>1365</x:v>
      </x:c>
      <x:c r="AI24" s="35" t="n">
        <x:f>AH24/1.23</x:f>
        <x:v>1109.7560975609756</x:v>
      </x:c>
    </x:row>
    <x:row r="25" s="655" customFormat="1" ht="15.75" customHeight="1">
      <x:c r="A25" s="33" t="inlineStr">
        <x:is>
          <x:t xml:space="preserve">400 x 406   cm</x:t>
        </x:is>
      </x:c>
      <x:c r="B25" s="36" t="n">
        <x:v>19600</x:v>
      </x:c>
      <x:c r="C25" s="35" t="n">
        <x:f>B25/1.23</x:f>
        <x:v>15934.959349593497</x:v>
      </x:c>
      <x:c r="D25" s="36" t="n">
        <x:v>220</x:v>
      </x:c>
      <x:c r="E25" s="35" t="n">
        <x:f>D25/1.23</x:f>
        <x:v>178.8617886178862</x:v>
      </x:c>
      <x:c r="F25" s="36" t="n">
        <x:v>690</x:v>
      </x:c>
      <x:c r="G25" s="35" t="n">
        <x:f>F25/1.23</x:f>
        <x:v>560.9756097560976</x:v>
      </x:c>
      <x:c r="H25" s="36" t="n">
        <x:v>1440</x:v>
      </x:c>
      <x:c r="I25" s="35" t="n">
        <x:f>H25/1.23</x:f>
        <x:v>1170.7317073170732</x:v>
      </x:c>
      <x:c r="J25" s="36" t="n">
        <x:v>1360</x:v>
      </x:c>
      <x:c r="K25" s="35" t="n">
        <x:f>J25/1.23</x:f>
        <x:v>1105.6910569105692</x:v>
      </x:c>
      <x:c r="L25" s="36" t="n">
        <x:v>460</x:v>
      </x:c>
      <x:c r="M25" s="35" t="n">
        <x:f>L25/1.23</x:f>
        <x:v>373.9837398373984</x:v>
      </x:c>
      <x:c r="N25" s="36" t="n">
        <x:v>410</x:v>
      </x:c>
      <x:c r="O25" s="35" t="n">
        <x:f>N25/1.23</x:f>
        <x:v>333.3333333333333</x:v>
      </x:c>
      <x:c r="P25" s="36" t="n">
        <x:v>4660</x:v>
      </x:c>
      <x:c r="Q25" s="35" t="n">
        <x:v>3788.617886178862</x:v>
      </x:c>
      <x:c r="R25" s="36" t="n">
        <x:v>2640</x:v>
      </x:c>
      <x:c r="S25" s="138" t="n">
        <x:f>R25/1.23</x:f>
        <x:v>2146.3414634146343</x:v>
      </x:c>
      <x:c r="T25" s="36" t="n">
        <x:v>2640</x:v>
      </x:c>
      <x:c r="U25" s="35" t="n">
        <x:f>T25/1.23</x:f>
        <x:v>2146.3414634146343</x:v>
      </x:c>
      <x:c r="V25" s="36" t="n">
        <x:v>2640</x:v>
      </x:c>
      <x:c r="W25" s="35" t="n">
        <x:f>V25/1.23</x:f>
        <x:v>2146.3414634146343</x:v>
      </x:c>
      <x:c r="X25" s="36" t="n">
        <x:v>510</x:v>
      </x:c>
      <x:c r="Y25" s="35" t="n">
        <x:f>X25/1.23</x:f>
        <x:v>414.6341463414634</x:v>
      </x:c>
      <x:c r="Z25" s="36" t="n">
        <x:v>740</x:v>
      </x:c>
      <x:c r="AA25" s="35" t="n">
        <x:f>Z25/1.23</x:f>
        <x:v>601.6260162601626</x:v>
      </x:c>
      <x:c r="AB25" s="36" t="n">
        <x:v>1000</x:v>
      </x:c>
      <x:c r="AC25" s="139" t="n">
        <x:f>AB25/1.23</x:f>
        <x:v>813.0081300813008</x:v>
      </x:c>
      <x:c r="AD25" s="140" t="n">
        <x:v>360</x:v>
      </x:c>
      <x:c r="AE25" s="141" t="n">
        <x:f>AD25/1.23</x:f>
        <x:v>292.6829268292683</x:v>
      </x:c>
      <x:c r="AF25" s="36" t="n">
        <x:v>1279</x:v>
      </x:c>
      <x:c r="AG25" s="35" t="n">
        <x:f>AF25/1.23</x:f>
        <x:v>1039.8373983739837</x:v>
      </x:c>
      <x:c r="AH25" s="36" t="n">
        <x:v>1710</x:v>
      </x:c>
      <x:c r="AI25" s="35" t="n">
        <x:f>AH25/1.23</x:f>
        <x:v>1390.2439024390244</x:v>
      </x:c>
    </x:row>
    <x:row r="26" s="655" customFormat="1" ht="15.75" customHeight="1">
      <x:c r="A26" s="33" t="inlineStr">
        <x:is>
          <x:t xml:space="preserve">400 x 506   cm</x:t>
        </x:is>
      </x:c>
      <x:c r="B26" s="36" t="n">
        <x:v>22240</x:v>
      </x:c>
      <x:c r="C26" s="35" t="n">
        <x:f>B26/1.23</x:f>
        <x:v>18081.30081300813</x:v>
      </x:c>
      <x:c r="D26" s="36" t="n">
        <x:v>280</x:v>
      </x:c>
      <x:c r="E26" s="35" t="n">
        <x:f>D26/1.23</x:f>
        <x:v>227.64227642276424</x:v>
      </x:c>
      <x:c r="F26" s="36" t="n">
        <x:v>870</x:v>
      </x:c>
      <x:c r="G26" s="35" t="n">
        <x:f>F26/1.23</x:f>
        <x:v>707.3170731707318</x:v>
      </x:c>
      <x:c r="H26" s="36" t="n">
        <x:v>1560</x:v>
      </x:c>
      <x:c r="I26" s="35" t="n">
        <x:f>H26/1.23</x:f>
        <x:v>1268.2926829268292</x:v>
      </x:c>
      <x:c r="J26" s="36" t="n">
        <x:v>1480</x:v>
      </x:c>
      <x:c r="K26" s="35" t="n">
        <x:f>J26/1.23</x:f>
        <x:v>1203.2520325203252</x:v>
      </x:c>
      <x:c r="L26" s="36" t="n">
        <x:v>500</x:v>
      </x:c>
      <x:c r="M26" s="35" t="n">
        <x:f>L26/1.23</x:f>
        <x:v>406.5040650406504</x:v>
      </x:c>
      <x:c r="N26" s="36" t="n">
        <x:v>450</x:v>
      </x:c>
      <x:c r="O26" s="35" t="n">
        <x:f>N26/1.23</x:f>
        <x:v>365.8536585365854</x:v>
      </x:c>
      <x:c r="P26" s="36" t="n">
        <x:v>5310</x:v>
      </x:c>
      <x:c r="Q26" s="35" t="n">
        <x:v>4317.073170731707</x:v>
      </x:c>
      <x:c r="R26" s="36" t="n">
        <x:v>2640</x:v>
      </x:c>
      <x:c r="S26" s="138" t="n">
        <x:f>R26/1.23</x:f>
        <x:v>2146.3414634146343</x:v>
      </x:c>
      <x:c r="T26" s="36" t="n">
        <x:v>2640</x:v>
      </x:c>
      <x:c r="U26" s="35" t="n">
        <x:f>T26/1.23</x:f>
        <x:v>2146.3414634146343</x:v>
      </x:c>
      <x:c r="V26" s="36" t="n">
        <x:v>3700</x:v>
      </x:c>
      <x:c r="W26" s="35" t="n">
        <x:f>V26/1.23</x:f>
        <x:v>3008.130081300813</x:v>
      </x:c>
      <x:c r="X26" s="36" t="n">
        <x:v>600</x:v>
      </x:c>
      <x:c r="Y26" s="35" t="n">
        <x:f>X26/1.23</x:f>
        <x:v>487.8048780487805</x:v>
      </x:c>
      <x:c r="Z26" s="36" t="n">
        <x:v>960</x:v>
      </x:c>
      <x:c r="AA26" s="35" t="n">
        <x:f>Z26/1.23</x:f>
        <x:v>780.4878048780488</x:v>
      </x:c>
      <x:c r="AB26" s="36" t="n">
        <x:v>1140</x:v>
      </x:c>
      <x:c r="AC26" s="139" t="n">
        <x:f>AB26/1.23</x:f>
        <x:v>926.829268292683</x:v>
      </x:c>
      <x:c r="AD26" s="140" t="n">
        <x:v>360</x:v>
      </x:c>
      <x:c r="AE26" s="141" t="n">
        <x:f>AD26/1.23</x:f>
        <x:v>292.6829268292683</x:v>
      </x:c>
      <x:c r="AF26" s="36" t="n">
        <x:v>1488</x:v>
      </x:c>
      <x:c r="AG26" s="35" t="n">
        <x:f>AF26/1.23</x:f>
        <x:v>1209.7560975609756</x:v>
      </x:c>
      <x:c r="AH26" s="36" t="n">
        <x:v>2054</x:v>
      </x:c>
      <x:c r="AI26" s="35" t="n">
        <x:f>AH26/1.23</x:f>
        <x:v>1669.918699186992</x:v>
      </x:c>
    </x:row>
    <x:row r="27" s="655" customFormat="1" ht="15.75" customHeight="1">
      <x:c r="A27" s="33" t="inlineStr">
        <x:is>
          <x:t xml:space="preserve">400 x 606   cm</x:t>
        </x:is>
      </x:c>
      <x:c r="B27" s="36" t="n">
        <x:v>24210</x:v>
      </x:c>
      <x:c r="C27" s="35" t="n">
        <x:f>B27/1.23</x:f>
        <x:v>19682.926829268294</x:v>
      </x:c>
      <x:c r="D27" s="36" t="n">
        <x:v>340</x:v>
      </x:c>
      <x:c r="E27" s="35" t="n">
        <x:f>D27/1.23</x:f>
        <x:v>276.4227642276423</x:v>
      </x:c>
      <x:c r="F27" s="36" t="n">
        <x:v>1040</x:v>
      </x:c>
      <x:c r="G27" s="35" t="n">
        <x:f>F27/1.23</x:f>
        <x:v>845.5284552845528</x:v>
      </x:c>
      <x:c r="H27" s="36" t="n">
        <x:v>1680</x:v>
      </x:c>
      <x:c r="I27" s="35" t="n">
        <x:f>H27/1.23</x:f>
        <x:v>1365.8536585365855</x:v>
      </x:c>
      <x:c r="J27" s="36" t="n">
        <x:v>1600</x:v>
      </x:c>
      <x:c r="K27" s="35" t="n">
        <x:f>J27/1.23</x:f>
        <x:v>1300.8130081300812</x:v>
      </x:c>
      <x:c r="L27" s="36" t="n">
        <x:v>530</x:v>
      </x:c>
      <x:c r="M27" s="35" t="n">
        <x:f>L27/1.23</x:f>
        <x:v>430.8943089430894</x:v>
      </x:c>
      <x:c r="N27" s="36" t="n">
        <x:v>480</x:v>
      </x:c>
      <x:c r="O27" s="35" t="n">
        <x:f>N27/1.23</x:f>
        <x:v>390.2439024390244</x:v>
      </x:c>
      <x:c r="P27" s="36" t="n">
        <x:v>8060</x:v>
      </x:c>
      <x:c r="Q27" s="35" t="n">
        <x:v>6552.845528455285</x:v>
      </x:c>
      <x:c r="R27" s="36" t="n">
        <x:v>2640</x:v>
      </x:c>
      <x:c r="S27" s="138" t="n">
        <x:f>R27/1.23</x:f>
        <x:v>2146.3414634146343</x:v>
      </x:c>
      <x:c r="T27" s="36" t="n">
        <x:v>2640</x:v>
      </x:c>
      <x:c r="U27" s="35" t="n">
        <x:f>T27/1.23</x:f>
        <x:v>2146.3414634146343</x:v>
      </x:c>
      <x:c r="V27" s="36" t="n">
        <x:v>4270</x:v>
      </x:c>
      <x:c r="W27" s="35" t="n">
        <x:f>V27/1.23</x:f>
        <x:v>3471.5447154471544</x:v>
      </x:c>
      <x:c r="X27" s="36" t="n">
        <x:v>790</x:v>
      </x:c>
      <x:c r="Y27" s="35" t="n">
        <x:f>X27/1.23</x:f>
        <x:v>642.2764227642276</x:v>
      </x:c>
      <x:c r="Z27" s="36" t="n">
        <x:v>1090</x:v>
      </x:c>
      <x:c r="AA27" s="35" t="n">
        <x:f>Z27/1.23</x:f>
        <x:v>886.178861788618</x:v>
      </x:c>
      <x:c r="AB27" s="36" t="n">
        <x:v>1420</x:v>
      </x:c>
      <x:c r="AC27" s="139" t="n">
        <x:f>AB27/1.23</x:f>
        <x:v>1154.4715447154472</x:v>
      </x:c>
      <x:c r="AD27" s="140" t="n">
        <x:v>400</x:v>
      </x:c>
      <x:c r="AE27" s="141" t="n">
        <x:f>AD27/1.23</x:f>
        <x:v>325.2032520325203</x:v>
      </x:c>
      <x:c r="AF27" s="36" t="n">
        <x:v>1697</x:v>
      </x:c>
      <x:c r="AG27" s="35" t="n">
        <x:f>AF27/1.23</x:f>
        <x:v>1379.6747967479675</x:v>
      </x:c>
      <x:c r="AH27" s="36" t="n">
        <x:v>2423</x:v>
      </x:c>
      <x:c r="AI27" s="35" t="n">
        <x:f>AH27/1.23</x:f>
        <x:v>1969.918699186992</x:v>
      </x:c>
    </x:row>
    <x:row r="28" s="655" customFormat="1" ht="15.75" customHeight="1">
      <x:c r="A28" s="33" t="inlineStr">
        <x:is>
          <x:t xml:space="preserve">400 x 706   cm</x:t>
        </x:is>
      </x:c>
      <x:c r="B28" s="36" t="n">
        <x:v>26080</x:v>
      </x:c>
      <x:c r="C28" s="35" t="n">
        <x:f>B28/1.23</x:f>
        <x:v>21203.252032520326</x:v>
      </x:c>
      <x:c r="D28" s="36" t="n">
        <x:v>390</x:v>
      </x:c>
      <x:c r="E28" s="35" t="n">
        <x:f>D28/1.23</x:f>
        <x:v>317.0731707317073</x:v>
      </x:c>
      <x:c r="F28" s="36" t="n">
        <x:v>1210</x:v>
      </x:c>
      <x:c r="G28" s="35" t="n">
        <x:f>F28/1.23</x:f>
        <x:v>983.739837398374</x:v>
      </x:c>
      <x:c r="H28" s="36" t="n">
        <x:v>1800</x:v>
      </x:c>
      <x:c r="I28" s="35" t="n">
        <x:f>H28/1.23</x:f>
        <x:v>1463.4146341463415</x:v>
      </x:c>
      <x:c r="J28" s="36" t="n">
        <x:v>1720</x:v>
      </x:c>
      <x:c r="K28" s="35" t="n">
        <x:f>J28/1.23</x:f>
        <x:v>1398.3739837398375</x:v>
      </x:c>
      <x:c r="L28" s="36" t="n">
        <x:v>570</x:v>
      </x:c>
      <x:c r="M28" s="35" t="n">
        <x:f>L28/1.23</x:f>
        <x:v>463.4146341463415</x:v>
      </x:c>
      <x:c r="N28" s="36" t="n">
        <x:v>520</x:v>
      </x:c>
      <x:c r="O28" s="35" t="n">
        <x:f>N28/1.23</x:f>
        <x:v>422.7642276422764</x:v>
      </x:c>
      <x:c r="P28" s="36" t="n">
        <x:v>8700</x:v>
      </x:c>
      <x:c r="Q28" s="35" t="n">
        <x:v>7073.170731707317</x:v>
      </x:c>
      <x:c r="R28" s="36" t="n">
        <x:v>2640</x:v>
      </x:c>
      <x:c r="S28" s="138" t="n">
        <x:f>R28/1.23</x:f>
        <x:v>2146.3414634146343</x:v>
      </x:c>
      <x:c r="T28" s="36" t="n">
        <x:v>2640</x:v>
      </x:c>
      <x:c r="U28" s="35" t="n">
        <x:f>T28/1.23</x:f>
        <x:v>2146.3414634146343</x:v>
      </x:c>
      <x:c r="V28" s="36" t="n">
        <x:v>4780</x:v>
      </x:c>
      <x:c r="W28" s="35" t="n">
        <x:f>V28/1.23</x:f>
        <x:v>3886.1788617886177</x:v>
      </x:c>
      <x:c r="X28" s="36" t="n">
        <x:v>870</x:v>
      </x:c>
      <x:c r="Y28" s="35" t="n">
        <x:f>X28/1.23</x:f>
        <x:v>707.3170731707318</x:v>
      </x:c>
      <x:c r="Z28" s="36" t="n">
        <x:v>1210</x:v>
      </x:c>
      <x:c r="AA28" s="35" t="n">
        <x:f>Z28/1.23</x:f>
        <x:v>983.739837398374</x:v>
      </x:c>
      <x:c r="AB28" s="36" t="n">
        <x:v>1220</x:v>
      </x:c>
      <x:c r="AC28" s="139" t="n">
        <x:f>AB28/1.23</x:f>
        <x:v>991.869918699187</x:v>
      </x:c>
      <x:c r="AD28" s="140" t="n">
        <x:v>440</x:v>
      </x:c>
      <x:c r="AE28" s="141" t="n">
        <x:f>AD28/1.23</x:f>
        <x:v>357.7235772357724</x:v>
      </x:c>
      <x:c r="AF28" s="36" t="n">
        <x:v>1919</x:v>
      </x:c>
      <x:c r="AG28" s="35" t="n">
        <x:f>AF28/1.23</x:f>
        <x:v>1560.1626016260163</x:v>
      </x:c>
      <x:c r="AH28" s="36" t="n">
        <x:v>2792</x:v>
      </x:c>
      <x:c r="AI28" s="35" t="n">
        <x:f>AH28/1.23</x:f>
        <x:v>2269.918699186992</x:v>
      </x:c>
    </x:row>
    <x:row r="29" s="655" customFormat="1" ht="15.75" customHeight="1">
      <x:c r="A29" s="33" t="inlineStr">
        <x:is>
          <x:t xml:space="preserve">400 x 806   cm</x:t>
        </x:is>
      </x:c>
      <x:c r="B29" s="36" t="n">
        <x:v>29040</x:v>
      </x:c>
      <x:c r="C29" s="35" t="n">
        <x:f>B29/1.23</x:f>
        <x:v>23609.756097560978</x:v>
      </x:c>
      <x:c r="D29" s="36" t="n">
        <x:v>640</x:v>
      </x:c>
      <x:c r="E29" s="35" t="n">
        <x:f>D29/1.23</x:f>
        <x:v>520.3252032520326</x:v>
      </x:c>
      <x:c r="F29" s="36" t="n">
        <x:v>1644.8</x:v>
      </x:c>
      <x:c r="G29" s="35" t="n">
        <x:f>F29/1.23</x:f>
        <x:v>1337.2357723577236</x:v>
      </x:c>
      <x:c r="H29" s="36" t="n">
        <x:v>2064</x:v>
      </x:c>
      <x:c r="I29" s="35" t="n">
        <x:f>H29/1.23</x:f>
        <x:v>1678.0487804878048</x:v>
      </x:c>
      <x:c r="J29" s="36" t="n">
        <x:v>2064</x:v>
      </x:c>
      <x:c r="K29" s="35" t="n">
        <x:f>J29/1.23</x:f>
        <x:v>1678.0487804878048</x:v>
      </x:c>
      <x:c r="L29" s="36" t="n">
        <x:v>610.08</x:v>
      </x:c>
      <x:c r="M29" s="35" t="n">
        <x:f>L29/1.23</x:f>
        <x:v>496.00000000000006</x:v>
      </x:c>
      <x:c r="N29" s="36" t="n">
        <x:v>551.04</x:v>
      </x:c>
      <x:c r="O29" s="35" t="n">
        <x:f>N29/1.23</x:f>
        <x:v>448</x:v>
      </x:c>
      <x:c r="P29" s="36" t="n">
        <x:v>9328</x:v>
      </x:c>
      <x:c r="Q29" s="35" t="n">
        <x:v>7583.739837398374</x:v>
      </x:c>
      <x:c r="R29" s="36" t="n">
        <x:v>2640</x:v>
      </x:c>
      <x:c r="S29" s="138" t="n">
        <x:f>R29/1.23</x:f>
        <x:v>2146.3414634146343</x:v>
      </x:c>
      <x:c r="T29" s="36" t="n">
        <x:v>2640</x:v>
      </x:c>
      <x:c r="U29" s="35" t="n">
        <x:f>T29/1.23</x:f>
        <x:v>2146.3414634146343</x:v>
      </x:c>
      <x:c r="V29" s="36" t="n">
        <x:v>5280</x:v>
      </x:c>
      <x:c r="W29" s="35" t="n">
        <x:f>V29/1.23</x:f>
        <x:v>4292.682926829269</x:v>
      </x:c>
      <x:c r="X29" s="36" t="n">
        <x:v>960</x:v>
      </x:c>
      <x:c r="Y29" s="35" t="n">
        <x:f>X29/1.23</x:f>
        <x:v>780.4878048780488</x:v>
      </x:c>
      <x:c r="Z29" s="36" t="n">
        <x:v>1440</x:v>
      </x:c>
      <x:c r="AA29" s="35" t="n">
        <x:f>Z29/1.23</x:f>
        <x:v>1170.7317073170732</x:v>
      </x:c>
      <x:c r="AB29" s="36" t="n">
        <x:v>1330</x:v>
      </x:c>
      <x:c r="AC29" s="139" t="n">
        <x:f>AB29/1.23</x:f>
        <x:v>1081.30081300813</x:v>
      </x:c>
      <x:c r="AD29" s="140" t="n">
        <x:v>480</x:v>
      </x:c>
      <x:c r="AE29" s="141" t="n">
        <x:f>AD29/1.23</x:f>
        <x:v>390.2439024390244</x:v>
      </x:c>
      <x:c r="AF29" s="36" t="n">
        <x:v>2153</x:v>
      </x:c>
      <x:c r="AG29" s="35" t="n">
        <x:f>AF29/1.23</x:f>
        <x:v>1750.4065040650407</x:v>
      </x:c>
      <x:c r="AH29" s="36" t="n">
        <x:v>3161</x:v>
      </x:c>
      <x:c r="AI29" s="35" t="n">
        <x:f>AH29/1.23</x:f>
        <x:v>2569.918699186992</x:v>
      </x:c>
    </x:row>
    <x:row r="30" s="655" customFormat="1" ht="15.75" customHeight="1">
      <x:c r="A30" s="33" t="inlineStr">
        <x:is>
          <x:t xml:space="preserve">400 x 906   cm</x:t>
        </x:is>
      </x:c>
      <x:c r="B30" s="36" t="n">
        <x:v>31690</x:v>
      </x:c>
      <x:c r="C30" s="35" t="n">
        <x:f>B30/1.23</x:f>
        <x:v>25764.227642276423</x:v>
      </x:c>
      <x:c r="D30" s="36" t="n">
        <x:v>500</x:v>
      </x:c>
      <x:c r="E30" s="35" t="n">
        <x:f>D30/1.23</x:f>
        <x:v>406.5040650406504</x:v>
      </x:c>
      <x:c r="F30" s="36" t="n">
        <x:v>1560</x:v>
      </x:c>
      <x:c r="G30" s="35" t="n">
        <x:f>F30/1.23</x:f>
        <x:v>1268.2926829268292</x:v>
      </x:c>
      <x:c r="H30" s="36" t="n">
        <x:v>2040</x:v>
      </x:c>
      <x:c r="I30" s="35" t="n">
        <x:f>H30/1.23</x:f>
        <x:v>1658.5365853658536</x:v>
      </x:c>
      <x:c r="J30" s="36" t="n">
        <x:v>1960</x:v>
      </x:c>
      <x:c r="K30" s="35" t="n">
        <x:f>J30/1.23</x:f>
        <x:v>1593.4959349593496</x:v>
      </x:c>
      <x:c r="L30" s="36" t="n">
        <x:v>650</x:v>
      </x:c>
      <x:c r="M30" s="35" t="n">
        <x:f>L30/1.23</x:f>
        <x:v>528.4552845528456</x:v>
      </x:c>
      <x:c r="N30" s="36" t="n">
        <x:v>590</x:v>
      </x:c>
      <x:c r="O30" s="35" t="n">
        <x:f>N30/1.23</x:f>
        <x:v>479.6747967479675</x:v>
      </x:c>
      <x:c r="P30" s="36" t="n">
        <x:v>9980</x:v>
      </x:c>
      <x:c r="Q30" s="35" t="n">
        <x:v>8113.821138211382</x:v>
      </x:c>
      <x:c r="R30" s="36" t="n">
        <x:v>2640</x:v>
      </x:c>
      <x:c r="S30" s="138" t="n">
        <x:f>R30/1.23</x:f>
        <x:v>2146.3414634146343</x:v>
      </x:c>
      <x:c r="T30" s="36" t="n">
        <x:v>2640</x:v>
      </x:c>
      <x:c r="U30" s="35" t="n">
        <x:f>T30/1.23</x:f>
        <x:v>2146.3414634146343</x:v>
      </x:c>
      <x:c r="V30" s="36" t="n">
        <x:v>6400</x:v>
      </x:c>
      <x:c r="W30" s="35" t="n">
        <x:f>V30/1.23</x:f>
        <x:v>5203.252032520325</x:v>
      </x:c>
      <x:c r="X30" s="36" t="n">
        <x:v>1040</x:v>
      </x:c>
      <x:c r="Y30" s="35" t="n">
        <x:f>X30/1.23</x:f>
        <x:v>845.5284552845528</x:v>
      </x:c>
      <x:c r="Z30" s="36" t="n">
        <x:v>1560</x:v>
      </x:c>
      <x:c r="AA30" s="35" t="n">
        <x:f>Z30/1.23</x:f>
        <x:v>1268.2926829268292</x:v>
      </x:c>
      <x:c r="AB30" s="36" t="n">
        <x:v>1470</x:v>
      </x:c>
      <x:c r="AC30" s="139" t="n">
        <x:f>AB30/1.23</x:f>
        <x:v>1195.1219512195123</x:v>
      </x:c>
      <x:c r="AD30" s="140" t="n">
        <x:v>480</x:v>
      </x:c>
      <x:c r="AE30" s="141" t="n">
        <x:f>AD30/1.23</x:f>
        <x:v>390.2439024390244</x:v>
      </x:c>
      <x:c r="AF30" s="36" t="n">
        <x:v>2374</x:v>
      </x:c>
      <x:c r="AG30" s="35" t="n">
        <x:f>AF30/1.23</x:f>
        <x:v>1930.081300813008</x:v>
      </x:c>
      <x:c r="AH30" s="36" t="n">
        <x:v>3530</x:v>
      </x:c>
      <x:c r="AI30" s="35" t="n">
        <x:f>AH30/1.23</x:f>
        <x:v>2869.918699186992</x:v>
      </x:c>
    </x:row>
    <x:row r="31" s="655" customFormat="1" ht="15.75" customHeight="1">
      <x:c r="A31" s="33" t="inlineStr">
        <x:is>
          <x:t xml:space="preserve">400 x 1006 cm</x:t>
        </x:is>
      </x:c>
      <x:c r="B31" s="36" t="n">
        <x:v>34330</x:v>
      </x:c>
      <x:c r="C31" s="35" t="n">
        <x:f>B31/1.23</x:f>
        <x:v>27910.56910569106</x:v>
      </x:c>
      <x:c r="D31" s="36" t="n">
        <x:v>560</x:v>
      </x:c>
      <x:c r="E31" s="35" t="n">
        <x:f>D31/1.23</x:f>
        <x:v>455.2845528455285</x:v>
      </x:c>
      <x:c r="F31" s="36" t="n">
        <x:v>1730</x:v>
      </x:c>
      <x:c r="G31" s="35" t="n">
        <x:f>F31/1.23</x:f>
        <x:v>1406.5040650406504</x:v>
      </x:c>
      <x:c r="H31" s="36" t="n">
        <x:v>2160</x:v>
      </x:c>
      <x:c r="I31" s="35" t="n">
        <x:f>H31/1.23</x:f>
        <x:v>1756.09756097561</x:v>
      </x:c>
      <x:c r="J31" s="36" t="n">
        <x:v>2080</x:v>
      </x:c>
      <x:c r="K31" s="35" t="n">
        <x:f>J31/1.23</x:f>
        <x:v>1691.0569105691056</x:v>
      </x:c>
      <x:c r="L31" s="36" t="n">
        <x:v>690</x:v>
      </x:c>
      <x:c r="M31" s="35" t="n">
        <x:f>L31/1.23</x:f>
        <x:v>560.9756097560976</x:v>
      </x:c>
      <x:c r="N31" s="36" t="n">
        <x:v>620</x:v>
      </x:c>
      <x:c r="O31" s="35" t="n">
        <x:f>N31/1.23</x:f>
        <x:v>504.0650406504065</x:v>
      </x:c>
      <x:c r="P31" s="36" t="n">
        <x:v>10620</x:v>
      </x:c>
      <x:c r="Q31" s="35" t="n">
        <x:v>8634.146341463415</x:v>
      </x:c>
      <x:c r="R31" s="36" t="n">
        <x:v>2640</x:v>
      </x:c>
      <x:c r="S31" s="138" t="n">
        <x:f>R31/1.23</x:f>
        <x:v>2146.3414634146343</x:v>
      </x:c>
      <x:c r="T31" s="36" t="n">
        <x:v>2640</x:v>
      </x:c>
      <x:c r="U31" s="35" t="n">
        <x:f>T31/1.23</x:f>
        <x:v>2146.3414634146343</x:v>
      </x:c>
      <x:c r="V31" s="36" t="n">
        <x:v>6910</x:v>
      </x:c>
      <x:c r="W31" s="35" t="n">
        <x:f>V31/1.23</x:f>
        <x:v>5617.886178861789</x:v>
      </x:c>
      <x:c r="X31" s="36" t="n">
        <x:v>1230</x:v>
      </x:c>
      <x:c r="Y31" s="35" t="n">
        <x:f>X31/1.23</x:f>
        <x:v>1000</x:v>
      </x:c>
      <x:c r="Z31" s="36" t="n">
        <x:v>1650</x:v>
      </x:c>
      <x:c r="AA31" s="35" t="n">
        <x:f>Z31/1.23</x:f>
        <x:v>1341.4634146341464</x:v>
      </x:c>
      <x:c r="AB31" s="36" t="n">
        <x:v>1610</x:v>
      </x:c>
      <x:c r="AC31" s="139" t="n">
        <x:f>AB31/1.23</x:f>
        <x:v>1308.9430894308944</x:v>
      </x:c>
      <x:c r="AD31" s="140" t="n">
        <x:v>520</x:v>
      </x:c>
      <x:c r="AE31" s="141" t="n">
        <x:f>AD31/1.23</x:f>
        <x:v>422.7642276422764</x:v>
      </x:c>
      <x:c r="AF31" s="36" t="n">
        <x:v>2595</x:v>
      </x:c>
      <x:c r="AG31" s="35" t="n">
        <x:f>AF31/1.23</x:f>
        <x:v>2109.756097560976</x:v>
      </x:c>
      <x:c r="AH31" s="36" t="n">
        <x:v>3899</x:v>
      </x:c>
      <x:c r="AI31" s="35" t="n">
        <x:f>AH31/1.23</x:f>
        <x:v>3169.918699186992</x:v>
      </x:c>
    </x:row>
    <x:row r="32" s="655" customFormat="1" ht="15.75" customHeight="1">
      <x:c r="A32" s="33" t="inlineStr">
        <x:is>
          <x:t xml:space="preserve">400 x 1106 cm</x:t>
        </x:is>
      </x:c>
      <x:c r="B32" s="36" t="n">
        <x:v>36300</x:v>
      </x:c>
      <x:c r="C32" s="35" t="n">
        <x:f>B32/1.23</x:f>
        <x:v>29512.19512195122</x:v>
      </x:c>
      <x:c r="D32" s="36" t="n">
        <x:v>620</x:v>
      </x:c>
      <x:c r="E32" s="35" t="n">
        <x:f>D32/1.23</x:f>
        <x:v>504.0650406504065</x:v>
      </x:c>
      <x:c r="F32" s="36" t="n">
        <x:v>1900</x:v>
      </x:c>
      <x:c r="G32" s="35" t="n">
        <x:f>F32/1.23</x:f>
        <x:v>1544.7154471544716</x:v>
      </x:c>
      <x:c r="H32" s="36" t="n">
        <x:v>2280</x:v>
      </x:c>
      <x:c r="I32" s="35" t="n">
        <x:f>H32/1.23</x:f>
        <x:v>1853.658536585366</x:v>
      </x:c>
      <x:c r="J32" s="36" t="n">
        <x:v>2200</x:v>
      </x:c>
      <x:c r="K32" s="35" t="n">
        <x:f>J32/1.23</x:f>
        <x:v>1788.617886178862</x:v>
      </x:c>
      <x:c r="L32" s="36" t="n">
        <x:v>720</x:v>
      </x:c>
      <x:c r="M32" s="35" t="n">
        <x:f>L32/1.23</x:f>
        <x:v>585.3658536585366</x:v>
      </x:c>
      <x:c r="N32" s="36" t="n">
        <x:v>650</x:v>
      </x:c>
      <x:c r="O32" s="35" t="n">
        <x:f>N32/1.23</x:f>
        <x:v>528.4552845528456</x:v>
      </x:c>
      <x:c r="P32" s="36" t="n">
        <x:v>13350</x:v>
      </x:c>
      <x:c r="Q32" s="35" t="n">
        <x:v>10853.65853658537</x:v>
      </x:c>
      <x:c r="R32" s="36" t="n">
        <x:v>2640</x:v>
      </x:c>
      <x:c r="S32" s="138" t="n">
        <x:f>R32/1.23</x:f>
        <x:v>2146.3414634146343</x:v>
      </x:c>
      <x:c r="T32" s="36" t="n">
        <x:v>2640</x:v>
      </x:c>
      <x:c r="U32" s="35" t="n">
        <x:f>T32/1.23</x:f>
        <x:v>2146.3414634146343</x:v>
      </x:c>
      <x:c r="V32" s="36" t="n">
        <x:v>7420</x:v>
      </x:c>
      <x:c r="W32" s="35" t="n">
        <x:f>V32/1.23</x:f>
        <x:v>6032.5203252032525</x:v>
      </x:c>
      <x:c r="X32" s="36" t="n">
        <x:v>1430</x:v>
      </x:c>
      <x:c r="Y32" s="35" t="n">
        <x:f>X32/1.23</x:f>
        <x:v>1162.60162601626</x:v>
      </x:c>
      <x:c r="Z32" s="36" t="n">
        <x:v>1770</x:v>
      </x:c>
      <x:c r="AA32" s="35" t="n">
        <x:f>Z32/1.23</x:f>
        <x:v>1439.0243902439024</x:v>
      </x:c>
      <x:c r="AB32" s="36" t="n">
        <x:v>2180</x:v>
      </x:c>
      <x:c r="AC32" s="139" t="n">
        <x:f>AB32/1.23</x:f>
        <x:v>1772.357723577236</x:v>
      </x:c>
      <x:c r="AD32" s="140" t="n">
        <x:v>560</x:v>
      </x:c>
      <x:c r="AE32" s="141" t="n">
        <x:f>AD32/1.23</x:f>
        <x:v>455.2845528455285</x:v>
      </x:c>
      <x:c r="AF32" s="36" t="n">
        <x:v>2829</x:v>
      </x:c>
      <x:c r="AG32" s="35" t="n">
        <x:f>AF32/1.23</x:f>
        <x:v>2300</x:v>
      </x:c>
      <x:c r="AH32" s="36" t="n">
        <x:v>4268</x:v>
      </x:c>
      <x:c r="AI32" s="35" t="n">
        <x:f>AH32/1.23</x:f>
        <x:v>3469.918699186992</x:v>
      </x:c>
    </x:row>
    <x:row r="33" s="655" customFormat="1" ht="15.75" customHeight="1">
      <x:c r="A33" s="33" t="inlineStr">
        <x:is>
          <x:t xml:space="preserve">400 x 1206 cm</x:t>
        </x:is>
      </x:c>
      <x:c r="B33" s="36" t="n">
        <x:v>38280</x:v>
      </x:c>
      <x:c r="C33" s="35" t="n">
        <x:f>B33/1.23</x:f>
        <x:v>31121.951219512197</x:v>
      </x:c>
      <x:c r="D33" s="36" t="n">
        <x:v>670</x:v>
      </x:c>
      <x:c r="E33" s="35" t="n">
        <x:f>D33/1.23</x:f>
        <x:v>544.7154471544716</x:v>
      </x:c>
      <x:c r="F33" s="36" t="n">
        <x:v>2080</x:v>
      </x:c>
      <x:c r="G33" s="35" t="n">
        <x:f>F33/1.23</x:f>
        <x:v>1691.0569105691056</x:v>
      </x:c>
      <x:c r="H33" s="36" t="n">
        <x:v>2400</x:v>
      </x:c>
      <x:c r="I33" s="35" t="n">
        <x:f>H33/1.23</x:f>
        <x:v>1951.219512195122</x:v>
      </x:c>
      <x:c r="J33" s="36" t="n">
        <x:v>2320</x:v>
      </x:c>
      <x:c r="K33" s="35" t="n">
        <x:f>J33/1.23</x:f>
        <x:v>1886.178861788618</x:v>
      </x:c>
      <x:c r="L33" s="36" t="n">
        <x:v>760</x:v>
      </x:c>
      <x:c r="M33" s="35" t="n">
        <x:f>L33/1.23</x:f>
        <x:v>617.8861788617886</x:v>
      </x:c>
      <x:c r="N33" s="36" t="n">
        <x:v>690</x:v>
      </x:c>
      <x:c r="O33" s="35" t="n">
        <x:f>N33/1.23</x:f>
        <x:v>560.9756097560976</x:v>
      </x:c>
      <x:c r="P33" s="36" t="n">
        <x:v>13980</x:v>
      </x:c>
      <x:c r="Q33" s="35" t="n">
        <x:v>11365.85365853659</x:v>
      </x:c>
      <x:c r="R33" s="36" t="n">
        <x:v>2640</x:v>
      </x:c>
      <x:c r="S33" s="138" t="n">
        <x:f>R33/1.23</x:f>
        <x:v>2146.3414634146343</x:v>
      </x:c>
      <x:c r="T33" s="36" t="n">
        <x:v>2640</x:v>
      </x:c>
      <x:c r="U33" s="35" t="n">
        <x:f>T33/1.23</x:f>
        <x:v>2146.3414634146343</x:v>
      </x:c>
      <x:c r="V33" s="36" t="n">
        <x:v>7920</x:v>
      </x:c>
      <x:c r="W33" s="35" t="n">
        <x:f>V33/1.23</x:f>
        <x:v>6439.024390243902</x:v>
      </x:c>
      <x:c r="X33" s="36" t="n">
        <x:v>1510</x:v>
      </x:c>
      <x:c r="Y33" s="35" t="n">
        <x:f>X33/1.23</x:f>
        <x:v>1227.6422764227643</x:v>
      </x:c>
      <x:c r="Z33" s="36" t="n">
        <x:v>1900</x:v>
      </x:c>
      <x:c r="AA33" s="35" t="n">
        <x:f>Z33/1.23</x:f>
        <x:v>1544.7154471544716</x:v>
      </x:c>
      <x:c r="AB33" s="36" t="n">
        <x:v>2180</x:v>
      </x:c>
      <x:c r="AC33" s="139" t="n">
        <x:f>AB33/1.23</x:f>
        <x:v>1772.357723577236</x:v>
      </x:c>
      <x:c r="AD33" s="140" t="n">
        <x:v>600</x:v>
      </x:c>
      <x:c r="AE33" s="141" t="n">
        <x:f>AD33/1.23</x:f>
        <x:v>487.8048780487805</x:v>
      </x:c>
      <x:c r="AF33" s="142" t="n">
        <x:v>3050</x:v>
      </x:c>
      <x:c r="AG33" s="143" t="n">
        <x:f>AF33/1.23</x:f>
        <x:v>2479.6747967479673</x:v>
      </x:c>
      <x:c r="AH33" s="142" t="n">
        <x:v>4637</x:v>
      </x:c>
      <x:c r="AI33" s="143" t="n">
        <x:f>AH33/1.23</x:f>
        <x:v>3769.918699186992</x:v>
      </x:c>
    </x:row>
    <x:row r="34" s="655" customFormat="1" ht="21.75" customHeight="1">
      <x:c r="A34" s="144" t="inlineStr">
        <x:is>
          <x:t xml:space="preserve">SERIA PRO+  450-600 cm</x:t>
        </x:is>
      </x:c>
      <x:c r="B34" s="145" t="inlineStr">
        <x:is>
          <x:t xml:space="preserve">  OGRÓD ZIMOWY POLIWĘGLAN</x:t>
        </x:is>
      </x:c>
      <x:c r="C34" s="146" t="n"/>
      <x:c r="D34" s="146" t="n"/>
      <x:c r="E34" s="146" t="n"/>
      <x:c r="F34" s="146" t="n"/>
      <x:c r="G34" s="146" t="n"/>
      <x:c r="H34" s="146" t="n"/>
      <x:c r="I34" s="146" t="n"/>
      <x:c r="J34" s="146" t="n"/>
      <x:c r="K34" s="146" t="n"/>
      <x:c r="L34" s="146" t="n"/>
      <x:c r="M34" s="146" t="n"/>
      <x:c r="N34" s="146" t="n"/>
      <x:c r="O34" s="146" t="n"/>
      <x:c r="P34" s="146" t="n"/>
      <x:c r="Q34" s="146" t="n"/>
      <x:c r="R34" s="146" t="n"/>
      <x:c r="S34" s="147" t="n"/>
      <x:c r="T34" s="146" t="n"/>
      <x:c r="U34" s="146" t="n"/>
      <x:c r="V34" s="146" t="n"/>
      <x:c r="W34" s="146" t="n"/>
      <x:c r="X34" s="146" t="n"/>
      <x:c r="Y34" s="146" t="n"/>
      <x:c r="Z34" s="146" t="n"/>
      <x:c r="AA34" s="146" t="n"/>
      <x:c r="AB34" s="146" t="n"/>
      <x:c r="AC34" s="148" t="n"/>
      <x:c r="AD34" s="149" t="n"/>
      <x:c r="AE34" s="149" t="n"/>
      <x:c r="AF34" s="150" t="n"/>
      <x:c r="AG34" s="150" t="n"/>
      <x:c r="AH34" s="150" t="n"/>
      <x:c r="AI34" s="150" t="n"/>
    </x:row>
    <x:row r="35" s="655" customFormat="1" ht="15.75" customHeight="1">
      <x:c r="A35" s="40" t="inlineStr">
        <x:is>
          <x:t xml:space="preserve">450 x 306   cm</x:t>
        </x:is>
      </x:c>
      <x:c r="B35" s="43" t="n">
        <x:v>22300</x:v>
      </x:c>
      <x:c r="C35" s="42" t="n">
        <x:f>B35/1.23</x:f>
        <x:v>18130.08130081301</x:v>
      </x:c>
      <x:c r="D35" s="43" t="n">
        <x:v>290</x:v>
      </x:c>
      <x:c r="E35" s="42" t="n">
        <x:f>D35/1.23</x:f>
        <x:v>235.77235772357724</x:v>
      </x:c>
      <x:c r="F35" s="43" t="n">
        <x:v>610</x:v>
      </x:c>
      <x:c r="G35" s="42" t="n">
        <x:f>F35/1.23</x:f>
        <x:v>495.9349593495935</x:v>
      </x:c>
      <x:c r="H35" s="43" t="n">
        <x:v>1560</x:v>
      </x:c>
      <x:c r="I35" s="42" t="n">
        <x:f>H35/1.23</x:f>
        <x:v>1268.2926829268292</x:v>
      </x:c>
      <x:c r="J35" s="43" t="n">
        <x:v>1460</x:v>
      </x:c>
      <x:c r="K35" s="42" t="n">
        <x:f>J35/1.23</x:f>
        <x:v>1186.9918699186992</x:v>
      </x:c>
      <x:c r="L35" s="43" t="n">
        <x:v>500</x:v>
      </x:c>
      <x:c r="M35" s="42" t="n">
        <x:f>L35/1.23</x:f>
        <x:v>406.5040650406504</x:v>
      </x:c>
      <x:c r="N35" s="43" t="n">
        <x:v>450</x:v>
      </x:c>
      <x:c r="O35" s="42" t="n">
        <x:f>N35/1.23</x:f>
        <x:v>365.8536585365854</x:v>
      </x:c>
      <x:c r="P35" s="43" t="n">
        <x:v>4080</x:v>
      </x:c>
      <x:c r="Q35" s="42" t="n">
        <x:v>3317.073170731707</x:v>
      </x:c>
      <x:c r="R35" s="43" t="n">
        <x:v>3160</x:v>
      </x:c>
      <x:c r="S35" s="42" t="n">
        <x:f>R35/1.23</x:f>
        <x:v>2569.1056910569105</x:v>
      </x:c>
      <x:c r="T35" s="43" t="n">
        <x:v>3160</x:v>
      </x:c>
      <x:c r="U35" s="42" t="n">
        <x:f>T35/1.23</x:f>
        <x:v>2569.1056910569105</x:v>
      </x:c>
      <x:c r="V35" s="43" t="n">
        <x:v>2140</x:v>
      </x:c>
      <x:c r="W35" s="42" t="n">
        <x:f>V35/1.23</x:f>
        <x:v>1739.8373983739837</x:v>
      </x:c>
      <x:c r="X35" s="43" t="n">
        <x:v>420</x:v>
      </x:c>
      <x:c r="Y35" s="42" t="n">
        <x:f>X35/1.23</x:f>
        <x:v>341.4634146341464</x:v>
      </x:c>
      <x:c r="Z35" s="43" t="n">
        <x:v>640</x:v>
      </x:c>
      <x:c r="AA35" s="42" t="n">
        <x:f>Z35/1.23</x:f>
        <x:v>520.3252032520326</x:v>
      </x:c>
      <x:c r="AB35" s="43" t="n">
        <x:v>1160</x:v>
      </x:c>
      <x:c r="AC35" s="44" t="n">
        <x:f>AB35/1.23</x:f>
        <x:v>943.089430894309</x:v>
      </x:c>
      <x:c r="AD35" s="151" t="n">
        <x:v>400</x:v>
      </x:c>
      <x:c r="AE35" s="152" t="n">
        <x:f>AD35/1.23</x:f>
        <x:v>325.2032520325203</x:v>
      </x:c>
      <x:c r="AF35" s="153" t="n"/>
      <x:c r="AG35" s="154" t="n"/>
      <x:c r="AH35" s="153" t="n"/>
      <x:c r="AI35" s="154" t="n"/>
    </x:row>
    <x:row r="36" s="655" customFormat="1" ht="15.75" customHeight="1">
      <x:c r="A36" s="40" t="inlineStr">
        <x:is>
          <x:t xml:space="preserve">450 x 406   cm</x:t>
        </x:is>
      </x:c>
      <x:c r="B36" s="43" t="n">
        <x:v>25050</x:v>
      </x:c>
      <x:c r="C36" s="42" t="n">
        <x:f>B36/1.23</x:f>
        <x:v>20365.853658536587</x:v>
      </x:c>
      <x:c r="D36" s="43" t="n">
        <x:v>380</x:v>
      </x:c>
      <x:c r="E36" s="42" t="n">
        <x:f>D36/1.23</x:f>
        <x:v>308.9430894308943</x:v>
      </x:c>
      <x:c r="F36" s="43" t="n">
        <x:v>810</x:v>
      </x:c>
      <x:c r="G36" s="42" t="n">
        <x:f>F36/1.23</x:f>
        <x:v>658.5365853658536</x:v>
      </x:c>
      <x:c r="H36" s="43" t="n">
        <x:v>1680</x:v>
      </x:c>
      <x:c r="I36" s="42" t="n">
        <x:f>H36/1.23</x:f>
        <x:v>1365.8536585365855</x:v>
      </x:c>
      <x:c r="J36" s="43" t="n">
        <x:v>1580</x:v>
      </x:c>
      <x:c r="K36" s="42" t="n">
        <x:f>J36/1.23</x:f>
        <x:v>1284.5528455284552</x:v>
      </x:c>
      <x:c r="L36" s="43" t="n">
        <x:v>530</x:v>
      </x:c>
      <x:c r="M36" s="42" t="n">
        <x:f>L36/1.23</x:f>
        <x:v>430.8943089430894</x:v>
      </x:c>
      <x:c r="N36" s="43" t="n">
        <x:v>480</x:v>
      </x:c>
      <x:c r="O36" s="42" t="n">
        <x:f>N36/1.23</x:f>
        <x:v>390.2439024390244</x:v>
      </x:c>
      <x:c r="P36" s="43" t="n">
        <x:v>4670</x:v>
      </x:c>
      <x:c r="Q36" s="42" t="n">
        <x:v>3796.747967479675</x:v>
      </x:c>
      <x:c r="R36" s="43" t="n">
        <x:v>3160</x:v>
      </x:c>
      <x:c r="S36" s="42" t="n">
        <x:f>R36/1.23</x:f>
        <x:v>2569.1056910569105</x:v>
      </x:c>
      <x:c r="T36" s="43" t="n">
        <x:v>3160</x:v>
      </x:c>
      <x:c r="U36" s="42" t="n">
        <x:f>T36/1.23</x:f>
        <x:v>2569.1056910569105</x:v>
      </x:c>
      <x:c r="V36" s="43" t="n">
        <x:v>2640</x:v>
      </x:c>
      <x:c r="W36" s="42" t="n">
        <x:f>V36/1.23</x:f>
        <x:v>2146.3414634146343</x:v>
      </x:c>
      <x:c r="X36" s="43" t="n">
        <x:v>510</x:v>
      </x:c>
      <x:c r="Y36" s="42" t="n">
        <x:f>X36/1.23</x:f>
        <x:v>414.6341463414634</x:v>
      </x:c>
      <x:c r="Z36" s="43" t="n">
        <x:v>740</x:v>
      </x:c>
      <x:c r="AA36" s="42" t="n">
        <x:f>Z36/1.23</x:f>
        <x:v>601.6260162601626</x:v>
      </x:c>
      <x:c r="AB36" s="43" t="n">
        <x:v>1280</x:v>
      </x:c>
      <x:c r="AC36" s="44" t="n">
        <x:f>AB36/1.23</x:f>
        <x:v>1040.6504065040651</x:v>
      </x:c>
      <x:c r="AD36" s="151" t="n">
        <x:v>440</x:v>
      </x:c>
      <x:c r="AE36" s="152" t="n">
        <x:f>AD36/1.23</x:f>
        <x:v>357.7235772357724</x:v>
      </x:c>
      <x:c r="AF36" s="153" t="n"/>
      <x:c r="AG36" s="154" t="n"/>
      <x:c r="AH36" s="153" t="n"/>
      <x:c r="AI36" s="154" t="n"/>
    </x:row>
    <x:row r="37" s="655" customFormat="1" ht="15.75" customHeight="1">
      <x:c r="A37" s="40" t="inlineStr">
        <x:is>
          <x:t xml:space="preserve">450 x 506   cm</x:t>
        </x:is>
      </x:c>
      <x:c r="B37" s="43" t="n">
        <x:v>28360</x:v>
      </x:c>
      <x:c r="C37" s="42" t="n">
        <x:f>B37/1.23</x:f>
        <x:v>23056.91056910569</x:v>
      </x:c>
      <x:c r="D37" s="43" t="n">
        <x:v>480</x:v>
      </x:c>
      <x:c r="E37" s="42" t="n">
        <x:f>D37/1.23</x:f>
        <x:v>390.2439024390244</x:v>
      </x:c>
      <x:c r="F37" s="43" t="n">
        <x:v>1020</x:v>
      </x:c>
      <x:c r="G37" s="42" t="n">
        <x:f>F37/1.23</x:f>
        <x:v>829.2682926829268</x:v>
      </x:c>
      <x:c r="H37" s="43" t="n">
        <x:v>1800</x:v>
      </x:c>
      <x:c r="I37" s="42" t="n">
        <x:f>H37/1.23</x:f>
        <x:v>1463.4146341463415</x:v>
      </x:c>
      <x:c r="J37" s="43" t="n">
        <x:v>1700</x:v>
      </x:c>
      <x:c r="K37" s="42" t="n">
        <x:f>J37/1.23</x:f>
        <x:v>1382.1138211382115</x:v>
      </x:c>
      <x:c r="L37" s="43" t="n">
        <x:v>570</x:v>
      </x:c>
      <x:c r="M37" s="42" t="n">
        <x:f>L37/1.23</x:f>
        <x:v>463.4146341463415</x:v>
      </x:c>
      <x:c r="N37" s="43" t="n">
        <x:v>520</x:v>
      </x:c>
      <x:c r="O37" s="42" t="n">
        <x:f>N37/1.23</x:f>
        <x:v>422.7642276422764</x:v>
      </x:c>
      <x:c r="P37" s="43" t="n">
        <x:v>5420</x:v>
      </x:c>
      <x:c r="Q37" s="42" t="n">
        <x:v>4406.504065040651</x:v>
      </x:c>
      <x:c r="R37" s="43" t="n">
        <x:v>3160</x:v>
      </x:c>
      <x:c r="S37" s="42" t="n">
        <x:f>R37/1.23</x:f>
        <x:v>2569.1056910569105</x:v>
      </x:c>
      <x:c r="T37" s="43" t="n">
        <x:v>3160</x:v>
      </x:c>
      <x:c r="U37" s="42" t="n">
        <x:f>T37/1.23</x:f>
        <x:v>2569.1056910569105</x:v>
      </x:c>
      <x:c r="V37" s="43" t="n">
        <x:v>3700</x:v>
      </x:c>
      <x:c r="W37" s="42" t="n">
        <x:f>V37/1.23</x:f>
        <x:v>3008.130081300813</x:v>
      </x:c>
      <x:c r="X37" s="43" t="n">
        <x:v>600</x:v>
      </x:c>
      <x:c r="Y37" s="42" t="n">
        <x:f>X37/1.23</x:f>
        <x:v>487.8048780487805</x:v>
      </x:c>
      <x:c r="Z37" s="43" t="n">
        <x:v>960</x:v>
      </x:c>
      <x:c r="AA37" s="42" t="n">
        <x:f>Z37/1.23</x:f>
        <x:v>780.4878048780488</x:v>
      </x:c>
      <x:c r="AB37" s="43" t="n">
        <x:v>1410</x:v>
      </x:c>
      <x:c r="AC37" s="44" t="n">
        <x:f>AB37/1.23</x:f>
        <x:v>1146.341463414634</x:v>
      </x:c>
      <x:c r="AD37" s="151" t="n">
        <x:v>440</x:v>
      </x:c>
      <x:c r="AE37" s="152" t="n">
        <x:f>AD37/1.23</x:f>
        <x:v>357.7235772357724</x:v>
      </x:c>
      <x:c r="AF37" s="153" t="n"/>
      <x:c r="AG37" s="154" t="n"/>
      <x:c r="AH37" s="153" t="n"/>
      <x:c r="AI37" s="154" t="n"/>
    </x:row>
    <x:row r="38" s="655" customFormat="1" ht="15.75" customHeight="1">
      <x:c r="A38" s="40" t="inlineStr">
        <x:is>
          <x:t xml:space="preserve">450 x 606   cm</x:t>
        </x:is>
      </x:c>
      <x:c r="B38" s="43" t="n">
        <x:v>31400</x:v>
      </x:c>
      <x:c r="C38" s="42" t="n">
        <x:f>B38/1.23</x:f>
        <x:v>25528.455284552845</x:v>
      </x:c>
      <x:c r="D38" s="43" t="n">
        <x:v>580</x:v>
      </x:c>
      <x:c r="E38" s="42" t="n">
        <x:f>D38/1.23</x:f>
        <x:v>471.5447154471545</x:v>
      </x:c>
      <x:c r="F38" s="43" t="n">
        <x:v>1220</x:v>
      </x:c>
      <x:c r="G38" s="42" t="n">
        <x:f>F38/1.23</x:f>
        <x:v>991.869918699187</x:v>
      </x:c>
      <x:c r="H38" s="43" t="n">
        <x:v>1920</x:v>
      </x:c>
      <x:c r="I38" s="42" t="n">
        <x:f>H38/1.23</x:f>
        <x:v>1560.9756097560976</x:v>
      </x:c>
      <x:c r="J38" s="43" t="n">
        <x:v>1820</x:v>
      </x:c>
      <x:c r="K38" s="42" t="n">
        <x:f>J38/1.23</x:f>
        <x:v>1479.6747967479675</x:v>
      </x:c>
      <x:c r="L38" s="43" t="n">
        <x:v>610</x:v>
      </x:c>
      <x:c r="M38" s="42" t="n">
        <x:f>L38/1.23</x:f>
        <x:v>495.9349593495935</x:v>
      </x:c>
      <x:c r="N38" s="43" t="n">
        <x:v>550</x:v>
      </x:c>
      <x:c r="O38" s="42" t="n">
        <x:f>N38/1.23</x:f>
        <x:v>447.1544715447155</x:v>
      </x:c>
      <x:c r="P38" s="43" t="n">
        <x:v>8160</x:v>
      </x:c>
      <x:c r="Q38" s="42" t="n">
        <x:v>6634.146341463415</x:v>
      </x:c>
      <x:c r="R38" s="43" t="n">
        <x:v>3160</x:v>
      </x:c>
      <x:c r="S38" s="42" t="n">
        <x:f>R38/1.23</x:f>
        <x:v>2569.1056910569105</x:v>
      </x:c>
      <x:c r="T38" s="43" t="n">
        <x:v>3160</x:v>
      </x:c>
      <x:c r="U38" s="42" t="n">
        <x:f>T38/1.23</x:f>
        <x:v>2569.1056910569105</x:v>
      </x:c>
      <x:c r="V38" s="43" t="n">
        <x:v>4270</x:v>
      </x:c>
      <x:c r="W38" s="42" t="n">
        <x:f>V38/1.23</x:f>
        <x:v>3471.5447154471544</x:v>
      </x:c>
      <x:c r="X38" s="43" t="n">
        <x:v>790</x:v>
      </x:c>
      <x:c r="Y38" s="42" t="n">
        <x:f>X38/1.23</x:f>
        <x:v>642.2764227642276</x:v>
      </x:c>
      <x:c r="Z38" s="43" t="n">
        <x:v>1090</x:v>
      </x:c>
      <x:c r="AA38" s="42" t="n">
        <x:f>Z38/1.23</x:f>
        <x:v>886.178861788618</x:v>
      </x:c>
      <x:c r="AB38" s="43" t="n">
        <x:v>1700</x:v>
      </x:c>
      <x:c r="AC38" s="44" t="n">
        <x:f>AB38/1.23</x:f>
        <x:v>1382.1138211382115</x:v>
      </x:c>
      <x:c r="AD38" s="151" t="n">
        <x:v>480</x:v>
      </x:c>
      <x:c r="AE38" s="152" t="n">
        <x:f>AD38/1.23</x:f>
        <x:v>390.2439024390244</x:v>
      </x:c>
      <x:c r="AF38" s="153" t="n"/>
      <x:c r="AG38" s="154" t="n"/>
      <x:c r="AH38" s="153" t="n"/>
      <x:c r="AI38" s="154" t="n"/>
    </x:row>
    <x:row r="39" s="655" customFormat="1" ht="15.75" customHeight="1">
      <x:c r="A39" s="40" t="inlineStr">
        <x:is>
          <x:t xml:space="preserve">450 x 706   cm</x:t>
        </x:is>
      </x:c>
      <x:c r="B39" s="43" t="n">
        <x:v>34430</x:v>
      </x:c>
      <x:c r="C39" s="42" t="n">
        <x:f>B39/1.23</x:f>
        <x:v>27991.869918699187</x:v>
      </x:c>
      <x:c r="D39" s="43" t="n">
        <x:v>670</x:v>
      </x:c>
      <x:c r="E39" s="42" t="n">
        <x:f>D39/1.23</x:f>
        <x:v>544.7154471544716</x:v>
      </x:c>
      <x:c r="F39" s="43" t="n">
        <x:v>1420</x:v>
      </x:c>
      <x:c r="G39" s="42" t="n">
        <x:f>F39/1.23</x:f>
        <x:v>1154.4715447154472</x:v>
      </x:c>
      <x:c r="H39" s="43" t="n">
        <x:v>2040</x:v>
      </x:c>
      <x:c r="I39" s="42" t="n">
        <x:f>H39/1.23</x:f>
        <x:v>1658.5365853658536</x:v>
      </x:c>
      <x:c r="J39" s="43" t="n">
        <x:v>1940</x:v>
      </x:c>
      <x:c r="K39" s="42" t="n">
        <x:f>J39/1.23</x:f>
        <x:v>1577.2357723577236</x:v>
      </x:c>
      <x:c r="L39" s="43" t="n">
        <x:v>650</x:v>
      </x:c>
      <x:c r="M39" s="42" t="n">
        <x:f>L39/1.23</x:f>
        <x:v>528.4552845528456</x:v>
      </x:c>
      <x:c r="N39" s="43" t="n">
        <x:v>590</x:v>
      </x:c>
      <x:c r="O39" s="42" t="n">
        <x:f>N39/1.23</x:f>
        <x:v>479.6747967479675</x:v>
      </x:c>
      <x:c r="P39" s="43" t="n">
        <x:v>8750</x:v>
      </x:c>
      <x:c r="Q39" s="42" t="n">
        <x:v>7113.821138211382</x:v>
      </x:c>
      <x:c r="R39" s="43" t="n">
        <x:v>3160</x:v>
      </x:c>
      <x:c r="S39" s="42" t="n">
        <x:f>R39/1.23</x:f>
        <x:v>2569.1056910569105</x:v>
      </x:c>
      <x:c r="T39" s="43" t="n">
        <x:v>3160</x:v>
      </x:c>
      <x:c r="U39" s="42" t="n">
        <x:f>T39/1.23</x:f>
        <x:v>2569.1056910569105</x:v>
      </x:c>
      <x:c r="V39" s="43" t="n">
        <x:v>4780</x:v>
      </x:c>
      <x:c r="W39" s="42" t="n">
        <x:f>V39/1.23</x:f>
        <x:v>3886.1788617886177</x:v>
      </x:c>
      <x:c r="X39" s="43" t="n">
        <x:v>870.0000000000001</x:v>
      </x:c>
      <x:c r="Y39" s="42" t="n">
        <x:f>X39/1.23</x:f>
        <x:v>707.3170731707318</x:v>
      </x:c>
      <x:c r="Z39" s="43" t="n">
        <x:v>1210</x:v>
      </x:c>
      <x:c r="AA39" s="42" t="n">
        <x:f>Z39/1.23</x:f>
        <x:v>983.739837398374</x:v>
      </x:c>
      <x:c r="AB39" s="43" t="n">
        <x:v>1500</x:v>
      </x:c>
      <x:c r="AC39" s="44" t="n">
        <x:f>AB39/1.23</x:f>
        <x:v>1219.5121951219512</x:v>
      </x:c>
      <x:c r="AD39" s="151" t="n">
        <x:v>520</x:v>
      </x:c>
      <x:c r="AE39" s="152" t="n">
        <x:f>AD39/1.23</x:f>
        <x:v>422.7642276422764</x:v>
      </x:c>
      <x:c r="AF39" s="153" t="n"/>
      <x:c r="AG39" s="154" t="n"/>
      <x:c r="AH39" s="153" t="n"/>
      <x:c r="AI39" s="154" t="n"/>
    </x:row>
    <x:row r="40" s="655" customFormat="1" ht="15.75" customHeight="1">
      <x:c r="A40" s="40" t="inlineStr">
        <x:is>
          <x:t xml:space="preserve">450 x 806   cm</x:t>
        </x:is>
      </x:c>
      <x:c r="B40" s="43" t="n">
        <x:v>37170</x:v>
      </x:c>
      <x:c r="C40" s="42" t="n">
        <x:f>B40/1.23</x:f>
        <x:v>30219.51219512195</x:v>
      </x:c>
      <x:c r="D40" s="43" t="n">
        <x:v>770</x:v>
      </x:c>
      <x:c r="E40" s="42" t="n">
        <x:f>D40/1.23</x:f>
        <x:v>626.0162601626016</x:v>
      </x:c>
      <x:c r="F40" s="43" t="n">
        <x:v>1620</x:v>
      </x:c>
      <x:c r="G40" s="42" t="n">
        <x:f>F40/1.23</x:f>
        <x:v>1317.0731707317073</x:v>
      </x:c>
      <x:c r="H40" s="43" t="n">
        <x:v>2160</x:v>
      </x:c>
      <x:c r="I40" s="42" t="n">
        <x:f>H40/1.23</x:f>
        <x:v>1756.09756097561</x:v>
      </x:c>
      <x:c r="J40" s="43" t="n">
        <x:v>2060</x:v>
      </x:c>
      <x:c r="K40" s="42" t="n">
        <x:f>J40/1.23</x:f>
        <x:v>1674.7967479674796</x:v>
      </x:c>
      <x:c r="L40" s="43" t="n">
        <x:v>690</x:v>
      </x:c>
      <x:c r="M40" s="42" t="n">
        <x:f>L40/1.23</x:f>
        <x:v>560.9756097560976</x:v>
      </x:c>
      <x:c r="N40" s="43" t="n">
        <x:v>620</x:v>
      </x:c>
      <x:c r="O40" s="42" t="n">
        <x:f>N40/1.23</x:f>
        <x:v>504.0650406504065</x:v>
      </x:c>
      <x:c r="P40" s="43" t="n">
        <x:v>9340</x:v>
      </x:c>
      <x:c r="Q40" s="42" t="n">
        <x:v>7593.49593495935</x:v>
      </x:c>
      <x:c r="R40" s="43" t="n">
        <x:v>3160</x:v>
      </x:c>
      <x:c r="S40" s="42" t="n">
        <x:f>R40/1.23</x:f>
        <x:v>2569.1056910569105</x:v>
      </x:c>
      <x:c r="T40" s="43" t="n">
        <x:v>3160</x:v>
      </x:c>
      <x:c r="U40" s="42" t="n">
        <x:f>T40/1.23</x:f>
        <x:v>2569.1056910569105</x:v>
      </x:c>
      <x:c r="V40" s="43" t="n">
        <x:v>5280</x:v>
      </x:c>
      <x:c r="W40" s="42" t="n">
        <x:f>V40/1.23</x:f>
        <x:v>4292.682926829269</x:v>
      </x:c>
      <x:c r="X40" s="43" t="n">
        <x:v>960</x:v>
      </x:c>
      <x:c r="Y40" s="42" t="n">
        <x:f>X40/1.23</x:f>
        <x:v>780.4878048780488</x:v>
      </x:c>
      <x:c r="Z40" s="43" t="n">
        <x:v>1440</x:v>
      </x:c>
      <x:c r="AA40" s="42" t="n">
        <x:f>Z40/1.23</x:f>
        <x:v>1170.7317073170732</x:v>
      </x:c>
      <x:c r="AB40" s="43" t="n">
        <x:v>1610</x:v>
      </x:c>
      <x:c r="AC40" s="44" t="n">
        <x:f>AB40/1.23</x:f>
        <x:v>1308.9430894308944</x:v>
      </x:c>
      <x:c r="AD40" s="151" t="n">
        <x:v>560</x:v>
      </x:c>
      <x:c r="AE40" s="152" t="n">
        <x:f>AD40/1.23</x:f>
        <x:v>455.2845528455285</x:v>
      </x:c>
      <x:c r="AF40" s="153" t="n"/>
      <x:c r="AG40" s="154" t="n"/>
      <x:c r="AH40" s="153" t="n"/>
      <x:c r="AI40" s="154" t="n"/>
    </x:row>
    <x:row r="41" s="655" customFormat="1" ht="15.75" customHeight="1">
      <x:c r="A41" s="40" t="inlineStr">
        <x:is>
          <x:t xml:space="preserve">450 x 906   cm</x:t>
        </x:is>
      </x:c>
      <x:c r="B41" s="43" t="n">
        <x:v>40640</x:v>
      </x:c>
      <x:c r="C41" s="42" t="n">
        <x:f>B41/1.23</x:f>
        <x:v>33040.650406504064</x:v>
      </x:c>
      <x:c r="D41" s="43" t="n">
        <x:v>860</x:v>
      </x:c>
      <x:c r="E41" s="42" t="n">
        <x:f>D41/1.23</x:f>
        <x:v>699.1869918699188</x:v>
      </x:c>
      <x:c r="F41" s="43" t="n">
        <x:v>1830</x:v>
      </x:c>
      <x:c r="G41" s="42" t="n">
        <x:f>F41/1.23</x:f>
        <x:v>1487.8048780487804</x:v>
      </x:c>
      <x:c r="H41" s="43" t="n">
        <x:v>2280</x:v>
      </x:c>
      <x:c r="I41" s="42" t="n">
        <x:f>H41/1.23</x:f>
        <x:v>1853.658536585366</x:v>
      </x:c>
      <x:c r="J41" s="43" t="n">
        <x:v>2180</x:v>
      </x:c>
      <x:c r="K41" s="42" t="n">
        <x:f>J41/1.23</x:f>
        <x:v>1772.357723577236</x:v>
      </x:c>
      <x:c r="L41" s="43" t="n">
        <x:v>720</x:v>
      </x:c>
      <x:c r="M41" s="42" t="n">
        <x:f>L41/1.23</x:f>
        <x:v>585.3658536585366</x:v>
      </x:c>
      <x:c r="N41" s="43" t="n">
        <x:v>650</x:v>
      </x:c>
      <x:c r="O41" s="42" t="n">
        <x:f>N41/1.23</x:f>
        <x:v>528.4552845528456</x:v>
      </x:c>
      <x:c r="P41" s="43" t="n">
        <x:v>10090</x:v>
      </x:c>
      <x:c r="Q41" s="42" t="n">
        <x:v>8203.252032520326</x:v>
      </x:c>
      <x:c r="R41" s="43" t="n">
        <x:v>3160</x:v>
      </x:c>
      <x:c r="S41" s="42" t="n">
        <x:f>R41/1.23</x:f>
        <x:v>2569.1056910569105</x:v>
      </x:c>
      <x:c r="T41" s="43" t="n">
        <x:v>3160</x:v>
      </x:c>
      <x:c r="U41" s="42" t="n">
        <x:f>T41/1.23</x:f>
        <x:v>2569.1056910569105</x:v>
      </x:c>
      <x:c r="V41" s="43" t="n">
        <x:v>6400</x:v>
      </x:c>
      <x:c r="W41" s="42" t="n">
        <x:f>V41/1.23</x:f>
        <x:v>5203.252032520325</x:v>
      </x:c>
      <x:c r="X41" s="43" t="n">
        <x:v>1040</x:v>
      </x:c>
      <x:c r="Y41" s="42" t="n">
        <x:f>X41/1.23</x:f>
        <x:v>845.5284552845528</x:v>
      </x:c>
      <x:c r="Z41" s="43" t="n">
        <x:v>1560</x:v>
      </x:c>
      <x:c r="AA41" s="42" t="n">
        <x:f>Z41/1.23</x:f>
        <x:v>1268.2926829268292</x:v>
      </x:c>
      <x:c r="AB41" s="43" t="n">
        <x:v>1750</x:v>
      </x:c>
      <x:c r="AC41" s="44" t="n">
        <x:f>AB41/1.23</x:f>
        <x:v>1422.7642276422764</x:v>
      </x:c>
      <x:c r="AD41" s="151" t="n">
        <x:v>560</x:v>
      </x:c>
      <x:c r="AE41" s="152" t="n">
        <x:f>AD41/1.23</x:f>
        <x:v>455.2845528455285</x:v>
      </x:c>
      <x:c r="AF41" s="153" t="n"/>
      <x:c r="AG41" s="154" t="n"/>
      <x:c r="AH41" s="153" t="n"/>
      <x:c r="AI41" s="154" t="n"/>
    </x:row>
    <x:row r="42" s="655" customFormat="1" ht="15.75" customHeight="1">
      <x:c r="A42" s="40" t="inlineStr">
        <x:is>
          <x:t xml:space="preserve">450 x 1006 cm</x:t>
        </x:is>
      </x:c>
      <x:c r="B42" s="43" t="n">
        <x:v>43640</x:v>
      </x:c>
      <x:c r="C42" s="42" t="n">
        <x:f>B42/1.23</x:f>
        <x:v>35479.67479674797</x:v>
      </x:c>
      <x:c r="D42" s="43" t="n">
        <x:v>960</x:v>
      </x:c>
      <x:c r="E42" s="42" t="n">
        <x:f>D42/1.23</x:f>
        <x:v>780.4878048780488</x:v>
      </x:c>
      <x:c r="F42" s="43" t="n">
        <x:v>2030</x:v>
      </x:c>
      <x:c r="G42" s="42" t="n">
        <x:f>F42/1.23</x:f>
        <x:v>1650.4065040650407</x:v>
      </x:c>
      <x:c r="H42" s="43" t="n">
        <x:v>2400</x:v>
      </x:c>
      <x:c r="I42" s="42" t="n">
        <x:f>H42/1.23</x:f>
        <x:v>1951.219512195122</x:v>
      </x:c>
      <x:c r="J42" s="43" t="n">
        <x:v>2300</x:v>
      </x:c>
      <x:c r="K42" s="42" t="n">
        <x:f>J42/1.23</x:f>
        <x:v>1869.918699186992</x:v>
      </x:c>
      <x:c r="L42" s="43" t="n">
        <x:v>760</x:v>
      </x:c>
      <x:c r="M42" s="42" t="n">
        <x:f>L42/1.23</x:f>
        <x:v>617.8861788617886</x:v>
      </x:c>
      <x:c r="N42" s="43" t="n">
        <x:v>690</x:v>
      </x:c>
      <x:c r="O42" s="42" t="n">
        <x:f>N42/1.23</x:f>
        <x:v>560.9756097560976</x:v>
      </x:c>
      <x:c r="P42" s="43" t="n">
        <x:v>10830</x:v>
      </x:c>
      <x:c r="Q42" s="42" t="n">
        <x:v>8804.878048780489</x:v>
      </x:c>
      <x:c r="R42" s="43" t="n">
        <x:v>3160</x:v>
      </x:c>
      <x:c r="S42" s="42" t="n">
        <x:f>R42/1.23</x:f>
        <x:v>2569.1056910569105</x:v>
      </x:c>
      <x:c r="T42" s="43" t="n">
        <x:v>3160</x:v>
      </x:c>
      <x:c r="U42" s="42" t="n">
        <x:f>T42/1.23</x:f>
        <x:v>2569.1056910569105</x:v>
      </x:c>
      <x:c r="V42" s="43" t="n">
        <x:v>6910</x:v>
      </x:c>
      <x:c r="W42" s="42" t="n">
        <x:f>V42/1.23</x:f>
        <x:v>5617.886178861789</x:v>
      </x:c>
      <x:c r="X42" s="43" t="n">
        <x:v>1230</x:v>
      </x:c>
      <x:c r="Y42" s="42" t="n">
        <x:f>X42/1.23</x:f>
        <x:v>1000</x:v>
      </x:c>
      <x:c r="Z42" s="43" t="n">
        <x:v>1650</x:v>
      </x:c>
      <x:c r="AA42" s="42" t="n">
        <x:f>Z42/1.23</x:f>
        <x:v>1341.4634146341464</x:v>
      </x:c>
      <x:c r="AB42" s="43" t="n">
        <x:v>1880</x:v>
      </x:c>
      <x:c r="AC42" s="44" t="n">
        <x:f>AB42/1.23</x:f>
        <x:v>1528.4552845528456</x:v>
      </x:c>
      <x:c r="AD42" s="155" t="n">
        <x:v>600</x:v>
      </x:c>
      <x:c r="AE42" s="156" t="n">
        <x:f>AD42/1.23</x:f>
        <x:v>487.8048780487805</x:v>
      </x:c>
      <x:c r="AF42" s="153" t="n"/>
      <x:c r="AG42" s="154" t="n"/>
      <x:c r="AH42" s="153" t="n"/>
      <x:c r="AI42" s="154" t="n"/>
    </x:row>
    <x:row r="43" s="655" customFormat="1" ht="15.75" customHeight="1">
      <x:c r="A43" s="40" t="inlineStr">
        <x:is>
          <x:t xml:space="preserve">450 x 1106 cm</x:t>
        </x:is>
      </x:c>
      <x:c r="B43" s="43" t="n">
        <x:v>47530</x:v>
      </x:c>
      <x:c r="C43" s="42" t="n">
        <x:f>B43/1.23</x:f>
        <x:v>38642.276422764226</x:v>
      </x:c>
      <x:c r="D43" s="43" t="n">
        <x:v>1060</x:v>
      </x:c>
      <x:c r="E43" s="42" t="n">
        <x:f>D43/1.23</x:f>
        <x:v>861.7886178861788</x:v>
      </x:c>
      <x:c r="F43" s="43" t="n">
        <x:v>2230</x:v>
      </x:c>
      <x:c r="G43" s="42" t="n">
        <x:f>F43/1.23</x:f>
        <x:v>1813.0081300813008</x:v>
      </x:c>
      <x:c r="H43" s="43" t="n">
        <x:v>2520</x:v>
      </x:c>
      <x:c r="I43" s="42" t="n">
        <x:f>H43/1.23</x:f>
        <x:v>2048.7804878048782</x:v>
      </x:c>
      <x:c r="J43" s="43" t="n">
        <x:v>2420</x:v>
      </x:c>
      <x:c r="K43" s="42" t="n">
        <x:f>J43/1.23</x:f>
        <x:v>1967.479674796748</x:v>
      </x:c>
      <x:c r="L43" s="43" t="n">
        <x:v>800</x:v>
      </x:c>
      <x:c r="M43" s="42" t="n">
        <x:f>L43/1.23</x:f>
        <x:v>650.4065040650406</x:v>
      </x:c>
      <x:c r="N43" s="43" t="n">
        <x:v>720</x:v>
      </x:c>
      <x:c r="O43" s="42" t="n">
        <x:f>N43/1.23</x:f>
        <x:v>585.3658536585366</x:v>
      </x:c>
      <x:c r="P43" s="43" t="n">
        <x:v>13420</x:v>
      </x:c>
      <x:c r="Q43" s="42" t="n">
        <x:v>10910.56910569106</x:v>
      </x:c>
      <x:c r="R43" s="43" t="n">
        <x:v>3160</x:v>
      </x:c>
      <x:c r="S43" s="42" t="n">
        <x:f>R43/1.23</x:f>
        <x:v>2569.1056910569105</x:v>
      </x:c>
      <x:c r="T43" s="43" t="n">
        <x:v>3160</x:v>
      </x:c>
      <x:c r="U43" s="42" t="n">
        <x:f>T43/1.23</x:f>
        <x:v>2569.1056910569105</x:v>
      </x:c>
      <x:c r="V43" s="43" t="n">
        <x:v>7420</x:v>
      </x:c>
      <x:c r="W43" s="42" t="n">
        <x:f>V43/1.23</x:f>
        <x:v>6032.5203252032525</x:v>
      </x:c>
      <x:c r="X43" s="43" t="n">
        <x:v>1430</x:v>
      </x:c>
      <x:c r="Y43" s="42" t="n">
        <x:f>X43/1.23</x:f>
        <x:v>1162.60162601626</x:v>
      </x:c>
      <x:c r="Z43" s="43" t="n">
        <x:v>1770</x:v>
      </x:c>
      <x:c r="AA43" s="42" t="n">
        <x:f>Z43/1.23</x:f>
        <x:v>1439.0243902439024</x:v>
      </x:c>
      <x:c r="AB43" s="43" t="n">
        <x:v>2170</x:v>
      </x:c>
      <x:c r="AC43" s="44" t="n">
        <x:f>AB43/1.23</x:f>
        <x:v>1764.2276422764228</x:v>
      </x:c>
      <x:c r="AD43" s="151" t="n">
        <x:v>640</x:v>
      </x:c>
      <x:c r="AE43" s="152" t="n">
        <x:f>AD43/1.23</x:f>
        <x:v>520.3252032520326</x:v>
      </x:c>
      <x:c r="AF43" s="153" t="n"/>
      <x:c r="AG43" s="154" t="n"/>
      <x:c r="AH43" s="153" t="n"/>
      <x:c r="AI43" s="154" t="n"/>
    </x:row>
    <x:row r="44" s="655" customFormat="1" ht="15.75" customHeight="1">
      <x:c r="A44" s="40" t="inlineStr">
        <x:is>
          <x:t xml:space="preserve">450 x 1206 cm</x:t>
        </x:is>
      </x:c>
      <x:c r="B44" s="43" t="n">
        <x:v>50580</x:v>
      </x:c>
      <x:c r="C44" s="42" t="n">
        <x:f>B44/1.23</x:f>
        <x:v>41121.95121951219</x:v>
      </x:c>
      <x:c r="D44" s="43" t="n">
        <x:v>1150</x:v>
      </x:c>
      <x:c r="E44" s="42" t="n">
        <x:f>D44/1.23</x:f>
        <x:v>934.959349593496</x:v>
      </x:c>
      <x:c r="F44" s="43" t="n">
        <x:v>2440</x:v>
      </x:c>
      <x:c r="G44" s="42" t="n">
        <x:f>F44/1.23</x:f>
        <x:v>1983.739837398374</x:v>
      </x:c>
      <x:c r="H44" s="43" t="n">
        <x:v>2640</x:v>
      </x:c>
      <x:c r="I44" s="42" t="n">
        <x:f>H44/1.23</x:f>
        <x:v>2146.3414634146343</x:v>
      </x:c>
      <x:c r="J44" s="43" t="n">
        <x:v>2540</x:v>
      </x:c>
      <x:c r="K44" s="42" t="n">
        <x:f>J44/1.23</x:f>
        <x:v>2065.040650406504</x:v>
      </x:c>
      <x:c r="L44" s="43" t="n">
        <x:v>840</x:v>
      </x:c>
      <x:c r="M44" s="42" t="n">
        <x:f>L44/1.23</x:f>
        <x:v>682.9268292682927</x:v>
      </x:c>
      <x:c r="N44" s="43" t="n">
        <x:v>760</x:v>
      </x:c>
      <x:c r="O44" s="42" t="n">
        <x:f>N44/1.23</x:f>
        <x:v>617.8861788617886</x:v>
      </x:c>
      <x:c r="P44" s="43" t="n">
        <x:v>14010</x:v>
      </x:c>
      <x:c r="Q44" s="42" t="n">
        <x:v>11390.24390243902</x:v>
      </x:c>
      <x:c r="R44" s="43" t="n">
        <x:v>3160</x:v>
      </x:c>
      <x:c r="S44" s="42" t="n">
        <x:f>R44/1.23</x:f>
        <x:v>2569.1056910569105</x:v>
      </x:c>
      <x:c r="T44" s="43" t="n">
        <x:v>3160</x:v>
      </x:c>
      <x:c r="U44" s="42" t="n">
        <x:f>T44/1.23</x:f>
        <x:v>2569.1056910569105</x:v>
      </x:c>
      <x:c r="V44" s="43" t="n">
        <x:v>7920</x:v>
      </x:c>
      <x:c r="W44" s="42" t="n">
        <x:f>V44/1.23</x:f>
        <x:v>6439.024390243902</x:v>
      </x:c>
      <x:c r="X44" s="43" t="n">
        <x:v>1510</x:v>
      </x:c>
      <x:c r="Y44" s="42" t="n">
        <x:f>X44/1.23</x:f>
        <x:v>1227.6422764227643</x:v>
      </x:c>
      <x:c r="Z44" s="43" t="n">
        <x:v>1900</x:v>
      </x:c>
      <x:c r="AA44" s="42" t="n">
        <x:f>Z44/1.23</x:f>
        <x:v>1544.7154471544716</x:v>
      </x:c>
      <x:c r="AB44" s="43" t="n">
        <x:v>2460</x:v>
      </x:c>
      <x:c r="AC44" s="44" t="n">
        <x:f>AB44/1.23</x:f>
        <x:v>2000</x:v>
      </x:c>
      <x:c r="AD44" s="155" t="n">
        <x:v>680</x:v>
      </x:c>
      <x:c r="AE44" s="156" t="n">
        <x:f>AD44/1.23</x:f>
        <x:v>552.8455284552846</x:v>
      </x:c>
      <x:c r="AF44" s="153" t="n"/>
      <x:c r="AG44" s="154" t="n"/>
      <x:c r="AH44" s="153" t="n"/>
      <x:c r="AI44" s="154" t="n"/>
    </x:row>
    <x:row r="45" s="655" customFormat="1" ht="15.75" customHeight="1">
      <x:c r="A45" s="47" t="inlineStr">
        <x:is>
          <x:t xml:space="preserve">500 x 306   cm</x:t>
        </x:is>
      </x:c>
      <x:c r="B45" s="50" t="n">
        <x:v>22950</x:v>
      </x:c>
      <x:c r="C45" s="49" t="n">
        <x:f>B45/1.23</x:f>
        <x:v>18658.536585365855</x:v>
      </x:c>
      <x:c r="D45" s="50" t="n">
        <x:v>310</x:v>
      </x:c>
      <x:c r="E45" s="49" t="n">
        <x:f>D45/1.23</x:f>
        <x:v>252.03252032520325</x:v>
      </x:c>
      <x:c r="F45" s="50" t="n">
        <x:v>700</x:v>
      </x:c>
      <x:c r="G45" s="49" t="n">
        <x:f>F45/1.23</x:f>
        <x:v>569.1056910569106</x:v>
      </x:c>
      <x:c r="H45" s="50" t="n">
        <x:v>1560</x:v>
      </x:c>
      <x:c r="I45" s="49" t="n">
        <x:f>H45/1.23</x:f>
        <x:v>1268.2926829268292</x:v>
      </x:c>
      <x:c r="J45" s="50" t="n">
        <x:v>1460</x:v>
      </x:c>
      <x:c r="K45" s="49" t="n">
        <x:f>J45/1.23</x:f>
        <x:v>1186.9918699186992</x:v>
      </x:c>
      <x:c r="L45" s="50" t="n">
        <x:v>500</x:v>
      </x:c>
      <x:c r="M45" s="49" t="n">
        <x:f>L45/1.23</x:f>
        <x:v>406.5040650406504</x:v>
      </x:c>
      <x:c r="N45" s="50" t="n">
        <x:v>450</x:v>
      </x:c>
      <x:c r="O45" s="49" t="n">
        <x:f>N45/1.23</x:f>
        <x:v>365.8536585365854</x:v>
      </x:c>
      <x:c r="P45" s="50" t="n">
        <x:v>4080</x:v>
      </x:c>
      <x:c r="Q45" s="49" t="n">
        <x:v>3317.073170731707</x:v>
      </x:c>
      <x:c r="R45" s="50" t="n">
        <x:v>3700</x:v>
      </x:c>
      <x:c r="S45" s="49" t="n">
        <x:f>R45/1.23</x:f>
        <x:v>3008.130081300813</x:v>
      </x:c>
      <x:c r="T45" s="50" t="n">
        <x:v>3700</x:v>
      </x:c>
      <x:c r="U45" s="49" t="n">
        <x:f>T45/1.23</x:f>
        <x:v>3008.130081300813</x:v>
      </x:c>
      <x:c r="V45" s="50" t="n">
        <x:v>2140</x:v>
      </x:c>
      <x:c r="W45" s="49" t="n">
        <x:f>V45/1.23</x:f>
        <x:v>1739.8373983739837</x:v>
      </x:c>
      <x:c r="X45" s="50" t="n">
        <x:v>420</x:v>
      </x:c>
      <x:c r="Y45" s="49" t="n">
        <x:f>X45/1.23</x:f>
        <x:v>341.4634146341464</x:v>
      </x:c>
      <x:c r="Z45" s="50" t="n">
        <x:v>640</x:v>
      </x:c>
      <x:c r="AA45" s="49" t="n">
        <x:f>Z45/1.23</x:f>
        <x:v>520.3252032520326</x:v>
      </x:c>
      <x:c r="AB45" s="50" t="n">
        <x:v>1160</x:v>
      </x:c>
      <x:c r="AC45" s="51" t="n">
        <x:f>AB45/1.23</x:f>
        <x:v>943.089430894309</x:v>
      </x:c>
      <x:c r="AD45" s="157" t="n">
        <x:v>400</x:v>
      </x:c>
      <x:c r="AE45" s="158" t="n">
        <x:f>AD45/1.23</x:f>
        <x:v>325.2032520325203</x:v>
      </x:c>
      <x:c r="AF45" s="153" t="n"/>
      <x:c r="AG45" s="154" t="n"/>
      <x:c r="AH45" s="153" t="n"/>
      <x:c r="AI45" s="154" t="n"/>
    </x:row>
    <x:row r="46" s="655" customFormat="1" ht="15.75" customHeight="1">
      <x:c r="A46" s="47" t="inlineStr">
        <x:is>
          <x:t xml:space="preserve">500 x 406   cm</x:t>
        </x:is>
      </x:c>
      <x:c r="B46" s="50" t="n">
        <x:v>25830</x:v>
      </x:c>
      <x:c r="C46" s="49" t="n">
        <x:f>B46/1.23</x:f>
        <x:v>21000</x:v>
      </x:c>
      <x:c r="D46" s="50" t="n">
        <x:v>420</x:v>
      </x:c>
      <x:c r="E46" s="49" t="n">
        <x:f>D46/1.23</x:f>
        <x:v>341.4634146341464</x:v>
      </x:c>
      <x:c r="F46" s="50" t="n">
        <x:v>930</x:v>
      </x:c>
      <x:c r="G46" s="49" t="n">
        <x:f>F46/1.23</x:f>
        <x:v>756.0975609756098</x:v>
      </x:c>
      <x:c r="H46" s="50" t="n">
        <x:v>1680</x:v>
      </x:c>
      <x:c r="I46" s="49" t="n">
        <x:f>H46/1.23</x:f>
        <x:v>1365.8536585365855</x:v>
      </x:c>
      <x:c r="J46" s="50" t="n">
        <x:v>1580</x:v>
      </x:c>
      <x:c r="K46" s="49" t="n">
        <x:f>J46/1.23</x:f>
        <x:v>1284.5528455284552</x:v>
      </x:c>
      <x:c r="L46" s="50" t="n">
        <x:v>530</x:v>
      </x:c>
      <x:c r="M46" s="49" t="n">
        <x:f>L46/1.23</x:f>
        <x:v>430.8943089430894</x:v>
      </x:c>
      <x:c r="N46" s="50" t="n">
        <x:v>480</x:v>
      </x:c>
      <x:c r="O46" s="49" t="n">
        <x:f>N46/1.23</x:f>
        <x:v>390.2439024390244</x:v>
      </x:c>
      <x:c r="P46" s="50" t="n">
        <x:v>4670</x:v>
      </x:c>
      <x:c r="Q46" s="49" t="n">
        <x:v>3796.747967479675</x:v>
      </x:c>
      <x:c r="R46" s="50" t="n">
        <x:v>3700</x:v>
      </x:c>
      <x:c r="S46" s="49" t="n">
        <x:f>R46/1.23</x:f>
        <x:v>3008.130081300813</x:v>
      </x:c>
      <x:c r="T46" s="50" t="n">
        <x:v>3700</x:v>
      </x:c>
      <x:c r="U46" s="49" t="n">
        <x:f>T46/1.23</x:f>
        <x:v>3008.130081300813</x:v>
      </x:c>
      <x:c r="V46" s="50" t="n">
        <x:v>2640</x:v>
      </x:c>
      <x:c r="W46" s="49" t="n">
        <x:f>V46/1.23</x:f>
        <x:v>2146.3414634146343</x:v>
      </x:c>
      <x:c r="X46" s="50" t="n">
        <x:v>510</x:v>
      </x:c>
      <x:c r="Y46" s="49" t="n">
        <x:f>X46/1.23</x:f>
        <x:v>414.6341463414634</x:v>
      </x:c>
      <x:c r="Z46" s="50" t="n">
        <x:v>740</x:v>
      </x:c>
      <x:c r="AA46" s="49" t="n">
        <x:f>Z46/1.23</x:f>
        <x:v>601.6260162601626</x:v>
      </x:c>
      <x:c r="AB46" s="50" t="n">
        <x:v>1280</x:v>
      </x:c>
      <x:c r="AC46" s="51" t="n">
        <x:f>AB46/1.23</x:f>
        <x:v>1040.6504065040651</x:v>
      </x:c>
      <x:c r="AD46" s="157" t="n">
        <x:v>440</x:v>
      </x:c>
      <x:c r="AE46" s="158" t="n">
        <x:f>AD46/1.23</x:f>
        <x:v>357.7235772357724</x:v>
      </x:c>
      <x:c r="AF46" s="153" t="n"/>
      <x:c r="AG46" s="154" t="n"/>
      <x:c r="AH46" s="153" t="n"/>
      <x:c r="AI46" s="154" t="n"/>
    </x:row>
    <x:row r="47" s="655" customFormat="1" ht="15.75" customHeight="1">
      <x:c r="A47" s="47" t="inlineStr">
        <x:is>
          <x:t xml:space="preserve">500 x 506   cm</x:t>
        </x:is>
      </x:c>
      <x:c r="B47" s="50" t="n">
        <x:v>29260</x:v>
      </x:c>
      <x:c r="C47" s="49" t="n">
        <x:f>B47/1.23</x:f>
        <x:v>23788.61788617886</x:v>
      </x:c>
      <x:c r="D47" s="50" t="n">
        <x:v>520</x:v>
      </x:c>
      <x:c r="E47" s="49" t="n">
        <x:f>D47/1.23</x:f>
        <x:v>422.7642276422764</x:v>
      </x:c>
      <x:c r="F47" s="50" t="n">
        <x:v>1160</x:v>
      </x:c>
      <x:c r="G47" s="49" t="n">
        <x:f>F47/1.23</x:f>
        <x:v>943.089430894309</x:v>
      </x:c>
      <x:c r="H47" s="50" t="n">
        <x:v>1800</x:v>
      </x:c>
      <x:c r="I47" s="49" t="n">
        <x:f>H47/1.23</x:f>
        <x:v>1463.4146341463415</x:v>
      </x:c>
      <x:c r="J47" s="50" t="n">
        <x:v>1700</x:v>
      </x:c>
      <x:c r="K47" s="49" t="n">
        <x:f>J47/1.23</x:f>
        <x:v>1382.1138211382115</x:v>
      </x:c>
      <x:c r="L47" s="50" t="n">
        <x:v>570</x:v>
      </x:c>
      <x:c r="M47" s="49" t="n">
        <x:f>L47/1.23</x:f>
        <x:v>463.4146341463415</x:v>
      </x:c>
      <x:c r="N47" s="50" t="n">
        <x:v>520</x:v>
      </x:c>
      <x:c r="O47" s="49" t="n">
        <x:f>N47/1.23</x:f>
        <x:v>422.7642276422764</x:v>
      </x:c>
      <x:c r="P47" s="50" t="n">
        <x:v>5420</x:v>
      </x:c>
      <x:c r="Q47" s="49" t="n">
        <x:v>4406.504065040651</x:v>
      </x:c>
      <x:c r="R47" s="50" t="n">
        <x:v>3700</x:v>
      </x:c>
      <x:c r="S47" s="49" t="n">
        <x:f>R47/1.23</x:f>
        <x:v>3008.130081300813</x:v>
      </x:c>
      <x:c r="T47" s="50" t="n">
        <x:v>3700</x:v>
      </x:c>
      <x:c r="U47" s="49" t="n">
        <x:f>T47/1.23</x:f>
        <x:v>3008.130081300813</x:v>
      </x:c>
      <x:c r="V47" s="50" t="n">
        <x:v>3700</x:v>
      </x:c>
      <x:c r="W47" s="49" t="n">
        <x:f>V47/1.23</x:f>
        <x:v>3008.130081300813</x:v>
      </x:c>
      <x:c r="X47" s="50" t="n">
        <x:v>600</x:v>
      </x:c>
      <x:c r="Y47" s="49" t="n">
        <x:f>X47/1.23</x:f>
        <x:v>487.8048780487805</x:v>
      </x:c>
      <x:c r="Z47" s="50" t="n">
        <x:v>960</x:v>
      </x:c>
      <x:c r="AA47" s="49" t="n">
        <x:f>Z47/1.23</x:f>
        <x:v>780.4878048780488</x:v>
      </x:c>
      <x:c r="AB47" s="50" t="n">
        <x:v>1410</x:v>
      </x:c>
      <x:c r="AC47" s="51" t="n">
        <x:f>AB47/1.23</x:f>
        <x:v>1146.341463414634</x:v>
      </x:c>
      <x:c r="AD47" s="157" t="n">
        <x:v>440</x:v>
      </x:c>
      <x:c r="AE47" s="158" t="n">
        <x:f>AD47/1.23</x:f>
        <x:v>357.7235772357724</x:v>
      </x:c>
      <x:c r="AF47" s="153" t="n"/>
      <x:c r="AG47" s="154" t="n"/>
      <x:c r="AH47" s="153" t="n"/>
      <x:c r="AI47" s="154" t="n"/>
    </x:row>
    <x:row r="48" s="655" customFormat="1" ht="15.75" customHeight="1">
      <x:c r="A48" s="47" t="inlineStr">
        <x:is>
          <x:t xml:space="preserve">500 x 606   cm</x:t>
        </x:is>
      </x:c>
      <x:c r="B48" s="50" t="n">
        <x:v>32450</x:v>
      </x:c>
      <x:c r="C48" s="49" t="n">
        <x:f>B48/1.23</x:f>
        <x:v>26382.113821138213</x:v>
      </x:c>
      <x:c r="D48" s="50" t="n">
        <x:v>620</x:v>
      </x:c>
      <x:c r="E48" s="49" t="n">
        <x:f>D48/1.23</x:f>
        <x:v>504.0650406504065</x:v>
      </x:c>
      <x:c r="F48" s="50" t="n">
        <x:v>1400</x:v>
      </x:c>
      <x:c r="G48" s="49" t="n">
        <x:f>F48/1.23</x:f>
        <x:v>1138.2113821138212</x:v>
      </x:c>
      <x:c r="H48" s="50" t="n">
        <x:v>1920</x:v>
      </x:c>
      <x:c r="I48" s="49" t="n">
        <x:f>H48/1.23</x:f>
        <x:v>1560.9756097560976</x:v>
      </x:c>
      <x:c r="J48" s="50" t="n">
        <x:v>1820</x:v>
      </x:c>
      <x:c r="K48" s="49" t="n">
        <x:f>J48/1.23</x:f>
        <x:v>1479.6747967479675</x:v>
      </x:c>
      <x:c r="L48" s="50" t="n">
        <x:v>610</x:v>
      </x:c>
      <x:c r="M48" s="49" t="n">
        <x:f>L48/1.23</x:f>
        <x:v>495.9349593495935</x:v>
      </x:c>
      <x:c r="N48" s="50" t="n">
        <x:v>550</x:v>
      </x:c>
      <x:c r="O48" s="49" t="n">
        <x:f>N48/1.23</x:f>
        <x:v>447.1544715447155</x:v>
      </x:c>
      <x:c r="P48" s="50" t="n">
        <x:v>8160</x:v>
      </x:c>
      <x:c r="Q48" s="49" t="n">
        <x:v>6634.146341463415</x:v>
      </x:c>
      <x:c r="R48" s="50" t="n">
        <x:v>3700</x:v>
      </x:c>
      <x:c r="S48" s="49" t="n">
        <x:f>R48/1.23</x:f>
        <x:v>3008.130081300813</x:v>
      </x:c>
      <x:c r="T48" s="50" t="n">
        <x:v>3700</x:v>
      </x:c>
      <x:c r="U48" s="49" t="n">
        <x:f>T48/1.23</x:f>
        <x:v>3008.130081300813</x:v>
      </x:c>
      <x:c r="V48" s="50" t="n">
        <x:v>4270</x:v>
      </x:c>
      <x:c r="W48" s="49" t="n">
        <x:f>V48/1.23</x:f>
        <x:v>3471.5447154471544</x:v>
      </x:c>
      <x:c r="X48" s="50" t="n">
        <x:v>790</x:v>
      </x:c>
      <x:c r="Y48" s="49" t="n">
        <x:f>X48/1.23</x:f>
        <x:v>642.2764227642276</x:v>
      </x:c>
      <x:c r="Z48" s="50" t="n">
        <x:v>1090</x:v>
      </x:c>
      <x:c r="AA48" s="49" t="n">
        <x:f>Z48/1.23</x:f>
        <x:v>886.178861788618</x:v>
      </x:c>
      <x:c r="AB48" s="50" t="n">
        <x:v>1700</x:v>
      </x:c>
      <x:c r="AC48" s="51" t="n">
        <x:f>AB48/1.23</x:f>
        <x:v>1382.1138211382115</x:v>
      </x:c>
      <x:c r="AD48" s="157" t="n">
        <x:v>480</x:v>
      </x:c>
      <x:c r="AE48" s="158" t="n">
        <x:f>AD48/1.23</x:f>
        <x:v>390.2439024390244</x:v>
      </x:c>
      <x:c r="AF48" s="153" t="n"/>
      <x:c r="AG48" s="154" t="n"/>
      <x:c r="AH48" s="153" t="n"/>
      <x:c r="AI48" s="154" t="n"/>
    </x:row>
    <x:row r="49" s="655" customFormat="1" ht="15.75" customHeight="1">
      <x:c r="A49" s="47" t="inlineStr">
        <x:is>
          <x:t xml:space="preserve">500 x 706   cm</x:t>
        </x:is>
      </x:c>
      <x:c r="B49" s="50" t="n">
        <x:v>35650</x:v>
      </x:c>
      <x:c r="C49" s="49" t="n">
        <x:f>B49/1.23</x:f>
        <x:v>28983.739837398374</x:v>
      </x:c>
      <x:c r="D49" s="50" t="n">
        <x:v>730</x:v>
      </x:c>
      <x:c r="E49" s="49" t="n">
        <x:f>D49/1.23</x:f>
        <x:v>593.4959349593496</x:v>
      </x:c>
      <x:c r="F49" s="50" t="n">
        <x:v>1630</x:v>
      </x:c>
      <x:c r="G49" s="49" t="n">
        <x:f>F49/1.23</x:f>
        <x:v>1325.2032520325204</x:v>
      </x:c>
      <x:c r="H49" s="50" t="n">
        <x:v>2040</x:v>
      </x:c>
      <x:c r="I49" s="49" t="n">
        <x:f>H49/1.23</x:f>
        <x:v>1658.5365853658536</x:v>
      </x:c>
      <x:c r="J49" s="50" t="n">
        <x:v>1940</x:v>
      </x:c>
      <x:c r="K49" s="49" t="n">
        <x:f>J49/1.23</x:f>
        <x:v>1577.2357723577236</x:v>
      </x:c>
      <x:c r="L49" s="50" t="n">
        <x:v>650</x:v>
      </x:c>
      <x:c r="M49" s="49" t="n">
        <x:f>L49/1.23</x:f>
        <x:v>528.4552845528456</x:v>
      </x:c>
      <x:c r="N49" s="50" t="n">
        <x:v>580</x:v>
      </x:c>
      <x:c r="O49" s="49" t="n">
        <x:f>N49/1.23</x:f>
        <x:v>471.5447154471545</x:v>
      </x:c>
      <x:c r="P49" s="50" t="n">
        <x:v>8750</x:v>
      </x:c>
      <x:c r="Q49" s="49" t="n">
        <x:v>7113.821138211382</x:v>
      </x:c>
      <x:c r="R49" s="50" t="n">
        <x:v>3700</x:v>
      </x:c>
      <x:c r="S49" s="49" t="n">
        <x:f>R49/1.23</x:f>
        <x:v>3008.130081300813</x:v>
      </x:c>
      <x:c r="T49" s="50" t="n">
        <x:v>3700</x:v>
      </x:c>
      <x:c r="U49" s="49" t="n">
        <x:f>T49/1.23</x:f>
        <x:v>3008.130081300813</x:v>
      </x:c>
      <x:c r="V49" s="50" t="n">
        <x:v>4780</x:v>
      </x:c>
      <x:c r="W49" s="49" t="n">
        <x:f>V49/1.23</x:f>
        <x:v>3886.1788617886177</x:v>
      </x:c>
      <x:c r="X49" s="50" t="n">
        <x:v>870</x:v>
      </x:c>
      <x:c r="Y49" s="49" t="n">
        <x:f>X49/1.23</x:f>
        <x:v>707.3170731707318</x:v>
      </x:c>
      <x:c r="Z49" s="50" t="n">
        <x:v>1210</x:v>
      </x:c>
      <x:c r="AA49" s="49" t="n">
        <x:f>Z49/1.23</x:f>
        <x:v>983.739837398374</x:v>
      </x:c>
      <x:c r="AB49" s="50" t="n">
        <x:v>1500</x:v>
      </x:c>
      <x:c r="AC49" s="51" t="n">
        <x:f>AB49/1.23</x:f>
        <x:v>1219.5121951219512</x:v>
      </x:c>
      <x:c r="AD49" s="157" t="n">
        <x:v>520</x:v>
      </x:c>
      <x:c r="AE49" s="158" t="n">
        <x:f>AD49/1.23</x:f>
        <x:v>422.7642276422764</x:v>
      </x:c>
      <x:c r="AF49" s="153" t="n"/>
      <x:c r="AG49" s="154" t="n"/>
      <x:c r="AH49" s="153" t="n"/>
      <x:c r="AI49" s="154" t="n"/>
    </x:row>
    <x:row r="50" s="655" customFormat="1" ht="15.75" customHeight="1">
      <x:c r="A50" s="47" t="inlineStr">
        <x:is>
          <x:t xml:space="preserve">500 x 806   cm</x:t>
        </x:is>
      </x:c>
      <x:c r="B50" s="50" t="n">
        <x:v>38530</x:v>
      </x:c>
      <x:c r="C50" s="49" t="n">
        <x:f>B50/1.23</x:f>
        <x:v>31325.20325203252</x:v>
      </x:c>
      <x:c r="D50" s="50" t="n">
        <x:v>830</x:v>
      </x:c>
      <x:c r="E50" s="49" t="n">
        <x:f>D50/1.23</x:f>
        <x:v>674.7967479674796</x:v>
      </x:c>
      <x:c r="F50" s="50" t="n">
        <x:v>1860</x:v>
      </x:c>
      <x:c r="G50" s="49" t="n">
        <x:f>F50/1.23</x:f>
        <x:v>1512.1951219512196</x:v>
      </x:c>
      <x:c r="H50" s="50" t="n">
        <x:v>2160</x:v>
      </x:c>
      <x:c r="I50" s="49" t="n">
        <x:f>H50/1.23</x:f>
        <x:v>1756.09756097561</x:v>
      </x:c>
      <x:c r="J50" s="50" t="n">
        <x:v>2060</x:v>
      </x:c>
      <x:c r="K50" s="49" t="n">
        <x:f>J50/1.23</x:f>
        <x:v>1674.7967479674796</x:v>
      </x:c>
      <x:c r="L50" s="50" t="n">
        <x:v>690</x:v>
      </x:c>
      <x:c r="M50" s="49" t="n">
        <x:f>L50/1.23</x:f>
        <x:v>560.9756097560976</x:v>
      </x:c>
      <x:c r="N50" s="50" t="n">
        <x:v>620</x:v>
      </x:c>
      <x:c r="O50" s="49" t="n">
        <x:f>N50/1.23</x:f>
        <x:v>504.0650406504065</x:v>
      </x:c>
      <x:c r="P50" s="50" t="n">
        <x:v>9340</x:v>
      </x:c>
      <x:c r="Q50" s="49" t="n">
        <x:v>7593.49593495935</x:v>
      </x:c>
      <x:c r="R50" s="50" t="n">
        <x:v>3700</x:v>
      </x:c>
      <x:c r="S50" s="49" t="n">
        <x:f>R50/1.23</x:f>
        <x:v>3008.130081300813</x:v>
      </x:c>
      <x:c r="T50" s="50" t="n">
        <x:v>3700</x:v>
      </x:c>
      <x:c r="U50" s="49" t="n">
        <x:f>T50/1.23</x:f>
        <x:v>3008.130081300813</x:v>
      </x:c>
      <x:c r="V50" s="50" t="n">
        <x:v>5280</x:v>
      </x:c>
      <x:c r="W50" s="49" t="n">
        <x:f>V50/1.23</x:f>
        <x:v>4292.682926829269</x:v>
      </x:c>
      <x:c r="X50" s="50" t="n">
        <x:v>960</x:v>
      </x:c>
      <x:c r="Y50" s="51" t="n">
        <x:f>X50/1.23</x:f>
        <x:v>780.4878048780488</x:v>
      </x:c>
      <x:c r="Z50" s="48" t="n">
        <x:v>1440</x:v>
      </x:c>
      <x:c r="AA50" s="49" t="n">
        <x:f>Z50/1.23</x:f>
        <x:v>1170.7317073170732</x:v>
      </x:c>
      <x:c r="AB50" s="50" t="n">
        <x:v>1610</x:v>
      </x:c>
      <x:c r="AC50" s="51" t="n">
        <x:f>AB50/1.23</x:f>
        <x:v>1308.9430894308944</x:v>
      </x:c>
      <x:c r="AD50" s="157" t="n">
        <x:v>560</x:v>
      </x:c>
      <x:c r="AE50" s="158" t="n">
        <x:f>AD50/1.23</x:f>
        <x:v>455.2845528455285</x:v>
      </x:c>
      <x:c r="AF50" s="153" t="n"/>
      <x:c r="AG50" s="154" t="n"/>
      <x:c r="AH50" s="153" t="n"/>
      <x:c r="AI50" s="154" t="n"/>
    </x:row>
    <x:row r="51" s="655" customFormat="1" ht="15.75" customHeight="1">
      <x:c r="A51" s="47" t="inlineStr">
        <x:is>
          <x:t xml:space="preserve">500 x 906   cm</x:t>
        </x:is>
      </x:c>
      <x:c r="B51" s="50" t="n">
        <x:v>42120</x:v>
      </x:c>
      <x:c r="C51" s="49" t="n">
        <x:f>B51/1.23</x:f>
        <x:v>34243.902439024394</x:v>
      </x:c>
      <x:c r="D51" s="50" t="n">
        <x:v>940</x:v>
      </x:c>
      <x:c r="E51" s="49" t="n">
        <x:f>D51/1.23</x:f>
        <x:v>764.2276422764228</x:v>
      </x:c>
      <x:c r="F51" s="50" t="n">
        <x:v>2100</x:v>
      </x:c>
      <x:c r="G51" s="49" t="n">
        <x:f>F51/1.23</x:f>
        <x:v>1707.3170731707316</x:v>
      </x:c>
      <x:c r="H51" s="50" t="n">
        <x:v>2280</x:v>
      </x:c>
      <x:c r="I51" s="49" t="n">
        <x:f>H51/1.23</x:f>
        <x:v>1853.658536585366</x:v>
      </x:c>
      <x:c r="J51" s="50" t="n">
        <x:v>2180</x:v>
      </x:c>
      <x:c r="K51" s="49" t="n">
        <x:f>J51/1.23</x:f>
        <x:v>1772.357723577236</x:v>
      </x:c>
      <x:c r="L51" s="50" t="n">
        <x:v>720</x:v>
      </x:c>
      <x:c r="M51" s="49" t="n">
        <x:f>L51/1.23</x:f>
        <x:v>585.3658536585366</x:v>
      </x:c>
      <x:c r="N51" s="50" t="n">
        <x:v>650</x:v>
      </x:c>
      <x:c r="O51" s="49" t="n">
        <x:f>N51/1.23</x:f>
        <x:v>528.4552845528456</x:v>
      </x:c>
      <x:c r="P51" s="52" t="n">
        <x:v>10090</x:v>
      </x:c>
      <x:c r="Q51" s="49" t="n">
        <x:v>8203.252032520326</x:v>
      </x:c>
      <x:c r="R51" s="50" t="n">
        <x:v>3700</x:v>
      </x:c>
      <x:c r="S51" s="49" t="n">
        <x:f>R51/1.23</x:f>
        <x:v>3008.130081300813</x:v>
      </x:c>
      <x:c r="T51" s="50" t="n">
        <x:v>3700</x:v>
      </x:c>
      <x:c r="U51" s="49" t="n">
        <x:f>T51/1.23</x:f>
        <x:v>3008.130081300813</x:v>
      </x:c>
      <x:c r="V51" s="50" t="n">
        <x:v>6400</x:v>
      </x:c>
      <x:c r="W51" s="49" t="n">
        <x:f>V51/1.23</x:f>
        <x:v>5203.252032520325</x:v>
      </x:c>
      <x:c r="X51" s="50" t="n">
        <x:v>1040</x:v>
      </x:c>
      <x:c r="Y51" s="51" t="n">
        <x:f>X51/1.23</x:f>
        <x:v>845.5284552845528</x:v>
      </x:c>
      <x:c r="Z51" s="48" t="n">
        <x:v>1560</x:v>
      </x:c>
      <x:c r="AA51" s="49" t="n">
        <x:f>Z51/1.23</x:f>
        <x:v>1268.2926829268292</x:v>
      </x:c>
      <x:c r="AB51" s="50" t="n">
        <x:v>1750</x:v>
      </x:c>
      <x:c r="AC51" s="51" t="n">
        <x:f>AB51/1.23</x:f>
        <x:v>1422.7642276422764</x:v>
      </x:c>
      <x:c r="AD51" s="157" t="n">
        <x:v>560</x:v>
      </x:c>
      <x:c r="AE51" s="158" t="n">
        <x:f>AD51/1.23</x:f>
        <x:v>455.2845528455285</x:v>
      </x:c>
      <x:c r="AF51" s="153" t="n"/>
      <x:c r="AG51" s="154" t="n"/>
      <x:c r="AH51" s="153" t="n"/>
      <x:c r="AI51" s="154" t="n"/>
    </x:row>
    <x:row r="52" s="655" customFormat="1" ht="15.75" customHeight="1">
      <x:c r="A52" s="47" t="inlineStr">
        <x:is>
          <x:t xml:space="preserve">500 x 1006 cm</x:t>
        </x:is>
      </x:c>
      <x:c r="B52" s="50" t="n">
        <x:v>45250</x:v>
      </x:c>
      <x:c r="C52" s="49" t="n">
        <x:f>B52/1.23</x:f>
        <x:v>36788.617886178865</x:v>
      </x:c>
      <x:c r="D52" s="50" t="n">
        <x:v>1040</x:v>
      </x:c>
      <x:c r="E52" s="49" t="n">
        <x:f>D52/1.23</x:f>
        <x:v>845.5284552845528</x:v>
      </x:c>
      <x:c r="F52" s="50" t="n">
        <x:v>2330</x:v>
      </x:c>
      <x:c r="G52" s="49" t="n">
        <x:f>F52/1.23</x:f>
        <x:v>1894.3089430894308</x:v>
      </x:c>
      <x:c r="H52" s="50" t="n">
        <x:v>2400</x:v>
      </x:c>
      <x:c r="I52" s="49" t="n">
        <x:f>H52/1.23</x:f>
        <x:v>1951.219512195122</x:v>
      </x:c>
      <x:c r="J52" s="50" t="n">
        <x:v>2300</x:v>
      </x:c>
      <x:c r="K52" s="49" t="n">
        <x:f>J52/1.23</x:f>
        <x:v>1869.918699186992</x:v>
      </x:c>
      <x:c r="L52" s="50" t="n">
        <x:v>760</x:v>
      </x:c>
      <x:c r="M52" s="49" t="n">
        <x:f>L52/1.23</x:f>
        <x:v>617.8861788617886</x:v>
      </x:c>
      <x:c r="N52" s="50" t="n">
        <x:v>690</x:v>
      </x:c>
      <x:c r="O52" s="49" t="n">
        <x:f>N52/1.23</x:f>
        <x:v>560.9756097560976</x:v>
      </x:c>
      <x:c r="P52" s="50" t="n">
        <x:v>10830</x:v>
      </x:c>
      <x:c r="Q52" s="49" t="n">
        <x:v>8804.878048780489</x:v>
      </x:c>
      <x:c r="R52" s="50" t="n">
        <x:v>3700</x:v>
      </x:c>
      <x:c r="S52" s="49" t="n">
        <x:f>R52/1.23</x:f>
        <x:v>3008.130081300813</x:v>
      </x:c>
      <x:c r="T52" s="50" t="n">
        <x:v>3700</x:v>
      </x:c>
      <x:c r="U52" s="49" t="n">
        <x:f>T52/1.23</x:f>
        <x:v>3008.130081300813</x:v>
      </x:c>
      <x:c r="V52" s="50" t="n">
        <x:v>6910</x:v>
      </x:c>
      <x:c r="W52" s="49" t="n">
        <x:f>V52/1.23</x:f>
        <x:v>5617.886178861789</x:v>
      </x:c>
      <x:c r="X52" s="50" t="n">
        <x:v>1230</x:v>
      </x:c>
      <x:c r="Y52" s="51" t="n">
        <x:f>X52/1.23</x:f>
        <x:v>1000</x:v>
      </x:c>
      <x:c r="Z52" s="48" t="n">
        <x:v>1650</x:v>
      </x:c>
      <x:c r="AA52" s="49" t="n">
        <x:f>Z52/1.23</x:f>
        <x:v>1341.4634146341464</x:v>
      </x:c>
      <x:c r="AB52" s="50" t="n">
        <x:v>1880</x:v>
      </x:c>
      <x:c r="AC52" s="51" t="n">
        <x:f>AB52/1.23</x:f>
        <x:v>1528.4552845528456</x:v>
      </x:c>
      <x:c r="AD52" s="157" t="n">
        <x:v>600</x:v>
      </x:c>
      <x:c r="AE52" s="158" t="n">
        <x:f>AD52/1.23</x:f>
        <x:v>487.8048780487805</x:v>
      </x:c>
      <x:c r="AF52" s="153" t="n"/>
      <x:c r="AG52" s="154" t="n"/>
      <x:c r="AH52" s="153" t="n"/>
      <x:c r="AI52" s="154" t="n"/>
    </x:row>
    <x:row r="53" s="655" customFormat="1" ht="15.75" customHeight="1">
      <x:c r="A53" s="47" t="inlineStr">
        <x:is>
          <x:t xml:space="preserve">500 x 1106 cm</x:t>
        </x:is>
      </x:c>
      <x:c r="B53" s="50" t="n">
        <x:v>49320</x:v>
      </x:c>
      <x:c r="C53" s="49" t="n">
        <x:f>B53/1.23</x:f>
        <x:v>40097.560975609755</x:v>
      </x:c>
      <x:c r="D53" s="50" t="n">
        <x:v>1140</x:v>
      </x:c>
      <x:c r="E53" s="49" t="n">
        <x:f>D53/1.23</x:f>
        <x:v>926.829268292683</x:v>
      </x:c>
      <x:c r="F53" s="50" t="n">
        <x:v>2560</x:v>
      </x:c>
      <x:c r="G53" s="49" t="n">
        <x:f>F53/1.23</x:f>
        <x:v>2081.3008130081303</x:v>
      </x:c>
      <x:c r="H53" s="50" t="n">
        <x:v>2520</x:v>
      </x:c>
      <x:c r="I53" s="49" t="n">
        <x:f>H53/1.23</x:f>
        <x:v>2048.7804878048782</x:v>
      </x:c>
      <x:c r="J53" s="50" t="n">
        <x:v>2420</x:v>
      </x:c>
      <x:c r="K53" s="49" t="n">
        <x:f>J53/1.23</x:f>
        <x:v>1967.479674796748</x:v>
      </x:c>
      <x:c r="L53" s="50" t="n">
        <x:v>800</x:v>
      </x:c>
      <x:c r="M53" s="49" t="n">
        <x:f>L53/1.23</x:f>
        <x:v>650.4065040650406</x:v>
      </x:c>
      <x:c r="N53" s="50" t="n">
        <x:v>720</x:v>
      </x:c>
      <x:c r="O53" s="49" t="n">
        <x:f>N53/1.23</x:f>
        <x:v>585.3658536585366</x:v>
      </x:c>
      <x:c r="P53" s="50" t="n">
        <x:v>13420</x:v>
      </x:c>
      <x:c r="Q53" s="49" t="n">
        <x:v>10910.56910569106</x:v>
      </x:c>
      <x:c r="R53" s="50" t="n">
        <x:v>3700</x:v>
      </x:c>
      <x:c r="S53" s="49" t="n">
        <x:f>R53/1.23</x:f>
        <x:v>3008.130081300813</x:v>
      </x:c>
      <x:c r="T53" s="50" t="n">
        <x:v>3700</x:v>
      </x:c>
      <x:c r="U53" s="49" t="n">
        <x:f>T53/1.23</x:f>
        <x:v>3008.130081300813</x:v>
      </x:c>
      <x:c r="V53" s="50" t="n">
        <x:v>7420</x:v>
      </x:c>
      <x:c r="W53" s="51" t="n">
        <x:f>V53/1.23</x:f>
        <x:v>6032.5203252032525</x:v>
      </x:c>
      <x:c r="X53" s="48" t="n">
        <x:v>1430</x:v>
      </x:c>
      <x:c r="Y53" s="51" t="n">
        <x:f>X53/1.23</x:f>
        <x:v>1162.60162601626</x:v>
      </x:c>
      <x:c r="Z53" s="48" t="n">
        <x:v>1770</x:v>
      </x:c>
      <x:c r="AA53" s="49" t="n">
        <x:f>Z53/1.23</x:f>
        <x:v>1439.0243902439024</x:v>
      </x:c>
      <x:c r="AB53" s="50" t="n">
        <x:v>2170</x:v>
      </x:c>
      <x:c r="AC53" s="51" t="n">
        <x:f>AB53/1.23</x:f>
        <x:v>1764.2276422764228</x:v>
      </x:c>
      <x:c r="AD53" s="157" t="n">
        <x:v>640</x:v>
      </x:c>
      <x:c r="AE53" s="158" t="n">
        <x:f>AD53/1.23</x:f>
        <x:v>520.3252032520326</x:v>
      </x:c>
      <x:c r="AF53" s="153" t="n"/>
      <x:c r="AG53" s="154" t="n"/>
      <x:c r="AH53" s="153" t="n"/>
      <x:c r="AI53" s="154" t="n"/>
    </x:row>
    <x:row r="54" s="655" customFormat="1" ht="15.75" customHeight="1">
      <x:c r="A54" s="47" t="inlineStr">
        <x:is>
          <x:t xml:space="preserve">500 x 1206 cm</x:t>
        </x:is>
      </x:c>
      <x:c r="B54" s="50" t="n">
        <x:v>52510</x:v>
      </x:c>
      <x:c r="C54" s="49" t="n">
        <x:f>B54/1.23</x:f>
        <x:v>42691.0569105691</x:v>
      </x:c>
      <x:c r="D54" s="50" t="n">
        <x:v>1250</x:v>
      </x:c>
      <x:c r="E54" s="49" t="n">
        <x:f>D54/1.23</x:f>
        <x:v>1016.260162601626</x:v>
      </x:c>
      <x:c r="F54" s="50" t="n">
        <x:v>2790</x:v>
      </x:c>
      <x:c r="G54" s="49" t="n">
        <x:f>F54/1.23</x:f>
        <x:v>2268.2926829268295</x:v>
      </x:c>
      <x:c r="H54" s="50" t="n">
        <x:v>2640</x:v>
      </x:c>
      <x:c r="I54" s="49" t="n">
        <x:f>H54/1.23</x:f>
        <x:v>2146.3414634146343</x:v>
      </x:c>
      <x:c r="J54" s="50" t="n">
        <x:v>2540</x:v>
      </x:c>
      <x:c r="K54" s="49" t="n">
        <x:f>J54/1.23</x:f>
        <x:v>2065.040650406504</x:v>
      </x:c>
      <x:c r="L54" s="50" t="n">
        <x:v>840</x:v>
      </x:c>
      <x:c r="M54" s="49" t="n">
        <x:f>L54/1.23</x:f>
        <x:v>682.9268292682927</x:v>
      </x:c>
      <x:c r="N54" s="50" t="n">
        <x:v>760</x:v>
      </x:c>
      <x:c r="O54" s="49" t="n">
        <x:f>N54/1.23</x:f>
        <x:v>617.8861788617886</x:v>
      </x:c>
      <x:c r="P54" s="52" t="n">
        <x:v>14010</x:v>
      </x:c>
      <x:c r="Q54" s="49" t="n">
        <x:v>11390.24390243902</x:v>
      </x:c>
      <x:c r="R54" s="50" t="n">
        <x:v>3700</x:v>
      </x:c>
      <x:c r="S54" s="49" t="n">
        <x:f>R54/1.23</x:f>
        <x:v>3008.130081300813</x:v>
      </x:c>
      <x:c r="T54" s="50" t="n">
        <x:v>3700</x:v>
      </x:c>
      <x:c r="U54" s="49" t="n">
        <x:f>T54/1.23</x:f>
        <x:v>3008.130081300813</x:v>
      </x:c>
      <x:c r="V54" s="50" t="n">
        <x:v>7920</x:v>
      </x:c>
      <x:c r="W54" s="51" t="n">
        <x:f>V54/1.23</x:f>
        <x:v>6439.024390243902</x:v>
      </x:c>
      <x:c r="X54" s="48" t="n">
        <x:v>1510</x:v>
      </x:c>
      <x:c r="Y54" s="51" t="n">
        <x:f>X54/1.23</x:f>
        <x:v>1227.6422764227643</x:v>
      </x:c>
      <x:c r="Z54" s="48" t="n">
        <x:v>1900</x:v>
      </x:c>
      <x:c r="AA54" s="51" t="n">
        <x:f>Z54/1.23</x:f>
        <x:v>1544.7154471544716</x:v>
      </x:c>
      <x:c r="AB54" s="48" t="n">
        <x:v>2460</x:v>
      </x:c>
      <x:c r="AC54" s="51" t="n">
        <x:f>AB54/1.23</x:f>
        <x:v>2000</x:v>
      </x:c>
      <x:c r="AD54" s="157" t="n">
        <x:v>680</x:v>
      </x:c>
      <x:c r="AE54" s="158" t="n">
        <x:f>AD54/1.23</x:f>
        <x:v>552.8455284552846</x:v>
      </x:c>
      <x:c r="AF54" s="153" t="n"/>
      <x:c r="AG54" s="154" t="n"/>
      <x:c r="AH54" s="153" t="n"/>
      <x:c r="AI54" s="154" t="n"/>
    </x:row>
    <x:row r="55" s="655" customFormat="1" ht="15.75" customHeight="1">
      <x:c r="A55" s="53" t="inlineStr">
        <x:is>
          <x:t xml:space="preserve">550 x 306   cm</x:t>
        </x:is>
      </x:c>
      <x:c r="B55" s="56" t="n">
        <x:v>27470</x:v>
      </x:c>
      <x:c r="C55" s="55" t="n">
        <x:f>B55/1.23</x:f>
        <x:v>22333.333333333332</x:v>
      </x:c>
      <x:c r="D55" s="56" t="n">
        <x:v>290</x:v>
      </x:c>
      <x:c r="E55" s="55" t="n">
        <x:f>D55/1.23</x:f>
        <x:v>235.77235772357724</x:v>
      </x:c>
      <x:c r="F55" s="56" t="n">
        <x:v>790</x:v>
      </x:c>
      <x:c r="G55" s="55" t="n">
        <x:f>F55/1.23</x:f>
        <x:v>642.2764227642276</x:v>
      </x:c>
      <x:c r="H55" s="56" t="n">
        <x:v>1800</x:v>
      </x:c>
      <x:c r="I55" s="55" t="n">
        <x:f>H55/1.23</x:f>
        <x:v>1463.4146341463415</x:v>
      </x:c>
      <x:c r="J55" s="56" t="n">
        <x:v>1680</x:v>
      </x:c>
      <x:c r="K55" s="55" t="n">
        <x:f>J55/1.23</x:f>
        <x:v>1365.8536585365855</x:v>
      </x:c>
      <x:c r="L55" s="56" t="n">
        <x:v>500</x:v>
      </x:c>
      <x:c r="M55" s="55" t="n">
        <x:f>L55/1.23</x:f>
        <x:v>406.5040650406504</x:v>
      </x:c>
      <x:c r="N55" s="56" t="n">
        <x:v>450</x:v>
      </x:c>
      <x:c r="O55" s="55" t="n">
        <x:f>N55/1.23</x:f>
        <x:v>365.8536585365854</x:v>
      </x:c>
      <x:c r="P55" s="56" t="n">
        <x:v>4180</x:v>
      </x:c>
      <x:c r="Q55" s="55" t="n">
        <x:v>3398.373983739838</x:v>
      </x:c>
      <x:c r="R55" s="56" t="n">
        <x:v>3980</x:v>
      </x:c>
      <x:c r="S55" s="55" t="n">
        <x:f>R55/1.23</x:f>
        <x:v>3235.7723577235774</x:v>
      </x:c>
      <x:c r="T55" s="56" t="n">
        <x:v>3980</x:v>
      </x:c>
      <x:c r="U55" s="55" t="n">
        <x:f>T55/1.23</x:f>
        <x:v>3235.7723577235774</x:v>
      </x:c>
      <x:c r="V55" s="56" t="n">
        <x:v>2140</x:v>
      </x:c>
      <x:c r="W55" s="57" t="n">
        <x:f>V55/1.23</x:f>
        <x:v>1739.8373983739837</x:v>
      </x:c>
      <x:c r="X55" s="54" t="n">
        <x:v>420</x:v>
      </x:c>
      <x:c r="Y55" s="57" t="n">
        <x:f>X55/1.23</x:f>
        <x:v>341.4634146341464</x:v>
      </x:c>
      <x:c r="Z55" s="54" t="n">
        <x:v>640</x:v>
      </x:c>
      <x:c r="AA55" s="57" t="n">
        <x:f>Z55/1.23</x:f>
        <x:v>520.3252032520326</x:v>
      </x:c>
      <x:c r="AB55" s="54" t="n">
        <x:v>1160</x:v>
      </x:c>
      <x:c r="AC55" s="57" t="n">
        <x:f>AB55/1.23</x:f>
        <x:v>943.089430894309</x:v>
      </x:c>
      <x:c r="AD55" s="159" t="n">
        <x:v>480</x:v>
      </x:c>
      <x:c r="AE55" s="160" t="n">
        <x:f>AD55/1.23</x:f>
        <x:v>390.2439024390244</x:v>
      </x:c>
      <x:c r="AF55" s="153" t="n"/>
      <x:c r="AG55" s="154" t="n"/>
      <x:c r="AH55" s="153" t="n"/>
      <x:c r="AI55" s="154" t="n"/>
    </x:row>
    <x:row r="56" s="655" customFormat="1" ht="15.75" customHeight="1">
      <x:c r="A56" s="53" t="inlineStr">
        <x:is>
          <x:t xml:space="preserve">550 x 406   cm</x:t>
        </x:is>
      </x:c>
      <x:c r="B56" s="56" t="n">
        <x:v>31380</x:v>
      </x:c>
      <x:c r="C56" s="55" t="n">
        <x:f>B56/1.23</x:f>
        <x:v>25512.19512195122</x:v>
      </x:c>
      <x:c r="D56" s="56" t="n">
        <x:v>380</x:v>
      </x:c>
      <x:c r="E56" s="55" t="n">
        <x:f>D56/1.23</x:f>
        <x:v>308.9430894308943</x:v>
      </x:c>
      <x:c r="F56" s="56" t="n">
        <x:v>1050</x:v>
      </x:c>
      <x:c r="G56" s="55" t="n">
        <x:f>F56/1.23</x:f>
        <x:v>853.6585365853658</x:v>
      </x:c>
      <x:c r="H56" s="56" t="n">
        <x:v>1920</x:v>
      </x:c>
      <x:c r="I56" s="55" t="n">
        <x:f>H56/1.23</x:f>
        <x:v>1560.9756097560976</x:v>
      </x:c>
      <x:c r="J56" s="56" t="n">
        <x:v>1800</x:v>
      </x:c>
      <x:c r="K56" s="55" t="n">
        <x:f>J56/1.23</x:f>
        <x:v>1463.4146341463415</x:v>
      </x:c>
      <x:c r="L56" s="56" t="n">
        <x:v>530</x:v>
      </x:c>
      <x:c r="M56" s="55" t="n">
        <x:f>L56/1.23</x:f>
        <x:v>430.8943089430894</x:v>
      </x:c>
      <x:c r="N56" s="56" t="n">
        <x:v>480</x:v>
      </x:c>
      <x:c r="O56" s="55" t="n">
        <x:f>N56/1.23</x:f>
        <x:v>390.2439024390244</x:v>
      </x:c>
      <x:c r="P56" s="56" t="n">
        <x:v>4780</x:v>
      </x:c>
      <x:c r="Q56" s="55" t="n">
        <x:v>3886.178861788618</x:v>
      </x:c>
      <x:c r="R56" s="56" t="n">
        <x:v>3980</x:v>
      </x:c>
      <x:c r="S56" s="55" t="n">
        <x:f>R56/1.23</x:f>
        <x:v>3235.7723577235774</x:v>
      </x:c>
      <x:c r="T56" s="56" t="n">
        <x:v>3980</x:v>
      </x:c>
      <x:c r="U56" s="55" t="n">
        <x:f>T56/1.23</x:f>
        <x:v>3235.7723577235774</x:v>
      </x:c>
      <x:c r="V56" s="56" t="n">
        <x:v>2640</x:v>
      </x:c>
      <x:c r="W56" s="57" t="n">
        <x:f>V56/1.23</x:f>
        <x:v>2146.3414634146343</x:v>
      </x:c>
      <x:c r="X56" s="54" t="n">
        <x:v>510</x:v>
      </x:c>
      <x:c r="Y56" s="57" t="n">
        <x:f>X56/1.23</x:f>
        <x:v>414.6341463414634</x:v>
      </x:c>
      <x:c r="Z56" s="54" t="n">
        <x:v>740</x:v>
      </x:c>
      <x:c r="AA56" s="57" t="n">
        <x:f>Z56/1.23</x:f>
        <x:v>601.6260162601626</x:v>
      </x:c>
      <x:c r="AB56" s="54" t="n">
        <x:v>1280</x:v>
      </x:c>
      <x:c r="AC56" s="57" t="n">
        <x:f>AB56/1.23</x:f>
        <x:v>1040.6504065040651</x:v>
      </x:c>
      <x:c r="AD56" s="159" t="n">
        <x:v>520</x:v>
      </x:c>
      <x:c r="AE56" s="160" t="n">
        <x:f>AD56/1.23</x:f>
        <x:v>422.7642276422764</x:v>
      </x:c>
      <x:c r="AF56" s="153" t="n"/>
      <x:c r="AG56" s="154" t="n"/>
      <x:c r="AH56" s="153" t="n"/>
      <x:c r="AI56" s="154" t="n"/>
    </x:row>
    <x:row r="57" s="655" customFormat="1" ht="15.75" customHeight="1">
      <x:c r="A57" s="53" t="inlineStr">
        <x:is>
          <x:t xml:space="preserve">550 x 506   cm</x:t>
        </x:is>
      </x:c>
      <x:c r="B57" s="56" t="n">
        <x:v>35920</x:v>
      </x:c>
      <x:c r="C57" s="55" t="n">
        <x:f>B57/1.23</x:f>
        <x:v>29203.252032520326</x:v>
      </x:c>
      <x:c r="D57" s="56" t="n">
        <x:v>480</x:v>
      </x:c>
      <x:c r="E57" s="55" t="n">
        <x:f>D57/1.23</x:f>
        <x:v>390.2439024390244</x:v>
      </x:c>
      <x:c r="F57" s="56" t="n">
        <x:v>1310</x:v>
      </x:c>
      <x:c r="G57" s="55" t="n">
        <x:f>F57/1.23</x:f>
        <x:v>1065.040650406504</x:v>
      </x:c>
      <x:c r="H57" s="56" t="n">
        <x:v>2040</x:v>
      </x:c>
      <x:c r="I57" s="55" t="n">
        <x:f>H57/1.23</x:f>
        <x:v>1658.5365853658536</x:v>
      </x:c>
      <x:c r="J57" s="56" t="n">
        <x:v>1920</x:v>
      </x:c>
      <x:c r="K57" s="55" t="n">
        <x:f>J57/1.23</x:f>
        <x:v>1560.9756097560976</x:v>
      </x:c>
      <x:c r="L57" s="56" t="n">
        <x:v>570</x:v>
      </x:c>
      <x:c r="M57" s="55" t="n">
        <x:f>L57/1.23</x:f>
        <x:v>463.4146341463415</x:v>
      </x:c>
      <x:c r="N57" s="56" t="n">
        <x:v>520</x:v>
      </x:c>
      <x:c r="O57" s="55" t="n">
        <x:f>N57/1.23</x:f>
        <x:v>422.7642276422764</x:v>
      </x:c>
      <x:c r="P57" s="56" t="n">
        <x:v>5560</x:v>
      </x:c>
      <x:c r="Q57" s="55" t="n">
        <x:v>4520.325203252032</x:v>
      </x:c>
      <x:c r="R57" s="56" t="n">
        <x:v>3980</x:v>
      </x:c>
      <x:c r="S57" s="55" t="n">
        <x:f>R57/1.23</x:f>
        <x:v>3235.7723577235774</x:v>
      </x:c>
      <x:c r="T57" s="56" t="n">
        <x:v>3980</x:v>
      </x:c>
      <x:c r="U57" s="55" t="n">
        <x:f>T57/1.23</x:f>
        <x:v>3235.7723577235774</x:v>
      </x:c>
      <x:c r="V57" s="56" t="n">
        <x:v>3700</x:v>
      </x:c>
      <x:c r="W57" s="57" t="n">
        <x:f>V57/1.23</x:f>
        <x:v>3008.130081300813</x:v>
      </x:c>
      <x:c r="X57" s="54" t="n">
        <x:v>600</x:v>
      </x:c>
      <x:c r="Y57" s="57" t="n">
        <x:f>X57/1.23</x:f>
        <x:v>487.8048780487805</x:v>
      </x:c>
      <x:c r="Z57" s="54" t="n">
        <x:v>960</x:v>
      </x:c>
      <x:c r="AA57" s="57" t="n">
        <x:f>Z57/1.23</x:f>
        <x:v>780.4878048780488</x:v>
      </x:c>
      <x:c r="AB57" s="54" t="n">
        <x:v>1410</x:v>
      </x:c>
      <x:c r="AC57" s="57" t="n">
        <x:f>AB57/1.23</x:f>
        <x:v>1146.341463414634</x:v>
      </x:c>
      <x:c r="AD57" s="159" t="n">
        <x:v>520</x:v>
      </x:c>
      <x:c r="AE57" s="160" t="n">
        <x:f>AD57/1.23</x:f>
        <x:v>422.7642276422764</x:v>
      </x:c>
      <x:c r="AF57" s="153" t="n"/>
      <x:c r="AG57" s="154" t="n"/>
      <x:c r="AH57" s="153" t="n"/>
      <x:c r="AI57" s="154" t="n"/>
    </x:row>
    <x:row r="58" s="655" customFormat="1" ht="15.75" customHeight="1">
      <x:c r="A58" s="53" t="inlineStr">
        <x:is>
          <x:t xml:space="preserve">550 x 606   cm</x:t>
        </x:is>
      </x:c>
      <x:c r="B58" s="56" t="n">
        <x:v>39250</x:v>
      </x:c>
      <x:c r="C58" s="55" t="n">
        <x:f>B58/1.23</x:f>
        <x:v>31910.56910569106</x:v>
      </x:c>
      <x:c r="D58" s="56" t="n">
        <x:v>580</x:v>
      </x:c>
      <x:c r="E58" s="55" t="n">
        <x:f>D58/1.23</x:f>
        <x:v>471.5447154471545</x:v>
      </x:c>
      <x:c r="F58" s="56" t="n">
        <x:v>1580</x:v>
      </x:c>
      <x:c r="G58" s="55" t="n">
        <x:f>F58/1.23</x:f>
        <x:v>1284.5528455284552</x:v>
      </x:c>
      <x:c r="H58" s="56" t="n">
        <x:v>2160</x:v>
      </x:c>
      <x:c r="I58" s="55" t="n">
        <x:f>H58/1.23</x:f>
        <x:v>1756.09756097561</x:v>
      </x:c>
      <x:c r="J58" s="56" t="n">
        <x:v>2040</x:v>
      </x:c>
      <x:c r="K58" s="55" t="n">
        <x:f>J58/1.23</x:f>
        <x:v>1658.5365853658536</x:v>
      </x:c>
      <x:c r="L58" s="56" t="n">
        <x:v>610</x:v>
      </x:c>
      <x:c r="M58" s="55" t="n">
        <x:f>L58/1.23</x:f>
        <x:v>495.9349593495935</x:v>
      </x:c>
      <x:c r="N58" s="56" t="n">
        <x:v>550</x:v>
      </x:c>
      <x:c r="O58" s="55" t="n">
        <x:f>N58/1.23</x:f>
        <x:v>447.1544715447155</x:v>
      </x:c>
      <x:c r="P58" s="56" t="n">
        <x:v>8360</x:v>
      </x:c>
      <x:c r="Q58" s="55" t="n">
        <x:v>6796.747967479675</x:v>
      </x:c>
      <x:c r="R58" s="56" t="n">
        <x:v>3980</x:v>
      </x:c>
      <x:c r="S58" s="55" t="n">
        <x:f>R58/1.23</x:f>
        <x:v>3235.7723577235774</x:v>
      </x:c>
      <x:c r="T58" s="56" t="n">
        <x:v>3980</x:v>
      </x:c>
      <x:c r="U58" s="55" t="n">
        <x:f>T58/1.23</x:f>
        <x:v>3235.7723577235774</x:v>
      </x:c>
      <x:c r="V58" s="56" t="n">
        <x:v>4270</x:v>
      </x:c>
      <x:c r="W58" s="57" t="n">
        <x:f>V58/1.23</x:f>
        <x:v>3471.5447154471544</x:v>
      </x:c>
      <x:c r="X58" s="54" t="n">
        <x:v>790</x:v>
      </x:c>
      <x:c r="Y58" s="57" t="n">
        <x:f>X58/1.23</x:f>
        <x:v>642.2764227642276</x:v>
      </x:c>
      <x:c r="Z58" s="54" t="n">
        <x:v>1090</x:v>
      </x:c>
      <x:c r="AA58" s="57" t="n">
        <x:f>Z58/1.23</x:f>
        <x:v>886.178861788618</x:v>
      </x:c>
      <x:c r="AB58" s="54" t="n">
        <x:v>1700</x:v>
      </x:c>
      <x:c r="AC58" s="57" t="n">
        <x:f>AB58/1.23</x:f>
        <x:v>1382.1138211382115</x:v>
      </x:c>
      <x:c r="AD58" s="159" t="n">
        <x:v>560</x:v>
      </x:c>
      <x:c r="AE58" s="160" t="n">
        <x:f>AD58/1.23</x:f>
        <x:v>455.2845528455285</x:v>
      </x:c>
      <x:c r="AF58" s="153" t="n"/>
      <x:c r="AG58" s="154" t="n"/>
      <x:c r="AH58" s="153" t="n"/>
      <x:c r="AI58" s="154" t="n"/>
    </x:row>
    <x:row r="59" s="655" customFormat="1" ht="15.75" customHeight="1">
      <x:c r="A59" s="53" t="inlineStr">
        <x:is>
          <x:t xml:space="preserve">550 x 706   cm</x:t>
        </x:is>
      </x:c>
      <x:c r="B59" s="56" t="n">
        <x:v>43280</x:v>
      </x:c>
      <x:c r="C59" s="55" t="n">
        <x:f>B59/1.23</x:f>
        <x:v>35186.9918699187</x:v>
      </x:c>
      <x:c r="D59" s="56" t="n">
        <x:v>670</x:v>
      </x:c>
      <x:c r="E59" s="55" t="n">
        <x:f>D59/1.23</x:f>
        <x:v>544.7154471544716</x:v>
      </x:c>
      <x:c r="F59" s="56" t="n">
        <x:v>2160</x:v>
      </x:c>
      <x:c r="G59" s="55" t="n">
        <x:f>F59/1.23</x:f>
        <x:v>1756.09756097561</x:v>
      </x:c>
      <x:c r="H59" s="56" t="n">
        <x:v>2280</x:v>
      </x:c>
      <x:c r="I59" s="55" t="n">
        <x:f>H59/1.23</x:f>
        <x:v>1853.658536585366</x:v>
      </x:c>
      <x:c r="J59" s="56" t="n">
        <x:v>2280</x:v>
      </x:c>
      <x:c r="K59" s="55" t="n">
        <x:f>J59/1.23</x:f>
        <x:v>1853.658536585366</x:v>
      </x:c>
      <x:c r="L59" s="56" t="n">
        <x:v>650</x:v>
      </x:c>
      <x:c r="M59" s="55" t="n">
        <x:f>L59/1.23</x:f>
        <x:v>528.4552845528456</x:v>
      </x:c>
      <x:c r="N59" s="56" t="n">
        <x:v>590</x:v>
      </x:c>
      <x:c r="O59" s="55" t="n">
        <x:f>N59/1.23</x:f>
        <x:v>479.6747967479675</x:v>
      </x:c>
      <x:c r="P59" s="56" t="n">
        <x:v>8960</x:v>
      </x:c>
      <x:c r="Q59" s="55" t="n">
        <x:v>7284.552845528456</x:v>
      </x:c>
      <x:c r="R59" s="56" t="n">
        <x:v>3980</x:v>
      </x:c>
      <x:c r="S59" s="55" t="n">
        <x:f>R59/1.23</x:f>
        <x:v>3235.7723577235774</x:v>
      </x:c>
      <x:c r="T59" s="56" t="n">
        <x:v>3980</x:v>
      </x:c>
      <x:c r="U59" s="55" t="n">
        <x:f>T59/1.23</x:f>
        <x:v>3235.7723577235774</x:v>
      </x:c>
      <x:c r="V59" s="56" t="n">
        <x:v>4780</x:v>
      </x:c>
      <x:c r="W59" s="57" t="n">
        <x:f>V59/1.23</x:f>
        <x:v>3886.1788617886177</x:v>
      </x:c>
      <x:c r="X59" s="54" t="n">
        <x:v>870</x:v>
      </x:c>
      <x:c r="Y59" s="57" t="n">
        <x:f>X59/1.23</x:f>
        <x:v>707.3170731707318</x:v>
      </x:c>
      <x:c r="Z59" s="54" t="n">
        <x:v>1210</x:v>
      </x:c>
      <x:c r="AA59" s="57" t="n">
        <x:f>Z59/1.23</x:f>
        <x:v>983.739837398374</x:v>
      </x:c>
      <x:c r="AB59" s="54" t="n">
        <x:v>1500</x:v>
      </x:c>
      <x:c r="AC59" s="57" t="n">
        <x:f>AB59/1.23</x:f>
        <x:v>1219.5121951219512</x:v>
      </x:c>
      <x:c r="AD59" s="159" t="n">
        <x:v>600</x:v>
      </x:c>
      <x:c r="AE59" s="160" t="n">
        <x:f>AD59/1.23</x:f>
        <x:v>487.8048780487805</x:v>
      </x:c>
      <x:c r="AF59" s="153" t="n"/>
      <x:c r="AG59" s="154" t="n"/>
      <x:c r="AH59" s="153" t="n"/>
      <x:c r="AI59" s="154" t="n"/>
    </x:row>
    <x:row r="60" s="655" customFormat="1" ht="15.75" customHeight="1">
      <x:c r="A60" s="53" t="inlineStr">
        <x:is>
          <x:t xml:space="preserve">550 x 806   cm</x:t>
        </x:is>
      </x:c>
      <x:c r="B60" s="56" t="n">
        <x:v>47220</x:v>
      </x:c>
      <x:c r="C60" s="55" t="n">
        <x:f>B60/1.23</x:f>
        <x:v>38390.243902439026</x:v>
      </x:c>
      <x:c r="D60" s="56" t="n">
        <x:v>770</x:v>
      </x:c>
      <x:c r="E60" s="55" t="n">
        <x:f>D60/1.23</x:f>
        <x:v>626.0162601626016</x:v>
      </x:c>
      <x:c r="F60" s="56" t="n">
        <x:v>2100</x:v>
      </x:c>
      <x:c r="G60" s="55" t="n">
        <x:f>F60/1.23</x:f>
        <x:v>1707.3170731707316</x:v>
      </x:c>
      <x:c r="H60" s="56" t="n">
        <x:v>2400</x:v>
      </x:c>
      <x:c r="I60" s="55" t="n">
        <x:f>H60/1.23</x:f>
        <x:v>1951.219512195122</x:v>
      </x:c>
      <x:c r="J60" s="56" t="n">
        <x:v>2280</x:v>
      </x:c>
      <x:c r="K60" s="55" t="n">
        <x:f>J60/1.23</x:f>
        <x:v>1853.658536585366</x:v>
      </x:c>
      <x:c r="L60" s="56" t="n">
        <x:v>690</x:v>
      </x:c>
      <x:c r="M60" s="55" t="n">
        <x:f>L60/1.23</x:f>
        <x:v>560.9756097560976</x:v>
      </x:c>
      <x:c r="N60" s="56" t="n">
        <x:v>620</x:v>
      </x:c>
      <x:c r="O60" s="55" t="n">
        <x:f>N60/1.23</x:f>
        <x:v>504.0650406504065</x:v>
      </x:c>
      <x:c r="P60" s="56" t="n">
        <x:v>9570</x:v>
      </x:c>
      <x:c r="Q60" s="55" t="n">
        <x:v>7780.487804878049</x:v>
      </x:c>
      <x:c r="R60" s="56" t="n">
        <x:v>3980</x:v>
      </x:c>
      <x:c r="S60" s="55" t="n">
        <x:f>R60/1.23</x:f>
        <x:v>3235.7723577235774</x:v>
      </x:c>
      <x:c r="T60" s="56" t="n">
        <x:v>3980</x:v>
      </x:c>
      <x:c r="U60" s="55" t="n">
        <x:f>T60/1.23</x:f>
        <x:v>3235.7723577235774</x:v>
      </x:c>
      <x:c r="V60" s="56" t="n">
        <x:v>5280</x:v>
      </x:c>
      <x:c r="W60" s="57" t="n">
        <x:f>V60/1.23</x:f>
        <x:v>4292.682926829269</x:v>
      </x:c>
      <x:c r="X60" s="54" t="n">
        <x:v>960</x:v>
      </x:c>
      <x:c r="Y60" s="57" t="n">
        <x:f>X60/1.23</x:f>
        <x:v>780.4878048780488</x:v>
      </x:c>
      <x:c r="Z60" s="54" t="n">
        <x:v>1440</x:v>
      </x:c>
      <x:c r="AA60" s="57" t="n">
        <x:f>Z60/1.23</x:f>
        <x:v>1170.7317073170732</x:v>
      </x:c>
      <x:c r="AB60" s="54" t="n">
        <x:v>1610</x:v>
      </x:c>
      <x:c r="AC60" s="57" t="n">
        <x:f>AB60/1.23</x:f>
        <x:v>1308.9430894308944</x:v>
      </x:c>
      <x:c r="AD60" s="159" t="n">
        <x:v>640</x:v>
      </x:c>
      <x:c r="AE60" s="160" t="n">
        <x:f>AD60/1.23</x:f>
        <x:v>520.3252032520326</x:v>
      </x:c>
      <x:c r="AF60" s="153" t="n"/>
      <x:c r="AG60" s="154" t="n"/>
      <x:c r="AH60" s="153" t="n"/>
      <x:c r="AI60" s="154" t="n"/>
    </x:row>
    <x:row r="61" s="655" customFormat="1" ht="15.75" customHeight="1">
      <x:c r="A61" s="53" t="inlineStr">
        <x:is>
          <x:t xml:space="preserve">550 x 906   cm</x:t>
        </x:is>
      </x:c>
      <x:c r="B61" s="56" t="n">
        <x:v>51810</x:v>
      </x:c>
      <x:c r="C61" s="55" t="n">
        <x:f>B61/1.23</x:f>
        <x:v>42121.95121951219</x:v>
      </x:c>
      <x:c r="D61" s="56" t="n">
        <x:v>860</x:v>
      </x:c>
      <x:c r="E61" s="55" t="n">
        <x:f>D61/1.23</x:f>
        <x:v>699.1869918699188</x:v>
      </x:c>
      <x:c r="F61" s="56" t="n">
        <x:v>2360</x:v>
      </x:c>
      <x:c r="G61" s="55" t="n">
        <x:f>F61/1.23</x:f>
        <x:v>1918.69918699187</x:v>
      </x:c>
      <x:c r="H61" s="56" t="n">
        <x:v>2520</x:v>
      </x:c>
      <x:c r="I61" s="55" t="n">
        <x:f>H61/1.23</x:f>
        <x:v>2048.7804878048782</x:v>
      </x:c>
      <x:c r="J61" s="56" t="n">
        <x:v>2400</x:v>
      </x:c>
      <x:c r="K61" s="55" t="n">
        <x:f>J61/1.23</x:f>
        <x:v>1951.219512195122</x:v>
      </x:c>
      <x:c r="L61" s="56" t="n">
        <x:v>720</x:v>
      </x:c>
      <x:c r="M61" s="55" t="n">
        <x:f>L61/1.23</x:f>
        <x:v>585.3658536585366</x:v>
      </x:c>
      <x:c r="N61" s="56" t="n">
        <x:v>650</x:v>
      </x:c>
      <x:c r="O61" s="55" t="n">
        <x:f>N61/1.23</x:f>
        <x:v>528.4552845528456</x:v>
      </x:c>
      <x:c r="P61" s="56" t="n">
        <x:v>10340</x:v>
      </x:c>
      <x:c r="Q61" s="55" t="n">
        <x:v>8406.50406504065</x:v>
      </x:c>
      <x:c r="R61" s="56" t="n">
        <x:v>3980</x:v>
      </x:c>
      <x:c r="S61" s="55" t="n">
        <x:f>R61/1.23</x:f>
        <x:v>3235.7723577235774</x:v>
      </x:c>
      <x:c r="T61" s="56" t="n">
        <x:v>3980</x:v>
      </x:c>
      <x:c r="U61" s="55" t="n">
        <x:f>T61/1.23</x:f>
        <x:v>3235.7723577235774</x:v>
      </x:c>
      <x:c r="V61" s="56" t="n">
        <x:v>6400</x:v>
      </x:c>
      <x:c r="W61" s="57" t="n">
        <x:f>V61/1.23</x:f>
        <x:v>5203.252032520325</x:v>
      </x:c>
      <x:c r="X61" s="54" t="n">
        <x:v>1040</x:v>
      </x:c>
      <x:c r="Y61" s="57" t="n">
        <x:f>X61/1.23</x:f>
        <x:v>845.5284552845528</x:v>
      </x:c>
      <x:c r="Z61" s="54" t="n">
        <x:v>1560</x:v>
      </x:c>
      <x:c r="AA61" s="57" t="n">
        <x:f>Z61/1.23</x:f>
        <x:v>1268.2926829268292</x:v>
      </x:c>
      <x:c r="AB61" s="54" t="n">
        <x:v>1750</x:v>
      </x:c>
      <x:c r="AC61" s="57" t="n">
        <x:f>AB61/1.23</x:f>
        <x:v>1422.7642276422764</x:v>
      </x:c>
      <x:c r="AD61" s="159" t="n">
        <x:v>640</x:v>
      </x:c>
      <x:c r="AE61" s="160" t="n">
        <x:f>AD61/1.23</x:f>
        <x:v>520.3252032520326</x:v>
      </x:c>
      <x:c r="AF61" s="153" t="n"/>
      <x:c r="AG61" s="154" t="n"/>
      <x:c r="AH61" s="153" t="n"/>
      <x:c r="AI61" s="154" t="n"/>
    </x:row>
    <x:row r="62" s="655" customFormat="1" ht="15.75" customHeight="1">
      <x:c r="A62" s="53" t="inlineStr">
        <x:is>
          <x:t xml:space="preserve">550 x 1006 cm</x:t>
        </x:is>
      </x:c>
      <x:c r="B62" s="56" t="n">
        <x:v>55900</x:v>
      </x:c>
      <x:c r="C62" s="55" t="n">
        <x:f>B62/1.23</x:f>
        <x:v>45447.154471544716</x:v>
      </x:c>
      <x:c r="D62" s="56" t="n">
        <x:v>960</x:v>
      </x:c>
      <x:c r="E62" s="55" t="n">
        <x:f>D62/1.23</x:f>
        <x:v>780.4878048780488</x:v>
      </x:c>
      <x:c r="F62" s="56" t="n">
        <x:v>2630</x:v>
      </x:c>
      <x:c r="G62" s="55" t="n">
        <x:f>F62/1.23</x:f>
        <x:v>2138.211382113821</x:v>
      </x:c>
      <x:c r="H62" s="56" t="n">
        <x:v>2640</x:v>
      </x:c>
      <x:c r="I62" s="55" t="n">
        <x:f>H62/1.23</x:f>
        <x:v>2146.3414634146343</x:v>
      </x:c>
      <x:c r="J62" s="56" t="n">
        <x:v>2520</x:v>
      </x:c>
      <x:c r="K62" s="55" t="n">
        <x:f>J62/1.23</x:f>
        <x:v>2048.7804878048782</x:v>
      </x:c>
      <x:c r="L62" s="56" t="n">
        <x:v>760</x:v>
      </x:c>
      <x:c r="M62" s="55" t="n">
        <x:f>L62/1.23</x:f>
        <x:v>617.8861788617886</x:v>
      </x:c>
      <x:c r="N62" s="56" t="n">
        <x:v>690</x:v>
      </x:c>
      <x:c r="O62" s="55" t="n">
        <x:f>N62/1.23</x:f>
        <x:v>560.9756097560976</x:v>
      </x:c>
      <x:c r="P62" s="56" t="n">
        <x:v>11120</x:v>
      </x:c>
      <x:c r="Q62" s="55" t="n">
        <x:v>9040.650406504064</x:v>
      </x:c>
      <x:c r="R62" s="56" t="n">
        <x:v>3980</x:v>
      </x:c>
      <x:c r="S62" s="55" t="n">
        <x:f>R62/1.23</x:f>
        <x:v>3235.7723577235774</x:v>
      </x:c>
      <x:c r="T62" s="56" t="n">
        <x:v>3980</x:v>
      </x:c>
      <x:c r="U62" s="55" t="n">
        <x:f>T62/1.23</x:f>
        <x:v>3235.7723577235774</x:v>
      </x:c>
      <x:c r="V62" s="56" t="n">
        <x:v>6910</x:v>
      </x:c>
      <x:c r="W62" s="57" t="n">
        <x:f>V62/1.23</x:f>
        <x:v>5617.886178861789</x:v>
      </x:c>
      <x:c r="X62" s="54" t="n">
        <x:v>1230</x:v>
      </x:c>
      <x:c r="Y62" s="57" t="n">
        <x:f>X62/1.23</x:f>
        <x:v>1000</x:v>
      </x:c>
      <x:c r="Z62" s="54" t="n">
        <x:v>1650</x:v>
      </x:c>
      <x:c r="AA62" s="57" t="n">
        <x:f>Z62/1.23</x:f>
        <x:v>1341.4634146341464</x:v>
      </x:c>
      <x:c r="AB62" s="54" t="n">
        <x:v>1880</x:v>
      </x:c>
      <x:c r="AC62" s="57" t="n">
        <x:f>AB62/1.23</x:f>
        <x:v>1528.4552845528456</x:v>
      </x:c>
      <x:c r="AD62" s="159" t="n">
        <x:v>680</x:v>
      </x:c>
      <x:c r="AE62" s="160" t="n">
        <x:f>AD62/1.23</x:f>
        <x:v>552.8455284552846</x:v>
      </x:c>
      <x:c r="AF62" s="153" t="n"/>
      <x:c r="AG62" s="154" t="n"/>
      <x:c r="AH62" s="153" t="n"/>
      <x:c r="AI62" s="154" t="n"/>
    </x:row>
    <x:row r="63" s="655" customFormat="1" ht="15.75" customHeight="1">
      <x:c r="A63" s="53" t="inlineStr">
        <x:is>
          <x:t xml:space="preserve">550 x 1106 cm</x:t>
        </x:is>
      </x:c>
      <x:c r="B63" s="56" t="n">
        <x:v>59070</x:v>
      </x:c>
      <x:c r="C63" s="55" t="n">
        <x:f>B63/1.23</x:f>
        <x:v>48024.39024390244</x:v>
      </x:c>
      <x:c r="D63" s="56" t="n">
        <x:v>1060</x:v>
      </x:c>
      <x:c r="E63" s="55" t="n">
        <x:f>D63/1.23</x:f>
        <x:v>861.7886178861788</x:v>
      </x:c>
      <x:c r="F63" s="56" t="n">
        <x:v>2890</x:v>
      </x:c>
      <x:c r="G63" s="55" t="n">
        <x:f>F63/1.23</x:f>
        <x:v>2349.5934959349593</x:v>
      </x:c>
      <x:c r="H63" s="56" t="n">
        <x:v>2760</x:v>
      </x:c>
      <x:c r="I63" s="55" t="n">
        <x:f>H63/1.23</x:f>
        <x:v>2243.9024390243903</x:v>
      </x:c>
      <x:c r="J63" s="56" t="n">
        <x:v>2640</x:v>
      </x:c>
      <x:c r="K63" s="55" t="n">
        <x:f>J63/1.23</x:f>
        <x:v>2146.3414634146343</x:v>
      </x:c>
      <x:c r="L63" s="56" t="n">
        <x:v>800</x:v>
      </x:c>
      <x:c r="M63" s="55" t="n">
        <x:f>L63/1.23</x:f>
        <x:v>650.4065040650406</x:v>
      </x:c>
      <x:c r="N63" s="56" t="n">
        <x:v>720</x:v>
      </x:c>
      <x:c r="O63" s="55" t="n">
        <x:f>N63/1.23</x:f>
        <x:v>585.3658536585366</x:v>
      </x:c>
      <x:c r="P63" s="56" t="n">
        <x:v>13740</x:v>
      </x:c>
      <x:c r="Q63" s="55" t="n">
        <x:v>11170.73170731707</x:v>
      </x:c>
      <x:c r="R63" s="56" t="n">
        <x:v>3980</x:v>
      </x:c>
      <x:c r="S63" s="55" t="n">
        <x:f>R63/1.23</x:f>
        <x:v>3235.7723577235774</x:v>
      </x:c>
      <x:c r="T63" s="56" t="n">
        <x:v>3980</x:v>
      </x:c>
      <x:c r="U63" s="55" t="n">
        <x:f>T63/1.23</x:f>
        <x:v>3235.7723577235774</x:v>
      </x:c>
      <x:c r="V63" s="56" t="n">
        <x:v>7420</x:v>
      </x:c>
      <x:c r="W63" s="57" t="n">
        <x:f>V63/1.23</x:f>
        <x:v>6032.5203252032525</x:v>
      </x:c>
      <x:c r="X63" s="54" t="n">
        <x:v>1430</x:v>
      </x:c>
      <x:c r="Y63" s="57" t="n">
        <x:f>X63/1.23</x:f>
        <x:v>1162.60162601626</x:v>
      </x:c>
      <x:c r="Z63" s="54" t="n">
        <x:v>1770</x:v>
      </x:c>
      <x:c r="AA63" s="57" t="n">
        <x:f>Z63/1.23</x:f>
        <x:v>1439.0243902439024</x:v>
      </x:c>
      <x:c r="AB63" s="54" t="n">
        <x:v>2170</x:v>
      </x:c>
      <x:c r="AC63" s="57" t="n">
        <x:f>AB63/1.23</x:f>
        <x:v>1764.2276422764228</x:v>
      </x:c>
      <x:c r="AD63" s="159" t="n">
        <x:v>720</x:v>
      </x:c>
      <x:c r="AE63" s="160" t="n">
        <x:f>AD63/1.23</x:f>
        <x:v>585.3658536585366</x:v>
      </x:c>
      <x:c r="AF63" s="153" t="n"/>
      <x:c r="AG63" s="154" t="n"/>
      <x:c r="AH63" s="153" t="n"/>
      <x:c r="AI63" s="154" t="n"/>
    </x:row>
    <x:row r="64" s="655" customFormat="1" ht="15.75" customHeight="1">
      <x:c r="A64" s="53" t="inlineStr">
        <x:is>
          <x:t xml:space="preserve">550 x 1206 cm</x:t>
        </x:is>
      </x:c>
      <x:c r="B64" s="56" t="n">
        <x:v>62880</x:v>
      </x:c>
      <x:c r="C64" s="55" t="n">
        <x:f>B64/1.23</x:f>
        <x:v>51121.95121951219</x:v>
      </x:c>
      <x:c r="D64" s="56" t="n">
        <x:v>1150</x:v>
      </x:c>
      <x:c r="E64" s="55" t="n">
        <x:f>D64/1.23</x:f>
        <x:v>934.959349593496</x:v>
      </x:c>
      <x:c r="F64" s="56" t="n">
        <x:v>2880</x:v>
      </x:c>
      <x:c r="G64" s="55" t="n">
        <x:f>F64/1.23</x:f>
        <x:v>2341.4634146341464</x:v>
      </x:c>
      <x:c r="H64" s="56" t="n">
        <x:v>2760</x:v>
      </x:c>
      <x:c r="I64" s="55" t="n">
        <x:f>H64/1.23</x:f>
        <x:v>2243.9024390243903</x:v>
      </x:c>
      <x:c r="J64" s="56" t="n">
        <x:v>2540</x:v>
      </x:c>
      <x:c r="K64" s="55" t="n">
        <x:f>J64/1.23</x:f>
        <x:v>2065.040650406504</x:v>
      </x:c>
      <x:c r="L64" s="56" t="n">
        <x:v>840</x:v>
      </x:c>
      <x:c r="M64" s="55" t="n">
        <x:f>L64/1.23</x:f>
        <x:v>682.9268292682927</x:v>
      </x:c>
      <x:c r="N64" s="56" t="n">
        <x:v>760</x:v>
      </x:c>
      <x:c r="O64" s="55" t="n">
        <x:f>N64/1.23</x:f>
        <x:v>617.8861788617886</x:v>
      </x:c>
      <x:c r="P64" s="56" t="n">
        <x:v>14010</x:v>
      </x:c>
      <x:c r="Q64" s="55" t="n">
        <x:v>11390.24390243902</x:v>
      </x:c>
      <x:c r="R64" s="56" t="n">
        <x:v>3980</x:v>
      </x:c>
      <x:c r="S64" s="55" t="n">
        <x:f>R64/1.23</x:f>
        <x:v>3235.7723577235774</x:v>
      </x:c>
      <x:c r="T64" s="56" t="n">
        <x:v>3980</x:v>
      </x:c>
      <x:c r="U64" s="55" t="n">
        <x:f>T64/1.23</x:f>
        <x:v>3235.7723577235774</x:v>
      </x:c>
      <x:c r="V64" s="56" t="n">
        <x:v>7920</x:v>
      </x:c>
      <x:c r="W64" s="57" t="n">
        <x:f>V64/1.23</x:f>
        <x:v>6439.024390243902</x:v>
      </x:c>
      <x:c r="X64" s="54" t="n">
        <x:v>1510</x:v>
      </x:c>
      <x:c r="Y64" s="57" t="n">
        <x:f>X64/1.23</x:f>
        <x:v>1227.6422764227643</x:v>
      </x:c>
      <x:c r="Z64" s="54" t="n">
        <x:v>1900</x:v>
      </x:c>
      <x:c r="AA64" s="57" t="n">
        <x:f>Z64/1.23</x:f>
        <x:v>1544.7154471544716</x:v>
      </x:c>
      <x:c r="AB64" s="54" t="n">
        <x:v>2460</x:v>
      </x:c>
      <x:c r="AC64" s="57" t="n">
        <x:f>AB64/1.23</x:f>
        <x:v>2000</x:v>
      </x:c>
      <x:c r="AD64" s="159" t="n">
        <x:v>760</x:v>
      </x:c>
      <x:c r="AE64" s="160" t="n">
        <x:f>AD64/1.23</x:f>
        <x:v>617.8861788617886</x:v>
      </x:c>
      <x:c r="AF64" s="153" t="n"/>
      <x:c r="AG64" s="154" t="n"/>
      <x:c r="AH64" s="153" t="n"/>
      <x:c r="AI64" s="154" t="n"/>
    </x:row>
    <x:row r="65" s="655" customFormat="1" ht="15.75" customHeight="1">
      <x:c r="A65" s="161" t="inlineStr">
        <x:is>
          <x:t xml:space="preserve">600 x 306   cm</x:t>
        </x:is>
      </x:c>
      <x:c r="B65" s="61" t="n">
        <x:v>28370</x:v>
      </x:c>
      <x:c r="C65" s="62" t="n">
        <x:f>B65/1.23</x:f>
        <x:v>23065.040650406503</x:v>
      </x:c>
      <x:c r="D65" s="61" t="n">
        <x:v>310</x:v>
      </x:c>
      <x:c r="E65" s="62" t="n">
        <x:f>D65/1.23</x:f>
        <x:v>252.03252032520325</x:v>
      </x:c>
      <x:c r="F65" s="61" t="n">
        <x:v>880</x:v>
      </x:c>
      <x:c r="G65" s="62" t="n">
        <x:f>F65/1.23</x:f>
        <x:v>715.4471544715448</x:v>
      </x:c>
      <x:c r="H65" s="61" t="n">
        <x:v>1800</x:v>
      </x:c>
      <x:c r="I65" s="62" t="n">
        <x:f>H65/1.23</x:f>
        <x:v>1463.4146341463415</x:v>
      </x:c>
      <x:c r="J65" s="61" t="n">
        <x:v>1680</x:v>
      </x:c>
      <x:c r="K65" s="62" t="n">
        <x:f>J65/1.23</x:f>
        <x:v>1365.8536585365855</x:v>
      </x:c>
      <x:c r="L65" s="61" t="n">
        <x:v>500</x:v>
      </x:c>
      <x:c r="M65" s="62" t="n">
        <x:f>L65/1.23</x:f>
        <x:v>406.5040650406504</x:v>
      </x:c>
      <x:c r="N65" s="61" t="n">
        <x:v>450</x:v>
      </x:c>
      <x:c r="O65" s="62" t="n">
        <x:f>N65/1.23</x:f>
        <x:v>365.8536585365854</x:v>
      </x:c>
      <x:c r="P65" s="61" t="n">
        <x:v>4180</x:v>
      </x:c>
      <x:c r="Q65" s="62" t="n">
        <x:v>3398.373983739838</x:v>
      </x:c>
      <x:c r="R65" s="61" t="n">
        <x:v>4270</x:v>
      </x:c>
      <x:c r="S65" s="62" t="n">
        <x:f>R65/1.23</x:f>
        <x:v>3471.5447154471544</x:v>
      </x:c>
      <x:c r="T65" s="61" t="n">
        <x:v>4270</x:v>
      </x:c>
      <x:c r="U65" s="62" t="n">
        <x:f>T65/1.23</x:f>
        <x:v>3471.5447154471544</x:v>
      </x:c>
      <x:c r="V65" s="61" t="n">
        <x:v>2140</x:v>
      </x:c>
      <x:c r="W65" s="162" t="n">
        <x:f>V65/1.23</x:f>
        <x:v>1739.8373983739837</x:v>
      </x:c>
      <x:c r="X65" s="65" t="n">
        <x:v>420</x:v>
      </x:c>
      <x:c r="Y65" s="162" t="n">
        <x:f>X65/1.23</x:f>
        <x:v>341.4634146341464</x:v>
      </x:c>
      <x:c r="Z65" s="65" t="n">
        <x:v>640</x:v>
      </x:c>
      <x:c r="AA65" s="162" t="n">
        <x:f>Z65/1.23</x:f>
        <x:v>520.3252032520326</x:v>
      </x:c>
      <x:c r="AB65" s="65" t="n">
        <x:v>1160</x:v>
      </x:c>
      <x:c r="AC65" s="162" t="n">
        <x:f>AB65/1.23</x:f>
        <x:v>943.089430894309</x:v>
      </x:c>
      <x:c r="AD65" s="71" t="n">
        <x:v>480</x:v>
      </x:c>
      <x:c r="AE65" s="163" t="n">
        <x:f>AD65/1.23</x:f>
        <x:v>390.2439024390244</x:v>
      </x:c>
      <x:c r="AF65" s="153" t="n"/>
      <x:c r="AG65" s="154" t="n"/>
      <x:c r="AH65" s="153" t="n"/>
      <x:c r="AI65" s="154" t="n"/>
    </x:row>
    <x:row r="66" s="655" customFormat="1" ht="15.75" customHeight="1">
      <x:c r="A66" s="161" t="inlineStr">
        <x:is>
          <x:t xml:space="preserve">600 x 406   cm</x:t>
        </x:is>
      </x:c>
      <x:c r="B66" s="61" t="n">
        <x:v>32510</x:v>
      </x:c>
      <x:c r="C66" s="62" t="n">
        <x:f>B66/1.23</x:f>
        <x:v>26430.89430894309</x:v>
      </x:c>
      <x:c r="D66" s="61" t="n">
        <x:v>420</x:v>
      </x:c>
      <x:c r="E66" s="62" t="n">
        <x:f>D66/1.23</x:f>
        <x:v>341.4634146341464</x:v>
      </x:c>
      <x:c r="F66" s="61" t="n">
        <x:v>1170</x:v>
      </x:c>
      <x:c r="G66" s="62" t="n">
        <x:f>F66/1.23</x:f>
        <x:v>951.219512195122</x:v>
      </x:c>
      <x:c r="H66" s="61" t="n">
        <x:v>1920</x:v>
      </x:c>
      <x:c r="I66" s="62" t="n">
        <x:f>H66/1.23</x:f>
        <x:v>1560.9756097560976</x:v>
      </x:c>
      <x:c r="J66" s="61" t="n">
        <x:v>1800</x:v>
      </x:c>
      <x:c r="K66" s="62" t="n">
        <x:f>J66/1.23</x:f>
        <x:v>1463.4146341463415</x:v>
      </x:c>
      <x:c r="L66" s="61" t="n">
        <x:v>530</x:v>
      </x:c>
      <x:c r="M66" s="62" t="n">
        <x:f>L66/1.23</x:f>
        <x:v>430.8943089430894</x:v>
      </x:c>
      <x:c r="N66" s="61" t="n">
        <x:v>480</x:v>
      </x:c>
      <x:c r="O66" s="62" t="n">
        <x:f>N66/1.23</x:f>
        <x:v>390.2439024390244</x:v>
      </x:c>
      <x:c r="P66" s="61" t="n">
        <x:v>4780</x:v>
      </x:c>
      <x:c r="Q66" s="62" t="n">
        <x:v>3886.178861788618</x:v>
      </x:c>
      <x:c r="R66" s="61" t="n">
        <x:v>4270</x:v>
      </x:c>
      <x:c r="S66" s="62" t="n">
        <x:f>R66/1.23</x:f>
        <x:v>3471.5447154471544</x:v>
      </x:c>
      <x:c r="T66" s="61" t="n">
        <x:v>4270</x:v>
      </x:c>
      <x:c r="U66" s="62" t="n">
        <x:f>T66/1.23</x:f>
        <x:v>3471.5447154471544</x:v>
      </x:c>
      <x:c r="V66" s="61" t="n">
        <x:v>2640</x:v>
      </x:c>
      <x:c r="W66" s="162" t="n">
        <x:f>V66/1.23</x:f>
        <x:v>2146.3414634146343</x:v>
      </x:c>
      <x:c r="X66" s="65" t="n">
        <x:v>510</x:v>
      </x:c>
      <x:c r="Y66" s="162" t="n">
        <x:f>X66/1.23</x:f>
        <x:v>414.6341463414634</x:v>
      </x:c>
      <x:c r="Z66" s="65" t="n">
        <x:v>740</x:v>
      </x:c>
      <x:c r="AA66" s="162" t="n">
        <x:f>Z66/1.23</x:f>
        <x:v>601.6260162601626</x:v>
      </x:c>
      <x:c r="AB66" s="65" t="n">
        <x:v>1280</x:v>
      </x:c>
      <x:c r="AC66" s="162" t="n">
        <x:f>AB66/1.23</x:f>
        <x:v>1040.6504065040651</x:v>
      </x:c>
      <x:c r="AD66" s="71" t="n">
        <x:v>520</x:v>
      </x:c>
      <x:c r="AE66" s="163" t="n">
        <x:f>AD66/1.23</x:f>
        <x:v>422.7642276422764</x:v>
      </x:c>
      <x:c r="AF66" s="153" t="n"/>
      <x:c r="AG66" s="154" t="n"/>
      <x:c r="AH66" s="153" t="n"/>
      <x:c r="AI66" s="154" t="n"/>
    </x:row>
    <x:row r="67" s="655" customFormat="1" ht="15.75" customHeight="1">
      <x:c r="A67" s="161" t="inlineStr">
        <x:is>
          <x:t xml:space="preserve">600 x 506   cm</x:t>
        </x:is>
      </x:c>
      <x:c r="B67" s="61" t="n">
        <x:v>37160</x:v>
      </x:c>
      <x:c r="C67" s="62" t="n">
        <x:f>B67/1.23</x:f>
        <x:v>30211.38211382114</x:v>
      </x:c>
      <x:c r="D67" s="61" t="n">
        <x:v>520</x:v>
      </x:c>
      <x:c r="E67" s="62" t="n">
        <x:f>D67/1.23</x:f>
        <x:v>422.7642276422764</x:v>
      </x:c>
      <x:c r="F67" s="61" t="n">
        <x:v>1460</x:v>
      </x:c>
      <x:c r="G67" s="62" t="n">
        <x:f>F67/1.23</x:f>
        <x:v>1186.9918699186992</x:v>
      </x:c>
      <x:c r="H67" s="61" t="n">
        <x:v>2040</x:v>
      </x:c>
      <x:c r="I67" s="62" t="n">
        <x:f>H67/1.23</x:f>
        <x:v>1658.5365853658536</x:v>
      </x:c>
      <x:c r="J67" s="61" t="n">
        <x:v>1920</x:v>
      </x:c>
      <x:c r="K67" s="62" t="n">
        <x:f>J67/1.23</x:f>
        <x:v>1560.9756097560976</x:v>
      </x:c>
      <x:c r="L67" s="61" t="n">
        <x:v>570</x:v>
      </x:c>
      <x:c r="M67" s="62" t="n">
        <x:f>L67/1.23</x:f>
        <x:v>463.4146341463415</x:v>
      </x:c>
      <x:c r="N67" s="61" t="n">
        <x:v>520</x:v>
      </x:c>
      <x:c r="O67" s="62" t="n">
        <x:f>N67/1.23</x:f>
        <x:v>422.7642276422764</x:v>
      </x:c>
      <x:c r="P67" s="61" t="n">
        <x:v>5560</x:v>
      </x:c>
      <x:c r="Q67" s="62" t="n">
        <x:v>4520.325203252032</x:v>
      </x:c>
      <x:c r="R67" s="61" t="n">
        <x:v>4270</x:v>
      </x:c>
      <x:c r="S67" s="62" t="n">
        <x:f>R67/1.23</x:f>
        <x:v>3471.5447154471544</x:v>
      </x:c>
      <x:c r="T67" s="61" t="n">
        <x:v>4270</x:v>
      </x:c>
      <x:c r="U67" s="62" t="n">
        <x:f>T67/1.23</x:f>
        <x:v>3471.5447154471544</x:v>
      </x:c>
      <x:c r="V67" s="61" t="n">
        <x:v>3700</x:v>
      </x:c>
      <x:c r="W67" s="162" t="n">
        <x:f>V67/1.23</x:f>
        <x:v>3008.130081300813</x:v>
      </x:c>
      <x:c r="X67" s="65" t="n">
        <x:v>600</x:v>
      </x:c>
      <x:c r="Y67" s="162" t="n">
        <x:f>X67/1.23</x:f>
        <x:v>487.8048780487805</x:v>
      </x:c>
      <x:c r="Z67" s="65" t="n">
        <x:v>960</x:v>
      </x:c>
      <x:c r="AA67" s="162" t="n">
        <x:f>Z67/1.23</x:f>
        <x:v>780.4878048780488</x:v>
      </x:c>
      <x:c r="AB67" s="65" t="n">
        <x:v>1410</x:v>
      </x:c>
      <x:c r="AC67" s="162" t="n">
        <x:f>AB67/1.23</x:f>
        <x:v>1146.341463414634</x:v>
      </x:c>
      <x:c r="AD67" s="71" t="n">
        <x:v>520</x:v>
      </x:c>
      <x:c r="AE67" s="163" t="n">
        <x:f>AD67/1.23</x:f>
        <x:v>422.7642276422764</x:v>
      </x:c>
      <x:c r="AF67" s="153" t="n"/>
      <x:c r="AG67" s="154" t="n"/>
      <x:c r="AH67" s="153" t="n"/>
      <x:c r="AI67" s="154" t="n"/>
    </x:row>
    <x:row r="68" s="655" customFormat="1" ht="15.75" customHeight="1">
      <x:c r="A68" s="161" t="inlineStr">
        <x:is>
          <x:t xml:space="preserve">600 x 606   cm</x:t>
        </x:is>
      </x:c>
      <x:c r="B68" s="61" t="n">
        <x:v>40710</x:v>
      </x:c>
      <x:c r="C68" s="62" t="n">
        <x:f>B68/1.23</x:f>
        <x:v>33097.560975609755</x:v>
      </x:c>
      <x:c r="D68" s="61" t="n">
        <x:v>620</x:v>
      </x:c>
      <x:c r="E68" s="62" t="n">
        <x:f>D68/1.23</x:f>
        <x:v>504.0650406504065</x:v>
      </x:c>
      <x:c r="F68" s="61" t="n">
        <x:v>1760</x:v>
      </x:c>
      <x:c r="G68" s="62" t="n">
        <x:f>F68/1.23</x:f>
        <x:v>1430.8943089430895</x:v>
      </x:c>
      <x:c r="H68" s="61" t="n">
        <x:v>2160</x:v>
      </x:c>
      <x:c r="I68" s="62" t="n">
        <x:f>H68/1.23</x:f>
        <x:v>1756.09756097561</x:v>
      </x:c>
      <x:c r="J68" s="61" t="n">
        <x:v>2040</x:v>
      </x:c>
      <x:c r="K68" s="62" t="n">
        <x:f>J68/1.23</x:f>
        <x:v>1658.5365853658536</x:v>
      </x:c>
      <x:c r="L68" s="61" t="n">
        <x:v>610</x:v>
      </x:c>
      <x:c r="M68" s="62" t="n">
        <x:f>L68/1.23</x:f>
        <x:v>495.9349593495935</x:v>
      </x:c>
      <x:c r="N68" s="61" t="n">
        <x:v>550</x:v>
      </x:c>
      <x:c r="O68" s="62" t="n">
        <x:f>N68/1.23</x:f>
        <x:v>447.1544715447155</x:v>
      </x:c>
      <x:c r="P68" s="61" t="n">
        <x:v>8360</x:v>
      </x:c>
      <x:c r="Q68" s="62" t="n">
        <x:v>6796.747967479675</x:v>
      </x:c>
      <x:c r="R68" s="61" t="n">
        <x:v>4270</x:v>
      </x:c>
      <x:c r="S68" s="62" t="n">
        <x:f>R68/1.23</x:f>
        <x:v>3471.5447154471544</x:v>
      </x:c>
      <x:c r="T68" s="61" t="n">
        <x:v>4270</x:v>
      </x:c>
      <x:c r="U68" s="62" t="n">
        <x:f>T68/1.23</x:f>
        <x:v>3471.5447154471544</x:v>
      </x:c>
      <x:c r="V68" s="61" t="n">
        <x:v>4270</x:v>
      </x:c>
      <x:c r="W68" s="162" t="n">
        <x:f>V68/1.23</x:f>
        <x:v>3471.5447154471544</x:v>
      </x:c>
      <x:c r="X68" s="65" t="n">
        <x:v>790</x:v>
      </x:c>
      <x:c r="Y68" s="162" t="n">
        <x:f>X68/1.23</x:f>
        <x:v>642.2764227642276</x:v>
      </x:c>
      <x:c r="Z68" s="65" t="n">
        <x:v>1090</x:v>
      </x:c>
      <x:c r="AA68" s="162" t="n">
        <x:f>Z68/1.23</x:f>
        <x:v>886.178861788618</x:v>
      </x:c>
      <x:c r="AB68" s="65" t="n">
        <x:v>1700</x:v>
      </x:c>
      <x:c r="AC68" s="162" t="n">
        <x:f>AB68/1.23</x:f>
        <x:v>1382.1138211382115</x:v>
      </x:c>
      <x:c r="AD68" s="71" t="n">
        <x:v>560</x:v>
      </x:c>
      <x:c r="AE68" s="163" t="n">
        <x:f>AD68/1.23</x:f>
        <x:v>455.2845528455285</x:v>
      </x:c>
      <x:c r="AF68" s="153" t="n"/>
      <x:c r="AG68" s="154" t="n"/>
      <x:c r="AH68" s="153" t="n"/>
      <x:c r="AI68" s="154" t="n"/>
    </x:row>
    <x:row r="69" s="655" customFormat="1" ht="15.75" customHeight="1">
      <x:c r="A69" s="161" t="inlineStr">
        <x:is>
          <x:t xml:space="preserve">600 x 706   cm</x:t>
        </x:is>
      </x:c>
      <x:c r="B69" s="61" t="n">
        <x:v>44940</x:v>
      </x:c>
      <x:c r="C69" s="62" t="n">
        <x:f>B69/1.23</x:f>
        <x:v>36536.58536585366</x:v>
      </x:c>
      <x:c r="D69" s="61" t="n">
        <x:v>730</x:v>
      </x:c>
      <x:c r="E69" s="62" t="n">
        <x:f>D69/1.23</x:f>
        <x:v>593.4959349593496</x:v>
      </x:c>
      <x:c r="F69" s="61" t="n">
        <x:v>2050</x:v>
      </x:c>
      <x:c r="G69" s="62" t="n">
        <x:f>F69/1.23</x:f>
        <x:v>1666.6666666666667</x:v>
      </x:c>
      <x:c r="H69" s="61" t="n">
        <x:v>2280</x:v>
      </x:c>
      <x:c r="I69" s="62" t="n">
        <x:f>H69/1.23</x:f>
        <x:v>1853.658536585366</x:v>
      </x:c>
      <x:c r="J69" s="61" t="n">
        <x:v>2160</x:v>
      </x:c>
      <x:c r="K69" s="62" t="n">
        <x:f>J69/1.23</x:f>
        <x:v>1756.09756097561</x:v>
      </x:c>
      <x:c r="L69" s="61" t="n">
        <x:v>650</x:v>
      </x:c>
      <x:c r="M69" s="62" t="n">
        <x:f>L69/1.23</x:f>
        <x:v>528.4552845528456</x:v>
      </x:c>
      <x:c r="N69" s="61" t="n">
        <x:v>590</x:v>
      </x:c>
      <x:c r="O69" s="62" t="n">
        <x:f>N69/1.23</x:f>
        <x:v>479.6747967479675</x:v>
      </x:c>
      <x:c r="P69" s="61" t="n">
        <x:v>8960</x:v>
      </x:c>
      <x:c r="Q69" s="62" t="n">
        <x:v>7284.552845528456</x:v>
      </x:c>
      <x:c r="R69" s="61" t="n">
        <x:v>4270</x:v>
      </x:c>
      <x:c r="S69" s="62" t="n">
        <x:f>R69/1.23</x:f>
        <x:v>3471.5447154471544</x:v>
      </x:c>
      <x:c r="T69" s="61" t="n">
        <x:v>4270</x:v>
      </x:c>
      <x:c r="U69" s="62" t="n">
        <x:f>T69/1.23</x:f>
        <x:v>3471.5447154471544</x:v>
      </x:c>
      <x:c r="V69" s="61" t="n">
        <x:v>4780</x:v>
      </x:c>
      <x:c r="W69" s="162" t="n">
        <x:f>V69/1.23</x:f>
        <x:v>3886.1788617886177</x:v>
      </x:c>
      <x:c r="X69" s="65" t="n">
        <x:v>870</x:v>
      </x:c>
      <x:c r="Y69" s="162" t="n">
        <x:f>X69/1.23</x:f>
        <x:v>707.3170731707318</x:v>
      </x:c>
      <x:c r="Z69" s="65" t="n">
        <x:v>1210</x:v>
      </x:c>
      <x:c r="AA69" s="162" t="n">
        <x:f>Z69/1.23</x:f>
        <x:v>983.739837398374</x:v>
      </x:c>
      <x:c r="AB69" s="65" t="n">
        <x:v>1500</x:v>
      </x:c>
      <x:c r="AC69" s="162" t="n">
        <x:f>AB69/1.23</x:f>
        <x:v>1219.5121951219512</x:v>
      </x:c>
      <x:c r="AD69" s="71" t="n">
        <x:v>600</x:v>
      </x:c>
      <x:c r="AE69" s="163" t="n">
        <x:f>AD69/1.23</x:f>
        <x:v>487.8048780487805</x:v>
      </x:c>
      <x:c r="AF69" s="153" t="n"/>
      <x:c r="AG69" s="154" t="n"/>
      <x:c r="AH69" s="153" t="n"/>
      <x:c r="AI69" s="154" t="n"/>
    </x:row>
    <x:row r="70" s="655" customFormat="1" ht="15.75" customHeight="1">
      <x:c r="A70" s="161" t="inlineStr">
        <x:is>
          <x:t xml:space="preserve">600 x 806   cm</x:t>
        </x:is>
      </x:c>
      <x:c r="B70" s="61" t="n">
        <x:v>49100</x:v>
      </x:c>
      <x:c r="C70" s="62" t="n">
        <x:f>B70/1.23</x:f>
        <x:v>39918.69918699187</x:v>
      </x:c>
      <x:c r="D70" s="61" t="n">
        <x:v>830</x:v>
      </x:c>
      <x:c r="E70" s="62" t="n">
        <x:f>D70/1.23</x:f>
        <x:v>674.7967479674796</x:v>
      </x:c>
      <x:c r="F70" s="61" t="n">
        <x:v>2340</x:v>
      </x:c>
      <x:c r="G70" s="62" t="n">
        <x:f>F70/1.23</x:f>
        <x:v>1902.439024390244</x:v>
      </x:c>
      <x:c r="H70" s="61" t="n">
        <x:v>2400</x:v>
      </x:c>
      <x:c r="I70" s="62" t="n">
        <x:f>H70/1.23</x:f>
        <x:v>1951.219512195122</x:v>
      </x:c>
      <x:c r="J70" s="61" t="n">
        <x:v>2280</x:v>
      </x:c>
      <x:c r="K70" s="62" t="n">
        <x:f>J70/1.23</x:f>
        <x:v>1853.658536585366</x:v>
      </x:c>
      <x:c r="L70" s="61" t="n">
        <x:v>690</x:v>
      </x:c>
      <x:c r="M70" s="62" t="n">
        <x:f>L70/1.23</x:f>
        <x:v>560.9756097560976</x:v>
      </x:c>
      <x:c r="N70" s="61" t="n">
        <x:v>620</x:v>
      </x:c>
      <x:c r="O70" s="62" t="n">
        <x:f>N70/1.23</x:f>
        <x:v>504.0650406504065</x:v>
      </x:c>
      <x:c r="P70" s="61" t="n">
        <x:v>9570</x:v>
      </x:c>
      <x:c r="Q70" s="62" t="n">
        <x:v>7780.487804878049</x:v>
      </x:c>
      <x:c r="R70" s="61" t="n">
        <x:v>4270</x:v>
      </x:c>
      <x:c r="S70" s="62" t="n">
        <x:f>R70/1.23</x:f>
        <x:v>3471.5447154471544</x:v>
      </x:c>
      <x:c r="T70" s="61" t="n">
        <x:v>4270</x:v>
      </x:c>
      <x:c r="U70" s="62" t="n">
        <x:f>T70/1.23</x:f>
        <x:v>3471.5447154471544</x:v>
      </x:c>
      <x:c r="V70" s="61" t="n">
        <x:v>5280</x:v>
      </x:c>
      <x:c r="W70" s="162" t="n">
        <x:f>V70/1.23</x:f>
        <x:v>4292.682926829269</x:v>
      </x:c>
      <x:c r="X70" s="65" t="n">
        <x:v>960</x:v>
      </x:c>
      <x:c r="Y70" s="162" t="n">
        <x:f>X70/1.23</x:f>
        <x:v>780.4878048780488</x:v>
      </x:c>
      <x:c r="Z70" s="65" t="n">
        <x:v>1440</x:v>
      </x:c>
      <x:c r="AA70" s="162" t="n">
        <x:f>Z70/1.23</x:f>
        <x:v>1170.7317073170732</x:v>
      </x:c>
      <x:c r="AB70" s="65" t="n">
        <x:v>1610</x:v>
      </x:c>
      <x:c r="AC70" s="162" t="n">
        <x:f>AB70/1.23</x:f>
        <x:v>1308.9430894308944</x:v>
      </x:c>
      <x:c r="AD70" s="71" t="n">
        <x:v>640</x:v>
      </x:c>
      <x:c r="AE70" s="163" t="n">
        <x:f>AD70/1.23</x:f>
        <x:v>520.3252032520326</x:v>
      </x:c>
      <x:c r="AF70" s="153" t="n"/>
      <x:c r="AG70" s="154" t="n"/>
      <x:c r="AH70" s="153" t="n"/>
      <x:c r="AI70" s="154" t="n"/>
    </x:row>
    <x:row r="71" s="655" customFormat="1" ht="15.75" customHeight="1">
      <x:c r="A71" s="161" t="inlineStr">
        <x:is>
          <x:t xml:space="preserve">600 x 906   cm</x:t>
        </x:is>
      </x:c>
      <x:c r="B71" s="61" t="n">
        <x:v>53900</x:v>
      </x:c>
      <x:c r="C71" s="62" t="n">
        <x:f>B71/1.23</x:f>
        <x:v>43821.13821138212</x:v>
      </x:c>
      <x:c r="D71" s="61" t="n">
        <x:v>940</x:v>
      </x:c>
      <x:c r="E71" s="62" t="n">
        <x:f>D71/1.23</x:f>
        <x:v>764.2276422764228</x:v>
      </x:c>
      <x:c r="F71" s="61" t="n">
        <x:v>2630</x:v>
      </x:c>
      <x:c r="G71" s="62" t="n">
        <x:f>F71/1.23</x:f>
        <x:v>2138.211382113821</x:v>
      </x:c>
      <x:c r="H71" s="61" t="n">
        <x:v>2520</x:v>
      </x:c>
      <x:c r="I71" s="62" t="n">
        <x:f>H71/1.23</x:f>
        <x:v>2048.7804878048782</x:v>
      </x:c>
      <x:c r="J71" s="61" t="n">
        <x:v>2180</x:v>
      </x:c>
      <x:c r="K71" s="62" t="n">
        <x:f>J71/1.23</x:f>
        <x:v>1772.357723577236</x:v>
      </x:c>
      <x:c r="L71" s="61" t="n">
        <x:v>720</x:v>
      </x:c>
      <x:c r="M71" s="62" t="n">
        <x:f>L71/1.23</x:f>
        <x:v>585.3658536585366</x:v>
      </x:c>
      <x:c r="N71" s="61" t="n">
        <x:v>660</x:v>
      </x:c>
      <x:c r="O71" s="62" t="n">
        <x:f>N71/1.23</x:f>
        <x:v>536.5853658536586</x:v>
      </x:c>
      <x:c r="P71" s="70" t="n">
        <x:v>10340</x:v>
      </x:c>
      <x:c r="Q71" s="62" t="n">
        <x:v>8406.50406504065</x:v>
      </x:c>
      <x:c r="R71" s="61" t="n">
        <x:v>4270</x:v>
      </x:c>
      <x:c r="S71" s="62" t="n">
        <x:f>R71/1.23</x:f>
        <x:v>3471.5447154471544</x:v>
      </x:c>
      <x:c r="T71" s="61" t="n">
        <x:v>4270</x:v>
      </x:c>
      <x:c r="U71" s="62" t="n">
        <x:f>T71/1.23</x:f>
        <x:v>3471.5447154471544</x:v>
      </x:c>
      <x:c r="V71" s="61" t="n">
        <x:v>6400</x:v>
      </x:c>
      <x:c r="W71" s="162" t="n">
        <x:f>V71/1.23</x:f>
        <x:v>5203.252032520325</x:v>
      </x:c>
      <x:c r="X71" s="65" t="n">
        <x:v>1040</x:v>
      </x:c>
      <x:c r="Y71" s="162" t="n">
        <x:f>X71/1.23</x:f>
        <x:v>845.5284552845528</x:v>
      </x:c>
      <x:c r="Z71" s="65" t="n">
        <x:v>1560</x:v>
      </x:c>
      <x:c r="AA71" s="162" t="n">
        <x:f>Z71/1.23</x:f>
        <x:v>1268.2926829268292</x:v>
      </x:c>
      <x:c r="AB71" s="65" t="n">
        <x:v>1750</x:v>
      </x:c>
      <x:c r="AC71" s="162" t="n">
        <x:f>AB71/1.23</x:f>
        <x:v>1422.7642276422764</x:v>
      </x:c>
      <x:c r="AD71" s="71" t="n">
        <x:v>640</x:v>
      </x:c>
      <x:c r="AE71" s="163" t="n">
        <x:f>AD71/1.23</x:f>
        <x:v>520.3252032520326</x:v>
      </x:c>
      <x:c r="AF71" s="153" t="n"/>
      <x:c r="AG71" s="154" t="n"/>
      <x:c r="AH71" s="153" t="n"/>
      <x:c r="AI71" s="154" t="n"/>
    </x:row>
    <x:row r="72" s="655" customFormat="1" ht="15.75" customHeight="1">
      <x:c r="A72" s="161" t="inlineStr">
        <x:is>
          <x:t xml:space="preserve">600 x 1006 cm</x:t>
        </x:is>
      </x:c>
      <x:c r="B72" s="61" t="n">
        <x:v>58220</x:v>
      </x:c>
      <x:c r="C72" s="62" t="n">
        <x:f>B72/1.23</x:f>
        <x:v>47333.333333333336</x:v>
      </x:c>
      <x:c r="D72" s="61" t="n">
        <x:v>1040</x:v>
      </x:c>
      <x:c r="E72" s="62" t="n">
        <x:f>D72/1.23</x:f>
        <x:v>845.5284552845528</x:v>
      </x:c>
      <x:c r="F72" s="61" t="n">
        <x:v>2930</x:v>
      </x:c>
      <x:c r="G72" s="62" t="n">
        <x:f>F72/1.23</x:f>
        <x:v>2382.1138211382113</x:v>
      </x:c>
      <x:c r="H72" s="61" t="n">
        <x:v>2640</x:v>
      </x:c>
      <x:c r="I72" s="62" t="n">
        <x:f>H72/1.23</x:f>
        <x:v>2146.3414634146343</x:v>
      </x:c>
      <x:c r="J72" s="61" t="n">
        <x:v>2520</x:v>
      </x:c>
      <x:c r="K72" s="62" t="n">
        <x:f>J72/1.23</x:f>
        <x:v>2048.7804878048782</x:v>
      </x:c>
      <x:c r="L72" s="61" t="n">
        <x:v>760</x:v>
      </x:c>
      <x:c r="M72" s="62" t="n">
        <x:f>L72/1.23</x:f>
        <x:v>617.8861788617886</x:v>
      </x:c>
      <x:c r="N72" s="61" t="n">
        <x:v>690</x:v>
      </x:c>
      <x:c r="O72" s="62" t="n">
        <x:f>N72/1.23</x:f>
        <x:v>560.9756097560976</x:v>
      </x:c>
      <x:c r="P72" s="61" t="n">
        <x:v>11120</x:v>
      </x:c>
      <x:c r="Q72" s="62" t="n">
        <x:v>9040.650406504064</x:v>
      </x:c>
      <x:c r="R72" s="61" t="n">
        <x:v>4270</x:v>
      </x:c>
      <x:c r="S72" s="62" t="n">
        <x:f>R72/1.23</x:f>
        <x:v>3471.5447154471544</x:v>
      </x:c>
      <x:c r="T72" s="61" t="n">
        <x:v>4270</x:v>
      </x:c>
      <x:c r="U72" s="62" t="n">
        <x:f>T72/1.23</x:f>
        <x:v>3471.5447154471544</x:v>
      </x:c>
      <x:c r="V72" s="61" t="n">
        <x:v>6910</x:v>
      </x:c>
      <x:c r="W72" s="162" t="n">
        <x:f>V72/1.23</x:f>
        <x:v>5617.886178861789</x:v>
      </x:c>
      <x:c r="X72" s="65" t="n">
        <x:v>1230</x:v>
      </x:c>
      <x:c r="Y72" s="162" t="n">
        <x:f>X72/1.23</x:f>
        <x:v>1000</x:v>
      </x:c>
      <x:c r="Z72" s="65" t="n">
        <x:v>1650</x:v>
      </x:c>
      <x:c r="AA72" s="162" t="n">
        <x:f>Z72/1.23</x:f>
        <x:v>1341.4634146341464</x:v>
      </x:c>
      <x:c r="AB72" s="65" t="n">
        <x:v>1880</x:v>
      </x:c>
      <x:c r="AC72" s="162" t="n">
        <x:f>AB72/1.23</x:f>
        <x:v>1528.4552845528456</x:v>
      </x:c>
      <x:c r="AD72" s="71" t="n">
        <x:v>680</x:v>
      </x:c>
      <x:c r="AE72" s="163" t="n">
        <x:f>AD72/1.23</x:f>
        <x:v>552.8455284552846</x:v>
      </x:c>
      <x:c r="AF72" s="153" t="n"/>
      <x:c r="AG72" s="154" t="n"/>
      <x:c r="AH72" s="153" t="n"/>
      <x:c r="AI72" s="154" t="n"/>
    </x:row>
    <x:row r="73" s="655" customFormat="1" ht="15.75" customHeight="1">
      <x:c r="A73" s="161" t="inlineStr">
        <x:is>
          <x:t xml:space="preserve">600 x 1106 cm</x:t>
        </x:is>
      </x:c>
      <x:c r="B73" s="61" t="n">
        <x:v>61590</x:v>
      </x:c>
      <x:c r="C73" s="62" t="n">
        <x:f>B73/1.23</x:f>
        <x:v>50073.170731707316</x:v>
      </x:c>
      <x:c r="D73" s="61" t="n">
        <x:v>1150</x:v>
      </x:c>
      <x:c r="E73" s="62" t="n">
        <x:f>D73/1.23</x:f>
        <x:v>934.959349593496</x:v>
      </x:c>
      <x:c r="F73" s="61" t="n">
        <x:v>3220</x:v>
      </x:c>
      <x:c r="G73" s="62" t="n">
        <x:f>F73/1.23</x:f>
        <x:v>2617.8861788617887</x:v>
      </x:c>
      <x:c r="H73" s="61" t="n">
        <x:v>2760</x:v>
      </x:c>
      <x:c r="I73" s="62" t="n">
        <x:f>H73/1.23</x:f>
        <x:v>2243.9024390243903</x:v>
      </x:c>
      <x:c r="J73" s="61" t="n">
        <x:v>2420</x:v>
      </x:c>
      <x:c r="K73" s="62" t="n">
        <x:f>J73/1.23</x:f>
        <x:v>1967.479674796748</x:v>
      </x:c>
      <x:c r="L73" s="61" t="n">
        <x:v>800</x:v>
      </x:c>
      <x:c r="M73" s="62" t="n">
        <x:f>L73/1.23</x:f>
        <x:v>650.4065040650406</x:v>
      </x:c>
      <x:c r="N73" s="61" t="n">
        <x:v>720</x:v>
      </x:c>
      <x:c r="O73" s="62" t="n">
        <x:f>N73/1.23</x:f>
        <x:v>585.3658536585366</x:v>
      </x:c>
      <x:c r="P73" s="61" t="n">
        <x:v>13740</x:v>
      </x:c>
      <x:c r="Q73" s="62" t="n">
        <x:v>11170.73170731707</x:v>
      </x:c>
      <x:c r="R73" s="61" t="n">
        <x:v>4270</x:v>
      </x:c>
      <x:c r="S73" s="62" t="n">
        <x:f>R73/1.23</x:f>
        <x:v>3471.5447154471544</x:v>
      </x:c>
      <x:c r="T73" s="61" t="n">
        <x:v>4270</x:v>
      </x:c>
      <x:c r="U73" s="62" t="n">
        <x:f>T73/1.23</x:f>
        <x:v>3471.5447154471544</x:v>
      </x:c>
      <x:c r="V73" s="61" t="n">
        <x:v>7420</x:v>
      </x:c>
      <x:c r="W73" s="62" t="n">
        <x:f>V73/1.23</x:f>
        <x:v>6032.5203252032525</x:v>
      </x:c>
      <x:c r="X73" s="61" t="n">
        <x:v>1430</x:v>
      </x:c>
      <x:c r="Y73" s="62" t="n">
        <x:f>X73/1.23</x:f>
        <x:v>1162.60162601626</x:v>
      </x:c>
      <x:c r="Z73" s="61" t="n">
        <x:v>1770</x:v>
      </x:c>
      <x:c r="AA73" s="162" t="n">
        <x:f>Z73/1.23</x:f>
        <x:v>1439.0243902439024</x:v>
      </x:c>
      <x:c r="AB73" s="65" t="n">
        <x:v>2170</x:v>
      </x:c>
      <x:c r="AC73" s="162" t="n">
        <x:f>AB73/1.23</x:f>
        <x:v>1764.2276422764228</x:v>
      </x:c>
      <x:c r="AD73" s="71" t="n">
        <x:v>720</x:v>
      </x:c>
      <x:c r="AE73" s="163" t="n">
        <x:f>AD73/1.23</x:f>
        <x:v>585.3658536585366</x:v>
      </x:c>
      <x:c r="AF73" s="153" t="n"/>
      <x:c r="AG73" s="154" t="n"/>
      <x:c r="AH73" s="153" t="n"/>
      <x:c r="AI73" s="154" t="n"/>
    </x:row>
    <x:row r="74" s="655" customFormat="1" ht="15.75" customHeight="1">
      <x:c r="A74" s="161" t="inlineStr">
        <x:is>
          <x:t xml:space="preserve">600 x 1206 cm</x:t>
        </x:is>
      </x:c>
      <x:c r="B74" s="61" t="n">
        <x:v>65630</x:v>
      </x:c>
      <x:c r="C74" s="62" t="n">
        <x:f>B74/1.23</x:f>
        <x:v>53357.723577235774</x:v>
      </x:c>
      <x:c r="D74" s="61" t="n">
        <x:v>1250</x:v>
      </x:c>
      <x:c r="E74" s="62" t="n">
        <x:f>D74/1.23</x:f>
        <x:v>1016.260162601626</x:v>
      </x:c>
      <x:c r="F74" s="61" t="n">
        <x:v>3510</x:v>
      </x:c>
      <x:c r="G74" s="62" t="n">
        <x:f>F74/1.23</x:f>
        <x:v>2853.6585365853657</x:v>
      </x:c>
      <x:c r="H74" s="61" t="n">
        <x:v>2880</x:v>
      </x:c>
      <x:c r="I74" s="62" t="n">
        <x:f>H74/1.23</x:f>
        <x:v>2341.4634146341464</x:v>
      </x:c>
      <x:c r="J74" s="61" t="n">
        <x:v>2760</x:v>
      </x:c>
      <x:c r="K74" s="62" t="n">
        <x:f>J74/1.23</x:f>
        <x:v>2243.9024390243903</x:v>
      </x:c>
      <x:c r="L74" s="61" t="n">
        <x:v>840</x:v>
      </x:c>
      <x:c r="M74" s="62" t="n">
        <x:f>L74/1.23</x:f>
        <x:v>682.9268292682927</x:v>
      </x:c>
      <x:c r="N74" s="61" t="n">
        <x:v>760</x:v>
      </x:c>
      <x:c r="O74" s="62" t="n">
        <x:f>N74/1.23</x:f>
        <x:v>617.8861788617886</x:v>
      </x:c>
      <x:c r="P74" s="70" t="n">
        <x:v>14010</x:v>
      </x:c>
      <x:c r="Q74" s="62" t="n">
        <x:v>11390.24390243902</x:v>
      </x:c>
      <x:c r="R74" s="61" t="n">
        <x:v>4270</x:v>
      </x:c>
      <x:c r="S74" s="62" t="n">
        <x:f>R74/1.23</x:f>
        <x:v>3471.5447154471544</x:v>
      </x:c>
      <x:c r="T74" s="61" t="n">
        <x:v>4270</x:v>
      </x:c>
      <x:c r="U74" s="62" t="n">
        <x:f>T74/1.23</x:f>
        <x:v>3471.5447154471544</x:v>
      </x:c>
      <x:c r="V74" s="61" t="n">
        <x:v>7920</x:v>
      </x:c>
      <x:c r="W74" s="62" t="n">
        <x:f>V74/1.23</x:f>
        <x:v>6439.024390243902</x:v>
      </x:c>
      <x:c r="X74" s="61" t="n">
        <x:v>1510</x:v>
      </x:c>
      <x:c r="Y74" s="62" t="n">
        <x:f>X74/1.23</x:f>
        <x:v>1227.6422764227643</x:v>
      </x:c>
      <x:c r="Z74" s="61" t="n">
        <x:v>1900</x:v>
      </x:c>
      <x:c r="AA74" s="162" t="n">
        <x:f>Z74/1.23</x:f>
        <x:v>1544.7154471544716</x:v>
      </x:c>
      <x:c r="AB74" s="65" t="n">
        <x:v>2460</x:v>
      </x:c>
      <x:c r="AC74" s="162" t="n">
        <x:f>AB74/1.23</x:f>
        <x:v>2000</x:v>
      </x:c>
      <x:c r="AD74" s="71" t="n">
        <x:v>760</x:v>
      </x:c>
      <x:c r="AE74" s="163" t="n">
        <x:f>AD74/1.23</x:f>
        <x:v>617.8861788617886</x:v>
      </x:c>
      <x:c r="AF74" s="153" t="n"/>
      <x:c r="AG74" s="154" t="n"/>
      <x:c r="AH74" s="153" t="n"/>
      <x:c r="AI74" s="154" t="n"/>
    </x:row>
    <x:row r="75" s="655" customFormat="1" ht="15.75" customHeight="1">
      <x:c r="A75" s="74" t="n"/>
      <x:c r="B75" s="108" t="n"/>
      <x:c r="C75" s="76" t="n"/>
      <x:c r="D75" s="77" t="n"/>
      <x:c r="E75" s="76" t="n"/>
      <x:c r="F75" s="108" t="n"/>
      <x:c r="G75" s="76" t="n"/>
      <x:c r="H75" s="164" t="n"/>
      <x:c r="I75" s="76" t="n"/>
      <x:c r="J75" s="165" t="n"/>
      <x:c r="K75" s="165" t="n"/>
      <x:c r="L75" s="164" t="n"/>
      <x:c r="M75" s="76" t="n"/>
      <x:c r="N75" s="164" t="n"/>
      <x:c r="O75" s="76" t="n"/>
      <x:c r="P75" s="108" t="n"/>
      <x:c r="Q75" s="76" t="n"/>
      <x:c r="R75" s="108" t="n"/>
      <x:c r="S75" s="76" t="n"/>
      <x:c r="T75" s="108" t="n"/>
      <x:c r="U75" s="166" t="n"/>
      <x:c r="V75" s="108" t="n"/>
      <x:c r="W75" s="166" t="n"/>
      <x:c r="X75" s="108" t="n"/>
      <x:c r="Y75" s="166" t="n"/>
      <x:c r="Z75" s="108" t="n"/>
      <x:c r="AA75" s="166" t="n"/>
      <x:c r="AB75" s="167" t="n"/>
      <x:c r="AC75" s="168" t="n"/>
      <x:c r="AD75" s="164" t="n"/>
      <x:c r="AE75" s="76" t="n"/>
      <x:c r="AF75" s="169" t="n"/>
      <x:c r="AG75" s="170" t="n"/>
      <x:c r="AH75" s="169" t="n"/>
      <x:c r="AI75" s="170" t="n"/>
    </x:row>
    <x:row r="76" s="655" customFormat="1" ht="39.75" customHeight="1">
      <x:c r="A76" s="84" t="inlineStr">
        <x:is>
          <x:t xml:space="preserve">REZYGNACJA - 1 szt 
POLIWĘGLAN DACHOWY </x:t>
        </x:is>
      </x:c>
      <x:c r="B76" s="112" t="inlineStr">
        <x:is>
          <x:t xml:space="preserve">Cena brutto </x:t>
        </x:is>
      </x:c>
      <x:c r="C76" s="113" t="inlineStr">
        <x:is>
          <x:t xml:space="preserve">netto </x:t>
        </x:is>
      </x:c>
      <x:c r="D76" s="171" t="n"/>
      <x:c r="E76" s="172" t="n"/>
      <x:c r="F76" s="173" t="n"/>
      <x:c r="G76" s="172" t="n"/>
      <x:c r="H76" s="172" t="n"/>
      <x:c r="I76" s="172" t="n"/>
      <x:c r="J76" s="172" t="n"/>
      <x:c r="K76" s="172" t="n"/>
      <x:c r="L76" s="172" t="n"/>
      <x:c r="M76" s="172" t="n"/>
      <x:c r="N76" s="172" t="n"/>
      <x:c r="O76" s="172" t="n"/>
      <x:c r="P76" s="173" t="n"/>
      <x:c r="Q76" s="172" t="n"/>
      <x:c r="R76" s="173" t="n"/>
      <x:c r="S76" s="172" t="n"/>
      <x:c r="T76" s="173" t="n"/>
      <x:c r="U76" s="172" t="n"/>
      <x:c r="V76" s="173" t="n"/>
      <x:c r="W76" s="172" t="n"/>
      <x:c r="X76" s="173" t="n"/>
      <x:c r="Y76" s="172" t="n"/>
      <x:c r="Z76" s="173" t="n"/>
      <x:c r="AA76" s="172" t="n"/>
      <x:c r="AB76" s="174" t="n"/>
      <x:c r="AC76" s="174" t="n"/>
      <x:c r="AD76" s="149" t="n"/>
      <x:c r="AE76" s="149" t="n"/>
      <x:c r="AF76" s="173" t="n"/>
      <x:c r="AG76" s="172" t="n"/>
      <x:c r="AH76" s="173" t="n"/>
      <x:c r="AI76" s="172" t="n"/>
    </x:row>
    <x:row r="77" s="655" customFormat="1" ht="15.75" customHeight="1">
      <x:c r="A77" s="93" t="inlineStr">
        <x:is>
          <x:t xml:space="preserve">Poliwęglan 98 x 290 cm</x:t>
        </x:is>
      </x:c>
      <x:c r="B77" s="175" t="n">
        <x:v>170</x:v>
      </x:c>
      <x:c r="C77" s="95" t="n">
        <x:f>B77/1.23</x:f>
        <x:v>138.21138211382114</x:v>
      </x:c>
      <x:c r="D77" s="176" t="n"/>
      <x:c r="E77" s="177" t="n"/>
      <x:c r="F77" s="178" t="n"/>
      <x:c r="G77" s="179" t="n"/>
      <x:c r="H77" s="179" t="n"/>
      <x:c r="I77" s="179" t="n"/>
      <x:c r="J77" s="179" t="n"/>
      <x:c r="K77" s="179" t="n"/>
      <x:c r="L77" s="179" t="n"/>
      <x:c r="M77" s="179" t="n"/>
      <x:c r="N77" s="179" t="n"/>
      <x:c r="O77" s="179" t="n"/>
      <x:c r="P77" s="178" t="n"/>
      <x:c r="Q77" s="179" t="n"/>
      <x:c r="R77" s="178" t="n"/>
      <x:c r="S77" s="179" t="n"/>
      <x:c r="T77" s="178" t="n"/>
      <x:c r="U77" s="179" t="n"/>
      <x:c r="V77" s="178" t="n"/>
      <x:c r="W77" s="179" t="n"/>
      <x:c r="X77" s="178" t="n"/>
      <x:c r="Y77" s="179" t="n"/>
      <x:c r="Z77" s="178" t="n"/>
      <x:c r="AA77" s="179" t="n"/>
      <x:c r="AB77" s="177" t="n"/>
      <x:c r="AC77" s="177" t="n"/>
      <x:c r="AD77" s="149" t="n"/>
      <x:c r="AE77" s="149" t="n"/>
      <x:c r="AF77" s="178" t="n"/>
      <x:c r="AG77" s="179" t="n"/>
      <x:c r="AH77" s="178" t="n"/>
      <x:c r="AI77" s="179" t="n"/>
    </x:row>
    <x:row r="78" s="655" customFormat="1" ht="15.75" customHeight="1">
      <x:c r="A78" s="101" t="inlineStr">
        <x:is>
          <x:t xml:space="preserve">Poliwęglan 98 x 340 cm</x:t>
        </x:is>
      </x:c>
      <x:c r="B78" s="180" t="n">
        <x:v>190</x:v>
      </x:c>
      <x:c r="C78" s="95" t="n">
        <x:f>B78/1.23</x:f>
        <x:v>154.47154471544715</x:v>
      </x:c>
      <x:c r="D78" s="176" t="n"/>
      <x:c r="E78" s="177" t="n"/>
      <x:c r="F78" s="178" t="n"/>
      <x:c r="G78" s="179" t="n"/>
      <x:c r="H78" s="179" t="n"/>
      <x:c r="I78" s="179" t="n"/>
      <x:c r="J78" s="179" t="n"/>
      <x:c r="K78" s="179" t="n"/>
      <x:c r="L78" s="179" t="n"/>
      <x:c r="M78" s="179" t="n"/>
      <x:c r="N78" s="179" t="n"/>
      <x:c r="O78" s="179" t="n"/>
      <x:c r="P78" s="178" t="n"/>
      <x:c r="Q78" s="179" t="n"/>
      <x:c r="R78" s="178" t="n"/>
      <x:c r="S78" s="179" t="n"/>
      <x:c r="T78" s="178" t="n"/>
      <x:c r="U78" s="179" t="n"/>
      <x:c r="V78" s="178" t="n"/>
      <x:c r="W78" s="179" t="n"/>
      <x:c r="X78" s="178" t="n"/>
      <x:c r="Y78" s="179" t="n"/>
      <x:c r="Z78" s="178" t="n"/>
      <x:c r="AA78" s="179" t="n"/>
      <x:c r="AB78" s="177" t="n"/>
      <x:c r="AC78" s="177" t="n"/>
      <x:c r="AD78" s="149" t="n"/>
      <x:c r="AE78" s="149" t="n"/>
      <x:c r="AF78" s="178" t="n"/>
      <x:c r="AG78" s="179" t="n"/>
      <x:c r="AH78" s="178" t="n"/>
      <x:c r="AI78" s="179" t="n"/>
    </x:row>
    <x:row r="79" s="655" customFormat="1" ht="15.75" customHeight="1">
      <x:c r="A79" s="101" t="inlineStr">
        <x:is>
          <x:t xml:space="preserve">Poliwęglan 98 x 390 cm</x:t>
        </x:is>
      </x:c>
      <x:c r="B79" s="180" t="n">
        <x:v>220</x:v>
      </x:c>
      <x:c r="C79" s="95" t="n">
        <x:f>B79/1.23</x:f>
        <x:v>178.8617886178862</x:v>
      </x:c>
      <x:c r="D79" s="176" t="n"/>
      <x:c r="E79" s="177" t="n"/>
      <x:c r="F79" s="178" t="n"/>
      <x:c r="G79" s="179" t="n"/>
      <x:c r="H79" s="179" t="n"/>
      <x:c r="I79" s="179" t="n"/>
      <x:c r="J79" s="179" t="n"/>
      <x:c r="K79" s="179" t="n"/>
      <x:c r="L79" s="179" t="n"/>
      <x:c r="M79" s="179" t="n"/>
      <x:c r="N79" s="179" t="n"/>
      <x:c r="O79" s="179" t="n"/>
      <x:c r="P79" s="178" t="n"/>
      <x:c r="Q79" s="179" t="n"/>
      <x:c r="R79" s="178" t="n"/>
      <x:c r="S79" s="179" t="n"/>
      <x:c r="T79" s="178" t="n"/>
      <x:c r="U79" s="179" t="n"/>
      <x:c r="V79" s="178" t="n"/>
      <x:c r="W79" s="179" t="n"/>
      <x:c r="X79" s="178" t="n"/>
      <x:c r="Y79" s="179" t="n"/>
      <x:c r="Z79" s="178" t="n"/>
      <x:c r="AA79" s="179" t="n"/>
      <x:c r="AB79" s="177" t="n"/>
      <x:c r="AC79" s="177" t="n"/>
      <x:c r="AD79" s="149" t="n"/>
      <x:c r="AE79" s="149" t="n"/>
      <x:c r="AF79" s="178" t="n"/>
      <x:c r="AG79" s="179" t="n"/>
      <x:c r="AH79" s="178" t="n"/>
      <x:c r="AI79" s="179" t="n"/>
    </x:row>
    <x:row r="80" s="655" customFormat="1" ht="15.75" customHeight="1">
      <x:c r="A80" s="101" t="inlineStr">
        <x:is>
          <x:t xml:space="preserve">Poliwęglan 98 x 440 cm</x:t>
        </x:is>
      </x:c>
      <x:c r="B80" s="180" t="n">
        <x:v>240</x:v>
      </x:c>
      <x:c r="C80" s="95" t="n">
        <x:f>B80/1.23</x:f>
        <x:v>195.1219512195122</x:v>
      </x:c>
      <x:c r="D80" s="176" t="n"/>
      <x:c r="E80" s="177" t="n"/>
      <x:c r="F80" s="178" t="n"/>
      <x:c r="G80" s="179" t="n"/>
      <x:c r="H80" s="179" t="n"/>
      <x:c r="I80" s="179" t="n"/>
      <x:c r="J80" s="179" t="n"/>
      <x:c r="K80" s="179" t="n"/>
      <x:c r="L80" s="179" t="n"/>
      <x:c r="M80" s="179" t="n"/>
      <x:c r="N80" s="179" t="n"/>
      <x:c r="O80" s="179" t="n"/>
      <x:c r="P80" s="178" t="n"/>
      <x:c r="Q80" s="179" t="n"/>
      <x:c r="R80" s="178" t="n"/>
      <x:c r="S80" s="179" t="n"/>
      <x:c r="T80" s="178" t="n"/>
      <x:c r="U80" s="179" t="n"/>
      <x:c r="V80" s="178" t="n"/>
      <x:c r="W80" s="179" t="n"/>
      <x:c r="X80" s="178" t="n"/>
      <x:c r="Y80" s="179" t="n"/>
      <x:c r="Z80" s="178" t="n"/>
      <x:c r="AA80" s="179" t="n"/>
      <x:c r="AB80" s="177" t="n"/>
      <x:c r="AC80" s="177" t="n"/>
      <x:c r="AD80" s="149" t="n"/>
      <x:c r="AE80" s="149" t="n"/>
      <x:c r="AF80" s="178" t="n"/>
      <x:c r="AG80" s="179" t="n"/>
      <x:c r="AH80" s="178" t="n"/>
      <x:c r="AI80" s="179" t="n"/>
    </x:row>
    <x:row r="81" s="655" customFormat="1" ht="15.75" customHeight="1">
      <x:c r="A81" s="101" t="inlineStr">
        <x:is>
          <x:t xml:space="preserve">Poliwęglan 98 x 490 cm</x:t>
        </x:is>
      </x:c>
      <x:c r="B81" s="180" t="n">
        <x:v>260</x:v>
      </x:c>
      <x:c r="C81" s="95" t="n">
        <x:f>B81/1.23</x:f>
        <x:v>211.3821138211382</x:v>
      </x:c>
      <x:c r="D81" s="176" t="n"/>
      <x:c r="E81" s="177" t="n"/>
      <x:c r="F81" s="178" t="n"/>
      <x:c r="G81" s="179" t="n"/>
      <x:c r="H81" s="179" t="n"/>
      <x:c r="I81" s="179" t="n"/>
      <x:c r="J81" s="179" t="n"/>
      <x:c r="K81" s="179" t="n"/>
      <x:c r="L81" s="179" t="n"/>
      <x:c r="M81" s="179" t="n"/>
      <x:c r="N81" s="179" t="n"/>
      <x:c r="O81" s="179" t="n"/>
      <x:c r="P81" s="178" t="n"/>
      <x:c r="Q81" s="179" t="n"/>
      <x:c r="R81" s="178" t="n"/>
      <x:c r="S81" s="179" t="n"/>
      <x:c r="T81" s="178" t="n"/>
      <x:c r="U81" s="179" t="n"/>
      <x:c r="V81" s="178" t="n"/>
      <x:c r="W81" s="179" t="n"/>
      <x:c r="X81" s="178" t="n"/>
      <x:c r="Y81" s="179" t="n"/>
      <x:c r="Z81" s="178" t="n"/>
      <x:c r="AA81" s="179" t="n"/>
      <x:c r="AB81" s="177" t="n"/>
      <x:c r="AC81" s="177" t="n"/>
      <x:c r="AD81" s="149" t="n"/>
      <x:c r="AE81" s="149" t="n"/>
      <x:c r="AF81" s="178" t="n"/>
      <x:c r="AG81" s="179" t="n"/>
      <x:c r="AH81" s="178" t="n"/>
      <x:c r="AI81" s="179" t="n"/>
    </x:row>
    <x:row r="82" s="655" customFormat="1" ht="14.25" customHeight="1">
      <x:c r="A82" s="103" t="inlineStr">
        <x:is>
          <x:t xml:space="preserve">Poliwęglan 98 x 540 cm    </x:t>
        </x:is>
      </x:c>
      <x:c r="B82" s="102" t="n">
        <x:v>280</x:v>
      </x:c>
      <x:c r="C82" s="95" t="n">
        <x:f>B82/1.23</x:f>
        <x:v>227.64227642276424</x:v>
      </x:c>
      <x:c r="D82" s="181" t="n"/>
      <x:c r="E82" s="182" t="n"/>
      <x:c r="F82" s="182" t="n"/>
      <x:c r="G82" s="182" t="n"/>
      <x:c r="H82" s="182" t="n"/>
      <x:c r="I82" s="182" t="n"/>
      <x:c r="J82" s="182" t="n"/>
      <x:c r="K82" s="182" t="n"/>
      <x:c r="L82" s="182" t="n"/>
      <x:c r="M82" s="182" t="n"/>
      <x:c r="N82" s="182" t="n"/>
      <x:c r="O82" s="182" t="n"/>
      <x:c r="P82" s="182" t="n"/>
      <x:c r="Q82" s="182" t="n"/>
      <x:c r="R82" s="182" t="n"/>
      <x:c r="S82" s="182" t="n"/>
      <x:c r="T82" s="182" t="n"/>
      <x:c r="U82" s="182" t="n"/>
      <x:c r="V82" s="182" t="n"/>
      <x:c r="W82" s="182" t="n"/>
      <x:c r="X82" s="182" t="n"/>
      <x:c r="Y82" s="182" t="n"/>
      <x:c r="Z82" s="182" t="n"/>
      <x:c r="AA82" s="182" t="n"/>
      <x:c r="AB82" s="182" t="n"/>
      <x:c r="AC82" s="182" t="n"/>
      <x:c r="AD82" s="182" t="n"/>
      <x:c r="AE82" s="182" t="n"/>
      <x:c r="AF82" s="183" t="n"/>
      <x:c r="AG82" s="149" t="n"/>
      <x:c r="AH82" s="183" t="n"/>
      <x:c r="AI82" s="149" t="n"/>
    </x:row>
    <x:row r="83" s="655" customFormat="1" ht="14.25" customHeight="1">
      <x:c r="A83" s="74" t="inlineStr">
        <x:is>
          <x:t xml:space="preserve">Poliwęglan 98 x 590 cm    </x:t>
        </x:is>
      </x:c>
      <x:c r="B83" s="184" t="n">
        <x:v>300</x:v>
      </x:c>
      <x:c r="C83" s="185" t="n">
        <x:f>B83/1.23</x:f>
        <x:v>243.90243902439025</x:v>
      </x:c>
      <x:c r="D83" s="186" t="n"/>
      <x:c r="E83" s="182" t="n"/>
      <x:c r="F83" s="182" t="n"/>
      <x:c r="G83" s="182" t="n"/>
      <x:c r="H83" s="182" t="n"/>
      <x:c r="I83" s="182" t="n"/>
      <x:c r="J83" s="182" t="n"/>
      <x:c r="K83" s="182" t="n"/>
      <x:c r="L83" s="182" t="n"/>
      <x:c r="M83" s="182" t="n"/>
      <x:c r="N83" s="182" t="n"/>
      <x:c r="O83" s="182" t="n"/>
      <x:c r="P83" s="182" t="n"/>
      <x:c r="Q83" s="182" t="n"/>
      <x:c r="R83" s="182" t="n"/>
      <x:c r="S83" s="182" t="n"/>
      <x:c r="T83" s="182" t="n"/>
      <x:c r="U83" s="182" t="n"/>
      <x:c r="V83" s="182" t="n"/>
      <x:c r="W83" s="182" t="n"/>
      <x:c r="X83" s="182" t="n"/>
      <x:c r="Y83" s="182" t="n"/>
      <x:c r="Z83" s="182" t="n"/>
      <x:c r="AA83" s="182" t="n"/>
      <x:c r="AB83" s="182" t="n"/>
      <x:c r="AC83" s="182" t="n"/>
      <x:c r="AD83" s="182" t="n"/>
      <x:c r="AE83" s="182" t="n"/>
      <x:c r="AF83" s="183" t="n"/>
      <x:c r="AG83" s="149" t="n"/>
      <x:c r="AH83" s="183" t="n"/>
      <x:c r="AI83" s="149" t="n"/>
    </x:row>
  </x:sheetData>
  <x:mergeCells>
    <x:mergeCell ref="AB1:AC1"/>
    <x:mergeCell ref="AF1:AG1"/>
    <x:mergeCell ref="AD1:AE1"/>
    <x:mergeCell ref="D1:E1"/>
    <x:mergeCell ref="X1:Y1"/>
    <x:mergeCell ref="V1:W1"/>
    <x:mergeCell ref="T1:U1"/>
    <x:mergeCell ref="AH1:AI1"/>
    <x:mergeCell ref="H1:I1"/>
    <x:mergeCell ref="L1:M1"/>
    <x:mergeCell ref="J1:K1"/>
    <x:mergeCell ref="P1:Q1"/>
    <x:mergeCell ref="Z1:AA1"/>
    <x:mergeCell ref="F1:G1"/>
    <x:mergeCell ref="B1:C1"/>
    <x:mergeCell ref="N1:O1"/>
    <x:mergeCell ref="R1:S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BFBFBF"/>
  </x:sheetPr>
  <x:sheetViews>
    <x:sheetView showGridLines="0" workbookViewId="0"/>
  </x:sheetViews>
  <x:sheetFormatPr baseColWidth="8" defaultRowHeight="14.75"/>
  <x:cols>
    <x:col min="1" max="1" width="24.7265625" style="655" customWidth="1"/>
    <x:col min="2" max="2" width="11.7265625" style="655" customWidth="1"/>
    <x:col min="3" max="33" width="13" style="655" customWidth="1"/>
  </x:cols>
  <x:sheetData>
    <x:row r="1" s="655" customFormat="1" ht="43.5" customHeight="1">
      <x:c r="A1" s="123" t="inlineStr">
        <x:is>
          <x:t xml:space="preserve">WYMIARY 
Szerokość (od ściany do słupa)
x Długość (wzdłuż ściany)</x:t>
        </x:is>
      </x:c>
      <x:c r="B1" s="647" t="inlineStr">
        <x:is>
          <x:t xml:space="preserve"> Ogród zimowy ze szkłem PVB 
 9,14 mm laminowanym 
 bezbarwnym </x:t>
        </x:is>
      </x:c>
      <x:c r="C1" s="634" t="n"/>
      <x:c r="D1" s="637" t="inlineStr">
        <x:is>
          <x:t xml:space="preserve"> Dopłata za szkło dachowe
 przyciemniane / mleczne</x:t>
        </x:is>
      </x:c>
      <x:c r="E1" s="634" t="n"/>
      <x:c r="F1" s="646" t="inlineStr">
        <x:is>
          <x:t xml:space="preserve"> Dopłata za szkło ścienne 
 przyciemniane</x:t>
        </x:is>
      </x:c>
      <x:c r="G1" s="634" t="n"/>
      <x:c r="H1" s="641" t="inlineStr">
        <x:is>
          <x:t xml:space="preserve"> Dopłata za szkło ścienne przyciemniane z jedną ścianą mleczną</x:t>
        </x:is>
      </x:c>
      <x:c r="I1" s="634" t="n"/>
      <x:c r="J1" s="633" t="inlineStr">
        <x:is>
          <x:t xml:space="preserve">  Szczotki przeciw kurzowe
 - komplet</x:t>
        </x:is>
      </x:c>
      <x:c r="K1" s="634" t="n"/>
      <x:c r="L1" s="640" t="inlineStr">
        <x:is>
          <x:t xml:space="preserve"> Uchwyty na szkło ścienne 
 - komplet</x:t>
        </x:is>
      </x:c>
      <x:c r="M1" s="634" t="n"/>
      <x:c r="N1" s="639" t="inlineStr">
        <x:is>
          <x:t xml:space="preserve"> Markiza dachowa zewnętrzna</x:t>
        </x:is>
      </x:c>
      <x:c r="O1" s="634" t="n"/>
      <x:c r="P1" s="638" t="inlineStr">
        <x:is>
          <x:t xml:space="preserve"> Roleta ścienna ZIP lewa</x:t>
        </x:is>
      </x:c>
      <x:c r="Q1" s="634" t="n"/>
      <x:c r="R1" s="639" t="inlineStr">
        <x:is>
          <x:t xml:space="preserve"> Roleta ścienna ZIP prawa</x:t>
        </x:is>
      </x:c>
      <x:c r="S1" s="634" t="n"/>
      <x:c r="T1" s="644" t="inlineStr">
        <x:is>
          <x:t xml:space="preserve"> Roleta ścienna ZIP przednia</x:t>
        </x:is>
      </x:c>
      <x:c r="U1" s="634" t="n"/>
      <x:c r="V1" s="639" t="inlineStr">
        <x:is>
          <x:t xml:space="preserve"> Oświetlenie LED 2 punkty 
 na krokwie wewnętrzne 
 - komplet</x:t>
        </x:is>
      </x:c>
      <x:c r="W1" s="634" t="n"/>
      <x:c r="X1" s="638" t="inlineStr">
        <x:is>
          <x:t xml:space="preserve"> Oświetlenie LED 3 punkty 
 na krokwie wewnętrzne 
 - komplet</x:t>
        </x:is>
      </x:c>
      <x:c r="Y1" s="634" t="n"/>
      <x:c r="Z1" s="645" t="inlineStr">
        <x:is>
          <x:t xml:space="preserve"> Fundamenty aluminiowe pod 
 systemy przesuwne - komplet</x:t>
        </x:is>
      </x:c>
      <x:c r="AA1" s="617" t="n"/>
      <x:c r="AB1" s="636" t="inlineStr">
        <x:is>
          <x:t xml:space="preserve">Zabieraki do ścian przesuwnych - komplet</x:t>
        </x:is>
      </x:c>
      <x:c r="AC1" s="634" t="n"/>
      <x:c r="AD1" s="622" t="inlineStr">
        <x:is>
          <x:t xml:space="preserve">Oświetlenie LED CCT ( ze ściemniaczem )
 - komplet</x:t>
        </x:is>
      </x:c>
      <x:c r="AE1" s="617" t="n"/>
      <x:c r="AF1" s="620" t="inlineStr">
        <x:is>
          <x:t xml:space="preserve">Oświetlenie LED RGB CCT ( ze ściemniaczem )
 - komplet</x:t>
        </x:is>
      </x:c>
      <x:c r="AG1" s="621" t="n"/>
    </x:row>
    <x:row r="2" s="655" customFormat="1" ht="39.75" customHeight="1">
      <x:c r="A2" s="16" t="inlineStr">
        <x:is>
          <x:t xml:space="preserve">Ogród zimowy
- dach ze szkła</x:t>
        </x:is>
      </x:c>
      <x:c r="B2" s="19" t="inlineStr">
        <x:is>
          <x:t xml:space="preserve">Cena brutto </x:t>
        </x:is>
      </x:c>
      <x:c r="C2" s="18" t="inlineStr">
        <x:is>
          <x:t xml:space="preserve">netto </x:t>
        </x:is>
      </x:c>
      <x:c r="D2" s="19" t="inlineStr">
        <x:is>
          <x:t xml:space="preserve">Cena brutto </x:t>
        </x:is>
      </x:c>
      <x:c r="E2" s="18" t="inlineStr">
        <x:is>
          <x:t xml:space="preserve">netto </x:t>
        </x:is>
      </x:c>
      <x:c r="F2" s="19" t="inlineStr">
        <x:is>
          <x:t xml:space="preserve">Cena brutto </x:t>
        </x:is>
      </x:c>
      <x:c r="G2" s="18" t="inlineStr">
        <x:is>
          <x:t xml:space="preserve">netto </x:t>
        </x:is>
      </x:c>
      <x:c r="H2" s="19" t="inlineStr">
        <x:is>
          <x:t xml:space="preserve">Cena brutto </x:t>
        </x:is>
      </x:c>
      <x:c r="I2" s="18" t="inlineStr">
        <x:is>
          <x:t xml:space="preserve">netto </x:t>
        </x:is>
      </x:c>
      <x:c r="J2" s="19" t="inlineStr">
        <x:is>
          <x:t xml:space="preserve">Cena brutto </x:t>
        </x:is>
      </x:c>
      <x:c r="K2" s="18" t="inlineStr">
        <x:is>
          <x:t xml:space="preserve">netto </x:t>
        </x:is>
      </x:c>
      <x:c r="L2" s="19" t="inlineStr">
        <x:is>
          <x:t xml:space="preserve">Cena brutto </x:t>
        </x:is>
      </x:c>
      <x:c r="M2" s="18" t="inlineStr">
        <x:is>
          <x:t xml:space="preserve">netto </x:t>
        </x:is>
      </x:c>
      <x:c r="N2" s="19" t="inlineStr">
        <x:is>
          <x:t xml:space="preserve">Cena brutto </x:t>
        </x:is>
      </x:c>
      <x:c r="O2" s="18" t="inlineStr">
        <x:is>
          <x:t xml:space="preserve">netto </x:t>
        </x:is>
      </x:c>
      <x:c r="P2" s="19" t="inlineStr">
        <x:is>
          <x:t xml:space="preserve">Cena brutto </x:t>
        </x:is>
      </x:c>
      <x:c r="Q2" s="18" t="inlineStr">
        <x:is>
          <x:t xml:space="preserve">netto </x:t>
        </x:is>
      </x:c>
      <x:c r="R2" s="19" t="inlineStr">
        <x:is>
          <x:t xml:space="preserve">Cena brutto </x:t>
        </x:is>
      </x:c>
      <x:c r="S2" s="18" t="inlineStr">
        <x:is>
          <x:t xml:space="preserve">netto </x:t>
        </x:is>
      </x:c>
      <x:c r="T2" s="19" t="inlineStr">
        <x:is>
          <x:t xml:space="preserve">Cena brutto </x:t>
        </x:is>
      </x:c>
      <x:c r="U2" s="18" t="inlineStr">
        <x:is>
          <x:t xml:space="preserve">netto </x:t>
        </x:is>
      </x:c>
      <x:c r="V2" s="19" t="inlineStr">
        <x:is>
          <x:t xml:space="preserve">Cena brutto </x:t>
        </x:is>
      </x:c>
      <x:c r="W2" s="18" t="inlineStr">
        <x:is>
          <x:t xml:space="preserve">netto </x:t>
        </x:is>
      </x:c>
      <x:c r="X2" s="19" t="inlineStr">
        <x:is>
          <x:t xml:space="preserve">Cena brutto </x:t>
        </x:is>
      </x:c>
      <x:c r="Y2" s="18" t="inlineStr">
        <x:is>
          <x:t xml:space="preserve">netto </x:t>
        </x:is>
      </x:c>
      <x:c r="Z2" s="19" t="inlineStr">
        <x:is>
          <x:t xml:space="preserve">Cena brutto </x:t>
        </x:is>
      </x:c>
      <x:c r="AA2" s="20" t="inlineStr">
        <x:is>
          <x:t xml:space="preserve">netto </x:t>
        </x:is>
      </x:c>
      <x:c r="AB2" s="124" t="inlineStr">
        <x:is>
          <x:t xml:space="preserve">Cena brutto </x:t>
        </x:is>
      </x:c>
      <x:c r="AC2" s="125" t="inlineStr">
        <x:is>
          <x:t xml:space="preserve">netto </x:t>
        </x:is>
      </x:c>
      <x:c r="AD2" s="19" t="inlineStr">
        <x:is>
          <x:t xml:space="preserve">Cena brutto </x:t>
        </x:is>
      </x:c>
      <x:c r="AE2" s="18" t="inlineStr">
        <x:is>
          <x:t xml:space="preserve">netto </x:t>
        </x:is>
      </x:c>
      <x:c r="AF2" s="19" t="inlineStr">
        <x:is>
          <x:t xml:space="preserve">Cena brutto </x:t>
        </x:is>
      </x:c>
      <x:c r="AG2" s="18" t="inlineStr">
        <x:is>
          <x:t xml:space="preserve">netto </x:t>
        </x:is>
      </x:c>
    </x:row>
    <x:row r="3" s="655" customFormat="1" ht="21.75" customHeight="1">
      <x:c r="A3" s="187" t="inlineStr">
        <x:is>
          <x:t xml:space="preserve">SERIA PRO  300-400 cm</x:t>
        </x:is>
      </x:c>
      <x:c r="B3" s="618" t="inlineStr">
        <x:is>
          <x:t xml:space="preserve">  OGRÓD ZIMOWY SZKŁO</x:t>
        </x:is>
      </x:c>
      <x:c r="C3" s="619" t="n"/>
      <x:c r="D3" s="619" t="n"/>
      <x:c r="E3" s="619" t="n"/>
      <x:c r="F3" s="619" t="n"/>
      <x:c r="G3" s="619" t="n"/>
      <x:c r="H3" s="619" t="n"/>
      <x:c r="I3" s="619" t="n"/>
      <x:c r="J3" s="619" t="n"/>
      <x:c r="K3" s="619" t="n"/>
      <x:c r="L3" s="619" t="n"/>
      <x:c r="M3" s="619" t="n"/>
      <x:c r="N3" s="619" t="n"/>
      <x:c r="O3" s="619" t="n"/>
      <x:c r="P3" s="619" t="n"/>
      <x:c r="Q3" s="619" t="n"/>
      <x:c r="R3" s="619" t="n"/>
      <x:c r="S3" s="619" t="n"/>
      <x:c r="T3" s="619" t="n"/>
      <x:c r="U3" s="619" t="n"/>
      <x:c r="V3" s="619" t="n"/>
      <x:c r="W3" s="619" t="n"/>
      <x:c r="X3" s="619" t="n"/>
      <x:c r="Y3" s="619" t="n"/>
      <x:c r="Z3" s="188" t="n"/>
      <x:c r="AA3" s="189" t="n"/>
      <x:c r="AB3" s="129" t="n"/>
      <x:c r="AC3" s="130" t="n"/>
      <x:c r="AD3" s="22" t="n"/>
      <x:c r="AE3" s="22" t="n"/>
      <x:c r="AF3" s="23" t="n"/>
      <x:c r="AG3" s="190" t="n"/>
    </x:row>
    <x:row r="4" s="655" customFormat="1" ht="15.75" customHeight="1">
      <x:c r="A4" s="25" t="inlineStr">
        <x:is>
          <x:t xml:space="preserve">300 x 306   cm</x:t>
        </x:is>
      </x:c>
      <x:c r="B4" s="28" t="n">
        <x:v>15980</x:v>
      </x:c>
      <x:c r="C4" s="27" t="n">
        <x:f>B4/1.23</x:f>
        <x:v>12991.869918699187</x:v>
      </x:c>
      <x:c r="D4" s="28" t="n">
        <x:v>340</x:v>
      </x:c>
      <x:c r="E4" s="27" t="n">
        <x:f>D4/1.23</x:f>
        <x:v>276.4227642276423</x:v>
      </x:c>
      <x:c r="F4" s="28" t="n">
        <x:v>1080</x:v>
      </x:c>
      <x:c r="G4" s="27" t="n">
        <x:f>F4/1.23</x:f>
        <x:v>878.048780487805</x:v>
      </x:c>
      <x:c r="H4" s="28" t="n">
        <x:v>1020</x:v>
      </x:c>
      <x:c r="I4" s="27" t="n">
        <x:f>H4/1.23</x:f>
        <x:v>829.2682926829268</x:v>
      </x:c>
      <x:c r="J4" s="28" t="n">
        <x:v>340</x:v>
      </x:c>
      <x:c r="K4" s="27" t="n">
        <x:f>J4/1.23</x:f>
        <x:v>276.4227642276423</x:v>
      </x:c>
      <x:c r="L4" s="28" t="n">
        <x:v>310</x:v>
      </x:c>
      <x:c r="M4" s="27" t="n">
        <x:f>L4/1.23</x:f>
        <x:v>252.03252032520325</x:v>
      </x:c>
      <x:c r="N4" s="28" t="n">
        <x:v>3900</x:v>
      </x:c>
      <x:c r="O4" s="27" t="n">
        <x:f>N4/1.23</x:f>
        <x:v>3170.7317073170734</x:v>
      </x:c>
      <x:c r="P4" s="28" t="n">
        <x:v>2140</x:v>
      </x:c>
      <x:c r="Q4" s="27" t="n">
        <x:f>P4/1.23</x:f>
        <x:v>1739.8373983739837</x:v>
      </x:c>
      <x:c r="R4" s="28" t="n">
        <x:v>2140</x:v>
      </x:c>
      <x:c r="S4" s="27" t="n">
        <x:f>R4/1.23</x:f>
        <x:v>1739.8373983739837</x:v>
      </x:c>
      <x:c r="T4" s="28" t="n">
        <x:v>2140</x:v>
      </x:c>
      <x:c r="U4" s="27" t="n">
        <x:f>T4/1.23</x:f>
        <x:v>1739.8373983739837</x:v>
      </x:c>
      <x:c r="V4" s="28" t="n">
        <x:v>420</x:v>
      </x:c>
      <x:c r="W4" s="27" t="n">
        <x:f>V4/1.23</x:f>
        <x:v>341.4634146341464</x:v>
      </x:c>
      <x:c r="X4" s="28" t="n">
        <x:v>640</x:v>
      </x:c>
      <x:c r="Y4" s="27" t="n">
        <x:f>X4/1.23</x:f>
        <x:v>520.3252032520326</x:v>
      </x:c>
      <x:c r="Z4" s="28" t="n">
        <x:v>660</x:v>
      </x:c>
      <x:c r="AA4" s="131" t="n">
        <x:f>Z4/1.23</x:f>
        <x:v>536.5853658536586</x:v>
      </x:c>
      <x:c r="AB4" s="132" t="n">
        <x:v>240</x:v>
      </x:c>
      <x:c r="AC4" s="133" t="n">
        <x:f>AB4/1.23</x:f>
        <x:v>195.1219512195122</x:v>
      </x:c>
      <x:c r="AD4" s="28" t="n">
        <x:v>972</x:v>
      </x:c>
      <x:c r="AE4" s="27" t="n">
        <x:f>AD4/1.23</x:f>
        <x:v>790.2439024390244</x:v>
      </x:c>
      <x:c r="AF4" s="28" t="n">
        <x:v>1205</x:v>
      </x:c>
      <x:c r="AG4" s="27" t="n">
        <x:f>AF4/1.23</x:f>
        <x:v>979.6747967479675</x:v>
      </x:c>
    </x:row>
    <x:row r="5" s="655" customFormat="1" ht="15.75" customHeight="1">
      <x:c r="A5" s="25" t="inlineStr">
        <x:is>
          <x:t xml:space="preserve">300 x 406   cm</x:t>
        </x:is>
      </x:c>
      <x:c r="B5" s="28" t="n">
        <x:v>18300</x:v>
      </x:c>
      <x:c r="C5" s="27" t="n">
        <x:f>B5/1.23</x:f>
        <x:v>14878.048780487805</x:v>
      </x:c>
      <x:c r="D5" s="28" t="n">
        <x:v>450</x:v>
      </x:c>
      <x:c r="E5" s="27" t="n">
        <x:f>D5/1.23</x:f>
        <x:v>365.8536585365854</x:v>
      </x:c>
      <x:c r="F5" s="28" t="n">
        <x:v>1200</x:v>
      </x:c>
      <x:c r="G5" s="27" t="n">
        <x:f>F5/1.23</x:f>
        <x:v>975.609756097561</x:v>
      </x:c>
      <x:c r="H5" s="28" t="n">
        <x:v>1140</x:v>
      </x:c>
      <x:c r="I5" s="27" t="n">
        <x:f>H5/1.23</x:f>
        <x:v>926.829268292683</x:v>
      </x:c>
      <x:c r="J5" s="28" t="n">
        <x:v>380</x:v>
      </x:c>
      <x:c r="K5" s="27" t="n">
        <x:f>J5/1.23</x:f>
        <x:v>308.9430894308943</x:v>
      </x:c>
      <x:c r="L5" s="28" t="n">
        <x:v>340</x:v>
      </x:c>
      <x:c r="M5" s="27" t="n">
        <x:f>L5/1.23</x:f>
        <x:v>276.4227642276423</x:v>
      </x:c>
      <x:c r="N5" s="28" t="n">
        <x:v>4300</x:v>
      </x:c>
      <x:c r="O5" s="27" t="n">
        <x:f>N5/1.23</x:f>
        <x:v>3495.9349593495936</x:v>
      </x:c>
      <x:c r="P5" s="28" t="n">
        <x:v>2140</x:v>
      </x:c>
      <x:c r="Q5" s="27" t="n">
        <x:f>P5/1.23</x:f>
        <x:v>1739.8373983739837</x:v>
      </x:c>
      <x:c r="R5" s="28" t="n">
        <x:v>2140</x:v>
      </x:c>
      <x:c r="S5" s="27" t="n">
        <x:f>R5/1.23</x:f>
        <x:v>1739.8373983739837</x:v>
      </x:c>
      <x:c r="T5" s="28" t="n">
        <x:v>2640</x:v>
      </x:c>
      <x:c r="U5" s="27" t="n">
        <x:f>T5/1.23</x:f>
        <x:v>2146.3414634146343</x:v>
      </x:c>
      <x:c r="V5" s="28" t="n">
        <x:v>510</x:v>
      </x:c>
      <x:c r="W5" s="27" t="n">
        <x:f>V5/1.23</x:f>
        <x:v>414.6341463414634</x:v>
      </x:c>
      <x:c r="X5" s="28" t="n">
        <x:v>740</x:v>
      </x:c>
      <x:c r="Y5" s="27" t="n">
        <x:f>X5/1.23</x:f>
        <x:v>601.6260162601626</x:v>
      </x:c>
      <x:c r="Z5" s="28" t="n">
        <x:v>770</x:v>
      </x:c>
      <x:c r="AA5" s="131" t="n">
        <x:f>Z5/1.23</x:f>
        <x:v>626.0162601626016</x:v>
      </x:c>
      <x:c r="AB5" s="132" t="n">
        <x:v>280</x:v>
      </x:c>
      <x:c r="AC5" s="133" t="n">
        <x:f>AB5/1.23</x:f>
        <x:v>227.64227642276424</x:v>
      </x:c>
      <x:c r="AD5" s="28" t="n">
        <x:v>1132</x:v>
      </x:c>
      <x:c r="AE5" s="27" t="n">
        <x:f>AD5/1.23</x:f>
        <x:v>920.3252032520326</x:v>
      </x:c>
      <x:c r="AF5" s="28" t="n">
        <x:v>1476</x:v>
      </x:c>
      <x:c r="AG5" s="27" t="n">
        <x:f>AF5/1.23</x:f>
        <x:v>1200</x:v>
      </x:c>
    </x:row>
    <x:row r="6" s="655" customFormat="1" ht="16.5" customHeight="1">
      <x:c r="A6" s="25" t="inlineStr">
        <x:is>
          <x:t xml:space="preserve">300 x 506   cm</x:t>
        </x:is>
      </x:c>
      <x:c r="B6" s="28" t="n">
        <x:v>21300</x:v>
      </x:c>
      <x:c r="C6" s="27" t="n">
        <x:f>B6/1.23</x:f>
        <x:v>17317.073170731706</x:v>
      </x:c>
      <x:c r="D6" s="28" t="n">
        <x:v>560</x:v>
      </x:c>
      <x:c r="E6" s="27" t="n">
        <x:f>D6/1.23</x:f>
        <x:v>455.2845528455285</x:v>
      </x:c>
      <x:c r="F6" s="28" t="n">
        <x:v>1320</x:v>
      </x:c>
      <x:c r="G6" s="27" t="n">
        <x:f>F6/1.23</x:f>
        <x:v>1073.1707317073171</x:v>
      </x:c>
      <x:c r="H6" s="28" t="n">
        <x:v>1260</x:v>
      </x:c>
      <x:c r="I6" s="27" t="n">
        <x:f>H6/1.23</x:f>
        <x:v>1024.3902439024391</x:v>
      </x:c>
      <x:c r="J6" s="28" t="n">
        <x:v>420</x:v>
      </x:c>
      <x:c r="K6" s="27" t="n">
        <x:f>J6/1.23</x:f>
        <x:v>341.4634146341464</x:v>
      </x:c>
      <x:c r="L6" s="28" t="n">
        <x:v>380</x:v>
      </x:c>
      <x:c r="M6" s="27" t="n">
        <x:f>L6/1.23</x:f>
        <x:v>308.9430894308943</x:v>
      </x:c>
      <x:c r="N6" s="28" t="n">
        <x:v>4980</x:v>
      </x:c>
      <x:c r="O6" s="27" t="n">
        <x:f>N6/1.23</x:f>
        <x:v>4048.7804878048782</x:v>
      </x:c>
      <x:c r="P6" s="28" t="n">
        <x:v>2140</x:v>
      </x:c>
      <x:c r="Q6" s="27" t="n">
        <x:f>P6/1.23</x:f>
        <x:v>1739.8373983739837</x:v>
      </x:c>
      <x:c r="R6" s="28" t="n">
        <x:v>2140</x:v>
      </x:c>
      <x:c r="S6" s="27" t="n">
        <x:f>R6/1.23</x:f>
        <x:v>1739.8373983739837</x:v>
      </x:c>
      <x:c r="T6" s="28" t="n">
        <x:v>3700</x:v>
      </x:c>
      <x:c r="U6" s="27" t="n">
        <x:f>T6/1.23</x:f>
        <x:v>3008.130081300813</x:v>
      </x:c>
      <x:c r="V6" s="28" t="n">
        <x:v>600</x:v>
      </x:c>
      <x:c r="W6" s="27" t="n">
        <x:f>V6/1.23</x:f>
        <x:v>487.8048780487805</x:v>
      </x:c>
      <x:c r="X6" s="28" t="n">
        <x:v>960</x:v>
      </x:c>
      <x:c r="Y6" s="27" t="n">
        <x:f>X6/1.23</x:f>
        <x:v>780.4878048780488</x:v>
      </x:c>
      <x:c r="Z6" s="28" t="n">
        <x:v>910</x:v>
      </x:c>
      <x:c r="AA6" s="131" t="n">
        <x:f>Z6/1.23</x:f>
        <x:v>739.8373983739838</x:v>
      </x:c>
      <x:c r="AB6" s="132" t="n">
        <x:v>280</x:v>
      </x:c>
      <x:c r="AC6" s="133" t="n">
        <x:f>AB6/1.23</x:f>
        <x:v>227.64227642276424</x:v>
      </x:c>
      <x:c r="AD6" s="28" t="n">
        <x:v>1304</x:v>
      </x:c>
      <x:c r="AE6" s="27" t="n">
        <x:f>AD6/1.23</x:f>
        <x:v>1060.1626016260163</x:v>
      </x:c>
      <x:c r="AF6" s="28" t="n">
        <x:v>1747</x:v>
      </x:c>
      <x:c r="AG6" s="27" t="n">
        <x:f>AF6/1.23</x:f>
        <x:v>1420.3252032520325</x:v>
      </x:c>
    </x:row>
    <x:row r="7" s="655" customFormat="1" ht="15.75" customHeight="1">
      <x:c r="A7" s="25" t="inlineStr">
        <x:is>
          <x:t xml:space="preserve">300 x 606   cm</x:t>
        </x:is>
      </x:c>
      <x:c r="B7" s="28" t="n">
        <x:v>24080</x:v>
      </x:c>
      <x:c r="C7" s="27" t="n">
        <x:f>B7/1.23</x:f>
        <x:v>19577.235772357722</x:v>
      </x:c>
      <x:c r="D7" s="28" t="n">
        <x:v>670</x:v>
      </x:c>
      <x:c r="E7" s="27" t="n">
        <x:f>D7/1.23</x:f>
        <x:v>544.7154471544716</x:v>
      </x:c>
      <x:c r="F7" s="28" t="n">
        <x:v>1440</x:v>
      </x:c>
      <x:c r="G7" s="27" t="n">
        <x:f>F7/1.23</x:f>
        <x:v>1170.7317073170732</x:v>
      </x:c>
      <x:c r="H7" s="28" t="n">
        <x:v>1380</x:v>
      </x:c>
      <x:c r="I7" s="27" t="n">
        <x:f>H7/1.23</x:f>
        <x:v>1121.9512195121952</x:v>
      </x:c>
      <x:c r="J7" s="28" t="n">
        <x:v>460</x:v>
      </x:c>
      <x:c r="K7" s="27" t="n">
        <x:f>J7/1.23</x:f>
        <x:v>373.9837398373984</x:v>
      </x:c>
      <x:c r="L7" s="28" t="n">
        <x:v>410</x:v>
      </x:c>
      <x:c r="M7" s="27" t="n">
        <x:f>L7/1.23</x:f>
        <x:v>333.3333333333333</x:v>
      </x:c>
      <x:c r="N7" s="28" t="n">
        <x:v>7800</x:v>
      </x:c>
      <x:c r="O7" s="27" t="n">
        <x:f>N7/1.23</x:f>
        <x:v>6341.463414634147</x:v>
      </x:c>
      <x:c r="P7" s="28" t="n">
        <x:v>2140</x:v>
      </x:c>
      <x:c r="Q7" s="27" t="n">
        <x:f>P7/1.23</x:f>
        <x:v>1739.8373983739837</x:v>
      </x:c>
      <x:c r="R7" s="28" t="n">
        <x:v>2140</x:v>
      </x:c>
      <x:c r="S7" s="27" t="n">
        <x:f>R7/1.23</x:f>
        <x:v>1739.8373983739837</x:v>
      </x:c>
      <x:c r="T7" s="28" t="n">
        <x:v>4270</x:v>
      </x:c>
      <x:c r="U7" s="27" t="n">
        <x:f>T7/1.23</x:f>
        <x:v>3471.5447154471544</x:v>
      </x:c>
      <x:c r="V7" s="28" t="n">
        <x:v>790</x:v>
      </x:c>
      <x:c r="W7" s="27" t="n">
        <x:f>V7/1.23</x:f>
        <x:v>642.2764227642276</x:v>
      </x:c>
      <x:c r="X7" s="28" t="n">
        <x:v>1090</x:v>
      </x:c>
      <x:c r="Y7" s="27" t="n">
        <x:f>X7/1.23</x:f>
        <x:v>886.178861788618</x:v>
      </x:c>
      <x:c r="Z7" s="28" t="n">
        <x:v>1200</x:v>
      </x:c>
      <x:c r="AA7" s="131" t="n">
        <x:f>Z7/1.23</x:f>
        <x:v>975.609756097561</x:v>
      </x:c>
      <x:c r="AB7" s="132" t="n">
        <x:v>320</x:v>
      </x:c>
      <x:c r="AC7" s="133" t="n">
        <x:f>AB7/1.23</x:f>
        <x:v>260.1626016260163</x:v>
      </x:c>
      <x:c r="AD7" s="28" t="n">
        <x:v>1304</x:v>
      </x:c>
      <x:c r="AE7" s="27" t="n">
        <x:f>AD7/1.23</x:f>
        <x:v>1060.1626016260163</x:v>
      </x:c>
      <x:c r="AF7" s="28" t="n">
        <x:v>2042</x:v>
      </x:c>
      <x:c r="AG7" s="27" t="n">
        <x:f>AF7/1.23</x:f>
        <x:v>1660.1626016260163</x:v>
      </x:c>
    </x:row>
    <x:row r="8" s="655" customFormat="1" ht="15.75" customHeight="1">
      <x:c r="A8" s="25" t="inlineStr">
        <x:is>
          <x:t xml:space="preserve">300 x 706   cm</x:t>
        </x:is>
      </x:c>
      <x:c r="B8" s="28" t="n">
        <x:v>25920</x:v>
      </x:c>
      <x:c r="C8" s="27" t="n">
        <x:f>B8/1.23</x:f>
        <x:v>21073.170731707316</x:v>
      </x:c>
      <x:c r="D8" s="28" t="n">
        <x:v>780</x:v>
      </x:c>
      <x:c r="E8" s="27" t="n">
        <x:f>D8/1.23</x:f>
        <x:v>634.1463414634146</x:v>
      </x:c>
      <x:c r="F8" s="28" t="n">
        <x:v>1560</x:v>
      </x:c>
      <x:c r="G8" s="27" t="n">
        <x:f>F8/1.23</x:f>
        <x:v>1268.2926829268292</x:v>
      </x:c>
      <x:c r="H8" s="28" t="n">
        <x:v>1500</x:v>
      </x:c>
      <x:c r="I8" s="27" t="n">
        <x:f>H8/1.23</x:f>
        <x:v>1219.5121951219512</x:v>
      </x:c>
      <x:c r="J8" s="28" t="n">
        <x:v>500</x:v>
      </x:c>
      <x:c r="K8" s="27" t="n">
        <x:f>J8/1.23</x:f>
        <x:v>406.5040650406504</x:v>
      </x:c>
      <x:c r="L8" s="28" t="n">
        <x:v>450</x:v>
      </x:c>
      <x:c r="M8" s="27" t="n">
        <x:f>L8/1.23</x:f>
        <x:v>365.8536585365854</x:v>
      </x:c>
      <x:c r="N8" s="28" t="n">
        <x:v>8210</x:v>
      </x:c>
      <x:c r="O8" s="27" t="n">
        <x:f>N8/1.23</x:f>
        <x:v>6674.79674796748</x:v>
      </x:c>
      <x:c r="P8" s="28" t="n">
        <x:v>2140</x:v>
      </x:c>
      <x:c r="Q8" s="27" t="n">
        <x:f>P8/1.23</x:f>
        <x:v>1739.8373983739837</x:v>
      </x:c>
      <x:c r="R8" s="28" t="n">
        <x:v>2140</x:v>
      </x:c>
      <x:c r="S8" s="27" t="n">
        <x:f>R8/1.23</x:f>
        <x:v>1739.8373983739837</x:v>
      </x:c>
      <x:c r="T8" s="28" t="n">
        <x:v>4780</x:v>
      </x:c>
      <x:c r="U8" s="27" t="n">
        <x:f>T8/1.23</x:f>
        <x:v>3886.1788617886177</x:v>
      </x:c>
      <x:c r="V8" s="28" t="n">
        <x:v>870</x:v>
      </x:c>
      <x:c r="W8" s="27" t="n">
        <x:f>V8/1.23</x:f>
        <x:v>707.3170731707318</x:v>
      </x:c>
      <x:c r="X8" s="28" t="n">
        <x:v>1210</x:v>
      </x:c>
      <x:c r="Y8" s="27" t="n">
        <x:f>X8/1.23</x:f>
        <x:v>983.739837398374</x:v>
      </x:c>
      <x:c r="Z8" s="28" t="n">
        <x:v>990</x:v>
      </x:c>
      <x:c r="AA8" s="131" t="n">
        <x:f>Z8/1.23</x:f>
        <x:v>804.8780487804878</x:v>
      </x:c>
      <x:c r="AB8" s="132" t="n">
        <x:v>360</x:v>
      </x:c>
      <x:c r="AC8" s="133" t="n">
        <x:f>AB8/1.23</x:f>
        <x:v>292.6829268292683</x:v>
      </x:c>
      <x:c r="AD8" s="28" t="n">
        <x:v>1464</x:v>
      </x:c>
      <x:c r="AE8" s="27" t="n">
        <x:f>AD8/1.23</x:f>
        <x:v>1190.2439024390244</x:v>
      </x:c>
      <x:c r="AF8" s="28" t="n">
        <x:v>2325</x:v>
      </x:c>
      <x:c r="AG8" s="27" t="n">
        <x:f>AF8/1.23</x:f>
        <x:v>1890.2439024390244</x:v>
      </x:c>
    </x:row>
    <x:row r="9" s="655" customFormat="1" ht="15.75" customHeight="1">
      <x:c r="A9" s="25" t="inlineStr">
        <x:is>
          <x:t xml:space="preserve">300 x 806   cm</x:t>
        </x:is>
      </x:c>
      <x:c r="B9" s="28" t="n">
        <x:v>29370</x:v>
      </x:c>
      <x:c r="C9" s="27" t="n">
        <x:f>B9/1.23</x:f>
        <x:v>23878.048780487807</x:v>
      </x:c>
      <x:c r="D9" s="28" t="n">
        <x:v>900</x:v>
      </x:c>
      <x:c r="E9" s="27" t="n">
        <x:f>D9/1.23</x:f>
        <x:v>731.7073170731708</x:v>
      </x:c>
      <x:c r="F9" s="28" t="n">
        <x:v>1680</x:v>
      </x:c>
      <x:c r="G9" s="27" t="n">
        <x:f>F9/1.23</x:f>
        <x:v>1365.8536585365855</x:v>
      </x:c>
      <x:c r="H9" s="28" t="n">
        <x:v>1620</x:v>
      </x:c>
      <x:c r="I9" s="27" t="n">
        <x:f>H9/1.23</x:f>
        <x:v>1317.0731707317073</x:v>
      </x:c>
      <x:c r="J9" s="28" t="n">
        <x:v>530</x:v>
      </x:c>
      <x:c r="K9" s="27" t="n">
        <x:f>J9/1.23</x:f>
        <x:v>430.8943089430894</x:v>
      </x:c>
      <x:c r="L9" s="28" t="n">
        <x:v>480</x:v>
      </x:c>
      <x:c r="M9" s="27" t="n">
        <x:f>L9/1.23</x:f>
        <x:v>390.2439024390244</x:v>
      </x:c>
      <x:c r="N9" s="28" t="n">
        <x:v>8600</x:v>
      </x:c>
      <x:c r="O9" s="27" t="n">
        <x:f>N9/1.23</x:f>
        <x:v>6991.869918699187</x:v>
      </x:c>
      <x:c r="P9" s="28" t="n">
        <x:v>2140</x:v>
      </x:c>
      <x:c r="Q9" s="27" t="n">
        <x:f>P9/1.23</x:f>
        <x:v>1739.8373983739837</x:v>
      </x:c>
      <x:c r="R9" s="28" t="n">
        <x:v>2140</x:v>
      </x:c>
      <x:c r="S9" s="27" t="n">
        <x:f>R9/1.23</x:f>
        <x:v>1739.8373983739837</x:v>
      </x:c>
      <x:c r="T9" s="28" t="n">
        <x:v>5280</x:v>
      </x:c>
      <x:c r="U9" s="27" t="n">
        <x:f>T9/1.23</x:f>
        <x:v>4292.682926829269</x:v>
      </x:c>
      <x:c r="V9" s="28" t="n">
        <x:v>960</x:v>
      </x:c>
      <x:c r="W9" s="27" t="n">
        <x:f>V9/1.23</x:f>
        <x:v>780.4878048780488</x:v>
      </x:c>
      <x:c r="X9" s="28" t="n">
        <x:v>1440</x:v>
      </x:c>
      <x:c r="Y9" s="27" t="n">
        <x:f>X9/1.23</x:f>
        <x:v>1170.7317073170732</x:v>
      </x:c>
      <x:c r="Z9" s="28" t="n">
        <x:v>1110</x:v>
      </x:c>
      <x:c r="AA9" s="131" t="n">
        <x:f>Z9/1.23</x:f>
        <x:v>902.439024390244</x:v>
      </x:c>
      <x:c r="AB9" s="132" t="n">
        <x:v>400</x:v>
      </x:c>
      <x:c r="AC9" s="133" t="n">
        <x:f>AB9/1.23</x:f>
        <x:v>325.2032520325203</x:v>
      </x:c>
      <x:c r="AD9" s="28" t="n">
        <x:v>1648</x:v>
      </x:c>
      <x:c r="AE9" s="27" t="n">
        <x:f>AD9/1.23</x:f>
        <x:v>1339.8373983739837</x:v>
      </x:c>
      <x:c r="AF9" s="28" t="n">
        <x:v>2620</x:v>
      </x:c>
      <x:c r="AG9" s="27" t="n">
        <x:f>AF9/1.23</x:f>
        <x:v>2130.081300813008</x:v>
      </x:c>
    </x:row>
    <x:row r="10" s="655" customFormat="1" ht="15.75" customHeight="1">
      <x:c r="A10" s="25" t="inlineStr">
        <x:is>
          <x:t xml:space="preserve">300 x 906   cm</x:t>
        </x:is>
      </x:c>
      <x:c r="B10" s="28" t="n">
        <x:v>32370</x:v>
      </x:c>
      <x:c r="C10" s="27" t="n">
        <x:f>B10/1.23</x:f>
        <x:v>26317.073170731706</x:v>
      </x:c>
      <x:c r="D10" s="28" t="n">
        <x:v>1000</x:v>
      </x:c>
      <x:c r="E10" s="27" t="n">
        <x:f>D10/1.23</x:f>
        <x:v>813.0081300813008</x:v>
      </x:c>
      <x:c r="F10" s="28" t="n">
        <x:v>1800</x:v>
      </x:c>
      <x:c r="G10" s="27" t="n">
        <x:f>F10/1.23</x:f>
        <x:v>1463.4146341463415</x:v>
      </x:c>
      <x:c r="H10" s="28" t="n">
        <x:v>1740</x:v>
      </x:c>
      <x:c r="I10" s="27" t="n">
        <x:f>H10/1.23</x:f>
        <x:v>1414.6341463414635</x:v>
      </x:c>
      <x:c r="J10" s="28" t="n">
        <x:v>570</x:v>
      </x:c>
      <x:c r="K10" s="27" t="n">
        <x:f>J10/1.23</x:f>
        <x:v>463.4146341463415</x:v>
      </x:c>
      <x:c r="L10" s="28" t="n">
        <x:v>520</x:v>
      </x:c>
      <x:c r="M10" s="27" t="n">
        <x:f>L10/1.23</x:f>
        <x:v>422.7642276422764</x:v>
      </x:c>
      <x:c r="N10" s="28" t="n">
        <x:v>9280</x:v>
      </x:c>
      <x:c r="O10" s="27" t="n">
        <x:f>N10/1.23</x:f>
        <x:v>7544.715447154472</x:v>
      </x:c>
      <x:c r="P10" s="28" t="n">
        <x:v>2140</x:v>
      </x:c>
      <x:c r="Q10" s="27" t="n">
        <x:f>P10/1.23</x:f>
        <x:v>1739.8373983739837</x:v>
      </x:c>
      <x:c r="R10" s="28" t="n">
        <x:v>2140</x:v>
      </x:c>
      <x:c r="S10" s="27" t="n">
        <x:f>R10/1.23</x:f>
        <x:v>1739.8373983739837</x:v>
      </x:c>
      <x:c r="T10" s="28" t="n">
        <x:v>6400</x:v>
      </x:c>
      <x:c r="U10" s="27" t="n">
        <x:f>T10/1.23</x:f>
        <x:v>5203.252032520325</x:v>
      </x:c>
      <x:c r="V10" s="28" t="n">
        <x:v>1040</x:v>
      </x:c>
      <x:c r="W10" s="27" t="n">
        <x:f>V10/1.23</x:f>
        <x:v>845.5284552845528</x:v>
      </x:c>
      <x:c r="X10" s="28" t="n">
        <x:v>1560</x:v>
      </x:c>
      <x:c r="Y10" s="27" t="n">
        <x:f>X10/1.23</x:f>
        <x:v>1268.2926829268292</x:v>
      </x:c>
      <x:c r="Z10" s="28" t="n">
        <x:v>1250</x:v>
      </x:c>
      <x:c r="AA10" s="131" t="n">
        <x:f>Z10/1.23</x:f>
        <x:v>1016.260162601626</x:v>
      </x:c>
      <x:c r="AB10" s="132" t="n">
        <x:v>400</x:v>
      </x:c>
      <x:c r="AC10" s="133" t="n">
        <x:f>AB10/1.23</x:f>
        <x:v>325.2032520325203</x:v>
      </x:c>
      <x:c r="AD10" s="28" t="n">
        <x:v>1833</x:v>
      </x:c>
      <x:c r="AE10" s="27" t="n">
        <x:f>AD10/1.23</x:f>
        <x:v>1490.2439024390244</x:v>
      </x:c>
      <x:c r="AF10" s="28" t="n">
        <x:v>2915</x:v>
      </x:c>
      <x:c r="AG10" s="27" t="n">
        <x:f>AF10/1.23</x:f>
        <x:v>2369.918699186992</x:v>
      </x:c>
    </x:row>
    <x:row r="11" s="655" customFormat="1" ht="15.75" customHeight="1">
      <x:c r="A11" s="25" t="inlineStr">
        <x:is>
          <x:t xml:space="preserve">300 x 1006 cm</x:t>
        </x:is>
      </x:c>
      <x:c r="B11" s="28" t="n">
        <x:v>35380</x:v>
      </x:c>
      <x:c r="C11" s="27" t="n">
        <x:f>B11/1.23</x:f>
        <x:v>28764.227642276423</x:v>
      </x:c>
      <x:c r="D11" s="28" t="n">
        <x:v>1110</x:v>
      </x:c>
      <x:c r="E11" s="27" t="n">
        <x:f>D11/1.23</x:f>
        <x:v>902.439024390244</x:v>
      </x:c>
      <x:c r="F11" s="28" t="n">
        <x:v>1920</x:v>
      </x:c>
      <x:c r="G11" s="27" t="n">
        <x:f>F11/1.23</x:f>
        <x:v>1560.9756097560976</x:v>
      </x:c>
      <x:c r="H11" s="28" t="n">
        <x:v>1860</x:v>
      </x:c>
      <x:c r="I11" s="27" t="n">
        <x:f>H11/1.23</x:f>
        <x:v>1512.1951219512196</x:v>
      </x:c>
      <x:c r="J11" s="28" t="n">
        <x:v>610</x:v>
      </x:c>
      <x:c r="K11" s="27" t="n">
        <x:f>J11/1.23</x:f>
        <x:v>495.9349593495935</x:v>
      </x:c>
      <x:c r="L11" s="28" t="n">
        <x:v>550</x:v>
      </x:c>
      <x:c r="M11" s="27" t="n">
        <x:f>L11/1.23</x:f>
        <x:v>447.1544715447155</x:v>
      </x:c>
      <x:c r="N11" s="28" t="n">
        <x:v>9950</x:v>
      </x:c>
      <x:c r="O11" s="27" t="n">
        <x:f>N11/1.23</x:f>
        <x:v>8089.430894308944</x:v>
      </x:c>
      <x:c r="P11" s="28" t="n">
        <x:v>2140</x:v>
      </x:c>
      <x:c r="Q11" s="27" t="n">
        <x:f>P11/1.23</x:f>
        <x:v>1739.8373983739837</x:v>
      </x:c>
      <x:c r="R11" s="28" t="n">
        <x:v>2140</x:v>
      </x:c>
      <x:c r="S11" s="27" t="n">
        <x:f>R11/1.23</x:f>
        <x:v>1739.8373983739837</x:v>
      </x:c>
      <x:c r="T11" s="28" t="n">
        <x:v>6910</x:v>
      </x:c>
      <x:c r="U11" s="27" t="n">
        <x:f>T11/1.23</x:f>
        <x:v>5617.886178861789</x:v>
      </x:c>
      <x:c r="V11" s="28" t="n">
        <x:v>1230</x:v>
      </x:c>
      <x:c r="W11" s="27" t="n">
        <x:f>V11/1.23</x:f>
        <x:v>1000</x:v>
      </x:c>
      <x:c r="X11" s="28" t="n">
        <x:v>1650</x:v>
      </x:c>
      <x:c r="Y11" s="27" t="n">
        <x:f>X11/1.23</x:f>
        <x:v>1341.4634146341464</x:v>
      </x:c>
      <x:c r="Z11" s="28" t="n">
        <x:v>1380</x:v>
      </x:c>
      <x:c r="AA11" s="131" t="n">
        <x:f>Z11/1.23</x:f>
        <x:v>1121.9512195121952</x:v>
      </x:c>
      <x:c r="AB11" s="132" t="n">
        <x:v>440</x:v>
      </x:c>
      <x:c r="AC11" s="133" t="n">
        <x:f>AB11/1.23</x:f>
        <x:v>357.7235772357724</x:v>
      </x:c>
      <x:c r="AD11" s="28" t="n">
        <x:v>2189</x:v>
      </x:c>
      <x:c r="AE11" s="27" t="n">
        <x:f>AD11/1.23</x:f>
        <x:v>1779.6747967479675</x:v>
      </x:c>
      <x:c r="AF11" s="28" t="n">
        <x:v>3198</x:v>
      </x:c>
      <x:c r="AG11" s="27" t="n">
        <x:f>AF11/1.23</x:f>
        <x:v>2600</x:v>
      </x:c>
    </x:row>
    <x:row r="12" s="655" customFormat="1" ht="15.75" customHeight="1">
      <x:c r="A12" s="25" t="inlineStr">
        <x:is>
          <x:t xml:space="preserve">300 x 1106 cm</x:t>
        </x:is>
      </x:c>
      <x:c r="B12" s="28" t="n">
        <x:v>38150</x:v>
      </x:c>
      <x:c r="C12" s="27" t="n">
        <x:f>B12/1.23</x:f>
        <x:v>31016.260162601626</x:v>
      </x:c>
      <x:c r="D12" s="28" t="n">
        <x:v>1220</x:v>
      </x:c>
      <x:c r="E12" s="27" t="n">
        <x:f>D12/1.23</x:f>
        <x:v>991.869918699187</x:v>
      </x:c>
      <x:c r="F12" s="28" t="n">
        <x:v>2040</x:v>
      </x:c>
      <x:c r="G12" s="27" t="n">
        <x:f>F12/1.23</x:f>
        <x:v>1658.5365853658536</x:v>
      </x:c>
      <x:c r="H12" s="28" t="n">
        <x:v>1980</x:v>
      </x:c>
      <x:c r="I12" s="27" t="n">
        <x:f>H12/1.23</x:f>
        <x:v>1609.7560975609756</x:v>
      </x:c>
      <x:c r="J12" s="28" t="n">
        <x:v>650</x:v>
      </x:c>
      <x:c r="K12" s="27" t="n">
        <x:f>J12/1.23</x:f>
        <x:v>528.4552845528456</x:v>
      </x:c>
      <x:c r="L12" s="28" t="n">
        <x:v>590</x:v>
      </x:c>
      <x:c r="M12" s="27" t="n">
        <x:f>L12/1.23</x:f>
        <x:v>479.6747967479675</x:v>
      </x:c>
      <x:c r="N12" s="28" t="n">
        <x:v>12500</x:v>
      </x:c>
      <x:c r="O12" s="27" t="n">
        <x:f>N12/1.23</x:f>
        <x:v>10162.60162601626</x:v>
      </x:c>
      <x:c r="P12" s="28" t="n">
        <x:v>2140</x:v>
      </x:c>
      <x:c r="Q12" s="27" t="n">
        <x:f>P12/1.23</x:f>
        <x:v>1739.8373983739837</x:v>
      </x:c>
      <x:c r="R12" s="28" t="n">
        <x:v>2140</x:v>
      </x:c>
      <x:c r="S12" s="27" t="n">
        <x:f>R12/1.23</x:f>
        <x:v>1739.8373983739837</x:v>
      </x:c>
      <x:c r="T12" s="28" t="n">
        <x:v>7420</x:v>
      </x:c>
      <x:c r="U12" s="27" t="n">
        <x:f>T12/1.23</x:f>
        <x:v>6032.5203252032525</x:v>
      </x:c>
      <x:c r="V12" s="28" t="n">
        <x:v>1430</x:v>
      </x:c>
      <x:c r="W12" s="27" t="n">
        <x:f>V12/1.23</x:f>
        <x:v>1162.60162601626</x:v>
      </x:c>
      <x:c r="X12" s="28" t="n">
        <x:v>1770</x:v>
      </x:c>
      <x:c r="Y12" s="27" t="n">
        <x:f>X12/1.23</x:f>
        <x:v>1439.0243902439024</x:v>
      </x:c>
      <x:c r="Z12" s="28" t="n">
        <x:v>1960</x:v>
      </x:c>
      <x:c r="AA12" s="131" t="n">
        <x:f>Z12/1.23</x:f>
        <x:v>1593.4959349593496</x:v>
      </x:c>
      <x:c r="AB12" s="132" t="n">
        <x:v>480</x:v>
      </x:c>
      <x:c r="AC12" s="133" t="n">
        <x:f>AB12/1.23</x:f>
        <x:v>390.2439024390244</x:v>
      </x:c>
      <x:c r="AD12" s="28" t="n">
        <x:v>2374</x:v>
      </x:c>
      <x:c r="AE12" s="27" t="n">
        <x:f>AD12/1.23</x:f>
        <x:v>1930.081300813008</x:v>
      </x:c>
      <x:c r="AF12" s="28" t="n">
        <x:v>3493</x:v>
      </x:c>
      <x:c r="AG12" s="27" t="n">
        <x:f>AF12/1.23</x:f>
        <x:v>2839.837398373984</x:v>
      </x:c>
    </x:row>
    <x:row r="13" s="655" customFormat="1" ht="15.75" customHeight="1">
      <x:c r="A13" s="25" t="inlineStr">
        <x:is>
          <x:t xml:space="preserve">300 x 1206 cm</x:t>
        </x:is>
      </x:c>
      <x:c r="B13" s="28" t="n">
        <x:v>40930</x:v>
      </x:c>
      <x:c r="C13" s="27" t="n">
        <x:f>B13/1.23</x:f>
        <x:v>33276.422764227646</x:v>
      </x:c>
      <x:c r="D13" s="28" t="n">
        <x:v>1340</x:v>
      </x:c>
      <x:c r="E13" s="27" t="n">
        <x:f>D13/1.23</x:f>
        <x:v>1089.4308943089432</x:v>
      </x:c>
      <x:c r="F13" s="28" t="n">
        <x:v>2160</x:v>
      </x:c>
      <x:c r="G13" s="27" t="n">
        <x:f>F13/1.23</x:f>
        <x:v>1756.09756097561</x:v>
      </x:c>
      <x:c r="H13" s="28" t="n">
        <x:v>2100</x:v>
      </x:c>
      <x:c r="I13" s="27" t="n">
        <x:f>H13/1.23</x:f>
        <x:v>1707.3170731707316</x:v>
      </x:c>
      <x:c r="J13" s="28" t="n">
        <x:v>690</x:v>
      </x:c>
      <x:c r="K13" s="27" t="n">
        <x:f>J13/1.23</x:f>
        <x:v>560.9756097560976</x:v>
      </x:c>
      <x:c r="L13" s="28" t="n">
        <x:v>620</x:v>
      </x:c>
      <x:c r="M13" s="27" t="n">
        <x:f>L13/1.23</x:f>
        <x:v>504.0650406504065</x:v>
      </x:c>
      <x:c r="N13" s="28" t="n">
        <x:v>12900</x:v>
      </x:c>
      <x:c r="O13" s="27" t="n">
        <x:f>N13/1.23</x:f>
        <x:v>10487.80487804878</x:v>
      </x:c>
      <x:c r="P13" s="28" t="n">
        <x:v>2140</x:v>
      </x:c>
      <x:c r="Q13" s="27" t="n">
        <x:f>P13/1.23</x:f>
        <x:v>1739.8373983739837</x:v>
      </x:c>
      <x:c r="R13" s="28" t="n">
        <x:v>2140</x:v>
      </x:c>
      <x:c r="S13" s="27" t="n">
        <x:f>R13/1.23</x:f>
        <x:v>1739.8373983739837</x:v>
      </x:c>
      <x:c r="T13" s="28" t="n">
        <x:v>7920</x:v>
      </x:c>
      <x:c r="U13" s="27" t="n">
        <x:f>T13/1.23</x:f>
        <x:v>6439.024390243902</x:v>
      </x:c>
      <x:c r="V13" s="28" t="n">
        <x:v>1510</x:v>
      </x:c>
      <x:c r="W13" s="27" t="n">
        <x:f>V13/1.23</x:f>
        <x:v>1227.6422764227643</x:v>
      </x:c>
      <x:c r="X13" s="28" t="n">
        <x:v>1900</x:v>
      </x:c>
      <x:c r="Y13" s="27" t="n">
        <x:f>X13/1.23</x:f>
        <x:v>1544.7154471544716</x:v>
      </x:c>
      <x:c r="Z13" s="28" t="n">
        <x:v>1960</x:v>
      </x:c>
      <x:c r="AA13" s="131" t="n">
        <x:f>Z13/1.23</x:f>
        <x:v>1593.4959349593496</x:v>
      </x:c>
      <x:c r="AB13" s="132" t="n">
        <x:v>520</x:v>
      </x:c>
      <x:c r="AC13" s="133" t="n">
        <x:f>AB13/1.23</x:f>
        <x:v>422.7642276422764</x:v>
      </x:c>
      <x:c r="AD13" s="28" t="n">
        <x:v>2546</x:v>
      </x:c>
      <x:c r="AE13" s="27" t="n">
        <x:f>AD13/1.23</x:f>
        <x:v>2069.918699186992</x:v>
      </x:c>
      <x:c r="AF13" s="28" t="n">
        <x:v>3788</x:v>
      </x:c>
      <x:c r="AG13" s="27" t="n">
        <x:f>AF13/1.23</x:f>
        <x:v>3079.6747967479673</x:v>
      </x:c>
    </x:row>
    <x:row r="14" s="655" customFormat="1" ht="15.75" customHeight="1">
      <x:c r="A14" s="29" t="inlineStr">
        <x:is>
          <x:t xml:space="preserve">350 x 306   cm</x:t>
        </x:is>
      </x:c>
      <x:c r="B14" s="32" t="n">
        <x:v>18810</x:v>
      </x:c>
      <x:c r="C14" s="31" t="n">
        <x:f>B14/1.23</x:f>
        <x:v>15292.682926829268</x:v>
      </x:c>
      <x:c r="D14" s="32" t="n">
        <x:v>340</x:v>
      </x:c>
      <x:c r="E14" s="31" t="n">
        <x:f>D14/1.23</x:f>
        <x:v>276.4227642276423</x:v>
      </x:c>
      <x:c r="F14" s="32" t="n">
        <x:v>1320</x:v>
      </x:c>
      <x:c r="G14" s="31" t="n">
        <x:f>F14/1.23</x:f>
        <x:v>1073.1707317073171</x:v>
      </x:c>
      <x:c r="H14" s="32" t="n">
        <x:v>1240</x:v>
      </x:c>
      <x:c r="I14" s="31" t="n">
        <x:f>H14/1.23</x:f>
        <x:v>1008.130081300813</x:v>
      </x:c>
      <x:c r="J14" s="32" t="n">
        <x:v>420</x:v>
      </x:c>
      <x:c r="K14" s="31" t="n">
        <x:f>J14/1.23</x:f>
        <x:v>341.4634146341464</x:v>
      </x:c>
      <x:c r="L14" s="32" t="n">
        <x:v>380</x:v>
      </x:c>
      <x:c r="M14" s="31" t="n">
        <x:f>L14/1.23</x:f>
        <x:v>308.9430894308943</x:v>
      </x:c>
      <x:c r="N14" s="32" t="n">
        <x:v>3980</x:v>
      </x:c>
      <x:c r="O14" s="31" t="n">
        <x:f>N14/1.23</x:f>
        <x:v>3235.7723577235774</x:v>
      </x:c>
      <x:c r="P14" s="32" t="n">
        <x:v>2340</x:v>
      </x:c>
      <x:c r="Q14" s="31" t="n">
        <x:f>P14/1.23</x:f>
        <x:v>1902.439024390244</x:v>
      </x:c>
      <x:c r="R14" s="32" t="n">
        <x:v>2340</x:v>
      </x:c>
      <x:c r="S14" s="31" t="n">
        <x:f>R14/1.23</x:f>
        <x:v>1902.439024390244</x:v>
      </x:c>
      <x:c r="T14" s="32" t="n">
        <x:v>2140</x:v>
      </x:c>
      <x:c r="U14" s="31" t="n">
        <x:f>T14/1.23</x:f>
        <x:v>1739.8373983739837</x:v>
      </x:c>
      <x:c r="V14" s="32" t="n">
        <x:v>420</x:v>
      </x:c>
      <x:c r="W14" s="31" t="n">
        <x:f>V14/1.23</x:f>
        <x:v>341.4634146341464</x:v>
      </x:c>
      <x:c r="X14" s="32" t="n">
        <x:v>640</x:v>
      </x:c>
      <x:c r="Y14" s="31" t="n">
        <x:f>X14/1.23</x:f>
        <x:v>520.3252032520326</x:v>
      </x:c>
      <x:c r="Z14" s="32" t="n">
        <x:v>890</x:v>
      </x:c>
      <x:c r="AA14" s="135" t="n">
        <x:f>Z14/1.23</x:f>
        <x:v>723.5772357723578</x:v>
      </x:c>
      <x:c r="AB14" s="136" t="n">
        <x:v>320</x:v>
      </x:c>
      <x:c r="AC14" s="137" t="n">
        <x:f>AB14/1.23</x:f>
        <x:v>260.1626016260163</x:v>
      </x:c>
      <x:c r="AD14" s="32" t="n">
        <x:v>1009</x:v>
      </x:c>
      <x:c r="AE14" s="31" t="n">
        <x:f>AD14/1.23</x:f>
        <x:v>820.3252032520326</x:v>
      </x:c>
      <x:c r="AF14" s="32" t="n">
        <x:v>1279</x:v>
      </x:c>
      <x:c r="AG14" s="31" t="n">
        <x:f>AF14/1.23</x:f>
        <x:v>1039.8373983739837</x:v>
      </x:c>
    </x:row>
    <x:row r="15" s="655" customFormat="1" ht="15.75" customHeight="1">
      <x:c r="A15" s="29" t="inlineStr">
        <x:is>
          <x:t xml:space="preserve">350 x 406   cm</x:t>
        </x:is>
      </x:c>
      <x:c r="B15" s="32" t="n">
        <x:v>21840</x:v>
      </x:c>
      <x:c r="C15" s="31" t="n">
        <x:f>B15/1.23</x:f>
        <x:v>17756.09756097561</x:v>
      </x:c>
      <x:c r="D15" s="32" t="n">
        <x:v>450</x:v>
      </x:c>
      <x:c r="E15" s="31" t="n">
        <x:f>D15/1.23</x:f>
        <x:v>365.8536585365854</x:v>
      </x:c>
      <x:c r="F15" s="32" t="n">
        <x:v>1440</x:v>
      </x:c>
      <x:c r="G15" s="31" t="n">
        <x:f>F15/1.23</x:f>
        <x:v>1170.7317073170732</x:v>
      </x:c>
      <x:c r="H15" s="32" t="n">
        <x:v>1360</x:v>
      </x:c>
      <x:c r="I15" s="31" t="n">
        <x:f>H15/1.23</x:f>
        <x:v>1105.6910569105692</x:v>
      </x:c>
      <x:c r="J15" s="32" t="n">
        <x:v>460</x:v>
      </x:c>
      <x:c r="K15" s="31" t="n">
        <x:f>J15/1.23</x:f>
        <x:v>373.9837398373984</x:v>
      </x:c>
      <x:c r="L15" s="32" t="n">
        <x:v>410</x:v>
      </x:c>
      <x:c r="M15" s="31" t="n">
        <x:f>L15/1.23</x:f>
        <x:v>333.3333333333333</x:v>
      </x:c>
      <x:c r="N15" s="32" t="n">
        <x:v>4500</x:v>
      </x:c>
      <x:c r="O15" s="31" t="n">
        <x:f>N15/1.23</x:f>
        <x:v>3658.5365853658536</x:v>
      </x:c>
      <x:c r="P15" s="32" t="n">
        <x:v>2340</x:v>
      </x:c>
      <x:c r="Q15" s="31" t="n">
        <x:f>P15/1.23</x:f>
        <x:v>1902.439024390244</x:v>
      </x:c>
      <x:c r="R15" s="32" t="n">
        <x:v>2340</x:v>
      </x:c>
      <x:c r="S15" s="31" t="n">
        <x:f>R15/1.23</x:f>
        <x:v>1902.439024390244</x:v>
      </x:c>
      <x:c r="T15" s="32" t="n">
        <x:v>2640</x:v>
      </x:c>
      <x:c r="U15" s="31" t="n">
        <x:f>T15/1.23</x:f>
        <x:v>2146.3414634146343</x:v>
      </x:c>
      <x:c r="V15" s="32" t="n">
        <x:v>510</x:v>
      </x:c>
      <x:c r="W15" s="31" t="n">
        <x:f>V15/1.23</x:f>
        <x:v>414.6341463414634</x:v>
      </x:c>
      <x:c r="X15" s="32" t="n">
        <x:v>740</x:v>
      </x:c>
      <x:c r="Y15" s="31" t="n">
        <x:f>X15/1.23</x:f>
        <x:v>601.6260162601626</x:v>
      </x:c>
      <x:c r="Z15" s="32" t="n">
        <x:v>1000</x:v>
      </x:c>
      <x:c r="AA15" s="135" t="n">
        <x:f>Z15/1.23</x:f>
        <x:v>813.0081300813008</x:v>
      </x:c>
      <x:c r="AB15" s="136" t="n">
        <x:v>360</x:v>
      </x:c>
      <x:c r="AC15" s="137" t="n">
        <x:f>AB15/1.23</x:f>
        <x:v>292.6829268292683</x:v>
      </x:c>
      <x:c r="AD15" s="32" t="n">
        <x:v>1205</x:v>
      </x:c>
      <x:c r="AE15" s="31" t="n">
        <x:f>AD15/1.23</x:f>
        <x:v>979.6747967479675</x:v>
      </x:c>
      <x:c r="AF15" s="32" t="n">
        <x:v>1599</x:v>
      </x:c>
      <x:c r="AG15" s="31" t="n">
        <x:f>AF15/1.23</x:f>
        <x:v>1300</x:v>
      </x:c>
    </x:row>
    <x:row r="16" s="655" customFormat="1" ht="15.75" customHeight="1">
      <x:c r="A16" s="29" t="inlineStr">
        <x:is>
          <x:t xml:space="preserve">350 x 506   cm</x:t>
        </x:is>
      </x:c>
      <x:c r="B16" s="32" t="n">
        <x:v>25250</x:v>
      </x:c>
      <x:c r="C16" s="31" t="n">
        <x:f>B16/1.23</x:f>
        <x:v>20528.455284552845</x:v>
      </x:c>
      <x:c r="D16" s="32" t="n">
        <x:v>570</x:v>
      </x:c>
      <x:c r="E16" s="31" t="n">
        <x:f>D16/1.23</x:f>
        <x:v>463.4146341463415</x:v>
      </x:c>
      <x:c r="F16" s="32" t="n">
        <x:v>1560</x:v>
      </x:c>
      <x:c r="G16" s="31" t="n">
        <x:f>F16/1.23</x:f>
        <x:v>1268.2926829268292</x:v>
      </x:c>
      <x:c r="H16" s="32" t="n">
        <x:v>1480</x:v>
      </x:c>
      <x:c r="I16" s="31" t="n">
        <x:f>H16/1.23</x:f>
        <x:v>1203.2520325203252</x:v>
      </x:c>
      <x:c r="J16" s="32" t="n">
        <x:v>500</x:v>
      </x:c>
      <x:c r="K16" s="31" t="n">
        <x:f>J16/1.23</x:f>
        <x:v>406.5040650406504</x:v>
      </x:c>
      <x:c r="L16" s="32" t="n">
        <x:v>450</x:v>
      </x:c>
      <x:c r="M16" s="31" t="n">
        <x:f>L16/1.23</x:f>
        <x:v>365.8536585365854</x:v>
      </x:c>
      <x:c r="N16" s="32" t="n">
        <x:v>5200</x:v>
      </x:c>
      <x:c r="O16" s="31" t="n">
        <x:f>N16/1.23</x:f>
        <x:v>4227.642276422765</x:v>
      </x:c>
      <x:c r="P16" s="32" t="n">
        <x:v>2340</x:v>
      </x:c>
      <x:c r="Q16" s="31" t="n">
        <x:f>P16/1.23</x:f>
        <x:v>1902.439024390244</x:v>
      </x:c>
      <x:c r="R16" s="32" t="n">
        <x:v>2340</x:v>
      </x:c>
      <x:c r="S16" s="31" t="n">
        <x:f>R16/1.23</x:f>
        <x:v>1902.439024390244</x:v>
      </x:c>
      <x:c r="T16" s="32" t="n">
        <x:v>3700</x:v>
      </x:c>
      <x:c r="U16" s="31" t="n">
        <x:f>T16/1.23</x:f>
        <x:v>3008.130081300813</x:v>
      </x:c>
      <x:c r="V16" s="32" t="n">
        <x:v>600</x:v>
      </x:c>
      <x:c r="W16" s="31" t="n">
        <x:f>V16/1.23</x:f>
        <x:v>487.8048780487805</x:v>
      </x:c>
      <x:c r="X16" s="32" t="n">
        <x:v>960</x:v>
      </x:c>
      <x:c r="Y16" s="31" t="n">
        <x:f>X16/1.23</x:f>
        <x:v>780.4878048780488</x:v>
      </x:c>
      <x:c r="Z16" s="32" t="n">
        <x:v>1140</x:v>
      </x:c>
      <x:c r="AA16" s="135" t="n">
        <x:f>Z16/1.23</x:f>
        <x:v>926.829268292683</x:v>
      </x:c>
      <x:c r="AB16" s="136" t="n">
        <x:v>360</x:v>
      </x:c>
      <x:c r="AC16" s="137" t="n">
        <x:f>AB16/1.23</x:f>
        <x:v>292.6829268292683</x:v>
      </x:c>
      <x:c r="AD16" s="32" t="n">
        <x:v>1390</x:v>
      </x:c>
      <x:c r="AE16" s="31" t="n">
        <x:f>AD16/1.23</x:f>
        <x:v>1130.081300813008</x:v>
      </x:c>
      <x:c r="AF16" s="32" t="n">
        <x:v>1907</x:v>
      </x:c>
      <x:c r="AG16" s="31" t="n">
        <x:f>AF16/1.23</x:f>
        <x:v>1550.4065040650407</x:v>
      </x:c>
    </x:row>
    <x:row r="17" s="655" customFormat="1" ht="15.75" customHeight="1">
      <x:c r="A17" s="29" t="inlineStr">
        <x:is>
          <x:t xml:space="preserve">350 x 606   cm</x:t>
        </x:is>
      </x:c>
      <x:c r="B17" s="32" t="n">
        <x:v>28290</x:v>
      </x:c>
      <x:c r="C17" s="31" t="n">
        <x:f>B17/1.23</x:f>
        <x:v>23000</x:v>
      </x:c>
      <x:c r="D17" s="32" t="n">
        <x:v>690</x:v>
      </x:c>
      <x:c r="E17" s="31" t="n">
        <x:f>D17/1.23</x:f>
        <x:v>560.9756097560976</x:v>
      </x:c>
      <x:c r="F17" s="32" t="n">
        <x:v>1680</x:v>
      </x:c>
      <x:c r="G17" s="31" t="n">
        <x:f>F17/1.23</x:f>
        <x:v>1365.8536585365855</x:v>
      </x:c>
      <x:c r="H17" s="32" t="n">
        <x:v>1600</x:v>
      </x:c>
      <x:c r="I17" s="31" t="n">
        <x:f>H17/1.23</x:f>
        <x:v>1300.8130081300812</x:v>
      </x:c>
      <x:c r="J17" s="32" t="n">
        <x:v>530</x:v>
      </x:c>
      <x:c r="K17" s="31" t="n">
        <x:f>J17/1.23</x:f>
        <x:v>430.8943089430894</x:v>
      </x:c>
      <x:c r="L17" s="32" t="n">
        <x:v>480</x:v>
      </x:c>
      <x:c r="M17" s="31" t="n">
        <x:f>L17/1.23</x:f>
        <x:v>390.2439024390244</x:v>
      </x:c>
      <x:c r="N17" s="32" t="n">
        <x:v>7960</x:v>
      </x:c>
      <x:c r="O17" s="31" t="n">
        <x:f>N17/1.23</x:f>
        <x:v>6471.544715447155</x:v>
      </x:c>
      <x:c r="P17" s="32" t="n">
        <x:v>2340</x:v>
      </x:c>
      <x:c r="Q17" s="31" t="n">
        <x:f>P17/1.23</x:f>
        <x:v>1902.439024390244</x:v>
      </x:c>
      <x:c r="R17" s="32" t="n">
        <x:v>2340</x:v>
      </x:c>
      <x:c r="S17" s="31" t="n">
        <x:f>R17/1.23</x:f>
        <x:v>1902.439024390244</x:v>
      </x:c>
      <x:c r="T17" s="32" t="n">
        <x:v>4270</x:v>
      </x:c>
      <x:c r="U17" s="31" t="n">
        <x:f>T17/1.23</x:f>
        <x:v>3471.5447154471544</x:v>
      </x:c>
      <x:c r="V17" s="32" t="n">
        <x:v>790</x:v>
      </x:c>
      <x:c r="W17" s="31" t="n">
        <x:f>V17/1.23</x:f>
        <x:v>642.2764227642276</x:v>
      </x:c>
      <x:c r="X17" s="32" t="n">
        <x:v>1090</x:v>
      </x:c>
      <x:c r="Y17" s="31" t="n">
        <x:f>X17/1.23</x:f>
        <x:v>886.178861788618</x:v>
      </x:c>
      <x:c r="Z17" s="32" t="n">
        <x:v>1420</x:v>
      </x:c>
      <x:c r="AA17" s="135" t="n">
        <x:f>Z17/1.23</x:f>
        <x:v>1154.4715447154472</x:v>
      </x:c>
      <x:c r="AB17" s="136" t="n">
        <x:v>400</x:v>
      </x:c>
      <x:c r="AC17" s="137" t="n">
        <x:f>AB17/1.23</x:f>
        <x:v>325.2032520325203</x:v>
      </x:c>
      <x:c r="AD17" s="32" t="n">
        <x:v>1587</x:v>
      </x:c>
      <x:c r="AE17" s="31" t="n">
        <x:f>AD17/1.23</x:f>
        <x:v>1290.2439024390244</x:v>
      </x:c>
      <x:c r="AF17" s="32" t="n">
        <x:v>2239</x:v>
      </x:c>
      <x:c r="AG17" s="31" t="n">
        <x:f>AF17/1.23</x:f>
        <x:v>1820.3252032520325</x:v>
      </x:c>
    </x:row>
    <x:row r="18" s="655" customFormat="1" ht="15.75" customHeight="1">
      <x:c r="A18" s="29" t="inlineStr">
        <x:is>
          <x:t xml:space="preserve">350 x 706   cm</x:t>
        </x:is>
      </x:c>
      <x:c r="B18" s="32" t="n">
        <x:v>30380</x:v>
      </x:c>
      <x:c r="C18" s="31" t="n">
        <x:f>B18/1.23</x:f>
        <x:v>24699.18699186992</x:v>
      </x:c>
      <x:c r="D18" s="32" t="n">
        <x:v>800</x:v>
      </x:c>
      <x:c r="E18" s="31" t="n">
        <x:f>D18/1.23</x:f>
        <x:v>650.4065040650406</x:v>
      </x:c>
      <x:c r="F18" s="32" t="n">
        <x:v>1800</x:v>
      </x:c>
      <x:c r="G18" s="31" t="n">
        <x:f>F18/1.23</x:f>
        <x:v>1463.4146341463415</x:v>
      </x:c>
      <x:c r="H18" s="32" t="n">
        <x:v>1720</x:v>
      </x:c>
      <x:c r="I18" s="31" t="n">
        <x:f>H18/1.23</x:f>
        <x:v>1398.3739837398375</x:v>
      </x:c>
      <x:c r="J18" s="32" t="n">
        <x:v>570</x:v>
      </x:c>
      <x:c r="K18" s="31" t="n">
        <x:f>J18/1.23</x:f>
        <x:v>463.4146341463415</x:v>
      </x:c>
      <x:c r="L18" s="32" t="n">
        <x:v>520</x:v>
      </x:c>
      <x:c r="M18" s="31" t="n">
        <x:f>L18/1.23</x:f>
        <x:v>422.7642276422764</x:v>
      </x:c>
      <x:c r="N18" s="32" t="n">
        <x:v>8480</x:v>
      </x:c>
      <x:c r="O18" s="31" t="n">
        <x:f>N18/1.23</x:f>
        <x:v>6894.308943089431</x:v>
      </x:c>
      <x:c r="P18" s="32" t="n">
        <x:v>2340</x:v>
      </x:c>
      <x:c r="Q18" s="31" t="n">
        <x:f>P18/1.23</x:f>
        <x:v>1902.439024390244</x:v>
      </x:c>
      <x:c r="R18" s="32" t="n">
        <x:v>2340</x:v>
      </x:c>
      <x:c r="S18" s="31" t="n">
        <x:f>R18/1.23</x:f>
        <x:v>1902.439024390244</x:v>
      </x:c>
      <x:c r="T18" s="32" t="n">
        <x:v>4780</x:v>
      </x:c>
      <x:c r="U18" s="31" t="n">
        <x:f>T18/1.23</x:f>
        <x:v>3886.1788617886177</x:v>
      </x:c>
      <x:c r="V18" s="32" t="n">
        <x:v>870</x:v>
      </x:c>
      <x:c r="W18" s="31" t="n">
        <x:f>V18/1.23</x:f>
        <x:v>707.3170731707318</x:v>
      </x:c>
      <x:c r="X18" s="32" t="n">
        <x:v>1210</x:v>
      </x:c>
      <x:c r="Y18" s="31" t="n">
        <x:f>X18/1.23</x:f>
        <x:v>983.739837398374</x:v>
      </x:c>
      <x:c r="Z18" s="32" t="n">
        <x:v>1220</x:v>
      </x:c>
      <x:c r="AA18" s="135" t="n">
        <x:f>Z18/1.23</x:f>
        <x:v>991.869918699187</x:v>
      </x:c>
      <x:c r="AB18" s="136" t="n">
        <x:v>440</x:v>
      </x:c>
      <x:c r="AC18" s="137" t="n">
        <x:f>AB18/1.23</x:f>
        <x:v>357.7235772357724</x:v>
      </x:c>
      <x:c r="AD18" s="32" t="n">
        <x:v>1784</x:v>
      </x:c>
      <x:c r="AE18" s="31" t="n">
        <x:f>AD18/1.23</x:f>
        <x:v>1450.4065040650407</x:v>
      </x:c>
      <x:c r="AF18" s="32" t="n">
        <x:v>2571</x:v>
      </x:c>
      <x:c r="AG18" s="31" t="n">
        <x:f>AF18/1.23</x:f>
        <x:v>2090.2439024390246</x:v>
      </x:c>
    </x:row>
    <x:row r="19" s="655" customFormat="1" ht="15.75" customHeight="1">
      <x:c r="A19" s="29" t="inlineStr">
        <x:is>
          <x:t xml:space="preserve">350 x 806   cm</x:t>
        </x:is>
      </x:c>
      <x:c r="B19" s="32" t="n">
        <x:v>34270</x:v>
      </x:c>
      <x:c r="C19" s="31" t="n">
        <x:f>B19/1.23</x:f>
        <x:v>27861.78861788618</x:v>
      </x:c>
      <x:c r="D19" s="32" t="n">
        <x:v>910</x:v>
      </x:c>
      <x:c r="E19" s="31" t="n">
        <x:f>D19/1.23</x:f>
        <x:v>739.8373983739838</x:v>
      </x:c>
      <x:c r="F19" s="32" t="n">
        <x:v>1920</x:v>
      </x:c>
      <x:c r="G19" s="31" t="n">
        <x:f>F19/1.23</x:f>
        <x:v>1560.9756097560976</x:v>
      </x:c>
      <x:c r="H19" s="32" t="n">
        <x:v>1840</x:v>
      </x:c>
      <x:c r="I19" s="31" t="n">
        <x:f>H19/1.23</x:f>
        <x:v>1495.9349593495936</x:v>
      </x:c>
      <x:c r="J19" s="32" t="n">
        <x:v>610</x:v>
      </x:c>
      <x:c r="K19" s="31" t="n">
        <x:f>J19/1.23</x:f>
        <x:v>495.9349593495935</x:v>
      </x:c>
      <x:c r="L19" s="32" t="n">
        <x:v>550</x:v>
      </x:c>
      <x:c r="M19" s="31" t="n">
        <x:f>L19/1.23</x:f>
        <x:v>447.1544715447155</x:v>
      </x:c>
      <x:c r="N19" s="32" t="n">
        <x:v>8990</x:v>
      </x:c>
      <x:c r="O19" s="31" t="n">
        <x:f>N19/1.23</x:f>
        <x:v>7308.943089430894</x:v>
      </x:c>
      <x:c r="P19" s="32" t="n">
        <x:v>2340</x:v>
      </x:c>
      <x:c r="Q19" s="31" t="n">
        <x:f>P19/1.23</x:f>
        <x:v>1902.439024390244</x:v>
      </x:c>
      <x:c r="R19" s="32" t="n">
        <x:v>2340</x:v>
      </x:c>
      <x:c r="S19" s="31" t="n">
        <x:f>R19/1.23</x:f>
        <x:v>1902.439024390244</x:v>
      </x:c>
      <x:c r="T19" s="32" t="n">
        <x:v>5280</x:v>
      </x:c>
      <x:c r="U19" s="31" t="n">
        <x:f>T19/1.23</x:f>
        <x:v>4292.682926829269</x:v>
      </x:c>
      <x:c r="V19" s="32" t="n">
        <x:v>960</x:v>
      </x:c>
      <x:c r="W19" s="31" t="n">
        <x:f>V19/1.23</x:f>
        <x:v>780.4878048780488</x:v>
      </x:c>
      <x:c r="X19" s="32" t="n">
        <x:v>1440</x:v>
      </x:c>
      <x:c r="Y19" s="31" t="n">
        <x:f>X19/1.23</x:f>
        <x:v>1170.7317073170732</x:v>
      </x:c>
      <x:c r="Z19" s="32" t="n">
        <x:v>1330</x:v>
      </x:c>
      <x:c r="AA19" s="135" t="n">
        <x:f>Z19/1.23</x:f>
        <x:v>1081.30081300813</x:v>
      </x:c>
      <x:c r="AB19" s="136" t="n">
        <x:v>480</x:v>
      </x:c>
      <x:c r="AC19" s="137" t="n">
        <x:f>AB19/1.23</x:f>
        <x:v>390.2439024390244</x:v>
      </x:c>
      <x:c r="AD19" s="32" t="n">
        <x:v>1993</x:v>
      </x:c>
      <x:c r="AE19" s="31" t="n">
        <x:f>AD19/1.23</x:f>
        <x:v>1620.3252032520325</x:v>
      </x:c>
      <x:c r="AF19" s="32" t="n">
        <x:v>2891</x:v>
      </x:c>
      <x:c r="AG19" s="31" t="n">
        <x:f>AF19/1.23</x:f>
        <x:v>2350.4065040650407</x:v>
      </x:c>
    </x:row>
    <x:row r="20" s="655" customFormat="1" ht="15.75" customHeight="1">
      <x:c r="A20" s="29" t="inlineStr">
        <x:is>
          <x:t xml:space="preserve">350 x 906   cm</x:t>
        </x:is>
      </x:c>
      <x:c r="B20" s="32" t="n">
        <x:v>37690</x:v>
      </x:c>
      <x:c r="C20" s="31" t="n">
        <x:f>B20/1.23</x:f>
        <x:v>30642.27642276423</x:v>
      </x:c>
      <x:c r="D20" s="32" t="n">
        <x:v>1020</x:v>
      </x:c>
      <x:c r="E20" s="31" t="n">
        <x:f>D20/1.23</x:f>
        <x:v>829.2682926829268</x:v>
      </x:c>
      <x:c r="F20" s="32" t="n">
        <x:v>2040</x:v>
      </x:c>
      <x:c r="G20" s="31" t="n">
        <x:f>F20/1.23</x:f>
        <x:v>1658.5365853658536</x:v>
      </x:c>
      <x:c r="H20" s="32" t="n">
        <x:v>1960</x:v>
      </x:c>
      <x:c r="I20" s="31" t="n">
        <x:f>H20/1.23</x:f>
        <x:v>1593.4959349593496</x:v>
      </x:c>
      <x:c r="J20" s="32" t="n">
        <x:v>650</x:v>
      </x:c>
      <x:c r="K20" s="31" t="n">
        <x:f>J20/1.23</x:f>
        <x:v>528.4552845528456</x:v>
      </x:c>
      <x:c r="L20" s="32" t="n">
        <x:v>590</x:v>
      </x:c>
      <x:c r="M20" s="31" t="n">
        <x:f>L20/1.23</x:f>
        <x:v>479.6747967479675</x:v>
      </x:c>
      <x:c r="N20" s="32" t="n">
        <x:v>9700</x:v>
      </x:c>
      <x:c r="O20" s="31" t="n">
        <x:f>N20/1.23</x:f>
        <x:v>7886.178861788618</x:v>
      </x:c>
      <x:c r="P20" s="32" t="n">
        <x:v>2340</x:v>
      </x:c>
      <x:c r="Q20" s="31" t="n">
        <x:f>P20/1.23</x:f>
        <x:v>1902.439024390244</x:v>
      </x:c>
      <x:c r="R20" s="32" t="n">
        <x:v>2340</x:v>
      </x:c>
      <x:c r="S20" s="31" t="n">
        <x:f>R20/1.23</x:f>
        <x:v>1902.439024390244</x:v>
      </x:c>
      <x:c r="T20" s="32" t="n">
        <x:v>6400</x:v>
      </x:c>
      <x:c r="U20" s="31" t="n">
        <x:f>T20/1.23</x:f>
        <x:v>5203.252032520325</x:v>
      </x:c>
      <x:c r="V20" s="32" t="n">
        <x:v>1040</x:v>
      </x:c>
      <x:c r="W20" s="31" t="n">
        <x:f>V20/1.23</x:f>
        <x:v>845.5284552845528</x:v>
      </x:c>
      <x:c r="X20" s="32" t="n">
        <x:v>1560</x:v>
      </x:c>
      <x:c r="Y20" s="31" t="n">
        <x:f>X20/1.23</x:f>
        <x:v>1268.2926829268292</x:v>
      </x:c>
      <x:c r="Z20" s="32" t="n">
        <x:v>1470</x:v>
      </x:c>
      <x:c r="AA20" s="135" t="n">
        <x:f>Z20/1.23</x:f>
        <x:v>1195.1219512195123</x:v>
      </x:c>
      <x:c r="AB20" s="136" t="n">
        <x:v>480</x:v>
      </x:c>
      <x:c r="AC20" s="137" t="n">
        <x:f>AB20/1.23</x:f>
        <x:v>390.2439024390244</x:v>
      </x:c>
      <x:c r="AD20" s="32" t="n">
        <x:v>2189</x:v>
      </x:c>
      <x:c r="AE20" s="31" t="n">
        <x:f>AD20/1.23</x:f>
        <x:v>1779.6747967479675</x:v>
      </x:c>
      <x:c r="AF20" s="32" t="n">
        <x:v>3223</x:v>
      </x:c>
      <x:c r="AG20" s="31" t="n">
        <x:f>AF20/1.23</x:f>
        <x:v>2620.3252032520327</x:v>
      </x:c>
    </x:row>
    <x:row r="21" s="655" customFormat="1" ht="15.75" customHeight="1">
      <x:c r="A21" s="29" t="inlineStr">
        <x:is>
          <x:t xml:space="preserve">350 x 1006 cm</x:t>
        </x:is>
      </x:c>
      <x:c r="B21" s="32" t="n">
        <x:v>41080</x:v>
      </x:c>
      <x:c r="C21" s="31" t="n">
        <x:f>B21/1.23</x:f>
        <x:v>33398.37398373984</x:v>
      </x:c>
      <x:c r="D21" s="32" t="n">
        <x:v>1140</x:v>
      </x:c>
      <x:c r="E21" s="31" t="n">
        <x:f>D21/1.23</x:f>
        <x:v>926.829268292683</x:v>
      </x:c>
      <x:c r="F21" s="32" t="n">
        <x:v>2160</x:v>
      </x:c>
      <x:c r="G21" s="31" t="n">
        <x:f>F21/1.23</x:f>
        <x:v>1756.09756097561</x:v>
      </x:c>
      <x:c r="H21" s="32" t="n">
        <x:v>2080</x:v>
      </x:c>
      <x:c r="I21" s="31" t="n">
        <x:f>H21/1.23</x:f>
        <x:v>1691.0569105691056</x:v>
      </x:c>
      <x:c r="J21" s="32" t="n">
        <x:v>690</x:v>
      </x:c>
      <x:c r="K21" s="31" t="n">
        <x:f>J21/1.23</x:f>
        <x:v>560.9756097560976</x:v>
      </x:c>
      <x:c r="L21" s="32" t="n">
        <x:v>620</x:v>
      </x:c>
      <x:c r="M21" s="31" t="n">
        <x:f>L21/1.23</x:f>
        <x:v>504.0650406504065</x:v>
      </x:c>
      <x:c r="N21" s="32" t="n">
        <x:v>10400</x:v>
      </x:c>
      <x:c r="O21" s="31" t="n">
        <x:f>N21/1.23</x:f>
        <x:v>8455.28455284553</x:v>
      </x:c>
      <x:c r="P21" s="32" t="n">
        <x:v>2340</x:v>
      </x:c>
      <x:c r="Q21" s="31" t="n">
        <x:f>P21/1.23</x:f>
        <x:v>1902.439024390244</x:v>
      </x:c>
      <x:c r="R21" s="32" t="n">
        <x:v>2340</x:v>
      </x:c>
      <x:c r="S21" s="31" t="n">
        <x:f>R21/1.23</x:f>
        <x:v>1902.439024390244</x:v>
      </x:c>
      <x:c r="T21" s="32" t="n">
        <x:v>6910</x:v>
      </x:c>
      <x:c r="U21" s="31" t="n">
        <x:f>T21/1.23</x:f>
        <x:v>5617.886178861789</x:v>
      </x:c>
      <x:c r="V21" s="32" t="n">
        <x:v>1230</x:v>
      </x:c>
      <x:c r="W21" s="31" t="n">
        <x:f>V21/1.23</x:f>
        <x:v>1000</x:v>
      </x:c>
      <x:c r="X21" s="32" t="n">
        <x:v>1650</x:v>
      </x:c>
      <x:c r="Y21" s="31" t="n">
        <x:f>X21/1.23</x:f>
        <x:v>1341.4634146341464</x:v>
      </x:c>
      <x:c r="Z21" s="32" t="n">
        <x:v>1610</x:v>
      </x:c>
      <x:c r="AA21" s="135" t="n">
        <x:f>Z21/1.23</x:f>
        <x:v>1308.9430894308944</x:v>
      </x:c>
      <x:c r="AB21" s="136" t="n">
        <x:v>520</x:v>
      </x:c>
      <x:c r="AC21" s="137" t="n">
        <x:f>AB21/1.23</x:f>
        <x:v>422.7642276422764</x:v>
      </x:c>
      <x:c r="AD21" s="32" t="n">
        <x:v>2399</x:v>
      </x:c>
      <x:c r="AE21" s="31" t="n">
        <x:f>AD21/1.23</x:f>
        <x:v>1950.4065040650407</x:v>
      </x:c>
      <x:c r="AF21" s="32" t="n">
        <x:v>3555</x:v>
      </x:c>
      <x:c r="AG21" s="31" t="n">
        <x:f>AF21/1.23</x:f>
        <x:v>2890.2439024390246</x:v>
      </x:c>
    </x:row>
    <x:row r="22" s="655" customFormat="1" ht="15.75" customHeight="1">
      <x:c r="A22" s="29" t="inlineStr">
        <x:is>
          <x:t xml:space="preserve">350 x 1106 cm</x:t>
        </x:is>
      </x:c>
      <x:c r="B22" s="32" t="n">
        <x:v>44140</x:v>
      </x:c>
      <x:c r="C22" s="31" t="n">
        <x:f>B22/1.23</x:f>
        <x:v>35886.17886178862</x:v>
      </x:c>
      <x:c r="D22" s="32" t="n">
        <x:v>1260</x:v>
      </x:c>
      <x:c r="E22" s="31" t="n">
        <x:f>D22/1.23</x:f>
        <x:v>1024.3902439024391</x:v>
      </x:c>
      <x:c r="F22" s="32" t="n">
        <x:v>2280</x:v>
      </x:c>
      <x:c r="G22" s="31" t="n">
        <x:f>F22/1.23</x:f>
        <x:v>1853.658536585366</x:v>
      </x:c>
      <x:c r="H22" s="32" t="n">
        <x:v>2200</x:v>
      </x:c>
      <x:c r="I22" s="31" t="n">
        <x:f>H22/1.23</x:f>
        <x:v>1788.617886178862</x:v>
      </x:c>
      <x:c r="J22" s="32" t="n">
        <x:v>720</x:v>
      </x:c>
      <x:c r="K22" s="31" t="n">
        <x:f>J22/1.23</x:f>
        <x:v>585.3658536585366</x:v>
      </x:c>
      <x:c r="L22" s="32" t="n">
        <x:v>650</x:v>
      </x:c>
      <x:c r="M22" s="31" t="n">
        <x:f>L22/1.23</x:f>
        <x:v>528.4552845528456</x:v>
      </x:c>
      <x:c r="N22" s="32" t="n">
        <x:v>12980</x:v>
      </x:c>
      <x:c r="O22" s="31" t="n">
        <x:f>N22/1.23</x:f>
        <x:v>10552.845528455286</x:v>
      </x:c>
      <x:c r="P22" s="32" t="n">
        <x:v>2340</x:v>
      </x:c>
      <x:c r="Q22" s="31" t="n">
        <x:f>P22/1.23</x:f>
        <x:v>1902.439024390244</x:v>
      </x:c>
      <x:c r="R22" s="32" t="n">
        <x:v>2340</x:v>
      </x:c>
      <x:c r="S22" s="31" t="n">
        <x:f>R22/1.23</x:f>
        <x:v>1902.439024390244</x:v>
      </x:c>
      <x:c r="T22" s="32" t="n">
        <x:v>7420</x:v>
      </x:c>
      <x:c r="U22" s="31" t="n">
        <x:f>T22/1.23</x:f>
        <x:v>6032.5203252032525</x:v>
      </x:c>
      <x:c r="V22" s="32" t="n">
        <x:v>1430</x:v>
      </x:c>
      <x:c r="W22" s="31" t="n">
        <x:f>V22/1.23</x:f>
        <x:v>1162.60162601626</x:v>
      </x:c>
      <x:c r="X22" s="32" t="n">
        <x:v>1770</x:v>
      </x:c>
      <x:c r="Y22" s="31" t="n">
        <x:f>X22/1.23</x:f>
        <x:v>1439.0243902439024</x:v>
      </x:c>
      <x:c r="Z22" s="32" t="n">
        <x:v>2180</x:v>
      </x:c>
      <x:c r="AA22" s="135" t="n">
        <x:f>Z22/1.23</x:f>
        <x:v>1772.357723577236</x:v>
      </x:c>
      <x:c r="AB22" s="136" t="n">
        <x:v>560</x:v>
      </x:c>
      <x:c r="AC22" s="137" t="n">
        <x:f>AB22/1.23</x:f>
        <x:v>455.2845528455285</x:v>
      </x:c>
      <x:c r="AD22" s="32" t="n">
        <x:v>2595</x:v>
      </x:c>
      <x:c r="AE22" s="31" t="n">
        <x:f>AD22/1.23</x:f>
        <x:v>2109.756097560976</x:v>
      </x:c>
      <x:c r="AF22" s="32" t="n">
        <x:v>3887</x:v>
      </x:c>
      <x:c r="AG22" s="31" t="n">
        <x:f>AF22/1.23</x:f>
        <x:v>3160.162601626016</x:v>
      </x:c>
    </x:row>
    <x:row r="23" s="655" customFormat="1" ht="15.75" customHeight="1">
      <x:c r="A23" s="29" t="inlineStr">
        <x:is>
          <x:t xml:space="preserve">350 x 1206 cm</x:t>
        </x:is>
      </x:c>
      <x:c r="B23" s="32" t="n">
        <x:v>47160</x:v>
      </x:c>
      <x:c r="C23" s="31" t="n">
        <x:f>B23/1.23</x:f>
        <x:v>38341.46341463415</x:v>
      </x:c>
      <x:c r="D23" s="32" t="n">
        <x:v>1370</x:v>
      </x:c>
      <x:c r="E23" s="31" t="n">
        <x:f>D23/1.23</x:f>
        <x:v>1113.821138211382</x:v>
      </x:c>
      <x:c r="F23" s="32" t="n">
        <x:v>2400</x:v>
      </x:c>
      <x:c r="G23" s="31" t="n">
        <x:f>F23/1.23</x:f>
        <x:v>1951.219512195122</x:v>
      </x:c>
      <x:c r="H23" s="32" t="n">
        <x:v>2320</x:v>
      </x:c>
      <x:c r="I23" s="31" t="n">
        <x:f>H23/1.23</x:f>
        <x:v>1886.178861788618</x:v>
      </x:c>
      <x:c r="J23" s="32" t="n">
        <x:v>760</x:v>
      </x:c>
      <x:c r="K23" s="31" t="n">
        <x:f>J23/1.23</x:f>
        <x:v>617.8861788617886</x:v>
      </x:c>
      <x:c r="L23" s="32" t="n">
        <x:v>690</x:v>
      </x:c>
      <x:c r="M23" s="31" t="n">
        <x:f>L23/1.23</x:f>
        <x:v>560.9756097560976</x:v>
      </x:c>
      <x:c r="N23" s="32" t="n">
        <x:v>13500</x:v>
      </x:c>
      <x:c r="O23" s="31" t="n">
        <x:f>N23/1.23</x:f>
        <x:v>10975.609756097561</x:v>
      </x:c>
      <x:c r="P23" s="32" t="n">
        <x:v>2340</x:v>
      </x:c>
      <x:c r="Q23" s="31" t="n">
        <x:f>P23/1.23</x:f>
        <x:v>1902.439024390244</x:v>
      </x:c>
      <x:c r="R23" s="32" t="n">
        <x:v>2340</x:v>
      </x:c>
      <x:c r="S23" s="31" t="n">
        <x:f>R23/1.23</x:f>
        <x:v>1902.439024390244</x:v>
      </x:c>
      <x:c r="T23" s="32" t="n">
        <x:v>7920</x:v>
      </x:c>
      <x:c r="U23" s="31" t="n">
        <x:f>T23/1.23</x:f>
        <x:v>6439.024390243902</x:v>
      </x:c>
      <x:c r="V23" s="32" t="n">
        <x:v>1510</x:v>
      </x:c>
      <x:c r="W23" s="31" t="n">
        <x:f>V23/1.23</x:f>
        <x:v>1227.6422764227643</x:v>
      </x:c>
      <x:c r="X23" s="32" t="n">
        <x:v>1900</x:v>
      </x:c>
      <x:c r="Y23" s="31" t="n">
        <x:f>X23/1.23</x:f>
        <x:v>1544.7154471544716</x:v>
      </x:c>
      <x:c r="Z23" s="32" t="n">
        <x:v>2180</x:v>
      </x:c>
      <x:c r="AA23" s="135" t="n">
        <x:f>Z23/1.23</x:f>
        <x:v>1772.357723577236</x:v>
      </x:c>
      <x:c r="AB23" s="136" t="n">
        <x:v>600</x:v>
      </x:c>
      <x:c r="AC23" s="137" t="n">
        <x:f>AB23/1.23</x:f>
        <x:v>487.8048780487805</x:v>
      </x:c>
      <x:c r="AD23" s="32" t="n">
        <x:v>2804</x:v>
      </x:c>
      <x:c r="AE23" s="31" t="n">
        <x:f>AD23/1.23</x:f>
        <x:v>2279.6747967479673</x:v>
      </x:c>
      <x:c r="AF23" s="32" t="n">
        <x:v>4219</x:v>
      </x:c>
      <x:c r="AG23" s="31" t="n">
        <x:f>AF23/1.23</x:f>
        <x:v>3430.081300813008</x:v>
      </x:c>
    </x:row>
    <x:row r="24" s="655" customFormat="1" ht="15.75" customHeight="1">
      <x:c r="A24" s="33" t="inlineStr">
        <x:is>
          <x:t xml:space="preserve">400 x 306   cm</x:t>
        </x:is>
      </x:c>
      <x:c r="B24" s="36" t="n">
        <x:v>20670</x:v>
      </x:c>
      <x:c r="C24" s="35" t="n">
        <x:f>B24/1.23</x:f>
        <x:v>16804.878048780487</x:v>
      </x:c>
      <x:c r="D24" s="36" t="n">
        <x:v>350</x:v>
      </x:c>
      <x:c r="E24" s="35" t="n">
        <x:f>D24/1.23</x:f>
        <x:v>284.5528455284553</x:v>
      </x:c>
      <x:c r="F24" s="36" t="n">
        <x:v>1320</x:v>
      </x:c>
      <x:c r="G24" s="35" t="n">
        <x:f>F24/1.23</x:f>
        <x:v>1073.1707317073171</x:v>
      </x:c>
      <x:c r="H24" s="36" t="n">
        <x:v>1240</x:v>
      </x:c>
      <x:c r="I24" s="35" t="n">
        <x:f>H24/1.23</x:f>
        <x:v>1008.130081300813</x:v>
      </x:c>
      <x:c r="J24" s="36" t="n">
        <x:v>420</x:v>
      </x:c>
      <x:c r="K24" s="35" t="n">
        <x:f>J24/1.23</x:f>
        <x:v>341.4634146341464</x:v>
      </x:c>
      <x:c r="L24" s="36" t="n">
        <x:v>380</x:v>
      </x:c>
      <x:c r="M24" s="35" t="n">
        <x:f>L24/1.23</x:f>
        <x:v>308.9430894308943</x:v>
      </x:c>
      <x:c r="N24" s="36" t="n">
        <x:v>4030</x:v>
      </x:c>
      <x:c r="O24" s="35" t="n">
        <x:f>N24/1.23</x:f>
        <x:v>3276.4227642276423</x:v>
      </x:c>
      <x:c r="P24" s="36" t="n">
        <x:v>2640</x:v>
      </x:c>
      <x:c r="Q24" s="35" t="n">
        <x:f>P24/1.23</x:f>
        <x:v>2146.3414634146343</x:v>
      </x:c>
      <x:c r="R24" s="36" t="n">
        <x:v>2640</x:v>
      </x:c>
      <x:c r="S24" s="35" t="n">
        <x:f>R24/1.23</x:f>
        <x:v>2146.3414634146343</x:v>
      </x:c>
      <x:c r="T24" s="36" t="n">
        <x:v>2140</x:v>
      </x:c>
      <x:c r="U24" s="35" t="n">
        <x:f>T24/1.23</x:f>
        <x:v>1739.8373983739837</x:v>
      </x:c>
      <x:c r="V24" s="36" t="n">
        <x:v>420</x:v>
      </x:c>
      <x:c r="W24" s="35" t="n">
        <x:f>V24/1.23</x:f>
        <x:v>341.4634146341464</x:v>
      </x:c>
      <x:c r="X24" s="36" t="n">
        <x:v>640</x:v>
      </x:c>
      <x:c r="Y24" s="35" t="n">
        <x:f>X24/1.23</x:f>
        <x:v>520.3252032520326</x:v>
      </x:c>
      <x:c r="Z24" s="36" t="n">
        <x:v>890</x:v>
      </x:c>
      <x:c r="AA24" s="139" t="n">
        <x:f>Z24/1.23</x:f>
        <x:v>723.5772357723578</x:v>
      </x:c>
      <x:c r="AB24" s="140" t="n">
        <x:v>320</x:v>
      </x:c>
      <x:c r="AC24" s="141" t="n">
        <x:f>AB24/1.23</x:f>
        <x:v>260.1626016260163</x:v>
      </x:c>
      <x:c r="AD24" s="36" t="n">
        <x:v>1058</x:v>
      </x:c>
      <x:c r="AE24" s="35" t="n">
        <x:f>AD24/1.23</x:f>
        <x:v>860.1626016260162</x:v>
      </x:c>
      <x:c r="AF24" s="36" t="n">
        <x:v>1365</x:v>
      </x:c>
      <x:c r="AG24" s="35" t="n">
        <x:f>AF24/1.23</x:f>
        <x:v>1109.7560975609756</x:v>
      </x:c>
    </x:row>
    <x:row r="25" s="655" customFormat="1" ht="15.75" customHeight="1">
      <x:c r="A25" s="33" t="inlineStr">
        <x:is>
          <x:t xml:space="preserve">400 x 406   cm</x:t>
        </x:is>
      </x:c>
      <x:c r="B25" s="36" t="n">
        <x:v>23700</x:v>
      </x:c>
      <x:c r="C25" s="35" t="n">
        <x:f>B25/1.23</x:f>
        <x:v>19268.29268292683</x:v>
      </x:c>
      <x:c r="D25" s="36" t="n">
        <x:v>460</x:v>
      </x:c>
      <x:c r="E25" s="35" t="n">
        <x:f>D25/1.23</x:f>
        <x:v>373.9837398373984</x:v>
      </x:c>
      <x:c r="F25" s="36" t="n">
        <x:v>1440</x:v>
      </x:c>
      <x:c r="G25" s="35" t="n">
        <x:f>F25/1.23</x:f>
        <x:v>1170.7317073170732</x:v>
      </x:c>
      <x:c r="H25" s="36" t="n">
        <x:v>1360</x:v>
      </x:c>
      <x:c r="I25" s="35" t="n">
        <x:f>H25/1.23</x:f>
        <x:v>1105.6910569105692</x:v>
      </x:c>
      <x:c r="J25" s="36" t="n">
        <x:v>460</x:v>
      </x:c>
      <x:c r="K25" s="35" t="n">
        <x:f>J25/1.23</x:f>
        <x:v>373.9837398373984</x:v>
      </x:c>
      <x:c r="L25" s="36" t="n">
        <x:v>410</x:v>
      </x:c>
      <x:c r="M25" s="35" t="n">
        <x:f>L25/1.23</x:f>
        <x:v>333.3333333333333</x:v>
      </x:c>
      <x:c r="N25" s="36" t="n">
        <x:v>4660</x:v>
      </x:c>
      <x:c r="O25" s="35" t="n">
        <x:f>N25/1.23</x:f>
        <x:v>3788.6178861788617</x:v>
      </x:c>
      <x:c r="P25" s="36" t="n">
        <x:v>2640</x:v>
      </x:c>
      <x:c r="Q25" s="35" t="n">
        <x:f>P25/1.23</x:f>
        <x:v>2146.3414634146343</x:v>
      </x:c>
      <x:c r="R25" s="36" t="n">
        <x:v>2640</x:v>
      </x:c>
      <x:c r="S25" s="35" t="n">
        <x:f>R25/1.23</x:f>
        <x:v>2146.3414634146343</x:v>
      </x:c>
      <x:c r="T25" s="36" t="n">
        <x:v>2640</x:v>
      </x:c>
      <x:c r="U25" s="35" t="n">
        <x:f>T25/1.23</x:f>
        <x:v>2146.3414634146343</x:v>
      </x:c>
      <x:c r="V25" s="36" t="n">
        <x:v>510</x:v>
      </x:c>
      <x:c r="W25" s="35" t="n">
        <x:f>V25/1.23</x:f>
        <x:v>414.6341463414634</x:v>
      </x:c>
      <x:c r="X25" s="36" t="n">
        <x:v>740</x:v>
      </x:c>
      <x:c r="Y25" s="35" t="n">
        <x:f>X25/1.23</x:f>
        <x:v>601.6260162601626</x:v>
      </x:c>
      <x:c r="Z25" s="36" t="n">
        <x:v>1000</x:v>
      </x:c>
      <x:c r="AA25" s="139" t="n">
        <x:f>Z25/1.23</x:f>
        <x:v>813.0081300813008</x:v>
      </x:c>
      <x:c r="AB25" s="140" t="n">
        <x:v>360</x:v>
      </x:c>
      <x:c r="AC25" s="141" t="n">
        <x:f>AB25/1.23</x:f>
        <x:v>292.6829268292683</x:v>
      </x:c>
      <x:c r="AD25" s="36" t="n">
        <x:v>1279</x:v>
      </x:c>
      <x:c r="AE25" s="35" t="n">
        <x:f>AD25/1.23</x:f>
        <x:v>1039.8373983739837</x:v>
      </x:c>
      <x:c r="AF25" s="36" t="n">
        <x:v>1710</x:v>
      </x:c>
      <x:c r="AG25" s="35" t="n">
        <x:f>AF25/1.23</x:f>
        <x:v>1390.2439024390244</x:v>
      </x:c>
    </x:row>
    <x:row r="26" s="655" customFormat="1" ht="15.75" customHeight="1">
      <x:c r="A26" s="33" t="inlineStr">
        <x:is>
          <x:t xml:space="preserve">400 x 506   cm</x:t>
        </x:is>
      </x:c>
      <x:c r="B26" s="36" t="n">
        <x:v>27300</x:v>
      </x:c>
      <x:c r="C26" s="35" t="n">
        <x:f>B26/1.23</x:f>
        <x:v>22195.121951219513</x:v>
      </x:c>
      <x:c r="D26" s="36" t="n">
        <x:v>580</x:v>
      </x:c>
      <x:c r="E26" s="35" t="n">
        <x:f>D26/1.23</x:f>
        <x:v>471.5447154471545</x:v>
      </x:c>
      <x:c r="F26" s="36" t="n">
        <x:v>1560</x:v>
      </x:c>
      <x:c r="G26" s="35" t="n">
        <x:f>F26/1.23</x:f>
        <x:v>1268.2926829268292</x:v>
      </x:c>
      <x:c r="H26" s="36" t="n">
        <x:v>1480</x:v>
      </x:c>
      <x:c r="I26" s="35" t="n">
        <x:f>H26/1.23</x:f>
        <x:v>1203.2520325203252</x:v>
      </x:c>
      <x:c r="J26" s="36" t="n">
        <x:v>500</x:v>
      </x:c>
      <x:c r="K26" s="35" t="n">
        <x:f>J26/1.23</x:f>
        <x:v>406.5040650406504</x:v>
      </x:c>
      <x:c r="L26" s="36" t="n">
        <x:v>450</x:v>
      </x:c>
      <x:c r="M26" s="35" t="n">
        <x:f>L26/1.23</x:f>
        <x:v>365.8536585365854</x:v>
      </x:c>
      <x:c r="N26" s="36" t="n">
        <x:v>5310</x:v>
      </x:c>
      <x:c r="O26" s="35" t="n">
        <x:f>N26/1.23</x:f>
        <x:v>4317.073170731707</x:v>
      </x:c>
      <x:c r="P26" s="36" t="n">
        <x:v>2640</x:v>
      </x:c>
      <x:c r="Q26" s="35" t="n">
        <x:f>P26/1.23</x:f>
        <x:v>2146.3414634146343</x:v>
      </x:c>
      <x:c r="R26" s="36" t="n">
        <x:v>2640</x:v>
      </x:c>
      <x:c r="S26" s="35" t="n">
        <x:f>R26/1.23</x:f>
        <x:v>2146.3414634146343</x:v>
      </x:c>
      <x:c r="T26" s="36" t="n">
        <x:v>3700</x:v>
      </x:c>
      <x:c r="U26" s="35" t="n">
        <x:f>T26/1.23</x:f>
        <x:v>3008.130081300813</x:v>
      </x:c>
      <x:c r="V26" s="36" t="n">
        <x:v>600</x:v>
      </x:c>
      <x:c r="W26" s="35" t="n">
        <x:f>V26/1.23</x:f>
        <x:v>487.8048780487805</x:v>
      </x:c>
      <x:c r="X26" s="36" t="n">
        <x:v>960</x:v>
      </x:c>
      <x:c r="Y26" s="35" t="n">
        <x:f>X26/1.23</x:f>
        <x:v>780.4878048780488</x:v>
      </x:c>
      <x:c r="Z26" s="36" t="n">
        <x:v>1140</x:v>
      </x:c>
      <x:c r="AA26" s="139" t="n">
        <x:f>Z26/1.23</x:f>
        <x:v>926.829268292683</x:v>
      </x:c>
      <x:c r="AB26" s="140" t="n">
        <x:v>360</x:v>
      </x:c>
      <x:c r="AC26" s="141" t="n">
        <x:f>AB26/1.23</x:f>
        <x:v>292.6829268292683</x:v>
      </x:c>
      <x:c r="AD26" s="36" t="n">
        <x:v>1488</x:v>
      </x:c>
      <x:c r="AE26" s="35" t="n">
        <x:f>AD26/1.23</x:f>
        <x:v>1209.7560975609756</x:v>
      </x:c>
      <x:c r="AF26" s="36" t="n">
        <x:v>2054</x:v>
      </x:c>
      <x:c r="AG26" s="35" t="n">
        <x:f>AF26/1.23</x:f>
        <x:v>1669.918699186992</x:v>
      </x:c>
    </x:row>
    <x:row r="27" s="655" customFormat="1" ht="15.75" customHeight="1">
      <x:c r="A27" s="33" t="inlineStr">
        <x:is>
          <x:t xml:space="preserve">400 x 606   cm</x:t>
        </x:is>
      </x:c>
      <x:c r="B27" s="36" t="n">
        <x:v>30200</x:v>
      </x:c>
      <x:c r="C27" s="35" t="n">
        <x:f>B27/1.23</x:f>
        <x:v>24552.845528455284</x:v>
      </x:c>
      <x:c r="D27" s="36" t="n">
        <x:v>700</x:v>
      </x:c>
      <x:c r="E27" s="35" t="n">
        <x:f>D27/1.23</x:f>
        <x:v>569.1056910569106</x:v>
      </x:c>
      <x:c r="F27" s="36" t="n">
        <x:v>1680</x:v>
      </x:c>
      <x:c r="G27" s="35" t="n">
        <x:f>F27/1.23</x:f>
        <x:v>1365.8536585365855</x:v>
      </x:c>
      <x:c r="H27" s="36" t="n">
        <x:v>1600</x:v>
      </x:c>
      <x:c r="I27" s="35" t="n">
        <x:f>H27/1.23</x:f>
        <x:v>1300.8130081300812</x:v>
      </x:c>
      <x:c r="J27" s="36" t="n">
        <x:v>530</x:v>
      </x:c>
      <x:c r="K27" s="35" t="n">
        <x:f>J27/1.23</x:f>
        <x:v>430.8943089430894</x:v>
      </x:c>
      <x:c r="L27" s="36" t="n">
        <x:v>480</x:v>
      </x:c>
      <x:c r="M27" s="35" t="n">
        <x:f>L27/1.23</x:f>
        <x:v>390.2439024390244</x:v>
      </x:c>
      <x:c r="N27" s="36" t="n">
        <x:v>8060</x:v>
      </x:c>
      <x:c r="O27" s="35" t="n">
        <x:f>N27/1.23</x:f>
        <x:v>6552.845528455285</x:v>
      </x:c>
      <x:c r="P27" s="36" t="n">
        <x:v>2640</x:v>
      </x:c>
      <x:c r="Q27" s="35" t="n">
        <x:f>P27/1.23</x:f>
        <x:v>2146.3414634146343</x:v>
      </x:c>
      <x:c r="R27" s="36" t="n">
        <x:v>2640</x:v>
      </x:c>
      <x:c r="S27" s="35" t="n">
        <x:f>R27/1.23</x:f>
        <x:v>2146.3414634146343</x:v>
      </x:c>
      <x:c r="T27" s="36" t="n">
        <x:v>4270</x:v>
      </x:c>
      <x:c r="U27" s="35" t="n">
        <x:f>T27/1.23</x:f>
        <x:v>3471.5447154471544</x:v>
      </x:c>
      <x:c r="V27" s="36" t="n">
        <x:v>790</x:v>
      </x:c>
      <x:c r="W27" s="35" t="n">
        <x:f>V27/1.23</x:f>
        <x:v>642.2764227642276</x:v>
      </x:c>
      <x:c r="X27" s="36" t="n">
        <x:v>1090</x:v>
      </x:c>
      <x:c r="Y27" s="35" t="n">
        <x:f>X27/1.23</x:f>
        <x:v>886.178861788618</x:v>
      </x:c>
      <x:c r="Z27" s="36" t="n">
        <x:v>1420</x:v>
      </x:c>
      <x:c r="AA27" s="139" t="n">
        <x:f>Z27/1.23</x:f>
        <x:v>1154.4715447154472</x:v>
      </x:c>
      <x:c r="AB27" s="140" t="n">
        <x:v>400</x:v>
      </x:c>
      <x:c r="AC27" s="141" t="n">
        <x:f>AB27/1.23</x:f>
        <x:v>325.2032520325203</x:v>
      </x:c>
      <x:c r="AD27" s="36" t="n">
        <x:v>1697</x:v>
      </x:c>
      <x:c r="AE27" s="35" t="n">
        <x:f>AD27/1.23</x:f>
        <x:v>1379.6747967479675</x:v>
      </x:c>
      <x:c r="AF27" s="36" t="n">
        <x:v>2423</x:v>
      </x:c>
      <x:c r="AG27" s="35" t="n">
        <x:f>AF27/1.23</x:f>
        <x:v>1969.918699186992</x:v>
      </x:c>
    </x:row>
    <x:row r="28" s="655" customFormat="1" ht="15.75" customHeight="1">
      <x:c r="A28" s="33" t="inlineStr">
        <x:is>
          <x:t xml:space="preserve">400 x 706   cm</x:t>
        </x:is>
      </x:c>
      <x:c r="B28" s="36" t="n">
        <x:v>32910</x:v>
      </x:c>
      <x:c r="C28" s="35" t="n">
        <x:f>B28/1.23</x:f>
        <x:v>26756.09756097561</x:v>
      </x:c>
      <x:c r="D28" s="36" t="n">
        <x:v>820</x:v>
      </x:c>
      <x:c r="E28" s="35" t="n">
        <x:f>D28/1.23</x:f>
        <x:v>666.6666666666666</x:v>
      </x:c>
      <x:c r="F28" s="36" t="n">
        <x:v>1800</x:v>
      </x:c>
      <x:c r="G28" s="35" t="n">
        <x:f>F28/1.23</x:f>
        <x:v>1463.4146341463415</x:v>
      </x:c>
      <x:c r="H28" s="36" t="n">
        <x:v>1720</x:v>
      </x:c>
      <x:c r="I28" s="35" t="n">
        <x:f>H28/1.23</x:f>
        <x:v>1398.3739837398375</x:v>
      </x:c>
      <x:c r="J28" s="36" t="n">
        <x:v>570</x:v>
      </x:c>
      <x:c r="K28" s="35" t="n">
        <x:f>J28/1.23</x:f>
        <x:v>463.4146341463415</x:v>
      </x:c>
      <x:c r="L28" s="36" t="n">
        <x:v>520</x:v>
      </x:c>
      <x:c r="M28" s="35" t="n">
        <x:f>L28/1.23</x:f>
        <x:v>422.7642276422764</x:v>
      </x:c>
      <x:c r="N28" s="36" t="n">
        <x:v>8700</x:v>
      </x:c>
      <x:c r="O28" s="35" t="n">
        <x:f>N28/1.23</x:f>
        <x:v>7073.170731707317</x:v>
      </x:c>
      <x:c r="P28" s="36" t="n">
        <x:v>2640</x:v>
      </x:c>
      <x:c r="Q28" s="35" t="n">
        <x:f>P28/1.23</x:f>
        <x:v>2146.3414634146343</x:v>
      </x:c>
      <x:c r="R28" s="36" t="n">
        <x:v>2640</x:v>
      </x:c>
      <x:c r="S28" s="35" t="n">
        <x:f>R28/1.23</x:f>
        <x:v>2146.3414634146343</x:v>
      </x:c>
      <x:c r="T28" s="36" t="n">
        <x:v>4780</x:v>
      </x:c>
      <x:c r="U28" s="35" t="n">
        <x:f>T28/1.23</x:f>
        <x:v>3886.1788617886177</x:v>
      </x:c>
      <x:c r="V28" s="36" t="n">
        <x:v>870</x:v>
      </x:c>
      <x:c r="W28" s="35" t="n">
        <x:f>V28/1.23</x:f>
        <x:v>707.3170731707318</x:v>
      </x:c>
      <x:c r="X28" s="36" t="n">
        <x:v>1210</x:v>
      </x:c>
      <x:c r="Y28" s="35" t="n">
        <x:f>X28/1.23</x:f>
        <x:v>983.739837398374</x:v>
      </x:c>
      <x:c r="Z28" s="36" t="n">
        <x:v>1220</x:v>
      </x:c>
      <x:c r="AA28" s="139" t="n">
        <x:f>Z28/1.23</x:f>
        <x:v>991.869918699187</x:v>
      </x:c>
      <x:c r="AB28" s="140" t="n">
        <x:v>440</x:v>
      </x:c>
      <x:c r="AC28" s="141" t="n">
        <x:f>AB28/1.23</x:f>
        <x:v>357.7235772357724</x:v>
      </x:c>
      <x:c r="AD28" s="36" t="n">
        <x:v>1919</x:v>
      </x:c>
      <x:c r="AE28" s="35" t="n">
        <x:f>AD28/1.23</x:f>
        <x:v>1560.1626016260163</x:v>
      </x:c>
      <x:c r="AF28" s="36" t="n">
        <x:v>2792</x:v>
      </x:c>
      <x:c r="AG28" s="35" t="n">
        <x:f>AF28/1.23</x:f>
        <x:v>2269.918699186992</x:v>
      </x:c>
    </x:row>
    <x:row r="29" s="655" customFormat="1" ht="15.75" customHeight="1">
      <x:c r="A29" s="33" t="inlineStr">
        <x:is>
          <x:t xml:space="preserve">400 x 806   cm</x:t>
        </x:is>
      </x:c>
      <x:c r="B29" s="36" t="n">
        <x:v>37260</x:v>
      </x:c>
      <x:c r="C29" s="35" t="n">
        <x:f>B29/1.23</x:f>
        <x:v>30292.682926829268</x:v>
      </x:c>
      <x:c r="D29" s="36" t="n">
        <x:v>930</x:v>
      </x:c>
      <x:c r="E29" s="35" t="n">
        <x:f>D29/1.23</x:f>
        <x:v>756.0975609756098</x:v>
      </x:c>
      <x:c r="F29" s="36" t="n">
        <x:v>2064</x:v>
      </x:c>
      <x:c r="G29" s="35" t="n">
        <x:f>F29/1.23</x:f>
        <x:v>1678.0487804878048</x:v>
      </x:c>
      <x:c r="H29" s="36" t="n">
        <x:v>2064</x:v>
      </x:c>
      <x:c r="I29" s="35" t="n">
        <x:f>H29/1.23</x:f>
        <x:v>1678.0487804878048</x:v>
      </x:c>
      <x:c r="J29" s="36" t="n">
        <x:v>610.08</x:v>
      </x:c>
      <x:c r="K29" s="35" t="n">
        <x:f>J29/1.23</x:f>
        <x:v>496.00000000000006</x:v>
      </x:c>
      <x:c r="L29" s="36" t="n">
        <x:v>551.04</x:v>
      </x:c>
      <x:c r="M29" s="35" t="n">
        <x:f>L29/1.23</x:f>
        <x:v>448</x:v>
      </x:c>
      <x:c r="N29" s="36" t="n">
        <x:v>9328</x:v>
      </x:c>
      <x:c r="O29" s="35" t="n">
        <x:f>N29/1.23</x:f>
        <x:v>7583.739837398374</x:v>
      </x:c>
      <x:c r="P29" s="36" t="n">
        <x:v>2640</x:v>
      </x:c>
      <x:c r="Q29" s="35" t="n">
        <x:f>P29/1.23</x:f>
        <x:v>2146.3414634146343</x:v>
      </x:c>
      <x:c r="R29" s="36" t="n">
        <x:v>2640</x:v>
      </x:c>
      <x:c r="S29" s="35" t="n">
        <x:f>R29/1.23</x:f>
        <x:v>2146.3414634146343</x:v>
      </x:c>
      <x:c r="T29" s="36" t="n">
        <x:v>5280</x:v>
      </x:c>
      <x:c r="U29" s="35" t="n">
        <x:f>T29/1.23</x:f>
        <x:v>4292.682926829269</x:v>
      </x:c>
      <x:c r="V29" s="36" t="n">
        <x:v>960</x:v>
      </x:c>
      <x:c r="W29" s="35" t="n">
        <x:f>V29/1.23</x:f>
        <x:v>780.4878048780488</x:v>
      </x:c>
      <x:c r="X29" s="36" t="n">
        <x:v>1440</x:v>
      </x:c>
      <x:c r="Y29" s="35" t="n">
        <x:f>X29/1.23</x:f>
        <x:v>1170.7317073170732</x:v>
      </x:c>
      <x:c r="Z29" s="36" t="n">
        <x:v>1330</x:v>
      </x:c>
      <x:c r="AA29" s="139" t="n">
        <x:f>Z29/1.23</x:f>
        <x:v>1081.30081300813</x:v>
      </x:c>
      <x:c r="AB29" s="140" t="n">
        <x:v>480</x:v>
      </x:c>
      <x:c r="AC29" s="141" t="n">
        <x:f>AB29/1.23</x:f>
        <x:v>390.2439024390244</x:v>
      </x:c>
      <x:c r="AD29" s="36" t="n">
        <x:v>2153</x:v>
      </x:c>
      <x:c r="AE29" s="35" t="n">
        <x:f>AD29/1.23</x:f>
        <x:v>1750.4065040650407</x:v>
      </x:c>
      <x:c r="AF29" s="36" t="n">
        <x:v>3161</x:v>
      </x:c>
      <x:c r="AG29" s="35" t="n">
        <x:f>AF29/1.23</x:f>
        <x:v>2569.918699186992</x:v>
      </x:c>
    </x:row>
    <x:row r="30" s="655" customFormat="1" ht="15.75" customHeight="1">
      <x:c r="A30" s="33" t="inlineStr">
        <x:is>
          <x:t xml:space="preserve">400 x 906   cm</x:t>
        </x:is>
      </x:c>
      <x:c r="B30" s="36" t="n">
        <x:v>40850</x:v>
      </x:c>
      <x:c r="C30" s="35" t="n">
        <x:f>B30/1.23</x:f>
        <x:v>33211.382113821135</x:v>
      </x:c>
      <x:c r="D30" s="36" t="n">
        <x:v>1050</x:v>
      </x:c>
      <x:c r="E30" s="35" t="n">
        <x:f>D30/1.23</x:f>
        <x:v>853.6585365853658</x:v>
      </x:c>
      <x:c r="F30" s="36" t="n">
        <x:v>2040</x:v>
      </x:c>
      <x:c r="G30" s="35" t="n">
        <x:f>F30/1.23</x:f>
        <x:v>1658.5365853658536</x:v>
      </x:c>
      <x:c r="H30" s="36" t="n">
        <x:v>1960</x:v>
      </x:c>
      <x:c r="I30" s="35" t="n">
        <x:f>H30/1.23</x:f>
        <x:v>1593.4959349593496</x:v>
      </x:c>
      <x:c r="J30" s="36" t="n">
        <x:v>650</x:v>
      </x:c>
      <x:c r="K30" s="35" t="n">
        <x:f>J30/1.23</x:f>
        <x:v>528.4552845528456</x:v>
      </x:c>
      <x:c r="L30" s="36" t="n">
        <x:v>590</x:v>
      </x:c>
      <x:c r="M30" s="35" t="n">
        <x:f>L30/1.23</x:f>
        <x:v>479.6747967479675</x:v>
      </x:c>
      <x:c r="N30" s="36" t="n">
        <x:v>9980</x:v>
      </x:c>
      <x:c r="O30" s="35" t="n">
        <x:f>N30/1.23</x:f>
        <x:v>8113.821138211382</x:v>
      </x:c>
      <x:c r="P30" s="36" t="n">
        <x:v>2640</x:v>
      </x:c>
      <x:c r="Q30" s="35" t="n">
        <x:f>P30/1.23</x:f>
        <x:v>2146.3414634146343</x:v>
      </x:c>
      <x:c r="R30" s="36" t="n">
        <x:v>2640</x:v>
      </x:c>
      <x:c r="S30" s="35" t="n">
        <x:f>R30/1.23</x:f>
        <x:v>2146.3414634146343</x:v>
      </x:c>
      <x:c r="T30" s="36" t="n">
        <x:v>6400</x:v>
      </x:c>
      <x:c r="U30" s="35" t="n">
        <x:f>T30/1.23</x:f>
        <x:v>5203.252032520325</x:v>
      </x:c>
      <x:c r="V30" s="36" t="n">
        <x:v>1040</x:v>
      </x:c>
      <x:c r="W30" s="35" t="n">
        <x:f>V30/1.23</x:f>
        <x:v>845.5284552845528</x:v>
      </x:c>
      <x:c r="X30" s="36" t="n">
        <x:v>1560</x:v>
      </x:c>
      <x:c r="Y30" s="35" t="n">
        <x:f>X30/1.23</x:f>
        <x:v>1268.2926829268292</x:v>
      </x:c>
      <x:c r="Z30" s="36" t="n">
        <x:v>1470</x:v>
      </x:c>
      <x:c r="AA30" s="139" t="n">
        <x:f>Z30/1.23</x:f>
        <x:v>1195.1219512195123</x:v>
      </x:c>
      <x:c r="AB30" s="140" t="n">
        <x:v>480</x:v>
      </x:c>
      <x:c r="AC30" s="141" t="n">
        <x:f>AB30/1.23</x:f>
        <x:v>390.2439024390244</x:v>
      </x:c>
      <x:c r="AD30" s="36" t="n">
        <x:v>2374</x:v>
      </x:c>
      <x:c r="AE30" s="35" t="n">
        <x:f>AD30/1.23</x:f>
        <x:v>1930.081300813008</x:v>
      </x:c>
      <x:c r="AF30" s="36" t="n">
        <x:v>3530</x:v>
      </x:c>
      <x:c r="AG30" s="35" t="n">
        <x:f>AF30/1.23</x:f>
        <x:v>2869.918699186992</x:v>
      </x:c>
    </x:row>
    <x:row r="31" s="655" customFormat="1" ht="15.75" customHeight="1">
      <x:c r="A31" s="33" t="inlineStr">
        <x:is>
          <x:t xml:space="preserve">400 x 1006 cm</x:t>
        </x:is>
      </x:c>
      <x:c r="B31" s="36" t="n">
        <x:v>44430</x:v>
      </x:c>
      <x:c r="C31" s="35" t="n">
        <x:f>B31/1.23</x:f>
        <x:v>36121.95121951219</x:v>
      </x:c>
      <x:c r="D31" s="36" t="n">
        <x:v>1160</x:v>
      </x:c>
      <x:c r="E31" s="35" t="n">
        <x:f>D31/1.23</x:f>
        <x:v>943.089430894309</x:v>
      </x:c>
      <x:c r="F31" s="36" t="n">
        <x:v>2160</x:v>
      </x:c>
      <x:c r="G31" s="35" t="n">
        <x:f>F31/1.23</x:f>
        <x:v>1756.09756097561</x:v>
      </x:c>
      <x:c r="H31" s="36" t="n">
        <x:v>2080</x:v>
      </x:c>
      <x:c r="I31" s="35" t="n">
        <x:f>H31/1.23</x:f>
        <x:v>1691.0569105691056</x:v>
      </x:c>
      <x:c r="J31" s="36" t="n">
        <x:v>690</x:v>
      </x:c>
      <x:c r="K31" s="35" t="n">
        <x:f>J31/1.23</x:f>
        <x:v>560.9756097560976</x:v>
      </x:c>
      <x:c r="L31" s="36" t="n">
        <x:v>620</x:v>
      </x:c>
      <x:c r="M31" s="35" t="n">
        <x:f>L31/1.23</x:f>
        <x:v>504.0650406504065</x:v>
      </x:c>
      <x:c r="N31" s="36" t="n">
        <x:v>10620</x:v>
      </x:c>
      <x:c r="O31" s="35" t="n">
        <x:f>N31/1.23</x:f>
        <x:v>8634.146341463415</x:v>
      </x:c>
      <x:c r="P31" s="36" t="n">
        <x:v>2640</x:v>
      </x:c>
      <x:c r="Q31" s="35" t="n">
        <x:f>P31/1.23</x:f>
        <x:v>2146.3414634146343</x:v>
      </x:c>
      <x:c r="R31" s="36" t="n">
        <x:v>2640</x:v>
      </x:c>
      <x:c r="S31" s="35" t="n">
        <x:f>R31/1.23</x:f>
        <x:v>2146.3414634146343</x:v>
      </x:c>
      <x:c r="T31" s="36" t="n">
        <x:v>6910</x:v>
      </x:c>
      <x:c r="U31" s="35" t="n">
        <x:f>T31/1.23</x:f>
        <x:v>5617.886178861789</x:v>
      </x:c>
      <x:c r="V31" s="36" t="n">
        <x:v>1230</x:v>
      </x:c>
      <x:c r="W31" s="35" t="n">
        <x:f>V31/1.23</x:f>
        <x:v>1000</x:v>
      </x:c>
      <x:c r="X31" s="36" t="n">
        <x:v>1650</x:v>
      </x:c>
      <x:c r="Y31" s="35" t="n">
        <x:f>X31/1.23</x:f>
        <x:v>1341.4634146341464</x:v>
      </x:c>
      <x:c r="Z31" s="36" t="n">
        <x:v>1610</x:v>
      </x:c>
      <x:c r="AA31" s="139" t="n">
        <x:f>Z31/1.23</x:f>
        <x:v>1308.9430894308944</x:v>
      </x:c>
      <x:c r="AB31" s="140" t="n">
        <x:v>520</x:v>
      </x:c>
      <x:c r="AC31" s="141" t="n">
        <x:f>AB31/1.23</x:f>
        <x:v>422.7642276422764</x:v>
      </x:c>
      <x:c r="AD31" s="36" t="n">
        <x:v>2595</x:v>
      </x:c>
      <x:c r="AE31" s="35" t="n">
        <x:f>AD31/1.23</x:f>
        <x:v>2109.756097560976</x:v>
      </x:c>
      <x:c r="AF31" s="36" t="n">
        <x:v>3899</x:v>
      </x:c>
      <x:c r="AG31" s="35" t="n">
        <x:f>AF31/1.23</x:f>
        <x:v>3169.918699186992</x:v>
      </x:c>
    </x:row>
    <x:row r="32" s="655" customFormat="1" ht="15.75" customHeight="1">
      <x:c r="A32" s="33" t="inlineStr">
        <x:is>
          <x:t xml:space="preserve">400 x 1106 cm</x:t>
        </x:is>
      </x:c>
      <x:c r="B32" s="36" t="n">
        <x:v>47330</x:v>
      </x:c>
      <x:c r="C32" s="35" t="n">
        <x:f>B32/1.23</x:f>
        <x:v>38479.67479674797</x:v>
      </x:c>
      <x:c r="D32" s="36" t="n">
        <x:v>1280</x:v>
      </x:c>
      <x:c r="E32" s="35" t="n">
        <x:f>D32/1.23</x:f>
        <x:v>1040.6504065040651</x:v>
      </x:c>
      <x:c r="F32" s="36" t="n">
        <x:v>2280</x:v>
      </x:c>
      <x:c r="G32" s="35" t="n">
        <x:f>F32/1.23</x:f>
        <x:v>1853.658536585366</x:v>
      </x:c>
      <x:c r="H32" s="36" t="n">
        <x:v>2200</x:v>
      </x:c>
      <x:c r="I32" s="35" t="n">
        <x:f>H32/1.23</x:f>
        <x:v>1788.617886178862</x:v>
      </x:c>
      <x:c r="J32" s="36" t="n">
        <x:v>720</x:v>
      </x:c>
      <x:c r="K32" s="35" t="n">
        <x:f>J32/1.23</x:f>
        <x:v>585.3658536585366</x:v>
      </x:c>
      <x:c r="L32" s="36" t="n">
        <x:v>650</x:v>
      </x:c>
      <x:c r="M32" s="35" t="n">
        <x:f>L32/1.23</x:f>
        <x:v>528.4552845528456</x:v>
      </x:c>
      <x:c r="N32" s="36" t="n">
        <x:v>13350</x:v>
      </x:c>
      <x:c r="O32" s="35" t="n">
        <x:f>N32/1.23</x:f>
        <x:v>10853.658536585366</x:v>
      </x:c>
      <x:c r="P32" s="36" t="n">
        <x:v>2640</x:v>
      </x:c>
      <x:c r="Q32" s="35" t="n">
        <x:f>P32/1.23</x:f>
        <x:v>2146.3414634146343</x:v>
      </x:c>
      <x:c r="R32" s="36" t="n">
        <x:v>2640</x:v>
      </x:c>
      <x:c r="S32" s="35" t="n">
        <x:f>R32/1.23</x:f>
        <x:v>2146.3414634146343</x:v>
      </x:c>
      <x:c r="T32" s="36" t="n">
        <x:v>7420</x:v>
      </x:c>
      <x:c r="U32" s="35" t="n">
        <x:f>T32/1.23</x:f>
        <x:v>6032.5203252032525</x:v>
      </x:c>
      <x:c r="V32" s="36" t="n">
        <x:v>1430</x:v>
      </x:c>
      <x:c r="W32" s="35" t="n">
        <x:f>V32/1.23</x:f>
        <x:v>1162.60162601626</x:v>
      </x:c>
      <x:c r="X32" s="36" t="n">
        <x:v>1770</x:v>
      </x:c>
      <x:c r="Y32" s="35" t="n">
        <x:f>X32/1.23</x:f>
        <x:v>1439.0243902439024</x:v>
      </x:c>
      <x:c r="Z32" s="36" t="n">
        <x:v>2180</x:v>
      </x:c>
      <x:c r="AA32" s="139" t="n">
        <x:f>Z32/1.23</x:f>
        <x:v>1772.357723577236</x:v>
      </x:c>
      <x:c r="AB32" s="140" t="n">
        <x:v>560</x:v>
      </x:c>
      <x:c r="AC32" s="141" t="n">
        <x:f>AB32/1.23</x:f>
        <x:v>455.2845528455285</x:v>
      </x:c>
      <x:c r="AD32" s="36" t="n">
        <x:v>2829</x:v>
      </x:c>
      <x:c r="AE32" s="35" t="n">
        <x:f>AD32/1.23</x:f>
        <x:v>2300</x:v>
      </x:c>
      <x:c r="AF32" s="36" t="n">
        <x:v>4268</x:v>
      </x:c>
      <x:c r="AG32" s="35" t="n">
        <x:f>AF32/1.23</x:f>
        <x:v>3469.918699186992</x:v>
      </x:c>
    </x:row>
    <x:row r="33" s="655" customFormat="1" ht="15.75" customHeight="1">
      <x:c r="A33" s="33" t="inlineStr">
        <x:is>
          <x:t xml:space="preserve">400 x 1206 cm</x:t>
        </x:is>
      </x:c>
      <x:c r="B33" s="36" t="n">
        <x:v>50240</x:v>
      </x:c>
      <x:c r="C33" s="35" t="n">
        <x:f>B33/1.23</x:f>
        <x:v>40845.528455284555</x:v>
      </x:c>
      <x:c r="D33" s="36" t="n">
        <x:v>1390</x:v>
      </x:c>
      <x:c r="E33" s="35" t="n">
        <x:f>D33/1.23</x:f>
        <x:v>1130.081300813008</x:v>
      </x:c>
      <x:c r="F33" s="36" t="n">
        <x:v>2400</x:v>
      </x:c>
      <x:c r="G33" s="35" t="n">
        <x:f>F33/1.23</x:f>
        <x:v>1951.219512195122</x:v>
      </x:c>
      <x:c r="H33" s="36" t="n">
        <x:v>2320</x:v>
      </x:c>
      <x:c r="I33" s="35" t="n">
        <x:f>H33/1.23</x:f>
        <x:v>1886.178861788618</x:v>
      </x:c>
      <x:c r="J33" s="36" t="n">
        <x:v>760</x:v>
      </x:c>
      <x:c r="K33" s="35" t="n">
        <x:f>J33/1.23</x:f>
        <x:v>617.8861788617886</x:v>
      </x:c>
      <x:c r="L33" s="36" t="n">
        <x:v>690</x:v>
      </x:c>
      <x:c r="M33" s="35" t="n">
        <x:f>L33/1.23</x:f>
        <x:v>560.9756097560976</x:v>
      </x:c>
      <x:c r="N33" s="36" t="n">
        <x:v>13980</x:v>
      </x:c>
      <x:c r="O33" s="35" t="n">
        <x:f>N33/1.23</x:f>
        <x:v>11365.853658536585</x:v>
      </x:c>
      <x:c r="P33" s="36" t="n">
        <x:v>2640</x:v>
      </x:c>
      <x:c r="Q33" s="35" t="n">
        <x:f>P33/1.23</x:f>
        <x:v>2146.3414634146343</x:v>
      </x:c>
      <x:c r="R33" s="36" t="n">
        <x:v>2640</x:v>
      </x:c>
      <x:c r="S33" s="35" t="n">
        <x:f>R33/1.23</x:f>
        <x:v>2146.3414634146343</x:v>
      </x:c>
      <x:c r="T33" s="36" t="n">
        <x:v>7920</x:v>
      </x:c>
      <x:c r="U33" s="35" t="n">
        <x:f>T33/1.23</x:f>
        <x:v>6439.024390243902</x:v>
      </x:c>
      <x:c r="V33" s="36" t="n">
        <x:v>1510</x:v>
      </x:c>
      <x:c r="W33" s="35" t="n">
        <x:f>V33/1.23</x:f>
        <x:v>1227.6422764227643</x:v>
      </x:c>
      <x:c r="X33" s="36" t="n">
        <x:v>1900</x:v>
      </x:c>
      <x:c r="Y33" s="35" t="n">
        <x:f>X33/1.23</x:f>
        <x:v>1544.7154471544716</x:v>
      </x:c>
      <x:c r="Z33" s="36" t="n">
        <x:v>2180</x:v>
      </x:c>
      <x:c r="AA33" s="139" t="n">
        <x:f>Z33/1.23</x:f>
        <x:v>1772.357723577236</x:v>
      </x:c>
      <x:c r="AB33" s="140" t="n">
        <x:v>600</x:v>
      </x:c>
      <x:c r="AC33" s="141" t="n">
        <x:f>AB33/1.23</x:f>
        <x:v>487.8048780487805</x:v>
      </x:c>
      <x:c r="AD33" s="36" t="n">
        <x:v>3050</x:v>
      </x:c>
      <x:c r="AE33" s="35" t="n">
        <x:f>AD33/1.23</x:f>
        <x:v>2479.6747967479673</x:v>
      </x:c>
      <x:c r="AF33" s="36" t="n">
        <x:v>4637</x:v>
      </x:c>
      <x:c r="AG33" s="35" t="n">
        <x:f>AF33/1.23</x:f>
        <x:v>3769.918699186992</x:v>
      </x:c>
    </x:row>
    <x:row r="34" s="655" customFormat="1" ht="21.75" customHeight="1">
      <x:c r="A34" s="191" t="inlineStr">
        <x:is>
          <x:t xml:space="preserve">SERIA PRO+  450-600 cm</x:t>
        </x:is>
      </x:c>
      <x:c r="B34" s="648" t="inlineStr">
        <x:is>
          <x:t xml:space="preserve">  OGRÓD ZIMOWY SZKŁO</x:t>
        </x:is>
      </x:c>
      <x:c r="AA34" s="627" t="n"/>
      <x:c r="AB34" s="149" t="n"/>
      <x:c r="AC34" s="149" t="n"/>
      <x:c r="AD34" s="150" t="n"/>
      <x:c r="AE34" s="150" t="n"/>
      <x:c r="AF34" s="38" t="n"/>
      <x:c r="AG34" s="192" t="n"/>
    </x:row>
    <x:row r="35" s="655" customFormat="1" ht="15.75" customHeight="1">
      <x:c r="A35" s="40" t="inlineStr">
        <x:is>
          <x:t xml:space="preserve">450 x 306   cm</x:t>
        </x:is>
      </x:c>
      <x:c r="B35" s="43" t="n">
        <x:v>25690</x:v>
      </x:c>
      <x:c r="C35" s="42" t="n">
        <x:f>B35/1.23</x:f>
        <x:v>20886.17886178862</x:v>
      </x:c>
      <x:c r="D35" s="43" t="n">
        <x:v>380</x:v>
      </x:c>
      <x:c r="E35" s="42" t="n">
        <x:f>D35/1.23</x:f>
        <x:v>308.9430894308943</x:v>
      </x:c>
      <x:c r="F35" s="43" t="n">
        <x:v>1560</x:v>
      </x:c>
      <x:c r="G35" s="42" t="n">
        <x:f>F35/1.23</x:f>
        <x:v>1268.2926829268292</x:v>
      </x:c>
      <x:c r="H35" s="43" t="n">
        <x:v>1460</x:v>
      </x:c>
      <x:c r="I35" s="42" t="n">
        <x:f>H35/1.23</x:f>
        <x:v>1186.9918699186992</x:v>
      </x:c>
      <x:c r="J35" s="43" t="n">
        <x:v>500</x:v>
      </x:c>
      <x:c r="K35" s="42" t="n">
        <x:f>J35/1.23</x:f>
        <x:v>406.5040650406504</x:v>
      </x:c>
      <x:c r="L35" s="43" t="n">
        <x:v>450</x:v>
      </x:c>
      <x:c r="M35" s="42" t="n">
        <x:f>L35/1.23</x:f>
        <x:v>365.8536585365854</x:v>
      </x:c>
      <x:c r="N35" s="43" t="n">
        <x:v>4080</x:v>
      </x:c>
      <x:c r="O35" s="42" t="n">
        <x:v>3317.073170731707</x:v>
      </x:c>
      <x:c r="P35" s="43" t="n">
        <x:v>3160</x:v>
      </x:c>
      <x:c r="Q35" s="42" t="n">
        <x:f>P35/1.23</x:f>
        <x:v>2569.1056910569105</x:v>
      </x:c>
      <x:c r="R35" s="43" t="n">
        <x:v>3160</x:v>
      </x:c>
      <x:c r="S35" s="42" t="n">
        <x:f>R35/1.23</x:f>
        <x:v>2569.1056910569105</x:v>
      </x:c>
      <x:c r="T35" s="43" t="n">
        <x:v>2140</x:v>
      </x:c>
      <x:c r="U35" s="42" t="n">
        <x:f>T35/1.23</x:f>
        <x:v>1739.8373983739837</x:v>
      </x:c>
      <x:c r="V35" s="43" t="n">
        <x:v>420</x:v>
      </x:c>
      <x:c r="W35" s="42" t="n">
        <x:f>V35/1.23</x:f>
        <x:v>341.4634146341464</x:v>
      </x:c>
      <x:c r="X35" s="43" t="n">
        <x:v>640</x:v>
      </x:c>
      <x:c r="Y35" s="42" t="n">
        <x:f>X35/1.23</x:f>
        <x:v>520.3252032520326</x:v>
      </x:c>
      <x:c r="Z35" s="43" t="n">
        <x:v>1160</x:v>
      </x:c>
      <x:c r="AA35" s="44" t="n">
        <x:f>Z35/1.23</x:f>
        <x:v>943.089430894309</x:v>
      </x:c>
      <x:c r="AB35" s="151" t="n">
        <x:v>400</x:v>
      </x:c>
      <x:c r="AC35" s="152" t="n">
        <x:f>AB35/1.23</x:f>
        <x:v>325.2032520325203</x:v>
      </x:c>
      <x:c r="AD35" s="153" t="n"/>
      <x:c r="AE35" s="154" t="n"/>
      <x:c r="AF35" s="153" t="n"/>
      <x:c r="AG35" s="154" t="n"/>
    </x:row>
    <x:row r="36" s="655" customFormat="1" ht="15.75" customHeight="1">
      <x:c r="A36" s="40" t="inlineStr">
        <x:is>
          <x:t xml:space="preserve">450 x 406   cm</x:t>
        </x:is>
      </x:c>
      <x:c r="B36" s="43" t="n">
        <x:v>29810</x:v>
      </x:c>
      <x:c r="C36" s="42" t="n">
        <x:f>B36/1.23</x:f>
        <x:v>24235.772357723577</x:v>
      </x:c>
      <x:c r="D36" s="43" t="n">
        <x:v>500</x:v>
      </x:c>
      <x:c r="E36" s="42" t="n">
        <x:f>D36/1.23</x:f>
        <x:v>406.5040650406504</x:v>
      </x:c>
      <x:c r="F36" s="43" t="n">
        <x:v>1680</x:v>
      </x:c>
      <x:c r="G36" s="42" t="n">
        <x:f>F36/1.23</x:f>
        <x:v>1365.8536585365855</x:v>
      </x:c>
      <x:c r="H36" s="43" t="n">
        <x:v>1580</x:v>
      </x:c>
      <x:c r="I36" s="42" t="n">
        <x:f>H36/1.23</x:f>
        <x:v>1284.5528455284552</x:v>
      </x:c>
      <x:c r="J36" s="43" t="n">
        <x:v>530</x:v>
      </x:c>
      <x:c r="K36" s="42" t="n">
        <x:f>J36/1.23</x:f>
        <x:v>430.8943089430894</x:v>
      </x:c>
      <x:c r="L36" s="43" t="n">
        <x:v>480</x:v>
      </x:c>
      <x:c r="M36" s="42" t="n">
        <x:f>L36/1.23</x:f>
        <x:v>390.2439024390244</x:v>
      </x:c>
      <x:c r="N36" s="43" t="n">
        <x:v>4670</x:v>
      </x:c>
      <x:c r="O36" s="42" t="n">
        <x:v>3796.747967479675</x:v>
      </x:c>
      <x:c r="P36" s="43" t="n">
        <x:v>3160</x:v>
      </x:c>
      <x:c r="Q36" s="42" t="n">
        <x:f>P36/1.23</x:f>
        <x:v>2569.1056910569105</x:v>
      </x:c>
      <x:c r="R36" s="43" t="n">
        <x:v>3160</x:v>
      </x:c>
      <x:c r="S36" s="42" t="n">
        <x:f>R36/1.23</x:f>
        <x:v>2569.1056910569105</x:v>
      </x:c>
      <x:c r="T36" s="43" t="n">
        <x:v>2640</x:v>
      </x:c>
      <x:c r="U36" s="42" t="n">
        <x:f>T36/1.23</x:f>
        <x:v>2146.3414634146343</x:v>
      </x:c>
      <x:c r="V36" s="43" t="n">
        <x:v>510</x:v>
      </x:c>
      <x:c r="W36" s="42" t="n">
        <x:f>V36/1.23</x:f>
        <x:v>414.6341463414634</x:v>
      </x:c>
      <x:c r="X36" s="43" t="n">
        <x:v>740</x:v>
      </x:c>
      <x:c r="Y36" s="42" t="n">
        <x:f>X36/1.23</x:f>
        <x:v>601.6260162601626</x:v>
      </x:c>
      <x:c r="Z36" s="43" t="n">
        <x:v>1280</x:v>
      </x:c>
      <x:c r="AA36" s="44" t="n">
        <x:f>Z36/1.23</x:f>
        <x:v>1040.6504065040651</x:v>
      </x:c>
      <x:c r="AB36" s="151" t="n">
        <x:v>440</x:v>
      </x:c>
      <x:c r="AC36" s="152" t="n">
        <x:f>AB36/1.23</x:f>
        <x:v>357.7235772357724</x:v>
      </x:c>
      <x:c r="AD36" s="153" t="n"/>
      <x:c r="AE36" s="154" t="n"/>
      <x:c r="AF36" s="153" t="n"/>
      <x:c r="AG36" s="154" t="n"/>
    </x:row>
    <x:row r="37" s="655" customFormat="1" ht="15.75" customHeight="1">
      <x:c r="A37" s="40" t="inlineStr">
        <x:is>
          <x:t xml:space="preserve">450 x 506   cm</x:t>
        </x:is>
      </x:c>
      <x:c r="B37" s="43" t="n">
        <x:v>34500</x:v>
      </x:c>
      <x:c r="C37" s="42" t="n">
        <x:f>B37/1.23</x:f>
        <x:v>28048.780487804877</x:v>
      </x:c>
      <x:c r="D37" s="43" t="n">
        <x:v>630</x:v>
      </x:c>
      <x:c r="E37" s="42" t="n">
        <x:f>D37/1.23</x:f>
        <x:v>512.1951219512196</x:v>
      </x:c>
      <x:c r="F37" s="43" t="n">
        <x:v>1800</x:v>
      </x:c>
      <x:c r="G37" s="42" t="n">
        <x:f>F37/1.23</x:f>
        <x:v>1463.4146341463415</x:v>
      </x:c>
      <x:c r="H37" s="43" t="n">
        <x:v>1700</x:v>
      </x:c>
      <x:c r="I37" s="42" t="n">
        <x:f>H37/1.23</x:f>
        <x:v>1382.1138211382115</x:v>
      </x:c>
      <x:c r="J37" s="43" t="n">
        <x:v>570</x:v>
      </x:c>
      <x:c r="K37" s="42" t="n">
        <x:f>J37/1.23</x:f>
        <x:v>463.4146341463415</x:v>
      </x:c>
      <x:c r="L37" s="43" t="n">
        <x:v>520</x:v>
      </x:c>
      <x:c r="M37" s="42" t="n">
        <x:f>L37/1.23</x:f>
        <x:v>422.7642276422764</x:v>
      </x:c>
      <x:c r="N37" s="43" t="n">
        <x:v>5420</x:v>
      </x:c>
      <x:c r="O37" s="42" t="n">
        <x:v>4406.504065040651</x:v>
      </x:c>
      <x:c r="P37" s="43" t="n">
        <x:v>3160</x:v>
      </x:c>
      <x:c r="Q37" s="42" t="n">
        <x:f>P37/1.23</x:f>
        <x:v>2569.1056910569105</x:v>
      </x:c>
      <x:c r="R37" s="43" t="n">
        <x:v>3160</x:v>
      </x:c>
      <x:c r="S37" s="42" t="n">
        <x:f>R37/1.23</x:f>
        <x:v>2569.1056910569105</x:v>
      </x:c>
      <x:c r="T37" s="43" t="n">
        <x:v>3700</x:v>
      </x:c>
      <x:c r="U37" s="42" t="n">
        <x:f>T37/1.23</x:f>
        <x:v>3008.130081300813</x:v>
      </x:c>
      <x:c r="V37" s="43" t="n">
        <x:v>600</x:v>
      </x:c>
      <x:c r="W37" s="42" t="n">
        <x:f>V37/1.23</x:f>
        <x:v>487.8048780487805</x:v>
      </x:c>
      <x:c r="X37" s="43" t="n">
        <x:v>960</x:v>
      </x:c>
      <x:c r="Y37" s="42" t="n">
        <x:f>X37/1.23</x:f>
        <x:v>780.4878048780488</x:v>
      </x:c>
      <x:c r="Z37" s="43" t="n">
        <x:v>1410</x:v>
      </x:c>
      <x:c r="AA37" s="44" t="n">
        <x:f>Z37/1.23</x:f>
        <x:v>1146.341463414634</x:v>
      </x:c>
      <x:c r="AB37" s="151" t="n">
        <x:v>440</x:v>
      </x:c>
      <x:c r="AC37" s="152" t="n">
        <x:f>AB37/1.23</x:f>
        <x:v>357.7235772357724</x:v>
      </x:c>
      <x:c r="AD37" s="153" t="n"/>
      <x:c r="AE37" s="154" t="n"/>
      <x:c r="AF37" s="153" t="n"/>
      <x:c r="AG37" s="154" t="n"/>
    </x:row>
    <x:row r="38" s="655" customFormat="1" ht="15.75" customHeight="1">
      <x:c r="A38" s="40" t="inlineStr">
        <x:is>
          <x:t xml:space="preserve">450 x 606   cm</x:t>
        </x:is>
      </x:c>
      <x:c r="B38" s="43" t="n">
        <x:v>38940</x:v>
      </x:c>
      <x:c r="C38" s="42" t="n">
        <x:f>B38/1.23</x:f>
        <x:v>31658.536585365855</x:v>
      </x:c>
      <x:c r="D38" s="43" t="n">
        <x:v>760</x:v>
      </x:c>
      <x:c r="E38" s="42" t="n">
        <x:f>D38/1.23</x:f>
        <x:v>617.8861788617886</x:v>
      </x:c>
      <x:c r="F38" s="43" t="n">
        <x:v>1920</x:v>
      </x:c>
      <x:c r="G38" s="42" t="n">
        <x:f>F38/1.23</x:f>
        <x:v>1560.9756097560976</x:v>
      </x:c>
      <x:c r="H38" s="43" t="n">
        <x:v>1820</x:v>
      </x:c>
      <x:c r="I38" s="42" t="n">
        <x:f>H38/1.23</x:f>
        <x:v>1479.6747967479675</x:v>
      </x:c>
      <x:c r="J38" s="43" t="n">
        <x:v>610</x:v>
      </x:c>
      <x:c r="K38" s="42" t="n">
        <x:f>J38/1.23</x:f>
        <x:v>495.9349593495935</x:v>
      </x:c>
      <x:c r="L38" s="43" t="n">
        <x:v>550</x:v>
      </x:c>
      <x:c r="M38" s="42" t="n">
        <x:f>L38/1.23</x:f>
        <x:v>447.1544715447155</x:v>
      </x:c>
      <x:c r="N38" s="43" t="n">
        <x:v>8160</x:v>
      </x:c>
      <x:c r="O38" s="42" t="n">
        <x:v>6634.146341463415</x:v>
      </x:c>
      <x:c r="P38" s="43" t="n">
        <x:v>3160</x:v>
      </x:c>
      <x:c r="Q38" s="42" t="n">
        <x:f>P38/1.23</x:f>
        <x:v>2569.1056910569105</x:v>
      </x:c>
      <x:c r="R38" s="43" t="n">
        <x:v>3160</x:v>
      </x:c>
      <x:c r="S38" s="42" t="n">
        <x:f>R38/1.23</x:f>
        <x:v>2569.1056910569105</x:v>
      </x:c>
      <x:c r="T38" s="43" t="n">
        <x:v>4270</x:v>
      </x:c>
      <x:c r="U38" s="42" t="n">
        <x:f>T38/1.23</x:f>
        <x:v>3471.5447154471544</x:v>
      </x:c>
      <x:c r="V38" s="43" t="n">
        <x:v>790</x:v>
      </x:c>
      <x:c r="W38" s="42" t="n">
        <x:f>V38/1.23</x:f>
        <x:v>642.2764227642276</x:v>
      </x:c>
      <x:c r="X38" s="43" t="n">
        <x:v>1090</x:v>
      </x:c>
      <x:c r="Y38" s="42" t="n">
        <x:f>X38/1.23</x:f>
        <x:v>886.178861788618</x:v>
      </x:c>
      <x:c r="Z38" s="43" t="n">
        <x:v>1700</x:v>
      </x:c>
      <x:c r="AA38" s="44" t="n">
        <x:f>Z38/1.23</x:f>
        <x:v>1382.1138211382115</x:v>
      </x:c>
      <x:c r="AB38" s="151" t="n">
        <x:v>480</x:v>
      </x:c>
      <x:c r="AC38" s="152" t="n">
        <x:f>AB38/1.23</x:f>
        <x:v>390.2439024390244</x:v>
      </x:c>
      <x:c r="AD38" s="153" t="n"/>
      <x:c r="AE38" s="154" t="n"/>
      <x:c r="AF38" s="153" t="n"/>
      <x:c r="AG38" s="154" t="n"/>
    </x:row>
    <x:row r="39" s="655" customFormat="1" ht="15.75" customHeight="1">
      <x:c r="A39" s="40" t="inlineStr">
        <x:is>
          <x:t xml:space="preserve">450 x 706   cm</x:t>
        </x:is>
      </x:c>
      <x:c r="B39" s="43" t="n">
        <x:v>43360</x:v>
      </x:c>
      <x:c r="C39" s="42" t="n">
        <x:f>B39/1.23</x:f>
        <x:v>35252.03252032521</x:v>
      </x:c>
      <x:c r="D39" s="43" t="n">
        <x:v>880</x:v>
      </x:c>
      <x:c r="E39" s="42" t="n">
        <x:f>D39/1.23</x:f>
        <x:v>715.4471544715448</x:v>
      </x:c>
      <x:c r="F39" s="43" t="n">
        <x:v>2040</x:v>
      </x:c>
      <x:c r="G39" s="42" t="n">
        <x:f>F39/1.23</x:f>
        <x:v>1658.5365853658536</x:v>
      </x:c>
      <x:c r="H39" s="43" t="n">
        <x:v>1940</x:v>
      </x:c>
      <x:c r="I39" s="42" t="n">
        <x:f>H39/1.23</x:f>
        <x:v>1577.2357723577236</x:v>
      </x:c>
      <x:c r="J39" s="43" t="n">
        <x:v>650</x:v>
      </x:c>
      <x:c r="K39" s="42" t="n">
        <x:f>J39/1.23</x:f>
        <x:v>528.4552845528456</x:v>
      </x:c>
      <x:c r="L39" s="43" t="n">
        <x:v>590</x:v>
      </x:c>
      <x:c r="M39" s="42" t="n">
        <x:f>L39/1.23</x:f>
        <x:v>479.6747967479675</x:v>
      </x:c>
      <x:c r="N39" s="43" t="n">
        <x:v>8750</x:v>
      </x:c>
      <x:c r="O39" s="42" t="n">
        <x:v>7113.821138211382</x:v>
      </x:c>
      <x:c r="P39" s="43" t="n">
        <x:v>3160</x:v>
      </x:c>
      <x:c r="Q39" s="42" t="n">
        <x:f>P39/1.23</x:f>
        <x:v>2569.1056910569105</x:v>
      </x:c>
      <x:c r="R39" s="43" t="n">
        <x:v>3160</x:v>
      </x:c>
      <x:c r="S39" s="42" t="n">
        <x:f>R39/1.23</x:f>
        <x:v>2569.1056910569105</x:v>
      </x:c>
      <x:c r="T39" s="43" t="n">
        <x:v>4780</x:v>
      </x:c>
      <x:c r="U39" s="42" t="n">
        <x:f>T39/1.23</x:f>
        <x:v>3886.1788617886177</x:v>
      </x:c>
      <x:c r="V39" s="43" t="n">
        <x:v>870.0000000000001</x:v>
      </x:c>
      <x:c r="W39" s="42" t="n">
        <x:f>V39/1.23</x:f>
        <x:v>707.3170731707318</x:v>
      </x:c>
      <x:c r="X39" s="43" t="n">
        <x:v>1210</x:v>
      </x:c>
      <x:c r="Y39" s="42" t="n">
        <x:f>X39/1.23</x:f>
        <x:v>983.739837398374</x:v>
      </x:c>
      <x:c r="Z39" s="43" t="n">
        <x:v>1500</x:v>
      </x:c>
      <x:c r="AA39" s="44" t="n">
        <x:f>Z39/1.23</x:f>
        <x:v>1219.5121951219512</x:v>
      </x:c>
      <x:c r="AB39" s="151" t="n">
        <x:v>520</x:v>
      </x:c>
      <x:c r="AC39" s="152" t="n">
        <x:f>AB39/1.23</x:f>
        <x:v>422.7642276422764</x:v>
      </x:c>
      <x:c r="AD39" s="153" t="n"/>
      <x:c r="AE39" s="154" t="n"/>
      <x:c r="AF39" s="153" t="n"/>
      <x:c r="AG39" s="154" t="n"/>
    </x:row>
    <x:row r="40" s="655" customFormat="1" ht="15.75" customHeight="1">
      <x:c r="A40" s="40" t="inlineStr">
        <x:is>
          <x:t xml:space="preserve">450 x 806   cm</x:t>
        </x:is>
      </x:c>
      <x:c r="B40" s="43" t="n">
        <x:v>47490</x:v>
      </x:c>
      <x:c r="C40" s="42" t="n">
        <x:f>B40/1.23</x:f>
        <x:v>38609.756097560974</x:v>
      </x:c>
      <x:c r="D40" s="43" t="n">
        <x:v>1010</x:v>
      </x:c>
      <x:c r="E40" s="42" t="n">
        <x:f>D40/1.23</x:f>
        <x:v>821.1382113821138</x:v>
      </x:c>
      <x:c r="F40" s="43" t="n">
        <x:v>2160</x:v>
      </x:c>
      <x:c r="G40" s="42" t="n">
        <x:f>F40/1.23</x:f>
        <x:v>1756.09756097561</x:v>
      </x:c>
      <x:c r="H40" s="43" t="n">
        <x:v>2060</x:v>
      </x:c>
      <x:c r="I40" s="42" t="n">
        <x:f>H40/1.23</x:f>
        <x:v>1674.7967479674796</x:v>
      </x:c>
      <x:c r="J40" s="43" t="n">
        <x:v>690</x:v>
      </x:c>
      <x:c r="K40" s="42" t="n">
        <x:f>J40/1.23</x:f>
        <x:v>560.9756097560976</x:v>
      </x:c>
      <x:c r="L40" s="43" t="n">
        <x:v>620</x:v>
      </x:c>
      <x:c r="M40" s="42" t="n">
        <x:f>L40/1.23</x:f>
        <x:v>504.0650406504065</x:v>
      </x:c>
      <x:c r="N40" s="43" t="n">
        <x:v>9340</x:v>
      </x:c>
      <x:c r="O40" s="42" t="n">
        <x:v>7593.49593495935</x:v>
      </x:c>
      <x:c r="P40" s="43" t="n">
        <x:v>3160</x:v>
      </x:c>
      <x:c r="Q40" s="42" t="n">
        <x:f>P40/1.23</x:f>
        <x:v>2569.1056910569105</x:v>
      </x:c>
      <x:c r="R40" s="43" t="n">
        <x:v>3160</x:v>
      </x:c>
      <x:c r="S40" s="42" t="n">
        <x:f>R40/1.23</x:f>
        <x:v>2569.1056910569105</x:v>
      </x:c>
      <x:c r="T40" s="43" t="n">
        <x:v>5280</x:v>
      </x:c>
      <x:c r="U40" s="42" t="n">
        <x:f>T40/1.23</x:f>
        <x:v>4292.682926829269</x:v>
      </x:c>
      <x:c r="V40" s="43" t="n">
        <x:v>960</x:v>
      </x:c>
      <x:c r="W40" s="42" t="n">
        <x:f>V40/1.23</x:f>
        <x:v>780.4878048780488</x:v>
      </x:c>
      <x:c r="X40" s="43" t="n">
        <x:v>1440</x:v>
      </x:c>
      <x:c r="Y40" s="42" t="n">
        <x:f>X40/1.23</x:f>
        <x:v>1170.7317073170732</x:v>
      </x:c>
      <x:c r="Z40" s="43" t="n">
        <x:v>1610</x:v>
      </x:c>
      <x:c r="AA40" s="44" t="n">
        <x:f>Z40/1.23</x:f>
        <x:v>1308.9430894308944</x:v>
      </x:c>
      <x:c r="AB40" s="151" t="n">
        <x:v>560</x:v>
      </x:c>
      <x:c r="AC40" s="152" t="n">
        <x:f>AB40/1.23</x:f>
        <x:v>455.2845528455285</x:v>
      </x:c>
      <x:c r="AD40" s="153" t="n"/>
      <x:c r="AE40" s="154" t="n"/>
      <x:c r="AF40" s="153" t="n"/>
      <x:c r="AG40" s="154" t="n"/>
    </x:row>
    <x:row r="41" s="655" customFormat="1" ht="15.75" customHeight="1">
      <x:c r="A41" s="40" t="inlineStr">
        <x:is>
          <x:t xml:space="preserve">450 x 906   cm</x:t>
        </x:is>
      </x:c>
      <x:c r="B41" s="43" t="n">
        <x:v>52340</x:v>
      </x:c>
      <x:c r="C41" s="42" t="n">
        <x:f>B41/1.23</x:f>
        <x:v>42552.845528455284</x:v>
      </x:c>
      <x:c r="D41" s="43" t="n">
        <x:v>1140</x:v>
      </x:c>
      <x:c r="E41" s="42" t="n">
        <x:f>D41/1.23</x:f>
        <x:v>926.829268292683</x:v>
      </x:c>
      <x:c r="F41" s="43" t="n">
        <x:v>2280</x:v>
      </x:c>
      <x:c r="G41" s="42" t="n">
        <x:f>F41/1.23</x:f>
        <x:v>1853.658536585366</x:v>
      </x:c>
      <x:c r="H41" s="43" t="n">
        <x:v>2180</x:v>
      </x:c>
      <x:c r="I41" s="42" t="n">
        <x:f>H41/1.23</x:f>
        <x:v>1772.357723577236</x:v>
      </x:c>
      <x:c r="J41" s="43" t="n">
        <x:v>720</x:v>
      </x:c>
      <x:c r="K41" s="42" t="n">
        <x:f>J41/1.23</x:f>
        <x:v>585.3658536585366</x:v>
      </x:c>
      <x:c r="L41" s="43" t="n">
        <x:v>650</x:v>
      </x:c>
      <x:c r="M41" s="42" t="n">
        <x:f>L41/1.23</x:f>
        <x:v>528.4552845528456</x:v>
      </x:c>
      <x:c r="N41" s="43" t="n">
        <x:v>10090</x:v>
      </x:c>
      <x:c r="O41" s="42" t="n">
        <x:v>8203.252032520326</x:v>
      </x:c>
      <x:c r="P41" s="43" t="n">
        <x:v>3160</x:v>
      </x:c>
      <x:c r="Q41" s="42" t="n">
        <x:f>P41/1.23</x:f>
        <x:v>2569.1056910569105</x:v>
      </x:c>
      <x:c r="R41" s="43" t="n">
        <x:v>3160</x:v>
      </x:c>
      <x:c r="S41" s="42" t="n">
        <x:f>R41/1.23</x:f>
        <x:v>2569.1056910569105</x:v>
      </x:c>
      <x:c r="T41" s="43" t="n">
        <x:v>6400</x:v>
      </x:c>
      <x:c r="U41" s="42" t="n">
        <x:f>T41/1.23</x:f>
        <x:v>5203.252032520325</x:v>
      </x:c>
      <x:c r="V41" s="43" t="n">
        <x:v>1040</x:v>
      </x:c>
      <x:c r="W41" s="42" t="n">
        <x:f>V41/1.23</x:f>
        <x:v>845.5284552845528</x:v>
      </x:c>
      <x:c r="X41" s="43" t="n">
        <x:v>1560</x:v>
      </x:c>
      <x:c r="Y41" s="42" t="n">
        <x:f>X41/1.23</x:f>
        <x:v>1268.2926829268292</x:v>
      </x:c>
      <x:c r="Z41" s="43" t="n">
        <x:v>1750</x:v>
      </x:c>
      <x:c r="AA41" s="44" t="n">
        <x:f>Z41/1.23</x:f>
        <x:v>1422.7642276422764</x:v>
      </x:c>
      <x:c r="AB41" s="151" t="n">
        <x:v>560</x:v>
      </x:c>
      <x:c r="AC41" s="152" t="n">
        <x:f>AB41/1.23</x:f>
        <x:v>455.2845528455285</x:v>
      </x:c>
      <x:c r="AD41" s="153" t="n"/>
      <x:c r="AE41" s="154" t="n"/>
      <x:c r="AF41" s="153" t="n"/>
      <x:c r="AG41" s="154" t="n"/>
    </x:row>
    <x:row r="42" s="655" customFormat="1" ht="15.75" customHeight="1">
      <x:c r="A42" s="40" t="inlineStr">
        <x:is>
          <x:t xml:space="preserve">450 x 1006 cm</x:t>
        </x:is>
      </x:c>
      <x:c r="B42" s="43" t="n">
        <x:v>56730</x:v>
      </x:c>
      <x:c r="C42" s="42" t="n">
        <x:f>B42/1.23</x:f>
        <x:v>46121.95121951219</x:v>
      </x:c>
      <x:c r="D42" s="43" t="n">
        <x:v>1260</x:v>
      </x:c>
      <x:c r="E42" s="42" t="n">
        <x:f>D42/1.23</x:f>
        <x:v>1024.3902439024391</x:v>
      </x:c>
      <x:c r="F42" s="43" t="n">
        <x:v>2400</x:v>
      </x:c>
      <x:c r="G42" s="42" t="n">
        <x:f>F42/1.23</x:f>
        <x:v>1951.219512195122</x:v>
      </x:c>
      <x:c r="H42" s="43" t="n">
        <x:v>2300</x:v>
      </x:c>
      <x:c r="I42" s="42" t="n">
        <x:f>H42/1.23</x:f>
        <x:v>1869.918699186992</x:v>
      </x:c>
      <x:c r="J42" s="43" t="n">
        <x:v>760</x:v>
      </x:c>
      <x:c r="K42" s="42" t="n">
        <x:f>J42/1.23</x:f>
        <x:v>617.8861788617886</x:v>
      </x:c>
      <x:c r="L42" s="43" t="n">
        <x:v>690</x:v>
      </x:c>
      <x:c r="M42" s="42" t="n">
        <x:f>L42/1.23</x:f>
        <x:v>560.9756097560976</x:v>
      </x:c>
      <x:c r="N42" s="43" t="n">
        <x:v>10830</x:v>
      </x:c>
      <x:c r="O42" s="42" t="n">
        <x:v>8804.878048780489</x:v>
      </x:c>
      <x:c r="P42" s="43" t="n">
        <x:v>3160</x:v>
      </x:c>
      <x:c r="Q42" s="42" t="n">
        <x:f>P42/1.23</x:f>
        <x:v>2569.1056910569105</x:v>
      </x:c>
      <x:c r="R42" s="43" t="n">
        <x:v>3160</x:v>
      </x:c>
      <x:c r="S42" s="42" t="n">
        <x:f>R42/1.23</x:f>
        <x:v>2569.1056910569105</x:v>
      </x:c>
      <x:c r="T42" s="43" t="n">
        <x:v>6910</x:v>
      </x:c>
      <x:c r="U42" s="42" t="n">
        <x:f>T42/1.23</x:f>
        <x:v>5617.886178861789</x:v>
      </x:c>
      <x:c r="V42" s="43" t="n">
        <x:v>1230</x:v>
      </x:c>
      <x:c r="W42" s="42" t="n">
        <x:f>V42/1.23</x:f>
        <x:v>1000</x:v>
      </x:c>
      <x:c r="X42" s="43" t="n">
        <x:v>1650</x:v>
      </x:c>
      <x:c r="Y42" s="42" t="n">
        <x:f>X42/1.23</x:f>
        <x:v>1341.4634146341464</x:v>
      </x:c>
      <x:c r="Z42" s="43" t="n">
        <x:v>1880</x:v>
      </x:c>
      <x:c r="AA42" s="44" t="n">
        <x:f>Z42/1.23</x:f>
        <x:v>1528.4552845528456</x:v>
      </x:c>
      <x:c r="AB42" s="155" t="n">
        <x:v>600</x:v>
      </x:c>
      <x:c r="AC42" s="156" t="n">
        <x:f>AB42/1.23</x:f>
        <x:v>487.8048780487805</x:v>
      </x:c>
      <x:c r="AD42" s="153" t="n"/>
      <x:c r="AE42" s="154" t="n"/>
      <x:c r="AF42" s="153" t="n"/>
      <x:c r="AG42" s="154" t="n"/>
    </x:row>
    <x:row r="43" s="655" customFormat="1" ht="15.75" customHeight="1">
      <x:c r="A43" s="40" t="inlineStr">
        <x:is>
          <x:t xml:space="preserve">450 x 1106 cm</x:t>
        </x:is>
      </x:c>
      <x:c r="B43" s="43" t="n">
        <x:v>62010</x:v>
      </x:c>
      <x:c r="C43" s="42" t="n">
        <x:f>B43/1.23</x:f>
        <x:v>50414.634146341465</x:v>
      </x:c>
      <x:c r="D43" s="43" t="n">
        <x:v>1380</x:v>
      </x:c>
      <x:c r="E43" s="42" t="n">
        <x:f>D43/1.23</x:f>
        <x:v>1121.9512195121952</x:v>
      </x:c>
      <x:c r="F43" s="43" t="n">
        <x:v>2520</x:v>
      </x:c>
      <x:c r="G43" s="42" t="n">
        <x:f>F43/1.23</x:f>
        <x:v>2048.7804878048782</x:v>
      </x:c>
      <x:c r="H43" s="43" t="n">
        <x:v>2420</x:v>
      </x:c>
      <x:c r="I43" s="42" t="n">
        <x:f>H43/1.23</x:f>
        <x:v>1967.479674796748</x:v>
      </x:c>
      <x:c r="J43" s="43" t="n">
        <x:v>800</x:v>
      </x:c>
      <x:c r="K43" s="42" t="n">
        <x:f>J43/1.23</x:f>
        <x:v>650.4065040650406</x:v>
      </x:c>
      <x:c r="L43" s="43" t="n">
        <x:v>720</x:v>
      </x:c>
      <x:c r="M43" s="42" t="n">
        <x:f>L43/1.23</x:f>
        <x:v>585.3658536585366</x:v>
      </x:c>
      <x:c r="N43" s="43" t="n">
        <x:v>13420</x:v>
      </x:c>
      <x:c r="O43" s="42" t="n">
        <x:v>10910.56910569106</x:v>
      </x:c>
      <x:c r="P43" s="43" t="n">
        <x:v>3160</x:v>
      </x:c>
      <x:c r="Q43" s="42" t="n">
        <x:f>P43/1.23</x:f>
        <x:v>2569.1056910569105</x:v>
      </x:c>
      <x:c r="R43" s="43" t="n">
        <x:v>3160</x:v>
      </x:c>
      <x:c r="S43" s="42" t="n">
        <x:f>R43/1.23</x:f>
        <x:v>2569.1056910569105</x:v>
      </x:c>
      <x:c r="T43" s="43" t="n">
        <x:v>7420</x:v>
      </x:c>
      <x:c r="U43" s="42" t="n">
        <x:f>T43/1.23</x:f>
        <x:v>6032.5203252032525</x:v>
      </x:c>
      <x:c r="V43" s="43" t="n">
        <x:v>1430</x:v>
      </x:c>
      <x:c r="W43" s="42" t="n">
        <x:f>V43/1.23</x:f>
        <x:v>1162.60162601626</x:v>
      </x:c>
      <x:c r="X43" s="43" t="n">
        <x:v>1770</x:v>
      </x:c>
      <x:c r="Y43" s="42" t="n">
        <x:f>X43/1.23</x:f>
        <x:v>1439.0243902439024</x:v>
      </x:c>
      <x:c r="Z43" s="43" t="n">
        <x:v>2170</x:v>
      </x:c>
      <x:c r="AA43" s="44" t="n">
        <x:f>Z43/1.23</x:f>
        <x:v>1764.2276422764228</x:v>
      </x:c>
      <x:c r="AB43" s="151" t="n">
        <x:v>640</x:v>
      </x:c>
      <x:c r="AC43" s="152" t="n">
        <x:f>AB43/1.23</x:f>
        <x:v>520.3252032520326</x:v>
      </x:c>
      <x:c r="AD43" s="153" t="n"/>
      <x:c r="AE43" s="154" t="n"/>
      <x:c r="AF43" s="153" t="n"/>
      <x:c r="AG43" s="154" t="n"/>
    </x:row>
    <x:row r="44" s="655" customFormat="1" ht="15.75" customHeight="1">
      <x:c r="A44" s="40" t="inlineStr">
        <x:is>
          <x:t xml:space="preserve">450 x 1206 cm</x:t>
        </x:is>
      </x:c>
      <x:c r="B44" s="43" t="n">
        <x:v>64450</x:v>
      </x:c>
      <x:c r="C44" s="42" t="n">
        <x:f>B44/1.23</x:f>
        <x:v>52398.37398373984</x:v>
      </x:c>
      <x:c r="D44" s="43" t="n">
        <x:v>1510</x:v>
      </x:c>
      <x:c r="E44" s="42" t="n">
        <x:f>D44/1.23</x:f>
        <x:v>1227.6422764227643</x:v>
      </x:c>
      <x:c r="F44" s="43" t="n">
        <x:v>2640</x:v>
      </x:c>
      <x:c r="G44" s="42" t="n">
        <x:f>F44/1.23</x:f>
        <x:v>2146.3414634146343</x:v>
      </x:c>
      <x:c r="H44" s="43" t="n">
        <x:v>2540</x:v>
      </x:c>
      <x:c r="I44" s="42" t="n">
        <x:f>H44/1.23</x:f>
        <x:v>2065.040650406504</x:v>
      </x:c>
      <x:c r="J44" s="43" t="n">
        <x:v>840</x:v>
      </x:c>
      <x:c r="K44" s="42" t="n">
        <x:f>J44/1.23</x:f>
        <x:v>682.9268292682927</x:v>
      </x:c>
      <x:c r="L44" s="43" t="n">
        <x:v>760</x:v>
      </x:c>
      <x:c r="M44" s="42" t="n">
        <x:f>L44/1.23</x:f>
        <x:v>617.8861788617886</x:v>
      </x:c>
      <x:c r="N44" s="43" t="n">
        <x:v>14010</x:v>
      </x:c>
      <x:c r="O44" s="42" t="n">
        <x:v>11390.24390243902</x:v>
      </x:c>
      <x:c r="P44" s="43" t="n">
        <x:v>3160</x:v>
      </x:c>
      <x:c r="Q44" s="42" t="n">
        <x:f>P44/1.23</x:f>
        <x:v>2569.1056910569105</x:v>
      </x:c>
      <x:c r="R44" s="43" t="n">
        <x:v>3160</x:v>
      </x:c>
      <x:c r="S44" s="42" t="n">
        <x:f>R44/1.23</x:f>
        <x:v>2569.1056910569105</x:v>
      </x:c>
      <x:c r="T44" s="43" t="n">
        <x:v>7920</x:v>
      </x:c>
      <x:c r="U44" s="42" t="n">
        <x:f>T44/1.23</x:f>
        <x:v>6439.024390243902</x:v>
      </x:c>
      <x:c r="V44" s="43" t="n">
        <x:v>1510</x:v>
      </x:c>
      <x:c r="W44" s="42" t="n">
        <x:f>V44/1.23</x:f>
        <x:v>1227.6422764227643</x:v>
      </x:c>
      <x:c r="X44" s="43" t="n">
        <x:v>1900</x:v>
      </x:c>
      <x:c r="Y44" s="42" t="n">
        <x:f>X44/1.23</x:f>
        <x:v>1544.7154471544716</x:v>
      </x:c>
      <x:c r="Z44" s="43" t="n">
        <x:v>2460</x:v>
      </x:c>
      <x:c r="AA44" s="44" t="n">
        <x:f>Z44/1.23</x:f>
        <x:v>2000</x:v>
      </x:c>
      <x:c r="AB44" s="155" t="n">
        <x:v>680</x:v>
      </x:c>
      <x:c r="AC44" s="156" t="n">
        <x:f>AB44/1.23</x:f>
        <x:v>552.8455284552846</x:v>
      </x:c>
      <x:c r="AD44" s="153" t="n"/>
      <x:c r="AE44" s="154" t="n"/>
      <x:c r="AF44" s="153" t="n"/>
      <x:c r="AG44" s="154" t="n"/>
    </x:row>
    <x:row r="45" s="655" customFormat="1" ht="15.75" customHeight="1">
      <x:c r="A45" s="47" t="inlineStr">
        <x:is>
          <x:t xml:space="preserve">500 x 306   cm</x:t>
        </x:is>
      </x:c>
      <x:c r="B45" s="50" t="n">
        <x:v>26700</x:v>
      </x:c>
      <x:c r="C45" s="49" t="n">
        <x:f>B45/1.23</x:f>
        <x:v>21707.317073170732</x:v>
      </x:c>
      <x:c r="D45" s="50" t="n">
        <x:v>420</x:v>
      </x:c>
      <x:c r="E45" s="49" t="n">
        <x:f>D45/1.23</x:f>
        <x:v>341.4634146341464</x:v>
      </x:c>
      <x:c r="F45" s="50" t="n">
        <x:v>1560</x:v>
      </x:c>
      <x:c r="G45" s="49" t="n">
        <x:f>F45/1.23</x:f>
        <x:v>1268.2926829268292</x:v>
      </x:c>
      <x:c r="H45" s="50" t="n">
        <x:v>1460</x:v>
      </x:c>
      <x:c r="I45" s="49" t="n">
        <x:f>H45/1.23</x:f>
        <x:v>1186.9918699186992</x:v>
      </x:c>
      <x:c r="J45" s="50" t="n">
        <x:v>500</x:v>
      </x:c>
      <x:c r="K45" s="49" t="n">
        <x:f>J45/1.23</x:f>
        <x:v>406.5040650406504</x:v>
      </x:c>
      <x:c r="L45" s="50" t="n">
        <x:v>450</x:v>
      </x:c>
      <x:c r="M45" s="49" t="n">
        <x:f>L45/1.23</x:f>
        <x:v>365.8536585365854</x:v>
      </x:c>
      <x:c r="N45" s="50" t="n">
        <x:v>4080</x:v>
      </x:c>
      <x:c r="O45" s="49" t="n">
        <x:v>3317.073170731707</x:v>
      </x:c>
      <x:c r="P45" s="50" t="n">
        <x:v>3700</x:v>
      </x:c>
      <x:c r="Q45" s="49" t="n">
        <x:f>P45/1.23</x:f>
        <x:v>3008.130081300813</x:v>
      </x:c>
      <x:c r="R45" s="50" t="n">
        <x:v>3700</x:v>
      </x:c>
      <x:c r="S45" s="49" t="n">
        <x:f>R45/1.23</x:f>
        <x:v>3008.130081300813</x:v>
      </x:c>
      <x:c r="T45" s="50" t="n">
        <x:v>2140</x:v>
      </x:c>
      <x:c r="U45" s="49" t="n">
        <x:f>T45/1.23</x:f>
        <x:v>1739.8373983739837</x:v>
      </x:c>
      <x:c r="V45" s="50" t="n">
        <x:v>420</x:v>
      </x:c>
      <x:c r="W45" s="49" t="n">
        <x:f>V45/1.23</x:f>
        <x:v>341.4634146341464</x:v>
      </x:c>
      <x:c r="X45" s="50" t="n">
        <x:v>640</x:v>
      </x:c>
      <x:c r="Y45" s="49" t="n">
        <x:f>X45/1.23</x:f>
        <x:v>520.3252032520326</x:v>
      </x:c>
      <x:c r="Z45" s="50" t="n">
        <x:v>1160</x:v>
      </x:c>
      <x:c r="AA45" s="51" t="n">
        <x:f>Z45/1.23</x:f>
        <x:v>943.089430894309</x:v>
      </x:c>
      <x:c r="AB45" s="157" t="n">
        <x:v>400</x:v>
      </x:c>
      <x:c r="AC45" s="158" t="n">
        <x:f>AB45/1.23</x:f>
        <x:v>325.2032520325203</x:v>
      </x:c>
      <x:c r="AD45" s="153" t="n"/>
      <x:c r="AE45" s="154" t="n"/>
      <x:c r="AF45" s="153" t="n"/>
      <x:c r="AG45" s="154" t="n"/>
    </x:row>
    <x:row r="46" s="655" customFormat="1" ht="15.75" customHeight="1">
      <x:c r="A46" s="47" t="inlineStr">
        <x:is>
          <x:t xml:space="preserve">500 x 406   cm</x:t>
        </x:is>
      </x:c>
      <x:c r="B46" s="50" t="n">
        <x:v>31120</x:v>
      </x:c>
      <x:c r="C46" s="49" t="n">
        <x:f>B46/1.23</x:f>
        <x:v>25300.81300813008</x:v>
      </x:c>
      <x:c r="D46" s="50" t="n">
        <x:v>560</x:v>
      </x:c>
      <x:c r="E46" s="49" t="n">
        <x:f>D46/1.23</x:f>
        <x:v>455.2845528455285</x:v>
      </x:c>
      <x:c r="F46" s="50" t="n">
        <x:v>1680</x:v>
      </x:c>
      <x:c r="G46" s="49" t="n">
        <x:f>F46/1.23</x:f>
        <x:v>1365.8536585365855</x:v>
      </x:c>
      <x:c r="H46" s="50" t="n">
        <x:v>1580</x:v>
      </x:c>
      <x:c r="I46" s="49" t="n">
        <x:f>H46/1.23</x:f>
        <x:v>1284.5528455284552</x:v>
      </x:c>
      <x:c r="J46" s="50" t="n">
        <x:v>530</x:v>
      </x:c>
      <x:c r="K46" s="49" t="n">
        <x:f>J46/1.23</x:f>
        <x:v>430.8943089430894</x:v>
      </x:c>
      <x:c r="L46" s="50" t="n">
        <x:v>480</x:v>
      </x:c>
      <x:c r="M46" s="49" t="n">
        <x:f>L46/1.23</x:f>
        <x:v>390.2439024390244</x:v>
      </x:c>
      <x:c r="N46" s="50" t="n">
        <x:v>4670</x:v>
      </x:c>
      <x:c r="O46" s="49" t="n">
        <x:v>3796.747967479675</x:v>
      </x:c>
      <x:c r="P46" s="50" t="n">
        <x:v>3700</x:v>
      </x:c>
      <x:c r="Q46" s="49" t="n">
        <x:f>P46/1.23</x:f>
        <x:v>3008.130081300813</x:v>
      </x:c>
      <x:c r="R46" s="50" t="n">
        <x:v>3700</x:v>
      </x:c>
      <x:c r="S46" s="49" t="n">
        <x:f>R46/1.23</x:f>
        <x:v>3008.130081300813</x:v>
      </x:c>
      <x:c r="T46" s="50" t="n">
        <x:v>2640</x:v>
      </x:c>
      <x:c r="U46" s="49" t="n">
        <x:f>T46/1.23</x:f>
        <x:v>2146.3414634146343</x:v>
      </x:c>
      <x:c r="V46" s="50" t="n">
        <x:v>510</x:v>
      </x:c>
      <x:c r="W46" s="49" t="n">
        <x:f>V46/1.23</x:f>
        <x:v>414.6341463414634</x:v>
      </x:c>
      <x:c r="X46" s="50" t="n">
        <x:v>740</x:v>
      </x:c>
      <x:c r="Y46" s="49" t="n">
        <x:f>X46/1.23</x:f>
        <x:v>601.6260162601626</x:v>
      </x:c>
      <x:c r="Z46" s="50" t="n">
        <x:v>1280</x:v>
      </x:c>
      <x:c r="AA46" s="51" t="n">
        <x:f>Z46/1.23</x:f>
        <x:v>1040.6504065040651</x:v>
      </x:c>
      <x:c r="AB46" s="157" t="n">
        <x:v>440</x:v>
      </x:c>
      <x:c r="AC46" s="158" t="n">
        <x:f>AB46/1.23</x:f>
        <x:v>357.7235772357724</x:v>
      </x:c>
      <x:c r="AD46" s="153" t="n"/>
      <x:c r="AE46" s="154" t="n"/>
      <x:c r="AF46" s="153" t="n"/>
      <x:c r="AG46" s="154" t="n"/>
    </x:row>
    <x:row r="47" s="655" customFormat="1" ht="15.75" customHeight="1">
      <x:c r="A47" s="47" t="inlineStr">
        <x:is>
          <x:t xml:space="preserve">500 x 506   cm</x:t>
        </x:is>
      </x:c>
      <x:c r="B47" s="50" t="n">
        <x:v>36100</x:v>
      </x:c>
      <x:c r="C47" s="49" t="n">
        <x:f>B47/1.23</x:f>
        <x:v>29349.59349593496</x:v>
      </x:c>
      <x:c r="D47" s="50" t="n">
        <x:v>700</x:v>
      </x:c>
      <x:c r="E47" s="49" t="n">
        <x:f>D47/1.23</x:f>
        <x:v>569.1056910569106</x:v>
      </x:c>
      <x:c r="F47" s="50" t="n">
        <x:v>1800</x:v>
      </x:c>
      <x:c r="G47" s="49" t="n">
        <x:f>F47/1.23</x:f>
        <x:v>1463.4146341463415</x:v>
      </x:c>
      <x:c r="H47" s="50" t="n">
        <x:v>1700</x:v>
      </x:c>
      <x:c r="I47" s="49" t="n">
        <x:f>H47/1.23</x:f>
        <x:v>1382.1138211382115</x:v>
      </x:c>
      <x:c r="J47" s="50" t="n">
        <x:v>570</x:v>
      </x:c>
      <x:c r="K47" s="49" t="n">
        <x:f>J47/1.23</x:f>
        <x:v>463.4146341463415</x:v>
      </x:c>
      <x:c r="L47" s="50" t="n">
        <x:v>520</x:v>
      </x:c>
      <x:c r="M47" s="49" t="n">
        <x:f>L47/1.23</x:f>
        <x:v>422.7642276422764</x:v>
      </x:c>
      <x:c r="N47" s="50" t="n">
        <x:v>5420</x:v>
      </x:c>
      <x:c r="O47" s="49" t="n">
        <x:v>4406.504065040651</x:v>
      </x:c>
      <x:c r="P47" s="50" t="n">
        <x:v>3700</x:v>
      </x:c>
      <x:c r="Q47" s="49" t="n">
        <x:f>P47/1.23</x:f>
        <x:v>3008.130081300813</x:v>
      </x:c>
      <x:c r="R47" s="50" t="n">
        <x:v>3700</x:v>
      </x:c>
      <x:c r="S47" s="49" t="n">
        <x:f>R47/1.23</x:f>
        <x:v>3008.130081300813</x:v>
      </x:c>
      <x:c r="T47" s="50" t="n">
        <x:v>3700</x:v>
      </x:c>
      <x:c r="U47" s="49" t="n">
        <x:f>T47/1.23</x:f>
        <x:v>3008.130081300813</x:v>
      </x:c>
      <x:c r="V47" s="50" t="n">
        <x:v>600</x:v>
      </x:c>
      <x:c r="W47" s="49" t="n">
        <x:f>V47/1.23</x:f>
        <x:v>487.8048780487805</x:v>
      </x:c>
      <x:c r="X47" s="50" t="n">
        <x:v>960</x:v>
      </x:c>
      <x:c r="Y47" s="49" t="n">
        <x:f>X47/1.23</x:f>
        <x:v>780.4878048780488</x:v>
      </x:c>
      <x:c r="Z47" s="50" t="n">
        <x:v>1410</x:v>
      </x:c>
      <x:c r="AA47" s="51" t="n">
        <x:f>Z47/1.23</x:f>
        <x:v>1146.341463414634</x:v>
      </x:c>
      <x:c r="AB47" s="157" t="n">
        <x:v>440</x:v>
      </x:c>
      <x:c r="AC47" s="158" t="n">
        <x:f>AB47/1.23</x:f>
        <x:v>357.7235772357724</x:v>
      </x:c>
      <x:c r="AD47" s="153" t="n"/>
      <x:c r="AE47" s="154" t="n"/>
      <x:c r="AF47" s="153" t="n"/>
      <x:c r="AG47" s="154" t="n"/>
    </x:row>
    <x:row r="48" s="655" customFormat="1" ht="15.75" customHeight="1">
      <x:c r="A48" s="47" t="inlineStr">
        <x:is>
          <x:t xml:space="preserve">500 x 606   cm</x:t>
        </x:is>
      </x:c>
      <x:c r="B48" s="50" t="n">
        <x:v>40820</x:v>
      </x:c>
      <x:c r="C48" s="49" t="n">
        <x:f>B48/1.23</x:f>
        <x:v>33186.9918699187</x:v>
      </x:c>
      <x:c r="D48" s="50" t="n">
        <x:v>840.0000000000001</x:v>
      </x:c>
      <x:c r="E48" s="49" t="n">
        <x:f>D48/1.23</x:f>
        <x:v>682.9268292682927</x:v>
      </x:c>
      <x:c r="F48" s="50" t="n">
        <x:v>1920</x:v>
      </x:c>
      <x:c r="G48" s="49" t="n">
        <x:f>F48/1.23</x:f>
        <x:v>1560.9756097560976</x:v>
      </x:c>
      <x:c r="H48" s="50" t="n">
        <x:v>1820</x:v>
      </x:c>
      <x:c r="I48" s="49" t="n">
        <x:f>H48/1.23</x:f>
        <x:v>1479.6747967479675</x:v>
      </x:c>
      <x:c r="J48" s="50" t="n">
        <x:v>610</x:v>
      </x:c>
      <x:c r="K48" s="49" t="n">
        <x:f>J48/1.23</x:f>
        <x:v>495.9349593495935</x:v>
      </x:c>
      <x:c r="L48" s="50" t="n">
        <x:v>550</x:v>
      </x:c>
      <x:c r="M48" s="49" t="n">
        <x:f>L48/1.23</x:f>
        <x:v>447.1544715447155</x:v>
      </x:c>
      <x:c r="N48" s="50" t="n">
        <x:v>8160</x:v>
      </x:c>
      <x:c r="O48" s="49" t="n">
        <x:v>6634.146341463415</x:v>
      </x:c>
      <x:c r="P48" s="50" t="n">
        <x:v>3700</x:v>
      </x:c>
      <x:c r="Q48" s="49" t="n">
        <x:f>P48/1.23</x:f>
        <x:v>3008.130081300813</x:v>
      </x:c>
      <x:c r="R48" s="50" t="n">
        <x:v>3700</x:v>
      </x:c>
      <x:c r="S48" s="49" t="n">
        <x:f>R48/1.23</x:f>
        <x:v>3008.130081300813</x:v>
      </x:c>
      <x:c r="T48" s="50" t="n">
        <x:v>4270</x:v>
      </x:c>
      <x:c r="U48" s="49" t="n">
        <x:f>T48/1.23</x:f>
        <x:v>3471.5447154471544</x:v>
      </x:c>
      <x:c r="V48" s="50" t="n">
        <x:v>790</x:v>
      </x:c>
      <x:c r="W48" s="49" t="n">
        <x:f>V48/1.23</x:f>
        <x:v>642.2764227642276</x:v>
      </x:c>
      <x:c r="X48" s="50" t="n">
        <x:v>1090</x:v>
      </x:c>
      <x:c r="Y48" s="49" t="n">
        <x:f>X48/1.23</x:f>
        <x:v>886.178861788618</x:v>
      </x:c>
      <x:c r="Z48" s="50" t="n">
        <x:v>1700</x:v>
      </x:c>
      <x:c r="AA48" s="51" t="n">
        <x:f>Z48/1.23</x:f>
        <x:v>1382.1138211382115</x:v>
      </x:c>
      <x:c r="AB48" s="157" t="n">
        <x:v>480</x:v>
      </x:c>
      <x:c r="AC48" s="158" t="n">
        <x:f>AB48/1.23</x:f>
        <x:v>390.2439024390244</x:v>
      </x:c>
      <x:c r="AD48" s="153" t="n"/>
      <x:c r="AE48" s="154" t="n"/>
      <x:c r="AF48" s="153" t="n"/>
      <x:c r="AG48" s="154" t="n"/>
    </x:row>
    <x:row r="49" s="655" customFormat="1" ht="15.75" customHeight="1">
      <x:c r="A49" s="47" t="inlineStr">
        <x:is>
          <x:t xml:space="preserve">500 x 706   cm</x:t>
        </x:is>
      </x:c>
      <x:c r="B49" s="50" t="n">
        <x:v>45560</x:v>
      </x:c>
      <x:c r="C49" s="49" t="n">
        <x:f>B49/1.23</x:f>
        <x:v>37040.650406504064</x:v>
      </x:c>
      <x:c r="D49" s="50" t="n">
        <x:v>980</x:v>
      </x:c>
      <x:c r="E49" s="49" t="n">
        <x:f>D49/1.23</x:f>
        <x:v>796.7479674796748</x:v>
      </x:c>
      <x:c r="F49" s="50" t="n">
        <x:v>2040</x:v>
      </x:c>
      <x:c r="G49" s="49" t="n">
        <x:f>F49/1.23</x:f>
        <x:v>1658.5365853658536</x:v>
      </x:c>
      <x:c r="H49" s="50" t="n">
        <x:v>1940</x:v>
      </x:c>
      <x:c r="I49" s="49" t="n">
        <x:f>H49/1.23</x:f>
        <x:v>1577.2357723577236</x:v>
      </x:c>
      <x:c r="J49" s="50" t="n">
        <x:v>650</x:v>
      </x:c>
      <x:c r="K49" s="49" t="n">
        <x:f>J49/1.23</x:f>
        <x:v>528.4552845528456</x:v>
      </x:c>
      <x:c r="L49" s="50" t="n">
        <x:v>580</x:v>
      </x:c>
      <x:c r="M49" s="49" t="n">
        <x:f>L49/1.23</x:f>
        <x:v>471.5447154471545</x:v>
      </x:c>
      <x:c r="N49" s="50" t="n">
        <x:v>8750</x:v>
      </x:c>
      <x:c r="O49" s="49" t="n">
        <x:v>7113.821138211382</x:v>
      </x:c>
      <x:c r="P49" s="50" t="n">
        <x:v>3700</x:v>
      </x:c>
      <x:c r="Q49" s="49" t="n">
        <x:f>P49/1.23</x:f>
        <x:v>3008.130081300813</x:v>
      </x:c>
      <x:c r="R49" s="50" t="n">
        <x:v>3700</x:v>
      </x:c>
      <x:c r="S49" s="49" t="n">
        <x:f>R49/1.23</x:f>
        <x:v>3008.130081300813</x:v>
      </x:c>
      <x:c r="T49" s="50" t="n">
        <x:v>4780</x:v>
      </x:c>
      <x:c r="U49" s="49" t="n">
        <x:f>T49/1.23</x:f>
        <x:v>3886.1788617886177</x:v>
      </x:c>
      <x:c r="V49" s="50" t="n">
        <x:v>870</x:v>
      </x:c>
      <x:c r="W49" s="49" t="n">
        <x:f>V49/1.23</x:f>
        <x:v>707.3170731707318</x:v>
      </x:c>
      <x:c r="X49" s="50" t="n">
        <x:v>1210</x:v>
      </x:c>
      <x:c r="Y49" s="49" t="n">
        <x:f>X49/1.23</x:f>
        <x:v>983.739837398374</x:v>
      </x:c>
      <x:c r="Z49" s="50" t="n">
        <x:v>1500</x:v>
      </x:c>
      <x:c r="AA49" s="51" t="n">
        <x:f>Z49/1.23</x:f>
        <x:v>1219.5121951219512</x:v>
      </x:c>
      <x:c r="AB49" s="157" t="n">
        <x:v>520</x:v>
      </x:c>
      <x:c r="AC49" s="158" t="n">
        <x:f>AB49/1.23</x:f>
        <x:v>422.7642276422764</x:v>
      </x:c>
      <x:c r="AD49" s="153" t="n"/>
      <x:c r="AE49" s="154" t="n"/>
      <x:c r="AF49" s="153" t="n"/>
      <x:c r="AG49" s="154" t="n"/>
    </x:row>
    <x:row r="50" s="655" customFormat="1" ht="15.75" customHeight="1">
      <x:c r="A50" s="47" t="inlineStr">
        <x:is>
          <x:t xml:space="preserve">500 x 806   cm</x:t>
        </x:is>
      </x:c>
      <x:c r="B50" s="50" t="n">
        <x:v>49990</x:v>
      </x:c>
      <x:c r="C50" s="49" t="n">
        <x:f>B50/1.23</x:f>
        <x:v>40642.276422764226</x:v>
      </x:c>
      <x:c r="D50" s="50" t="n">
        <x:v>1120</x:v>
      </x:c>
      <x:c r="E50" s="49" t="n">
        <x:f>D50/1.23</x:f>
        <x:v>910.569105691057</x:v>
      </x:c>
      <x:c r="F50" s="50" t="n">
        <x:v>2160</x:v>
      </x:c>
      <x:c r="G50" s="49" t="n">
        <x:f>F50/1.23</x:f>
        <x:v>1756.09756097561</x:v>
      </x:c>
      <x:c r="H50" s="50" t="n">
        <x:v>2060</x:v>
      </x:c>
      <x:c r="I50" s="49" t="n">
        <x:f>H50/1.23</x:f>
        <x:v>1674.7967479674796</x:v>
      </x:c>
      <x:c r="J50" s="50" t="n">
        <x:v>690</x:v>
      </x:c>
      <x:c r="K50" s="49" t="n">
        <x:f>J50/1.23</x:f>
        <x:v>560.9756097560976</x:v>
      </x:c>
      <x:c r="L50" s="50" t="n">
        <x:v>620</x:v>
      </x:c>
      <x:c r="M50" s="49" t="n">
        <x:f>L50/1.23</x:f>
        <x:v>504.0650406504065</x:v>
      </x:c>
      <x:c r="N50" s="50" t="n">
        <x:v>9340</x:v>
      </x:c>
      <x:c r="O50" s="49" t="n">
        <x:v>7593.49593495935</x:v>
      </x:c>
      <x:c r="P50" s="50" t="n">
        <x:v>3700</x:v>
      </x:c>
      <x:c r="Q50" s="49" t="n">
        <x:f>P50/1.23</x:f>
        <x:v>3008.130081300813</x:v>
      </x:c>
      <x:c r="R50" s="50" t="n">
        <x:v>3700</x:v>
      </x:c>
      <x:c r="S50" s="49" t="n">
        <x:f>R50/1.23</x:f>
        <x:v>3008.130081300813</x:v>
      </x:c>
      <x:c r="T50" s="50" t="n">
        <x:v>5280</x:v>
      </x:c>
      <x:c r="U50" s="49" t="n">
        <x:f>T50/1.23</x:f>
        <x:v>4292.682926829269</x:v>
      </x:c>
      <x:c r="V50" s="50" t="n">
        <x:v>960</x:v>
      </x:c>
      <x:c r="W50" s="49" t="n">
        <x:f>V50/1.23</x:f>
        <x:v>780.4878048780488</x:v>
      </x:c>
      <x:c r="X50" s="50" t="n">
        <x:v>1440</x:v>
      </x:c>
      <x:c r="Y50" s="49" t="n">
        <x:f>X50/1.23</x:f>
        <x:v>1170.7317073170732</x:v>
      </x:c>
      <x:c r="Z50" s="50" t="n">
        <x:v>1610</x:v>
      </x:c>
      <x:c r="AA50" s="51" t="n">
        <x:f>Z50/1.23</x:f>
        <x:v>1308.9430894308944</x:v>
      </x:c>
      <x:c r="AB50" s="157" t="n">
        <x:v>560</x:v>
      </x:c>
      <x:c r="AC50" s="158" t="n">
        <x:f>AB50/1.23</x:f>
        <x:v>455.2845528455285</x:v>
      </x:c>
      <x:c r="AD50" s="153" t="n"/>
      <x:c r="AE50" s="154" t="n"/>
      <x:c r="AF50" s="153" t="n"/>
      <x:c r="AG50" s="154" t="n"/>
    </x:row>
    <x:row r="51" s="655" customFormat="1" ht="15.75" customHeight="1">
      <x:c r="A51" s="47" t="inlineStr">
        <x:is>
          <x:t xml:space="preserve">500 x 906   cm</x:t>
        </x:is>
      </x:c>
      <x:c r="B51" s="50" t="n">
        <x:v>55130</x:v>
      </x:c>
      <x:c r="C51" s="49" t="n">
        <x:f>B51/1.23</x:f>
        <x:v>44821.13821138212</x:v>
      </x:c>
      <x:c r="D51" s="50" t="n">
        <x:v>1260</x:v>
      </x:c>
      <x:c r="E51" s="49" t="n">
        <x:f>D51/1.23</x:f>
        <x:v>1024.3902439024391</x:v>
      </x:c>
      <x:c r="F51" s="50" t="n">
        <x:v>2280</x:v>
      </x:c>
      <x:c r="G51" s="49" t="n">
        <x:f>F51/1.23</x:f>
        <x:v>1853.658536585366</x:v>
      </x:c>
      <x:c r="H51" s="50" t="n">
        <x:v>2180</x:v>
      </x:c>
      <x:c r="I51" s="49" t="n">
        <x:f>H51/1.23</x:f>
        <x:v>1772.357723577236</x:v>
      </x:c>
      <x:c r="J51" s="50" t="n">
        <x:v>720</x:v>
      </x:c>
      <x:c r="K51" s="49" t="n">
        <x:f>J51/1.23</x:f>
        <x:v>585.3658536585366</x:v>
      </x:c>
      <x:c r="L51" s="50" t="n">
        <x:v>650</x:v>
      </x:c>
      <x:c r="M51" s="49" t="n">
        <x:f>L51/1.23</x:f>
        <x:v>528.4552845528456</x:v>
      </x:c>
      <x:c r="N51" s="52" t="n">
        <x:v>10090</x:v>
      </x:c>
      <x:c r="O51" s="49" t="n">
        <x:v>8203.252032520326</x:v>
      </x:c>
      <x:c r="P51" s="50" t="n">
        <x:v>3700</x:v>
      </x:c>
      <x:c r="Q51" s="49" t="n">
        <x:f>P51/1.23</x:f>
        <x:v>3008.130081300813</x:v>
      </x:c>
      <x:c r="R51" s="50" t="n">
        <x:v>3700</x:v>
      </x:c>
      <x:c r="S51" s="49" t="n">
        <x:f>R51/1.23</x:f>
        <x:v>3008.130081300813</x:v>
      </x:c>
      <x:c r="T51" s="50" t="n">
        <x:v>6400</x:v>
      </x:c>
      <x:c r="U51" s="49" t="n">
        <x:f>T51/1.23</x:f>
        <x:v>5203.252032520325</x:v>
      </x:c>
      <x:c r="V51" s="50" t="n">
        <x:v>1040</x:v>
      </x:c>
      <x:c r="W51" s="49" t="n">
        <x:f>V51/1.23</x:f>
        <x:v>845.5284552845528</x:v>
      </x:c>
      <x:c r="X51" s="50" t="n">
        <x:v>1560</x:v>
      </x:c>
      <x:c r="Y51" s="49" t="n">
        <x:f>X51/1.23</x:f>
        <x:v>1268.2926829268292</x:v>
      </x:c>
      <x:c r="Z51" s="50" t="n">
        <x:v>1750</x:v>
      </x:c>
      <x:c r="AA51" s="51" t="n">
        <x:f>Z51/1.23</x:f>
        <x:v>1422.7642276422764</x:v>
      </x:c>
      <x:c r="AB51" s="157" t="n">
        <x:v>560</x:v>
      </x:c>
      <x:c r="AC51" s="158" t="n">
        <x:f>AB51/1.23</x:f>
        <x:v>455.2845528455285</x:v>
      </x:c>
      <x:c r="AD51" s="153" t="n"/>
      <x:c r="AE51" s="154" t="n"/>
      <x:c r="AF51" s="153" t="n"/>
      <x:c r="AG51" s="154" t="n"/>
    </x:row>
    <x:row r="52" s="655" customFormat="1" ht="15.75" customHeight="1">
      <x:c r="A52" s="47" t="inlineStr">
        <x:is>
          <x:t xml:space="preserve">500 x 1006 cm</x:t>
        </x:is>
      </x:c>
      <x:c r="B52" s="50" t="n">
        <x:v>59790</x:v>
      </x:c>
      <x:c r="C52" s="49" t="n">
        <x:f>B52/1.23</x:f>
        <x:v>48609.756097560974</x:v>
      </x:c>
      <x:c r="D52" s="50" t="n">
        <x:v>1400</x:v>
      </x:c>
      <x:c r="E52" s="49" t="n">
        <x:f>D52/1.23</x:f>
        <x:v>1138.2113821138212</x:v>
      </x:c>
      <x:c r="F52" s="50" t="n">
        <x:v>2400</x:v>
      </x:c>
      <x:c r="G52" s="49" t="n">
        <x:f>F52/1.23</x:f>
        <x:v>1951.219512195122</x:v>
      </x:c>
      <x:c r="H52" s="50" t="n">
        <x:v>2300</x:v>
      </x:c>
      <x:c r="I52" s="49" t="n">
        <x:f>H52/1.23</x:f>
        <x:v>1869.918699186992</x:v>
      </x:c>
      <x:c r="J52" s="50" t="n">
        <x:v>760</x:v>
      </x:c>
      <x:c r="K52" s="49" t="n">
        <x:f>J52/1.23</x:f>
        <x:v>617.8861788617886</x:v>
      </x:c>
      <x:c r="L52" s="50" t="n">
        <x:v>690</x:v>
      </x:c>
      <x:c r="M52" s="49" t="n">
        <x:f>L52/1.23</x:f>
        <x:v>560.9756097560976</x:v>
      </x:c>
      <x:c r="N52" s="50" t="n">
        <x:v>10830</x:v>
      </x:c>
      <x:c r="O52" s="49" t="n">
        <x:v>8804.878048780489</x:v>
      </x:c>
      <x:c r="P52" s="50" t="n">
        <x:v>3700</x:v>
      </x:c>
      <x:c r="Q52" s="49" t="n">
        <x:f>P52/1.23</x:f>
        <x:v>3008.130081300813</x:v>
      </x:c>
      <x:c r="R52" s="50" t="n">
        <x:v>3700</x:v>
      </x:c>
      <x:c r="S52" s="49" t="n">
        <x:f>R52/1.23</x:f>
        <x:v>3008.130081300813</x:v>
      </x:c>
      <x:c r="T52" s="50" t="n">
        <x:v>6910</x:v>
      </x:c>
      <x:c r="U52" s="49" t="n">
        <x:f>T52/1.23</x:f>
        <x:v>5617.886178861789</x:v>
      </x:c>
      <x:c r="V52" s="50" t="n">
        <x:v>1230</x:v>
      </x:c>
      <x:c r="W52" s="49" t="n">
        <x:f>V52/1.23</x:f>
        <x:v>1000</x:v>
      </x:c>
      <x:c r="X52" s="50" t="n">
        <x:v>1650</x:v>
      </x:c>
      <x:c r="Y52" s="49" t="n">
        <x:f>X52/1.23</x:f>
        <x:v>1341.4634146341464</x:v>
      </x:c>
      <x:c r="Z52" s="50" t="n">
        <x:v>1880</x:v>
      </x:c>
      <x:c r="AA52" s="51" t="n">
        <x:f>Z52/1.23</x:f>
        <x:v>1528.4552845528456</x:v>
      </x:c>
      <x:c r="AB52" s="157" t="n">
        <x:v>600</x:v>
      </x:c>
      <x:c r="AC52" s="158" t="n">
        <x:f>AB52/1.23</x:f>
        <x:v>487.8048780487805</x:v>
      </x:c>
      <x:c r="AD52" s="153" t="n"/>
      <x:c r="AE52" s="154" t="n"/>
      <x:c r="AF52" s="153" t="n"/>
      <x:c r="AG52" s="154" t="n"/>
    </x:row>
    <x:row r="53" s="655" customFormat="1" ht="15.75" customHeight="1">
      <x:c r="A53" s="47" t="inlineStr">
        <x:is>
          <x:t xml:space="preserve">500 x 1106 cm</x:t>
        </x:is>
      </x:c>
      <x:c r="B53" s="50" t="n">
        <x:v>66950</x:v>
      </x:c>
      <x:c r="C53" s="49" t="n">
        <x:f>B53/1.23</x:f>
        <x:v>54430.89430894309</x:v>
      </x:c>
      <x:c r="D53" s="50" t="n">
        <x:v>1540</x:v>
      </x:c>
      <x:c r="E53" s="49" t="n">
        <x:f>D53/1.23</x:f>
        <x:v>1252.0325203252032</x:v>
      </x:c>
      <x:c r="F53" s="50" t="n">
        <x:v>2520</x:v>
      </x:c>
      <x:c r="G53" s="49" t="n">
        <x:f>F53/1.23</x:f>
        <x:v>2048.7804878048782</x:v>
      </x:c>
      <x:c r="H53" s="50" t="n">
        <x:v>2420</x:v>
      </x:c>
      <x:c r="I53" s="49" t="n">
        <x:f>H53/1.23</x:f>
        <x:v>1967.479674796748</x:v>
      </x:c>
      <x:c r="J53" s="50" t="n">
        <x:v>800</x:v>
      </x:c>
      <x:c r="K53" s="49" t="n">
        <x:f>J53/1.23</x:f>
        <x:v>650.4065040650406</x:v>
      </x:c>
      <x:c r="L53" s="50" t="n">
        <x:v>720</x:v>
      </x:c>
      <x:c r="M53" s="49" t="n">
        <x:f>L53/1.23</x:f>
        <x:v>585.3658536585366</x:v>
      </x:c>
      <x:c r="N53" s="50" t="n">
        <x:v>13420</x:v>
      </x:c>
      <x:c r="O53" s="49" t="n">
        <x:v>10910.56910569106</x:v>
      </x:c>
      <x:c r="P53" s="50" t="n">
        <x:v>3700</x:v>
      </x:c>
      <x:c r="Q53" s="49" t="n">
        <x:f>P53/1.23</x:f>
        <x:v>3008.130081300813</x:v>
      </x:c>
      <x:c r="R53" s="50" t="n">
        <x:v>3700</x:v>
      </x:c>
      <x:c r="S53" s="49" t="n">
        <x:f>R53/1.23</x:f>
        <x:v>3008.130081300813</x:v>
      </x:c>
      <x:c r="T53" s="50" t="n">
        <x:v>7420</x:v>
      </x:c>
      <x:c r="U53" s="49" t="n">
        <x:f>T53/1.23</x:f>
        <x:v>6032.5203252032525</x:v>
      </x:c>
      <x:c r="V53" s="50" t="n">
        <x:v>1430</x:v>
      </x:c>
      <x:c r="W53" s="49" t="n">
        <x:f>V53/1.23</x:f>
        <x:v>1162.60162601626</x:v>
      </x:c>
      <x:c r="X53" s="50" t="n">
        <x:v>1770</x:v>
      </x:c>
      <x:c r="Y53" s="49" t="n">
        <x:f>X53/1.23</x:f>
        <x:v>1439.0243902439024</x:v>
      </x:c>
      <x:c r="Z53" s="50" t="n">
        <x:v>2170</x:v>
      </x:c>
      <x:c r="AA53" s="51" t="n">
        <x:f>Z53/1.23</x:f>
        <x:v>1764.2276422764228</x:v>
      </x:c>
      <x:c r="AB53" s="157" t="n">
        <x:v>640</x:v>
      </x:c>
      <x:c r="AC53" s="158" t="n">
        <x:f>AB53/1.23</x:f>
        <x:v>520.3252032520326</x:v>
      </x:c>
      <x:c r="AD53" s="153" t="n"/>
      <x:c r="AE53" s="154" t="n"/>
      <x:c r="AF53" s="153" t="n"/>
      <x:c r="AG53" s="154" t="n"/>
    </x:row>
    <x:row r="54" s="655" customFormat="1" ht="15.75" customHeight="1">
      <x:c r="A54" s="47" t="inlineStr">
        <x:is>
          <x:t xml:space="preserve">500 x 1206 cm</x:t>
        </x:is>
      </x:c>
      <x:c r="B54" s="50" t="n">
        <x:v>70130</x:v>
      </x:c>
      <x:c r="C54" s="49" t="n">
        <x:f>B54/1.23</x:f>
        <x:v>57016.260162601626</x:v>
      </x:c>
      <x:c r="D54" s="50" t="n">
        <x:v>1680</x:v>
      </x:c>
      <x:c r="E54" s="49" t="n">
        <x:f>D54/1.23</x:f>
        <x:v>1365.8536585365855</x:v>
      </x:c>
      <x:c r="F54" s="50" t="n">
        <x:v>2640</x:v>
      </x:c>
      <x:c r="G54" s="49" t="n">
        <x:f>F54/1.23</x:f>
        <x:v>2146.3414634146343</x:v>
      </x:c>
      <x:c r="H54" s="50" t="n">
        <x:v>2540</x:v>
      </x:c>
      <x:c r="I54" s="49" t="n">
        <x:f>H54/1.23</x:f>
        <x:v>2065.040650406504</x:v>
      </x:c>
      <x:c r="J54" s="50" t="n">
        <x:v>840</x:v>
      </x:c>
      <x:c r="K54" s="49" t="n">
        <x:f>J54/1.23</x:f>
        <x:v>682.9268292682927</x:v>
      </x:c>
      <x:c r="L54" s="50" t="n">
        <x:v>760</x:v>
      </x:c>
      <x:c r="M54" s="49" t="n">
        <x:f>L54/1.23</x:f>
        <x:v>617.8861788617886</x:v>
      </x:c>
      <x:c r="N54" s="52" t="n">
        <x:v>14010</x:v>
      </x:c>
      <x:c r="O54" s="49" t="n">
        <x:v>11390.24390243902</x:v>
      </x:c>
      <x:c r="P54" s="50" t="n">
        <x:v>3700</x:v>
      </x:c>
      <x:c r="Q54" s="49" t="n">
        <x:f>P54/1.23</x:f>
        <x:v>3008.130081300813</x:v>
      </x:c>
      <x:c r="R54" s="50" t="n">
        <x:v>3700</x:v>
      </x:c>
      <x:c r="S54" s="49" t="n">
        <x:f>R54/1.23</x:f>
        <x:v>3008.130081300813</x:v>
      </x:c>
      <x:c r="T54" s="50" t="n">
        <x:v>7920</x:v>
      </x:c>
      <x:c r="U54" s="49" t="n">
        <x:f>T54/1.23</x:f>
        <x:v>6439.024390243902</x:v>
      </x:c>
      <x:c r="V54" s="50" t="n">
        <x:v>1510</x:v>
      </x:c>
      <x:c r="W54" s="49" t="n">
        <x:f>V54/1.23</x:f>
        <x:v>1227.6422764227643</x:v>
      </x:c>
      <x:c r="X54" s="50" t="n">
        <x:v>1900</x:v>
      </x:c>
      <x:c r="Y54" s="49" t="n">
        <x:f>X54/1.23</x:f>
        <x:v>1544.7154471544716</x:v>
      </x:c>
      <x:c r="Z54" s="50" t="n">
        <x:v>2460</x:v>
      </x:c>
      <x:c r="AA54" s="51" t="n">
        <x:f>Z54/1.23</x:f>
        <x:v>2000</x:v>
      </x:c>
      <x:c r="AB54" s="193" t="n">
        <x:v>680</x:v>
      </x:c>
      <x:c r="AC54" s="194" t="n">
        <x:f>AB54/1.23</x:f>
        <x:v>552.8455284552846</x:v>
      </x:c>
      <x:c r="AD54" s="153" t="n"/>
      <x:c r="AE54" s="154" t="n"/>
      <x:c r="AF54" s="153" t="n"/>
      <x:c r="AG54" s="154" t="n"/>
    </x:row>
    <x:row r="55" s="655" customFormat="1" ht="15.75" customHeight="1">
      <x:c r="A55" s="103" t="n"/>
      <x:c r="B55" s="77" t="n"/>
      <x:c r="C55" s="76" t="n"/>
      <x:c r="AB55" s="195" t="n"/>
      <x:c r="AC55" s="196" t="n"/>
      <x:c r="AD55" s="197" t="n"/>
      <x:c r="AE55" s="198" t="n"/>
      <x:c r="AF55" s="197" t="n"/>
      <x:c r="AG55" s="198" t="n"/>
    </x:row>
    <x:row r="56" s="655" customFormat="1" ht="39.75" customHeight="1">
      <x:c r="A56" s="199" t="inlineStr">
        <x:is>
          <x:t xml:space="preserve">REZYGNACJA - 1 szt 
SZKŁO DACHOWE</x:t>
        </x:is>
      </x:c>
      <x:c r="B56" s="200" t="inlineStr">
        <x:is>
          <x:t xml:space="preserve">Cena brutto </x:t>
        </x:is>
      </x:c>
      <x:c r="C56" s="201" t="inlineStr">
        <x:is>
          <x:t xml:space="preserve">netto </x:t>
        </x:is>
      </x:c>
      <x:c r="AB56" s="195" t="n"/>
      <x:c r="AC56" s="196" t="n"/>
      <x:c r="AD56" s="197" t="n"/>
      <x:c r="AE56" s="198" t="n"/>
      <x:c r="AF56" s="197" t="n"/>
      <x:c r="AG56" s="198" t="n"/>
    </x:row>
    <x:row r="57" s="655" customFormat="1" ht="15.75" customHeight="1">
      <x:c r="A57" s="119" t="inlineStr">
        <x:is>
          <x:t xml:space="preserve">Rezygnacja szkło 98 x 290cm</x:t>
        </x:is>
      </x:c>
      <x:c r="B57" s="202" t="n">
        <x:v>430</x:v>
      </x:c>
      <x:c r="C57" s="203" t="n">
        <x:f>B57/1.23</x:f>
        <x:v>349.5934959349594</x:v>
      </x:c>
      <x:c r="D57" s="182" t="n"/>
      <x:c r="AB57" s="195" t="n"/>
      <x:c r="AC57" s="196" t="n"/>
      <x:c r="AD57" s="197" t="n"/>
      <x:c r="AE57" s="198" t="n"/>
      <x:c r="AF57" s="197" t="n"/>
      <x:c r="AG57" s="198" t="n"/>
    </x:row>
    <x:row r="58" s="655" customFormat="1" ht="15.75" customHeight="1">
      <x:c r="A58" s="119" t="inlineStr">
        <x:is>
          <x:t xml:space="preserve">Rezygnacja szkło 98 x 340cm</x:t>
        </x:is>
      </x:c>
      <x:c r="B58" s="202" t="n">
        <x:v>500</x:v>
      </x:c>
      <x:c r="C58" s="203" t="n">
        <x:f>B58/1.23</x:f>
        <x:v>406.5040650406504</x:v>
      </x:c>
      <x:c r="AB58" s="195" t="n"/>
      <x:c r="AC58" s="196" t="n"/>
      <x:c r="AD58" s="197" t="n"/>
      <x:c r="AE58" s="198" t="n"/>
      <x:c r="AF58" s="197" t="n"/>
      <x:c r="AG58" s="198" t="n"/>
    </x:row>
    <x:row r="59" s="655" customFormat="1" ht="15.75" customHeight="1">
      <x:c r="A59" s="122" t="inlineStr">
        <x:is>
          <x:t xml:space="preserve">Rezygnacja szkło 98 x 390cm</x:t>
        </x:is>
      </x:c>
      <x:c r="B59" s="202" t="n">
        <x:v>580</x:v>
      </x:c>
      <x:c r="C59" s="203" t="n">
        <x:f>B59/1.23</x:f>
        <x:v>471.5447154471545</x:v>
      </x:c>
      <x:c r="AB59" s="195" t="n"/>
      <x:c r="AC59" s="196" t="n"/>
      <x:c r="AD59" s="197" t="n"/>
      <x:c r="AE59" s="198" t="n"/>
      <x:c r="AF59" s="197" t="n"/>
      <x:c r="AG59" s="198" t="n"/>
    </x:row>
    <x:row r="60" s="655" customFormat="1" ht="15.75" customHeight="1">
      <x:c r="A60" s="122" t="inlineStr">
        <x:is>
          <x:t xml:space="preserve">Rezygnacja szkło 98 x 440cm</x:t>
        </x:is>
      </x:c>
      <x:c r="B60" s="202" t="n">
        <x:v>860</x:v>
      </x:c>
      <x:c r="C60" s="203" t="n">
        <x:f>B60/1.23</x:f>
        <x:v>699.1869918699188</x:v>
      </x:c>
      <x:c r="AB60" s="195" t="n"/>
      <x:c r="AC60" s="196" t="n"/>
      <x:c r="AD60" s="197" t="n"/>
      <x:c r="AE60" s="198" t="n"/>
      <x:c r="AF60" s="197" t="n"/>
      <x:c r="AG60" s="198" t="n"/>
    </x:row>
    <x:row r="61" s="655" customFormat="1" ht="15.75" customHeight="1">
      <x:c r="A61" s="122" t="inlineStr">
        <x:is>
          <x:t xml:space="preserve">Rezygnacja szkło 98 x 490cm</x:t>
        </x:is>
      </x:c>
      <x:c r="B61" s="202" t="n">
        <x:v>960</x:v>
      </x:c>
      <x:c r="C61" s="203" t="n">
        <x:f>B61/1.23</x:f>
        <x:v>780.4878048780488</x:v>
      </x:c>
      <x:c r="AB61" s="195" t="n"/>
      <x:c r="AC61" s="196" t="n"/>
      <x:c r="AD61" s="197" t="n"/>
      <x:c r="AE61" s="198" t="n"/>
      <x:c r="AF61" s="197" t="n"/>
      <x:c r="AG61" s="198" t="n"/>
    </x:row>
  </x:sheetData>
  <x:mergeCells>
    <x:mergeCell ref="AB1:AC1"/>
    <x:mergeCell ref="AF1:AG1"/>
    <x:mergeCell ref="D1:E1"/>
    <x:mergeCell ref="AD1:AE1"/>
    <x:mergeCell ref="X1:Y1"/>
    <x:mergeCell ref="V1:W1"/>
    <x:mergeCell ref="T1:U1"/>
    <x:mergeCell ref="H1:I1"/>
    <x:mergeCell ref="Z1:AA1"/>
    <x:mergeCell ref="L1:M1"/>
    <x:mergeCell ref="B3:Y3"/>
    <x:mergeCell ref="J1:K1"/>
    <x:mergeCell ref="P1:Q1"/>
    <x:mergeCell ref="F1:G1"/>
    <x:mergeCell ref="B1:C1"/>
    <x:mergeCell ref="N1:O1"/>
    <x:mergeCell ref="R1:S1"/>
    <x:mergeCell ref="B34:AA34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BFBFBF"/>
  </x:sheetPr>
  <x:sheetViews>
    <x:sheetView showGridLines="0" workbookViewId="0"/>
  </x:sheetViews>
  <x:sheetFormatPr baseColWidth="8" defaultRowHeight="14.75"/>
  <x:cols>
    <x:col min="1" max="1" width="41.54296875" style="655" customWidth="1"/>
    <x:col min="2" max="2" width="13.54296875" style="655" customWidth="1"/>
    <x:col min="3" max="3" width="14.54296875" style="655" customWidth="1"/>
    <x:col min="4" max="4" width="13" style="655" customWidth="1"/>
    <x:col min="5" max="5" width="10.40625" style="655" customWidth="1"/>
    <x:col min="6" max="6" width="12.86328125" style="655" customWidth="1"/>
    <x:col min="7" max="7" width="10.86328125" style="655" customWidth="1"/>
    <x:col min="8" max="8" width="12.86328125" style="655" customWidth="1"/>
    <x:col min="9" max="9" width="8.7265625" style="655" customWidth="1"/>
    <x:col min="10" max="10" width="13.7265625" style="655" customWidth="1"/>
    <x:col min="11" max="11" width="10.54296875" style="655" customWidth="1"/>
    <x:col min="12" max="12" width="13.7265625" style="655" customWidth="1"/>
    <x:col min="13" max="13" width="11.54296875" style="655" customWidth="1"/>
    <x:col min="14" max="14" width="11.7265625" style="655" customWidth="1"/>
    <x:col min="15" max="15" width="10.1328125" style="655" customWidth="1"/>
    <x:col min="16" max="16" width="12.54296875" style="655" customWidth="1"/>
    <x:col min="17" max="17" width="9.86328125" style="655" customWidth="1"/>
    <x:col min="18" max="18" width="13.40625" style="655" customWidth="1"/>
    <x:col min="19" max="19" width="10.86328125" style="655" customWidth="1"/>
    <x:col min="20" max="20" width="13.40625" style="655" customWidth="1"/>
    <x:col min="21" max="21" width="10.86328125" style="655" customWidth="1"/>
  </x:cols>
  <x:sheetData>
    <x:row r="1" s="655" customFormat="1" ht="31.5" customHeight="1">
      <x:c r="A1" s="204" t="n"/>
      <x:c r="B1" s="205" t="inlineStr">
        <x:is>
          <x:t xml:space="preserve">Cena brutto </x:t>
        </x:is>
      </x:c>
      <x:c r="C1" s="204" t="inlineStr">
        <x:is>
          <x:t xml:space="preserve">netto </x:t>
        </x:is>
      </x:c>
      <x:c r="D1" s="205" t="inlineStr">
        <x:is>
          <x:t xml:space="preserve">Cena brutto </x:t>
        </x:is>
      </x:c>
      <x:c r="E1" s="204" t="inlineStr">
        <x:is>
          <x:t xml:space="preserve">netto </x:t>
        </x:is>
      </x:c>
      <x:c r="F1" s="206" t="inlineStr">
        <x:is>
          <x:t xml:space="preserve">Cena brutto </x:t>
        </x:is>
      </x:c>
      <x:c r="G1" s="207" t="inlineStr">
        <x:is>
          <x:t xml:space="preserve">netto </x:t>
        </x:is>
      </x:c>
      <x:c r="H1" s="206" t="inlineStr">
        <x:is>
          <x:t xml:space="preserve">Cena brutto </x:t>
        </x:is>
      </x:c>
      <x:c r="I1" s="207" t="inlineStr">
        <x:is>
          <x:t xml:space="preserve">netto </x:t>
        </x:is>
      </x:c>
      <x:c r="J1" s="205" t="inlineStr">
        <x:is>
          <x:t xml:space="preserve">Cena brutto </x:t>
        </x:is>
      </x:c>
      <x:c r="K1" s="204" t="inlineStr">
        <x:is>
          <x:t xml:space="preserve">netto </x:t>
        </x:is>
      </x:c>
      <x:c r="L1" s="205" t="inlineStr">
        <x:is>
          <x:t xml:space="preserve">Cena brutto </x:t>
        </x:is>
      </x:c>
      <x:c r="M1" s="204" t="inlineStr">
        <x:is>
          <x:t xml:space="preserve">netto </x:t>
        </x:is>
      </x:c>
      <x:c r="N1" s="205" t="inlineStr">
        <x:is>
          <x:t xml:space="preserve">Cena brutto </x:t>
        </x:is>
      </x:c>
      <x:c r="O1" s="204" t="inlineStr">
        <x:is>
          <x:t xml:space="preserve">netto </x:t>
        </x:is>
      </x:c>
      <x:c r="P1" s="205" t="inlineStr">
        <x:is>
          <x:t xml:space="preserve">Cena brutto </x:t>
        </x:is>
      </x:c>
      <x:c r="Q1" s="204" t="inlineStr">
        <x:is>
          <x:t xml:space="preserve">netto </x:t>
        </x:is>
      </x:c>
      <x:c r="R1" s="205" t="inlineStr">
        <x:is>
          <x:t xml:space="preserve">Cena brutto </x:t>
        </x:is>
      </x:c>
      <x:c r="S1" s="204" t="inlineStr">
        <x:is>
          <x:t xml:space="preserve">netto </x:t>
        </x:is>
      </x:c>
      <x:c r="T1" s="205" t="inlineStr">
        <x:is>
          <x:t xml:space="preserve">Cena brutto </x:t>
        </x:is>
      </x:c>
      <x:c r="U1" s="204" t="inlineStr">
        <x:is>
          <x:t xml:space="preserve">netto </x:t>
        </x:is>
      </x:c>
    </x:row>
    <x:row r="2" s="655" customFormat="1" ht="30" customHeight="1">
      <x:c r="A2" s="670" t="inlineStr">
        <x:is>
          <x:t xml:space="preserve">Produkt / wymiary</x:t>
        </x:is>
      </x:c>
      <x:c r="B2" s="660" t="inlineStr">
        <x:is>
          <x:t xml:space="preserve">System prowadnic + szkło ścienne</x:t>
        </x:is>
      </x:c>
      <x:c r="C2" s="661" t="n"/>
      <x:c r="D2" s="663" t="inlineStr">
        <x:is>
          <x:t xml:space="preserve">Dopłata za szkło przyciemniane</x:t>
        </x:is>
      </x:c>
      <x:c r="E2" s="661" t="n"/>
      <x:c r="F2" s="651" t="inlineStr">
        <x:is>
          <x:t xml:space="preserve">Dopłata za szkło białe/mleczne</x:t>
        </x:is>
      </x:c>
      <x:c r="G2" s="627" t="n"/>
      <x:c r="H2" s="651" t="inlineStr">
        <x:is>
          <x:t xml:space="preserve">Szczotki przeciw kurzowe 
- komplet</x:t>
        </x:is>
      </x:c>
      <x:c r="I2" s="627" t="n"/>
      <x:c r="J2" s="664" t="inlineStr">
        <x:is>
          <x:t xml:space="preserve">Uchwyty na szkło ścienne 
- komplet</x:t>
        </x:is>
      </x:c>
      <x:c r="K2" s="661" t="n"/>
      <x:c r="L2" s="649" t="inlineStr">
        <x:is>
          <x:t xml:space="preserve">Materiał na 1 trójkąt boczny wypełnienie poliwęglan lity</x:t>
        </x:is>
      </x:c>
      <x:c r="M2" s="650" t="n"/>
      <x:c r="N2" s="665" t="inlineStr">
        <x:is>
          <x:t xml:space="preserve">System prowadnic BEZ SZKŁA</x:t>
        </x:is>
      </x:c>
      <x:c r="O2" s="650" t="n"/>
      <x:c r="P2" s="668" t="inlineStr">
        <x:is>
          <x:t xml:space="preserve">Fundament aluminiowy </x:t>
        </x:is>
      </x:c>
      <x:c r="Q2" s="650" t="n"/>
      <x:c r="R2" s="669" t="inlineStr">
        <x:is>
          <x:t xml:space="preserve">Profil boczny do systemu przesuwnego 1szt.</x:t>
        </x:is>
      </x:c>
      <x:c r="S2" s="661" t="n"/>
      <x:c r="T2" s="662" t="inlineStr">
        <x:is>
          <x:t xml:space="preserve">Komplet zabieraków do ściany szklanej przesuwnej</x:t>
        </x:is>
      </x:c>
      <x:c r="U2" s="661" t="n"/>
    </x:row>
    <x:row r="3" s="655" customFormat="1" ht="35.25" customHeight="1">
      <x:c r="A3" s="671" t="n"/>
      <x:c r="B3" s="208" t="inlineStr">
        <x:is>
          <x:t xml:space="preserve">Cena brutto</x:t>
        </x:is>
      </x:c>
      <x:c r="C3" s="209" t="inlineStr">
        <x:is>
          <x:t xml:space="preserve">netto</x:t>
        </x:is>
      </x:c>
      <x:c r="D3" s="210" t="inlineStr">
        <x:is>
          <x:t xml:space="preserve">Cena brutto</x:t>
        </x:is>
      </x:c>
      <x:c r="E3" s="211" t="inlineStr">
        <x:is>
          <x:t xml:space="preserve">netto</x:t>
        </x:is>
      </x:c>
      <x:c r="F3" s="212" t="inlineStr">
        <x:is>
          <x:t xml:space="preserve">Cena brutto</x:t>
        </x:is>
      </x:c>
      <x:c r="G3" s="211" t="inlineStr">
        <x:is>
          <x:t xml:space="preserve">netto</x:t>
        </x:is>
      </x:c>
      <x:c r="H3" s="212" t="inlineStr">
        <x:is>
          <x:t xml:space="preserve">Cena brutto</x:t>
        </x:is>
      </x:c>
      <x:c r="I3" s="211" t="inlineStr">
        <x:is>
          <x:t xml:space="preserve">netto</x:t>
        </x:is>
      </x:c>
      <x:c r="J3" s="210" t="inlineStr">
        <x:is>
          <x:t xml:space="preserve">Cena brutto</x:t>
        </x:is>
      </x:c>
      <x:c r="K3" s="172" t="inlineStr">
        <x:is>
          <x:t xml:space="preserve">netto</x:t>
        </x:is>
      </x:c>
      <x:c r="L3" s="213" t="inlineStr">
        <x:is>
          <x:t xml:space="preserve">Cena brutto</x:t>
        </x:is>
      </x:c>
      <x:c r="M3" s="214" t="inlineStr">
        <x:is>
          <x:t xml:space="preserve">netto</x:t>
        </x:is>
      </x:c>
      <x:c r="N3" s="213" t="inlineStr">
        <x:is>
          <x:t xml:space="preserve">Cena brutto</x:t>
        </x:is>
      </x:c>
      <x:c r="O3" s="214" t="inlineStr">
        <x:is>
          <x:t xml:space="preserve">netto</x:t>
        </x:is>
      </x:c>
      <x:c r="P3" s="215" t="inlineStr">
        <x:is>
          <x:t xml:space="preserve">Cena brutto</x:t>
        </x:is>
      </x:c>
      <x:c r="Q3" s="214" t="inlineStr">
        <x:is>
          <x:t xml:space="preserve">netto</x:t>
        </x:is>
      </x:c>
      <x:c r="R3" s="215" t="inlineStr">
        <x:is>
          <x:t xml:space="preserve">Cena brutto</x:t>
        </x:is>
      </x:c>
      <x:c r="S3" s="214" t="inlineStr">
        <x:is>
          <x:t xml:space="preserve">netto</x:t>
        </x:is>
      </x:c>
      <x:c r="T3" s="215" t="inlineStr">
        <x:is>
          <x:t xml:space="preserve">Cena brutto</x:t>
        </x:is>
      </x:c>
      <x:c r="U3" s="214" t="inlineStr">
        <x:is>
          <x:t xml:space="preserve">netto</x:t>
        </x:is>
      </x:c>
    </x:row>
    <x:row r="4" s="655" customFormat="1" ht="21" customHeight="1">
      <x:c r="A4" s="216" t="n"/>
      <x:c r="B4" s="145" t="n"/>
      <x:c r="C4" s="217" t="n"/>
      <x:c r="D4" s="218" t="n"/>
      <x:c r="E4" s="217" t="n"/>
      <x:c r="F4" s="146" t="n"/>
      <x:c r="G4" s="217" t="n"/>
      <x:c r="H4" s="146" t="n"/>
      <x:c r="I4" s="217" t="n"/>
      <x:c r="J4" s="145" t="n"/>
      <x:c r="K4" s="219" t="n"/>
      <x:c r="L4" s="220" t="n"/>
      <x:c r="M4" s="221" t="n"/>
      <x:c r="N4" s="220" t="n"/>
      <x:c r="O4" s="221" t="n"/>
      <x:c r="P4" s="222" t="n"/>
      <x:c r="Q4" s="221" t="n"/>
      <x:c r="R4" s="222" t="n"/>
      <x:c r="S4" s="221" t="n"/>
      <x:c r="T4" s="222" t="n"/>
      <x:c r="U4" s="221" t="n"/>
    </x:row>
    <x:row r="5">
      <x:c r="A5" s="223" t="inlineStr">
        <x:is>
          <x:t xml:space="preserve">System 2-torowy 194 cm / wys. 230cm</x:t>
        </x:is>
      </x:c>
      <x:c r="B5" s="224" t="n">
        <x:v>2050</x:v>
      </x:c>
      <x:c r="C5" s="225" t="n">
        <x:f>B5/1.23</x:f>
        <x:v>1666.6666666666667</x:v>
      </x:c>
      <x:c r="D5" s="224" t="n">
        <x:v>240</x:v>
      </x:c>
      <x:c r="E5" s="225" t="n">
        <x:f>D5/1.23</x:f>
        <x:v>195.1219512195122</x:v>
      </x:c>
      <x:c r="F5" s="226" t="n">
        <x:v>200</x:v>
      </x:c>
      <x:c r="G5" s="225" t="n">
        <x:f>F5/1.23</x:f>
        <x:v>162.60162601626016</x:v>
      </x:c>
      <x:c r="H5" s="226" t="n">
        <x:v>80</x:v>
      </x:c>
      <x:c r="I5" s="225" t="n">
        <x:f>H5/1.23</x:f>
        <x:v>65.04065040650407</x:v>
      </x:c>
      <x:c r="J5" s="224" t="n">
        <x:v>70</x:v>
      </x:c>
      <x:c r="K5" s="227" t="n">
        <x:f>J5/1.23</x:f>
        <x:v>56.91056910569106</x:v>
      </x:c>
      <x:c r="L5" s="228" t="n">
        <x:v>1050</x:v>
      </x:c>
      <x:c r="M5" s="229" t="n">
        <x:f>L5/1.23</x:f>
        <x:v>853.6585365853658</x:v>
      </x:c>
      <x:c r="N5" s="230" t="n">
        <x:v>1270</x:v>
      </x:c>
      <x:c r="O5" s="231" t="n">
        <x:f>N5/1.23</x:f>
        <x:v>1032.520325203252</x:v>
      </x:c>
      <x:c r="P5" s="228" t="n">
        <x:v>130</x:v>
      </x:c>
      <x:c r="Q5" s="229" t="n">
        <x:f>P5/1.23</x:f>
        <x:v>105.6910569105691</x:v>
      </x:c>
      <x:c r="R5" s="228" t="n">
        <x:v>157</x:v>
      </x:c>
      <x:c r="S5" s="229" t="n">
        <x:f>R5/1.23</x:f>
        <x:v>127.64227642276423</x:v>
      </x:c>
      <x:c r="T5" s="228" t="n">
        <x:v>40</x:v>
      </x:c>
      <x:c r="U5" s="229" t="n">
        <x:f>T5/1.23</x:f>
        <x:v>32.520325203252035</x:v>
      </x:c>
    </x:row>
    <x:row r="6">
      <x:c r="A6" s="232" t="inlineStr">
        <x:is>
          <x:t xml:space="preserve">System 3-torowy 241 cm / wys. 230 cm</x:t>
        </x:is>
      </x:c>
      <x:c r="B6" s="224" t="n">
        <x:v>2990</x:v>
      </x:c>
      <x:c r="C6" s="225" t="n">
        <x:f>B6/1.23</x:f>
        <x:v>2430.8943089430895</x:v>
      </x:c>
      <x:c r="D6" s="224" t="n">
        <x:v>360</x:v>
      </x:c>
      <x:c r="E6" s="225" t="n">
        <x:f>D6/1.23</x:f>
        <x:v>292.6829268292683</x:v>
      </x:c>
      <x:c r="F6" s="226" t="n">
        <x:v>300</x:v>
      </x:c>
      <x:c r="G6" s="225" t="n">
        <x:f>F6/1.23</x:f>
        <x:v>243.90243902439025</x:v>
      </x:c>
      <x:c r="H6" s="226" t="n">
        <x:v>110</x:v>
      </x:c>
      <x:c r="I6" s="225" t="n">
        <x:f>H6/1.23</x:f>
        <x:v>89.4308943089431</x:v>
      </x:c>
      <x:c r="J6" s="224" t="n">
        <x:v>100</x:v>
      </x:c>
      <x:c r="K6" s="227" t="n">
        <x:f>J6/1.23</x:f>
        <x:v>81.30081300813008</x:v>
      </x:c>
      <x:c r="L6" s="228" t="n">
        <x:v>1050</x:v>
      </x:c>
      <x:c r="M6" s="229" t="n">
        <x:f>L6/1.23</x:f>
        <x:v>853.6585365853658</x:v>
      </x:c>
      <x:c r="N6" s="230" t="n">
        <x:v>1820</x:v>
      </x:c>
      <x:c r="O6" s="231" t="n">
        <x:f>N6/1.23</x:f>
        <x:v>1479.6747967479675</x:v>
      </x:c>
      <x:c r="P6" s="228" t="n">
        <x:v>220</x:v>
      </x:c>
      <x:c r="Q6" s="229" t="n">
        <x:f>P6/1.23</x:f>
        <x:v>178.8617886178862</x:v>
      </x:c>
      <x:c r="R6" s="228" t="n">
        <x:v>229</x:v>
      </x:c>
      <x:c r="S6" s="229" t="n">
        <x:f>R6/1.23</x:f>
        <x:v>186.1788617886179</x:v>
      </x:c>
      <x:c r="T6" s="228" t="n">
        <x:v>80</x:v>
      </x:c>
      <x:c r="U6" s="229" t="n">
        <x:f>T6/1.23</x:f>
        <x:v>65.04065040650407</x:v>
      </x:c>
    </x:row>
    <x:row r="7">
      <x:c r="A7" s="223" t="inlineStr">
        <x:is>
          <x:t xml:space="preserve">System 3-torowy 290 cm / wys. 230 cm</x:t>
        </x:is>
      </x:c>
      <x:c r="B7" s="224" t="n">
        <x:v>2990</x:v>
      </x:c>
      <x:c r="C7" s="225" t="n">
        <x:f>B7/1.23</x:f>
        <x:v>2430.8943089430895</x:v>
      </x:c>
      <x:c r="D7" s="224" t="n">
        <x:v>360</x:v>
      </x:c>
      <x:c r="E7" s="225" t="n">
        <x:f>D7/1.23</x:f>
        <x:v>292.6829268292683</x:v>
      </x:c>
      <x:c r="F7" s="226" t="n">
        <x:v>300</x:v>
      </x:c>
      <x:c r="G7" s="225" t="n">
        <x:f>F7/1.23</x:f>
        <x:v>243.90243902439025</x:v>
      </x:c>
      <x:c r="H7" s="226" t="n">
        <x:v>110</x:v>
      </x:c>
      <x:c r="I7" s="225" t="n">
        <x:f>H7/1.23</x:f>
        <x:v>89.4308943089431</x:v>
      </x:c>
      <x:c r="J7" s="224" t="n">
        <x:v>100</x:v>
      </x:c>
      <x:c r="K7" s="227" t="n">
        <x:f>J7/1.23</x:f>
        <x:v>81.30081300813008</x:v>
      </x:c>
      <x:c r="L7" s="228" t="n">
        <x:v>1050</x:v>
      </x:c>
      <x:c r="M7" s="229" t="n">
        <x:f>L7/1.23</x:f>
        <x:v>853.6585365853658</x:v>
      </x:c>
      <x:c r="N7" s="230" t="n">
        <x:v>1820</x:v>
      </x:c>
      <x:c r="O7" s="231" t="n">
        <x:f>N7/1.23</x:f>
        <x:v>1479.6747967479675</x:v>
      </x:c>
      <x:c r="P7" s="228" t="n">
        <x:v>220</x:v>
      </x:c>
      <x:c r="Q7" s="229" t="n">
        <x:f>P7/1.23</x:f>
        <x:v>178.8617886178862</x:v>
      </x:c>
      <x:c r="R7" s="228" t="n">
        <x:v>229</x:v>
      </x:c>
      <x:c r="S7" s="229" t="n">
        <x:f>R7/1.23</x:f>
        <x:v>186.1788617886179</x:v>
      </x:c>
      <x:c r="T7" s="228" t="n">
        <x:v>80</x:v>
      </x:c>
      <x:c r="U7" s="229" t="n">
        <x:f>T7/1.23</x:f>
        <x:v>65.04065040650407</x:v>
      </x:c>
    </x:row>
    <x:row r="8">
      <x:c r="A8" s="232" t="inlineStr">
        <x:is>
          <x:t xml:space="preserve">System 4-torowy 337 cm / wys. 230 cm</x:t>
        </x:is>
      </x:c>
      <x:c r="B8" s="224" t="n">
        <x:v>4080</x:v>
      </x:c>
      <x:c r="C8" s="225" t="n">
        <x:f>B8/1.23</x:f>
        <x:v>3317.0731707317073</x:v>
      </x:c>
      <x:c r="D8" s="224" t="n">
        <x:v>480</x:v>
      </x:c>
      <x:c r="E8" s="225" t="n">
        <x:f>D8/1.23</x:f>
        <x:v>390.2439024390244</x:v>
      </x:c>
      <x:c r="F8" s="226" t="n">
        <x:v>400</x:v>
      </x:c>
      <x:c r="G8" s="225" t="n">
        <x:f>F8/1.23</x:f>
        <x:v>325.2032520325203</x:v>
      </x:c>
      <x:c r="H8" s="226" t="n">
        <x:v>150</x:v>
      </x:c>
      <x:c r="I8" s="225" t="n">
        <x:f>H8/1.23</x:f>
        <x:v>121.95121951219512</x:v>
      </x:c>
      <x:c r="J8" s="224" t="n">
        <x:v>140</x:v>
      </x:c>
      <x:c r="K8" s="227" t="n">
        <x:f>J8/1.23</x:f>
        <x:v>113.82113821138212</x:v>
      </x:c>
      <x:c r="L8" s="228" t="n">
        <x:v>1250</x:v>
      </x:c>
      <x:c r="M8" s="229" t="n">
        <x:f>L8/1.23</x:f>
        <x:v>1016.260162601626</x:v>
      </x:c>
      <x:c r="N8" s="230" t="n">
        <x:v>2520</x:v>
      </x:c>
      <x:c r="O8" s="231" t="n">
        <x:f>N8/1.23</x:f>
        <x:v>2048.7804878048782</x:v>
      </x:c>
      <x:c r="P8" s="228" t="n">
        <x:v>335</x:v>
      </x:c>
      <x:c r="Q8" s="229" t="n">
        <x:f>P8/1.23</x:f>
        <x:v>272.3577235772358</x:v>
      </x:c>
      <x:c r="R8" s="228" t="n">
        <x:v>312</x:v>
      </x:c>
      <x:c r="S8" s="229" t="n">
        <x:f>R8/1.23</x:f>
        <x:v>253.65853658536585</x:v>
      </x:c>
      <x:c r="T8" s="228" t="n">
        <x:v>120</x:v>
      </x:c>
      <x:c r="U8" s="229" t="n">
        <x:f>T8/1.23</x:f>
        <x:v>97.5609756097561</x:v>
      </x:c>
    </x:row>
    <x:row r="9">
      <x:c r="A9" s="223" t="inlineStr">
        <x:is>
          <x:t xml:space="preserve">System 4-torowy 386 cm / wys. 230 cm</x:t>
        </x:is>
      </x:c>
      <x:c r="B9" s="224" t="n">
        <x:v>4080</x:v>
      </x:c>
      <x:c r="C9" s="225" t="n">
        <x:f>B9/1.23</x:f>
        <x:v>3317.0731707317073</x:v>
      </x:c>
      <x:c r="D9" s="224" t="n">
        <x:v>480</x:v>
      </x:c>
      <x:c r="E9" s="225" t="n">
        <x:f>D9/1.23</x:f>
        <x:v>390.2439024390244</x:v>
      </x:c>
      <x:c r="F9" s="226" t="n">
        <x:v>400</x:v>
      </x:c>
      <x:c r="G9" s="225" t="n">
        <x:f>F9/1.23</x:f>
        <x:v>325.2032520325203</x:v>
      </x:c>
      <x:c r="H9" s="226" t="n">
        <x:v>150</x:v>
      </x:c>
      <x:c r="I9" s="225" t="n">
        <x:f>H9/1.23</x:f>
        <x:v>121.95121951219512</x:v>
      </x:c>
      <x:c r="J9" s="224" t="n">
        <x:v>140</x:v>
      </x:c>
      <x:c r="K9" s="227" t="n">
        <x:f>J9/1.23</x:f>
        <x:v>113.82113821138212</x:v>
      </x:c>
      <x:c r="L9" s="228" t="n">
        <x:v>1450</x:v>
      </x:c>
      <x:c r="M9" s="229" t="n">
        <x:f>L9/1.23</x:f>
        <x:v>1178.8617886178863</x:v>
      </x:c>
      <x:c r="N9" s="230" t="n">
        <x:v>2520</x:v>
      </x:c>
      <x:c r="O9" s="231" t="n">
        <x:f>N9/1.23</x:f>
        <x:v>2048.7804878048782</x:v>
      </x:c>
      <x:c r="P9" s="228" t="n">
        <x:v>335</x:v>
      </x:c>
      <x:c r="Q9" s="229" t="n">
        <x:f>P9/1.23</x:f>
        <x:v>272.3577235772358</x:v>
      </x:c>
      <x:c r="R9" s="228" t="n">
        <x:v>312</x:v>
      </x:c>
      <x:c r="S9" s="229" t="n">
        <x:f>R9/1.23</x:f>
        <x:v>253.65853658536585</x:v>
      </x:c>
      <x:c r="T9" s="228" t="n">
        <x:v>120</x:v>
      </x:c>
      <x:c r="U9" s="229" t="n">
        <x:f>T9/1.23</x:f>
        <x:v>97.5609756097561</x:v>
      </x:c>
    </x:row>
    <x:row r="10">
      <x:c r="A10" s="232" t="inlineStr">
        <x:is>
          <x:t xml:space="preserve">System 5-torowy 433 cm / wys. 230 cm</x:t>
        </x:is>
      </x:c>
      <x:c r="B10" s="224" t="n">
        <x:v>5220</x:v>
      </x:c>
      <x:c r="C10" s="225" t="n">
        <x:f>B10/1.23</x:f>
        <x:v>4243.90243902439</x:v>
      </x:c>
      <x:c r="D10" s="224" t="n">
        <x:v>600</x:v>
      </x:c>
      <x:c r="E10" s="225" t="n">
        <x:f>D10/1.23</x:f>
        <x:v>487.8048780487805</x:v>
      </x:c>
      <x:c r="F10" s="226" t="n">
        <x:v>500</x:v>
      </x:c>
      <x:c r="G10" s="225" t="n">
        <x:f>F10/1.23</x:f>
        <x:v>406.5040650406504</x:v>
      </x:c>
      <x:c r="H10" s="226" t="n">
        <x:v>190</x:v>
      </x:c>
      <x:c r="I10" s="225" t="n">
        <x:f>H10/1.23</x:f>
        <x:v>154.47154471544715</x:v>
      </x:c>
      <x:c r="J10" s="224" t="n">
        <x:v>170</x:v>
      </x:c>
      <x:c r="K10" s="227" t="n">
        <x:f>J10/1.23</x:f>
        <x:v>138.21138211382114</x:v>
      </x:c>
      <x:c r="L10" s="228" t="n">
        <x:v>1800</x:v>
      </x:c>
      <x:c r="M10" s="229" t="n">
        <x:f>L10/1.23</x:f>
        <x:v>1463.4146341463415</x:v>
      </x:c>
      <x:c r="N10" s="230" t="n">
        <x:v>3420</x:v>
      </x:c>
      <x:c r="O10" s="231" t="n">
        <x:f>N10/1.23</x:f>
        <x:v>2780.487804878049</x:v>
      </x:c>
      <x:c r="P10" s="228" t="n">
        <x:v>470</x:v>
      </x:c>
      <x:c r="Q10" s="229" t="n">
        <x:f>P10/1.23</x:f>
        <x:v>382.1138211382114</x:v>
      </x:c>
      <x:c r="R10" s="228" t="n">
        <x:v>400</x:v>
      </x:c>
      <x:c r="S10" s="229" t="n">
        <x:f>R10/1.23</x:f>
        <x:v>325.2032520325203</x:v>
      </x:c>
      <x:c r="T10" s="228" t="n">
        <x:v>160</x:v>
      </x:c>
      <x:c r="U10" s="229" t="n">
        <x:f>T10/1.23</x:f>
        <x:v>130.08130081300814</x:v>
      </x:c>
    </x:row>
    <x:row r="11">
      <x:c r="A11" s="223" t="inlineStr">
        <x:is>
          <x:t xml:space="preserve">System 5-torowy 482 cm / wys. 230 cm</x:t>
        </x:is>
      </x:c>
      <x:c r="B11" s="224" t="n">
        <x:v>5220</x:v>
      </x:c>
      <x:c r="C11" s="225" t="n">
        <x:f>B11/1.23</x:f>
        <x:v>4243.90243902439</x:v>
      </x:c>
      <x:c r="D11" s="224" t="n">
        <x:v>600</x:v>
      </x:c>
      <x:c r="E11" s="225" t="n">
        <x:f>D11/1.23</x:f>
        <x:v>487.8048780487805</x:v>
      </x:c>
      <x:c r="F11" s="226" t="n">
        <x:v>500</x:v>
      </x:c>
      <x:c r="G11" s="225" t="n">
        <x:f>F11/1.23</x:f>
        <x:v>406.5040650406504</x:v>
      </x:c>
      <x:c r="H11" s="226" t="n">
        <x:v>190</x:v>
      </x:c>
      <x:c r="I11" s="225" t="n">
        <x:f>H11/1.23</x:f>
        <x:v>154.47154471544715</x:v>
      </x:c>
      <x:c r="J11" s="224" t="n">
        <x:v>170</x:v>
      </x:c>
      <x:c r="K11" s="227" t="n">
        <x:f>J11/1.23</x:f>
        <x:v>138.21138211382114</x:v>
      </x:c>
      <x:c r="L11" s="228" t="n">
        <x:v>2100</x:v>
      </x:c>
      <x:c r="M11" s="229" t="n">
        <x:f>L11/1.23</x:f>
        <x:v>1707.3170731707316</x:v>
      </x:c>
      <x:c r="N11" s="230" t="n">
        <x:v>3420</x:v>
      </x:c>
      <x:c r="O11" s="231" t="n">
        <x:f>N11/1.23</x:f>
        <x:v>2780.487804878049</x:v>
      </x:c>
      <x:c r="P11" s="228" t="n">
        <x:v>470</x:v>
      </x:c>
      <x:c r="Q11" s="229" t="n">
        <x:f>P11/1.23</x:f>
        <x:v>382.1138211382114</x:v>
      </x:c>
      <x:c r="R11" s="228" t="n">
        <x:v>400</x:v>
      </x:c>
      <x:c r="S11" s="229" t="n">
        <x:f>R11/1.23</x:f>
        <x:v>325.2032520325203</x:v>
      </x:c>
      <x:c r="T11" s="228" t="n">
        <x:v>160</x:v>
      </x:c>
      <x:c r="U11" s="229" t="n">
        <x:f>T11/1.23</x:f>
        <x:v>130.08130081300814</x:v>
      </x:c>
    </x:row>
    <x:row r="12">
      <x:c r="A12" s="232" t="inlineStr">
        <x:is>
          <x:t xml:space="preserve">System 6-torowy 529 cm / wys. 230 cm</x:t>
        </x:is>
      </x:c>
      <x:c r="B12" s="224" t="n">
        <x:v>6550</x:v>
      </x:c>
      <x:c r="C12" s="225" t="n">
        <x:f>B12/1.23</x:f>
        <x:v>5325.20325203252</x:v>
      </x:c>
      <x:c r="D12" s="224" t="n">
        <x:v>720</x:v>
      </x:c>
      <x:c r="E12" s="225" t="n">
        <x:f>D12/1.23</x:f>
        <x:v>585.3658536585366</x:v>
      </x:c>
      <x:c r="F12" s="226" t="n">
        <x:v>600</x:v>
      </x:c>
      <x:c r="G12" s="225" t="n">
        <x:f>F12/1.23</x:f>
        <x:v>487.8048780487805</x:v>
      </x:c>
      <x:c r="H12" s="226" t="n">
        <x:v>230</x:v>
      </x:c>
      <x:c r="I12" s="225" t="n">
        <x:f>H12/1.23</x:f>
        <x:v>186.9918699186992</x:v>
      </x:c>
      <x:c r="J12" s="224" t="n">
        <x:v>200</x:v>
      </x:c>
      <x:c r="K12" s="227" t="n">
        <x:f>J12/1.23</x:f>
        <x:v>162.60162601626016</x:v>
      </x:c>
      <x:c r="L12" s="233" t="n">
        <x:v>3000</x:v>
      </x:c>
      <x:c r="M12" s="229" t="n">
        <x:f>L12/1.23</x:f>
        <x:v>2439.0243902439024</x:v>
      </x:c>
      <x:c r="N12" s="230" t="n">
        <x:v>4510</x:v>
      </x:c>
      <x:c r="O12" s="231" t="n">
        <x:f>N12/1.23</x:f>
        <x:v>3666.6666666666665</x:v>
      </x:c>
      <x:c r="P12" s="228" t="n">
        <x:v>760</x:v>
      </x:c>
      <x:c r="Q12" s="229" t="n">
        <x:f>P12/1.23</x:f>
        <x:v>617.8861788617886</x:v>
      </x:c>
      <x:c r="R12" s="228" t="n">
        <x:v>500</x:v>
      </x:c>
      <x:c r="S12" s="229" t="n">
        <x:f>R12/1.23</x:f>
        <x:v>406.5040650406504</x:v>
      </x:c>
      <x:c r="T12" s="228" t="n">
        <x:v>200</x:v>
      </x:c>
      <x:c r="U12" s="229" t="n">
        <x:f>T12/1.23</x:f>
        <x:v>162.60162601626016</x:v>
      </x:c>
    </x:row>
    <x:row r="13">
      <x:c r="A13" s="223" t="inlineStr">
        <x:is>
          <x:t xml:space="preserve">System 6-torowy 578 cm / wys. 230 cm</x:t>
        </x:is>
      </x:c>
      <x:c r="B13" s="224" t="n">
        <x:v>6550</x:v>
      </x:c>
      <x:c r="C13" s="225" t="n">
        <x:f>B13/1.23</x:f>
        <x:v>5325.20325203252</x:v>
      </x:c>
      <x:c r="D13" s="224" t="n">
        <x:v>720</x:v>
      </x:c>
      <x:c r="E13" s="225" t="n">
        <x:f>D13/1.23</x:f>
        <x:v>585.3658536585366</x:v>
      </x:c>
      <x:c r="F13" s="226" t="n">
        <x:v>600</x:v>
      </x:c>
      <x:c r="G13" s="225" t="n">
        <x:f>F13/1.23</x:f>
        <x:v>487.8048780487805</x:v>
      </x:c>
      <x:c r="H13" s="226" t="n">
        <x:v>230</x:v>
      </x:c>
      <x:c r="I13" s="225" t="n">
        <x:f>H13/1.23</x:f>
        <x:v>186.9918699186992</x:v>
      </x:c>
      <x:c r="J13" s="224" t="n">
        <x:v>200</x:v>
      </x:c>
      <x:c r="K13" s="227" t="n">
        <x:f>J13/1.23</x:f>
        <x:v>162.60162601626016</x:v>
      </x:c>
      <x:c r="L13" s="233" t="n">
        <x:v>3300</x:v>
      </x:c>
      <x:c r="M13" s="229" t="n">
        <x:f>L13/1.23</x:f>
        <x:v>2682.9268292682927</x:v>
      </x:c>
      <x:c r="N13" s="234" t="n">
        <x:v>4510</x:v>
      </x:c>
      <x:c r="O13" s="231" t="n">
        <x:f>N13/1.23</x:f>
        <x:v>3666.6666666666665</x:v>
      </x:c>
      <x:c r="P13" s="228" t="n">
        <x:v>760</x:v>
      </x:c>
      <x:c r="Q13" s="229" t="n">
        <x:f>P13/1.23</x:f>
        <x:v>617.8861788617886</x:v>
      </x:c>
      <x:c r="R13" s="228" t="n">
        <x:v>500</x:v>
      </x:c>
      <x:c r="S13" s="229" t="n">
        <x:f>R13/1.23</x:f>
        <x:v>406.5040650406504</x:v>
      </x:c>
      <x:c r="T13" s="228" t="n">
        <x:v>200</x:v>
      </x:c>
      <x:c r="U13" s="229" t="n">
        <x:f>T13/1.23</x:f>
        <x:v>162.60162601626016</x:v>
      </x:c>
    </x:row>
    <x:row r="14">
      <x:c r="A14" s="235" t="n"/>
      <x:c r="B14" s="224" t="n"/>
      <x:c r="C14" s="225" t="n"/>
      <x:c r="D14" s="224" t="n"/>
      <x:c r="E14" s="225" t="n"/>
      <x:c r="F14" s="226" t="n"/>
      <x:c r="G14" s="225" t="n"/>
      <x:c r="H14" s="224" t="n"/>
      <x:c r="I14" s="225" t="n"/>
      <x:c r="J14" s="224" t="n"/>
      <x:c r="K14" s="227" t="n"/>
      <x:c r="L14" s="236" t="n"/>
      <x:c r="M14" s="237" t="n"/>
      <x:c r="N14" s="236" t="n"/>
      <x:c r="O14" s="237" t="n"/>
      <x:c r="P14" s="238" t="n"/>
      <x:c r="Q14" s="239" t="n"/>
      <x:c r="R14" s="238" t="n"/>
      <x:c r="S14" s="239" t="n"/>
      <x:c r="T14" s="238" t="n"/>
      <x:c r="U14" s="239" t="n"/>
    </x:row>
    <x:row r="15">
      <x:c r="A15" s="240" t="n"/>
      <x:c r="B15" s="652" t="n"/>
      <x:c r="C15" s="653" t="n"/>
      <x:c r="D15" s="653" t="n"/>
      <x:c r="E15" s="653" t="n"/>
      <x:c r="F15" s="653" t="n"/>
      <x:c r="G15" s="653" t="n"/>
      <x:c r="H15" s="653" t="n"/>
      <x:c r="I15" s="653" t="n"/>
      <x:c r="J15" s="653" t="n"/>
      <x:c r="K15" s="653" t="n"/>
      <x:c r="L15" s="653" t="n"/>
      <x:c r="M15" s="650" t="n"/>
      <x:c r="N15" s="183" t="n"/>
      <x:c r="O15" s="149" t="n"/>
      <x:c r="P15" s="183" t="n"/>
      <x:c r="Q15" s="149" t="n"/>
      <x:c r="R15" s="183" t="n"/>
      <x:c r="S15" s="149" t="n"/>
      <x:c r="T15" s="183" t="n"/>
      <x:c r="U15" s="149" t="n"/>
    </x:row>
    <x:row r="16">
      <x:c r="A16" s="241" t="n"/>
      <x:c r="B16" s="654" t="n"/>
      <x:c r="M16" s="656" t="n"/>
      <x:c r="N16" s="183" t="n"/>
      <x:c r="O16" s="149" t="n"/>
      <x:c r="P16" s="183" t="n"/>
      <x:c r="Q16" s="149" t="n"/>
      <x:c r="R16" s="183" t="n"/>
      <x:c r="S16" s="149" t="n"/>
      <x:c r="T16" s="183" t="n"/>
      <x:c r="U16" s="149" t="n"/>
    </x:row>
    <x:row r="17">
      <x:c r="A17" s="241" t="n"/>
      <x:c r="B17" s="657" t="n"/>
      <x:c r="C17" s="658" t="n"/>
      <x:c r="D17" s="658" t="n"/>
      <x:c r="E17" s="658" t="n"/>
      <x:c r="F17" s="658" t="n"/>
      <x:c r="G17" s="658" t="n"/>
      <x:c r="H17" s="658" t="n"/>
      <x:c r="I17" s="658" t="n"/>
      <x:c r="J17" s="658" t="n"/>
      <x:c r="K17" s="658" t="n"/>
      <x:c r="L17" s="658" t="n"/>
      <x:c r="M17" s="659" t="n"/>
      <x:c r="N17" s="183" t="n"/>
      <x:c r="O17" s="149" t="n"/>
      <x:c r="P17" s="183" t="n"/>
      <x:c r="Q17" s="149" t="n"/>
      <x:c r="R17" s="183" t="n"/>
      <x:c r="S17" s="149" t="n"/>
      <x:c r="T17" s="183" t="n"/>
      <x:c r="U17" s="149" t="n"/>
    </x:row>
    <x:row r="18" s="655" customFormat="1" ht="38.25" customHeight="1">
      <x:c r="A18" s="242" t="n"/>
      <x:c r="B18" s="673" t="inlineStr">
        <x:is>
          <x:t xml:space="preserve">Stała ściana z poliwęglanu komorowego bezbarwnego 16mm</x:t>
        </x:is>
      </x:c>
      <x:c r="C18" s="667" t="n"/>
      <x:c r="D18" s="672" t="inlineStr">
        <x:is>
          <x:t xml:space="preserve">Stała ściana z poliwęglanu komorowego mlecznego 16mm</x:t>
        </x:is>
      </x:c>
      <x:c r="E18" s="667" t="n"/>
      <x:c r="F18" s="666" t="inlineStr">
        <x:is>
          <x:t xml:space="preserve">Stała ściana z poliwęglanu komorowego przyciemnianego 16mm</x:t>
        </x:is>
      </x:c>
      <x:c r="G18" s="667" t="n"/>
    </x:row>
    <x:row r="19" s="655" customFormat="1" ht="35.25" customHeight="1">
      <x:c r="A19" s="243" t="n"/>
      <x:c r="B19" s="244" t="inlineStr">
        <x:is>
          <x:t xml:space="preserve">Cena brutto </x:t>
        </x:is>
      </x:c>
      <x:c r="C19" s="245" t="inlineStr">
        <x:is>
          <x:t xml:space="preserve">netto </x:t>
        </x:is>
      </x:c>
      <x:c r="D19" s="246" t="inlineStr">
        <x:is>
          <x:t xml:space="preserve">Cena brutto </x:t>
        </x:is>
      </x:c>
      <x:c r="E19" s="245" t="inlineStr">
        <x:is>
          <x:t xml:space="preserve">netto </x:t>
        </x:is>
      </x:c>
      <x:c r="F19" s="246" t="inlineStr">
        <x:is>
          <x:t xml:space="preserve">Cena brutto </x:t>
        </x:is>
      </x:c>
      <x:c r="G19" s="245" t="inlineStr">
        <x:is>
          <x:t xml:space="preserve">netto </x:t>
        </x:is>
      </x:c>
    </x:row>
    <x:row r="20">
      <x:c r="A20" s="247" t="inlineStr">
        <x:is>
          <x:t xml:space="preserve">długość 290 cm</x:t>
        </x:is>
      </x:c>
      <x:c r="B20" s="226" t="n">
        <x:v>3040</x:v>
      </x:c>
      <x:c r="C20" s="229" t="n">
        <x:f>B20/1.23</x:f>
        <x:v>2471.5447154471544</x:v>
      </x:c>
      <x:c r="D20" s="228" t="n">
        <x:v>3099.6</x:v>
      </x:c>
      <x:c r="E20" s="229" t="n">
        <x:f>D20/1.23</x:f>
        <x:v>2520</x:v>
      </x:c>
      <x:c r="F20" s="228" t="n">
        <x:v>3099.6</x:v>
      </x:c>
      <x:c r="G20" s="229" t="n">
        <x:f>F20/1.23</x:f>
        <x:v>2520</x:v>
      </x:c>
    </x:row>
    <x:row r="21">
      <x:c r="A21" s="247" t="inlineStr">
        <x:is>
          <x:t xml:space="preserve">długość 340 cm</x:t>
        </x:is>
      </x:c>
      <x:c r="B21" s="226" t="n">
        <x:v>3720</x:v>
      </x:c>
      <x:c r="C21" s="229" t="n">
        <x:f>B21/1.23</x:f>
        <x:v>3024.390243902439</x:v>
      </x:c>
      <x:c r="D21" s="228" t="n">
        <x:v>3800</x:v>
      </x:c>
      <x:c r="E21" s="229" t="n">
        <x:f>D21/1.23</x:f>
        <x:v>3089.430894308943</x:v>
      </x:c>
      <x:c r="F21" s="228" t="n">
        <x:v>3800</x:v>
      </x:c>
      <x:c r="G21" s="229" t="n">
        <x:f>F21/1.23</x:f>
        <x:v>3089.430894308943</x:v>
      </x:c>
    </x:row>
    <x:row r="22" s="655" customFormat="1" ht="15.75" customHeight="1">
      <x:c r="A22" s="247" t="inlineStr">
        <x:is>
          <x:t xml:space="preserve">długość 390 cm</x:t>
        </x:is>
      </x:c>
      <x:c r="B22" s="226" t="n">
        <x:v>4120</x:v>
      </x:c>
      <x:c r="C22" s="229" t="n">
        <x:f>B22/1.23</x:f>
        <x:v>3349.5934959349593</x:v>
      </x:c>
      <x:c r="D22" s="228" t="n">
        <x:v>4099.59</x:v>
      </x:c>
      <x:c r="E22" s="229" t="n">
        <x:f>D22/1.23</x:f>
        <x:v>3333</x:v>
      </x:c>
      <x:c r="F22" s="228" t="n">
        <x:v>4099.59</x:v>
      </x:c>
      <x:c r="G22" s="229" t="n">
        <x:f>F22/1.23</x:f>
        <x:v>3333</x:v>
      </x:c>
    </x:row>
    <x:row r="23" s="655" customFormat="1" ht="15.75" customHeight="1">
      <x:c r="A23" s="247" t="inlineStr">
        <x:is>
          <x:t xml:space="preserve">długośc 440 cm</x:t>
        </x:is>
      </x:c>
      <x:c r="B23" s="226" t="n">
        <x:v>4510</x:v>
      </x:c>
      <x:c r="C23" s="229" t="n">
        <x:f>B23/1.23</x:f>
        <x:v>3666.6666666666665</x:v>
      </x:c>
      <x:c r="D23" s="228" t="n">
        <x:v>4610</x:v>
      </x:c>
      <x:c r="E23" s="229" t="n">
        <x:f>D23/1.23</x:f>
        <x:v>3747.967479674797</x:v>
      </x:c>
      <x:c r="F23" s="228" t="n">
        <x:v>4610</x:v>
      </x:c>
      <x:c r="G23" s="229" t="n">
        <x:f>F23/1.23</x:f>
        <x:v>3747.967479674797</x:v>
      </x:c>
    </x:row>
    <x:row r="24" s="655" customFormat="1" ht="15.75" customHeight="1">
      <x:c r="A24" s="247" t="inlineStr">
        <x:is>
          <x:t xml:space="preserve">długość 490 cm</x:t>
        </x:is>
      </x:c>
      <x:c r="B24" s="226" t="n">
        <x:v>5020</x:v>
      </x:c>
      <x:c r="C24" s="229" t="n">
        <x:f>B24/1.23</x:f>
        <x:v>4081.3008130081303</x:v>
      </x:c>
      <x:c r="D24" s="228" t="n">
        <x:v>5120</x:v>
      </x:c>
      <x:c r="E24" s="229" t="n">
        <x:f>D24/1.23</x:f>
        <x:v>4162.6016260162605</x:v>
      </x:c>
      <x:c r="F24" s="228" t="n">
        <x:v>5120</x:v>
      </x:c>
      <x:c r="G24" s="229" t="n">
        <x:f>F24/1.23</x:f>
        <x:v>4162.6016260162605</x:v>
      </x:c>
    </x:row>
    <x:row r="25" s="655" customFormat="1" ht="15.75" customHeight="1">
      <x:c r="A25" s="247" t="inlineStr">
        <x:is>
          <x:t xml:space="preserve">długość 540 cm</x:t>
        </x:is>
      </x:c>
      <x:c r="B25" s="226" t="n">
        <x:v>5510</x:v>
      </x:c>
      <x:c r="C25" s="229" t="n">
        <x:f>B25/1.23</x:f>
        <x:v>4479.674796747968</x:v>
      </x:c>
      <x:c r="D25" s="228" t="n">
        <x:v>5630</x:v>
      </x:c>
      <x:c r="E25" s="229" t="n">
        <x:f>D25/1.23</x:f>
        <x:v>4577.235772357723</x:v>
      </x:c>
      <x:c r="F25" s="228" t="n">
        <x:v>5630</x:v>
      </x:c>
      <x:c r="G25" s="229" t="n">
        <x:f>F25/1.23</x:f>
        <x:v>4577.235772357723</x:v>
      </x:c>
    </x:row>
    <x:row r="26" s="655" customFormat="1" ht="15.75" customHeight="1">
      <x:c r="A26" s="248" t="inlineStr">
        <x:is>
          <x:t xml:space="preserve">długość 590 cm</x:t>
        </x:is>
      </x:c>
      <x:c r="B26" s="249" t="n">
        <x:v>6020</x:v>
      </x:c>
      <x:c r="C26" s="237" t="n">
        <x:f>B26/1.23</x:f>
        <x:v>4894.308943089431</x:v>
      </x:c>
      <x:c r="D26" s="250" t="n">
        <x:v>6140</x:v>
      </x:c>
      <x:c r="E26" s="237" t="n">
        <x:f>D26/1.23</x:f>
        <x:v>4991.869918699187</x:v>
      </x:c>
      <x:c r="F26" s="250" t="n">
        <x:v>6140</x:v>
      </x:c>
      <x:c r="G26" s="237" t="n">
        <x:f>F26/1.23</x:f>
        <x:v>4991.869918699187</x:v>
      </x:c>
    </x:row>
  </x:sheetData>
  <x:mergeCells>
    <x:mergeCell ref="L2:M2"/>
    <x:mergeCell ref="F2:G2"/>
    <x:mergeCell ref="B15:M17"/>
    <x:mergeCell ref="B2:C2"/>
    <x:mergeCell ref="H2:I2"/>
    <x:mergeCell ref="D2:E2"/>
    <x:mergeCell ref="T2:U2"/>
    <x:mergeCell ref="J2:K2"/>
    <x:mergeCell ref="N2:O2"/>
    <x:mergeCell ref="F18:G18"/>
    <x:mergeCell ref="P2:Q2"/>
    <x:mergeCell ref="R2:S2"/>
    <x:mergeCell ref="A2:A3"/>
    <x:mergeCell ref="D18:E18"/>
    <x:mergeCell ref="B18:C18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BFBFBF"/>
  </x:sheetPr>
  <x:sheetViews>
    <x:sheetView showGridLines="0" workbookViewId="0"/>
  </x:sheetViews>
  <x:sheetFormatPr baseColWidth="8" defaultRowHeight="14.75"/>
  <x:cols>
    <x:col min="1" max="1" width="13.7265625" style="655" customWidth="1"/>
    <x:col min="2" max="8" width="13" style="655" customWidth="1"/>
    <x:col min="9" max="9" width="16" style="655" customWidth="1"/>
    <x:col min="10" max="10" width="13.7265625" style="655" customWidth="1"/>
    <x:col min="11" max="17" width="13" style="655" customWidth="1"/>
  </x:cols>
  <x:sheetData>
    <x:row r="1" s="655" customFormat="1" ht="48" customHeight="1">
      <x:c r="A1" s="15" t="inlineStr">
        <x:is>
          <x:t xml:space="preserve">WYMIARY (długość elementu w cm)
</x:t>
        </x:is>
      </x:c>
      <x:c r="B1" s="674" t="inlineStr">
        <x:is>
          <x:t xml:space="preserve">Komplet krokiew pośrednia PRO poliwęglan (krokiew, uszczelki, maskownica)</x:t>
        </x:is>
      </x:c>
      <x:c r="C1" s="617" t="n"/>
      <x:c r="D1" s="674" t="inlineStr">
        <x:is>
          <x:t xml:space="preserve">Komplet krokiew skrajna PRO poliwęglan ( krokiew, uszczelki, maskownica )</x:t>
        </x:is>
      </x:c>
      <x:c r="E1" s="617" t="n"/>
      <x:c r="F1" s="251" t="n"/>
      <x:c r="G1" s="252" t="inlineStr">
        <x:is>
          <x:t xml:space="preserve">WYMIARY (długość elementu w cm)</x:t>
        </x:is>
      </x:c>
      <x:c r="H1" s="678" t="inlineStr">
        <x:is>
          <x:t xml:space="preserve">Komplet krokiew pośrednia PRO+ poliwęglan (krokiew,uszczelki,maskownica) </x:t>
        </x:is>
      </x:c>
      <x:c r="I1" s="617" t="n"/>
      <x:c r="J1" s="678" t="inlineStr">
        <x:is>
          <x:t xml:space="preserve">Kompletna krokiew skrajna PRO + poliwęglan (krokiew, uszczelki, maskownica )</x:t>
        </x:is>
      </x:c>
      <x:c r="K1" s="617" t="n"/>
      <x:c r="L1" s="251" t="n"/>
      <x:c r="M1" s="252" t="inlineStr">
        <x:is>
          <x:t xml:space="preserve">WYMIARY (długość elementu w cm)</x:t>
        </x:is>
      </x:c>
      <x:c r="N1" s="678" t="inlineStr">
        <x:is>
          <x:t xml:space="preserve">Profil do ściany stałej skrajny kompletny  ( profil, maskownica, uszczelki)</x:t>
        </x:is>
      </x:c>
      <x:c r="O1" s="617" t="n"/>
      <x:c r="P1" s="678" t="inlineStr">
        <x:is>
          <x:t xml:space="preserve">Profil do ściany stałej pośredni kompletny ( profil, maskownica, uszczelki)</x:t>
        </x:is>
      </x:c>
      <x:c r="Q1" s="617" t="n"/>
    </x:row>
    <x:row r="2">
      <x:c r="A2" s="253" t="inlineStr">
        <x:is>
          <x:t xml:space="preserve">do wymiaru</x:t>
        </x:is>
      </x:c>
      <x:c r="B2" s="254" t="inlineStr">
        <x:is>
          <x:t xml:space="preserve">Cena brutto </x:t>
        </x:is>
      </x:c>
      <x:c r="C2" s="255" t="inlineStr">
        <x:is>
          <x:t xml:space="preserve">netto </x:t>
        </x:is>
      </x:c>
      <x:c r="D2" s="254" t="inlineStr">
        <x:is>
          <x:t xml:space="preserve">Cena brutto </x:t>
        </x:is>
      </x:c>
      <x:c r="E2" s="255" t="inlineStr">
        <x:is>
          <x:t xml:space="preserve">netto </x:t>
        </x:is>
      </x:c>
      <x:c r="F2" s="251" t="n"/>
      <x:c r="G2" s="256" t="inlineStr">
        <x:is>
          <x:t xml:space="preserve">do wymiaru</x:t>
        </x:is>
      </x:c>
      <x:c r="H2" s="257" t="inlineStr">
        <x:is>
          <x:t xml:space="preserve">Cena brutto </x:t>
        </x:is>
      </x:c>
      <x:c r="I2" s="258" t="inlineStr">
        <x:is>
          <x:t xml:space="preserve">netto </x:t>
        </x:is>
      </x:c>
      <x:c r="J2" s="257" t="inlineStr">
        <x:is>
          <x:t xml:space="preserve">Cena brutto </x:t>
        </x:is>
      </x:c>
      <x:c r="K2" s="258" t="inlineStr">
        <x:is>
          <x:t xml:space="preserve">netto </x:t>
        </x:is>
      </x:c>
      <x:c r="L2" s="251" t="n"/>
      <x:c r="M2" s="256" t="inlineStr">
        <x:is>
          <x:t xml:space="preserve">do wymiaru</x:t>
        </x:is>
      </x:c>
      <x:c r="N2" s="257" t="inlineStr">
        <x:is>
          <x:t xml:space="preserve">Cena brutto </x:t>
        </x:is>
      </x:c>
      <x:c r="O2" s="258" t="inlineStr">
        <x:is>
          <x:t xml:space="preserve">netto </x:t>
        </x:is>
      </x:c>
      <x:c r="P2" s="257" t="inlineStr">
        <x:is>
          <x:t xml:space="preserve">Cena brutto </x:t>
        </x:is>
      </x:c>
      <x:c r="Q2" s="258" t="inlineStr">
        <x:is>
          <x:t xml:space="preserve">netto </x:t>
        </x:is>
      </x:c>
    </x:row>
    <x:row r="3">
      <x:c r="A3" s="259" t="n">
        <x:v>290</x:v>
      </x:c>
      <x:c r="B3" s="260" t="n">
        <x:v>361</x:v>
      </x:c>
      <x:c r="C3" s="261" t="n">
        <x:f>B3/1.23</x:f>
        <x:v>293.4959349593496</x:v>
      </x:c>
      <x:c r="D3" s="260" t="n">
        <x:v>367</x:v>
      </x:c>
      <x:c r="E3" s="261" t="n">
        <x:f>D3/1.23</x:f>
        <x:v>298.3739837398374</x:v>
      </x:c>
      <x:c r="F3" s="251" t="n"/>
      <x:c r="G3" s="262" t="n">
        <x:v>440</x:v>
      </x:c>
      <x:c r="H3" s="263" t="n">
        <x:v>1091</x:v>
      </x:c>
      <x:c r="I3" s="264" t="n">
        <x:f>H3/1.23</x:f>
        <x:v>886.9918699186992</x:v>
      </x:c>
      <x:c r="J3" s="263" t="n">
        <x:v>818</x:v>
      </x:c>
      <x:c r="K3" s="264" t="n">
        <x:f>J3/1.23</x:f>
        <x:v>665.040650406504</x:v>
      </x:c>
      <x:c r="L3" s="251" t="n"/>
      <x:c r="M3" s="265" t="n">
        <x:v>300</x:v>
      </x:c>
      <x:c r="N3" s="266" t="n">
        <x:v>260</x:v>
      </x:c>
      <x:c r="O3" s="267" t="n">
        <x:f>N3/1.23</x:f>
        <x:v>211.3821138211382</x:v>
      </x:c>
      <x:c r="P3" s="266" t="n">
        <x:v>270</x:v>
      </x:c>
      <x:c r="Q3" s="267" t="n">
        <x:f>P3/1.23</x:f>
        <x:v>219.51219512195124</x:v>
      </x:c>
    </x:row>
    <x:row r="4">
      <x:c r="A4" s="259" t="n">
        <x:v>340</x:v>
      </x:c>
      <x:c r="B4" s="260" t="n">
        <x:v>423</x:v>
      </x:c>
      <x:c r="C4" s="261" t="n">
        <x:f>B4/1.23</x:f>
        <x:v>343.9024390243903</x:v>
      </x:c>
      <x:c r="D4" s="260" t="n">
        <x:v>431</x:v>
      </x:c>
      <x:c r="E4" s="261" t="n">
        <x:f>D4/1.23</x:f>
        <x:v>350.4065040650407</x:v>
      </x:c>
      <x:c r="F4" s="251" t="n"/>
      <x:c r="G4" s="262" t="n">
        <x:v>490</x:v>
      </x:c>
      <x:c r="H4" s="263" t="n">
        <x:v>1216</x:v>
      </x:c>
      <x:c r="I4" s="264" t="n">
        <x:f>H4/1.23</x:f>
        <x:v>988.6178861788618</x:v>
      </x:c>
      <x:c r="J4" s="263" t="n">
        <x:v>907</x:v>
      </x:c>
      <x:c r="K4" s="264" t="n">
        <x:f>J4/1.23</x:f>
        <x:v>737.3983739837398</x:v>
      </x:c>
      <x:c r="L4" s="251" t="n"/>
      <x:c r="M4" s="265" t="n">
        <x:v>400</x:v>
      </x:c>
      <x:c r="N4" s="266" t="n">
        <x:v>345</x:v>
      </x:c>
      <x:c r="O4" s="267" t="n">
        <x:f>N4/1.23</x:f>
        <x:v>280.4878048780488</x:v>
      </x:c>
      <x:c r="P4" s="266" t="n">
        <x:v>360</x:v>
      </x:c>
      <x:c r="Q4" s="267" t="n">
        <x:f>P4/1.23</x:f>
        <x:v>292.6829268292683</x:v>
      </x:c>
    </x:row>
    <x:row r="5">
      <x:c r="A5" s="268" t="n">
        <x:v>390</x:v>
      </x:c>
      <x:c r="B5" s="269" t="n">
        <x:v>487</x:v>
      </x:c>
      <x:c r="C5" s="270" t="n">
        <x:f>B5/1.23</x:f>
        <x:v>395.9349593495935</x:v>
      </x:c>
      <x:c r="D5" s="269" t="n">
        <x:v>495</x:v>
      </x:c>
      <x:c r="E5" s="270" t="n">
        <x:f>D5/1.23</x:f>
        <x:v>402.4390243902439</x:v>
      </x:c>
      <x:c r="F5" s="251" t="n"/>
      <x:c r="G5" s="262" t="n">
        <x:v>540</x:v>
      </x:c>
      <x:c r="H5" s="263" t="n">
        <x:v>1340</x:v>
      </x:c>
      <x:c r="I5" s="264" t="n">
        <x:f>H5/1.23</x:f>
        <x:v>1089.4308943089432</x:v>
      </x:c>
      <x:c r="J5" s="263" t="n">
        <x:v>1005</x:v>
      </x:c>
      <x:c r="K5" s="264" t="n">
        <x:f>J5/1.23</x:f>
        <x:v>817.0731707317074</x:v>
      </x:c>
      <x:c r="L5" s="251" t="n"/>
      <x:c r="M5" s="271" t="n"/>
      <x:c r="N5" s="272" t="n"/>
      <x:c r="O5" s="273" t="n"/>
      <x:c r="P5" s="272" t="n"/>
      <x:c r="Q5" s="273" t="n"/>
    </x:row>
    <x:row r="6">
      <x:c r="A6" s="274" t="n"/>
      <x:c r="B6" s="251" t="n"/>
      <x:c r="C6" s="251" t="n"/>
      <x:c r="D6" s="251" t="n"/>
      <x:c r="E6" s="251" t="n"/>
      <x:c r="F6" s="251" t="n"/>
      <x:c r="G6" s="275" t="n">
        <x:v>590</x:v>
      </x:c>
      <x:c r="H6" s="276" t="n">
        <x:v>1465</x:v>
      </x:c>
      <x:c r="I6" s="277" t="n">
        <x:f>H6/1.23</x:f>
        <x:v>1191.0569105691056</x:v>
      </x:c>
      <x:c r="J6" s="276" t="n">
        <x:v>1098</x:v>
      </x:c>
      <x:c r="K6" s="277" t="n">
        <x:f>J6/1.23</x:f>
        <x:v>892.6829268292684</x:v>
      </x:c>
      <x:c r="L6" s="251" t="n"/>
      <x:c r="M6" s="271" t="n"/>
      <x:c r="N6" s="272" t="n"/>
      <x:c r="O6" s="273" t="n"/>
      <x:c r="P6" s="272" t="n"/>
      <x:c r="Q6" s="273" t="n"/>
    </x:row>
    <x:row r="7">
      <x:c r="A7" s="274" t="n"/>
      <x:c r="B7" s="251" t="n"/>
      <x:c r="C7" s="251" t="n"/>
      <x:c r="D7" s="251" t="n"/>
      <x:c r="E7" s="251" t="n"/>
      <x:c r="F7" s="251" t="n"/>
      <x:c r="G7" s="251" t="n"/>
      <x:c r="H7" s="251" t="n"/>
      <x:c r="I7" s="251" t="n"/>
      <x:c r="J7" s="251" t="n"/>
      <x:c r="K7" s="251" t="n"/>
      <x:c r="L7" s="251" t="n"/>
      <x:c r="M7" s="251" t="n"/>
      <x:c r="N7" s="251" t="n"/>
      <x:c r="O7" s="251" t="n"/>
      <x:c r="P7" s="278" t="n"/>
      <x:c r="Q7" s="278" t="n"/>
    </x:row>
    <x:row r="8" s="655" customFormat="1" ht="48" customHeight="1">
      <x:c r="A8" s="15" t="inlineStr">
        <x:is>
          <x:t xml:space="preserve">WYMIARY (długość elementu w cm)
</x:t>
        </x:is>
      </x:c>
      <x:c r="B8" s="674" t="inlineStr">
        <x:is>
          <x:t xml:space="preserve">Komplet krokiew pośrednia PRO szkło (krokiew, uszczelki, maskownica, dystanse, wzmocnienia)</x:t>
        </x:is>
      </x:c>
      <x:c r="C8" s="617" t="n"/>
      <x:c r="D8" s="674" t="inlineStr">
        <x:is>
          <x:t xml:space="preserve">Komplet krokiew skrajna PRO szkło ( krokiew, uszczelki, maskownica, dystanse, wzmocnienia )</x:t>
        </x:is>
      </x:c>
      <x:c r="E8" s="617" t="n"/>
      <x:c r="F8" s="251" t="n"/>
      <x:c r="G8" s="252" t="inlineStr">
        <x:is>
          <x:t xml:space="preserve">WYMIARY (długość elementu w cm)</x:t>
        </x:is>
      </x:c>
      <x:c r="H8" s="678" t="inlineStr">
        <x:is>
          <x:t xml:space="preserve">Komplet krokiew pośrednia PRO+ szkło (krokiew,uszczelki,maskownica, dystanse, wzmocnienia) </x:t>
        </x:is>
      </x:c>
      <x:c r="I8" s="617" t="n"/>
      <x:c r="J8" s="678" t="inlineStr">
        <x:is>
          <x:t xml:space="preserve">Kompletna krokiew skrajna PRO + szkło (krokiew, uszczelki, maskownica, dystanse, wzmocnienia )</x:t>
        </x:is>
      </x:c>
      <x:c r="K8" s="617" t="n"/>
      <x:c r="L8" s="251" t="n"/>
      <x:c r="M8" s="251" t="n"/>
      <x:c r="N8" s="251" t="n"/>
      <x:c r="O8" s="251" t="n"/>
      <x:c r="P8" s="278" t="n"/>
      <x:c r="Q8" s="278" t="n"/>
    </x:row>
    <x:row r="9">
      <x:c r="A9" s="253" t="inlineStr">
        <x:is>
          <x:t xml:space="preserve">do wymiaru</x:t>
        </x:is>
      </x:c>
      <x:c r="B9" s="254" t="inlineStr">
        <x:is>
          <x:t xml:space="preserve">Cena brutto </x:t>
        </x:is>
      </x:c>
      <x:c r="C9" s="255" t="inlineStr">
        <x:is>
          <x:t xml:space="preserve">netto </x:t>
        </x:is>
      </x:c>
      <x:c r="D9" s="254" t="inlineStr">
        <x:is>
          <x:t xml:space="preserve">Cena brutto </x:t>
        </x:is>
      </x:c>
      <x:c r="E9" s="255" t="inlineStr">
        <x:is>
          <x:t xml:space="preserve">netto </x:t>
        </x:is>
      </x:c>
      <x:c r="F9" s="251" t="n"/>
      <x:c r="G9" s="256" t="inlineStr">
        <x:is>
          <x:t xml:space="preserve">do wymiaru</x:t>
        </x:is>
      </x:c>
      <x:c r="H9" s="257" t="inlineStr">
        <x:is>
          <x:t xml:space="preserve">Cena brutto </x:t>
        </x:is>
      </x:c>
      <x:c r="I9" s="258" t="inlineStr">
        <x:is>
          <x:t xml:space="preserve">netto </x:t>
        </x:is>
      </x:c>
      <x:c r="J9" s="257" t="inlineStr">
        <x:is>
          <x:t xml:space="preserve">Cena brutto </x:t>
        </x:is>
      </x:c>
      <x:c r="K9" s="258" t="inlineStr">
        <x:is>
          <x:t xml:space="preserve">netto </x:t>
        </x:is>
      </x:c>
      <x:c r="L9" s="251" t="n"/>
      <x:c r="M9" s="251" t="n"/>
      <x:c r="N9" s="251" t="n"/>
      <x:c r="O9" s="251" t="n"/>
      <x:c r="P9" s="278" t="n"/>
      <x:c r="Q9" s="278" t="n"/>
    </x:row>
    <x:row r="10">
      <x:c r="A10" s="259" t="n">
        <x:v>290</x:v>
      </x:c>
      <x:c r="B10" s="260" t="n">
        <x:v>431</x:v>
      </x:c>
      <x:c r="C10" s="261" t="n">
        <x:f>B10/1.23</x:f>
        <x:v>350.4065040650407</x:v>
      </x:c>
      <x:c r="D10" s="260" t="n">
        <x:v>402</x:v>
      </x:c>
      <x:c r="E10" s="261" t="n">
        <x:f>D10/1.23</x:f>
        <x:v>326.8292682926829</x:v>
      </x:c>
      <x:c r="F10" s="251" t="n"/>
      <x:c r="G10" s="262" t="n">
        <x:v>440</x:v>
      </x:c>
      <x:c r="H10" s="263" t="n">
        <x:v>2119</x:v>
      </x:c>
      <x:c r="I10" s="264" t="n">
        <x:f>H10/1.23</x:f>
        <x:v>1722.7642276422764</x:v>
      </x:c>
      <x:c r="J10" s="263" t="n">
        <x:v>871</x:v>
      </x:c>
      <x:c r="K10" s="264" t="n">
        <x:f>J10/1.23</x:f>
        <x:v>708.130081300813</x:v>
      </x:c>
      <x:c r="L10" s="251" t="n"/>
      <x:c r="M10" s="251" t="n"/>
      <x:c r="N10" s="251" t="n"/>
      <x:c r="O10" s="251" t="n"/>
      <x:c r="P10" s="278" t="n"/>
      <x:c r="Q10" s="278" t="n"/>
    </x:row>
    <x:row r="11">
      <x:c r="A11" s="259" t="n">
        <x:v>340</x:v>
      </x:c>
      <x:c r="B11" s="260" t="n">
        <x:v>727</x:v>
      </x:c>
      <x:c r="C11" s="261" t="n">
        <x:f>B11/1.23</x:f>
        <x:v>591.0569105691058</x:v>
      </x:c>
      <x:c r="D11" s="260" t="n">
        <x:v>694</x:v>
      </x:c>
      <x:c r="E11" s="261" t="n">
        <x:f>D11/1.23</x:f>
        <x:v>564.2276422764228</x:v>
      </x:c>
      <x:c r="F11" s="251" t="n"/>
      <x:c r="G11" s="262" t="n">
        <x:v>490</x:v>
      </x:c>
      <x:c r="H11" s="263" t="n">
        <x:v>2237</x:v>
      </x:c>
      <x:c r="I11" s="264" t="n">
        <x:f>H11/1.23</x:f>
        <x:v>1818.69918699187</x:v>
      </x:c>
      <x:c r="J11" s="263" t="n">
        <x:v>966</x:v>
      </x:c>
      <x:c r="K11" s="264" t="n">
        <x:f>J11/1.23</x:f>
        <x:v>785.3658536585366</x:v>
      </x:c>
      <x:c r="L11" s="251" t="n"/>
      <x:c r="M11" s="251" t="n"/>
      <x:c r="N11" s="251" t="n"/>
      <x:c r="O11" s="251" t="n"/>
      <x:c r="P11" s="278" t="n"/>
      <x:c r="Q11" s="278" t="n"/>
    </x:row>
    <x:row r="12">
      <x:c r="A12" s="268" t="n">
        <x:v>390</x:v>
      </x:c>
      <x:c r="B12" s="269" t="n">
        <x:v>1090</x:v>
      </x:c>
      <x:c r="C12" s="270" t="n">
        <x:f>B12/1.23</x:f>
        <x:v>886.178861788618</x:v>
      </x:c>
      <x:c r="D12" s="269" t="n">
        <x:v>1015</x:v>
      </x:c>
      <x:c r="E12" s="270" t="n">
        <x:f>D12/1.23</x:f>
        <x:v>825.2032520325204</x:v>
      </x:c>
      <x:c r="F12" s="251" t="n"/>
      <x:c r="G12" s="251" t="n"/>
      <x:c r="H12" s="251" t="n"/>
      <x:c r="I12" s="251" t="n"/>
      <x:c r="J12" s="251" t="n"/>
      <x:c r="K12" s="251" t="n"/>
      <x:c r="L12" s="251" t="n"/>
      <x:c r="M12" s="251" t="n"/>
      <x:c r="N12" s="251" t="n"/>
      <x:c r="O12" s="251" t="n"/>
      <x:c r="P12" s="278" t="n"/>
      <x:c r="Q12" s="278" t="n"/>
    </x:row>
    <x:row r="13">
      <x:c r="A13" s="274" t="n"/>
      <x:c r="B13" s="251" t="n"/>
      <x:c r="C13" s="251" t="n"/>
      <x:c r="D13" s="251" t="n"/>
      <x:c r="E13" s="251" t="n"/>
      <x:c r="F13" s="251" t="n"/>
      <x:c r="G13" s="251" t="n"/>
      <x:c r="H13" s="251" t="n"/>
      <x:c r="I13" s="251" t="n"/>
      <x:c r="J13" s="251" t="n"/>
      <x:c r="K13" s="251" t="n"/>
      <x:c r="L13" s="251" t="n"/>
      <x:c r="M13" s="251" t="n"/>
      <x:c r="N13" s="251" t="n"/>
      <x:c r="O13" s="251" t="n"/>
      <x:c r="P13" s="278" t="n"/>
      <x:c r="Q13" s="278" t="n"/>
    </x:row>
    <x:row r="14">
      <x:c r="A14" s="274" t="n"/>
      <x:c r="B14" s="251" t="n"/>
      <x:c r="C14" s="251" t="n"/>
      <x:c r="D14" s="251" t="n"/>
      <x:c r="E14" s="251" t="n"/>
      <x:c r="F14" s="251" t="n"/>
      <x:c r="G14" s="251" t="n"/>
      <x:c r="H14" s="251" t="n"/>
      <x:c r="I14" s="251" t="n"/>
      <x:c r="J14" s="251" t="n"/>
      <x:c r="K14" s="251" t="n"/>
      <x:c r="L14" s="251" t="n"/>
      <x:c r="M14" s="251" t="n"/>
      <x:c r="N14" s="251" t="n"/>
      <x:c r="O14" s="251" t="n"/>
      <x:c r="P14" s="278" t="n"/>
      <x:c r="Q14" s="278" t="n"/>
    </x:row>
    <x:row r="15">
      <x:c r="A15" s="274" t="n"/>
      <x:c r="B15" s="251" t="n"/>
      <x:c r="C15" s="251" t="n"/>
      <x:c r="D15" s="251" t="n"/>
      <x:c r="E15" s="251" t="n"/>
      <x:c r="F15" s="251" t="n"/>
      <x:c r="G15" s="251" t="n"/>
      <x:c r="H15" s="251" t="n"/>
      <x:c r="I15" s="251" t="n"/>
      <x:c r="J15" s="251" t="n"/>
      <x:c r="K15" s="251" t="n"/>
      <x:c r="L15" s="251" t="n"/>
      <x:c r="M15" s="251" t="n"/>
      <x:c r="N15" s="251" t="n"/>
      <x:c r="O15" s="251" t="n"/>
      <x:c r="P15" s="278" t="n"/>
      <x:c r="Q15" s="278" t="n"/>
    </x:row>
    <x:row r="16" s="655" customFormat="1" ht="48" customHeight="1">
      <x:c r="A16" s="15" t="inlineStr">
        <x:is>
          <x:t xml:space="preserve">WYMIARY (długość elementu w cm)
</x:t>
        </x:is>
      </x:c>
      <x:c r="B16" s="674" t="inlineStr">
        <x:is>
          <x:t xml:space="preserve">Krokiew pośrednia PRO</x:t>
        </x:is>
      </x:c>
      <x:c r="C16" s="617" t="n"/>
      <x:c r="D16" s="674" t="inlineStr">
        <x:is>
          <x:t xml:space="preserve">Krokiew skrajna PRO</x:t>
        </x:is>
      </x:c>
      <x:c r="E16" s="617" t="n"/>
      <x:c r="F16" s="674" t="inlineStr">
        <x:is>
          <x:t xml:space="preserve">Maskownica górna krokwi PRO</x:t>
        </x:is>
      </x:c>
      <x:c r="G16" s="617" t="n"/>
      <x:c r="H16" s="674" t="inlineStr">
        <x:is>
          <x:t xml:space="preserve">Profil wzmacniający krokiew pod szkło</x:t>
        </x:is>
      </x:c>
      <x:c r="I16" s="617" t="n"/>
      <x:c r="J16" s="674" t="inlineStr">
        <x:is>
          <x:t xml:space="preserve">Profil dystansowy pod szkło dachowe PRO</x:t>
        </x:is>
      </x:c>
      <x:c r="K16" s="617" t="n"/>
      <x:c r="L16" s="674" t="inlineStr">
        <x:is>
          <x:t xml:space="preserve">Uszczelka górna, dolna poliwęglanu/szkła</x:t>
        </x:is>
      </x:c>
      <x:c r="M16" s="617" t="n"/>
      <x:c r="N16" s="674" t="inlineStr">
        <x:is>
          <x:t xml:space="preserve">Profile H do wykonania trójkąta</x:t>
        </x:is>
      </x:c>
      <x:c r="O16" s="617" t="n"/>
      <x:c r="P16" s="278" t="n"/>
      <x:c r="Q16" s="278" t="n"/>
    </x:row>
    <x:row r="17">
      <x:c r="A17" s="253" t="inlineStr">
        <x:is>
          <x:t xml:space="preserve">do wymiaru</x:t>
        </x:is>
      </x:c>
      <x:c r="B17" s="254" t="inlineStr">
        <x:is>
          <x:t xml:space="preserve">Cena brutto </x:t>
        </x:is>
      </x:c>
      <x:c r="C17" s="255" t="inlineStr">
        <x:is>
          <x:t xml:space="preserve">netto </x:t>
        </x:is>
      </x:c>
      <x:c r="D17" s="254" t="inlineStr">
        <x:is>
          <x:t xml:space="preserve">Cena brutto </x:t>
        </x:is>
      </x:c>
      <x:c r="E17" s="255" t="inlineStr">
        <x:is>
          <x:t xml:space="preserve">netto </x:t>
        </x:is>
      </x:c>
      <x:c r="F17" s="254" t="inlineStr">
        <x:is>
          <x:t xml:space="preserve">Cena brutto </x:t>
        </x:is>
      </x:c>
      <x:c r="G17" s="255" t="inlineStr">
        <x:is>
          <x:t xml:space="preserve">netto </x:t>
        </x:is>
      </x:c>
      <x:c r="H17" s="254" t="inlineStr">
        <x:is>
          <x:t xml:space="preserve">Cena brutto </x:t>
        </x:is>
      </x:c>
      <x:c r="I17" s="255" t="inlineStr">
        <x:is>
          <x:t xml:space="preserve">netto </x:t>
        </x:is>
      </x:c>
      <x:c r="J17" s="254" t="inlineStr">
        <x:is>
          <x:t xml:space="preserve">Cena brutto </x:t>
        </x:is>
      </x:c>
      <x:c r="K17" s="255" t="inlineStr">
        <x:is>
          <x:t xml:space="preserve">netto </x:t>
        </x:is>
      </x:c>
      <x:c r="L17" s="254" t="inlineStr">
        <x:is>
          <x:t xml:space="preserve">Cena brutto </x:t>
        </x:is>
      </x:c>
      <x:c r="M17" s="255" t="inlineStr">
        <x:is>
          <x:t xml:space="preserve">netto </x:t>
        </x:is>
      </x:c>
      <x:c r="N17" s="254" t="inlineStr">
        <x:is>
          <x:t xml:space="preserve">Cena brutto </x:t>
        </x:is>
      </x:c>
      <x:c r="O17" s="255" t="inlineStr">
        <x:is>
          <x:t xml:space="preserve">netto </x:t>
        </x:is>
      </x:c>
      <x:c r="P17" s="278" t="n"/>
      <x:c r="Q17" s="278" t="n"/>
    </x:row>
    <x:row r="18">
      <x:c r="A18" s="259" t="n">
        <x:v>170</x:v>
      </x:c>
      <x:c r="B18" s="260" t="n"/>
      <x:c r="C18" s="279" t="n"/>
      <x:c r="D18" s="260" t="n"/>
      <x:c r="E18" s="279" t="n"/>
      <x:c r="F18" s="260" t="n"/>
      <x:c r="G18" s="279" t="n"/>
      <x:c r="H18" s="260" t="n">
        <x:v>222</x:v>
      </x:c>
      <x:c r="I18" s="261" t="n">
        <x:f>H18/1.23</x:f>
        <x:v>180.4878048780488</x:v>
      </x:c>
      <x:c r="J18" s="260" t="n"/>
      <x:c r="K18" s="279" t="n"/>
      <x:c r="L18" s="260" t="n"/>
      <x:c r="M18" s="279" t="n"/>
      <x:c r="N18" s="260" t="n"/>
      <x:c r="O18" s="280" t="n"/>
      <x:c r="P18" s="278" t="n"/>
      <x:c r="Q18" s="278" t="n"/>
    </x:row>
    <x:row r="19">
      <x:c r="A19" s="259" t="n">
        <x:v>290</x:v>
      </x:c>
      <x:c r="B19" s="260" t="n">
        <x:v>234</x:v>
      </x:c>
      <x:c r="C19" s="261" t="n">
        <x:f>B19/1.23</x:f>
        <x:v>190.2439024390244</x:v>
      </x:c>
      <x:c r="D19" s="260" t="n">
        <x:v>257</x:v>
      </x:c>
      <x:c r="E19" s="261" t="n">
        <x:f>D19/1.23</x:f>
        <x:v>208.9430894308943</x:v>
      </x:c>
      <x:c r="F19" s="260" t="n">
        <x:v>59</x:v>
      </x:c>
      <x:c r="G19" s="261" t="n">
        <x:f>F19/1.23</x:f>
        <x:v>47.96747967479675</x:v>
      </x:c>
      <x:c r="H19" s="260" t="n">
        <x:v>378</x:v>
      </x:c>
      <x:c r="I19" s="261" t="n">
        <x:f>H19/1.23</x:f>
        <x:v>307.3170731707317</x:v>
      </x:c>
      <x:c r="J19" s="260" t="n">
        <x:v>35</x:v>
      </x:c>
      <x:c r="K19" s="261" t="n">
        <x:f>J19/1.23</x:f>
        <x:v>28.45528455284553</x:v>
      </x:c>
      <x:c r="L19" s="260" t="n">
        <x:v>17</x:v>
      </x:c>
      <x:c r="M19" s="261" t="n">
        <x:f>L19/1.23</x:f>
        <x:v>13.821138211382115</x:v>
      </x:c>
      <x:c r="N19" s="260" t="n">
        <x:v>325</x:v>
      </x:c>
      <x:c r="O19" s="281" t="n">
        <x:f>N19/1.23</x:f>
        <x:v>264.2276422764228</x:v>
      </x:c>
      <x:c r="P19" s="278" t="n"/>
      <x:c r="Q19" s="278" t="n"/>
    </x:row>
    <x:row r="20">
      <x:c r="A20" s="259" t="n">
        <x:v>340</x:v>
      </x:c>
      <x:c r="B20" s="260" t="n">
        <x:v>274</x:v>
      </x:c>
      <x:c r="C20" s="261" t="n">
        <x:f>B20/1.23</x:f>
        <x:v>222.76422764227644</x:v>
      </x:c>
      <x:c r="D20" s="260" t="n">
        <x:v>302</x:v>
      </x:c>
      <x:c r="E20" s="261" t="n">
        <x:f>D20/1.23</x:f>
        <x:v>245.52845528455285</x:v>
      </x:c>
      <x:c r="F20" s="260" t="n">
        <x:v>69</x:v>
      </x:c>
      <x:c r="G20" s="261" t="n">
        <x:f>F20/1.23</x:f>
        <x:v>56.09756097560976</x:v>
      </x:c>
      <x:c r="H20" s="260" t="n">
        <x:v>443</x:v>
      </x:c>
      <x:c r="I20" s="261" t="n">
        <x:f>H20/1.23</x:f>
        <x:v>360.1626016260163</x:v>
      </x:c>
      <x:c r="J20" s="260" t="n">
        <x:v>41</x:v>
      </x:c>
      <x:c r="K20" s="261" t="n">
        <x:f>J20/1.23</x:f>
        <x:v>33.333333333333336</x:v>
      </x:c>
      <x:c r="L20" s="260" t="n">
        <x:v>20</x:v>
      </x:c>
      <x:c r="M20" s="261" t="n">
        <x:f>L20/1.23</x:f>
        <x:v>16.260162601626018</x:v>
      </x:c>
      <x:c r="N20" s="260" t="n">
        <x:v>362</x:v>
      </x:c>
      <x:c r="O20" s="281" t="n">
        <x:f>N20/1.23</x:f>
        <x:v>294.3089430894309</x:v>
      </x:c>
      <x:c r="P20" s="278" t="n"/>
      <x:c r="Q20" s="278" t="n"/>
    </x:row>
    <x:row r="21">
      <x:c r="A21" s="268" t="n">
        <x:v>390</x:v>
      </x:c>
      <x:c r="B21" s="269" t="n">
        <x:v>315</x:v>
      </x:c>
      <x:c r="C21" s="270" t="n">
        <x:f>B21/1.23</x:f>
        <x:v>256.0975609756098</x:v>
      </x:c>
      <x:c r="D21" s="269" t="n">
        <x:v>346</x:v>
      </x:c>
      <x:c r="E21" s="270" t="n">
        <x:f>D21/1.23</x:f>
        <x:v>281.3008130081301</x:v>
      </x:c>
      <x:c r="F21" s="269" t="n">
        <x:v>80</x:v>
      </x:c>
      <x:c r="G21" s="270" t="n">
        <x:f>F21/1.23</x:f>
        <x:v>65.04065040650407</x:v>
      </x:c>
      <x:c r="H21" s="269" t="n">
        <x:v>509</x:v>
      </x:c>
      <x:c r="I21" s="270" t="n">
        <x:f>H21/1.23</x:f>
        <x:v>413.8211382113821</x:v>
      </x:c>
      <x:c r="J21" s="269" t="n">
        <x:v>47</x:v>
      </x:c>
      <x:c r="K21" s="270" t="n">
        <x:f>J21/1.23</x:f>
        <x:v>38.21138211382114</x:v>
      </x:c>
      <x:c r="L21" s="269" t="n">
        <x:v>23</x:v>
      </x:c>
      <x:c r="M21" s="270" t="n">
        <x:f>L21/1.23</x:f>
        <x:v>18.69918699186992</x:v>
      </x:c>
      <x:c r="N21" s="269" t="n">
        <x:v>416</x:v>
      </x:c>
      <x:c r="O21" s="282" t="n">
        <x:f>N21/1.23</x:f>
        <x:v>338.2113821138211</x:v>
      </x:c>
      <x:c r="P21" s="278" t="n"/>
      <x:c r="Q21" s="278" t="n"/>
    </x:row>
    <x:row r="22">
      <x:c r="A22" s="278" t="n"/>
      <x:c r="B22" s="278" t="n"/>
      <x:c r="C22" s="278" t="n"/>
      <x:c r="D22" s="278" t="n"/>
      <x:c r="E22" s="278" t="n"/>
      <x:c r="F22" s="278" t="n"/>
      <x:c r="G22" s="278" t="n"/>
      <x:c r="H22" s="278" t="n"/>
      <x:c r="I22" s="278" t="n"/>
      <x:c r="J22" s="278" t="n"/>
      <x:c r="K22" s="278" t="n"/>
      <x:c r="L22" s="278" t="n"/>
      <x:c r="M22" s="278" t="n"/>
      <x:c r="N22" s="278" t="n"/>
      <x:c r="O22" s="278" t="n"/>
      <x:c r="P22" s="278" t="n"/>
      <x:c r="Q22" s="278" t="n"/>
    </x:row>
    <x:row r="23">
      <x:c r="A23" s="278" t="n"/>
      <x:c r="B23" s="278" t="n"/>
      <x:c r="C23" s="278" t="n"/>
      <x:c r="D23" s="278" t="n"/>
      <x:c r="E23" s="278" t="n"/>
      <x:c r="F23" s="278" t="n"/>
      <x:c r="G23" s="278" t="n"/>
      <x:c r="H23" s="278" t="n"/>
      <x:c r="I23" s="278" t="n"/>
      <x:c r="J23" s="278" t="n"/>
      <x:c r="K23" s="278" t="n"/>
      <x:c r="L23" s="278" t="n"/>
      <x:c r="M23" s="278" t="n"/>
      <x:c r="N23" s="278" t="n"/>
      <x:c r="O23" s="278" t="n"/>
      <x:c r="P23" s="278" t="n"/>
      <x:c r="Q23" s="278" t="n"/>
    </x:row>
    <x:row r="24" s="655" customFormat="1" ht="60" customHeight="1">
      <x:c r="A24" s="15" t="inlineStr">
        <x:is>
          <x:t xml:space="preserve">WYMIARY (długość elementu w cm)</x:t>
        </x:is>
      </x:c>
      <x:c r="B24" s="674" t="inlineStr">
        <x:is>
          <x:t xml:space="preserve">Krokiew pośrednia PRO+</x:t>
        </x:is>
      </x:c>
      <x:c r="C24" s="617" t="n"/>
      <x:c r="D24" s="674" t="inlineStr">
        <x:is>
          <x:t xml:space="preserve">Krokiew skrajna PRO +</x:t>
        </x:is>
      </x:c>
      <x:c r="E24" s="617" t="n"/>
      <x:c r="F24" s="674" t="inlineStr">
        <x:is>
          <x:t xml:space="preserve">Maskownica górna krokwi wewnętrznych PRO +</x:t>
        </x:is>
      </x:c>
      <x:c r="G24" s="617" t="n"/>
      <x:c r="H24" s="674" t="inlineStr">
        <x:is>
          <x:t xml:space="preserve">Maskownica górna krokwi skrajnych PRO +</x:t>
        </x:is>
      </x:c>
      <x:c r="I24" s="617" t="n"/>
      <x:c r="J24" s="674" t="inlineStr">
        <x:is>
          <x:t xml:space="preserve">Profil dystansowy pod szkło dachowe PRO +</x:t>
        </x:is>
      </x:c>
      <x:c r="K24" s="617" t="n"/>
      <x:c r="L24" s="674" t="inlineStr">
        <x:is>
          <x:t xml:space="preserve">Uszczelka górna, dolna poliwęglanu/szkła PRO +</x:t>
        </x:is>
      </x:c>
      <x:c r="M24" s="617" t="n"/>
      <x:c r="N24" s="674" t="inlineStr">
        <x:is>
          <x:t xml:space="preserve">Profile H do wykonania trójkąta PRO+</x:t>
        </x:is>
      </x:c>
      <x:c r="O24" s="617" t="n"/>
      <x:c r="P24" s="674" t="inlineStr">
        <x:is>
          <x:t xml:space="preserve">Profil wzmacniający krokiew pod szkło ( pod poliwęglan w wypadku 540 i 590)</x:t>
        </x:is>
      </x:c>
      <x:c r="Q24" s="617" t="n"/>
    </x:row>
    <x:row r="25">
      <x:c r="A25" s="253" t="inlineStr">
        <x:is>
          <x:t xml:space="preserve">do wymiaru</x:t>
        </x:is>
      </x:c>
      <x:c r="B25" s="254" t="inlineStr">
        <x:is>
          <x:t xml:space="preserve">Cena brutto </x:t>
        </x:is>
      </x:c>
      <x:c r="C25" s="255" t="inlineStr">
        <x:is>
          <x:t xml:space="preserve">netto </x:t>
        </x:is>
      </x:c>
      <x:c r="D25" s="254" t="inlineStr">
        <x:is>
          <x:t xml:space="preserve">Cena brutto </x:t>
        </x:is>
      </x:c>
      <x:c r="E25" s="255" t="inlineStr">
        <x:is>
          <x:t xml:space="preserve">netto </x:t>
        </x:is>
      </x:c>
      <x:c r="F25" s="254" t="inlineStr">
        <x:is>
          <x:t xml:space="preserve">Cena brutto </x:t>
        </x:is>
      </x:c>
      <x:c r="G25" s="255" t="inlineStr">
        <x:is>
          <x:t xml:space="preserve">netto </x:t>
        </x:is>
      </x:c>
      <x:c r="H25" s="254" t="inlineStr">
        <x:is>
          <x:t xml:space="preserve">Cena brutto </x:t>
        </x:is>
      </x:c>
      <x:c r="I25" s="255" t="inlineStr">
        <x:is>
          <x:t xml:space="preserve">netto </x:t>
        </x:is>
      </x:c>
      <x:c r="J25" s="254" t="inlineStr">
        <x:is>
          <x:t xml:space="preserve">Cena brutto </x:t>
        </x:is>
      </x:c>
      <x:c r="K25" s="255" t="inlineStr">
        <x:is>
          <x:t xml:space="preserve">netto </x:t>
        </x:is>
      </x:c>
      <x:c r="L25" s="254" t="inlineStr">
        <x:is>
          <x:t xml:space="preserve">Cena brutto </x:t>
        </x:is>
      </x:c>
      <x:c r="M25" s="255" t="inlineStr">
        <x:is>
          <x:t xml:space="preserve">netto </x:t>
        </x:is>
      </x:c>
      <x:c r="N25" s="254" t="inlineStr">
        <x:is>
          <x:t xml:space="preserve">Cena brutto </x:t>
        </x:is>
      </x:c>
      <x:c r="O25" s="255" t="inlineStr">
        <x:is>
          <x:t xml:space="preserve">netto </x:t>
        </x:is>
      </x:c>
      <x:c r="P25" s="254" t="inlineStr">
        <x:is>
          <x:t xml:space="preserve">Cena brutto </x:t>
        </x:is>
      </x:c>
      <x:c r="Q25" s="255" t="inlineStr">
        <x:is>
          <x:t xml:space="preserve">netto </x:t>
        </x:is>
      </x:c>
    </x:row>
    <x:row r="26">
      <x:c r="A26" s="283" t="n">
        <x:v>440</x:v>
      </x:c>
      <x:c r="B26" s="284" t="n">
        <x:v>886</x:v>
      </x:c>
      <x:c r="C26" s="285" t="n">
        <x:f>B26/1.23</x:f>
        <x:v>720.3252032520326</x:v>
      </x:c>
      <x:c r="D26" s="284" t="n">
        <x:v>629</x:v>
      </x:c>
      <x:c r="E26" s="285" t="n">
        <x:f>D26/1.23</x:f>
        <x:v>511.3821138211382</x:v>
      </x:c>
      <x:c r="F26" s="284" t="n">
        <x:v>105</x:v>
      </x:c>
      <x:c r="G26" s="285" t="n">
        <x:f>F26/1.23</x:f>
        <x:v>85.3658536585366</x:v>
      </x:c>
      <x:c r="H26" s="284" t="n">
        <x:v>89</x:v>
      </x:c>
      <x:c r="I26" s="285" t="n">
        <x:f>H26/1.23</x:f>
        <x:v>72.35772357723577</x:v>
      </x:c>
      <x:c r="J26" s="284" t="n">
        <x:v>53</x:v>
      </x:c>
      <x:c r="K26" s="285" t="n">
        <x:f>J26/1.23</x:f>
        <x:v>43.08943089430895</x:v>
      </x:c>
      <x:c r="L26" s="284" t="n">
        <x:v>25</x:v>
      </x:c>
      <x:c r="M26" s="285" t="n">
        <x:f>L26/1.23</x:f>
        <x:v>20.32520325203252</x:v>
      </x:c>
      <x:c r="N26" s="284" t="n">
        <x:v>493</x:v>
      </x:c>
      <x:c r="O26" s="286" t="n">
        <x:f>N26/1.23</x:f>
        <x:v>400.8130081300813</x:v>
      </x:c>
      <x:c r="P26" s="284" t="n">
        <x:v>922</x:v>
      </x:c>
      <x:c r="Q26" s="285" t="n">
        <x:f>P26/1.23</x:f>
        <x:v>749.5934959349594</x:v>
      </x:c>
    </x:row>
    <x:row r="27">
      <x:c r="A27" s="283" t="n">
        <x:v>490</x:v>
      </x:c>
      <x:c r="B27" s="284" t="n">
        <x:v>987</x:v>
      </x:c>
      <x:c r="C27" s="285" t="n">
        <x:f>B27/1.23</x:f>
        <x:v>802.439024390244</x:v>
      </x:c>
      <x:c r="D27" s="284" t="n">
        <x:v>696</x:v>
      </x:c>
      <x:c r="E27" s="285" t="n">
        <x:f>D27/1.23</x:f>
        <x:v>565.8536585365854</x:v>
      </x:c>
      <x:c r="F27" s="284" t="n">
        <x:v>117</x:v>
      </x:c>
      <x:c r="G27" s="285" t="n">
        <x:f>F27/1.23</x:f>
        <x:v>95.1219512195122</x:v>
      </x:c>
      <x:c r="H27" s="284" t="n">
        <x:v>99</x:v>
      </x:c>
      <x:c r="I27" s="285" t="n">
        <x:f>H27/1.23</x:f>
        <x:v>80.48780487804878</x:v>
      </x:c>
      <x:c r="J27" s="284" t="n">
        <x:v>59</x:v>
      </x:c>
      <x:c r="K27" s="285" t="n">
        <x:f>J27/1.23</x:f>
        <x:v>47.96747967479675</x:v>
      </x:c>
      <x:c r="L27" s="284" t="n">
        <x:v>28</x:v>
      </x:c>
      <x:c r="M27" s="285" t="n">
        <x:f>L27/1.23</x:f>
        <x:v>22.764227642276424</x:v>
      </x:c>
      <x:c r="N27" s="284" t="n">
        <x:v>548</x:v>
      </x:c>
      <x:c r="O27" s="286" t="n">
        <x:f>N27/1.23</x:f>
        <x:v>445.5284552845529</x:v>
      </x:c>
      <x:c r="P27" s="284" t="n">
        <x:v>1021</x:v>
      </x:c>
      <x:c r="Q27" s="285" t="n">
        <x:f>P27/1.23</x:f>
        <x:v>830.0813008130082</x:v>
      </x:c>
    </x:row>
    <x:row r="28">
      <x:c r="A28" s="283" t="n">
        <x:v>540</x:v>
      </x:c>
      <x:c r="B28" s="284" t="n">
        <x:v>1087</x:v>
      </x:c>
      <x:c r="C28" s="285" t="n">
        <x:f>B28/1.23</x:f>
        <x:v>883.739837398374</x:v>
      </x:c>
      <x:c r="D28" s="284" t="n">
        <x:v>772</x:v>
      </x:c>
      <x:c r="E28" s="285" t="n">
        <x:f>D28/1.23</x:f>
        <x:v>627.6422764227642</x:v>
      </x:c>
      <x:c r="F28" s="284" t="n">
        <x:v>129</x:v>
      </x:c>
      <x:c r="G28" s="285" t="n">
        <x:f>F28/1.23</x:f>
        <x:v>104.8780487804878</x:v>
      </x:c>
      <x:c r="H28" s="284" t="n">
        <x:v>109</x:v>
      </x:c>
      <x:c r="I28" s="285" t="n">
        <x:f>H28/1.23</x:f>
        <x:v>88.6178861788618</x:v>
      </x:c>
      <x:c r="J28" s="284" t="inlineStr">
        <x:is>
          <x:t xml:space="preserve">_</x:t>
        </x:is>
      </x:c>
      <x:c r="K28" s="285" t="n"/>
      <x:c r="L28" s="284" t="n">
        <x:v>31</x:v>
      </x:c>
      <x:c r="M28" s="285" t="n">
        <x:f>L28/1.23</x:f>
        <x:v>25.203252032520325</x:v>
      </x:c>
      <x:c r="N28" s="284" t="n">
        <x:v>605</x:v>
      </x:c>
      <x:c r="O28" s="286" t="n">
        <x:f>N28/1.23</x:f>
        <x:v>491.869918699187</x:v>
      </x:c>
      <x:c r="P28" s="284" t="n">
        <x:v>1132</x:v>
      </x:c>
      <x:c r="Q28" s="285" t="n">
        <x:f>P28/1.23</x:f>
        <x:v>920.3252032520326</x:v>
      </x:c>
    </x:row>
    <x:row r="29">
      <x:c r="A29" s="287" t="n">
        <x:v>590</x:v>
      </x:c>
      <x:c r="B29" s="288" t="n">
        <x:v>1188</x:v>
      </x:c>
      <x:c r="C29" s="289" t="n">
        <x:f>B29/1.23</x:f>
        <x:v>965.8536585365854</x:v>
      </x:c>
      <x:c r="D29" s="288" t="n">
        <x:v>843</x:v>
      </x:c>
      <x:c r="E29" s="289" t="n">
        <x:f>D29/1.23</x:f>
        <x:v>685.3658536585366</x:v>
      </x:c>
      <x:c r="F29" s="288" t="n">
        <x:v>141</x:v>
      </x:c>
      <x:c r="G29" s="289" t="n">
        <x:f>F29/1.23</x:f>
        <x:v>114.63414634146342</x:v>
      </x:c>
      <x:c r="H29" s="288" t="n">
        <x:v>119</x:v>
      </x:c>
      <x:c r="I29" s="289" t="n">
        <x:f>H29/1.23</x:f>
        <x:v>96.7479674796748</x:v>
      </x:c>
      <x:c r="J29" s="288" t="inlineStr">
        <x:is>
          <x:t xml:space="preserve">_</x:t>
        </x:is>
      </x:c>
      <x:c r="K29" s="289" t="n"/>
      <x:c r="L29" s="288" t="n">
        <x:v>34</x:v>
      </x:c>
      <x:c r="M29" s="289" t="n">
        <x:f>L29/1.23</x:f>
        <x:v>27.64227642276423</x:v>
      </x:c>
      <x:c r="N29" s="288" t="n">
        <x:v>661</x:v>
      </x:c>
      <x:c r="O29" s="290" t="n">
        <x:f>N29/1.23</x:f>
        <x:v>537.3983739837398</x:v>
      </x:c>
      <x:c r="P29" s="288" t="n">
        <x:v>1236</x:v>
      </x:c>
      <x:c r="Q29" s="285" t="n">
        <x:f>P29/1.23</x:f>
        <x:v>1004.8780487804878</x:v>
      </x:c>
    </x:row>
    <x:row r="30">
      <x:c r="A30" s="278" t="n"/>
      <x:c r="B30" s="278" t="n"/>
      <x:c r="C30" s="278" t="n"/>
      <x:c r="D30" s="278" t="n"/>
      <x:c r="E30" s="278" t="n"/>
      <x:c r="F30" s="278" t="n"/>
      <x:c r="G30" s="278" t="n"/>
      <x:c r="H30" s="278" t="n"/>
      <x:c r="I30" s="278" t="n"/>
      <x:c r="J30" s="278" t="n"/>
      <x:c r="K30" s="278" t="n"/>
      <x:c r="L30" s="278" t="n"/>
      <x:c r="M30" s="278" t="n"/>
      <x:c r="N30" s="278" t="n"/>
      <x:c r="O30" s="278" t="n"/>
      <x:c r="P30" s="278" t="n"/>
      <x:c r="Q30" s="278" t="n"/>
    </x:row>
    <x:row r="31">
      <x:c r="A31" s="278" t="n"/>
      <x:c r="B31" s="278" t="n"/>
      <x:c r="C31" s="278" t="n"/>
      <x:c r="D31" s="278" t="n"/>
      <x:c r="E31" s="278" t="n"/>
      <x:c r="F31" s="278" t="n"/>
      <x:c r="G31" s="278" t="n"/>
      <x:c r="H31" s="278" t="n"/>
      <x:c r="I31" s="278" t="n"/>
      <x:c r="J31" s="278" t="n"/>
      <x:c r="K31" s="278" t="n"/>
      <x:c r="L31" s="278" t="n"/>
      <x:c r="M31" s="278" t="n"/>
      <x:c r="N31" s="278" t="n"/>
      <x:c r="O31" s="278" t="n"/>
      <x:c r="P31" s="278" t="n"/>
      <x:c r="Q31" s="278" t="n"/>
    </x:row>
    <x:row r="32" s="655" customFormat="1" ht="36" customHeight="1">
      <x:c r="A32" s="15" t="inlineStr">
        <x:is>
          <x:t xml:space="preserve">WYMIARY (długość elementu w cm)</x:t>
        </x:is>
      </x:c>
      <x:c r="B32" s="674" t="inlineStr">
        <x:is>
          <x:t xml:space="preserve">Profil ścienny PRO</x:t>
        </x:is>
      </x:c>
      <x:c r="C32" s="617" t="n"/>
      <x:c r="D32" s="674" t="inlineStr">
        <x:is>
          <x:t xml:space="preserve">Rynna PRO</x:t>
        </x:is>
      </x:c>
      <x:c r="E32" s="617" t="n"/>
      <x:c r="F32" s="674" t="inlineStr">
        <x:is>
          <x:t xml:space="preserve">Maskownica rynny zaokrąglona/prosta PRO</x:t>
        </x:is>
      </x:c>
      <x:c r="G32" s="617" t="n"/>
      <x:c r="H32" s="674" t="inlineStr">
        <x:is>
          <x:t xml:space="preserve">Profil ścienny PRO +</x:t>
        </x:is>
      </x:c>
      <x:c r="I32" s="617" t="n"/>
      <x:c r="J32" s="674" t="inlineStr">
        <x:is>
          <x:t xml:space="preserve">Rynna PRO +</x:t>
        </x:is>
      </x:c>
      <x:c r="K32" s="617" t="n"/>
      <x:c r="L32" s="674" t="inlineStr">
        <x:is>
          <x:t xml:space="preserve">Maskownica rynny zaokrąglona PRO +</x:t>
        </x:is>
      </x:c>
      <x:c r="M32" s="617" t="n"/>
      <x:c r="N32" s="278" t="n"/>
      <x:c r="O32" s="278" t="n"/>
      <x:c r="P32" s="278" t="n"/>
      <x:c r="Q32" s="278" t="n"/>
    </x:row>
    <x:row r="33">
      <x:c r="A33" s="291" t="inlineStr">
        <x:is>
          <x:t xml:space="preserve">do wymiaru</x:t>
        </x:is>
      </x:c>
      <x:c r="B33" s="254" t="inlineStr">
        <x:is>
          <x:t xml:space="preserve">Cena brutto </x:t>
        </x:is>
      </x:c>
      <x:c r="C33" s="255" t="inlineStr">
        <x:is>
          <x:t xml:space="preserve">netto </x:t>
        </x:is>
      </x:c>
      <x:c r="D33" s="254" t="inlineStr">
        <x:is>
          <x:t xml:space="preserve">Cena brutto </x:t>
        </x:is>
      </x:c>
      <x:c r="E33" s="255" t="inlineStr">
        <x:is>
          <x:t xml:space="preserve">netto </x:t>
        </x:is>
      </x:c>
      <x:c r="F33" s="254" t="inlineStr">
        <x:is>
          <x:t xml:space="preserve">Cena brutto </x:t>
        </x:is>
      </x:c>
      <x:c r="G33" s="255" t="inlineStr">
        <x:is>
          <x:t xml:space="preserve">netto </x:t>
        </x:is>
      </x:c>
      <x:c r="H33" s="254" t="inlineStr">
        <x:is>
          <x:t xml:space="preserve">Cena brutto </x:t>
        </x:is>
      </x:c>
      <x:c r="I33" s="255" t="inlineStr">
        <x:is>
          <x:t xml:space="preserve">netto </x:t>
        </x:is>
      </x:c>
      <x:c r="J33" s="254" t="inlineStr">
        <x:is>
          <x:t xml:space="preserve">Cena brutto </x:t>
        </x:is>
      </x:c>
      <x:c r="K33" s="255" t="inlineStr">
        <x:is>
          <x:t xml:space="preserve">netto </x:t>
        </x:is>
      </x:c>
      <x:c r="L33" s="254" t="inlineStr">
        <x:is>
          <x:t xml:space="preserve">Cena brutto </x:t>
        </x:is>
      </x:c>
      <x:c r="M33" s="255" t="inlineStr">
        <x:is>
          <x:t xml:space="preserve">netto </x:t>
        </x:is>
      </x:c>
      <x:c r="N33" s="278" t="n"/>
      <x:c r="O33" s="278" t="n"/>
      <x:c r="P33" s="278" t="n"/>
      <x:c r="Q33" s="278" t="n"/>
    </x:row>
    <x:row r="34">
      <x:c r="A34" s="292" t="n">
        <x:v>306</x:v>
      </x:c>
      <x:c r="B34" s="293" t="n">
        <x:v>213</x:v>
      </x:c>
      <x:c r="C34" s="294" t="n">
        <x:f>B34/1.23</x:f>
        <x:v>173.1707317073171</x:v>
      </x:c>
      <x:c r="D34" s="295" t="n">
        <x:v>468</x:v>
      </x:c>
      <x:c r="E34" s="296" t="n">
        <x:f>D34/1.23</x:f>
        <x:v>380.4878048780488</x:v>
      </x:c>
      <x:c r="F34" s="295" t="n">
        <x:v>176</x:v>
      </x:c>
      <x:c r="G34" s="296" t="n">
        <x:f>F34/1.23</x:f>
        <x:v>143.08943089430895</x:v>
      </x:c>
      <x:c r="H34" s="297" t="n">
        <x:v>390</x:v>
      </x:c>
      <x:c r="I34" s="298" t="n">
        <x:f>H34/1.23</x:f>
        <x:v>317.0731707317073</x:v>
      </x:c>
      <x:c r="J34" s="299" t="n">
        <x:v>1089</x:v>
      </x:c>
      <x:c r="K34" s="300" t="n">
        <x:f>J34/1.23</x:f>
        <x:v>885.3658536585366</x:v>
      </x:c>
      <x:c r="L34" s="299" t="n">
        <x:v>267</x:v>
      </x:c>
      <x:c r="M34" s="300" t="n">
        <x:f>L34/1.23</x:f>
        <x:v>217.0731707317073</x:v>
      </x:c>
      <x:c r="N34" s="278" t="n"/>
      <x:c r="O34" s="278" t="n"/>
      <x:c r="P34" s="278" t="n"/>
      <x:c r="Q34" s="278" t="n"/>
    </x:row>
    <x:row r="35">
      <x:c r="A35" s="292" t="n">
        <x:v>406</x:v>
      </x:c>
      <x:c r="B35" s="295" t="n">
        <x:v>283</x:v>
      </x:c>
      <x:c r="C35" s="294" t="n">
        <x:f>B35/1.23</x:f>
        <x:v>230.08130081300814</x:v>
      </x:c>
      <x:c r="D35" s="295" t="n">
        <x:v>621</x:v>
      </x:c>
      <x:c r="E35" s="296" t="n">
        <x:f>D35/1.23</x:f>
        <x:v>504.8780487804878</x:v>
      </x:c>
      <x:c r="F35" s="295" t="n">
        <x:v>233</x:v>
      </x:c>
      <x:c r="G35" s="296" t="n">
        <x:f>F35/1.23</x:f>
        <x:v>189.4308943089431</x:v>
      </x:c>
      <x:c r="H35" s="299" t="n">
        <x:v>517</x:v>
      </x:c>
      <x:c r="I35" s="298" t="n">
        <x:f>H35/1.23</x:f>
        <x:v>420.3252032520325</x:v>
      </x:c>
      <x:c r="J35" s="299" t="n">
        <x:v>1445</x:v>
      </x:c>
      <x:c r="K35" s="300" t="n">
        <x:f>J35/1.23</x:f>
        <x:v>1174.7967479674796</x:v>
      </x:c>
      <x:c r="L35" s="299" t="n">
        <x:v>355</x:v>
      </x:c>
      <x:c r="M35" s="300" t="n">
        <x:f>L35/1.23</x:f>
        <x:v>288.6178861788618</x:v>
      </x:c>
      <x:c r="N35" s="278" t="n"/>
      <x:c r="O35" s="278" t="n"/>
      <x:c r="P35" s="278" t="n"/>
      <x:c r="Q35" s="278" t="n"/>
    </x:row>
    <x:row r="36" s="655" customFormat="1" ht="15.75" customHeight="1">
      <x:c r="A36" s="292" t="n">
        <x:v>506</x:v>
      </x:c>
      <x:c r="B36" s="295" t="n">
        <x:v>353</x:v>
      </x:c>
      <x:c r="C36" s="294" t="n">
        <x:f>B36/1.23</x:f>
        <x:v>286.9918699186992</x:v>
      </x:c>
      <x:c r="D36" s="295" t="n">
        <x:v>774</x:v>
      </x:c>
      <x:c r="E36" s="296" t="n">
        <x:f>D36/1.23</x:f>
        <x:v>629.2682926829268</x:v>
      </x:c>
      <x:c r="F36" s="295" t="n">
        <x:v>290</x:v>
      </x:c>
      <x:c r="G36" s="296" t="n">
        <x:f>F36/1.23</x:f>
        <x:v>235.77235772357724</x:v>
      </x:c>
      <x:c r="H36" s="299" t="n">
        <x:v>644</x:v>
      </x:c>
      <x:c r="I36" s="298" t="n">
        <x:f>H36/1.23</x:f>
        <x:v>523.5772357723578</x:v>
      </x:c>
      <x:c r="J36" s="299" t="n">
        <x:v>1800</x:v>
      </x:c>
      <x:c r="K36" s="300" t="n">
        <x:f>J36/1.23</x:f>
        <x:v>1463.4146341463415</x:v>
      </x:c>
      <x:c r="L36" s="299" t="n">
        <x:v>442</x:v>
      </x:c>
      <x:c r="M36" s="300" t="n">
        <x:f>L36/1.23</x:f>
        <x:v>359.349593495935</x:v>
      </x:c>
      <x:c r="N36" s="278" t="n"/>
      <x:c r="O36" s="278" t="n"/>
      <x:c r="P36" s="278" t="n"/>
      <x:c r="Q36" s="278" t="n"/>
    </x:row>
    <x:row r="37" s="655" customFormat="1" ht="15.75" customHeight="1">
      <x:c r="A37" s="292" t="n">
        <x:v>606</x:v>
      </x:c>
      <x:c r="B37" s="295" t="n">
        <x:v>423</x:v>
      </x:c>
      <x:c r="C37" s="294" t="n">
        <x:f>B37/1.23</x:f>
        <x:v>343.9024390243903</x:v>
      </x:c>
      <x:c r="D37" s="295" t="n">
        <x:v>927</x:v>
      </x:c>
      <x:c r="E37" s="296" t="n">
        <x:f>D37/1.23</x:f>
        <x:v>753.6585365853658</x:v>
      </x:c>
      <x:c r="F37" s="295" t="n">
        <x:v>348</x:v>
      </x:c>
      <x:c r="G37" s="296" t="n">
        <x:f>F37/1.23</x:f>
        <x:v>282.9268292682927</x:v>
      </x:c>
      <x:c r="H37" s="299" t="n">
        <x:v>772</x:v>
      </x:c>
      <x:c r="I37" s="298" t="n">
        <x:f>H37/1.23</x:f>
        <x:v>627.6422764227642</x:v>
      </x:c>
      <x:c r="J37" s="299" t="n">
        <x:v>2156</x:v>
      </x:c>
      <x:c r="K37" s="300" t="n">
        <x:f>J37/1.23</x:f>
        <x:v>1752.8455284552845</x:v>
      </x:c>
      <x:c r="L37" s="299" t="n">
        <x:v>529</x:v>
      </x:c>
      <x:c r="M37" s="300" t="n">
        <x:f>L37/1.23</x:f>
        <x:v>430.0813008130081</x:v>
      </x:c>
      <x:c r="N37" s="278" t="n"/>
      <x:c r="O37" s="278" t="n"/>
      <x:c r="P37" s="278" t="n"/>
      <x:c r="Q37" s="278" t="n"/>
    </x:row>
    <x:row r="38" s="655" customFormat="1" ht="15.75" customHeight="1">
      <x:c r="A38" s="301" t="n">
        <x:v>706</x:v>
      </x:c>
      <x:c r="B38" s="302" t="n">
        <x:v>493</x:v>
      </x:c>
      <x:c r="C38" s="303" t="n">
        <x:f>B38/1.23</x:f>
        <x:v>400.8130081300813</x:v>
      </x:c>
      <x:c r="D38" s="302" t="n">
        <x:v>1080</x:v>
      </x:c>
      <x:c r="E38" s="304" t="n">
        <x:f>D38/1.23</x:f>
        <x:v>878.048780487805</x:v>
      </x:c>
      <x:c r="F38" s="302" t="n">
        <x:v>405</x:v>
      </x:c>
      <x:c r="G38" s="304" t="n">
        <x:f>F38/1.23</x:f>
        <x:v>329.2682926829268</x:v>
      </x:c>
      <x:c r="H38" s="305" t="n">
        <x:v>899</x:v>
      </x:c>
      <x:c r="I38" s="306" t="n">
        <x:f>H38/1.23</x:f>
        <x:v>730.8943089430894</x:v>
      </x:c>
      <x:c r="J38" s="305" t="n">
        <x:v>2512</x:v>
      </x:c>
      <x:c r="K38" s="307" t="n">
        <x:f>J38/1.23</x:f>
        <x:v>2042.2764227642276</x:v>
      </x:c>
      <x:c r="L38" s="305" t="n">
        <x:v>617</x:v>
      </x:c>
      <x:c r="M38" s="307" t="n">
        <x:f>L38/1.23</x:f>
        <x:v>501.6260162601626</x:v>
      </x:c>
      <x:c r="N38" s="278" t="n"/>
      <x:c r="O38" s="278" t="n"/>
      <x:c r="P38" s="278" t="n"/>
      <x:c r="Q38" s="278" t="n"/>
    </x:row>
    <x:row r="39" s="655" customFormat="1" ht="15.75" customHeight="1">
      <x:c r="A39" s="278" t="n"/>
      <x:c r="B39" s="278" t="n"/>
      <x:c r="C39" s="278" t="n"/>
      <x:c r="D39" s="278" t="n"/>
      <x:c r="E39" s="278" t="n"/>
      <x:c r="F39" s="278" t="n"/>
      <x:c r="G39" s="278" t="n"/>
      <x:c r="H39" s="278" t="n"/>
      <x:c r="I39" s="278" t="n"/>
      <x:c r="J39" s="278" t="n"/>
      <x:c r="K39" s="278" t="n"/>
      <x:c r="L39" s="278" t="n"/>
      <x:c r="M39" s="278" t="n"/>
      <x:c r="N39" s="278" t="n"/>
      <x:c r="O39" s="278" t="n"/>
      <x:c r="P39" s="278" t="n"/>
      <x:c r="Q39" s="278" t="n"/>
    </x:row>
    <x:row r="40" s="655" customFormat="1" ht="15.75" customHeight="1">
      <x:c r="A40" s="278" t="n"/>
      <x:c r="B40" s="278" t="n"/>
      <x:c r="C40" s="278" t="n"/>
      <x:c r="D40" s="278" t="n"/>
      <x:c r="E40" s="278" t="n"/>
      <x:c r="F40" s="278" t="n"/>
      <x:c r="G40" s="308" t="n"/>
      <x:c r="H40" s="308" t="n"/>
      <x:c r="I40" s="308" t="n"/>
      <x:c r="J40" s="308" t="n"/>
      <x:c r="K40" s="308" t="n"/>
      <x:c r="L40" s="308" t="n"/>
      <x:c r="M40" s="308" t="n"/>
      <x:c r="N40" s="308" t="n"/>
      <x:c r="O40" s="308" t="n"/>
      <x:c r="P40" s="308" t="n"/>
      <x:c r="Q40" s="278" t="n"/>
    </x:row>
    <x:row r="41" s="655" customFormat="1" ht="15.75" customHeight="1">
      <x:c r="A41" s="15" t="inlineStr">
        <x:is>
          <x:t xml:space="preserve">WYMIARY (długość elementu w cm)</x:t>
        </x:is>
      </x:c>
      <x:c r="B41" s="674" t="inlineStr">
        <x:is>
          <x:t xml:space="preserve">Uszczelka przyścienna</x:t>
        </x:is>
      </x:c>
      <x:c r="C41" s="617" t="n"/>
      <x:c r="D41" s="674" t="inlineStr">
        <x:is>
          <x:t xml:space="preserve">Uszczelka dolna profilu na szkło/poliwęglan</x:t>
        </x:is>
      </x:c>
      <x:c r="E41" s="617" t="n"/>
      <x:c r="F41" s="278" t="n"/>
      <x:c r="G41" s="309" t="n"/>
      <x:c r="H41" s="679" t="n"/>
      <x:c r="J41" s="679" t="n"/>
      <x:c r="L41" s="679" t="n"/>
      <x:c r="N41" s="679" t="n"/>
      <x:c r="P41" s="308" t="n"/>
      <x:c r="Q41" s="278" t="n"/>
    </x:row>
    <x:row r="42" s="655" customFormat="1" ht="15.75" customHeight="1">
      <x:c r="A42" s="253" t="inlineStr">
        <x:is>
          <x:t xml:space="preserve">do wymiaru</x:t>
        </x:is>
      </x:c>
      <x:c r="B42" s="254" t="inlineStr">
        <x:is>
          <x:t xml:space="preserve">Cena brutto </x:t>
        </x:is>
      </x:c>
      <x:c r="C42" s="255" t="inlineStr">
        <x:is>
          <x:t xml:space="preserve">netto </x:t>
        </x:is>
      </x:c>
      <x:c r="D42" s="254" t="inlineStr">
        <x:is>
          <x:t xml:space="preserve">Cena brutto </x:t>
        </x:is>
      </x:c>
      <x:c r="E42" s="255" t="inlineStr">
        <x:is>
          <x:t xml:space="preserve">netto </x:t>
        </x:is>
      </x:c>
      <x:c r="F42" s="278" t="n"/>
      <x:c r="G42" s="308" t="n"/>
      <x:c r="H42" s="311" t="n"/>
      <x:c r="I42" s="312" t="n"/>
      <x:c r="J42" s="311" t="n"/>
      <x:c r="K42" s="312" t="n"/>
      <x:c r="L42" s="311" t="n"/>
      <x:c r="M42" s="312" t="n"/>
      <x:c r="N42" s="311" t="n"/>
      <x:c r="O42" s="312" t="n"/>
      <x:c r="P42" s="308" t="n"/>
      <x:c r="Q42" s="278" t="n"/>
    </x:row>
    <x:row r="43" s="655" customFormat="1" ht="15.75" customHeight="1">
      <x:c r="A43" s="313" t="n">
        <x:v>310</x:v>
      </x:c>
      <x:c r="B43" s="314" t="n">
        <x:v>44</x:v>
      </x:c>
      <x:c r="C43" s="315" t="n">
        <x:f>B43/1.23</x:f>
        <x:v>35.77235772357724</x:v>
      </x:c>
      <x:c r="D43" s="314" t="n">
        <x:v>21</x:v>
      </x:c>
      <x:c r="E43" s="315" t="n">
        <x:f>D43/1.23</x:f>
        <x:v>17.073170731707318</x:v>
      </x:c>
      <x:c r="F43" s="278" t="n"/>
      <x:c r="G43" s="310" t="n"/>
      <x:c r="H43" s="316" t="n"/>
      <x:c r="I43" s="317" t="n"/>
      <x:c r="J43" s="316" t="n"/>
      <x:c r="K43" s="317" t="n"/>
      <x:c r="L43" s="316" t="n"/>
      <x:c r="M43" s="317" t="n"/>
      <x:c r="N43" s="316" t="n"/>
      <x:c r="O43" s="317" t="n"/>
      <x:c r="P43" s="308" t="n"/>
      <x:c r="Q43" s="278" t="n"/>
    </x:row>
    <x:row r="44" s="655" customFormat="1" ht="14.25" customHeight="1">
      <x:c r="A44" s="313" t="n">
        <x:v>410</x:v>
      </x:c>
      <x:c r="B44" s="314" t="n">
        <x:v>52</x:v>
      </x:c>
      <x:c r="C44" s="315" t="n">
        <x:f>B44/1.23</x:f>
        <x:v>42.27642276422764</x:v>
      </x:c>
      <x:c r="D44" s="314" t="n">
        <x:v>28</x:v>
      </x:c>
      <x:c r="E44" s="315" t="n">
        <x:f>D44/1.23</x:f>
        <x:v>22.764227642276424</x:v>
      </x:c>
      <x:c r="F44" s="278" t="n"/>
      <x:c r="G44" s="310" t="n"/>
      <x:c r="H44" s="316" t="n"/>
      <x:c r="I44" s="317" t="n"/>
      <x:c r="J44" s="316" t="n"/>
      <x:c r="K44" s="317" t="n"/>
      <x:c r="L44" s="316" t="n"/>
      <x:c r="M44" s="317" t="n"/>
      <x:c r="N44" s="316" t="n"/>
      <x:c r="O44" s="317" t="n"/>
      <x:c r="P44" s="308" t="n"/>
      <x:c r="Q44" s="278" t="n"/>
    </x:row>
    <x:row r="45" s="655" customFormat="1" ht="13.5" customHeight="1">
      <x:c r="A45" s="313" t="n">
        <x:v>510</x:v>
      </x:c>
      <x:c r="B45" s="314" t="n">
        <x:v>64</x:v>
      </x:c>
      <x:c r="C45" s="315" t="n">
        <x:f>B45/1.23</x:f>
        <x:v>52.03252032520325</x:v>
      </x:c>
      <x:c r="D45" s="314" t="n">
        <x:v>35</x:v>
      </x:c>
      <x:c r="E45" s="315" t="n">
        <x:f>D45/1.23</x:f>
        <x:v>28.45528455284553</x:v>
      </x:c>
      <x:c r="F45" s="278" t="n"/>
      <x:c r="G45" s="278" t="n"/>
      <x:c r="H45" s="278" t="n"/>
      <x:c r="I45" s="278" t="n"/>
      <x:c r="J45" s="278" t="n"/>
      <x:c r="K45" s="278" t="n"/>
      <x:c r="L45" s="278" t="n"/>
      <x:c r="M45" s="278" t="n"/>
      <x:c r="N45" s="278" t="n"/>
      <x:c r="O45" s="278" t="n"/>
      <x:c r="P45" s="278" t="n"/>
      <x:c r="Q45" s="278" t="n"/>
    </x:row>
    <x:row r="46" s="655" customFormat="1" ht="15.75" customHeight="1">
      <x:c r="A46" s="313" t="n">
        <x:v>610</x:v>
      </x:c>
      <x:c r="B46" s="314" t="n">
        <x:v>77</x:v>
      </x:c>
      <x:c r="C46" s="315" t="n">
        <x:f>B46/1.23</x:f>
        <x:v>62.60162601626016</x:v>
      </x:c>
      <x:c r="D46" s="314" t="n">
        <x:v>42</x:v>
      </x:c>
      <x:c r="E46" s="315" t="n">
        <x:f>D46/1.23</x:f>
        <x:v>34.146341463414636</x:v>
      </x:c>
      <x:c r="F46" s="278" t="n"/>
      <x:c r="G46" s="278" t="n"/>
      <x:c r="H46" s="278" t="n"/>
      <x:c r="I46" s="278" t="n"/>
      <x:c r="J46" s="278" t="n"/>
      <x:c r="K46" s="278" t="n"/>
      <x:c r="L46" s="278" t="n"/>
      <x:c r="M46" s="278" t="n"/>
      <x:c r="N46" s="278" t="n"/>
      <x:c r="O46" s="278" t="n"/>
      <x:c r="P46" s="278" t="n"/>
      <x:c r="Q46" s="278" t="n"/>
    </x:row>
    <x:row r="47" s="655" customFormat="1" ht="16.5" customHeight="1">
      <x:c r="A47" s="318" t="n">
        <x:v>710</x:v>
      </x:c>
      <x:c r="B47" s="319" t="n">
        <x:v>90</x:v>
      </x:c>
      <x:c r="C47" s="320" t="n">
        <x:f>B47/1.23</x:f>
        <x:v>73.17073170731707</x:v>
      </x:c>
      <x:c r="D47" s="319" t="n">
        <x:v>49</x:v>
      </x:c>
      <x:c r="E47" s="320" t="n">
        <x:f>D47/1.23</x:f>
        <x:v>39.83739837398374</x:v>
      </x:c>
      <x:c r="F47" s="278" t="n"/>
      <x:c r="G47" s="278" t="n"/>
      <x:c r="H47" s="278" t="n"/>
      <x:c r="I47" s="278" t="n"/>
      <x:c r="J47" s="278" t="n"/>
      <x:c r="K47" s="278" t="n"/>
      <x:c r="L47" s="278" t="n"/>
      <x:c r="M47" s="278" t="n"/>
      <x:c r="N47" s="278" t="n"/>
      <x:c r="O47" s="278" t="n"/>
      <x:c r="P47" s="278" t="n"/>
      <x:c r="Q47" s="278" t="n"/>
    </x:row>
    <x:row r="48" s="655" customFormat="1" ht="15.75" customHeight="1">
      <x:c r="A48" s="278" t="n"/>
      <x:c r="B48" s="278" t="n"/>
      <x:c r="C48" s="278" t="n"/>
      <x:c r="D48" s="278" t="n"/>
      <x:c r="E48" s="278" t="n"/>
      <x:c r="F48" s="278" t="n"/>
      <x:c r="G48" s="278" t="n"/>
      <x:c r="H48" s="278" t="n"/>
      <x:c r="I48" s="278" t="n"/>
      <x:c r="J48" s="278" t="n"/>
      <x:c r="K48" s="278" t="n"/>
      <x:c r="L48" s="278" t="n"/>
      <x:c r="M48" s="278" t="n"/>
      <x:c r="N48" s="278" t="n"/>
      <x:c r="O48" s="278" t="n"/>
      <x:c r="P48" s="278" t="n"/>
      <x:c r="Q48" s="278" t="n"/>
    </x:row>
    <x:row r="49" s="655" customFormat="1" ht="8.25" customHeight="1">
      <x:c r="A49" s="278" t="n"/>
      <x:c r="B49" s="278" t="n"/>
      <x:c r="C49" s="278" t="n"/>
      <x:c r="D49" s="278" t="n"/>
      <x:c r="E49" s="278" t="n"/>
      <x:c r="F49" s="278" t="n"/>
      <x:c r="G49" s="278" t="n"/>
      <x:c r="H49" s="278" t="n"/>
      <x:c r="I49" s="278" t="n"/>
      <x:c r="J49" s="278" t="n"/>
      <x:c r="K49" s="278" t="n"/>
      <x:c r="L49" s="278" t="n"/>
      <x:c r="M49" s="278" t="n"/>
      <x:c r="N49" s="278" t="n"/>
      <x:c r="O49" s="278" t="n"/>
      <x:c r="P49" s="278" t="n"/>
      <x:c r="Q49" s="278" t="n"/>
    </x:row>
    <x:row r="50" s="655" customFormat="1" ht="48" customHeight="1">
      <x:c r="A50" s="15" t="inlineStr">
        <x:is>
          <x:t xml:space="preserve">WYMIARY (długość elementu w cm)</x:t>
        </x:is>
      </x:c>
      <x:c r="B50" s="674" t="inlineStr">
        <x:is>
          <x:t xml:space="preserve">Słup kwadratowy ( bez podstawy )</x:t>
        </x:is>
      </x:c>
      <x:c r="C50" s="617" t="n"/>
      <x:c r="D50" s="674" t="inlineStr">
        <x:is>
          <x:t xml:space="preserve">Słup zaokrąglony ( bez podstawy, do wyczerpania zapasów)</x:t>
        </x:is>
      </x:c>
      <x:c r="E50" s="617" t="n"/>
      <x:c r="F50" s="274" t="n"/>
      <x:c r="G50" s="15" t="inlineStr">
        <x:is>
          <x:t xml:space="preserve">WYMIARY (długość elementu w cm)</x:t>
        </x:is>
      </x:c>
      <x:c r="H50" s="674" t="inlineStr">
        <x:is>
          <x:t xml:space="preserve">Maskownica typu Click przy ścianie PRO</x:t>
        </x:is>
      </x:c>
      <x:c r="I50" s="617" t="n"/>
      <x:c r="J50" s="674" t="inlineStr">
        <x:is>
          <x:t xml:space="preserve">Maskownica typu Click przy rynnie PRO</x:t>
        </x:is>
      </x:c>
      <x:c r="K50" s="617" t="n"/>
      <x:c r="L50" s="674" t="inlineStr">
        <x:is>
          <x:t xml:space="preserve">Maskownica typu Click przy ścianie PRO+</x:t>
        </x:is>
      </x:c>
      <x:c r="M50" s="617" t="n"/>
      <x:c r="N50" s="674" t="inlineStr">
        <x:is>
          <x:t xml:space="preserve">Maskownica typu Click przy rynnie PRO+</x:t>
        </x:is>
      </x:c>
      <x:c r="O50" s="617" t="n"/>
      <x:c r="P50" s="278" t="n"/>
      <x:c r="Q50" s="278" t="n"/>
    </x:row>
    <x:row r="51" s="655" customFormat="1" ht="15.75" customHeight="1">
      <x:c r="A51" s="253" t="inlineStr">
        <x:is>
          <x:t xml:space="preserve">do wymiaru</x:t>
        </x:is>
      </x:c>
      <x:c r="B51" s="254" t="inlineStr">
        <x:is>
          <x:t xml:space="preserve">Cena brutto </x:t>
        </x:is>
      </x:c>
      <x:c r="C51" s="255" t="inlineStr">
        <x:is>
          <x:t xml:space="preserve">netto </x:t>
        </x:is>
      </x:c>
      <x:c r="D51" s="254" t="inlineStr">
        <x:is>
          <x:t xml:space="preserve">Cena brutto </x:t>
        </x:is>
      </x:c>
      <x:c r="E51" s="255" t="inlineStr">
        <x:is>
          <x:t xml:space="preserve">netto </x:t>
        </x:is>
      </x:c>
      <x:c r="F51" s="278" t="n"/>
      <x:c r="G51" s="253" t="inlineStr">
        <x:is>
          <x:t xml:space="preserve">do wymiaru</x:t>
        </x:is>
      </x:c>
      <x:c r="H51" s="254" t="inlineStr">
        <x:is>
          <x:t xml:space="preserve">Cena brutto </x:t>
        </x:is>
      </x:c>
      <x:c r="I51" s="255" t="inlineStr">
        <x:is>
          <x:t xml:space="preserve">netto </x:t>
        </x:is>
      </x:c>
      <x:c r="J51" s="254" t="inlineStr">
        <x:is>
          <x:t xml:space="preserve">Cena brutto </x:t>
        </x:is>
      </x:c>
      <x:c r="K51" s="255" t="inlineStr">
        <x:is>
          <x:t xml:space="preserve">netto </x:t>
        </x:is>
      </x:c>
      <x:c r="L51" s="254" t="inlineStr">
        <x:is>
          <x:t xml:space="preserve">Cena brutto </x:t>
        </x:is>
      </x:c>
      <x:c r="M51" s="255" t="inlineStr">
        <x:is>
          <x:t xml:space="preserve">netto </x:t>
        </x:is>
      </x:c>
      <x:c r="N51" s="254" t="inlineStr">
        <x:is>
          <x:t xml:space="preserve">Cena brutto </x:t>
        </x:is>
      </x:c>
      <x:c r="O51" s="255" t="inlineStr">
        <x:is>
          <x:t xml:space="preserve">netto </x:t>
        </x:is>
      </x:c>
      <x:c r="P51" s="278" t="n"/>
      <x:c r="Q51" s="278" t="n"/>
    </x:row>
    <x:row r="52" s="655" customFormat="1" ht="15.75" customHeight="1">
      <x:c r="A52" s="321" t="n">
        <x:v>260</x:v>
      </x:c>
      <x:c r="B52" s="322" t="n">
        <x:v>436</x:v>
      </x:c>
      <x:c r="C52" s="323" t="n">
        <x:f>B52/1.23</x:f>
        <x:v>354.4715447154472</x:v>
      </x:c>
      <x:c r="D52" s="322" t="n">
        <x:v>436</x:v>
      </x:c>
      <x:c r="E52" s="323" t="n">
        <x:f>D52/1.23</x:f>
        <x:v>354.4715447154472</x:v>
      </x:c>
      <x:c r="F52" s="278" t="n"/>
      <x:c r="G52" s="324" t="n">
        <x:v>0.9379999999999999</x:v>
      </x:c>
      <x:c r="H52" s="325" t="n">
        <x:v>18</x:v>
      </x:c>
      <x:c r="I52" s="326" t="n">
        <x:f>H52/1.23</x:f>
        <x:v>14.634146341463415</x:v>
      </x:c>
      <x:c r="J52" s="325" t="n">
        <x:v>19</x:v>
      </x:c>
      <x:c r="K52" s="326" t="n">
        <x:f>J52/1.23</x:f>
        <x:v>15.447154471544716</x:v>
      </x:c>
      <x:c r="L52" s="325" t="n">
        <x:v>27</x:v>
      </x:c>
      <x:c r="M52" s="326" t="n">
        <x:f>L52/1.23</x:f>
        <x:v>21.951219512195124</x:v>
      </x:c>
      <x:c r="N52" s="325" t="n">
        <x:v>27</x:v>
      </x:c>
      <x:c r="O52" s="326" t="n">
        <x:f>N52/1.23</x:f>
        <x:v>21.951219512195124</x:v>
      </x:c>
      <x:c r="P52" s="278" t="n"/>
      <x:c r="Q52" s="278" t="n"/>
    </x:row>
    <x:row r="53" s="655" customFormat="1" ht="15.75" customHeight="1">
      <x:c r="A53" s="321" t="n">
        <x:v>300</x:v>
      </x:c>
      <x:c r="B53" s="322" t="n">
        <x:v>505</x:v>
      </x:c>
      <x:c r="C53" s="323" t="n">
        <x:f>B53/1.23</x:f>
        <x:v>410.5691056910569</x:v>
      </x:c>
      <x:c r="D53" s="322" t="n">
        <x:v>505</x:v>
      </x:c>
      <x:c r="E53" s="323" t="n">
        <x:f>D53/1.23</x:f>
        <x:v>410.5691056910569</x:v>
      </x:c>
      <x:c r="F53" s="278" t="n"/>
      <x:c r="G53" s="278" t="n"/>
      <x:c r="H53" s="278" t="n"/>
      <x:c r="I53" s="278" t="n"/>
      <x:c r="J53" s="278" t="n"/>
      <x:c r="K53" s="278" t="n"/>
      <x:c r="L53" s="278" t="n"/>
      <x:c r="M53" s="278" t="n"/>
      <x:c r="N53" s="278" t="n"/>
      <x:c r="O53" s="278" t="n"/>
      <x:c r="P53" s="278" t="n"/>
      <x:c r="Q53" s="278" t="n"/>
    </x:row>
    <x:row r="54" s="655" customFormat="1" ht="15.75" customHeight="1">
      <x:c r="A54" s="327" t="n">
        <x:v>390</x:v>
      </x:c>
      <x:c r="B54" s="328" t="n">
        <x:v>656</x:v>
      </x:c>
      <x:c r="C54" s="329" t="n">
        <x:f>B54/1.23</x:f>
        <x:v>533.3333333333334</x:v>
      </x:c>
      <x:c r="D54" s="328" t="n">
        <x:v>656</x:v>
      </x:c>
      <x:c r="E54" s="329" t="n">
        <x:f>D54/1.23</x:f>
        <x:v>533.3333333333334</x:v>
      </x:c>
      <x:c r="F54" s="278" t="n"/>
      <x:c r="G54" s="278" t="n"/>
      <x:c r="H54" s="278" t="n"/>
      <x:c r="I54" s="278" t="n"/>
      <x:c r="J54" s="278" t="n"/>
      <x:c r="K54" s="278" t="n"/>
      <x:c r="L54" s="278" t="n"/>
      <x:c r="M54" s="278" t="n"/>
      <x:c r="N54" s="278" t="n"/>
      <x:c r="O54" s="278" t="n"/>
      <x:c r="P54" s="278" t="n"/>
      <x:c r="Q54" s="278" t="n"/>
    </x:row>
    <x:row r="55" s="655" customFormat="1" ht="15.75" customHeight="1">
      <x:c r="A55" s="327" t="n">
        <x:v>600</x:v>
      </x:c>
      <x:c r="B55" s="328" t="n">
        <x:v>1009</x:v>
      </x:c>
      <x:c r="C55" s="329" t="n">
        <x:f>B55/1.23</x:f>
        <x:v>820.3252032520326</x:v>
      </x:c>
      <x:c r="D55" s="328" t="n">
        <x:v>1009</x:v>
      </x:c>
      <x:c r="E55" s="329" t="n">
        <x:f>D55/1.23</x:f>
        <x:v>820.3252032520326</x:v>
      </x:c>
      <x:c r="F55" s="278" t="n"/>
      <x:c r="G55" s="278" t="n"/>
      <x:c r="H55" s="278" t="n"/>
      <x:c r="I55" s="278" t="n"/>
      <x:c r="J55" s="278" t="n"/>
      <x:c r="K55" s="278" t="n"/>
      <x:c r="L55" s="278" t="n"/>
      <x:c r="M55" s="278" t="n"/>
      <x:c r="N55" s="278" t="n"/>
      <x:c r="O55" s="278" t="n"/>
      <x:c r="P55" s="278" t="n"/>
      <x:c r="Q55" s="278" t="n"/>
    </x:row>
    <x:row r="56" s="655" customFormat="1" ht="15.75" customHeight="1">
      <x:c r="A56" s="278" t="n"/>
      <x:c r="B56" s="278" t="n"/>
      <x:c r="C56" s="278" t="n"/>
      <x:c r="D56" s="278" t="n"/>
      <x:c r="E56" s="278" t="n"/>
      <x:c r="F56" s="278" t="n"/>
      <x:c r="G56" s="278" t="n"/>
      <x:c r="H56" s="278" t="n"/>
      <x:c r="I56" s="278" t="n"/>
      <x:c r="J56" s="278" t="n"/>
      <x:c r="K56" s="278" t="n"/>
      <x:c r="L56" s="278" t="n"/>
      <x:c r="M56" s="278" t="n"/>
      <x:c r="N56" s="278" t="n"/>
      <x:c r="O56" s="278" t="n"/>
      <x:c r="P56" s="278" t="n"/>
      <x:c r="Q56" s="278" t="n"/>
    </x:row>
    <x:row r="57" s="655" customFormat="1" ht="15.75" customHeight="1">
      <x:c r="A57" s="680" t="inlineStr">
        <x:is>
          <x:t xml:space="preserve">Element</x:t>
        </x:is>
      </x:c>
      <x:c r="B57" s="681" t="n"/>
      <x:c r="C57" s="681" t="n"/>
      <x:c r="D57" s="330" t="inlineStr">
        <x:is>
          <x:t xml:space="preserve">Cena brutto </x:t>
        </x:is>
      </x:c>
      <x:c r="E57" s="331" t="inlineStr">
        <x:is>
          <x:t xml:space="preserve">netto </x:t>
        </x:is>
      </x:c>
      <x:c r="F57" s="278" t="n"/>
      <x:c r="G57" s="15" t="inlineStr">
        <x:is>
          <x:t xml:space="preserve">WYMIARY (długość elementu w cm)</x:t>
        </x:is>
      </x:c>
      <x:c r="H57" s="674" t="inlineStr">
        <x:is>
          <x:t xml:space="preserve">Profil na szkło/poliwęglan</x:t>
        </x:is>
      </x:c>
      <x:c r="I57" s="617" t="n"/>
      <x:c r="J57" s="278" t="n"/>
      <x:c r="K57" s="278" t="n"/>
      <x:c r="L57" s="278" t="n"/>
      <x:c r="M57" s="278" t="n"/>
      <x:c r="N57" s="278" t="n"/>
      <x:c r="O57" s="278" t="n"/>
      <x:c r="P57" s="278" t="n"/>
      <x:c r="Q57" s="278" t="n"/>
    </x:row>
    <x:row r="58" s="655" customFormat="1" ht="15" customHeight="1">
      <x:c r="A58" s="682" t="inlineStr">
        <x:is>
          <x:t xml:space="preserve">Betonowa stopa fundamentowa</x:t>
        </x:is>
      </x:c>
      <x:c r="B58" s="621" t="n"/>
      <x:c r="C58" s="621" t="n"/>
      <x:c r="D58" s="332" t="n">
        <x:v>96</x:v>
      </x:c>
      <x:c r="E58" s="333" t="n">
        <x:f>D58/1.23</x:f>
        <x:v>78.04878048780488</x:v>
      </x:c>
      <x:c r="F58" s="278" t="n"/>
      <x:c r="G58" s="253" t="inlineStr">
        <x:is>
          <x:t xml:space="preserve">do wymiaru</x:t>
        </x:is>
      </x:c>
      <x:c r="H58" s="254" t="inlineStr">
        <x:is>
          <x:t xml:space="preserve">Cena brutto </x:t>
        </x:is>
      </x:c>
      <x:c r="I58" s="255" t="inlineStr">
        <x:is>
          <x:t xml:space="preserve">netto </x:t>
        </x:is>
      </x:c>
      <x:c r="J58" s="278" t="n"/>
      <x:c r="K58" s="278" t="n"/>
      <x:c r="L58" s="278" t="n"/>
      <x:c r="M58" s="278" t="n"/>
      <x:c r="N58" s="278" t="n"/>
      <x:c r="O58" s="278" t="n"/>
      <x:c r="P58" s="278" t="n"/>
      <x:c r="Q58" s="278" t="n"/>
    </x:row>
    <x:row r="59" s="655" customFormat="1" ht="15" customHeight="1">
      <x:c r="A59" s="675" t="inlineStr">
        <x:is>
          <x:t xml:space="preserve">Podstawa słupa 15x15</x:t>
        </x:is>
      </x:c>
      <x:c r="B59" s="619" t="n"/>
      <x:c r="C59" s="619" t="n"/>
      <x:c r="D59" s="332" t="n">
        <x:v>62</x:v>
      </x:c>
      <x:c r="E59" s="333" t="n">
        <x:f>D59/1.23</x:f>
        <x:v>50.40650406504065</x:v>
      </x:c>
      <x:c r="F59" s="278" t="n"/>
      <x:c r="G59" s="334" t="n">
        <x:v>0.98</x:v>
      </x:c>
      <x:c r="H59" s="335" t="n">
        <x:v>10</x:v>
      </x:c>
      <x:c r="I59" s="336" t="n">
        <x:f>H59/1.23</x:f>
        <x:v>8.130081300813009</x:v>
      </x:c>
      <x:c r="J59" s="278" t="n"/>
      <x:c r="K59" s="278" t="n"/>
      <x:c r="L59" s="278" t="n"/>
      <x:c r="M59" s="278" t="n"/>
      <x:c r="N59" s="278" t="n"/>
      <x:c r="O59" s="278" t="n"/>
      <x:c r="P59" s="278" t="n"/>
      <x:c r="Q59" s="278" t="n"/>
    </x:row>
    <x:row r="60" s="655" customFormat="1" ht="15.75" customHeight="1">
      <x:c r="A60" s="675" t="inlineStr">
        <x:is>
          <x:t xml:space="preserve">Podstawa słupa ukryta</x:t>
        </x:is>
      </x:c>
      <x:c r="B60" s="619" t="n"/>
      <x:c r="C60" s="619" t="n"/>
      <x:c r="D60" s="332" t="n">
        <x:v>122</x:v>
      </x:c>
      <x:c r="E60" s="333" t="n">
        <x:f>D60/1.23</x:f>
        <x:v>99.1869918699187</x:v>
      </x:c>
      <x:c r="F60" s="278" t="n"/>
      <x:c r="G60" s="337" t="n">
        <x:v>0.9350000000000001</x:v>
      </x:c>
      <x:c r="H60" s="338" t="n">
        <x:v>9</x:v>
      </x:c>
      <x:c r="I60" s="339" t="n">
        <x:f>H60/1.23</x:f>
        <x:v>7.317073170731708</x:v>
      </x:c>
      <x:c r="J60" s="278" t="n"/>
      <x:c r="K60" s="278" t="n"/>
      <x:c r="L60" s="278" t="n"/>
      <x:c r="M60" s="278" t="n"/>
      <x:c r="N60" s="278" t="n"/>
      <x:c r="O60" s="278" t="n"/>
      <x:c r="P60" s="278" t="n"/>
      <x:c r="Q60" s="278" t="n"/>
    </x:row>
    <x:row r="61" s="655" customFormat="1" ht="15.75" customHeight="1">
      <x:c r="A61" s="675" t="inlineStr">
        <x:is>
          <x:t xml:space="preserve">Łącznik rynny</x:t>
        </x:is>
      </x:c>
      <x:c r="B61" s="619" t="n"/>
      <x:c r="C61" s="619" t="n"/>
      <x:c r="D61" s="332" t="n">
        <x:v>98</x:v>
      </x:c>
      <x:c r="E61" s="333" t="n">
        <x:f>D61/1.23</x:f>
        <x:v>79.67479674796748</x:v>
      </x:c>
      <x:c r="F61" s="340" t="n"/>
      <x:c r="G61" s="278" t="n"/>
      <x:c r="H61" s="278" t="n"/>
      <x:c r="I61" s="278" t="n"/>
      <x:c r="J61" s="278" t="n"/>
      <x:c r="K61" s="278" t="n"/>
      <x:c r="L61" s="278" t="n"/>
      <x:c r="M61" s="278" t="n"/>
      <x:c r="N61" s="278" t="n"/>
      <x:c r="O61" s="278" t="n"/>
      <x:c r="P61" s="278" t="n"/>
      <x:c r="Q61" s="278" t="n"/>
    </x:row>
    <x:row r="62" s="655" customFormat="1" ht="15" customHeight="1">
      <x:c r="A62" s="675" t="inlineStr">
        <x:is>
          <x:t xml:space="preserve">Uchwyt do szyb ściennych</x:t>
        </x:is>
      </x:c>
      <x:c r="B62" s="619" t="n"/>
      <x:c r="C62" s="619" t="n"/>
      <x:c r="D62" s="332" t="n">
        <x:v>35</x:v>
      </x:c>
      <x:c r="E62" s="333" t="n">
        <x:f>D62/1.23</x:f>
        <x:v>28.45528455284553</x:v>
      </x:c>
      <x:c r="F62" s="278" t="n"/>
      <x:c r="G62" s="278" t="n"/>
      <x:c r="H62" s="278" t="n"/>
      <x:c r="I62" s="278" t="n"/>
      <x:c r="J62" s="278" t="n"/>
      <x:c r="K62" s="278" t="n"/>
      <x:c r="L62" s="278" t="n"/>
      <x:c r="M62" s="278" t="n"/>
      <x:c r="N62" s="278" t="n"/>
      <x:c r="O62" s="278" t="n"/>
      <x:c r="P62" s="278" t="n"/>
      <x:c r="Q62" s="278" t="n"/>
    </x:row>
    <x:row r="63" s="655" customFormat="1" ht="15" customHeight="1">
      <x:c r="A63" s="675" t="inlineStr">
        <x:is>
          <x:t xml:space="preserve">Szczotka przeciwkurzowa</x:t>
        </x:is>
      </x:c>
      <x:c r="B63" s="619" t="n"/>
      <x:c r="C63" s="619" t="n"/>
      <x:c r="D63" s="332" t="n">
        <x:v>39</x:v>
      </x:c>
      <x:c r="E63" s="333" t="n">
        <x:f>D63/1.23</x:f>
        <x:v>31.70731707317073</x:v>
      </x:c>
      <x:c r="F63" s="278" t="n"/>
      <x:c r="G63" s="278" t="n"/>
      <x:c r="H63" s="278" t="n"/>
      <x:c r="I63" s="278" t="n"/>
      <x:c r="J63" s="278" t="n"/>
      <x:c r="K63" s="278" t="n"/>
      <x:c r="L63" s="278" t="n"/>
      <x:c r="M63" s="278" t="n"/>
      <x:c r="N63" s="278" t="n"/>
      <x:c r="O63" s="278" t="n"/>
      <x:c r="P63" s="278" t="n"/>
      <x:c r="Q63" s="278" t="n"/>
    </x:row>
    <x:row r="64" s="655" customFormat="1" ht="15" customHeight="1">
      <x:c r="A64" s="675" t="inlineStr">
        <x:is>
          <x:t xml:space="preserve">Wózek jezdny 98cm</x:t>
        </x:is>
      </x:c>
      <x:c r="B64" s="619" t="n"/>
      <x:c r="C64" s="619" t="n"/>
      <x:c r="D64" s="332" t="n">
        <x:v>98</x:v>
      </x:c>
      <x:c r="E64" s="333" t="n">
        <x:f>D64/1.23</x:f>
        <x:v>79.67479674796748</x:v>
      </x:c>
      <x:c r="F64" s="278" t="n"/>
      <x:c r="G64" s="278" t="n"/>
      <x:c r="H64" s="278" t="n"/>
      <x:c r="I64" s="278" t="n"/>
      <x:c r="J64" s="278" t="n"/>
      <x:c r="K64" s="278" t="n"/>
      <x:c r="L64" s="278" t="n"/>
      <x:c r="M64" s="278" t="n"/>
      <x:c r="N64" s="278" t="n"/>
      <x:c r="O64" s="278" t="n"/>
      <x:c r="P64" s="278" t="n"/>
      <x:c r="Q64" s="278" t="n"/>
    </x:row>
    <x:row r="65" s="655" customFormat="1" ht="15" customHeight="1">
      <x:c r="A65" s="675" t="inlineStr">
        <x:is>
          <x:t xml:space="preserve">Wózek jezdny 103cm</x:t>
        </x:is>
      </x:c>
      <x:c r="B65" s="619" t="n"/>
      <x:c r="C65" s="619" t="n"/>
      <x:c r="D65" s="332" t="n">
        <x:v>103</x:v>
      </x:c>
      <x:c r="E65" s="333" t="n">
        <x:f>D65/1.23</x:f>
        <x:v>83.73983739837398</x:v>
      </x:c>
      <x:c r="F65" s="278" t="n"/>
      <x:c r="G65" s="278" t="n"/>
      <x:c r="H65" s="278" t="n"/>
      <x:c r="I65" s="278" t="n"/>
      <x:c r="J65" s="278" t="n"/>
      <x:c r="K65" s="278" t="n"/>
      <x:c r="L65" s="278" t="n"/>
      <x:c r="M65" s="278" t="n"/>
      <x:c r="N65" s="278" t="n"/>
      <x:c r="O65" s="278" t="n"/>
      <x:c r="P65" s="278" t="n"/>
      <x:c r="Q65" s="278" t="n"/>
    </x:row>
    <x:row r="66" s="655" customFormat="1" ht="15" customHeight="1">
      <x:c r="A66" s="675" t="inlineStr">
        <x:is>
          <x:t xml:space="preserve">Odwodnienie (sitko,rura,kolanko)</x:t>
        </x:is>
      </x:c>
      <x:c r="B66" s="619" t="n"/>
      <x:c r="C66" s="619" t="n"/>
      <x:c r="D66" s="332" t="n">
        <x:v>80</x:v>
      </x:c>
      <x:c r="E66" s="333" t="n">
        <x:f>D66/1.23</x:f>
        <x:v>65.04065040650407</x:v>
      </x:c>
      <x:c r="F66" s="278" t="n"/>
      <x:c r="G66" s="278" t="n"/>
      <x:c r="H66" s="278" t="n"/>
      <x:c r="I66" s="278" t="n"/>
      <x:c r="J66" s="278" t="n"/>
      <x:c r="K66" s="341" t="n"/>
      <x:c r="L66" s="278" t="n"/>
      <x:c r="M66" s="278" t="n"/>
      <x:c r="N66" s="278" t="n"/>
      <x:c r="O66" s="278" t="n"/>
      <x:c r="P66" s="278" t="n"/>
      <x:c r="Q66" s="278" t="n"/>
    </x:row>
    <x:row r="67" s="655" customFormat="1" ht="15" customHeight="1">
      <x:c r="A67" s="675" t="inlineStr">
        <x:is>
          <x:t xml:space="preserve">Płaskownik - wzmocnienie rynny</x:t>
        </x:is>
      </x:c>
      <x:c r="B67" s="619" t="n"/>
      <x:c r="C67" s="619" t="n"/>
      <x:c r="D67" s="332" t="n">
        <x:v>498</x:v>
      </x:c>
      <x:c r="E67" s="333" t="n">
        <x:f>D67/1.23</x:f>
        <x:v>404.8780487804878</x:v>
      </x:c>
      <x:c r="F67" s="278" t="n"/>
      <x:c r="G67" s="278" t="n"/>
      <x:c r="H67" s="278" t="n"/>
      <x:c r="I67" s="278" t="n"/>
      <x:c r="J67" s="278" t="n"/>
      <x:c r="K67" s="341" t="n"/>
      <x:c r="L67" s="278" t="n"/>
      <x:c r="M67" s="278" t="n"/>
      <x:c r="N67" s="278" t="n"/>
      <x:c r="O67" s="278" t="n"/>
      <x:c r="P67" s="278" t="n"/>
      <x:c r="Q67" s="278" t="n"/>
    </x:row>
    <x:row r="68" s="655" customFormat="1" ht="15" customHeight="1">
      <x:c r="A68" s="675" t="inlineStr">
        <x:is>
          <x:t xml:space="preserve">LED 1 punkt ( oprawka i żarówka )</x:t>
        </x:is>
      </x:c>
      <x:c r="B68" s="619" t="n"/>
      <x:c r="C68" s="619" t="n"/>
      <x:c r="D68" s="332" t="n">
        <x:v>60</x:v>
      </x:c>
      <x:c r="E68" s="333" t="n">
        <x:f>D68/1.23</x:f>
        <x:v>48.78048780487805</x:v>
      </x:c>
      <x:c r="F68" s="278" t="n"/>
      <x:c r="G68" s="278" t="n"/>
      <x:c r="H68" s="278" t="n"/>
      <x:c r="I68" s="278" t="n"/>
      <x:c r="J68" s="278" t="n"/>
      <x:c r="K68" s="341" t="n"/>
      <x:c r="L68" s="278" t="n"/>
      <x:c r="M68" s="278" t="n"/>
      <x:c r="N68" s="278" t="n"/>
      <x:c r="O68" s="278" t="n"/>
      <x:c r="P68" s="278" t="n"/>
      <x:c r="Q68" s="278" t="n"/>
    </x:row>
    <x:row r="69" s="655" customFormat="1" ht="15" customHeight="1">
      <x:c r="A69" s="675" t="inlineStr">
        <x:is>
          <x:t xml:space="preserve">Zaślepka listwy przyściennej PRO</x:t>
        </x:is>
      </x:c>
      <x:c r="B69" s="619" t="n"/>
      <x:c r="C69" s="619" t="n"/>
      <x:c r="D69" s="332" t="n">
        <x:v>19</x:v>
      </x:c>
      <x:c r="E69" s="333" t="n">
        <x:f>D69/1.23</x:f>
        <x:v>15.447154471544716</x:v>
      </x:c>
      <x:c r="F69" s="278" t="n"/>
      <x:c r="G69" s="278" t="n"/>
      <x:c r="H69" s="278" t="n"/>
      <x:c r="I69" s="278" t="n"/>
      <x:c r="J69" s="342" t="n"/>
      <x:c r="K69" s="341" t="n"/>
      <x:c r="L69" s="278" t="n"/>
      <x:c r="M69" s="278" t="n"/>
      <x:c r="N69" s="278" t="n"/>
      <x:c r="O69" s="278" t="n"/>
      <x:c r="P69" s="278" t="n"/>
      <x:c r="Q69" s="278" t="n"/>
    </x:row>
    <x:row r="70" s="655" customFormat="1" ht="15" customHeight="1">
      <x:c r="A70" s="675" t="inlineStr">
        <x:is>
          <x:t xml:space="preserve">Zaślepka rynny PRO</x:t>
        </x:is>
      </x:c>
      <x:c r="B70" s="619" t="n"/>
      <x:c r="C70" s="619" t="n"/>
      <x:c r="D70" s="332" t="n">
        <x:v>24</x:v>
      </x:c>
      <x:c r="E70" s="333" t="n">
        <x:f>D70/1.23</x:f>
        <x:v>19.51219512195122</x:v>
      </x:c>
      <x:c r="F70" s="278" t="n"/>
      <x:c r="G70" s="278" t="n"/>
      <x:c r="H70" s="278" t="n"/>
      <x:c r="I70" s="278" t="n"/>
      <x:c r="J70" s="342" t="n"/>
      <x:c r="K70" s="341" t="n"/>
      <x:c r="L70" s="278" t="n"/>
      <x:c r="M70" s="278" t="n"/>
      <x:c r="N70" s="278" t="n"/>
      <x:c r="O70" s="278" t="n"/>
      <x:c r="P70" s="278" t="n"/>
      <x:c r="Q70" s="278" t="n"/>
    </x:row>
    <x:row r="71" s="655" customFormat="1" ht="15" customHeight="1">
      <x:c r="A71" s="675" t="inlineStr">
        <x:is>
          <x:t xml:space="preserve">Zaślepka listwy przyściennej PRO +</x:t>
        </x:is>
      </x:c>
      <x:c r="B71" s="619" t="n"/>
      <x:c r="C71" s="619" t="n"/>
      <x:c r="D71" s="332" t="n">
        <x:v>25</x:v>
      </x:c>
      <x:c r="E71" s="333" t="n">
        <x:f>D71/1.23</x:f>
        <x:v>20.32520325203252</x:v>
      </x:c>
      <x:c r="F71" s="278" t="n"/>
      <x:c r="G71" s="278" t="n"/>
      <x:c r="H71" s="278" t="n"/>
      <x:c r="I71" s="278" t="n"/>
      <x:c r="J71" s="278" t="n"/>
      <x:c r="K71" s="278" t="n"/>
      <x:c r="L71" s="278" t="n"/>
      <x:c r="M71" s="278" t="n"/>
      <x:c r="N71" s="278" t="n"/>
      <x:c r="O71" s="278" t="n"/>
      <x:c r="P71" s="278" t="n"/>
      <x:c r="Q71" s="278" t="n"/>
    </x:row>
    <x:row r="72" s="655" customFormat="1" ht="15" customHeight="1">
      <x:c r="A72" s="675" t="inlineStr">
        <x:is>
          <x:t xml:space="preserve">Zaślepka rynny PRO +</x:t>
        </x:is>
      </x:c>
      <x:c r="B72" s="619" t="n"/>
      <x:c r="C72" s="619" t="n"/>
      <x:c r="D72" s="332" t="n">
        <x:v>31</x:v>
      </x:c>
      <x:c r="E72" s="333" t="n">
        <x:f>D72/1.23</x:f>
        <x:v>25.203252032520325</x:v>
      </x:c>
      <x:c r="F72" s="278" t="n"/>
      <x:c r="G72" s="278" t="n"/>
      <x:c r="H72" s="278" t="n"/>
      <x:c r="I72" s="278" t="n"/>
      <x:c r="J72" s="278" t="n"/>
      <x:c r="K72" s="278" t="n"/>
      <x:c r="L72" s="278" t="n"/>
      <x:c r="M72" s="278" t="n"/>
      <x:c r="N72" s="278" t="n"/>
      <x:c r="O72" s="278" t="n"/>
      <x:c r="P72" s="278" t="n"/>
      <x:c r="Q72" s="278" t="n"/>
    </x:row>
    <x:row r="73" s="655" customFormat="1" ht="15.75" customHeight="1">
      <x:c r="A73" s="676" t="inlineStr">
        <x:is>
          <x:t xml:space="preserve">Łącznik rynny PRO +</x:t>
        </x:is>
      </x:c>
      <x:c r="B73" s="677" t="n"/>
      <x:c r="C73" s="677" t="n"/>
      <x:c r="D73" s="343" t="n">
        <x:v>98</x:v>
      </x:c>
      <x:c r="E73" s="344" t="n">
        <x:f>D73/1.23</x:f>
        <x:v>79.67479674796748</x:v>
      </x:c>
      <x:c r="F73" s="278" t="n"/>
      <x:c r="G73" s="278" t="n"/>
      <x:c r="H73" s="278" t="n"/>
      <x:c r="I73" s="278" t="n"/>
      <x:c r="J73" s="278" t="n"/>
      <x:c r="K73" s="278" t="n"/>
      <x:c r="L73" s="278" t="n"/>
      <x:c r="M73" s="278" t="n"/>
      <x:c r="N73" s="278" t="n"/>
      <x:c r="O73" s="278" t="n"/>
      <x:c r="P73" s="278" t="n"/>
      <x:c r="Q73" s="278" t="n"/>
    </x:row>
    <x:row r="74" s="655" customFormat="1" ht="15.75" customHeight="1">
      <x:c r="A74" s="676" t="inlineStr">
        <x:is>
          <x:t xml:space="preserve">Kątownik zamykający krokwie PRO</x:t>
        </x:is>
      </x:c>
      <x:c r="B74" s="677" t="n"/>
      <x:c r="C74" s="677" t="n"/>
      <x:c r="D74" s="343" t="n">
        <x:v>9</x:v>
      </x:c>
      <x:c r="E74" s="344" t="n">
        <x:f>D74/1.23</x:f>
        <x:v>7.317073170731708</x:v>
      </x:c>
      <x:c r="F74" s="278" t="n"/>
      <x:c r="G74" s="278" t="n"/>
      <x:c r="H74" s="278" t="n"/>
      <x:c r="I74" s="278" t="n"/>
      <x:c r="J74" s="278" t="n"/>
      <x:c r="K74" s="278" t="n"/>
      <x:c r="L74" s="278" t="n"/>
      <x:c r="M74" s="278" t="n"/>
      <x:c r="N74" s="278" t="n"/>
      <x:c r="O74" s="278" t="n"/>
      <x:c r="P74" s="278" t="n"/>
      <x:c r="Q74" s="278" t="n"/>
    </x:row>
    <x:row r="75" s="655" customFormat="1" ht="15.75" customHeight="1">
      <x:c r="A75" s="676" t="inlineStr">
        <x:is>
          <x:t xml:space="preserve">Kątownik zamykający krokwie PRO+</x:t>
        </x:is>
      </x:c>
      <x:c r="B75" s="677" t="n"/>
      <x:c r="C75" s="677" t="n"/>
      <x:c r="D75" s="343" t="n">
        <x:v>11</x:v>
      </x:c>
      <x:c r="E75" s="344" t="n">
        <x:f>D75/1.23</x:f>
        <x:v>8.94308943089431</x:v>
      </x:c>
      <x:c r="F75" s="278" t="n"/>
      <x:c r="G75" s="278" t="n"/>
      <x:c r="H75" s="278" t="n"/>
      <x:c r="I75" s="278" t="n"/>
      <x:c r="J75" s="278" t="n"/>
      <x:c r="K75" s="278" t="n"/>
      <x:c r="L75" s="278" t="n"/>
      <x:c r="M75" s="278" t="n"/>
      <x:c r="N75" s="278" t="n"/>
      <x:c r="O75" s="278" t="n"/>
      <x:c r="P75" s="278" t="n"/>
      <x:c r="Q75" s="278" t="n"/>
    </x:row>
    <x:row r="76" s="655" customFormat="1" ht="15.75" customHeight="1">
      <x:c r="A76" s="676" t="inlineStr">
        <x:is>
          <x:t xml:space="preserve">Zabierak do ścian szklanych przesuwnych</x:t>
        </x:is>
      </x:c>
      <x:c r="B76" s="677" t="n"/>
      <x:c r="C76" s="677" t="n"/>
      <x:c r="D76" s="343" t="n">
        <x:v>40</x:v>
      </x:c>
      <x:c r="E76" s="344" t="n">
        <x:f>D76/1.23</x:f>
        <x:v>32.520325203252035</x:v>
      </x:c>
      <x:c r="F76" s="278" t="n"/>
      <x:c r="G76" s="278" t="n"/>
      <x:c r="H76" s="278" t="n"/>
      <x:c r="I76" s="278" t="n"/>
      <x:c r="J76" s="278" t="n"/>
      <x:c r="K76" s="278" t="n"/>
      <x:c r="L76" s="278" t="n"/>
      <x:c r="M76" s="278" t="n"/>
      <x:c r="N76" s="278" t="n"/>
      <x:c r="O76" s="278" t="n"/>
      <x:c r="P76" s="278" t="n"/>
      <x:c r="Q76" s="278" t="n"/>
    </x:row>
    <x:row r="77" s="655" customFormat="1" ht="15.75" customHeight="1">
      <x:c r="A77" s="676" t="inlineStr">
        <x:is>
          <x:t xml:space="preserve">Zaślepka ze spadkiem do słupa kwadratowego</x:t>
        </x:is>
      </x:c>
      <x:c r="B77" s="677" t="n"/>
      <x:c r="C77" s="677" t="n"/>
      <x:c r="D77" s="343" t="n">
        <x:v>30</x:v>
      </x:c>
      <x:c r="E77" s="344" t="n">
        <x:f>D77/1.23</x:f>
        <x:v>24.390243902439025</x:v>
      </x:c>
      <x:c r="F77" s="278" t="n"/>
      <x:c r="G77" s="278" t="n"/>
      <x:c r="H77" s="278" t="n"/>
      <x:c r="I77" s="278" t="n"/>
      <x:c r="J77" s="278" t="n"/>
      <x:c r="K77" s="278" t="n"/>
      <x:c r="L77" s="278" t="n"/>
      <x:c r="M77" s="278" t="n"/>
      <x:c r="N77" s="278" t="n"/>
      <x:c r="O77" s="278" t="n"/>
      <x:c r="P77" s="278" t="n"/>
      <x:c r="Q77" s="278" t="n"/>
    </x:row>
  </x:sheetData>
  <x:mergeCells>
    <x:mergeCell ref="B16:C16"/>
    <x:mergeCell ref="A66:C66"/>
    <x:mergeCell ref="F16:G16"/>
    <x:mergeCell ref="A75:C75"/>
    <x:mergeCell ref="D1:E1"/>
    <x:mergeCell ref="L16:M16"/>
    <x:mergeCell ref="N16:O16"/>
    <x:mergeCell ref="H1:I1"/>
    <x:mergeCell ref="A74:C74"/>
    <x:mergeCell ref="N50:O50"/>
    <x:mergeCell ref="J1:K1"/>
    <x:mergeCell ref="P1:Q1"/>
    <x:mergeCell ref="H41:I41"/>
    <x:mergeCell ref="N41:O41"/>
    <x:mergeCell ref="L32:M32"/>
    <x:mergeCell ref="H50:I50"/>
    <x:mergeCell ref="D50:E50"/>
    <x:mergeCell ref="A57:C57"/>
    <x:mergeCell ref="A76:C76"/>
    <x:mergeCell ref="A71:C71"/>
    <x:mergeCell ref="F24:G24"/>
    <x:mergeCell ref="J24:K24"/>
    <x:mergeCell ref="L24:M24"/>
    <x:mergeCell ref="D32:E32"/>
    <x:mergeCell ref="A62:C62"/>
    <x:mergeCell ref="F32:G32"/>
    <x:mergeCell ref="D41:E41"/>
    <x:mergeCell ref="A69:C69"/>
    <x:mergeCell ref="B1:C1"/>
    <x:mergeCell ref="B8:C8"/>
    <x:mergeCell ref="N1:O1"/>
    <x:mergeCell ref="A72:C72"/>
    <x:mergeCell ref="D16:E16"/>
    <x:mergeCell ref="A68:C68"/>
    <x:mergeCell ref="A63:C63"/>
    <x:mergeCell ref="H16:I16"/>
    <x:mergeCell ref="H32:I32"/>
    <x:mergeCell ref="J16:K16"/>
    <x:mergeCell ref="J32:K32"/>
    <x:mergeCell ref="A58:C58"/>
    <x:mergeCell ref="L50:M50"/>
    <x:mergeCell ref="J41:K41"/>
    <x:mergeCell ref="H57:I57"/>
    <x:mergeCell ref="L41:M41"/>
    <x:mergeCell ref="A67:C67"/>
    <x:mergeCell ref="A77:C77"/>
    <x:mergeCell ref="A65:C65"/>
    <x:mergeCell ref="A59:C59"/>
    <x:mergeCell ref="A73:C73"/>
    <x:mergeCell ref="A64:C64"/>
    <x:mergeCell ref="D8:E8"/>
    <x:mergeCell ref="A60:C60"/>
    <x:mergeCell ref="B24:C24"/>
    <x:mergeCell ref="J50:K50"/>
    <x:mergeCell ref="D24:E24"/>
    <x:mergeCell ref="H24:I24"/>
    <x:mergeCell ref="N24:O24"/>
    <x:mergeCell ref="A61:C61"/>
    <x:mergeCell ref="P24:Q24"/>
    <x:mergeCell ref="A70:C70"/>
    <x:mergeCell ref="B32:C32"/>
    <x:mergeCell ref="B50:C50"/>
    <x:mergeCell ref="H8:I8"/>
    <x:mergeCell ref="B41:C41"/>
    <x:mergeCell ref="J8:K8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BFBFBF"/>
  </x:sheetPr>
  <x:sheetViews>
    <x:sheetView showGridLines="0" workbookViewId="0"/>
  </x:sheetViews>
  <x:sheetFormatPr baseColWidth="8" defaultRowHeight="14.75"/>
  <x:cols>
    <x:col min="1" max="1" width="48.54296875" style="655" customWidth="1"/>
    <x:col min="2" max="2" width="16.7265625" style="655" customWidth="1"/>
    <x:col min="3" max="3" width="13" style="655" customWidth="1"/>
  </x:cols>
  <x:sheetData>
    <x:row r="1">
      <x:c r="A1" s="684" t="inlineStr">
        <x:is>
          <x:t xml:space="preserve">Produkt / wymiary (długość x szerokość w cm)</x:t>
        </x:is>
      </x:c>
      <x:c r="B1" s="683" t="n"/>
      <x:c r="C1" s="650" t="n"/>
    </x:row>
    <x:row r="2">
      <x:c r="A2" s="685" t="n"/>
      <x:c r="B2" s="345" t="inlineStr">
        <x:is>
          <x:t xml:space="preserve">Cena brutto</x:t>
        </x:is>
      </x:c>
      <x:c r="C2" s="346" t="inlineStr">
        <x:is>
          <x:t xml:space="preserve">netto</x:t>
        </x:is>
      </x:c>
    </x:row>
    <x:row r="3">
      <x:c r="A3" s="347" t="inlineStr">
        <x:is>
          <x:t xml:space="preserve">POLIWĘGLAN BEZBARWNY :</x:t>
        </x:is>
      </x:c>
      <x:c r="B3" s="348" t="n"/>
      <x:c r="C3" s="349" t="n"/>
    </x:row>
    <x:row r="4">
      <x:c r="A4" s="350" t="inlineStr">
        <x:is>
          <x:t xml:space="preserve">290x98</x:t>
        </x:is>
      </x:c>
      <x:c r="B4" s="351" t="n">
        <x:v>262</x:v>
      </x:c>
      <x:c r="C4" s="352" t="n">
        <x:f>B4/1.23</x:f>
        <x:v>213.0081300813008</x:v>
      </x:c>
    </x:row>
    <x:row r="5">
      <x:c r="A5" s="353" t="inlineStr">
        <x:is>
          <x:t xml:space="preserve">340x98</x:t>
        </x:is>
      </x:c>
      <x:c r="B5" s="351" t="n">
        <x:v>299</x:v>
      </x:c>
      <x:c r="C5" s="352" t="n">
        <x:f>B5/1.23</x:f>
        <x:v>243.08943089430895</x:v>
      </x:c>
    </x:row>
    <x:row r="6">
      <x:c r="A6" s="350" t="inlineStr">
        <x:is>
          <x:t xml:space="preserve">390x98</x:t>
        </x:is>
      </x:c>
      <x:c r="B6" s="351" t="n">
        <x:v>349</x:v>
      </x:c>
      <x:c r="C6" s="352" t="n">
        <x:f>B6/1.23</x:f>
        <x:v>283.739837398374</x:v>
      </x:c>
    </x:row>
    <x:row r="7">
      <x:c r="A7" s="353" t="inlineStr">
        <x:is>
          <x:t xml:space="preserve">440x98</x:t>
        </x:is>
      </x:c>
      <x:c r="B7" s="351" t="n">
        <x:v>386</x:v>
      </x:c>
      <x:c r="C7" s="352" t="n">
        <x:f>B7/1.23</x:f>
        <x:v>313.8211382113821</x:v>
      </x:c>
    </x:row>
    <x:row r="8">
      <x:c r="A8" s="350" t="inlineStr">
        <x:is>
          <x:t xml:space="preserve">490x98</x:t>
        </x:is>
      </x:c>
      <x:c r="B8" s="351" t="n">
        <x:v>436</x:v>
      </x:c>
      <x:c r="C8" s="352" t="n">
        <x:f>B8/1.23</x:f>
        <x:v>354.4715447154472</x:v>
      </x:c>
    </x:row>
    <x:row r="9">
      <x:c r="A9" s="353" t="inlineStr">
        <x:is>
          <x:t xml:space="preserve">540x98</x:t>
        </x:is>
      </x:c>
      <x:c r="B9" s="351" t="n">
        <x:v>489</x:v>
      </x:c>
      <x:c r="C9" s="352" t="n">
        <x:f>B9/1.23</x:f>
        <x:v>397.5609756097561</x:v>
      </x:c>
    </x:row>
    <x:row r="10">
      <x:c r="A10" s="354" t="inlineStr">
        <x:is>
          <x:t xml:space="preserve">590x98</x:t>
        </x:is>
      </x:c>
      <x:c r="B10" s="355" t="n">
        <x:v>539</x:v>
      </x:c>
      <x:c r="C10" s="356" t="n">
        <x:f>B10/1.23</x:f>
        <x:v>438.2113821138211</x:v>
      </x:c>
    </x:row>
    <x:row r="11">
      <x:c r="A11" s="357" t="n"/>
      <x:c r="B11" s="358" t="n"/>
      <x:c r="C11" s="359" t="n"/>
    </x:row>
    <x:row r="12" s="655" customFormat="1" ht="30" customHeight="1">
      <x:c r="A12" s="360" t="inlineStr">
        <x:is>
          <x:t xml:space="preserve">POLIWĘGLAN MLECZNY/PRZYCIEMNIANY/SZARY (SZARY tylko wymiar od 290-390cm) :</x:t>
        </x:is>
      </x:c>
      <x:c r="B12" s="361" t="n"/>
      <x:c r="C12" s="362" t="n"/>
    </x:row>
    <x:row r="13">
      <x:c r="A13" s="363" t="inlineStr">
        <x:is>
          <x:t xml:space="preserve">290x98</x:t>
        </x:is>
      </x:c>
      <x:c r="B13" s="364" t="n">
        <x:v>282</x:v>
      </x:c>
      <x:c r="C13" s="365" t="n">
        <x:f>B13/1.23</x:f>
        <x:v>229.26829268292684</x:v>
      </x:c>
    </x:row>
    <x:row r="14">
      <x:c r="A14" s="366" t="inlineStr">
        <x:is>
          <x:t xml:space="preserve">340x98</x:t>
        </x:is>
      </x:c>
      <x:c r="B14" s="364" t="n">
        <x:v>323</x:v>
      </x:c>
      <x:c r="C14" s="365" t="n">
        <x:f>B14/1.23</x:f>
        <x:v>262.6016260162602</x:v>
      </x:c>
    </x:row>
    <x:row r="15">
      <x:c r="A15" s="363" t="inlineStr">
        <x:is>
          <x:t xml:space="preserve">390x98</x:t>
        </x:is>
      </x:c>
      <x:c r="B15" s="364" t="n">
        <x:v>377</x:v>
      </x:c>
      <x:c r="C15" s="365" t="n">
        <x:f>B15/1.23</x:f>
        <x:v>306.5040650406504</x:v>
      </x:c>
    </x:row>
    <x:row r="16">
      <x:c r="A16" s="366" t="inlineStr">
        <x:is>
          <x:t xml:space="preserve">440x98</x:t>
        </x:is>
      </x:c>
      <x:c r="B16" s="364" t="n">
        <x:v>417</x:v>
      </x:c>
      <x:c r="C16" s="365" t="n">
        <x:f>B16/1.23</x:f>
        <x:v>339.0243902439024</x:v>
      </x:c>
    </x:row>
    <x:row r="17">
      <x:c r="A17" s="363" t="inlineStr">
        <x:is>
          <x:t xml:space="preserve">490x98</x:t>
        </x:is>
      </x:c>
      <x:c r="B17" s="364" t="n">
        <x:v>471</x:v>
      </x:c>
      <x:c r="C17" s="365" t="n">
        <x:f>B17/1.23</x:f>
        <x:v>382.9268292682927</x:v>
      </x:c>
    </x:row>
    <x:row r="18">
      <x:c r="A18" s="366" t="inlineStr">
        <x:is>
          <x:t xml:space="preserve">540x98</x:t>
        </x:is>
      </x:c>
      <x:c r="B18" s="364" t="n">
        <x:v>525</x:v>
      </x:c>
      <x:c r="C18" s="365" t="n">
        <x:f>B18/1.23</x:f>
        <x:v>426.8292682926829</x:v>
      </x:c>
    </x:row>
    <x:row r="19">
      <x:c r="A19" s="367" t="inlineStr">
        <x:is>
          <x:t xml:space="preserve">590x98</x:t>
        </x:is>
      </x:c>
      <x:c r="B19" s="368" t="n">
        <x:v>589</x:v>
      </x:c>
      <x:c r="C19" s="369" t="n">
        <x:f>B19/1.23</x:f>
        <x:v>478.8617886178862</x:v>
      </x:c>
    </x:row>
    <x:row r="20">
      <x:c r="A20" s="370" t="n"/>
      <x:c r="B20" s="371" t="n"/>
      <x:c r="C20" s="359" t="n"/>
    </x:row>
    <x:row r="21" s="655" customFormat="1" ht="15.75" customHeight="1">
      <x:c r="A21" s="372" t="inlineStr">
        <x:is>
          <x:t xml:space="preserve">POLIWĘGLAN JEDNOKOMOROWY BEZBARWNY :</x:t>
        </x:is>
      </x:c>
      <x:c r="B21" s="373" t="n"/>
      <x:c r="C21" s="374" t="n"/>
    </x:row>
    <x:row r="22" s="655" customFormat="1" ht="15.75" customHeight="1">
      <x:c r="A22" s="375" t="inlineStr">
        <x:is>
          <x:t xml:space="preserve">290x98</x:t>
        </x:is>
      </x:c>
      <x:c r="B22" s="376" t="n">
        <x:v>452</x:v>
      </x:c>
      <x:c r="C22" s="377" t="n">
        <x:f>B22/1.23</x:f>
        <x:v>367.479674796748</x:v>
      </x:c>
    </x:row>
    <x:row r="23" s="655" customFormat="1" ht="15.75" customHeight="1">
      <x:c r="A23" s="378" t="inlineStr">
        <x:is>
          <x:t xml:space="preserve">340x98</x:t>
        </x:is>
      </x:c>
      <x:c r="B23" s="376" t="n">
        <x:v>516</x:v>
      </x:c>
      <x:c r="C23" s="377" t="n">
        <x:f>B23/1.23</x:f>
        <x:v>419.5121951219512</x:v>
      </x:c>
    </x:row>
    <x:row r="24" s="655" customFormat="1" ht="15.75" customHeight="1">
      <x:c r="A24" s="375" t="inlineStr">
        <x:is>
          <x:t xml:space="preserve">390x98</x:t>
        </x:is>
      </x:c>
      <x:c r="B24" s="376" t="n">
        <x:v>603</x:v>
      </x:c>
      <x:c r="C24" s="377" t="n">
        <x:f>B24/1.23</x:f>
        <x:v>490.2439024390244</x:v>
      </x:c>
    </x:row>
    <x:row r="25" s="655" customFormat="1" ht="15.75" customHeight="1">
      <x:c r="A25" s="378" t="inlineStr">
        <x:is>
          <x:t xml:space="preserve">440x98</x:t>
        </x:is>
      </x:c>
      <x:c r="B25" s="376" t="n">
        <x:v>667</x:v>
      </x:c>
      <x:c r="C25" s="377" t="n">
        <x:f>B25/1.23</x:f>
        <x:v>542.2764227642276</x:v>
      </x:c>
    </x:row>
    <x:row r="26" s="655" customFormat="1" ht="15.75" customHeight="1">
      <x:c r="A26" s="379" t="inlineStr">
        <x:is>
          <x:t xml:space="preserve">490x98</x:t>
        </x:is>
      </x:c>
      <x:c r="B26" s="380" t="n">
        <x:v>753</x:v>
      </x:c>
      <x:c r="C26" s="381" t="n">
        <x:f>B26/1.23</x:f>
        <x:v>612.1951219512196</x:v>
      </x:c>
    </x:row>
    <x:row r="27" s="655" customFormat="1" ht="15.75" customHeight="1">
      <x:c r="A27" s="370" t="n"/>
      <x:c r="B27" s="371" t="n"/>
      <x:c r="C27" s="359" t="n"/>
    </x:row>
    <x:row r="28" s="655" customFormat="1" ht="15.75" customHeight="1">
      <x:c r="A28" s="382" t="inlineStr">
        <x:is>
          <x:t xml:space="preserve">SZKŁO DACHOWE BEZBARWNE :</x:t>
        </x:is>
      </x:c>
      <x:c r="B28" s="383" t="n"/>
      <x:c r="C28" s="384" t="n"/>
    </x:row>
    <x:row r="29" s="655" customFormat="1" ht="15.75" customHeight="1">
      <x:c r="A29" s="385" t="inlineStr">
        <x:is>
          <x:t xml:space="preserve">290x98</x:t>
        </x:is>
      </x:c>
      <x:c r="B29" s="386" t="n">
        <x:v>726</x:v>
      </x:c>
      <x:c r="C29" s="387" t="n">
        <x:f>B29/1.23</x:f>
        <x:v>590.2439024390244</x:v>
      </x:c>
    </x:row>
    <x:row r="30" s="655" customFormat="1" ht="15.75" customHeight="1">
      <x:c r="A30" s="388" t="inlineStr">
        <x:is>
          <x:t xml:space="preserve">340x98</x:t>
        </x:is>
      </x:c>
      <x:c r="B30" s="386" t="n">
        <x:v>851</x:v>
      </x:c>
      <x:c r="C30" s="387" t="n">
        <x:f>B30/1.23</x:f>
        <x:v>691.869918699187</x:v>
      </x:c>
    </x:row>
    <x:row r="31" s="655" customFormat="1" ht="15.75" customHeight="1">
      <x:c r="A31" s="385" t="inlineStr">
        <x:is>
          <x:t xml:space="preserve">390x98</x:t>
        </x:is>
      </x:c>
      <x:c r="B31" s="386" t="n">
        <x:v>977</x:v>
      </x:c>
      <x:c r="C31" s="387" t="n">
        <x:f>B31/1.23</x:f>
        <x:v>794.308943089431</x:v>
      </x:c>
    </x:row>
    <x:row r="32" s="655" customFormat="1" ht="15.75" customHeight="1">
      <x:c r="A32" s="385" t="inlineStr">
        <x:is>
          <x:t xml:space="preserve">290x49</x:t>
        </x:is>
      </x:c>
      <x:c r="B32" s="386" t="n">
        <x:v>363</x:v>
      </x:c>
      <x:c r="C32" s="387" t="n">
        <x:f>B32/1.23</x:f>
        <x:v>295.1219512195122</x:v>
      </x:c>
    </x:row>
    <x:row r="33" s="655" customFormat="1" ht="15.75" customHeight="1">
      <x:c r="A33" s="385" t="inlineStr">
        <x:is>
          <x:t xml:space="preserve">340x49</x:t>
        </x:is>
      </x:c>
      <x:c r="B33" s="386" t="n">
        <x:v>426</x:v>
      </x:c>
      <x:c r="C33" s="387" t="n">
        <x:f>B33/1.23</x:f>
        <x:v>346.3414634146342</x:v>
      </x:c>
    </x:row>
    <x:row r="34" s="655" customFormat="1" ht="15.75" customHeight="1">
      <x:c r="A34" s="385" t="inlineStr">
        <x:is>
          <x:t xml:space="preserve">390x49</x:t>
        </x:is>
      </x:c>
      <x:c r="B34" s="386" t="n">
        <x:v>488</x:v>
      </x:c>
      <x:c r="C34" s="387" t="n">
        <x:f>B34/1.23</x:f>
        <x:v>396.7479674796748</x:v>
      </x:c>
    </x:row>
    <x:row r="35" s="655" customFormat="1" ht="15.75" customHeight="1">
      <x:c r="A35" s="385" t="inlineStr">
        <x:is>
          <x:t xml:space="preserve">(do łączenia ze stepem w PRO+) 221,2x98</x:t>
        </x:is>
      </x:c>
      <x:c r="B35" s="386" t="n">
        <x:v>807</x:v>
      </x:c>
      <x:c r="C35" s="387" t="n">
        <x:f>B35/1.23</x:f>
        <x:v>656.0975609756098</x:v>
      </x:c>
    </x:row>
    <x:row r="36" s="655" customFormat="1" ht="15.75" customHeight="1">
      <x:c r="A36" s="389" t="inlineStr">
        <x:is>
          <x:t xml:space="preserve">(do łączenia ze stepem w PRO+) 246,2x98</x:t>
        </x:is>
      </x:c>
      <x:c r="B36" s="386" t="n">
        <x:v>901</x:v>
      </x:c>
      <x:c r="C36" s="387" t="n">
        <x:f>B36/1.23</x:f>
        <x:v>732.520325203252</x:v>
      </x:c>
    </x:row>
    <x:row r="37" s="655" customFormat="1" ht="15.75" customHeight="1">
      <x:c r="A37" s="385" t="inlineStr">
        <x:is>
          <x:t xml:space="preserve">(do łączenia ze stepem w PRO+) 221,2x49</x:t>
        </x:is>
      </x:c>
      <x:c r="B37" s="386" t="n">
        <x:v>404</x:v>
      </x:c>
      <x:c r="C37" s="387" t="n">
        <x:f>B37/1.23</x:f>
        <x:v>328.4552845528455</x:v>
      </x:c>
    </x:row>
    <x:row r="38" s="655" customFormat="1" ht="15.75" customHeight="1">
      <x:c r="A38" s="390" t="inlineStr">
        <x:is>
          <x:t xml:space="preserve">(do łączenia ze stepem w PRO+) 246,2x49</x:t>
        </x:is>
      </x:c>
      <x:c r="B38" s="391" t="n">
        <x:v>451</x:v>
      </x:c>
      <x:c r="C38" s="392" t="n">
        <x:f>B38/1.23</x:f>
        <x:v>366.6666666666667</x:v>
      </x:c>
    </x:row>
    <x:row r="39" s="655" customFormat="1" ht="15.75" customHeight="1">
      <x:c r="A39" s="223" t="n"/>
      <x:c r="B39" s="371" t="n"/>
      <x:c r="C39" s="359" t="n"/>
    </x:row>
    <x:row r="40" s="655" customFormat="1" ht="15.75" customHeight="1">
      <x:c r="A40" s="393" t="inlineStr">
        <x:is>
          <x:t xml:space="preserve">SZKŁO DACHOWE PRZYCIEMNIANE/MLECZNE :</x:t>
        </x:is>
      </x:c>
      <x:c r="B40" s="394" t="n"/>
      <x:c r="C40" s="395" t="n"/>
    </x:row>
    <x:row r="41" s="655" customFormat="1" ht="15.75" customHeight="1">
      <x:c r="A41" s="396" t="inlineStr">
        <x:is>
          <x:t xml:space="preserve">290x98</x:t>
        </x:is>
      </x:c>
      <x:c r="B41" s="397" t="n">
        <x:v>799</x:v>
      </x:c>
      <x:c r="C41" s="398" t="n">
        <x:f>B41/1.23</x:f>
        <x:v>649.5934959349594</x:v>
      </x:c>
    </x:row>
    <x:row r="42" s="655" customFormat="1" ht="15.75" customHeight="1">
      <x:c r="A42" s="399" t="inlineStr">
        <x:is>
          <x:t xml:space="preserve">340x98</x:t>
        </x:is>
      </x:c>
      <x:c r="B42" s="397" t="n">
        <x:v>937</x:v>
      </x:c>
      <x:c r="C42" s="398" t="n">
        <x:f>B42/1.23</x:f>
        <x:v>761.7886178861788</x:v>
      </x:c>
    </x:row>
    <x:row r="43" s="655" customFormat="1" ht="15.75" customHeight="1">
      <x:c r="A43" s="396" t="inlineStr">
        <x:is>
          <x:t xml:space="preserve">390x98</x:t>
        </x:is>
      </x:c>
      <x:c r="B43" s="397" t="n">
        <x:v>1074</x:v>
      </x:c>
      <x:c r="C43" s="398" t="n">
        <x:f>B43/1.23</x:f>
        <x:v>873.170731707317</x:v>
      </x:c>
    </x:row>
    <x:row r="44" s="655" customFormat="1" ht="15.75" customHeight="1">
      <x:c r="A44" s="396" t="inlineStr">
        <x:is>
          <x:t xml:space="preserve">290x49</x:t>
        </x:is>
      </x:c>
      <x:c r="B44" s="397" t="n">
        <x:v>399</x:v>
      </x:c>
      <x:c r="C44" s="398" t="n">
        <x:f>B44/1.23</x:f>
        <x:v>324.390243902439</x:v>
      </x:c>
    </x:row>
    <x:row r="45" s="655" customFormat="1" ht="15.75" customHeight="1">
      <x:c r="A45" s="396" t="inlineStr">
        <x:is>
          <x:t xml:space="preserve">340x49</x:t>
        </x:is>
      </x:c>
      <x:c r="B45" s="397" t="n">
        <x:v>468</x:v>
      </x:c>
      <x:c r="C45" s="398" t="n">
        <x:f>B45/1.23</x:f>
        <x:v>380.4878048780488</x:v>
      </x:c>
    </x:row>
    <x:row r="46" s="655" customFormat="1" ht="15.75" customHeight="1">
      <x:c r="A46" s="396" t="inlineStr">
        <x:is>
          <x:t xml:space="preserve">390x49</x:t>
        </x:is>
      </x:c>
      <x:c r="B46" s="397" t="n">
        <x:v>537</x:v>
      </x:c>
      <x:c r="C46" s="398" t="n">
        <x:f>B46/1.23</x:f>
        <x:v>436.5853658536585</x:v>
      </x:c>
    </x:row>
    <x:row r="47" s="655" customFormat="1" ht="15.75" customHeight="1">
      <x:c r="A47" s="396" t="inlineStr">
        <x:is>
          <x:t xml:space="preserve">(do łączenia ze stepem w PRO+) 221,2x98</x:t>
        </x:is>
      </x:c>
      <x:c r="B47" s="397" t="n">
        <x:v>888</x:v>
      </x:c>
      <x:c r="C47" s="398" t="n">
        <x:f>B47/1.23</x:f>
        <x:v>721.9512195121952</x:v>
      </x:c>
    </x:row>
    <x:row r="48" s="655" customFormat="1" ht="15.75" customHeight="1">
      <x:c r="A48" s="400" t="inlineStr">
        <x:is>
          <x:t xml:space="preserve">(do łączenia ze stepem w PRO+) 246,2x98</x:t>
        </x:is>
      </x:c>
      <x:c r="B48" s="397" t="n">
        <x:v>991</x:v>
      </x:c>
      <x:c r="C48" s="398" t="n">
        <x:f>B48/1.23</x:f>
        <x:v>805.6910569105692</x:v>
      </x:c>
    </x:row>
    <x:row r="49" s="655" customFormat="1" ht="15.75" customHeight="1">
      <x:c r="A49" s="396" t="inlineStr">
        <x:is>
          <x:t xml:space="preserve">(do łączenia ze stepem w PRO+) 221,2x49</x:t>
        </x:is>
      </x:c>
      <x:c r="B49" s="397" t="n">
        <x:v>444</x:v>
      </x:c>
      <x:c r="C49" s="398" t="n">
        <x:f>B49/1.23</x:f>
        <x:v>360.9756097560976</x:v>
      </x:c>
    </x:row>
    <x:row r="50" s="655" customFormat="1" ht="15.75" customHeight="1">
      <x:c r="A50" s="401" t="inlineStr">
        <x:is>
          <x:t xml:space="preserve">(do łączenia ze stepem w PRO+) 246,2x49</x:t>
        </x:is>
      </x:c>
      <x:c r="B50" s="402" t="n">
        <x:v>496</x:v>
      </x:c>
      <x:c r="C50" s="403" t="n">
        <x:f>B50/1.23</x:f>
        <x:v>403.2520325203252</x:v>
      </x:c>
    </x:row>
    <x:row r="51" s="655" customFormat="1" ht="15.75" customHeight="1">
      <x:c r="A51" s="370" t="n"/>
      <x:c r="B51" s="371" t="n"/>
      <x:c r="C51" s="359" t="n"/>
    </x:row>
    <x:row r="52" s="655" customFormat="1" ht="15.75" customHeight="1">
      <x:c r="A52" s="404" t="inlineStr">
        <x:is>
          <x:t xml:space="preserve">SZKŁO ŚCIENNE BEZBARWNE :</x:t>
        </x:is>
      </x:c>
      <x:c r="B52" s="405" t="n"/>
      <x:c r="C52" s="406" t="n"/>
    </x:row>
    <x:row r="53" s="655" customFormat="1" ht="15.75" customHeight="1">
      <x:c r="A53" s="407" t="inlineStr">
        <x:is>
          <x:t xml:space="preserve">200x98</x:t>
        </x:is>
      </x:c>
      <x:c r="B53" s="408" t="n">
        <x:v>359</x:v>
      </x:c>
      <x:c r="C53" s="409" t="n">
        <x:f>B53/1.23</x:f>
        <x:v>291.869918699187</x:v>
      </x:c>
    </x:row>
    <x:row r="54" s="655" customFormat="1" ht="15.75" customHeight="1">
      <x:c r="A54" s="407" t="inlineStr">
        <x:is>
          <x:t xml:space="preserve">210x98</x:t>
        </x:is>
      </x:c>
      <x:c r="B54" s="408" t="n">
        <x:v>374</x:v>
      </x:c>
      <x:c r="C54" s="409" t="n">
        <x:f>B54/1.23</x:f>
        <x:v>304.0650406504065</x:v>
      </x:c>
    </x:row>
    <x:row r="55" s="655" customFormat="1" ht="15.75" customHeight="1">
      <x:c r="A55" s="407" t="inlineStr">
        <x:is>
          <x:t xml:space="preserve">220x98</x:t>
        </x:is>
      </x:c>
      <x:c r="B55" s="408" t="n">
        <x:v>389</x:v>
      </x:c>
      <x:c r="C55" s="409" t="n">
        <x:f>B55/1.23</x:f>
        <x:v>316.260162601626</x:v>
      </x:c>
    </x:row>
    <x:row r="56" s="655" customFormat="1" ht="15.75" customHeight="1">
      <x:c r="A56" s="407" t="inlineStr">
        <x:is>
          <x:t xml:space="preserve">230x98</x:t>
        </x:is>
      </x:c>
      <x:c r="B56" s="408" t="n">
        <x:v>411</x:v>
      </x:c>
      <x:c r="C56" s="409" t="n">
        <x:f>B56/1.23</x:f>
        <x:v>334.1463414634146</x:v>
      </x:c>
    </x:row>
    <x:row r="57" s="655" customFormat="1" ht="15.75" customHeight="1">
      <x:c r="A57" s="407" t="inlineStr">
        <x:is>
          <x:t xml:space="preserve">240x98</x:t>
        </x:is>
      </x:c>
      <x:c r="B57" s="408" t="n">
        <x:v>433</x:v>
      </x:c>
      <x:c r="C57" s="409" t="n">
        <x:f>B57/1.23</x:f>
        <x:v>352.0325203252033</x:v>
      </x:c>
    </x:row>
    <x:row r="58" s="655" customFormat="1" ht="15.75" customHeight="1">
      <x:c r="A58" s="407" t="n"/>
      <x:c r="B58" s="408" t="n"/>
      <x:c r="C58" s="409" t="n"/>
    </x:row>
    <x:row r="59" s="655" customFormat="1" ht="15.75" customHeight="1">
      <x:c r="A59" s="407" t="inlineStr">
        <x:is>
          <x:t xml:space="preserve">200x49</x:t>
        </x:is>
      </x:c>
      <x:c r="B59" s="408" t="n">
        <x:v>178</x:v>
      </x:c>
      <x:c r="C59" s="409" t="n">
        <x:f>B59/1.23</x:f>
        <x:v>144.71544715447155</x:v>
      </x:c>
    </x:row>
    <x:row r="60" s="655" customFormat="1" ht="15.75" customHeight="1">
      <x:c r="A60" s="407" t="inlineStr">
        <x:is>
          <x:t xml:space="preserve">210x49</x:t>
        </x:is>
      </x:c>
      <x:c r="B60" s="408" t="n">
        <x:v>190</x:v>
      </x:c>
      <x:c r="C60" s="409" t="n">
        <x:f>B60/1.23</x:f>
        <x:v>154.47154471544715</x:v>
      </x:c>
    </x:row>
    <x:row r="61" s="655" customFormat="1" ht="15.75" customHeight="1">
      <x:c r="A61" s="407" t="inlineStr">
        <x:is>
          <x:t xml:space="preserve">220x49</x:t>
        </x:is>
      </x:c>
      <x:c r="B61" s="408" t="n">
        <x:v>201</x:v>
      </x:c>
      <x:c r="C61" s="409" t="n">
        <x:f>B61/1.23</x:f>
        <x:v>163.41463414634146</x:v>
      </x:c>
    </x:row>
    <x:row r="62" s="655" customFormat="1" ht="15.75" customHeight="1">
      <x:c r="A62" s="407" t="inlineStr">
        <x:is>
          <x:t xml:space="preserve">230x49</x:t>
        </x:is>
      </x:c>
      <x:c r="B62" s="408" t="n">
        <x:v>213</x:v>
      </x:c>
      <x:c r="C62" s="409" t="n">
        <x:f>B62/1.23</x:f>
        <x:v>173.1707317073171</x:v>
      </x:c>
    </x:row>
    <x:row r="63" s="655" customFormat="1" ht="15.75" customHeight="1">
      <x:c r="A63" s="410" t="inlineStr">
        <x:is>
          <x:t xml:space="preserve">240x49</x:t>
        </x:is>
      </x:c>
      <x:c r="B63" s="411" t="n">
        <x:v>223</x:v>
      </x:c>
      <x:c r="C63" s="412" t="n">
        <x:f>B63/1.23</x:f>
        <x:v>181.3008130081301</x:v>
      </x:c>
    </x:row>
    <x:row r="64" s="655" customFormat="1" ht="15.75" customHeight="1">
      <x:c r="A64" s="370" t="n"/>
      <x:c r="B64" s="371" t="n"/>
      <x:c r="C64" s="359" t="n"/>
    </x:row>
    <x:row r="65" s="655" customFormat="1" ht="15.75" customHeight="1">
      <x:c r="A65" s="413" t="inlineStr">
        <x:is>
          <x:t xml:space="preserve">SZKŁO ŚCIENNE PRZYCIEMNIANE/MLECZNE :</x:t>
        </x:is>
      </x:c>
      <x:c r="B65" s="414" t="n"/>
      <x:c r="C65" s="415" t="n"/>
    </x:row>
    <x:row r="66" s="655" customFormat="1" ht="15.75" customHeight="1">
      <x:c r="A66" s="416" t="inlineStr">
        <x:is>
          <x:t xml:space="preserve">200x98</x:t>
        </x:is>
      </x:c>
      <x:c r="B66" s="417" t="n">
        <x:v>520</x:v>
      </x:c>
      <x:c r="C66" s="418" t="n">
        <x:f>B66/1.23</x:f>
        <x:v>422.7642276422764</x:v>
      </x:c>
    </x:row>
    <x:row r="67" s="655" customFormat="1" ht="15.75" customHeight="1">
      <x:c r="A67" s="416" t="inlineStr">
        <x:is>
          <x:t xml:space="preserve">220x98</x:t>
        </x:is>
      </x:c>
      <x:c r="B67" s="417" t="n">
        <x:v>563</x:v>
      </x:c>
      <x:c r="C67" s="418" t="n">
        <x:f>B67/1.23</x:f>
        <x:v>457.7235772357724</x:v>
      </x:c>
    </x:row>
    <x:row r="68" s="655" customFormat="1" ht="15.75" customHeight="1">
      <x:c r="A68" s="416" t="inlineStr">
        <x:is>
          <x:t xml:space="preserve">240x98</x:t>
        </x:is>
      </x:c>
      <x:c r="B68" s="417" t="n">
        <x:v>628</x:v>
      </x:c>
      <x:c r="C68" s="418" t="n">
        <x:f>B68/1.23</x:f>
        <x:v>510.5691056910569</x:v>
      </x:c>
    </x:row>
    <x:row r="69" s="655" customFormat="1" ht="15.75" customHeight="1">
      <x:c r="A69" s="416" t="n"/>
      <x:c r="B69" s="417" t="n"/>
      <x:c r="C69" s="418" t="n"/>
    </x:row>
    <x:row r="70" s="655" customFormat="1" ht="15.75" customHeight="1">
      <x:c r="A70" s="416" t="inlineStr">
        <x:is>
          <x:t xml:space="preserve">200x49</x:t>
        </x:is>
      </x:c>
      <x:c r="B70" s="417" t="n">
        <x:v>232</x:v>
      </x:c>
      <x:c r="C70" s="418" t="n">
        <x:f>B70/1.23</x:f>
        <x:v>188.6178861788618</x:v>
      </x:c>
    </x:row>
    <x:row r="71" s="655" customFormat="1" ht="15.75" customHeight="1">
      <x:c r="A71" s="416" t="inlineStr">
        <x:is>
          <x:t xml:space="preserve">220x49</x:t>
        </x:is>
      </x:c>
      <x:c r="B71" s="417" t="n">
        <x:v>270</x:v>
      </x:c>
      <x:c r="C71" s="418" t="n">
        <x:f>B71/1.23</x:f>
        <x:v>219.51219512195124</x:v>
      </x:c>
    </x:row>
    <x:row r="72" s="655" customFormat="1" ht="15.75" customHeight="1">
      <x:c r="A72" s="419" t="inlineStr">
        <x:is>
          <x:t xml:space="preserve">240x49</x:t>
        </x:is>
      </x:c>
      <x:c r="B72" s="420" t="n">
        <x:v>309</x:v>
      </x:c>
      <x:c r="C72" s="421" t="n">
        <x:f>B72/1.23</x:f>
        <x:v>251.21951219512195</x:v>
      </x:c>
    </x:row>
    <x:row r="73" s="655" customFormat="1" ht="15.75" customHeight="1">
      <x:c r="A73" s="370" t="n"/>
      <x:c r="B73" s="371" t="n"/>
      <x:c r="C73" s="359" t="n"/>
    </x:row>
    <x:row r="74" s="655" customFormat="1" ht="15.75" customHeight="1">
      <x:c r="A74" s="422" t="inlineStr">
        <x:is>
          <x:t xml:space="preserve">POLIWĘGLAN LITY 8MM BEZBARWNY :</x:t>
        </x:is>
      </x:c>
      <x:c r="B74" s="423" t="n"/>
      <x:c r="C74" s="424" t="n"/>
    </x:row>
    <x:row r="75" s="655" customFormat="1" ht="15.75" customHeight="1">
      <x:c r="A75" s="425" t="inlineStr">
        <x:is>
          <x:t xml:space="preserve">290x40</x:t>
        </x:is>
      </x:c>
      <x:c r="B75" s="426" t="n">
        <x:v>314</x:v>
      </x:c>
      <x:c r="C75" s="427" t="n">
        <x:f>B75/1.23</x:f>
        <x:v>255.28455284552845</x:v>
      </x:c>
    </x:row>
    <x:row r="76" s="655" customFormat="1" ht="15.75" customHeight="1">
      <x:c r="A76" s="425" t="inlineStr">
        <x:is>
          <x:t xml:space="preserve">340x50</x:t>
        </x:is>
      </x:c>
      <x:c r="B76" s="426" t="n">
        <x:v>460</x:v>
      </x:c>
      <x:c r="C76" s="427" t="n">
        <x:f>B76/1.23</x:f>
        <x:v>373.9837398373984</x:v>
      </x:c>
    </x:row>
    <x:row r="77" s="655" customFormat="1" ht="15.75" customHeight="1">
      <x:c r="A77" s="425" t="inlineStr">
        <x:is>
          <x:t xml:space="preserve">390x60</x:t>
        </x:is>
      </x:c>
      <x:c r="B77" s="426" t="n">
        <x:v>628</x:v>
      </x:c>
      <x:c r="C77" s="427" t="n">
        <x:f>B77/1.23</x:f>
        <x:v>510.5691056910569</x:v>
      </x:c>
    </x:row>
    <x:row r="78" s="655" customFormat="1" ht="15.75" customHeight="1">
      <x:c r="A78" s="425" t="inlineStr">
        <x:is>
          <x:t xml:space="preserve">440x70</x:t>
        </x:is>
      </x:c>
      <x:c r="B78" s="426" t="n">
        <x:v>826</x:v>
      </x:c>
      <x:c r="C78" s="427" t="n">
        <x:f>B78/1.23</x:f>
        <x:v>671.5447154471544</x:v>
      </x:c>
    </x:row>
    <x:row r="79" s="655" customFormat="1" ht="15.75" customHeight="1">
      <x:c r="A79" s="425" t="inlineStr">
        <x:is>
          <x:t xml:space="preserve">490x80</x:t>
        </x:is>
      </x:c>
      <x:c r="B79" s="426" t="n">
        <x:v>1057</x:v>
      </x:c>
      <x:c r="C79" s="427" t="n">
        <x:f>B79/1.23</x:f>
        <x:v>859.349593495935</x:v>
      </x:c>
    </x:row>
    <x:row r="80" s="655" customFormat="1" ht="15.75" customHeight="1">
      <x:c r="A80" s="425" t="inlineStr">
        <x:is>
          <x:t xml:space="preserve">540x90</x:t>
        </x:is>
      </x:c>
      <x:c r="B80" s="426" t="n">
        <x:v>1265</x:v>
      </x:c>
      <x:c r="C80" s="427" t="n">
        <x:f>B80/1.23</x:f>
        <x:v>1028.4552845528456</x:v>
      </x:c>
    </x:row>
    <x:row r="81" s="655" customFormat="1" ht="15.75" customHeight="1">
      <x:c r="A81" s="428" t="inlineStr">
        <x:is>
          <x:t xml:space="preserve">590x100</x:t>
        </x:is>
      </x:c>
      <x:c r="B81" s="429" t="n">
        <x:v>1482</x:v>
      </x:c>
      <x:c r="C81" s="430" t="n">
        <x:f>B81/1.23</x:f>
        <x:v>1204.878048780488</x:v>
      </x:c>
    </x:row>
    <x:row r="82" s="655" customFormat="1" ht="15.75" customHeight="1">
      <x:c r="A82" s="370" t="n"/>
      <x:c r="B82" s="371" t="n"/>
      <x:c r="C82" s="359" t="n"/>
    </x:row>
    <x:row r="83" s="655" customFormat="1" ht="15.75" customHeight="1">
      <x:c r="A83" s="431" t="inlineStr">
        <x:is>
          <x:t xml:space="preserve">POLIWĘGLAN LITY 8MM PRZYCIEMNIONY :</x:t>
        </x:is>
      </x:c>
      <x:c r="B83" s="432" t="n"/>
      <x:c r="C83" s="433" t="n"/>
    </x:row>
    <x:row r="84" s="655" customFormat="1" ht="15.75" customHeight="1">
      <x:c r="A84" s="434" t="inlineStr">
        <x:is>
          <x:t xml:space="preserve">290x40</x:t>
        </x:is>
      </x:c>
      <x:c r="B84" s="435" t="n">
        <x:v>344</x:v>
      </x:c>
      <x:c r="C84" s="436" t="n">
        <x:f>B84/1.23</x:f>
        <x:v>279.6747967479675</x:v>
      </x:c>
    </x:row>
    <x:row r="85" s="655" customFormat="1" ht="15.75" customHeight="1">
      <x:c r="A85" s="434" t="inlineStr">
        <x:is>
          <x:t xml:space="preserve">340x50</x:t>
        </x:is>
      </x:c>
      <x:c r="B85" s="435" t="n">
        <x:v>504</x:v>
      </x:c>
      <x:c r="C85" s="436" t="n">
        <x:f>B85/1.23</x:f>
        <x:v>409.7560975609756</x:v>
      </x:c>
    </x:row>
    <x:row r="86" s="655" customFormat="1" ht="15.75" customHeight="1">
      <x:c r="A86" s="434" t="inlineStr">
        <x:is>
          <x:t xml:space="preserve">390x60</x:t>
        </x:is>
      </x:c>
      <x:c r="B86" s="435" t="n">
        <x:v>687</x:v>
      </x:c>
      <x:c r="C86" s="436" t="n">
        <x:f>B86/1.23</x:f>
        <x:v>558.5365853658536</x:v>
      </x:c>
    </x:row>
    <x:row r="87" s="655" customFormat="1" ht="15.75" customHeight="1">
      <x:c r="A87" s="434" t="inlineStr">
        <x:is>
          <x:t xml:space="preserve">440x70</x:t>
        </x:is>
      </x:c>
      <x:c r="B87" s="435" t="n">
        <x:v>905</x:v>
      </x:c>
      <x:c r="C87" s="436" t="n">
        <x:f>B87/1.23</x:f>
        <x:v>735.7723577235772</x:v>
      </x:c>
    </x:row>
    <x:row r="88" s="655" customFormat="1" ht="15.75" customHeight="1">
      <x:c r="A88" s="434" t="inlineStr">
        <x:is>
          <x:t xml:space="preserve">490x80</x:t>
        </x:is>
      </x:c>
      <x:c r="B88" s="435" t="n">
        <x:v>1157</x:v>
      </x:c>
      <x:c r="C88" s="436" t="n">
        <x:f>B88/1.23</x:f>
        <x:v>940.650406504065</x:v>
      </x:c>
    </x:row>
    <x:row r="89" s="655" customFormat="1" ht="15.75" customHeight="1">
      <x:c r="A89" s="434" t="inlineStr">
        <x:is>
          <x:t xml:space="preserve">540x90</x:t>
        </x:is>
      </x:c>
      <x:c r="B89" s="435" t="n">
        <x:v>1375</x:v>
      </x:c>
      <x:c r="C89" s="436" t="n">
        <x:f>B89/1.23</x:f>
        <x:v>1117.8861788617887</x:v>
      </x:c>
    </x:row>
    <x:row r="90" s="655" customFormat="1" ht="15.75" customHeight="1">
      <x:c r="A90" s="437" t="inlineStr">
        <x:is>
          <x:t xml:space="preserve">590x100</x:t>
        </x:is>
      </x:c>
      <x:c r="B90" s="438" t="n">
        <x:v>1602</x:v>
      </x:c>
      <x:c r="C90" s="439" t="n">
        <x:f>B90/1.23</x:f>
        <x:v>1302.439024390244</x:v>
      </x:c>
    </x:row>
  </x:sheetData>
  <x:mergeCells>
    <x:mergeCell ref="B1:C1"/>
    <x:mergeCell ref="A1:A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BFBFBF"/>
  </x:sheetPr>
  <x:sheetViews>
    <x:sheetView showGridLines="0" workbookViewId="0"/>
  </x:sheetViews>
  <x:sheetFormatPr baseColWidth="8" defaultRowHeight="14.75"/>
  <x:cols>
    <x:col min="1" max="1" width="15.7265625" style="655" customWidth="1"/>
    <x:col min="2" max="5" width="13" style="655" customWidth="1"/>
  </x:cols>
  <x:sheetData>
    <x:row r="1" s="655" customFormat="1" ht="14.25" customHeight="1"/>
    <x:row r="2" s="655" customFormat="1" ht="27" customHeight="1">
      <x:c r="A2" s="687" t="inlineStr">
        <x:is>
          <x:t xml:space="preserve">Szerokość dachu
(od ściany do słupa)</x:t>
        </x:is>
      </x:c>
      <x:c r="B2" s="687" t="inlineStr">
        <x:is>
          <x:t xml:space="preserve">Wysokość szyb ściennych </x:t>
        </x:is>
      </x:c>
      <x:c r="C2" s="687" t="inlineStr">
        <x:is>
          <x:t xml:space="preserve">Wysokość słupa 
</x:t>
        </x:is>
      </x:c>
      <x:c r="D2" s="687" t="inlineStr">
        <x:is>
          <x:t xml:space="preserve">Kąt dachu
</x:t>
        </x:is>
      </x:c>
      <x:c r="E2" s="687" t="inlineStr">
        <x:is>
          <x:t xml:space="preserve">Wysokość montażowa 
na ścianie</x:t>
        </x:is>
      </x:c>
    </x:row>
    <x:row r="3" s="655" customFormat="1" ht="14.25" customHeight="1">
      <x:c r="A3" s="688" t="n"/>
      <x:c r="B3" s="688" t="n"/>
      <x:c r="C3" s="688" t="n"/>
      <x:c r="D3" s="688" t="n"/>
      <x:c r="E3" s="688" t="n"/>
    </x:row>
    <x:row r="4" s="655" customFormat="1" ht="27" customHeight="1">
      <x:c r="A4" s="440" t="inlineStr">
        <x:is>
          <x:t xml:space="preserve">[cm]</x:t>
        </x:is>
      </x:c>
      <x:c r="B4" s="441" t="inlineStr">
        <x:is>
          <x:t xml:space="preserve">[cm]</x:t>
        </x:is>
      </x:c>
      <x:c r="C4" s="441" t="inlineStr">
        <x:is>
          <x:t xml:space="preserve">[cm]</x:t>
        </x:is>
      </x:c>
      <x:c r="D4" s="441" t="inlineStr">
        <x:is>
          <x:t xml:space="preserve">[stopnie]</x:t>
        </x:is>
      </x:c>
      <x:c r="E4" s="441" t="inlineStr">
        <x:is>
          <x:t xml:space="preserve">[cm]</x:t>
        </x:is>
      </x:c>
    </x:row>
    <x:row r="5" s="655" customFormat="1" ht="21.75" customHeight="1">
      <x:c r="A5" s="689" t="inlineStr">
        <x:is>
          <x:t xml:space="preserve">SERIA Modern PRO</x:t>
        </x:is>
      </x:c>
      <x:c r="B5" s="681" t="n"/>
      <x:c r="C5" s="681" t="n"/>
      <x:c r="D5" s="681" t="n"/>
      <x:c r="E5" s="667" t="n"/>
    </x:row>
    <x:row r="6" s="655" customFormat="1" ht="14.25" customHeight="1">
      <x:c r="A6" s="442" t="inlineStr">
        <x:is>
          <x:t xml:space="preserve">Dach 300</x:t>
        </x:is>
      </x:c>
      <x:c r="B6" s="443" t="n">
        <x:v>200</x:v>
      </x:c>
      <x:c r="C6" s="443" t="n">
        <x:v>210</x:v>
      </x:c>
      <x:c r="D6" s="443" t="inlineStr">
        <x:is>
          <x:t xml:space="preserve">8°</x:t>
        </x:is>
      </x:c>
      <x:c r="E6" s="444" t="n">
        <x:v>267</x:v>
      </x:c>
    </x:row>
    <x:row r="7" s="655" customFormat="1" ht="14.25" customHeight="1">
      <x:c r="A7" s="445" t="inlineStr">
        <x:is>
          <x:t xml:space="preserve">Dach 300</x:t>
        </x:is>
      </x:c>
      <x:c r="B7" s="446" t="n">
        <x:v>220</x:v>
      </x:c>
      <x:c r="C7" s="446" t="n">
        <x:v>230</x:v>
      </x:c>
      <x:c r="D7" s="446" t="inlineStr">
        <x:is>
          <x:t xml:space="preserve">8°</x:t>
        </x:is>
      </x:c>
      <x:c r="E7" s="447" t="n">
        <x:v>287</x:v>
      </x:c>
    </x:row>
    <x:row r="8" s="655" customFormat="1" ht="14.25" customHeight="1">
      <x:c r="A8" s="445" t="inlineStr">
        <x:is>
          <x:t xml:space="preserve">Dach 300</x:t>
        </x:is>
      </x:c>
      <x:c r="B8" s="446" t="n">
        <x:v>240</x:v>
      </x:c>
      <x:c r="C8" s="446" t="n">
        <x:v>250</x:v>
      </x:c>
      <x:c r="D8" s="446" t="inlineStr">
        <x:is>
          <x:t xml:space="preserve">8°</x:t>
        </x:is>
      </x:c>
      <x:c r="E8" s="447" t="n">
        <x:v>307</x:v>
      </x:c>
    </x:row>
    <x:row r="9" s="655" customFormat="1" ht="14.25" customHeight="1">
      <x:c r="A9" s="448" t="inlineStr">
        <x:is>
          <x:t xml:space="preserve">Dach 350</x:t>
        </x:is>
      </x:c>
      <x:c r="B9" s="449" t="n">
        <x:v>200</x:v>
      </x:c>
      <x:c r="C9" s="449" t="n">
        <x:v>210</x:v>
      </x:c>
      <x:c r="D9" s="449" t="inlineStr">
        <x:is>
          <x:t xml:space="preserve">8°</x:t>
        </x:is>
      </x:c>
      <x:c r="E9" s="450" t="n">
        <x:v>274</x:v>
      </x:c>
    </x:row>
    <x:row r="10" s="655" customFormat="1" ht="14.25" customHeight="1">
      <x:c r="A10" s="448" t="inlineStr">
        <x:is>
          <x:t xml:space="preserve">Dach 350</x:t>
        </x:is>
      </x:c>
      <x:c r="B10" s="449" t="n">
        <x:v>220</x:v>
      </x:c>
      <x:c r="C10" s="449" t="n">
        <x:v>230</x:v>
      </x:c>
      <x:c r="D10" s="449" t="inlineStr">
        <x:is>
          <x:t xml:space="preserve">8°</x:t>
        </x:is>
      </x:c>
      <x:c r="E10" s="450" t="n">
        <x:v>294</x:v>
      </x:c>
    </x:row>
    <x:row r="11" s="655" customFormat="1" ht="14.25" customHeight="1">
      <x:c r="A11" s="448" t="inlineStr">
        <x:is>
          <x:t xml:space="preserve">Dach 350</x:t>
        </x:is>
      </x:c>
      <x:c r="B11" s="449" t="n">
        <x:v>240</x:v>
      </x:c>
      <x:c r="C11" s="449" t="n">
        <x:v>250</x:v>
      </x:c>
      <x:c r="D11" s="449" t="inlineStr">
        <x:is>
          <x:t xml:space="preserve">8°</x:t>
        </x:is>
      </x:c>
      <x:c r="E11" s="450" t="n">
        <x:v>314</x:v>
      </x:c>
    </x:row>
    <x:row r="12" s="655" customFormat="1" ht="14.25" customHeight="1">
      <x:c r="A12" s="451" t="inlineStr">
        <x:is>
          <x:t xml:space="preserve">Dach 400</x:t>
        </x:is>
      </x:c>
      <x:c r="B12" s="452" t="n">
        <x:v>200</x:v>
      </x:c>
      <x:c r="C12" s="452" t="n">
        <x:v>210</x:v>
      </x:c>
      <x:c r="D12" s="452" t="inlineStr">
        <x:is>
          <x:t xml:space="preserve">8°</x:t>
        </x:is>
      </x:c>
      <x:c r="E12" s="453" t="n">
        <x:v>281</x:v>
      </x:c>
    </x:row>
    <x:row r="13" s="655" customFormat="1" ht="14.25" customHeight="1">
      <x:c r="A13" s="451" t="inlineStr">
        <x:is>
          <x:t xml:space="preserve">Dach 400</x:t>
        </x:is>
      </x:c>
      <x:c r="B13" s="452" t="n">
        <x:v>220</x:v>
      </x:c>
      <x:c r="C13" s="452" t="n">
        <x:v>230</x:v>
      </x:c>
      <x:c r="D13" s="452" t="inlineStr">
        <x:is>
          <x:t xml:space="preserve">8°</x:t>
        </x:is>
      </x:c>
      <x:c r="E13" s="453" t="n">
        <x:v>301</x:v>
      </x:c>
    </x:row>
    <x:row r="14" s="655" customFormat="1" ht="14.25" customHeight="1">
      <x:c r="A14" s="454" t="inlineStr">
        <x:is>
          <x:t xml:space="preserve">Dach 400</x:t>
        </x:is>
      </x:c>
      <x:c r="B14" s="455" t="n">
        <x:v>240</x:v>
      </x:c>
      <x:c r="C14" s="455" t="n">
        <x:v>250</x:v>
      </x:c>
      <x:c r="D14" s="455" t="inlineStr">
        <x:is>
          <x:t xml:space="preserve">8°</x:t>
        </x:is>
      </x:c>
      <x:c r="E14" s="456" t="n">
        <x:v>321</x:v>
      </x:c>
    </x:row>
    <x:row r="15" s="655" customFormat="1" ht="21" customHeight="1">
      <x:c r="A15" s="686" t="inlineStr">
        <x:is>
          <x:t xml:space="preserve">Seria Modern PRO+  </x:t>
        </x:is>
      </x:c>
      <x:c r="B15" s="681" t="n"/>
      <x:c r="C15" s="681" t="n"/>
      <x:c r="D15" s="681" t="n"/>
      <x:c r="E15" s="667" t="n"/>
    </x:row>
    <x:row r="16" s="655" customFormat="1" ht="14.25" customHeight="1">
      <x:c r="A16" s="457" t="inlineStr">
        <x:is>
          <x:t xml:space="preserve">Dach 450</x:t>
        </x:is>
      </x:c>
      <x:c r="B16" s="458" t="n">
        <x:v>200</x:v>
      </x:c>
      <x:c r="C16" s="458" t="n">
        <x:v>210</x:v>
      </x:c>
      <x:c r="D16" s="458" t="inlineStr">
        <x:is>
          <x:t xml:space="preserve">8°</x:t>
        </x:is>
      </x:c>
      <x:c r="E16" s="459" t="n">
        <x:v>293</x:v>
      </x:c>
    </x:row>
    <x:row r="17" s="655" customFormat="1" ht="14.25" customHeight="1">
      <x:c r="A17" s="460" t="inlineStr">
        <x:is>
          <x:t xml:space="preserve">Dach 450</x:t>
        </x:is>
      </x:c>
      <x:c r="B17" s="461" t="n">
        <x:v>220</x:v>
      </x:c>
      <x:c r="C17" s="461" t="n">
        <x:v>230</x:v>
      </x:c>
      <x:c r="D17" s="461" t="inlineStr">
        <x:is>
          <x:t xml:space="preserve">8°</x:t>
        </x:is>
      </x:c>
      <x:c r="E17" s="462" t="n">
        <x:v>313</x:v>
      </x:c>
    </x:row>
    <x:row r="18" s="655" customFormat="1" ht="14.25" customHeight="1">
      <x:c r="A18" s="460" t="inlineStr">
        <x:is>
          <x:t xml:space="preserve">Dach 450</x:t>
        </x:is>
      </x:c>
      <x:c r="B18" s="461" t="n">
        <x:v>240</x:v>
      </x:c>
      <x:c r="C18" s="461" t="n">
        <x:v>250</x:v>
      </x:c>
      <x:c r="D18" s="461" t="inlineStr">
        <x:is>
          <x:t xml:space="preserve">8°</x:t>
        </x:is>
      </x:c>
      <x:c r="E18" s="462" t="n">
        <x:v>333</x:v>
      </x:c>
    </x:row>
    <x:row r="19" s="655" customFormat="1" ht="14.25" customHeight="1">
      <x:c r="A19" s="463" t="inlineStr">
        <x:is>
          <x:t xml:space="preserve">Dach 500</x:t>
        </x:is>
      </x:c>
      <x:c r="B19" s="464" t="n">
        <x:v>200</x:v>
      </x:c>
      <x:c r="C19" s="464" t="n">
        <x:v>210</x:v>
      </x:c>
      <x:c r="D19" s="464" t="inlineStr">
        <x:is>
          <x:t xml:space="preserve">8°</x:t>
        </x:is>
      </x:c>
      <x:c r="E19" s="465" t="n">
        <x:v>300</x:v>
      </x:c>
    </x:row>
    <x:row r="20" s="655" customFormat="1" ht="14.25" customHeight="1">
      <x:c r="A20" s="463" t="inlineStr">
        <x:is>
          <x:t xml:space="preserve">Dach 500</x:t>
        </x:is>
      </x:c>
      <x:c r="B20" s="464" t="n">
        <x:v>220</x:v>
      </x:c>
      <x:c r="C20" s="464" t="n">
        <x:v>230</x:v>
      </x:c>
      <x:c r="D20" s="464" t="inlineStr">
        <x:is>
          <x:t xml:space="preserve">8°</x:t>
        </x:is>
      </x:c>
      <x:c r="E20" s="465" t="n">
        <x:v>320</x:v>
      </x:c>
    </x:row>
    <x:row r="21" s="655" customFormat="1" ht="14.25" customHeight="1">
      <x:c r="A21" s="463" t="inlineStr">
        <x:is>
          <x:t xml:space="preserve">Dach 500</x:t>
        </x:is>
      </x:c>
      <x:c r="B21" s="464" t="n">
        <x:v>240</x:v>
      </x:c>
      <x:c r="C21" s="464" t="n">
        <x:v>250</x:v>
      </x:c>
      <x:c r="D21" s="464" t="inlineStr">
        <x:is>
          <x:t xml:space="preserve">8°</x:t>
        </x:is>
      </x:c>
      <x:c r="E21" s="465" t="n">
        <x:v>340</x:v>
      </x:c>
    </x:row>
    <x:row r="22" s="655" customFormat="1" ht="14.25" customHeight="1">
      <x:c r="A22" s="466" t="inlineStr">
        <x:is>
          <x:t xml:space="preserve">Dach 550</x:t>
        </x:is>
      </x:c>
      <x:c r="B22" s="467" t="n">
        <x:v>200</x:v>
      </x:c>
      <x:c r="C22" s="467" t="n">
        <x:v>210</x:v>
      </x:c>
      <x:c r="D22" s="468" t="inlineStr">
        <x:is>
          <x:t xml:space="preserve">8°</x:t>
        </x:is>
      </x:c>
      <x:c r="E22" s="469" t="n">
        <x:v>307</x:v>
      </x:c>
    </x:row>
    <x:row r="23" s="655" customFormat="1" ht="14.25" customHeight="1">
      <x:c r="A23" s="470" t="inlineStr">
        <x:is>
          <x:t xml:space="preserve">Dach 550</x:t>
        </x:is>
      </x:c>
      <x:c r="B23" s="471" t="n">
        <x:v>220</x:v>
      </x:c>
      <x:c r="C23" s="471" t="n">
        <x:v>230</x:v>
      </x:c>
      <x:c r="D23" s="468" t="inlineStr">
        <x:is>
          <x:t xml:space="preserve">8°</x:t>
        </x:is>
      </x:c>
      <x:c r="E23" s="472" t="n">
        <x:v>327</x:v>
      </x:c>
    </x:row>
    <x:row r="24" s="655" customFormat="1" ht="14.25" customHeight="1">
      <x:c r="A24" s="470" t="inlineStr">
        <x:is>
          <x:t xml:space="preserve">Dach 550</x:t>
        </x:is>
      </x:c>
      <x:c r="B24" s="471" t="n">
        <x:v>240</x:v>
      </x:c>
      <x:c r="C24" s="471" t="n">
        <x:v>250</x:v>
      </x:c>
      <x:c r="D24" s="468" t="inlineStr">
        <x:is>
          <x:t xml:space="preserve">8°</x:t>
        </x:is>
      </x:c>
      <x:c r="E24" s="472" t="n">
        <x:v>347</x:v>
      </x:c>
    </x:row>
    <x:row r="25" s="655" customFormat="1" ht="14.25" customHeight="1">
      <x:c r="A25" s="473" t="inlineStr">
        <x:is>
          <x:t xml:space="preserve">Dach 600</x:t>
        </x:is>
      </x:c>
      <x:c r="B25" s="474" t="n">
        <x:v>200</x:v>
      </x:c>
      <x:c r="C25" s="474" t="n">
        <x:v>210</x:v>
      </x:c>
      <x:c r="D25" s="475" t="inlineStr">
        <x:is>
          <x:t xml:space="preserve">8°</x:t>
        </x:is>
      </x:c>
      <x:c r="E25" s="476" t="n">
        <x:v>314</x:v>
      </x:c>
    </x:row>
    <x:row r="26" s="655" customFormat="1" ht="14.25" customHeight="1">
      <x:c r="A26" s="473" t="inlineStr">
        <x:is>
          <x:t xml:space="preserve">Dach 600</x:t>
        </x:is>
      </x:c>
      <x:c r="B26" s="474" t="n">
        <x:v>220</x:v>
      </x:c>
      <x:c r="C26" s="474" t="n">
        <x:v>230</x:v>
      </x:c>
      <x:c r="D26" s="474" t="inlineStr">
        <x:is>
          <x:t xml:space="preserve">8°</x:t>
        </x:is>
      </x:c>
      <x:c r="E26" s="476" t="n">
        <x:v>334</x:v>
      </x:c>
    </x:row>
    <x:row r="27" s="655" customFormat="1" ht="14.25" customHeight="1">
      <x:c r="A27" s="477" t="inlineStr">
        <x:is>
          <x:t xml:space="preserve">Dach 600</x:t>
        </x:is>
      </x:c>
      <x:c r="B27" s="478" t="n">
        <x:v>240</x:v>
      </x:c>
      <x:c r="C27" s="478" t="n">
        <x:v>250</x:v>
      </x:c>
      <x:c r="D27" s="478" t="inlineStr">
        <x:is>
          <x:t xml:space="preserve">8°</x:t>
        </x:is>
      </x:c>
      <x:c r="E27" s="479" t="n">
        <x:v>354</x:v>
      </x:c>
    </x:row>
    <x:row r="28" s="655" customFormat="1" ht="14.25" customHeight="1"/>
    <x:row r="29" s="655" customFormat="1" ht="14.25" customHeight="1">
      <x:c r="A29" s="480" t="inlineStr">
        <x:is>
          <x:t xml:space="preserve">Dach szklany - brak możliwości zmiany kąta nachylenia dachu</x:t>
        </x:is>
      </x:c>
    </x:row>
    <x:row r="30" s="655" customFormat="1" ht="14.25" customHeight="1">
      <x:c r="A30" s="182" t="inlineStr">
        <x:is>
          <x:t xml:space="preserve">Dach poliwęglanowy - dopuszczalna modyfikacja kąta nachylenia dachu w maxymalnym zakresie 6-10 stopni</x:t>
        </x:is>
      </x:c>
    </x:row>
  </x:sheetData>
  <x:mergeCells>
    <x:mergeCell ref="A15:E15"/>
    <x:mergeCell ref="D2:D3"/>
    <x:mergeCell ref="A5:E5"/>
    <x:mergeCell ref="B2:B3"/>
    <x:mergeCell ref="A2:A3"/>
    <x:mergeCell ref="C2:C3"/>
    <x:mergeCell ref="E2:E3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808080"/>
  </x:sheetPr>
  <x:sheetViews>
    <x:sheetView showGridLines="0" workbookViewId="0"/>
  </x:sheetViews>
  <x:sheetFormatPr baseColWidth="8" defaultRowHeight="14.75"/>
  <x:cols>
    <x:col min="1" max="1" width="15.7265625" style="655" customWidth="1"/>
    <x:col min="2" max="2" width="14.26953125" style="655" customWidth="1"/>
    <x:col min="3" max="3" width="15.86328125" style="655" customWidth="1"/>
    <x:col min="4" max="4" width="13.26953125" style="655" customWidth="1"/>
    <x:col min="5" max="5" width="15.26953125" style="655" customWidth="1"/>
    <x:col min="6" max="6" width="15.40625" style="655" customWidth="1"/>
    <x:col min="7" max="7" width="16.1328125" style="655" customWidth="1"/>
    <x:col min="8" max="8" width="12.7265625" style="655" customWidth="1"/>
    <x:col min="9" max="9" width="13.86328125" style="655" customWidth="1"/>
    <x:col min="10" max="10" width="14.26953125" style="655" customWidth="1"/>
    <x:col min="11" max="11" width="15.40625" style="655" customWidth="1"/>
    <x:col min="12" max="12" width="13.86328125" style="655" customWidth="1"/>
    <x:col min="13" max="13" width="15.26953125" style="655" customWidth="1"/>
    <x:col min="14" max="14" width="15.40625" style="655" customWidth="1"/>
    <x:col min="15" max="15" width="16.1328125" style="655" customWidth="1"/>
    <x:col min="16" max="16" width="12.7265625" style="655" customWidth="1"/>
    <x:col min="17" max="17" width="13.86328125" style="655" customWidth="1"/>
    <x:col min="18" max="18" width="14.26953125" style="655" customWidth="1"/>
    <x:col min="19" max="19" width="15.40625" style="655" customWidth="1"/>
    <x:col min="20" max="20" width="15.1328125" style="655" customWidth="1"/>
    <x:col min="21" max="21" width="15.26953125" style="655" customWidth="1"/>
    <x:col min="22" max="22" width="16.1328125" style="655" customWidth="1"/>
    <x:col min="23" max="23" width="12.7265625" style="655" customWidth="1"/>
    <x:col min="24" max="24" width="13.86328125" style="655" customWidth="1"/>
    <x:col min="25" max="25" width="14.26953125" style="655" customWidth="1"/>
    <x:col min="26" max="26" width="16.1328125" style="655" customWidth="1"/>
    <x:col min="27" max="27" width="13.7265625" style="655" customWidth="1"/>
    <x:col min="28" max="28" width="15.26953125" style="655" customWidth="1"/>
    <x:col min="29" max="29" width="16.1328125" style="655" customWidth="1"/>
    <x:col min="30" max="30" width="12.7265625" style="655" customWidth="1"/>
    <x:col min="31" max="31" width="13.86328125" style="655" customWidth="1"/>
    <x:col min="32" max="32" width="14.26953125" style="655" customWidth="1"/>
    <x:col min="33" max="33" width="16.1328125" style="655" customWidth="1"/>
    <x:col min="34" max="34" width="13.7265625" style="655" customWidth="1"/>
    <x:col min="35" max="35" width="15.26953125" style="655" customWidth="1"/>
    <x:col min="36" max="36" width="16.1328125" style="655" customWidth="1"/>
    <x:col min="37" max="37" width="12.7265625" style="655" customWidth="1"/>
    <x:col min="38" max="38" width="13.86328125" style="655" customWidth="1"/>
    <x:col min="39" max="39" width="14.26953125" style="655" customWidth="1"/>
    <x:col min="40" max="40" width="15.40625" style="655" customWidth="1"/>
    <x:col min="41" max="41" width="12.40625" style="655" customWidth="1"/>
    <x:col min="42" max="42" width="15.26953125" style="655" customWidth="1"/>
    <x:col min="43" max="43" width="16.1328125" style="655" customWidth="1"/>
    <x:col min="44" max="44" width="12.7265625" style="655" customWidth="1"/>
    <x:col min="45" max="45" width="13.86328125" style="655" customWidth="1"/>
    <x:col min="46" max="46" width="14.26953125" style="655" customWidth="1"/>
    <x:col min="47" max="47" width="15.40625" style="655" customWidth="1"/>
    <x:col min="48" max="48" width="10" style="655" customWidth="1"/>
    <x:col min="49" max="49" width="14.40625" style="655" customWidth="1"/>
    <x:col min="50" max="50" width="15.26953125" style="655" customWidth="1"/>
    <x:col min="51" max="51" width="16.1328125" style="655" customWidth="1"/>
    <x:col min="52" max="52" width="12.7265625" style="655" customWidth="1"/>
    <x:col min="53" max="53" width="13.86328125" style="655" customWidth="1"/>
    <x:col min="54" max="54" width="14.26953125" style="655" customWidth="1"/>
    <x:col min="55" max="55" width="15.40625" style="655" customWidth="1"/>
    <x:col min="56" max="56" width="10" style="655" customWidth="1"/>
    <x:col min="57" max="57" width="15.26953125" style="655" customWidth="1"/>
    <x:col min="58" max="58" width="16.1328125" style="655" customWidth="1"/>
    <x:col min="59" max="59" width="12.7265625" style="655" customWidth="1"/>
    <x:col min="60" max="60" width="13.86328125" style="655" customWidth="1"/>
    <x:col min="61" max="61" width="14.26953125" style="655" customWidth="1"/>
    <x:col min="62" max="62" width="15.40625" style="655" customWidth="1"/>
    <x:col min="63" max="63" width="15.1328125" style="655" customWidth="1"/>
    <x:col min="64" max="64" width="15.26953125" style="655" customWidth="1"/>
    <x:col min="65" max="65" width="16.1328125" style="655" customWidth="1"/>
    <x:col min="66" max="66" width="12.7265625" style="655" customWidth="1"/>
    <x:col min="67" max="67" width="13.86328125" style="655" customWidth="1"/>
    <x:col min="68" max="68" width="14.26953125" style="655" customWidth="1"/>
    <x:col min="69" max="69" width="15.40625" style="655" customWidth="1"/>
    <x:col min="70" max="70" width="10" style="655" customWidth="1"/>
    <x:col min="71" max="71" width="15.26953125" style="655" customWidth="1"/>
    <x:col min="72" max="72" width="16.1328125" style="655" customWidth="1"/>
    <x:col min="73" max="73" width="12.86328125" style="655" customWidth="1"/>
    <x:col min="74" max="74" width="13.86328125" style="655" customWidth="1"/>
    <x:col min="75" max="75" width="14.26953125" style="655" customWidth="1"/>
    <x:col min="76" max="76" width="15.40625" style="655" customWidth="1"/>
    <x:col min="77" max="77" width="12" style="655" customWidth="1"/>
    <x:col min="78" max="78" width="15.26953125" style="655" customWidth="1"/>
    <x:col min="79" max="79" width="16.1328125" style="655" customWidth="1"/>
    <x:col min="80" max="80" width="12.7265625" style="655" customWidth="1"/>
    <x:col min="81" max="81" width="13.86328125" style="655" customWidth="1"/>
    <x:col min="82" max="82" width="14.26953125" style="655" customWidth="1"/>
    <x:col min="83" max="83" width="15.40625" style="655" customWidth="1"/>
    <x:col min="84" max="84" width="12" style="655" customWidth="1"/>
    <x:col min="85" max="85" width="15.26953125" style="655" customWidth="1"/>
    <x:col min="86" max="86" width="16.1328125" style="655" customWidth="1"/>
    <x:col min="87" max="87" width="12.7265625" style="655" customWidth="1"/>
    <x:col min="88" max="88" width="13.86328125" style="655" customWidth="1"/>
    <x:col min="89" max="89" width="14.26953125" style="655" customWidth="1"/>
    <x:col min="90" max="90" width="15.40625" style="655" customWidth="1"/>
    <x:col min="91" max="91" width="14.40625" style="655" customWidth="1"/>
    <x:col min="92" max="92" width="15.26953125" style="655" customWidth="1"/>
    <x:col min="93" max="93" width="16.1328125" style="655" customWidth="1"/>
    <x:col min="94" max="94" width="12.7265625" style="655" customWidth="1"/>
    <x:col min="95" max="95" width="13.86328125" style="655" customWidth="1"/>
    <x:col min="96" max="96" width="14.26953125" style="655" customWidth="1"/>
    <x:col min="97" max="97" width="15.86328125" style="655" customWidth="1"/>
    <x:col min="98" max="98" width="13.26953125" style="655" customWidth="1"/>
    <x:col min="99" max="99" width="15.26953125" style="655" customWidth="1"/>
    <x:col min="100" max="100" width="16.1328125" style="655" customWidth="1"/>
    <x:col min="101" max="101" width="12.7265625" style="655" customWidth="1"/>
    <x:col min="102" max="102" width="13.86328125" style="655" customWidth="1"/>
  </x:cols>
  <x:sheetData>
    <x:row r="1" s="655" customFormat="1" ht="17.450000762939453" customHeight="1">
      <x:c r="A1" s="481" t="n"/>
      <x:c r="B1" s="701" t="inlineStr">
        <x:is>
          <x:t xml:space="preserve">ZADASZENIE POLIWĘGLAN</x:t>
        </x:is>
      </x:c>
      <x:c r="C1" s="691" t="n"/>
      <x:c r="D1" s="691" t="n"/>
      <x:c r="E1" s="691" t="n"/>
      <x:c r="F1" s="691" t="n"/>
      <x:c r="G1" s="691" t="n"/>
      <x:c r="H1" s="691" t="n"/>
      <x:c r="I1" s="692" t="n"/>
      <x:c r="J1" s="700" t="inlineStr">
        <x:is>
          <x:t xml:space="preserve">OGRODY POLIWĘGLAN</x:t>
        </x:is>
      </x:c>
      <x:c r="K1" s="691" t="n"/>
      <x:c r="L1" s="691" t="n"/>
      <x:c r="M1" s="691" t="n"/>
      <x:c r="N1" s="691" t="n"/>
      <x:c r="O1" s="691" t="n"/>
      <x:c r="P1" s="691" t="n"/>
      <x:c r="Q1" s="692" t="n"/>
      <x:c r="R1" s="699" t="inlineStr">
        <x:is>
          <x:t xml:space="preserve">POKRYCIE DACHU SZKŁO</x:t>
        </x:is>
      </x:c>
      <x:c r="S1" s="691" t="n"/>
      <x:c r="T1" s="691" t="n"/>
      <x:c r="U1" s="691" t="n"/>
      <x:c r="V1" s="691" t="n"/>
      <x:c r="W1" s="691" t="n"/>
      <x:c r="X1" s="692" t="n"/>
      <x:c r="Y1" s="693" t="inlineStr">
        <x:is>
          <x:t xml:space="preserve">ROLETA BOCZNA</x:t>
        </x:is>
      </x:c>
      <x:c r="Z1" s="691" t="n"/>
      <x:c r="AA1" s="691" t="n"/>
      <x:c r="AB1" s="691" t="n"/>
      <x:c r="AC1" s="691" t="n"/>
      <x:c r="AD1" s="691" t="n"/>
      <x:c r="AE1" s="692" t="n"/>
      <x:c r="AF1" s="695" t="inlineStr">
        <x:is>
          <x:t xml:space="preserve">ROLETA PRZÓD </x:t>
        </x:is>
      </x:c>
      <x:c r="AG1" s="691" t="n"/>
      <x:c r="AH1" s="691" t="n"/>
      <x:c r="AI1" s="691" t="n"/>
      <x:c r="AJ1" s="691" t="n"/>
      <x:c r="AK1" s="691" t="n"/>
      <x:c r="AL1" s="692" t="n"/>
      <x:c r="AM1" s="698" t="inlineStr">
        <x:is>
          <x:t xml:space="preserve">MARKIZA</x:t>
        </x:is>
      </x:c>
      <x:c r="AN1" s="691" t="n"/>
      <x:c r="AO1" s="691" t="n"/>
      <x:c r="AP1" s="691" t="n"/>
      <x:c r="AQ1" s="691" t="n"/>
      <x:c r="AR1" s="691" t="n"/>
      <x:c r="AS1" s="692" t="n"/>
      <x:c r="AT1" s="693" t="inlineStr">
        <x:is>
          <x:t xml:space="preserve">POKRYCIE DACHU SZKŁO BARWIONE</x:t>
        </x:is>
      </x:c>
      <x:c r="AU1" s="691" t="n"/>
      <x:c r="AV1" s="691" t="n"/>
      <x:c r="AW1" s="691" t="n"/>
      <x:c r="AX1" s="691" t="n"/>
      <x:c r="AY1" s="691" t="n"/>
      <x:c r="AZ1" s="691" t="n"/>
      <x:c r="BA1" s="692" t="n"/>
      <x:c r="BB1" s="702" t="inlineStr">
        <x:is>
          <x:t xml:space="preserve">POKRYCIE DACHU POLIWĘGLAN BARWIONY</x:t>
        </x:is>
      </x:c>
      <x:c r="BC1" s="691" t="n"/>
      <x:c r="BD1" s="691" t="n"/>
      <x:c r="BE1" s="691" t="n"/>
      <x:c r="BF1" s="691" t="n"/>
      <x:c r="BG1" s="691" t="n"/>
      <x:c r="BH1" s="692" t="n"/>
      <x:c r="BI1" s="690" t="inlineStr">
        <x:is>
          <x:t xml:space="preserve">SZKŁO BOCZNE BARWIONE</x:t>
        </x:is>
      </x:c>
      <x:c r="BJ1" s="691" t="n"/>
      <x:c r="BK1" s="691" t="n"/>
      <x:c r="BL1" s="691" t="n"/>
      <x:c r="BM1" s="691" t="n"/>
      <x:c r="BN1" s="691" t="n"/>
      <x:c r="BO1" s="692" t="n"/>
      <x:c r="BP1" s="697" t="inlineStr">
        <x:is>
          <x:t xml:space="preserve">PROFILE DO WYRÓWNANIA PODŁOŻA</x:t>
        </x:is>
      </x:c>
      <x:c r="BQ1" s="691" t="n"/>
      <x:c r="BR1" s="691" t="n"/>
      <x:c r="BS1" s="691" t="n"/>
      <x:c r="BT1" s="691" t="n"/>
      <x:c r="BU1" s="691" t="n"/>
      <x:c r="BV1" s="692" t="n"/>
      <x:c r="BW1" s="695" t="inlineStr">
        <x:is>
          <x:t xml:space="preserve">SZCZOTKI</x:t>
        </x:is>
      </x:c>
      <x:c r="BX1" s="691" t="n"/>
      <x:c r="BY1" s="691" t="n"/>
      <x:c r="BZ1" s="691" t="n"/>
      <x:c r="CA1" s="691" t="n"/>
      <x:c r="CB1" s="691" t="n"/>
      <x:c r="CC1" s="692" t="n"/>
      <x:c r="CD1" s="698" t="inlineStr">
        <x:is>
          <x:t xml:space="preserve">UCHWYTY</x:t>
        </x:is>
      </x:c>
      <x:c r="CE1" s="691" t="n"/>
      <x:c r="CF1" s="691" t="n"/>
      <x:c r="CG1" s="691" t="n"/>
      <x:c r="CH1" s="691" t="n"/>
      <x:c r="CI1" s="691" t="n"/>
      <x:c r="CJ1" s="692" t="n"/>
      <x:c r="CK1" s="694" t="inlineStr">
        <x:is>
          <x:t xml:space="preserve">LED 12V</x:t>
        </x:is>
      </x:c>
      <x:c r="CL1" s="691" t="n"/>
      <x:c r="CM1" s="691" t="n"/>
      <x:c r="CN1" s="691" t="n"/>
      <x:c r="CO1" s="691" t="n"/>
      <x:c r="CP1" s="691" t="n"/>
      <x:c r="CQ1" s="692" t="n"/>
      <x:c r="CR1" s="696" t="inlineStr">
        <x:is>
          <x:t xml:space="preserve">LED COB</x:t>
        </x:is>
      </x:c>
      <x:c r="CS1" s="691" t="n"/>
      <x:c r="CT1" s="691" t="n"/>
      <x:c r="CU1" s="691" t="n"/>
      <x:c r="CV1" s="691" t="n"/>
      <x:c r="CW1" s="691" t="n"/>
      <x:c r="CX1" s="692" t="n"/>
    </x:row>
    <x:row r="2" s="655" customFormat="1" ht="55.150001525878906" customHeight="1">
      <x:c r="A2" s="482" t="inlineStr">
        <x:is>
          <x:t xml:space="preserve">Wymiar</x:t>
        </x:is>
      </x:c>
      <x:c r="B2" s="483" t="inlineStr">
        <x:is>
          <x:t xml:space="preserve">Cena zakupu netto ZP</x:t>
        </x:is>
      </x:c>
      <x:c r="C2" s="483" t="inlineStr">
        <x:is>
          <x:t xml:space="preserve">Cena po indywidualnej zniżce (3%) ZP</x:t>
        </x:is>
      </x:c>
      <x:c r="D2" s="483" t="inlineStr">
        <x:is>
          <x:t xml:space="preserve">Narzut % ZP</x:t>
        </x:is>
      </x:c>
      <x:c r="E2" s="483" t="inlineStr">
        <x:is>
          <x:t xml:space="preserve">Cena sprzedaży / cena wydania netto ZP</x:t>
        </x:is>
      </x:c>
      <x:c r="F2" s="483" t="inlineStr">
        <x:is>
          <x:t xml:space="preserve">Cena montażu netto ZP</x:t>
        </x:is>
      </x:c>
      <x:c r="G2" s="483" t="inlineStr">
        <x:is>
          <x:t xml:space="preserve">Wynagrodzenie + dodatkowe koszty ZP</x:t>
        </x:is>
      </x:c>
      <x:c r="H2" s="483" t="inlineStr">
        <x:is>
          <x:t xml:space="preserve">Czysty zysk netto ZP</x:t>
        </x:is>
      </x:c>
      <x:c r="I2" s="483" t="inlineStr">
        <x:is>
          <x:t xml:space="preserve">Rentowność % ZP</x:t>
        </x:is>
      </x:c>
      <x:c r="J2" s="484" t="inlineStr">
        <x:is>
          <x:t xml:space="preserve">Cena zakupu netto OP</x:t>
        </x:is>
      </x:c>
      <x:c r="K2" s="484" t="inlineStr">
        <x:is>
          <x:t xml:space="preserve">Cena po indywidualnej zniżce (3%) OP</x:t>
        </x:is>
      </x:c>
      <x:c r="L2" s="484" t="inlineStr">
        <x:is>
          <x:t xml:space="preserve">Narzut % OP</x:t>
        </x:is>
      </x:c>
      <x:c r="M2" s="484" t="inlineStr">
        <x:is>
          <x:t xml:space="preserve">Cena sprzedaży / cena wydania netto OP</x:t>
        </x:is>
      </x:c>
      <x:c r="N2" s="484" t="inlineStr">
        <x:is>
          <x:t xml:space="preserve">Cena montażu netto OP</x:t>
        </x:is>
      </x:c>
      <x:c r="O2" s="484" t="inlineStr">
        <x:is>
          <x:t xml:space="preserve">Wynagrodzenie + dodatkowe koszty OP</x:t>
        </x:is>
      </x:c>
      <x:c r="P2" s="484" t="inlineStr">
        <x:is>
          <x:t xml:space="preserve">Czysty zysk netto OP</x:t>
        </x:is>
      </x:c>
      <x:c r="Q2" s="484" t="inlineStr">
        <x:is>
          <x:t xml:space="preserve">Rentowność % OP</x:t>
        </x:is>
      </x:c>
      <x:c r="R2" s="485" t="inlineStr">
        <x:is>
          <x:t xml:space="preserve">Cena zakupu netto PDS</x:t>
        </x:is>
      </x:c>
      <x:c r="S2" s="485" t="inlineStr">
        <x:is>
          <x:t xml:space="preserve">Cena po indywidualnej zniżce (3%) PDS</x:t>
        </x:is>
      </x:c>
      <x:c r="T2" s="485" t="inlineStr">
        <x:is>
          <x:t xml:space="preserve">Narzut % PDS</x:t>
        </x:is>
      </x:c>
      <x:c r="U2" s="485" t="inlineStr">
        <x:is>
          <x:t xml:space="preserve">Cena sprzedaży / cena wydania netto PDS</x:t>
        </x:is>
      </x:c>
      <x:c r="V2" s="485" t="inlineStr">
        <x:is>
          <x:t xml:space="preserve">Wynagrodzenie + dodatkowe koszty PDS</x:t>
        </x:is>
      </x:c>
      <x:c r="W2" s="485" t="inlineStr">
        <x:is>
          <x:t xml:space="preserve">Czysty zysk netto PDS</x:t>
        </x:is>
      </x:c>
      <x:c r="X2" s="485" t="inlineStr">
        <x:is>
          <x:t xml:space="preserve">Rentowność % PDS</x:t>
        </x:is>
      </x:c>
      <x:c r="Y2" s="486" t="inlineStr">
        <x:is>
          <x:t xml:space="preserve">Cena zakupu netto RB</x:t>
        </x:is>
      </x:c>
      <x:c r="Z2" s="486" t="inlineStr">
        <x:is>
          <x:t xml:space="preserve">Cena po indywidualnej zniżce (3%) RB</x:t>
        </x:is>
      </x:c>
      <x:c r="AA2" s="486" t="inlineStr">
        <x:is>
          <x:t xml:space="preserve">Narzut % RB</x:t>
        </x:is>
      </x:c>
      <x:c r="AB2" s="486" t="inlineStr">
        <x:is>
          <x:t xml:space="preserve">Cena sprzedaży / cena wydania netto RB</x:t>
        </x:is>
      </x:c>
      <x:c r="AC2" s="486" t="inlineStr">
        <x:is>
          <x:t xml:space="preserve">Wynagrodzenie + dodatkowe koszty RB</x:t>
        </x:is>
      </x:c>
      <x:c r="AD2" s="486" t="inlineStr">
        <x:is>
          <x:t xml:space="preserve">Czysty zysk netto RB</x:t>
        </x:is>
      </x:c>
      <x:c r="AE2" s="486" t="inlineStr">
        <x:is>
          <x:t xml:space="preserve">Rentowność % RB</x:t>
        </x:is>
      </x:c>
      <x:c r="AF2" s="487" t="inlineStr">
        <x:is>
          <x:t xml:space="preserve">Cena zakupu netto RP</x:t>
        </x:is>
      </x:c>
      <x:c r="AG2" s="487" t="inlineStr">
        <x:is>
          <x:t xml:space="preserve">Cena po indywidualnej zniżce (3%) RP</x:t>
        </x:is>
      </x:c>
      <x:c r="AH2" s="487" t="inlineStr">
        <x:is>
          <x:t xml:space="preserve">Narzut % RP</x:t>
        </x:is>
      </x:c>
      <x:c r="AI2" s="487" t="inlineStr">
        <x:is>
          <x:t xml:space="preserve">Cena sprzedaży / cena wydania netto RP</x:t>
        </x:is>
      </x:c>
      <x:c r="AJ2" s="487" t="inlineStr">
        <x:is>
          <x:t xml:space="preserve">Wynagrodzenie + dodatkowe koszty RP</x:t>
        </x:is>
      </x:c>
      <x:c r="AK2" s="487" t="inlineStr">
        <x:is>
          <x:t xml:space="preserve">Czysty zysk netto RP</x:t>
        </x:is>
      </x:c>
      <x:c r="AL2" s="487" t="inlineStr">
        <x:is>
          <x:t xml:space="preserve">Rentowność % RP</x:t>
        </x:is>
      </x:c>
      <x:c r="AM2" s="488" t="inlineStr">
        <x:is>
          <x:t xml:space="preserve">Cena zakupu netto M</x:t>
        </x:is>
      </x:c>
      <x:c r="AN2" s="488" t="inlineStr">
        <x:is>
          <x:t xml:space="preserve">Cena po indywidualnej zniżce (3%) M</x:t>
        </x:is>
      </x:c>
      <x:c r="AO2" s="488" t="inlineStr">
        <x:is>
          <x:t xml:space="preserve">Narzut % M</x:t>
        </x:is>
      </x:c>
      <x:c r="AP2" s="488" t="inlineStr">
        <x:is>
          <x:t xml:space="preserve">Cena sprzedaży / cena wydania netto M</x:t>
        </x:is>
      </x:c>
      <x:c r="AQ2" s="488" t="inlineStr">
        <x:is>
          <x:t xml:space="preserve">Wynagrodzenie + dodatkowe koszty M</x:t>
        </x:is>
      </x:c>
      <x:c r="AR2" s="488" t="inlineStr">
        <x:is>
          <x:t xml:space="preserve">Czysty zysk netto M</x:t>
        </x:is>
      </x:c>
      <x:c r="AS2" s="488" t="inlineStr">
        <x:is>
          <x:t xml:space="preserve">Rentowność % M</x:t>
        </x:is>
      </x:c>
      <x:c r="AT2" s="486" t="inlineStr">
        <x:is>
          <x:t xml:space="preserve">Cena zakupu netto PDSB</x:t>
        </x:is>
      </x:c>
      <x:c r="AU2" s="486" t="inlineStr">
        <x:is>
          <x:t xml:space="preserve">Cena po indywidualnej zniżce (3%) PDSB</x:t>
        </x:is>
      </x:c>
      <x:c r="AV2" s="486" t="inlineStr">
        <x:is>
          <x:t xml:space="preserve">Narzut % PDSB</x:t>
        </x:is>
      </x:c>
      <x:c r="AW2" s="486" t="inlineStr">
        <x:is>
          <x:t xml:space="preserve">Dopłata netto PDSB</x:t>
        </x:is>
      </x:c>
      <x:c r="AX2" s="486" t="inlineStr">
        <x:is>
          <x:t xml:space="preserve">Cena sprzedaży / cena wydania netto PDSB</x:t>
        </x:is>
      </x:c>
      <x:c r="AY2" s="486" t="inlineStr">
        <x:is>
          <x:t xml:space="preserve">Wynagrodzenie + dodatkowe koszty PDSB</x:t>
        </x:is>
      </x:c>
      <x:c r="AZ2" s="486" t="inlineStr">
        <x:is>
          <x:t xml:space="preserve">Czysty zysk netto PDSB</x:t>
        </x:is>
      </x:c>
      <x:c r="BA2" s="486" t="inlineStr">
        <x:is>
          <x:t xml:space="preserve">Rentowność % PDSB</x:t>
        </x:is>
      </x:c>
      <x:c r="BB2" s="489" t="inlineStr">
        <x:is>
          <x:t xml:space="preserve">Cena zakupu netto PDPB</x:t>
        </x:is>
      </x:c>
      <x:c r="BC2" s="489" t="inlineStr">
        <x:is>
          <x:t xml:space="preserve">Cena po indywidualnej zniżce (3%) PDPB</x:t>
        </x:is>
      </x:c>
      <x:c r="BD2" s="489" t="inlineStr">
        <x:is>
          <x:t xml:space="preserve">Narzut % PDPB</x:t>
        </x:is>
      </x:c>
      <x:c r="BE2" s="489" t="inlineStr">
        <x:is>
          <x:t xml:space="preserve">Cena sprzedaży / cena wydania netto PDPB</x:t>
        </x:is>
      </x:c>
      <x:c r="BF2" s="489" t="inlineStr">
        <x:is>
          <x:t xml:space="preserve">Wynagrodzenie + dodatkowe koszty PDPB</x:t>
        </x:is>
      </x:c>
      <x:c r="BG2" s="489" t="inlineStr">
        <x:is>
          <x:t xml:space="preserve">Czysty zysk netto PDPB</x:t>
        </x:is>
      </x:c>
      <x:c r="BH2" s="489" t="inlineStr">
        <x:is>
          <x:t xml:space="preserve">Rentowność % PDPB</x:t>
        </x:is>
      </x:c>
      <x:c r="BI2" s="490" t="inlineStr">
        <x:is>
          <x:t xml:space="preserve">Cena zakupu netto SBB</x:t>
        </x:is>
      </x:c>
      <x:c r="BJ2" s="490" t="inlineStr">
        <x:is>
          <x:t xml:space="preserve">Cena po indywidualnej zniżce (3%) SBB</x:t>
        </x:is>
      </x:c>
      <x:c r="BK2" s="490" t="inlineStr">
        <x:is>
          <x:t xml:space="preserve">Narzut % SBB</x:t>
        </x:is>
      </x:c>
      <x:c r="BL2" s="490" t="inlineStr">
        <x:is>
          <x:t xml:space="preserve">Cena sprzedaży / cena wydania netto SBB</x:t>
        </x:is>
      </x:c>
      <x:c r="BM2" s="490" t="inlineStr">
        <x:is>
          <x:t xml:space="preserve">Wynagrodzenie + dodatkowe koszty SBB</x:t>
        </x:is>
      </x:c>
      <x:c r="BN2" s="490" t="inlineStr">
        <x:is>
          <x:t xml:space="preserve">Czysty zysk netto SBB</x:t>
        </x:is>
      </x:c>
      <x:c r="BO2" s="490" t="inlineStr">
        <x:is>
          <x:t xml:space="preserve">Rentowność % SBB</x:t>
        </x:is>
      </x:c>
      <x:c r="BP2" s="491" t="inlineStr">
        <x:is>
          <x:t xml:space="preserve">Cena zakupu netto PDWP</x:t>
        </x:is>
      </x:c>
      <x:c r="BQ2" s="491" t="inlineStr">
        <x:is>
          <x:t xml:space="preserve">Cena po indywidualnej zniżce (3%) PDWP</x:t>
        </x:is>
      </x:c>
      <x:c r="BR2" s="491" t="inlineStr">
        <x:is>
          <x:t xml:space="preserve">Narzut % PDWP</x:t>
        </x:is>
      </x:c>
      <x:c r="BS2" s="491" t="inlineStr">
        <x:is>
          <x:t xml:space="preserve">Cena sprzedaży / cena wydania netto PDWP</x:t>
        </x:is>
      </x:c>
      <x:c r="BT2" s="491" t="inlineStr">
        <x:is>
          <x:t xml:space="preserve">Wynagrodzenie + dodatkowe koszty PDWP</x:t>
        </x:is>
      </x:c>
      <x:c r="BU2" s="491" t="inlineStr">
        <x:is>
          <x:t xml:space="preserve">Czysty zysk netto PDWP</x:t>
        </x:is>
      </x:c>
      <x:c r="BV2" s="491" t="inlineStr">
        <x:is>
          <x:t xml:space="preserve">Rentowność % PDWP</x:t>
        </x:is>
      </x:c>
      <x:c r="BW2" s="487" t="inlineStr">
        <x:is>
          <x:t xml:space="preserve">Cena zakupu netto S</x:t>
        </x:is>
      </x:c>
      <x:c r="BX2" s="487" t="inlineStr">
        <x:is>
          <x:t xml:space="preserve">Cena po indywidualnej zniżce (3%) S</x:t>
        </x:is>
      </x:c>
      <x:c r="BY2" s="487" t="inlineStr">
        <x:is>
          <x:t xml:space="preserve">Narzut % S</x:t>
        </x:is>
      </x:c>
      <x:c r="BZ2" s="487" t="inlineStr">
        <x:is>
          <x:t xml:space="preserve">Cena sprzedaży / cena wydania netto S</x:t>
        </x:is>
      </x:c>
      <x:c r="CA2" s="487" t="inlineStr">
        <x:is>
          <x:t xml:space="preserve">Wynagrodzenie + dodatkowe koszty S</x:t>
        </x:is>
      </x:c>
      <x:c r="CB2" s="487" t="inlineStr">
        <x:is>
          <x:t xml:space="preserve">Czysty zysk netto S</x:t>
        </x:is>
      </x:c>
      <x:c r="CC2" s="487" t="inlineStr">
        <x:is>
          <x:t xml:space="preserve">Rentowność % S</x:t>
        </x:is>
      </x:c>
      <x:c r="CD2" s="488" t="inlineStr">
        <x:is>
          <x:t xml:space="preserve">Cena zakupu netto U</x:t>
        </x:is>
      </x:c>
      <x:c r="CE2" s="488" t="inlineStr">
        <x:is>
          <x:t xml:space="preserve">Cena po indywidualnej zniżce (3%) U</x:t>
        </x:is>
      </x:c>
      <x:c r="CF2" s="488" t="inlineStr">
        <x:is>
          <x:t xml:space="preserve">Narzut % U</x:t>
        </x:is>
      </x:c>
      <x:c r="CG2" s="488" t="inlineStr">
        <x:is>
          <x:t xml:space="preserve">Cena sprzedaży / cena wydania netto U</x:t>
        </x:is>
      </x:c>
      <x:c r="CH2" s="488" t="inlineStr">
        <x:is>
          <x:t xml:space="preserve">Wynagrodzenie + dodatkowe koszty U</x:t>
        </x:is>
      </x:c>
      <x:c r="CI2" s="488" t="inlineStr">
        <x:is>
          <x:t xml:space="preserve">Czysty zysk netto U</x:t>
        </x:is>
      </x:c>
      <x:c r="CJ2" s="488" t="inlineStr">
        <x:is>
          <x:t xml:space="preserve">Rentowność % U</x:t>
        </x:is>
      </x:c>
      <x:c r="CK2" s="492" t="inlineStr">
        <x:is>
          <x:t xml:space="preserve">Cena zakupu netto L12</x:t>
        </x:is>
      </x:c>
      <x:c r="CL2" s="492" t="inlineStr">
        <x:is>
          <x:t xml:space="preserve">Cena po indywidualnej zniżce (3%) L12</x:t>
        </x:is>
      </x:c>
      <x:c r="CM2" s="492" t="inlineStr">
        <x:is>
          <x:t xml:space="preserve">Narzut % L12</x:t>
        </x:is>
      </x:c>
      <x:c r="CN2" s="492" t="inlineStr">
        <x:is>
          <x:t xml:space="preserve">Cena sprzedaży / cena wydania netto L12</x:t>
        </x:is>
      </x:c>
      <x:c r="CO2" s="492" t="inlineStr">
        <x:is>
          <x:t xml:space="preserve">Wynagrodzenie + dodatkowe koszty L12</x:t>
        </x:is>
      </x:c>
      <x:c r="CP2" s="492" t="inlineStr">
        <x:is>
          <x:t xml:space="preserve">Czysty zysk netto L12</x:t>
        </x:is>
      </x:c>
      <x:c r="CQ2" s="492" t="inlineStr">
        <x:is>
          <x:t xml:space="preserve">Rentowność % L12</x:t>
        </x:is>
      </x:c>
      <x:c r="CR2" s="493" t="inlineStr">
        <x:is>
          <x:t xml:space="preserve">Cena zakupu netto LC</x:t>
        </x:is>
      </x:c>
      <x:c r="CS2" s="493" t="inlineStr">
        <x:is>
          <x:t xml:space="preserve">Cena po indywidualnej zniżce (3%) LC</x:t>
        </x:is>
      </x:c>
      <x:c r="CT2" s="493" t="inlineStr">
        <x:is>
          <x:t xml:space="preserve">Narzut % LC</x:t>
        </x:is>
      </x:c>
      <x:c r="CU2" s="493" t="inlineStr">
        <x:is>
          <x:t xml:space="preserve">Cena sprzedaży / cena wydania netto LC</x:t>
        </x:is>
      </x:c>
      <x:c r="CV2" s="493" t="inlineStr">
        <x:is>
          <x:t xml:space="preserve">Wynagrodzenie + dodatkowe koszty LC</x:t>
        </x:is>
      </x:c>
      <x:c r="CW2" s="493" t="inlineStr">
        <x:is>
          <x:t xml:space="preserve">Czysty zysk netto LC</x:t>
        </x:is>
      </x:c>
      <x:c r="CX2" s="493" t="inlineStr">
        <x:is>
          <x:t xml:space="preserve">Rentowność % LC</x:t>
        </x:is>
      </x:c>
    </x:row>
    <x:row r="3" s="655" customFormat="1" ht="13.899999618530273" customHeight="1">
      <x:c r="A3" s="494" t="inlineStr">
        <x:is>
          <x:t xml:space="preserve">300 x 306 cm</x:t>
        </x:is>
      </x:c>
      <x:c r="B3" s="495" t="n">
        <x:v>3358</x:v>
      </x:c>
      <x:c r="C3" s="495" t="n">
        <x:v>3257</x:v>
      </x:c>
      <x:c r="D3" s="495" t="n">
        <x:v>60</x:v>
      </x:c>
      <x:c r="E3" s="495" t="n">
        <x:v>5212</x:v>
      </x:c>
      <x:c r="F3" s="495" t="n">
        <x:v>2550</x:v>
      </x:c>
      <x:c r="G3" s="495" t="n">
        <x:v>730</x:v>
      </x:c>
      <x:c r="H3" s="495" t="n">
        <x:v>3518</x:v>
      </x:c>
      <x:c r="I3" s="495" t="n">
        <x:v>46</x:v>
      </x:c>
      <x:c r="J3" s="496" t="n">
        <x:v>11382</x:v>
      </x:c>
      <x:c r="K3" s="496" t="n">
        <x:v>11041</x:v>
      </x:c>
      <x:c r="L3" s="496" t="n">
        <x:v>65</x:v>
      </x:c>
      <x:c r="M3" s="496" t="n">
        <x:v>18218</x:v>
      </x:c>
      <x:c r="N3" s="496" t="n">
        <x:v>3460</x:v>
      </x:c>
      <x:c r="O3" s="496" t="n">
        <x:v>1020</x:v>
      </x:c>
      <x:c r="P3" s="496" t="n">
        <x:v>8729</x:v>
      </x:c>
      <x:c r="Q3" s="496" t="n">
        <x:v>41</x:v>
      </x:c>
      <x:c r="R3" s="497" t="n">
        <x:v>1610</x:v>
      </x:c>
      <x:c r="S3" s="497" t="n">
        <x:v>1562</x:v>
      </x:c>
      <x:c r="T3" s="497" t="n">
        <x:v>65</x:v>
      </x:c>
      <x:c r="U3" s="497" t="n">
        <x:v>2578</x:v>
      </x:c>
      <x:c r="V3" s="497" t="n">
        <x:v>200</x:v>
      </x:c>
      <x:c r="W3" s="497" t="n">
        <x:v>768</x:v>
      </x:c>
      <x:c r="X3" s="497" t="n">
        <x:v>30</x:v>
      </x:c>
      <x:c r="Y3" s="498" t="n">
        <x:v>1740</x:v>
      </x:c>
      <x:c r="Z3" s="498" t="n">
        <x:v>1688</x:v>
      </x:c>
      <x:c r="AA3" s="498" t="n">
        <x:v>60</x:v>
      </x:c>
      <x:c r="AB3" s="498" t="n">
        <x:v>2701</x:v>
      </x:c>
      <x:c r="AC3" s="498" t="n">
        <x:v>150</x:v>
      </x:c>
      <x:c r="AD3" s="498" t="n">
        <x:v>811</x:v>
      </x:c>
      <x:c r="AE3" s="498" t="n">
        <x:v>31</x:v>
      </x:c>
      <x:c r="AF3" s="499" t="n">
        <x:v>1740</x:v>
      </x:c>
      <x:c r="AG3" s="499" t="n">
        <x:v>1688</x:v>
      </x:c>
      <x:c r="AH3" s="499" t="n">
        <x:v>60</x:v>
      </x:c>
      <x:c r="AI3" s="499" t="n">
        <x:v>2701</x:v>
      </x:c>
      <x:c r="AJ3" s="499" t="n">
        <x:v>150</x:v>
      </x:c>
      <x:c r="AK3" s="499" t="n">
        <x:v>811.16</x:v>
      </x:c>
      <x:c r="AL3" s="499" t="n">
        <x:v>31</x:v>
      </x:c>
      <x:c r="AM3" s="500" t="n">
        <x:v>3171</x:v>
      </x:c>
      <x:c r="AN3" s="500" t="n">
        <x:v>3076</x:v>
      </x:c>
      <x:c r="AO3" s="500" t="n">
        <x:v>60</x:v>
      </x:c>
      <x:c r="AP3" s="500" t="n">
        <x:v>4922</x:v>
      </x:c>
      <x:c r="AQ3" s="500" t="n">
        <x:v>200</x:v>
      </x:c>
      <x:c r="AR3" s="500" t="n">
        <x:v>1551</x:v>
      </x:c>
      <x:c r="AS3" s="500" t="n">
        <x:v>32</x:v>
      </x:c>
      <x:c r="AT3" s="498" t="n">
        <x:v>276</x:v>
      </x:c>
      <x:c r="AU3" s="498" t="n">
        <x:v>269</x:v>
      </x:c>
      <x:c r="AV3" s="498" t="n">
        <x:v>60</x:v>
      </x:c>
      <x:c r="AW3" s="498" t="n">
        <x:v>431</x:v>
      </x:c>
      <x:c r="AX3" s="498" t="n">
        <x:v>3009</x:v>
      </x:c>
      <x:c r="AY3" s="498" t="n">
        <x:v>0</x:v>
      </x:c>
      <x:c r="AZ3" s="498" t="n">
        <x:v>155</x:v>
      </x:c>
      <x:c r="BA3" s="498" t="n">
        <x:v>36</x:v>
      </x:c>
      <x:c r="BB3" s="501" t="n">
        <x:v>98</x:v>
      </x:c>
      <x:c r="BC3" s="501" t="n">
        <x:v>95</x:v>
      </x:c>
      <x:c r="BD3" s="501" t="n">
        <x:v>60</x:v>
      </x:c>
      <x:c r="BE3" s="501" t="n">
        <x:v>152</x:v>
      </x:c>
      <x:c r="BF3" s="501" t="n">
        <x:v>0</x:v>
      </x:c>
      <x:c r="BG3" s="501" t="n">
        <x:v>54</x:v>
      </x:c>
      <x:c r="BH3" s="501" t="n">
        <x:v>36</x:v>
      </x:c>
      <x:c r="BI3" s="502" t="n">
        <x:v>878</x:v>
      </x:c>
      <x:c r="BJ3" s="502" t="n">
        <x:v>852</x:v>
      </x:c>
      <x:c r="BK3" s="502" t="n">
        <x:v>60</x:v>
      </x:c>
      <x:c r="BL3" s="502" t="n">
        <x:v>1364</x:v>
      </x:c>
      <x:c r="BM3" s="502" t="n">
        <x:v>0</x:v>
      </x:c>
      <x:c r="BN3" s="502" t="n">
        <x:v>486</x:v>
      </x:c>
      <x:c r="BO3" s="502" t="n">
        <x:v>36</x:v>
      </x:c>
      <x:c r="BP3" s="503" t="n">
        <x:v>537</x:v>
      </x:c>
      <x:c r="BQ3" s="503" t="n">
        <x:v>521</x:v>
      </x:c>
      <x:c r="BR3" s="503" t="n">
        <x:v>120</x:v>
      </x:c>
      <x:c r="BS3" s="503" t="n">
        <x:v>1147</x:v>
      </x:c>
      <x:c r="BT3" s="503" t="n">
        <x:v>250</x:v>
      </x:c>
      <x:c r="BU3" s="503" t="n">
        <x:v>360</x:v>
      </x:c>
      <x:c r="BV3" s="503" t="n">
        <x:v>32</x:v>
      </x:c>
      <x:c r="BW3" s="499" t="n">
        <x:v>276</x:v>
      </x:c>
      <x:c r="BX3" s="499" t="n">
        <x:v>269</x:v>
      </x:c>
      <x:c r="BY3" s="499" t="n">
        <x:v>60</x:v>
      </x:c>
      <x:c r="BZ3" s="499" t="n">
        <x:v>431</x:v>
      </x:c>
      <x:c r="CA3" s="499" t="n">
        <x:v>0</x:v>
      </x:c>
      <x:c r="CB3" s="499" t="n">
        <x:v>155</x:v>
      </x:c>
      <x:c r="CC3" s="499" t="n">
        <x:v>36</x:v>
      </x:c>
      <x:c r="CD3" s="500" t="n">
        <x:v>252</x:v>
      </x:c>
      <x:c r="CE3" s="500" t="n">
        <x:v>245</x:v>
      </x:c>
      <x:c r="CF3" s="500" t="n">
        <x:v>60</x:v>
      </x:c>
      <x:c r="CG3" s="500" t="n">
        <x:v>392</x:v>
      </x:c>
      <x:c r="CH3" s="500" t="n">
        <x:v>0</x:v>
      </x:c>
      <x:c r="CI3" s="500" t="n">
        <x:v>140</x:v>
      </x:c>
      <x:c r="CJ3" s="500" t="n">
        <x:v>36</x:v>
      </x:c>
      <x:c r="CK3" s="504" t="n"/>
      <x:c r="CL3" s="504" t="n"/>
      <x:c r="CM3" s="504" t="n"/>
      <x:c r="CN3" s="504" t="n">
        <x:v>925</x:v>
      </x:c>
      <x:c r="CO3" s="504" t="n">
        <x:v>0</x:v>
      </x:c>
      <x:c r="CP3" s="504" t="n">
        <x:v>925</x:v>
      </x:c>
      <x:c r="CQ3" s="504" t="n">
        <x:v>100</x:v>
      </x:c>
      <x:c r="CR3" s="505" t="n"/>
      <x:c r="CS3" s="505" t="n"/>
      <x:c r="CT3" s="505" t="n"/>
      <x:c r="CU3" s="505" t="n">
        <x:v>1533</x:v>
      </x:c>
      <x:c r="CV3" s="505" t="n">
        <x:v>0</x:v>
      </x:c>
      <x:c r="CW3" s="505" t="n">
        <x:v>1533</x:v>
      </x:c>
      <x:c r="CX3" s="505" t="n">
        <x:v>100</x:v>
      </x:c>
    </x:row>
    <x:row r="4" s="655" customFormat="1" ht="13.899999618530273" customHeight="1">
      <x:c r="A4" s="494" t="inlineStr">
        <x:is>
          <x:t xml:space="preserve">300 x 406 cm</x:t>
        </x:is>
      </x:c>
      <x:c r="B4" s="495" t="n">
        <x:v>4285</x:v>
      </x:c>
      <x:c r="C4" s="495" t="n">
        <x:v>4157</x:v>
      </x:c>
      <x:c r="D4" s="495" t="n"/>
      <x:c r="E4" s="495" t="n">
        <x:v>6652</x:v>
      </x:c>
      <x:c r="F4" s="495" t="n">
        <x:v>2860</x:v>
      </x:c>
      <x:c r="G4" s="495" t="n">
        <x:v>870</x:v>
      </x:c>
      <x:c r="H4" s="495" t="n">
        <x:v>4158</x:v>
      </x:c>
      <x:c r="I4" s="495" t="n">
        <x:v>44</x:v>
      </x:c>
      <x:c r="J4" s="496" t="n">
        <x:v>13049</x:v>
      </x:c>
      <x:c r="K4" s="496" t="n">
        <x:v>12658</x:v>
      </x:c>
      <x:c r="L4" s="496" t="n"/>
      <x:c r="M4" s="496" t="n">
        <x:v>20886</x:v>
      </x:c>
      <x:c r="N4" s="496" t="n">
        <x:v>3700</x:v>
      </x:c>
      <x:c r="O4" s="496" t="n">
        <x:v>1220</x:v>
      </x:c>
      <x:c r="P4" s="496" t="n">
        <x:v>9691</x:v>
      </x:c>
      <x:c r="Q4" s="496" t="n">
        <x:v>40</x:v>
      </x:c>
      <x:c r="R4" s="497" t="n">
        <x:v>1829</x:v>
      </x:c>
      <x:c r="S4" s="497" t="n">
        <x:v>1775</x:v>
      </x:c>
      <x:c r="T4" s="497" t="n"/>
      <x:c r="U4" s="497" t="n">
        <x:v>2929</x:v>
      </x:c>
      <x:c r="V4" s="497" t="n">
        <x:v>240</x:v>
      </x:c>
      <x:c r="W4" s="497" t="n">
        <x:v>860</x:v>
      </x:c>
      <x:c r="X4" s="497" t="n">
        <x:v>30</x:v>
      </x:c>
      <x:c r="Y4" s="498" t="n">
        <x:v>1740</x:v>
      </x:c>
      <x:c r="Z4" s="498" t="n">
        <x:v>1688</x:v>
      </x:c>
      <x:c r="AA4" s="498" t="n"/>
      <x:c r="AB4" s="498" t="n">
        <x:v>2701</x:v>
      </x:c>
      <x:c r="AC4" s="498" t="n">
        <x:v>150</x:v>
      </x:c>
      <x:c r="AD4" s="498" t="n">
        <x:v>811</x:v>
      </x:c>
      <x:c r="AE4" s="498" t="n">
        <x:v>31</x:v>
      </x:c>
      <x:c r="AF4" s="499" t="n">
        <x:v>2146</x:v>
      </x:c>
      <x:c r="AG4" s="499" t="n">
        <x:v>2082</x:v>
      </x:c>
      <x:c r="AH4" s="499" t="n"/>
      <x:c r="AI4" s="499" t="n">
        <x:v>3332</x:v>
      </x:c>
      <x:c r="AJ4" s="499" t="n">
        <x:v>150</x:v>
      </x:c>
      <x:c r="AK4" s="499" t="n">
        <x:v>1035.66</x:v>
      </x:c>
      <x:c r="AL4" s="499" t="n">
        <x:v>32</x:v>
      </x:c>
      <x:c r="AM4" s="500" t="n">
        <x:v>3496</x:v>
      </x:c>
      <x:c r="AN4" s="500" t="n">
        <x:v>3392</x:v>
      </x:c>
      <x:c r="AO4" s="500" t="n"/>
      <x:c r="AP4" s="500" t="n">
        <x:v>5428</x:v>
      </x:c>
      <x:c r="AQ4" s="500" t="n">
        <x:v>250</x:v>
      </x:c>
      <x:c r="AR4" s="500" t="n">
        <x:v>1682</x:v>
      </x:c>
      <x:c r="AS4" s="500" t="n">
        <x:v>31</x:v>
      </x:c>
      <x:c r="AT4" s="498" t="n">
        <x:v>366</x:v>
      </x:c>
      <x:c r="AU4" s="498" t="n">
        <x:v>355</x:v>
      </x:c>
      <x:c r="AV4" s="498" t="n"/>
      <x:c r="AW4" s="498" t="n">
        <x:v>568</x:v>
      </x:c>
      <x:c r="AX4" s="498" t="n">
        <x:v>3497</x:v>
      </x:c>
      <x:c r="AY4" s="498" t="n">
        <x:v>0</x:v>
      </x:c>
      <x:c r="AZ4" s="498" t="n">
        <x:v>202</x:v>
      </x:c>
      <x:c r="BA4" s="498" t="n">
        <x:v>36</x:v>
      </x:c>
      <x:c r="BB4" s="501" t="n">
        <x:v>150</x:v>
      </x:c>
      <x:c r="BC4" s="501" t="n">
        <x:v>146</x:v>
      </x:c>
      <x:c r="BD4" s="501" t="n"/>
      <x:c r="BE4" s="501" t="n">
        <x:v>234</x:v>
      </x:c>
      <x:c r="BF4" s="501" t="n">
        <x:v>0</x:v>
      </x:c>
      <x:c r="BG4" s="501" t="n">
        <x:v>84</x:v>
      </x:c>
      <x:c r="BH4" s="501" t="n">
        <x:v>36</x:v>
      </x:c>
      <x:c r="BI4" s="502" t="n">
        <x:v>976</x:v>
      </x:c>
      <x:c r="BJ4" s="502" t="n">
        <x:v>947</x:v>
      </x:c>
      <x:c r="BK4" s="502" t="n"/>
      <x:c r="BL4" s="502" t="n">
        <x:v>1516</x:v>
      </x:c>
      <x:c r="BM4" s="502" t="n">
        <x:v>0</x:v>
      </x:c>
      <x:c r="BN4" s="502" t="n">
        <x:v>540</x:v>
      </x:c>
      <x:c r="BO4" s="502" t="n">
        <x:v>36</x:v>
      </x:c>
      <x:c r="BP4" s="503" t="n">
        <x:v>626</x:v>
      </x:c>
      <x:c r="BQ4" s="503" t="n">
        <x:v>608</x:v>
      </x:c>
      <x:c r="BR4" s="503" t="n"/>
      <x:c r="BS4" s="503" t="n">
        <x:v>1338</x:v>
      </x:c>
      <x:c r="BT4" s="503" t="n">
        <x:v>290</x:v>
      </x:c>
      <x:c r="BU4" s="503" t="n">
        <x:v>422</x:v>
      </x:c>
      <x:c r="BV4" s="503" t="n">
        <x:v>32</x:v>
      </x:c>
      <x:c r="BW4" s="499" t="n">
        <x:v>309</x:v>
      </x:c>
      <x:c r="BX4" s="499" t="n">
        <x:v>300</x:v>
      </x:c>
      <x:c r="BY4" s="499" t="n"/>
      <x:c r="BZ4" s="499" t="n">
        <x:v>480</x:v>
      </x:c>
      <x:c r="CA4" s="499" t="n">
        <x:v>0</x:v>
      </x:c>
      <x:c r="CB4" s="499" t="n">
        <x:v>171</x:v>
      </x:c>
      <x:c r="CC4" s="499" t="n">
        <x:v>36</x:v>
      </x:c>
      <x:c r="CD4" s="500" t="n">
        <x:v>276</x:v>
      </x:c>
      <x:c r="CE4" s="500" t="n">
        <x:v>269</x:v>
      </x:c>
      <x:c r="CF4" s="500" t="n"/>
      <x:c r="CG4" s="500" t="n">
        <x:v>431</x:v>
      </x:c>
      <x:c r="CH4" s="500" t="n">
        <x:v>0</x:v>
      </x:c>
      <x:c r="CI4" s="500" t="n">
        <x:v>155</x:v>
      </x:c>
      <x:c r="CJ4" s="500" t="n">
        <x:v>36</x:v>
      </x:c>
      <x:c r="CK4" s="504" t="n"/>
      <x:c r="CL4" s="504" t="n"/>
      <x:c r="CM4" s="504" t="n"/>
      <x:c r="CN4" s="504" t="n">
        <x:v>1430</x:v>
      </x:c>
      <x:c r="CO4" s="504" t="n">
        <x:v>0</x:v>
      </x:c>
      <x:c r="CP4" s="504" t="n">
        <x:v>1430</x:v>
      </x:c>
      <x:c r="CQ4" s="504" t="n">
        <x:v>100</x:v>
      </x:c>
      <x:c r="CR4" s="505" t="n"/>
      <x:c r="CS4" s="505" t="n"/>
      <x:c r="CT4" s="505" t="n"/>
      <x:c r="CU4" s="505" t="n">
        <x:v>1798</x:v>
      </x:c>
      <x:c r="CV4" s="505" t="n">
        <x:v>0</x:v>
      </x:c>
      <x:c r="CW4" s="505" t="n">
        <x:v>1798</x:v>
      </x:c>
      <x:c r="CX4" s="505" t="n">
        <x:v>100</x:v>
      </x:c>
    </x:row>
    <x:row r="5" s="655" customFormat="1" ht="13.899999618530273" customHeight="1">
      <x:c r="A5" s="494" t="inlineStr">
        <x:is>
          <x:t xml:space="preserve">300 x 506 cm</x:t>
        </x:is>
      </x:c>
      <x:c r="B5" s="495" t="n">
        <x:v>5350</x:v>
      </x:c>
      <x:c r="C5" s="495" t="n">
        <x:v>5190</x:v>
      </x:c>
      <x:c r="D5" s="495" t="n"/>
      <x:c r="E5" s="495" t="n">
        <x:v>8304</x:v>
      </x:c>
      <x:c r="F5" s="495" t="n">
        <x:v>3080</x:v>
      </x:c>
      <x:c r="G5" s="495" t="n">
        <x:v>980</x:v>
      </x:c>
      <x:c r="H5" s="495" t="n">
        <x:v>4805</x:v>
      </x:c>
      <x:c r="I5" s="495" t="n">
        <x:v>43</x:v>
      </x:c>
      <x:c r="J5" s="496" t="n">
        <x:v>15049</x:v>
      </x:c>
      <x:c r="K5" s="496" t="n">
        <x:v>14598</x:v>
      </x:c>
      <x:c r="L5" s="496" t="n"/>
      <x:c r="M5" s="496" t="n">
        <x:v>24087</x:v>
      </x:c>
      <x:c r="N5" s="496" t="n">
        <x:v>4400</x:v>
      </x:c>
      <x:c r="O5" s="496" t="n">
        <x:v>1370</x:v>
      </x:c>
      <x:c r="P5" s="496" t="n">
        <x:v>11346</x:v>
      </x:c>
      <x:c r="Q5" s="496" t="n">
        <x:v>40</x:v>
      </x:c>
      <x:c r="R5" s="497" t="n">
        <x:v>2268</x:v>
      </x:c>
      <x:c r="S5" s="497" t="n">
        <x:v>2201</x:v>
      </x:c>
      <x:c r="T5" s="497" t="n"/>
      <x:c r="U5" s="497" t="n">
        <x:v>3632</x:v>
      </x:c>
      <x:c r="V5" s="497" t="n">
        <x:v>270</x:v>
      </x:c>
      <x:c r="W5" s="497" t="n">
        <x:v>1094</x:v>
      </x:c>
      <x:c r="X5" s="497" t="n">
        <x:v>31</x:v>
      </x:c>
      <x:c r="Y5" s="498" t="n">
        <x:v>1740</x:v>
      </x:c>
      <x:c r="Z5" s="498" t="n">
        <x:v>1688</x:v>
      </x:c>
      <x:c r="AA5" s="498" t="n"/>
      <x:c r="AB5" s="498" t="n">
        <x:v>2701</x:v>
      </x:c>
      <x:c r="AC5" s="498" t="n">
        <x:v>150</x:v>
      </x:c>
      <x:c r="AD5" s="498" t="n">
        <x:v>811</x:v>
      </x:c>
      <x:c r="AE5" s="498" t="n">
        <x:v>31</x:v>
      </x:c>
      <x:c r="AF5" s="499" t="n">
        <x:v>3008</x:v>
      </x:c>
      <x:c r="AG5" s="499" t="n">
        <x:v>2918</x:v>
      </x:c>
      <x:c r="AH5" s="499" t="n"/>
      <x:c r="AI5" s="499" t="n">
        <x:v>4669</x:v>
      </x:c>
      <x:c r="AJ5" s="499" t="n">
        <x:v>300</x:v>
      </x:c>
      <x:c r="AK5" s="499" t="n">
        <x:v>1360.87</x:v>
      </x:c>
      <x:c r="AL5" s="499" t="n">
        <x:v>30</x:v>
      </x:c>
      <x:c r="AM5" s="500" t="n">
        <x:v>4049</x:v>
      </x:c>
      <x:c r="AN5" s="500" t="n">
        <x:v>3928</x:v>
      </x:c>
      <x:c r="AO5" s="500" t="n"/>
      <x:c r="AP5" s="500" t="n">
        <x:v>6285</x:v>
      </x:c>
      <x:c r="AQ5" s="500" t="n">
        <x:v>300</x:v>
      </x:c>
      <x:c r="AR5" s="500" t="n">
        <x:v>1936</x:v>
      </x:c>
      <x:c r="AS5" s="500" t="n">
        <x:v>31</x:v>
      </x:c>
      <x:c r="AT5" s="498" t="n">
        <x:v>455</x:v>
      </x:c>
      <x:c r="AU5" s="498" t="n">
        <x:v>442</x:v>
      </x:c>
      <x:c r="AV5" s="498" t="n"/>
      <x:c r="AW5" s="498" t="n">
        <x:v>708</x:v>
      </x:c>
      <x:c r="AX5" s="498" t="n">
        <x:v>4340</x:v>
      </x:c>
      <x:c r="AY5" s="498" t="n">
        <x:v>0</x:v>
      </x:c>
      <x:c r="AZ5" s="498" t="n">
        <x:v>253</x:v>
      </x:c>
      <x:c r="BA5" s="498" t="n">
        <x:v>36</x:v>
      </x:c>
      <x:c r="BB5" s="501" t="n">
        <x:v>203</x:v>
      </x:c>
      <x:c r="BC5" s="501" t="n">
        <x:v>198</x:v>
      </x:c>
      <x:c r="BD5" s="501" t="n"/>
      <x:c r="BE5" s="501" t="n">
        <x:v>317</x:v>
      </x:c>
      <x:c r="BF5" s="501" t="n">
        <x:v>0</x:v>
      </x:c>
      <x:c r="BG5" s="501" t="n">
        <x:v>114</x:v>
      </x:c>
      <x:c r="BH5" s="501" t="n">
        <x:v>36</x:v>
      </x:c>
      <x:c r="BI5" s="502" t="n">
        <x:v>1073</x:v>
      </x:c>
      <x:c r="BJ5" s="502" t="n">
        <x:v>1041</x:v>
      </x:c>
      <x:c r="BK5" s="502" t="n"/>
      <x:c r="BL5" s="502" t="n">
        <x:v>1666</x:v>
      </x:c>
      <x:c r="BM5" s="502" t="n">
        <x:v>0</x:v>
      </x:c>
      <x:c r="BN5" s="502" t="n">
        <x:v>593</x:v>
      </x:c>
      <x:c r="BO5" s="502" t="n">
        <x:v>36</x:v>
      </x:c>
      <x:c r="BP5" s="503" t="n">
        <x:v>740</x:v>
      </x:c>
      <x:c r="BQ5" s="503" t="n">
        <x:v>718</x:v>
      </x:c>
      <x:c r="BR5" s="503" t="n"/>
      <x:c r="BS5" s="503" t="n">
        <x:v>1580</x:v>
      </x:c>
      <x:c r="BT5" s="503" t="n">
        <x:v>350</x:v>
      </x:c>
      <x:c r="BU5" s="503" t="n">
        <x:v>490</x:v>
      </x:c>
      <x:c r="BV5" s="503" t="n">
        <x:v>32</x:v>
      </x:c>
      <x:c r="BW5" s="499" t="n">
        <x:v>341</x:v>
      </x:c>
      <x:c r="BX5" s="499" t="n">
        <x:v>332</x:v>
      </x:c>
      <x:c r="BY5" s="499" t="n"/>
      <x:c r="BZ5" s="499" t="n">
        <x:v>532</x:v>
      </x:c>
      <x:c r="CA5" s="499" t="n">
        <x:v>0</x:v>
      </x:c>
      <x:c r="CB5" s="499" t="n">
        <x:v>191</x:v>
      </x:c>
      <x:c r="CC5" s="499" t="n">
        <x:v>36</x:v>
      </x:c>
      <x:c r="CD5" s="500" t="n">
        <x:v>309</x:v>
      </x:c>
      <x:c r="CE5" s="500" t="n">
        <x:v>300</x:v>
      </x:c>
      <x:c r="CF5" s="500" t="n"/>
      <x:c r="CG5" s="500" t="n">
        <x:v>480</x:v>
      </x:c>
      <x:c r="CH5" s="500" t="n">
        <x:v>0</x:v>
      </x:c>
      <x:c r="CI5" s="500" t="n">
        <x:v>171</x:v>
      </x:c>
      <x:c r="CJ5" s="500" t="n">
        <x:v>36</x:v>
      </x:c>
      <x:c r="CK5" s="504" t="n"/>
      <x:c r="CL5" s="504" t="n"/>
      <x:c r="CM5" s="504" t="n"/>
      <x:c r="CN5" s="504" t="n">
        <x:v>1770</x:v>
      </x:c>
      <x:c r="CO5" s="504" t="n">
        <x:v>0</x:v>
      </x:c>
      <x:c r="CP5" s="504" t="n">
        <x:v>1770</x:v>
      </x:c>
      <x:c r="CQ5" s="504" t="n">
        <x:v>100</x:v>
      </x:c>
      <x:c r="CR5" s="505" t="n"/>
      <x:c r="CS5" s="505" t="n"/>
      <x:c r="CT5" s="505" t="n"/>
      <x:c r="CU5" s="505" t="n">
        <x:v>2062</x:v>
      </x:c>
      <x:c r="CV5" s="505" t="n">
        <x:v>0</x:v>
      </x:c>
      <x:c r="CW5" s="505" t="n">
        <x:v>2062</x:v>
      </x:c>
      <x:c r="CX5" s="505" t="n">
        <x:v>100</x:v>
      </x:c>
    </x:row>
    <x:row r="6" s="655" customFormat="1" ht="13.899999618530273" customHeight="1">
      <x:c r="A6" s="494" t="inlineStr">
        <x:is>
          <x:t xml:space="preserve">300 x 606 cm</x:t>
        </x:is>
      </x:c>
      <x:c r="B6" s="495" t="n">
        <x:v>6114</x:v>
      </x:c>
      <x:c r="C6" s="495" t="n">
        <x:v>5931</x:v>
      </x:c>
      <x:c r="D6" s="495" t="n"/>
      <x:c r="E6" s="495" t="n">
        <x:v>9490</x:v>
      </x:c>
      <x:c r="F6" s="495" t="n">
        <x:v>3400</x:v>
      </x:c>
      <x:c r="G6" s="495" t="n">
        <x:v>1130</x:v>
      </x:c>
      <x:c r="H6" s="495" t="n">
        <x:v>5361</x:v>
      </x:c>
      <x:c r="I6" s="495" t="n">
        <x:v>42</x:v>
      </x:c>
      <x:c r="J6" s="496" t="n">
        <x:v>16821</x:v>
      </x:c>
      <x:c r="K6" s="496" t="n">
        <x:v>16317</x:v>
      </x:c>
      <x:c r="L6" s="496" t="n"/>
      <x:c r="M6" s="496" t="n">
        <x:v>26924</x:v>
      </x:c>
      <x:c r="N6" s="496" t="n">
        <x:v>4590</x:v>
      </x:c>
      <x:c r="O6" s="496" t="n">
        <x:v>1580</x:v>
      </x:c>
      <x:c r="P6" s="496" t="n">
        <x:v>12305</x:v>
      </x:c>
      <x:c r="Q6" s="496" t="n">
        <x:v>40</x:v>
      </x:c>
      <x:c r="R6" s="497" t="n">
        <x:v>2756</x:v>
      </x:c>
      <x:c r="S6" s="497" t="n">
        <x:v>2674</x:v>
      </x:c>
      <x:c r="T6" s="497" t="n"/>
      <x:c r="U6" s="497" t="n">
        <x:v>4413</x:v>
      </x:c>
      <x:c r="V6" s="497" t="n">
        <x:v>320</x:v>
      </x:c>
      <x:c r="W6" s="497" t="n">
        <x:v>1337</x:v>
      </x:c>
      <x:c r="X6" s="497" t="n">
        <x:v>31</x:v>
      </x:c>
      <x:c r="Y6" s="498" t="n">
        <x:v>1740</x:v>
      </x:c>
      <x:c r="Z6" s="498" t="n">
        <x:v>1688</x:v>
      </x:c>
      <x:c r="AA6" s="498" t="n"/>
      <x:c r="AB6" s="498" t="n">
        <x:v>2701</x:v>
      </x:c>
      <x:c r="AC6" s="498" t="n">
        <x:v>150</x:v>
      </x:c>
      <x:c r="AD6" s="498" t="n">
        <x:v>811</x:v>
      </x:c>
      <x:c r="AE6" s="498" t="n">
        <x:v>31</x:v>
      </x:c>
      <x:c r="AF6" s="499" t="n">
        <x:v>3472</x:v>
      </x:c>
      <x:c r="AG6" s="499" t="n">
        <x:v>3368</x:v>
      </x:c>
      <x:c r="AH6" s="499" t="n"/>
      <x:c r="AI6" s="499" t="n">
        <x:v>5389</x:v>
      </x:c>
      <x:c r="AJ6" s="499" t="n">
        <x:v>300</x:v>
      </x:c>
      <x:c r="AK6" s="499" t="n">
        <x:v>1617.46</x:v>
      </x:c>
      <x:c r="AL6" s="499" t="n">
        <x:v>31</x:v>
      </x:c>
      <x:c r="AM6" s="500" t="n">
        <x:v>6341</x:v>
      </x:c>
      <x:c r="AN6" s="500" t="n">
        <x:v>6152</x:v>
      </x:c>
      <x:c r="AO6" s="500" t="n"/>
      <x:c r="AP6" s="500" t="n">
        <x:v>9844</x:v>
      </x:c>
      <x:c r="AQ6" s="500" t="n">
        <x:v>350</x:v>
      </x:c>
      <x:c r="AR6" s="500" t="n">
        <x:v>3153</x:v>
      </x:c>
      <x:c r="AS6" s="500" t="n">
        <x:v>33</x:v>
      </x:c>
      <x:c r="AT6" s="498" t="n">
        <x:v>545</x:v>
      </x:c>
      <x:c r="AU6" s="498" t="n">
        <x:v>529</x:v>
      </x:c>
      <x:c r="AV6" s="498" t="n"/>
      <x:c r="AW6" s="498" t="n">
        <x:v>847</x:v>
      </x:c>
      <x:c r="AX6" s="498" t="n">
        <x:v>5260</x:v>
      </x:c>
      <x:c r="AY6" s="498" t="n">
        <x:v>0</x:v>
      </x:c>
      <x:c r="AZ6" s="498" t="n">
        <x:v>302</x:v>
      </x:c>
      <x:c r="BA6" s="498" t="n">
        <x:v>36</x:v>
      </x:c>
      <x:c r="BB6" s="501" t="n">
        <x:v>252</x:v>
      </x:c>
      <x:c r="BC6" s="501" t="n">
        <x:v>245</x:v>
      </x:c>
      <x:c r="BD6" s="501" t="n"/>
      <x:c r="BE6" s="501" t="n">
        <x:v>392</x:v>
      </x:c>
      <x:c r="BF6" s="501" t="n">
        <x:v>0</x:v>
      </x:c>
      <x:c r="BG6" s="501" t="n">
        <x:v>140</x:v>
      </x:c>
      <x:c r="BH6" s="501" t="n">
        <x:v>36</x:v>
      </x:c>
      <x:c r="BI6" s="502" t="n">
        <x:v>1171</x:v>
      </x:c>
      <x:c r="BJ6" s="502" t="n">
        <x:v>1136</x:v>
      </x:c>
      <x:c r="BK6" s="502" t="n"/>
      <x:c r="BL6" s="502" t="n">
        <x:v>1818</x:v>
      </x:c>
      <x:c r="BM6" s="502" t="n">
        <x:v>0</x:v>
      </x:c>
      <x:c r="BN6" s="502" t="n">
        <x:v>647</x:v>
      </x:c>
      <x:c r="BO6" s="502" t="n">
        <x:v>36</x:v>
      </x:c>
      <x:c r="BP6" s="503" t="n">
        <x:v>976</x:v>
      </x:c>
      <x:c r="BQ6" s="503" t="n">
        <x:v>947</x:v>
      </x:c>
      <x:c r="BR6" s="503" t="n"/>
      <x:c r="BS6" s="503" t="n">
        <x:v>2084</x:v>
      </x:c>
      <x:c r="BT6" s="503" t="n">
        <x:v>460</x:v>
      </x:c>
      <x:c r="BU6" s="503" t="n">
        <x:v>648</x:v>
      </x:c>
      <x:c r="BV6" s="503" t="n">
        <x:v>32</x:v>
      </x:c>
      <x:c r="BW6" s="499" t="n">
        <x:v>374</x:v>
      </x:c>
      <x:c r="BX6" s="499" t="n">
        <x:v>363</x:v>
      </x:c>
      <x:c r="BY6" s="499" t="n"/>
      <x:c r="BZ6" s="499" t="n">
        <x:v>581</x:v>
      </x:c>
      <x:c r="CA6" s="499" t="n">
        <x:v>0</x:v>
      </x:c>
      <x:c r="CB6" s="499" t="n">
        <x:v>207</x:v>
      </x:c>
      <x:c r="CC6" s="499" t="n">
        <x:v>36</x:v>
      </x:c>
      <x:c r="CD6" s="500" t="n">
        <x:v>333</x:v>
      </x:c>
      <x:c r="CE6" s="500" t="n">
        <x:v>324</x:v>
      </x:c>
      <x:c r="CF6" s="500" t="n"/>
      <x:c r="CG6" s="500" t="n">
        <x:v>519</x:v>
      </x:c>
      <x:c r="CH6" s="500" t="n">
        <x:v>0</x:v>
      </x:c>
      <x:c r="CI6" s="500" t="n">
        <x:v>186</x:v>
      </x:c>
      <x:c r="CJ6" s="500" t="n">
        <x:v>36</x:v>
      </x:c>
      <x:c r="CK6" s="504" t="n"/>
      <x:c r="CL6" s="504" t="n"/>
      <x:c r="CM6" s="504" t="n"/>
      <x:c r="CN6" s="504" t="n">
        <x:v>2180</x:v>
      </x:c>
      <x:c r="CO6" s="504" t="n">
        <x:v>0</x:v>
      </x:c>
      <x:c r="CP6" s="504" t="n">
        <x:v>2180</x:v>
      </x:c>
      <x:c r="CQ6" s="504" t="n">
        <x:v>100</x:v>
      </x:c>
      <x:c r="CR6" s="505" t="n"/>
      <x:c r="CS6" s="505" t="n"/>
      <x:c r="CT6" s="505" t="n"/>
      <x:c r="CU6" s="505" t="n">
        <x:v>2327</x:v>
      </x:c>
      <x:c r="CV6" s="505" t="n">
        <x:v>0</x:v>
      </x:c>
      <x:c r="CW6" s="505" t="n">
        <x:v>2327</x:v>
      </x:c>
      <x:c r="CX6" s="505" t="n">
        <x:v>100</x:v>
      </x:c>
    </x:row>
    <x:row r="7" s="655" customFormat="1" ht="13.899999618530273" customHeight="1">
      <x:c r="A7" s="494" t="inlineStr">
        <x:is>
          <x:t xml:space="preserve">300 x 706 cm</x:t>
        </x:is>
      </x:c>
      <x:c r="B7" s="495" t="n">
        <x:v>7106</x:v>
      </x:c>
      <x:c r="C7" s="495" t="n">
        <x:v>6893</x:v>
      </x:c>
      <x:c r="D7" s="495" t="n"/>
      <x:c r="E7" s="495" t="n">
        <x:v>11029</x:v>
      </x:c>
      <x:c r="F7" s="495" t="n">
        <x:v>3730</x:v>
      </x:c>
      <x:c r="G7" s="495" t="n">
        <x:v>1290</x:v>
      </x:c>
      <x:c r="H7" s="495" t="n">
        <x:v>6032</x:v>
      </x:c>
      <x:c r="I7" s="495" t="n">
        <x:v>41</x:v>
      </x:c>
      <x:c r="J7" s="496" t="n">
        <x:v>17886</x:v>
      </x:c>
      <x:c r="K7" s="496" t="n">
        <x:v>17350</x:v>
      </x:c>
      <x:c r="L7" s="496" t="n"/>
      <x:c r="M7" s="496" t="n">
        <x:v>28628</x:v>
      </x:c>
      <x:c r="N7" s="496" t="n">
        <x:v>4960</x:v>
      </x:c>
      <x:c r="O7" s="496" t="n">
        <x:v>1800</x:v>
      </x:c>
      <x:c r="P7" s="496" t="n">
        <x:v>13043</x:v>
      </x:c>
      <x:c r="Q7" s="496" t="n">
        <x:v>39</x:v>
      </x:c>
      <x:c r="R7" s="497" t="n">
        <x:v>3187</x:v>
      </x:c>
      <x:c r="S7" s="497" t="n">
        <x:v>3092</x:v>
      </x:c>
      <x:c r="T7" s="497" t="n"/>
      <x:c r="U7" s="497" t="n">
        <x:v>5102</x:v>
      </x:c>
      <x:c r="V7" s="497" t="n">
        <x:v>360</x:v>
      </x:c>
      <x:c r="W7" s="497" t="n">
        <x:v>1555</x:v>
      </x:c>
      <x:c r="X7" s="497" t="n">
        <x:v>31</x:v>
      </x:c>
      <x:c r="Y7" s="498" t="n">
        <x:v>1740</x:v>
      </x:c>
      <x:c r="Z7" s="498" t="n">
        <x:v>1688</x:v>
      </x:c>
      <x:c r="AA7" s="498" t="n"/>
      <x:c r="AB7" s="498" t="n">
        <x:v>2701</x:v>
      </x:c>
      <x:c r="AC7" s="498" t="n">
        <x:v>150</x:v>
      </x:c>
      <x:c r="AD7" s="498" t="n">
        <x:v>811</x:v>
      </x:c>
      <x:c r="AE7" s="498" t="n">
        <x:v>31</x:v>
      </x:c>
      <x:c r="AF7" s="499" t="n">
        <x:v>3886</x:v>
      </x:c>
      <x:c r="AG7" s="499" t="n">
        <x:v>3770</x:v>
      </x:c>
      <x:c r="AH7" s="499" t="n"/>
      <x:c r="AI7" s="499" t="n">
        <x:v>6032</x:v>
      </x:c>
      <x:c r="AJ7" s="499" t="n">
        <x:v>300</x:v>
      </x:c>
      <x:c r="AK7" s="499" t="n">
        <x:v>1845.82</x:v>
      </x:c>
      <x:c r="AL7" s="499" t="n">
        <x:v>31</x:v>
      </x:c>
      <x:c r="AM7" s="500" t="n">
        <x:v>6675</x:v>
      </x:c>
      <x:c r="AN7" s="500" t="n">
        <x:v>6475</x:v>
      </x:c>
      <x:c r="AO7" s="500" t="n"/>
      <x:c r="AP7" s="500" t="n">
        <x:v>10360</x:v>
      </x:c>
      <x:c r="AQ7" s="500" t="n">
        <x:v>450</x:v>
      </x:c>
      <x:c r="AR7" s="500" t="n">
        <x:v>3235</x:v>
      </x:c>
      <x:c r="AS7" s="500" t="n">
        <x:v>32</x:v>
      </x:c>
      <x:c r="AT7" s="498" t="n">
        <x:v>634</x:v>
      </x:c>
      <x:c r="AU7" s="498" t="n">
        <x:v>616</x:v>
      </x:c>
      <x:c r="AV7" s="498" t="n"/>
      <x:c r="AW7" s="498" t="n">
        <x:v>986</x:v>
      </x:c>
      <x:c r="AX7" s="498" t="n">
        <x:v>6088</x:v>
      </x:c>
      <x:c r="AY7" s="498" t="n">
        <x:v>0</x:v>
      </x:c>
      <x:c r="AZ7" s="498" t="n">
        <x:v>352</x:v>
      </x:c>
      <x:c r="BA7" s="498" t="n">
        <x:v>36</x:v>
      </x:c>
      <x:c r="BB7" s="501" t="n">
        <x:v>301</x:v>
      </x:c>
      <x:c r="BC7" s="501" t="n">
        <x:v>292</x:v>
      </x:c>
      <x:c r="BD7" s="501" t="n"/>
      <x:c r="BE7" s="501" t="n">
        <x:v>468</x:v>
      </x:c>
      <x:c r="BF7" s="501" t="n">
        <x:v>0</x:v>
      </x:c>
      <x:c r="BG7" s="501" t="n">
        <x:v>167</x:v>
      </x:c>
      <x:c r="BH7" s="501" t="n">
        <x:v>36</x:v>
      </x:c>
      <x:c r="BI7" s="502" t="n">
        <x:v>1268</x:v>
      </x:c>
      <x:c r="BJ7" s="502" t="n">
        <x:v>1231</x:v>
      </x:c>
      <x:c r="BK7" s="502" t="n"/>
      <x:c r="BL7" s="502" t="n">
        <x:v>1970</x:v>
      </x:c>
      <x:c r="BM7" s="502" t="n">
        <x:v>0</x:v>
      </x:c>
      <x:c r="BN7" s="502" t="n">
        <x:v>702</x:v>
      </x:c>
      <x:c r="BO7" s="502" t="n">
        <x:v>36</x:v>
      </x:c>
      <x:c r="BP7" s="503" t="n">
        <x:v>805</x:v>
      </x:c>
      <x:c r="BQ7" s="503" t="n">
        <x:v>781</x:v>
      </x:c>
      <x:c r="BR7" s="503" t="n"/>
      <x:c r="BS7" s="503" t="n">
        <x:v>1719</x:v>
      </x:c>
      <x:c r="BT7" s="503" t="n">
        <x:v>380</x:v>
      </x:c>
      <x:c r="BU7" s="503" t="n">
        <x:v>534</x:v>
      </x:c>
      <x:c r="BV7" s="503" t="n">
        <x:v>32</x:v>
      </x:c>
      <x:c r="BW7" s="499" t="n">
        <x:v>407</x:v>
      </x:c>
      <x:c r="BX7" s="499" t="n">
        <x:v>395</x:v>
      </x:c>
      <x:c r="BY7" s="499" t="n"/>
      <x:c r="BZ7" s="499" t="n">
        <x:v>632</x:v>
      </x:c>
      <x:c r="CA7" s="499" t="n">
        <x:v>0</x:v>
      </x:c>
      <x:c r="CB7" s="499" t="n">
        <x:v>225</x:v>
      </x:c>
      <x:c r="CC7" s="499" t="n">
        <x:v>36</x:v>
      </x:c>
      <x:c r="CD7" s="500" t="n">
        <x:v>366</x:v>
      </x:c>
      <x:c r="CE7" s="500" t="n">
        <x:v>355</x:v>
      </x:c>
      <x:c r="CF7" s="500" t="n"/>
      <x:c r="CG7" s="500" t="n">
        <x:v>568</x:v>
      </x:c>
      <x:c r="CH7" s="500" t="n">
        <x:v>0</x:v>
      </x:c>
      <x:c r="CI7" s="500" t="n">
        <x:v>202</x:v>
      </x:c>
      <x:c r="CJ7" s="500" t="n">
        <x:v>36</x:v>
      </x:c>
      <x:c r="CK7" s="504" t="n"/>
      <x:c r="CL7" s="504" t="n"/>
      <x:c r="CM7" s="504" t="n"/>
      <x:c r="CN7" s="504" t="n">
        <x:v>2685</x:v>
      </x:c>
      <x:c r="CO7" s="504" t="n">
        <x:v>0</x:v>
      </x:c>
      <x:c r="CP7" s="504" t="n">
        <x:v>2685</x:v>
      </x:c>
      <x:c r="CQ7" s="504" t="n">
        <x:v>100</x:v>
      </x:c>
      <x:c r="CR7" s="505" t="n"/>
      <x:c r="CS7" s="505" t="n"/>
      <x:c r="CT7" s="505" t="n"/>
      <x:c r="CU7" s="505" t="n">
        <x:v>2591</x:v>
      </x:c>
      <x:c r="CV7" s="505" t="n">
        <x:v>0</x:v>
      </x:c>
      <x:c r="CW7" s="505" t="n">
        <x:v>2591</x:v>
      </x:c>
      <x:c r="CX7" s="505" t="n">
        <x:v>100</x:v>
      </x:c>
    </x:row>
    <x:row r="8" s="655" customFormat="1" ht="13.899999618530273" customHeight="1">
      <x:c r="A8" s="494" t="inlineStr">
        <x:is>
          <x:t xml:space="preserve">300 x 806 cm</x:t>
        </x:is>
      </x:c>
      <x:c r="B8" s="495" t="n">
        <x:v>8577</x:v>
      </x:c>
      <x:c r="C8" s="495" t="n">
        <x:v>8320</x:v>
      </x:c>
      <x:c r="D8" s="495" t="n"/>
      <x:c r="E8" s="495" t="n">
        <x:v>13312</x:v>
      </x:c>
      <x:c r="F8" s="495" t="n">
        <x:v>3910</x:v>
      </x:c>
      <x:c r="G8" s="495" t="n">
        <x:v>1370</x:v>
      </x:c>
      <x:c r="H8" s="495" t="n">
        <x:v>6875</x:v>
      </x:c>
      <x:c r="I8" s="495" t="n">
        <x:v>40</x:v>
      </x:c>
      <x:c r="J8" s="496" t="n">
        <x:v>20065</x:v>
      </x:c>
      <x:c r="K8" s="496" t="n">
        <x:v>19464</x:v>
      </x:c>
      <x:c r="L8" s="496" t="n"/>
      <x:c r="M8" s="496" t="n">
        <x:v>32116</x:v>
      </x:c>
      <x:c r="N8" s="496" t="n">
        <x:v>5180</x:v>
      </x:c>
      <x:c r="O8" s="496" t="n">
        <x:v>1920</x:v>
      </x:c>
      <x:c r="P8" s="496" t="n">
        <x:v>14347</x:v>
      </x:c>
      <x:c r="Q8" s="496" t="n">
        <x:v>39</x:v>
      </x:c>
      <x:c r="R8" s="497" t="n">
        <x:v>3813</x:v>
      </x:c>
      <x:c r="S8" s="497" t="n">
        <x:v>3699</x:v>
      </x:c>
      <x:c r="T8" s="497" t="n"/>
      <x:c r="U8" s="497" t="n">
        <x:v>6104</x:v>
      </x:c>
      <x:c r="V8" s="497" t="n">
        <x:v>380</x:v>
      </x:c>
      <x:c r="W8" s="497" t="n">
        <x:v>1911</x:v>
      </x:c>
      <x:c r="X8" s="497" t="n">
        <x:v>32</x:v>
      </x:c>
      <x:c r="Y8" s="498" t="n">
        <x:v>1740</x:v>
      </x:c>
      <x:c r="Z8" s="498" t="n">
        <x:v>1688</x:v>
      </x:c>
      <x:c r="AA8" s="498" t="n"/>
      <x:c r="AB8" s="498" t="n">
        <x:v>2701</x:v>
      </x:c>
      <x:c r="AC8" s="498" t="n">
        <x:v>150</x:v>
      </x:c>
      <x:c r="AD8" s="498" t="n">
        <x:v>811</x:v>
      </x:c>
      <x:c r="AE8" s="498" t="n">
        <x:v>31</x:v>
      </x:c>
      <x:c r="AF8" s="499" t="n">
        <x:v>4293</x:v>
      </x:c>
      <x:c r="AG8" s="499" t="n">
        <x:v>4164</x:v>
      </x:c>
      <x:c r="AH8" s="499" t="n"/>
      <x:c r="AI8" s="499" t="n">
        <x:v>6663</x:v>
      </x:c>
      <x:c r="AJ8" s="499" t="n">
        <x:v>300</x:v>
      </x:c>
      <x:c r="AK8" s="499" t="n">
        <x:v>2070.32</x:v>
      </x:c>
      <x:c r="AL8" s="499" t="n">
        <x:v>32</x:v>
      </x:c>
      <x:c r="AM8" s="500" t="n">
        <x:v>6992</x:v>
      </x:c>
      <x:c r="AN8" s="500" t="n">
        <x:v>6783</x:v>
      </x:c>
      <x:c r="AO8" s="500" t="n"/>
      <x:c r="AP8" s="500" t="n">
        <x:v>10853</x:v>
      </x:c>
      <x:c r="AQ8" s="500" t="n">
        <x:v>500</x:v>
      </x:c>
      <x:c r="AR8" s="500" t="n">
        <x:v>3361</x:v>
      </x:c>
      <x:c r="AS8" s="500" t="n">
        <x:v>31</x:v>
      </x:c>
      <x:c r="AT8" s="498" t="n">
        <x:v>732</x:v>
      </x:c>
      <x:c r="AU8" s="498" t="n">
        <x:v>710</x:v>
      </x:c>
      <x:c r="AV8" s="498" t="n"/>
      <x:c r="AW8" s="498" t="n">
        <x:v>1136</x:v>
      </x:c>
      <x:c r="AX8" s="498" t="n">
        <x:v>7240</x:v>
      </x:c>
      <x:c r="AY8" s="498" t="n">
        <x:v>0</x:v>
      </x:c>
      <x:c r="AZ8" s="498" t="n">
        <x:v>404</x:v>
      </x:c>
      <x:c r="BA8" s="498" t="n">
        <x:v>36</x:v>
      </x:c>
      <x:c r="BB8" s="501" t="n">
        <x:v>350</x:v>
      </x:c>
      <x:c r="BC8" s="501" t="n">
        <x:v>340</x:v>
      </x:c>
      <x:c r="BD8" s="501" t="n"/>
      <x:c r="BE8" s="501" t="n">
        <x:v>544</x:v>
      </x:c>
      <x:c r="BF8" s="501" t="n">
        <x:v>0</x:v>
      </x:c>
      <x:c r="BG8" s="501" t="n">
        <x:v>194</x:v>
      </x:c>
      <x:c r="BH8" s="501" t="n">
        <x:v>36</x:v>
      </x:c>
      <x:c r="BI8" s="502" t="n">
        <x:v>1366</x:v>
      </x:c>
      <x:c r="BJ8" s="502" t="n">
        <x:v>1325</x:v>
      </x:c>
      <x:c r="BK8" s="502" t="n"/>
      <x:c r="BL8" s="502" t="n">
        <x:v>2120</x:v>
      </x:c>
      <x:c r="BM8" s="502" t="n">
        <x:v>0</x:v>
      </x:c>
      <x:c r="BN8" s="502" t="n">
        <x:v>754</x:v>
      </x:c>
      <x:c r="BO8" s="502" t="n">
        <x:v>36</x:v>
      </x:c>
      <x:c r="BP8" s="503" t="n">
        <x:v>902</x:v>
      </x:c>
      <x:c r="BQ8" s="503" t="n">
        <x:v>876</x:v>
      </x:c>
      <x:c r="BR8" s="503" t="n"/>
      <x:c r="BS8" s="503" t="n">
        <x:v>1928</x:v>
      </x:c>
      <x:c r="BT8" s="503" t="n">
        <x:v>420</x:v>
      </x:c>
      <x:c r="BU8" s="503" t="n">
        <x:v>606</x:v>
      </x:c>
      <x:c r="BV8" s="503" t="n">
        <x:v>32</x:v>
      </x:c>
      <x:c r="BW8" s="499" t="n">
        <x:v>431</x:v>
      </x:c>
      <x:c r="BX8" s="499" t="n">
        <x:v>418</x:v>
      </x:c>
      <x:c r="BY8" s="499" t="n"/>
      <x:c r="BZ8" s="499" t="n">
        <x:v>669</x:v>
      </x:c>
      <x:c r="CA8" s="499" t="n">
        <x:v>0</x:v>
      </x:c>
      <x:c r="CB8" s="499" t="n">
        <x:v>238</x:v>
      </x:c>
      <x:c r="CC8" s="499" t="n">
        <x:v>36</x:v>
      </x:c>
      <x:c r="CD8" s="500" t="n">
        <x:v>390</x:v>
      </x:c>
      <x:c r="CE8" s="500" t="n">
        <x:v>379</x:v>
      </x:c>
      <x:c r="CF8" s="500" t="n"/>
      <x:c r="CG8" s="500" t="n">
        <x:v>607</x:v>
      </x:c>
      <x:c r="CH8" s="500" t="n">
        <x:v>0</x:v>
      </x:c>
      <x:c r="CI8" s="500" t="n">
        <x:v>217</x:v>
      </x:c>
      <x:c r="CJ8" s="500" t="n">
        <x:v>36</x:v>
      </x:c>
      <x:c r="CK8" s="504" t="n"/>
      <x:c r="CL8" s="504" t="n"/>
      <x:c r="CM8" s="504" t="n"/>
      <x:c r="CN8" s="504" t="n">
        <x:v>2955</x:v>
      </x:c>
      <x:c r="CO8" s="504" t="n">
        <x:v>0</x:v>
      </x:c>
      <x:c r="CP8" s="504" t="n">
        <x:v>2955</x:v>
      </x:c>
      <x:c r="CQ8" s="504" t="n">
        <x:v>100</x:v>
      </x:c>
      <x:c r="CR8" s="505" t="n"/>
      <x:c r="CS8" s="505" t="n"/>
      <x:c r="CT8" s="505" t="n"/>
      <x:c r="CU8" s="505" t="n">
        <x:v>3396</x:v>
      </x:c>
      <x:c r="CV8" s="505" t="n">
        <x:v>0</x:v>
      </x:c>
      <x:c r="CW8" s="505" t="n">
        <x:v>3396</x:v>
      </x:c>
      <x:c r="CX8" s="505" t="n">
        <x:v>100</x:v>
      </x:c>
    </x:row>
    <x:row r="9" s="655" customFormat="1" ht="13.899999618530273" customHeight="1">
      <x:c r="A9" s="494" t="inlineStr">
        <x:is>
          <x:t xml:space="preserve">300 x 906 cm</x:t>
        </x:is>
      </x:c>
      <x:c r="B9" s="495" t="n">
        <x:v>9634</x:v>
      </x:c>
      <x:c r="C9" s="495" t="n">
        <x:v>9346</x:v>
      </x:c>
      <x:c r="D9" s="495" t="n"/>
      <x:c r="E9" s="495" t="n">
        <x:v>14954</x:v>
      </x:c>
      <x:c r="F9" s="495" t="n">
        <x:v>4190</x:v>
      </x:c>
      <x:c r="G9" s="495" t="n">
        <x:v>1500</x:v>
      </x:c>
      <x:c r="H9" s="495" t="n">
        <x:v>8010</x:v>
      </x:c>
      <x:c r="I9" s="495" t="n">
        <x:v>42</x:v>
      </x:c>
      <x:c r="J9" s="496" t="n">
        <x:v>22073</x:v>
      </x:c>
      <x:c r="K9" s="496" t="n">
        <x:v>21411</x:v>
      </x:c>
      <x:c r="L9" s="496" t="n"/>
      <x:c r="M9" s="496" t="n">
        <x:v>35329</x:v>
      </x:c>
      <x:c r="N9" s="496" t="n">
        <x:v>5500</x:v>
      </x:c>
      <x:c r="O9" s="496" t="n">
        <x:v>2100</x:v>
      </x:c>
      <x:c r="P9" s="496" t="n">
        <x:v>16656</x:v>
      </x:c>
      <x:c r="Q9" s="496" t="n">
        <x:v>41</x:v>
      </x:c>
      <x:c r="R9" s="497" t="n">
        <x:v>4244</x:v>
      </x:c>
      <x:c r="S9" s="497" t="n">
        <x:v>4117</x:v>
      </x:c>
      <x:c r="T9" s="497" t="n"/>
      <x:c r="U9" s="497" t="n">
        <x:v>6794</x:v>
      </x:c>
      <x:c r="V9" s="497" t="n">
        <x:v>420</x:v>
      </x:c>
      <x:c r="W9" s="497" t="n">
        <x:v>2130</x:v>
      </x:c>
      <x:c r="X9" s="497" t="n">
        <x:v>32</x:v>
      </x:c>
      <x:c r="Y9" s="498" t="n">
        <x:v>1740</x:v>
      </x:c>
      <x:c r="Z9" s="498" t="n">
        <x:v>1688</x:v>
      </x:c>
      <x:c r="AA9" s="498" t="n"/>
      <x:c r="AB9" s="498" t="n">
        <x:v>2701</x:v>
      </x:c>
      <x:c r="AC9" s="498" t="n">
        <x:v>150</x:v>
      </x:c>
      <x:c r="AD9" s="498" t="n">
        <x:v>811</x:v>
      </x:c>
      <x:c r="AE9" s="498" t="n">
        <x:v>31</x:v>
      </x:c>
      <x:c r="AF9" s="499" t="n">
        <x:v>5203</x:v>
      </x:c>
      <x:c r="AG9" s="499" t="n">
        <x:v>5048</x:v>
      </x:c>
      <x:c r="AH9" s="499" t="n"/>
      <x:c r="AI9" s="499" t="n">
        <x:v>8077</x:v>
      </x:c>
      <x:c r="AJ9" s="499" t="n">
        <x:v>450</x:v>
      </x:c>
      <x:c r="AK9" s="499" t="n">
        <x:v>2423.75</x:v>
      </x:c>
      <x:c r="AL9" s="499" t="n">
        <x:v>31</x:v>
      </x:c>
      <x:c r="AM9" s="500" t="n">
        <x:v>7545</x:v>
      </x:c>
      <x:c r="AN9" s="500" t="n">
        <x:v>7319</x:v>
      </x:c>
      <x:c r="AO9" s="500" t="n"/>
      <x:c r="AP9" s="500" t="n">
        <x:v>11711</x:v>
      </x:c>
      <x:c r="AQ9" s="500" t="n">
        <x:v>550</x:v>
      </x:c>
      <x:c r="AR9" s="500" t="n">
        <x:v>3616</x:v>
      </x:c>
      <x:c r="AS9" s="500" t="n">
        <x:v>31</x:v>
      </x:c>
      <x:c r="AT9" s="498" t="n">
        <x:v>813</x:v>
      </x:c>
      <x:c r="AU9" s="498" t="n">
        <x:v>789</x:v>
      </x:c>
      <x:c r="AV9" s="498" t="n"/>
      <x:c r="AW9" s="498" t="n">
        <x:v>1263</x:v>
      </x:c>
      <x:c r="AX9" s="498" t="n">
        <x:v>8057</x:v>
      </x:c>
      <x:c r="AY9" s="498" t="n">
        <x:v>0</x:v>
      </x:c>
      <x:c r="AZ9" s="498" t="n">
        <x:v>450</x:v>
      </x:c>
      <x:c r="BA9" s="498" t="n">
        <x:v>36</x:v>
      </x:c>
      <x:c r="BB9" s="501" t="n">
        <x:v>398</x:v>
      </x:c>
      <x:c r="BC9" s="501" t="n">
        <x:v>387</x:v>
      </x:c>
      <x:c r="BD9" s="501" t="n"/>
      <x:c r="BE9" s="501" t="n">
        <x:v>620</x:v>
      </x:c>
      <x:c r="BF9" s="501" t="n">
        <x:v>0</x:v>
      </x:c>
      <x:c r="BG9" s="501" t="n">
        <x:v>222</x:v>
      </x:c>
      <x:c r="BH9" s="501" t="n">
        <x:v>36</x:v>
      </x:c>
      <x:c r="BI9" s="502" t="n">
        <x:v>1463</x:v>
      </x:c>
      <x:c r="BJ9" s="502" t="n">
        <x:v>1420</x:v>
      </x:c>
      <x:c r="BK9" s="502" t="n"/>
      <x:c r="BL9" s="502" t="n">
        <x:v>2272</x:v>
      </x:c>
      <x:c r="BM9" s="502" t="n">
        <x:v>0</x:v>
      </x:c>
      <x:c r="BN9" s="502" t="n">
        <x:v>809</x:v>
      </x:c>
      <x:c r="BO9" s="502" t="n">
        <x:v>36</x:v>
      </x:c>
      <x:c r="BP9" s="503" t="n">
        <x:v>1016</x:v>
      </x:c>
      <x:c r="BQ9" s="503" t="n">
        <x:v>986</x:v>
      </x:c>
      <x:c r="BR9" s="503" t="n"/>
      <x:c r="BS9" s="503" t="n">
        <x:v>2170</x:v>
      </x:c>
      <x:c r="BT9" s="503" t="n">
        <x:v>470</x:v>
      </x:c>
      <x:c r="BU9" s="503" t="n">
        <x:v>684</x:v>
      </x:c>
      <x:c r="BV9" s="503" t="n">
        <x:v>32</x:v>
      </x:c>
      <x:c r="BW9" s="499" t="n">
        <x:v>463</x:v>
      </x:c>
      <x:c r="BX9" s="499" t="n">
        <x:v>450</x:v>
      </x:c>
      <x:c r="BY9" s="499" t="n"/>
      <x:c r="BZ9" s="499" t="n">
        <x:v>720</x:v>
      </x:c>
      <x:c r="CA9" s="499" t="n">
        <x:v>0</x:v>
      </x:c>
      <x:c r="CB9" s="499" t="n">
        <x:v>257</x:v>
      </x:c>
      <x:c r="CC9" s="499" t="n">
        <x:v>36</x:v>
      </x:c>
      <x:c r="CD9" s="500" t="n">
        <x:v>423</x:v>
      </x:c>
      <x:c r="CE9" s="500" t="n">
        <x:v>411</x:v>
      </x:c>
      <x:c r="CF9" s="500" t="n"/>
      <x:c r="CG9" s="500" t="n">
        <x:v>658</x:v>
      </x:c>
      <x:c r="CH9" s="500" t="n">
        <x:v>0</x:v>
      </x:c>
      <x:c r="CI9" s="500" t="n">
        <x:v>235</x:v>
      </x:c>
      <x:c r="CJ9" s="500" t="n">
        <x:v>36</x:v>
      </x:c>
      <x:c r="CK9" s="504" t="n"/>
      <x:c r="CL9" s="504" t="n"/>
      <x:c r="CM9" s="504" t="n"/>
      <x:c r="CN9" s="504" t="n">
        <x:v>3295</x:v>
      </x:c>
      <x:c r="CO9" s="504" t="n">
        <x:v>0</x:v>
      </x:c>
      <x:c r="CP9" s="504" t="n">
        <x:v>3295</x:v>
      </x:c>
      <x:c r="CQ9" s="504" t="n">
        <x:v>100</x:v>
      </x:c>
      <x:c r="CR9" s="505" t="n"/>
      <x:c r="CS9" s="505" t="n"/>
      <x:c r="CT9" s="505" t="n"/>
      <x:c r="CU9" s="505" t="n">
        <x:v>3660</x:v>
      </x:c>
      <x:c r="CV9" s="505" t="n">
        <x:v>0</x:v>
      </x:c>
      <x:c r="CW9" s="505" t="n">
        <x:v>3660</x:v>
      </x:c>
      <x:c r="CX9" s="505" t="n">
        <x:v>100</x:v>
      </x:c>
    </x:row>
    <x:row r="10" s="655" customFormat="1" ht="13.899999618530273" customHeight="1">
      <x:c r="A10" s="494" t="inlineStr">
        <x:is>
          <x:t xml:space="preserve">300 x 1006 cm</x:t>
        </x:is>
      </x:c>
      <x:c r="B10" s="495" t="n">
        <x:v>10691</x:v>
      </x:c>
      <x:c r="C10" s="495" t="n">
        <x:v>10371</x:v>
      </x:c>
      <x:c r="D10" s="495" t="n"/>
      <x:c r="E10" s="495" t="n">
        <x:v>16594</x:v>
      </x:c>
      <x:c r="F10" s="495" t="n">
        <x:v>4460</x:v>
      </x:c>
      <x:c r="G10" s="495" t="n">
        <x:v>1630</x:v>
      </x:c>
      <x:c r="H10" s="495" t="n">
        <x:v>8733</x:v>
      </x:c>
      <x:c r="I10" s="495" t="n">
        <x:v>42</x:v>
      </x:c>
      <x:c r="J10" s="496" t="n">
        <x:v>24065</x:v>
      </x:c>
      <x:c r="K10" s="496" t="n">
        <x:v>23344</x:v>
      </x:c>
      <x:c r="L10" s="496" t="n"/>
      <x:c r="M10" s="496" t="n">
        <x:v>38518</x:v>
      </x:c>
      <x:c r="N10" s="496" t="n">
        <x:v>5810</x:v>
      </x:c>
      <x:c r="O10" s="496" t="n">
        <x:v>2280</x:v>
      </x:c>
      <x:c r="P10" s="496" t="n">
        <x:v>17983</x:v>
      </x:c>
      <x:c r="Q10" s="496" t="n">
        <x:v>41</x:v>
      </x:c>
      <x:c r="R10" s="497" t="n">
        <x:v>4699</x:v>
      </x:c>
      <x:c r="S10" s="497" t="n">
        <x:v>4559</x:v>
      </x:c>
      <x:c r="T10" s="497" t="n"/>
      <x:c r="U10" s="497" t="n">
        <x:v>7523</x:v>
      </x:c>
      <x:c r="V10" s="497" t="n">
        <x:v>460</x:v>
      </x:c>
      <x:c r="W10" s="497" t="n">
        <x:v>2364</x:v>
      </x:c>
      <x:c r="X10" s="497" t="n">
        <x:v>32</x:v>
      </x:c>
      <x:c r="Y10" s="498" t="n">
        <x:v>1740</x:v>
      </x:c>
      <x:c r="Z10" s="498" t="n">
        <x:v>1688</x:v>
      </x:c>
      <x:c r="AA10" s="498" t="n"/>
      <x:c r="AB10" s="498" t="n">
        <x:v>2701</x:v>
      </x:c>
      <x:c r="AC10" s="498" t="n">
        <x:v>150</x:v>
      </x:c>
      <x:c r="AD10" s="498" t="n">
        <x:v>811</x:v>
      </x:c>
      <x:c r="AE10" s="498" t="n">
        <x:v>31</x:v>
      </x:c>
      <x:c r="AF10" s="499" t="n">
        <x:v>5618</x:v>
      </x:c>
      <x:c r="AG10" s="499" t="n">
        <x:v>5450</x:v>
      </x:c>
      <x:c r="AH10" s="499" t="n"/>
      <x:c r="AI10" s="499" t="n">
        <x:v>8720</x:v>
      </x:c>
      <x:c r="AJ10" s="499" t="n">
        <x:v>450</x:v>
      </x:c>
      <x:c r="AK10" s="499" t="n">
        <x:v>2652.11</x:v>
      </x:c>
      <x:c r="AL10" s="499" t="n">
        <x:v>31</x:v>
      </x:c>
      <x:c r="AM10" s="500" t="n">
        <x:v>8089</x:v>
      </x:c>
      <x:c r="AN10" s="500" t="n">
        <x:v>7847</x:v>
      </x:c>
      <x:c r="AO10" s="500" t="n"/>
      <x:c r="AP10" s="500" t="n">
        <x:v>12556</x:v>
      </x:c>
      <x:c r="AQ10" s="500" t="n">
        <x:v>600</x:v>
      </x:c>
      <x:c r="AR10" s="500" t="n">
        <x:v>3867</x:v>
      </x:c>
      <x:c r="AS10" s="500" t="n">
        <x:v>31</x:v>
      </x:c>
      <x:c r="AT10" s="498" t="n">
        <x:v>902</x:v>
      </x:c>
      <x:c r="AU10" s="498" t="n">
        <x:v>876</x:v>
      </x:c>
      <x:c r="AV10" s="498" t="n"/>
      <x:c r="AW10" s="498" t="n">
        <x:v>1402</x:v>
      </x:c>
      <x:c r="AX10" s="498" t="n">
        <x:v>8925</x:v>
      </x:c>
      <x:c r="AY10" s="498" t="n">
        <x:v>0</x:v>
      </x:c>
      <x:c r="AZ10" s="498" t="n">
        <x:v>500</x:v>
      </x:c>
      <x:c r="BA10" s="498" t="n">
        <x:v>36</x:v>
      </x:c>
      <x:c r="BB10" s="501" t="n">
        <x:v>447</x:v>
      </x:c>
      <x:c r="BC10" s="501" t="n">
        <x:v>434</x:v>
      </x:c>
      <x:c r="BD10" s="501" t="n"/>
      <x:c r="BE10" s="501" t="n">
        <x:v>695</x:v>
      </x:c>
      <x:c r="BF10" s="501" t="n">
        <x:v>0</x:v>
      </x:c>
      <x:c r="BG10" s="501" t="n">
        <x:v>248</x:v>
      </x:c>
      <x:c r="BH10" s="501" t="n">
        <x:v>36</x:v>
      </x:c>
      <x:c r="BI10" s="502" t="n">
        <x:v>1561</x:v>
      </x:c>
      <x:c r="BJ10" s="502" t="n">
        <x:v>1515</x:v>
      </x:c>
      <x:c r="BK10" s="502" t="n"/>
      <x:c r="BL10" s="502" t="n">
        <x:v>2424</x:v>
      </x:c>
      <x:c r="BM10" s="502" t="n">
        <x:v>0</x:v>
      </x:c>
      <x:c r="BN10" s="502" t="n">
        <x:v>863</x:v>
      </x:c>
      <x:c r="BO10" s="502" t="n">
        <x:v>36</x:v>
      </x:c>
      <x:c r="BP10" s="503" t="n">
        <x:v>1122</x:v>
      </x:c>
      <x:c r="BQ10" s="503" t="n">
        <x:v>1089</x:v>
      </x:c>
      <x:c r="BR10" s="503" t="n"/>
      <x:c r="BS10" s="503" t="n">
        <x:v>2396</x:v>
      </x:c>
      <x:c r="BT10" s="503" t="n">
        <x:v>530</x:v>
      </x:c>
      <x:c r="BU10" s="503" t="n">
        <x:v>744</x:v>
      </x:c>
      <x:c r="BV10" s="503" t="n">
        <x:v>32</x:v>
      </x:c>
      <x:c r="BW10" s="499" t="n">
        <x:v>496</x:v>
      </x:c>
      <x:c r="BX10" s="499" t="n">
        <x:v>482</x:v>
      </x:c>
      <x:c r="BY10" s="499" t="n"/>
      <x:c r="BZ10" s="499" t="n">
        <x:v>772</x:v>
      </x:c>
      <x:c r="CA10" s="499" t="n">
        <x:v>0</x:v>
      </x:c>
      <x:c r="CB10" s="499" t="n">
        <x:v>276</x:v>
      </x:c>
      <x:c r="CC10" s="499" t="n">
        <x:v>36</x:v>
      </x:c>
      <x:c r="CD10" s="500" t="n">
        <x:v>447</x:v>
      </x:c>
      <x:c r="CE10" s="500" t="n">
        <x:v>434</x:v>
      </x:c>
      <x:c r="CF10" s="500" t="n"/>
      <x:c r="CG10" s="500" t="n">
        <x:v>695</x:v>
      </x:c>
      <x:c r="CH10" s="500" t="n">
        <x:v>0</x:v>
      </x:c>
      <x:c r="CI10" s="500" t="n">
        <x:v>248</x:v>
      </x:c>
      <x:c r="CJ10" s="500" t="n">
        <x:v>36</x:v>
      </x:c>
      <x:c r="CK10" s="504" t="n"/>
      <x:c r="CL10" s="504" t="n"/>
      <x:c r="CM10" s="504" t="n"/>
      <x:c r="CN10" s="504" t="n">
        <x:v>3870</x:v>
      </x:c>
      <x:c r="CO10" s="504" t="n">
        <x:v>0</x:v>
      </x:c>
      <x:c r="CP10" s="504" t="n">
        <x:v>3870</x:v>
      </x:c>
      <x:c r="CQ10" s="504" t="n">
        <x:v>100</x:v>
      </x:c>
      <x:c r="CR10" s="505" t="n"/>
      <x:c r="CS10" s="505" t="n"/>
      <x:c r="CT10" s="505" t="n"/>
      <x:c r="CU10" s="505" t="n">
        <x:v>3925</x:v>
      </x:c>
      <x:c r="CV10" s="505" t="n">
        <x:v>0</x:v>
      </x:c>
      <x:c r="CW10" s="505" t="n">
        <x:v>3925</x:v>
      </x:c>
      <x:c r="CX10" s="505" t="n">
        <x:v>100</x:v>
      </x:c>
    </x:row>
    <x:row r="11" s="655" customFormat="1" ht="13.899999618530273" customHeight="1">
      <x:c r="A11" s="494" t="inlineStr">
        <x:is>
          <x:t xml:space="preserve">300 x 1106 cm</x:t>
        </x:is>
      </x:c>
      <x:c r="B11" s="495" t="n">
        <x:v>11463</x:v>
      </x:c>
      <x:c r="C11" s="495" t="n">
        <x:v>11120</x:v>
      </x:c>
      <x:c r="D11" s="495" t="n"/>
      <x:c r="E11" s="495" t="n">
        <x:v>17792</x:v>
      </x:c>
      <x:c r="F11" s="495" t="n">
        <x:v>4730</x:v>
      </x:c>
      <x:c r="G11" s="495" t="n">
        <x:v>1760</x:v>
      </x:c>
      <x:c r="H11" s="495" t="n">
        <x:v>9299</x:v>
      </x:c>
      <x:c r="I11" s="495" t="n">
        <x:v>42</x:v>
      </x:c>
      <x:c r="J11" s="496" t="n">
        <x:v>25846</x:v>
      </x:c>
      <x:c r="K11" s="496" t="n">
        <x:v>25071</x:v>
      </x:c>
      <x:c r="L11" s="496" t="n"/>
      <x:c r="M11" s="496" t="n">
        <x:v>41368</x:v>
      </x:c>
      <x:c r="N11" s="496" t="n">
        <x:v>6130</x:v>
      </x:c>
      <x:c r="O11" s="496" t="n">
        <x:v>2460</x:v>
      </x:c>
      <x:c r="P11" s="496" t="n">
        <x:v>19192</x:v>
      </x:c>
      <x:c r="Q11" s="496" t="n">
        <x:v>41</x:v>
      </x:c>
      <x:c r="R11" s="497" t="n">
        <x:v>5171</x:v>
      </x:c>
      <x:c r="S11" s="497" t="n">
        <x:v>5016</x:v>
      </x:c>
      <x:c r="T11" s="497" t="n"/>
      <x:c r="U11" s="497" t="n">
        <x:v>8277</x:v>
      </x:c>
      <x:c r="V11" s="497" t="n">
        <x:v>490</x:v>
      </x:c>
      <x:c r="W11" s="497" t="n">
        <x:v>2616</x:v>
      </x:c>
      <x:c r="X11" s="497" t="n">
        <x:v>32</x:v>
      </x:c>
      <x:c r="Y11" s="498" t="n">
        <x:v>1740</x:v>
      </x:c>
      <x:c r="Z11" s="498" t="n">
        <x:v>1688</x:v>
      </x:c>
      <x:c r="AA11" s="498" t="n"/>
      <x:c r="AB11" s="498" t="n">
        <x:v>2701</x:v>
      </x:c>
      <x:c r="AC11" s="498" t="n">
        <x:v>150</x:v>
      </x:c>
      <x:c r="AD11" s="498" t="n">
        <x:v>811</x:v>
      </x:c>
      <x:c r="AE11" s="498" t="n">
        <x:v>31</x:v>
      </x:c>
      <x:c r="AF11" s="499" t="n">
        <x:v>6033</x:v>
      </x:c>
      <x:c r="AG11" s="499" t="n">
        <x:v>5852</x:v>
      </x:c>
      <x:c r="AH11" s="499" t="n"/>
      <x:c r="AI11" s="499" t="n">
        <x:v>9364</x:v>
      </x:c>
      <x:c r="AJ11" s="499" t="n">
        <x:v>450</x:v>
      </x:c>
      <x:c r="AK11" s="499" t="n">
        <x:v>2881.48</x:v>
      </x:c>
      <x:c r="AL11" s="499" t="n">
        <x:v>31</x:v>
      </x:c>
      <x:c r="AM11" s="500" t="n">
        <x:v>10163</x:v>
      </x:c>
      <x:c r="AN11" s="500" t="n">
        <x:v>9858</x:v>
      </x:c>
      <x:c r="AO11" s="500" t="n"/>
      <x:c r="AP11" s="500" t="n">
        <x:v>15773</x:v>
      </x:c>
      <x:c r="AQ11" s="500" t="n">
        <x:v>650</x:v>
      </x:c>
      <x:c r="AR11" s="500" t="n">
        <x:v>4960</x:v>
      </x:c>
      <x:c r="AS11" s="500" t="n">
        <x:v>32</x:v>
      </x:c>
      <x:c r="AT11" s="498" t="n">
        <x:v>992</x:v>
      </x:c>
      <x:c r="AU11" s="498" t="n">
        <x:v>963</x:v>
      </x:c>
      <x:c r="AV11" s="498" t="n"/>
      <x:c r="AW11" s="498" t="n">
        <x:v>1541</x:v>
      </x:c>
      <x:c r="AX11" s="498" t="n">
        <x:v>9818</x:v>
      </x:c>
      <x:c r="AY11" s="498" t="n">
        <x:v>0</x:v>
      </x:c>
      <x:c r="AZ11" s="498" t="n">
        <x:v>549</x:v>
      </x:c>
      <x:c r="BA11" s="498" t="n">
        <x:v>36</x:v>
      </x:c>
      <x:c r="BB11" s="501" t="n">
        <x:v>504</x:v>
      </x:c>
      <x:c r="BC11" s="501" t="n">
        <x:v>489</x:v>
      </x:c>
      <x:c r="BD11" s="501" t="n"/>
      <x:c r="BE11" s="501" t="n">
        <x:v>783</x:v>
      </x:c>
      <x:c r="BF11" s="501" t="n">
        <x:v>0</x:v>
      </x:c>
      <x:c r="BG11" s="501" t="n">
        <x:v>279</x:v>
      </x:c>
      <x:c r="BH11" s="501" t="n">
        <x:v>36</x:v>
      </x:c>
      <x:c r="BI11" s="502" t="n">
        <x:v>1659</x:v>
      </x:c>
      <x:c r="BJ11" s="502" t="n">
        <x:v>1609</x:v>
      </x:c>
      <x:c r="BK11" s="502" t="n"/>
      <x:c r="BL11" s="502" t="n">
        <x:v>2575</x:v>
      </x:c>
      <x:c r="BM11" s="502" t="n">
        <x:v>0</x:v>
      </x:c>
      <x:c r="BN11" s="502" t="n">
        <x:v>916</x:v>
      </x:c>
      <x:c r="BO11" s="502" t="n">
        <x:v>36</x:v>
      </x:c>
      <x:c r="BP11" s="503" t="n">
        <x:v>1593</x:v>
      </x:c>
      <x:c r="BQ11" s="503" t="n">
        <x:v>1546</x:v>
      </x:c>
      <x:c r="BR11" s="503" t="n"/>
      <x:c r="BS11" s="503" t="n">
        <x:v>3402</x:v>
      </x:c>
      <x:c r="BT11" s="503" t="n">
        <x:v>510</x:v>
      </x:c>
      <x:c r="BU11" s="503" t="n">
        <x:v>1299</x:v>
      </x:c>
      <x:c r="BV11" s="503" t="n">
        <x:v>39</x:v>
      </x:c>
      <x:c r="BW11" s="499" t="n">
        <x:v>528</x:v>
      </x:c>
      <x:c r="BX11" s="499" t="n">
        <x:v>513</x:v>
      </x:c>
      <x:c r="BY11" s="499" t="n"/>
      <x:c r="BZ11" s="499" t="n">
        <x:v>821</x:v>
      </x:c>
      <x:c r="CA11" s="499" t="n">
        <x:v>0</x:v>
      </x:c>
      <x:c r="CB11" s="499" t="n">
        <x:v>293</x:v>
      </x:c>
      <x:c r="CC11" s="499" t="n">
        <x:v>36</x:v>
      </x:c>
      <x:c r="CD11" s="500" t="n">
        <x:v>480</x:v>
      </x:c>
      <x:c r="CE11" s="500" t="n">
        <x:v>466</x:v>
      </x:c>
      <x:c r="CF11" s="500" t="n"/>
      <x:c r="CG11" s="500" t="n">
        <x:v>746</x:v>
      </x:c>
      <x:c r="CH11" s="500" t="n">
        <x:v>0</x:v>
      </x:c>
      <x:c r="CI11" s="500" t="n">
        <x:v>266</x:v>
      </x:c>
      <x:c r="CJ11" s="500" t="n">
        <x:v>36</x:v>
      </x:c>
      <x:c r="CK11" s="504" t="n"/>
      <x:c r="CL11" s="504" t="n"/>
      <x:c r="CM11" s="504" t="n"/>
      <x:c r="CN11" s="504" t="n">
        <x:v>4210</x:v>
      </x:c>
      <x:c r="CO11" s="504" t="n">
        <x:v>0</x:v>
      </x:c>
      <x:c r="CP11" s="504" t="n">
        <x:v>4210</x:v>
      </x:c>
      <x:c r="CQ11" s="504" t="n">
        <x:v>100</x:v>
      </x:c>
      <x:c r="CR11" s="505" t="n"/>
      <x:c r="CS11" s="505" t="n"/>
      <x:c r="CT11" s="505" t="n"/>
      <x:c r="CU11" s="505" t="n">
        <x:v>4189</x:v>
      </x:c>
      <x:c r="CV11" s="505" t="n">
        <x:v>0</x:v>
      </x:c>
      <x:c r="CW11" s="505" t="n">
        <x:v>4189</x:v>
      </x:c>
      <x:c r="CX11" s="505" t="n">
        <x:v>100</x:v>
      </x:c>
    </x:row>
    <x:row r="12" s="655" customFormat="1" ht="13.899999618530273" customHeight="1">
      <x:c r="A12" s="494" t="inlineStr">
        <x:is>
          <x:t xml:space="preserve">300 x 1206 cm</x:t>
        </x:is>
      </x:c>
      <x:c r="B12" s="495" t="n">
        <x:v>12236</x:v>
      </x:c>
      <x:c r="C12" s="495" t="n">
        <x:v>11869</x:v>
      </x:c>
      <x:c r="D12" s="495" t="n"/>
      <x:c r="E12" s="495" t="n">
        <x:v>18991</x:v>
      </x:c>
      <x:c r="F12" s="495" t="n">
        <x:v>5000</x:v>
      </x:c>
      <x:c r="G12" s="495" t="n">
        <x:v>1890</x:v>
      </x:c>
      <x:c r="H12" s="495" t="n">
        <x:v>9865</x:v>
      </x:c>
      <x:c r="I12" s="495" t="n">
        <x:v>42</x:v>
      </x:c>
      <x:c r="J12" s="496" t="n">
        <x:v>27610</x:v>
      </x:c>
      <x:c r="K12" s="496" t="n">
        <x:v>26782</x:v>
      </x:c>
      <x:c r="L12" s="496" t="n"/>
      <x:c r="M12" s="496" t="n">
        <x:v>44191</x:v>
      </x:c>
      <x:c r="N12" s="496" t="n">
        <x:v>6450</x:v>
      </x:c>
      <x:c r="O12" s="496" t="n">
        <x:v>2640</x:v>
      </x:c>
      <x:c r="P12" s="496" t="n">
        <x:v>20391</x:v>
      </x:c>
      <x:c r="Q12" s="496" t="n">
        <x:v>41</x:v>
      </x:c>
      <x:c r="R12" s="497" t="n">
        <x:v>5667</x:v>
      </x:c>
      <x:c r="S12" s="497" t="n">
        <x:v>5497</x:v>
      </x:c>
      <x:c r="T12" s="497" t="n"/>
      <x:c r="U12" s="497" t="n">
        <x:v>9071</x:v>
      </x:c>
      <x:c r="V12" s="497" t="n">
        <x:v>530</x:v>
      </x:c>
      <x:c r="W12" s="497" t="n">
        <x:v>2874</x:v>
      </x:c>
      <x:c r="X12" s="497" t="n">
        <x:v>32</x:v>
      </x:c>
      <x:c r="Y12" s="498" t="n">
        <x:v>1740</x:v>
      </x:c>
      <x:c r="Z12" s="498" t="n">
        <x:v>1688</x:v>
      </x:c>
      <x:c r="AA12" s="498" t="n"/>
      <x:c r="AB12" s="498" t="n">
        <x:v>2701</x:v>
      </x:c>
      <x:c r="AC12" s="498" t="n">
        <x:v>150</x:v>
      </x:c>
      <x:c r="AD12" s="498" t="n">
        <x:v>811</x:v>
      </x:c>
      <x:c r="AE12" s="498" t="n">
        <x:v>31</x:v>
      </x:c>
      <x:c r="AF12" s="499" t="n">
        <x:v>6439</x:v>
      </x:c>
      <x:c r="AG12" s="499" t="n">
        <x:v>6246</x:v>
      </x:c>
      <x:c r="AH12" s="499" t="n"/>
      <x:c r="AI12" s="499" t="n">
        <x:v>9994</x:v>
      </x:c>
      <x:c r="AJ12" s="499" t="n">
        <x:v>450</x:v>
      </x:c>
      <x:c r="AK12" s="499" t="n">
        <x:v>3104.98</x:v>
      </x:c>
      <x:c r="AL12" s="499" t="n">
        <x:v>32</x:v>
      </x:c>
      <x:c r="AM12" s="500" t="n">
        <x:v>10488</x:v>
      </x:c>
      <x:c r="AN12" s="500" t="n">
        <x:v>10174</x:v>
      </x:c>
      <x:c r="AO12" s="500" t="n"/>
      <x:c r="AP12" s="500" t="n">
        <x:v>16279</x:v>
      </x:c>
      <x:c r="AQ12" s="500" t="n">
        <x:v>700</x:v>
      </x:c>
      <x:c r="AR12" s="500" t="n">
        <x:v>5091</x:v>
      </x:c>
      <x:c r="AS12" s="500" t="n">
        <x:v>32</x:v>
      </x:c>
      <x:c r="AT12" s="498" t="n">
        <x:v>1089</x:v>
      </x:c>
      <x:c r="AU12" s="498" t="n">
        <x:v>1057</x:v>
      </x:c>
      <x:c r="AV12" s="498" t="n"/>
      <x:c r="AW12" s="498" t="n">
        <x:v>1692</x:v>
      </x:c>
      <x:c r="AX12" s="498" t="n">
        <x:v>10763</x:v>
      </x:c>
      <x:c r="AY12" s="498" t="n">
        <x:v>0</x:v>
      </x:c>
      <x:c r="AZ12" s="498" t="n">
        <x:v>603</x:v>
      </x:c>
      <x:c r="BA12" s="498" t="n">
        <x:v>36</x:v>
      </x:c>
      <x:c r="BB12" s="501" t="n">
        <x:v>553</x:v>
      </x:c>
      <x:c r="BC12" s="501" t="n">
        <x:v>537</x:v>
      </x:c>
      <x:c r="BD12" s="501" t="n"/>
      <x:c r="BE12" s="501" t="n">
        <x:v>860</x:v>
      </x:c>
      <x:c r="BF12" s="501" t="n">
        <x:v>0</x:v>
      </x:c>
      <x:c r="BG12" s="501" t="n">
        <x:v>307</x:v>
      </x:c>
      <x:c r="BH12" s="501" t="n">
        <x:v>36</x:v>
      </x:c>
      <x:c r="BI12" s="502" t="n">
        <x:v>1756</x:v>
      </x:c>
      <x:c r="BJ12" s="502" t="n">
        <x:v>1704</x:v>
      </x:c>
      <x:c r="BK12" s="502" t="n"/>
      <x:c r="BL12" s="502" t="n">
        <x:v>2727</x:v>
      </x:c>
      <x:c r="BM12" s="502" t="n">
        <x:v>0</x:v>
      </x:c>
      <x:c r="BN12" s="502" t="n">
        <x:v>971</x:v>
      </x:c>
      <x:c r="BO12" s="502" t="n">
        <x:v>36</x:v>
      </x:c>
      <x:c r="BP12" s="503" t="n">
        <x:v>1593</x:v>
      </x:c>
      <x:c r="BQ12" s="503" t="n">
        <x:v>1546</x:v>
      </x:c>
      <x:c r="BR12" s="503" t="n"/>
      <x:c r="BS12" s="503" t="n">
        <x:v>3402</x:v>
      </x:c>
      <x:c r="BT12" s="503" t="n">
        <x:v>550</x:v>
      </x:c>
      <x:c r="BU12" s="503" t="n">
        <x:v>1259</x:v>
      </x:c>
      <x:c r="BV12" s="503" t="n">
        <x:v>37</x:v>
      </x:c>
      <x:c r="BW12" s="499" t="n">
        <x:v>561</x:v>
      </x:c>
      <x:c r="BX12" s="499" t="n">
        <x:v>545</x:v>
      </x:c>
      <x:c r="BY12" s="499" t="n"/>
      <x:c r="BZ12" s="499" t="n">
        <x:v>872</x:v>
      </x:c>
      <x:c r="CA12" s="499" t="n">
        <x:v>0</x:v>
      </x:c>
      <x:c r="CB12" s="499" t="n">
        <x:v>311</x:v>
      </x:c>
      <x:c r="CC12" s="499" t="n">
        <x:v>36</x:v>
      </x:c>
      <x:c r="CD12" s="500" t="n">
        <x:v>504</x:v>
      </x:c>
      <x:c r="CE12" s="500" t="n">
        <x:v>489</x:v>
      </x:c>
      <x:c r="CF12" s="500" t="n"/>
      <x:c r="CG12" s="500" t="n">
        <x:v>783</x:v>
      </x:c>
      <x:c r="CH12" s="500" t="n">
        <x:v>0</x:v>
      </x:c>
      <x:c r="CI12" s="500" t="n">
        <x:v>279</x:v>
      </x:c>
      <x:c r="CJ12" s="500" t="n">
        <x:v>36</x:v>
      </x:c>
      <x:c r="CK12" s="504" t="n"/>
      <x:c r="CL12" s="504" t="n"/>
      <x:c r="CM12" s="504" t="n"/>
      <x:c r="CN12" s="504" t="n">
        <x:v>4480</x:v>
      </x:c>
      <x:c r="CO12" s="504" t="n">
        <x:v>0</x:v>
      </x:c>
      <x:c r="CP12" s="504" t="n">
        <x:v>4480</x:v>
      </x:c>
      <x:c r="CQ12" s="504" t="n">
        <x:v>100</x:v>
      </x:c>
      <x:c r="CR12" s="505" t="n"/>
      <x:c r="CS12" s="505" t="n"/>
      <x:c r="CT12" s="505" t="n"/>
      <x:c r="CU12" s="505" t="n">
        <x:v>4454</x:v>
      </x:c>
      <x:c r="CV12" s="505" t="n">
        <x:v>0</x:v>
      </x:c>
      <x:c r="CW12" s="505" t="n">
        <x:v>4454</x:v>
      </x:c>
      <x:c r="CX12" s="505" t="n">
        <x:v>100</x:v>
      </x:c>
    </x:row>
    <x:row r="13" s="655" customFormat="1" ht="13.899999618530273" customHeight="1">
      <x:c r="A13" s="494" t="inlineStr">
        <x:is>
          <x:t xml:space="preserve">350 x 306 cm</x:t>
        </x:is>
      </x:c>
      <x:c r="B13" s="495" t="n">
        <x:v>3528</x:v>
      </x:c>
      <x:c r="C13" s="495" t="n">
        <x:v>3423</x:v>
      </x:c>
      <x:c r="D13" s="495" t="n"/>
      <x:c r="E13" s="495" t="n">
        <x:v>5477</x:v>
      </x:c>
      <x:c r="F13" s="495" t="n">
        <x:v>2640</x:v>
      </x:c>
      <x:c r="G13" s="495" t="n">
        <x:v>770</x:v>
      </x:c>
      <x:c r="H13" s="495" t="n">
        <x:v>3819</x:v>
      </x:c>
      <x:c r="I13" s="495" t="n">
        <x:v>48</x:v>
      </x:c>
      <x:c r="J13" s="496" t="n">
        <x:v>13439</x:v>
      </x:c>
      <x:c r="K13" s="496" t="n">
        <x:v>13036</x:v>
      </x:c>
      <x:c r="L13" s="496" t="n"/>
      <x:c r="M13" s="496" t="n">
        <x:v>21510</x:v>
      </x:c>
      <x:c r="N13" s="496" t="n">
        <x:v>3650</x:v>
      </x:c>
      <x:c r="O13" s="496" t="n">
        <x:v>1080</x:v>
      </x:c>
      <x:c r="P13" s="496" t="n">
        <x:v>10641</x:v>
      </x:c>
      <x:c r="Q13" s="496" t="n">
        <x:v>43</x:v>
      </x:c>
      <x:c r="R13" s="497" t="n">
        <x:v>1854</x:v>
      </x:c>
      <x:c r="S13" s="497" t="n">
        <x:v>1799</x:v>
      </x:c>
      <x:c r="T13" s="497" t="n"/>
      <x:c r="U13" s="497" t="n">
        <x:v>2969</x:v>
      </x:c>
      <x:c r="V13" s="497" t="n">
        <x:v>220</x:v>
      </x:c>
      <x:c r="W13" s="497" t="n">
        <x:v>895</x:v>
      </x:c>
      <x:c r="X13" s="497" t="n">
        <x:v>31</x:v>
      </x:c>
      <x:c r="Y13" s="498" t="n">
        <x:v>1902</x:v>
      </x:c>
      <x:c r="Z13" s="498" t="n">
        <x:v>1846</x:v>
      </x:c>
      <x:c r="AA13" s="498" t="n"/>
      <x:c r="AB13" s="498" t="n">
        <x:v>2954</x:v>
      </x:c>
      <x:c r="AC13" s="498" t="n">
        <x:v>150</x:v>
      </x:c>
      <x:c r="AD13" s="498" t="n">
        <x:v>902</x:v>
      </x:c>
      <x:c r="AE13" s="498" t="n">
        <x:v>31</x:v>
      </x:c>
      <x:c r="AF13" s="499" t="n">
        <x:v>1740</x:v>
      </x:c>
      <x:c r="AG13" s="499" t="n">
        <x:v>1688</x:v>
      </x:c>
      <x:c r="AH13" s="499" t="n"/>
      <x:c r="AI13" s="499" t="n">
        <x:v>2701</x:v>
      </x:c>
      <x:c r="AJ13" s="499" t="n">
        <x:v>150</x:v>
      </x:c>
      <x:c r="AK13" s="499" t="n">
        <x:v>811.16</x:v>
      </x:c>
      <x:c r="AL13" s="499" t="n">
        <x:v>31</x:v>
      </x:c>
      <x:c r="AM13" s="500" t="n">
        <x:v>3236</x:v>
      </x:c>
      <x:c r="AN13" s="500" t="n">
        <x:v>3139</x:v>
      </x:c>
      <x:c r="AO13" s="500" t="n"/>
      <x:c r="AP13" s="500" t="n">
        <x:v>5023</x:v>
      </x:c>
      <x:c r="AQ13" s="500" t="n">
        <x:v>200</x:v>
      </x:c>
      <x:c r="AR13" s="500" t="n">
        <x:v>1587</x:v>
      </x:c>
      <x:c r="AS13" s="500" t="n">
        <x:v>32</x:v>
      </x:c>
      <x:c r="AT13" s="498" t="n">
        <x:v>276</x:v>
      </x:c>
      <x:c r="AU13" s="498" t="n">
        <x:v>269</x:v>
      </x:c>
      <x:c r="AV13" s="498" t="n"/>
      <x:c r="AW13" s="498" t="n">
        <x:v>431</x:v>
      </x:c>
      <x:c r="AX13" s="498" t="n">
        <x:v>3400</x:v>
      </x:c>
      <x:c r="AY13" s="498" t="n">
        <x:v>0</x:v>
      </x:c>
      <x:c r="AZ13" s="498" t="n">
        <x:v>155</x:v>
      </x:c>
      <x:c r="BA13" s="498" t="n">
        <x:v>36</x:v>
      </x:c>
      <x:c r="BB13" s="501" t="n">
        <x:v>122</x:v>
      </x:c>
      <x:c r="BC13" s="501" t="n">
        <x:v>119</x:v>
      </x:c>
      <x:c r="BD13" s="501" t="n"/>
      <x:c r="BE13" s="501" t="n">
        <x:v>191</x:v>
      </x:c>
      <x:c r="BF13" s="501" t="n">
        <x:v>0</x:v>
      </x:c>
      <x:c r="BG13" s="501" t="n">
        <x:v>69</x:v>
      </x:c>
      <x:c r="BH13" s="501" t="n">
        <x:v>37</x:v>
      </x:c>
      <x:c r="BI13" s="502" t="n">
        <x:v>1073</x:v>
      </x:c>
      <x:c r="BJ13" s="502" t="n">
        <x:v>1041</x:v>
      </x:c>
      <x:c r="BK13" s="502" t="n"/>
      <x:c r="BL13" s="502" t="n">
        <x:v>1666</x:v>
      </x:c>
      <x:c r="BM13" s="502" t="n">
        <x:v>0</x:v>
      </x:c>
      <x:c r="BN13" s="502" t="n">
        <x:v>593</x:v>
      </x:c>
      <x:c r="BO13" s="502" t="n">
        <x:v>36</x:v>
      </x:c>
      <x:c r="BP13" s="503" t="n">
        <x:v>724</x:v>
      </x:c>
      <x:c r="BQ13" s="503" t="n">
        <x:v>702</x:v>
      </x:c>
      <x:c r="BR13" s="503" t="n"/>
      <x:c r="BS13" s="503" t="n">
        <x:v>1545</x:v>
      </x:c>
      <x:c r="BT13" s="503" t="n">
        <x:v>340</x:v>
      </x:c>
      <x:c r="BU13" s="503" t="n">
        <x:v>481</x:v>
      </x:c>
      <x:c r="BV13" s="503" t="n">
        <x:v>32</x:v>
      </x:c>
      <x:c r="BW13" s="499" t="n">
        <x:v>341</x:v>
      </x:c>
      <x:c r="BX13" s="499" t="n">
        <x:v>332</x:v>
      </x:c>
      <x:c r="BY13" s="499" t="n"/>
      <x:c r="BZ13" s="499" t="n">
        <x:v>532</x:v>
      </x:c>
      <x:c r="CA13" s="499" t="n">
        <x:v>0</x:v>
      </x:c>
      <x:c r="CB13" s="499" t="n">
        <x:v>191</x:v>
      </x:c>
      <x:c r="CC13" s="499" t="n">
        <x:v>36</x:v>
      </x:c>
      <x:c r="CD13" s="500" t="n">
        <x:v>309</x:v>
      </x:c>
      <x:c r="CE13" s="500" t="n">
        <x:v>300</x:v>
      </x:c>
      <x:c r="CF13" s="500" t="n"/>
      <x:c r="CG13" s="500" t="n">
        <x:v>480</x:v>
      </x:c>
      <x:c r="CH13" s="500" t="n">
        <x:v>0</x:v>
      </x:c>
      <x:c r="CI13" s="500" t="n">
        <x:v>171</x:v>
      </x:c>
      <x:c r="CJ13" s="500" t="n">
        <x:v>36</x:v>
      </x:c>
      <x:c r="CK13" s="504" t="n"/>
      <x:c r="CL13" s="504" t="n"/>
      <x:c r="CM13" s="504" t="n"/>
      <x:c r="CN13" s="504" t="n">
        <x:v>925</x:v>
      </x:c>
      <x:c r="CO13" s="504" t="n">
        <x:v>0</x:v>
      </x:c>
      <x:c r="CP13" s="504" t="n">
        <x:v>925</x:v>
      </x:c>
      <x:c r="CQ13" s="504" t="n">
        <x:v>100</x:v>
      </x:c>
      <x:c r="CR13" s="505" t="n"/>
      <x:c r="CS13" s="505" t="n"/>
      <x:c r="CT13" s="505" t="n"/>
      <x:c r="CU13" s="505" t="n">
        <x:v>1603</x:v>
      </x:c>
      <x:c r="CV13" s="505" t="n">
        <x:v>0</x:v>
      </x:c>
      <x:c r="CW13" s="505" t="n">
        <x:v>1603</x:v>
      </x:c>
      <x:c r="CX13" s="505" t="n">
        <x:v>100</x:v>
      </x:c>
    </x:row>
    <x:row r="14" s="655" customFormat="1" ht="13.899999618530273" customHeight="1">
      <x:c r="A14" s="494" t="inlineStr">
        <x:is>
          <x:t xml:space="preserve">350 x 406 cm</x:t>
        </x:is>
      </x:c>
      <x:c r="B14" s="495" t="n">
        <x:v>4634</x:v>
      </x:c>
      <x:c r="C14" s="495" t="n">
        <x:v>4496</x:v>
      </x:c>
      <x:c r="D14" s="495" t="n"/>
      <x:c r="E14" s="495" t="n">
        <x:v>7194</x:v>
      </x:c>
      <x:c r="F14" s="495" t="n">
        <x:v>2970</x:v>
      </x:c>
      <x:c r="G14" s="495" t="n">
        <x:v>930</x:v>
      </x:c>
      <x:c r="H14" s="495" t="n">
        <x:v>4600</x:v>
      </x:c>
      <x:c r="I14" s="495" t="n">
        <x:v>46</x:v>
      </x:c>
      <x:c r="J14" s="496" t="n">
        <x:v>15276</x:v>
      </x:c>
      <x:c r="K14" s="496" t="n">
        <x:v>14819</x:v>
      </x:c>
      <x:c r="L14" s="496" t="n"/>
      <x:c r="M14" s="496" t="n">
        <x:v>24452</x:v>
      </x:c>
      <x:c r="N14" s="496" t="n">
        <x:v>4090</x:v>
      </x:c>
      <x:c r="O14" s="496" t="n">
        <x:v>1300</x:v>
      </x:c>
      <x:c r="P14" s="496" t="n">
        <x:v>11966</x:v>
      </x:c>
      <x:c r="Q14" s="496" t="n">
        <x:v>42</x:v>
      </x:c>
      <x:c r="R14" s="497" t="n">
        <x:v>2480</x:v>
      </x:c>
      <x:c r="S14" s="497" t="n">
        <x:v>2406</x:v>
      </x:c>
      <x:c r="T14" s="497" t="n"/>
      <x:c r="U14" s="497" t="n">
        <x:v>3970</x:v>
      </x:c>
      <x:c r="V14" s="497" t="n">
        <x:v>260</x:v>
      </x:c>
      <x:c r="W14" s="497" t="n">
        <x:v>1230</x:v>
      </x:c>
      <x:c r="X14" s="497" t="n">
        <x:v>31</x:v>
      </x:c>
      <x:c r="Y14" s="498" t="n">
        <x:v>1902</x:v>
      </x:c>
      <x:c r="Z14" s="498" t="n">
        <x:v>1846</x:v>
      </x:c>
      <x:c r="AA14" s="498" t="n"/>
      <x:c r="AB14" s="498" t="n">
        <x:v>2954</x:v>
      </x:c>
      <x:c r="AC14" s="498" t="n">
        <x:v>150</x:v>
      </x:c>
      <x:c r="AD14" s="498" t="n">
        <x:v>902</x:v>
      </x:c>
      <x:c r="AE14" s="498" t="n">
        <x:v>31</x:v>
      </x:c>
      <x:c r="AF14" s="499" t="n">
        <x:v>2146</x:v>
      </x:c>
      <x:c r="AG14" s="499" t="n">
        <x:v>2082</x:v>
      </x:c>
      <x:c r="AH14" s="499" t="n"/>
      <x:c r="AI14" s="499" t="n">
        <x:v>3332</x:v>
      </x:c>
      <x:c r="AJ14" s="499" t="n">
        <x:v>150</x:v>
      </x:c>
      <x:c r="AK14" s="499" t="n">
        <x:v>1035.66</x:v>
      </x:c>
      <x:c r="AL14" s="499" t="n">
        <x:v>32</x:v>
      </x:c>
      <x:c r="AM14" s="500" t="n">
        <x:v>3659</x:v>
      </x:c>
      <x:c r="AN14" s="500" t="n">
        <x:v>3549</x:v>
      </x:c>
      <x:c r="AO14" s="500" t="n"/>
      <x:c r="AP14" s="500" t="n">
        <x:v>5679</x:v>
      </x:c>
      <x:c r="AQ14" s="500" t="n">
        <x:v>250</x:v>
      </x:c>
      <x:c r="AR14" s="500" t="n">
        <x:v>1770</x:v>
      </x:c>
      <x:c r="AS14" s="500" t="n">
        <x:v>32</x:v>
      </x:c>
      <x:c r="AT14" s="498" t="n">
        <x:v>366</x:v>
      </x:c>
      <x:c r="AU14" s="498" t="n">
        <x:v>355</x:v>
      </x:c>
      <x:c r="AV14" s="498" t="n"/>
      <x:c r="AW14" s="498" t="n">
        <x:v>568</x:v>
      </x:c>
      <x:c r="AX14" s="498" t="n">
        <x:v>4538</x:v>
      </x:c>
      <x:c r="AY14" s="498" t="n">
        <x:v>0</x:v>
      </x:c>
      <x:c r="AZ14" s="498" t="n">
        <x:v>202</x:v>
      </x:c>
      <x:c r="BA14" s="498" t="n">
        <x:v>36</x:v>
      </x:c>
      <x:c r="BB14" s="501" t="n">
        <x:v>163</x:v>
      </x:c>
      <x:c r="BC14" s="501" t="n">
        <x:v>158</x:v>
      </x:c>
      <x:c r="BD14" s="501" t="n"/>
      <x:c r="BE14" s="501" t="n">
        <x:v>253</x:v>
      </x:c>
      <x:c r="BF14" s="501" t="n">
        <x:v>0</x:v>
      </x:c>
      <x:c r="BG14" s="501" t="n">
        <x:v>90</x:v>
      </x:c>
      <x:c r="BH14" s="501" t="n">
        <x:v>36</x:v>
      </x:c>
      <x:c r="BI14" s="502" t="n">
        <x:v>1171</x:v>
      </x:c>
      <x:c r="BJ14" s="502" t="n">
        <x:v>1136</x:v>
      </x:c>
      <x:c r="BK14" s="502" t="n"/>
      <x:c r="BL14" s="502" t="n">
        <x:v>1818</x:v>
      </x:c>
      <x:c r="BM14" s="502" t="n">
        <x:v>0</x:v>
      </x:c>
      <x:c r="BN14" s="502" t="n">
        <x:v>647</x:v>
      </x:c>
      <x:c r="BO14" s="502" t="n">
        <x:v>36</x:v>
      </x:c>
      <x:c r="BP14" s="503" t="n">
        <x:v>813</x:v>
      </x:c>
      <x:c r="BQ14" s="503" t="n">
        <x:v>789</x:v>
      </x:c>
      <x:c r="BR14" s="503" t="n"/>
      <x:c r="BS14" s="503" t="n">
        <x:v>1736</x:v>
      </x:c>
      <x:c r="BT14" s="503" t="n">
        <x:v>380</x:v>
      </x:c>
      <x:c r="BU14" s="503" t="n">
        <x:v>543</x:v>
      </x:c>
      <x:c r="BV14" s="503" t="n">
        <x:v>32</x:v>
      </x:c>
      <x:c r="BW14" s="499" t="n">
        <x:v>374</x:v>
      </x:c>
      <x:c r="BX14" s="499" t="n">
        <x:v>363</x:v>
      </x:c>
      <x:c r="BY14" s="499" t="n"/>
      <x:c r="BZ14" s="499" t="n">
        <x:v>581</x:v>
      </x:c>
      <x:c r="CA14" s="499" t="n">
        <x:v>0</x:v>
      </x:c>
      <x:c r="CB14" s="499" t="n">
        <x:v>207</x:v>
      </x:c>
      <x:c r="CC14" s="499" t="n">
        <x:v>36</x:v>
      </x:c>
      <x:c r="CD14" s="500" t="n">
        <x:v>333</x:v>
      </x:c>
      <x:c r="CE14" s="500" t="n">
        <x:v>324</x:v>
      </x:c>
      <x:c r="CF14" s="500" t="n"/>
      <x:c r="CG14" s="500" t="n">
        <x:v>519</x:v>
      </x:c>
      <x:c r="CH14" s="500" t="n">
        <x:v>0</x:v>
      </x:c>
      <x:c r="CI14" s="500" t="n">
        <x:v>186</x:v>
      </x:c>
      <x:c r="CJ14" s="500" t="n">
        <x:v>36</x:v>
      </x:c>
      <x:c r="CK14" s="504" t="n"/>
      <x:c r="CL14" s="504" t="n"/>
      <x:c r="CM14" s="504" t="n"/>
      <x:c r="CN14" s="504" t="n">
        <x:v>1430</x:v>
      </x:c>
      <x:c r="CO14" s="504" t="n">
        <x:v>0</x:v>
      </x:c>
      <x:c r="CP14" s="504" t="n">
        <x:v>1430</x:v>
      </x:c>
      <x:c r="CQ14" s="504" t="n">
        <x:v>100</x:v>
      </x:c>
      <x:c r="CR14" s="505" t="n"/>
      <x:c r="CS14" s="505" t="n"/>
      <x:c r="CT14" s="505" t="n"/>
      <x:c r="CU14" s="505" t="n">
        <x:v>1891</x:v>
      </x:c>
      <x:c r="CV14" s="505" t="n">
        <x:v>0</x:v>
      </x:c>
      <x:c r="CW14" s="505" t="n">
        <x:v>1891</x:v>
      </x:c>
      <x:c r="CX14" s="505" t="n">
        <x:v>100</x:v>
      </x:c>
    </x:row>
    <x:row r="15" s="655" customFormat="1" ht="13.899999618530273" customHeight="1">
      <x:c r="A15" s="494" t="inlineStr">
        <x:is>
          <x:t xml:space="preserve">350 x 506 cm</x:t>
        </x:is>
      </x:c>
      <x:c r="B15" s="495" t="n">
        <x:v>5772</x:v>
      </x:c>
      <x:c r="C15" s="495" t="n">
        <x:v>5600</x:v>
      </x:c>
      <x:c r="D15" s="495" t="n"/>
      <x:c r="E15" s="495" t="n">
        <x:v>8960</x:v>
      </x:c>
      <x:c r="F15" s="495" t="n">
        <x:v>3300</x:v>
      </x:c>
      <x:c r="G15" s="495" t="n">
        <x:v>1080</x:v>
      </x:c>
      <x:c r="H15" s="495" t="n">
        <x:v>5408</x:v>
      </x:c>
      <x:c r="I15" s="495" t="n">
        <x:v>45</x:v>
      </x:c>
      <x:c r="J15" s="496" t="n">
        <x:v>17350</x:v>
      </x:c>
      <x:c r="K15" s="496" t="n">
        <x:v>16830</x:v>
      </x:c>
      <x:c r="L15" s="496" t="n"/>
      <x:c r="M15" s="496" t="n">
        <x:v>27770</x:v>
      </x:c>
      <x:c r="N15" s="496" t="n">
        <x:v>4680</x:v>
      </x:c>
      <x:c r="O15" s="496" t="n">
        <x:v>1510</x:v>
      </x:c>
      <x:c r="P15" s="496" t="n">
        <x:v>13590</x:v>
      </x:c>
      <x:c r="Q15" s="496" t="n">
        <x:v>42</x:v>
      </x:c>
      <x:c r="R15" s="497" t="n">
        <x:v>3179</x:v>
      </x:c>
      <x:c r="S15" s="497" t="n">
        <x:v>3084</x:v>
      </x:c>
      <x:c r="T15" s="497" t="n"/>
      <x:c r="U15" s="497" t="n">
        <x:v>5089</x:v>
      </x:c>
      <x:c r="V15" s="497" t="n">
        <x:v>300</x:v>
      </x:c>
      <x:c r="W15" s="497" t="n">
        <x:v>1610</x:v>
      </x:c>
      <x:c r="X15" s="497" t="n">
        <x:v>32</x:v>
      </x:c>
      <x:c r="Y15" s="498" t="n">
        <x:v>1902</x:v>
      </x:c>
      <x:c r="Z15" s="498" t="n">
        <x:v>1846</x:v>
      </x:c>
      <x:c r="AA15" s="498" t="n"/>
      <x:c r="AB15" s="498" t="n">
        <x:v>2954</x:v>
      </x:c>
      <x:c r="AC15" s="498" t="n">
        <x:v>150</x:v>
      </x:c>
      <x:c r="AD15" s="498" t="n">
        <x:v>902</x:v>
      </x:c>
      <x:c r="AE15" s="498" t="n">
        <x:v>31</x:v>
      </x:c>
      <x:c r="AF15" s="499" t="n">
        <x:v>3008</x:v>
      </x:c>
      <x:c r="AG15" s="499" t="n">
        <x:v>2918</x:v>
      </x:c>
      <x:c r="AH15" s="499" t="n"/>
      <x:c r="AI15" s="499" t="n">
        <x:v>4669</x:v>
      </x:c>
      <x:c r="AJ15" s="499" t="n">
        <x:v>300</x:v>
      </x:c>
      <x:c r="AK15" s="499" t="n">
        <x:v>1360.87</x:v>
      </x:c>
      <x:c r="AL15" s="499" t="n">
        <x:v>30</x:v>
      </x:c>
      <x:c r="AM15" s="500" t="n">
        <x:v>4228</x:v>
      </x:c>
      <x:c r="AN15" s="500" t="n">
        <x:v>4101</x:v>
      </x:c>
      <x:c r="AO15" s="500" t="n"/>
      <x:c r="AP15" s="500" t="n">
        <x:v>6562</x:v>
      </x:c>
      <x:c r="AQ15" s="500" t="n">
        <x:v>300</x:v>
      </x:c>
      <x:c r="AR15" s="500" t="n">
        <x:v>2034</x:v>
      </x:c>
      <x:c r="AS15" s="500" t="n">
        <x:v>32</x:v>
      </x:c>
      <x:c r="AT15" s="498" t="n">
        <x:v>463</x:v>
      </x:c>
      <x:c r="AU15" s="498" t="n">
        <x:v>450</x:v>
      </x:c>
      <x:c r="AV15" s="498" t="n"/>
      <x:c r="AW15" s="498" t="n">
        <x:v>720</x:v>
      </x:c>
      <x:c r="AX15" s="498" t="n">
        <x:v>5809</x:v>
      </x:c>
      <x:c r="AY15" s="498" t="n">
        <x:v>0</x:v>
      </x:c>
      <x:c r="AZ15" s="498" t="n">
        <x:v>257</x:v>
      </x:c>
      <x:c r="BA15" s="498" t="n">
        <x:v>36</x:v>
      </x:c>
      <x:c r="BB15" s="501" t="n">
        <x:v>203</x:v>
      </x:c>
      <x:c r="BC15" s="501" t="n">
        <x:v>198</x:v>
      </x:c>
      <x:c r="BD15" s="501" t="n"/>
      <x:c r="BE15" s="501" t="n">
        <x:v>317</x:v>
      </x:c>
      <x:c r="BF15" s="501" t="n">
        <x:v>0</x:v>
      </x:c>
      <x:c r="BG15" s="501" t="n">
        <x:v>114</x:v>
      </x:c>
      <x:c r="BH15" s="501" t="n">
        <x:v>36</x:v>
      </x:c>
      <x:c r="BI15" s="502" t="n">
        <x:v>1268</x:v>
      </x:c>
      <x:c r="BJ15" s="502" t="n">
        <x:v>1231</x:v>
      </x:c>
      <x:c r="BK15" s="502" t="n"/>
      <x:c r="BL15" s="502" t="n">
        <x:v>1970</x:v>
      </x:c>
      <x:c r="BM15" s="502" t="n">
        <x:v>0</x:v>
      </x:c>
      <x:c r="BN15" s="502" t="n">
        <x:v>702</x:v>
      </x:c>
      <x:c r="BO15" s="502" t="n">
        <x:v>36</x:v>
      </x:c>
      <x:c r="BP15" s="503" t="n">
        <x:v>927</x:v>
      </x:c>
      <x:c r="BQ15" s="503" t="n">
        <x:v>900</x:v>
      </x:c>
      <x:c r="BR15" s="503" t="n"/>
      <x:c r="BS15" s="503" t="n">
        <x:v>1980</x:v>
      </x:c>
      <x:c r="BT15" s="503" t="n">
        <x:v>440</x:v>
      </x:c>
      <x:c r="BU15" s="503" t="n">
        <x:v>613</x:v>
      </x:c>
      <x:c r="BV15" s="503" t="n">
        <x:v>31</x:v>
      </x:c>
      <x:c r="BW15" s="499" t="n">
        <x:v>407</x:v>
      </x:c>
      <x:c r="BX15" s="499" t="n">
        <x:v>395</x:v>
      </x:c>
      <x:c r="BY15" s="499" t="n"/>
      <x:c r="BZ15" s="499" t="n">
        <x:v>632</x:v>
      </x:c>
      <x:c r="CA15" s="499" t="n">
        <x:v>0</x:v>
      </x:c>
      <x:c r="CB15" s="499" t="n">
        <x:v>225</x:v>
      </x:c>
      <x:c r="CC15" s="499" t="n">
        <x:v>36</x:v>
      </x:c>
      <x:c r="CD15" s="500" t="n">
        <x:v>366</x:v>
      </x:c>
      <x:c r="CE15" s="500" t="n">
        <x:v>355</x:v>
      </x:c>
      <x:c r="CF15" s="500" t="n"/>
      <x:c r="CG15" s="500" t="n">
        <x:v>568</x:v>
      </x:c>
      <x:c r="CH15" s="500" t="n">
        <x:v>0</x:v>
      </x:c>
      <x:c r="CI15" s="500" t="n">
        <x:v>202</x:v>
      </x:c>
      <x:c r="CJ15" s="500" t="n">
        <x:v>36</x:v>
      </x:c>
      <x:c r="CK15" s="504" t="n"/>
      <x:c r="CL15" s="504" t="n"/>
      <x:c r="CM15" s="504" t="n"/>
      <x:c r="CN15" s="504" t="n">
        <x:v>1770</x:v>
      </x:c>
      <x:c r="CO15" s="504" t="n">
        <x:v>0</x:v>
      </x:c>
      <x:c r="CP15" s="504" t="n">
        <x:v>1770</x:v>
      </x:c>
      <x:c r="CQ15" s="504" t="n">
        <x:v>100</x:v>
      </x:c>
      <x:c r="CR15" s="505" t="n"/>
      <x:c r="CS15" s="505" t="n"/>
      <x:c r="CT15" s="505" t="n"/>
      <x:c r="CU15" s="505" t="n">
        <x:v>2178</x:v>
      </x:c>
      <x:c r="CV15" s="505" t="n">
        <x:v>0</x:v>
      </x:c>
      <x:c r="CW15" s="505" t="n">
        <x:v>2178</x:v>
      </x:c>
      <x:c r="CX15" s="505" t="n">
        <x:v>100</x:v>
      </x:c>
    </x:row>
    <x:row r="16" s="655" customFormat="1" ht="13.899999618530273" customHeight="1">
      <x:c r="A16" s="494" t="inlineStr">
        <x:is>
          <x:t xml:space="preserve">350 x 606 cm</x:t>
        </x:is>
      </x:c>
      <x:c r="B16" s="495" t="n">
        <x:v>6610</x:v>
      </x:c>
      <x:c r="C16" s="495" t="n">
        <x:v>6412</x:v>
      </x:c>
      <x:c r="D16" s="495" t="n"/>
      <x:c r="E16" s="495" t="n">
        <x:v>10260</x:v>
      </x:c>
      <x:c r="F16" s="495" t="n">
        <x:v>3620</x:v>
      </x:c>
      <x:c r="G16" s="495" t="n">
        <x:v>1240</x:v>
      </x:c>
      <x:c r="H16" s="495" t="n">
        <x:v>6030</x:v>
      </x:c>
      <x:c r="I16" s="495" t="n">
        <x:v>44</x:v>
      </x:c>
      <x:c r="J16" s="496" t="n">
        <x:v>19187</x:v>
      </x:c>
      <x:c r="K16" s="496" t="n">
        <x:v>18612</x:v>
      </x:c>
      <x:c r="L16" s="496" t="n"/>
      <x:c r="M16" s="496" t="n">
        <x:v>30710</x:v>
      </x:c>
      <x:c r="N16" s="496" t="n">
        <x:v>4900</x:v>
      </x:c>
      <x:c r="O16" s="496" t="n">
        <x:v>1730</x:v>
      </x:c>
      <x:c r="P16" s="496" t="n">
        <x:v>14693</x:v>
      </x:c>
      <x:c r="Q16" s="496" t="n">
        <x:v>42</x:v>
      </x:c>
      <x:c r="R16" s="497" t="n">
        <x:v>3813</x:v>
      </x:c>
      <x:c r="S16" s="497" t="n">
        <x:v>3699</x:v>
      </x:c>
      <x:c r="T16" s="497" t="n"/>
      <x:c r="U16" s="497" t="n">
        <x:v>6104</x:v>
      </x:c>
      <x:c r="V16" s="497" t="n">
        <x:v>350</x:v>
      </x:c>
      <x:c r="W16" s="497" t="n">
        <x:v>1941</x:v>
      </x:c>
      <x:c r="X16" s="497" t="n">
        <x:v>32</x:v>
      </x:c>
      <x:c r="Y16" s="498" t="n">
        <x:v>1902</x:v>
      </x:c>
      <x:c r="Z16" s="498" t="n">
        <x:v>1846</x:v>
      </x:c>
      <x:c r="AA16" s="498" t="n"/>
      <x:c r="AB16" s="498" t="n">
        <x:v>2954</x:v>
      </x:c>
      <x:c r="AC16" s="498" t="n">
        <x:v>150</x:v>
      </x:c>
      <x:c r="AD16" s="498" t="n">
        <x:v>902</x:v>
      </x:c>
      <x:c r="AE16" s="498" t="n">
        <x:v>31</x:v>
      </x:c>
      <x:c r="AF16" s="499" t="n">
        <x:v>3472</x:v>
      </x:c>
      <x:c r="AG16" s="499" t="n">
        <x:v>3368</x:v>
      </x:c>
      <x:c r="AH16" s="499" t="n"/>
      <x:c r="AI16" s="499" t="n">
        <x:v>5389</x:v>
      </x:c>
      <x:c r="AJ16" s="499" t="n">
        <x:v>300</x:v>
      </x:c>
      <x:c r="AK16" s="499" t="n">
        <x:v>1617.46</x:v>
      </x:c>
      <x:c r="AL16" s="499" t="n">
        <x:v>31</x:v>
      </x:c>
      <x:c r="AM16" s="500" t="n">
        <x:v>6472</x:v>
      </x:c>
      <x:c r="AN16" s="500" t="n">
        <x:v>6278</x:v>
      </x:c>
      <x:c r="AO16" s="500" t="n"/>
      <x:c r="AP16" s="500" t="n">
        <x:v>10045</x:v>
      </x:c>
      <x:c r="AQ16" s="500" t="n">
        <x:v>350</x:v>
      </x:c>
      <x:c r="AR16" s="500" t="n">
        <x:v>3223</x:v>
      </x:c>
      <x:c r="AS16" s="500" t="n">
        <x:v>33</x:v>
      </x:c>
      <x:c r="AT16" s="498" t="n">
        <x:v>561</x:v>
      </x:c>
      <x:c r="AU16" s="498" t="n">
        <x:v>545</x:v>
      </x:c>
      <x:c r="AV16" s="498" t="n"/>
      <x:c r="AW16" s="498" t="n">
        <x:v>872</x:v>
      </x:c>
      <x:c r="AX16" s="498" t="n">
        <x:v>6976</x:v>
      </x:c>
      <x:c r="AY16" s="498" t="n">
        <x:v>0</x:v>
      </x:c>
      <x:c r="AZ16" s="498" t="n">
        <x:v>311</x:v>
      </x:c>
      <x:c r="BA16" s="498" t="n">
        <x:v>36</x:v>
      </x:c>
      <x:c r="BB16" s="501" t="n">
        <x:v>244</x:v>
      </x:c>
      <x:c r="BC16" s="501" t="n">
        <x:v>237</x:v>
      </x:c>
      <x:c r="BD16" s="501" t="n"/>
      <x:c r="BE16" s="501" t="n">
        <x:v>380</x:v>
      </x:c>
      <x:c r="BF16" s="501" t="n">
        <x:v>0</x:v>
      </x:c>
      <x:c r="BG16" s="501" t="n">
        <x:v>136</x:v>
      </x:c>
      <x:c r="BH16" s="501" t="n">
        <x:v>36</x:v>
      </x:c>
      <x:c r="BI16" s="502" t="n">
        <x:v>1366</x:v>
      </x:c>
      <x:c r="BJ16" s="502" t="n">
        <x:v>1325</x:v>
      </x:c>
      <x:c r="BK16" s="502" t="n"/>
      <x:c r="BL16" s="502" t="n">
        <x:v>2120</x:v>
      </x:c>
      <x:c r="BM16" s="502" t="n">
        <x:v>0</x:v>
      </x:c>
      <x:c r="BN16" s="502" t="n">
        <x:v>754</x:v>
      </x:c>
      <x:c r="BO16" s="502" t="n">
        <x:v>36</x:v>
      </x:c>
      <x:c r="BP16" s="503" t="n">
        <x:v>1154</x:v>
      </x:c>
      <x:c r="BQ16" s="503" t="n">
        <x:v>1120</x:v>
      </x:c>
      <x:c r="BR16" s="503" t="n"/>
      <x:c r="BS16" s="503" t="n">
        <x:v>2464</x:v>
      </x:c>
      <x:c r="BT16" s="503" t="n">
        <x:v>540</x:v>
      </x:c>
      <x:c r="BU16" s="503" t="n">
        <x:v>770</x:v>
      </x:c>
      <x:c r="BV16" s="503" t="n">
        <x:v>32</x:v>
      </x:c>
      <x:c r="BW16" s="499" t="n">
        <x:v>431</x:v>
      </x:c>
      <x:c r="BX16" s="499" t="n">
        <x:v>418</x:v>
      </x:c>
      <x:c r="BY16" s="499" t="n"/>
      <x:c r="BZ16" s="499" t="n">
        <x:v>669</x:v>
      </x:c>
      <x:c r="CA16" s="499" t="n">
        <x:v>0</x:v>
      </x:c>
      <x:c r="CB16" s="499" t="n">
        <x:v>238</x:v>
      </x:c>
      <x:c r="CC16" s="499" t="n">
        <x:v>36</x:v>
      </x:c>
      <x:c r="CD16" s="500" t="n">
        <x:v>390</x:v>
      </x:c>
      <x:c r="CE16" s="500" t="n">
        <x:v>379</x:v>
      </x:c>
      <x:c r="CF16" s="500" t="n"/>
      <x:c r="CG16" s="500" t="n">
        <x:v>607</x:v>
      </x:c>
      <x:c r="CH16" s="500" t="n">
        <x:v>0</x:v>
      </x:c>
      <x:c r="CI16" s="500" t="n">
        <x:v>217</x:v>
      </x:c>
      <x:c r="CJ16" s="500" t="n">
        <x:v>36</x:v>
      </x:c>
      <x:c r="CK16" s="504" t="n"/>
      <x:c r="CL16" s="504" t="n"/>
      <x:c r="CM16" s="504" t="n"/>
      <x:c r="CN16" s="504" t="n">
        <x:v>2180</x:v>
      </x:c>
      <x:c r="CO16" s="504" t="n">
        <x:v>0</x:v>
      </x:c>
      <x:c r="CP16" s="504" t="n">
        <x:v>2180</x:v>
      </x:c>
      <x:c r="CQ16" s="504" t="n">
        <x:v>100</x:v>
      </x:c>
      <x:c r="CR16" s="505" t="n"/>
      <x:c r="CS16" s="505" t="n"/>
      <x:c r="CT16" s="505" t="n"/>
      <x:c r="CU16" s="505" t="n">
        <x:v>2466</x:v>
      </x:c>
      <x:c r="CV16" s="505" t="n">
        <x:v>0</x:v>
      </x:c>
      <x:c r="CW16" s="505" t="n">
        <x:v>2466</x:v>
      </x:c>
      <x:c r="CX16" s="505" t="n">
        <x:v>100</x:v>
      </x:c>
    </x:row>
    <x:row r="17" s="655" customFormat="1" ht="13.899999618530273" customHeight="1">
      <x:c r="A17" s="494" t="inlineStr">
        <x:is>
          <x:t xml:space="preserve">350 x 706 cm</x:t>
        </x:is>
      </x:c>
      <x:c r="B17" s="495" t="n">
        <x:v>7675</x:v>
      </x:c>
      <x:c r="C17" s="495" t="n">
        <x:v>7445</x:v>
      </x:c>
      <x:c r="D17" s="495" t="n"/>
      <x:c r="E17" s="495" t="n">
        <x:v>11912</x:v>
      </x:c>
      <x:c r="F17" s="495" t="n">
        <x:v>3840</x:v>
      </x:c>
      <x:c r="G17" s="495" t="n">
        <x:v>1340</x:v>
      </x:c>
      <x:c r="H17" s="495" t="n">
        <x:v>6737</x:v>
      </x:c>
      <x:c r="I17" s="495" t="n">
        <x:v>43</x:v>
      </x:c>
      <x:c r="J17" s="496" t="n">
        <x:v>20325</x:v>
      </x:c>
      <x:c r="K17" s="496" t="n">
        <x:v>19716</x:v>
      </x:c>
      <x:c r="L17" s="496" t="n"/>
      <x:c r="M17" s="496" t="n">
        <x:v>32532</x:v>
      </x:c>
      <x:c r="N17" s="496" t="n">
        <x:v>5170</x:v>
      </x:c>
      <x:c r="O17" s="496" t="n">
        <x:v>1870</x:v>
      </x:c>
      <x:c r="P17" s="496" t="n">
        <x:v>15507</x:v>
      </x:c>
      <x:c r="Q17" s="496" t="n">
        <x:v>42</x:v>
      </x:c>
      <x:c r="R17" s="497" t="n">
        <x:v>4374</x:v>
      </x:c>
      <x:c r="S17" s="497" t="n">
        <x:v>4243</x:v>
      </x:c>
      <x:c r="T17" s="497" t="n"/>
      <x:c r="U17" s="497" t="n">
        <x:v>7001</x:v>
      </x:c>
      <x:c r="V17" s="497" t="n">
        <x:v>370</x:v>
      </x:c>
      <x:c r="W17" s="497" t="n">
        <x:v>2257</x:v>
      </x:c>
      <x:c r="X17" s="497" t="n">
        <x:v>33</x:v>
      </x:c>
      <x:c r="Y17" s="498" t="n">
        <x:v>1902</x:v>
      </x:c>
      <x:c r="Z17" s="498" t="n">
        <x:v>1846</x:v>
      </x:c>
      <x:c r="AA17" s="498" t="n"/>
      <x:c r="AB17" s="498" t="n">
        <x:v>2954</x:v>
      </x:c>
      <x:c r="AC17" s="498" t="n">
        <x:v>150</x:v>
      </x:c>
      <x:c r="AD17" s="498" t="n">
        <x:v>902</x:v>
      </x:c>
      <x:c r="AE17" s="498" t="n">
        <x:v>31</x:v>
      </x:c>
      <x:c r="AF17" s="499" t="n">
        <x:v>3886</x:v>
      </x:c>
      <x:c r="AG17" s="499" t="n">
        <x:v>3770</x:v>
      </x:c>
      <x:c r="AH17" s="499" t="n"/>
      <x:c r="AI17" s="499" t="n">
        <x:v>6032</x:v>
      </x:c>
      <x:c r="AJ17" s="499" t="n">
        <x:v>300</x:v>
      </x:c>
      <x:c r="AK17" s="499" t="n">
        <x:v>1845.82</x:v>
      </x:c>
      <x:c r="AL17" s="499" t="n">
        <x:v>31</x:v>
      </x:c>
      <x:c r="AM17" s="500" t="n">
        <x:v>6894</x:v>
      </x:c>
      <x:c r="AN17" s="500" t="n">
        <x:v>6688</x:v>
      </x:c>
      <x:c r="AO17" s="500" t="n"/>
      <x:c r="AP17" s="500" t="n">
        <x:v>10701</x:v>
      </x:c>
      <x:c r="AQ17" s="500" t="n">
        <x:v>450</x:v>
      </x:c>
      <x:c r="AR17" s="500" t="n">
        <x:v>3357</x:v>
      </x:c>
      <x:c r="AS17" s="500" t="n">
        <x:v>32</x:v>
      </x:c>
      <x:c r="AT17" s="498" t="n">
        <x:v>650</x:v>
      </x:c>
      <x:c r="AU17" s="498" t="n">
        <x:v>631</x:v>
      </x:c>
      <x:c r="AV17" s="498" t="n"/>
      <x:c r="AW17" s="498" t="n">
        <x:v>1010</x:v>
      </x:c>
      <x:c r="AX17" s="498" t="n">
        <x:v>8011</x:v>
      </x:c>
      <x:c r="AY17" s="498" t="n">
        <x:v>0</x:v>
      </x:c>
      <x:c r="AZ17" s="498" t="n">
        <x:v>360</x:v>
      </x:c>
      <x:c r="BA17" s="498" t="n">
        <x:v>36</x:v>
      </x:c>
      <x:c r="BB17" s="501" t="n">
        <x:v>285</x:v>
      </x:c>
      <x:c r="BC17" s="501" t="n">
        <x:v>277</x:v>
      </x:c>
      <x:c r="BD17" s="501" t="n"/>
      <x:c r="BE17" s="501" t="n">
        <x:v>444</x:v>
      </x:c>
      <x:c r="BF17" s="501" t="n">
        <x:v>0</x:v>
      </x:c>
      <x:c r="BG17" s="501" t="n">
        <x:v>159</x:v>
      </x:c>
      <x:c r="BH17" s="501" t="n">
        <x:v>36</x:v>
      </x:c>
      <x:c r="BI17" s="502" t="n">
        <x:v>1463</x:v>
      </x:c>
      <x:c r="BJ17" s="502" t="n">
        <x:v>1420</x:v>
      </x:c>
      <x:c r="BK17" s="502" t="n"/>
      <x:c r="BL17" s="502" t="n">
        <x:v>2272</x:v>
      </x:c>
      <x:c r="BM17" s="502" t="n">
        <x:v>0</x:v>
      </x:c>
      <x:c r="BN17" s="502" t="n">
        <x:v>809</x:v>
      </x:c>
      <x:c r="BO17" s="502" t="n">
        <x:v>36</x:v>
      </x:c>
      <x:c r="BP17" s="503" t="n">
        <x:v>992</x:v>
      </x:c>
      <x:c r="BQ17" s="503" t="n">
        <x:v>963</x:v>
      </x:c>
      <x:c r="BR17" s="503" t="n"/>
      <x:c r="BS17" s="503" t="n">
        <x:v>2119</x:v>
      </x:c>
      <x:c r="BT17" s="503" t="n">
        <x:v>460</x:v>
      </x:c>
      <x:c r="BU17" s="503" t="n">
        <x:v>667</x:v>
      </x:c>
      <x:c r="BV17" s="503" t="n">
        <x:v>32</x:v>
      </x:c>
      <x:c r="BW17" s="499" t="n">
        <x:v>463</x:v>
      </x:c>
      <x:c r="BX17" s="499" t="n">
        <x:v>450</x:v>
      </x:c>
      <x:c r="BY17" s="499" t="n"/>
      <x:c r="BZ17" s="499" t="n">
        <x:v>720</x:v>
      </x:c>
      <x:c r="CA17" s="499" t="n">
        <x:v>0</x:v>
      </x:c>
      <x:c r="CB17" s="499" t="n">
        <x:v>257</x:v>
      </x:c>
      <x:c r="CC17" s="499" t="n">
        <x:v>36</x:v>
      </x:c>
      <x:c r="CD17" s="500" t="n">
        <x:v>423</x:v>
      </x:c>
      <x:c r="CE17" s="500" t="n">
        <x:v>411</x:v>
      </x:c>
      <x:c r="CF17" s="500" t="n"/>
      <x:c r="CG17" s="500" t="n">
        <x:v>658</x:v>
      </x:c>
      <x:c r="CH17" s="500" t="n">
        <x:v>0</x:v>
      </x:c>
      <x:c r="CI17" s="500" t="n">
        <x:v>235</x:v>
      </x:c>
      <x:c r="CJ17" s="500" t="n">
        <x:v>36</x:v>
      </x:c>
      <x:c r="CK17" s="504" t="n"/>
      <x:c r="CL17" s="504" t="n"/>
      <x:c r="CM17" s="504" t="n"/>
      <x:c r="CN17" s="504" t="n">
        <x:v>2685</x:v>
      </x:c>
      <x:c r="CO17" s="504" t="n">
        <x:v>0</x:v>
      </x:c>
      <x:c r="CP17" s="504" t="n">
        <x:v>2685</x:v>
      </x:c>
      <x:c r="CQ17" s="504" t="n">
        <x:v>100</x:v>
      </x:c>
      <x:c r="CR17" s="505" t="n"/>
      <x:c r="CS17" s="505" t="n"/>
      <x:c r="CT17" s="505" t="n"/>
      <x:c r="CU17" s="505" t="n">
        <x:v>3294</x:v>
      </x:c>
      <x:c r="CV17" s="505" t="n">
        <x:v>0</x:v>
      </x:c>
      <x:c r="CW17" s="505" t="n">
        <x:v>3294</x:v>
      </x:c>
      <x:c r="CX17" s="505" t="n">
        <x:v>100</x:v>
      </x:c>
    </x:row>
    <x:row r="18" s="655" customFormat="1" ht="13.899999618530273" customHeight="1">
      <x:c r="A18" s="494" t="inlineStr">
        <x:is>
          <x:t xml:space="preserve">350 x 806 cm</x:t>
        </x:is>
      </x:c>
      <x:c r="B18" s="495" t="n">
        <x:v>9268</x:v>
      </x:c>
      <x:c r="C18" s="495" t="n">
        <x:v>8991</x:v>
      </x:c>
      <x:c r="D18" s="495" t="n"/>
      <x:c r="E18" s="495" t="n">
        <x:v>14386</x:v>
      </x:c>
      <x:c r="F18" s="495" t="n">
        <x:v>4040</x:v>
      </x:c>
      <x:c r="G18" s="495" t="n">
        <x:v>1430</x:v>
      </x:c>
      <x:c r="H18" s="495" t="n">
        <x:v>7728</x:v>
      </x:c>
      <x:c r="I18" s="495" t="n">
        <x:v>42</x:v>
      </x:c>
      <x:c r="J18" s="496" t="n">
        <x:v>22626</x:v>
      </x:c>
      <x:c r="K18" s="496" t="n">
        <x:v>21948</x:v>
      </x:c>
      <x:c r="L18" s="496" t="n"/>
      <x:c r="M18" s="496" t="n">
        <x:v>36215</x:v>
      </x:c>
      <x:c r="N18" s="496" t="n">
        <x:v>5400</x:v>
      </x:c>
      <x:c r="O18" s="496" t="n">
        <x:v>2000</x:v>
      </x:c>
      <x:c r="P18" s="496" t="n">
        <x:v>16989</x:v>
      </x:c>
      <x:c r="Q18" s="496" t="n">
        <x:v>41</x:v>
      </x:c>
      <x:c r="R18" s="497" t="n">
        <x:v>5236</x:v>
      </x:c>
      <x:c r="S18" s="497" t="n">
        <x:v>5079</x:v>
      </x:c>
      <x:c r="T18" s="497" t="n"/>
      <x:c r="U18" s="497" t="n">
        <x:v>8381</x:v>
      </x:c>
      <x:c r="V18" s="497" t="n">
        <x:v>400</x:v>
      </x:c>
      <x:c r="W18" s="497" t="n">
        <x:v>2745</x:v>
      </x:c>
      <x:c r="X18" s="497" t="n">
        <x:v>33</x:v>
      </x:c>
      <x:c r="Y18" s="498" t="n">
        <x:v>1902</x:v>
      </x:c>
      <x:c r="Z18" s="498" t="n">
        <x:v>1846</x:v>
      </x:c>
      <x:c r="AA18" s="498" t="n"/>
      <x:c r="AB18" s="498" t="n">
        <x:v>2954</x:v>
      </x:c>
      <x:c r="AC18" s="498" t="n">
        <x:v>150</x:v>
      </x:c>
      <x:c r="AD18" s="498" t="n">
        <x:v>902</x:v>
      </x:c>
      <x:c r="AE18" s="498" t="n">
        <x:v>31</x:v>
      </x:c>
      <x:c r="AF18" s="499" t="n">
        <x:v>4293</x:v>
      </x:c>
      <x:c r="AG18" s="499" t="n">
        <x:v>4164</x:v>
      </x:c>
      <x:c r="AH18" s="499" t="n"/>
      <x:c r="AI18" s="499" t="n">
        <x:v>6663</x:v>
      </x:c>
      <x:c r="AJ18" s="499" t="n">
        <x:v>300</x:v>
      </x:c>
      <x:c r="AK18" s="499" t="n">
        <x:v>2070.32</x:v>
      </x:c>
      <x:c r="AL18" s="499" t="n">
        <x:v>32</x:v>
      </x:c>
      <x:c r="AM18" s="500" t="n">
        <x:v>7309</x:v>
      </x:c>
      <x:c r="AN18" s="500" t="n">
        <x:v>7090</x:v>
      </x:c>
      <x:c r="AO18" s="500" t="n"/>
      <x:c r="AP18" s="500" t="n">
        <x:v>11344</x:v>
      </x:c>
      <x:c r="AQ18" s="500" t="n">
        <x:v>500</x:v>
      </x:c>
      <x:c r="AR18" s="500" t="n">
        <x:v>3535</x:v>
      </x:c>
      <x:c r="AS18" s="500" t="n">
        <x:v>32</x:v>
      </x:c>
      <x:c r="AT18" s="498" t="n">
        <x:v>740</x:v>
      </x:c>
      <x:c r="AU18" s="498" t="n">
        <x:v>718</x:v>
      </x:c>
      <x:c r="AV18" s="498" t="n"/>
      <x:c r="AW18" s="498" t="n">
        <x:v>1149</x:v>
      </x:c>
      <x:c r="AX18" s="498" t="n">
        <x:v>9530</x:v>
      </x:c>
      <x:c r="AY18" s="498" t="n">
        <x:v>0</x:v>
      </x:c>
      <x:c r="AZ18" s="498" t="n">
        <x:v>409</x:v>
      </x:c>
      <x:c r="BA18" s="498" t="n">
        <x:v>36</x:v>
      </x:c>
      <x:c r="BB18" s="501" t="n">
        <x:v>325</x:v>
      </x:c>
      <x:c r="BC18" s="501" t="n">
        <x:v>316</x:v>
      </x:c>
      <x:c r="BD18" s="501" t="n"/>
      <x:c r="BE18" s="501" t="n">
        <x:v>506</x:v>
      </x:c>
      <x:c r="BF18" s="501" t="n">
        <x:v>0</x:v>
      </x:c>
      <x:c r="BG18" s="501" t="n">
        <x:v>181</x:v>
      </x:c>
      <x:c r="BH18" s="501" t="n">
        <x:v>36</x:v>
      </x:c>
      <x:c r="BI18" s="502" t="n">
        <x:v>1561</x:v>
      </x:c>
      <x:c r="BJ18" s="502" t="n">
        <x:v>1515</x:v>
      </x:c>
      <x:c r="BK18" s="502" t="n"/>
      <x:c r="BL18" s="502" t="n">
        <x:v>2424</x:v>
      </x:c>
      <x:c r="BM18" s="502" t="n">
        <x:v>0</x:v>
      </x:c>
      <x:c r="BN18" s="502" t="n">
        <x:v>863</x:v>
      </x:c>
      <x:c r="BO18" s="502" t="n">
        <x:v>36</x:v>
      </x:c>
      <x:c r="BP18" s="503" t="n">
        <x:v>1081</x:v>
      </x:c>
      <x:c r="BQ18" s="503" t="n">
        <x:v>1049</x:v>
      </x:c>
      <x:c r="BR18" s="503" t="n"/>
      <x:c r="BS18" s="503" t="n">
        <x:v>2308</x:v>
      </x:c>
      <x:c r="BT18" s="503" t="n">
        <x:v>510</x:v>
      </x:c>
      <x:c r="BU18" s="503" t="n">
        <x:v>717</x:v>
      </x:c>
      <x:c r="BV18" s="503" t="n">
        <x:v>32</x:v>
      </x:c>
      <x:c r="BW18" s="499" t="n">
        <x:v>496</x:v>
      </x:c>
      <x:c r="BX18" s="499" t="n">
        <x:v>482</x:v>
      </x:c>
      <x:c r="BY18" s="499" t="n"/>
      <x:c r="BZ18" s="499" t="n">
        <x:v>772</x:v>
      </x:c>
      <x:c r="CA18" s="499" t="n">
        <x:v>0</x:v>
      </x:c>
      <x:c r="CB18" s="499" t="n">
        <x:v>276</x:v>
      </x:c>
      <x:c r="CC18" s="499" t="n">
        <x:v>36</x:v>
      </x:c>
      <x:c r="CD18" s="500" t="n">
        <x:v>447</x:v>
      </x:c>
      <x:c r="CE18" s="500" t="n">
        <x:v>434</x:v>
      </x:c>
      <x:c r="CF18" s="500" t="n"/>
      <x:c r="CG18" s="500" t="n">
        <x:v>695</x:v>
      </x:c>
      <x:c r="CH18" s="500" t="n">
        <x:v>0</x:v>
      </x:c>
      <x:c r="CI18" s="500" t="n">
        <x:v>248</x:v>
      </x:c>
      <x:c r="CJ18" s="500" t="n">
        <x:v>36</x:v>
      </x:c>
      <x:c r="CK18" s="504" t="n"/>
      <x:c r="CL18" s="504" t="n"/>
      <x:c r="CM18" s="504" t="n"/>
      <x:c r="CN18" s="504" t="n">
        <x:v>2955</x:v>
      </x:c>
      <x:c r="CO18" s="504" t="n">
        <x:v>0</x:v>
      </x:c>
      <x:c r="CP18" s="504" t="n">
        <x:v>2955</x:v>
      </x:c>
      <x:c r="CQ18" s="504" t="n">
        <x:v>100</x:v>
      </x:c>
      <x:c r="CR18" s="505" t="n"/>
      <x:c r="CS18" s="505" t="n"/>
      <x:c r="CT18" s="505" t="n"/>
      <x:c r="CU18" s="505" t="n">
        <x:v>3582</x:v>
      </x:c>
      <x:c r="CV18" s="505" t="n">
        <x:v>0</x:v>
      </x:c>
      <x:c r="CW18" s="505" t="n">
        <x:v>3582</x:v>
      </x:c>
      <x:c r="CX18" s="505" t="n">
        <x:v>100</x:v>
      </x:c>
    </x:row>
    <x:row r="19" s="655" customFormat="1" ht="13.899999618530273" customHeight="1">
      <x:c r="A19" s="494" t="inlineStr">
        <x:is>
          <x:t xml:space="preserve">350 x 906 cm</x:t>
        </x:is>
      </x:c>
      <x:c r="B19" s="495" t="n">
        <x:v>10407</x:v>
      </x:c>
      <x:c r="C19" s="495" t="n">
        <x:v>10095</x:v>
      </x:c>
      <x:c r="D19" s="495" t="n"/>
      <x:c r="E19" s="495" t="n">
        <x:v>16152</x:v>
      </x:c>
      <x:c r="F19" s="495" t="n">
        <x:v>4360</x:v>
      </x:c>
      <x:c r="G19" s="495" t="n">
        <x:v>1580</x:v>
      </x:c>
      <x:c r="H19" s="495" t="n">
        <x:v>8525</x:v>
      </x:c>
      <x:c r="I19" s="495" t="n">
        <x:v>42</x:v>
      </x:c>
      <x:c r="J19" s="496" t="n">
        <x:v>24699</x:v>
      </x:c>
      <x:c r="K19" s="496" t="n">
        <x:v>23959</x:v>
      </x:c>
      <x:c r="L19" s="496" t="n"/>
      <x:c r="M19" s="496" t="n">
        <x:v>39533</x:v>
      </x:c>
      <x:c r="N19" s="496" t="n">
        <x:v>5760</x:v>
      </x:c>
      <x:c r="O19" s="496" t="n">
        <x:v>2210</x:v>
      </x:c>
      <x:c r="P19" s="496" t="n">
        <x:v>18384</x:v>
      </x:c>
      <x:c r="Q19" s="496" t="n">
        <x:v>41</x:v>
      </x:c>
      <x:c r="R19" s="497" t="n">
        <x:v>5943</x:v>
      </x:c>
      <x:c r="S19" s="497" t="n">
        <x:v>5765</x:v>
      </x:c>
      <x:c r="T19" s="497" t="n"/>
      <x:c r="U19" s="497" t="n">
        <x:v>9513</x:v>
      </x:c>
      <x:c r="V19" s="497" t="n">
        <x:v>440</x:v>
      </x:c>
      <x:c r="W19" s="497" t="n">
        <x:v>3130</x:v>
      </x:c>
      <x:c r="X19" s="497" t="n">
        <x:v>33</x:v>
      </x:c>
      <x:c r="Y19" s="498" t="n">
        <x:v>1902</x:v>
      </x:c>
      <x:c r="Z19" s="498" t="n">
        <x:v>1846</x:v>
      </x:c>
      <x:c r="AA19" s="498" t="n"/>
      <x:c r="AB19" s="498" t="n">
        <x:v>2954</x:v>
      </x:c>
      <x:c r="AC19" s="498" t="n">
        <x:v>150</x:v>
      </x:c>
      <x:c r="AD19" s="498" t="n">
        <x:v>902</x:v>
      </x:c>
      <x:c r="AE19" s="498" t="n">
        <x:v>31</x:v>
      </x:c>
      <x:c r="AF19" s="499" t="n">
        <x:v>5203</x:v>
      </x:c>
      <x:c r="AG19" s="499" t="n">
        <x:v>5048</x:v>
      </x:c>
      <x:c r="AH19" s="499" t="n"/>
      <x:c r="AI19" s="499" t="n">
        <x:v>8077</x:v>
      </x:c>
      <x:c r="AJ19" s="499" t="n">
        <x:v>450</x:v>
      </x:c>
      <x:c r="AK19" s="499" t="n">
        <x:v>2423.75</x:v>
      </x:c>
      <x:c r="AL19" s="499" t="n">
        <x:v>31</x:v>
      </x:c>
      <x:c r="AM19" s="500" t="n">
        <x:v>7886</x:v>
      </x:c>
      <x:c r="AN19" s="500" t="n">
        <x:v>7650</x:v>
      </x:c>
      <x:c r="AO19" s="500" t="n"/>
      <x:c r="AP19" s="500" t="n">
        <x:v>12240</x:v>
      </x:c>
      <x:c r="AQ19" s="500" t="n">
        <x:v>550</x:v>
      </x:c>
      <x:c r="AR19" s="500" t="n">
        <x:v>3804</x:v>
      </x:c>
      <x:c r="AS19" s="500" t="n">
        <x:v>32</x:v>
      </x:c>
      <x:c r="AT19" s="498" t="n">
        <x:v>829</x:v>
      </x:c>
      <x:c r="AU19" s="498" t="n">
        <x:v>805</x:v>
      </x:c>
      <x:c r="AV19" s="498" t="n"/>
      <x:c r="AW19" s="498" t="n">
        <x:v>1288</x:v>
      </x:c>
      <x:c r="AX19" s="498" t="n">
        <x:v>10801</x:v>
      </x:c>
      <x:c r="AY19" s="498" t="n">
        <x:v>0</x:v>
      </x:c>
      <x:c r="AZ19" s="498" t="n">
        <x:v>459</x:v>
      </x:c>
      <x:c r="BA19" s="498" t="n">
        <x:v>36</x:v>
      </x:c>
      <x:c r="BB19" s="501" t="n">
        <x:v>366</x:v>
      </x:c>
      <x:c r="BC19" s="501" t="n">
        <x:v>355</x:v>
      </x:c>
      <x:c r="BD19" s="501" t="n"/>
      <x:c r="BE19" s="501" t="n">
        <x:v>568</x:v>
      </x:c>
      <x:c r="BF19" s="501" t="n">
        <x:v>0</x:v>
      </x:c>
      <x:c r="BG19" s="501" t="n">
        <x:v>202</x:v>
      </x:c>
      <x:c r="BH19" s="501" t="n">
        <x:v>36</x:v>
      </x:c>
      <x:c r="BI19" s="502" t="n">
        <x:v>1659</x:v>
      </x:c>
      <x:c r="BJ19" s="502" t="n">
        <x:v>1609</x:v>
      </x:c>
      <x:c r="BK19" s="502" t="n"/>
      <x:c r="BL19" s="502" t="n">
        <x:v>2575</x:v>
      </x:c>
      <x:c r="BM19" s="502" t="n">
        <x:v>0</x:v>
      </x:c>
      <x:c r="BN19" s="502" t="n">
        <x:v>916</x:v>
      </x:c>
      <x:c r="BO19" s="502" t="n">
        <x:v>36</x:v>
      </x:c>
      <x:c r="BP19" s="503" t="n">
        <x:v>1195</x:v>
      </x:c>
      <x:c r="BQ19" s="503" t="n">
        <x:v>1160</x:v>
      </x:c>
      <x:c r="BR19" s="503" t="n"/>
      <x:c r="BS19" s="503" t="n">
        <x:v>2552</x:v>
      </x:c>
      <x:c r="BT19" s="503" t="n">
        <x:v>560</x:v>
      </x:c>
      <x:c r="BU19" s="503" t="n">
        <x:v>797</x:v>
      </x:c>
      <x:c r="BV19" s="503" t="n">
        <x:v>32</x:v>
      </x:c>
      <x:c r="BW19" s="499" t="n">
        <x:v>528</x:v>
      </x:c>
      <x:c r="BX19" s="499" t="n">
        <x:v>513</x:v>
      </x:c>
      <x:c r="BY19" s="499" t="n"/>
      <x:c r="BZ19" s="499" t="n">
        <x:v>821</x:v>
      </x:c>
      <x:c r="CA19" s="499" t="n">
        <x:v>0</x:v>
      </x:c>
      <x:c r="CB19" s="499" t="n">
        <x:v>293</x:v>
      </x:c>
      <x:c r="CC19" s="499" t="n">
        <x:v>36</x:v>
      </x:c>
      <x:c r="CD19" s="500" t="n">
        <x:v>480</x:v>
      </x:c>
      <x:c r="CE19" s="500" t="n">
        <x:v>466</x:v>
      </x:c>
      <x:c r="CF19" s="500" t="n"/>
      <x:c r="CG19" s="500" t="n">
        <x:v>746</x:v>
      </x:c>
      <x:c r="CH19" s="500" t="n">
        <x:v>0</x:v>
      </x:c>
      <x:c r="CI19" s="500" t="n">
        <x:v>266</x:v>
      </x:c>
      <x:c r="CJ19" s="500" t="n">
        <x:v>36</x:v>
      </x:c>
      <x:c r="CK19" s="504" t="n"/>
      <x:c r="CL19" s="504" t="n"/>
      <x:c r="CM19" s="504" t="n"/>
      <x:c r="CN19" s="504" t="n">
        <x:v>3295</x:v>
      </x:c>
      <x:c r="CO19" s="504" t="n">
        <x:v>0</x:v>
      </x:c>
      <x:c r="CP19" s="504" t="n">
        <x:v>3295</x:v>
      </x:c>
      <x:c r="CQ19" s="504" t="n">
        <x:v>100</x:v>
      </x:c>
      <x:c r="CR19" s="505" t="n"/>
      <x:c r="CS19" s="505" t="n"/>
      <x:c r="CT19" s="505" t="n"/>
      <x:c r="CU19" s="505" t="n">
        <x:v>3869</x:v>
      </x:c>
      <x:c r="CV19" s="505" t="n">
        <x:v>0</x:v>
      </x:c>
      <x:c r="CW19" s="505" t="n">
        <x:v>3869</x:v>
      </x:c>
      <x:c r="CX19" s="505" t="n">
        <x:v>100</x:v>
      </x:c>
    </x:row>
    <x:row r="20" s="655" customFormat="1" ht="13.899999618530273" customHeight="1">
      <x:c r="A20" s="494" t="inlineStr">
        <x:is>
          <x:t xml:space="preserve">350 x 1006 cm</x:t>
        </x:is>
      </x:c>
      <x:c r="B20" s="495" t="n">
        <x:v>11545</x:v>
      </x:c>
      <x:c r="C20" s="495" t="n">
        <x:v>11199</x:v>
      </x:c>
      <x:c r="D20" s="495" t="n"/>
      <x:c r="E20" s="495" t="n">
        <x:v>17919</x:v>
      </x:c>
      <x:c r="F20" s="495" t="n">
        <x:v>4680</x:v>
      </x:c>
      <x:c r="G20" s="495" t="n">
        <x:v>1730</x:v>
      </x:c>
      <x:c r="H20" s="495" t="n">
        <x:v>9324</x:v>
      </x:c>
      <x:c r="I20" s="495" t="n">
        <x:v>42</x:v>
      </x:c>
      <x:c r="J20" s="496" t="n">
        <x:v>26780</x:v>
      </x:c>
      <x:c r="K20" s="496" t="n">
        <x:v>25978</x:v>
      </x:c>
      <x:c r="L20" s="496" t="n"/>
      <x:c r="M20" s="496" t="n">
        <x:v>42864</x:v>
      </x:c>
      <x:c r="N20" s="496" t="n">
        <x:v>6120</x:v>
      </x:c>
      <x:c r="O20" s="496" t="n">
        <x:v>2420</x:v>
      </x:c>
      <x:c r="P20" s="496" t="n">
        <x:v>19784</x:v>
      </x:c>
      <x:c r="Q20" s="496" t="n">
        <x:v>41</x:v>
      </x:c>
      <x:c r="R20" s="497" t="n">
        <x:v>6618</x:v>
      </x:c>
      <x:c r="S20" s="497" t="n">
        <x:v>6420</x:v>
      </x:c>
      <x:c r="T20" s="497" t="n"/>
      <x:c r="U20" s="497" t="n">
        <x:v>10593</x:v>
      </x:c>
      <x:c r="V20" s="497" t="n">
        <x:v>480</x:v>
      </x:c>
      <x:c r="W20" s="497" t="n">
        <x:v>3495</x:v>
      </x:c>
      <x:c r="X20" s="497" t="n">
        <x:v>33</x:v>
      </x:c>
      <x:c r="Y20" s="498" t="n">
        <x:v>1902</x:v>
      </x:c>
      <x:c r="Z20" s="498" t="n">
        <x:v>1846</x:v>
      </x:c>
      <x:c r="AA20" s="498" t="n"/>
      <x:c r="AB20" s="498" t="n">
        <x:v>2954</x:v>
      </x:c>
      <x:c r="AC20" s="498" t="n">
        <x:v>150</x:v>
      </x:c>
      <x:c r="AD20" s="498" t="n">
        <x:v>902</x:v>
      </x:c>
      <x:c r="AE20" s="498" t="n">
        <x:v>31</x:v>
      </x:c>
      <x:c r="AF20" s="499" t="n">
        <x:v>5618</x:v>
      </x:c>
      <x:c r="AG20" s="499" t="n">
        <x:v>5450</x:v>
      </x:c>
      <x:c r="AH20" s="499" t="n"/>
      <x:c r="AI20" s="499" t="n">
        <x:v>8720</x:v>
      </x:c>
      <x:c r="AJ20" s="499" t="n">
        <x:v>450</x:v>
      </x:c>
      <x:c r="AK20" s="499" t="n">
        <x:v>2652.11</x:v>
      </x:c>
      <x:c r="AL20" s="499" t="n">
        <x:v>31</x:v>
      </x:c>
      <x:c r="AM20" s="500" t="n">
        <x:v>8455</x:v>
      </x:c>
      <x:c r="AN20" s="500" t="n">
        <x:v>8202</x:v>
      </x:c>
      <x:c r="AO20" s="500" t="n"/>
      <x:c r="AP20" s="500" t="n">
        <x:v>13124</x:v>
      </x:c>
      <x:c r="AQ20" s="500" t="n">
        <x:v>600</x:v>
      </x:c>
      <x:c r="AR20" s="500" t="n">
        <x:v>4069</x:v>
      </x:c>
      <x:c r="AS20" s="500" t="n">
        <x:v>32</x:v>
      </x:c>
      <x:c r="AT20" s="498" t="n">
        <x:v>927</x:v>
      </x:c>
      <x:c r="AU20" s="498" t="n">
        <x:v>900</x:v>
      </x:c>
      <x:c r="AV20" s="498" t="n"/>
      <x:c r="AW20" s="498" t="n">
        <x:v>1440</x:v>
      </x:c>
      <x:c r="AX20" s="498" t="n">
        <x:v>12033</x:v>
      </x:c>
      <x:c r="AY20" s="498" t="n">
        <x:v>0</x:v>
      </x:c>
      <x:c r="AZ20" s="498" t="n">
        <x:v>513</x:v>
      </x:c>
      <x:c r="BA20" s="498" t="n">
        <x:v>36</x:v>
      </x:c>
      <x:c r="BB20" s="501" t="n">
        <x:v>407</x:v>
      </x:c>
      <x:c r="BC20" s="501" t="n">
        <x:v>395</x:v>
      </x:c>
      <x:c r="BD20" s="501" t="n"/>
      <x:c r="BE20" s="501" t="n">
        <x:v>632</x:v>
      </x:c>
      <x:c r="BF20" s="501" t="n">
        <x:v>0</x:v>
      </x:c>
      <x:c r="BG20" s="501" t="n">
        <x:v>225</x:v>
      </x:c>
      <x:c r="BH20" s="501" t="n">
        <x:v>36</x:v>
      </x:c>
      <x:c r="BI20" s="502" t="n">
        <x:v>1756</x:v>
      </x:c>
      <x:c r="BJ20" s="502" t="n">
        <x:v>1704</x:v>
      </x:c>
      <x:c r="BK20" s="502" t="n"/>
      <x:c r="BL20" s="502" t="n">
        <x:v>2727</x:v>
      </x:c>
      <x:c r="BM20" s="502" t="n">
        <x:v>0</x:v>
      </x:c>
      <x:c r="BN20" s="502" t="n">
        <x:v>971</x:v>
      </x:c>
      <x:c r="BO20" s="502" t="n">
        <x:v>36</x:v>
      </x:c>
      <x:c r="BP20" s="503" t="n">
        <x:v>1309</x:v>
      </x:c>
      <x:c r="BQ20" s="503" t="n">
        <x:v>1270</x:v>
      </x:c>
      <x:c r="BR20" s="503" t="n"/>
      <x:c r="BS20" s="503" t="n">
        <x:v>2794</x:v>
      </x:c>
      <x:c r="BT20" s="503" t="n">
        <x:v>610</x:v>
      </x:c>
      <x:c r="BU20" s="503" t="n">
        <x:v>875</x:v>
      </x:c>
      <x:c r="BV20" s="503" t="n">
        <x:v>32</x:v>
      </x:c>
      <x:c r="BW20" s="499" t="n">
        <x:v>561</x:v>
      </x:c>
      <x:c r="BX20" s="499" t="n">
        <x:v>545</x:v>
      </x:c>
      <x:c r="BY20" s="499" t="n"/>
      <x:c r="BZ20" s="499" t="n">
        <x:v>872</x:v>
      </x:c>
      <x:c r="CA20" s="499" t="n">
        <x:v>0</x:v>
      </x:c>
      <x:c r="CB20" s="499" t="n">
        <x:v>311</x:v>
      </x:c>
      <x:c r="CC20" s="499" t="n">
        <x:v>36</x:v>
      </x:c>
      <x:c r="CD20" s="500" t="n">
        <x:v>504</x:v>
      </x:c>
      <x:c r="CE20" s="500" t="n">
        <x:v>489</x:v>
      </x:c>
      <x:c r="CF20" s="500" t="n"/>
      <x:c r="CG20" s="500" t="n">
        <x:v>783</x:v>
      </x:c>
      <x:c r="CH20" s="500" t="n">
        <x:v>0</x:v>
      </x:c>
      <x:c r="CI20" s="500" t="n">
        <x:v>279</x:v>
      </x:c>
      <x:c r="CJ20" s="500" t="n">
        <x:v>36</x:v>
      </x:c>
      <x:c r="CK20" s="504" t="n"/>
      <x:c r="CL20" s="504" t="n"/>
      <x:c r="CM20" s="504" t="n"/>
      <x:c r="CN20" s="504" t="n">
        <x:v>3870</x:v>
      </x:c>
      <x:c r="CO20" s="504" t="n">
        <x:v>0</x:v>
      </x:c>
      <x:c r="CP20" s="504" t="n">
        <x:v>3870</x:v>
      </x:c>
      <x:c r="CQ20" s="504" t="n">
        <x:v>100</x:v>
      </x:c>
      <x:c r="CR20" s="505" t="n"/>
      <x:c r="CS20" s="505" t="n"/>
      <x:c r="CT20" s="505" t="n"/>
      <x:c r="CU20" s="505" t="n">
        <x:v>4157</x:v>
      </x:c>
      <x:c r="CV20" s="505" t="n">
        <x:v>0</x:v>
      </x:c>
      <x:c r="CW20" s="505" t="n">
        <x:v>4157</x:v>
      </x:c>
      <x:c r="CX20" s="505" t="n">
        <x:v>100</x:v>
      </x:c>
    </x:row>
    <x:row r="21" s="655" customFormat="1" ht="13.899999618530273" customHeight="1">
      <x:c r="A21" s="494" t="inlineStr">
        <x:is>
          <x:t xml:space="preserve">350 x 1106 cm</x:t>
        </x:is>
      </x:c>
      <x:c r="B21" s="495" t="n">
        <x:v>12382</x:v>
      </x:c>
      <x:c r="C21" s="495" t="n">
        <x:v>12011</x:v>
      </x:c>
      <x:c r="D21" s="495" t="n"/>
      <x:c r="E21" s="495" t="n">
        <x:v>19218</x:v>
      </x:c>
      <x:c r="F21" s="495" t="n">
        <x:v>5000</x:v>
      </x:c>
      <x:c r="G21" s="495" t="n">
        <x:v>1880</x:v>
      </x:c>
      <x:c r="H21" s="495" t="n">
        <x:v>9956</x:v>
      </x:c>
      <x:c r="I21" s="495" t="n">
        <x:v>42</x:v>
      </x:c>
      <x:c r="J21" s="496" t="n">
        <x:v>28618</x:v>
      </x:c>
      <x:c r="K21" s="496" t="n">
        <x:v>27760</x:v>
      </x:c>
      <x:c r="L21" s="496" t="n"/>
      <x:c r="M21" s="496" t="n">
        <x:v>45804</x:v>
      </x:c>
      <x:c r="N21" s="496" t="n">
        <x:v>6490</x:v>
      </x:c>
      <x:c r="O21" s="496" t="n">
        <x:v>2630</x:v>
      </x:c>
      <x:c r="P21" s="496" t="n">
        <x:v>21046</x:v>
      </x:c>
      <x:c r="Q21" s="496" t="n">
        <x:v>41</x:v>
      </x:c>
      <x:c r="R21" s="497" t="n">
        <x:v>7268</x:v>
      </x:c>
      <x:c r="S21" s="497" t="n">
        <x:v>7051</x:v>
      </x:c>
      <x:c r="T21" s="497" t="n"/>
      <x:c r="U21" s="497" t="n">
        <x:v>11635</x:v>
      </x:c>
      <x:c r="V21" s="497" t="n">
        <x:v>530</x:v>
      </x:c>
      <x:c r="W21" s="497" t="n">
        <x:v>3837</x:v>
      </x:c>
      <x:c r="X21" s="497" t="n">
        <x:v>33</x:v>
      </x:c>
      <x:c r="Y21" s="498" t="n">
        <x:v>1902</x:v>
      </x:c>
      <x:c r="Z21" s="498" t="n">
        <x:v>1846</x:v>
      </x:c>
      <x:c r="AA21" s="498" t="n"/>
      <x:c r="AB21" s="498" t="n">
        <x:v>2954</x:v>
      </x:c>
      <x:c r="AC21" s="498" t="n">
        <x:v>150</x:v>
      </x:c>
      <x:c r="AD21" s="498" t="n">
        <x:v>902</x:v>
      </x:c>
      <x:c r="AE21" s="498" t="n">
        <x:v>31</x:v>
      </x:c>
      <x:c r="AF21" s="499" t="n">
        <x:v>6033</x:v>
      </x:c>
      <x:c r="AG21" s="499" t="n">
        <x:v>5852</x:v>
      </x:c>
      <x:c r="AH21" s="499" t="n"/>
      <x:c r="AI21" s="499" t="n">
        <x:v>9364</x:v>
      </x:c>
      <x:c r="AJ21" s="499" t="n">
        <x:v>450</x:v>
      </x:c>
      <x:c r="AK21" s="499" t="n">
        <x:v>2881.48</x:v>
      </x:c>
      <x:c r="AL21" s="499" t="n">
        <x:v>31</x:v>
      </x:c>
      <x:c r="AM21" s="500" t="n">
        <x:v>10553</x:v>
      </x:c>
      <x:c r="AN21" s="500" t="n">
        <x:v>10237</x:v>
      </x:c>
      <x:c r="AO21" s="500" t="n"/>
      <x:c r="AP21" s="500" t="n">
        <x:v>16380</x:v>
      </x:c>
      <x:c r="AQ21" s="500" t="n">
        <x:v>650</x:v>
      </x:c>
      <x:c r="AR21" s="500" t="n">
        <x:v>5177</x:v>
      </x:c>
      <x:c r="AS21" s="500" t="n">
        <x:v>32</x:v>
      </x:c>
      <x:c r="AT21" s="498" t="n">
        <x:v>1024</x:v>
      </x:c>
      <x:c r="AU21" s="498" t="n">
        <x:v>994</x:v>
      </x:c>
      <x:c r="AV21" s="498" t="n"/>
      <x:c r="AW21" s="498" t="n">
        <x:v>1591</x:v>
      </x:c>
      <x:c r="AX21" s="498" t="n">
        <x:v>13226</x:v>
      </x:c>
      <x:c r="AY21" s="498" t="n">
        <x:v>0</x:v>
      </x:c>
      <x:c r="AZ21" s="498" t="n">
        <x:v>567</x:v>
      </x:c>
      <x:c r="BA21" s="498" t="n">
        <x:v>36</x:v>
      </x:c>
      <x:c r="BB21" s="501" t="n">
        <x:v>447</x:v>
      </x:c>
      <x:c r="BC21" s="501" t="n">
        <x:v>434</x:v>
      </x:c>
      <x:c r="BD21" s="501" t="n"/>
      <x:c r="BE21" s="501" t="n">
        <x:v>695</x:v>
      </x:c>
      <x:c r="BF21" s="501" t="n">
        <x:v>0</x:v>
      </x:c>
      <x:c r="BG21" s="501" t="n">
        <x:v>248</x:v>
      </x:c>
      <x:c r="BH21" s="501" t="n">
        <x:v>36</x:v>
      </x:c>
      <x:c r="BI21" s="502" t="n">
        <x:v>1854</x:v>
      </x:c>
      <x:c r="BJ21" s="502" t="n">
        <x:v>1799</x:v>
      </x:c>
      <x:c r="BK21" s="502" t="n"/>
      <x:c r="BL21" s="502" t="n">
        <x:v>2879</x:v>
      </x:c>
      <x:c r="BM21" s="502" t="n">
        <x:v>0</x:v>
      </x:c>
      <x:c r="BN21" s="502" t="n">
        <x:v>1025</x:v>
      </x:c>
      <x:c r="BO21" s="502" t="n">
        <x:v>36</x:v>
      </x:c>
      <x:c r="BP21" s="503" t="n">
        <x:v>1772</x:v>
      </x:c>
      <x:c r="BQ21" s="503" t="n">
        <x:v>1720</x:v>
      </x:c>
      <x:c r="BR21" s="503" t="n"/>
      <x:c r="BS21" s="503" t="n">
        <x:v>3784</x:v>
      </x:c>
      <x:c r="BT21" s="503" t="n">
        <x:v>590</x:v>
      </x:c>
      <x:c r="BU21" s="503" t="n">
        <x:v>1422</x:v>
      </x:c>
      <x:c r="BV21" s="503" t="n">
        <x:v>38</x:v>
      </x:c>
      <x:c r="BW21" s="499" t="n">
        <x:v>585</x:v>
      </x:c>
      <x:c r="BX21" s="499" t="n">
        <x:v>568</x:v>
      </x:c>
      <x:c r="BY21" s="499" t="n"/>
      <x:c r="BZ21" s="499" t="n">
        <x:v>909</x:v>
      </x:c>
      <x:c r="CA21" s="499" t="n">
        <x:v>0</x:v>
      </x:c>
      <x:c r="CB21" s="499" t="n">
        <x:v>324</x:v>
      </x:c>
      <x:c r="CC21" s="499" t="n">
        <x:v>36</x:v>
      </x:c>
      <x:c r="CD21" s="500" t="n">
        <x:v>528</x:v>
      </x:c>
      <x:c r="CE21" s="500" t="n">
        <x:v>513</x:v>
      </x:c>
      <x:c r="CF21" s="500" t="n"/>
      <x:c r="CG21" s="500" t="n">
        <x:v>821</x:v>
      </x:c>
      <x:c r="CH21" s="500" t="n">
        <x:v>0</x:v>
      </x:c>
      <x:c r="CI21" s="500" t="n">
        <x:v>293</x:v>
      </x:c>
      <x:c r="CJ21" s="500" t="n">
        <x:v>36</x:v>
      </x:c>
      <x:c r="CK21" s="504" t="n"/>
      <x:c r="CL21" s="504" t="n"/>
      <x:c r="CM21" s="504" t="n"/>
      <x:c r="CN21" s="504" t="n">
        <x:v>4210</x:v>
      </x:c>
      <x:c r="CO21" s="504" t="n">
        <x:v>0</x:v>
      </x:c>
      <x:c r="CP21" s="504" t="n">
        <x:v>4210</x:v>
      </x:c>
      <x:c r="CQ21" s="504" t="n">
        <x:v>100</x:v>
      </x:c>
      <x:c r="CR21" s="505" t="n"/>
      <x:c r="CS21" s="505" t="n"/>
      <x:c r="CT21" s="505" t="n"/>
      <x:c r="CU21" s="505" t="n">
        <x:v>4445</x:v>
      </x:c>
      <x:c r="CV21" s="505" t="n">
        <x:v>0</x:v>
      </x:c>
      <x:c r="CW21" s="505" t="n">
        <x:v>4445</x:v>
      </x:c>
      <x:c r="CX21" s="505" t="n">
        <x:v>100</x:v>
      </x:c>
    </x:row>
    <x:row r="22" s="655" customFormat="1" ht="13.899999618530273" customHeight="1">
      <x:c r="A22" s="494" t="inlineStr">
        <x:is>
          <x:t xml:space="preserve">350 x 1206 cm</x:t>
        </x:is>
      </x:c>
      <x:c r="B22" s="495" t="n">
        <x:v>13220</x:v>
      </x:c>
      <x:c r="C22" s="495" t="n">
        <x:v>12823</x:v>
      </x:c>
      <x:c r="D22" s="495" t="n"/>
      <x:c r="E22" s="495" t="n">
        <x:v>20517</x:v>
      </x:c>
      <x:c r="F22" s="495" t="n">
        <x:v>5310</x:v>
      </x:c>
      <x:c r="G22" s="495" t="n">
        <x:v>2030</x:v>
      </x:c>
      <x:c r="H22" s="495" t="n">
        <x:v>10577</x:v>
      </x:c>
      <x:c r="I22" s="495" t="n">
        <x:v>41</x:v>
      </x:c>
      <x:c r="J22" s="496" t="n">
        <x:v>30455</x:v>
      </x:c>
      <x:c r="K22" s="496" t="n">
        <x:v>29542</x:v>
      </x:c>
      <x:c r="L22" s="496" t="n"/>
      <x:c r="M22" s="496" t="n">
        <x:v>48745</x:v>
      </x:c>
      <x:c r="N22" s="496" t="n">
        <x:v>6850</x:v>
      </x:c>
      <x:c r="O22" s="496" t="n">
        <x:v>2840</x:v>
      </x:c>
      <x:c r="P22" s="496" t="n">
        <x:v>22300</x:v>
      </x:c>
      <x:c r="Q22" s="496" t="n">
        <x:v>41</x:v>
      </x:c>
      <x:c r="R22" s="497" t="n">
        <x:v>7886</x:v>
      </x:c>
      <x:c r="S22" s="497" t="n">
        <x:v>7650</x:v>
      </x:c>
      <x:c r="T22" s="497" t="n"/>
      <x:c r="U22" s="497" t="n">
        <x:v>12623</x:v>
      </x:c>
      <x:c r="V22" s="497" t="n">
        <x:v>570</x:v>
      </x:c>
      <x:c r="W22" s="497" t="n">
        <x:v>4167</x:v>
      </x:c>
      <x:c r="X22" s="497" t="n">
        <x:v>34</x:v>
      </x:c>
      <x:c r="Y22" s="498" t="n">
        <x:v>1902</x:v>
      </x:c>
      <x:c r="Z22" s="498" t="n">
        <x:v>1846</x:v>
      </x:c>
      <x:c r="AA22" s="498" t="n"/>
      <x:c r="AB22" s="498" t="n">
        <x:v>2954</x:v>
      </x:c>
      <x:c r="AC22" s="498" t="n">
        <x:v>150</x:v>
      </x:c>
      <x:c r="AD22" s="498" t="n">
        <x:v>902</x:v>
      </x:c>
      <x:c r="AE22" s="498" t="n">
        <x:v>31</x:v>
      </x:c>
      <x:c r="AF22" s="499" t="n">
        <x:v>6439</x:v>
      </x:c>
      <x:c r="AG22" s="499" t="n">
        <x:v>6246</x:v>
      </x:c>
      <x:c r="AH22" s="499" t="n"/>
      <x:c r="AI22" s="499" t="n">
        <x:v>9994</x:v>
      </x:c>
      <x:c r="AJ22" s="499" t="n">
        <x:v>450</x:v>
      </x:c>
      <x:c r="AK22" s="499" t="n">
        <x:v>3104.98</x:v>
      </x:c>
      <x:c r="AL22" s="499" t="n">
        <x:v>32</x:v>
      </x:c>
      <x:c r="AM22" s="500" t="n">
        <x:v>10976</x:v>
      </x:c>
      <x:c r="AN22" s="500" t="n">
        <x:v>10647</x:v>
      </x:c>
      <x:c r="AO22" s="500" t="n"/>
      <x:c r="AP22" s="500" t="n">
        <x:v>17036</x:v>
      </x:c>
      <x:c r="AQ22" s="500" t="n">
        <x:v>700</x:v>
      </x:c>
      <x:c r="AR22" s="500" t="n">
        <x:v>5360</x:v>
      </x:c>
      <x:c r="AS22" s="500" t="n">
        <x:v>32</x:v>
      </x:c>
      <x:c r="AT22" s="498" t="n">
        <x:v>1114</x:v>
      </x:c>
      <x:c r="AU22" s="498" t="n">
        <x:v>1081</x:v>
      </x:c>
      <x:c r="AV22" s="498" t="n"/>
      <x:c r="AW22" s="498" t="n">
        <x:v>1730</x:v>
      </x:c>
      <x:c r="AX22" s="498" t="n">
        <x:v>14353</x:v>
      </x:c>
      <x:c r="AY22" s="498" t="n">
        <x:v>0</x:v>
      </x:c>
      <x:c r="AZ22" s="498" t="n">
        <x:v>616</x:v>
      </x:c>
      <x:c r="BA22" s="498" t="n">
        <x:v>36</x:v>
      </x:c>
      <x:c r="BB22" s="501" t="n">
        <x:v>488</x:v>
      </x:c>
      <x:c r="BC22" s="501" t="n">
        <x:v>474</x:v>
      </x:c>
      <x:c r="BD22" s="501" t="n"/>
      <x:c r="BE22" s="501" t="n">
        <x:v>759</x:v>
      </x:c>
      <x:c r="BF22" s="501" t="n">
        <x:v>0</x:v>
      </x:c>
      <x:c r="BG22" s="501" t="n">
        <x:v>271</x:v>
      </x:c>
      <x:c r="BH22" s="501" t="n">
        <x:v>36</x:v>
      </x:c>
      <x:c r="BI22" s="502" t="n">
        <x:v>1951</x:v>
      </x:c>
      <x:c r="BJ22" s="502" t="n">
        <x:v>1893</x:v>
      </x:c>
      <x:c r="BK22" s="502" t="n"/>
      <x:c r="BL22" s="502" t="n">
        <x:v>3029</x:v>
      </x:c>
      <x:c r="BM22" s="502" t="n">
        <x:v>0</x:v>
      </x:c>
      <x:c r="BN22" s="502" t="n">
        <x:v>1078</x:v>
      </x:c>
      <x:c r="BO22" s="502" t="n">
        <x:v>36</x:v>
      </x:c>
      <x:c r="BP22" s="503" t="n">
        <x:v>1772</x:v>
      </x:c>
      <x:c r="BQ22" s="503" t="n">
        <x:v>1720</x:v>
      </x:c>
      <x:c r="BR22" s="503" t="n"/>
      <x:c r="BS22" s="503" t="n">
        <x:v>3784</x:v>
      </x:c>
      <x:c r="BT22" s="503" t="n">
        <x:v>640</x:v>
      </x:c>
      <x:c r="BU22" s="503" t="n">
        <x:v>1372</x:v>
      </x:c>
      <x:c r="BV22" s="503" t="n">
        <x:v>37</x:v>
      </x:c>
      <x:c r="BW22" s="499" t="n">
        <x:v>618</x:v>
      </x:c>
      <x:c r="BX22" s="499" t="n">
        <x:v>600</x:v>
      </x:c>
      <x:c r="BY22" s="499" t="n"/>
      <x:c r="BZ22" s="499" t="n">
        <x:v>960</x:v>
      </x:c>
      <x:c r="CA22" s="499" t="n">
        <x:v>0</x:v>
      </x:c>
      <x:c r="CB22" s="499" t="n">
        <x:v>342</x:v>
      </x:c>
      <x:c r="CC22" s="499" t="n">
        <x:v>36</x:v>
      </x:c>
      <x:c r="CD22" s="500" t="n">
        <x:v>561</x:v>
      </x:c>
      <x:c r="CE22" s="500" t="n">
        <x:v>545</x:v>
      </x:c>
      <x:c r="CF22" s="500" t="n"/>
      <x:c r="CG22" s="500" t="n">
        <x:v>872</x:v>
      </x:c>
      <x:c r="CH22" s="500" t="n">
        <x:v>0</x:v>
      </x:c>
      <x:c r="CI22" s="500" t="n">
        <x:v>311</x:v>
      </x:c>
      <x:c r="CJ22" s="500" t="n">
        <x:v>36</x:v>
      </x:c>
      <x:c r="CK22" s="504" t="n"/>
      <x:c r="CL22" s="504" t="n"/>
      <x:c r="CM22" s="504" t="n"/>
      <x:c r="CN22" s="504" t="n">
        <x:v>4480</x:v>
      </x:c>
      <x:c r="CO22" s="504" t="n">
        <x:v>0</x:v>
      </x:c>
      <x:c r="CP22" s="504" t="n">
        <x:v>4480</x:v>
      </x:c>
      <x:c r="CQ22" s="504" t="n">
        <x:v>100</x:v>
      </x:c>
      <x:c r="CR22" s="505" t="n"/>
      <x:c r="CS22" s="505" t="n"/>
      <x:c r="CT22" s="505" t="n"/>
      <x:c r="CU22" s="505" t="n">
        <x:v>4733</x:v>
      </x:c>
      <x:c r="CV22" s="505" t="n">
        <x:v>0</x:v>
      </x:c>
      <x:c r="CW22" s="505" t="n">
        <x:v>4733</x:v>
      </x:c>
      <x:c r="CX22" s="505" t="n">
        <x:v>100</x:v>
      </x:c>
    </x:row>
    <x:row r="23" s="655" customFormat="1" ht="13.899999618530273" customHeight="1">
      <x:c r="A23" s="494" t="inlineStr">
        <x:is>
          <x:t xml:space="preserve">400 x 306 cm</x:t>
        </x:is>
      </x:c>
      <x:c r="B23" s="495" t="n">
        <x:v>4073</x:v>
      </x:c>
      <x:c r="C23" s="495" t="n">
        <x:v>3951</x:v>
      </x:c>
      <x:c r="D23" s="495" t="n"/>
      <x:c r="E23" s="495" t="n">
        <x:v>6322</x:v>
      </x:c>
      <x:c r="F23" s="495" t="n">
        <x:v>2750</x:v>
      </x:c>
      <x:c r="G23" s="495" t="n">
        <x:v>820</x:v>
      </x:c>
      <x:c r="H23" s="495" t="n">
        <x:v>4179</x:v>
      </x:c>
      <x:c r="I23" s="495" t="n">
        <x:v>47</x:v>
      </x:c>
      <x:c r="J23" s="496" t="n">
        <x:v>14285</x:v>
      </x:c>
      <x:c r="K23" s="496" t="n">
        <x:v>13857</x:v>
      </x:c>
      <x:c r="L23" s="496" t="n"/>
      <x:c r="M23" s="496" t="n">
        <x:v>22865</x:v>
      </x:c>
      <x:c r="N23" s="496" t="n">
        <x:v>3580</x:v>
      </x:c>
      <x:c r="O23" s="496" t="n">
        <x:v>1150</x:v>
      </x:c>
      <x:c r="P23" s="496" t="n">
        <x:v>11010</x:v>
      </x:c>
      <x:c r="Q23" s="496" t="n">
        <x:v>42</x:v>
      </x:c>
      <x:c r="R23" s="497" t="n">
        <x:v>2520</x:v>
      </x:c>
      <x:c r="S23" s="497" t="n">
        <x:v>2445</x:v>
      </x:c>
      <x:c r="T23" s="497" t="n"/>
      <x:c r="U23" s="497" t="n">
        <x:v>4035</x:v>
      </x:c>
      <x:c r="V23" s="497" t="n">
        <x:v>230</x:v>
      </x:c>
      <x:c r="W23" s="497" t="n">
        <x:v>1285</x:v>
      </x:c>
      <x:c r="X23" s="497" t="n">
        <x:v>32</x:v>
      </x:c>
      <x:c r="Y23" s="498" t="n">
        <x:v>2146</x:v>
      </x:c>
      <x:c r="Z23" s="498" t="n">
        <x:v>2082</x:v>
      </x:c>
      <x:c r="AA23" s="498" t="n"/>
      <x:c r="AB23" s="498" t="n">
        <x:v>3332</x:v>
      </x:c>
      <x:c r="AC23" s="498" t="n">
        <x:v>150</x:v>
      </x:c>
      <x:c r="AD23" s="498" t="n">
        <x:v>1036</x:v>
      </x:c>
      <x:c r="AE23" s="498" t="n">
        <x:v>32</x:v>
      </x:c>
      <x:c r="AF23" s="499" t="n">
        <x:v>1740</x:v>
      </x:c>
      <x:c r="AG23" s="499" t="n">
        <x:v>1688</x:v>
      </x:c>
      <x:c r="AH23" s="499" t="n"/>
      <x:c r="AI23" s="499" t="n">
        <x:v>2701</x:v>
      </x:c>
      <x:c r="AJ23" s="499" t="n">
        <x:v>150</x:v>
      </x:c>
      <x:c r="AK23" s="499" t="n">
        <x:v>811.16</x:v>
      </x:c>
      <x:c r="AL23" s="499" t="n">
        <x:v>31</x:v>
      </x:c>
      <x:c r="AM23" s="500" t="n">
        <x:v>3276</x:v>
      </x:c>
      <x:c r="AN23" s="500" t="n">
        <x:v>3179</x:v>
      </x:c>
      <x:c r="AO23" s="500" t="n"/>
      <x:c r="AP23" s="500" t="n">
        <x:v>5087</x:v>
      </x:c>
      <x:c r="AQ23" s="500" t="n">
        <x:v>200</x:v>
      </x:c>
      <x:c r="AR23" s="500" t="n">
        <x:v>1611</x:v>
      </x:c>
      <x:c r="AS23" s="500" t="n">
        <x:v>32</x:v>
      </x:c>
      <x:c r="AT23" s="498" t="n">
        <x:v>285</x:v>
      </x:c>
      <x:c r="AU23" s="498" t="n">
        <x:v>277</x:v>
      </x:c>
      <x:c r="AV23" s="498" t="n"/>
      <x:c r="AW23" s="498" t="n">
        <x:v>444</x:v>
      </x:c>
      <x:c r="AX23" s="498" t="n">
        <x:v>4479</x:v>
      </x:c>
      <x:c r="AY23" s="498" t="n">
        <x:v>0</x:v>
      </x:c>
      <x:c r="AZ23" s="498" t="n">
        <x:v>159</x:v>
      </x:c>
      <x:c r="BA23" s="498" t="n">
        <x:v>36</x:v>
      </x:c>
      <x:c r="BB23" s="501" t="n">
        <x:v>138</x:v>
      </x:c>
      <x:c r="BC23" s="501" t="n">
        <x:v>135</x:v>
      </x:c>
      <x:c r="BD23" s="501" t="n"/>
      <x:c r="BE23" s="501" t="n">
        <x:v>216</x:v>
      </x:c>
      <x:c r="BF23" s="501" t="n">
        <x:v>0</x:v>
      </x:c>
      <x:c r="BG23" s="501" t="n">
        <x:v>78</x:v>
      </x:c>
      <x:c r="BH23" s="501" t="n">
        <x:v>37</x:v>
      </x:c>
      <x:c r="BI23" s="502" t="n">
        <x:v>1073</x:v>
      </x:c>
      <x:c r="BJ23" s="502" t="n">
        <x:v>1041</x:v>
      </x:c>
      <x:c r="BK23" s="502" t="n"/>
      <x:c r="BL23" s="502" t="n">
        <x:v>1666</x:v>
      </x:c>
      <x:c r="BM23" s="502" t="n">
        <x:v>0</x:v>
      </x:c>
      <x:c r="BN23" s="502" t="n">
        <x:v>593</x:v>
      </x:c>
      <x:c r="BO23" s="502" t="n">
        <x:v>36</x:v>
      </x:c>
      <x:c r="BP23" s="503" t="n">
        <x:v>724</x:v>
      </x:c>
      <x:c r="BQ23" s="503" t="n">
        <x:v>702</x:v>
      </x:c>
      <x:c r="BR23" s="503" t="n"/>
      <x:c r="BS23" s="503" t="n">
        <x:v>1545</x:v>
      </x:c>
      <x:c r="BT23" s="503" t="n">
        <x:v>340</x:v>
      </x:c>
      <x:c r="BU23" s="503" t="n">
        <x:v>481</x:v>
      </x:c>
      <x:c r="BV23" s="503" t="n">
        <x:v>32</x:v>
      </x:c>
      <x:c r="BW23" s="499" t="n">
        <x:v>341</x:v>
      </x:c>
      <x:c r="BX23" s="499" t="n">
        <x:v>332</x:v>
      </x:c>
      <x:c r="BY23" s="499" t="n"/>
      <x:c r="BZ23" s="499" t="n">
        <x:v>532</x:v>
      </x:c>
      <x:c r="CA23" s="499" t="n">
        <x:v>0</x:v>
      </x:c>
      <x:c r="CB23" s="499" t="n">
        <x:v>191</x:v>
      </x:c>
      <x:c r="CC23" s="499" t="n">
        <x:v>36</x:v>
      </x:c>
      <x:c r="CD23" s="500" t="n">
        <x:v>309</x:v>
      </x:c>
      <x:c r="CE23" s="500" t="n">
        <x:v>300</x:v>
      </x:c>
      <x:c r="CF23" s="500" t="n"/>
      <x:c r="CG23" s="500" t="n">
        <x:v>480</x:v>
      </x:c>
      <x:c r="CH23" s="500" t="n">
        <x:v>0</x:v>
      </x:c>
      <x:c r="CI23" s="500" t="n">
        <x:v>171</x:v>
      </x:c>
      <x:c r="CJ23" s="500" t="n">
        <x:v>36</x:v>
      </x:c>
      <x:c r="CK23" s="504" t="n"/>
      <x:c r="CL23" s="504" t="n"/>
      <x:c r="CM23" s="504" t="n"/>
      <x:c r="CN23" s="504" t="n">
        <x:v>925</x:v>
      </x:c>
      <x:c r="CO23" s="504" t="n">
        <x:v>0</x:v>
      </x:c>
      <x:c r="CP23" s="504" t="n">
        <x:v>925</x:v>
      </x:c>
      <x:c r="CQ23" s="504" t="n">
        <x:v>100</x:v>
      </x:c>
      <x:c r="CR23" s="505" t="n"/>
      <x:c r="CS23" s="505" t="n"/>
      <x:c r="CT23" s="505" t="n"/>
      <x:c r="CU23" s="505" t="n">
        <x:v>1673</x:v>
      </x:c>
      <x:c r="CV23" s="505" t="n">
        <x:v>0</x:v>
      </x:c>
      <x:c r="CW23" s="505" t="n">
        <x:v>1673</x:v>
      </x:c>
      <x:c r="CX23" s="505" t="n">
        <x:v>100</x:v>
      </x:c>
    </x:row>
    <x:row r="24" s="655" customFormat="1" ht="13.899999618530273" customHeight="1">
      <x:c r="A24" s="494" t="inlineStr">
        <x:is>
          <x:t xml:space="preserve">400 x 406 cm</x:t>
        </x:is>
      </x:c>
      <x:c r="B24" s="495" t="n">
        <x:v>4984</x:v>
      </x:c>
      <x:c r="C24" s="495" t="n">
        <x:v>4835</x:v>
      </x:c>
      <x:c r="D24" s="495" t="n"/>
      <x:c r="E24" s="495" t="n">
        <x:v>7736</x:v>
      </x:c>
      <x:c r="F24" s="495" t="n">
        <x:v>3080</x:v>
      </x:c>
      <x:c r="G24" s="495" t="n">
        <x:v>980</x:v>
      </x:c>
      <x:c r="H24" s="495" t="n">
        <x:v>4852</x:v>
      </x:c>
      <x:c r="I24" s="495" t="n">
        <x:v>45</x:v>
      </x:c>
      <x:c r="J24" s="496" t="n">
        <x:v>15935</x:v>
      </x:c>
      <x:c r="K24" s="496" t="n">
        <x:v>15457</x:v>
      </x:c>
      <x:c r="L24" s="496" t="n"/>
      <x:c r="M24" s="496" t="n">
        <x:v>25505</x:v>
      </x:c>
      <x:c r="N24" s="496" t="n">
        <x:v>4100</x:v>
      </x:c>
      <x:c r="O24" s="496" t="n">
        <x:v>1370</x:v>
      </x:c>
      <x:c r="P24" s="496" t="n">
        <x:v>12300</x:v>
      </x:c>
      <x:c r="Q24" s="496" t="n">
        <x:v>42</x:v>
      </x:c>
      <x:c r="R24" s="497" t="n">
        <x:v>3333</x:v>
      </x:c>
      <x:c r="S24" s="497" t="n">
        <x:v>3234</x:v>
      </x:c>
      <x:c r="T24" s="497" t="n"/>
      <x:c r="U24" s="497" t="n">
        <x:v>5337</x:v>
      </x:c>
      <x:c r="V24" s="497" t="n">
        <x:v>270</x:v>
      </x:c>
      <x:c r="W24" s="497" t="n">
        <x:v>1734</x:v>
      </x:c>
      <x:c r="X24" s="497" t="n">
        <x:v>33</x:v>
      </x:c>
      <x:c r="Y24" s="498" t="n">
        <x:v>2146</x:v>
      </x:c>
      <x:c r="Z24" s="498" t="n">
        <x:v>2082</x:v>
      </x:c>
      <x:c r="AA24" s="498" t="n"/>
      <x:c r="AB24" s="498" t="n">
        <x:v>3332</x:v>
      </x:c>
      <x:c r="AC24" s="498" t="n">
        <x:v>150</x:v>
      </x:c>
      <x:c r="AD24" s="498" t="n">
        <x:v>1036</x:v>
      </x:c>
      <x:c r="AE24" s="498" t="n">
        <x:v>32</x:v>
      </x:c>
      <x:c r="AF24" s="499" t="n">
        <x:v>2146</x:v>
      </x:c>
      <x:c r="AG24" s="499" t="n">
        <x:v>2082</x:v>
      </x:c>
      <x:c r="AH24" s="499" t="n"/>
      <x:c r="AI24" s="499" t="n">
        <x:v>3332</x:v>
      </x:c>
      <x:c r="AJ24" s="499" t="n">
        <x:v>150</x:v>
      </x:c>
      <x:c r="AK24" s="499" t="n">
        <x:v>1035.66</x:v>
      </x:c>
      <x:c r="AL24" s="499" t="n">
        <x:v>32</x:v>
      </x:c>
      <x:c r="AM24" s="500" t="n">
        <x:v>3789</x:v>
      </x:c>
      <x:c r="AN24" s="500" t="n">
        <x:v>3675</x:v>
      </x:c>
      <x:c r="AO24" s="500" t="n"/>
      <x:c r="AP24" s="500" t="n">
        <x:v>5880</x:v>
      </x:c>
      <x:c r="AQ24" s="500" t="n">
        <x:v>250</x:v>
      </x:c>
      <x:c r="AR24" s="500" t="n">
        <x:v>1841</x:v>
      </x:c>
      <x:c r="AS24" s="500" t="n">
        <x:v>32</x:v>
      </x:c>
      <x:c r="AT24" s="498" t="n">
        <x:v>374</x:v>
      </x:c>
      <x:c r="AU24" s="498" t="n">
        <x:v>363</x:v>
      </x:c>
      <x:c r="AV24" s="498" t="n"/>
      <x:c r="AW24" s="498" t="n">
        <x:v>581</x:v>
      </x:c>
      <x:c r="AX24" s="498" t="n">
        <x:v>5918</x:v>
      </x:c>
      <x:c r="AY24" s="498" t="n">
        <x:v>0</x:v>
      </x:c>
      <x:c r="AZ24" s="498" t="n">
        <x:v>207</x:v>
      </x:c>
      <x:c r="BA24" s="498" t="n">
        <x:v>36</x:v>
      </x:c>
      <x:c r="BB24" s="501" t="n">
        <x:v>179</x:v>
      </x:c>
      <x:c r="BC24" s="501" t="n">
        <x:v>174</x:v>
      </x:c>
      <x:c r="BD24" s="501" t="n"/>
      <x:c r="BE24" s="501" t="n">
        <x:v>279</x:v>
      </x:c>
      <x:c r="BF24" s="501" t="n">
        <x:v>0</x:v>
      </x:c>
      <x:c r="BG24" s="501" t="n">
        <x:v>100</x:v>
      </x:c>
      <x:c r="BH24" s="501" t="n">
        <x:v>36</x:v>
      </x:c>
      <x:c r="BI24" s="502" t="n">
        <x:v>1171</x:v>
      </x:c>
      <x:c r="BJ24" s="502" t="n">
        <x:v>1136</x:v>
      </x:c>
      <x:c r="BK24" s="502" t="n"/>
      <x:c r="BL24" s="502" t="n">
        <x:v>1818</x:v>
      </x:c>
      <x:c r="BM24" s="502" t="n">
        <x:v>0</x:v>
      </x:c>
      <x:c r="BN24" s="502" t="n">
        <x:v>647</x:v>
      </x:c>
      <x:c r="BO24" s="502" t="n">
        <x:v>36</x:v>
      </x:c>
      <x:c r="BP24" s="503" t="n">
        <x:v>813</x:v>
      </x:c>
      <x:c r="BQ24" s="503" t="n">
        <x:v>789</x:v>
      </x:c>
      <x:c r="BR24" s="503" t="n"/>
      <x:c r="BS24" s="503" t="n">
        <x:v>1736</x:v>
      </x:c>
      <x:c r="BT24" s="503" t="n">
        <x:v>380</x:v>
      </x:c>
      <x:c r="BU24" s="503" t="n">
        <x:v>543</x:v>
      </x:c>
      <x:c r="BV24" s="503" t="n">
        <x:v>32</x:v>
      </x:c>
      <x:c r="BW24" s="499" t="n">
        <x:v>374</x:v>
      </x:c>
      <x:c r="BX24" s="499" t="n">
        <x:v>363</x:v>
      </x:c>
      <x:c r="BY24" s="499" t="n"/>
      <x:c r="BZ24" s="499" t="n">
        <x:v>581</x:v>
      </x:c>
      <x:c r="CA24" s="499" t="n">
        <x:v>0</x:v>
      </x:c>
      <x:c r="CB24" s="499" t="n">
        <x:v>207</x:v>
      </x:c>
      <x:c r="CC24" s="499" t="n">
        <x:v>36</x:v>
      </x:c>
      <x:c r="CD24" s="500" t="n">
        <x:v>333</x:v>
      </x:c>
      <x:c r="CE24" s="500" t="n">
        <x:v>324</x:v>
      </x:c>
      <x:c r="CF24" s="500" t="n"/>
      <x:c r="CG24" s="500" t="n">
        <x:v>519</x:v>
      </x:c>
      <x:c r="CH24" s="500" t="n">
        <x:v>0</x:v>
      </x:c>
      <x:c r="CI24" s="500" t="n">
        <x:v>186</x:v>
      </x:c>
      <x:c r="CJ24" s="500" t="n">
        <x:v>36</x:v>
      </x:c>
      <x:c r="CK24" s="504" t="n"/>
      <x:c r="CL24" s="504" t="n"/>
      <x:c r="CM24" s="504" t="n"/>
      <x:c r="CN24" s="504" t="n">
        <x:v>1430</x:v>
      </x:c>
      <x:c r="CO24" s="504" t="n">
        <x:v>0</x:v>
      </x:c>
      <x:c r="CP24" s="504" t="n">
        <x:v>1430</x:v>
      </x:c>
      <x:c r="CQ24" s="504" t="n">
        <x:v>100</x:v>
      </x:c>
      <x:c r="CR24" s="505" t="n"/>
      <x:c r="CS24" s="505" t="n"/>
      <x:c r="CT24" s="505" t="n"/>
      <x:c r="CU24" s="505" t="n">
        <x:v>1984</x:v>
      </x:c>
      <x:c r="CV24" s="505" t="n">
        <x:v>0</x:v>
      </x:c>
      <x:c r="CW24" s="505" t="n">
        <x:v>1984</x:v>
      </x:c>
      <x:c r="CX24" s="505" t="n">
        <x:v>100</x:v>
      </x:c>
    </x:row>
    <x:row r="25" s="655" customFormat="1" ht="13.899999618530273" customHeight="1">
      <x:c r="A25" s="494" t="inlineStr">
        <x:is>
          <x:t xml:space="preserve">400 x 506 cm</x:t>
        </x:is>
      </x:c>
      <x:c r="B25" s="495" t="n">
        <x:v>6195</x:v>
      </x:c>
      <x:c r="C25" s="495" t="n">
        <x:v>6010</x:v>
      </x:c>
      <x:c r="D25" s="495" t="n"/>
      <x:c r="E25" s="495" t="n">
        <x:v>9616</x:v>
      </x:c>
      <x:c r="F25" s="495" t="n">
        <x:v>3400</x:v>
      </x:c>
      <x:c r="G25" s="495" t="n">
        <x:v>1130</x:v>
      </x:c>
      <x:c r="H25" s="495" t="n">
        <x:v>5691</x:v>
      </x:c>
      <x:c r="I25" s="495" t="n">
        <x:v>44</x:v>
      </x:c>
      <x:c r="J25" s="496" t="n">
        <x:v>18081</x:v>
      </x:c>
      <x:c r="K25" s="496" t="n">
        <x:v>17539</x:v>
      </x:c>
      <x:c r="L25" s="496" t="n"/>
      <x:c r="M25" s="496" t="n">
        <x:v>28940</x:v>
      </x:c>
      <x:c r="N25" s="496" t="n">
        <x:v>4590</x:v>
      </x:c>
      <x:c r="O25" s="496" t="n">
        <x:v>1580</x:v>
      </x:c>
      <x:c r="P25" s="496" t="n">
        <x:v>13869</x:v>
      </x:c>
      <x:c r="Q25" s="496" t="n">
        <x:v>42</x:v>
      </x:c>
      <x:c r="R25" s="497" t="n">
        <x:v>4114</x:v>
      </x:c>
      <x:c r="S25" s="497" t="n">
        <x:v>3991</x:v>
      </x:c>
      <x:c r="T25" s="497" t="n"/>
      <x:c r="U25" s="497" t="n">
        <x:v>6586</x:v>
      </x:c>
      <x:c r="V25" s="497" t="n">
        <x:v>320</x:v>
      </x:c>
      <x:c r="W25" s="497" t="n">
        <x:v>2152</x:v>
      </x:c>
      <x:c r="X25" s="497" t="n">
        <x:v>33</x:v>
      </x:c>
      <x:c r="Y25" s="498" t="n">
        <x:v>2146</x:v>
      </x:c>
      <x:c r="Z25" s="498" t="n">
        <x:v>2082</x:v>
      </x:c>
      <x:c r="AA25" s="498" t="n"/>
      <x:c r="AB25" s="498" t="n">
        <x:v>3332</x:v>
      </x:c>
      <x:c r="AC25" s="498" t="n">
        <x:v>150</x:v>
      </x:c>
      <x:c r="AD25" s="498" t="n">
        <x:v>1036</x:v>
      </x:c>
      <x:c r="AE25" s="498" t="n">
        <x:v>32</x:v>
      </x:c>
      <x:c r="AF25" s="499" t="n">
        <x:v>3008</x:v>
      </x:c>
      <x:c r="AG25" s="499" t="n">
        <x:v>2918</x:v>
      </x:c>
      <x:c r="AH25" s="499" t="n"/>
      <x:c r="AI25" s="499" t="n">
        <x:v>4669</x:v>
      </x:c>
      <x:c r="AJ25" s="499" t="n">
        <x:v>300</x:v>
      </x:c>
      <x:c r="AK25" s="499" t="n">
        <x:v>1360.87</x:v>
      </x:c>
      <x:c r="AL25" s="499" t="n">
        <x:v>30</x:v>
      </x:c>
      <x:c r="AM25" s="500" t="n">
        <x:v>4317</x:v>
      </x:c>
      <x:c r="AN25" s="500" t="n">
        <x:v>4188</x:v>
      </x:c>
      <x:c r="AO25" s="500" t="n"/>
      <x:c r="AP25" s="500" t="n">
        <x:v>6701</x:v>
      </x:c>
      <x:c r="AQ25" s="500" t="n">
        <x:v>300</x:v>
      </x:c>
      <x:c r="AR25" s="500" t="n">
        <x:v>2084</x:v>
      </x:c>
      <x:c r="AS25" s="500" t="n">
        <x:v>32</x:v>
      </x:c>
      <x:c r="AT25" s="498" t="n">
        <x:v>472</x:v>
      </x:c>
      <x:c r="AU25" s="498" t="n">
        <x:v>458</x:v>
      </x:c>
      <x:c r="AV25" s="498" t="n"/>
      <x:c r="AW25" s="498" t="n">
        <x:v>733</x:v>
      </x:c>
      <x:c r="AX25" s="498" t="n">
        <x:v>7319</x:v>
      </x:c>
      <x:c r="AY25" s="498" t="n">
        <x:v>0</x:v>
      </x:c>
      <x:c r="AZ25" s="498" t="n">
        <x:v>261</x:v>
      </x:c>
      <x:c r="BA25" s="498" t="n">
        <x:v>36</x:v>
      </x:c>
      <x:c r="BB25" s="501" t="n">
        <x:v>228</x:v>
      </x:c>
      <x:c r="BC25" s="501" t="n">
        <x:v>221</x:v>
      </x:c>
      <x:c r="BD25" s="501" t="n"/>
      <x:c r="BE25" s="501" t="n">
        <x:v>354</x:v>
      </x:c>
      <x:c r="BF25" s="501" t="n">
        <x:v>0</x:v>
      </x:c>
      <x:c r="BG25" s="501" t="n">
        <x:v>126</x:v>
      </x:c>
      <x:c r="BH25" s="501" t="n">
        <x:v>36</x:v>
      </x:c>
      <x:c r="BI25" s="502" t="n">
        <x:v>1268</x:v>
      </x:c>
      <x:c r="BJ25" s="502" t="n">
        <x:v>1231</x:v>
      </x:c>
      <x:c r="BK25" s="502" t="n"/>
      <x:c r="BL25" s="502" t="n">
        <x:v>1970</x:v>
      </x:c>
      <x:c r="BM25" s="502" t="n">
        <x:v>0</x:v>
      </x:c>
      <x:c r="BN25" s="502" t="n">
        <x:v>702</x:v>
      </x:c>
      <x:c r="BO25" s="502" t="n">
        <x:v>36</x:v>
      </x:c>
      <x:c r="BP25" s="503" t="n">
        <x:v>927</x:v>
      </x:c>
      <x:c r="BQ25" s="503" t="n">
        <x:v>900</x:v>
      </x:c>
      <x:c r="BR25" s="503" t="n"/>
      <x:c r="BS25" s="503" t="n">
        <x:v>1980</x:v>
      </x:c>
      <x:c r="BT25" s="503" t="n">
        <x:v>440</x:v>
      </x:c>
      <x:c r="BU25" s="503" t="n">
        <x:v>613</x:v>
      </x:c>
      <x:c r="BV25" s="503" t="n">
        <x:v>31</x:v>
      </x:c>
      <x:c r="BW25" s="499" t="n">
        <x:v>407</x:v>
      </x:c>
      <x:c r="BX25" s="499" t="n">
        <x:v>395</x:v>
      </x:c>
      <x:c r="BY25" s="499" t="n"/>
      <x:c r="BZ25" s="499" t="n">
        <x:v>632</x:v>
      </x:c>
      <x:c r="CA25" s="499" t="n">
        <x:v>0</x:v>
      </x:c>
      <x:c r="CB25" s="499" t="n">
        <x:v>225</x:v>
      </x:c>
      <x:c r="CC25" s="499" t="n">
        <x:v>36</x:v>
      </x:c>
      <x:c r="CD25" s="500" t="n">
        <x:v>366</x:v>
      </x:c>
      <x:c r="CE25" s="500" t="n">
        <x:v>355</x:v>
      </x:c>
      <x:c r="CF25" s="500" t="n"/>
      <x:c r="CG25" s="500" t="n">
        <x:v>568</x:v>
      </x:c>
      <x:c r="CH25" s="500" t="n">
        <x:v>0</x:v>
      </x:c>
      <x:c r="CI25" s="500" t="n">
        <x:v>202</x:v>
      </x:c>
      <x:c r="CJ25" s="500" t="n">
        <x:v>36</x:v>
      </x:c>
      <x:c r="CK25" s="504" t="n"/>
      <x:c r="CL25" s="504" t="n"/>
      <x:c r="CM25" s="504" t="n"/>
      <x:c r="CN25" s="504" t="n">
        <x:v>1770</x:v>
      </x:c>
      <x:c r="CO25" s="504" t="n">
        <x:v>0</x:v>
      </x:c>
      <x:c r="CP25" s="504" t="n">
        <x:v>1770</x:v>
      </x:c>
      <x:c r="CQ25" s="504" t="n">
        <x:v>100</x:v>
      </x:c>
      <x:c r="CR25" s="505" t="n"/>
      <x:c r="CS25" s="505" t="n"/>
      <x:c r="CT25" s="505" t="n"/>
      <x:c r="CU25" s="505" t="n">
        <x:v>2295</x:v>
      </x:c>
      <x:c r="CV25" s="505" t="n">
        <x:v>0</x:v>
      </x:c>
      <x:c r="CW25" s="505" t="n">
        <x:v>2295</x:v>
      </x:c>
      <x:c r="CX25" s="505" t="n">
        <x:v>100</x:v>
      </x:c>
    </x:row>
    <x:row r="26" s="655" customFormat="1" ht="13.899999618530273" customHeight="1">
      <x:c r="A26" s="494" t="inlineStr">
        <x:is>
          <x:t xml:space="preserve">400 x 606 cm</x:t>
        </x:is>
      </x:c>
      <x:c r="B26" s="495" t="n">
        <x:v>6789</x:v>
      </x:c>
      <x:c r="C26" s="495" t="n">
        <x:v>6585</x:v>
      </x:c>
      <x:c r="D26" s="495" t="n"/>
      <x:c r="E26" s="495" t="n">
        <x:v>10536</x:v>
      </x:c>
      <x:c r="F26" s="495" t="n">
        <x:v>3730</x:v>
      </x:c>
      <x:c r="G26" s="495" t="n">
        <x:v>1290</x:v>
      </x:c>
      <x:c r="H26" s="495" t="n">
        <x:v>6187</x:v>
      </x:c>
      <x:c r="I26" s="495" t="n">
        <x:v>44</x:v>
      </x:c>
      <x:c r="J26" s="496" t="n">
        <x:v>19683</x:v>
      </x:c>
      <x:c r="K26" s="496" t="n">
        <x:v>19093</x:v>
      </x:c>
      <x:c r="L26" s="496" t="n"/>
      <x:c r="M26" s="496" t="n">
        <x:v>31504</x:v>
      </x:c>
      <x:c r="N26" s="496" t="n">
        <x:v>4960</x:v>
      </x:c>
      <x:c r="O26" s="496" t="n">
        <x:v>1800</x:v>
      </x:c>
      <x:c r="P26" s="496" t="n">
        <x:v>14981</x:v>
      </x:c>
      <x:c r="Q26" s="496" t="n">
        <x:v>42</x:v>
      </x:c>
      <x:c r="R26" s="497" t="n">
        <x:v>4870</x:v>
      </x:c>
      <x:c r="S26" s="497" t="n">
        <x:v>4724</x:v>
      </x:c>
      <x:c r="T26" s="497" t="n"/>
      <x:c r="U26" s="497" t="n">
        <x:v>7795</x:v>
      </x:c>
      <x:c r="V26" s="497" t="n">
        <x:v>360</x:v>
      </x:c>
      <x:c r="W26" s="497" t="n">
        <x:v>2565</x:v>
      </x:c>
      <x:c r="X26" s="497" t="n">
        <x:v>33</x:v>
      </x:c>
      <x:c r="Y26" s="498" t="n">
        <x:v>2146</x:v>
      </x:c>
      <x:c r="Z26" s="498" t="n">
        <x:v>2082</x:v>
      </x:c>
      <x:c r="AA26" s="498" t="n"/>
      <x:c r="AB26" s="498" t="n">
        <x:v>3332</x:v>
      </x:c>
      <x:c r="AC26" s="498" t="n">
        <x:v>150</x:v>
      </x:c>
      <x:c r="AD26" s="498" t="n">
        <x:v>1036</x:v>
      </x:c>
      <x:c r="AE26" s="498" t="n">
        <x:v>32</x:v>
      </x:c>
      <x:c r="AF26" s="499" t="n">
        <x:v>3472</x:v>
      </x:c>
      <x:c r="AG26" s="499" t="n">
        <x:v>3368</x:v>
      </x:c>
      <x:c r="AH26" s="499" t="n"/>
      <x:c r="AI26" s="499" t="n">
        <x:v>5389</x:v>
      </x:c>
      <x:c r="AJ26" s="499" t="n">
        <x:v>300</x:v>
      </x:c>
      <x:c r="AK26" s="499" t="n">
        <x:v>1617.46</x:v>
      </x:c>
      <x:c r="AL26" s="499" t="n">
        <x:v>31</x:v>
      </x:c>
      <x:c r="AM26" s="500" t="n">
        <x:v>6553</x:v>
      </x:c>
      <x:c r="AN26" s="500" t="n">
        <x:v>6357</x:v>
      </x:c>
      <x:c r="AO26" s="500" t="n"/>
      <x:c r="AP26" s="500" t="n">
        <x:v>10172</x:v>
      </x:c>
      <x:c r="AQ26" s="500" t="n">
        <x:v>350</x:v>
      </x:c>
      <x:c r="AR26" s="500" t="n">
        <x:v>3269</x:v>
      </x:c>
      <x:c r="AS26" s="500" t="n">
        <x:v>33</x:v>
      </x:c>
      <x:c r="AT26" s="498" t="n">
        <x:v>569</x:v>
      </x:c>
      <x:c r="AU26" s="498" t="n">
        <x:v>553</x:v>
      </x:c>
      <x:c r="AV26" s="498" t="n"/>
      <x:c r="AW26" s="498" t="n">
        <x:v>885</x:v>
      </x:c>
      <x:c r="AX26" s="498" t="n">
        <x:v>8680</x:v>
      </x:c>
      <x:c r="AY26" s="498" t="n">
        <x:v>0</x:v>
      </x:c>
      <x:c r="AZ26" s="498" t="n">
        <x:v>316</x:v>
      </x:c>
      <x:c r="BA26" s="498" t="n">
        <x:v>36</x:v>
      </x:c>
      <x:c r="BB26" s="501" t="n">
        <x:v>276</x:v>
      </x:c>
      <x:c r="BC26" s="501" t="n">
        <x:v>269</x:v>
      </x:c>
      <x:c r="BD26" s="501" t="n"/>
      <x:c r="BE26" s="501" t="n">
        <x:v>431</x:v>
      </x:c>
      <x:c r="BF26" s="501" t="n">
        <x:v>0</x:v>
      </x:c>
      <x:c r="BG26" s="501" t="n">
        <x:v>155</x:v>
      </x:c>
      <x:c r="BH26" s="501" t="n">
        <x:v>36</x:v>
      </x:c>
      <x:c r="BI26" s="502" t="n">
        <x:v>1366</x:v>
      </x:c>
      <x:c r="BJ26" s="502" t="n">
        <x:v>1325</x:v>
      </x:c>
      <x:c r="BK26" s="502" t="n"/>
      <x:c r="BL26" s="502" t="n">
        <x:v>2120</x:v>
      </x:c>
      <x:c r="BM26" s="502" t="n">
        <x:v>0</x:v>
      </x:c>
      <x:c r="BN26" s="502" t="n">
        <x:v>754</x:v>
      </x:c>
      <x:c r="BO26" s="502" t="n">
        <x:v>36</x:v>
      </x:c>
      <x:c r="BP26" s="503" t="n">
        <x:v>1154</x:v>
      </x:c>
      <x:c r="BQ26" s="503" t="n">
        <x:v>1120</x:v>
      </x:c>
      <x:c r="BR26" s="503" t="n"/>
      <x:c r="BS26" s="503" t="n">
        <x:v>2464</x:v>
      </x:c>
      <x:c r="BT26" s="503" t="n">
        <x:v>540</x:v>
      </x:c>
      <x:c r="BU26" s="503" t="n">
        <x:v>770</x:v>
      </x:c>
      <x:c r="BV26" s="503" t="n">
        <x:v>32</x:v>
      </x:c>
      <x:c r="BW26" s="499" t="n">
        <x:v>431</x:v>
      </x:c>
      <x:c r="BX26" s="499" t="n">
        <x:v>418</x:v>
      </x:c>
      <x:c r="BY26" s="499" t="n"/>
      <x:c r="BZ26" s="499" t="n">
        <x:v>669</x:v>
      </x:c>
      <x:c r="CA26" s="499" t="n">
        <x:v>0</x:v>
      </x:c>
      <x:c r="CB26" s="499" t="n">
        <x:v>238</x:v>
      </x:c>
      <x:c r="CC26" s="499" t="n">
        <x:v>36</x:v>
      </x:c>
      <x:c r="CD26" s="500" t="n">
        <x:v>390</x:v>
      </x:c>
      <x:c r="CE26" s="500" t="n">
        <x:v>379</x:v>
      </x:c>
      <x:c r="CF26" s="500" t="n"/>
      <x:c r="CG26" s="500" t="n">
        <x:v>607</x:v>
      </x:c>
      <x:c r="CH26" s="500" t="n">
        <x:v>0</x:v>
      </x:c>
      <x:c r="CI26" s="500" t="n">
        <x:v>217</x:v>
      </x:c>
      <x:c r="CJ26" s="500" t="n">
        <x:v>36</x:v>
      </x:c>
      <x:c r="CK26" s="504" t="n"/>
      <x:c r="CL26" s="504" t="n"/>
      <x:c r="CM26" s="504" t="n"/>
      <x:c r="CN26" s="504" t="n">
        <x:v>2180</x:v>
      </x:c>
      <x:c r="CO26" s="504" t="n">
        <x:v>0</x:v>
      </x:c>
      <x:c r="CP26" s="504" t="n">
        <x:v>2180</x:v>
      </x:c>
      <x:c r="CQ26" s="504" t="n">
        <x:v>100</x:v>
      </x:c>
      <x:c r="CR26" s="505" t="n"/>
      <x:c r="CS26" s="505" t="n"/>
      <x:c r="CT26" s="505" t="n"/>
      <x:c r="CU26" s="505" t="n">
        <x:v>3146</x:v>
      </x:c>
      <x:c r="CV26" s="505" t="n">
        <x:v>0</x:v>
      </x:c>
      <x:c r="CW26" s="505" t="n">
        <x:v>3146</x:v>
      </x:c>
      <x:c r="CX26" s="505" t="n">
        <x:v>100</x:v>
      </x:c>
    </x:row>
    <x:row r="27" s="655" customFormat="1" ht="13.899999618530273" customHeight="1">
      <x:c r="A27" s="494" t="inlineStr">
        <x:is>
          <x:t xml:space="preserve">400 x 706 cm</x:t>
        </x:is>
      </x:c>
      <x:c r="B27" s="495" t="n">
        <x:v>8260</x:v>
      </x:c>
      <x:c r="C27" s="495" t="n">
        <x:v>8013</x:v>
      </x:c>
      <x:c r="D27" s="495" t="n"/>
      <x:c r="E27" s="495" t="n">
        <x:v>12821</x:v>
      </x:c>
      <x:c r="F27" s="495" t="n">
        <x:v>3950</x:v>
      </x:c>
      <x:c r="G27" s="495" t="n">
        <x:v>1390</x:v>
      </x:c>
      <x:c r="H27" s="495" t="n">
        <x:v>7121</x:v>
      </x:c>
      <x:c r="I27" s="495" t="n">
        <x:v>43</x:v>
      </x:c>
      <x:c r="J27" s="496" t="n">
        <x:v>21203</x:v>
      </x:c>
      <x:c r="K27" s="496" t="n">
        <x:v>20568</x:v>
      </x:c>
      <x:c r="L27" s="496" t="n"/>
      <x:c r="M27" s="496" t="n">
        <x:v>33938</x:v>
      </x:c>
      <x:c r="N27" s="496" t="n">
        <x:v>5410</x:v>
      </x:c>
      <x:c r="O27" s="496" t="n">
        <x:v>1940</x:v>
      </x:c>
      <x:c r="P27" s="496" t="n">
        <x:v>16205</x:v>
      </x:c>
      <x:c r="Q27" s="496" t="n">
        <x:v>42</x:v>
      </x:c>
      <x:c r="R27" s="497" t="n">
        <x:v>5553</x:v>
      </x:c>
      <x:c r="S27" s="497" t="n">
        <x:v>5387</x:v>
      </x:c>
      <x:c r="T27" s="497" t="n"/>
      <x:c r="U27" s="497" t="n">
        <x:v>8889</x:v>
      </x:c>
      <x:c r="V27" s="497" t="n">
        <x:v>390</x:v>
      </x:c>
      <x:c r="W27" s="497" t="n">
        <x:v>2946</x:v>
      </x:c>
      <x:c r="X27" s="497" t="n">
        <x:v>34</x:v>
      </x:c>
      <x:c r="Y27" s="498" t="n">
        <x:v>2146</x:v>
      </x:c>
      <x:c r="Z27" s="498" t="n">
        <x:v>2082</x:v>
      </x:c>
      <x:c r="AA27" s="498" t="n"/>
      <x:c r="AB27" s="498" t="n">
        <x:v>3332</x:v>
      </x:c>
      <x:c r="AC27" s="498" t="n">
        <x:v>150</x:v>
      </x:c>
      <x:c r="AD27" s="498" t="n">
        <x:v>1036</x:v>
      </x:c>
      <x:c r="AE27" s="498" t="n">
        <x:v>32</x:v>
      </x:c>
      <x:c r="AF27" s="499" t="n">
        <x:v>3886</x:v>
      </x:c>
      <x:c r="AG27" s="499" t="n">
        <x:v>3770</x:v>
      </x:c>
      <x:c r="AH27" s="499" t="n"/>
      <x:c r="AI27" s="499" t="n">
        <x:v>6032</x:v>
      </x:c>
      <x:c r="AJ27" s="499" t="n">
        <x:v>300</x:v>
      </x:c>
      <x:c r="AK27" s="499" t="n">
        <x:v>1845.82</x:v>
      </x:c>
      <x:c r="AL27" s="499" t="n">
        <x:v>31</x:v>
      </x:c>
      <x:c r="AM27" s="500" t="n">
        <x:v>7073</x:v>
      </x:c>
      <x:c r="AN27" s="500" t="n">
        <x:v>6861</x:v>
      </x:c>
      <x:c r="AO27" s="500" t="n"/>
      <x:c r="AP27" s="500" t="n">
        <x:v>10978</x:v>
      </x:c>
      <x:c r="AQ27" s="500" t="n">
        <x:v>450</x:v>
      </x:c>
      <x:c r="AR27" s="500" t="n">
        <x:v>3455</x:v>
      </x:c>
      <x:c r="AS27" s="500" t="n">
        <x:v>32</x:v>
      </x:c>
      <x:c r="AT27" s="498" t="n">
        <x:v>667</x:v>
      </x:c>
      <x:c r="AU27" s="498" t="n">
        <x:v>647</x:v>
      </x:c>
      <x:c r="AV27" s="498" t="n"/>
      <x:c r="AW27" s="498" t="n">
        <x:v>1036</x:v>
      </x:c>
      <x:c r="AX27" s="498" t="n">
        <x:v>9925</x:v>
      </x:c>
      <x:c r="AY27" s="498" t="n">
        <x:v>0</x:v>
      </x:c>
      <x:c r="AZ27" s="498" t="n">
        <x:v>369</x:v>
      </x:c>
      <x:c r="BA27" s="498" t="n">
        <x:v>36</x:v>
      </x:c>
      <x:c r="BB27" s="501" t="n">
        <x:v>317</x:v>
      </x:c>
      <x:c r="BC27" s="501" t="n">
        <x:v>308</x:v>
      </x:c>
      <x:c r="BD27" s="501" t="n"/>
      <x:c r="BE27" s="501" t="n">
        <x:v>493</x:v>
      </x:c>
      <x:c r="BF27" s="501" t="n">
        <x:v>0</x:v>
      </x:c>
      <x:c r="BG27" s="501" t="n">
        <x:v>176</x:v>
      </x:c>
      <x:c r="BH27" s="501" t="n">
        <x:v>36</x:v>
      </x:c>
      <x:c r="BI27" s="502" t="n">
        <x:v>1463</x:v>
      </x:c>
      <x:c r="BJ27" s="502" t="n">
        <x:v>1420</x:v>
      </x:c>
      <x:c r="BK27" s="502" t="n"/>
      <x:c r="BL27" s="502" t="n">
        <x:v>2272</x:v>
      </x:c>
      <x:c r="BM27" s="502" t="n">
        <x:v>0</x:v>
      </x:c>
      <x:c r="BN27" s="502" t="n">
        <x:v>809</x:v>
      </x:c>
      <x:c r="BO27" s="502" t="n">
        <x:v>36</x:v>
      </x:c>
      <x:c r="BP27" s="503" t="n">
        <x:v>992</x:v>
      </x:c>
      <x:c r="BQ27" s="503" t="n">
        <x:v>963</x:v>
      </x:c>
      <x:c r="BR27" s="503" t="n"/>
      <x:c r="BS27" s="503" t="n">
        <x:v>2119</x:v>
      </x:c>
      <x:c r="BT27" s="503" t="n">
        <x:v>460</x:v>
      </x:c>
      <x:c r="BU27" s="503" t="n">
        <x:v>667</x:v>
      </x:c>
      <x:c r="BV27" s="503" t="n">
        <x:v>32</x:v>
      </x:c>
      <x:c r="BW27" s="499" t="n">
        <x:v>463</x:v>
      </x:c>
      <x:c r="BX27" s="499" t="n">
        <x:v>450</x:v>
      </x:c>
      <x:c r="BY27" s="499" t="n"/>
      <x:c r="BZ27" s="499" t="n">
        <x:v>720</x:v>
      </x:c>
      <x:c r="CA27" s="499" t="n">
        <x:v>0</x:v>
      </x:c>
      <x:c r="CB27" s="499" t="n">
        <x:v>257</x:v>
      </x:c>
      <x:c r="CC27" s="499" t="n">
        <x:v>36</x:v>
      </x:c>
      <x:c r="CD27" s="500" t="n">
        <x:v>423</x:v>
      </x:c>
      <x:c r="CE27" s="500" t="n">
        <x:v>411</x:v>
      </x:c>
      <x:c r="CF27" s="500" t="n"/>
      <x:c r="CG27" s="500" t="n">
        <x:v>658</x:v>
      </x:c>
      <x:c r="CH27" s="500" t="n">
        <x:v>0</x:v>
      </x:c>
      <x:c r="CI27" s="500" t="n">
        <x:v>235</x:v>
      </x:c>
      <x:c r="CJ27" s="500" t="n">
        <x:v>36</x:v>
      </x:c>
      <x:c r="CK27" s="504" t="n"/>
      <x:c r="CL27" s="504" t="n"/>
      <x:c r="CM27" s="504" t="n"/>
      <x:c r="CN27" s="504" t="n">
        <x:v>2685</x:v>
      </x:c>
      <x:c r="CO27" s="504" t="n">
        <x:v>0</x:v>
      </x:c>
      <x:c r="CP27" s="504" t="n">
        <x:v>2685</x:v>
      </x:c>
      <x:c r="CQ27" s="504" t="n">
        <x:v>100</x:v>
      </x:c>
      <x:c r="CR27" s="505" t="n"/>
      <x:c r="CS27" s="505" t="n"/>
      <x:c r="CT27" s="505" t="n"/>
      <x:c r="CU27" s="505" t="n">
        <x:v>3457</x:v>
      </x:c>
      <x:c r="CV27" s="505" t="n">
        <x:v>0</x:v>
      </x:c>
      <x:c r="CW27" s="505" t="n">
        <x:v>3457</x:v>
      </x:c>
      <x:c r="CX27" s="505" t="n">
        <x:v>100</x:v>
      </x:c>
    </x:row>
    <x:row r="28" s="655" customFormat="1" ht="13.899999618530273" customHeight="1">
      <x:c r="A28" s="494" t="inlineStr">
        <x:is>
          <x:t xml:space="preserve">400 x 806 cm</x:t>
        </x:is>
      </x:c>
      <x:c r="B28" s="495" t="n">
        <x:v>9959</x:v>
      </x:c>
      <x:c r="C28" s="495" t="n">
        <x:v>9661</x:v>
      </x:c>
      <x:c r="D28" s="495" t="n"/>
      <x:c r="E28" s="495" t="n">
        <x:v>15458</x:v>
      </x:c>
      <x:c r="F28" s="495" t="n">
        <x:v>4180</x:v>
      </x:c>
      <x:c r="G28" s="495" t="n">
        <x:v>1490</x:v>
      </x:c>
      <x:c r="H28" s="495" t="n">
        <x:v>8189</x:v>
      </x:c>
      <x:c r="I28" s="495" t="n">
        <x:v>42</x:v>
      </x:c>
      <x:c r="J28" s="496" t="n">
        <x:v>23610</x:v>
      </x:c>
      <x:c r="K28" s="496" t="n">
        <x:v>22902</x:v>
      </x:c>
      <x:c r="L28" s="496" t="n"/>
      <x:c r="M28" s="496" t="n">
        <x:v>37789</x:v>
      </x:c>
      <x:c r="N28" s="496" t="n">
        <x:v>5640</x:v>
      </x:c>
      <x:c r="O28" s="496" t="n">
        <x:v>2090</x:v>
      </x:c>
      <x:c r="P28" s="496" t="n">
        <x:v>17729</x:v>
      </x:c>
      <x:c r="Q28" s="496" t="n">
        <x:v>41</x:v>
      </x:c>
      <x:c r="R28" s="497" t="n">
        <x:v>6683</x:v>
      </x:c>
      <x:c r="S28" s="497" t="n">
        <x:v>6483</x:v>
      </x:c>
      <x:c r="T28" s="497" t="n"/>
      <x:c r="U28" s="497" t="n">
        <x:v>10697</x:v>
      </x:c>
      <x:c r="V28" s="497" t="n">
        <x:v>420</x:v>
      </x:c>
      <x:c r="W28" s="497" t="n">
        <x:v>3594</x:v>
      </x:c>
      <x:c r="X28" s="497" t="n">
        <x:v>34</x:v>
      </x:c>
      <x:c r="Y28" s="498" t="n">
        <x:v>2146</x:v>
      </x:c>
      <x:c r="Z28" s="498" t="n">
        <x:v>2082</x:v>
      </x:c>
      <x:c r="AA28" s="498" t="n"/>
      <x:c r="AB28" s="498" t="n">
        <x:v>3332</x:v>
      </x:c>
      <x:c r="AC28" s="498" t="n">
        <x:v>150</x:v>
      </x:c>
      <x:c r="AD28" s="498" t="n">
        <x:v>1036</x:v>
      </x:c>
      <x:c r="AE28" s="498" t="n">
        <x:v>32</x:v>
      </x:c>
      <x:c r="AF28" s="499" t="n">
        <x:v>4293</x:v>
      </x:c>
      <x:c r="AG28" s="499" t="n">
        <x:v>4164</x:v>
      </x:c>
      <x:c r="AH28" s="499" t="n"/>
      <x:c r="AI28" s="499" t="n">
        <x:v>6663</x:v>
      </x:c>
      <x:c r="AJ28" s="499" t="n">
        <x:v>300</x:v>
      </x:c>
      <x:c r="AK28" s="499" t="n">
        <x:v>2070.32</x:v>
      </x:c>
      <x:c r="AL28" s="499" t="n">
        <x:v>32</x:v>
      </x:c>
      <x:c r="AM28" s="500" t="n">
        <x:v>7584</x:v>
      </x:c>
      <x:c r="AN28" s="500" t="n">
        <x:v>7357</x:v>
      </x:c>
      <x:c r="AO28" s="500" t="n"/>
      <x:c r="AP28" s="500" t="n">
        <x:v>11772</x:v>
      </x:c>
      <x:c r="AQ28" s="500" t="n">
        <x:v>500</x:v>
      </x:c>
      <x:c r="AR28" s="500" t="n">
        <x:v>3688</x:v>
      </x:c>
      <x:c r="AS28" s="500" t="n">
        <x:v>32</x:v>
      </x:c>
      <x:c r="AT28" s="498" t="n">
        <x:v>756</x:v>
      </x:c>
      <x:c r="AU28" s="498" t="n">
        <x:v>734</x:v>
      </x:c>
      <x:c r="AV28" s="498" t="n"/>
      <x:c r="AW28" s="498" t="n">
        <x:v>1175</x:v>
      </x:c>
      <x:c r="AX28" s="498" t="n">
        <x:v>11872</x:v>
      </x:c>
      <x:c r="AY28" s="498" t="n">
        <x:v>0</x:v>
      </x:c>
      <x:c r="AZ28" s="498" t="n">
        <x:v>419</x:v>
      </x:c>
      <x:c r="BA28" s="498" t="n">
        <x:v>36</x:v>
      </x:c>
      <x:c r="BB28" s="501" t="n">
        <x:v>520</x:v>
      </x:c>
      <x:c r="BC28" s="501" t="n">
        <x:v>505</x:v>
      </x:c>
      <x:c r="BD28" s="501" t="n"/>
      <x:c r="BE28" s="501" t="n">
        <x:v>808</x:v>
      </x:c>
      <x:c r="BF28" s="501" t="n">
        <x:v>0</x:v>
      </x:c>
      <x:c r="BG28" s="501" t="n">
        <x:v>288</x:v>
      </x:c>
      <x:c r="BH28" s="501" t="n">
        <x:v>36</x:v>
      </x:c>
      <x:c r="BI28" s="502" t="n">
        <x:v>1678</x:v>
      </x:c>
      <x:c r="BJ28" s="502" t="n">
        <x:v>1628</x:v>
      </x:c>
      <x:c r="BK28" s="502" t="n"/>
      <x:c r="BL28" s="502" t="n">
        <x:v>2605</x:v>
      </x:c>
      <x:c r="BM28" s="502" t="n">
        <x:v>0</x:v>
      </x:c>
      <x:c r="BN28" s="502" t="n">
        <x:v>927</x:v>
      </x:c>
      <x:c r="BO28" s="502" t="n">
        <x:v>36</x:v>
      </x:c>
      <x:c r="BP28" s="503" t="n">
        <x:v>1081</x:v>
      </x:c>
      <x:c r="BQ28" s="503" t="n">
        <x:v>1049</x:v>
      </x:c>
      <x:c r="BR28" s="503" t="n"/>
      <x:c r="BS28" s="503" t="n">
        <x:v>2308</x:v>
      </x:c>
      <x:c r="BT28" s="503" t="n">
        <x:v>510</x:v>
      </x:c>
      <x:c r="BU28" s="503" t="n">
        <x:v>717</x:v>
      </x:c>
      <x:c r="BV28" s="503" t="n">
        <x:v>32</x:v>
      </x:c>
      <x:c r="BW28" s="499" t="n">
        <x:v>496</x:v>
      </x:c>
      <x:c r="BX28" s="499" t="n">
        <x:v>482</x:v>
      </x:c>
      <x:c r="BY28" s="499" t="n"/>
      <x:c r="BZ28" s="499" t="n">
        <x:v>772</x:v>
      </x:c>
      <x:c r="CA28" s="499" t="n">
        <x:v>0</x:v>
      </x:c>
      <x:c r="CB28" s="499" t="n">
        <x:v>276</x:v>
      </x:c>
      <x:c r="CC28" s="499" t="n">
        <x:v>36</x:v>
      </x:c>
      <x:c r="CD28" s="500" t="n">
        <x:v>448</x:v>
      </x:c>
      <x:c r="CE28" s="500" t="n">
        <x:v>435</x:v>
      </x:c>
      <x:c r="CF28" s="500" t="n"/>
      <x:c r="CG28" s="500" t="n">
        <x:v>696</x:v>
      </x:c>
      <x:c r="CH28" s="500" t="n">
        <x:v>0</x:v>
      </x:c>
      <x:c r="CI28" s="500" t="n">
        <x:v>248</x:v>
      </x:c>
      <x:c r="CJ28" s="500" t="n">
        <x:v>36</x:v>
      </x:c>
      <x:c r="CK28" s="504" t="n"/>
      <x:c r="CL28" s="504" t="n"/>
      <x:c r="CM28" s="504" t="n"/>
      <x:c r="CN28" s="504" t="n">
        <x:v>2955</x:v>
      </x:c>
      <x:c r="CO28" s="504" t="n">
        <x:v>0</x:v>
      </x:c>
      <x:c r="CP28" s="504" t="n">
        <x:v>2955</x:v>
      </x:c>
      <x:c r="CQ28" s="504" t="n">
        <x:v>100</x:v>
      </x:c>
      <x:c r="CR28" s="505" t="n"/>
      <x:c r="CS28" s="505" t="n"/>
      <x:c r="CT28" s="505" t="n"/>
      <x:c r="CU28" s="505" t="n">
        <x:v>3768</x:v>
      </x:c>
      <x:c r="CV28" s="505" t="n">
        <x:v>0</x:v>
      </x:c>
      <x:c r="CW28" s="505" t="n">
        <x:v>3768</x:v>
      </x:c>
      <x:c r="CX28" s="505" t="n">
        <x:v>100</x:v>
      </x:c>
    </x:row>
    <x:row r="29" s="655" customFormat="1" ht="13.899999618530273" customHeight="1">
      <x:c r="A29" s="494" t="inlineStr">
        <x:is>
          <x:t xml:space="preserve">400 x 906 cm</x:t>
        </x:is>
      </x:c>
      <x:c r="B29" s="495" t="n">
        <x:v>11179</x:v>
      </x:c>
      <x:c r="C29" s="495" t="n">
        <x:v>10844</x:v>
      </x:c>
      <x:c r="D29" s="495" t="n"/>
      <x:c r="E29" s="495" t="n">
        <x:v>17351</x:v>
      </x:c>
      <x:c r="F29" s="495" t="n">
        <x:v>4420</x:v>
      </x:c>
      <x:c r="G29" s="495" t="n">
        <x:v>1610</x:v>
      </x:c>
      <x:c r="H29" s="495" t="n">
        <x:v>8982</x:v>
      </x:c>
      <x:c r="I29" s="495" t="n">
        <x:v>42</x:v>
      </x:c>
      <x:c r="J29" s="496" t="n">
        <x:v>25764</x:v>
      </x:c>
      <x:c r="K29" s="496" t="n">
        <x:v>24992</x:v>
      </x:c>
      <x:c r="L29" s="496" t="n"/>
      <x:c r="M29" s="496" t="n">
        <x:v>41237</x:v>
      </x:c>
      <x:c r="N29" s="496" t="n">
        <x:v>6000</x:v>
      </x:c>
      <x:c r="O29" s="496" t="n">
        <x:v>2260</x:v>
      </x:c>
      <x:c r="P29" s="496" t="n">
        <x:v>19213</x:v>
      </x:c>
      <x:c r="Q29" s="496" t="n">
        <x:v>41</x:v>
      </x:c>
      <x:c r="R29" s="497" t="n">
        <x:v>7447</x:v>
      </x:c>
      <x:c r="S29" s="497" t="n">
        <x:v>7224</x:v>
      </x:c>
      <x:c r="T29" s="497" t="n"/>
      <x:c r="U29" s="497" t="n">
        <x:v>11920</x:v>
      </x:c>
      <x:c r="V29" s="497" t="n">
        <x:v>450</x:v>
      </x:c>
      <x:c r="W29" s="497" t="n">
        <x:v>4023</x:v>
      </x:c>
      <x:c r="X29" s="497" t="n">
        <x:v>34</x:v>
      </x:c>
      <x:c r="Y29" s="498" t="n">
        <x:v>2146</x:v>
      </x:c>
      <x:c r="Z29" s="498" t="n">
        <x:v>2082</x:v>
      </x:c>
      <x:c r="AA29" s="498" t="n"/>
      <x:c r="AB29" s="498" t="n">
        <x:v>3332</x:v>
      </x:c>
      <x:c r="AC29" s="498" t="n">
        <x:v>150</x:v>
      </x:c>
      <x:c r="AD29" s="498" t="n">
        <x:v>1036</x:v>
      </x:c>
      <x:c r="AE29" s="498" t="n">
        <x:v>32</x:v>
      </x:c>
      <x:c r="AF29" s="499" t="n">
        <x:v>5203</x:v>
      </x:c>
      <x:c r="AG29" s="499" t="n">
        <x:v>5048</x:v>
      </x:c>
      <x:c r="AH29" s="499" t="n"/>
      <x:c r="AI29" s="499" t="n">
        <x:v>8077</x:v>
      </x:c>
      <x:c r="AJ29" s="499" t="n">
        <x:v>450</x:v>
      </x:c>
      <x:c r="AK29" s="499" t="n">
        <x:v>2423.75</x:v>
      </x:c>
      <x:c r="AL29" s="499" t="n">
        <x:v>31</x:v>
      </x:c>
      <x:c r="AM29" s="500" t="n">
        <x:v>8114</x:v>
      </x:c>
      <x:c r="AN29" s="500" t="n">
        <x:v>7871</x:v>
      </x:c>
      <x:c r="AO29" s="500" t="n"/>
      <x:c r="AP29" s="500" t="n">
        <x:v>12594</x:v>
      </x:c>
      <x:c r="AQ29" s="500" t="n">
        <x:v>550</x:v>
      </x:c>
      <x:c r="AR29" s="500" t="n">
        <x:v>3930</x:v>
      </x:c>
      <x:c r="AS29" s="500" t="n">
        <x:v>32</x:v>
      </x:c>
      <x:c r="AT29" s="498" t="n">
        <x:v>854</x:v>
      </x:c>
      <x:c r="AU29" s="498" t="n">
        <x:v>829</x:v>
      </x:c>
      <x:c r="AV29" s="498" t="n"/>
      <x:c r="AW29" s="498" t="n">
        <x:v>1327</x:v>
      </x:c>
      <x:c r="AX29" s="498" t="n">
        <x:v>13247</x:v>
      </x:c>
      <x:c r="AY29" s="498" t="n">
        <x:v>0</x:v>
      </x:c>
      <x:c r="AZ29" s="498" t="n">
        <x:v>473</x:v>
      </x:c>
      <x:c r="BA29" s="498" t="n">
        <x:v>36</x:v>
      </x:c>
      <x:c r="BB29" s="501" t="n">
        <x:v>407</x:v>
      </x:c>
      <x:c r="BC29" s="501" t="n">
        <x:v>395</x:v>
      </x:c>
      <x:c r="BD29" s="501" t="n"/>
      <x:c r="BE29" s="501" t="n">
        <x:v>632</x:v>
      </x:c>
      <x:c r="BF29" s="501" t="n">
        <x:v>0</x:v>
      </x:c>
      <x:c r="BG29" s="501" t="n">
        <x:v>225</x:v>
      </x:c>
      <x:c r="BH29" s="501" t="n">
        <x:v>36</x:v>
      </x:c>
      <x:c r="BI29" s="502" t="n">
        <x:v>1659</x:v>
      </x:c>
      <x:c r="BJ29" s="502" t="n">
        <x:v>1609</x:v>
      </x:c>
      <x:c r="BK29" s="502" t="n"/>
      <x:c r="BL29" s="502" t="n">
        <x:v>2575</x:v>
      </x:c>
      <x:c r="BM29" s="502" t="n">
        <x:v>0</x:v>
      </x:c>
      <x:c r="BN29" s="502" t="n">
        <x:v>916</x:v>
      </x:c>
      <x:c r="BO29" s="502" t="n">
        <x:v>36</x:v>
      </x:c>
      <x:c r="BP29" s="503" t="n">
        <x:v>1195</x:v>
      </x:c>
      <x:c r="BQ29" s="503" t="n">
        <x:v>1160</x:v>
      </x:c>
      <x:c r="BR29" s="503" t="n"/>
      <x:c r="BS29" s="503" t="n">
        <x:v>2552</x:v>
      </x:c>
      <x:c r="BT29" s="503" t="n">
        <x:v>560</x:v>
      </x:c>
      <x:c r="BU29" s="503" t="n">
        <x:v>797</x:v>
      </x:c>
      <x:c r="BV29" s="503" t="n">
        <x:v>32</x:v>
      </x:c>
      <x:c r="BW29" s="499" t="n">
        <x:v>528</x:v>
      </x:c>
      <x:c r="BX29" s="499" t="n">
        <x:v>513</x:v>
      </x:c>
      <x:c r="BY29" s="499" t="n"/>
      <x:c r="BZ29" s="499" t="n">
        <x:v>821</x:v>
      </x:c>
      <x:c r="CA29" s="499" t="n">
        <x:v>0</x:v>
      </x:c>
      <x:c r="CB29" s="499" t="n">
        <x:v>293</x:v>
      </x:c>
      <x:c r="CC29" s="499" t="n">
        <x:v>36</x:v>
      </x:c>
      <x:c r="CD29" s="500" t="n">
        <x:v>480</x:v>
      </x:c>
      <x:c r="CE29" s="500" t="n">
        <x:v>466</x:v>
      </x:c>
      <x:c r="CF29" s="500" t="n"/>
      <x:c r="CG29" s="500" t="n">
        <x:v>746</x:v>
      </x:c>
      <x:c r="CH29" s="500" t="n">
        <x:v>0</x:v>
      </x:c>
      <x:c r="CI29" s="500" t="n">
        <x:v>266</x:v>
      </x:c>
      <x:c r="CJ29" s="500" t="n">
        <x:v>36</x:v>
      </x:c>
      <x:c r="CK29" s="504" t="n"/>
      <x:c r="CL29" s="504" t="n"/>
      <x:c r="CM29" s="504" t="n"/>
      <x:c r="CN29" s="504" t="n">
        <x:v>3295</x:v>
      </x:c>
      <x:c r="CO29" s="504" t="n">
        <x:v>0</x:v>
      </x:c>
      <x:c r="CP29" s="504" t="n">
        <x:v>3295</x:v>
      </x:c>
      <x:c r="CQ29" s="504" t="n">
        <x:v>100</x:v>
      </x:c>
      <x:c r="CR29" s="505" t="n"/>
      <x:c r="CS29" s="505" t="n"/>
      <x:c r="CT29" s="505" t="n"/>
      <x:c r="CU29" s="505" t="n">
        <x:v>4079</x:v>
      </x:c>
      <x:c r="CV29" s="505" t="n">
        <x:v>0</x:v>
      </x:c>
      <x:c r="CW29" s="505" t="n">
        <x:v>4079</x:v>
      </x:c>
      <x:c r="CX29" s="505" t="n">
        <x:v>100</x:v>
      </x:c>
    </x:row>
    <x:row r="30" s="655" customFormat="1" ht="13.899999618530273" customHeight="1">
      <x:c r="A30" s="494" t="inlineStr">
        <x:is>
          <x:t xml:space="preserve">400 x 1006 cm</x:t>
        </x:is>
      </x:c>
      <x:c r="B30" s="495" t="n">
        <x:v>12398</x:v>
      </x:c>
      <x:c r="C30" s="495" t="n">
        <x:v>12027</x:v>
      </x:c>
      <x:c r="D30" s="495" t="n"/>
      <x:c r="E30" s="495" t="n">
        <x:v>19244</x:v>
      </x:c>
      <x:c r="F30" s="495" t="n">
        <x:v>4680</x:v>
      </x:c>
      <x:c r="G30" s="495" t="n">
        <x:v>1730</x:v>
      </x:c>
      <x:c r="H30" s="495" t="n">
        <x:v>9796</x:v>
      </x:c>
      <x:c r="I30" s="495" t="n">
        <x:v>41</x:v>
      </x:c>
      <x:c r="J30" s="496" t="n">
        <x:v>27911</x:v>
      </x:c>
      <x:c r="K30" s="496" t="n">
        <x:v>27074</x:v>
      </x:c>
      <x:c r="L30" s="496" t="n"/>
      <x:c r="M30" s="496" t="n">
        <x:v>44673</x:v>
      </x:c>
      <x:c r="N30" s="496" t="n">
        <x:v>6370</x:v>
      </x:c>
      <x:c r="O30" s="496" t="n">
        <x:v>2420</x:v>
      </x:c>
      <x:c r="P30" s="496" t="n">
        <x:v>20712</x:v>
      </x:c>
      <x:c r="Q30" s="496" t="n">
        <x:v>41</x:v>
      </x:c>
      <x:c r="R30" s="497" t="n">
        <x:v>8211</x:v>
      </x:c>
      <x:c r="S30" s="497" t="n">
        <x:v>7966</x:v>
      </x:c>
      <x:c r="T30" s="497" t="n"/>
      <x:c r="U30" s="497" t="n">
        <x:v>13144</x:v>
      </x:c>
      <x:c r="V30" s="497" t="n">
        <x:v>480</x:v>
      </x:c>
      <x:c r="W30" s="497" t="n">
        <x:v>4453</x:v>
      </x:c>
      <x:c r="X30" s="497" t="n">
        <x:v>34</x:v>
      </x:c>
      <x:c r="Y30" s="498" t="n">
        <x:v>2146</x:v>
      </x:c>
      <x:c r="Z30" s="498" t="n">
        <x:v>2082</x:v>
      </x:c>
      <x:c r="AA30" s="498" t="n"/>
      <x:c r="AB30" s="498" t="n">
        <x:v>3332</x:v>
      </x:c>
      <x:c r="AC30" s="498" t="n">
        <x:v>150</x:v>
      </x:c>
      <x:c r="AD30" s="498" t="n">
        <x:v>1036</x:v>
      </x:c>
      <x:c r="AE30" s="498" t="n">
        <x:v>32</x:v>
      </x:c>
      <x:c r="AF30" s="499" t="n">
        <x:v>5618</x:v>
      </x:c>
      <x:c r="AG30" s="499" t="n">
        <x:v>5450</x:v>
      </x:c>
      <x:c r="AH30" s="499" t="n"/>
      <x:c r="AI30" s="499" t="n">
        <x:v>8720</x:v>
      </x:c>
      <x:c r="AJ30" s="499" t="n">
        <x:v>450</x:v>
      </x:c>
      <x:c r="AK30" s="499" t="n">
        <x:v>2652.11</x:v>
      </x:c>
      <x:c r="AL30" s="499" t="n">
        <x:v>31</x:v>
      </x:c>
      <x:c r="AM30" s="500" t="n">
        <x:v>8634</x:v>
      </x:c>
      <x:c r="AN30" s="500" t="n">
        <x:v>8376</x:v>
      </x:c>
      <x:c r="AO30" s="500" t="n"/>
      <x:c r="AP30" s="500" t="n">
        <x:v>13402</x:v>
      </x:c>
      <x:c r="AQ30" s="500" t="n">
        <x:v>600</x:v>
      </x:c>
      <x:c r="AR30" s="500" t="n">
        <x:v>4168</x:v>
      </x:c>
      <x:c r="AS30" s="500" t="n">
        <x:v>32</x:v>
      </x:c>
      <x:c r="AT30" s="498" t="n">
        <x:v>943</x:v>
      </x:c>
      <x:c r="AU30" s="498" t="n">
        <x:v>915</x:v>
      </x:c>
      <x:c r="AV30" s="498" t="n"/>
      <x:c r="AW30" s="498" t="n">
        <x:v>1464</x:v>
      </x:c>
      <x:c r="AX30" s="498" t="n">
        <x:v>14608</x:v>
      </x:c>
      <x:c r="AY30" s="498" t="n">
        <x:v>0</x:v>
      </x:c>
      <x:c r="AZ30" s="498" t="n">
        <x:v>521</x:v>
      </x:c>
      <x:c r="BA30" s="498" t="n">
        <x:v>36</x:v>
      </x:c>
      <x:c r="BB30" s="501" t="n">
        <x:v>455</x:v>
      </x:c>
      <x:c r="BC30" s="501" t="n">
        <x:v>442</x:v>
      </x:c>
      <x:c r="BD30" s="501" t="n"/>
      <x:c r="BE30" s="501" t="n">
        <x:v>708</x:v>
      </x:c>
      <x:c r="BF30" s="501" t="n">
        <x:v>0</x:v>
      </x:c>
      <x:c r="BG30" s="501" t="n">
        <x:v>253</x:v>
      </x:c>
      <x:c r="BH30" s="501" t="n">
        <x:v>36</x:v>
      </x:c>
      <x:c r="BI30" s="502" t="n">
        <x:v>1756</x:v>
      </x:c>
      <x:c r="BJ30" s="502" t="n">
        <x:v>1704</x:v>
      </x:c>
      <x:c r="BK30" s="502" t="n"/>
      <x:c r="BL30" s="502" t="n">
        <x:v>2727</x:v>
      </x:c>
      <x:c r="BM30" s="502" t="n">
        <x:v>0</x:v>
      </x:c>
      <x:c r="BN30" s="502" t="n">
        <x:v>971</x:v>
      </x:c>
      <x:c r="BO30" s="502" t="n">
        <x:v>36</x:v>
      </x:c>
      <x:c r="BP30" s="503" t="n">
        <x:v>1309</x:v>
      </x:c>
      <x:c r="BQ30" s="503" t="n">
        <x:v>1270</x:v>
      </x:c>
      <x:c r="BR30" s="503" t="n"/>
      <x:c r="BS30" s="503" t="n">
        <x:v>2794</x:v>
      </x:c>
      <x:c r="BT30" s="503" t="n">
        <x:v>610</x:v>
      </x:c>
      <x:c r="BU30" s="503" t="n">
        <x:v>875</x:v>
      </x:c>
      <x:c r="BV30" s="503" t="n">
        <x:v>32</x:v>
      </x:c>
      <x:c r="BW30" s="499" t="n">
        <x:v>561</x:v>
      </x:c>
      <x:c r="BX30" s="499" t="n">
        <x:v>545</x:v>
      </x:c>
      <x:c r="BY30" s="499" t="n"/>
      <x:c r="BZ30" s="499" t="n">
        <x:v>872</x:v>
      </x:c>
      <x:c r="CA30" s="499" t="n">
        <x:v>0</x:v>
      </x:c>
      <x:c r="CB30" s="499" t="n">
        <x:v>311</x:v>
      </x:c>
      <x:c r="CC30" s="499" t="n">
        <x:v>36</x:v>
      </x:c>
      <x:c r="CD30" s="500" t="n">
        <x:v>504</x:v>
      </x:c>
      <x:c r="CE30" s="500" t="n">
        <x:v>489</x:v>
      </x:c>
      <x:c r="CF30" s="500" t="n"/>
      <x:c r="CG30" s="500" t="n">
        <x:v>783</x:v>
      </x:c>
      <x:c r="CH30" s="500" t="n">
        <x:v>0</x:v>
      </x:c>
      <x:c r="CI30" s="500" t="n">
        <x:v>279</x:v>
      </x:c>
      <x:c r="CJ30" s="500" t="n">
        <x:v>36</x:v>
      </x:c>
      <x:c r="CK30" s="504" t="n"/>
      <x:c r="CL30" s="504" t="n"/>
      <x:c r="CM30" s="504" t="n"/>
      <x:c r="CN30" s="504" t="n">
        <x:v>3870</x:v>
      </x:c>
      <x:c r="CO30" s="504" t="n">
        <x:v>0</x:v>
      </x:c>
      <x:c r="CP30" s="504" t="n">
        <x:v>3870</x:v>
      </x:c>
      <x:c r="CQ30" s="504" t="n">
        <x:v>100</x:v>
      </x:c>
      <x:c r="CR30" s="505" t="n"/>
      <x:c r="CS30" s="505" t="n"/>
      <x:c r="CT30" s="505" t="n"/>
      <x:c r="CU30" s="505" t="n">
        <x:v>4390</x:v>
      </x:c>
      <x:c r="CV30" s="505" t="n">
        <x:v>0</x:v>
      </x:c>
      <x:c r="CW30" s="505" t="n">
        <x:v>4390</x:v>
      </x:c>
      <x:c r="CX30" s="505" t="n">
        <x:v>100</x:v>
      </x:c>
    </x:row>
    <x:row r="31" s="655" customFormat="1" ht="13.899999618530273" customHeight="1">
      <x:c r="A31" s="494" t="inlineStr">
        <x:is>
          <x:t xml:space="preserve">400 x 1106 cm</x:t>
        </x:is>
      </x:c>
      <x:c r="B31" s="495" t="n">
        <x:v>12984</x:v>
      </x:c>
      <x:c r="C31" s="495" t="n">
        <x:v>12595</x:v>
      </x:c>
      <x:c r="D31" s="495" t="n"/>
      <x:c r="E31" s="495" t="n">
        <x:v>20152</x:v>
      </x:c>
      <x:c r="F31" s="495" t="n">
        <x:v>5040</x:v>
      </x:c>
      <x:c r="G31" s="495" t="n">
        <x:v>1900</x:v>
      </x:c>
      <x:c r="H31" s="495" t="n">
        <x:v>10308</x:v>
      </x:c>
      <x:c r="I31" s="495" t="n">
        <x:v>41</x:v>
      </x:c>
      <x:c r="J31" s="496" t="n">
        <x:v>29512</x:v>
      </x:c>
      <x:c r="K31" s="496" t="n">
        <x:v>28627</x:v>
      </x:c>
      <x:c r="L31" s="496" t="n"/>
      <x:c r="M31" s="496" t="n">
        <x:v>47235</x:v>
      </x:c>
      <x:c r="N31" s="496" t="n">
        <x:v>6730</x:v>
      </x:c>
      <x:c r="O31" s="496" t="n">
        <x:v>2660</x:v>
      </x:c>
      <x:c r="P31" s="496" t="n">
        <x:v>21793</x:v>
      </x:c>
      <x:c r="Q31" s="496" t="n">
        <x:v>41</x:v>
      </x:c>
      <x:c r="R31" s="497" t="n">
        <x:v>8967</x:v>
      </x:c>
      <x:c r="S31" s="497" t="n">
        <x:v>8699</x:v>
      </x:c>
      <x:c r="T31" s="497" t="n"/>
      <x:c r="U31" s="497" t="n">
        <x:v>14354</x:v>
      </x:c>
      <x:c r="V31" s="497" t="n">
        <x:v>530</x:v>
      </x:c>
      <x:c r="W31" s="497" t="n">
        <x:v>4857</x:v>
      </x:c>
      <x:c r="X31" s="497" t="n">
        <x:v>34</x:v>
      </x:c>
      <x:c r="Y31" s="498" t="n">
        <x:v>2146</x:v>
      </x:c>
      <x:c r="Z31" s="498" t="n">
        <x:v>2082</x:v>
      </x:c>
      <x:c r="AA31" s="498" t="n"/>
      <x:c r="AB31" s="498" t="n">
        <x:v>3332</x:v>
      </x:c>
      <x:c r="AC31" s="498" t="n">
        <x:v>150</x:v>
      </x:c>
      <x:c r="AD31" s="498" t="n">
        <x:v>1036</x:v>
      </x:c>
      <x:c r="AE31" s="498" t="n">
        <x:v>32</x:v>
      </x:c>
      <x:c r="AF31" s="499" t="n">
        <x:v>6033</x:v>
      </x:c>
      <x:c r="AG31" s="499" t="n">
        <x:v>5852</x:v>
      </x:c>
      <x:c r="AH31" s="499" t="n"/>
      <x:c r="AI31" s="499" t="n">
        <x:v>9364</x:v>
      </x:c>
      <x:c r="AJ31" s="499" t="n">
        <x:v>450</x:v>
      </x:c>
      <x:c r="AK31" s="499" t="n">
        <x:v>2881.48</x:v>
      </x:c>
      <x:c r="AL31" s="499" t="n">
        <x:v>31</x:v>
      </x:c>
      <x:c r="AM31" s="500" t="n">
        <x:v>10854</x:v>
      </x:c>
      <x:c r="AN31" s="500" t="n">
        <x:v>10529</x:v>
      </x:c>
      <x:c r="AO31" s="500" t="n"/>
      <x:c r="AP31" s="500" t="n">
        <x:v>16847</x:v>
      </x:c>
      <x:c r="AQ31" s="500" t="n">
        <x:v>650</x:v>
      </x:c>
      <x:c r="AR31" s="500" t="n">
        <x:v>5343</x:v>
      </x:c>
      <x:c r="AS31" s="500" t="n">
        <x:v>32</x:v>
      </x:c>
      <x:c r="AT31" s="498" t="n">
        <x:v>1041</x:v>
      </x:c>
      <x:c r="AU31" s="498" t="n">
        <x:v>1010</x:v>
      </x:c>
      <x:c r="AV31" s="498" t="n"/>
      <x:c r="AW31" s="498" t="n">
        <x:v>1616</x:v>
      </x:c>
      <x:c r="AX31" s="498" t="n">
        <x:v>15970</x:v>
      </x:c>
      <x:c r="AY31" s="498" t="n">
        <x:v>0</x:v>
      </x:c>
      <x:c r="AZ31" s="498" t="n">
        <x:v>575</x:v>
      </x:c>
      <x:c r="BA31" s="498" t="n">
        <x:v>36</x:v>
      </x:c>
      <x:c r="BB31" s="501" t="n">
        <x:v>504</x:v>
      </x:c>
      <x:c r="BC31" s="501" t="n">
        <x:v>489</x:v>
      </x:c>
      <x:c r="BD31" s="501" t="n"/>
      <x:c r="BE31" s="501" t="n">
        <x:v>783</x:v>
      </x:c>
      <x:c r="BF31" s="501" t="n">
        <x:v>0</x:v>
      </x:c>
      <x:c r="BG31" s="501" t="n">
        <x:v>279</x:v>
      </x:c>
      <x:c r="BH31" s="501" t="n">
        <x:v>36</x:v>
      </x:c>
      <x:c r="BI31" s="502" t="n">
        <x:v>1854</x:v>
      </x:c>
      <x:c r="BJ31" s="502" t="n">
        <x:v>1799</x:v>
      </x:c>
      <x:c r="BK31" s="502" t="n"/>
      <x:c r="BL31" s="502" t="n">
        <x:v>2879</x:v>
      </x:c>
      <x:c r="BM31" s="502" t="n">
        <x:v>0</x:v>
      </x:c>
      <x:c r="BN31" s="502" t="n">
        <x:v>1025</x:v>
      </x:c>
      <x:c r="BO31" s="502" t="n">
        <x:v>36</x:v>
      </x:c>
      <x:c r="BP31" s="503" t="n">
        <x:v>1772</x:v>
      </x:c>
      <x:c r="BQ31" s="503" t="n">
        <x:v>1720</x:v>
      </x:c>
      <x:c r="BR31" s="503" t="n"/>
      <x:c r="BS31" s="503" t="n">
        <x:v>3784</x:v>
      </x:c>
      <x:c r="BT31" s="503" t="n">
        <x:v>590</x:v>
      </x:c>
      <x:c r="BU31" s="503" t="n">
        <x:v>1422</x:v>
      </x:c>
      <x:c r="BV31" s="503" t="n">
        <x:v>38</x:v>
      </x:c>
      <x:c r="BW31" s="499" t="n">
        <x:v>585</x:v>
      </x:c>
      <x:c r="BX31" s="499" t="n">
        <x:v>568</x:v>
      </x:c>
      <x:c r="BY31" s="499" t="n"/>
      <x:c r="BZ31" s="499" t="n">
        <x:v>909</x:v>
      </x:c>
      <x:c r="CA31" s="499" t="n">
        <x:v>0</x:v>
      </x:c>
      <x:c r="CB31" s="499" t="n">
        <x:v>324</x:v>
      </x:c>
      <x:c r="CC31" s="499" t="n">
        <x:v>36</x:v>
      </x:c>
      <x:c r="CD31" s="500" t="n">
        <x:v>528</x:v>
      </x:c>
      <x:c r="CE31" s="500" t="n">
        <x:v>513</x:v>
      </x:c>
      <x:c r="CF31" s="500" t="n"/>
      <x:c r="CG31" s="500" t="n">
        <x:v>821</x:v>
      </x:c>
      <x:c r="CH31" s="500" t="n">
        <x:v>0</x:v>
      </x:c>
      <x:c r="CI31" s="500" t="n">
        <x:v>293</x:v>
      </x:c>
      <x:c r="CJ31" s="500" t="n">
        <x:v>36</x:v>
      </x:c>
      <x:c r="CK31" s="504" t="n"/>
      <x:c r="CL31" s="504" t="n"/>
      <x:c r="CM31" s="504" t="n"/>
      <x:c r="CN31" s="504" t="n">
        <x:v>4210</x:v>
      </x:c>
      <x:c r="CO31" s="504" t="n">
        <x:v>0</x:v>
      </x:c>
      <x:c r="CP31" s="504" t="n">
        <x:v>4210</x:v>
      </x:c>
      <x:c r="CQ31" s="504" t="n">
        <x:v>100</x:v>
      </x:c>
      <x:c r="CR31" s="505" t="n"/>
      <x:c r="CS31" s="505" t="n"/>
      <x:c r="CT31" s="505" t="n"/>
      <x:c r="CU31" s="505" t="n">
        <x:v>4701</x:v>
      </x:c>
      <x:c r="CV31" s="505" t="n">
        <x:v>0</x:v>
      </x:c>
      <x:c r="CW31" s="505" t="n">
        <x:v>4701</x:v>
      </x:c>
      <x:c r="CX31" s="505" t="n">
        <x:v>100</x:v>
      </x:c>
    </x:row>
    <x:row r="32" s="655" customFormat="1" ht="13.899999618530273" customHeight="1">
      <x:c r="A32" s="494" t="inlineStr">
        <x:is>
          <x:t xml:space="preserve">400 x 1206 cm</x:t>
        </x:is>
      </x:c>
      <x:c r="B32" s="495" t="n">
        <x:v>13577</x:v>
      </x:c>
      <x:c r="C32" s="495" t="n">
        <x:v>13170</x:v>
      </x:c>
      <x:c r="D32" s="495" t="n"/>
      <x:c r="E32" s="495" t="n">
        <x:v>21072</x:v>
      </x:c>
      <x:c r="F32" s="495" t="n">
        <x:v>5400</x:v>
      </x:c>
      <x:c r="G32" s="495" t="n">
        <x:v>2070</x:v>
      </x:c>
      <x:c r="H32" s="495" t="n">
        <x:v>10825</x:v>
      </x:c>
      <x:c r="I32" s="495" t="n">
        <x:v>41</x:v>
      </x:c>
      <x:c r="J32" s="496" t="n">
        <x:v>31122</x:v>
      </x:c>
      <x:c r="K32" s="496" t="n">
        <x:v>30189</x:v>
      </x:c>
      <x:c r="L32" s="496" t="n"/>
      <x:c r="M32" s="496" t="n">
        <x:v>49812</x:v>
      </x:c>
      <x:c r="N32" s="496" t="n">
        <x:v>7100</x:v>
      </x:c>
      <x:c r="O32" s="496" t="n">
        <x:v>2900</x:v>
      </x:c>
      <x:c r="P32" s="496" t="n">
        <x:v>22890</x:v>
      </x:c>
      <x:c r="Q32" s="496" t="n">
        <x:v>41</x:v>
      </x:c>
      <x:c r="R32" s="497" t="n">
        <x:v>9724</x:v>
      </x:c>
      <x:c r="S32" s="497" t="n">
        <x:v>9432</x:v>
      </x:c>
      <x:c r="T32" s="497" t="n"/>
      <x:c r="U32" s="497" t="n">
        <x:v>15563</x:v>
      </x:c>
      <x:c r="V32" s="497" t="n">
        <x:v>580</x:v>
      </x:c>
      <x:c r="W32" s="497" t="n">
        <x:v>5259</x:v>
      </x:c>
      <x:c r="X32" s="497" t="n">
        <x:v>34</x:v>
      </x:c>
      <x:c r="Y32" s="498" t="n">
        <x:v>2146</x:v>
      </x:c>
      <x:c r="Z32" s="498" t="n">
        <x:v>2082</x:v>
      </x:c>
      <x:c r="AA32" s="498" t="n"/>
      <x:c r="AB32" s="498" t="n">
        <x:v>3332</x:v>
      </x:c>
      <x:c r="AC32" s="498" t="n">
        <x:v>150</x:v>
      </x:c>
      <x:c r="AD32" s="498" t="n">
        <x:v>1036</x:v>
      </x:c>
      <x:c r="AE32" s="498" t="n">
        <x:v>32</x:v>
      </x:c>
      <x:c r="AF32" s="499" t="n">
        <x:v>6439</x:v>
      </x:c>
      <x:c r="AG32" s="499" t="n">
        <x:v>6246</x:v>
      </x:c>
      <x:c r="AH32" s="499" t="n"/>
      <x:c r="AI32" s="499" t="n">
        <x:v>9994</x:v>
      </x:c>
      <x:c r="AJ32" s="499" t="n">
        <x:v>450</x:v>
      </x:c>
      <x:c r="AK32" s="499" t="n">
        <x:v>3104.98</x:v>
      </x:c>
      <x:c r="AL32" s="499" t="n">
        <x:v>32</x:v>
      </x:c>
      <x:c r="AM32" s="500" t="n">
        <x:v>11366</x:v>
      </x:c>
      <x:c r="AN32" s="500" t="n">
        <x:v>11025</x:v>
      </x:c>
      <x:c r="AO32" s="500" t="n"/>
      <x:c r="AP32" s="500" t="n">
        <x:v>17640</x:v>
      </x:c>
      <x:c r="AQ32" s="500" t="n">
        <x:v>700</x:v>
      </x:c>
      <x:c r="AR32" s="500" t="n">
        <x:v>5574</x:v>
      </x:c>
      <x:c r="AS32" s="500" t="n">
        <x:v>32</x:v>
      </x:c>
      <x:c r="AT32" s="498" t="n">
        <x:v>1130</x:v>
      </x:c>
      <x:c r="AU32" s="498" t="n">
        <x:v>1097</x:v>
      </x:c>
      <x:c r="AV32" s="498" t="n"/>
      <x:c r="AW32" s="498" t="n">
        <x:v>1756</x:v>
      </x:c>
      <x:c r="AX32" s="498" t="n">
        <x:v>17319</x:v>
      </x:c>
      <x:c r="AY32" s="498" t="n">
        <x:v>0</x:v>
      </x:c>
      <x:c r="AZ32" s="498" t="n">
        <x:v>626</x:v>
      </x:c>
      <x:c r="BA32" s="498" t="n">
        <x:v>36</x:v>
      </x:c>
      <x:c r="BB32" s="501" t="n">
        <x:v>545</x:v>
      </x:c>
      <x:c r="BC32" s="501" t="n">
        <x:v>529</x:v>
      </x:c>
      <x:c r="BD32" s="501" t="n"/>
      <x:c r="BE32" s="501" t="n">
        <x:v>847</x:v>
      </x:c>
      <x:c r="BF32" s="501" t="n">
        <x:v>0</x:v>
      </x:c>
      <x:c r="BG32" s="501" t="n">
        <x:v>302</x:v>
      </x:c>
      <x:c r="BH32" s="501" t="n">
        <x:v>36</x:v>
      </x:c>
      <x:c r="BI32" s="502" t="n">
        <x:v>1951</x:v>
      </x:c>
      <x:c r="BJ32" s="502" t="n">
        <x:v>1893</x:v>
      </x:c>
      <x:c r="BK32" s="502" t="n"/>
      <x:c r="BL32" s="502" t="n">
        <x:v>3029</x:v>
      </x:c>
      <x:c r="BM32" s="502" t="n">
        <x:v>0</x:v>
      </x:c>
      <x:c r="BN32" s="502" t="n">
        <x:v>1078</x:v>
      </x:c>
      <x:c r="BO32" s="502" t="n">
        <x:v>36</x:v>
      </x:c>
      <x:c r="BP32" s="503" t="n">
        <x:v>1772</x:v>
      </x:c>
      <x:c r="BQ32" s="503" t="n">
        <x:v>1720</x:v>
      </x:c>
      <x:c r="BR32" s="503" t="n"/>
      <x:c r="BS32" s="503" t="n">
        <x:v>3784</x:v>
      </x:c>
      <x:c r="BT32" s="503" t="n">
        <x:v>640</x:v>
      </x:c>
      <x:c r="BU32" s="503" t="n">
        <x:v>1372</x:v>
      </x:c>
      <x:c r="BV32" s="503" t="n">
        <x:v>37</x:v>
      </x:c>
      <x:c r="BW32" s="499" t="n">
        <x:v>618</x:v>
      </x:c>
      <x:c r="BX32" s="499" t="n">
        <x:v>600</x:v>
      </x:c>
      <x:c r="BY32" s="499" t="n"/>
      <x:c r="BZ32" s="499" t="n">
        <x:v>960</x:v>
      </x:c>
      <x:c r="CA32" s="499" t="n">
        <x:v>0</x:v>
      </x:c>
      <x:c r="CB32" s="499" t="n">
        <x:v>342</x:v>
      </x:c>
      <x:c r="CC32" s="499" t="n">
        <x:v>36</x:v>
      </x:c>
      <x:c r="CD32" s="500" t="n">
        <x:v>561</x:v>
      </x:c>
      <x:c r="CE32" s="500" t="n">
        <x:v>545</x:v>
      </x:c>
      <x:c r="CF32" s="500" t="n"/>
      <x:c r="CG32" s="500" t="n">
        <x:v>872</x:v>
      </x:c>
      <x:c r="CH32" s="500" t="n">
        <x:v>0</x:v>
      </x:c>
      <x:c r="CI32" s="500" t="n">
        <x:v>311</x:v>
      </x:c>
      <x:c r="CJ32" s="500" t="n">
        <x:v>36</x:v>
      </x:c>
      <x:c r="CK32" s="504" t="n"/>
      <x:c r="CL32" s="504" t="n"/>
      <x:c r="CM32" s="504" t="n"/>
      <x:c r="CN32" s="504" t="n">
        <x:v>4480</x:v>
      </x:c>
      <x:c r="CO32" s="504" t="n">
        <x:v>0</x:v>
      </x:c>
      <x:c r="CP32" s="504" t="n">
        <x:v>4480</x:v>
      </x:c>
      <x:c r="CQ32" s="504" t="n">
        <x:v>100</x:v>
      </x:c>
      <x:c r="CR32" s="505" t="n"/>
      <x:c r="CS32" s="505" t="n"/>
      <x:c r="CT32" s="505" t="n"/>
      <x:c r="CU32" s="505" t="n">
        <x:v>5552</x:v>
      </x:c>
      <x:c r="CV32" s="505" t="n">
        <x:v>0</x:v>
      </x:c>
      <x:c r="CW32" s="505" t="n">
        <x:v>5552</x:v>
      </x:c>
      <x:c r="CX32" s="505" t="n">
        <x:v>100</x:v>
      </x:c>
    </x:row>
    <x:row r="33" s="655" customFormat="1" ht="13.899999618530273" customHeight="1">
      <x:c r="A33" s="494" t="inlineStr">
        <x:is>
          <x:t xml:space="preserve">450 x 306 cm</x:t>
        </x:is>
      </x:c>
      <x:c r="B33" s="495" t="n">
        <x:v>5870</x:v>
      </x:c>
      <x:c r="C33" s="495" t="n">
        <x:v>5694</x:v>
      </x:c>
      <x:c r="D33" s="495" t="n"/>
      <x:c r="E33" s="495" t="n">
        <x:v>9111</x:v>
      </x:c>
      <x:c r="F33" s="495" t="n">
        <x:v>3190</x:v>
      </x:c>
      <x:c r="G33" s="495" t="n">
        <x:v>1030</x:v>
      </x:c>
      <x:c r="H33" s="495" t="n">
        <x:v>5401</x:v>
      </x:c>
      <x:c r="I33" s="495" t="n">
        <x:v>44</x:v>
      </x:c>
      <x:c r="J33" s="496" t="n">
        <x:v>18130</x:v>
      </x:c>
      <x:c r="K33" s="496" t="n">
        <x:v>17587</x:v>
      </x:c>
      <x:c r="L33" s="496" t="n"/>
      <x:c r="M33" s="496" t="n">
        <x:v>29019</x:v>
      </x:c>
      <x:c r="N33" s="496" t="n">
        <x:v>4000</x:v>
      </x:c>
      <x:c r="O33" s="496" t="n">
        <x:v>1440</x:v>
      </x:c>
      <x:c r="P33" s="496" t="n">
        <x:v>13449</x:v>
      </x:c>
      <x:c r="Q33" s="496" t="n">
        <x:v>41</x:v>
      </x:c>
      <x:c r="R33" s="497" t="n">
        <x:v>2756</x:v>
      </x:c>
      <x:c r="S33" s="497" t="n">
        <x:v>2674</x:v>
      </x:c>
      <x:c r="T33" s="497" t="n"/>
      <x:c r="U33" s="497" t="n">
        <x:v>4413</x:v>
      </x:c>
      <x:c r="V33" s="497" t="n">
        <x:v>290</x:v>
      </x:c>
      <x:c r="W33" s="497" t="n">
        <x:v>1367</x:v>
      </x:c>
      <x:c r="X33" s="497" t="n">
        <x:v>31</x:v>
      </x:c>
      <x:c r="Y33" s="498" t="n">
        <x:v>2569</x:v>
      </x:c>
      <x:c r="Z33" s="498" t="n">
        <x:v>2493</x:v>
      </x:c>
      <x:c r="AA33" s="498" t="n"/>
      <x:c r="AB33" s="498" t="n">
        <x:v>3989</x:v>
      </x:c>
      <x:c r="AC33" s="498" t="n">
        <x:v>150</x:v>
      </x:c>
      <x:c r="AD33" s="498" t="n">
        <x:v>1270</x:v>
      </x:c>
      <x:c r="AE33" s="498" t="n">
        <x:v>32</x:v>
      </x:c>
      <x:c r="AF33" s="499" t="n">
        <x:v>1740</x:v>
      </x:c>
      <x:c r="AG33" s="499" t="n">
        <x:v>1688</x:v>
      </x:c>
      <x:c r="AH33" s="499" t="n"/>
      <x:c r="AI33" s="499" t="n">
        <x:v>2701</x:v>
      </x:c>
      <x:c r="AJ33" s="499" t="n">
        <x:v>150</x:v>
      </x:c>
      <x:c r="AK33" s="499" t="n">
        <x:v>811.16</x:v>
      </x:c>
      <x:c r="AL33" s="499" t="n">
        <x:v>31</x:v>
      </x:c>
      <x:c r="AM33" s="500" t="n">
        <x:v>3317</x:v>
      </x:c>
      <x:c r="AN33" s="500" t="n">
        <x:v>3218</x:v>
      </x:c>
      <x:c r="AO33" s="500" t="n"/>
      <x:c r="AP33" s="500" t="n">
        <x:v>5149</x:v>
      </x:c>
      <x:c r="AQ33" s="500" t="n">
        <x:v>200</x:v>
      </x:c>
      <x:c r="AR33" s="500" t="n">
        <x:v>1632</x:v>
      </x:c>
      <x:c r="AS33" s="500" t="n">
        <x:v>32</x:v>
      </x:c>
      <x:c r="AT33" s="498" t="n">
        <x:v>309</x:v>
      </x:c>
      <x:c r="AU33" s="498" t="n">
        <x:v>300</x:v>
      </x:c>
      <x:c r="AV33" s="498" t="n"/>
      <x:c r="AW33" s="498" t="n">
        <x:v>480</x:v>
      </x:c>
      <x:c r="AX33" s="498" t="n">
        <x:v>4893</x:v>
      </x:c>
      <x:c r="AY33" s="498" t="n">
        <x:v>0</x:v>
      </x:c>
      <x:c r="AZ33" s="498" t="n">
        <x:v>171</x:v>
      </x:c>
      <x:c r="BA33" s="498" t="n">
        <x:v>36</x:v>
      </x:c>
      <x:c r="BB33" s="501" t="n">
        <x:v>236</x:v>
      </x:c>
      <x:c r="BC33" s="501" t="n">
        <x:v>229</x:v>
      </x:c>
      <x:c r="BD33" s="501" t="n"/>
      <x:c r="BE33" s="501" t="n">
        <x:v>367</x:v>
      </x:c>
      <x:c r="BF33" s="501" t="n">
        <x:v>0</x:v>
      </x:c>
      <x:c r="BG33" s="501" t="n">
        <x:v>131</x:v>
      </x:c>
      <x:c r="BH33" s="501" t="n">
        <x:v>36</x:v>
      </x:c>
      <x:c r="BI33" s="502" t="n">
        <x:v>1268</x:v>
      </x:c>
      <x:c r="BJ33" s="502" t="n">
        <x:v>1231</x:v>
      </x:c>
      <x:c r="BK33" s="502" t="n"/>
      <x:c r="BL33" s="502" t="n">
        <x:v>1970</x:v>
      </x:c>
      <x:c r="BM33" s="502" t="n">
        <x:v>0</x:v>
      </x:c>
      <x:c r="BN33" s="502" t="n">
        <x:v>702</x:v>
      </x:c>
      <x:c r="BO33" s="502" t="n">
        <x:v>36</x:v>
      </x:c>
      <x:c r="BP33" s="503" t="n">
        <x:v>943</x:v>
      </x:c>
      <x:c r="BQ33" s="503" t="n">
        <x:v>915</x:v>
      </x:c>
      <x:c r="BR33" s="503" t="n"/>
      <x:c r="BS33" s="503" t="n">
        <x:v>2013</x:v>
      </x:c>
      <x:c r="BT33" s="503" t="n">
        <x:v>440</x:v>
      </x:c>
      <x:c r="BU33" s="503" t="n">
        <x:v>630</x:v>
      </x:c>
      <x:c r="BV33" s="503" t="n">
        <x:v>32</x:v>
      </x:c>
      <x:c r="BW33" s="499" t="n">
        <x:v>407</x:v>
      </x:c>
      <x:c r="BX33" s="499" t="n">
        <x:v>395</x:v>
      </x:c>
      <x:c r="BY33" s="499" t="n"/>
      <x:c r="BZ33" s="499" t="n">
        <x:v>632</x:v>
      </x:c>
      <x:c r="CA33" s="499" t="n">
        <x:v>0</x:v>
      </x:c>
      <x:c r="CB33" s="499" t="n">
        <x:v>225</x:v>
      </x:c>
      <x:c r="CC33" s="499" t="n">
        <x:v>36</x:v>
      </x:c>
      <x:c r="CD33" s="500" t="n">
        <x:v>366</x:v>
      </x:c>
      <x:c r="CE33" s="500" t="n">
        <x:v>355</x:v>
      </x:c>
      <x:c r="CF33" s="500" t="n"/>
      <x:c r="CG33" s="500" t="n">
        <x:v>568</x:v>
      </x:c>
      <x:c r="CH33" s="500" t="n">
        <x:v>0</x:v>
      </x:c>
      <x:c r="CI33" s="500" t="n">
        <x:v>202</x:v>
      </x:c>
      <x:c r="CJ33" s="500" t="n">
        <x:v>36</x:v>
      </x:c>
      <x:c r="CK33" s="504" t="n"/>
      <x:c r="CL33" s="504" t="n"/>
      <x:c r="CM33" s="504" t="n"/>
      <x:c r="CN33" s="504" t="n">
        <x:v>1115</x:v>
      </x:c>
      <x:c r="CO33" s="504" t="n">
        <x:v>0</x:v>
      </x:c>
      <x:c r="CP33" s="504" t="n">
        <x:v>1115</x:v>
      </x:c>
      <x:c r="CQ33" s="504" t="n">
        <x:v>100</x:v>
      </x:c>
      <x:c r="CR33" s="505" t="n"/>
      <x:c r="CS33" s="505" t="n"/>
      <x:c r="CT33" s="505" t="n"/>
      <x:c r="CU33" s="505" t="n">
        <x:v>1867</x:v>
      </x:c>
      <x:c r="CV33" s="505" t="n">
        <x:v>0</x:v>
      </x:c>
      <x:c r="CW33" s="505" t="n">
        <x:v>1867</x:v>
      </x:c>
      <x:c r="CX33" s="505" t="n">
        <x:v>100</x:v>
      </x:c>
    </x:row>
    <x:row r="34" s="655" customFormat="1" ht="13.899999618530273" customHeight="1">
      <x:c r="A34" s="494" t="inlineStr">
        <x:is>
          <x:t xml:space="preserve">450 x 406 cm</x:t>
        </x:is>
      </x:c>
      <x:c r="B34" s="495" t="n">
        <x:v>7382</x:v>
      </x:c>
      <x:c r="C34" s="495" t="n">
        <x:v>7161</x:v>
      </x:c>
      <x:c r="D34" s="495" t="n"/>
      <x:c r="E34" s="495" t="n">
        <x:v>11458</x:v>
      </x:c>
      <x:c r="F34" s="495" t="n">
        <x:v>3460</x:v>
      </x:c>
      <x:c r="G34" s="495" t="n">
        <x:v>1160</x:v>
      </x:c>
      <x:c r="H34" s="495" t="n">
        <x:v>6376</x:v>
      </x:c>
      <x:c r="I34" s="495" t="n">
        <x:v>43</x:v>
      </x:c>
      <x:c r="J34" s="496" t="n">
        <x:v>20366</x:v>
      </x:c>
      <x:c r="K34" s="496" t="n">
        <x:v>19755</x:v>
      </x:c>
      <x:c r="L34" s="496" t="n"/>
      <x:c r="M34" s="496" t="n">
        <x:v>32596</x:v>
      </x:c>
      <x:c r="N34" s="496" t="n">
        <x:v>4370</x:v>
      </x:c>
      <x:c r="O34" s="496" t="n">
        <x:v>1620</x:v>
      </x:c>
      <x:c r="P34" s="496" t="n">
        <x:v>14980</x:v>
      </x:c>
      <x:c r="Q34" s="496" t="n">
        <x:v>41</x:v>
      </x:c>
      <x:c r="R34" s="497" t="n">
        <x:v>3870</x:v>
      </x:c>
      <x:c r="S34" s="497" t="n">
        <x:v>3754</x:v>
      </x:c>
      <x:c r="T34" s="497" t="n"/>
      <x:c r="U34" s="497" t="n">
        <x:v>6195</x:v>
      </x:c>
      <x:c r="V34" s="497" t="n">
        <x:v>320</x:v>
      </x:c>
      <x:c r="W34" s="497" t="n">
        <x:v>2005</x:v>
      </x:c>
      <x:c r="X34" s="497" t="n">
        <x:v>33</x:v>
      </x:c>
      <x:c r="Y34" s="498" t="n">
        <x:v>2569</x:v>
      </x:c>
      <x:c r="Z34" s="498" t="n">
        <x:v>2493</x:v>
      </x:c>
      <x:c r="AA34" s="498" t="n"/>
      <x:c r="AB34" s="498" t="n">
        <x:v>3989</x:v>
      </x:c>
      <x:c r="AC34" s="498" t="n">
        <x:v>150</x:v>
      </x:c>
      <x:c r="AD34" s="498" t="n">
        <x:v>1270</x:v>
      </x:c>
      <x:c r="AE34" s="498" t="n">
        <x:v>32</x:v>
      </x:c>
      <x:c r="AF34" s="499" t="n">
        <x:v>2146</x:v>
      </x:c>
      <x:c r="AG34" s="499" t="n">
        <x:v>2082</x:v>
      </x:c>
      <x:c r="AH34" s="499" t="n"/>
      <x:c r="AI34" s="499" t="n">
        <x:v>3332</x:v>
      </x:c>
      <x:c r="AJ34" s="499" t="n">
        <x:v>150</x:v>
      </x:c>
      <x:c r="AK34" s="499" t="n">
        <x:v>1035.66</x:v>
      </x:c>
      <x:c r="AL34" s="499" t="n">
        <x:v>32</x:v>
      </x:c>
      <x:c r="AM34" s="500" t="n">
        <x:v>3797</x:v>
      </x:c>
      <x:c r="AN34" s="500" t="n">
        <x:v>3683</x:v>
      </x:c>
      <x:c r="AO34" s="500" t="n"/>
      <x:c r="AP34" s="500" t="n">
        <x:v>5893</x:v>
      </x:c>
      <x:c r="AQ34" s="500" t="n">
        <x:v>250</x:v>
      </x:c>
      <x:c r="AR34" s="500" t="n">
        <x:v>1846</x:v>
      </x:c>
      <x:c r="AS34" s="500" t="n">
        <x:v>32</x:v>
      </x:c>
      <x:c r="AT34" s="498" t="n">
        <x:v>407</x:v>
      </x:c>
      <x:c r="AU34" s="498" t="n">
        <x:v>395</x:v>
      </x:c>
      <x:c r="AV34" s="498" t="n"/>
      <x:c r="AW34" s="498" t="n">
        <x:v>632</x:v>
      </x:c>
      <x:c r="AX34" s="498" t="n">
        <x:v>6827</x:v>
      </x:c>
      <x:c r="AY34" s="498" t="n">
        <x:v>0</x:v>
      </x:c>
      <x:c r="AZ34" s="498" t="n">
        <x:v>225</x:v>
      </x:c>
      <x:c r="BA34" s="498" t="n">
        <x:v>36</x:v>
      </x:c>
      <x:c r="BB34" s="501" t="n">
        <x:v>309</x:v>
      </x:c>
      <x:c r="BC34" s="501" t="n">
        <x:v>300</x:v>
      </x:c>
      <x:c r="BD34" s="501" t="n"/>
      <x:c r="BE34" s="501" t="n">
        <x:v>480</x:v>
      </x:c>
      <x:c r="BF34" s="501" t="n">
        <x:v>0</x:v>
      </x:c>
      <x:c r="BG34" s="501" t="n">
        <x:v>171</x:v>
      </x:c>
      <x:c r="BH34" s="501" t="n">
        <x:v>36</x:v>
      </x:c>
      <x:c r="BI34" s="502" t="n">
        <x:v>1366</x:v>
      </x:c>
      <x:c r="BJ34" s="502" t="n">
        <x:v>1325</x:v>
      </x:c>
      <x:c r="BK34" s="502" t="n"/>
      <x:c r="BL34" s="502" t="n">
        <x:v>2120</x:v>
      </x:c>
      <x:c r="BM34" s="502" t="n">
        <x:v>0</x:v>
      </x:c>
      <x:c r="BN34" s="502" t="n">
        <x:v>754</x:v>
      </x:c>
      <x:c r="BO34" s="502" t="n">
        <x:v>36</x:v>
      </x:c>
      <x:c r="BP34" s="503" t="n">
        <x:v>1041</x:v>
      </x:c>
      <x:c r="BQ34" s="503" t="n">
        <x:v>1010</x:v>
      </x:c>
      <x:c r="BR34" s="503" t="n"/>
      <x:c r="BS34" s="503" t="n">
        <x:v>2222</x:v>
      </x:c>
      <x:c r="BT34" s="503" t="n">
        <x:v>490</x:v>
      </x:c>
      <x:c r="BU34" s="503" t="n">
        <x:v>691</x:v>
      </x:c>
      <x:c r="BV34" s="503" t="n">
        <x:v>32</x:v>
      </x:c>
      <x:c r="BW34" s="499" t="n">
        <x:v>431</x:v>
      </x:c>
      <x:c r="BX34" s="499" t="n">
        <x:v>418</x:v>
      </x:c>
      <x:c r="BY34" s="499" t="n"/>
      <x:c r="BZ34" s="499" t="n">
        <x:v>669</x:v>
      </x:c>
      <x:c r="CA34" s="499" t="n">
        <x:v>0</x:v>
      </x:c>
      <x:c r="CB34" s="499" t="n">
        <x:v>238</x:v>
      </x:c>
      <x:c r="CC34" s="499" t="n">
        <x:v>36</x:v>
      </x:c>
      <x:c r="CD34" s="500" t="n">
        <x:v>390</x:v>
      </x:c>
      <x:c r="CE34" s="500" t="n">
        <x:v>379</x:v>
      </x:c>
      <x:c r="CF34" s="500" t="n"/>
      <x:c r="CG34" s="500" t="n">
        <x:v>607</x:v>
      </x:c>
      <x:c r="CH34" s="500" t="n">
        <x:v>0</x:v>
      </x:c>
      <x:c r="CI34" s="500" t="n">
        <x:v>217</x:v>
      </x:c>
      <x:c r="CJ34" s="500" t="n">
        <x:v>36</x:v>
      </x:c>
      <x:c r="CK34" s="504" t="n"/>
      <x:c r="CL34" s="504" t="n"/>
      <x:c r="CM34" s="504" t="n"/>
      <x:c r="CN34" s="504" t="n">
        <x:v>1770</x:v>
      </x:c>
      <x:c r="CO34" s="504" t="n">
        <x:v>0</x:v>
      </x:c>
      <x:c r="CP34" s="504" t="n">
        <x:v>1770</x:v>
      </x:c>
      <x:c r="CQ34" s="504" t="n">
        <x:v>100</x:v>
      </x:c>
      <x:c r="CR34" s="505" t="n"/>
      <x:c r="CS34" s="505" t="n"/>
      <x:c r="CT34" s="505" t="n"/>
      <x:c r="CU34" s="505" t="n">
        <x:v>2202</x:v>
      </x:c>
      <x:c r="CV34" s="505" t="n">
        <x:v>0</x:v>
      </x:c>
      <x:c r="CW34" s="505" t="n">
        <x:v>2202</x:v>
      </x:c>
      <x:c r="CX34" s="505" t="n">
        <x:v>100</x:v>
      </x:c>
    </x:row>
    <x:row r="35" s="655" customFormat="1" ht="13.899999618530273" customHeight="1">
      <x:c r="A35" s="494" t="inlineStr">
        <x:is>
          <x:t xml:space="preserve">450 x 506 cm</x:t>
        </x:is>
      </x:c>
      <x:c r="B35" s="495" t="n">
        <x:v>9163</x:v>
      </x:c>
      <x:c r="C35" s="495" t="n">
        <x:v>8888</x:v>
      </x:c>
      <x:c r="D35" s="495" t="n"/>
      <x:c r="E35" s="495" t="n">
        <x:v>14221</x:v>
      </x:c>
      <x:c r="F35" s="495" t="n">
        <x:v>3730</x:v>
      </x:c>
      <x:c r="G35" s="495" t="n">
        <x:v>1290</x:v>
      </x:c>
      <x:c r="H35" s="495" t="n">
        <x:v>7498</x:v>
      </x:c>
      <x:c r="I35" s="495" t="n">
        <x:v>42</x:v>
      </x:c>
      <x:c r="J35" s="496" t="n">
        <x:v>23057</x:v>
      </x:c>
      <x:c r="K35" s="496" t="n">
        <x:v>22366</x:v>
      </x:c>
      <x:c r="L35" s="496" t="n"/>
      <x:c r="M35" s="496" t="n">
        <x:v>36904</x:v>
      </x:c>
      <x:c r="N35" s="496" t="n">
        <x:v>4730</x:v>
      </x:c>
      <x:c r="O35" s="496" t="n">
        <x:v>1800</x:v>
      </x:c>
      <x:c r="P35" s="496" t="n">
        <x:v>16777</x:v>
      </x:c>
      <x:c r="Q35" s="496" t="n">
        <x:v>41</x:v>
      </x:c>
      <x:c r="R35" s="497" t="n">
        <x:v>4992</x:v>
      </x:c>
      <x:c r="S35" s="497" t="n">
        <x:v>4843</x:v>
      </x:c>
      <x:c r="T35" s="497" t="n"/>
      <x:c r="U35" s="497" t="n">
        <x:v>7991</x:v>
      </x:c>
      <x:c r="V35" s="497" t="n">
        <x:v>360</x:v>
      </x:c>
      <x:c r="W35" s="497" t="n">
        <x:v>2639</x:v>
      </x:c>
      <x:c r="X35" s="497" t="n">
        <x:v>34</x:v>
      </x:c>
      <x:c r="Y35" s="498" t="n">
        <x:v>2569</x:v>
      </x:c>
      <x:c r="Z35" s="498" t="n">
        <x:v>2493</x:v>
      </x:c>
      <x:c r="AA35" s="498" t="n"/>
      <x:c r="AB35" s="498" t="n">
        <x:v>3989</x:v>
      </x:c>
      <x:c r="AC35" s="498" t="n">
        <x:v>150</x:v>
      </x:c>
      <x:c r="AD35" s="498" t="n">
        <x:v>1270</x:v>
      </x:c>
      <x:c r="AE35" s="498" t="n">
        <x:v>32</x:v>
      </x:c>
      <x:c r="AF35" s="499" t="n">
        <x:v>3008</x:v>
      </x:c>
      <x:c r="AG35" s="499" t="n">
        <x:v>2918</x:v>
      </x:c>
      <x:c r="AH35" s="499" t="n"/>
      <x:c r="AI35" s="499" t="n">
        <x:v>4669</x:v>
      </x:c>
      <x:c r="AJ35" s="499" t="n">
        <x:v>300</x:v>
      </x:c>
      <x:c r="AK35" s="499" t="n">
        <x:v>1360.87</x:v>
      </x:c>
      <x:c r="AL35" s="499" t="n">
        <x:v>30</x:v>
      </x:c>
      <x:c r="AM35" s="500" t="n">
        <x:v>4407</x:v>
      </x:c>
      <x:c r="AN35" s="500" t="n">
        <x:v>4275</x:v>
      </x:c>
      <x:c r="AO35" s="500" t="n"/>
      <x:c r="AP35" s="500" t="n">
        <x:v>6840</x:v>
      </x:c>
      <x:c r="AQ35" s="500" t="n">
        <x:v>300</x:v>
      </x:c>
      <x:c r="AR35" s="500" t="n">
        <x:v>2133</x:v>
      </x:c>
      <x:c r="AS35" s="500" t="n">
        <x:v>32</x:v>
      </x:c>
      <x:c r="AT35" s="498" t="n">
        <x:v>512</x:v>
      </x:c>
      <x:c r="AU35" s="498" t="n">
        <x:v>497</x:v>
      </x:c>
      <x:c r="AV35" s="498" t="n"/>
      <x:c r="AW35" s="498" t="n">
        <x:v>796</x:v>
      </x:c>
      <x:c r="AX35" s="498" t="n">
        <x:v>8787</x:v>
      </x:c>
      <x:c r="AY35" s="498" t="n">
        <x:v>0</x:v>
      </x:c>
      <x:c r="AZ35" s="498" t="n">
        <x:v>284</x:v>
      </x:c>
      <x:c r="BA35" s="498" t="n">
        <x:v>36</x:v>
      </x:c>
      <x:c r="BB35" s="501" t="n">
        <x:v>390</x:v>
      </x:c>
      <x:c r="BC35" s="501" t="n">
        <x:v>379</x:v>
      </x:c>
      <x:c r="BD35" s="501" t="n"/>
      <x:c r="BE35" s="501" t="n">
        <x:v>607</x:v>
      </x:c>
      <x:c r="BF35" s="501" t="n">
        <x:v>0</x:v>
      </x:c>
      <x:c r="BG35" s="501" t="n">
        <x:v>217</x:v>
      </x:c>
      <x:c r="BH35" s="501" t="n">
        <x:v>36</x:v>
      </x:c>
      <x:c r="BI35" s="502" t="n">
        <x:v>1463</x:v>
      </x:c>
      <x:c r="BJ35" s="502" t="n">
        <x:v>1420</x:v>
      </x:c>
      <x:c r="BK35" s="502" t="n"/>
      <x:c r="BL35" s="502" t="n">
        <x:v>2272</x:v>
      </x:c>
      <x:c r="BM35" s="502" t="n">
        <x:v>0</x:v>
      </x:c>
      <x:c r="BN35" s="502" t="n">
        <x:v>809</x:v>
      </x:c>
      <x:c r="BO35" s="502" t="n">
        <x:v>36</x:v>
      </x:c>
      <x:c r="BP35" s="503" t="n">
        <x:v>1146</x:v>
      </x:c>
      <x:c r="BQ35" s="503" t="n">
        <x:v>1112</x:v>
      </x:c>
      <x:c r="BR35" s="503" t="n"/>
      <x:c r="BS35" s="503" t="n">
        <x:v>2447</x:v>
      </x:c>
      <x:c r="BT35" s="503" t="n">
        <x:v>540</x:v>
      </x:c>
      <x:c r="BU35" s="503" t="n">
        <x:v>761</x:v>
      </x:c>
      <x:c r="BV35" s="503" t="n">
        <x:v>32</x:v>
      </x:c>
      <x:c r="BW35" s="499" t="n">
        <x:v>463</x:v>
      </x:c>
      <x:c r="BX35" s="499" t="n">
        <x:v>450</x:v>
      </x:c>
      <x:c r="BY35" s="499" t="n"/>
      <x:c r="BZ35" s="499" t="n">
        <x:v>720</x:v>
      </x:c>
      <x:c r="CA35" s="499" t="n">
        <x:v>0</x:v>
      </x:c>
      <x:c r="CB35" s="499" t="n">
        <x:v>257</x:v>
      </x:c>
      <x:c r="CC35" s="499" t="n">
        <x:v>36</x:v>
      </x:c>
      <x:c r="CD35" s="500" t="n">
        <x:v>423</x:v>
      </x:c>
      <x:c r="CE35" s="500" t="n">
        <x:v>411</x:v>
      </x:c>
      <x:c r="CF35" s="500" t="n"/>
      <x:c r="CG35" s="500" t="n">
        <x:v>658</x:v>
      </x:c>
      <x:c r="CH35" s="500" t="n">
        <x:v>0</x:v>
      </x:c>
      <x:c r="CI35" s="500" t="n">
        <x:v>235</x:v>
      </x:c>
      <x:c r="CJ35" s="500" t="n">
        <x:v>36</x:v>
      </x:c>
      <x:c r="CK35" s="504" t="n"/>
      <x:c r="CL35" s="504" t="n"/>
      <x:c r="CM35" s="504" t="n"/>
      <x:c r="CN35" s="504" t="n">
        <x:v>2160</x:v>
      </x:c>
      <x:c r="CO35" s="504" t="n">
        <x:v>0</x:v>
      </x:c>
      <x:c r="CP35" s="504" t="n">
        <x:v>2160</x:v>
      </x:c>
      <x:c r="CQ35" s="504" t="n">
        <x:v>100</x:v>
      </x:c>
      <x:c r="CR35" s="505" t="n"/>
      <x:c r="CS35" s="505" t="n"/>
      <x:c r="CT35" s="505" t="n"/>
      <x:c r="CU35" s="505" t="n">
        <x:v>2536</x:v>
      </x:c>
      <x:c r="CV35" s="505" t="n">
        <x:v>0</x:v>
      </x:c>
      <x:c r="CW35" s="505" t="n">
        <x:v>2536</x:v>
      </x:c>
      <x:c r="CX35" s="505" t="n">
        <x:v>100</x:v>
      </x:c>
    </x:row>
    <x:row r="36" s="655" customFormat="1" ht="13.899999618530273" customHeight="1">
      <x:c r="A36" s="494" t="inlineStr">
        <x:is>
          <x:t xml:space="preserve">450 x 606 cm</x:t>
        </x:is>
      </x:c>
      <x:c r="B36" s="495" t="n">
        <x:v>10683</x:v>
      </x:c>
      <x:c r="C36" s="495" t="n">
        <x:v>10363</x:v>
      </x:c>
      <x:c r="D36" s="495" t="n"/>
      <x:c r="E36" s="495" t="n">
        <x:v>16581</x:v>
      </x:c>
      <x:c r="F36" s="495" t="n">
        <x:v>4000</x:v>
      </x:c>
      <x:c r="G36" s="495" t="n">
        <x:v>1410</x:v>
      </x:c>
      <x:c r="H36" s="495" t="n">
        <x:v>8488</x:v>
      </x:c>
      <x:c r="I36" s="495" t="n">
        <x:v>42</x:v>
      </x:c>
      <x:c r="J36" s="496" t="n">
        <x:v>25528</x:v>
      </x:c>
      <x:c r="K36" s="496" t="n">
        <x:v>24763</x:v>
      </x:c>
      <x:c r="L36" s="496" t="n"/>
      <x:c r="M36" s="496" t="n">
        <x:v>40859</x:v>
      </x:c>
      <x:c r="N36" s="496" t="n">
        <x:v>5100</x:v>
      </x:c>
      <x:c r="O36" s="496" t="n">
        <x:v>1980</x:v>
      </x:c>
      <x:c r="P36" s="496" t="n">
        <x:v>18451</x:v>
      </x:c>
      <x:c r="Q36" s="496" t="n">
        <x:v>41</x:v>
      </x:c>
      <x:c r="R36" s="497" t="n">
        <x:v>6130</x:v>
      </x:c>
      <x:c r="S36" s="497" t="n">
        <x:v>5947</x:v>
      </x:c>
      <x:c r="T36" s="497" t="n"/>
      <x:c r="U36" s="497" t="n">
        <x:v>9813</x:v>
      </x:c>
      <x:c r="V36" s="497" t="n">
        <x:v>400</x:v>
      </x:c>
      <x:c r="W36" s="497" t="n">
        <x:v>3283</x:v>
      </x:c>
      <x:c r="X36" s="497" t="n">
        <x:v>34</x:v>
      </x:c>
      <x:c r="Y36" s="498" t="n">
        <x:v>2569</x:v>
      </x:c>
      <x:c r="Z36" s="498" t="n">
        <x:v>2493</x:v>
      </x:c>
      <x:c r="AA36" s="498" t="n"/>
      <x:c r="AB36" s="498" t="n">
        <x:v>3989</x:v>
      </x:c>
      <x:c r="AC36" s="498" t="n">
        <x:v>150</x:v>
      </x:c>
      <x:c r="AD36" s="498" t="n">
        <x:v>1270</x:v>
      </x:c>
      <x:c r="AE36" s="498" t="n">
        <x:v>32</x:v>
      </x:c>
      <x:c r="AF36" s="499" t="n">
        <x:v>3472</x:v>
      </x:c>
      <x:c r="AG36" s="499" t="n">
        <x:v>3368</x:v>
      </x:c>
      <x:c r="AH36" s="499" t="n"/>
      <x:c r="AI36" s="499" t="n">
        <x:v>5389</x:v>
      </x:c>
      <x:c r="AJ36" s="499" t="n">
        <x:v>300</x:v>
      </x:c>
      <x:c r="AK36" s="499" t="n">
        <x:v>1617.46</x:v>
      </x:c>
      <x:c r="AL36" s="499" t="n">
        <x:v>31</x:v>
      </x:c>
      <x:c r="AM36" s="500" t="n">
        <x:v>6634</x:v>
      </x:c>
      <x:c r="AN36" s="500" t="n">
        <x:v>6436</x:v>
      </x:c>
      <x:c r="AO36" s="500" t="n"/>
      <x:c r="AP36" s="500" t="n">
        <x:v>10298</x:v>
      </x:c>
      <x:c r="AQ36" s="500" t="n">
        <x:v>350</x:v>
      </x:c>
      <x:c r="AR36" s="500" t="n">
        <x:v>3314</x:v>
      </x:c>
      <x:c r="AS36" s="500" t="n">
        <x:v>33</x:v>
      </x:c>
      <x:c r="AT36" s="498" t="n">
        <x:v>618</x:v>
      </x:c>
      <x:c r="AU36" s="498" t="n">
        <x:v>600</x:v>
      </x:c>
      <x:c r="AV36" s="498" t="n"/>
      <x:c r="AW36" s="498" t="n">
        <x:v>960</x:v>
      </x:c>
      <x:c r="AX36" s="498" t="n">
        <x:v>10773</x:v>
      </x:c>
      <x:c r="AY36" s="498" t="n">
        <x:v>0</x:v>
      </x:c>
      <x:c r="AZ36" s="498" t="n">
        <x:v>342</x:v>
      </x:c>
      <x:c r="BA36" s="498" t="n">
        <x:v>36</x:v>
      </x:c>
      <x:c r="BB36" s="501" t="n">
        <x:v>472</x:v>
      </x:c>
      <x:c r="BC36" s="501" t="n">
        <x:v>458</x:v>
      </x:c>
      <x:c r="BD36" s="501" t="n"/>
      <x:c r="BE36" s="501" t="n">
        <x:v>733</x:v>
      </x:c>
      <x:c r="BF36" s="501" t="n">
        <x:v>0</x:v>
      </x:c>
      <x:c r="BG36" s="501" t="n">
        <x:v>261</x:v>
      </x:c>
      <x:c r="BH36" s="501" t="n">
        <x:v>36</x:v>
      </x:c>
      <x:c r="BI36" s="502" t="n">
        <x:v>1561</x:v>
      </x:c>
      <x:c r="BJ36" s="502" t="n">
        <x:v>1515</x:v>
      </x:c>
      <x:c r="BK36" s="502" t="n"/>
      <x:c r="BL36" s="502" t="n">
        <x:v>2424</x:v>
      </x:c>
      <x:c r="BM36" s="502" t="n">
        <x:v>0</x:v>
      </x:c>
      <x:c r="BN36" s="502" t="n">
        <x:v>863</x:v>
      </x:c>
      <x:c r="BO36" s="502" t="n">
        <x:v>36</x:v>
      </x:c>
      <x:c r="BP36" s="503" t="n">
        <x:v>1382</x:v>
      </x:c>
      <x:c r="BQ36" s="503" t="n">
        <x:v>1341</x:v>
      </x:c>
      <x:c r="BR36" s="503" t="n"/>
      <x:c r="BS36" s="503" t="n">
        <x:v>2951</x:v>
      </x:c>
      <x:c r="BT36" s="503" t="n">
        <x:v>640</x:v>
      </x:c>
      <x:c r="BU36" s="503" t="n">
        <x:v>929</x:v>
      </x:c>
      <x:c r="BV36" s="503" t="n">
        <x:v>32</x:v>
      </x:c>
      <x:c r="BW36" s="499" t="n">
        <x:v>496</x:v>
      </x:c>
      <x:c r="BX36" s="499" t="n">
        <x:v>482</x:v>
      </x:c>
      <x:c r="BY36" s="499" t="n"/>
      <x:c r="BZ36" s="499" t="n">
        <x:v>772</x:v>
      </x:c>
      <x:c r="CA36" s="499" t="n">
        <x:v>0</x:v>
      </x:c>
      <x:c r="CB36" s="499" t="n">
        <x:v>276</x:v>
      </x:c>
      <x:c r="CC36" s="499" t="n">
        <x:v>36</x:v>
      </x:c>
      <x:c r="CD36" s="500" t="n">
        <x:v>447</x:v>
      </x:c>
      <x:c r="CE36" s="500" t="n">
        <x:v>434</x:v>
      </x:c>
      <x:c r="CF36" s="500" t="n"/>
      <x:c r="CG36" s="500" t="n">
        <x:v>695</x:v>
      </x:c>
      <x:c r="CH36" s="500" t="n">
        <x:v>0</x:v>
      </x:c>
      <x:c r="CI36" s="500" t="n">
        <x:v>248</x:v>
      </x:c>
      <x:c r="CJ36" s="500" t="n">
        <x:v>36</x:v>
      </x:c>
      <x:c r="CK36" s="504" t="n"/>
      <x:c r="CL36" s="504" t="n"/>
      <x:c r="CM36" s="504" t="n"/>
      <x:c r="CN36" s="504" t="n">
        <x:v>2610</x:v>
      </x:c>
      <x:c r="CO36" s="504" t="n">
        <x:v>0</x:v>
      </x:c>
      <x:c r="CP36" s="504" t="n">
        <x:v>2610</x:v>
      </x:c>
      <x:c r="CQ36" s="504" t="n">
        <x:v>100</x:v>
      </x:c>
      <x:c r="CR36" s="505" t="n"/>
      <x:c r="CS36" s="505" t="n"/>
      <x:c r="CT36" s="505" t="n"/>
      <x:c r="CU36" s="505" t="n">
        <x:v>3410</x:v>
      </x:c>
      <x:c r="CV36" s="505" t="n">
        <x:v>0</x:v>
      </x:c>
      <x:c r="CW36" s="505" t="n">
        <x:v>3410</x:v>
      </x:c>
      <x:c r="CX36" s="505" t="n">
        <x:v>100</x:v>
      </x:c>
    </x:row>
    <x:row r="37" s="655" customFormat="1" ht="13.899999618530273" customHeight="1">
      <x:c r="A37" s="494" t="inlineStr">
        <x:is>
          <x:t xml:space="preserve">450 x 706 cm</x:t>
        </x:is>
      </x:c>
      <x:c r="B37" s="495" t="n">
        <x:v>13138</x:v>
      </x:c>
      <x:c r="C37" s="495" t="n">
        <x:v>12745</x:v>
      </x:c>
      <x:c r="D37" s="495" t="n"/>
      <x:c r="E37" s="495" t="n">
        <x:v>20392</x:v>
      </x:c>
      <x:c r="F37" s="495" t="n">
        <x:v>4280</x:v>
      </x:c>
      <x:c r="G37" s="495" t="n">
        <x:v>1540</x:v>
      </x:c>
      <x:c r="H37" s="495" t="n">
        <x:v>9994</x:v>
      </x:c>
      <x:c r="I37" s="495" t="n">
        <x:v>41</x:v>
      </x:c>
      <x:c r="J37" s="496" t="n">
        <x:v>27992</x:v>
      </x:c>
      <x:c r="K37" s="496" t="n">
        <x:v>27153</x:v>
      </x:c>
      <x:c r="L37" s="496" t="n"/>
      <x:c r="M37" s="496" t="n">
        <x:v>44803</x:v>
      </x:c>
      <x:c r="N37" s="496" t="n">
        <x:v>5460</x:v>
      </x:c>
      <x:c r="O37" s="496" t="n">
        <x:v>2160</x:v>
      </x:c>
      <x:c r="P37" s="496" t="n">
        <x:v>20111</x:v>
      </x:c>
      <x:c r="Q37" s="496" t="n">
        <x:v>41</x:v>
      </x:c>
      <x:c r="R37" s="497" t="n">
        <x:v>7260</x:v>
      </x:c>
      <x:c r="S37" s="497" t="n">
        <x:v>7043</x:v>
      </x:c>
      <x:c r="T37" s="497" t="n"/>
      <x:c r="U37" s="497" t="n">
        <x:v>11621</x:v>
      </x:c>
      <x:c r="V37" s="497" t="n">
        <x:v>430</x:v>
      </x:c>
      <x:c r="W37" s="497" t="n">
        <x:v>3931</x:v>
      </x:c>
      <x:c r="X37" s="497" t="n">
        <x:v>34</x:v>
      </x:c>
      <x:c r="Y37" s="498" t="n">
        <x:v>2569</x:v>
      </x:c>
      <x:c r="Z37" s="498" t="n">
        <x:v>2493</x:v>
      </x:c>
      <x:c r="AA37" s="498" t="n"/>
      <x:c r="AB37" s="498" t="n">
        <x:v>3989</x:v>
      </x:c>
      <x:c r="AC37" s="498" t="n">
        <x:v>150</x:v>
      </x:c>
      <x:c r="AD37" s="498" t="n">
        <x:v>1270</x:v>
      </x:c>
      <x:c r="AE37" s="498" t="n">
        <x:v>32</x:v>
      </x:c>
      <x:c r="AF37" s="499" t="n">
        <x:v>3886</x:v>
      </x:c>
      <x:c r="AG37" s="499" t="n">
        <x:v>3770</x:v>
      </x:c>
      <x:c r="AH37" s="499" t="n"/>
      <x:c r="AI37" s="499" t="n">
        <x:v>6032</x:v>
      </x:c>
      <x:c r="AJ37" s="499" t="n">
        <x:v>300</x:v>
      </x:c>
      <x:c r="AK37" s="499" t="n">
        <x:v>1845.82</x:v>
      </x:c>
      <x:c r="AL37" s="499" t="n">
        <x:v>31</x:v>
      </x:c>
      <x:c r="AM37" s="500" t="n">
        <x:v>7114</x:v>
      </x:c>
      <x:c r="AN37" s="500" t="n">
        <x:v>6901</x:v>
      </x:c>
      <x:c r="AO37" s="500" t="n"/>
      <x:c r="AP37" s="500" t="n">
        <x:v>11042</x:v>
      </x:c>
      <x:c r="AQ37" s="500" t="n">
        <x:v>450</x:v>
      </x:c>
      <x:c r="AR37" s="500" t="n">
        <x:v>3478</x:v>
      </x:c>
      <x:c r="AS37" s="500" t="n">
        <x:v>32</x:v>
      </x:c>
      <x:c r="AT37" s="498" t="n">
        <x:v>715</x:v>
      </x:c>
      <x:c r="AU37" s="498" t="n">
        <x:v>694</x:v>
      </x:c>
      <x:c r="AV37" s="498" t="n"/>
      <x:c r="AW37" s="498" t="n">
        <x:v>1111</x:v>
      </x:c>
      <x:c r="AX37" s="498" t="n">
        <x:v>12732</x:v>
      </x:c>
      <x:c r="AY37" s="498" t="n">
        <x:v>0</x:v>
      </x:c>
      <x:c r="AZ37" s="498" t="n">
        <x:v>396</x:v>
      </x:c>
      <x:c r="BA37" s="498" t="n">
        <x:v>36</x:v>
      </x:c>
      <x:c r="BB37" s="501" t="n">
        <x:v>545</x:v>
      </x:c>
      <x:c r="BC37" s="501" t="n">
        <x:v>529</x:v>
      </x:c>
      <x:c r="BD37" s="501" t="n"/>
      <x:c r="BE37" s="501" t="n">
        <x:v>847</x:v>
      </x:c>
      <x:c r="BF37" s="501" t="n">
        <x:v>0</x:v>
      </x:c>
      <x:c r="BG37" s="501" t="n">
        <x:v>302</x:v>
      </x:c>
      <x:c r="BH37" s="501" t="n">
        <x:v>36</x:v>
      </x:c>
      <x:c r="BI37" s="502" t="n">
        <x:v>1659</x:v>
      </x:c>
      <x:c r="BJ37" s="502" t="n">
        <x:v>1609</x:v>
      </x:c>
      <x:c r="BK37" s="502" t="n"/>
      <x:c r="BL37" s="502" t="n">
        <x:v>2575</x:v>
      </x:c>
      <x:c r="BM37" s="502" t="n">
        <x:v>0</x:v>
      </x:c>
      <x:c r="BN37" s="502" t="n">
        <x:v>916</x:v>
      </x:c>
      <x:c r="BO37" s="502" t="n">
        <x:v>36</x:v>
      </x:c>
      <x:c r="BP37" s="503" t="n">
        <x:v>1220</x:v>
      </x:c>
      <x:c r="BQ37" s="503" t="n">
        <x:v>1183</x:v>
      </x:c>
      <x:c r="BR37" s="503" t="n"/>
      <x:c r="BS37" s="503" t="n">
        <x:v>2603</x:v>
      </x:c>
      <x:c r="BT37" s="503" t="n">
        <x:v>570</x:v>
      </x:c>
      <x:c r="BU37" s="503" t="n">
        <x:v>813</x:v>
      </x:c>
      <x:c r="BV37" s="503" t="n">
        <x:v>32</x:v>
      </x:c>
      <x:c r="BW37" s="499" t="n">
        <x:v>528</x:v>
      </x:c>
      <x:c r="BX37" s="499" t="n">
        <x:v>513</x:v>
      </x:c>
      <x:c r="BY37" s="499" t="n"/>
      <x:c r="BZ37" s="499" t="n">
        <x:v>821</x:v>
      </x:c>
      <x:c r="CA37" s="499" t="n">
        <x:v>0</x:v>
      </x:c>
      <x:c r="CB37" s="499" t="n">
        <x:v>293</x:v>
      </x:c>
      <x:c r="CC37" s="499" t="n">
        <x:v>36</x:v>
      </x:c>
      <x:c r="CD37" s="500" t="n">
        <x:v>480</x:v>
      </x:c>
      <x:c r="CE37" s="500" t="n">
        <x:v>466</x:v>
      </x:c>
      <x:c r="CF37" s="500" t="n"/>
      <x:c r="CG37" s="500" t="n">
        <x:v>746</x:v>
      </x:c>
      <x:c r="CH37" s="500" t="n">
        <x:v>0</x:v>
      </x:c>
      <x:c r="CI37" s="500" t="n">
        <x:v>266</x:v>
      </x:c>
      <x:c r="CJ37" s="500" t="n">
        <x:v>36</x:v>
      </x:c>
      <x:c r="CK37" s="504" t="n"/>
      <x:c r="CL37" s="504" t="n"/>
      <x:c r="CM37" s="504" t="n"/>
      <x:c r="CN37" s="504" t="n">
        <x:v>3265</x:v>
      </x:c>
      <x:c r="CO37" s="504" t="n">
        <x:v>0</x:v>
      </x:c>
      <x:c r="CP37" s="504" t="n">
        <x:v>3265</x:v>
      </x:c>
      <x:c r="CQ37" s="504" t="n">
        <x:v>100</x:v>
      </x:c>
      <x:c r="CR37" s="505" t="n"/>
      <x:c r="CS37" s="505" t="n"/>
      <x:c r="CT37" s="505" t="n"/>
      <x:c r="CU37" s="505" t="n">
        <x:v>3744</x:v>
      </x:c>
      <x:c r="CV37" s="505" t="n">
        <x:v>0</x:v>
      </x:c>
      <x:c r="CW37" s="505" t="n">
        <x:v>3744</x:v>
      </x:c>
      <x:c r="CX37" s="505" t="n">
        <x:v>100</x:v>
      </x:c>
    </x:row>
    <x:row r="38" s="655" customFormat="1" ht="13.899999618530273" customHeight="1">
      <x:c r="A38" s="494" t="inlineStr">
        <x:is>
          <x:t xml:space="preserve">450 x 806 cm</x:t>
        </x:is>
      </x:c>
      <x:c r="B38" s="495" t="n">
        <x:v>14659</x:v>
      </x:c>
      <x:c r="C38" s="495" t="n">
        <x:v>14219</x:v>
      </x:c>
      <x:c r="D38" s="495" t="n"/>
      <x:c r="E38" s="495" t="n">
        <x:v>22751</x:v>
      </x:c>
      <x:c r="F38" s="495" t="n">
        <x:v>4550</x:v>
      </x:c>
      <x:c r="G38" s="495" t="n">
        <x:v>1670</x:v>
      </x:c>
      <x:c r="H38" s="495" t="n">
        <x:v>10972</x:v>
      </x:c>
      <x:c r="I38" s="495" t="n">
        <x:v>41</x:v>
      </x:c>
      <x:c r="J38" s="496" t="n">
        <x:v>30220</x:v>
      </x:c>
      <x:c r="K38" s="496" t="n">
        <x:v>29313</x:v>
      </x:c>
      <x:c r="L38" s="496" t="n"/>
      <x:c r="M38" s="496" t="n">
        <x:v>48367</x:v>
      </x:c>
      <x:c r="N38" s="496" t="n">
        <x:v>5820</x:v>
      </x:c>
      <x:c r="O38" s="496" t="n">
        <x:v>2340</x:v>
      </x:c>
      <x:c r="P38" s="496" t="n">
        <x:v>21627</x:v>
      </x:c>
      <x:c r="Q38" s="496" t="n">
        <x:v>40</x:v>
      </x:c>
      <x:c r="R38" s="497" t="n">
        <x:v>8390</x:v>
      </x:c>
      <x:c r="S38" s="497" t="n">
        <x:v>8139</x:v>
      </x:c>
      <x:c r="T38" s="497" t="n"/>
      <x:c r="U38" s="497" t="n">
        <x:v>13430</x:v>
      </x:c>
      <x:c r="V38" s="497" t="n">
        <x:v>470</x:v>
      </x:c>
      <x:c r="W38" s="497" t="n">
        <x:v>4570</x:v>
      </x:c>
      <x:c r="X38" s="497" t="n">
        <x:v>35</x:v>
      </x:c>
      <x:c r="Y38" s="498" t="n">
        <x:v>2569</x:v>
      </x:c>
      <x:c r="Z38" s="498" t="n">
        <x:v>2493</x:v>
      </x:c>
      <x:c r="AA38" s="498" t="n"/>
      <x:c r="AB38" s="498" t="n">
        <x:v>3989</x:v>
      </x:c>
      <x:c r="AC38" s="498" t="n">
        <x:v>150</x:v>
      </x:c>
      <x:c r="AD38" s="498" t="n">
        <x:v>1270</x:v>
      </x:c>
      <x:c r="AE38" s="498" t="n">
        <x:v>32</x:v>
      </x:c>
      <x:c r="AF38" s="499" t="n">
        <x:v>4293</x:v>
      </x:c>
      <x:c r="AG38" s="499" t="n">
        <x:v>4164</x:v>
      </x:c>
      <x:c r="AH38" s="499" t="n"/>
      <x:c r="AI38" s="499" t="n">
        <x:v>6663</x:v>
      </x:c>
      <x:c r="AJ38" s="499" t="n">
        <x:v>300</x:v>
      </x:c>
      <x:c r="AK38" s="499" t="n">
        <x:v>2070.32</x:v>
      </x:c>
      <x:c r="AL38" s="499" t="n">
        <x:v>32</x:v>
      </x:c>
      <x:c r="AM38" s="500" t="n">
        <x:v>7593</x:v>
      </x:c>
      <x:c r="AN38" s="500" t="n">
        <x:v>7366</x:v>
      </x:c>
      <x:c r="AO38" s="500" t="n"/>
      <x:c r="AP38" s="500" t="n">
        <x:v>11786</x:v>
      </x:c>
      <x:c r="AQ38" s="500" t="n">
        <x:v>500</x:v>
      </x:c>
      <x:c r="AR38" s="500" t="n">
        <x:v>3693</x:v>
      </x:c>
      <x:c r="AS38" s="500" t="n">
        <x:v>32</x:v>
      </x:c>
      <x:c r="AT38" s="498" t="n">
        <x:v>821</x:v>
      </x:c>
      <x:c r="AU38" s="498" t="n">
        <x:v>797</x:v>
      </x:c>
      <x:c r="AV38" s="498" t="n"/>
      <x:c r="AW38" s="498" t="n">
        <x:v>1276</x:v>
      </x:c>
      <x:c r="AX38" s="498" t="n">
        <x:v>14706</x:v>
      </x:c>
      <x:c r="AY38" s="498" t="n">
        <x:v>0</x:v>
      </x:c>
      <x:c r="AZ38" s="498" t="n">
        <x:v>455</x:v>
      </x:c>
      <x:c r="BA38" s="498" t="n">
        <x:v>36</x:v>
      </x:c>
      <x:c r="BB38" s="501" t="n">
        <x:v>626</x:v>
      </x:c>
      <x:c r="BC38" s="501" t="n">
        <x:v>608</x:v>
      </x:c>
      <x:c r="BD38" s="501" t="n"/>
      <x:c r="BE38" s="501" t="n">
        <x:v>973</x:v>
      </x:c>
      <x:c r="BF38" s="501" t="n">
        <x:v>0</x:v>
      </x:c>
      <x:c r="BG38" s="501" t="n">
        <x:v>347</x:v>
      </x:c>
      <x:c r="BH38" s="501" t="n">
        <x:v>36</x:v>
      </x:c>
      <x:c r="BI38" s="502" t="n">
        <x:v>1756</x:v>
      </x:c>
      <x:c r="BJ38" s="502" t="n">
        <x:v>1704</x:v>
      </x:c>
      <x:c r="BK38" s="502" t="n"/>
      <x:c r="BL38" s="502" t="n">
        <x:v>2727</x:v>
      </x:c>
      <x:c r="BM38" s="502" t="n">
        <x:v>0</x:v>
      </x:c>
      <x:c r="BN38" s="502" t="n">
        <x:v>971</x:v>
      </x:c>
      <x:c r="BO38" s="502" t="n">
        <x:v>36</x:v>
      </x:c>
      <x:c r="BP38" s="503" t="n">
        <x:v>1309</x:v>
      </x:c>
      <x:c r="BQ38" s="503" t="n">
        <x:v>1270</x:v>
      </x:c>
      <x:c r="BR38" s="503" t="n"/>
      <x:c r="BS38" s="503" t="n">
        <x:v>2794</x:v>
      </x:c>
      <x:c r="BT38" s="503" t="n">
        <x:v>610</x:v>
      </x:c>
      <x:c r="BU38" s="503" t="n">
        <x:v>875</x:v>
      </x:c>
      <x:c r="BV38" s="503" t="n">
        <x:v>32</x:v>
      </x:c>
      <x:c r="BW38" s="499" t="n">
        <x:v>561</x:v>
      </x:c>
      <x:c r="BX38" s="499" t="n">
        <x:v>545</x:v>
      </x:c>
      <x:c r="BY38" s="499" t="n"/>
      <x:c r="BZ38" s="499" t="n">
        <x:v>872</x:v>
      </x:c>
      <x:c r="CA38" s="499" t="n">
        <x:v>0</x:v>
      </x:c>
      <x:c r="CB38" s="499" t="n">
        <x:v>311</x:v>
      </x:c>
      <x:c r="CC38" s="499" t="n">
        <x:v>36</x:v>
      </x:c>
      <x:c r="CD38" s="500" t="n">
        <x:v>504</x:v>
      </x:c>
      <x:c r="CE38" s="500" t="n">
        <x:v>489</x:v>
      </x:c>
      <x:c r="CF38" s="500" t="n"/>
      <x:c r="CG38" s="500" t="n">
        <x:v>783</x:v>
      </x:c>
      <x:c r="CH38" s="500" t="n">
        <x:v>0</x:v>
      </x:c>
      <x:c r="CI38" s="500" t="n">
        <x:v>279</x:v>
      </x:c>
      <x:c r="CJ38" s="500" t="n">
        <x:v>36</x:v>
      </x:c>
      <x:c r="CK38" s="504" t="n"/>
      <x:c r="CL38" s="504" t="n"/>
      <x:c r="CM38" s="504" t="n"/>
      <x:c r="CN38" s="504" t="n">
        <x:v>3655</x:v>
      </x:c>
      <x:c r="CO38" s="504" t="n">
        <x:v>0</x:v>
      </x:c>
      <x:c r="CP38" s="504" t="n">
        <x:v>3655</x:v>
      </x:c>
      <x:c r="CQ38" s="504" t="n">
        <x:v>100</x:v>
      </x:c>
      <x:c r="CR38" s="505" t="n"/>
      <x:c r="CS38" s="505" t="n"/>
      <x:c r="CT38" s="505" t="n"/>
      <x:c r="CU38" s="505" t="n">
        <x:v>4079</x:v>
      </x:c>
      <x:c r="CV38" s="505" t="n">
        <x:v>0</x:v>
      </x:c>
      <x:c r="CW38" s="505" t="n">
        <x:v>4079</x:v>
      </x:c>
      <x:c r="CX38" s="505" t="n">
        <x:v>100</x:v>
      </x:c>
    </x:row>
    <x:row r="39" s="655" customFormat="1" ht="13.899999618530273" customHeight="1">
      <x:c r="A39" s="494" t="inlineStr">
        <x:is>
          <x:t xml:space="preserve">450 x 906 cm</x:t>
        </x:is>
      </x:c>
      <x:c r="B39" s="495" t="n">
        <x:v>16577</x:v>
      </x:c>
      <x:c r="C39" s="495" t="n">
        <x:v>16080</x:v>
      </x:c>
      <x:c r="D39" s="495" t="n"/>
      <x:c r="E39" s="495" t="n">
        <x:v>25728</x:v>
      </x:c>
      <x:c r="F39" s="495" t="n">
        <x:v>4820</x:v>
      </x:c>
      <x:c r="G39" s="495" t="n">
        <x:v>1800</x:v>
      </x:c>
      <x:c r="H39" s="495" t="n">
        <x:v>12171</x:v>
      </x:c>
      <x:c r="I39" s="495" t="n">
        <x:v>40</x:v>
      </x:c>
      <x:c r="J39" s="496" t="n">
        <x:v>33041</x:v>
      </x:c>
      <x:c r="K39" s="496" t="n">
        <x:v>32050</x:v>
      </x:c>
      <x:c r="L39" s="496" t="n"/>
      <x:c r="M39" s="496" t="n">
        <x:v>52883</x:v>
      </x:c>
      <x:c r="N39" s="496" t="n">
        <x:v>6190</x:v>
      </x:c>
      <x:c r="O39" s="496" t="n">
        <x:v>2520</x:v>
      </x:c>
      <x:c r="P39" s="496" t="n">
        <x:v>23512</x:v>
      </x:c>
      <x:c r="Q39" s="496" t="n">
        <x:v>40</x:v>
      </x:c>
      <x:c r="R39" s="497" t="n">
        <x:v>9512</x:v>
      </x:c>
      <x:c r="S39" s="497" t="n">
        <x:v>9227</x:v>
      </x:c>
      <x:c r="T39" s="497" t="n"/>
      <x:c r="U39" s="497" t="n">
        <x:v>15225</x:v>
      </x:c>
      <x:c r="V39" s="497" t="n">
        <x:v>500</x:v>
      </x:c>
      <x:c r="W39" s="497" t="n">
        <x:v>5213</x:v>
      </x:c>
      <x:c r="X39" s="497" t="n">
        <x:v>35</x:v>
      </x:c>
      <x:c r="Y39" s="498" t="n">
        <x:v>2569</x:v>
      </x:c>
      <x:c r="Z39" s="498" t="n">
        <x:v>2493</x:v>
      </x:c>
      <x:c r="AA39" s="498" t="n"/>
      <x:c r="AB39" s="498" t="n">
        <x:v>3989</x:v>
      </x:c>
      <x:c r="AC39" s="498" t="n">
        <x:v>150</x:v>
      </x:c>
      <x:c r="AD39" s="498" t="n">
        <x:v>1270</x:v>
      </x:c>
      <x:c r="AE39" s="498" t="n">
        <x:v>32</x:v>
      </x:c>
      <x:c r="AF39" s="499" t="n">
        <x:v>5203</x:v>
      </x:c>
      <x:c r="AG39" s="499" t="n">
        <x:v>5048</x:v>
      </x:c>
      <x:c r="AH39" s="499" t="n"/>
      <x:c r="AI39" s="499" t="n">
        <x:v>8077</x:v>
      </x:c>
      <x:c r="AJ39" s="499" t="n">
        <x:v>450</x:v>
      </x:c>
      <x:c r="AK39" s="499" t="n">
        <x:v>2423.75</x:v>
      </x:c>
      <x:c r="AL39" s="499" t="n">
        <x:v>31</x:v>
      </x:c>
      <x:c r="AM39" s="500" t="n">
        <x:v>8203</x:v>
      </x:c>
      <x:c r="AN39" s="500" t="n">
        <x:v>7958</x:v>
      </x:c>
      <x:c r="AO39" s="500" t="n"/>
      <x:c r="AP39" s="500" t="n">
        <x:v>12733</x:v>
      </x:c>
      <x:c r="AQ39" s="500" t="n">
        <x:v>550</x:v>
      </x:c>
      <x:c r="AR39" s="500" t="n">
        <x:v>3980</x:v>
      </x:c>
      <x:c r="AS39" s="500" t="n">
        <x:v>32</x:v>
      </x:c>
      <x:c r="AT39" s="498" t="n">
        <x:v>927</x:v>
      </x:c>
      <x:c r="AU39" s="498" t="n">
        <x:v>900</x:v>
      </x:c>
      <x:c r="AV39" s="498" t="n"/>
      <x:c r="AW39" s="498" t="n">
        <x:v>1440</x:v>
      </x:c>
      <x:c r="AX39" s="498" t="n">
        <x:v>16665</x:v>
      </x:c>
      <x:c r="AY39" s="498" t="n">
        <x:v>0</x:v>
      </x:c>
      <x:c r="AZ39" s="498" t="n">
        <x:v>513</x:v>
      </x:c>
      <x:c r="BA39" s="498" t="n">
        <x:v>36</x:v>
      </x:c>
      <x:c r="BB39" s="501" t="n">
        <x:v>699</x:v>
      </x:c>
      <x:c r="BC39" s="501" t="n">
        <x:v>679</x:v>
      </x:c>
      <x:c r="BD39" s="501" t="n"/>
      <x:c r="BE39" s="501" t="n">
        <x:v>1087</x:v>
      </x:c>
      <x:c r="BF39" s="501" t="n">
        <x:v>0</x:v>
      </x:c>
      <x:c r="BG39" s="501" t="n">
        <x:v>388</x:v>
      </x:c>
      <x:c r="BH39" s="501" t="n">
        <x:v>36</x:v>
      </x:c>
      <x:c r="BI39" s="502" t="n">
        <x:v>1854</x:v>
      </x:c>
      <x:c r="BJ39" s="502" t="n">
        <x:v>1799</x:v>
      </x:c>
      <x:c r="BK39" s="502" t="n"/>
      <x:c r="BL39" s="502" t="n">
        <x:v>2879</x:v>
      </x:c>
      <x:c r="BM39" s="502" t="n">
        <x:v>0</x:v>
      </x:c>
      <x:c r="BN39" s="502" t="n">
        <x:v>1025</x:v>
      </x:c>
      <x:c r="BO39" s="502" t="n">
        <x:v>36</x:v>
      </x:c>
      <x:c r="BP39" s="503" t="n">
        <x:v>1423</x:v>
      </x:c>
      <x:c r="BQ39" s="503" t="n">
        <x:v>1381</x:v>
      </x:c>
      <x:c r="BR39" s="503" t="n"/>
      <x:c r="BS39" s="503" t="n">
        <x:v>3039</x:v>
      </x:c>
      <x:c r="BT39" s="503" t="n">
        <x:v>610</x:v>
      </x:c>
      <x:c r="BU39" s="503" t="n">
        <x:v>1006</x:v>
      </x:c>
      <x:c r="BV39" s="503" t="n">
        <x:v>34</x:v>
      </x:c>
      <x:c r="BW39" s="499" t="n">
        <x:v>585</x:v>
      </x:c>
      <x:c r="BX39" s="499" t="n">
        <x:v>568</x:v>
      </x:c>
      <x:c r="BY39" s="499" t="n"/>
      <x:c r="BZ39" s="499" t="n">
        <x:v>909</x:v>
      </x:c>
      <x:c r="CA39" s="499" t="n">
        <x:v>0</x:v>
      </x:c>
      <x:c r="CB39" s="499" t="n">
        <x:v>324</x:v>
      </x:c>
      <x:c r="CC39" s="499" t="n">
        <x:v>36</x:v>
      </x:c>
      <x:c r="CD39" s="500" t="n">
        <x:v>528</x:v>
      </x:c>
      <x:c r="CE39" s="500" t="n">
        <x:v>513</x:v>
      </x:c>
      <x:c r="CF39" s="500" t="n"/>
      <x:c r="CG39" s="500" t="n">
        <x:v>821</x:v>
      </x:c>
      <x:c r="CH39" s="500" t="n">
        <x:v>0</x:v>
      </x:c>
      <x:c r="CI39" s="500" t="n">
        <x:v>293</x:v>
      </x:c>
      <x:c r="CJ39" s="500" t="n">
        <x:v>36</x:v>
      </x:c>
      <x:c r="CK39" s="504" t="n"/>
      <x:c r="CL39" s="504" t="n"/>
      <x:c r="CM39" s="504" t="n"/>
      <x:c r="CN39" s="504" t="n">
        <x:v>4035</x:v>
      </x:c>
      <x:c r="CO39" s="504" t="n">
        <x:v>0</x:v>
      </x:c>
      <x:c r="CP39" s="504" t="n">
        <x:v>4035</x:v>
      </x:c>
      <x:c r="CQ39" s="504" t="n">
        <x:v>100</x:v>
      </x:c>
      <x:c r="CR39" s="505" t="n"/>
      <x:c r="CS39" s="505" t="n"/>
      <x:c r="CT39" s="505" t="n"/>
      <x:c r="CU39" s="505" t="n">
        <x:v>4413</x:v>
      </x:c>
      <x:c r="CV39" s="505" t="n">
        <x:v>0</x:v>
      </x:c>
      <x:c r="CW39" s="505" t="n">
        <x:v>4413</x:v>
      </x:c>
      <x:c r="CX39" s="505" t="n">
        <x:v>100</x:v>
      </x:c>
    </x:row>
    <x:row r="40" s="655" customFormat="1" ht="13.899999618530273" customHeight="1">
      <x:c r="A40" s="494" t="inlineStr">
        <x:is>
          <x:t xml:space="preserve">450 x 1006 cm</x:t>
        </x:is>
      </x:c>
      <x:c r="B40" s="495" t="n">
        <x:v>18098</x:v>
      </x:c>
      <x:c r="C40" s="495" t="n">
        <x:v>17555</x:v>
      </x:c>
      <x:c r="D40" s="495" t="n"/>
      <x:c r="E40" s="495" t="n">
        <x:v>28088</x:v>
      </x:c>
      <x:c r="F40" s="495" t="n">
        <x:v>5100</x:v>
      </x:c>
      <x:c r="G40" s="495" t="n">
        <x:v>1930</x:v>
      </x:c>
      <x:c r="H40" s="495" t="n">
        <x:v>13160</x:v>
      </x:c>
      <x:c r="I40" s="495" t="n">
        <x:v>40</x:v>
      </x:c>
      <x:c r="J40" s="496" t="n">
        <x:v>35480</x:v>
      </x:c>
      <x:c r="K40" s="496" t="n">
        <x:v>34416</x:v>
      </x:c>
      <x:c r="L40" s="496" t="n"/>
      <x:c r="M40" s="496" t="n">
        <x:v>56787</x:v>
      </x:c>
      <x:c r="N40" s="496" t="n">
        <x:v>6550</x:v>
      </x:c>
      <x:c r="O40" s="496" t="n">
        <x:v>2700</x:v>
      </x:c>
      <x:c r="P40" s="496" t="n">
        <x:v>25157</x:v>
      </x:c>
      <x:c r="Q40" s="496" t="n">
        <x:v>40</x:v>
      </x:c>
      <x:c r="R40" s="497" t="n">
        <x:v>10642</x:v>
      </x:c>
      <x:c r="S40" s="497" t="n">
        <x:v>10324</x:v>
      </x:c>
      <x:c r="T40" s="497" t="n"/>
      <x:c r="U40" s="497" t="n">
        <x:v>17035</x:v>
      </x:c>
      <x:c r="V40" s="497" t="n">
        <x:v>540</x:v>
      </x:c>
      <x:c r="W40" s="497" t="n">
        <x:v>5853</x:v>
      </x:c>
      <x:c r="X40" s="497" t="n">
        <x:v>35</x:v>
      </x:c>
      <x:c r="Y40" s="498" t="n">
        <x:v>2569</x:v>
      </x:c>
      <x:c r="Z40" s="498" t="n">
        <x:v>2493</x:v>
      </x:c>
      <x:c r="AA40" s="498" t="n"/>
      <x:c r="AB40" s="498" t="n">
        <x:v>3989</x:v>
      </x:c>
      <x:c r="AC40" s="498" t="n">
        <x:v>150</x:v>
      </x:c>
      <x:c r="AD40" s="498" t="n">
        <x:v>1270</x:v>
      </x:c>
      <x:c r="AE40" s="498" t="n">
        <x:v>32</x:v>
      </x:c>
      <x:c r="AF40" s="499" t="n">
        <x:v>5618</x:v>
      </x:c>
      <x:c r="AG40" s="499" t="n">
        <x:v>5450</x:v>
      </x:c>
      <x:c r="AH40" s="499" t="n"/>
      <x:c r="AI40" s="499" t="n">
        <x:v>8720</x:v>
      </x:c>
      <x:c r="AJ40" s="499" t="n">
        <x:v>450</x:v>
      </x:c>
      <x:c r="AK40" s="499" t="n">
        <x:v>2652.11</x:v>
      </x:c>
      <x:c r="AL40" s="499" t="n">
        <x:v>31</x:v>
      </x:c>
      <x:c r="AM40" s="500" t="n">
        <x:v>8805</x:v>
      </x:c>
      <x:c r="AN40" s="500" t="n">
        <x:v>8541</x:v>
      </x:c>
      <x:c r="AO40" s="500" t="n"/>
      <x:c r="AP40" s="500" t="n">
        <x:v>13666</x:v>
      </x:c>
      <x:c r="AQ40" s="500" t="n">
        <x:v>600</x:v>
      </x:c>
      <x:c r="AR40" s="500" t="n">
        <x:v>4261</x:v>
      </x:c>
      <x:c r="AS40" s="500" t="n">
        <x:v>32</x:v>
      </x:c>
      <x:c r="AT40" s="498" t="n">
        <x:v>1024</x:v>
      </x:c>
      <x:c r="AU40" s="498" t="n">
        <x:v>994</x:v>
      </x:c>
      <x:c r="AV40" s="498" t="n"/>
      <x:c r="AW40" s="498" t="n">
        <x:v>1591</x:v>
      </x:c>
      <x:c r="AX40" s="498" t="n">
        <x:v>18626</x:v>
      </x:c>
      <x:c r="AY40" s="498" t="n">
        <x:v>0</x:v>
      </x:c>
      <x:c r="AZ40" s="498" t="n">
        <x:v>567</x:v>
      </x:c>
      <x:c r="BA40" s="498" t="n">
        <x:v>36</x:v>
      </x:c>
      <x:c r="BB40" s="501" t="n">
        <x:v>780</x:v>
      </x:c>
      <x:c r="BC40" s="501" t="n">
        <x:v>758</x:v>
      </x:c>
      <x:c r="BD40" s="501" t="n"/>
      <x:c r="BE40" s="501" t="n">
        <x:v>1213</x:v>
      </x:c>
      <x:c r="BF40" s="501" t="n">
        <x:v>0</x:v>
      </x:c>
      <x:c r="BG40" s="501" t="n">
        <x:v>433</x:v>
      </x:c>
      <x:c r="BH40" s="501" t="n">
        <x:v>36</x:v>
      </x:c>
      <x:c r="BI40" s="502" t="n">
        <x:v>1951</x:v>
      </x:c>
      <x:c r="BJ40" s="502" t="n">
        <x:v>1893</x:v>
      </x:c>
      <x:c r="BK40" s="502" t="n"/>
      <x:c r="BL40" s="502" t="n">
        <x:v>3029</x:v>
      </x:c>
      <x:c r="BM40" s="502" t="n">
        <x:v>0</x:v>
      </x:c>
      <x:c r="BN40" s="502" t="n">
        <x:v>1078</x:v>
      </x:c>
      <x:c r="BO40" s="502" t="n">
        <x:v>36</x:v>
      </x:c>
      <x:c r="BP40" s="503" t="n">
        <x:v>1528</x:v>
      </x:c>
      <x:c r="BQ40" s="503" t="n">
        <x:v>1483</x:v>
      </x:c>
      <x:c r="BR40" s="503" t="n"/>
      <x:c r="BS40" s="503" t="n">
        <x:v>3263</x:v>
      </x:c>
      <x:c r="BT40" s="503" t="n">
        <x:v>650</x:v>
      </x:c>
      <x:c r="BU40" s="503" t="n">
        <x:v>1085</x:v>
      </x:c>
      <x:c r="BV40" s="503" t="n">
        <x:v>34</x:v>
      </x:c>
      <x:c r="BW40" s="499" t="n">
        <x:v>618</x:v>
      </x:c>
      <x:c r="BX40" s="499" t="n">
        <x:v>600</x:v>
      </x:c>
      <x:c r="BY40" s="499" t="n"/>
      <x:c r="BZ40" s="499" t="n">
        <x:v>960</x:v>
      </x:c>
      <x:c r="CA40" s="499" t="n">
        <x:v>0</x:v>
      </x:c>
      <x:c r="CB40" s="499" t="n">
        <x:v>342</x:v>
      </x:c>
      <x:c r="CC40" s="499" t="n">
        <x:v>36</x:v>
      </x:c>
      <x:c r="CD40" s="500" t="n">
        <x:v>561</x:v>
      </x:c>
      <x:c r="CE40" s="500" t="n">
        <x:v>545</x:v>
      </x:c>
      <x:c r="CF40" s="500" t="n"/>
      <x:c r="CG40" s="500" t="n">
        <x:v>872</x:v>
      </x:c>
      <x:c r="CH40" s="500" t="n">
        <x:v>0</x:v>
      </x:c>
      <x:c r="CI40" s="500" t="n">
        <x:v>311</x:v>
      </x:c>
      <x:c r="CJ40" s="500" t="n">
        <x:v>36</x:v>
      </x:c>
      <x:c r="CK40" s="504" t="n"/>
      <x:c r="CL40" s="504" t="n"/>
      <x:c r="CM40" s="504" t="n"/>
      <x:c r="CN40" s="504" t="n">
        <x:v>4630</x:v>
      </x:c>
      <x:c r="CO40" s="504" t="n">
        <x:v>0</x:v>
      </x:c>
      <x:c r="CP40" s="504" t="n">
        <x:v>4630</x:v>
      </x:c>
      <x:c r="CQ40" s="504" t="n">
        <x:v>100</x:v>
      </x:c>
      <x:c r="CR40" s="505" t="n"/>
      <x:c r="CS40" s="505" t="n"/>
      <x:c r="CT40" s="505" t="n"/>
      <x:c r="CU40" s="505" t="n">
        <x:v>4747</x:v>
      </x:c>
      <x:c r="CV40" s="505" t="n">
        <x:v>0</x:v>
      </x:c>
      <x:c r="CW40" s="505" t="n">
        <x:v>4747</x:v>
      </x:c>
      <x:c r="CX40" s="505" t="n">
        <x:v>100</x:v>
      </x:c>
    </x:row>
    <x:row r="41" s="655" customFormat="1" ht="13.899999618530273" customHeight="1">
      <x:c r="A41" s="494" t="inlineStr">
        <x:is>
          <x:t xml:space="preserve">450 x 1106 cm</x:t>
        </x:is>
      </x:c>
      <x:c r="B41" s="495" t="n">
        <x:v>20325</x:v>
      </x:c>
      <x:c r="C41" s="495" t="n">
        <x:v>19716</x:v>
      </x:c>
      <x:c r="D41" s="495" t="n"/>
      <x:c r="E41" s="495" t="n">
        <x:v>31546</x:v>
      </x:c>
      <x:c r="F41" s="495" t="n">
        <x:v>5370</x:v>
      </x:c>
      <x:c r="G41" s="495" t="n">
        <x:v>2060</x:v>
      </x:c>
      <x:c r="H41" s="495" t="n">
        <x:v>14531</x:v>
      </x:c>
      <x:c r="I41" s="495" t="n">
        <x:v>40</x:v>
      </x:c>
      <x:c r="J41" s="496" t="n">
        <x:v>38642</x:v>
      </x:c>
      <x:c r="K41" s="496" t="n">
        <x:v>37484</x:v>
      </x:c>
      <x:c r="L41" s="496" t="n"/>
      <x:c r="M41" s="496" t="n">
        <x:v>61849</x:v>
      </x:c>
      <x:c r="N41" s="496" t="n">
        <x:v>6910</x:v>
      </x:c>
      <x:c r="O41" s="496" t="n">
        <x:v>2880</x:v>
      </x:c>
      <x:c r="P41" s="496" t="n">
        <x:v>27237</x:v>
      </x:c>
      <x:c r="Q41" s="496" t="n">
        <x:v>40</x:v>
      </x:c>
      <x:c r="R41" s="497" t="n">
        <x:v>11772</x:v>
      </x:c>
      <x:c r="S41" s="497" t="n">
        <x:v>11420</x:v>
      </x:c>
      <x:c r="T41" s="497" t="n"/>
      <x:c r="U41" s="497" t="n">
        <x:v>18843</x:v>
      </x:c>
      <x:c r="V41" s="497" t="n">
        <x:v>580</x:v>
      </x:c>
      <x:c r="W41" s="497" t="n">
        <x:v>6491</x:v>
      </x:c>
      <x:c r="X41" s="497" t="n">
        <x:v>35</x:v>
      </x:c>
      <x:c r="Y41" s="498" t="n">
        <x:v>2569</x:v>
      </x:c>
      <x:c r="Z41" s="498" t="n">
        <x:v>2493</x:v>
      </x:c>
      <x:c r="AA41" s="498" t="n"/>
      <x:c r="AB41" s="498" t="n">
        <x:v>3989</x:v>
      </x:c>
      <x:c r="AC41" s="498" t="n">
        <x:v>150</x:v>
      </x:c>
      <x:c r="AD41" s="498" t="n">
        <x:v>1270</x:v>
      </x:c>
      <x:c r="AE41" s="498" t="n">
        <x:v>32</x:v>
      </x:c>
      <x:c r="AF41" s="499" t="n">
        <x:v>6033</x:v>
      </x:c>
      <x:c r="AG41" s="499" t="n">
        <x:v>5852</x:v>
      </x:c>
      <x:c r="AH41" s="499" t="n"/>
      <x:c r="AI41" s="499" t="n">
        <x:v>9364</x:v>
      </x:c>
      <x:c r="AJ41" s="499" t="n">
        <x:v>450</x:v>
      </x:c>
      <x:c r="AK41" s="499" t="n">
        <x:v>2881.48</x:v>
      </x:c>
      <x:c r="AL41" s="499" t="n">
        <x:v>31</x:v>
      </x:c>
      <x:c r="AM41" s="500" t="n">
        <x:v>10911</x:v>
      </x:c>
      <x:c r="AN41" s="500" t="n">
        <x:v>10584</x:v>
      </x:c>
      <x:c r="AO41" s="500" t="n"/>
      <x:c r="AP41" s="500" t="n">
        <x:v>16935</x:v>
      </x:c>
      <x:c r="AQ41" s="500" t="n">
        <x:v>650</x:v>
      </x:c>
      <x:c r="AR41" s="500" t="n">
        <x:v>5374</x:v>
      </x:c>
      <x:c r="AS41" s="500" t="n">
        <x:v>32</x:v>
      </x:c>
      <x:c r="AT41" s="498" t="n">
        <x:v>1122</x:v>
      </x:c>
      <x:c r="AU41" s="498" t="n">
        <x:v>1089</x:v>
      </x:c>
      <x:c r="AV41" s="498" t="n"/>
      <x:c r="AW41" s="498" t="n">
        <x:v>1743</x:v>
      </x:c>
      <x:c r="AX41" s="498" t="n">
        <x:v>20586</x:v>
      </x:c>
      <x:c r="AY41" s="498" t="n">
        <x:v>0</x:v>
      </x:c>
      <x:c r="AZ41" s="498" t="n">
        <x:v>621</x:v>
      </x:c>
      <x:c r="BA41" s="498" t="n">
        <x:v>36</x:v>
      </x:c>
      <x:c r="BB41" s="501" t="n">
        <x:v>862</x:v>
      </x:c>
      <x:c r="BC41" s="501" t="n">
        <x:v>836</x:v>
      </x:c>
      <x:c r="BD41" s="501" t="n"/>
      <x:c r="BE41" s="501" t="n">
        <x:v>1338</x:v>
      </x:c>
      <x:c r="BF41" s="501" t="n">
        <x:v>0</x:v>
      </x:c>
      <x:c r="BG41" s="501" t="n">
        <x:v>476</x:v>
      </x:c>
      <x:c r="BH41" s="501" t="n">
        <x:v>36</x:v>
      </x:c>
      <x:c r="BI41" s="502" t="n">
        <x:v>2049</x:v>
      </x:c>
      <x:c r="BJ41" s="502" t="n">
        <x:v>1988</x:v>
      </x:c>
      <x:c r="BK41" s="502" t="n"/>
      <x:c r="BL41" s="502" t="n">
        <x:v>3181</x:v>
      </x:c>
      <x:c r="BM41" s="502" t="n">
        <x:v>0</x:v>
      </x:c>
      <x:c r="BN41" s="502" t="n">
        <x:v>1132</x:v>
      </x:c>
      <x:c r="BO41" s="502" t="n">
        <x:v>36</x:v>
      </x:c>
      <x:c r="BP41" s="503" t="n">
        <x:v>1764</x:v>
      </x:c>
      <x:c r="BQ41" s="503" t="n">
        <x:v>1712</x:v>
      </x:c>
      <x:c r="BR41" s="503" t="n"/>
      <x:c r="BS41" s="503" t="n">
        <x:v>3767</x:v>
      </x:c>
      <x:c r="BT41" s="503" t="n">
        <x:v>690</x:v>
      </x:c>
      <x:c r="BU41" s="503" t="n">
        <x:v>1313</x:v>
      </x:c>
      <x:c r="BV41" s="503" t="n">
        <x:v>35</x:v>
      </x:c>
      <x:c r="BW41" s="499" t="n">
        <x:v>650</x:v>
      </x:c>
      <x:c r="BX41" s="499" t="n">
        <x:v>631</x:v>
      </x:c>
      <x:c r="BY41" s="499" t="n"/>
      <x:c r="BZ41" s="499" t="n">
        <x:v>1010</x:v>
      </x:c>
      <x:c r="CA41" s="499" t="n">
        <x:v>0</x:v>
      </x:c>
      <x:c r="CB41" s="499" t="n">
        <x:v>360</x:v>
      </x:c>
      <x:c r="CC41" s="499" t="n">
        <x:v>36</x:v>
      </x:c>
      <x:c r="CD41" s="500" t="n">
        <x:v>585</x:v>
      </x:c>
      <x:c r="CE41" s="500" t="n">
        <x:v>568</x:v>
      </x:c>
      <x:c r="CF41" s="500" t="n"/>
      <x:c r="CG41" s="500" t="n">
        <x:v>909</x:v>
      </x:c>
      <x:c r="CH41" s="500" t="n">
        <x:v>0</x:v>
      </x:c>
      <x:c r="CI41" s="500" t="n">
        <x:v>324</x:v>
      </x:c>
      <x:c r="CJ41" s="500" t="n">
        <x:v>36</x:v>
      </x:c>
      <x:c r="CK41" s="504" t="n"/>
      <x:c r="CL41" s="504" t="n"/>
      <x:c r="CM41" s="504" t="n"/>
      <x:c r="CN41" s="504" t="n">
        <x:v>5150</x:v>
      </x:c>
      <x:c r="CO41" s="504" t="n">
        <x:v>0</x:v>
      </x:c>
      <x:c r="CP41" s="504" t="n">
        <x:v>5150</x:v>
      </x:c>
      <x:c r="CQ41" s="504" t="n">
        <x:v>100</x:v>
      </x:c>
      <x:c r="CR41" s="505" t="n"/>
      <x:c r="CS41" s="505" t="n"/>
      <x:c r="CT41" s="505" t="n"/>
      <x:c r="CU41" s="505" t="n">
        <x:v>5621</x:v>
      </x:c>
      <x:c r="CV41" s="505" t="n">
        <x:v>0</x:v>
      </x:c>
      <x:c r="CW41" s="505" t="n">
        <x:v>5621</x:v>
      </x:c>
      <x:c r="CX41" s="505" t="n">
        <x:v>100</x:v>
      </x:c>
    </x:row>
    <x:row r="42" s="655" customFormat="1" ht="13.899999618530273" customHeight="1">
      <x:c r="A42" s="494" t="inlineStr">
        <x:is>
          <x:t xml:space="preserve">450 x 1206 cm</x:t>
        </x:is>
      </x:c>
      <x:c r="B42" s="495" t="n">
        <x:v>21846</x:v>
      </x:c>
      <x:c r="C42" s="495" t="n">
        <x:v>21191</x:v>
      </x:c>
      <x:c r="D42" s="495" t="n"/>
      <x:c r="E42" s="495" t="n">
        <x:v>33906</x:v>
      </x:c>
      <x:c r="F42" s="495" t="n">
        <x:v>5640</x:v>
      </x:c>
      <x:c r="G42" s="495" t="n">
        <x:v>2190</x:v>
      </x:c>
      <x:c r="H42" s="495" t="n">
        <x:v>15510</x:v>
      </x:c>
      <x:c r="I42" s="495" t="n">
        <x:v>40</x:v>
      </x:c>
      <x:c r="J42" s="496" t="n">
        <x:v>41122</x:v>
      </x:c>
      <x:c r="K42" s="496" t="n">
        <x:v>39889</x:v>
      </x:c>
      <x:c r="L42" s="496" t="n"/>
      <x:c r="M42" s="496" t="n">
        <x:v>65817</x:v>
      </x:c>
      <x:c r="N42" s="496" t="n">
        <x:v>7280</x:v>
      </x:c>
      <x:c r="O42" s="496" t="n">
        <x:v>3060</x:v>
      </x:c>
      <x:c r="P42" s="496" t="n">
        <x:v>28915</x:v>
      </x:c>
      <x:c r="Q42" s="496" t="n">
        <x:v>40</x:v>
      </x:c>
      <x:c r="R42" s="497" t="n">
        <x:v>11276</x:v>
      </x:c>
      <x:c r="S42" s="497" t="n">
        <x:v>10939</x:v>
      </x:c>
      <x:c r="T42" s="497" t="n"/>
      <x:c r="U42" s="497" t="n">
        <x:v>18050</x:v>
      </x:c>
      <x:c r="V42" s="497" t="n">
        <x:v>610</x:v>
      </x:c>
      <x:c r="W42" s="497" t="n">
        <x:v>6164</x:v>
      </x:c>
      <x:c r="X42" s="497" t="n">
        <x:v>35</x:v>
      </x:c>
      <x:c r="Y42" s="498" t="n">
        <x:v>2569</x:v>
      </x:c>
      <x:c r="Z42" s="498" t="n">
        <x:v>2493</x:v>
      </x:c>
      <x:c r="AA42" s="498" t="n"/>
      <x:c r="AB42" s="498" t="n">
        <x:v>3989</x:v>
      </x:c>
      <x:c r="AC42" s="498" t="n">
        <x:v>150</x:v>
      </x:c>
      <x:c r="AD42" s="498" t="n">
        <x:v>1270</x:v>
      </x:c>
      <x:c r="AE42" s="498" t="n">
        <x:v>32</x:v>
      </x:c>
      <x:c r="AF42" s="499" t="n">
        <x:v>6439</x:v>
      </x:c>
      <x:c r="AG42" s="499" t="n">
        <x:v>6246</x:v>
      </x:c>
      <x:c r="AH42" s="499" t="n"/>
      <x:c r="AI42" s="499" t="n">
        <x:v>9994</x:v>
      </x:c>
      <x:c r="AJ42" s="499" t="n">
        <x:v>450</x:v>
      </x:c>
      <x:c r="AK42" s="499" t="n">
        <x:v>3104.98</x:v>
      </x:c>
      <x:c r="AL42" s="499" t="n">
        <x:v>32</x:v>
      </x:c>
      <x:c r="AM42" s="500" t="n">
        <x:v>11390</x:v>
      </x:c>
      <x:c r="AN42" s="500" t="n">
        <x:v>11049</x:v>
      </x:c>
      <x:c r="AO42" s="500" t="n"/>
      <x:c r="AP42" s="500" t="n">
        <x:v>17679</x:v>
      </x:c>
      <x:c r="AQ42" s="500" t="n">
        <x:v>700</x:v>
      </x:c>
      <x:c r="AR42" s="500" t="n">
        <x:v>5589</x:v>
      </x:c>
      <x:c r="AS42" s="500" t="n">
        <x:v>32</x:v>
      </x:c>
      <x:c r="AT42" s="498" t="n">
        <x:v>1228</x:v>
      </x:c>
      <x:c r="AU42" s="498" t="n">
        <x:v>1191</x:v>
      </x:c>
      <x:c r="AV42" s="498" t="n"/>
      <x:c r="AW42" s="498" t="n">
        <x:v>1906</x:v>
      </x:c>
      <x:c r="AX42" s="498" t="n">
        <x:v>19956</x:v>
      </x:c>
      <x:c r="AY42" s="498" t="n">
        <x:v>0</x:v>
      </x:c>
      <x:c r="AZ42" s="498" t="n">
        <x:v>678</x:v>
      </x:c>
      <x:c r="BA42" s="498" t="n">
        <x:v>36</x:v>
      </x:c>
      <x:c r="BB42" s="501" t="n">
        <x:v>935</x:v>
      </x:c>
      <x:c r="BC42" s="501" t="n">
        <x:v>907</x:v>
      </x:c>
      <x:c r="BD42" s="501" t="n"/>
      <x:c r="BE42" s="501" t="n">
        <x:v>1452</x:v>
      </x:c>
      <x:c r="BF42" s="501" t="n">
        <x:v>0</x:v>
      </x:c>
      <x:c r="BG42" s="501" t="n">
        <x:v>517</x:v>
      </x:c>
      <x:c r="BH42" s="501" t="n">
        <x:v>36</x:v>
      </x:c>
      <x:c r="BI42" s="502" t="n">
        <x:v>2146</x:v>
      </x:c>
      <x:c r="BJ42" s="502" t="n">
        <x:v>2082</x:v>
      </x:c>
      <x:c r="BK42" s="502" t="n"/>
      <x:c r="BL42" s="502" t="n">
        <x:v>3332</x:v>
      </x:c>
      <x:c r="BM42" s="502" t="n">
        <x:v>0</x:v>
      </x:c>
      <x:c r="BN42" s="502" t="n">
        <x:v>1186</x:v>
      </x:c>
      <x:c r="BO42" s="502" t="n">
        <x:v>36</x:v>
      </x:c>
      <x:c r="BP42" s="503" t="n">
        <x:v>2000</x:v>
      </x:c>
      <x:c r="BQ42" s="503" t="n">
        <x:v>1940</x:v>
      </x:c>
      <x:c r="BR42" s="503" t="n"/>
      <x:c r="BS42" s="503" t="n">
        <x:v>4268</x:v>
      </x:c>
      <x:c r="BT42" s="503" t="n">
        <x:v>740</x:v>
      </x:c>
      <x:c r="BU42" s="503" t="n">
        <x:v>1528</x:v>
      </x:c>
      <x:c r="BV42" s="503" t="n">
        <x:v>36</x:v>
      </x:c>
      <x:c r="BW42" s="499" t="n">
        <x:v>683</x:v>
      </x:c>
      <x:c r="BX42" s="499" t="n">
        <x:v>663</x:v>
      </x:c>
      <x:c r="BY42" s="499" t="n"/>
      <x:c r="BZ42" s="499" t="n">
        <x:v>1061</x:v>
      </x:c>
      <x:c r="CA42" s="499" t="n">
        <x:v>0</x:v>
      </x:c>
      <x:c r="CB42" s="499" t="n">
        <x:v>378</x:v>
      </x:c>
      <x:c r="CC42" s="499" t="n">
        <x:v>36</x:v>
      </x:c>
      <x:c r="CD42" s="500" t="n">
        <x:v>618</x:v>
      </x:c>
      <x:c r="CE42" s="500" t="n">
        <x:v>600</x:v>
      </x:c>
      <x:c r="CF42" s="500" t="n"/>
      <x:c r="CG42" s="500" t="n">
        <x:v>960</x:v>
      </x:c>
      <x:c r="CH42" s="500" t="n">
        <x:v>0</x:v>
      </x:c>
      <x:c r="CI42" s="500" t="n">
        <x:v>342</x:v>
      </x:c>
      <x:c r="CJ42" s="500" t="n">
        <x:v>36</x:v>
      </x:c>
      <x:c r="CK42" s="504" t="n"/>
      <x:c r="CL42" s="504" t="n"/>
      <x:c r="CM42" s="504" t="n"/>
      <x:c r="CN42" s="504" t="n">
        <x:v>5530</x:v>
      </x:c>
      <x:c r="CO42" s="504" t="n">
        <x:v>0</x:v>
      </x:c>
      <x:c r="CP42" s="504" t="n">
        <x:v>5530</x:v>
      </x:c>
      <x:c r="CQ42" s="504" t="n">
        <x:v>100</x:v>
      </x:c>
      <x:c r="CR42" s="505" t="n"/>
      <x:c r="CS42" s="505" t="n"/>
      <x:c r="CT42" s="505" t="n"/>
      <x:c r="CU42" s="505" t="n">
        <x:v>5956</x:v>
      </x:c>
      <x:c r="CV42" s="505" t="n">
        <x:v>0</x:v>
      </x:c>
      <x:c r="CW42" s="505" t="n">
        <x:v>5956</x:v>
      </x:c>
      <x:c r="CX42" s="505" t="n">
        <x:v>100</x:v>
      </x:c>
    </x:row>
    <x:row r="43" s="655" customFormat="1" ht="13.899999618530273" customHeight="1">
      <x:c r="A43" s="494" t="inlineStr">
        <x:is>
          <x:t xml:space="preserve">500 x 306 cm</x:t>
        </x:is>
      </x:c>
      <x:c r="B43" s="495" t="n">
        <x:v>6244</x:v>
      </x:c>
      <x:c r="C43" s="495" t="n">
        <x:v>6057</x:v>
      </x:c>
      <x:c r="D43" s="495" t="n"/>
      <x:c r="E43" s="495" t="n">
        <x:v>9692</x:v>
      </x:c>
      <x:c r="F43" s="495" t="n">
        <x:v>3320</x:v>
      </x:c>
      <x:c r="G43" s="495" t="n">
        <x:v>1090</x:v>
      </x:c>
      <x:c r="H43" s="495" t="n">
        <x:v>5678</x:v>
      </x:c>
      <x:c r="I43" s="495" t="n">
        <x:v>44</x:v>
      </x:c>
      <x:c r="J43" s="496" t="n">
        <x:v>18659</x:v>
      </x:c>
      <x:c r="K43" s="496" t="n">
        <x:v>18099</x:v>
      </x:c>
      <x:c r="L43" s="496" t="n"/>
      <x:c r="M43" s="496" t="n">
        <x:v>29864</x:v>
      </x:c>
      <x:c r="N43" s="496" t="n">
        <x:v>4190</x:v>
      </x:c>
      <x:c r="O43" s="496" t="n">
        <x:v>1530</x:v>
      </x:c>
      <x:c r="P43" s="496" t="n">
        <x:v>13865</x:v>
      </x:c>
      <x:c r="Q43" s="496" t="n">
        <x:v>41</x:v>
      </x:c>
      <x:c r="R43" s="497" t="n">
        <x:v>3049</x:v>
      </x:c>
      <x:c r="S43" s="497" t="n">
        <x:v>2958</x:v>
      </x:c>
      <x:c r="T43" s="497" t="n"/>
      <x:c r="U43" s="497" t="n">
        <x:v>4881</x:v>
      </x:c>
      <x:c r="V43" s="497" t="n">
        <x:v>310</x:v>
      </x:c>
      <x:c r="W43" s="497" t="n">
        <x:v>1522</x:v>
      </x:c>
      <x:c r="X43" s="497" t="n">
        <x:v>32</x:v>
      </x:c>
      <x:c r="Y43" s="498" t="n">
        <x:v>3008</x:v>
      </x:c>
      <x:c r="Z43" s="498" t="n">
        <x:v>2918</x:v>
      </x:c>
      <x:c r="AA43" s="498" t="n"/>
      <x:c r="AB43" s="498" t="n">
        <x:v>4669</x:v>
      </x:c>
      <x:c r="AC43" s="498" t="n">
        <x:v>150</x:v>
      </x:c>
      <x:c r="AD43" s="498" t="n">
        <x:v>1511</x:v>
      </x:c>
      <x:c r="AE43" s="498" t="n">
        <x:v>33</x:v>
      </x:c>
      <x:c r="AF43" s="499" t="n">
        <x:v>1740</x:v>
      </x:c>
      <x:c r="AG43" s="499" t="n">
        <x:v>1688</x:v>
      </x:c>
      <x:c r="AH43" s="499" t="n"/>
      <x:c r="AI43" s="499" t="n">
        <x:v>2701</x:v>
      </x:c>
      <x:c r="AJ43" s="499" t="n">
        <x:v>150</x:v>
      </x:c>
      <x:c r="AK43" s="499" t="n">
        <x:v>811.16</x:v>
      </x:c>
      <x:c r="AL43" s="499" t="n">
        <x:v>31</x:v>
      </x:c>
      <x:c r="AM43" s="500" t="n">
        <x:v>3317</x:v>
      </x:c>
      <x:c r="AN43" s="500" t="n">
        <x:v>3218</x:v>
      </x:c>
      <x:c r="AO43" s="500" t="n"/>
      <x:c r="AP43" s="500" t="n">
        <x:v>5149</x:v>
      </x:c>
      <x:c r="AQ43" s="500" t="n">
        <x:v>200</x:v>
      </x:c>
      <x:c r="AR43" s="500" t="n">
        <x:v>1632</x:v>
      </x:c>
      <x:c r="AS43" s="500" t="n">
        <x:v>32</x:v>
      </x:c>
      <x:c r="AT43" s="498" t="n">
        <x:v>341</x:v>
      </x:c>
      <x:c r="AU43" s="498" t="n">
        <x:v>332</x:v>
      </x:c>
      <x:c r="AV43" s="498" t="n"/>
      <x:c r="AW43" s="498" t="n">
        <x:v>532</x:v>
      </x:c>
      <x:c r="AX43" s="498" t="n">
        <x:v>5413</x:v>
      </x:c>
      <x:c r="AY43" s="498" t="n">
        <x:v>0</x:v>
      </x:c>
      <x:c r="AZ43" s="498" t="n">
        <x:v>191</x:v>
      </x:c>
      <x:c r="BA43" s="498" t="n">
        <x:v>36</x:v>
      </x:c>
      <x:c r="BB43" s="501" t="n">
        <x:v>252</x:v>
      </x:c>
      <x:c r="BC43" s="501" t="n">
        <x:v>245</x:v>
      </x:c>
      <x:c r="BD43" s="501" t="n"/>
      <x:c r="BE43" s="501" t="n">
        <x:v>392</x:v>
      </x:c>
      <x:c r="BF43" s="501" t="n">
        <x:v>0</x:v>
      </x:c>
      <x:c r="BG43" s="501" t="n">
        <x:v>140</x:v>
      </x:c>
      <x:c r="BH43" s="501" t="n">
        <x:v>36</x:v>
      </x:c>
      <x:c r="BI43" s="502" t="n">
        <x:v>1268</x:v>
      </x:c>
      <x:c r="BJ43" s="502" t="n">
        <x:v>1231</x:v>
      </x:c>
      <x:c r="BK43" s="502" t="n"/>
      <x:c r="BL43" s="502" t="n">
        <x:v>1970</x:v>
      </x:c>
      <x:c r="BM43" s="502" t="n">
        <x:v>0</x:v>
      </x:c>
      <x:c r="BN43" s="502" t="n">
        <x:v>702</x:v>
      </x:c>
      <x:c r="BO43" s="502" t="n">
        <x:v>36</x:v>
      </x:c>
      <x:c r="BP43" s="503" t="n">
        <x:v>943</x:v>
      </x:c>
      <x:c r="BQ43" s="503" t="n">
        <x:v>915</x:v>
      </x:c>
      <x:c r="BR43" s="503" t="n"/>
      <x:c r="BS43" s="503" t="n">
        <x:v>2013</x:v>
      </x:c>
      <x:c r="BT43" s="503" t="n">
        <x:v>440</x:v>
      </x:c>
      <x:c r="BU43" s="503" t="n">
        <x:v>630</x:v>
      </x:c>
      <x:c r="BV43" s="503" t="n">
        <x:v>32</x:v>
      </x:c>
      <x:c r="BW43" s="499" t="n">
        <x:v>407</x:v>
      </x:c>
      <x:c r="BX43" s="499" t="n">
        <x:v>395</x:v>
      </x:c>
      <x:c r="BY43" s="499" t="n"/>
      <x:c r="BZ43" s="499" t="n">
        <x:v>632</x:v>
      </x:c>
      <x:c r="CA43" s="499" t="n">
        <x:v>0</x:v>
      </x:c>
      <x:c r="CB43" s="499" t="n">
        <x:v>225</x:v>
      </x:c>
      <x:c r="CC43" s="499" t="n">
        <x:v>36</x:v>
      </x:c>
      <x:c r="CD43" s="500" t="n">
        <x:v>366</x:v>
      </x:c>
      <x:c r="CE43" s="500" t="n">
        <x:v>355</x:v>
      </x:c>
      <x:c r="CF43" s="500" t="n"/>
      <x:c r="CG43" s="500" t="n">
        <x:v>568</x:v>
      </x:c>
      <x:c r="CH43" s="500" t="n">
        <x:v>0</x:v>
      </x:c>
      <x:c r="CI43" s="500" t="n">
        <x:v>202</x:v>
      </x:c>
      <x:c r="CJ43" s="500" t="n">
        <x:v>36</x:v>
      </x:c>
      <x:c r="CK43" s="504" t="n"/>
      <x:c r="CL43" s="504" t="n"/>
      <x:c r="CM43" s="504" t="n"/>
      <x:c r="CN43" s="504" t="n">
        <x:v>1115</x:v>
      </x:c>
      <x:c r="CO43" s="504" t="n">
        <x:v>0</x:v>
      </x:c>
      <x:c r="CP43" s="504" t="n">
        <x:v>1115</x:v>
      </x:c>
      <x:c r="CQ43" s="504" t="n">
        <x:v>100</x:v>
      </x:c>
      <x:c r="CR43" s="505" t="n"/>
      <x:c r="CS43" s="505" t="n"/>
      <x:c r="CT43" s="505" t="n"/>
      <x:c r="CU43" s="505" t="n">
        <x:v>1937</x:v>
      </x:c>
      <x:c r="CV43" s="505" t="n">
        <x:v>0</x:v>
      </x:c>
      <x:c r="CW43" s="505" t="n">
        <x:v>1937</x:v>
      </x:c>
      <x:c r="CX43" s="505" t="n">
        <x:v>100</x:v>
      </x:c>
    </x:row>
    <x:row r="44" s="655" customFormat="1" ht="13.899999618530273" customHeight="1">
      <x:c r="A44" s="494" t="inlineStr">
        <x:is>
          <x:t xml:space="preserve">500 x 406 cm</x:t>
        </x:is>
      </x:c>
      <x:c r="B44" s="495" t="n">
        <x:v>7878</x:v>
      </x:c>
      <x:c r="C44" s="495" t="n">
        <x:v>7642</x:v>
      </x:c>
      <x:c r="D44" s="495" t="n"/>
      <x:c r="E44" s="495" t="n">
        <x:v>12228</x:v>
      </x:c>
      <x:c r="F44" s="495" t="n">
        <x:v>3600</x:v>
      </x:c>
      <x:c r="G44" s="495" t="n">
        <x:v>1220</x:v>
      </x:c>
      <x:c r="H44" s="495" t="n">
        <x:v>6730</x:v>
      </x:c>
      <x:c r="I44" s="495" t="n">
        <x:v>43</x:v>
      </x:c>
      <x:c r="J44" s="496" t="n">
        <x:v>21000</x:v>
      </x:c>
      <x:c r="K44" s="496" t="n">
        <x:v>20370</x:v>
      </x:c>
      <x:c r="L44" s="496" t="n"/>
      <x:c r="M44" s="496" t="n">
        <x:v>33611</x:v>
      </x:c>
      <x:c r="N44" s="496" t="n">
        <x:v>4550</x:v>
      </x:c>
      <x:c r="O44" s="496" t="n">
        <x:v>1710</x:v>
      </x:c>
      <x:c r="P44" s="496" t="n">
        <x:v>15451</x:v>
      </x:c>
      <x:c r="Q44" s="496" t="n">
        <x:v>41</x:v>
      </x:c>
      <x:c r="R44" s="497" t="n">
        <x:v>4301</x:v>
      </x:c>
      <x:c r="S44" s="497" t="n">
        <x:v>4172</x:v>
      </x:c>
      <x:c r="T44" s="497" t="n"/>
      <x:c r="U44" s="497" t="n">
        <x:v>6884</x:v>
      </x:c>
      <x:c r="V44" s="497" t="n">
        <x:v>340</x:v>
      </x:c>
      <x:c r="W44" s="497" t="n">
        <x:v>2243</x:v>
      </x:c>
      <x:c r="X44" s="497" t="n">
        <x:v>33</x:v>
      </x:c>
      <x:c r="Y44" s="498" t="n">
        <x:v>3008</x:v>
      </x:c>
      <x:c r="Z44" s="498" t="n">
        <x:v>2918</x:v>
      </x:c>
      <x:c r="AA44" s="498" t="n"/>
      <x:c r="AB44" s="498" t="n">
        <x:v>4669</x:v>
      </x:c>
      <x:c r="AC44" s="498" t="n">
        <x:v>150</x:v>
      </x:c>
      <x:c r="AD44" s="498" t="n">
        <x:v>1511</x:v>
      </x:c>
      <x:c r="AE44" s="498" t="n">
        <x:v>33</x:v>
      </x:c>
      <x:c r="AF44" s="499" t="n">
        <x:v>2146</x:v>
      </x:c>
      <x:c r="AG44" s="499" t="n">
        <x:v>2082</x:v>
      </x:c>
      <x:c r="AH44" s="499" t="n"/>
      <x:c r="AI44" s="499" t="n">
        <x:v>3332</x:v>
      </x:c>
      <x:c r="AJ44" s="499" t="n">
        <x:v>150</x:v>
      </x:c>
      <x:c r="AK44" s="499" t="n">
        <x:v>1035.66</x:v>
      </x:c>
      <x:c r="AL44" s="499" t="n">
        <x:v>32</x:v>
      </x:c>
      <x:c r="AM44" s="500" t="n">
        <x:v>3797</x:v>
      </x:c>
      <x:c r="AN44" s="500" t="n">
        <x:v>3683</x:v>
      </x:c>
      <x:c r="AO44" s="500" t="n"/>
      <x:c r="AP44" s="500" t="n">
        <x:v>5893</x:v>
      </x:c>
      <x:c r="AQ44" s="500" t="n">
        <x:v>250</x:v>
      </x:c>
      <x:c r="AR44" s="500" t="n">
        <x:v>1846</x:v>
      </x:c>
      <x:c r="AS44" s="500" t="n">
        <x:v>32</x:v>
      </x:c>
      <x:c r="AT44" s="498" t="n">
        <x:v>455</x:v>
      </x:c>
      <x:c r="AU44" s="498" t="n">
        <x:v>442</x:v>
      </x:c>
      <x:c r="AV44" s="498" t="n"/>
      <x:c r="AW44" s="498" t="n">
        <x:v>708</x:v>
      </x:c>
      <x:c r="AX44" s="498" t="n">
        <x:v>7592</x:v>
      </x:c>
      <x:c r="AY44" s="498" t="n">
        <x:v>0</x:v>
      </x:c>
      <x:c r="AZ44" s="498" t="n">
        <x:v>253</x:v>
      </x:c>
      <x:c r="BA44" s="498" t="n">
        <x:v>36</x:v>
      </x:c>
      <x:c r="BB44" s="501" t="n">
        <x:v>341</x:v>
      </x:c>
      <x:c r="BC44" s="501" t="n">
        <x:v>332</x:v>
      </x:c>
      <x:c r="BD44" s="501" t="n"/>
      <x:c r="BE44" s="501" t="n">
        <x:v>532</x:v>
      </x:c>
      <x:c r="BF44" s="501" t="n">
        <x:v>0</x:v>
      </x:c>
      <x:c r="BG44" s="501" t="n">
        <x:v>191</x:v>
      </x:c>
      <x:c r="BH44" s="501" t="n">
        <x:v>36</x:v>
      </x:c>
      <x:c r="BI44" s="502" t="n">
        <x:v>1366</x:v>
      </x:c>
      <x:c r="BJ44" s="502" t="n">
        <x:v>1325</x:v>
      </x:c>
      <x:c r="BK44" s="502" t="n"/>
      <x:c r="BL44" s="502" t="n">
        <x:v>2120</x:v>
      </x:c>
      <x:c r="BM44" s="502" t="n">
        <x:v>0</x:v>
      </x:c>
      <x:c r="BN44" s="502" t="n">
        <x:v>754</x:v>
      </x:c>
      <x:c r="BO44" s="502" t="n">
        <x:v>36</x:v>
      </x:c>
      <x:c r="BP44" s="503" t="n">
        <x:v>1041</x:v>
      </x:c>
      <x:c r="BQ44" s="503" t="n">
        <x:v>1010</x:v>
      </x:c>
      <x:c r="BR44" s="503" t="n"/>
      <x:c r="BS44" s="503" t="n">
        <x:v>2222</x:v>
      </x:c>
      <x:c r="BT44" s="503" t="n">
        <x:v>490</x:v>
      </x:c>
      <x:c r="BU44" s="503" t="n">
        <x:v>691</x:v>
      </x:c>
      <x:c r="BV44" s="503" t="n">
        <x:v>32</x:v>
      </x:c>
      <x:c r="BW44" s="499" t="n">
        <x:v>431</x:v>
      </x:c>
      <x:c r="BX44" s="499" t="n">
        <x:v>418</x:v>
      </x:c>
      <x:c r="BY44" s="499" t="n"/>
      <x:c r="BZ44" s="499" t="n">
        <x:v>669</x:v>
      </x:c>
      <x:c r="CA44" s="499" t="n">
        <x:v>0</x:v>
      </x:c>
      <x:c r="CB44" s="499" t="n">
        <x:v>238</x:v>
      </x:c>
      <x:c r="CC44" s="499" t="n">
        <x:v>36</x:v>
      </x:c>
      <x:c r="CD44" s="500" t="n">
        <x:v>390</x:v>
      </x:c>
      <x:c r="CE44" s="500" t="n">
        <x:v>379</x:v>
      </x:c>
      <x:c r="CF44" s="500" t="n"/>
      <x:c r="CG44" s="500" t="n">
        <x:v>607</x:v>
      </x:c>
      <x:c r="CH44" s="500" t="n">
        <x:v>0</x:v>
      </x:c>
      <x:c r="CI44" s="500" t="n">
        <x:v>217</x:v>
      </x:c>
      <x:c r="CJ44" s="500" t="n">
        <x:v>36</x:v>
      </x:c>
      <x:c r="CK44" s="504" t="n"/>
      <x:c r="CL44" s="504" t="n"/>
      <x:c r="CM44" s="504" t="n"/>
      <x:c r="CN44" s="504" t="n">
        <x:v>1770</x:v>
      </x:c>
      <x:c r="CO44" s="504" t="n">
        <x:v>0</x:v>
      </x:c>
      <x:c r="CP44" s="504" t="n">
        <x:v>1770</x:v>
      </x:c>
      <x:c r="CQ44" s="504" t="n">
        <x:v>100</x:v>
      </x:c>
      <x:c r="CR44" s="505" t="n"/>
      <x:c r="CS44" s="505" t="n"/>
      <x:c r="CT44" s="505" t="n"/>
      <x:c r="CU44" s="505" t="n">
        <x:v>2295</x:v>
      </x:c>
      <x:c r="CV44" s="505" t="n">
        <x:v>0</x:v>
      </x:c>
      <x:c r="CW44" s="505" t="n">
        <x:v>2295</x:v>
      </x:c>
      <x:c r="CX44" s="505" t="n">
        <x:v>100</x:v>
      </x:c>
    </x:row>
    <x:row r="45" s="655" customFormat="1" ht="13.899999618530273" customHeight="1">
      <x:c r="A45" s="494" t="inlineStr">
        <x:is>
          <x:t xml:space="preserve">500 x 506 cm</x:t>
        </x:is>
      </x:c>
      <x:c r="B45" s="495" t="n">
        <x:v>9772</x:v>
      </x:c>
      <x:c r="C45" s="495" t="n">
        <x:v>9480</x:v>
      </x:c>
      <x:c r="D45" s="495" t="n"/>
      <x:c r="E45" s="495" t="n">
        <x:v>15168</x:v>
      </x:c>
      <x:c r="F45" s="495" t="n">
        <x:v>3870</x:v>
      </x:c>
      <x:c r="G45" s="495" t="n">
        <x:v>1350</x:v>
      </x:c>
      <x:c r="H45" s="495" t="n">
        <x:v>7916</x:v>
      </x:c>
      <x:c r="I45" s="495" t="n">
        <x:v>42</x:v>
      </x:c>
      <x:c r="J45" s="496" t="n">
        <x:v>23789</x:v>
      </x:c>
      <x:c r="K45" s="496" t="n">
        <x:v>23075</x:v>
      </x:c>
      <x:c r="L45" s="496" t="n"/>
      <x:c r="M45" s="496" t="n">
        <x:v>38074</x:v>
      </x:c>
      <x:c r="N45" s="496" t="n">
        <x:v>4910</x:v>
      </x:c>
      <x:c r="O45" s="496" t="n">
        <x:v>1890</x:v>
      </x:c>
      <x:c r="P45" s="496" t="n">
        <x:v>17305</x:v>
      </x:c>
      <x:c r="Q45" s="496" t="n">
        <x:v>41</x:v>
      </x:c>
      <x:c r="R45" s="497" t="n">
        <x:v>5561</x:v>
      </x:c>
      <x:c r="S45" s="497" t="n">
        <x:v>5395</x:v>
      </x:c>
      <x:c r="T45" s="497" t="n"/>
      <x:c r="U45" s="497" t="n">
        <x:v>8902</x:v>
      </x:c>
      <x:c r="V45" s="497" t="n">
        <x:v>380</x:v>
      </x:c>
      <x:c r="W45" s="497" t="n">
        <x:v>2961</x:v>
      </x:c>
      <x:c r="X45" s="497" t="n">
        <x:v>34</x:v>
      </x:c>
      <x:c r="Y45" s="498" t="n">
        <x:v>3008</x:v>
      </x:c>
      <x:c r="Z45" s="498" t="n">
        <x:v>2918</x:v>
      </x:c>
      <x:c r="AA45" s="498" t="n"/>
      <x:c r="AB45" s="498" t="n">
        <x:v>4669</x:v>
      </x:c>
      <x:c r="AC45" s="498" t="n">
        <x:v>150</x:v>
      </x:c>
      <x:c r="AD45" s="498" t="n">
        <x:v>1511</x:v>
      </x:c>
      <x:c r="AE45" s="498" t="n">
        <x:v>33</x:v>
      </x:c>
      <x:c r="AF45" s="499" t="n">
        <x:v>3008</x:v>
      </x:c>
      <x:c r="AG45" s="499" t="n">
        <x:v>2918</x:v>
      </x:c>
      <x:c r="AH45" s="499" t="n"/>
      <x:c r="AI45" s="499" t="n">
        <x:v>4669</x:v>
      </x:c>
      <x:c r="AJ45" s="499" t="n">
        <x:v>300</x:v>
      </x:c>
      <x:c r="AK45" s="499" t="n">
        <x:v>1360.87</x:v>
      </x:c>
      <x:c r="AL45" s="499" t="n">
        <x:v>30</x:v>
      </x:c>
      <x:c r="AM45" s="500" t="n">
        <x:v>4407</x:v>
      </x:c>
      <x:c r="AN45" s="500" t="n">
        <x:v>4275</x:v>
      </x:c>
      <x:c r="AO45" s="500" t="n"/>
      <x:c r="AP45" s="500" t="n">
        <x:v>6840</x:v>
      </x:c>
      <x:c r="AQ45" s="500" t="n">
        <x:v>300</x:v>
      </x:c>
      <x:c r="AR45" s="500" t="n">
        <x:v>2133</x:v>
      </x:c>
      <x:c r="AS45" s="500" t="n">
        <x:v>32</x:v>
      </x:c>
      <x:c r="AT45" s="498" t="n">
        <x:v>569</x:v>
      </x:c>
      <x:c r="AU45" s="498" t="n">
        <x:v>553</x:v>
      </x:c>
      <x:c r="AV45" s="498" t="n"/>
      <x:c r="AW45" s="498" t="n">
        <x:v>885</x:v>
      </x:c>
      <x:c r="AX45" s="498" t="n">
        <x:v>9787</x:v>
      </x:c>
      <x:c r="AY45" s="498" t="n">
        <x:v>0</x:v>
      </x:c>
      <x:c r="AZ45" s="498" t="n">
        <x:v>316</x:v>
      </x:c>
      <x:c r="BA45" s="498" t="n">
        <x:v>36</x:v>
      </x:c>
      <x:c r="BB45" s="501" t="n">
        <x:v>423</x:v>
      </x:c>
      <x:c r="BC45" s="501" t="n">
        <x:v>411</x:v>
      </x:c>
      <x:c r="BD45" s="501" t="n"/>
      <x:c r="BE45" s="501" t="n">
        <x:v>658</x:v>
      </x:c>
      <x:c r="BF45" s="501" t="n">
        <x:v>0</x:v>
      </x:c>
      <x:c r="BG45" s="501" t="n">
        <x:v>235</x:v>
      </x:c>
      <x:c r="BH45" s="501" t="n">
        <x:v>36</x:v>
      </x:c>
      <x:c r="BI45" s="502" t="n">
        <x:v>1463</x:v>
      </x:c>
      <x:c r="BJ45" s="502" t="n">
        <x:v>1420</x:v>
      </x:c>
      <x:c r="BK45" s="502" t="n"/>
      <x:c r="BL45" s="502" t="n">
        <x:v>2272</x:v>
      </x:c>
      <x:c r="BM45" s="502" t="n">
        <x:v>0</x:v>
      </x:c>
      <x:c r="BN45" s="502" t="n">
        <x:v>809</x:v>
      </x:c>
      <x:c r="BO45" s="502" t="n">
        <x:v>36</x:v>
      </x:c>
      <x:c r="BP45" s="503" t="n">
        <x:v>1146</x:v>
      </x:c>
      <x:c r="BQ45" s="503" t="n">
        <x:v>1112</x:v>
      </x:c>
      <x:c r="BR45" s="503" t="n"/>
      <x:c r="BS45" s="503" t="n">
        <x:v>2447</x:v>
      </x:c>
      <x:c r="BT45" s="503" t="n">
        <x:v>540</x:v>
      </x:c>
      <x:c r="BU45" s="503" t="n">
        <x:v>761</x:v>
      </x:c>
      <x:c r="BV45" s="503" t="n">
        <x:v>32</x:v>
      </x:c>
      <x:c r="BW45" s="499" t="n">
        <x:v>463</x:v>
      </x:c>
      <x:c r="BX45" s="499" t="n">
        <x:v>450</x:v>
      </x:c>
      <x:c r="BY45" s="499" t="n"/>
      <x:c r="BZ45" s="499" t="n">
        <x:v>720</x:v>
      </x:c>
      <x:c r="CA45" s="499" t="n">
        <x:v>0</x:v>
      </x:c>
      <x:c r="CB45" s="499" t="n">
        <x:v>257</x:v>
      </x:c>
      <x:c r="CC45" s="499" t="n">
        <x:v>36</x:v>
      </x:c>
      <x:c r="CD45" s="500" t="n">
        <x:v>423</x:v>
      </x:c>
      <x:c r="CE45" s="500" t="n">
        <x:v>411</x:v>
      </x:c>
      <x:c r="CF45" s="500" t="n"/>
      <x:c r="CG45" s="500" t="n">
        <x:v>658</x:v>
      </x:c>
      <x:c r="CH45" s="500" t="n">
        <x:v>0</x:v>
      </x:c>
      <x:c r="CI45" s="500" t="n">
        <x:v>235</x:v>
      </x:c>
      <x:c r="CJ45" s="500" t="n">
        <x:v>36</x:v>
      </x:c>
      <x:c r="CK45" s="504" t="n"/>
      <x:c r="CL45" s="504" t="n"/>
      <x:c r="CM45" s="504" t="n"/>
      <x:c r="CN45" s="504" t="n">
        <x:v>2160</x:v>
      </x:c>
      <x:c r="CO45" s="504" t="n">
        <x:v>0</x:v>
      </x:c>
      <x:c r="CP45" s="504" t="n">
        <x:v>2160</x:v>
      </x:c>
      <x:c r="CQ45" s="504" t="n">
        <x:v>100</x:v>
      </x:c>
      <x:c r="CR45" s="505" t="n"/>
      <x:c r="CS45" s="505" t="n"/>
      <x:c r="CT45" s="505" t="n"/>
      <x:c r="CU45" s="505" t="n">
        <x:v>3192</x:v>
      </x:c>
      <x:c r="CV45" s="505" t="n">
        <x:v>0</x:v>
      </x:c>
      <x:c r="CW45" s="505" t="n">
        <x:v>3192</x:v>
      </x:c>
      <x:c r="CX45" s="505" t="n">
        <x:v>100</x:v>
      </x:c>
    </x:row>
    <x:row r="46" s="655" customFormat="1" ht="13.899999618530273" customHeight="1">
      <x:c r="A46" s="494" t="inlineStr">
        <x:is>
          <x:t xml:space="preserve">500 x 606 cm</x:t>
        </x:is>
      </x:c>
      <x:c r="B46" s="495" t="n">
        <x:v>11398</x:v>
      </x:c>
      <x:c r="C46" s="495" t="n">
        <x:v>11057</x:v>
      </x:c>
      <x:c r="D46" s="495" t="n"/>
      <x:c r="E46" s="495" t="n">
        <x:v>17692</x:v>
      </x:c>
      <x:c r="F46" s="495" t="n">
        <x:v>4140</x:v>
      </x:c>
      <x:c r="G46" s="495" t="n">
        <x:v>1480</x:v>
      </x:c>
      <x:c r="H46" s="495" t="n">
        <x:v>8954</x:v>
      </x:c>
      <x:c r="I46" s="495" t="n">
        <x:v>42</x:v>
      </x:c>
      <x:c r="J46" s="496" t="n">
        <x:v>26382</x:v>
      </x:c>
      <x:c r="K46" s="496" t="n">
        <x:v>25591</x:v>
      </x:c>
      <x:c r="L46" s="496" t="n"/>
      <x:c r="M46" s="496" t="n">
        <x:v>42226</x:v>
      </x:c>
      <x:c r="N46" s="496" t="n">
        <x:v>5280</x:v>
      </x:c>
      <x:c r="O46" s="496" t="n">
        <x:v>2070</x:v>
      </x:c>
      <x:c r="P46" s="496" t="n">
        <x:v>19054</x:v>
      </x:c>
      <x:c r="Q46" s="496" t="n">
        <x:v>41</x:v>
      </x:c>
      <x:c r="R46" s="497" t="n">
        <x:v>6805</x:v>
      </x:c>
      <x:c r="S46" s="497" t="n">
        <x:v>6601</x:v>
      </x:c>
      <x:c r="T46" s="497" t="n"/>
      <x:c r="U46" s="497" t="n">
        <x:v>10892</x:v>
      </x:c>
      <x:c r="V46" s="497" t="n">
        <x:v>410</x:v>
      </x:c>
      <x:c r="W46" s="497" t="n">
        <x:v>3677</x:v>
      </x:c>
      <x:c r="X46" s="497" t="n">
        <x:v>34</x:v>
      </x:c>
      <x:c r="Y46" s="498" t="n">
        <x:v>3008</x:v>
      </x:c>
      <x:c r="Z46" s="498" t="n">
        <x:v>2918</x:v>
      </x:c>
      <x:c r="AA46" s="498" t="n"/>
      <x:c r="AB46" s="498" t="n">
        <x:v>4669</x:v>
      </x:c>
      <x:c r="AC46" s="498" t="n">
        <x:v>150</x:v>
      </x:c>
      <x:c r="AD46" s="498" t="n">
        <x:v>1511</x:v>
      </x:c>
      <x:c r="AE46" s="498" t="n">
        <x:v>33</x:v>
      </x:c>
      <x:c r="AF46" s="499" t="n">
        <x:v>3472</x:v>
      </x:c>
      <x:c r="AG46" s="499" t="n">
        <x:v>3368</x:v>
      </x:c>
      <x:c r="AH46" s="499" t="n"/>
      <x:c r="AI46" s="499" t="n">
        <x:v>5389</x:v>
      </x:c>
      <x:c r="AJ46" s="499" t="n">
        <x:v>300</x:v>
      </x:c>
      <x:c r="AK46" s="499" t="n">
        <x:v>1617.46</x:v>
      </x:c>
      <x:c r="AL46" s="499" t="n">
        <x:v>31</x:v>
      </x:c>
      <x:c r="AM46" s="500" t="n">
        <x:v>6634</x:v>
      </x:c>
      <x:c r="AN46" s="500" t="n">
        <x:v>6436</x:v>
      </x:c>
      <x:c r="AO46" s="500" t="n"/>
      <x:c r="AP46" s="500" t="n">
        <x:v>10298</x:v>
      </x:c>
      <x:c r="AQ46" s="500" t="n">
        <x:v>350</x:v>
      </x:c>
      <x:c r="AR46" s="500" t="n">
        <x:v>3314</x:v>
      </x:c>
      <x:c r="AS46" s="500" t="n">
        <x:v>33</x:v>
      </x:c>
      <x:c r="AT46" s="498" t="n">
        <x:v>683</x:v>
      </x:c>
      <x:c r="AU46" s="498" t="n">
        <x:v>663</x:v>
      </x:c>
      <x:c r="AV46" s="498" t="n"/>
      <x:c r="AW46" s="498" t="n">
        <x:v>1061</x:v>
      </x:c>
      <x:c r="AX46" s="498" t="n">
        <x:v>11953</x:v>
      </x:c>
      <x:c r="AY46" s="498" t="n">
        <x:v>0</x:v>
      </x:c>
      <x:c r="AZ46" s="498" t="n">
        <x:v>378</x:v>
      </x:c>
      <x:c r="BA46" s="498" t="n">
        <x:v>36</x:v>
      </x:c>
      <x:c r="BB46" s="501" t="n">
        <x:v>504</x:v>
      </x:c>
      <x:c r="BC46" s="501" t="n">
        <x:v>489</x:v>
      </x:c>
      <x:c r="BD46" s="501" t="n"/>
      <x:c r="BE46" s="501" t="n">
        <x:v>783</x:v>
      </x:c>
      <x:c r="BF46" s="501" t="n">
        <x:v>0</x:v>
      </x:c>
      <x:c r="BG46" s="501" t="n">
        <x:v>279</x:v>
      </x:c>
      <x:c r="BH46" s="501" t="n">
        <x:v>36</x:v>
      </x:c>
      <x:c r="BI46" s="502" t="n">
        <x:v>1561</x:v>
      </x:c>
      <x:c r="BJ46" s="502" t="n">
        <x:v>1515</x:v>
      </x:c>
      <x:c r="BK46" s="502" t="n"/>
      <x:c r="BL46" s="502" t="n">
        <x:v>2424</x:v>
      </x:c>
      <x:c r="BM46" s="502" t="n">
        <x:v>0</x:v>
      </x:c>
      <x:c r="BN46" s="502" t="n">
        <x:v>863</x:v>
      </x:c>
      <x:c r="BO46" s="502" t="n">
        <x:v>36</x:v>
      </x:c>
      <x:c r="BP46" s="503" t="n">
        <x:v>1382</x:v>
      </x:c>
      <x:c r="BQ46" s="503" t="n">
        <x:v>1341</x:v>
      </x:c>
      <x:c r="BR46" s="503" t="n"/>
      <x:c r="BS46" s="503" t="n">
        <x:v>2951</x:v>
      </x:c>
      <x:c r="BT46" s="503" t="n">
        <x:v>640</x:v>
      </x:c>
      <x:c r="BU46" s="503" t="n">
        <x:v>929</x:v>
      </x:c>
      <x:c r="BV46" s="503" t="n">
        <x:v>32</x:v>
      </x:c>
      <x:c r="BW46" s="499" t="n">
        <x:v>496</x:v>
      </x:c>
      <x:c r="BX46" s="499" t="n">
        <x:v>482</x:v>
      </x:c>
      <x:c r="BY46" s="499" t="n"/>
      <x:c r="BZ46" s="499" t="n">
        <x:v>772</x:v>
      </x:c>
      <x:c r="CA46" s="499" t="n">
        <x:v>0</x:v>
      </x:c>
      <x:c r="CB46" s="499" t="n">
        <x:v>276</x:v>
      </x:c>
      <x:c r="CC46" s="499" t="n">
        <x:v>36</x:v>
      </x:c>
      <x:c r="CD46" s="500" t="n">
        <x:v>447</x:v>
      </x:c>
      <x:c r="CE46" s="500" t="n">
        <x:v>434</x:v>
      </x:c>
      <x:c r="CF46" s="500" t="n"/>
      <x:c r="CG46" s="500" t="n">
        <x:v>695</x:v>
      </x:c>
      <x:c r="CH46" s="500" t="n">
        <x:v>0</x:v>
      </x:c>
      <x:c r="CI46" s="500" t="n">
        <x:v>248</x:v>
      </x:c>
      <x:c r="CJ46" s="500" t="n">
        <x:v>36</x:v>
      </x:c>
      <x:c r="CK46" s="504" t="n"/>
      <x:c r="CL46" s="504" t="n"/>
      <x:c r="CM46" s="504" t="n"/>
      <x:c r="CN46" s="504" t="n">
        <x:v>2610</x:v>
      </x:c>
      <x:c r="CO46" s="504" t="n">
        <x:v>0</x:v>
      </x:c>
      <x:c r="CP46" s="504" t="n">
        <x:v>2610</x:v>
      </x:c>
      <x:c r="CQ46" s="504" t="n">
        <x:v>100</x:v>
      </x:c>
      <x:c r="CR46" s="505" t="n"/>
      <x:c r="CS46" s="505" t="n"/>
      <x:c r="CT46" s="505" t="n"/>
      <x:c r="CU46" s="505" t="n">
        <x:v>3550</x:v>
      </x:c>
      <x:c r="CV46" s="505" t="n">
        <x:v>0</x:v>
      </x:c>
      <x:c r="CW46" s="505" t="n">
        <x:v>3550</x:v>
      </x:c>
      <x:c r="CX46" s="505" t="n">
        <x:v>100</x:v>
      </x:c>
    </x:row>
    <x:row r="47" s="655" customFormat="1" ht="13.899999618530273" customHeight="1">
      <x:c r="A47" s="494" t="inlineStr">
        <x:is>
          <x:t xml:space="preserve">500 x 706 cm</x:t>
        </x:is>
      </x:c>
      <x:c r="B47" s="495" t="n">
        <x:v>14016</x:v>
      </x:c>
      <x:c r="C47" s="495" t="n">
        <x:v>13596</x:v>
      </x:c>
      <x:c r="D47" s="495" t="n"/>
      <x:c r="E47" s="495" t="n">
        <x:v>21754</x:v>
      </x:c>
      <x:c r="F47" s="495" t="n">
        <x:v>4410</x:v>
      </x:c>
      <x:c r="G47" s="495" t="n">
        <x:v>1610</x:v>
      </x:c>
      <x:c r="H47" s="495" t="n">
        <x:v>10538</x:v>
      </x:c>
      <x:c r="I47" s="495" t="n">
        <x:v>41</x:v>
      </x:c>
      <x:c r="J47" s="496" t="n">
        <x:v>28984</x:v>
      </x:c>
      <x:c r="K47" s="496" t="n">
        <x:v>28115</x:v>
      </x:c>
      <x:c r="L47" s="496" t="n"/>
      <x:c r="M47" s="496" t="n">
        <x:v>46390</x:v>
      </x:c>
      <x:c r="N47" s="496" t="n">
        <x:v>5640</x:v>
      </x:c>
      <x:c r="O47" s="496" t="n">
        <x:v>2250</x:v>
      </x:c>
      <x:c r="P47" s="496" t="n">
        <x:v>20796</x:v>
      </x:c>
      <x:c r="Q47" s="496" t="n">
        <x:v>40</x:v>
      </x:c>
      <x:c r="R47" s="497" t="n">
        <x:v>8057</x:v>
      </x:c>
      <x:c r="S47" s="497" t="n">
        <x:v>7816</x:v>
      </x:c>
      <x:c r="T47" s="497" t="n"/>
      <x:c r="U47" s="497" t="n">
        <x:v>12897</x:v>
      </x:c>
      <x:c r="V47" s="497" t="n">
        <x:v>450</x:v>
      </x:c>
      <x:c r="W47" s="497" t="n">
        <x:v>4390</x:v>
      </x:c>
      <x:c r="X47" s="497" t="n">
        <x:v>35</x:v>
      </x:c>
      <x:c r="Y47" s="498" t="n">
        <x:v>3008</x:v>
      </x:c>
      <x:c r="Z47" s="498" t="n">
        <x:v>2918</x:v>
      </x:c>
      <x:c r="AA47" s="498" t="n"/>
      <x:c r="AB47" s="498" t="n">
        <x:v>4669</x:v>
      </x:c>
      <x:c r="AC47" s="498" t="n">
        <x:v>150</x:v>
      </x:c>
      <x:c r="AD47" s="498" t="n">
        <x:v>1511</x:v>
      </x:c>
      <x:c r="AE47" s="498" t="n">
        <x:v>33</x:v>
      </x:c>
      <x:c r="AF47" s="499" t="n">
        <x:v>3886</x:v>
      </x:c>
      <x:c r="AG47" s="499" t="n">
        <x:v>3770</x:v>
      </x:c>
      <x:c r="AH47" s="499" t="n"/>
      <x:c r="AI47" s="499" t="n">
        <x:v>6032</x:v>
      </x:c>
      <x:c r="AJ47" s="499" t="n">
        <x:v>300</x:v>
      </x:c>
      <x:c r="AK47" s="499" t="n">
        <x:v>1845.82</x:v>
      </x:c>
      <x:c r="AL47" s="499" t="n">
        <x:v>31</x:v>
      </x:c>
      <x:c r="AM47" s="500" t="n">
        <x:v>7114</x:v>
      </x:c>
      <x:c r="AN47" s="500" t="n">
        <x:v>6901</x:v>
      </x:c>
      <x:c r="AO47" s="500" t="n"/>
      <x:c r="AP47" s="500" t="n">
        <x:v>11042</x:v>
      </x:c>
      <x:c r="AQ47" s="500" t="n">
        <x:v>450</x:v>
      </x:c>
      <x:c r="AR47" s="500" t="n">
        <x:v>3478</x:v>
      </x:c>
      <x:c r="AS47" s="500" t="n">
        <x:v>32</x:v>
      </x:c>
      <x:c r="AT47" s="498" t="n">
        <x:v>797</x:v>
      </x:c>
      <x:c r="AU47" s="498" t="n">
        <x:v>773</x:v>
      </x:c>
      <x:c r="AV47" s="498" t="n"/>
      <x:c r="AW47" s="498" t="n">
        <x:v>1237</x:v>
      </x:c>
      <x:c r="AX47" s="498" t="n">
        <x:v>14134</x:v>
      </x:c>
      <x:c r="AY47" s="498" t="n">
        <x:v>0</x:v>
      </x:c>
      <x:c r="AZ47" s="498" t="n">
        <x:v>440</x:v>
      </x:c>
      <x:c r="BA47" s="498" t="n">
        <x:v>36</x:v>
      </x:c>
      <x:c r="BB47" s="501" t="n">
        <x:v>593</x:v>
      </x:c>
      <x:c r="BC47" s="501" t="n">
        <x:v>576</x:v>
      </x:c>
      <x:c r="BD47" s="501" t="n"/>
      <x:c r="BE47" s="501" t="n">
        <x:v>922</x:v>
      </x:c>
      <x:c r="BF47" s="501" t="n">
        <x:v>0</x:v>
      </x:c>
      <x:c r="BG47" s="501" t="n">
        <x:v>329</x:v>
      </x:c>
      <x:c r="BH47" s="501" t="n">
        <x:v>36</x:v>
      </x:c>
      <x:c r="BI47" s="502" t="n">
        <x:v>1659</x:v>
      </x:c>
      <x:c r="BJ47" s="502" t="n">
        <x:v>1609</x:v>
      </x:c>
      <x:c r="BK47" s="502" t="n"/>
      <x:c r="BL47" s="502" t="n">
        <x:v>2575</x:v>
      </x:c>
      <x:c r="BM47" s="502" t="n">
        <x:v>0</x:v>
      </x:c>
      <x:c r="BN47" s="502" t="n">
        <x:v>916</x:v>
      </x:c>
      <x:c r="BO47" s="502" t="n">
        <x:v>36</x:v>
      </x:c>
      <x:c r="BP47" s="503" t="n">
        <x:v>1220</x:v>
      </x:c>
      <x:c r="BQ47" s="503" t="n">
        <x:v>1183</x:v>
      </x:c>
      <x:c r="BR47" s="503" t="n"/>
      <x:c r="BS47" s="503" t="n">
        <x:v>2603</x:v>
      </x:c>
      <x:c r="BT47" s="503" t="n">
        <x:v>570</x:v>
      </x:c>
      <x:c r="BU47" s="503" t="n">
        <x:v>813</x:v>
      </x:c>
      <x:c r="BV47" s="503" t="n">
        <x:v>32</x:v>
      </x:c>
      <x:c r="BW47" s="499" t="n">
        <x:v>528</x:v>
      </x:c>
      <x:c r="BX47" s="499" t="n">
        <x:v>513</x:v>
      </x:c>
      <x:c r="BY47" s="499" t="n"/>
      <x:c r="BZ47" s="499" t="n">
        <x:v>821</x:v>
      </x:c>
      <x:c r="CA47" s="499" t="n">
        <x:v>0</x:v>
      </x:c>
      <x:c r="CB47" s="499" t="n">
        <x:v>293</x:v>
      </x:c>
      <x:c r="CC47" s="499" t="n">
        <x:v>36</x:v>
      </x:c>
      <x:c r="CD47" s="500" t="n">
        <x:v>472</x:v>
      </x:c>
      <x:c r="CE47" s="500" t="n">
        <x:v>458</x:v>
      </x:c>
      <x:c r="CF47" s="500" t="n"/>
      <x:c r="CG47" s="500" t="n">
        <x:v>733</x:v>
      </x:c>
      <x:c r="CH47" s="500" t="n">
        <x:v>0</x:v>
      </x:c>
      <x:c r="CI47" s="500" t="n">
        <x:v>261</x:v>
      </x:c>
      <x:c r="CJ47" s="500" t="n">
        <x:v>36</x:v>
      </x:c>
      <x:c r="CK47" s="504" t="n"/>
      <x:c r="CL47" s="504" t="n"/>
      <x:c r="CM47" s="504" t="n"/>
      <x:c r="CN47" s="504" t="n">
        <x:v>3265</x:v>
      </x:c>
      <x:c r="CO47" s="504" t="n">
        <x:v>0</x:v>
      </x:c>
      <x:c r="CP47" s="504" t="n">
        <x:v>3265</x:v>
      </x:c>
      <x:c r="CQ47" s="504" t="n">
        <x:v>100</x:v>
      </x:c>
      <x:c r="CR47" s="505" t="n"/>
      <x:c r="CS47" s="505" t="n"/>
      <x:c r="CT47" s="505" t="n"/>
      <x:c r="CU47" s="505" t="n">
        <x:v>3907</x:v>
      </x:c>
      <x:c r="CV47" s="505" t="n">
        <x:v>0</x:v>
      </x:c>
      <x:c r="CW47" s="505" t="n">
        <x:v>3907</x:v>
      </x:c>
      <x:c r="CX47" s="505" t="n">
        <x:v>100</x:v>
      </x:c>
    </x:row>
    <x:row r="48" s="655" customFormat="1" ht="13.899999618530273" customHeight="1">
      <x:c r="A48" s="494" t="inlineStr">
        <x:is>
          <x:t xml:space="preserve">500 x 806 cm</x:t>
        </x:is>
      </x:c>
      <x:c r="B48" s="495" t="n">
        <x:v>15642</x:v>
      </x:c>
      <x:c r="C48" s="495" t="n">
        <x:v>15174</x:v>
      </x:c>
      <x:c r="D48" s="495" t="n"/>
      <x:c r="E48" s="495" t="n">
        <x:v>24279</x:v>
      </x:c>
      <x:c r="F48" s="495" t="n">
        <x:v>4690</x:v>
      </x:c>
      <x:c r="G48" s="495" t="n">
        <x:v>1740</x:v>
      </x:c>
      <x:c r="H48" s="495" t="n">
        <x:v>11587</x:v>
      </x:c>
      <x:c r="I48" s="495" t="n">
        <x:v>40</x:v>
      </x:c>
      <x:c r="J48" s="496" t="n">
        <x:v>31325</x:v>
      </x:c>
      <x:c r="K48" s="496" t="n">
        <x:v>30386</x:v>
      </x:c>
      <x:c r="L48" s="496" t="n"/>
      <x:c r="M48" s="496" t="n">
        <x:v>50137</x:v>
      </x:c>
      <x:c r="N48" s="496" t="n">
        <x:v>6000</x:v>
      </x:c>
      <x:c r="O48" s="496" t="n">
        <x:v>2430</x:v>
      </x:c>
      <x:c r="P48" s="496" t="n">
        <x:v>22382</x:v>
      </x:c>
      <x:c r="Q48" s="496" t="n">
        <x:v>40</x:v>
      </x:c>
      <x:c r="R48" s="497" t="n">
        <x:v>9317</x:v>
      </x:c>
      <x:c r="S48" s="497" t="n">
        <x:v>9038</x:v>
      </x:c>
      <x:c r="T48" s="497" t="n"/>
      <x:c r="U48" s="497" t="n">
        <x:v>14913</x:v>
      </x:c>
      <x:c r="V48" s="497" t="n">
        <x:v>490</x:v>
      </x:c>
      <x:c r="W48" s="497" t="n">
        <x:v>5106</x:v>
      </x:c>
      <x:c r="X48" s="497" t="n">
        <x:v>35</x:v>
      </x:c>
      <x:c r="Y48" s="498" t="n">
        <x:v>3008</x:v>
      </x:c>
      <x:c r="Z48" s="498" t="n">
        <x:v>2918</x:v>
      </x:c>
      <x:c r="AA48" s="498" t="n"/>
      <x:c r="AB48" s="498" t="n">
        <x:v>4669</x:v>
      </x:c>
      <x:c r="AC48" s="498" t="n">
        <x:v>150</x:v>
      </x:c>
      <x:c r="AD48" s="498" t="n">
        <x:v>1511</x:v>
      </x:c>
      <x:c r="AE48" s="498" t="n">
        <x:v>33</x:v>
      </x:c>
      <x:c r="AF48" s="499" t="n">
        <x:v>4293</x:v>
      </x:c>
      <x:c r="AG48" s="499" t="n">
        <x:v>4164</x:v>
      </x:c>
      <x:c r="AH48" s="499" t="n"/>
      <x:c r="AI48" s="499" t="n">
        <x:v>6663</x:v>
      </x:c>
      <x:c r="AJ48" s="499" t="n">
        <x:v>300</x:v>
      </x:c>
      <x:c r="AK48" s="499" t="n">
        <x:v>2070.32</x:v>
      </x:c>
      <x:c r="AL48" s="499" t="n">
        <x:v>32</x:v>
      </x:c>
      <x:c r="AM48" s="500" t="n">
        <x:v>7593</x:v>
      </x:c>
      <x:c r="AN48" s="500" t="n">
        <x:v>7366</x:v>
      </x:c>
      <x:c r="AO48" s="500" t="n"/>
      <x:c r="AP48" s="500" t="n">
        <x:v>11786</x:v>
      </x:c>
      <x:c r="AQ48" s="500" t="n">
        <x:v>500</x:v>
      </x:c>
      <x:c r="AR48" s="500" t="n">
        <x:v>3693</x:v>
      </x:c>
      <x:c r="AS48" s="500" t="n">
        <x:v>32</x:v>
      </x:c>
      <x:c r="AT48" s="498" t="n">
        <x:v>911</x:v>
      </x:c>
      <x:c r="AU48" s="498" t="n">
        <x:v>884</x:v>
      </x:c>
      <x:c r="AV48" s="498" t="n"/>
      <x:c r="AW48" s="498" t="n">
        <x:v>1415</x:v>
      </x:c>
      <x:c r="AX48" s="498" t="n">
        <x:v>16328</x:v>
      </x:c>
      <x:c r="AY48" s="498" t="n">
        <x:v>0</x:v>
      </x:c>
      <x:c r="AZ48" s="498" t="n">
        <x:v>504</x:v>
      </x:c>
      <x:c r="BA48" s="498" t="n">
        <x:v>36</x:v>
      </x:c>
      <x:c r="BB48" s="501" t="n">
        <x:v>675</x:v>
      </x:c>
      <x:c r="BC48" s="501" t="n">
        <x:v>655</x:v>
      </x:c>
      <x:c r="BD48" s="501" t="n"/>
      <x:c r="BE48" s="501" t="n">
        <x:v>1048</x:v>
      </x:c>
      <x:c r="BF48" s="501" t="n">
        <x:v>0</x:v>
      </x:c>
      <x:c r="BG48" s="501" t="n">
        <x:v>373</x:v>
      </x:c>
      <x:c r="BH48" s="501" t="n">
        <x:v>36</x:v>
      </x:c>
      <x:c r="BI48" s="502" t="n">
        <x:v>1756</x:v>
      </x:c>
      <x:c r="BJ48" s="502" t="n">
        <x:v>1704</x:v>
      </x:c>
      <x:c r="BK48" s="502" t="n"/>
      <x:c r="BL48" s="502" t="n">
        <x:v>2727</x:v>
      </x:c>
      <x:c r="BM48" s="502" t="n">
        <x:v>0</x:v>
      </x:c>
      <x:c r="BN48" s="502" t="n">
        <x:v>971</x:v>
      </x:c>
      <x:c r="BO48" s="502" t="n">
        <x:v>36</x:v>
      </x:c>
      <x:c r="BP48" s="503" t="n">
        <x:v>1309</x:v>
      </x:c>
      <x:c r="BQ48" s="503" t="n">
        <x:v>1270</x:v>
      </x:c>
      <x:c r="BR48" s="503" t="n"/>
      <x:c r="BS48" s="503" t="n">
        <x:v>2794</x:v>
      </x:c>
      <x:c r="BT48" s="503" t="n">
        <x:v>610</x:v>
      </x:c>
      <x:c r="BU48" s="503" t="n">
        <x:v>875</x:v>
      </x:c>
      <x:c r="BV48" s="503" t="n">
        <x:v>32</x:v>
      </x:c>
      <x:c r="BW48" s="499" t="n">
        <x:v>561</x:v>
      </x:c>
      <x:c r="BX48" s="499" t="n">
        <x:v>545</x:v>
      </x:c>
      <x:c r="BY48" s="499" t="n"/>
      <x:c r="BZ48" s="499" t="n">
        <x:v>872</x:v>
      </x:c>
      <x:c r="CA48" s="499" t="n">
        <x:v>0</x:v>
      </x:c>
      <x:c r="CB48" s="499" t="n">
        <x:v>311</x:v>
      </x:c>
      <x:c r="CC48" s="499" t="n">
        <x:v>36</x:v>
      </x:c>
      <x:c r="CD48" s="500" t="n">
        <x:v>504</x:v>
      </x:c>
      <x:c r="CE48" s="500" t="n">
        <x:v>489</x:v>
      </x:c>
      <x:c r="CF48" s="500" t="n"/>
      <x:c r="CG48" s="500" t="n">
        <x:v>783</x:v>
      </x:c>
      <x:c r="CH48" s="500" t="n">
        <x:v>0</x:v>
      </x:c>
      <x:c r="CI48" s="500" t="n">
        <x:v>279</x:v>
      </x:c>
      <x:c r="CJ48" s="500" t="n">
        <x:v>36</x:v>
      </x:c>
      <x:c r="CK48" s="504" t="n"/>
      <x:c r="CL48" s="504" t="n"/>
      <x:c r="CM48" s="504" t="n"/>
      <x:c r="CN48" s="504" t="n">
        <x:v>3655</x:v>
      </x:c>
      <x:c r="CO48" s="504" t="n">
        <x:v>0</x:v>
      </x:c>
      <x:c r="CP48" s="504" t="n">
        <x:v>3655</x:v>
      </x:c>
      <x:c r="CQ48" s="504" t="n">
        <x:v>100</x:v>
      </x:c>
      <x:c r="CR48" s="505" t="n"/>
      <x:c r="CS48" s="505" t="n"/>
      <x:c r="CT48" s="505" t="n"/>
      <x:c r="CU48" s="505" t="n">
        <x:v>4265</x:v>
      </x:c>
      <x:c r="CV48" s="505" t="n">
        <x:v>0</x:v>
      </x:c>
      <x:c r="CW48" s="505" t="n">
        <x:v>4265</x:v>
      </x:c>
      <x:c r="CX48" s="505" t="n">
        <x:v>100</x:v>
      </x:c>
    </x:row>
    <x:row r="49" s="655" customFormat="1" ht="13.899999618530273" customHeight="1">
      <x:c r="A49" s="494" t="inlineStr">
        <x:is>
          <x:t xml:space="preserve">500 x 906 cm</x:t>
        </x:is>
      </x:c>
      <x:c r="B49" s="495" t="n">
        <x:v>17675</x:v>
      </x:c>
      <x:c r="C49" s="495" t="n">
        <x:v>17145</x:v>
      </x:c>
      <x:c r="D49" s="495" t="n"/>
      <x:c r="E49" s="495" t="n">
        <x:v>27432</x:v>
      </x:c>
      <x:c r="F49" s="495" t="n">
        <x:v>4960</x:v>
      </x:c>
      <x:c r="G49" s="495" t="n">
        <x:v>1860</x:v>
      </x:c>
      <x:c r="H49" s="495" t="n">
        <x:v>12857</x:v>
      </x:c>
      <x:c r="I49" s="495" t="n">
        <x:v>40</x:v>
      </x:c>
      <x:c r="J49" s="496" t="n">
        <x:v>34244</x:v>
      </x:c>
      <x:c r="K49" s="496" t="n">
        <x:v>33217</x:v>
      </x:c>
      <x:c r="L49" s="496" t="n"/>
      <x:c r="M49" s="496" t="n">
        <x:v>54809</x:v>
      </x:c>
      <x:c r="N49" s="496" t="n">
        <x:v>6370</x:v>
      </x:c>
      <x:c r="O49" s="496" t="n">
        <x:v>2610</x:v>
      </x:c>
      <x:c r="P49" s="496" t="n">
        <x:v>24325</x:v>
      </x:c>
      <x:c r="Q49" s="496" t="n">
        <x:v>40</x:v>
      </x:c>
      <x:c r="R49" s="497" t="n">
        <x:v>10577</x:v>
      </x:c>
      <x:c r="S49" s="497" t="n">
        <x:v>10260</x:v>
      </x:c>
      <x:c r="T49" s="497" t="n"/>
      <x:c r="U49" s="497" t="n">
        <x:v>16929</x:v>
      </x:c>
      <x:c r="V49" s="497" t="n">
        <x:v>520</x:v>
      </x:c>
      <x:c r="W49" s="497" t="n">
        <x:v>5832</x:v>
      </x:c>
      <x:c r="X49" s="497" t="n">
        <x:v>35</x:v>
      </x:c>
      <x:c r="Y49" s="498" t="n">
        <x:v>3008</x:v>
      </x:c>
      <x:c r="Z49" s="498" t="n">
        <x:v>2918</x:v>
      </x:c>
      <x:c r="AA49" s="498" t="n"/>
      <x:c r="AB49" s="498" t="n">
        <x:v>4669</x:v>
      </x:c>
      <x:c r="AC49" s="498" t="n">
        <x:v>150</x:v>
      </x:c>
      <x:c r="AD49" s="498" t="n">
        <x:v>1511</x:v>
      </x:c>
      <x:c r="AE49" s="498" t="n">
        <x:v>33</x:v>
      </x:c>
      <x:c r="AF49" s="499" t="n">
        <x:v>5203</x:v>
      </x:c>
      <x:c r="AG49" s="499" t="n">
        <x:v>5048</x:v>
      </x:c>
      <x:c r="AH49" s="499" t="n"/>
      <x:c r="AI49" s="499" t="n">
        <x:v>8077</x:v>
      </x:c>
      <x:c r="AJ49" s="499" t="n">
        <x:v>450</x:v>
      </x:c>
      <x:c r="AK49" s="499" t="n">
        <x:v>2423.75</x:v>
      </x:c>
      <x:c r="AL49" s="499" t="n">
        <x:v>31</x:v>
      </x:c>
      <x:c r="AM49" s="500" t="n">
        <x:v>8203</x:v>
      </x:c>
      <x:c r="AN49" s="500" t="n">
        <x:v>7958</x:v>
      </x:c>
      <x:c r="AO49" s="500" t="n"/>
      <x:c r="AP49" s="500" t="n">
        <x:v>12733</x:v>
      </x:c>
      <x:c r="AQ49" s="500" t="n">
        <x:v>550</x:v>
      </x:c>
      <x:c r="AR49" s="500" t="n">
        <x:v>3980</x:v>
      </x:c>
      <x:c r="AS49" s="500" t="n">
        <x:v>32</x:v>
      </x:c>
      <x:c r="AT49" s="498" t="n">
        <x:v>1024</x:v>
      </x:c>
      <x:c r="AU49" s="498" t="n">
        <x:v>994</x:v>
      </x:c>
      <x:c r="AV49" s="498" t="n"/>
      <x:c r="AW49" s="498" t="n">
        <x:v>1591</x:v>
      </x:c>
      <x:c r="AX49" s="498" t="n">
        <x:v>18520</x:v>
      </x:c>
      <x:c r="AY49" s="498" t="n">
        <x:v>0</x:v>
      </x:c>
      <x:c r="AZ49" s="498" t="n">
        <x:v>567</x:v>
      </x:c>
      <x:c r="BA49" s="498" t="n">
        <x:v>36</x:v>
      </x:c>
      <x:c r="BB49" s="501" t="n">
        <x:v>764</x:v>
      </x:c>
      <x:c r="BC49" s="501" t="n">
        <x:v>742</x:v>
      </x:c>
      <x:c r="BD49" s="501" t="n"/>
      <x:c r="BE49" s="501" t="n">
        <x:v>1188</x:v>
      </x:c>
      <x:c r="BF49" s="501" t="n">
        <x:v>0</x:v>
      </x:c>
      <x:c r="BG49" s="501" t="n">
        <x:v>424</x:v>
      </x:c>
      <x:c r="BH49" s="501" t="n">
        <x:v>36</x:v>
      </x:c>
      <x:c r="BI49" s="502" t="n">
        <x:v>1854</x:v>
      </x:c>
      <x:c r="BJ49" s="502" t="n">
        <x:v>1799</x:v>
      </x:c>
      <x:c r="BK49" s="502" t="n"/>
      <x:c r="BL49" s="502" t="n">
        <x:v>2879</x:v>
      </x:c>
      <x:c r="BM49" s="502" t="n">
        <x:v>0</x:v>
      </x:c>
      <x:c r="BN49" s="502" t="n">
        <x:v>1025</x:v>
      </x:c>
      <x:c r="BO49" s="502" t="n">
        <x:v>36</x:v>
      </x:c>
      <x:c r="BP49" s="503" t="n">
        <x:v>1423</x:v>
      </x:c>
      <x:c r="BQ49" s="503" t="n">
        <x:v>1381</x:v>
      </x:c>
      <x:c r="BR49" s="503" t="n"/>
      <x:c r="BS49" s="503" t="n">
        <x:v>3039</x:v>
      </x:c>
      <x:c r="BT49" s="503" t="n">
        <x:v>610</x:v>
      </x:c>
      <x:c r="BU49" s="503" t="n">
        <x:v>1006</x:v>
      </x:c>
      <x:c r="BV49" s="503" t="n">
        <x:v>34</x:v>
      </x:c>
      <x:c r="BW49" s="499" t="n">
        <x:v>585</x:v>
      </x:c>
      <x:c r="BX49" s="499" t="n">
        <x:v>568</x:v>
      </x:c>
      <x:c r="BY49" s="499" t="n"/>
      <x:c r="BZ49" s="499" t="n">
        <x:v>909</x:v>
      </x:c>
      <x:c r="CA49" s="499" t="n">
        <x:v>0</x:v>
      </x:c>
      <x:c r="CB49" s="499" t="n">
        <x:v>324</x:v>
      </x:c>
      <x:c r="CC49" s="499" t="n">
        <x:v>36</x:v>
      </x:c>
      <x:c r="CD49" s="500" t="n">
        <x:v>528</x:v>
      </x:c>
      <x:c r="CE49" s="500" t="n">
        <x:v>513</x:v>
      </x:c>
      <x:c r="CF49" s="500" t="n"/>
      <x:c r="CG49" s="500" t="n">
        <x:v>821</x:v>
      </x:c>
      <x:c r="CH49" s="500" t="n">
        <x:v>0</x:v>
      </x:c>
      <x:c r="CI49" s="500" t="n">
        <x:v>293</x:v>
      </x:c>
      <x:c r="CJ49" s="500" t="n">
        <x:v>36</x:v>
      </x:c>
      <x:c r="CK49" s="504" t="n"/>
      <x:c r="CL49" s="504" t="n"/>
      <x:c r="CM49" s="504" t="n"/>
      <x:c r="CN49" s="504" t="n">
        <x:v>4035</x:v>
      </x:c>
      <x:c r="CO49" s="504" t="n">
        <x:v>0</x:v>
      </x:c>
      <x:c r="CP49" s="504" t="n">
        <x:v>4035</x:v>
      </x:c>
      <x:c r="CQ49" s="504" t="n">
        <x:v>100</x:v>
      </x:c>
      <x:c r="CR49" s="505" t="n"/>
      <x:c r="CS49" s="505" t="n"/>
      <x:c r="CT49" s="505" t="n"/>
      <x:c r="CU49" s="505" t="n">
        <x:v>4622</x:v>
      </x:c>
      <x:c r="CV49" s="505" t="n">
        <x:v>0</x:v>
      </x:c>
      <x:c r="CW49" s="505" t="n">
        <x:v>4622</x:v>
      </x:c>
      <x:c r="CX49" s="505" t="n">
        <x:v>100</x:v>
      </x:c>
    </x:row>
    <x:row r="50" s="655" customFormat="1" ht="13.899999618530273" customHeight="1">
      <x:c r="A50" s="494" t="inlineStr">
        <x:is>
          <x:t xml:space="preserve">500 x 1006 cm</x:t>
        </x:is>
      </x:c>
      <x:c r="B50" s="495" t="n">
        <x:v>19309</x:v>
      </x:c>
      <x:c r="C50" s="495" t="n">
        <x:v>18730</x:v>
      </x:c>
      <x:c r="D50" s="495" t="n"/>
      <x:c r="E50" s="495" t="n">
        <x:v>29968</x:v>
      </x:c>
      <x:c r="F50" s="495" t="n">
        <x:v>5230</x:v>
      </x:c>
      <x:c r="G50" s="495" t="n">
        <x:v>1990</x:v>
      </x:c>
      <x:c r="H50" s="495" t="n">
        <x:v>13899</x:v>
      </x:c>
      <x:c r="I50" s="495" t="n">
        <x:v>40</x:v>
      </x:c>
      <x:c r="J50" s="496" t="n">
        <x:v>36789</x:v>
      </x:c>
      <x:c r="K50" s="496" t="n">
        <x:v>35685</x:v>
      </x:c>
      <x:c r="L50" s="496" t="n"/>
      <x:c r="M50" s="496" t="n">
        <x:v>58881</x:v>
      </x:c>
      <x:c r="N50" s="496" t="n">
        <x:v>6730</x:v>
      </x:c>
      <x:c r="O50" s="496" t="n">
        <x:v>2790</x:v>
      </x:c>
      <x:c r="P50" s="496" t="n">
        <x:v>26032</x:v>
      </x:c>
      <x:c r="Q50" s="496" t="n">
        <x:v>40</x:v>
      </x:c>
      <x:c r="R50" s="497" t="n">
        <x:v>11821</x:v>
      </x:c>
      <x:c r="S50" s="497" t="n">
        <x:v>11467</x:v>
      </x:c>
      <x:c r="T50" s="497" t="n"/>
      <x:c r="U50" s="497" t="n">
        <x:v>18921</x:v>
      </x:c>
      <x:c r="V50" s="497" t="n">
        <x:v>560</x:v>
      </x:c>
      <x:c r="W50" s="497" t="n">
        <x:v>6540</x:v>
      </x:c>
      <x:c r="X50" s="497" t="n">
        <x:v>35</x:v>
      </x:c>
      <x:c r="Y50" s="498" t="n">
        <x:v>3008</x:v>
      </x:c>
      <x:c r="Z50" s="498" t="n">
        <x:v>2918</x:v>
      </x:c>
      <x:c r="AA50" s="498" t="n"/>
      <x:c r="AB50" s="498" t="n">
        <x:v>4669</x:v>
      </x:c>
      <x:c r="AC50" s="498" t="n">
        <x:v>150</x:v>
      </x:c>
      <x:c r="AD50" s="498" t="n">
        <x:v>1511</x:v>
      </x:c>
      <x:c r="AE50" s="498" t="n">
        <x:v>33</x:v>
      </x:c>
      <x:c r="AF50" s="499" t="n">
        <x:v>5618</x:v>
      </x:c>
      <x:c r="AG50" s="499" t="n">
        <x:v>5450</x:v>
      </x:c>
      <x:c r="AH50" s="499" t="n"/>
      <x:c r="AI50" s="499" t="n">
        <x:v>8720</x:v>
      </x:c>
      <x:c r="AJ50" s="499" t="n">
        <x:v>450</x:v>
      </x:c>
      <x:c r="AK50" s="499" t="n">
        <x:v>2652.11</x:v>
      </x:c>
      <x:c r="AL50" s="499" t="n">
        <x:v>31</x:v>
      </x:c>
      <x:c r="AM50" s="500" t="n">
        <x:v>8805</x:v>
      </x:c>
      <x:c r="AN50" s="500" t="n">
        <x:v>8541</x:v>
      </x:c>
      <x:c r="AO50" s="500" t="n"/>
      <x:c r="AP50" s="500" t="n">
        <x:v>13666</x:v>
      </x:c>
      <x:c r="AQ50" s="500" t="n">
        <x:v>600</x:v>
      </x:c>
      <x:c r="AR50" s="500" t="n">
        <x:v>4261</x:v>
      </x:c>
      <x:c r="AS50" s="500" t="n">
        <x:v>32</x:v>
      </x:c>
      <x:c r="AT50" s="498" t="n">
        <x:v>1138</x:v>
      </x:c>
      <x:c r="AU50" s="498" t="n">
        <x:v>1105</x:v>
      </x:c>
      <x:c r="AV50" s="498" t="n"/>
      <x:c r="AW50" s="498" t="n">
        <x:v>1768</x:v>
      </x:c>
      <x:c r="AX50" s="498" t="n">
        <x:v>20689</x:v>
      </x:c>
      <x:c r="AY50" s="498" t="n">
        <x:v>0</x:v>
      </x:c>
      <x:c r="AZ50" s="498" t="n">
        <x:v>630</x:v>
      </x:c>
      <x:c r="BA50" s="498" t="n">
        <x:v>36</x:v>
      </x:c>
      <x:c r="BB50" s="501" t="n">
        <x:v>846</x:v>
      </x:c>
      <x:c r="BC50" s="501" t="n">
        <x:v>821</x:v>
      </x:c>
      <x:c r="BD50" s="501" t="n"/>
      <x:c r="BE50" s="501" t="n">
        <x:v>1314</x:v>
      </x:c>
      <x:c r="BF50" s="501" t="n">
        <x:v>0</x:v>
      </x:c>
      <x:c r="BG50" s="501" t="n">
        <x:v>468</x:v>
      </x:c>
      <x:c r="BH50" s="501" t="n">
        <x:v>36</x:v>
      </x:c>
      <x:c r="BI50" s="502" t="n">
        <x:v>1951</x:v>
      </x:c>
      <x:c r="BJ50" s="502" t="n">
        <x:v>1893</x:v>
      </x:c>
      <x:c r="BK50" s="502" t="n"/>
      <x:c r="BL50" s="502" t="n">
        <x:v>3029</x:v>
      </x:c>
      <x:c r="BM50" s="502" t="n">
        <x:v>0</x:v>
      </x:c>
      <x:c r="BN50" s="502" t="n">
        <x:v>1078</x:v>
      </x:c>
      <x:c r="BO50" s="502" t="n">
        <x:v>36</x:v>
      </x:c>
      <x:c r="BP50" s="503" t="n">
        <x:v>1528</x:v>
      </x:c>
      <x:c r="BQ50" s="503" t="n">
        <x:v>1483</x:v>
      </x:c>
      <x:c r="BR50" s="503" t="n"/>
      <x:c r="BS50" s="503" t="n">
        <x:v>3263</x:v>
      </x:c>
      <x:c r="BT50" s="503" t="n">
        <x:v>650</x:v>
      </x:c>
      <x:c r="BU50" s="503" t="n">
        <x:v>1085</x:v>
      </x:c>
      <x:c r="BV50" s="503" t="n">
        <x:v>34</x:v>
      </x:c>
      <x:c r="BW50" s="499" t="n">
        <x:v>618</x:v>
      </x:c>
      <x:c r="BX50" s="499" t="n">
        <x:v>600</x:v>
      </x:c>
      <x:c r="BY50" s="499" t="n"/>
      <x:c r="BZ50" s="499" t="n">
        <x:v>960</x:v>
      </x:c>
      <x:c r="CA50" s="499" t="n">
        <x:v>0</x:v>
      </x:c>
      <x:c r="CB50" s="499" t="n">
        <x:v>342</x:v>
      </x:c>
      <x:c r="CC50" s="499" t="n">
        <x:v>36</x:v>
      </x:c>
      <x:c r="CD50" s="500" t="n">
        <x:v>561</x:v>
      </x:c>
      <x:c r="CE50" s="500" t="n">
        <x:v>545</x:v>
      </x:c>
      <x:c r="CF50" s="500" t="n"/>
      <x:c r="CG50" s="500" t="n">
        <x:v>872</x:v>
      </x:c>
      <x:c r="CH50" s="500" t="n">
        <x:v>0</x:v>
      </x:c>
      <x:c r="CI50" s="500" t="n">
        <x:v>311</x:v>
      </x:c>
      <x:c r="CJ50" s="500" t="n">
        <x:v>36</x:v>
      </x:c>
      <x:c r="CK50" s="504" t="n"/>
      <x:c r="CL50" s="504" t="n"/>
      <x:c r="CM50" s="504" t="n"/>
      <x:c r="CN50" s="504" t="n">
        <x:v>4630</x:v>
      </x:c>
      <x:c r="CO50" s="504" t="n">
        <x:v>0</x:v>
      </x:c>
      <x:c r="CP50" s="504" t="n">
        <x:v>4630</x:v>
      </x:c>
      <x:c r="CQ50" s="504" t="n">
        <x:v>100</x:v>
      </x:c>
      <x:c r="CR50" s="505" t="n"/>
      <x:c r="CS50" s="505" t="n"/>
      <x:c r="CT50" s="505" t="n"/>
      <x:c r="CU50" s="505" t="n">
        <x:v>5520</x:v>
      </x:c>
      <x:c r="CV50" s="505" t="n">
        <x:v>0</x:v>
      </x:c>
      <x:c r="CW50" s="505" t="n">
        <x:v>5520</x:v>
      </x:c>
      <x:c r="CX50" s="505" t="n">
        <x:v>100</x:v>
      </x:c>
    </x:row>
    <x:row r="51" s="655" customFormat="1" ht="13.899999618530273" customHeight="1">
      <x:c r="A51" s="494" t="inlineStr">
        <x:is>
          <x:t xml:space="preserve">500 x 1106 cm</x:t>
        </x:is>
      </x:c>
      <x:c r="B51" s="495" t="n">
        <x:v>21699</x:v>
      </x:c>
      <x:c r="C51" s="495" t="n">
        <x:v>21049</x:v>
      </x:c>
      <x:c r="D51" s="495" t="n"/>
      <x:c r="E51" s="495" t="n">
        <x:v>33679</x:v>
      </x:c>
      <x:c r="F51" s="495" t="n">
        <x:v>5500</x:v>
      </x:c>
      <x:c r="G51" s="495" t="n">
        <x:v>2120</x:v>
      </x:c>
      <x:c r="H51" s="495" t="n">
        <x:v>15360</x:v>
      </x:c>
      <x:c r="I51" s="495" t="n">
        <x:v>40</x:v>
      </x:c>
      <x:c r="J51" s="496" t="n">
        <x:v>40098</x:v>
      </x:c>
      <x:c r="K51" s="496" t="n">
        <x:v>38895</x:v>
      </x:c>
      <x:c r="L51" s="496" t="n"/>
      <x:c r="M51" s="496" t="n">
        <x:v>64177</x:v>
      </x:c>
      <x:c r="N51" s="496" t="n">
        <x:v>7100</x:v>
      </x:c>
      <x:c r="O51" s="496" t="n">
        <x:v>2970</x:v>
      </x:c>
      <x:c r="P51" s="496" t="n">
        <x:v>28209</x:v>
      </x:c>
      <x:c r="Q51" s="496" t="n">
        <x:v>40</x:v>
      </x:c>
      <x:c r="R51" s="497" t="n">
        <x:v>14333</x:v>
      </x:c>
      <x:c r="S51" s="497" t="n">
        <x:v>13904</x:v>
      </x:c>
      <x:c r="T51" s="497" t="n"/>
      <x:c r="U51" s="497" t="n">
        <x:v>22942</x:v>
      </x:c>
      <x:c r="V51" s="497" t="n">
        <x:v>590</x:v>
      </x:c>
      <x:c r="W51" s="497" t="n">
        <x:v>8019</x:v>
      </x:c>
      <x:c r="X51" s="497" t="n">
        <x:v>35</x:v>
      </x:c>
      <x:c r="Y51" s="498" t="n">
        <x:v>3008</x:v>
      </x:c>
      <x:c r="Z51" s="498" t="n">
        <x:v>2918</x:v>
      </x:c>
      <x:c r="AA51" s="498" t="n"/>
      <x:c r="AB51" s="498" t="n">
        <x:v>4669</x:v>
      </x:c>
      <x:c r="AC51" s="498" t="n">
        <x:v>150</x:v>
      </x:c>
      <x:c r="AD51" s="498" t="n">
        <x:v>1511</x:v>
      </x:c>
      <x:c r="AE51" s="498" t="n">
        <x:v>33</x:v>
      </x:c>
      <x:c r="AF51" s="499" t="n">
        <x:v>6033</x:v>
      </x:c>
      <x:c r="AG51" s="499" t="n">
        <x:v>5852</x:v>
      </x:c>
      <x:c r="AH51" s="499" t="n"/>
      <x:c r="AI51" s="499" t="n">
        <x:v>9364</x:v>
      </x:c>
      <x:c r="AJ51" s="499" t="n">
        <x:v>450</x:v>
      </x:c>
      <x:c r="AK51" s="499" t="n">
        <x:v>2881.48</x:v>
      </x:c>
      <x:c r="AL51" s="499" t="n">
        <x:v>31</x:v>
      </x:c>
      <x:c r="AM51" s="500" t="n">
        <x:v>10911</x:v>
      </x:c>
      <x:c r="AN51" s="500" t="n">
        <x:v>10584</x:v>
      </x:c>
      <x:c r="AO51" s="500" t="n"/>
      <x:c r="AP51" s="500" t="n">
        <x:v>16935</x:v>
      </x:c>
      <x:c r="AQ51" s="500" t="n">
        <x:v>650</x:v>
      </x:c>
      <x:c r="AR51" s="500" t="n">
        <x:v>5374</x:v>
      </x:c>
      <x:c r="AS51" s="500" t="n">
        <x:v>32</x:v>
      </x:c>
      <x:c r="AT51" s="498" t="n">
        <x:v>1252</x:v>
      </x:c>
      <x:c r="AU51" s="498" t="n">
        <x:v>1215</x:v>
      </x:c>
      <x:c r="AV51" s="498" t="n"/>
      <x:c r="AW51" s="498" t="n">
        <x:v>1944</x:v>
      </x:c>
      <x:c r="AX51" s="498" t="n">
        <x:v>24886</x:v>
      </x:c>
      <x:c r="AY51" s="498" t="n">
        <x:v>0</x:v>
      </x:c>
      <x:c r="AZ51" s="498" t="n">
        <x:v>692</x:v>
      </x:c>
      <x:c r="BA51" s="498" t="n">
        <x:v>36</x:v>
      </x:c>
      <x:c r="BB51" s="501" t="n">
        <x:v>927</x:v>
      </x:c>
      <x:c r="BC51" s="501" t="n">
        <x:v>900</x:v>
      </x:c>
      <x:c r="BD51" s="501" t="n"/>
      <x:c r="BE51" s="501" t="n">
        <x:v>1440</x:v>
      </x:c>
      <x:c r="BF51" s="501" t="n">
        <x:v>0</x:v>
      </x:c>
      <x:c r="BG51" s="501" t="n">
        <x:v>513</x:v>
      </x:c>
      <x:c r="BH51" s="501" t="n">
        <x:v>36</x:v>
      </x:c>
      <x:c r="BI51" s="502" t="n">
        <x:v>2049</x:v>
      </x:c>
      <x:c r="BJ51" s="502" t="n">
        <x:v>1988</x:v>
      </x:c>
      <x:c r="BK51" s="502" t="n"/>
      <x:c r="BL51" s="502" t="n">
        <x:v>3181</x:v>
      </x:c>
      <x:c r="BM51" s="502" t="n">
        <x:v>0</x:v>
      </x:c>
      <x:c r="BN51" s="502" t="n">
        <x:v>1132</x:v>
      </x:c>
      <x:c r="BO51" s="502" t="n">
        <x:v>36</x:v>
      </x:c>
      <x:c r="BP51" s="503" t="n">
        <x:v>1764</x:v>
      </x:c>
      <x:c r="BQ51" s="503" t="n">
        <x:v>1712</x:v>
      </x:c>
      <x:c r="BR51" s="503" t="n"/>
      <x:c r="BS51" s="503" t="n">
        <x:v>3767</x:v>
      </x:c>
      <x:c r="BT51" s="503" t="n">
        <x:v>690</x:v>
      </x:c>
      <x:c r="BU51" s="503" t="n">
        <x:v>1313</x:v>
      </x:c>
      <x:c r="BV51" s="503" t="n">
        <x:v>35</x:v>
      </x:c>
      <x:c r="BW51" s="499" t="n">
        <x:v>650</x:v>
      </x:c>
      <x:c r="BX51" s="499" t="n">
        <x:v>631</x:v>
      </x:c>
      <x:c r="BY51" s="499" t="n"/>
      <x:c r="BZ51" s="499" t="n">
        <x:v>1010</x:v>
      </x:c>
      <x:c r="CA51" s="499" t="n">
        <x:v>0</x:v>
      </x:c>
      <x:c r="CB51" s="499" t="n">
        <x:v>360</x:v>
      </x:c>
      <x:c r="CC51" s="499" t="n">
        <x:v>36</x:v>
      </x:c>
      <x:c r="CD51" s="500" t="n">
        <x:v>585</x:v>
      </x:c>
      <x:c r="CE51" s="500" t="n">
        <x:v>568</x:v>
      </x:c>
      <x:c r="CF51" s="500" t="n"/>
      <x:c r="CG51" s="500" t="n">
        <x:v>909</x:v>
      </x:c>
      <x:c r="CH51" s="500" t="n">
        <x:v>0</x:v>
      </x:c>
      <x:c r="CI51" s="500" t="n">
        <x:v>324</x:v>
      </x:c>
      <x:c r="CJ51" s="500" t="n">
        <x:v>36</x:v>
      </x:c>
      <x:c r="CK51" s="504" t="n"/>
      <x:c r="CL51" s="504" t="n"/>
      <x:c r="CM51" s="504" t="n"/>
      <x:c r="CN51" s="504" t="n">
        <x:v>5150</x:v>
      </x:c>
      <x:c r="CO51" s="504" t="n">
        <x:v>0</x:v>
      </x:c>
      <x:c r="CP51" s="504" t="n">
        <x:v>5150</x:v>
      </x:c>
      <x:c r="CQ51" s="504" t="n">
        <x:v>100</x:v>
      </x:c>
      <x:c r="CR51" s="505" t="n"/>
      <x:c r="CS51" s="505" t="n"/>
      <x:c r="CT51" s="505" t="n"/>
      <x:c r="CU51" s="505" t="n">
        <x:v>5877</x:v>
      </x:c>
      <x:c r="CV51" s="505" t="n">
        <x:v>0</x:v>
      </x:c>
      <x:c r="CW51" s="505" t="n">
        <x:v>5877</x:v>
      </x:c>
      <x:c r="CX51" s="505" t="n">
        <x:v>100</x:v>
      </x:c>
    </x:row>
    <x:row r="52" s="655" customFormat="1" ht="13.899999618530273" customHeight="1">
      <x:c r="A52" s="494" t="inlineStr">
        <x:is>
          <x:t xml:space="preserve">500 x 1206 cm</x:t>
        </x:is>
      </x:c>
      <x:c r="B52" s="495" t="n">
        <x:v>23325</x:v>
      </x:c>
      <x:c r="C52" s="495" t="n">
        <x:v>22626</x:v>
      </x:c>
      <x:c r="D52" s="495" t="n"/>
      <x:c r="E52" s="495" t="n">
        <x:v>36202</x:v>
      </x:c>
      <x:c r="F52" s="495" t="n">
        <x:v>5780</x:v>
      </x:c>
      <x:c r="G52" s="495" t="n">
        <x:v>2250</x:v>
      </x:c>
      <x:c r="H52" s="495" t="n">
        <x:v>16407</x:v>
      </x:c>
      <x:c r="I52" s="495" t="n">
        <x:v>40</x:v>
      </x:c>
      <x:c r="J52" s="496" t="n">
        <x:v>42691</x:v>
      </x:c>
      <x:c r="K52" s="496" t="n">
        <x:v>41411</x:v>
      </x:c>
      <x:c r="L52" s="496" t="n"/>
      <x:c r="M52" s="496" t="n">
        <x:v>68329</x:v>
      </x:c>
      <x:c r="N52" s="496" t="n">
        <x:v>7460</x:v>
      </x:c>
      <x:c r="O52" s="496" t="n">
        <x:v>3150</x:v>
      </x:c>
      <x:c r="P52" s="496" t="n">
        <x:v>29948</x:v>
      </x:c>
      <x:c r="Q52" s="496" t="n">
        <x:v>40</x:v>
      </x:c>
      <x:c r="R52" s="497" t="n">
        <x:v>14325</x:v>
      </x:c>
      <x:c r="S52" s="497" t="n">
        <x:v>13896</x:v>
      </x:c>
      <x:c r="T52" s="497" t="n"/>
      <x:c r="U52" s="497" t="n">
        <x:v>22929</x:v>
      </x:c>
      <x:c r="V52" s="497" t="n">
        <x:v>630</x:v>
      </x:c>
      <x:c r="W52" s="497" t="n">
        <x:v>7974</x:v>
      </x:c>
      <x:c r="X52" s="497" t="n">
        <x:v>35</x:v>
      </x:c>
      <x:c r="Y52" s="498" t="n">
        <x:v>3008</x:v>
      </x:c>
      <x:c r="Z52" s="498" t="n">
        <x:v>2918</x:v>
      </x:c>
      <x:c r="AA52" s="498" t="n"/>
      <x:c r="AB52" s="498" t="n">
        <x:v>4669</x:v>
      </x:c>
      <x:c r="AC52" s="498" t="n">
        <x:v>150</x:v>
      </x:c>
      <x:c r="AD52" s="498" t="n">
        <x:v>1511</x:v>
      </x:c>
      <x:c r="AE52" s="498" t="n">
        <x:v>33</x:v>
      </x:c>
      <x:c r="AF52" s="499" t="n">
        <x:v>6439</x:v>
      </x:c>
      <x:c r="AG52" s="499" t="n">
        <x:v>6246</x:v>
      </x:c>
      <x:c r="AH52" s="499" t="n"/>
      <x:c r="AI52" s="499" t="n">
        <x:v>9994</x:v>
      </x:c>
      <x:c r="AJ52" s="499" t="n">
        <x:v>450</x:v>
      </x:c>
      <x:c r="AK52" s="499" t="n">
        <x:v>3104.98</x:v>
      </x:c>
      <x:c r="AL52" s="499" t="n">
        <x:v>32</x:v>
      </x:c>
      <x:c r="AM52" s="500" t="n">
        <x:v>11390</x:v>
      </x:c>
      <x:c r="AN52" s="500" t="n">
        <x:v>11049</x:v>
      </x:c>
      <x:c r="AO52" s="500" t="n"/>
      <x:c r="AP52" s="500" t="n">
        <x:v>17679</x:v>
      </x:c>
      <x:c r="AQ52" s="500" t="n">
        <x:v>700</x:v>
      </x:c>
      <x:c r="AR52" s="500" t="n">
        <x:v>5589</x:v>
      </x:c>
      <x:c r="AS52" s="500" t="n">
        <x:v>32</x:v>
      </x:c>
      <x:c r="AT52" s="498" t="n">
        <x:v>1366</x:v>
      </x:c>
      <x:c r="AU52" s="498" t="n">
        <x:v>1325</x:v>
      </x:c>
      <x:c r="AV52" s="498" t="n"/>
      <x:c r="AW52" s="498" t="n">
        <x:v>2120</x:v>
      </x:c>
      <x:c r="AX52" s="498" t="n">
        <x:v>25049</x:v>
      </x:c>
      <x:c r="AY52" s="498" t="n">
        <x:v>0</x:v>
      </x:c>
      <x:c r="AZ52" s="498" t="n">
        <x:v>754</x:v>
      </x:c>
      <x:c r="BA52" s="498" t="n">
        <x:v>36</x:v>
      </x:c>
      <x:c r="BB52" s="501" t="n">
        <x:v>1016</x:v>
      </x:c>
      <x:c r="BC52" s="501" t="n">
        <x:v>986</x:v>
      </x:c>
      <x:c r="BD52" s="501" t="n"/>
      <x:c r="BE52" s="501" t="n">
        <x:v>1578</x:v>
      </x:c>
      <x:c r="BF52" s="501" t="n">
        <x:v>0</x:v>
      </x:c>
      <x:c r="BG52" s="501" t="n">
        <x:v>562</x:v>
      </x:c>
      <x:c r="BH52" s="501" t="n">
        <x:v>36</x:v>
      </x:c>
      <x:c r="BI52" s="502" t="n">
        <x:v>2146</x:v>
      </x:c>
      <x:c r="BJ52" s="502" t="n">
        <x:v>2082</x:v>
      </x:c>
      <x:c r="BK52" s="502" t="n"/>
      <x:c r="BL52" s="502" t="n">
        <x:v>3332</x:v>
      </x:c>
      <x:c r="BM52" s="502" t="n">
        <x:v>0</x:v>
      </x:c>
      <x:c r="BN52" s="502" t="n">
        <x:v>1186</x:v>
      </x:c>
      <x:c r="BO52" s="502" t="n">
        <x:v>36</x:v>
      </x:c>
      <x:c r="BP52" s="503" t="n">
        <x:v>2000</x:v>
      </x:c>
      <x:c r="BQ52" s="503" t="n">
        <x:v>1940</x:v>
      </x:c>
      <x:c r="BR52" s="503" t="n"/>
      <x:c r="BS52" s="503" t="n">
        <x:v>4268</x:v>
      </x:c>
      <x:c r="BT52" s="503" t="n">
        <x:v>740</x:v>
      </x:c>
      <x:c r="BU52" s="503" t="n">
        <x:v>1528</x:v>
      </x:c>
      <x:c r="BV52" s="503" t="n">
        <x:v>36</x:v>
      </x:c>
      <x:c r="BW52" s="499" t="n">
        <x:v>683</x:v>
      </x:c>
      <x:c r="BX52" s="499" t="n">
        <x:v>663</x:v>
      </x:c>
      <x:c r="BY52" s="499" t="n"/>
      <x:c r="BZ52" s="499" t="n">
        <x:v>1061</x:v>
      </x:c>
      <x:c r="CA52" s="499" t="n">
        <x:v>0</x:v>
      </x:c>
      <x:c r="CB52" s="499" t="n">
        <x:v>378</x:v>
      </x:c>
      <x:c r="CC52" s="499" t="n">
        <x:v>36</x:v>
      </x:c>
      <x:c r="CD52" s="500" t="n">
        <x:v>618</x:v>
      </x:c>
      <x:c r="CE52" s="500" t="n">
        <x:v>600</x:v>
      </x:c>
      <x:c r="CF52" s="500" t="n"/>
      <x:c r="CG52" s="500" t="n">
        <x:v>960</x:v>
      </x:c>
      <x:c r="CH52" s="500" t="n">
        <x:v>0</x:v>
      </x:c>
      <x:c r="CI52" s="500" t="n">
        <x:v>342</x:v>
      </x:c>
      <x:c r="CJ52" s="500" t="n">
        <x:v>36</x:v>
      </x:c>
      <x:c r="CK52" s="504" t="n"/>
      <x:c r="CL52" s="504" t="n"/>
      <x:c r="CM52" s="504" t="n"/>
      <x:c r="CN52" s="504" t="n">
        <x:v>5530</x:v>
      </x:c>
      <x:c r="CO52" s="504" t="n">
        <x:v>0</x:v>
      </x:c>
      <x:c r="CP52" s="504" t="n">
        <x:v>5530</x:v>
      </x:c>
      <x:c r="CQ52" s="504" t="n">
        <x:v>100</x:v>
      </x:c>
      <x:c r="CR52" s="505" t="n"/>
      <x:c r="CS52" s="505" t="n"/>
      <x:c r="CT52" s="505" t="n"/>
      <x:c r="CU52" s="505" t="n">
        <x:v>6235</x:v>
      </x:c>
      <x:c r="CV52" s="505" t="n">
        <x:v>0</x:v>
      </x:c>
      <x:c r="CW52" s="505" t="n">
        <x:v>6235</x:v>
      </x:c>
      <x:c r="CX52" s="505" t="n">
        <x:v>100</x:v>
      </x:c>
    </x:row>
  </x:sheetData>
  <x:mergeCells>
    <x:mergeCell ref="BI1:BO1"/>
    <x:mergeCell ref="Y1:AE1"/>
    <x:mergeCell ref="CK1:CQ1"/>
    <x:mergeCell ref="BW1:CC1"/>
    <x:mergeCell ref="CR1:CX1"/>
    <x:mergeCell ref="BP1:BV1"/>
    <x:mergeCell ref="CD1:CJ1"/>
    <x:mergeCell ref="R1:X1"/>
    <x:mergeCell ref="AM1:AS1"/>
    <x:mergeCell ref="J1:Q1"/>
    <x:mergeCell ref="AT1:BA1"/>
    <x:mergeCell ref="AF1:AL1"/>
    <x:mergeCell ref="B1:I1"/>
    <x:mergeCell ref="BB1:BH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808080"/>
  </x:sheetPr>
  <x:sheetViews>
    <x:sheetView showGridLines="0" workbookViewId="0"/>
  </x:sheetViews>
  <x:sheetFormatPr baseColWidth="8" defaultRowHeight="14.75"/>
  <x:cols>
    <x:col min="1" max="1" width="22.26953125" style="655" customWidth="1"/>
    <x:col min="2" max="2" width="18.1328125" style="655" customWidth="1"/>
    <x:col min="3" max="3" width="19.54296875" style="655" customWidth="1"/>
    <x:col min="4" max="4" width="15.54296875" style="655" customWidth="1"/>
    <x:col min="5" max="5" width="20.1328125" style="655" customWidth="1"/>
    <x:col min="6" max="6" width="19.26953125" style="655" customWidth="1"/>
    <x:col min="7" max="7" width="15.1328125" style="655" customWidth="1"/>
    <x:col min="8" max="8" width="7" style="655" customWidth="1"/>
    <x:col min="9" max="9" width="6.1328125" style="655" customWidth="1"/>
    <x:col min="10" max="10" width="9.26953125" style="655" customWidth="1"/>
    <x:col min="11" max="11" width="8.26953125" style="655" customWidth="1"/>
  </x:cols>
  <x:sheetData>
    <x:row r="1" s="655" customFormat="1" ht="28.5" customHeight="1">
      <x:c r="A1" s="506" t="inlineStr">
        <x:is>
          <x:t xml:space="preserve">Konstrukcja, rozmiar</x:t>
        </x:is>
      </x:c>
      <x:c r="B1" s="507" t="inlineStr">
        <x:is>
          <x:t xml:space="preserve">Zadaszenie tarasu</x:t>
        </x:is>
      </x:c>
      <x:c r="C1" s="703" t="inlineStr">
        <x:is>
          <x:t xml:space="preserve">Ściany szklane przesuwne:</x:t>
        </x:is>
      </x:c>
      <x:c r="D1" s="632" t="n"/>
      <x:c r="E1" s="703" t="inlineStr">
        <x:is>
          <x:t xml:space="preserve">Pokrycie dachu:</x:t>
        </x:is>
      </x:c>
      <x:c r="F1" s="619" t="n"/>
      <x:c r="G1" s="632" t="n"/>
      <x:c r="H1" s="703" t="inlineStr">
        <x:is>
          <x:t xml:space="preserve">Rolety</x:t>
        </x:is>
      </x:c>
      <x:c r="I1" s="619" t="n"/>
      <x:c r="J1" s="632" t="n"/>
      <x:c r="K1" s="507" t="inlineStr">
        <x:is>
          <x:t xml:space="preserve">Markiza</x:t>
        </x:is>
      </x:c>
    </x:row>
    <x:row r="2" s="655" customFormat="1" ht="28.5" customHeight="1">
      <x:c r="A2" s="508" t="n"/>
      <x:c r="B2" s="509" t="n"/>
      <x:c r="C2" s="510" t="inlineStr">
        <x:is>
          <x:t xml:space="preserve">Szyby przezroczyste</x:t>
        </x:is>
      </x:c>
      <x:c r="D2" s="510" t="inlineStr">
        <x:is>
          <x:t xml:space="preserve">Szyby barwione</x:t>
        </x:is>
      </x:c>
      <x:c r="E2" s="510" t="inlineStr">
        <x:is>
          <x:t xml:space="preserve">Poliwęglan barwiony</x:t>
        </x:is>
      </x:c>
      <x:c r="F2" s="510" t="inlineStr">
        <x:is>
          <x:t xml:space="preserve">Szkło przezroczyste</x:t>
        </x:is>
      </x:c>
      <x:c r="G2" s="510" t="inlineStr">
        <x:is>
          <x:t xml:space="preserve">Szkło barwione</x:t>
        </x:is>
      </x:c>
      <x:c r="H2" s="510" t="inlineStr">
        <x:is>
          <x:t xml:space="preserve">Prawa</x:t>
        </x:is>
      </x:c>
      <x:c r="I2" s="510" t="inlineStr">
        <x:is>
          <x:t xml:space="preserve">Lewa</x:t>
        </x:is>
      </x:c>
      <x:c r="J2" s="510" t="inlineStr">
        <x:is>
          <x:t xml:space="preserve">Przednia</x:t>
        </x:is>
      </x:c>
      <x:c r="K2" s="507" t="n"/>
    </x:row>
    <x:row r="3">
      <x:c r="A3" s="511" t="inlineStr">
        <x:is>
          <x:t xml:space="preserve">300 x 306 cm</x:t>
        </x:is>
      </x:c>
      <x:c r="B3" s="512" t="n">
        <x:v>8383</x:v>
      </x:c>
      <x:c r="C3" s="512" t="n">
        <x:v>15029</x:v>
      </x:c>
      <x:c r="D3" s="512" t="n">
        <x:v>16502</x:v>
      </x:c>
      <x:c r="E3" s="512" t="n">
        <x:v>164</x:v>
      </x:c>
      <x:c r="F3" s="512" t="n">
        <x:v>3000</x:v>
      </x:c>
      <x:c r="G3" s="512" t="n">
        <x:v>3465</x:v>
      </x:c>
      <x:c r="H3" s="512" t="n">
        <x:v>3079</x:v>
      </x:c>
      <x:c r="I3" s="512" t="n">
        <x:v>3079</x:v>
      </x:c>
      <x:c r="J3" s="512" t="n">
        <x:v>3079</x:v>
      </x:c>
      <x:c r="K3" s="512" t="n">
        <x:v>5532</x:v>
      </x:c>
    </x:row>
    <x:row r="4">
      <x:c r="A4" s="511" t="inlineStr">
        <x:is>
          <x:t xml:space="preserve">300 x 406 cm</x:t>
        </x:is>
      </x:c>
      <x:c r="B4" s="512" t="n">
        <x:v>10273</x:v>
      </x:c>
      <x:c r="C4" s="512" t="n">
        <x:v>16280</x:v>
      </x:c>
      <x:c r="D4" s="512" t="n">
        <x:v>17917</x:v>
      </x:c>
      <x:c r="E4" s="512" t="n">
        <x:v>253</x:v>
      </x:c>
      <x:c r="F4" s="512" t="n">
        <x:v>3423</x:v>
      </x:c>
      <x:c r="G4" s="512" t="n">
        <x:v>4036</x:v>
      </x:c>
      <x:c r="H4" s="512" t="n">
        <x:v>3079</x:v>
      </x:c>
      <x:c r="I4" s="512" t="n">
        <x:v>3079</x:v>
      </x:c>
      <x:c r="J4" s="512" t="n">
        <x:v>3761</x:v>
      </x:c>
      <x:c r="K4" s="512" t="n">
        <x:v>6132</x:v>
      </x:c>
    </x:row>
    <x:row r="5">
      <x:c r="A5" s="511" t="inlineStr">
        <x:is>
          <x:t xml:space="preserve">300 x 506 cm</x:t>
        </x:is>
      </x:c>
      <x:c r="B5" s="512" t="n">
        <x:v>12295</x:v>
      </x:c>
      <x:c r="C5" s="512" t="n">
        <x:v>18471</x:v>
      </x:c>
      <x:c r="D5" s="512" t="n">
        <x:v>20270</x:v>
      </x:c>
      <x:c r="E5" s="512" t="n">
        <x:v>342</x:v>
      </x:c>
      <x:c r="F5" s="512" t="n">
        <x:v>4214</x:v>
      </x:c>
      <x:c r="G5" s="512" t="n">
        <x:v>4979</x:v>
      </x:c>
      <x:c r="H5" s="512" t="n">
        <x:v>3079</x:v>
      </x:c>
      <x:c r="I5" s="512" t="n">
        <x:v>3079</x:v>
      </x:c>
      <x:c r="J5" s="512" t="n">
        <x:v>5367</x:v>
      </x:c>
      <x:c r="K5" s="512" t="n">
        <x:v>7112</x:v>
      </x:c>
    </x:row>
    <x:row r="6">
      <x:c r="A6" s="511" t="inlineStr">
        <x:is>
          <x:t xml:space="preserve">300 x 606 cm</x:t>
        </x:is>
      </x:c>
      <x:c r="B6" s="512" t="n">
        <x:v>13921</x:v>
      </x:c>
      <x:c r="C6" s="512" t="n">
        <x:v>20114</x:v>
      </x:c>
      <x:c r="D6" s="512" t="n">
        <x:v>22077</x:v>
      </x:c>
      <x:c r="E6" s="512" t="n">
        <x:v>423</x:v>
      </x:c>
      <x:c r="F6" s="512" t="n">
        <x:v>5112</x:v>
      </x:c>
      <x:c r="G6" s="512" t="n">
        <x:v>6027</x:v>
      </x:c>
      <x:c r="H6" s="512" t="n">
        <x:v>3079</x:v>
      </x:c>
      <x:c r="I6" s="512" t="n">
        <x:v>3079</x:v>
      </x:c>
      <x:c r="J6" s="512" t="n">
        <x:v>6144</x:v>
      </x:c>
      <x:c r="K6" s="512" t="n">
        <x:v>11010</x:v>
      </x:c>
    </x:row>
    <x:row r="7">
      <x:c r="A7" s="511" t="inlineStr">
        <x:is>
          <x:t xml:space="preserve">300 x 706 cm</x:t>
        </x:is>
      </x:c>
      <x:c r="B7" s="512" t="n">
        <x:v>15940</x:v>
      </x:c>
      <x:c r="C7" s="512" t="n">
        <x:v>20335</x:v>
      </x:c>
      <x:c r="D7" s="512" t="n">
        <x:v>22463</x:v>
      </x:c>
      <x:c r="E7" s="512" t="n">
        <x:v>505</x:v>
      </x:c>
      <x:c r="F7" s="512" t="n">
        <x:v>5899</x:v>
      </x:c>
      <x:c r="G7" s="512" t="n">
        <x:v>6964</x:v>
      </x:c>
      <x:c r="H7" s="512" t="n">
        <x:v>3079</x:v>
      </x:c>
      <x:c r="I7" s="512" t="n">
        <x:v>3079</x:v>
      </x:c>
      <x:c r="J7" s="512" t="n">
        <x:v>6839</x:v>
      </x:c>
      <x:c r="K7" s="512" t="n">
        <x:v>11675</x:v>
      </x:c>
    </x:row>
    <x:row r="8">
      <x:c r="A8" s="511" t="inlineStr">
        <x:is>
          <x:t xml:space="preserve">300 x 806 cm</x:t>
        </x:is>
      </x:c>
      <x:c r="B8" s="512" t="n">
        <x:v>18600</x:v>
      </x:c>
      <x:c r="C8" s="512" t="n">
        <x:v>21680</x:v>
      </x:c>
      <x:c r="D8" s="512" t="n">
        <x:v>23970</x:v>
      </x:c>
      <x:c r="E8" s="512" t="n">
        <x:v>588</x:v>
      </x:c>
      <x:c r="F8" s="512" t="n">
        <x:v>7003</x:v>
      </x:c>
      <x:c r="G8" s="512" t="n">
        <x:v>8230</x:v>
      </x:c>
      <x:c r="H8" s="512" t="n">
        <x:v>3079</x:v>
      </x:c>
      <x:c r="I8" s="512" t="n">
        <x:v>3079</x:v>
      </x:c>
      <x:c r="J8" s="512" t="n">
        <x:v>7520</x:v>
      </x:c>
      <x:c r="K8" s="512" t="n">
        <x:v>12261</x:v>
      </x:c>
    </x:row>
    <x:row r="9">
      <x:c r="A9" s="511" t="inlineStr">
        <x:is>
          <x:t xml:space="preserve">300 x 906 cm</x:t>
        </x:is>
      </x:c>
      <x:c r="B9" s="512" t="n">
        <x:v>20676</x:v>
      </x:c>
      <x:c r="C9" s="512" t="n">
        <x:v>23420</x:v>
      </x:c>
      <x:c r="D9" s="512" t="n">
        <x:v>25874</x:v>
      </x:c>
      <x:c r="E9" s="512" t="n">
        <x:v>670</x:v>
      </x:c>
      <x:c r="F9" s="512" t="n">
        <x:v>7791</x:v>
      </x:c>
      <x:c r="G9" s="512" t="n">
        <x:v>9155</x:v>
      </x:c>
      <x:c r="H9" s="512" t="n">
        <x:v>3079</x:v>
      </x:c>
      <x:c r="I9" s="512" t="n">
        <x:v>3079</x:v>
      </x:c>
      <x:c r="J9" s="512" t="n">
        <x:v>9209</x:v>
      </x:c>
      <x:c r="K9" s="512" t="n">
        <x:v>13242</x:v>
      </x:c>
    </x:row>
    <x:row r="10">
      <x:c r="A10" s="511" t="inlineStr">
        <x:is>
          <x:t xml:space="preserve">300 x 1006 cm</x:t>
        </x:is>
      </x:c>
      <x:c r="B10" s="512" t="n">
        <x:v>22738</x:v>
      </x:c>
      <x:c r="C10" s="512" t="n">
        <x:v>25136</x:v>
      </x:c>
      <x:c r="D10" s="512" t="n">
        <x:v>27754</x:v>
      </x:c>
      <x:c r="E10" s="512" t="n">
        <x:v>751</x:v>
      </x:c>
      <x:c r="F10" s="512" t="n">
        <x:v>8622</x:v>
      </x:c>
      <x:c r="G10" s="512" t="n">
        <x:v>10136</x:v>
      </x:c>
      <x:c r="H10" s="512" t="n">
        <x:v>3079</x:v>
      </x:c>
      <x:c r="I10" s="512" t="n">
        <x:v>3079</x:v>
      </x:c>
      <x:c r="J10" s="512" t="n">
        <x:v>9904</x:v>
      </x:c>
      <x:c r="K10" s="512" t="n">
        <x:v>14208</x:v>
      </x:c>
    </x:row>
    <x:row r="11">
      <x:c r="A11" s="511" t="inlineStr">
        <x:is>
          <x:t xml:space="preserve">300 x 1106 cm</x:t>
        </x:is>
      </x:c>
      <x:c r="B11" s="512" t="n">
        <x:v>24324</x:v>
      </x:c>
      <x:c r="C11" s="512" t="n">
        <x:v>26974</x:v>
      </x:c>
      <x:c r="D11" s="512" t="n">
        <x:v>29755</x:v>
      </x:c>
      <x:c r="E11" s="512" t="n">
        <x:v>846</x:v>
      </x:c>
      <x:c r="F11" s="512" t="n">
        <x:v>9468</x:v>
      </x:c>
      <x:c r="G11" s="512" t="n">
        <x:v>11132</x:v>
      </x:c>
      <x:c r="H11" s="512" t="n">
        <x:v>3079</x:v>
      </x:c>
      <x:c r="I11" s="512" t="n">
        <x:v>3079</x:v>
      </x:c>
      <x:c r="J11" s="512" t="n">
        <x:v>10599</x:v>
      </x:c>
      <x:c r="K11" s="512" t="n">
        <x:v>17737</x:v>
      </x:c>
    </x:row>
    <x:row r="12">
      <x:c r="A12" s="511" t="inlineStr">
        <x:is>
          <x:t xml:space="preserve">300 x 1206 cm</x:t>
        </x:is>
      </x:c>
      <x:c r="B12" s="512" t="n">
        <x:v>25910</x:v>
      </x:c>
      <x:c r="C12" s="512" t="n">
        <x:v>28782</x:v>
      </x:c>
      <x:c r="D12" s="512" t="n">
        <x:v>31727</x:v>
      </x:c>
      <x:c r="E12" s="512" t="n">
        <x:v>929</x:v>
      </x:c>
      <x:c r="F12" s="512" t="n">
        <x:v>10369</x:v>
      </x:c>
      <x:c r="G12" s="512" t="n">
        <x:v>12196</x:v>
      </x:c>
      <x:c r="H12" s="512" t="n">
        <x:v>3079</x:v>
      </x:c>
      <x:c r="I12" s="512" t="n">
        <x:v>3079</x:v>
      </x:c>
      <x:c r="J12" s="512" t="n">
        <x:v>11280</x:v>
      </x:c>
      <x:c r="K12" s="512" t="n">
        <x:v>18337</x:v>
      </x:c>
    </x:row>
    <x:row r="13">
      <x:c r="A13" s="511" t="inlineStr">
        <x:is>
          <x:t xml:space="preserve">350 x 306 cm</x:t>
        </x:is>
      </x:c>
      <x:c r="B13" s="512" t="n">
        <x:v>8766</x:v>
      </x:c>
      <x:c r="C13" s="512" t="n">
        <x:v>18406</x:v>
      </x:c>
      <x:c r="D13" s="512" t="n">
        <x:v>20205</x:v>
      </x:c>
      <x:c r="E13" s="512" t="n">
        <x:v>206</x:v>
      </x:c>
      <x:c r="F13" s="512" t="n">
        <x:v>3444</x:v>
      </x:c>
      <x:c r="G13" s="512" t="n">
        <x:v>3909</x:v>
      </x:c>
      <x:c r="H13" s="512" t="n">
        <x:v>3352</x:v>
      </x:c>
      <x:c r="I13" s="512" t="n">
        <x:v>3352</x:v>
      </x:c>
      <x:c r="J13" s="512" t="n">
        <x:v>3079</x:v>
      </x:c>
      <x:c r="K13" s="512" t="n">
        <x:v>5641</x:v>
      </x:c>
    </x:row>
    <x:row r="14">
      <x:c r="A14" s="511" t="inlineStr">
        <x:is>
          <x:t xml:space="preserve">350 x 406 cm</x:t>
        </x:is>
      </x:c>
      <x:c r="B14" s="512" t="n">
        <x:v>10977</x:v>
      </x:c>
      <x:c r="C14" s="512" t="n">
        <x:v>19848</x:v>
      </x:c>
      <x:c r="D14" s="512" t="n">
        <x:v>21811</x:v>
      </x:c>
      <x:c r="E14" s="512" t="n">
        <x:v>273</x:v>
      </x:c>
      <x:c r="F14" s="512" t="n">
        <x:v>4568</x:v>
      </x:c>
      <x:c r="G14" s="512" t="n">
        <x:v>5181</x:v>
      </x:c>
      <x:c r="H14" s="512" t="n">
        <x:v>3352</x:v>
      </x:c>
      <x:c r="I14" s="512" t="n">
        <x:v>3352</x:v>
      </x:c>
      <x:c r="J14" s="512" t="n">
        <x:v>3761</x:v>
      </x:c>
      <x:c r="K14" s="512" t="n">
        <x:v>6403</x:v>
      </x:c>
    </x:row>
    <x:row r="15">
      <x:c r="A15" s="511" t="inlineStr">
        <x:is>
          <x:t xml:space="preserve">350 x 506 cm</x:t>
        </x:is>
      </x:c>
      <x:c r="B15" s="512" t="n">
        <x:v>13241</x:v>
      </x:c>
      <x:c r="C15" s="512" t="n">
        <x:v>21805</x:v>
      </x:c>
      <x:c r="D15" s="512" t="n">
        <x:v>23933</x:v>
      </x:c>
      <x:c r="E15" s="512" t="n">
        <x:v>342</x:v>
      </x:c>
      <x:c r="F15" s="512" t="n">
        <x:v>5820</x:v>
      </x:c>
      <x:c r="G15" s="512" t="n">
        <x:v>6598</x:v>
      </x:c>
      <x:c r="H15" s="512" t="n">
        <x:v>3352</x:v>
      </x:c>
      <x:c r="I15" s="512" t="n">
        <x:v>3352</x:v>
      </x:c>
      <x:c r="J15" s="512" t="n">
        <x:v>5367</x:v>
      </x:c>
      <x:c r="K15" s="512" t="n">
        <x:v>7411</x:v>
      </x:c>
    </x:row>
    <x:row r="16">
      <x:c r="A16" s="511" t="inlineStr">
        <x:is>
          <x:t xml:space="preserve">350 x 606 cm</x:t>
        </x:is>
      </x:c>
      <x:c r="B16" s="512" t="n">
        <x:v>14990</x:v>
      </x:c>
      <x:c r="C16" s="512" t="n">
        <x:v>23468</x:v>
      </x:c>
      <x:c r="D16" s="512" t="n">
        <x:v>25758</x:v>
      </x:c>
      <x:c r="E16" s="512" t="n">
        <x:v>410</x:v>
      </x:c>
      <x:c r="F16" s="512" t="n">
        <x:v>6970</x:v>
      </x:c>
      <x:c r="G16" s="512" t="n">
        <x:v>7912</x:v>
      </x:c>
      <x:c r="H16" s="512" t="n">
        <x:v>3352</x:v>
      </x:c>
      <x:c r="I16" s="512" t="n">
        <x:v>3352</x:v>
      </x:c>
      <x:c r="J16" s="512" t="n">
        <x:v>6144</x:v>
      </x:c>
      <x:c r="K16" s="512" t="n">
        <x:v>11227</x:v>
      </x:c>
    </x:row>
    <x:row r="17">
      <x:c r="A17" s="511" t="inlineStr">
        <x:is>
          <x:t xml:space="preserve">350 x 706 cm</x:t>
        </x:is>
      </x:c>
      <x:c r="B17" s="512" t="n">
        <x:v>17012</x:v>
      </x:c>
      <x:c r="C17" s="512" t="n">
        <x:v>23706</x:v>
      </x:c>
      <x:c r="D17" s="512" t="n">
        <x:v>26160</x:v>
      </x:c>
      <x:c r="E17" s="512" t="n">
        <x:v>480</x:v>
      </x:c>
      <x:c r="F17" s="512" t="n">
        <x:v>7961</x:v>
      </x:c>
      <x:c r="G17" s="512" t="n">
        <x:v>9052</x:v>
      </x:c>
      <x:c r="H17" s="512" t="n">
        <x:v>3352</x:v>
      </x:c>
      <x:c r="I17" s="512" t="n">
        <x:v>3352</x:v>
      </x:c>
      <x:c r="J17" s="512" t="n">
        <x:v>6839</x:v>
      </x:c>
      <x:c r="K17" s="512" t="n">
        <x:v>12043</x:v>
      </x:c>
    </x:row>
    <x:row r="18">
      <x:c r="A18" s="511" t="inlineStr">
        <x:is>
          <x:t xml:space="preserve">350 x 806 cm</x:t>
        </x:is>
      </x:c>
      <x:c r="B18" s="512" t="n">
        <x:v>19900</x:v>
      </x:c>
      <x:c r="C18" s="512" t="n">
        <x:v>25044</x:v>
      </x:c>
      <x:c r="D18" s="512" t="n">
        <x:v>27662</x:v>
      </x:c>
      <x:c r="E18" s="512" t="n">
        <x:v>546</x:v>
      </x:c>
      <x:c r="F18" s="512" t="n">
        <x:v>9483</x:v>
      </x:c>
      <x:c r="G18" s="512" t="n">
        <x:v>10724</x:v>
      </x:c>
      <x:c r="H18" s="512" t="n">
        <x:v>3352</x:v>
      </x:c>
      <x:c r="I18" s="512" t="n">
        <x:v>3352</x:v>
      </x:c>
      <x:c r="J18" s="512" t="n">
        <x:v>7520</x:v>
      </x:c>
      <x:c r="K18" s="512" t="n">
        <x:v>12792</x:v>
      </x:c>
    </x:row>
    <x:row r="19">
      <x:c r="A19" s="511" t="inlineStr">
        <x:is>
          <x:t xml:space="preserve">350 x 906 cm</x:t>
        </x:is>
      </x:c>
      <x:c r="B19" s="512" t="n">
        <x:v>22153</x:v>
      </x:c>
      <x:c r="C19" s="512" t="n">
        <x:v>26763</x:v>
      </x:c>
      <x:c r="D19" s="512" t="n">
        <x:v>29544</x:v>
      </x:c>
      <x:c r="E19" s="512" t="n">
        <x:v>613</x:v>
      </x:c>
      <x:c r="F19" s="512" t="n">
        <x:v>10749</x:v>
      </x:c>
      <x:c r="G19" s="512" t="n">
        <x:v>12140</x:v>
      </x:c>
      <x:c r="H19" s="512" t="n">
        <x:v>3352</x:v>
      </x:c>
      <x:c r="I19" s="512" t="n">
        <x:v>3352</x:v>
      </x:c>
      <x:c r="J19" s="512" t="n">
        <x:v>9209</x:v>
      </x:c>
      <x:c r="K19" s="512" t="n">
        <x:v>13813</x:v>
      </x:c>
    </x:row>
    <x:row r="20">
      <x:c r="A20" s="511" t="inlineStr">
        <x:is>
          <x:t xml:space="preserve">350 x 1006 cm</x:t>
        </x:is>
      </x:c>
      <x:c r="B20" s="512" t="n">
        <x:v>24407</x:v>
      </x:c>
      <x:c r="C20" s="512" t="n">
        <x:v>28496</x:v>
      </x:c>
      <x:c r="D20" s="512" t="n">
        <x:v>31441</x:v>
      </x:c>
      <x:c r="E20" s="512" t="n">
        <x:v>683</x:v>
      </x:c>
      <x:c r="F20" s="512" t="n">
        <x:v>11959</x:v>
      </x:c>
      <x:c r="G20" s="512" t="n">
        <x:v>13514</x:v>
      </x:c>
      <x:c r="H20" s="512" t="n">
        <x:v>3352</x:v>
      </x:c>
      <x:c r="I20" s="512" t="n">
        <x:v>3352</x:v>
      </x:c>
      <x:c r="J20" s="512" t="n">
        <x:v>9904</x:v>
      </x:c>
      <x:c r="K20" s="512" t="n">
        <x:v>14822</x:v>
      </x:c>
    </x:row>
    <x:row r="21">
      <x:c r="A21" s="511" t="inlineStr">
        <x:is>
          <x:t xml:space="preserve">350 x 1106 cm</x:t>
        </x:is>
      </x:c>
      <x:c r="B21" s="512" t="n">
        <x:v>26155</x:v>
      </x:c>
      <x:c r="C21" s="512" t="n">
        <x:v>30322</x:v>
      </x:c>
      <x:c r="D21" s="512" t="n">
        <x:v>33431</x:v>
      </x:c>
      <x:c r="E21" s="512" t="n">
        <x:v>751</x:v>
      </x:c>
      <x:c r="F21" s="512" t="n">
        <x:v>13138</x:v>
      </x:c>
      <x:c r="G21" s="512" t="n">
        <x:v>14856</x:v>
      </x:c>
      <x:c r="H21" s="512" t="n">
        <x:v>3352</x:v>
      </x:c>
      <x:c r="I21" s="512" t="n">
        <x:v>3352</x:v>
      </x:c>
      <x:c r="J21" s="512" t="n">
        <x:v>10599</x:v>
      </x:c>
      <x:c r="K21" s="512" t="n">
        <x:v>18392</x:v>
      </x:c>
    </x:row>
    <x:row r="22">
      <x:c r="A22" s="511" t="inlineStr">
        <x:is>
          <x:t xml:space="preserve">350 x 1206 cm</x:t>
        </x:is>
      </x:c>
      <x:c r="B22" s="512" t="n">
        <x:v>27893</x:v>
      </x:c>
      <x:c r="C22" s="512" t="n">
        <x:v>32149</x:v>
      </x:c>
      <x:c r="D22" s="512" t="n">
        <x:v>35420</x:v>
      </x:c>
      <x:c r="E22" s="512" t="n">
        <x:v>820</x:v>
      </x:c>
      <x:c r="F22" s="512" t="n">
        <x:v>14248</x:v>
      </x:c>
      <x:c r="G22" s="512" t="n">
        <x:v>16116</x:v>
      </x:c>
      <x:c r="H22" s="512" t="n">
        <x:v>3352</x:v>
      </x:c>
      <x:c r="I22" s="512" t="n">
        <x:v>3352</x:v>
      </x:c>
      <x:c r="J22" s="512" t="n">
        <x:v>11280</x:v>
      </x:c>
      <x:c r="K22" s="512" t="n">
        <x:v>19155</x:v>
      </x:c>
    </x:row>
    <x:row r="23">
      <x:c r="A23" s="511" t="inlineStr">
        <x:is>
          <x:t xml:space="preserve">400 x 306 cm</x:t>
        </x:is>
      </x:c>
      <x:c r="B23" s="512" t="n">
        <x:v>9798</x:v>
      </x:c>
      <x:c r="C23" s="512" t="n">
        <x:v>18763</x:v>
      </x:c>
      <x:c r="D23" s="512" t="n">
        <x:v>20562</x:v>
      </x:c>
      <x:c r="E23" s="512" t="n">
        <x:v>233</x:v>
      </x:c>
      <x:c r="F23" s="512" t="n">
        <x:v>4606</x:v>
      </x:c>
      <x:c r="G23" s="512" t="n">
        <x:v>5086</x:v>
      </x:c>
      <x:c r="H23" s="512" t="n">
        <x:v>3761</x:v>
      </x:c>
      <x:c r="I23" s="512" t="n">
        <x:v>3761</x:v>
      </x:c>
      <x:c r="J23" s="512" t="n">
        <x:v>3079</x:v>
      </x:c>
      <x:c r="K23" s="512" t="n">
        <x:v>5710</x:v>
      </x:c>
    </x:row>
    <x:row r="24">
      <x:c r="A24" s="511" t="inlineStr">
        <x:is>
          <x:t xml:space="preserve">400 x 406 cm</x:t>
        </x:is>
      </x:c>
      <x:c r="B24" s="512" t="n">
        <x:v>11681</x:v>
      </x:c>
      <x:c r="C24" s="512" t="n">
        <x:v>20292</x:v>
      </x:c>
      <x:c r="D24" s="512" t="n">
        <x:v>22255</x:v>
      </x:c>
      <x:c r="E24" s="512" t="n">
        <x:v>301</x:v>
      </x:c>
      <x:c r="F24" s="512" t="n">
        <x:v>6056</x:v>
      </x:c>
      <x:c r="G24" s="512" t="n">
        <x:v>6683</x:v>
      </x:c>
      <x:c r="H24" s="512" t="n">
        <x:v>3761</x:v>
      </x:c>
      <x:c r="I24" s="512" t="n">
        <x:v>3761</x:v>
      </x:c>
      <x:c r="J24" s="512" t="n">
        <x:v>3761</x:v>
      </x:c>
      <x:c r="K24" s="512" t="n">
        <x:v>6620</x:v>
      </x:c>
    </x:row>
    <x:row r="25">
      <x:c r="A25" s="511" t="inlineStr">
        <x:is>
          <x:t xml:space="preserve">400 x 506 cm</x:t>
        </x:is>
      </x:c>
      <x:c r="B25" s="512" t="n">
        <x:v>14057</x:v>
      </x:c>
      <x:c r="C25" s="512" t="n">
        <x:v>22155</x:v>
      </x:c>
      <x:c r="D25" s="512" t="n">
        <x:v>24283</x:v>
      </x:c>
      <x:c r="E25" s="512" t="n">
        <x:v>382</x:v>
      </x:c>
      <x:c r="F25" s="512" t="n">
        <x:v>7458</x:v>
      </x:c>
      <x:c r="G25" s="512" t="n">
        <x:v>8250</x:v>
      </x:c>
      <x:c r="H25" s="512" t="n">
        <x:v>3761</x:v>
      </x:c>
      <x:c r="I25" s="512" t="n">
        <x:v>3761</x:v>
      </x:c>
      <x:c r="J25" s="512" t="n">
        <x:v>5367</x:v>
      </x:c>
      <x:c r="K25" s="512" t="n">
        <x:v>7561</x:v>
      </x:c>
    </x:row>
    <x:row r="26">
      <x:c r="A26" s="511" t="inlineStr">
        <x:is>
          <x:t xml:space="preserve">400 x 606 cm</x:t>
        </x:is>
      </x:c>
      <x:c r="B26" s="512" t="n">
        <x:v>15407</x:v>
      </x:c>
      <x:c r="C26" s="512" t="n">
        <x:v>23974</x:v>
      </x:c>
      <x:c r="D26" s="512" t="n">
        <x:v>26264</x:v>
      </x:c>
      <x:c r="E26" s="512" t="n">
        <x:v>465</x:v>
      </x:c>
      <x:c r="F26" s="512" t="n">
        <x:v>8807</x:v>
      </x:c>
      <x:c r="G26" s="512" t="n">
        <x:v>9763</x:v>
      </x:c>
      <x:c r="H26" s="512" t="n">
        <x:v>3761</x:v>
      </x:c>
      <x:c r="I26" s="512" t="n">
        <x:v>3761</x:v>
      </x:c>
      <x:c r="J26" s="512" t="n">
        <x:v>6144</x:v>
      </x:c>
      <x:c r="K26" s="512" t="n">
        <x:v>11364</x:v>
      </x:c>
    </x:row>
    <x:row r="27">
      <x:c r="A27" s="511" t="inlineStr">
        <x:is>
          <x:t xml:space="preserve">400 x 706 cm</x:t>
        </x:is>
      </x:c>
      <x:c r="B27" s="512" t="n">
        <x:v>18113</x:v>
      </x:c>
      <x:c r="C27" s="512" t="n">
        <x:v>24383</x:v>
      </x:c>
      <x:c r="D27" s="512" t="n">
        <x:v>26837</x:v>
      </x:c>
      <x:c r="E27" s="512" t="n">
        <x:v>532</x:v>
      </x:c>
      <x:c r="F27" s="512" t="n">
        <x:v>10021</x:v>
      </x:c>
      <x:c r="G27" s="512" t="n">
        <x:v>11140</x:v>
      </x:c>
      <x:c r="H27" s="512" t="n">
        <x:v>3761</x:v>
      </x:c>
      <x:c r="I27" s="512" t="n">
        <x:v>3761</x:v>
      </x:c>
      <x:c r="J27" s="512" t="n">
        <x:v>6839</x:v>
      </x:c>
      <x:c r="K27" s="512" t="n">
        <x:v>12342</x:v>
      </x:c>
    </x:row>
    <x:row r="28">
      <x:c r="A28" s="511" t="inlineStr">
        <x:is>
          <x:t xml:space="preserve">400 x 806 cm</x:t>
        </x:is>
      </x:c>
      <x:c r="B28" s="512" t="n">
        <x:v>21209</x:v>
      </x:c>
      <x:c r="C28" s="512" t="n">
        <x:v>25694</x:v>
      </x:c>
      <x:c r="D28" s="512" t="n">
        <x:v>28507</x:v>
      </x:c>
      <x:c r="E28" s="512" t="n">
        <x:v>873</x:v>
      </x:c>
      <x:c r="F28" s="512" t="n">
        <x:v>12006</x:v>
      </x:c>
      <x:c r="G28" s="512" t="n">
        <x:v>13275</x:v>
      </x:c>
      <x:c r="H28" s="512" t="n">
        <x:v>3761</x:v>
      </x:c>
      <x:c r="I28" s="512" t="n">
        <x:v>3761</x:v>
      </x:c>
      <x:c r="J28" s="512" t="n">
        <x:v>7520</x:v>
      </x:c>
      <x:c r="K28" s="512" t="n">
        <x:v>13254</x:v>
      </x:c>
    </x:row>
    <x:row r="29">
      <x:c r="A29" s="511" t="inlineStr">
        <x:is>
          <x:t xml:space="preserve">400 x 906 cm</x:t>
        </x:is>
      </x:c>
      <x:c r="B29" s="512" t="n">
        <x:v>23513</x:v>
      </x:c>
      <x:c r="C29" s="512" t="n">
        <x:v>27503</x:v>
      </x:c>
      <x:c r="D29" s="512" t="n">
        <x:v>30284</x:v>
      </x:c>
      <x:c r="E29" s="512" t="n">
        <x:v>683</x:v>
      </x:c>
      <x:c r="F29" s="512" t="n">
        <x:v>13360</x:v>
      </x:c>
      <x:c r="G29" s="512" t="n">
        <x:v>14793</x:v>
      </x:c>
      <x:c r="H29" s="512" t="n">
        <x:v>3761</x:v>
      </x:c>
      <x:c r="I29" s="512" t="n">
        <x:v>3761</x:v>
      </x:c>
      <x:c r="J29" s="512" t="n">
        <x:v>9209</x:v>
      </x:c>
      <x:c r="K29" s="512" t="n">
        <x:v>14196</x:v>
      </x:c>
    </x:row>
    <x:row r="30">
      <x:c r="A30" s="511" t="inlineStr">
        <x:is>
          <x:t xml:space="preserve">400 x 1006 cm</x:t>
        </x:is>
      </x:c>
      <x:c r="B30" s="512" t="n">
        <x:v>25838</x:v>
      </x:c>
      <x:c r="C30" s="512" t="n">
        <x:v>29289</x:v>
      </x:c>
      <x:c r="D30" s="512" t="n">
        <x:v>32234</x:v>
      </x:c>
      <x:c r="E30" s="512" t="n">
        <x:v>765</x:v>
      </x:c>
      <x:c r="F30" s="512" t="n">
        <x:v>14714</x:v>
      </x:c>
      <x:c r="G30" s="512" t="n">
        <x:v>16295</x:v>
      </x:c>
      <x:c r="H30" s="512" t="n">
        <x:v>3761</x:v>
      </x:c>
      <x:c r="I30" s="512" t="n">
        <x:v>3761</x:v>
      </x:c>
      <x:c r="J30" s="512" t="n">
        <x:v>9904</x:v>
      </x:c>
      <x:c r="K30" s="512" t="n">
        <x:v>15122</x:v>
      </x:c>
    </x:row>
    <x:row r="31">
      <x:c r="A31" s="511" t="inlineStr">
        <x:is>
          <x:t xml:space="preserve">400 x 1106 cm</x:t>
        </x:is>
      </x:c>
      <x:c r="B31" s="512" t="n">
        <x:v>27207</x:v>
      </x:c>
      <x:c r="C31" s="512" t="n">
        <x:v>31075</x:v>
      </x:c>
      <x:c r="D31" s="512" t="n">
        <x:v>34184</x:v>
      </x:c>
      <x:c r="E31" s="512" t="n">
        <x:v>846</x:v>
      </x:c>
      <x:c r="F31" s="512" t="n">
        <x:v>16075</x:v>
      </x:c>
      <x:c r="G31" s="512" t="n">
        <x:v>17820</x:v>
      </x:c>
      <x:c r="H31" s="512" t="n">
        <x:v>3761</x:v>
      </x:c>
      <x:c r="I31" s="512" t="n">
        <x:v>3761</x:v>
      </x:c>
      <x:c r="J31" s="512" t="n">
        <x:v>10599</x:v>
      </x:c>
      <x:c r="K31" s="512" t="n">
        <x:v>18897</x:v>
      </x:c>
    </x:row>
    <x:row r="32">
      <x:c r="A32" s="511" t="inlineStr">
        <x:is>
          <x:t xml:space="preserve">400 x 1206 cm</x:t>
        </x:is>
      </x:c>
      <x:c r="B32" s="512" t="n">
        <x:v>28590</x:v>
      </x:c>
      <x:c r="C32" s="512" t="n">
        <x:v>32875</x:v>
      </x:c>
      <x:c r="D32" s="512" t="n">
        <x:v>36146</x:v>
      </x:c>
      <x:c r="E32" s="512" t="n">
        <x:v>915</x:v>
      </x:c>
      <x:c r="F32" s="512" t="n">
        <x:v>17434</x:v>
      </x:c>
      <x:c r="G32" s="512" t="n">
        <x:v>19330</x:v>
      </x:c>
      <x:c r="H32" s="512" t="n">
        <x:v>3761</x:v>
      </x:c>
      <x:c r="I32" s="512" t="n">
        <x:v>3761</x:v>
      </x:c>
      <x:c r="J32" s="512" t="n">
        <x:v>11280</x:v>
      </x:c>
      <x:c r="K32" s="512" t="n">
        <x:v>19807</x:v>
      </x:c>
    </x:row>
    <x:row r="33">
      <x:c r="A33" s="511" t="inlineStr">
        <x:is>
          <x:t xml:space="preserve">450 x 306 cm</x:t>
        </x:is>
      </x:c>
      <x:c r="B33" s="512" t="n">
        <x:v>13285</x:v>
      </x:c>
      <x:c r="C33" s="512" t="n">
        <x:v>22375</x:v>
      </x:c>
      <x:c r="D33" s="512" t="n">
        <x:v>24503</x:v>
      </x:c>
      <x:c r="E33" s="512" t="n">
        <x:v>396</x:v>
      </x:c>
      <x:c r="F33" s="512" t="n">
        <x:v>5079</x:v>
      </x:c>
      <x:c r="G33" s="512" t="n">
        <x:v>5597</x:v>
      </x:c>
      <x:c r="H33" s="512" t="n">
        <x:v>4470</x:v>
      </x:c>
      <x:c r="I33" s="512" t="n">
        <x:v>4470</x:v>
      </x:c>
      <x:c r="J33" s="512" t="n">
        <x:v>3079</x:v>
      </x:c>
      <x:c r="K33" s="512" t="n">
        <x:v>5777</x:v>
      </x:c>
    </x:row>
    <x:row r="34">
      <x:c r="A34" s="511" t="inlineStr">
        <x:is>
          <x:t xml:space="preserve">450 x 406 cm</x:t>
        </x:is>
      </x:c>
      <x:c r="B34" s="512" t="n">
        <x:v>16111</x:v>
      </x:c>
      <x:c r="C34" s="512" t="n">
        <x:v>23812</x:v>
      </x:c>
      <x:c r="D34" s="512" t="n">
        <x:v>26102</x:v>
      </x:c>
      <x:c r="E34" s="512" t="n">
        <x:v>518</x:v>
      </x:c>
      <x:c r="F34" s="512" t="n">
        <x:v>7036</x:v>
      </x:c>
      <x:c r="G34" s="512" t="n">
        <x:v>7719</x:v>
      </x:c>
      <x:c r="H34" s="512" t="n">
        <x:v>4470</x:v>
      </x:c>
      <x:c r="I34" s="512" t="n">
        <x:v>4470</x:v>
      </x:c>
      <x:c r="J34" s="512" t="n">
        <x:v>3761</x:v>
      </x:c>
      <x:c r="K34" s="512" t="n">
        <x:v>6634</x:v>
      </x:c>
    </x:row>
    <x:row r="35">
      <x:c r="A35" s="511" t="inlineStr">
        <x:is>
          <x:t xml:space="preserve">450 x 506 cm</x:t>
        </x:is>
      </x:c>
      <x:c r="B35" s="512" t="n">
        <x:v>19387</x:v>
      </x:c>
      <x:c r="C35" s="512" t="n">
        <x:v>25578</x:v>
      </x:c>
      <x:c r="D35" s="512" t="n">
        <x:v>28032</x:v>
      </x:c>
      <x:c r="E35" s="512" t="n">
        <x:v>656</x:v>
      </x:c>
      <x:c r="F35" s="512" t="n">
        <x:v>9019</x:v>
      </x:c>
      <x:c r="G35" s="512" t="n">
        <x:v>9879</x:v>
      </x:c>
      <x:c r="H35" s="512" t="n">
        <x:v>4470</x:v>
      </x:c>
      <x:c r="I35" s="512" t="n">
        <x:v>4470</x:v>
      </x:c>
      <x:c r="J35" s="512" t="n">
        <x:v>5367</x:v>
      </x:c>
      <x:c r="K35" s="512" t="n">
        <x:v>7711</x:v>
      </x:c>
    </x:row>
    <x:row r="36">
      <x:c r="A36" s="511" t="inlineStr">
        <x:is>
          <x:t xml:space="preserve">450 x 606 cm</x:t>
        </x:is>
      </x:c>
      <x:c r="B36" s="512" t="n">
        <x:v>22227</x:v>
      </x:c>
      <x:c r="C36" s="512" t="n">
        <x:v>27408</x:v>
      </x:c>
      <x:c r="D36" s="512" t="n">
        <x:v>30026</x:v>
      </x:c>
      <x:c r="E36" s="512" t="n">
        <x:v>792</x:v>
      </x:c>
      <x:c r="F36" s="512" t="n">
        <x:v>11030</x:v>
      </x:c>
      <x:c r="G36" s="512" t="n">
        <x:v>12067</x:v>
      </x:c>
      <x:c r="H36" s="512" t="n">
        <x:v>4470</x:v>
      </x:c>
      <x:c r="I36" s="512" t="n">
        <x:v>4470</x:v>
      </x:c>
      <x:c r="J36" s="512" t="n">
        <x:v>6144</x:v>
      </x:c>
      <x:c r="K36" s="512" t="n">
        <x:v>11500</x:v>
      </x:c>
    </x:row>
    <x:row r="37">
      <x:c r="A37" s="511" t="inlineStr">
        <x:is>
          <x:t xml:space="preserve">450 x 706 cm</x:t>
        </x:is>
      </x:c>
      <x:c r="B37" s="512" t="n">
        <x:v>26646</x:v>
      </x:c>
      <x:c r="C37" s="512" t="n">
        <x:v>27638</x:v>
      </x:c>
      <x:c r="D37" s="512" t="n">
        <x:v>30419</x:v>
      </x:c>
      <x:c r="E37" s="512" t="n">
        <x:v>915</x:v>
      </x:c>
      <x:c r="F37" s="512" t="n">
        <x:v>13015</x:v>
      </x:c>
      <x:c r="G37" s="512" t="n">
        <x:v>14215</x:v>
      </x:c>
      <x:c r="H37" s="512" t="n">
        <x:v>4470</x:v>
      </x:c>
      <x:c r="I37" s="512" t="n">
        <x:v>4470</x:v>
      </x:c>
      <x:c r="J37" s="512" t="n">
        <x:v>6839</x:v>
      </x:c>
      <x:c r="K37" s="512" t="n">
        <x:v>12411</x:v>
      </x:c>
    </x:row>
    <x:row r="38">
      <x:c r="A38" s="511" t="inlineStr">
        <x:is>
          <x:t xml:space="preserve">450 x 806 cm</x:t>
        </x:is>
      </x:c>
      <x:c r="B38" s="512" t="n">
        <x:v>29485</x:v>
      </x:c>
      <x:c r="C38" s="512" t="n">
        <x:v>29037</x:v>
      </x:c>
      <x:c r="D38" s="512" t="n">
        <x:v>31982</x:v>
      </x:c>
      <x:c r="E38" s="512" t="n">
        <x:v>1051</x:v>
      </x:c>
      <x:c r="F38" s="512" t="n">
        <x:v>15012</x:v>
      </x:c>
      <x:c r="G38" s="512" t="n">
        <x:v>16390</x:v>
      </x:c>
      <x:c r="H38" s="512" t="n">
        <x:v>4470</x:v>
      </x:c>
      <x:c r="I38" s="512" t="n">
        <x:v>4470</x:v>
      </x:c>
      <x:c r="J38" s="512" t="n">
        <x:v>7520</x:v>
      </x:c>
      <x:c r="K38" s="512" t="n">
        <x:v>13269</x:v>
      </x:c>
    </x:row>
    <x:row r="39">
      <x:c r="A39" s="511" t="inlineStr">
        <x:is>
          <x:t xml:space="preserve">450 x 906 cm</x:t>
        </x:is>
      </x:c>
      <x:c r="B39" s="512" t="n">
        <x:v>32992</x:v>
      </x:c>
      <x:c r="C39" s="512" t="n">
        <x:v>30807</x:v>
      </x:c>
      <x:c r="D39" s="512" t="n">
        <x:v>33916</x:v>
      </x:c>
      <x:c r="E39" s="512" t="n">
        <x:v>1174</x:v>
      </x:c>
      <x:c r="F39" s="512" t="n">
        <x:v>16983</x:v>
      </x:c>
      <x:c r="G39" s="512" t="n">
        <x:v>18538</x:v>
      </x:c>
      <x:c r="H39" s="512" t="n">
        <x:v>4470</x:v>
      </x:c>
      <x:c r="I39" s="512" t="n">
        <x:v>4470</x:v>
      </x:c>
      <x:c r="J39" s="512" t="n">
        <x:v>9209</x:v>
      </x:c>
      <x:c r="K39" s="512" t="n">
        <x:v>14346</x:v>
      </x:c>
    </x:row>
    <x:row r="40">
      <x:c r="A40" s="511" t="inlineStr">
        <x:is>
          <x:t xml:space="preserve">450 x 1006 cm</x:t>
        </x:is>
      </x:c>
      <x:c r="B40" s="512" t="n">
        <x:v>35843</x:v>
      </x:c>
      <x:c r="C40" s="512" t="n">
        <x:v>32561</x:v>
      </x:c>
      <x:c r="D40" s="512" t="n">
        <x:v>35832</x:v>
      </x:c>
      <x:c r="E40" s="512" t="n">
        <x:v>1310</x:v>
      </x:c>
      <x:c r="F40" s="512" t="n">
        <x:v>18981</x:v>
      </x:c>
      <x:c r="G40" s="512" t="n">
        <x:v>20699</x:v>
      </x:c>
      <x:c r="H40" s="512" t="n">
        <x:v>4470</x:v>
      </x:c>
      <x:c r="I40" s="512" t="n">
        <x:v>4470</x:v>
      </x:c>
      <x:c r="J40" s="512" t="n">
        <x:v>9904</x:v>
      </x:c>
      <x:c r="K40" s="512" t="n">
        <x:v>15407</x:v>
      </x:c>
    </x:row>
    <x:row r="41">
      <x:c r="A41" s="511" t="inlineStr">
        <x:is>
          <x:t xml:space="preserve">450 x 1106 cm</x:t>
        </x:is>
      </x:c>
      <x:c r="B41" s="512" t="n">
        <x:v>39869</x:v>
      </x:c>
      <x:c r="C41" s="512" t="n">
        <x:v>34390</x:v>
      </x:c>
      <x:c r="D41" s="512" t="n">
        <x:v>37825</x:v>
      </x:c>
      <x:c r="E41" s="512" t="n">
        <x:v>1445</x:v>
      </x:c>
      <x:c r="F41" s="512" t="n">
        <x:v>20977</x:v>
      </x:c>
      <x:c r="G41" s="512" t="n">
        <x:v>22859</x:v>
      </x:c>
      <x:c r="H41" s="512" t="n">
        <x:v>4470</x:v>
      </x:c>
      <x:c r="I41" s="512" t="n">
        <x:v>4470</x:v>
      </x:c>
      <x:c r="J41" s="512" t="n">
        <x:v>10599</x:v>
      </x:c>
      <x:c r="K41" s="512" t="n">
        <x:v>18992</x:v>
      </x:c>
    </x:row>
    <x:row r="42">
      <x:c r="A42" s="511" t="inlineStr">
        <x:is>
          <x:t xml:space="preserve">450 x 1206 cm</x:t>
        </x:is>
      </x:c>
      <x:c r="B42" s="512" t="n">
        <x:v>42710</x:v>
      </x:c>
      <x:c r="C42" s="512" t="n">
        <x:v>36235</x:v>
      </x:c>
      <x:c r="D42" s="512" t="n">
        <x:v>39834</x:v>
      </x:c>
      <x:c r="E42" s="512" t="n">
        <x:v>1568</x:v>
      </x:c>
      <x:c r="F42" s="512" t="n">
        <x:v>20153</x:v>
      </x:c>
      <x:c r="G42" s="512" t="n">
        <x:v>22211</x:v>
      </x:c>
      <x:c r="H42" s="512" t="n">
        <x:v>4470</x:v>
      </x:c>
      <x:c r="I42" s="512" t="n">
        <x:v>4470</x:v>
      </x:c>
      <x:c r="J42" s="512" t="n">
        <x:v>11280</x:v>
      </x:c>
      <x:c r="K42" s="512" t="n">
        <x:v>19849</x:v>
      </x:c>
    </x:row>
    <x:row r="43">
      <x:c r="A43" s="511" t="inlineStr">
        <x:is>
          <x:t xml:space="preserve">500 x 306 cm</x:t>
        </x:is>
      </x:c>
      <x:c r="B43" s="512" t="n">
        <x:v>14053</x:v>
      </x:c>
      <x:c r="C43" s="512" t="n">
        <x:v>22725</x:v>
      </x:c>
      <x:c r="D43" s="512" t="n">
        <x:v>24853</x:v>
      </x:c>
      <x:c r="E43" s="512" t="n">
        <x:v>423</x:v>
      </x:c>
      <x:c r="F43" s="512" t="n">
        <x:v>5606</x:v>
      </x:c>
      <x:c r="G43" s="512" t="n">
        <x:v>6181</x:v>
      </x:c>
      <x:c r="H43" s="512" t="n">
        <x:v>5205</x:v>
      </x:c>
      <x:c r="I43" s="512" t="n">
        <x:v>5205</x:v>
      </x:c>
      <x:c r="J43" s="512" t="n">
        <x:v>3079</x:v>
      </x:c>
      <x:c r="K43" s="512" t="n">
        <x:v>5777</x:v>
      </x:c>
    </x:row>
    <x:row r="44">
      <x:c r="A44" s="511" t="inlineStr">
        <x:is>
          <x:t xml:space="preserve">500 x 406 cm</x:t>
        </x:is>
      </x:c>
      <x:c r="B44" s="512" t="n">
        <x:v>17094</x:v>
      </x:c>
      <x:c r="C44" s="512" t="n">
        <x:v>24120</x:v>
      </x:c>
      <x:c r="D44" s="512" t="n">
        <x:v>26410</x:v>
      </x:c>
      <x:c r="E44" s="512" t="n">
        <x:v>575</x:v>
      </x:c>
      <x:c r="F44" s="512" t="n">
        <x:v>7802</x:v>
      </x:c>
      <x:c r="G44" s="512" t="n">
        <x:v>8567</x:v>
      </x:c>
      <x:c r="H44" s="512" t="n">
        <x:v>5205</x:v>
      </x:c>
      <x:c r="I44" s="512" t="n">
        <x:v>5205</x:v>
      </x:c>
      <x:c r="J44" s="512" t="n">
        <x:v>3761</x:v>
      </x:c>
      <x:c r="K44" s="512" t="n">
        <x:v>6634</x:v>
      </x:c>
    </x:row>
    <x:row r="45">
      <x:c r="A45" s="511" t="inlineStr">
        <x:is>
          <x:t xml:space="preserve">500 x 506 cm</x:t>
        </x:is>
      </x:c>
      <x:c r="B45" s="512" t="n">
        <x:v>20561</x:v>
      </x:c>
      <x:c r="C45" s="512" t="n">
        <x:v>25862</x:v>
      </x:c>
      <x:c r="D45" s="512" t="n">
        <x:v>28316</x:v>
      </x:c>
      <x:c r="E45" s="512" t="n">
        <x:v>711</x:v>
      </x:c>
      <x:c r="F45" s="512" t="n">
        <x:v>10025</x:v>
      </x:c>
      <x:c r="G45" s="512" t="n">
        <x:v>10981</x:v>
      </x:c>
      <x:c r="H45" s="512" t="n">
        <x:v>5205</x:v>
      </x:c>
      <x:c r="I45" s="512" t="n">
        <x:v>5205</x:v>
      </x:c>
      <x:c r="J45" s="512" t="n">
        <x:v>5367</x:v>
      </x:c>
      <x:c r="K45" s="512" t="n">
        <x:v>7711</x:v>
      </x:c>
    </x:row>
    <x:row r="46">
      <x:c r="A46" s="511" t="inlineStr">
        <x:is>
          <x:t xml:space="preserve">500 x 606 cm</x:t>
        </x:is>
      </x:c>
      <x:c r="B46" s="512" t="n">
        <x:v>23579</x:v>
      </x:c>
      <x:c r="C46" s="512" t="n">
        <x:v>27728</x:v>
      </x:c>
      <x:c r="D46" s="512" t="n">
        <x:v>30346</x:v>
      </x:c>
      <x:c r="E46" s="512" t="n">
        <x:v>846</x:v>
      </x:c>
      <x:c r="F46" s="512" t="n">
        <x:v>12206</x:v>
      </x:c>
      <x:c r="G46" s="512" t="n">
        <x:v>13352</x:v>
      </x:c>
      <x:c r="H46" s="512" t="n">
        <x:v>5205</x:v>
      </x:c>
      <x:c r="I46" s="512" t="n">
        <x:v>5205</x:v>
      </x:c>
      <x:c r="J46" s="512" t="n">
        <x:v>6144</x:v>
      </x:c>
      <x:c r="K46" s="512" t="n">
        <x:v>11500</x:v>
      </x:c>
    </x:row>
    <x:row r="47">
      <x:c r="A47" s="511" t="inlineStr">
        <x:is>
          <x:t xml:space="preserve">500 x 706 cm</x:t>
        </x:is>
      </x:c>
      <x:c r="B47" s="512" t="n">
        <x:v>28257</x:v>
      </x:c>
      <x:c r="C47" s="512" t="n">
        <x:v>27935</x:v>
      </x:c>
      <x:c r="D47" s="512" t="n">
        <x:v>30716</x:v>
      </x:c>
      <x:c r="E47" s="512" t="n">
        <x:v>996</x:v>
      </x:c>
      <x:c r="F47" s="512" t="n">
        <x:v>14415</x:v>
      </x:c>
      <x:c r="G47" s="512" t="n">
        <x:v>15751</x:v>
      </x:c>
      <x:c r="H47" s="512" t="n">
        <x:v>5205</x:v>
      </x:c>
      <x:c r="I47" s="512" t="n">
        <x:v>5205</x:v>
      </x:c>
      <x:c r="J47" s="512" t="n">
        <x:v>6839</x:v>
      </x:c>
      <x:c r="K47" s="512" t="n">
        <x:v>12411</x:v>
      </x:c>
    </x:row>
    <x:row r="48">
      <x:c r="A48" s="511" t="inlineStr">
        <x:is>
          <x:t xml:space="preserve">500 x 806 cm</x:t>
        </x:is>
      </x:c>
      <x:c r="B48" s="512" t="n">
        <x:v>31287</x:v>
      </x:c>
      <x:c r="C48" s="512" t="n">
        <x:v>29341</x:v>
      </x:c>
      <x:c r="D48" s="512" t="n">
        <x:v>32286</x:v>
      </x:c>
      <x:c r="E48" s="512" t="n">
        <x:v>1132</x:v>
      </x:c>
      <x:c r="F48" s="512" t="n">
        <x:v>16635</x:v>
      </x:c>
      <x:c r="G48" s="512" t="n">
        <x:v>18163</x:v>
      </x:c>
      <x:c r="H48" s="512" t="n">
        <x:v>5205</x:v>
      </x:c>
      <x:c r="I48" s="512" t="n">
        <x:v>5205</x:v>
      </x:c>
      <x:c r="J48" s="512" t="n">
        <x:v>7520</x:v>
      </x:c>
      <x:c r="K48" s="512" t="n">
        <x:v>13269</x:v>
      </x:c>
    </x:row>
    <x:row r="49">
      <x:c r="A49" s="511" t="inlineStr">
        <x:is>
          <x:t xml:space="preserve">500 x 906 cm</x:t>
        </x:is>
      </x:c>
      <x:c r="B49" s="512" t="n">
        <x:v>34983</x:v>
      </x:c>
      <x:c r="C49" s="512" t="n">
        <x:v>31090</x:v>
      </x:c>
      <x:c r="D49" s="512" t="n">
        <x:v>34199</x:v>
      </x:c>
      <x:c r="E49" s="512" t="n">
        <x:v>1283</x:v>
      </x:c>
      <x:c r="F49" s="512" t="n">
        <x:v>18845</x:v>
      </x:c>
      <x:c r="G49" s="512" t="n">
        <x:v>20563</x:v>
      </x:c>
      <x:c r="H49" s="512" t="n">
        <x:v>5205</x:v>
      </x:c>
      <x:c r="I49" s="512" t="n">
        <x:v>5205</x:v>
      </x:c>
      <x:c r="J49" s="512" t="n">
        <x:v>9209</x:v>
      </x:c>
      <x:c r="K49" s="512" t="n">
        <x:v>14346</x:v>
      </x:c>
    </x:row>
    <x:row r="50">
      <x:c r="A50" s="511" t="inlineStr">
        <x:is>
          <x:t xml:space="preserve">500 x 1006 cm</x:t>
        </x:is>
      </x:c>
      <x:c r="B50" s="512" t="n">
        <x:v>38014</x:v>
      </x:c>
      <x:c r="C50" s="512" t="n">
        <x:v>32846</x:v>
      </x:c>
      <x:c r="D50" s="512" t="n">
        <x:v>36117</x:v>
      </x:c>
      <x:c r="E50" s="512" t="n">
        <x:v>1419</x:v>
      </x:c>
      <x:c r="F50" s="512" t="n">
        <x:v>21039</x:v>
      </x:c>
      <x:c r="G50" s="512" t="n">
        <x:v>22948</x:v>
      </x:c>
      <x:c r="H50" s="512" t="n">
        <x:v>5205</x:v>
      </x:c>
      <x:c r="I50" s="512" t="n">
        <x:v>5205</x:v>
      </x:c>
      <x:c r="J50" s="512" t="n">
        <x:v>9904</x:v>
      </x:c>
      <x:c r="K50" s="512" t="n">
        <x:v>15407</x:v>
      </x:c>
    </x:row>
    <x:row r="51">
      <x:c r="A51" s="511" t="inlineStr">
        <x:is>
          <x:t xml:space="preserve">500 x 1106 cm</x:t>
        </x:is>
      </x:c>
      <x:c r="B51" s="512" t="n">
        <x:v>42313</x:v>
      </x:c>
      <x:c r="C51" s="512" t="n">
        <x:v>34666</x:v>
      </x:c>
      <x:c r="D51" s="512" t="n">
        <x:v>38101</x:v>
      </x:c>
      <x:c r="E51" s="512" t="n">
        <x:v>1555</x:v>
      </x:c>
      <x:c r="F51" s="512" t="n">
        <x:v>25415</x:v>
      </x:c>
      <x:c r="G51" s="512" t="n">
        <x:v>27515</x:v>
      </x:c>
      <x:c r="H51" s="512" t="n">
        <x:v>5205</x:v>
      </x:c>
      <x:c r="I51" s="512" t="n">
        <x:v>5205</x:v>
      </x:c>
      <x:c r="J51" s="512" t="n">
        <x:v>10599</x:v>
      </x:c>
      <x:c r="K51" s="512" t="n">
        <x:v>18992</x:v>
      </x:c>
    </x:row>
    <x:row r="52">
      <x:c r="A52" s="511" t="inlineStr">
        <x:is>
          <x:t xml:space="preserve">500 x 1206 cm</x:t>
        </x:is>
      </x:c>
      <x:c r="B52" s="512" t="n">
        <x:v>45341</x:v>
      </x:c>
      <x:c r="C52" s="512" t="n">
        <x:v>36512</x:v>
      </x:c>
      <x:c r="D52" s="512" t="n">
        <x:v>40111</x:v>
      </x:c>
      <x:c r="E52" s="512" t="n">
        <x:v>1704</x:v>
      </x:c>
      <x:c r="F52" s="512" t="n">
        <x:v>25444</x:v>
      </x:c>
      <x:c r="G52" s="512" t="n">
        <x:v>27734</x:v>
      </x:c>
      <x:c r="H52" s="512" t="n">
        <x:v>5205</x:v>
      </x:c>
      <x:c r="I52" s="512" t="n">
        <x:v>5205</x:v>
      </x:c>
      <x:c r="J52" s="512" t="n">
        <x:v>11280</x:v>
      </x:c>
      <x:c r="K52" s="512" t="n">
        <x:v>19849</x:v>
      </x:c>
    </x:row>
  </x:sheetData>
  <x:mergeCells>
    <x:mergeCell ref="H1:J1"/>
    <x:mergeCell ref="C1:D1"/>
    <x:mergeCell ref="E1:G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4.75"/>
  <x:cols>
    <x:col min="1" max="1" width="42" style="655" customWidth="1"/>
    <x:col min="2" max="2" width="96" style="655" customWidth="1"/>
  </x:cols>
  <x:sheetData>
    <x:row r="1" s="655" customFormat="1" ht="37" customHeight="1">
      <x:c r="A1" s="601" t="inlineStr">
        <x:is>
          <x:t xml:space="preserve">FIX12 — pełne porównanie EG vs MoonGlass</x:t>
        </x:is>
      </x:c>
      <x:c r="B1" s="601" t="inlineStr">
        <x:is>
          <x:t xml:space="preserve">Kolumna1</x:t>
        </x:is>
      </x:c>
    </x:row>
    <x:row r="2" s="655" customFormat="1" ht="29.5" customHeight="1">
      <x:c r="A2" s="602" t="inlineStr">
        <x:is>
          <x:t xml:space="preserve">Zakres zmiany</x:t>
        </x:is>
      </x:c>
      <x:c r="B2" s="600" t="inlineStr">
        <x:is>
          <x:t xml:space="preserve">Dodano pełny arkusz porównawczy obejmujący rolety, poliwęglan barwiony, fundament/profile, LED, szczotki, uchwyty i zabieraki.</x:t>
        </x:is>
      </x:c>
    </x:row>
    <x:row r="3">
      <x:c r="A3" s="602" t="inlineStr">
        <x:is>
          <x:t xml:space="preserve">Nowy arkusz</x:t>
        </x:is>
      </x:c>
      <x:c r="B3" s="600" t="inlineStr">
        <x:is>
          <x:t xml:space="preserve">05_Porownanie_EG_FULL</x:t>
        </x:is>
      </x:c>
    </x:row>
    <x:row r="4">
      <x:c r="A4" s="602" t="inlineStr">
        <x:is>
          <x:t xml:space="preserve">Nie zmieniono cen</x:t>
        </x:is>
      </x:c>
      <x:c r="B4" s="600" t="inlineStr">
        <x:is>
          <x:t xml:space="preserve">FIX12 nie zmienia kalkulacji cen w 03/04 — tylko rozszerza benchmark/porównanie.</x:t>
        </x:is>
      </x:c>
    </x:row>
    <x:row r="5">
      <x:c r="A5" s="602" t="inlineStr">
        <x:is>
          <x:t xml:space="preserve">Źródło EG — strona</x:t>
        </x:is>
      </x:c>
      <x:c r="B5" s="600" t="inlineStr">
        <x:is>
          <x:t xml:space="preserve">EG_Wycena_strona: zadaszenie, ściany, pokrycia dachu, rolety, markiza.</x:t>
        </x:is>
      </x:c>
    </x:row>
    <x:row r="6">
      <x:c r="A6" s="602" t="inlineStr">
        <x:is>
          <x:t xml:space="preserve">Źródło EG — cennik usług</x:t>
        </x:is>
      </x:c>
      <x:c r="B6" s="600" t="inlineStr">
        <x:is>
          <x:t xml:space="preserve">EG_Cennik_uslug: fundament/profile, szczotki, uchwyty, LED 12V, LED COB.</x:t>
        </x:is>
      </x:c>
    </x:row>
    <x:row r="7">
      <x:c r="A7" s="602" t="inlineStr">
        <x:is>
          <x:t xml:space="preserve">Uwaga LED</x:t>
        </x:is>
      </x:c>
      <x:c r="B7" s="600" t="inlineStr">
        <x:is>
          <x:t xml:space="preserve">LED CCT i LED RGB CCT są porównane orientacyjnie do EG LED COB — to nie jest idealne 1:1.</x:t>
        </x:is>
      </x:c>
    </x:row>
    <x:row r="8">
      <x:c r="A8" s="602" t="inlineStr">
        <x:is>
          <x:t xml:space="preserve">Uwaga 550/600</x:t>
        </x:is>
      </x:c>
      <x:c r="B8" s="600" t="inlineStr">
        <x:is>
          <x:t xml:space="preserve">Dla 550/600 EG najczęściej nie ma benchmarku; w arkuszu pojawią się puste pola po stronie EG.</x:t>
        </x:is>
      </x:c>
    </x:row>
    <x:row r="9">
      <x:c r="A9" s="602" t="inlineStr">
        <x:is>
          <x:t xml:space="preserve">Uwaga szkło 550/600</x:t>
        </x:is>
      </x:c>
      <x:c r="B9" s="600" t="inlineStr">
        <x:is>
          <x:t xml:space="preserve">Nie publikować szkła 550/600 bez potwierdzenia cen dostawcy RAW_ZS/RAW_OS.</x:t>
        </x:is>
      </x:c>
    </x:row>
    <x:row r="10" s="655" customFormat="1" ht="29.5" customHeight="1">
      <x:c r="A10" s="604" t="inlineStr">
        <x:is>
          <x:t xml:space="preserve">Kontrola FIX12</x:t>
        </x:is>
      </x:c>
      <x:c r="B10" s="600" t="inlineStr">
        <x:is>
          <x:t xml:space="preserve">W arkuszu 05_Porownanie_EG_FULL wartości &lt;=0 są pokazywane jako puste, żeby nie traktować np. szkła 550/600 jako poprawnej ceny.</x:t>
        </x:is>
      </x:c>
    </x:row>
    <x:row r="11">
      <x:c r="A11" s="604" t="inlineStr">
        <x:is>
          <x:t xml:space="preserve">Nowy arkusz kontrolny</x:t>
        </x:is>
      </x:c>
      <x:c r="B11" s="600" t="inlineStr">
        <x:is>
          <x:t xml:space="preserve">12_FIX12_KONTROLA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2d21da38a3a48bc"/>
  </x:tableParts>
</x:worksheet>
</file>

<file path=xl/worksheets/sheet37.xml><?xml version="1.0" encoding="utf-8"?>
<x:worksheet xmlns:x="http://schemas.openxmlformats.org/spreadsheetml/2006/main">
  <x:sheetFormatPr baseColWidth="8" defaultRowHeight="14.75"/>
  <x:cols>
    <x:col min="1" max="1" width="42" style="655" customWidth="1"/>
    <x:col min="2" max="2" width="110" style="655" customWidth="1"/>
  </x:cols>
  <x:sheetData>
    <x:row r="1" s="655" customFormat="1" ht="18.5" customHeight="1">
      <x:c r="A1" s="603" t="inlineStr">
        <x:is>
          <x:t xml:space="preserve">Kontrola po FIX12</x:t>
        </x:is>
      </x:c>
      <x:c r="B1" s="603" t="n"/>
    </x:row>
    <x:row r="2">
      <x:c r="A2" s="604" t="inlineStr">
        <x:is>
          <x:t xml:space="preserve">Zakres</x:t>
        </x:is>
      </x:c>
      <x:c r="B2" s="600" t="inlineStr">
        <x:is>
          <x:t xml:space="preserve">Arkusz porównawczy maskuje wartości &lt;=0 jako puste, aby nie traktować ich jako prawidłowych cen.</x:t>
        </x:is>
      </x:c>
    </x:row>
    <x:row r="3" s="655" customFormat="1" ht="29.5" customHeight="1">
      <x:c r="A3" s="604" t="inlineStr">
        <x:is>
          <x:t xml:space="preserve">Najważniejszy przypadek</x:t>
        </x:is>
      </x:c>
      <x:c r="B3" s="600" t="inlineStr">
        <x:is>
          <x:t xml:space="preserve">Szkło przezroczyste/barwione dla 550/600 w 04_Wycena_strona_nowa może wychodzić ujemnie lub 0 z powodu braku RAW_ZS/RAW_OS.</x:t>
        </x:is>
      </x:c>
    </x:row>
    <x:row r="4">
      <x:c r="A4" s="604" t="inlineStr">
        <x:is>
          <x:t xml:space="preserve">Decyzja robocza</x:t>
        </x:is>
      </x:c>
      <x:c r="B4" s="600" t="inlineStr">
        <x:is>
          <x:t xml:space="preserve">Nie publikować szkła 550/600 do czasu potwierdzenia dostawcy.</x:t>
        </x:is>
      </x:c>
    </x:row>
    <x:row r="5">
      <x:c r="A5" s="604" t="inlineStr">
        <x:is>
          <x:t xml:space="preserve">Co robić dalej</x:t>
        </x:is>
      </x:c>
      <x:c r="B5" s="600" t="inlineStr">
        <x:is>
          <x:t xml:space="preserve">Kolejny etap: audyt 04_Wycena_strona_nowa i przygotowanie EXPORT_STRONA z flagami dostępności opcji.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28" style="655" customWidth="1"/>
    <x:col min="2" max="2" width="28" style="655" customWidth="1"/>
    <x:col min="3" max="3" width="28" style="655" customWidth="1"/>
    <x:col min="4" max="4" width="28" style="655" customWidth="1"/>
    <x:col min="5" max="5" width="28" style="655" customWidth="1"/>
  </x:cols>
  <x:sheetData>
    <x:row r="1">
      <x:c r="A1" s="771" t="inlineStr">
        <x:is>
          <x:t xml:space="preserve">Wymiary</x:t>
        </x:is>
      </x:c>
      <x:c r="B1" s="771" t="inlineStr">
        <x:is>
          <x:t xml:space="preserve">Sciany</x:t>
        </x:is>
      </x:c>
      <x:c r="C1" s="771" t="inlineStr">
        <x:is>
          <x:t xml:space="preserve">Dach</x:t>
        </x:is>
      </x:c>
      <x:c r="D1" s="771" t="inlineStr">
        <x:is>
          <x:t xml:space="preserve">TakNie</x:t>
        </x:is>
      </x:c>
      <x:c r="E1" s="771" t="inlineStr">
        <x:is>
          <x:t xml:space="preserve">LED</x:t>
        </x:is>
      </x:c>
      <x:c r="F1" s="777" t="inlineStr">
        <x:is>
          <x:t xml:space="preserve">LED_CRM</x:t>
        </x:is>
      </x:c>
    </x:row>
    <x:row r="2">
      <x:c r="A2" t="inlineStr">
        <x:is>
          <x:t xml:space="preserve">300 x 306 cm</x:t>
        </x:is>
      </x:c>
      <x:c r="B2" t="inlineStr">
        <x:is>
          <x:t xml:space="preserve">brak</x:t>
        </x:is>
      </x:c>
      <x:c r="C2" t="inlineStr">
        <x:is>
          <x:t xml:space="preserve">poliwęglan bezbarwny</x:t>
        </x:is>
      </x:c>
      <x:c r="D2" t="inlineStr">
        <x:is>
          <x:t xml:space="preserve">nie</x:t>
        </x:is>
      </x:c>
      <x:c r="E2" t="inlineStr">
        <x:is>
          <x:t xml:space="preserve">brak</x:t>
        </x:is>
      </x:c>
      <x:c r="F2" t="inlineStr">
        <x:is>
          <x:t xml:space="preserve">brak</x:t>
        </x:is>
      </x:c>
    </x:row>
    <x:row r="3">
      <x:c r="A3" t="inlineStr">
        <x:is>
          <x:t xml:space="preserve">300 x 406 cm</x:t>
        </x:is>
      </x:c>
      <x:c r="B3" t="inlineStr">
        <x:is>
          <x:t xml:space="preserve">przezroczyste</x:t>
        </x:is>
      </x:c>
      <x:c r="C3" t="inlineStr">
        <x:is>
          <x:t xml:space="preserve">poliwęglan barwiony</x:t>
        </x:is>
      </x:c>
      <x:c r="D3" t="inlineStr">
        <x:is>
          <x:t xml:space="preserve">tak</x:t>
        </x:is>
      </x:c>
      <x:c r="E3" t="inlineStr">
        <x:is>
          <x:t xml:space="preserve">LED punktowe</x:t>
        </x:is>
      </x:c>
      <x:c r="F3" t="inlineStr">
        <x:is>
          <x:t xml:space="preserve">LED punktowe</x:t>
        </x:is>
      </x:c>
    </x:row>
    <x:row r="4">
      <x:c r="A4" t="inlineStr">
        <x:is>
          <x:t xml:space="preserve">300 x 506 cm</x:t>
        </x:is>
      </x:c>
      <x:c r="B4" t="inlineStr">
        <x:is>
          <x:t xml:space="preserve">barwione</x:t>
        </x:is>
      </x:c>
      <x:c r="C4" t="inlineStr">
        <x:is>
          <x:t xml:space="preserve">szkło przezroczyste</x:t>
        </x:is>
      </x:c>
      <x:c r="E4" t="inlineStr">
        <x:is>
          <x:t xml:space="preserve">LED CCT</x:t>
        </x:is>
      </x:c>
      <x:c r="F4" t="inlineStr">
        <x:is>
          <x:t xml:space="preserve">LED CCT</x:t>
        </x:is>
      </x:c>
    </x:row>
    <x:row r="5">
      <x:c r="A5" t="inlineStr">
        <x:is>
          <x:t xml:space="preserve">300 x 606 cm</x:t>
        </x:is>
      </x:c>
      <x:c r="C5" t="inlineStr">
        <x:is>
          <x:t xml:space="preserve">szkło barwione</x:t>
        </x:is>
      </x:c>
      <x:c r="F5" t="inlineStr">
        <x:is>
          <x:t xml:space="preserve">LED RGB CCT</x:t>
        </x:is>
      </x:c>
    </x:row>
    <x:row r="6">
      <x:c r="A6" t="inlineStr">
        <x:is>
          <x:t xml:space="preserve">300 x 706 cm</x:t>
        </x:is>
      </x:c>
    </x:row>
    <x:row r="7">
      <x:c r="A7" t="inlineStr">
        <x:is>
          <x:t xml:space="preserve">300 x 806 cm</x:t>
        </x:is>
      </x:c>
    </x:row>
    <x:row r="8">
      <x:c r="A8" t="inlineStr">
        <x:is>
          <x:t xml:space="preserve">300 x 906 cm</x:t>
        </x:is>
      </x:c>
    </x:row>
    <x:row r="9">
      <x:c r="A9" t="inlineStr">
        <x:is>
          <x:t xml:space="preserve">300 x 1006 cm</x:t>
        </x:is>
      </x:c>
    </x:row>
    <x:row r="10">
      <x:c r="A10" t="inlineStr">
        <x:is>
          <x:t xml:space="preserve">300 x 1106 cm</x:t>
        </x:is>
      </x:c>
    </x:row>
    <x:row r="11">
      <x:c r="A11" t="inlineStr">
        <x:is>
          <x:t xml:space="preserve">300 x 1206 cm</x:t>
        </x:is>
      </x:c>
    </x:row>
    <x:row r="12">
      <x:c r="A12" t="inlineStr">
        <x:is>
          <x:t xml:space="preserve">350 x 306 cm</x:t>
        </x:is>
      </x:c>
    </x:row>
    <x:row r="13">
      <x:c r="A13" t="inlineStr">
        <x:is>
          <x:t xml:space="preserve">350 x 406 cm</x:t>
        </x:is>
      </x:c>
    </x:row>
    <x:row r="14">
      <x:c r="A14" t="inlineStr">
        <x:is>
          <x:t xml:space="preserve">350 x 506 cm</x:t>
        </x:is>
      </x:c>
    </x:row>
    <x:row r="15">
      <x:c r="A15" t="inlineStr">
        <x:is>
          <x:t xml:space="preserve">350 x 606 cm</x:t>
        </x:is>
      </x:c>
    </x:row>
    <x:row r="16">
      <x:c r="A16" t="inlineStr">
        <x:is>
          <x:t xml:space="preserve">350 x 706 cm</x:t>
        </x:is>
      </x:c>
    </x:row>
    <x:row r="17">
      <x:c r="A17" t="inlineStr">
        <x:is>
          <x:t xml:space="preserve">350 x 806 cm</x:t>
        </x:is>
      </x:c>
    </x:row>
    <x:row r="18">
      <x:c r="A18" t="inlineStr">
        <x:is>
          <x:t xml:space="preserve">350 x 906 cm</x:t>
        </x:is>
      </x:c>
    </x:row>
    <x:row r="19">
      <x:c r="A19" t="inlineStr">
        <x:is>
          <x:t xml:space="preserve">350 x 1006 cm</x:t>
        </x:is>
      </x:c>
    </x:row>
    <x:row r="20">
      <x:c r="A20" t="inlineStr">
        <x:is>
          <x:t xml:space="preserve">350 x 1106 cm</x:t>
        </x:is>
      </x:c>
    </x:row>
    <x:row r="21">
      <x:c r="A21" t="inlineStr">
        <x:is>
          <x:t xml:space="preserve">350 x 1206 cm</x:t>
        </x:is>
      </x:c>
    </x:row>
    <x:row r="22">
      <x:c r="A22" t="inlineStr">
        <x:is>
          <x:t xml:space="preserve">400 x 306 cm</x:t>
        </x:is>
      </x:c>
    </x:row>
    <x:row r="23">
      <x:c r="A23" t="inlineStr">
        <x:is>
          <x:t xml:space="preserve">400 x 406 cm</x:t>
        </x:is>
      </x:c>
    </x:row>
    <x:row r="24">
      <x:c r="A24" t="inlineStr">
        <x:is>
          <x:t xml:space="preserve">400 x 506 cm</x:t>
        </x:is>
      </x:c>
    </x:row>
    <x:row r="25">
      <x:c r="A25" t="inlineStr">
        <x:is>
          <x:t xml:space="preserve">400 x 606 cm</x:t>
        </x:is>
      </x:c>
    </x:row>
    <x:row r="26">
      <x:c r="A26" t="inlineStr">
        <x:is>
          <x:t xml:space="preserve">400 x 706 cm</x:t>
        </x:is>
      </x:c>
    </x:row>
    <x:row r="27">
      <x:c r="A27" t="inlineStr">
        <x:is>
          <x:t xml:space="preserve">400 x 806 cm</x:t>
        </x:is>
      </x:c>
    </x:row>
    <x:row r="28">
      <x:c r="A28" t="inlineStr">
        <x:is>
          <x:t xml:space="preserve">400 x 906 cm</x:t>
        </x:is>
      </x:c>
    </x:row>
    <x:row r="29">
      <x:c r="A29" t="inlineStr">
        <x:is>
          <x:t xml:space="preserve">400 x 1006 cm</x:t>
        </x:is>
      </x:c>
    </x:row>
    <x:row r="30">
      <x:c r="A30" t="inlineStr">
        <x:is>
          <x:t xml:space="preserve">400 x 1106 cm</x:t>
        </x:is>
      </x:c>
    </x:row>
    <x:row r="31">
      <x:c r="A31" t="inlineStr">
        <x:is>
          <x:t xml:space="preserve">400 x 1206 cm</x:t>
        </x:is>
      </x:c>
    </x:row>
    <x:row r="32">
      <x:c r="A32" t="inlineStr">
        <x:is>
          <x:t xml:space="preserve">450 x 306 cm</x:t>
        </x:is>
      </x:c>
    </x:row>
    <x:row r="33">
      <x:c r="A33" t="inlineStr">
        <x:is>
          <x:t xml:space="preserve">450 x 406 cm</x:t>
        </x:is>
      </x:c>
    </x:row>
    <x:row r="34">
      <x:c r="A34" t="inlineStr">
        <x:is>
          <x:t xml:space="preserve">450 x 506 cm</x:t>
        </x:is>
      </x:c>
    </x:row>
    <x:row r="35">
      <x:c r="A35" t="inlineStr">
        <x:is>
          <x:t xml:space="preserve">450 x 606 cm</x:t>
        </x:is>
      </x:c>
    </x:row>
    <x:row r="36">
      <x:c r="A36" t="inlineStr">
        <x:is>
          <x:t xml:space="preserve">450 x 706 cm</x:t>
        </x:is>
      </x:c>
    </x:row>
    <x:row r="37">
      <x:c r="A37" t="inlineStr">
        <x:is>
          <x:t xml:space="preserve">450 x 806 cm</x:t>
        </x:is>
      </x:c>
    </x:row>
    <x:row r="38">
      <x:c r="A38" t="inlineStr">
        <x:is>
          <x:t xml:space="preserve">450 x 906 cm</x:t>
        </x:is>
      </x:c>
    </x:row>
    <x:row r="39">
      <x:c r="A39" t="inlineStr">
        <x:is>
          <x:t xml:space="preserve">450 x 1006 cm</x:t>
        </x:is>
      </x:c>
    </x:row>
    <x:row r="40">
      <x:c r="A40" t="inlineStr">
        <x:is>
          <x:t xml:space="preserve">450 x 1106 cm</x:t>
        </x:is>
      </x:c>
    </x:row>
    <x:row r="41">
      <x:c r="A41" t="inlineStr">
        <x:is>
          <x:t xml:space="preserve">450 x 1206 cm</x:t>
        </x:is>
      </x:c>
    </x:row>
    <x:row r="42">
      <x:c r="A42" t="inlineStr">
        <x:is>
          <x:t xml:space="preserve">500 x 306 cm</x:t>
        </x:is>
      </x:c>
    </x:row>
    <x:row r="43">
      <x:c r="A43" t="inlineStr">
        <x:is>
          <x:t xml:space="preserve">500 x 406 cm</x:t>
        </x:is>
      </x:c>
    </x:row>
    <x:row r="44">
      <x:c r="A44" t="inlineStr">
        <x:is>
          <x:t xml:space="preserve">500 x 506 cm</x:t>
        </x:is>
      </x:c>
    </x:row>
    <x:row r="45">
      <x:c r="A45" t="inlineStr">
        <x:is>
          <x:t xml:space="preserve">500 x 606 cm</x:t>
        </x:is>
      </x:c>
    </x:row>
    <x:row r="46">
      <x:c r="A46" t="inlineStr">
        <x:is>
          <x:t xml:space="preserve">500 x 706 cm</x:t>
        </x:is>
      </x:c>
    </x:row>
    <x:row r="47">
      <x:c r="A47" t="inlineStr">
        <x:is>
          <x:t xml:space="preserve">500 x 806 cm</x:t>
        </x:is>
      </x:c>
    </x:row>
    <x:row r="48">
      <x:c r="A48" t="inlineStr">
        <x:is>
          <x:t xml:space="preserve">500 x 906 cm</x:t>
        </x:is>
      </x:c>
    </x:row>
    <x:row r="49">
      <x:c r="A49" t="inlineStr">
        <x:is>
          <x:t xml:space="preserve">500 x 1006 cm</x:t>
        </x:is>
      </x:c>
    </x:row>
    <x:row r="50">
      <x:c r="A50" t="inlineStr">
        <x:is>
          <x:t xml:space="preserve">500 x 1106 cm</x:t>
        </x:is>
      </x:c>
    </x:row>
    <x:row r="51">
      <x:c r="A51" t="inlineStr">
        <x:is>
          <x:t xml:space="preserve">500 x 1206 cm</x:t>
        </x:is>
      </x:c>
    </x:row>
    <x:row r="52">
      <x:c r="A52" t="inlineStr">
        <x:is>
          <x:t xml:space="preserve">550 x 306 cm</x:t>
        </x:is>
      </x:c>
    </x:row>
    <x:row r="53">
      <x:c r="A53" t="inlineStr">
        <x:is>
          <x:t xml:space="preserve">550 x 406 cm</x:t>
        </x:is>
      </x:c>
    </x:row>
    <x:row r="54">
      <x:c r="A54" t="inlineStr">
        <x:is>
          <x:t xml:space="preserve">550 x 506 cm</x:t>
        </x:is>
      </x:c>
    </x:row>
    <x:row r="55">
      <x:c r="A55" t="inlineStr">
        <x:is>
          <x:t xml:space="preserve">550 x 606 cm</x:t>
        </x:is>
      </x:c>
    </x:row>
    <x:row r="56">
      <x:c r="A56" t="inlineStr">
        <x:is>
          <x:t xml:space="preserve">550 x 706 cm</x:t>
        </x:is>
      </x:c>
    </x:row>
    <x:row r="57">
      <x:c r="A57" t="inlineStr">
        <x:is>
          <x:t xml:space="preserve">550 x 806 cm</x:t>
        </x:is>
      </x:c>
    </x:row>
    <x:row r="58">
      <x:c r="A58" t="inlineStr">
        <x:is>
          <x:t xml:space="preserve">550 x 906 cm</x:t>
        </x:is>
      </x:c>
    </x:row>
    <x:row r="59">
      <x:c r="A59" t="inlineStr">
        <x:is>
          <x:t xml:space="preserve">550 x 1006 cm</x:t>
        </x:is>
      </x:c>
    </x:row>
    <x:row r="60">
      <x:c r="A60" t="inlineStr">
        <x:is>
          <x:t xml:space="preserve">550 x 1106 cm</x:t>
        </x:is>
      </x:c>
    </x:row>
    <x:row r="61">
      <x:c r="A61" t="inlineStr">
        <x:is>
          <x:t xml:space="preserve">550 x 1206 cm</x:t>
        </x:is>
      </x:c>
    </x:row>
    <x:row r="62">
      <x:c r="A62" t="inlineStr">
        <x:is>
          <x:t xml:space="preserve">600 x 306 cm</x:t>
        </x:is>
      </x:c>
    </x:row>
    <x:row r="63">
      <x:c r="A63" t="inlineStr">
        <x:is>
          <x:t xml:space="preserve">600 x 406 cm</x:t>
        </x:is>
      </x:c>
    </x:row>
    <x:row r="64">
      <x:c r="A64" t="inlineStr">
        <x:is>
          <x:t xml:space="preserve">600 x 506 cm</x:t>
        </x:is>
      </x:c>
    </x:row>
    <x:row r="65">
      <x:c r="A65" t="inlineStr">
        <x:is>
          <x:t xml:space="preserve">600 x 606 cm</x:t>
        </x:is>
      </x:c>
    </x:row>
    <x:row r="66">
      <x:c r="A66" t="inlineStr">
        <x:is>
          <x:t xml:space="preserve">600 x 706 cm</x:t>
        </x:is>
      </x:c>
    </x:row>
    <x:row r="67">
      <x:c r="A67" t="inlineStr">
        <x:is>
          <x:t xml:space="preserve">600 x 806 cm</x:t>
        </x:is>
      </x:c>
    </x:row>
    <x:row r="68">
      <x:c r="A68" t="inlineStr">
        <x:is>
          <x:t xml:space="preserve">600 x 906 cm</x:t>
        </x:is>
      </x:c>
    </x:row>
    <x:row r="69">
      <x:c r="A69" t="inlineStr">
        <x:is>
          <x:t xml:space="preserve">600 x 1006 cm</x:t>
        </x:is>
      </x:c>
    </x:row>
    <x:row r="70">
      <x:c r="A70" t="inlineStr">
        <x:is>
          <x:t xml:space="preserve">600 x 1106 cm</x:t>
        </x:is>
      </x:c>
    </x:row>
    <x:row r="71">
      <x:c r="A71" t="inlineStr">
        <x:is>
          <x:t xml:space="preserve">600 x 1206 cm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3" hidden="0" customWidth="1"/>
    <x:col min="20" max="20" width="13" hidden="0" customWidth="1"/>
    <x:col min="21" max="21" width="13" hidden="0" customWidth="1"/>
    <x:col min="22" max="22" width="12" hidden="0" customWidth="1"/>
    <x:col min="23" max="23" width="28" hidden="0" customWidth="1"/>
    <x:col min="24" max="24" width="28" hidden="0" customWidth="1"/>
    <x:col min="25" max="25" width="16" hidden="0" customWidth="1"/>
    <x:col min="26" max="26" width="16" hidden="0" customWidth="1"/>
    <x:col min="27" max="27" width="16" hidden="0" customWidth="1"/>
    <x:col min="28" max="28" width="38" hidden="0" customWidth="1"/>
  </x:cols>
  <x:sheetData>
    <x:row r="1" ht="42" customHeight="1">
      <x:c r="A1" s="1518" t="str">
        <x:v>dimension</x:v>
      </x:c>
      <x:c r="B1" s="1518" t="str">
        <x:v>width_cm</x:v>
      </x:c>
      <x:c r="C1" s="1518" t="str">
        <x:v>depth_cm</x:v>
      </x:c>
      <x:c r="D1" s="1518" t="str">
        <x:v>base_poly_net</x:v>
      </x:c>
      <x:c r="E1" s="1518" t="str">
        <x:v>walls_clear_net</x:v>
      </x:c>
      <x:c r="F1" s="1518" t="str">
        <x:v>walls_tinted_net</x:v>
      </x:c>
      <x:c r="G1" s="1518" t="str">
        <x:v>roof_poly_colored_net</x:v>
      </x:c>
      <x:c r="H1" s="1518" t="str">
        <x:v>roof_glass_clear_net</x:v>
      </x:c>
      <x:c r="I1" s="1518" t="str">
        <x:v>roof_glass_tinted_net</x:v>
      </x:c>
      <x:c r="J1" s="1518" t="str">
        <x:v>zip_side_net</x:v>
      </x:c>
      <x:c r="K1" s="1518" t="str">
        <x:v>zip_front_net</x:v>
      </x:c>
      <x:c r="L1" s="1518" t="str">
        <x:v>awning_net</x:v>
      </x:c>
      <x:c r="M1" s="1518" t="str">
        <x:v>foundation_net</x:v>
      </x:c>
      <x:c r="N1" s="1518" t="str">
        <x:v>led_point_net</x:v>
      </x:c>
      <x:c r="O1" s="1518" t="str">
        <x:v>led_cct_net</x:v>
      </x:c>
      <x:c r="P1" s="1518" t="str">
        <x:v>brushes_net</x:v>
      </x:c>
      <x:c r="Q1" s="1518" t="str">
        <x:v>handles_net</x:v>
      </x:c>
      <x:c r="R1" s="1518" t="str">
        <x:v>carriers_net</x:v>
      </x:c>
      <x:c r="S1" s="1518" t="str">
        <x:v>default_vat_rate</x:v>
      </x:c>
      <x:c r="T1" s="1518" t="str">
        <x:v>tax_included</x:v>
      </x:c>
      <x:c r="U1" s="1518" t="str">
        <x:v>price_mode</x:v>
      </x:c>
      <x:c r="V1" s="1518" t="str">
        <x:v>source_status</x:v>
      </x:c>
      <x:c r="W1" s="1518" t="str">
        <x:v>source_notes</x:v>
      </x:c>
      <x:c r="X1" s="1518" t="str">
        <x:v>audit_status</x:v>
      </x:c>
      <x:c r="Y1" s="1518" t="str">
        <x:v>audit_exact_0zl</x:v>
      </x:c>
      <x:c r="Z1" s="1518" t="str">
        <x:v>audit_rounding_1zl</x:v>
      </x:c>
      <x:c r="AA1" s="1518" t="str">
        <x:v>audit_mismatch_gt1zl</x:v>
      </x:c>
      <x:c r="AB1" s="1518" t="str">
        <x:v>audit_details</x:v>
      </x:c>
    </x:row>
    <x:row r="2" ht="20" customHeight="1">
      <x:c r="A2" s="1524" t="str">
        <x:v>300 x 306 cm</x:v>
      </x:c>
      <x:c r="B2" s="1524" t="n">
        <x:v>300</x:v>
      </x:c>
      <x:c r="C2" s="1524" t="n">
        <x:v>306</x:v>
      </x:c>
      <x:c r="D2" s="1526" t="n">
        <x:v>7419</x:v>
      </x:c>
      <x:c r="E2" s="1526" t="n">
        <x:v>12545</x:v>
      </x:c>
      <x:c r="F2" s="1526" t="n">
        <x:v>13818</x:v>
      </x:c>
      <x:c r="G2" s="1526" t="n">
        <x:v>142</x:v>
      </x:c>
      <x:c r="H2" s="1526" t="n">
        <x:v>1944</x:v>
      </x:c>
      <x:c r="I2" s="1526" t="n">
        <x:v>2344</x:v>
      </x:c>
      <x:c r="J2" s="1526" t="n">
        <x:v>2523</x:v>
      </x:c>
      <x:c r="K2" s="1526" t="n">
        <x:v>2523</x:v>
      </x:c>
      <x:c r="L2" s="1526" t="n">
        <x:v>4598</x:v>
      </x:c>
      <x:c r="M2" s="1526" t="n">
        <x:v>1181</x:v>
      </x:c>
      <x:c r="N2" s="1526" t="n">
        <x:v>494</x:v>
      </x:c>
      <x:c r="O2" s="1526" t="n">
        <x:v>1146</x:v>
      </x:c>
      <x:c r="P2" s="1526" t="n">
        <x:v>400</x:v>
      </x:c>
      <x:c r="Q2" s="1526" t="n">
        <x:v>365</x:v>
      </x:c>
      <x:c r="R2" s="1526" t="n">
        <x:v>283</x:v>
      </x:c>
      <x:c r="S2" s="1528" t="n">
        <x:v>0.08</x:v>
      </x:c>
      <x:c r="T2" s="1524" t="str">
        <x:v>NIE</x:v>
      </x:c>
      <x:c r="U2" s="1524" t="str">
        <x:v>net</x:v>
      </x:c>
      <x:c r="V2" s="1524" t="str">
        <x:v>OK</x:v>
      </x:c>
      <x:c r="W2" s="1532"/>
      <x:c r="X2" s="1524" t="str">
        <x:v>OK — tylko zaokrąglenia ±1 zł</x:v>
      </x:c>
      <x:c r="Y2" s="1530" t="n">
        <x:v>14</x:v>
      </x:c>
      <x:c r="Z2" s="1530" t="n">
        <x:v>1</x:v>
      </x:c>
      <x:c r="AA2" s="1530" t="n">
        <x:v>0</x:v>
      </x:c>
      <x:c r="AB2" s="1532" t="str">
        <x:v>Szczegóły w arkuszu 22_AUDYT_NETTO_BITRIX</x:v>
      </x:c>
    </x:row>
    <x:row r="3" ht="20" customHeight="1">
      <x:c r="A3" s="1524" t="str">
        <x:v>300 x 406 cm</x:v>
      </x:c>
      <x:c r="B3" s="1524" t="n">
        <x:v>300</x:v>
      </x:c>
      <x:c r="C3" s="1524" t="n">
        <x:v>406</x:v>
      </x:c>
      <x:c r="D3" s="1526" t="n">
        <x:v>9073</x:v>
      </x:c>
      <x:c r="E3" s="1526" t="n">
        <x:v>13548</x:v>
      </x:c>
      <x:c r="F3" s="1526" t="n">
        <x:v>14963</x:v>
      </x:c>
      <x:c r="G3" s="1526" t="n">
        <x:v>218</x:v>
      </x:c>
      <x:c r="H3" s="1526" t="n">
        <x:v>2652</x:v>
      </x:c>
      <x:c r="I3" s="1526" t="n">
        <x:v>3183</x:v>
      </x:c>
      <x:c r="J3" s="1526" t="n">
        <x:v>2523</x:v>
      </x:c>
      <x:c r="K3" s="1526" t="n">
        <x:v>3112</x:v>
      </x:c>
      <x:c r="L3" s="1526" t="n">
        <x:v>5069</x:v>
      </x:c>
      <x:c r="M3" s="1526" t="n">
        <x:v>1377</x:v>
      </x:c>
      <x:c r="N3" s="1526" t="n">
        <x:v>602</x:v>
      </x:c>
      <x:c r="O3" s="1526" t="n">
        <x:v>1334</x:v>
      </x:c>
      <x:c r="P3" s="1526" t="n">
        <x:v>448</x:v>
      </x:c>
      <x:c r="Q3" s="1526" t="n">
        <x:v>400</x:v>
      </x:c>
      <x:c r="R3" s="1526" t="n">
        <x:v>331</x:v>
      </x:c>
      <x:c r="S3" s="1528" t="n">
        <x:v>0.08</x:v>
      </x:c>
      <x:c r="T3" s="1524" t="str">
        <x:v>NIE</x:v>
      </x:c>
      <x:c r="U3" s="1524" t="str">
        <x:v>net</x:v>
      </x:c>
      <x:c r="V3" s="1524" t="str">
        <x:v>OK</x:v>
      </x:c>
      <x:c r="W3" s="1532"/>
      <x:c r="X3" s="1524" t="str">
        <x:v>OK — tylko zaokrąglenia ±1 zł</x:v>
      </x:c>
      <x:c r="Y3" s="1530" t="n">
        <x:v>14</x:v>
      </x:c>
      <x:c r="Z3" s="1530" t="n">
        <x:v>1</x:v>
      </x:c>
      <x:c r="AA3" s="1530" t="n">
        <x:v>0</x:v>
      </x:c>
      <x:c r="AB3" s="1532" t="str">
        <x:v>Szczegóły w arkuszu 22_AUDYT_NETTO_BITRIX</x:v>
      </x:c>
    </x:row>
    <x:row r="4" ht="20" customHeight="1">
      <x:c r="A4" s="1524" t="str">
        <x:v>300 x 506 cm</x:v>
      </x:c>
      <x:c r="B4" s="1524" t="n">
        <x:v>300</x:v>
      </x:c>
      <x:c r="C4" s="1524" t="n">
        <x:v>506</x:v>
      </x:c>
      <x:c r="D4" s="1526" t="n">
        <x:v>10838</x:v>
      </x:c>
      <x:c r="E4" s="1526" t="n">
        <x:v>15383</x:v>
      </x:c>
      <x:c r="F4" s="1526" t="n">
        <x:v>16939</x:v>
      </x:c>
      <x:c r="G4" s="1526" t="n">
        <x:v>294</x:v>
      </x:c>
      <x:c r="H4" s="1526" t="n">
        <x:v>3277</x:v>
      </x:c>
      <x:c r="I4" s="1526" t="n">
        <x:v>3937</x:v>
      </x:c>
      <x:c r="J4" s="1526" t="n">
        <x:v>2523</x:v>
      </x:c>
      <x:c r="K4" s="1526" t="n">
        <x:v>4362</x:v>
      </x:c>
      <x:c r="L4" s="1526" t="n">
        <x:v>5871</x:v>
      </x:c>
      <x:c r="M4" s="1526" t="n">
        <x:v>1628</x:v>
      </x:c>
      <x:c r="N4" s="1526" t="n">
        <x:v>708</x:v>
      </x:c>
      <x:c r="O4" s="1526" t="n">
        <x:v>1537</x:v>
      </x:c>
      <x:c r="P4" s="1526" t="n">
        <x:v>494</x:v>
      </x:c>
      <x:c r="Q4" s="1526" t="n">
        <x:v>448</x:v>
      </x:c>
      <x:c r="R4" s="1526" t="n">
        <x:v>331</x:v>
      </x:c>
      <x:c r="S4" s="1528" t="n">
        <x:v>0.08</x:v>
      </x:c>
      <x:c r="T4" s="1524" t="str">
        <x:v>NIE</x:v>
      </x:c>
      <x:c r="U4" s="1524" t="str">
        <x:v>net</x:v>
      </x:c>
      <x:c r="V4" s="1524" t="str">
        <x:v>OK</x:v>
      </x:c>
      <x:c r="W4" s="1532"/>
      <x:c r="X4" s="1524" t="str">
        <x:v>OK — pełna zgodność</x:v>
      </x:c>
      <x:c r="Y4" s="1530" t="n">
        <x:v>15</x:v>
      </x:c>
      <x:c r="Z4" s="1530" t="n">
        <x:v>0</x:v>
      </x:c>
      <x:c r="AA4" s="1530" t="n">
        <x:v>0</x:v>
      </x:c>
      <x:c r="AB4" s="1532" t="str">
        <x:v>Szczegóły w arkuszu 22_AUDYT_NETTO_BITRIX</x:v>
      </x:c>
    </x:row>
    <x:row r="5" ht="20" customHeight="1">
      <x:c r="A5" s="1524" t="str">
        <x:v>300 x 606 cm</x:v>
      </x:c>
      <x:c r="B5" s="1524" t="n">
        <x:v>300</x:v>
      </x:c>
      <x:c r="C5" s="1524" t="n">
        <x:v>606</x:v>
      </x:c>
      <x:c r="D5" s="1526" t="n">
        <x:v>12265</x:v>
      </x:c>
      <x:c r="E5" s="1526" t="n">
        <x:v>16715</x:v>
      </x:c>
      <x:c r="F5" s="1526" t="n">
        <x:v>18413</x:v>
      </x:c>
      <x:c r="G5" s="1526" t="n">
        <x:v>365</x:v>
      </x:c>
      <x:c r="H5" s="1526" t="n">
        <x:v>3996</x:v>
      </x:c>
      <x:c r="I5" s="1526" t="n">
        <x:v>4786</x:v>
      </x:c>
      <x:c r="J5" s="1526" t="n">
        <x:v>2523</x:v>
      </x:c>
      <x:c r="K5" s="1526" t="n">
        <x:v>5034</x:v>
      </x:c>
      <x:c r="L5" s="1526" t="n">
        <x:v>9194</x:v>
      </x:c>
      <x:c r="M5" s="1526" t="n">
        <x:v>2147</x:v>
      </x:c>
      <x:c r="N5" s="1526" t="n">
        <x:v>931</x:v>
      </x:c>
      <x:c r="O5" s="1526" t="n">
        <x:v>1537</x:v>
      </x:c>
      <x:c r="P5" s="1526" t="n">
        <x:v>542</x:v>
      </x:c>
      <x:c r="Q5" s="1526" t="n">
        <x:v>483</x:v>
      </x:c>
      <x:c r="R5" s="1526" t="n">
        <x:v>377</x:v>
      </x:c>
      <x:c r="S5" s="1528" t="n">
        <x:v>0.08</x:v>
      </x:c>
      <x:c r="T5" s="1524" t="str">
        <x:v>NIE</x:v>
      </x:c>
      <x:c r="U5" s="1524" t="str">
        <x:v>net</x:v>
      </x:c>
      <x:c r="V5" s="1524" t="str">
        <x:v>OK</x:v>
      </x:c>
      <x:c r="W5" s="1532"/>
      <x:c r="X5" s="1524" t="str">
        <x:v>OK — pełna zgodność</x:v>
      </x:c>
      <x:c r="Y5" s="1530" t="n">
        <x:v>15</x:v>
      </x:c>
      <x:c r="Z5" s="1530" t="n">
        <x:v>0</x:v>
      </x:c>
      <x:c r="AA5" s="1530" t="n">
        <x:v>0</x:v>
      </x:c>
      <x:c r="AB5" s="1532" t="str">
        <x:v>Szczegóły w arkuszu 22_AUDYT_NETTO_BITRIX</x:v>
      </x:c>
    </x:row>
    <x:row r="6" ht="20" customHeight="1">
      <x:c r="A6" s="1524" t="str">
        <x:v>300 x 706 cm</x:v>
      </x:c>
      <x:c r="B6" s="1524" t="n">
        <x:v>300</x:v>
      </x:c>
      <x:c r="C6" s="1524" t="n">
        <x:v>706</x:v>
      </x:c>
      <x:c r="D6" s="1526" t="n">
        <x:v>14034</x:v>
      </x:c>
      <x:c r="E6" s="1526" t="n">
        <x:v>16861</x:v>
      </x:c>
      <x:c r="F6" s="1526" t="n">
        <x:v>18700</x:v>
      </x:c>
      <x:c r="G6" s="1526" t="n">
        <x:v>436</x:v>
      </x:c>
      <x:c r="H6" s="1526" t="n">
        <x:v>4633</x:v>
      </x:c>
      <x:c r="I6" s="1526" t="n">
        <x:v>5552</x:v>
      </x:c>
      <x:c r="J6" s="1526" t="n">
        <x:v>2523</x:v>
      </x:c>
      <x:c r="K6" s="1526" t="n">
        <x:v>5635</x:v>
      </x:c>
      <x:c r="L6" s="1526" t="n">
        <x:v>9679</x:v>
      </x:c>
      <x:c r="M6" s="1526" t="n">
        <x:v>1771</x:v>
      </x:c>
      <x:c r="N6" s="1526" t="n">
        <x:v>1025</x:v>
      </x:c>
      <x:c r="O6" s="1526" t="n">
        <x:v>1726</x:v>
      </x:c>
      <x:c r="P6" s="1526" t="n">
        <x:v>590</x:v>
      </x:c>
      <x:c r="Q6" s="1526" t="n">
        <x:v>531</x:v>
      </x:c>
      <x:c r="R6" s="1526" t="n">
        <x:v>425</x:v>
      </x:c>
      <x:c r="S6" s="1528" t="n">
        <x:v>0.08</x:v>
      </x:c>
      <x:c r="T6" s="1524" t="str">
        <x:v>NIE</x:v>
      </x:c>
      <x:c r="U6" s="1524" t="str">
        <x:v>net</x:v>
      </x:c>
      <x:c r="V6" s="1524" t="str">
        <x:v>OK</x:v>
      </x:c>
      <x:c r="W6" s="1532"/>
      <x:c r="X6" s="1524" t="str">
        <x:v>OK — tylko zaokrąglenia ±1 zł</x:v>
      </x:c>
      <x:c r="Y6" s="1530" t="n">
        <x:v>14</x:v>
      </x:c>
      <x:c r="Z6" s="1530" t="n">
        <x:v>1</x:v>
      </x:c>
      <x:c r="AA6" s="1530" t="n">
        <x:v>0</x:v>
      </x:c>
      <x:c r="AB6" s="1532" t="str">
        <x:v>Szczegóły w arkuszu 22_AUDYT_NETTO_BITRIX</x:v>
      </x:c>
    </x:row>
    <x:row r="7" ht="20" customHeight="1">
      <x:c r="A7" s="1524" t="str">
        <x:v>300 x 806 cm</x:v>
      </x:c>
      <x:c r="B7" s="1524" t="n">
        <x:v>300</x:v>
      </x:c>
      <x:c r="C7" s="1524" t="n">
        <x:v>806</x:v>
      </x:c>
      <x:c r="D7" s="1526" t="n">
        <x:v>16347</x:v>
      </x:c>
      <x:c r="E7" s="1526" t="n">
        <x:v>17927</x:v>
      </x:c>
      <x:c r="F7" s="1526" t="n">
        <x:v>19908</x:v>
      </x:c>
      <x:c r="G7" s="1526" t="n">
        <x:v>508</x:v>
      </x:c>
      <x:c r="H7" s="1526" t="n">
        <x:v>5517</x:v>
      </x:c>
      <x:c r="I7" s="1526" t="n">
        <x:v>6578</x:v>
      </x:c>
      <x:c r="J7" s="1526" t="n">
        <x:v>2523</x:v>
      </x:c>
      <x:c r="K7" s="1526" t="n">
        <x:v>6225</x:v>
      </x:c>
      <x:c r="L7" s="1526" t="n">
        <x:v>10138</x:v>
      </x:c>
      <x:c r="M7" s="1526" t="n">
        <x:v>1984</x:v>
      </x:c>
      <x:c r="N7" s="1526" t="n">
        <x:v>1131</x:v>
      </x:c>
      <x:c r="O7" s="1526" t="n">
        <x:v>1943</x:v>
      </x:c>
      <x:c r="P7" s="1526" t="n">
        <x:v>625</x:v>
      </x:c>
      <x:c r="Q7" s="1526" t="n">
        <x:v>566</x:v>
      </x:c>
      <x:c r="R7" s="1526" t="n">
        <x:v>471</x:v>
      </x:c>
      <x:c r="S7" s="1528" t="n">
        <x:v>0.08</x:v>
      </x:c>
      <x:c r="T7" s="1524" t="str">
        <x:v>NIE</x:v>
      </x:c>
      <x:c r="U7" s="1524" t="str">
        <x:v>net</x:v>
      </x:c>
      <x:c r="V7" s="1524" t="str">
        <x:v>OK</x:v>
      </x:c>
      <x:c r="W7" s="1532"/>
      <x:c r="X7" s="1524" t="str">
        <x:v>OK — tylko zaokrąglenia ±1 zł</x:v>
      </x:c>
      <x:c r="Y7" s="1530" t="n">
        <x:v>14</x:v>
      </x:c>
      <x:c r="Z7" s="1530" t="n">
        <x:v>1</x:v>
      </x:c>
      <x:c r="AA7" s="1530" t="n">
        <x:v>0</x:v>
      </x:c>
      <x:c r="AB7" s="1532" t="str">
        <x:v>Szczegóły w arkuszu 22_AUDYT_NETTO_BITRIX</x:v>
      </x:c>
    </x:row>
    <x:row r="8" ht="20" customHeight="1">
      <x:c r="A8" s="1524" t="str">
        <x:v>300 x 906 cm</x:v>
      </x:c>
      <x:c r="B8" s="1524" t="n">
        <x:v>300</x:v>
      </x:c>
      <x:c r="C8" s="1524" t="n">
        <x:v>906</x:v>
      </x:c>
      <x:c r="D8" s="1526" t="n">
        <x:v>18159</x:v>
      </x:c>
      <x:c r="E8" s="1526" t="n">
        <x:v>19347</x:v>
      </x:c>
      <x:c r="F8" s="1526" t="n">
        <x:v>21468</x:v>
      </x:c>
      <x:c r="G8" s="1526" t="n">
        <x:v>577</x:v>
      </x:c>
      <x:c r="H8" s="1526" t="n">
        <x:v>6165</x:v>
      </x:c>
      <x:c r="I8" s="1526" t="n">
        <x:v>7344</x:v>
      </x:c>
      <x:c r="J8" s="1526" t="n">
        <x:v>2523</x:v>
      </x:c>
      <x:c r="K8" s="1526" t="n">
        <x:v>7544</x:v>
      </x:c>
      <x:c r="L8" s="1526" t="n">
        <x:v>10940</x:v>
      </x:c>
      <x:c r="M8" s="1526" t="n">
        <x:v>2235</x:v>
      </x:c>
      <x:c r="N8" s="1526" t="n">
        <x:v>1227</x:v>
      </x:c>
      <x:c r="O8" s="1526" t="n">
        <x:v>2161</x:v>
      </x:c>
      <x:c r="P8" s="1526" t="n">
        <x:v>671</x:v>
      </x:c>
      <x:c r="Q8" s="1526" t="n">
        <x:v>613</x:v>
      </x:c>
      <x:c r="R8" s="1526" t="n">
        <x:v>471</x:v>
      </x:c>
      <x:c r="S8" s="1528" t="n">
        <x:v>0.08</x:v>
      </x:c>
      <x:c r="T8" s="1524" t="str">
        <x:v>NIE</x:v>
      </x:c>
      <x:c r="U8" s="1524" t="str">
        <x:v>net</x:v>
      </x:c>
      <x:c r="V8" s="1524" t="str">
        <x:v>OK</x:v>
      </x:c>
      <x:c r="W8" s="1532"/>
      <x:c r="X8" s="1524" t="str">
        <x:v>OK — tylko zaokrąglenia ±1 zł</x:v>
      </x:c>
      <x:c r="Y8" s="1530" t="n">
        <x:v>12</x:v>
      </x:c>
      <x:c r="Z8" s="1530" t="n">
        <x:v>3</x:v>
      </x:c>
      <x:c r="AA8" s="1530" t="n">
        <x:v>0</x:v>
      </x:c>
      <x:c r="AB8" s="1532" t="str">
        <x:v>Szczegóły w arkuszu 22_AUDYT_NETTO_BITRIX</x:v>
      </x:c>
    </x:row>
    <x:row r="9" ht="20" customHeight="1">
      <x:c r="A9" s="1524" t="str">
        <x:v>300 x 1006 cm</x:v>
      </x:c>
      <x:c r="B9" s="1524" t="n">
        <x:v>300</x:v>
      </x:c>
      <x:c r="C9" s="1524" t="n">
        <x:v>1006</x:v>
      </x:c>
      <x:c r="D9" s="1526" t="n">
        <x:v>19962</x:v>
      </x:c>
      <x:c r="E9" s="1526" t="n">
        <x:v>20742</x:v>
      </x:c>
      <x:c r="F9" s="1526" t="n">
        <x:v>23005</x:v>
      </x:c>
      <x:c r="G9" s="1526" t="n">
        <x:v>648</x:v>
      </x:c>
      <x:c r="H9" s="1526" t="n">
        <x:v>6814</x:v>
      </x:c>
      <x:c r="I9" s="1526" t="n">
        <x:v>8122</x:v>
      </x:c>
      <x:c r="J9" s="1526" t="n">
        <x:v>2523</x:v>
      </x:c>
      <x:c r="K9" s="1526" t="n">
        <x:v>8146</x:v>
      </x:c>
      <x:c r="L9" s="1526" t="n">
        <x:v>11729</x:v>
      </x:c>
      <x:c r="M9" s="1526" t="n">
        <x:v>2468</x:v>
      </x:c>
      <x:c r="N9" s="1526" t="n">
        <x:v>1450</x:v>
      </x:c>
      <x:c r="O9" s="1526" t="n">
        <x:v>2581</x:v>
      </x:c>
      <x:c r="P9" s="1526" t="n">
        <x:v>719</x:v>
      </x:c>
      <x:c r="Q9" s="1526" t="n">
        <x:v>648</x:v>
      </x:c>
      <x:c r="R9" s="1526" t="n">
        <x:v>519</x:v>
      </x:c>
      <x:c r="S9" s="1528" t="n">
        <x:v>0.08</x:v>
      </x:c>
      <x:c r="T9" s="1524" t="str">
        <x:v>NIE</x:v>
      </x:c>
      <x:c r="U9" s="1524" t="str">
        <x:v>net</x:v>
      </x:c>
      <x:c r="V9" s="1524" t="str">
        <x:v>OK</x:v>
      </x:c>
      <x:c r="W9" s="1532"/>
      <x:c r="X9" s="1524" t="str">
        <x:v>OK — pełna zgodność</x:v>
      </x:c>
      <x:c r="Y9" s="1530" t="n">
        <x:v>15</x:v>
      </x:c>
      <x:c r="Z9" s="1530" t="n">
        <x:v>0</x:v>
      </x:c>
      <x:c r="AA9" s="1530" t="n">
        <x:v>0</x:v>
      </x:c>
      <x:c r="AB9" s="1532" t="str">
        <x:v>Szczegóły w arkuszu 22_AUDYT_NETTO_BITRIX</x:v>
      </x:c>
    </x:row>
    <x:row r="10" ht="20" customHeight="1">
      <x:c r="A10" s="1524" t="str">
        <x:v>300 x 1106 cm</x:v>
      </x:c>
      <x:c r="B10" s="1524" t="n">
        <x:v>300</x:v>
      </x:c>
      <x:c r="C10" s="1524" t="n">
        <x:v>1106</x:v>
      </x:c>
      <x:c r="D10" s="1526" t="n">
        <x:v>21351</x:v>
      </x:c>
      <x:c r="E10" s="1526" t="n">
        <x:v>22256</x:v>
      </x:c>
      <x:c r="F10" s="1526" t="n">
        <x:v>24662</x:v>
      </x:c>
      <x:c r="G10" s="1526" t="n">
        <x:v>731</x:v>
      </x:c>
      <x:c r="H10" s="1526" t="n">
        <x:v>7498</x:v>
      </x:c>
      <x:c r="I10" s="1526" t="n">
        <x:v>8936</x:v>
      </x:c>
      <x:c r="J10" s="1526" t="n">
        <x:v>2523</x:v>
      </x:c>
      <x:c r="K10" s="1526" t="n">
        <x:v>8748</x:v>
      </x:c>
      <x:c r="L10" s="1526" t="n">
        <x:v>14736</x:v>
      </x:c>
      <x:c r="M10" s="1526" t="n">
        <x:v>3505</x:v>
      </x:c>
      <x:c r="N10" s="1526" t="n">
        <x:v>1686</x:v>
      </x:c>
      <x:c r="O10" s="1526" t="n">
        <x:v>2799</x:v>
      </x:c>
      <x:c r="P10" s="1526" t="n">
        <x:v>766</x:v>
      </x:c>
      <x:c r="Q10" s="1526" t="n">
        <x:v>696</x:v>
      </x:c>
      <x:c r="R10" s="1526" t="n">
        <x:v>566</x:v>
      </x:c>
      <x:c r="S10" s="1528" t="n">
        <x:v>0.08</x:v>
      </x:c>
      <x:c r="T10" s="1524" t="str">
        <x:v>NIE</x:v>
      </x:c>
      <x:c r="U10" s="1524" t="str">
        <x:v>net</x:v>
      </x:c>
      <x:c r="V10" s="1524" t="str">
        <x:v>OK</x:v>
      </x:c>
      <x:c r="W10" s="1532"/>
      <x:c r="X10" s="1524" t="str">
        <x:v>OK — tylko zaokrąglenia ±1 zł</x:v>
      </x:c>
      <x:c r="Y10" s="1530" t="n">
        <x:v>13</x:v>
      </x:c>
      <x:c r="Z10" s="1530" t="n">
        <x:v>2</x:v>
      </x:c>
      <x:c r="AA10" s="1530" t="n">
        <x:v>0</x:v>
      </x:c>
      <x:c r="AB10" s="1532" t="str">
        <x:v>Szczegóły w arkuszu 22_AUDYT_NETTO_BITRIX</x:v>
      </x:c>
    </x:row>
    <x:row r="11" ht="20" customHeight="1">
      <x:c r="A11" s="1524" t="str">
        <x:v>300 x 1206 cm</x:v>
      </x:c>
      <x:c r="B11" s="1524" t="n">
        <x:v>300</x:v>
      </x:c>
      <x:c r="C11" s="1524" t="n">
        <x:v>1206</x:v>
      </x:c>
      <x:c r="D11" s="1526" t="n">
        <x:v>22742</x:v>
      </x:c>
      <x:c r="E11" s="1526" t="n">
        <x:v>23743</x:v>
      </x:c>
      <x:c r="F11" s="1526" t="n">
        <x:v>26289</x:v>
      </x:c>
      <x:c r="G11" s="1526" t="n">
        <x:v>802</x:v>
      </x:c>
      <x:c r="H11" s="1526" t="n">
        <x:v>8204</x:v>
      </x:c>
      <x:c r="I11" s="1526" t="n">
        <x:v>9783</x:v>
      </x:c>
      <x:c r="J11" s="1526" t="n">
        <x:v>2523</x:v>
      </x:c>
      <x:c r="K11" s="1526" t="n">
        <x:v>9337</x:v>
      </x:c>
      <x:c r="L11" s="1526" t="n">
        <x:v>15208</x:v>
      </x:c>
      <x:c r="M11" s="1526" t="n">
        <x:v>3505</x:v>
      </x:c>
      <x:c r="N11" s="1526" t="n">
        <x:v>1781</x:v>
      </x:c>
      <x:c r="O11" s="1526" t="n">
        <x:v>3002</x:v>
      </x:c>
      <x:c r="P11" s="1526" t="n">
        <x:v>813</x:v>
      </x:c>
      <x:c r="Q11" s="1526" t="n">
        <x:v>731</x:v>
      </x:c>
      <x:c r="R11" s="1526" t="n">
        <x:v>613</x:v>
      </x:c>
      <x:c r="S11" s="1528" t="n">
        <x:v>0.08</x:v>
      </x:c>
      <x:c r="T11" s="1524" t="str">
        <x:v>NIE</x:v>
      </x:c>
      <x:c r="U11" s="1524" t="str">
        <x:v>net</x:v>
      </x:c>
      <x:c r="V11" s="1524" t="str">
        <x:v>OK</x:v>
      </x:c>
      <x:c r="W11" s="1532"/>
      <x:c r="X11" s="1524" t="str">
        <x:v>OK — tylko zaokrąglenia ±1 zł</x:v>
      </x:c>
      <x:c r="Y11" s="1530" t="n">
        <x:v>12</x:v>
      </x:c>
      <x:c r="Z11" s="1530" t="n">
        <x:v>3</x:v>
      </x:c>
      <x:c r="AA11" s="1530" t="n">
        <x:v>0</x:v>
      </x:c>
      <x:c r="AB11" s="1532" t="str">
        <x:v>Szczegóły w arkuszu 22_AUDYT_NETTO_BITRIX</x:v>
      </x:c>
    </x:row>
    <x:row r="12" ht="20" customHeight="1">
      <x:c r="A12" s="1524" t="str">
        <x:v>350 x 306 cm</x:v>
      </x:c>
      <x:c r="B12" s="1524" t="n">
        <x:v>350</x:v>
      </x:c>
      <x:c r="C12" s="1524" t="n">
        <x:v>306</x:v>
      </x:c>
      <x:c r="D12" s="1526" t="n">
        <x:v>7756</x:v>
      </x:c>
      <x:c r="E12" s="1526" t="n">
        <x:v>15381</x:v>
      </x:c>
      <x:c r="F12" s="1526" t="n">
        <x:v>16937</x:v>
      </x:c>
      <x:c r="G12" s="1526" t="n">
        <x:v>177</x:v>
      </x:c>
      <x:c r="H12" s="1526" t="n">
        <x:v>2688</x:v>
      </x:c>
      <x:c r="I12" s="1526" t="n">
        <x:v>3088</x:v>
      </x:c>
      <x:c r="J12" s="1526" t="n">
        <x:v>2758</x:v>
      </x:c>
      <x:c r="K12" s="1526" t="n">
        <x:v>2523</x:v>
      </x:c>
      <x:c r="L12" s="1526" t="n">
        <x:v>4692</x:v>
      </x:c>
      <x:c r="M12" s="1526" t="n">
        <x:v>1593</x:v>
      </x:c>
      <x:c r="N12" s="1526" t="n">
        <x:v>494</x:v>
      </x:c>
      <x:c r="O12" s="1526" t="n">
        <x:v>1189</x:v>
      </x:c>
      <x:c r="P12" s="1526" t="n">
        <x:v>494</x:v>
      </x:c>
      <x:c r="Q12" s="1526" t="n">
        <x:v>448</x:v>
      </x:c>
      <x:c r="R12" s="1526" t="n">
        <x:v>377</x:v>
      </x:c>
      <x:c r="S12" s="1528" t="n">
        <x:v>0.08</x:v>
      </x:c>
      <x:c r="T12" s="1524" t="str">
        <x:v>NIE</x:v>
      </x:c>
      <x:c r="U12" s="1524" t="str">
        <x:v>net</x:v>
      </x:c>
      <x:c r="V12" s="1524" t="str">
        <x:v>OK</x:v>
      </x:c>
      <x:c r="W12" s="1532"/>
      <x:c r="X12" s="1524" t="str">
        <x:v>OK — tylko zaokrąglenia ±1 zł</x:v>
      </x:c>
      <x:c r="Y12" s="1530" t="n">
        <x:v>14</x:v>
      </x:c>
      <x:c r="Z12" s="1530" t="n">
        <x:v>1</x:v>
      </x:c>
      <x:c r="AA12" s="1530" t="n">
        <x:v>0</x:v>
      </x:c>
      <x:c r="AB12" s="1532" t="str">
        <x:v>Szczegóły w arkuszu 22_AUDYT_NETTO_BITRIX</x:v>
      </x:c>
    </x:row>
    <x:row r="13" ht="20" customHeight="1">
      <x:c r="A13" s="1524" t="str">
        <x:v>350 x 406 cm</x:v>
      </x:c>
      <x:c r="B13" s="1524" t="n">
        <x:v>350</x:v>
      </x:c>
      <x:c r="C13" s="1524" t="n">
        <x:v>406</x:v>
      </x:c>
      <x:c r="D13" s="1526" t="n">
        <x:v>9689</x:v>
      </x:c>
      <x:c r="E13" s="1526" t="n">
        <x:v>16551</x:v>
      </x:c>
      <x:c r="F13" s="1526" t="n">
        <x:v>18249</x:v>
      </x:c>
      <x:c r="G13" s="1526" t="n">
        <x:v>236</x:v>
      </x:c>
      <x:c r="H13" s="1526" t="n">
        <x:v>3596</x:v>
      </x:c>
      <x:c r="I13" s="1526" t="n">
        <x:v>4127</x:v>
      </x:c>
      <x:c r="J13" s="1526" t="n">
        <x:v>2758</x:v>
      </x:c>
      <x:c r="K13" s="1526" t="n">
        <x:v>3112</x:v>
      </x:c>
      <x:c r="L13" s="1526" t="n">
        <x:v>5306</x:v>
      </x:c>
      <x:c r="M13" s="1526" t="n">
        <x:v>1789</x:v>
      </x:c>
      <x:c r="N13" s="1526" t="n">
        <x:v>602</x:v>
      </x:c>
      <x:c r="O13" s="1526" t="n">
        <x:v>1421</x:v>
      </x:c>
      <x:c r="P13" s="1526" t="n">
        <x:v>542</x:v>
      </x:c>
      <x:c r="Q13" s="1526" t="n">
        <x:v>483</x:v>
      </x:c>
      <x:c r="R13" s="1526" t="n">
        <x:v>425</x:v>
      </x:c>
      <x:c r="S13" s="1528" t="n">
        <x:v>0.08</x:v>
      </x:c>
      <x:c r="T13" s="1524" t="str">
        <x:v>NIE</x:v>
      </x:c>
      <x:c r="U13" s="1524" t="str">
        <x:v>net</x:v>
      </x:c>
      <x:c r="V13" s="1524" t="str">
        <x:v>OK</x:v>
      </x:c>
      <x:c r="W13" s="1532"/>
      <x:c r="X13" s="1524" t="str">
        <x:v>OK — pełna zgodność</x:v>
      </x:c>
      <x:c r="Y13" s="1530" t="n">
        <x:v>15</x:v>
      </x:c>
      <x:c r="Z13" s="1530" t="n">
        <x:v>0</x:v>
      </x:c>
      <x:c r="AA13" s="1530" t="n">
        <x:v>0</x:v>
      </x:c>
      <x:c r="AB13" s="1532" t="str">
        <x:v>Szczegóły w arkuszu 22_AUDYT_NETTO_BITRIX</x:v>
      </x:c>
    </x:row>
    <x:row r="14" ht="20" customHeight="1">
      <x:c r="A14" s="1524" t="str">
        <x:v>350 x 506 cm</x:v>
      </x:c>
      <x:c r="B14" s="1524" t="n">
        <x:v>350</x:v>
      </x:c>
      <x:c r="C14" s="1524" t="n">
        <x:v>506</x:v>
      </x:c>
      <x:c r="D14" s="1526" t="n">
        <x:v>11669</x:v>
      </x:c>
      <x:c r="E14" s="1526" t="n">
        <x:v>18169</x:v>
      </x:c>
      <x:c r="F14" s="1526" t="n">
        <x:v>20008</x:v>
      </x:c>
      <x:c r="G14" s="1526" t="n">
        <x:v>294</x:v>
      </x:c>
      <x:c r="H14" s="1526" t="n">
        <x:v>4610</x:v>
      </x:c>
      <x:c r="I14" s="1526" t="n">
        <x:v>5281</x:v>
      </x:c>
      <x:c r="J14" s="1526" t="n">
        <x:v>2758</x:v>
      </x:c>
      <x:c r="K14" s="1526" t="n">
        <x:v>4362</x:v>
      </x:c>
      <x:c r="L14" s="1526" t="n">
        <x:v>6131</x:v>
      </x:c>
      <x:c r="M14" s="1526" t="n">
        <x:v>2039</x:v>
      </x:c>
      <x:c r="N14" s="1526" t="n">
        <x:v>708</x:v>
      </x:c>
      <x:c r="O14" s="1526" t="n">
        <x:v>1639</x:v>
      </x:c>
      <x:c r="P14" s="1526" t="n">
        <x:v>590</x:v>
      </x:c>
      <x:c r="Q14" s="1526" t="n">
        <x:v>531</x:v>
      </x:c>
      <x:c r="R14" s="1526" t="n">
        <x:v>425</x:v>
      </x:c>
      <x:c r="S14" s="1528" t="n">
        <x:v>0.08</x:v>
      </x:c>
      <x:c r="T14" s="1524" t="str">
        <x:v>NIE</x:v>
      </x:c>
      <x:c r="U14" s="1524" t="str">
        <x:v>net</x:v>
      </x:c>
      <x:c r="V14" s="1524" t="str">
        <x:v>OK</x:v>
      </x:c>
      <x:c r="W14" s="1532"/>
      <x:c r="X14" s="1524" t="str">
        <x:v>OK — tylko zaokrąglenia ±1 zł</x:v>
      </x:c>
      <x:c r="Y14" s="1530" t="n">
        <x:v>13</x:v>
      </x:c>
      <x:c r="Z14" s="1530" t="n">
        <x:v>2</x:v>
      </x:c>
      <x:c r="AA14" s="1530" t="n">
        <x:v>0</x:v>
      </x:c>
      <x:c r="AB14" s="1532" t="str">
        <x:v>Szczegóły w arkuszu 22_AUDYT_NETTO_BITRIX</x:v>
      </x:c>
    </x:row>
    <x:row r="15" ht="20" customHeight="1">
      <x:c r="A15" s="1524" t="str">
        <x:v>350 x 606 cm</x:v>
      </x:c>
      <x:c r="B15" s="1524" t="n">
        <x:v>350</x:v>
      </x:c>
      <x:c r="C15" s="1524" t="n">
        <x:v>606</x:v>
      </x:c>
      <x:c r="D15" s="1526" t="n">
        <x:v>13205</x:v>
      </x:c>
      <x:c r="E15" s="1526" t="n">
        <x:v>19516</x:v>
      </x:c>
      <x:c r="F15" s="1526" t="n">
        <x:v>21497</x:v>
      </x:c>
      <x:c r="G15" s="1526" t="n">
        <x:v>354</x:v>
      </x:c>
      <x:c r="H15" s="1526" t="n">
        <x:v>5529</x:v>
      </x:c>
      <x:c r="I15" s="1526" t="n">
        <x:v>6342</x:v>
      </x:c>
      <x:c r="J15" s="1526" t="n">
        <x:v>2758</x:v>
      </x:c>
      <x:c r="K15" s="1526" t="n">
        <x:v>5034</x:v>
      </x:c>
      <x:c r="L15" s="1526" t="n">
        <x:v>9384</x:v>
      </x:c>
      <x:c r="M15" s="1526" t="n">
        <x:v>2539</x:v>
      </x:c>
      <x:c r="N15" s="1526" t="n">
        <x:v>931</x:v>
      </x:c>
      <x:c r="O15" s="1526" t="n">
        <x:v>1871</x:v>
      </x:c>
      <x:c r="P15" s="1526" t="n">
        <x:v>625</x:v>
      </x:c>
      <x:c r="Q15" s="1526" t="n">
        <x:v>566</x:v>
      </x:c>
      <x:c r="R15" s="1526" t="n">
        <x:v>471</x:v>
      </x:c>
      <x:c r="S15" s="1528" t="n">
        <x:v>0.08</x:v>
      </x:c>
      <x:c r="T15" s="1524" t="str">
        <x:v>NIE</x:v>
      </x:c>
      <x:c r="U15" s="1524" t="str">
        <x:v>net</x:v>
      </x:c>
      <x:c r="V15" s="1524" t="str">
        <x:v>OK</x:v>
      </x:c>
      <x:c r="W15" s="1532"/>
      <x:c r="X15" s="1524" t="str">
        <x:v>OK — tylko zaokrąglenia ±1 zł</x:v>
      </x:c>
      <x:c r="Y15" s="1530" t="n">
        <x:v>12</x:v>
      </x:c>
      <x:c r="Z15" s="1530" t="n">
        <x:v>3</x:v>
      </x:c>
      <x:c r="AA15" s="1530" t="n">
        <x:v>0</x:v>
      </x:c>
      <x:c r="AB15" s="1532" t="str">
        <x:v>Szczegóły w arkuszu 22_AUDYT_NETTO_BITRIX</x:v>
      </x:c>
    </x:row>
    <x:row r="16" ht="20" customHeight="1">
      <x:c r="A16" s="1524" t="str">
        <x:v>350 x 706 cm</x:v>
      </x:c>
      <x:c r="B16" s="1524" t="n">
        <x:v>350</x:v>
      </x:c>
      <x:c r="C16" s="1524" t="n">
        <x:v>706</x:v>
      </x:c>
      <x:c r="D16" s="1526" t="n">
        <x:v>14969</x:v>
      </x:c>
      <x:c r="E16" s="1526" t="n">
        <x:v>19672</x:v>
      </x:c>
      <x:c r="F16" s="1526" t="n">
        <x:v>21793</x:v>
      </x:c>
      <x:c r="G16" s="1526" t="n">
        <x:v>413</x:v>
      </x:c>
      <x:c r="H16" s="1526" t="n">
        <x:v>6342</x:v>
      </x:c>
      <x:c r="I16" s="1526" t="n">
        <x:v>7285</x:v>
      </x:c>
      <x:c r="J16" s="1526" t="n">
        <x:v>2758</x:v>
      </x:c>
      <x:c r="K16" s="1526" t="n">
        <x:v>5635</x:v>
      </x:c>
      <x:c r="L16" s="1526" t="n">
        <x:v>9996</x:v>
      </x:c>
      <x:c r="M16" s="1526" t="n">
        <x:v>2182</x:v>
      </x:c>
      <x:c r="N16" s="1526" t="n">
        <x:v>1025</x:v>
      </x:c>
      <x:c r="O16" s="1526" t="n">
        <x:v>2103</x:v>
      </x:c>
      <x:c r="P16" s="1526" t="n">
        <x:v>671</x:v>
      </x:c>
      <x:c r="Q16" s="1526" t="n">
        <x:v>613</x:v>
      </x:c>
      <x:c r="R16" s="1526" t="n">
        <x:v>519</x:v>
      </x:c>
      <x:c r="S16" s="1528" t="n">
        <x:v>0.08</x:v>
      </x:c>
      <x:c r="T16" s="1524" t="str">
        <x:v>NIE</x:v>
      </x:c>
      <x:c r="U16" s="1524" t="str">
        <x:v>net</x:v>
      </x:c>
      <x:c r="V16" s="1524" t="str">
        <x:v>OK</x:v>
      </x:c>
      <x:c r="W16" s="1532"/>
      <x:c r="X16" s="1524" t="str">
        <x:v>SPRAWDŹ &gt;1 zł</x:v>
      </x:c>
      <x:c r="Y16" s="1530" t="n">
        <x:v>12</x:v>
      </x:c>
      <x:c r="Z16" s="1530" t="n">
        <x:v>2</x:v>
      </x:c>
      <x:c r="AA16" s="1530" t="n">
        <x:v>1</x:v>
      </x:c>
      <x:c r="AB16" s="1532" t="str">
        <x:v>Szczegóły w arkuszu 22_AUDYT_NETTO_BITRIX</x:v>
      </x:c>
    </x:row>
    <x:row r="17" ht="20" customHeight="1">
      <x:c r="A17" s="1524" t="str">
        <x:v>350 x 806 cm</x:v>
      </x:c>
      <x:c r="B17" s="1524" t="n">
        <x:v>350</x:v>
      </x:c>
      <x:c r="C17" s="1524" t="n">
        <x:v>806</x:v>
      </x:c>
      <x:c r="D17" s="1526" t="n">
        <x:v>17479</x:v>
      </x:c>
      <x:c r="E17" s="1526" t="n">
        <x:v>20729</x:v>
      </x:c>
      <x:c r="F17" s="1526" t="n">
        <x:v>22992</x:v>
      </x:c>
      <x:c r="G17" s="1526" t="n">
        <x:v>471</x:v>
      </x:c>
      <x:c r="H17" s="1526" t="n">
        <x:v>7592</x:v>
      </x:c>
      <x:c r="I17" s="1526" t="n">
        <x:v>8665</x:v>
      </x:c>
      <x:c r="J17" s="1526" t="n">
        <x:v>2758</x:v>
      </x:c>
      <x:c r="K17" s="1526" t="n">
        <x:v>6225</x:v>
      </x:c>
      <x:c r="L17" s="1526" t="n">
        <x:v>10598</x:v>
      </x:c>
      <x:c r="M17" s="1526" t="n">
        <x:v>2378</x:v>
      </x:c>
      <x:c r="N17" s="1526" t="n">
        <x:v>1131</x:v>
      </x:c>
      <x:c r="O17" s="1526" t="n">
        <x:v>2349</x:v>
      </x:c>
      <x:c r="P17" s="1526" t="n">
        <x:v>719</x:v>
      </x:c>
      <x:c r="Q17" s="1526" t="n">
        <x:v>648</x:v>
      </x:c>
      <x:c r="R17" s="1526" t="n">
        <x:v>566</x:v>
      </x:c>
      <x:c r="S17" s="1528" t="n">
        <x:v>0.08</x:v>
      </x:c>
      <x:c r="T17" s="1524" t="str">
        <x:v>NIE</x:v>
      </x:c>
      <x:c r="U17" s="1524" t="str">
        <x:v>net</x:v>
      </x:c>
      <x:c r="V17" s="1524" t="str">
        <x:v>OK</x:v>
      </x:c>
      <x:c r="W17" s="1532"/>
      <x:c r="X17" s="1524" t="str">
        <x:v>OK — pełna zgodność</x:v>
      </x:c>
      <x:c r="Y17" s="1530" t="n">
        <x:v>15</x:v>
      </x:c>
      <x:c r="Z17" s="1530" t="n">
        <x:v>0</x:v>
      </x:c>
      <x:c r="AA17" s="1530" t="n">
        <x:v>0</x:v>
      </x:c>
      <x:c r="AB17" s="1532" t="str">
        <x:v>Szczegóły w arkuszu 22_AUDYT_NETTO_BITRIX</x:v>
      </x:c>
    </x:row>
    <x:row r="18" ht="20" customHeight="1">
      <x:c r="A18" s="1524" t="str">
        <x:v>350 x 906 cm</x:v>
      </x:c>
      <x:c r="B18" s="1524" t="n">
        <x:v>350</x:v>
      </x:c>
      <x:c r="C18" s="1524" t="n">
        <x:v>906</x:v>
      </x:c>
      <x:c r="D18" s="1526" t="n">
        <x:v>19450</x:v>
      </x:c>
      <x:c r="E18" s="1526" t="n">
        <x:v>22124</x:v>
      </x:c>
      <x:c r="F18" s="1526" t="n">
        <x:v>24530</x:v>
      </x:c>
      <x:c r="G18" s="1526" t="n">
        <x:v>531</x:v>
      </x:c>
      <x:c r="H18" s="1526" t="n">
        <x:v>8617</x:v>
      </x:c>
      <x:c r="I18" s="1526" t="n">
        <x:v>9819</x:v>
      </x:c>
      <x:c r="J18" s="1526" t="n">
        <x:v>2758</x:v>
      </x:c>
      <x:c r="K18" s="1526" t="n">
        <x:v>7544</x:v>
      </x:c>
      <x:c r="L18" s="1526" t="n">
        <x:v>11435</x:v>
      </x:c>
      <x:c r="M18" s="1526" t="n">
        <x:v>2629</x:v>
      </x:c>
      <x:c r="N18" s="1526" t="n">
        <x:v>1227</x:v>
      </x:c>
      <x:c r="O18" s="1526" t="n">
        <x:v>2581</x:v>
      </x:c>
      <x:c r="P18" s="1526" t="n">
        <x:v>766</x:v>
      </x:c>
      <x:c r="Q18" s="1526" t="n">
        <x:v>696</x:v>
      </x:c>
      <x:c r="R18" s="1526" t="n">
        <x:v>566</x:v>
      </x:c>
      <x:c r="S18" s="1528" t="n">
        <x:v>0.08</x:v>
      </x:c>
      <x:c r="T18" s="1524" t="str">
        <x:v>NIE</x:v>
      </x:c>
      <x:c r="U18" s="1524" t="str">
        <x:v>net</x:v>
      </x:c>
      <x:c r="V18" s="1524" t="str">
        <x:v>OK</x:v>
      </x:c>
      <x:c r="W18" s="1532"/>
      <x:c r="X18" s="1524" t="str">
        <x:v>OK — tylko zaokrąglenia ±1 zł</x:v>
      </x:c>
      <x:c r="Y18" s="1530" t="n">
        <x:v>14</x:v>
      </x:c>
      <x:c r="Z18" s="1530" t="n">
        <x:v>1</x:v>
      </x:c>
      <x:c r="AA18" s="1530" t="n">
        <x:v>0</x:v>
      </x:c>
      <x:c r="AB18" s="1532" t="str">
        <x:v>Szczegóły w arkuszu 22_AUDYT_NETTO_BITRIX</x:v>
      </x:c>
    </x:row>
    <x:row r="19" ht="20" customHeight="1">
      <x:c r="A19" s="1524" t="str">
        <x:v>350 x 1006 cm</x:v>
      </x:c>
      <x:c r="B19" s="1524" t="n">
        <x:v>350</x:v>
      </x:c>
      <x:c r="C19" s="1524" t="n">
        <x:v>1006</x:v>
      </x:c>
      <x:c r="D19" s="1526" t="n">
        <x:v>21420</x:v>
      </x:c>
      <x:c r="E19" s="1526" t="n">
        <x:v>23531</x:v>
      </x:c>
      <x:c r="F19" s="1526" t="n">
        <x:v>26077</x:v>
      </x:c>
      <x:c r="G19" s="1526" t="n">
        <x:v>590</x:v>
      </x:c>
      <x:c r="H19" s="1526" t="n">
        <x:v>9596</x:v>
      </x:c>
      <x:c r="I19" s="1526" t="n">
        <x:v>10940</x:v>
      </x:c>
      <x:c r="J19" s="1526" t="n">
        <x:v>2758</x:v>
      </x:c>
      <x:c r="K19" s="1526" t="n">
        <x:v>8146</x:v>
      </x:c>
      <x:c r="L19" s="1526" t="n">
        <x:v>12260</x:v>
      </x:c>
      <x:c r="M19" s="1526" t="n">
        <x:v>2880</x:v>
      </x:c>
      <x:c r="N19" s="1526" t="n">
        <x:v>1450</x:v>
      </x:c>
      <x:c r="O19" s="1526" t="n">
        <x:v>2828</x:v>
      </x:c>
      <x:c r="P19" s="1526" t="n">
        <x:v>813</x:v>
      </x:c>
      <x:c r="Q19" s="1526" t="n">
        <x:v>731</x:v>
      </x:c>
      <x:c r="R19" s="1526" t="n">
        <x:v>613</x:v>
      </x:c>
      <x:c r="S19" s="1528" t="n">
        <x:v>0.08</x:v>
      </x:c>
      <x:c r="T19" s="1524" t="str">
        <x:v>NIE</x:v>
      </x:c>
      <x:c r="U19" s="1524" t="str">
        <x:v>net</x:v>
      </x:c>
      <x:c r="V19" s="1524" t="str">
        <x:v>OK</x:v>
      </x:c>
      <x:c r="W19" s="1532"/>
      <x:c r="X19" s="1524" t="str">
        <x:v>OK — tylko zaokrąglenia ±1 zł</x:v>
      </x:c>
      <x:c r="Y19" s="1530" t="n">
        <x:v>14</x:v>
      </x:c>
      <x:c r="Z19" s="1530" t="n">
        <x:v>1</x:v>
      </x:c>
      <x:c r="AA19" s="1530" t="n">
        <x:v>0</x:v>
      </x:c>
      <x:c r="AB19" s="1532" t="str">
        <x:v>Szczegóły w arkuszu 22_AUDYT_NETTO_BITRIX</x:v>
      </x:c>
    </x:row>
    <x:row r="20" ht="20" customHeight="1">
      <x:c r="A20" s="1524" t="str">
        <x:v>350 x 1106 cm</x:v>
      </x:c>
      <x:c r="B20" s="1524" t="n">
        <x:v>350</x:v>
      </x:c>
      <x:c r="C20" s="1524" t="n">
        <x:v>1106</x:v>
      </x:c>
      <x:c r="D20" s="1526" t="n">
        <x:v>22954</x:v>
      </x:c>
      <x:c r="E20" s="1526" t="n">
        <x:v>25032</x:v>
      </x:c>
      <x:c r="F20" s="1526" t="n">
        <x:v>27720</x:v>
      </x:c>
      <x:c r="G20" s="1526" t="n">
        <x:v>648</x:v>
      </x:c>
      <x:c r="H20" s="1526" t="n">
        <x:v>10539</x:v>
      </x:c>
      <x:c r="I20" s="1526" t="n">
        <x:v>12024</x:v>
      </x:c>
      <x:c r="J20" s="1526" t="n">
        <x:v>2758</x:v>
      </x:c>
      <x:c r="K20" s="1526" t="n">
        <x:v>8748</x:v>
      </x:c>
      <x:c r="L20" s="1526" t="n">
        <x:v>15302</x:v>
      </x:c>
      <x:c r="M20" s="1526" t="n">
        <x:v>3898</x:v>
      </x:c>
      <x:c r="N20" s="1526" t="n">
        <x:v>1686</x:v>
      </x:c>
      <x:c r="O20" s="1526" t="n">
        <x:v>3060</x:v>
      </x:c>
      <x:c r="P20" s="1526" t="n">
        <x:v>848</x:v>
      </x:c>
      <x:c r="Q20" s="1526" t="n">
        <x:v>766</x:v>
      </x:c>
      <x:c r="R20" s="1526" t="n">
        <x:v>660</x:v>
      </x:c>
      <x:c r="S20" s="1528" t="n">
        <x:v>0.08</x:v>
      </x:c>
      <x:c r="T20" s="1524" t="str">
        <x:v>NIE</x:v>
      </x:c>
      <x:c r="U20" s="1524" t="str">
        <x:v>net</x:v>
      </x:c>
      <x:c r="V20" s="1524" t="str">
        <x:v>OK</x:v>
      </x:c>
      <x:c r="W20" s="1532"/>
      <x:c r="X20" s="1524" t="str">
        <x:v>OK — pełna zgodność</x:v>
      </x:c>
      <x:c r="Y20" s="1530" t="n">
        <x:v>15</x:v>
      </x:c>
      <x:c r="Z20" s="1530" t="n">
        <x:v>0</x:v>
      </x:c>
      <x:c r="AA20" s="1530" t="n">
        <x:v>0</x:v>
      </x:c>
      <x:c r="AB20" s="1532" t="str">
        <x:v>Szczegóły w arkuszu 22_AUDYT_NETTO_BITRIX</x:v>
      </x:c>
    </x:row>
    <x:row r="21" ht="20" customHeight="1">
      <x:c r="A21" s="1524" t="str">
        <x:v>350 x 1206 cm</x:v>
      </x:c>
      <x:c r="B21" s="1524" t="n">
        <x:v>350</x:v>
      </x:c>
      <x:c r="C21" s="1524" t="n">
        <x:v>1206</x:v>
      </x:c>
      <x:c r="D21" s="1526" t="n">
        <x:v>24479</x:v>
      </x:c>
      <x:c r="E21" s="1526" t="n">
        <x:v>26531</x:v>
      </x:c>
      <x:c r="F21" s="1526" t="n">
        <x:v>29360</x:v>
      </x:c>
      <x:c r="G21" s="1526" t="n">
        <x:v>708</x:v>
      </x:c>
      <x:c r="H21" s="1526" t="n">
        <x:v>11435</x:v>
      </x:c>
      <x:c r="I21" s="1526" t="n">
        <x:v>13050</x:v>
      </x:c>
      <x:c r="J21" s="1526" t="n">
        <x:v>2758</x:v>
      </x:c>
      <x:c r="K21" s="1526" t="n">
        <x:v>9337</x:v>
      </x:c>
      <x:c r="L21" s="1526" t="n">
        <x:v>15915</x:v>
      </x:c>
      <x:c r="M21" s="1526" t="n">
        <x:v>3898</x:v>
      </x:c>
      <x:c r="N21" s="1526" t="n">
        <x:v>1781</x:v>
      </x:c>
      <x:c r="O21" s="1526" t="n">
        <x:v>3306</x:v>
      </x:c>
      <x:c r="P21" s="1526" t="n">
        <x:v>896</x:v>
      </x:c>
      <x:c r="Q21" s="1526" t="n">
        <x:v>813</x:v>
      </x:c>
      <x:c r="R21" s="1526" t="n">
        <x:v>708</x:v>
      </x:c>
      <x:c r="S21" s="1528" t="n">
        <x:v>0.08</x:v>
      </x:c>
      <x:c r="T21" s="1524" t="str">
        <x:v>NIE</x:v>
      </x:c>
      <x:c r="U21" s="1524" t="str">
        <x:v>net</x:v>
      </x:c>
      <x:c r="V21" s="1524" t="str">
        <x:v>OK</x:v>
      </x:c>
      <x:c r="W21" s="1532"/>
      <x:c r="X21" s="1524" t="str">
        <x:v>OK — tylko zaokrąglenia ±1 zł</x:v>
      </x:c>
      <x:c r="Y21" s="1530" t="n">
        <x:v>14</x:v>
      </x:c>
      <x:c r="Z21" s="1530" t="n">
        <x:v>1</x:v>
      </x:c>
      <x:c r="AA21" s="1530" t="n">
        <x:v>0</x:v>
      </x:c>
      <x:c r="AB21" s="1532" t="str">
        <x:v>Szczegóły w arkuszu 22_AUDYT_NETTO_BITRIX</x:v>
      </x:c>
    </x:row>
    <x:row r="22" ht="20" customHeight="1">
      <x:c r="A22" s="1524" t="str">
        <x:v>400 x 306 cm</x:v>
      </x:c>
      <x:c r="B22" s="1524" t="n">
        <x:v>400</x:v>
      </x:c>
      <x:c r="C22" s="1524" t="n">
        <x:v>306</x:v>
      </x:c>
      <x:c r="D22" s="1526" t="n">
        <x:v>8656</x:v>
      </x:c>
      <x:c r="E22" s="1526" t="n">
        <x:v>15637</x:v>
      </x:c>
      <x:c r="F22" s="1526" t="n">
        <x:v>17193</x:v>
      </x:c>
      <x:c r="G22" s="1526" t="n">
        <x:v>200</x:v>
      </x:c>
      <x:c r="H22" s="1526" t="n">
        <x:v>3667</x:v>
      </x:c>
      <x:c r="I22" s="1526" t="n">
        <x:v>4080</x:v>
      </x:c>
      <x:c r="J22" s="1526" t="n">
        <x:v>3112</x:v>
      </x:c>
      <x:c r="K22" s="1526" t="n">
        <x:v>2523</x:v>
      </x:c>
      <x:c r="L22" s="1526" t="n">
        <x:v>4750</x:v>
      </x:c>
      <x:c r="M22" s="1526" t="n">
        <x:v>1593</x:v>
      </x:c>
      <x:c r="N22" s="1526" t="n">
        <x:v>494</x:v>
      </x:c>
      <x:c r="O22" s="1526" t="n">
        <x:v>1247</x:v>
      </x:c>
      <x:c r="P22" s="1526" t="n">
        <x:v>494</x:v>
      </x:c>
      <x:c r="Q22" s="1526" t="n">
        <x:v>448</x:v>
      </x:c>
      <x:c r="R22" s="1526" t="n">
        <x:v>377</x:v>
      </x:c>
      <x:c r="S22" s="1528" t="n">
        <x:v>0.08</x:v>
      </x:c>
      <x:c r="T22" s="1524" t="str">
        <x:v>NIE</x:v>
      </x:c>
      <x:c r="U22" s="1524" t="str">
        <x:v>net</x:v>
      </x:c>
      <x:c r="V22" s="1524" t="str">
        <x:v>OK</x:v>
      </x:c>
      <x:c r="W22" s="1532"/>
      <x:c r="X22" s="1524" t="str">
        <x:v>OK — pełna zgodność</x:v>
      </x:c>
      <x:c r="Y22" s="1530" t="n">
        <x:v>15</x:v>
      </x:c>
      <x:c r="Z22" s="1530" t="n">
        <x:v>0</x:v>
      </x:c>
      <x:c r="AA22" s="1530" t="n">
        <x:v>0</x:v>
      </x:c>
      <x:c r="AB22" s="1532" t="str">
        <x:v>Szczegóły w arkuszu 22_AUDYT_NETTO_BITRIX</x:v>
      </x:c>
    </x:row>
    <x:row r="23" ht="20" customHeight="1">
      <x:c r="A23" s="1524" t="str">
        <x:v>400 x 406 cm</x:v>
      </x:c>
      <x:c r="B23" s="1524" t="n">
        <x:v>400</x:v>
      </x:c>
      <x:c r="C23" s="1524" t="n">
        <x:v>406</x:v>
      </x:c>
      <x:c r="D23" s="1526" t="n">
        <x:v>10307</x:v>
      </x:c>
      <x:c r="E23" s="1526" t="n">
        <x:v>16899</x:v>
      </x:c>
      <x:c r="F23" s="1526" t="n">
        <x:v>18597</x:v>
      </x:c>
      <x:c r="G23" s="1526" t="n">
        <x:v>260</x:v>
      </x:c>
      <x:c r="H23" s="1526" t="n">
        <x:v>4844</x:v>
      </x:c>
      <x:c r="I23" s="1526" t="n">
        <x:v>5386</x:v>
      </x:c>
      <x:c r="J23" s="1526" t="n">
        <x:v>3112</x:v>
      </x:c>
      <x:c r="K23" s="1526" t="n">
        <x:v>3112</x:v>
      </x:c>
      <x:c r="L23" s="1526" t="n">
        <x:v>5494</x:v>
      </x:c>
      <x:c r="M23" s="1526" t="n">
        <x:v>1789</x:v>
      </x:c>
      <x:c r="N23" s="1526" t="n">
        <x:v>602</x:v>
      </x:c>
      <x:c r="O23" s="1526" t="n">
        <x:v>1508</x:v>
      </x:c>
      <x:c r="P23" s="1526" t="n">
        <x:v>542</x:v>
      </x:c>
      <x:c r="Q23" s="1526" t="n">
        <x:v>483</x:v>
      </x:c>
      <x:c r="R23" s="1526" t="n">
        <x:v>425</x:v>
      </x:c>
      <x:c r="S23" s="1528" t="n">
        <x:v>0.08</x:v>
      </x:c>
      <x:c r="T23" s="1524" t="str">
        <x:v>NIE</x:v>
      </x:c>
      <x:c r="U23" s="1524" t="str">
        <x:v>net</x:v>
      </x:c>
      <x:c r="V23" s="1524" t="str">
        <x:v>OK</x:v>
      </x:c>
      <x:c r="W23" s="1532"/>
      <x:c r="X23" s="1524" t="str">
        <x:v>OK — pełna zgodność</x:v>
      </x:c>
      <x:c r="Y23" s="1530" t="n">
        <x:v>15</x:v>
      </x:c>
      <x:c r="Z23" s="1530" t="n">
        <x:v>0</x:v>
      </x:c>
      <x:c r="AA23" s="1530" t="n">
        <x:v>0</x:v>
      </x:c>
      <x:c r="AB23" s="1532" t="str">
        <x:v>Szczegóły w arkuszu 22_AUDYT_NETTO_BITRIX</x:v>
      </x:c>
    </x:row>
    <x:row r="24" ht="20" customHeight="1">
      <x:c r="A24" s="1524" t="str">
        <x:v>400 x 506 cm</x:v>
      </x:c>
      <x:c r="B24" s="1524" t="n">
        <x:v>400</x:v>
      </x:c>
      <x:c r="C24" s="1524" t="n">
        <x:v>506</x:v>
      </x:c>
      <x:c r="D24" s="1526" t="n">
        <x:v>12383</x:v>
      </x:c>
      <x:c r="E24" s="1526" t="n">
        <x:v>18424</x:v>
      </x:c>
      <x:c r="F24" s="1526" t="n">
        <x:v>20263</x:v>
      </x:c>
      <x:c r="G24" s="1526" t="n">
        <x:v>331</x:v>
      </x:c>
      <x:c r="H24" s="1526" t="n">
        <x:v>5954</x:v>
      </x:c>
      <x:c r="I24" s="1526" t="n">
        <x:v>6638</x:v>
      </x:c>
      <x:c r="J24" s="1526" t="n">
        <x:v>3112</x:v>
      </x:c>
      <x:c r="K24" s="1526" t="n">
        <x:v>4362</x:v>
      </x:c>
      <x:c r="L24" s="1526" t="n">
        <x:v>6260</x:v>
      </x:c>
      <x:c r="M24" s="1526" t="n">
        <x:v>2039</x:v>
      </x:c>
      <x:c r="N24" s="1526" t="n">
        <x:v>708</x:v>
      </x:c>
      <x:c r="O24" s="1526" t="n">
        <x:v>1755</x:v>
      </x:c>
      <x:c r="P24" s="1526" t="n">
        <x:v>590</x:v>
      </x:c>
      <x:c r="Q24" s="1526" t="n">
        <x:v>531</x:v>
      </x:c>
      <x:c r="R24" s="1526" t="n">
        <x:v>425</x:v>
      </x:c>
      <x:c r="S24" s="1528" t="n">
        <x:v>0.08</x:v>
      </x:c>
      <x:c r="T24" s="1524" t="str">
        <x:v>NIE</x:v>
      </x:c>
      <x:c r="U24" s="1524" t="str">
        <x:v>net</x:v>
      </x:c>
      <x:c r="V24" s="1524" t="str">
        <x:v>OK</x:v>
      </x:c>
      <x:c r="W24" s="1532"/>
      <x:c r="X24" s="1524" t="str">
        <x:v>OK — tylko zaokrąglenia ±1 zł</x:v>
      </x:c>
      <x:c r="Y24" s="1530" t="n">
        <x:v>14</x:v>
      </x:c>
      <x:c r="Z24" s="1530" t="n">
        <x:v>1</x:v>
      </x:c>
      <x:c r="AA24" s="1530" t="n">
        <x:v>0</x:v>
      </x:c>
      <x:c r="AB24" s="1532" t="str">
        <x:v>Szczegóły w arkuszu 22_AUDYT_NETTO_BITRIX</x:v>
      </x:c>
    </x:row>
    <x:row r="25" ht="20" customHeight="1">
      <x:c r="A25" s="1524" t="str">
        <x:v>400 x 606 cm</x:v>
      </x:c>
      <x:c r="B25" s="1524" t="n">
        <x:v>400</x:v>
      </x:c>
      <x:c r="C25" s="1524" t="n">
        <x:v>606</x:v>
      </x:c>
      <x:c r="D25" s="1526" t="n">
        <x:v>13574</x:v>
      </x:c>
      <x:c r="E25" s="1526" t="n">
        <x:v>19926</x:v>
      </x:c>
      <x:c r="F25" s="1526" t="n">
        <x:v>21907</x:v>
      </x:c>
      <x:c r="G25" s="1526" t="n">
        <x:v>400</x:v>
      </x:c>
      <x:c r="H25" s="1526" t="n">
        <x:v>7062</x:v>
      </x:c>
      <x:c r="I25" s="1526" t="n">
        <x:v>7887</x:v>
      </x:c>
      <x:c r="J25" s="1526" t="n">
        <x:v>3112</x:v>
      </x:c>
      <x:c r="K25" s="1526" t="n">
        <x:v>5034</x:v>
      </x:c>
      <x:c r="L25" s="1526" t="n">
        <x:v>9502</x:v>
      </x:c>
      <x:c r="M25" s="1526" t="n">
        <x:v>2539</x:v>
      </x:c>
      <x:c r="N25" s="1526" t="n">
        <x:v>931</x:v>
      </x:c>
      <x:c r="O25" s="1526" t="n">
        <x:v>2001</x:v>
      </x:c>
      <x:c r="P25" s="1526" t="n">
        <x:v>625</x:v>
      </x:c>
      <x:c r="Q25" s="1526" t="n">
        <x:v>566</x:v>
      </x:c>
      <x:c r="R25" s="1526" t="n">
        <x:v>471</x:v>
      </x:c>
      <x:c r="S25" s="1528" t="n">
        <x:v>0.08</x:v>
      </x:c>
      <x:c r="T25" s="1524" t="str">
        <x:v>NIE</x:v>
      </x:c>
      <x:c r="U25" s="1524" t="str">
        <x:v>net</x:v>
      </x:c>
      <x:c r="V25" s="1524" t="str">
        <x:v>OK</x:v>
      </x:c>
      <x:c r="W25" s="1532"/>
      <x:c r="X25" s="1524" t="str">
        <x:v>OK — tylko zaokrąglenia ±1 zł</x:v>
      </x:c>
      <x:c r="Y25" s="1530" t="n">
        <x:v>14</x:v>
      </x:c>
      <x:c r="Z25" s="1530" t="n">
        <x:v>1</x:v>
      </x:c>
      <x:c r="AA25" s="1530" t="n">
        <x:v>0</x:v>
      </x:c>
      <x:c r="AB25" s="1532" t="str">
        <x:v>Szczegóły w arkuszu 22_AUDYT_NETTO_BITRIX</x:v>
      </x:c>
    </x:row>
    <x:row r="26" ht="20" customHeight="1">
      <x:c r="A26" s="1524" t="str">
        <x:v>400 x 706 cm</x:v>
      </x:c>
      <x:c r="B26" s="1524" t="n">
        <x:v>400</x:v>
      </x:c>
      <x:c r="C26" s="1524" t="n">
        <x:v>706</x:v>
      </x:c>
      <x:c r="D26" s="1526" t="n">
        <x:v>15927</x:v>
      </x:c>
      <x:c r="E26" s="1526" t="n">
        <x:v>20227</x:v>
      </x:c>
      <x:c r="F26" s="1526" t="n">
        <x:v>22348</x:v>
      </x:c>
      <x:c r="G26" s="1526" t="n">
        <x:v>460</x:v>
      </x:c>
      <x:c r="H26" s="1526" t="n">
        <x:v>8052</x:v>
      </x:c>
      <x:c r="I26" s="1526" t="n">
        <x:v>9019</x:v>
      </x:c>
      <x:c r="J26" s="1526" t="n">
        <x:v>3112</x:v>
      </x:c>
      <x:c r="K26" s="1526" t="n">
        <x:v>5635</x:v>
      </x:c>
      <x:c r="L26" s="1526" t="n">
        <x:v>10256</x:v>
      </x:c>
      <x:c r="M26" s="1526" t="n">
        <x:v>2182</x:v>
      </x:c>
      <x:c r="N26" s="1526" t="n">
        <x:v>1025</x:v>
      </x:c>
      <x:c r="O26" s="1526" t="n">
        <x:v>2262</x:v>
      </x:c>
      <x:c r="P26" s="1526" t="n">
        <x:v>671</x:v>
      </x:c>
      <x:c r="Q26" s="1526" t="n">
        <x:v>613</x:v>
      </x:c>
      <x:c r="R26" s="1526" t="n">
        <x:v>519</x:v>
      </x:c>
      <x:c r="S26" s="1528" t="n">
        <x:v>0.08</x:v>
      </x:c>
      <x:c r="T26" s="1524" t="str">
        <x:v>NIE</x:v>
      </x:c>
      <x:c r="U26" s="1524" t="str">
        <x:v>net</x:v>
      </x:c>
      <x:c r="V26" s="1524" t="str">
        <x:v>OK</x:v>
      </x:c>
      <x:c r="W26" s="1532"/>
      <x:c r="X26" s="1524" t="str">
        <x:v>OK — tylko zaokrąglenia ±1 zł</x:v>
      </x:c>
      <x:c r="Y26" s="1530" t="n">
        <x:v>14</x:v>
      </x:c>
      <x:c r="Z26" s="1530" t="n">
        <x:v>1</x:v>
      </x:c>
      <x:c r="AA26" s="1530" t="n">
        <x:v>0</x:v>
      </x:c>
      <x:c r="AB26" s="1532" t="str">
        <x:v>Szczegóły w arkuszu 22_AUDYT_NETTO_BITRIX</x:v>
      </x:c>
    </x:row>
    <x:row r="27" ht="20" customHeight="1">
      <x:c r="A27" s="1524" t="str">
        <x:v>400 x 806 cm</x:v>
      </x:c>
      <x:c r="B27" s="1524" t="n">
        <x:v>400</x:v>
      </x:c>
      <x:c r="C27" s="1524" t="n">
        <x:v>806</x:v>
      </x:c>
      <x:c r="D27" s="1526" t="n">
        <x:v>18621</x:v>
      </x:c>
      <x:c r="E27" s="1526" t="n">
        <x:v>21254</x:v>
      </x:c>
      <x:c r="F27" s="1526" t="n">
        <x:v>23687</x:v>
      </x:c>
      <x:c r="G27" s="1526" t="n">
        <x:v>754</x:v>
      </x:c>
      <x:c r="H27" s="1526" t="n">
        <x:v>9690</x:v>
      </x:c>
      <x:c r="I27" s="1526" t="n">
        <x:v>10786</x:v>
      </x:c>
      <x:c r="J27" s="1526" t="n">
        <x:v>3112</x:v>
      </x:c>
      <x:c r="K27" s="1526" t="n">
        <x:v>6225</x:v>
      </x:c>
      <x:c r="L27" s="1526" t="n">
        <x:v>10997</x:v>
      </x:c>
      <x:c r="M27" s="1526" t="n">
        <x:v>2378</x:v>
      </x:c>
      <x:c r="N27" s="1526" t="n">
        <x:v>1131</x:v>
      </x:c>
      <x:c r="O27" s="1526" t="n">
        <x:v>2538</x:v>
      </x:c>
      <x:c r="P27" s="1526" t="n">
        <x:v>719</x:v>
      </x:c>
      <x:c r="Q27" s="1526" t="n">
        <x:v>650</x:v>
      </x:c>
      <x:c r="R27" s="1526" t="n">
        <x:v>566</x:v>
      </x:c>
      <x:c r="S27" s="1528" t="n">
        <x:v>0.08</x:v>
      </x:c>
      <x:c r="T27" s="1524" t="str">
        <x:v>NIE</x:v>
      </x:c>
      <x:c r="U27" s="1524" t="str">
        <x:v>net</x:v>
      </x:c>
      <x:c r="V27" s="1524" t="str">
        <x:v>OK</x:v>
      </x:c>
      <x:c r="W27" s="1532"/>
      <x:c r="X27" s="1524" t="str">
        <x:v>OK — tylko zaokrąglenia ±1 zł</x:v>
      </x:c>
      <x:c r="Y27" s="1530" t="n">
        <x:v>13</x:v>
      </x:c>
      <x:c r="Z27" s="1530" t="n">
        <x:v>2</x:v>
      </x:c>
      <x:c r="AA27" s="1530" t="n">
        <x:v>0</x:v>
      </x:c>
      <x:c r="AB27" s="1532" t="str">
        <x:v>Szczegóły w arkuszu 22_AUDYT_NETTO_BITRIX</x:v>
      </x:c>
    </x:row>
    <x:row r="28" ht="20" customHeight="1">
      <x:c r="A28" s="1524" t="str">
        <x:v>400 x 906 cm</x:v>
      </x:c>
      <x:c r="B28" s="1524" t="n">
        <x:v>400</x:v>
      </x:c>
      <x:c r="C28" s="1524" t="n">
        <x:v>906</x:v>
      </x:c>
      <x:c r="D28" s="1526" t="n">
        <x:v>20630</x:v>
      </x:c>
      <x:c r="E28" s="1526" t="n">
        <x:v>22728</x:v>
      </x:c>
      <x:c r="F28" s="1526" t="n">
        <x:v>25134</x:v>
      </x:c>
      <x:c r="G28" s="1526" t="n">
        <x:v>590</x:v>
      </x:c>
      <x:c r="H28" s="1526" t="n">
        <x:v>10798</x:v>
      </x:c>
      <x:c r="I28" s="1526" t="n">
        <x:v>12036</x:v>
      </x:c>
      <x:c r="J28" s="1526" t="n">
        <x:v>3112</x:v>
      </x:c>
      <x:c r="K28" s="1526" t="n">
        <x:v>7544</x:v>
      </x:c>
      <x:c r="L28" s="1526" t="n">
        <x:v>11765</x:v>
      </x:c>
      <x:c r="M28" s="1526" t="n">
        <x:v>2629</x:v>
      </x:c>
      <x:c r="N28" s="1526" t="n">
        <x:v>1227</x:v>
      </x:c>
      <x:c r="O28" s="1526" t="n">
        <x:v>2799</x:v>
      </x:c>
      <x:c r="P28" s="1526" t="n">
        <x:v>766</x:v>
      </x:c>
      <x:c r="Q28" s="1526" t="n">
        <x:v>696</x:v>
      </x:c>
      <x:c r="R28" s="1526" t="n">
        <x:v>566</x:v>
      </x:c>
      <x:c r="S28" s="1528" t="n">
        <x:v>0.08</x:v>
      </x:c>
      <x:c r="T28" s="1524" t="str">
        <x:v>NIE</x:v>
      </x:c>
      <x:c r="U28" s="1524" t="str">
        <x:v>net</x:v>
      </x:c>
      <x:c r="V28" s="1524" t="str">
        <x:v>OK</x:v>
      </x:c>
      <x:c r="W28" s="1532"/>
      <x:c r="X28" s="1524" t="str">
        <x:v>OK — tylko zaokrąglenia ±1 zł</x:v>
      </x:c>
      <x:c r="Y28" s="1530" t="n">
        <x:v>13</x:v>
      </x:c>
      <x:c r="Z28" s="1530" t="n">
        <x:v>2</x:v>
      </x:c>
      <x:c r="AA28" s="1530" t="n">
        <x:v>0</x:v>
      </x:c>
      <x:c r="AB28" s="1532" t="str">
        <x:v>Szczegóły w arkuszu 22_AUDYT_NETTO_BITRIX</x:v>
      </x:c>
    </x:row>
    <x:row r="29" ht="20" customHeight="1">
      <x:c r="A29" s="1524" t="str">
        <x:v>400 x 1006 cm</x:v>
      </x:c>
      <x:c r="B29" s="1524" t="n">
        <x:v>400</x:v>
      </x:c>
      <x:c r="C29" s="1524" t="n">
        <x:v>1006</x:v>
      </x:c>
      <x:c r="D29" s="1526" t="n">
        <x:v>22657</x:v>
      </x:c>
      <x:c r="E29" s="1526" t="n">
        <x:v>24184</x:v>
      </x:c>
      <x:c r="F29" s="1526" t="n">
        <x:v>26730</x:v>
      </x:c>
      <x:c r="G29" s="1526" t="n">
        <x:v>660</x:v>
      </x:c>
      <x:c r="H29" s="1526" t="n">
        <x:v>11907</x:v>
      </x:c>
      <x:c r="I29" s="1526" t="n">
        <x:v>13274</x:v>
      </x:c>
      <x:c r="J29" s="1526" t="n">
        <x:v>3112</x:v>
      </x:c>
      <x:c r="K29" s="1526" t="n">
        <x:v>8146</x:v>
      </x:c>
      <x:c r="L29" s="1526" t="n">
        <x:v>12519</x:v>
      </x:c>
      <x:c r="M29" s="1526" t="n">
        <x:v>2880</x:v>
      </x:c>
      <x:c r="N29" s="1526" t="n">
        <x:v>1450</x:v>
      </x:c>
      <x:c r="O29" s="1526" t="n">
        <x:v>3060</x:v>
      </x:c>
      <x:c r="P29" s="1526" t="n">
        <x:v>813</x:v>
      </x:c>
      <x:c r="Q29" s="1526" t="n">
        <x:v>731</x:v>
      </x:c>
      <x:c r="R29" s="1526" t="n">
        <x:v>613</x:v>
      </x:c>
      <x:c r="S29" s="1528" t="n">
        <x:v>0.08</x:v>
      </x:c>
      <x:c r="T29" s="1524" t="str">
        <x:v>NIE</x:v>
      </x:c>
      <x:c r="U29" s="1524" t="str">
        <x:v>net</x:v>
      </x:c>
      <x:c r="V29" s="1524" t="str">
        <x:v>OK</x:v>
      </x:c>
      <x:c r="W29" s="1532"/>
      <x:c r="X29" s="1524" t="str">
        <x:v>OK — tylko zaokrąglenia ±1 zł</x:v>
      </x:c>
      <x:c r="Y29" s="1530" t="n">
        <x:v>14</x:v>
      </x:c>
      <x:c r="Z29" s="1530" t="n">
        <x:v>1</x:v>
      </x:c>
      <x:c r="AA29" s="1530" t="n">
        <x:v>0</x:v>
      </x:c>
      <x:c r="AB29" s="1532" t="str">
        <x:v>Szczegóły w arkuszu 22_AUDYT_NETTO_BITRIX</x:v>
      </x:c>
    </x:row>
    <x:row r="30" ht="20" customHeight="1">
      <x:c r="A30" s="1524" t="str">
        <x:v>400 x 1106 cm</x:v>
      </x:c>
      <x:c r="B30" s="1524" t="n">
        <x:v>400</x:v>
      </x:c>
      <x:c r="C30" s="1524" t="n">
        <x:v>1106</x:v>
      </x:c>
      <x:c r="D30" s="1526" t="n">
        <x:v>23867</x:v>
      </x:c>
      <x:c r="E30" s="1526" t="n">
        <x:v>25655</x:v>
      </x:c>
      <x:c r="F30" s="1526" t="n">
        <x:v>28343</x:v>
      </x:c>
      <x:c r="G30" s="1526" t="n">
        <x:v>731</x:v>
      </x:c>
      <x:c r="H30" s="1526" t="n">
        <x:v>13002</x:v>
      </x:c>
      <x:c r="I30" s="1526" t="n">
        <x:v>14511</x:v>
      </x:c>
      <x:c r="J30" s="1526" t="n">
        <x:v>3112</x:v>
      </x:c>
      <x:c r="K30" s="1526" t="n">
        <x:v>8748</x:v>
      </x:c>
      <x:c r="L30" s="1526" t="n">
        <x:v>15738</x:v>
      </x:c>
      <x:c r="M30" s="1526" t="n">
        <x:v>3898</x:v>
      </x:c>
      <x:c r="N30" s="1526" t="n">
        <x:v>1686</x:v>
      </x:c>
      <x:c r="O30" s="1526" t="n">
        <x:v>3335</x:v>
      </x:c>
      <x:c r="P30" s="1526" t="n">
        <x:v>848</x:v>
      </x:c>
      <x:c r="Q30" s="1526" t="n">
        <x:v>766</x:v>
      </x:c>
      <x:c r="R30" s="1526" t="n">
        <x:v>660</x:v>
      </x:c>
      <x:c r="S30" s="1528" t="n">
        <x:v>0.08</x:v>
      </x:c>
      <x:c r="T30" s="1524" t="str">
        <x:v>NIE</x:v>
      </x:c>
      <x:c r="U30" s="1524" t="str">
        <x:v>net</x:v>
      </x:c>
      <x:c r="V30" s="1524" t="str">
        <x:v>OK</x:v>
      </x:c>
      <x:c r="W30" s="1532"/>
      <x:c r="X30" s="1524" t="str">
        <x:v>OK — pełna zgodność</x:v>
      </x:c>
      <x:c r="Y30" s="1530" t="n">
        <x:v>15</x:v>
      </x:c>
      <x:c r="Z30" s="1530" t="n">
        <x:v>0</x:v>
      </x:c>
      <x:c r="AA30" s="1530" t="n">
        <x:v>0</x:v>
      </x:c>
      <x:c r="AB30" s="1532" t="str">
        <x:v>Szczegóły w arkuszu 22_AUDYT_NETTO_BITRIX</x:v>
      </x:c>
    </x:row>
    <x:row r="31" ht="20" customHeight="1">
      <x:c r="A31" s="1524" t="str">
        <x:v>400 x 1206 cm</x:v>
      </x:c>
      <x:c r="B31" s="1524" t="n">
        <x:v>400</x:v>
      </x:c>
      <x:c r="C31" s="1524" t="n">
        <x:v>1206</x:v>
      </x:c>
      <x:c r="D31" s="1526" t="n">
        <x:v>25087</x:v>
      </x:c>
      <x:c r="E31" s="1526" t="n">
        <x:v>27140</x:v>
      </x:c>
      <x:c r="F31" s="1526" t="n">
        <x:v>29969</x:v>
      </x:c>
      <x:c r="G31" s="1526" t="n">
        <x:v>790</x:v>
      </x:c>
      <x:c r="H31" s="1526" t="n">
        <x:v>14100</x:v>
      </x:c>
      <x:c r="I31" s="1526" t="n">
        <x:v>15739</x:v>
      </x:c>
      <x:c r="J31" s="1526" t="n">
        <x:v>3112</x:v>
      </x:c>
      <x:c r="K31" s="1526" t="n">
        <x:v>9337</x:v>
      </x:c>
      <x:c r="L31" s="1526" t="n">
        <x:v>16481</x:v>
      </x:c>
      <x:c r="M31" s="1526" t="n">
        <x:v>3898</x:v>
      </x:c>
      <x:c r="N31" s="1526" t="n">
        <x:v>1781</x:v>
      </x:c>
      <x:c r="O31" s="1526" t="n">
        <x:v>3596</x:v>
      </x:c>
      <x:c r="P31" s="1526" t="n">
        <x:v>896</x:v>
      </x:c>
      <x:c r="Q31" s="1526" t="n">
        <x:v>813</x:v>
      </x:c>
      <x:c r="R31" s="1526" t="n">
        <x:v>708</x:v>
      </x:c>
      <x:c r="S31" s="1528" t="n">
        <x:v>0.08</x:v>
      </x:c>
      <x:c r="T31" s="1524" t="str">
        <x:v>NIE</x:v>
      </x:c>
      <x:c r="U31" s="1524" t="str">
        <x:v>net</x:v>
      </x:c>
      <x:c r="V31" s="1524" t="str">
        <x:v>OK</x:v>
      </x:c>
      <x:c r="W31" s="1532"/>
      <x:c r="X31" s="1524" t="str">
        <x:v>OK — tylko zaokrąglenia ±1 zł</x:v>
      </x:c>
      <x:c r="Y31" s="1530" t="n">
        <x:v>13</x:v>
      </x:c>
      <x:c r="Z31" s="1530" t="n">
        <x:v>2</x:v>
      </x:c>
      <x:c r="AA31" s="1530" t="n">
        <x:v>0</x:v>
      </x:c>
      <x:c r="AB31" s="1532" t="str">
        <x:v>Szczegóły w arkuszu 22_AUDYT_NETTO_BITRIX</x:v>
      </x:c>
    </x:row>
    <x:row r="32" ht="20" customHeight="1">
      <x:c r="A32" s="1524" t="str">
        <x:v>450 x 306 cm</x:v>
      </x:c>
      <x:c r="B32" s="1524" t="n">
        <x:v>450</x:v>
      </x:c>
      <x:c r="C32" s="1524" t="n">
        <x:v>306</x:v>
      </x:c>
      <x:c r="D32" s="1526" t="n">
        <x:v>11702</x:v>
      </x:c>
      <x:c r="E32" s="1526" t="n">
        <x:v>18587</x:v>
      </x:c>
      <x:c r="F32" s="1526" t="n">
        <x:v>20426</x:v>
      </x:c>
      <x:c r="G32" s="1526" t="n">
        <x:v>342</x:v>
      </x:c>
      <x:c r="H32" s="1526" t="n">
        <x:v>3973</x:v>
      </x:c>
      <x:c r="I32" s="1526" t="n">
        <x:v>4421</x:v>
      </x:c>
      <x:c r="J32" s="1526" t="n">
        <x:v>3725</x:v>
      </x:c>
      <x:c r="K32" s="1526" t="n">
        <x:v>2523</x:v>
      </x:c>
      <x:c r="L32" s="1526" t="n">
        <x:v>4810</x:v>
      </x:c>
      <x:c r="M32" s="1526" t="n">
        <x:v>2075</x:v>
      </x:c>
      <x:c r="N32" s="1526" t="n">
        <x:v>754</x:v>
      </x:c>
      <x:c r="O32" s="1526" t="n">
        <x:v>2352</x:v>
      </x:c>
      <x:c r="P32" s="1526" t="n">
        <x:v>590</x:v>
      </x:c>
      <x:c r="Q32" s="1526" t="n">
        <x:v>531</x:v>
      </x:c>
      <x:c r="R32" s="1526" t="n">
        <x:v>471</x:v>
      </x:c>
      <x:c r="S32" s="1528" t="n">
        <x:v>0.08</x:v>
      </x:c>
      <x:c r="T32" s="1524" t="str">
        <x:v>NIE</x:v>
      </x:c>
      <x:c r="U32" s="1524" t="str">
        <x:v>net</x:v>
      </x:c>
      <x:c r="V32" s="1524" t="str">
        <x:v>OK</x:v>
      </x:c>
      <x:c r="W32" s="1532"/>
      <x:c r="X32" s="1524" t="str">
        <x:v>OK — tylko zaokrąglenia ±1 zł</x:v>
      </x:c>
      <x:c r="Y32" s="1530" t="n">
        <x:v>13</x:v>
      </x:c>
      <x:c r="Z32" s="1530" t="n">
        <x:v>2</x:v>
      </x:c>
      <x:c r="AA32" s="1530" t="n">
        <x:v>0</x:v>
      </x:c>
      <x:c r="AB32" s="1532" t="str">
        <x:v>Szczegóły w arkuszu 22_AUDYT_NETTO_BITRIX</x:v>
      </x:c>
    </x:row>
    <x:row r="33" ht="20" customHeight="1">
      <x:c r="A33" s="1524" t="str">
        <x:v>450 x 406 cm</x:v>
      </x:c>
      <x:c r="B33" s="1524" t="n">
        <x:v>450</x:v>
      </x:c>
      <x:c r="C33" s="1524" t="n">
        <x:v>406</x:v>
      </x:c>
      <x:c r="D33" s="1526" t="n">
        <x:v>14164</x:v>
      </x:c>
      <x:c r="E33" s="1526" t="n">
        <x:v>19737</x:v>
      </x:c>
      <x:c r="F33" s="1526" t="n">
        <x:v>21718</x:v>
      </x:c>
      <x:c r="G33" s="1526" t="n">
        <x:v>448</x:v>
      </x:c>
      <x:c r="H33" s="1526" t="n">
        <x:v>5612</x:v>
      </x:c>
      <x:c r="I33" s="1526" t="n">
        <x:v>6202</x:v>
      </x:c>
      <x:c r="J33" s="1526" t="n">
        <x:v>3725</x:v>
      </x:c>
      <x:c r="K33" s="1526" t="n">
        <x:v>3112</x:v>
      </x:c>
      <x:c r="L33" s="1526" t="n">
        <x:v>5506</x:v>
      </x:c>
      <x:c r="M33" s="1526" t="n">
        <x:v>2290</x:v>
      </x:c>
      <x:c r="N33" s="1526" t="n">
        <x:v>873</x:v>
      </x:c>
      <x:c r="O33" s="1526" t="n">
        <x:v>2647</x:v>
      </x:c>
      <x:c r="P33" s="1526" t="n">
        <x:v>625</x:v>
      </x:c>
      <x:c r="Q33" s="1526" t="n">
        <x:v>566</x:v>
      </x:c>
      <x:c r="R33" s="1526" t="n">
        <x:v>519</x:v>
      </x:c>
      <x:c r="S33" s="1528" t="n">
        <x:v>0.08</x:v>
      </x:c>
      <x:c r="T33" s="1524" t="str">
        <x:v>NIE</x:v>
      </x:c>
      <x:c r="U33" s="1524" t="str">
        <x:v>net</x:v>
      </x:c>
      <x:c r="V33" s="1524" t="str">
        <x:v>OK</x:v>
      </x:c>
      <x:c r="W33" s="1532"/>
      <x:c r="X33" s="1524" t="str">
        <x:v>OK — pełna zgodność</x:v>
      </x:c>
      <x:c r="Y33" s="1530" t="n">
        <x:v>15</x:v>
      </x:c>
      <x:c r="Z33" s="1530" t="n">
        <x:v>0</x:v>
      </x:c>
      <x:c r="AA33" s="1530" t="n">
        <x:v>0</x:v>
      </x:c>
      <x:c r="AB33" s="1532" t="str">
        <x:v>Szczegóły w arkuszu 22_AUDYT_NETTO_BITRIX</x:v>
      </x:c>
    </x:row>
    <x:row r="34" ht="20" customHeight="1">
      <x:c r="A34" s="1524" t="str">
        <x:v>450 x 506 cm</x:v>
      </x:c>
      <x:c r="B34" s="1524" t="n">
        <x:v>450</x:v>
      </x:c>
      <x:c r="C34" s="1524" t="n">
        <x:v>506</x:v>
      </x:c>
      <x:c r="D34" s="1526" t="n">
        <x:v>17016</x:v>
      </x:c>
      <x:c r="E34" s="1526" t="n">
        <x:v>21147</x:v>
      </x:c>
      <x:c r="F34" s="1526" t="n">
        <x:v>23268</x:v>
      </x:c>
      <x:c r="G34" s="1526" t="n">
        <x:v>566</x:v>
      </x:c>
      <x:c r="H34" s="1526" t="n">
        <x:v>7262</x:v>
      </x:c>
      <x:c r="I34" s="1526" t="n">
        <x:v>8004</x:v>
      </x:c>
      <x:c r="J34" s="1526" t="n">
        <x:v>3725</x:v>
      </x:c>
      <x:c r="K34" s="1526" t="n">
        <x:v>4362</x:v>
      </x:c>
      <x:c r="L34" s="1526" t="n">
        <x:v>6390</x:v>
      </x:c>
      <x:c r="M34" s="1526" t="n">
        <x:v>2521</x:v>
      </x:c>
      <x:c r="N34" s="1526" t="n">
        <x:v>1131</x:v>
      </x:c>
      <x:c r="O34" s="1526" t="n">
        <x:v>2916</x:v>
      </x:c>
      <x:c r="P34" s="1526" t="n">
        <x:v>671</x:v>
      </x:c>
      <x:c r="Q34" s="1526" t="n">
        <x:v>613</x:v>
      </x:c>
      <x:c r="R34" s="1526" t="n">
        <x:v>519</x:v>
      </x:c>
      <x:c r="S34" s="1528" t="n">
        <x:v>0.08</x:v>
      </x:c>
      <x:c r="T34" s="1524" t="str">
        <x:v>NIE</x:v>
      </x:c>
      <x:c r="U34" s="1524" t="str">
        <x:v>net</x:v>
      </x:c>
      <x:c r="V34" s="1524" t="str">
        <x:v>OK</x:v>
      </x:c>
      <x:c r="W34" s="1532"/>
      <x:c r="X34" s="1524" t="str">
        <x:v>OK — tylko zaokrąglenia ±1 zł</x:v>
      </x:c>
      <x:c r="Y34" s="1530" t="n">
        <x:v>14</x:v>
      </x:c>
      <x:c r="Z34" s="1530" t="n">
        <x:v>1</x:v>
      </x:c>
      <x:c r="AA34" s="1530" t="n">
        <x:v>0</x:v>
      </x:c>
      <x:c r="AB34" s="1532" t="str">
        <x:v>Szczegóły w arkuszu 22_AUDYT_NETTO_BITRIX</x:v>
      </x:c>
    </x:row>
    <x:row r="35" ht="20" customHeight="1">
      <x:c r="A35" s="1524" t="str">
        <x:v>450 x 606 cm</x:v>
      </x:c>
      <x:c r="B35" s="1524" t="n">
        <x:v>450</x:v>
      </x:c>
      <x:c r="C35" s="1524" t="n">
        <x:v>606</x:v>
      </x:c>
      <x:c r="D35" s="1526" t="n">
        <x:v>19490</x:v>
      </x:c>
      <x:c r="E35" s="1526" t="n">
        <x:v>22626</x:v>
      </x:c>
      <x:c r="F35" s="1526" t="n">
        <x:v>24889</x:v>
      </x:c>
      <x:c r="G35" s="1526" t="n">
        <x:v>684</x:v>
      </x:c>
      <x:c r="H35" s="1526" t="n">
        <x:v>8889</x:v>
      </x:c>
      <x:c r="I35" s="1526" t="n">
        <x:v>9785</x:v>
      </x:c>
      <x:c r="J35" s="1526" t="n">
        <x:v>3725</x:v>
      </x:c>
      <x:c r="K35" s="1526" t="n">
        <x:v>5034</x:v>
      </x:c>
      <x:c r="L35" s="1526" t="n">
        <x:v>9619</x:v>
      </x:c>
      <x:c r="M35" s="1526" t="n">
        <x:v>3040</x:v>
      </x:c>
      <x:c r="N35" s="1526" t="n">
        <x:v>1285</x:v>
      </x:c>
      <x:c r="O35" s="1526" t="n">
        <x:v>3287</x:v>
      </x:c>
      <x:c r="P35" s="1526" t="n">
        <x:v>719</x:v>
      </x:c>
      <x:c r="Q35" s="1526" t="n">
        <x:v>648</x:v>
      </x:c>
      <x:c r="R35" s="1526" t="n">
        <x:v>566</x:v>
      </x:c>
      <x:c r="S35" s="1528" t="n">
        <x:v>0.08</x:v>
      </x:c>
      <x:c r="T35" s="1524" t="str">
        <x:v>NIE</x:v>
      </x:c>
      <x:c r="U35" s="1524" t="str">
        <x:v>net</x:v>
      </x:c>
      <x:c r="V35" s="1524" t="str">
        <x:v>OK</x:v>
      </x:c>
      <x:c r="W35" s="1532"/>
      <x:c r="X35" s="1524" t="str">
        <x:v>OK — tylko zaokrąglenia ±1 zł</x:v>
      </x:c>
      <x:c r="Y35" s="1530" t="n">
        <x:v>13</x:v>
      </x:c>
      <x:c r="Z35" s="1530" t="n">
        <x:v>2</x:v>
      </x:c>
      <x:c r="AA35" s="1530" t="n">
        <x:v>0</x:v>
      </x:c>
      <x:c r="AB35" s="1532" t="str">
        <x:v>Szczegóły w arkuszu 22_AUDYT_NETTO_BITRIX</x:v>
      </x:c>
    </x:row>
    <x:row r="36" ht="20" customHeight="1">
      <x:c r="A36" s="1524" t="str">
        <x:v>450 x 706 cm</x:v>
      </x:c>
      <x:c r="B36" s="1524" t="n">
        <x:v>450</x:v>
      </x:c>
      <x:c r="C36" s="1524" t="n">
        <x:v>706</x:v>
      </x:c>
      <x:c r="D36" s="1526" t="n">
        <x:v>23330</x:v>
      </x:c>
      <x:c r="E36" s="1526" t="n">
        <x:v>22718</x:v>
      </x:c>
      <x:c r="F36" s="1526" t="n">
        <x:v>25124</x:v>
      </x:c>
      <x:c r="G36" s="1526" t="n">
        <x:v>790</x:v>
      </x:c>
      <x:c r="H36" s="1526" t="n">
        <x:v>10527</x:v>
      </x:c>
      <x:c r="I36" s="1526" t="n">
        <x:v>11564</x:v>
      </x:c>
      <x:c r="J36" s="1526" t="n">
        <x:v>3725</x:v>
      </x:c>
      <x:c r="K36" s="1526" t="n">
        <x:v>5635</x:v>
      </x:c>
      <x:c r="L36" s="1526" t="n">
        <x:v>10315</x:v>
      </x:c>
      <x:c r="M36" s="1526" t="n">
        <x:v>2684</x:v>
      </x:c>
      <x:c r="N36" s="1526" t="n">
        <x:v>1427</x:v>
      </x:c>
      <x:c r="O36" s="1526" t="n">
        <x:v>3584</x:v>
      </x:c>
      <x:c r="P36" s="1526" t="n">
        <x:v>766</x:v>
      </x:c>
      <x:c r="Q36" s="1526" t="n">
        <x:v>696</x:v>
      </x:c>
      <x:c r="R36" s="1526" t="n">
        <x:v>613</x:v>
      </x:c>
      <x:c r="S36" s="1528" t="n">
        <x:v>0.08</x:v>
      </x:c>
      <x:c r="T36" s="1524" t="str">
        <x:v>NIE</x:v>
      </x:c>
      <x:c r="U36" s="1524" t="str">
        <x:v>net</x:v>
      </x:c>
      <x:c r="V36" s="1524" t="str">
        <x:v>OK</x:v>
      </x:c>
      <x:c r="W36" s="1532"/>
      <x:c r="X36" s="1524" t="str">
        <x:v>OK — tylko zaokrąglenia ±1 zł</x:v>
      </x:c>
      <x:c r="Y36" s="1530" t="n">
        <x:v>14</x:v>
      </x:c>
      <x:c r="Z36" s="1530" t="n">
        <x:v>1</x:v>
      </x:c>
      <x:c r="AA36" s="1530" t="n">
        <x:v>0</x:v>
      </x:c>
      <x:c r="AB36" s="1532" t="str">
        <x:v>Szczegóły w arkuszu 22_AUDYT_NETTO_BITRIX</x:v>
      </x:c>
    </x:row>
    <x:row r="37" ht="20" customHeight="1">
      <x:c r="A37" s="1524" t="str">
        <x:v>450 x 806 cm</x:v>
      </x:c>
      <x:c r="B37" s="1524" t="n">
        <x:v>450</x:v>
      </x:c>
      <x:c r="C37" s="1524" t="n">
        <x:v>806</x:v>
      </x:c>
      <x:c r="D37" s="1526" t="n">
        <x:v>25806</x:v>
      </x:c>
      <x:c r="E37" s="1526" t="n">
        <x:v>23833</x:v>
      </x:c>
      <x:c r="F37" s="1526" t="n">
        <x:v>26379</x:v>
      </x:c>
      <x:c r="G37" s="1526" t="n">
        <x:v>908</x:v>
      </x:c>
      <x:c r="H37" s="1526" t="n">
        <x:v>12154</x:v>
      </x:c>
      <x:c r="I37" s="1526" t="n">
        <x:v>13344</x:v>
      </x:c>
      <x:c r="J37" s="1526" t="n">
        <x:v>3725</x:v>
      </x:c>
      <x:c r="K37" s="1526" t="n">
        <x:v>6225</x:v>
      </x:c>
      <x:c r="L37" s="1526" t="n">
        <x:v>11010</x:v>
      </x:c>
      <x:c r="M37" s="1526" t="n">
        <x:v>2880</x:v>
      </x:c>
      <x:c r="N37" s="1526" t="n">
        <x:v>1698</x:v>
      </x:c>
      <x:c r="O37" s="1526" t="n">
        <x:v>3890</x:v>
      </x:c>
      <x:c r="P37" s="1526" t="n">
        <x:v>813</x:v>
      </x:c>
      <x:c r="Q37" s="1526" t="n">
        <x:v>731</x:v>
      </x:c>
      <x:c r="R37" s="1526" t="n">
        <x:v>660</x:v>
      </x:c>
      <x:c r="S37" s="1528" t="n">
        <x:v>0.08</x:v>
      </x:c>
      <x:c r="T37" s="1524" t="str">
        <x:v>NIE</x:v>
      </x:c>
      <x:c r="U37" s="1524" t="str">
        <x:v>net</x:v>
      </x:c>
      <x:c r="V37" s="1524" t="str">
        <x:v>OK</x:v>
      </x:c>
      <x:c r="W37" s="1532"/>
      <x:c r="X37" s="1524" t="str">
        <x:v>OK — tylko zaokrąglenia ±1 zł</x:v>
      </x:c>
      <x:c r="Y37" s="1530" t="n">
        <x:v>13</x:v>
      </x:c>
      <x:c r="Z37" s="1530" t="n">
        <x:v>2</x:v>
      </x:c>
      <x:c r="AA37" s="1530" t="n">
        <x:v>0</x:v>
      </x:c>
      <x:c r="AB37" s="1532" t="str">
        <x:v>Szczegóły w arkuszu 22_AUDYT_NETTO_BITRIX</x:v>
      </x:c>
    </x:row>
    <x:row r="38" ht="20" customHeight="1">
      <x:c r="A38" s="1524" t="str">
        <x:v>450 x 906 cm</x:v>
      </x:c>
      <x:c r="B38" s="1524" t="n">
        <x:v>450</x:v>
      </x:c>
      <x:c r="C38" s="1524" t="n">
        <x:v>906</x:v>
      </x:c>
      <x:c r="D38" s="1526" t="n">
        <x:v>28857</x:v>
      </x:c>
      <x:c r="E38" s="1526" t="n">
        <x:v>25242</x:v>
      </x:c>
      <x:c r="F38" s="1526" t="n">
        <x:v>27930</x:v>
      </x:c>
      <x:c r="G38" s="1526" t="n">
        <x:v>1014</x:v>
      </x:c>
      <x:c r="H38" s="1526" t="n">
        <x:v>13792</x:v>
      </x:c>
      <x:c r="I38" s="1526" t="n">
        <x:v>15136</x:v>
      </x:c>
      <x:c r="J38" s="1526" t="n">
        <x:v>3725</x:v>
      </x:c>
      <x:c r="K38" s="1526" t="n">
        <x:v>7544</x:v>
      </x:c>
      <x:c r="L38" s="1526" t="n">
        <x:v>11894</x:v>
      </x:c>
      <x:c r="M38" s="1526" t="n">
        <x:v>3131</x:v>
      </x:c>
      <x:c r="N38" s="1526" t="n">
        <x:v>1839</x:v>
      </x:c>
      <x:c r="O38" s="1526" t="n">
        <x:v>4170</x:v>
      </x:c>
      <x:c r="P38" s="1526" t="n">
        <x:v>848</x:v>
      </x:c>
      <x:c r="Q38" s="1526" t="n">
        <x:v>766</x:v>
      </x:c>
      <x:c r="R38" s="1526" t="n">
        <x:v>660</x:v>
      </x:c>
      <x:c r="S38" s="1528" t="n">
        <x:v>0.08</x:v>
      </x:c>
      <x:c r="T38" s="1524" t="str">
        <x:v>NIE</x:v>
      </x:c>
      <x:c r="U38" s="1524" t="str">
        <x:v>net</x:v>
      </x:c>
      <x:c r="V38" s="1524" t="str">
        <x:v>OK</x:v>
      </x:c>
      <x:c r="W38" s="1532"/>
      <x:c r="X38" s="1524" t="str">
        <x:v>OK — pełna zgodność</x:v>
      </x:c>
      <x:c r="Y38" s="1530" t="n">
        <x:v>15</x:v>
      </x:c>
      <x:c r="Z38" s="1530" t="n">
        <x:v>0</x:v>
      </x:c>
      <x:c r="AA38" s="1530" t="n">
        <x:v>0</x:v>
      </x:c>
      <x:c r="AB38" s="1532" t="str">
        <x:v>Szczegóły w arkuszu 22_AUDYT_NETTO_BITRIX</x:v>
      </x:c>
    </x:row>
    <x:row r="39" ht="20" customHeight="1">
      <x:c r="A39" s="1524" t="str">
        <x:v>450 x 1006 cm</x:v>
      </x:c>
      <x:c r="B39" s="1524" t="n">
        <x:v>450</x:v>
      </x:c>
      <x:c r="C39" s="1524" t="n">
        <x:v>1006</x:v>
      </x:c>
      <x:c r="D39" s="1526" t="n">
        <x:v>31342</x:v>
      </x:c>
      <x:c r="E39" s="1526" t="n">
        <x:v>26654</x:v>
      </x:c>
      <x:c r="F39" s="1526" t="n">
        <x:v>29483</x:v>
      </x:c>
      <x:c r="G39" s="1526" t="n">
        <x:v>1131</x:v>
      </x:c>
      <x:c r="H39" s="1526" t="n">
        <x:v>15431</x:v>
      </x:c>
      <x:c r="I39" s="1526" t="n">
        <x:v>16916</x:v>
      </x:c>
      <x:c r="J39" s="1526" t="n">
        <x:v>3725</x:v>
      </x:c>
      <x:c r="K39" s="1526" t="n">
        <x:v>8146</x:v>
      </x:c>
      <x:c r="L39" s="1526" t="n">
        <x:v>12767</x:v>
      </x:c>
      <x:c r="M39" s="1526" t="n">
        <x:v>3362</x:v>
      </x:c>
      <x:c r="N39" s="1526" t="n">
        <x:v>1944</x:v>
      </x:c>
      <x:c r="O39" s="1526" t="n">
        <x:v>4353</x:v>
      </x:c>
      <x:c r="P39" s="1526" t="n">
        <x:v>896</x:v>
      </x:c>
      <x:c r="Q39" s="1526" t="n">
        <x:v>813</x:v>
      </x:c>
      <x:c r="R39" s="1526" t="n">
        <x:v>708</x:v>
      </x:c>
      <x:c r="S39" s="1528" t="n">
        <x:v>0.08</x:v>
      </x:c>
      <x:c r="T39" s="1524" t="str">
        <x:v>NIE</x:v>
      </x:c>
      <x:c r="U39" s="1524" t="str">
        <x:v>net</x:v>
      </x:c>
      <x:c r="V39" s="1524" t="str">
        <x:v>OK</x:v>
      </x:c>
      <x:c r="W39" s="1532"/>
      <x:c r="X39" s="1524" t="str">
        <x:v>OK — tylko zaokrąglenia ±1 zł</x:v>
      </x:c>
      <x:c r="Y39" s="1530" t="n">
        <x:v>14</x:v>
      </x:c>
      <x:c r="Z39" s="1530" t="n">
        <x:v>1</x:v>
      </x:c>
      <x:c r="AA39" s="1530" t="n">
        <x:v>0</x:v>
      </x:c>
      <x:c r="AB39" s="1532" t="str">
        <x:v>Szczegóły w arkuszu 22_AUDYT_NETTO_BITRIX</x:v>
      </x:c>
    </x:row>
    <x:row r="40" ht="20" customHeight="1">
      <x:c r="A40" s="1524" t="str">
        <x:v>450 x 1106 cm</x:v>
      </x:c>
      <x:c r="B40" s="1524" t="n">
        <x:v>450</x:v>
      </x:c>
      <x:c r="C40" s="1524" t="n">
        <x:v>1106</x:v>
      </x:c>
      <x:c r="D40" s="1526" t="n">
        <x:v>34841</x:v>
      </x:c>
      <x:c r="E40" s="1526" t="n">
        <x:v>28100</x:v>
      </x:c>
      <x:c r="F40" s="1526" t="n">
        <x:v>31071</x:v>
      </x:c>
      <x:c r="G40" s="1526" t="n">
        <x:v>1250</x:v>
      </x:c>
      <x:c r="H40" s="1526" t="n">
        <x:v>17082</x:v>
      </x:c>
      <x:c r="I40" s="1526" t="n">
        <x:v>18709</x:v>
      </x:c>
      <x:c r="J40" s="1526" t="n">
        <x:v>3725</x:v>
      </x:c>
      <x:c r="K40" s="1526" t="n">
        <x:v>8748</x:v>
      </x:c>
      <x:c r="L40" s="1526" t="n">
        <x:v>15821</x:v>
      </x:c>
      <x:c r="M40" s="1526" t="n">
        <x:v>3881</x:v>
      </x:c>
      <x:c r="N40" s="1526" t="n">
        <x:v>2087</x:v>
      </x:c>
      <x:c r="O40" s="1526" t="n">
        <x:v>4656</x:v>
      </x:c>
      <x:c r="P40" s="1526" t="n">
        <x:v>943</x:v>
      </x:c>
      <x:c r="Q40" s="1526" t="n">
        <x:v>848</x:v>
      </x:c>
      <x:c r="R40" s="1526" t="n">
        <x:v>754</x:v>
      </x:c>
      <x:c r="S40" s="1528" t="n">
        <x:v>0.08</x:v>
      </x:c>
      <x:c r="T40" s="1524" t="str">
        <x:v>NIE</x:v>
      </x:c>
      <x:c r="U40" s="1524" t="str">
        <x:v>net</x:v>
      </x:c>
      <x:c r="V40" s="1524" t="str">
        <x:v>OK</x:v>
      </x:c>
      <x:c r="W40" s="1532"/>
      <x:c r="X40" s="1524" t="str">
        <x:v>OK — tylko zaokrąglenia ±1 zł</x:v>
      </x:c>
      <x:c r="Y40" s="1530" t="n">
        <x:v>14</x:v>
      </x:c>
      <x:c r="Z40" s="1530" t="n">
        <x:v>1</x:v>
      </x:c>
      <x:c r="AA40" s="1530" t="n">
        <x:v>0</x:v>
      </x:c>
      <x:c r="AB40" s="1532" t="str">
        <x:v>Szczegóły w arkuszu 22_AUDYT_NETTO_BITRIX</x:v>
      </x:c>
    </x:row>
    <x:row r="41" ht="20" customHeight="1">
      <x:c r="A41" s="1524" t="str">
        <x:v>450 x 1206 cm</x:v>
      </x:c>
      <x:c r="B41" s="1524" t="n">
        <x:v>450</x:v>
      </x:c>
      <x:c r="C41" s="1524" t="n">
        <x:v>1206</x:v>
      </x:c>
      <x:c r="D41" s="1526" t="n">
        <x:v>37317</x:v>
      </x:c>
      <x:c r="E41" s="1526" t="n">
        <x:v>29590</x:v>
      </x:c>
      <x:c r="F41" s="1526" t="n">
        <x:v>32702</x:v>
      </x:c>
      <x:c r="G41" s="1526" t="n">
        <x:v>1356</x:v>
      </x:c>
      <x:c r="H41" s="1526" t="n">
        <x:v>18708</x:v>
      </x:c>
      <x:c r="I41" s="1526" t="n">
        <x:v>20489</x:v>
      </x:c>
      <x:c r="J41" s="1526" t="n">
        <x:v>3725</x:v>
      </x:c>
      <x:c r="K41" s="1526" t="n">
        <x:v>9337</x:v>
      </x:c>
      <x:c r="L41" s="1526" t="n">
        <x:v>16516</x:v>
      </x:c>
      <x:c r="M41" s="1526" t="n">
        <x:v>4400</x:v>
      </x:c>
      <x:c r="N41" s="1526" t="n">
        <x:v>2240</x:v>
      </x:c>
      <x:c r="O41" s="1526" t="n">
        <x:v>4946</x:v>
      </x:c>
      <x:c r="P41" s="1526" t="n">
        <x:v>990</x:v>
      </x:c>
      <x:c r="Q41" s="1526" t="n">
        <x:v>896</x:v>
      </x:c>
      <x:c r="R41" s="1526" t="n">
        <x:v>802</x:v>
      </x:c>
      <x:c r="S41" s="1528" t="n">
        <x:v>0.08</x:v>
      </x:c>
      <x:c r="T41" s="1524" t="str">
        <x:v>NIE</x:v>
      </x:c>
      <x:c r="U41" s="1524" t="str">
        <x:v>net</x:v>
      </x:c>
      <x:c r="V41" s="1524" t="str">
        <x:v>OK</x:v>
      </x:c>
      <x:c r="W41" s="1532"/>
      <x:c r="X41" s="1524" t="str">
        <x:v>OK — pełna zgodność</x:v>
      </x:c>
      <x:c r="Y41" s="1530" t="n">
        <x:v>15</x:v>
      </x:c>
      <x:c r="Z41" s="1530" t="n">
        <x:v>0</x:v>
      </x:c>
      <x:c r="AA41" s="1530" t="n">
        <x:v>0</x:v>
      </x:c>
      <x:c r="AB41" s="1532" t="str">
        <x:v>Szczegóły w arkuszu 22_AUDYT_NETTO_BITRIX</x:v>
      </x:c>
    </x:row>
    <x:row r="42" ht="20" customHeight="1">
      <x:c r="A42" s="1524" t="str">
        <x:v>500 x 306 cm</x:v>
      </x:c>
      <x:c r="B42" s="1524" t="n">
        <x:v>500</x:v>
      </x:c>
      <x:c r="C42" s="1524" t="n">
        <x:v>306</x:v>
      </x:c>
      <x:c r="D42" s="1526" t="n">
        <x:v>12374</x:v>
      </x:c>
      <x:c r="E42" s="1526" t="n">
        <x:v>18872</x:v>
      </x:c>
      <x:c r="F42" s="1526" t="n">
        <x:v>20711</x:v>
      </x:c>
      <x:c r="G42" s="1526" t="n">
        <x:v>365</x:v>
      </x:c>
      <x:c r="H42" s="1526" t="n">
        <x:v>4421</x:v>
      </x:c>
      <x:c r="I42" s="1526" t="n">
        <x:v>4915</x:v>
      </x:c>
      <x:c r="J42" s="1526" t="n">
        <x:v>4362</x:v>
      </x:c>
      <x:c r="K42" s="1526" t="n">
        <x:v>2523</x:v>
      </x:c>
      <x:c r="L42" s="1526" t="n">
        <x:v>4810</x:v>
      </x:c>
      <x:c r="M42" s="1526" t="n">
        <x:v>2075</x:v>
      </x:c>
      <x:c r="N42" s="1526" t="n">
        <x:v>754</x:v>
      </x:c>
      <x:c r="O42" s="1526" t="n">
        <x:v>2402</x:v>
      </x:c>
      <x:c r="P42" s="1526" t="n">
        <x:v>590</x:v>
      </x:c>
      <x:c r="Q42" s="1526" t="n">
        <x:v>531</x:v>
      </x:c>
      <x:c r="R42" s="1526" t="n">
        <x:v>471</x:v>
      </x:c>
      <x:c r="S42" s="1528" t="n">
        <x:v>0.08</x:v>
      </x:c>
      <x:c r="T42" s="1524" t="str">
        <x:v>NIE</x:v>
      </x:c>
      <x:c r="U42" s="1524" t="str">
        <x:v>net</x:v>
      </x:c>
      <x:c r="V42" s="1524" t="str">
        <x:v>OK</x:v>
      </x:c>
      <x:c r="W42" s="1532"/>
      <x:c r="X42" s="1524" t="str">
        <x:v>OK — tylko zaokrąglenia ±1 zł</x:v>
      </x:c>
      <x:c r="Y42" s="1530" t="n">
        <x:v>14</x:v>
      </x:c>
      <x:c r="Z42" s="1530" t="n">
        <x:v>1</x:v>
      </x:c>
      <x:c r="AA42" s="1530" t="n">
        <x:v>0</x:v>
      </x:c>
      <x:c r="AB42" s="1532" t="str">
        <x:v>Szczegóły w arkuszu 22_AUDYT_NETTO_BITRIX</x:v>
      </x:c>
    </x:row>
    <x:row r="43" ht="20" customHeight="1">
      <x:c r="A43" s="1524" t="str">
        <x:v>500 x 406 cm</x:v>
      </x:c>
      <x:c r="B43" s="1524" t="n">
        <x:v>500</x:v>
      </x:c>
      <x:c r="C43" s="1524" t="n">
        <x:v>406</x:v>
      </x:c>
      <x:c r="D43" s="1526" t="n">
        <x:v>15023</x:v>
      </x:c>
      <x:c r="E43" s="1526" t="n">
        <x:v>19977</x:v>
      </x:c>
      <x:c r="F43" s="1526" t="n">
        <x:v>21958</x:v>
      </x:c>
      <x:c r="G43" s="1526" t="n">
        <x:v>494</x:v>
      </x:c>
      <x:c r="H43" s="1526" t="n">
        <x:v>6236</x:v>
      </x:c>
      <x:c r="I43" s="1526" t="n">
        <x:v>6896</x:v>
      </x:c>
      <x:c r="J43" s="1526" t="n">
        <x:v>4362</x:v>
      </x:c>
      <x:c r="K43" s="1526" t="n">
        <x:v>3112</x:v>
      </x:c>
      <x:c r="L43" s="1526" t="n">
        <x:v>5506</x:v>
      </x:c>
      <x:c r="M43" s="1526" t="n">
        <x:v>2290</x:v>
      </x:c>
      <x:c r="N43" s="1526" t="n">
        <x:v>873</x:v>
      </x:c>
      <x:c r="O43" s="1526" t="n">
        <x:v>2734</x:v>
      </x:c>
      <x:c r="P43" s="1526" t="n">
        <x:v>625</x:v>
      </x:c>
      <x:c r="Q43" s="1526" t="n">
        <x:v>566</x:v>
      </x:c>
      <x:c r="R43" s="1526" t="n">
        <x:v>519</x:v>
      </x:c>
      <x:c r="S43" s="1528" t="n">
        <x:v>0.08</x:v>
      </x:c>
      <x:c r="T43" s="1524" t="str">
        <x:v>NIE</x:v>
      </x:c>
      <x:c r="U43" s="1524" t="str">
        <x:v>net</x:v>
      </x:c>
      <x:c r="V43" s="1524" t="str">
        <x:v>OK</x:v>
      </x:c>
      <x:c r="W43" s="1532"/>
      <x:c r="X43" s="1524" t="str">
        <x:v>OK — tylko zaokrąglenia ±1 zł</x:v>
      </x:c>
      <x:c r="Y43" s="1530" t="n">
        <x:v>14</x:v>
      </x:c>
      <x:c r="Z43" s="1530" t="n">
        <x:v>1</x:v>
      </x:c>
      <x:c r="AA43" s="1530" t="n">
        <x:v>0</x:v>
      </x:c>
      <x:c r="AB43" s="1532" t="str">
        <x:v>Szczegóły w arkuszu 22_AUDYT_NETTO_BITRIX</x:v>
      </x:c>
    </x:row>
    <x:row r="44" ht="20" customHeight="1">
      <x:c r="A44" s="1524" t="str">
        <x:v>500 x 506 cm</x:v>
      </x:c>
      <x:c r="B44" s="1524" t="n">
        <x:v>500</x:v>
      </x:c>
      <x:c r="C44" s="1524" t="n">
        <x:v>506</x:v>
      </x:c>
      <x:c r="D44" s="1526" t="n">
        <x:v>18039</x:v>
      </x:c>
      <x:c r="E44" s="1526" t="n">
        <x:v>21365</x:v>
      </x:c>
      <x:c r="F44" s="1526" t="n">
        <x:v>23486</x:v>
      </x:c>
      <x:c r="G44" s="1526" t="n">
        <x:v>613</x:v>
      </x:c>
      <x:c r="H44" s="1526" t="n">
        <x:v>8052</x:v>
      </x:c>
      <x:c r="I44" s="1526" t="n">
        <x:v>8877</x:v>
      </x:c>
      <x:c r="J44" s="1526" t="n">
        <x:v>4362</x:v>
      </x:c>
      <x:c r="K44" s="1526" t="n">
        <x:v>4362</x:v>
      </x:c>
      <x:c r="L44" s="1526" t="n">
        <x:v>6390</x:v>
      </x:c>
      <x:c r="M44" s="1526" t="n">
        <x:v>2521</x:v>
      </x:c>
      <x:c r="N44" s="1526" t="n">
        <x:v>1131</x:v>
      </x:c>
      <x:c r="O44" s="1526" t="n">
        <x:v>3024</x:v>
      </x:c>
      <x:c r="P44" s="1526" t="n">
        <x:v>671</x:v>
      </x:c>
      <x:c r="Q44" s="1526" t="n">
        <x:v>613</x:v>
      </x:c>
      <x:c r="R44" s="1526" t="n">
        <x:v>519</x:v>
      </x:c>
      <x:c r="S44" s="1528" t="n">
        <x:v>0.08</x:v>
      </x:c>
      <x:c r="T44" s="1524" t="str">
        <x:v>NIE</x:v>
      </x:c>
      <x:c r="U44" s="1524" t="str">
        <x:v>net</x:v>
      </x:c>
      <x:c r="V44" s="1524" t="str">
        <x:v>OK</x:v>
      </x:c>
      <x:c r="W44" s="1532"/>
      <x:c r="X44" s="1524" t="str">
        <x:v>OK — pełna zgodność</x:v>
      </x:c>
      <x:c r="Y44" s="1530" t="n">
        <x:v>15</x:v>
      </x:c>
      <x:c r="Z44" s="1530" t="n">
        <x:v>0</x:v>
      </x:c>
      <x:c r="AA44" s="1530" t="n">
        <x:v>0</x:v>
      </x:c>
      <x:c r="AB44" s="1532" t="str">
        <x:v>Szczegóły w arkuszu 22_AUDYT_NETTO_BITRIX</x:v>
      </x:c>
    </x:row>
    <x:row r="45" ht="20" customHeight="1">
      <x:c r="A45" s="1524" t="str">
        <x:v>500 x 606 cm</x:v>
      </x:c>
      <x:c r="B45" s="1524" t="n">
        <x:v>500</x:v>
      </x:c>
      <x:c r="C45" s="1524" t="n">
        <x:v>606</x:v>
      </x:c>
      <x:c r="D45" s="1526" t="n">
        <x:v>20667</x:v>
      </x:c>
      <x:c r="E45" s="1526" t="n">
        <x:v>22867</x:v>
      </x:c>
      <x:c r="F45" s="1526" t="n">
        <x:v>25130</x:v>
      </x:c>
      <x:c r="G45" s="1526" t="n">
        <x:v>731</x:v>
      </x:c>
      <x:c r="H45" s="1526" t="n">
        <x:v>9879</x:v>
      </x:c>
      <x:c r="I45" s="1526" t="n">
        <x:v>10869</x:v>
      </x:c>
      <x:c r="J45" s="1526" t="n">
        <x:v>4362</x:v>
      </x:c>
      <x:c r="K45" s="1526" t="n">
        <x:v>5034</x:v>
      </x:c>
      <x:c r="L45" s="1526" t="n">
        <x:v>9619</x:v>
      </x:c>
      <x:c r="M45" s="1526" t="n">
        <x:v>3040</x:v>
      </x:c>
      <x:c r="N45" s="1526" t="n">
        <x:v>1285</x:v>
      </x:c>
      <x:c r="O45" s="1526" t="n">
        <x:v>3517</x:v>
      </x:c>
      <x:c r="P45" s="1526" t="n">
        <x:v>719</x:v>
      </x:c>
      <x:c r="Q45" s="1526" t="n">
        <x:v>648</x:v>
      </x:c>
      <x:c r="R45" s="1526" t="n">
        <x:v>566</x:v>
      </x:c>
      <x:c r="S45" s="1528" t="n">
        <x:v>0.08</x:v>
      </x:c>
      <x:c r="T45" s="1524" t="str">
        <x:v>NIE</x:v>
      </x:c>
      <x:c r="U45" s="1524" t="str">
        <x:v>net</x:v>
      </x:c>
      <x:c r="V45" s="1524" t="str">
        <x:v>OK</x:v>
      </x:c>
      <x:c r="W45" s="1532"/>
      <x:c r="X45" s="1524" t="str">
        <x:v>OK — tylko zaokrąglenia ±1 zł</x:v>
      </x:c>
      <x:c r="Y45" s="1530" t="n">
        <x:v>14</x:v>
      </x:c>
      <x:c r="Z45" s="1530" t="n">
        <x:v>1</x:v>
      </x:c>
      <x:c r="AA45" s="1530" t="n">
        <x:v>0</x:v>
      </x:c>
      <x:c r="AB45" s="1532" t="str">
        <x:v>Szczegóły w arkuszu 22_AUDYT_NETTO_BITRIX</x:v>
      </x:c>
    </x:row>
    <x:row r="46" ht="20" customHeight="1">
      <x:c r="A46" s="1524" t="str">
        <x:v>500 x 706 cm</x:v>
      </x:c>
      <x:c r="B46" s="1524" t="n">
        <x:v>500</x:v>
      </x:c>
      <x:c r="C46" s="1524" t="n">
        <x:v>706</x:v>
      </x:c>
      <x:c r="D46" s="1526" t="n">
        <x:v>24733</x:v>
      </x:c>
      <x:c r="E46" s="1526" t="n">
        <x:v>22934</x:v>
      </x:c>
      <x:c r="F46" s="1526" t="n">
        <x:v>25340</x:v>
      </x:c>
      <x:c r="G46" s="1526" t="n">
        <x:v>860</x:v>
      </x:c>
      <x:c r="H46" s="1526" t="n">
        <x:v>11683</x:v>
      </x:c>
      <x:c r="I46" s="1526" t="n">
        <x:v>12839</x:v>
      </x:c>
      <x:c r="J46" s="1526" t="n">
        <x:v>4362</x:v>
      </x:c>
      <x:c r="K46" s="1526" t="n">
        <x:v>5635</x:v>
      </x:c>
      <x:c r="L46" s="1526" t="n">
        <x:v>10315</x:v>
      </x:c>
      <x:c r="M46" s="1526" t="n">
        <x:v>2684</x:v>
      </x:c>
      <x:c r="N46" s="1526" t="n">
        <x:v>1427</x:v>
      </x:c>
      <x:c r="O46" s="1526" t="n">
        <x:v>3852</x:v>
      </x:c>
      <x:c r="P46" s="1526" t="n">
        <x:v>766</x:v>
      </x:c>
      <x:c r="Q46" s="1526" t="n">
        <x:v>684</x:v>
      </x:c>
      <x:c r="R46" s="1526" t="n">
        <x:v>613</x:v>
      </x:c>
      <x:c r="S46" s="1528" t="n">
        <x:v>0.08</x:v>
      </x:c>
      <x:c r="T46" s="1524" t="str">
        <x:v>NIE</x:v>
      </x:c>
      <x:c r="U46" s="1524" t="str">
        <x:v>net</x:v>
      </x:c>
      <x:c r="V46" s="1524" t="str">
        <x:v>OK</x:v>
      </x:c>
      <x:c r="W46" s="1532"/>
      <x:c r="X46" s="1524" t="str">
        <x:v>OK — pełna zgodność</x:v>
      </x:c>
      <x:c r="Y46" s="1530" t="n">
        <x:v>15</x:v>
      </x:c>
      <x:c r="Z46" s="1530" t="n">
        <x:v>0</x:v>
      </x:c>
      <x:c r="AA46" s="1530" t="n">
        <x:v>0</x:v>
      </x:c>
      <x:c r="AB46" s="1532" t="str">
        <x:v>Szczegóły w arkuszu 22_AUDYT_NETTO_BITRIX</x:v>
      </x:c>
    </x:row>
    <x:row r="47" ht="20" customHeight="1">
      <x:c r="A47" s="1524" t="str">
        <x:v>500 x 806 cm</x:v>
      </x:c>
      <x:c r="B47" s="1524" t="n">
        <x:v>500</x:v>
      </x:c>
      <x:c r="C47" s="1524" t="n">
        <x:v>806</x:v>
      </x:c>
      <x:c r="D47" s="1526" t="n">
        <x:v>27371</x:v>
      </x:c>
      <x:c r="E47" s="1526" t="n">
        <x:v>24050</x:v>
      </x:c>
      <x:c r="F47" s="1526" t="n">
        <x:v>26596</x:v>
      </x:c>
      <x:c r="G47" s="1526" t="n">
        <x:v>979</x:v>
      </x:c>
      <x:c r="H47" s="1526" t="n">
        <x:v>13510</x:v>
      </x:c>
      <x:c r="I47" s="1526" t="n">
        <x:v>14831</x:v>
      </x:c>
      <x:c r="J47" s="1526" t="n">
        <x:v>4362</x:v>
      </x:c>
      <x:c r="K47" s="1526" t="n">
        <x:v>6225</x:v>
      </x:c>
      <x:c r="L47" s="1526" t="n">
        <x:v>11010</x:v>
      </x:c>
      <x:c r="M47" s="1526" t="n">
        <x:v>2880</x:v>
      </x:c>
      <x:c r="N47" s="1526" t="n">
        <x:v>1698</x:v>
      </x:c>
      <x:c r="O47" s="1526" t="n">
        <x:v>4187</x:v>
      </x:c>
      <x:c r="P47" s="1526" t="n">
        <x:v>813</x:v>
      </x:c>
      <x:c r="Q47" s="1526" t="n">
        <x:v>731</x:v>
      </x:c>
      <x:c r="R47" s="1526" t="n">
        <x:v>660</x:v>
      </x:c>
      <x:c r="S47" s="1528" t="n">
        <x:v>0.08</x:v>
      </x:c>
      <x:c r="T47" s="1524" t="str">
        <x:v>NIE</x:v>
      </x:c>
      <x:c r="U47" s="1524" t="str">
        <x:v>net</x:v>
      </x:c>
      <x:c r="V47" s="1524" t="str">
        <x:v>OK</x:v>
      </x:c>
      <x:c r="W47" s="1532"/>
      <x:c r="X47" s="1524" t="str">
        <x:v>OK — tylko zaokrąglenia ±1 zł</x:v>
      </x:c>
      <x:c r="Y47" s="1530" t="n">
        <x:v>14</x:v>
      </x:c>
      <x:c r="Z47" s="1530" t="n">
        <x:v>1</x:v>
      </x:c>
      <x:c r="AA47" s="1530" t="n">
        <x:v>0</x:v>
      </x:c>
      <x:c r="AB47" s="1532" t="str">
        <x:v>Szczegóły w arkuszu 22_AUDYT_NETTO_BITRIX</x:v>
      </x:c>
    </x:row>
    <x:row r="48" ht="20" customHeight="1">
      <x:c r="A48" s="1524" t="str">
        <x:v>500 x 906 cm</x:v>
      </x:c>
      <x:c r="B48" s="1524" t="n">
        <x:v>500</x:v>
      </x:c>
      <x:c r="C48" s="1524" t="n">
        <x:v>906</x:v>
      </x:c>
      <x:c r="D48" s="1526" t="n">
        <x:v>30589</x:v>
      </x:c>
      <x:c r="E48" s="1526" t="n">
        <x:v>25435</x:v>
      </x:c>
      <x:c r="F48" s="1526" t="n">
        <x:v>28123</x:v>
      </x:c>
      <x:c r="G48" s="1526" t="n">
        <x:v>1108</x:v>
      </x:c>
      <x:c r="H48" s="1526" t="n">
        <x:v>15337</x:v>
      </x:c>
      <x:c r="I48" s="1526" t="n">
        <x:v>16822</x:v>
      </x:c>
      <x:c r="J48" s="1526" t="n">
        <x:v>4362</x:v>
      </x:c>
      <x:c r="K48" s="1526" t="n">
        <x:v>7544</x:v>
      </x:c>
      <x:c r="L48" s="1526" t="n">
        <x:v>11894</x:v>
      </x:c>
      <x:c r="M48" s="1526" t="n">
        <x:v>3131</x:v>
      </x:c>
      <x:c r="N48" s="1526" t="n">
        <x:v>1839</x:v>
      </x:c>
      <x:c r="O48" s="1526" t="n">
        <x:v>4490</x:v>
      </x:c>
      <x:c r="P48" s="1526" t="n">
        <x:v>848</x:v>
      </x:c>
      <x:c r="Q48" s="1526" t="n">
        <x:v>766</x:v>
      </x:c>
      <x:c r="R48" s="1526" t="n">
        <x:v>660</x:v>
      </x:c>
      <x:c r="S48" s="1528" t="n">
        <x:v>0.08</x:v>
      </x:c>
      <x:c r="T48" s="1524" t="str">
        <x:v>NIE</x:v>
      </x:c>
      <x:c r="U48" s="1524" t="str">
        <x:v>net</x:v>
      </x:c>
      <x:c r="V48" s="1524" t="str">
        <x:v>OK</x:v>
      </x:c>
      <x:c r="W48" s="1532"/>
      <x:c r="X48" s="1524" t="str">
        <x:v>OK — pełna zgodność</x:v>
      </x:c>
      <x:c r="Y48" s="1530" t="n">
        <x:v>15</x:v>
      </x:c>
      <x:c r="Z48" s="1530" t="n">
        <x:v>0</x:v>
      </x:c>
      <x:c r="AA48" s="1530" t="n">
        <x:v>0</x:v>
      </x:c>
      <x:c r="AB48" s="1532" t="str">
        <x:v>Szczegóły w arkuszu 22_AUDYT_NETTO_BITRIX</x:v>
      </x:c>
    </x:row>
    <x:row r="49" ht="20" customHeight="1">
      <x:c r="A49" s="1524" t="str">
        <x:v>500 x 1006 cm</x:v>
      </x:c>
      <x:c r="B49" s="1524" t="n">
        <x:v>500</x:v>
      </x:c>
      <x:c r="C49" s="1524" t="n">
        <x:v>1006</x:v>
      </x:c>
      <x:c r="D49" s="1526" t="n">
        <x:v>33228</x:v>
      </x:c>
      <x:c r="E49" s="1526" t="n">
        <x:v>26846</x:v>
      </x:c>
      <x:c r="F49" s="1526" t="n">
        <x:v>29675</x:v>
      </x:c>
      <x:c r="G49" s="1526" t="n">
        <x:v>1227</x:v>
      </x:c>
      <x:c r="H49" s="1526" t="n">
        <x:v>17140</x:v>
      </x:c>
      <x:c r="I49" s="1526" t="n">
        <x:v>18790</x:v>
      </x:c>
      <x:c r="J49" s="1526" t="n">
        <x:v>4362</x:v>
      </x:c>
      <x:c r="K49" s="1526" t="n">
        <x:v>8146</x:v>
      </x:c>
      <x:c r="L49" s="1526" t="n">
        <x:v>12767</x:v>
      </x:c>
      <x:c r="M49" s="1526" t="n">
        <x:v>3362</x:v>
      </x:c>
      <x:c r="N49" s="1526" t="n">
        <x:v>1944</x:v>
      </x:c>
      <x:c r="O49" s="1526" t="n">
        <x:v>4592</x:v>
      </x:c>
      <x:c r="P49" s="1526" t="n">
        <x:v>896</x:v>
      </x:c>
      <x:c r="Q49" s="1526" t="n">
        <x:v>813</x:v>
      </x:c>
      <x:c r="R49" s="1526" t="n">
        <x:v>708</x:v>
      </x:c>
      <x:c r="S49" s="1528" t="n">
        <x:v>0.08</x:v>
      </x:c>
      <x:c r="T49" s="1524" t="str">
        <x:v>NIE</x:v>
      </x:c>
      <x:c r="U49" s="1524" t="str">
        <x:v>net</x:v>
      </x:c>
      <x:c r="V49" s="1524" t="str">
        <x:v>OK</x:v>
      </x:c>
      <x:c r="W49" s="1532"/>
      <x:c r="X49" s="1524" t="str">
        <x:v>OK — pełna zgodność</x:v>
      </x:c>
      <x:c r="Y49" s="1530" t="n">
        <x:v>15</x:v>
      </x:c>
      <x:c r="Z49" s="1530" t="n">
        <x:v>0</x:v>
      </x:c>
      <x:c r="AA49" s="1530" t="n">
        <x:v>0</x:v>
      </x:c>
      <x:c r="AB49" s="1532" t="str">
        <x:v>Szczegóły w arkuszu 22_AUDYT_NETTO_BITRIX</x:v>
      </x:c>
    </x:row>
    <x:row r="50" ht="20" customHeight="1">
      <x:c r="A50" s="1524" t="str">
        <x:v>500 x 1106 cm</x:v>
      </x:c>
      <x:c r="B50" s="1524" t="n">
        <x:v>500</x:v>
      </x:c>
      <x:c r="C50" s="1524" t="n">
        <x:v>1106</x:v>
      </x:c>
      <x:c r="D50" s="1526" t="n">
        <x:v>36964</x:v>
      </x:c>
      <x:c r="E50" s="1526" t="n">
        <x:v>28278</x:v>
      </x:c>
      <x:c r="F50" s="1526" t="n">
        <x:v>31249</x:v>
      </x:c>
      <x:c r="G50" s="1526" t="n">
        <x:v>1344</x:v>
      </x:c>
      <x:c r="H50" s="1526" t="n">
        <x:v>18956</x:v>
      </x:c>
      <x:c r="I50" s="1526" t="n">
        <x:v>20771</x:v>
      </x:c>
      <x:c r="J50" s="1526" t="n">
        <x:v>4362</x:v>
      </x:c>
      <x:c r="K50" s="1526" t="n">
        <x:v>8748</x:v>
      </x:c>
      <x:c r="L50" s="1526" t="n">
        <x:v>15821</x:v>
      </x:c>
      <x:c r="M50" s="1526" t="n">
        <x:v>3881</x:v>
      </x:c>
      <x:c r="N50" s="1526" t="n">
        <x:v>2087</x:v>
      </x:c>
      <x:c r="O50" s="1526" t="n">
        <x:v>4925</x:v>
      </x:c>
      <x:c r="P50" s="1526" t="n">
        <x:v>943</x:v>
      </x:c>
      <x:c r="Q50" s="1526" t="n">
        <x:v>848</x:v>
      </x:c>
      <x:c r="R50" s="1526" t="n">
        <x:v>754</x:v>
      </x:c>
      <x:c r="S50" s="1528" t="n">
        <x:v>0.08</x:v>
      </x:c>
      <x:c r="T50" s="1524" t="str">
        <x:v>NIE</x:v>
      </x:c>
      <x:c r="U50" s="1524" t="str">
        <x:v>net</x:v>
      </x:c>
      <x:c r="V50" s="1524" t="str">
        <x:v>OK</x:v>
      </x:c>
      <x:c r="W50" s="1532"/>
      <x:c r="X50" s="1524" t="str">
        <x:v>OK — tylko zaokrąglenia ±1 zł</x:v>
      </x:c>
      <x:c r="Y50" s="1530" t="n">
        <x:v>13</x:v>
      </x:c>
      <x:c r="Z50" s="1530" t="n">
        <x:v>2</x:v>
      </x:c>
      <x:c r="AA50" s="1530" t="n">
        <x:v>0</x:v>
      </x:c>
      <x:c r="AB50" s="1532" t="str">
        <x:v>Szczegóły w arkuszu 22_AUDYT_NETTO_BITRIX</x:v>
      </x:c>
    </x:row>
    <x:row r="51" ht="20" customHeight="1">
      <x:c r="A51" s="1524" t="str">
        <x:v>500 x 1206 cm</x:v>
      </x:c>
      <x:c r="B51" s="1524" t="n">
        <x:v>500</x:v>
      </x:c>
      <x:c r="C51" s="1524" t="n">
        <x:v>1206</x:v>
      </x:c>
      <x:c r="D51" s="1526" t="n">
        <x:v>39601</x:v>
      </x:c>
      <x:c r="E51" s="1526" t="n">
        <x:v>29761</x:v>
      </x:c>
      <x:c r="F51" s="1526" t="n">
        <x:v>32873</x:v>
      </x:c>
      <x:c r="G51" s="1526" t="n">
        <x:v>1473</x:v>
      </x:c>
      <x:c r="H51" s="1526" t="n">
        <x:v>20771</x:v>
      </x:c>
      <x:c r="I51" s="1526" t="n">
        <x:v>22752</x:v>
      </x:c>
      <x:c r="J51" s="1526" t="n">
        <x:v>4362</x:v>
      </x:c>
      <x:c r="K51" s="1526" t="n">
        <x:v>9337</x:v>
      </x:c>
      <x:c r="L51" s="1526" t="n">
        <x:v>16516</x:v>
      </x:c>
      <x:c r="M51" s="1526" t="n">
        <x:v>4400</x:v>
      </x:c>
      <x:c r="N51" s="1526" t="n">
        <x:v>2240</x:v>
      </x:c>
      <x:c r="O51" s="1526" t="n">
        <x:v>5243</x:v>
      </x:c>
      <x:c r="P51" s="1526" t="n">
        <x:v>990</x:v>
      </x:c>
      <x:c r="Q51" s="1526" t="n">
        <x:v>896</x:v>
      </x:c>
      <x:c r="R51" s="1526" t="n">
        <x:v>802</x:v>
      </x:c>
      <x:c r="S51" s="1528" t="n">
        <x:v>0.08</x:v>
      </x:c>
      <x:c r="T51" s="1524" t="str">
        <x:v>NIE</x:v>
      </x:c>
      <x:c r="U51" s="1524" t="str">
        <x:v>net</x:v>
      </x:c>
      <x:c r="V51" s="1524" t="str">
        <x:v>OK</x:v>
      </x:c>
      <x:c r="W51" s="1532"/>
      <x:c r="X51" s="1524" t="str">
        <x:v>OK — pełna zgodność</x:v>
      </x:c>
      <x:c r="Y51" s="1530" t="n">
        <x:v>15</x:v>
      </x:c>
      <x:c r="Z51" s="1530" t="n">
        <x:v>0</x:v>
      </x:c>
      <x:c r="AA51" s="1530" t="n">
        <x:v>0</x:v>
      </x:c>
      <x:c r="AB51" s="1532" t="str">
        <x:v>Szczegóły w arkuszu 22_AUDYT_NETTO_BITRIX</x:v>
      </x:c>
    </x:row>
    <x:row r="52" ht="20" customHeight="1">
      <x:c r="A52" s="1524" t="str">
        <x:v>550 x 306 cm</x:v>
      </x:c>
      <x:c r="B52" s="1524" t="n">
        <x:v>550</x:v>
      </x:c>
      <x:c r="C52" s="1524" t="n">
        <x:v>306</x:v>
      </x:c>
      <x:c r="D52" s="1526" t="n">
        <x:v>15602</x:v>
      </x:c>
      <x:c r="E52" s="1526" t="n">
        <x:v>21471</x:v>
      </x:c>
      <x:c r="F52" s="1526" t="n">
        <x:v>23592</x:v>
      </x:c>
      <x:c r="G52" s="1526" t="n">
        <x:v>342</x:v>
      </x:c>
      <x:c r="H52" s="1526" t="n">
        <x:v>0</x:v>
      </x:c>
      <x:c r="I52" s="1526" t="n">
        <x:v>0</x:v>
      </x:c>
      <x:c r="J52" s="1526" t="n">
        <x:v>4692</x:v>
      </x:c>
      <x:c r="K52" s="1526" t="n">
        <x:v>2523</x:v>
      </x:c>
      <x:c r="L52" s="1526" t="n">
        <x:v>4927</x:v>
      </x:c>
      <x:c r="M52" s="1526" t="n">
        <x:v>2555</x:v>
      </x:c>
      <x:c r="N52" s="1526" t="n">
        <x:v>754</x:v>
      </x:c>
      <x:c r="O52" s="1526" t="n">
        <x:v>2453</x:v>
      </x:c>
      <x:c r="P52" s="1526" t="n">
        <x:v>590</x:v>
      </x:c>
      <x:c r="Q52" s="1526" t="n">
        <x:v>531</x:v>
      </x:c>
      <x:c r="R52" s="1526" t="n">
        <x:v>566</x:v>
      </x:c>
      <x:c r="S52" s="1528" t="n">
        <x:v>0.08</x:v>
      </x:c>
      <x:c r="T52" s="1524" t="str">
        <x:v>NIE</x:v>
      </x:c>
      <x:c r="U52" s="1524" t="str">
        <x:v>net</x:v>
      </x:c>
      <x:c r="V52" s="1524" t="str">
        <x:v>OK</x:v>
      </x:c>
      <x:c r="W52" s="1532" t="str">
        <x:v>Szkło 550/600: nie eksportować / wycena indywidualna</x:v>
      </x:c>
      <x:c r="X52" s="1524" t="str">
        <x:v>OK — tylko zaokrąglenia ±1 zł</x:v>
      </x:c>
      <x:c r="Y52" s="1530" t="n">
        <x:v>14</x:v>
      </x:c>
      <x:c r="Z52" s="1530" t="n">
        <x:v>1</x:v>
      </x:c>
      <x:c r="AA52" s="1530" t="n">
        <x:v>0</x:v>
      </x:c>
      <x:c r="AB52" s="1532" t="str">
        <x:v>Szczegóły w arkuszu 22_AUDYT_NETTO_BITRIX</x:v>
      </x:c>
    </x:row>
    <x:row r="53" ht="20" customHeight="1">
      <x:c r="A53" s="1524" t="str">
        <x:v>550 x 406 cm</x:v>
      </x:c>
      <x:c r="B53" s="1524" t="n">
        <x:v>550</x:v>
      </x:c>
      <x:c r="C53" s="1524" t="n">
        <x:v>406</x:v>
      </x:c>
      <x:c r="D53" s="1526" t="n">
        <x:v>19635</x:v>
      </x:c>
      <x:c r="E53" s="1526" t="n">
        <x:v>22457</x:v>
      </x:c>
      <x:c r="F53" s="1526" t="n">
        <x:v>24720</x:v>
      </x:c>
      <x:c r="G53" s="1526" t="n">
        <x:v>448</x:v>
      </x:c>
      <x:c r="H53" s="1526" t="n">
        <x:v>0</x:v>
      </x:c>
      <x:c r="I53" s="1526" t="n">
        <x:v>0</x:v>
      </x:c>
      <x:c r="J53" s="1526" t="n">
        <x:v>4692</x:v>
      </x:c>
      <x:c r="K53" s="1526" t="n">
        <x:v>3112</x:v>
      </x:c>
      <x:c r="L53" s="1526" t="n">
        <x:v>5635</x:v>
      </x:c>
      <x:c r="M53" s="1526" t="n">
        <x:v>2830</x:v>
      </x:c>
      <x:c r="N53" s="1526" t="n">
        <x:v>873</x:v>
      </x:c>
      <x:c r="O53" s="1526" t="n">
        <x:v>2821</x:v>
      </x:c>
      <x:c r="P53" s="1526" t="n">
        <x:v>625</x:v>
      </x:c>
      <x:c r="Q53" s="1526" t="n">
        <x:v>566</x:v>
      </x:c>
      <x:c r="R53" s="1526" t="n">
        <x:v>613</x:v>
      </x:c>
      <x:c r="S53" s="1528" t="n">
        <x:v>0.08</x:v>
      </x:c>
      <x:c r="T53" s="1524" t="str">
        <x:v>NIE</x:v>
      </x:c>
      <x:c r="U53" s="1524" t="str">
        <x:v>net</x:v>
      </x:c>
      <x:c r="V53" s="1524" t="str">
        <x:v>OK</x:v>
      </x:c>
      <x:c r="W53" s="1532" t="str">
        <x:v>Szkło 550/600: nie eksportować / wycena indywidualna</x:v>
      </x:c>
      <x:c r="X53" s="1524" t="str">
        <x:v>OK — tylko zaokrąglenia ±1 zł</x:v>
      </x:c>
      <x:c r="Y53" s="1530" t="n">
        <x:v>12</x:v>
      </x:c>
      <x:c r="Z53" s="1530" t="n">
        <x:v>3</x:v>
      </x:c>
      <x:c r="AA53" s="1530" t="n">
        <x:v>0</x:v>
      </x:c>
      <x:c r="AB53" s="1532" t="str">
        <x:v>Szczegóły w arkuszu 22_AUDYT_NETTO_BITRIX</x:v>
      </x:c>
    </x:row>
    <x:row r="54" ht="20" customHeight="1">
      <x:c r="A54" s="1524" t="str">
        <x:v>550 x 506 cm</x:v>
      </x:c>
      <x:c r="B54" s="1524" t="n">
        <x:v>550</x:v>
      </x:c>
      <x:c r="C54" s="1524" t="n">
        <x:v>506</x:v>
      </x:c>
      <x:c r="D54" s="1526" t="n">
        <x:v>24226</x:v>
      </x:c>
      <x:c r="E54" s="1526" t="n">
        <x:v>23628</x:v>
      </x:c>
      <x:c r="F54" s="1526" t="n">
        <x:v>26034</x:v>
      </x:c>
      <x:c r="G54" s="1526" t="n">
        <x:v>566</x:v>
      </x:c>
      <x:c r="H54" s="1526" t="n">
        <x:v>0</x:v>
      </x:c>
      <x:c r="I54" s="1526" t="n">
        <x:v>0</x:v>
      </x:c>
      <x:c r="J54" s="1526" t="n">
        <x:v>4692</x:v>
      </x:c>
      <x:c r="K54" s="1526" t="n">
        <x:v>4362</x:v>
      </x:c>
      <x:c r="L54" s="1526" t="n">
        <x:v>6554</x:v>
      </x:c>
      <x:c r="M54" s="1526" t="n">
        <x:v>3111</x:v>
      </x:c>
      <x:c r="N54" s="1526" t="n">
        <x:v>1131</x:v>
      </x:c>
      <x:c r="O54" s="1526" t="n">
        <x:v>3133</x:v>
      </x:c>
      <x:c r="P54" s="1526" t="n">
        <x:v>671</x:v>
      </x:c>
      <x:c r="Q54" s="1526" t="n">
        <x:v>613</x:v>
      </x:c>
      <x:c r="R54" s="1526" t="n">
        <x:v>613</x:v>
      </x:c>
      <x:c r="S54" s="1528" t="n">
        <x:v>0.08</x:v>
      </x:c>
      <x:c r="T54" s="1524" t="str">
        <x:v>NIE</x:v>
      </x:c>
      <x:c r="U54" s="1524" t="str">
        <x:v>net</x:v>
      </x:c>
      <x:c r="V54" s="1524" t="str">
        <x:v>OK</x:v>
      </x:c>
      <x:c r="W54" s="1532" t="str">
        <x:v>Szkło 550/600: nie eksportować / wycena indywidualna</x:v>
      </x:c>
      <x:c r="X54" s="1524" t="str">
        <x:v>OK — tylko zaokrąglenia ±1 zł</x:v>
      </x:c>
      <x:c r="Y54" s="1530" t="n">
        <x:v>14</x:v>
      </x:c>
      <x:c r="Z54" s="1530" t="n">
        <x:v>1</x:v>
      </x:c>
      <x:c r="AA54" s="1530" t="n">
        <x:v>0</x:v>
      </x:c>
      <x:c r="AB54" s="1532" t="str">
        <x:v>Szczegóły w arkuszu 22_AUDYT_NETTO_BITRIX</x:v>
      </x:c>
    </x:row>
    <x:row r="55" ht="20" customHeight="1">
      <x:c r="A55" s="1524" t="str">
        <x:v>550 x 606 cm</x:v>
      </x:c>
      <x:c r="B55" s="1524" t="n">
        <x:v>550</x:v>
      </x:c>
      <x:c r="C55" s="1524" t="n">
        <x:v>606</x:v>
      </x:c>
      <x:c r="D55" s="1526" t="n">
        <x:v>28008</x:v>
      </x:c>
      <x:c r="E55" s="1526" t="n">
        <x:v>24123</x:v>
      </x:c>
      <x:c r="F55" s="1526" t="n">
        <x:v>26669</x:v>
      </x:c>
      <x:c r="G55" s="1526" t="n">
        <x:v>684</x:v>
      </x:c>
      <x:c r="H55" s="1526" t="n">
        <x:v>0</x:v>
      </x:c>
      <x:c r="I55" s="1526" t="n">
        <x:v>0</x:v>
      </x:c>
      <x:c r="J55" s="1526" t="n">
        <x:v>4692</x:v>
      </x:c>
      <x:c r="K55" s="1526" t="n">
        <x:v>5034</x:v>
      </x:c>
      <x:c r="L55" s="1526" t="n">
        <x:v>9856</x:v>
      </x:c>
      <x:c r="M55" s="1526" t="n">
        <x:v>3740</x:v>
      </x:c>
      <x:c r="N55" s="1526" t="n">
        <x:v>1285</x:v>
      </x:c>
      <x:c r="O55" s="1526" t="n">
        <x:v>3748</x:v>
      </x:c>
      <x:c r="P55" s="1526" t="n">
        <x:v>719</x:v>
      </x:c>
      <x:c r="Q55" s="1526" t="n">
        <x:v>648</x:v>
      </x:c>
      <x:c r="R55" s="1526" t="n">
        <x:v>660</x:v>
      </x:c>
      <x:c r="S55" s="1528" t="n">
        <x:v>0.08</x:v>
      </x:c>
      <x:c r="T55" s="1524" t="str">
        <x:v>NIE</x:v>
      </x:c>
      <x:c r="U55" s="1524" t="str">
        <x:v>net</x:v>
      </x:c>
      <x:c r="V55" s="1524" t="str">
        <x:v>OK</x:v>
      </x:c>
      <x:c r="W55" s="1532" t="str">
        <x:v>Szkło 550/600: nie eksportować / wycena indywidualna</x:v>
      </x:c>
      <x:c r="X55" s="1524" t="str">
        <x:v>OK — pełna zgodność</x:v>
      </x:c>
      <x:c r="Y55" s="1530" t="n">
        <x:v>15</x:v>
      </x:c>
      <x:c r="Z55" s="1530" t="n">
        <x:v>0</x:v>
      </x:c>
      <x:c r="AA55" s="1530" t="n">
        <x:v>0</x:v>
      </x:c>
      <x:c r="AB55" s="1532" t="str">
        <x:v>Szczegóły w arkuszu 22_AUDYT_NETTO_BITRIX</x:v>
      </x:c>
    </x:row>
    <x:row r="56" ht="20" customHeight="1">
      <x:c r="A56" s="1524" t="str">
        <x:v>550 x 706 cm</x:v>
      </x:c>
      <x:c r="B56" s="1524" t="n">
        <x:v>550</x:v>
      </x:c>
      <x:c r="C56" s="1524" t="n">
        <x:v>706</x:v>
      </x:c>
      <x:c r="D56" s="1526" t="n">
        <x:v>31974</x:v>
      </x:c>
      <x:c r="E56" s="1526" t="n">
        <x:v>25297</x:v>
      </x:c>
      <x:c r="F56" s="1526" t="n">
        <x:v>27985</x:v>
      </x:c>
      <x:c r="G56" s="1526" t="n">
        <x:v>790</x:v>
      </x:c>
      <x:c r="H56" s="1526" t="n">
        <x:v>0</x:v>
      </x:c>
      <x:c r="I56" s="1526" t="n">
        <x:v>0</x:v>
      </x:c>
      <x:c r="J56" s="1526" t="n">
        <x:v>4692</x:v>
      </x:c>
      <x:c r="K56" s="1526" t="n">
        <x:v>5635</x:v>
      </x:c>
      <x:c r="L56" s="1526" t="n">
        <x:v>10563</x:v>
      </x:c>
      <x:c r="M56" s="1526" t="n">
        <x:v>3304</x:v>
      </x:c>
      <x:c r="N56" s="1526" t="n">
        <x:v>1427</x:v>
      </x:c>
      <x:c r="O56" s="1526" t="n">
        <x:v>4121</x:v>
      </x:c>
      <x:c r="P56" s="1526" t="n">
        <x:v>766</x:v>
      </x:c>
      <x:c r="Q56" s="1526" t="n">
        <x:v>696</x:v>
      </x:c>
      <x:c r="R56" s="1526" t="n">
        <x:v>708</x:v>
      </x:c>
      <x:c r="S56" s="1528" t="n">
        <x:v>0.08</x:v>
      </x:c>
      <x:c r="T56" s="1524" t="str">
        <x:v>NIE</x:v>
      </x:c>
      <x:c r="U56" s="1524" t="str">
        <x:v>net</x:v>
      </x:c>
      <x:c r="V56" s="1524" t="str">
        <x:v>OK</x:v>
      </x:c>
      <x:c r="W56" s="1532" t="str">
        <x:v>Szkło 550/600: nie eksportować / wycena indywidualna</x:v>
      </x:c>
      <x:c r="X56" s="1524" t="str">
        <x:v>OK — pełna zgodność</x:v>
      </x:c>
      <x:c r="Y56" s="1530" t="n">
        <x:v>15</x:v>
      </x:c>
      <x:c r="Z56" s="1530" t="n">
        <x:v>0</x:v>
      </x:c>
      <x:c r="AA56" s="1530" t="n">
        <x:v>0</x:v>
      </x:c>
      <x:c r="AB56" s="1532" t="str">
        <x:v>Szczegóły w arkuszu 22_AUDYT_NETTO_BITRIX</x:v>
      </x:c>
    </x:row>
    <x:row r="57" ht="20" customHeight="1">
      <x:c r="A57" s="1524" t="str">
        <x:v>550 x 806 cm</x:v>
      </x:c>
      <x:c r="B57" s="1524" t="n">
        <x:v>550</x:v>
      </x:c>
      <x:c r="C57" s="1524" t="n">
        <x:v>806</x:v>
      </x:c>
      <x:c r="D57" s="1526" t="n">
        <x:v>36013</x:v>
      </x:c>
      <x:c r="E57" s="1526" t="n">
        <x:v>26303</x:v>
      </x:c>
      <x:c r="F57" s="1526" t="n">
        <x:v>29132</x:v>
      </x:c>
      <x:c r="G57" s="1526" t="n">
        <x:v>908</x:v>
      </x:c>
      <x:c r="H57" s="1526" t="n">
        <x:v>0</x:v>
      </x:c>
      <x:c r="I57" s="1526" t="n">
        <x:v>0</x:v>
      </x:c>
      <x:c r="J57" s="1526" t="n">
        <x:v>4692</x:v>
      </x:c>
      <x:c r="K57" s="1526" t="n">
        <x:v>6225</x:v>
      </x:c>
      <x:c r="L57" s="1526" t="n">
        <x:v>11281</x:v>
      </x:c>
      <x:c r="M57" s="1526" t="n">
        <x:v>3550</x:v>
      </x:c>
      <x:c r="N57" s="1526" t="n">
        <x:v>1698</x:v>
      </x:c>
      <x:c r="O57" s="1526" t="n">
        <x:v>4485</x:v>
      </x:c>
      <x:c r="P57" s="1526" t="n">
        <x:v>813</x:v>
      </x:c>
      <x:c r="Q57" s="1526" t="n">
        <x:v>731</x:v>
      </x:c>
      <x:c r="R57" s="1526" t="n">
        <x:v>754</x:v>
      </x:c>
      <x:c r="S57" s="1528" t="n">
        <x:v>0.08</x:v>
      </x:c>
      <x:c r="T57" s="1524" t="str">
        <x:v>NIE</x:v>
      </x:c>
      <x:c r="U57" s="1524" t="str">
        <x:v>net</x:v>
      </x:c>
      <x:c r="V57" s="1524" t="str">
        <x:v>OK</x:v>
      </x:c>
      <x:c r="W57" s="1532" t="str">
        <x:v>Szkło 550/600: nie eksportować / wycena indywidualna</x:v>
      </x:c>
      <x:c r="X57" s="1524" t="str">
        <x:v>OK — tylko zaokrąglenia ±1 zł</x:v>
      </x:c>
      <x:c r="Y57" s="1530" t="n">
        <x:v>13</x:v>
      </x:c>
      <x:c r="Z57" s="1530" t="n">
        <x:v>2</x:v>
      </x:c>
      <x:c r="AA57" s="1530" t="n">
        <x:v>0</x:v>
      </x:c>
      <x:c r="AB57" s="1532" t="str">
        <x:v>Szczegóły w arkuszu 22_AUDYT_NETTO_BITRIX</x:v>
      </x:c>
    </x:row>
    <x:row r="58" ht="20" customHeight="1">
      <x:c r="A58" s="1524" t="str">
        <x:v>550 x 906 cm</x:v>
      </x:c>
      <x:c r="B58" s="1524" t="n">
        <x:v>550</x:v>
      </x:c>
      <x:c r="C58" s="1524" t="n">
        <x:v>906</x:v>
      </x:c>
      <x:c r="D58" s="1526" t="n">
        <x:v>40497</x:v>
      </x:c>
      <x:c r="E58" s="1526" t="n">
        <x:v>27640</x:v>
      </x:c>
      <x:c r="F58" s="1526" t="n">
        <x:v>30611</x:v>
      </x:c>
      <x:c r="G58" s="1526" t="n">
        <x:v>1014</x:v>
      </x:c>
      <x:c r="H58" s="1526" t="n">
        <x:v>0</x:v>
      </x:c>
      <x:c r="I58" s="1526" t="n">
        <x:v>0</x:v>
      </x:c>
      <x:c r="J58" s="1526" t="n">
        <x:v>4692</x:v>
      </x:c>
      <x:c r="K58" s="1526" t="n">
        <x:v>7544</x:v>
      </x:c>
      <x:c r="L58" s="1526" t="n">
        <x:v>12190</x:v>
      </x:c>
      <x:c r="M58" s="1526" t="n">
        <x:v>3781</x:v>
      </x:c>
      <x:c r="N58" s="1526" t="n">
        <x:v>1839</x:v>
      </x:c>
      <x:c r="O58" s="1526" t="n">
        <x:v>4809</x:v>
      </x:c>
      <x:c r="P58" s="1526" t="n">
        <x:v>848</x:v>
      </x:c>
      <x:c r="Q58" s="1526" t="n">
        <x:v>766</x:v>
      </x:c>
      <x:c r="R58" s="1526" t="n">
        <x:v>754</x:v>
      </x:c>
      <x:c r="S58" s="1528" t="n">
        <x:v>0.08</x:v>
      </x:c>
      <x:c r="T58" s="1524" t="str">
        <x:v>NIE</x:v>
      </x:c>
      <x:c r="U58" s="1524" t="str">
        <x:v>net</x:v>
      </x:c>
      <x:c r="V58" s="1524" t="str">
        <x:v>OK</x:v>
      </x:c>
      <x:c r="W58" s="1532" t="str">
        <x:v>Szkło 550/600: nie eksportować / wycena indywidualna</x:v>
      </x:c>
      <x:c r="X58" s="1524" t="str">
        <x:v>OK — pełna zgodność</x:v>
      </x:c>
      <x:c r="Y58" s="1530" t="n">
        <x:v>15</x:v>
      </x:c>
      <x:c r="Z58" s="1530" t="n">
        <x:v>0</x:v>
      </x:c>
      <x:c r="AA58" s="1530" t="n">
        <x:v>0</x:v>
      </x:c>
      <x:c r="AB58" s="1532" t="str">
        <x:v>Szczegóły w arkuszu 22_AUDYT_NETTO_BITRIX</x:v>
      </x:c>
    </x:row>
    <x:row r="59" ht="20" customHeight="1">
      <x:c r="A59" s="1524" t="str">
        <x:v>550 x 1006 cm</x:v>
      </x:c>
      <x:c r="B59" s="1524" t="n">
        <x:v>550</x:v>
      </x:c>
      <x:c r="C59" s="1524" t="n">
        <x:v>1006</x:v>
      </x:c>
      <x:c r="D59" s="1526" t="n">
        <x:v>44377</x:v>
      </x:c>
      <x:c r="E59" s="1526" t="n">
        <x:v>28971</x:v>
      </x:c>
      <x:c r="F59" s="1526" t="n">
        <x:v>32083</x:v>
      </x:c>
      <x:c r="G59" s="1526" t="n">
        <x:v>1131</x:v>
      </x:c>
      <x:c r="H59" s="1526" t="n">
        <x:v>0</x:v>
      </x:c>
      <x:c r="I59" s="1526" t="n">
        <x:v>0</x:v>
      </x:c>
      <x:c r="J59" s="1526" t="n">
        <x:v>4692</x:v>
      </x:c>
      <x:c r="K59" s="1526" t="n">
        <x:v>8146</x:v>
      </x:c>
      <x:c r="L59" s="1526" t="n">
        <x:v>13109</x:v>
      </x:c>
      <x:c r="M59" s="1526" t="n">
        <x:v>4052</x:v>
      </x:c>
      <x:c r="N59" s="1526" t="n">
        <x:v>1944</x:v>
      </x:c>
      <x:c r="O59" s="1526" t="n">
        <x:v>4831</x:v>
      </x:c>
      <x:c r="P59" s="1526" t="n">
        <x:v>896</x:v>
      </x:c>
      <x:c r="Q59" s="1526" t="n">
        <x:v>813</x:v>
      </x:c>
      <x:c r="R59" s="1526" t="n">
        <x:v>802</x:v>
      </x:c>
      <x:c r="S59" s="1528" t="n">
        <x:v>0.08</x:v>
      </x:c>
      <x:c r="T59" s="1524" t="str">
        <x:v>NIE</x:v>
      </x:c>
      <x:c r="U59" s="1524" t="str">
        <x:v>net</x:v>
      </x:c>
      <x:c r="V59" s="1524" t="str">
        <x:v>OK</x:v>
      </x:c>
      <x:c r="W59" s="1532" t="str">
        <x:v>Szkło 550/600: nie eksportować / wycena indywidualna</x:v>
      </x:c>
      <x:c r="X59" s="1524" t="str">
        <x:v>OK — pełna zgodność</x:v>
      </x:c>
      <x:c r="Y59" s="1530" t="n">
        <x:v>15</x:v>
      </x:c>
      <x:c r="Z59" s="1530" t="n">
        <x:v>0</x:v>
      </x:c>
      <x:c r="AA59" s="1530" t="n">
        <x:v>0</x:v>
      </x:c>
      <x:c r="AB59" s="1532" t="str">
        <x:v>Szczegóły w arkuszu 22_AUDYT_NETTO_BITRIX</x:v>
      </x:c>
    </x:row>
    <x:row r="60" ht="20" customHeight="1">
      <x:c r="A60" s="1524" t="str">
        <x:v>550 x 1106 cm</x:v>
      </x:c>
      <x:c r="B60" s="1524" t="n">
        <x:v>550</x:v>
      </x:c>
      <x:c r="C60" s="1524" t="n">
        <x:v>1106</x:v>
      </x:c>
      <x:c r="D60" s="1526" t="n">
        <x:v>48274</x:v>
      </x:c>
      <x:c r="E60" s="1526" t="n">
        <x:v>29111</x:v>
      </x:c>
      <x:c r="F60" s="1526" t="n">
        <x:v>32365</x:v>
      </x:c>
      <x:c r="G60" s="1526" t="n">
        <x:v>1250</x:v>
      </x:c>
      <x:c r="H60" s="1526" t="n">
        <x:v>0</x:v>
      </x:c>
      <x:c r="I60" s="1526" t="n">
        <x:v>0</x:v>
      </x:c>
      <x:c r="J60" s="1526" t="n">
        <x:v>4692</x:v>
      </x:c>
      <x:c r="K60" s="1526" t="n">
        <x:v>8748</x:v>
      </x:c>
      <x:c r="L60" s="1526" t="n">
        <x:v>16198</x:v>
      </x:c>
      <x:c r="M60" s="1526" t="n">
        <x:v>4601</x:v>
      </x:c>
      <x:c r="N60" s="1526" t="n">
        <x:v>2087</x:v>
      </x:c>
      <x:c r="O60" s="1526" t="n">
        <x:v>5194</x:v>
      </x:c>
      <x:c r="P60" s="1526" t="n">
        <x:v>943</x:v>
      </x:c>
      <x:c r="Q60" s="1526" t="n">
        <x:v>848</x:v>
      </x:c>
      <x:c r="R60" s="1526" t="n">
        <x:v>848</x:v>
      </x:c>
      <x:c r="S60" s="1528" t="n">
        <x:v>0.08</x:v>
      </x:c>
      <x:c r="T60" s="1524" t="str">
        <x:v>NIE</x:v>
      </x:c>
      <x:c r="U60" s="1524" t="str">
        <x:v>net</x:v>
      </x:c>
      <x:c r="V60" s="1524" t="str">
        <x:v>OK</x:v>
      </x:c>
      <x:c r="W60" s="1532" t="str">
        <x:v>Szkło 550/600: nie eksportować / wycena indywidualna</x:v>
      </x:c>
      <x:c r="X60" s="1524" t="str">
        <x:v>OK — tylko zaokrąglenia ±1 zł</x:v>
      </x:c>
      <x:c r="Y60" s="1530" t="n">
        <x:v>14</x:v>
      </x:c>
      <x:c r="Z60" s="1530" t="n">
        <x:v>1</x:v>
      </x:c>
      <x:c r="AA60" s="1530" t="n">
        <x:v>0</x:v>
      </x:c>
      <x:c r="AB60" s="1532" t="str">
        <x:v>Szczegóły w arkuszu 22_AUDYT_NETTO_BITRIX</x:v>
      </x:c>
    </x:row>
    <x:row r="61" ht="20" customHeight="1">
      <x:c r="A61" s="1524" t="str">
        <x:v>550 x 1206 cm</x:v>
      </x:c>
      <x:c r="B61" s="1524" t="n">
        <x:v>550</x:v>
      </x:c>
      <x:c r="C61" s="1524" t="n">
        <x:v>1206</x:v>
      </x:c>
      <x:c r="D61" s="1526" t="n">
        <x:v>52129</x:v>
      </x:c>
      <x:c r="E61" s="1526" t="n">
        <x:v>30128</x:v>
      </x:c>
      <x:c r="F61" s="1526" t="n">
        <x:v>33382</x:v>
      </x:c>
      <x:c r="G61" s="1526" t="n">
        <x:v>1356</x:v>
      </x:c>
      <x:c r="H61" s="1526" t="n">
        <x:v>0</x:v>
      </x:c>
      <x:c r="I61" s="1526" t="n">
        <x:v>0</x:v>
      </x:c>
      <x:c r="J61" s="1526" t="n">
        <x:v>4692</x:v>
      </x:c>
      <x:c r="K61" s="1526" t="n">
        <x:v>9337</x:v>
      </x:c>
      <x:c r="L61" s="1526" t="n">
        <x:v>16516</x:v>
      </x:c>
      <x:c r="M61" s="1526" t="n">
        <x:v>5160</x:v>
      </x:c>
      <x:c r="N61" s="1526" t="n">
        <x:v>2240</x:v>
      </x:c>
      <x:c r="O61" s="1526" t="n">
        <x:v>5540</x:v>
      </x:c>
      <x:c r="P61" s="1526" t="n">
        <x:v>990</x:v>
      </x:c>
      <x:c r="Q61" s="1526" t="n">
        <x:v>896</x:v>
      </x:c>
      <x:c r="R61" s="1526" t="n">
        <x:v>896</x:v>
      </x:c>
      <x:c r="S61" s="1528" t="n">
        <x:v>0.08</x:v>
      </x:c>
      <x:c r="T61" s="1524" t="str">
        <x:v>NIE</x:v>
      </x:c>
      <x:c r="U61" s="1524" t="str">
        <x:v>net</x:v>
      </x:c>
      <x:c r="V61" s="1524" t="str">
        <x:v>OK</x:v>
      </x:c>
      <x:c r="W61" s="1532" t="str">
        <x:v>Szkło 550/600: nie eksportować / wycena indywidualna</x:v>
      </x:c>
      <x:c r="X61" s="1524" t="str">
        <x:v>OK — tylko zaokrąglenia ±1 zł</x:v>
      </x:c>
      <x:c r="Y61" s="1530" t="n">
        <x:v>14</x:v>
      </x:c>
      <x:c r="Z61" s="1530" t="n">
        <x:v>1</x:v>
      </x:c>
      <x:c r="AA61" s="1530" t="n">
        <x:v>0</x:v>
      </x:c>
      <x:c r="AB61" s="1532" t="str">
        <x:v>Szczegóły w arkuszu 22_AUDYT_NETTO_BITRIX</x:v>
      </x:c>
    </x:row>
    <x:row r="62" ht="20" customHeight="1">
      <x:c r="A62" s="1524" t="str">
        <x:v>600 x 306 cm</x:v>
      </x:c>
      <x:c r="B62" s="1524" t="n">
        <x:v>600</x:v>
      </x:c>
      <x:c r="C62" s="1524" t="n">
        <x:v>306</x:v>
      </x:c>
      <x:c r="D62" s="1526" t="n">
        <x:v>16702</x:v>
      </x:c>
      <x:c r="E62" s="1526" t="n">
        <x:v>21642</x:v>
      </x:c>
      <x:c r="F62" s="1526" t="n">
        <x:v>23763</x:v>
      </x:c>
      <x:c r="G62" s="1526" t="n">
        <x:v>365</x:v>
      </x:c>
      <x:c r="H62" s="1526" t="n">
        <x:v>0</x:v>
      </x:c>
      <x:c r="I62" s="1526" t="n">
        <x:v>0</x:v>
      </x:c>
      <x:c r="J62" s="1526" t="n">
        <x:v>5034</x:v>
      </x:c>
      <x:c r="K62" s="1526" t="n">
        <x:v>2523</x:v>
      </x:c>
      <x:c r="L62" s="1526" t="n">
        <x:v>4927</x:v>
      </x:c>
      <x:c r="M62" s="1526" t="n">
        <x:v>2555</x:v>
      </x:c>
      <x:c r="N62" s="1526" t="n">
        <x:v>754</x:v>
      </x:c>
      <x:c r="O62" s="1526" t="n">
        <x:v>2504</x:v>
      </x:c>
      <x:c r="P62" s="1526" t="n">
        <x:v>590</x:v>
      </x:c>
      <x:c r="Q62" s="1526" t="n">
        <x:v>531</x:v>
      </x:c>
      <x:c r="R62" s="1526" t="n">
        <x:v>566</x:v>
      </x:c>
      <x:c r="S62" s="1528" t="n">
        <x:v>0.08</x:v>
      </x:c>
      <x:c r="T62" s="1524" t="str">
        <x:v>NIE</x:v>
      </x:c>
      <x:c r="U62" s="1524" t="str">
        <x:v>net</x:v>
      </x:c>
      <x:c r="V62" s="1524" t="str">
        <x:v>OK</x:v>
      </x:c>
      <x:c r="W62" s="1532" t="str">
        <x:v>Szkło 550/600: nie eksportować / wycena indywidualna</x:v>
      </x:c>
      <x:c r="X62" s="1524" t="str">
        <x:v>OK — pełna zgodność</x:v>
      </x:c>
      <x:c r="Y62" s="1530" t="n">
        <x:v>15</x:v>
      </x:c>
      <x:c r="Z62" s="1530" t="n">
        <x:v>0</x:v>
      </x:c>
      <x:c r="AA62" s="1530" t="n">
        <x:v>0</x:v>
      </x:c>
      <x:c r="AB62" s="1532" t="str">
        <x:v>Szczegóły w arkuszu 22_AUDYT_NETTO_BITRIX</x:v>
      </x:c>
    </x:row>
    <x:row r="63" ht="20" customHeight="1">
      <x:c r="A63" s="1524" t="str">
        <x:v>600 x 406 cm</x:v>
      </x:c>
      <x:c r="B63" s="1524" t="n">
        <x:v>600</x:v>
      </x:c>
      <x:c r="C63" s="1524" t="n">
        <x:v>406</x:v>
      </x:c>
      <x:c r="D63" s="1526" t="n">
        <x:v>21050</x:v>
      </x:c>
      <x:c r="E63" s="1526" t="n">
        <x:v>22595</x:v>
      </x:c>
      <x:c r="F63" s="1526" t="n">
        <x:v>24858</x:v>
      </x:c>
      <x:c r="G63" s="1526" t="n">
        <x:v>494</x:v>
      </x:c>
      <x:c r="H63" s="1526" t="n">
        <x:v>0</x:v>
      </x:c>
      <x:c r="I63" s="1526" t="n">
        <x:v>0</x:v>
      </x:c>
      <x:c r="J63" s="1526" t="n">
        <x:v>5034</x:v>
      </x:c>
      <x:c r="K63" s="1526" t="n">
        <x:v>3112</x:v>
      </x:c>
      <x:c r="L63" s="1526" t="n">
        <x:v>5635</x:v>
      </x:c>
      <x:c r="M63" s="1526" t="n">
        <x:v>2830</x:v>
      </x:c>
      <x:c r="N63" s="1526" t="n">
        <x:v>873</x:v>
      </x:c>
      <x:c r="O63" s="1526" t="n">
        <x:v>2908</x:v>
      </x:c>
      <x:c r="P63" s="1526" t="n">
        <x:v>625</x:v>
      </x:c>
      <x:c r="Q63" s="1526" t="n">
        <x:v>566</x:v>
      </x:c>
      <x:c r="R63" s="1526" t="n">
        <x:v>613</x:v>
      </x:c>
      <x:c r="S63" s="1528" t="n">
        <x:v>0.08</x:v>
      </x:c>
      <x:c r="T63" s="1524" t="str">
        <x:v>NIE</x:v>
      </x:c>
      <x:c r="U63" s="1524" t="str">
        <x:v>net</x:v>
      </x:c>
      <x:c r="V63" s="1524" t="str">
        <x:v>OK</x:v>
      </x:c>
      <x:c r="W63" s="1532" t="str">
        <x:v>Szkło 550/600: nie eksportować / wycena indywidualna</x:v>
      </x:c>
      <x:c r="X63" s="1524" t="str">
        <x:v>OK — pełna zgodność</x:v>
      </x:c>
      <x:c r="Y63" s="1530" t="n">
        <x:v>15</x:v>
      </x:c>
      <x:c r="Z63" s="1530" t="n">
        <x:v>0</x:v>
      </x:c>
      <x:c r="AA63" s="1530" t="n">
        <x:v>0</x:v>
      </x:c>
      <x:c r="AB63" s="1532" t="str">
        <x:v>Szczegóły w arkuszu 22_AUDYT_NETTO_BITRIX</x:v>
      </x:c>
    </x:row>
    <x:row r="64" ht="20" customHeight="1">
      <x:c r="A64" s="1524" t="str">
        <x:v>600 x 506 cm</x:v>
      </x:c>
      <x:c r="B64" s="1524" t="n">
        <x:v>600</x:v>
      </x:c>
      <x:c r="C64" s="1524" t="n">
        <x:v>506</x:v>
      </x:c>
      <x:c r="D64" s="1526" t="n">
        <x:v>25633</x:v>
      </x:c>
      <x:c r="E64" s="1526" t="n">
        <x:v>23903</x:v>
      </x:c>
      <x:c r="F64" s="1526" t="n">
        <x:v>26309</x:v>
      </x:c>
      <x:c r="G64" s="1526" t="n">
        <x:v>613</x:v>
      </x:c>
      <x:c r="H64" s="1526" t="n">
        <x:v>0</x:v>
      </x:c>
      <x:c r="I64" s="1526" t="n">
        <x:v>0</x:v>
      </x:c>
      <x:c r="J64" s="1526" t="n">
        <x:v>5034</x:v>
      </x:c>
      <x:c r="K64" s="1526" t="n">
        <x:v>4362</x:v>
      </x:c>
      <x:c r="L64" s="1526" t="n">
        <x:v>6554</x:v>
      </x:c>
      <x:c r="M64" s="1526" t="n">
        <x:v>3111</x:v>
      </x:c>
      <x:c r="N64" s="1526" t="n">
        <x:v>1131</x:v>
      </x:c>
      <x:c r="O64" s="1526" t="n">
        <x:v>3242</x:v>
      </x:c>
      <x:c r="P64" s="1526" t="n">
        <x:v>671</x:v>
      </x:c>
      <x:c r="Q64" s="1526" t="n">
        <x:v>613</x:v>
      </x:c>
      <x:c r="R64" s="1526" t="n">
        <x:v>613</x:v>
      </x:c>
      <x:c r="S64" s="1528" t="n">
        <x:v>0.08</x:v>
      </x:c>
      <x:c r="T64" s="1524" t="str">
        <x:v>NIE</x:v>
      </x:c>
      <x:c r="U64" s="1524" t="str">
        <x:v>net</x:v>
      </x:c>
      <x:c r="V64" s="1524" t="str">
        <x:v>OK</x:v>
      </x:c>
      <x:c r="W64" s="1532" t="str">
        <x:v>Szkło 550/600: nie eksportować / wycena indywidualna</x:v>
      </x:c>
      <x:c r="X64" s="1524" t="str">
        <x:v>OK — tylko zaokrąglenia ±1 zł</x:v>
      </x:c>
      <x:c r="Y64" s="1530" t="n">
        <x:v>14</x:v>
      </x:c>
      <x:c r="Z64" s="1530" t="n">
        <x:v>1</x:v>
      </x:c>
      <x:c r="AA64" s="1530" t="n">
        <x:v>0</x:v>
      </x:c>
      <x:c r="AB64" s="1532" t="str">
        <x:v>Szczegóły w arkuszu 22_AUDYT_NETTO_BITRIX</x:v>
      </x:c>
    </x:row>
    <x:row r="65" ht="20" customHeight="1">
      <x:c r="A65" s="1524" t="str">
        <x:v>600 x 606 cm</x:v>
      </x:c>
      <x:c r="B65" s="1524" t="n">
        <x:v>600</x:v>
      </x:c>
      <x:c r="C65" s="1524" t="n">
        <x:v>606</x:v>
      </x:c>
      <x:c r="D65" s="1526" t="n">
        <x:v>29845</x:v>
      </x:c>
      <x:c r="E65" s="1526" t="n">
        <x:v>24237</x:v>
      </x:c>
      <x:c r="F65" s="1526" t="n">
        <x:v>26783</x:v>
      </x:c>
      <x:c r="G65" s="1526" t="n">
        <x:v>731</x:v>
      </x:c>
      <x:c r="H65" s="1526" t="n">
        <x:v>0</x:v>
      </x:c>
      <x:c r="I65" s="1526" t="n">
        <x:v>0</x:v>
      </x:c>
      <x:c r="J65" s="1526" t="n">
        <x:v>5034</x:v>
      </x:c>
      <x:c r="K65" s="1526" t="n">
        <x:v>5034</x:v>
      </x:c>
      <x:c r="L65" s="1526" t="n">
        <x:v>9856</x:v>
      </x:c>
      <x:c r="M65" s="1526" t="n">
        <x:v>3740</x:v>
      </x:c>
      <x:c r="N65" s="1526" t="n">
        <x:v>1285</x:v>
      </x:c>
      <x:c r="O65" s="1526" t="n">
        <x:v>3981</x:v>
      </x:c>
      <x:c r="P65" s="1526" t="n">
        <x:v>719</x:v>
      </x:c>
      <x:c r="Q65" s="1526" t="n">
        <x:v>648</x:v>
      </x:c>
      <x:c r="R65" s="1526" t="n">
        <x:v>660</x:v>
      </x:c>
      <x:c r="S65" s="1528" t="n">
        <x:v>0.08</x:v>
      </x:c>
      <x:c r="T65" s="1524" t="str">
        <x:v>NIE</x:v>
      </x:c>
      <x:c r="U65" s="1524" t="str">
        <x:v>net</x:v>
      </x:c>
      <x:c r="V65" s="1524" t="str">
        <x:v>OK</x:v>
      </x:c>
      <x:c r="W65" s="1532" t="str">
        <x:v>Szkło 550/600: nie eksportować / wycena indywidualna</x:v>
      </x:c>
      <x:c r="X65" s="1524" t="str">
        <x:v>OK — pełna zgodność</x:v>
      </x:c>
      <x:c r="Y65" s="1530" t="n">
        <x:v>15</x:v>
      </x:c>
      <x:c r="Z65" s="1530" t="n">
        <x:v>0</x:v>
      </x:c>
      <x:c r="AA65" s="1530" t="n">
        <x:v>0</x:v>
      </x:c>
      <x:c r="AB65" s="1532" t="str">
        <x:v>Szczegóły w arkuszu 22_AUDYT_NETTO_BITRIX</x:v>
      </x:c>
    </x:row>
    <x:row r="66" ht="20" customHeight="1">
      <x:c r="A66" s="1524" t="str">
        <x:v>600 x 706 cm</x:v>
      </x:c>
      <x:c r="B66" s="1524" t="n">
        <x:v>600</x:v>
      </x:c>
      <x:c r="C66" s="1524" t="n">
        <x:v>706</x:v>
      </x:c>
      <x:c r="D66" s="1526" t="n">
        <x:v>34069</x:v>
      </x:c>
      <x:c r="E66" s="1526" t="n">
        <x:v>25400</x:v>
      </x:c>
      <x:c r="F66" s="1526" t="n">
        <x:v>28088</x:v>
      </x:c>
      <x:c r="G66" s="1526" t="n">
        <x:v>860</x:v>
      </x:c>
      <x:c r="H66" s="1526" t="n">
        <x:v>0</x:v>
      </x:c>
      <x:c r="I66" s="1526" t="n">
        <x:v>0</x:v>
      </x:c>
      <x:c r="J66" s="1526" t="n">
        <x:v>5034</x:v>
      </x:c>
      <x:c r="K66" s="1526" t="n">
        <x:v>5635</x:v>
      </x:c>
      <x:c r="L66" s="1526" t="n">
        <x:v>10563</x:v>
      </x:c>
      <x:c r="M66" s="1526" t="n">
        <x:v>3304</x:v>
      </x:c>
      <x:c r="N66" s="1526" t="n">
        <x:v>1427</x:v>
      </x:c>
      <x:c r="O66" s="1526" t="n">
        <x:v>4389</x:v>
      </x:c>
      <x:c r="P66" s="1526" t="n">
        <x:v>766</x:v>
      </x:c>
      <x:c r="Q66" s="1526" t="n">
        <x:v>696</x:v>
      </x:c>
      <x:c r="R66" s="1526" t="n">
        <x:v>708</x:v>
      </x:c>
      <x:c r="S66" s="1528" t="n">
        <x:v>0.08</x:v>
      </x:c>
      <x:c r="T66" s="1524" t="str">
        <x:v>NIE</x:v>
      </x:c>
      <x:c r="U66" s="1524" t="str">
        <x:v>net</x:v>
      </x:c>
      <x:c r="V66" s="1524" t="str">
        <x:v>OK</x:v>
      </x:c>
      <x:c r="W66" s="1532" t="str">
        <x:v>Szkło 550/600: nie eksportować / wycena indywidualna</x:v>
      </x:c>
      <x:c r="X66" s="1524" t="str">
        <x:v>OK — pełna zgodność</x:v>
      </x:c>
      <x:c r="Y66" s="1530" t="n">
        <x:v>15</x:v>
      </x:c>
      <x:c r="Z66" s="1530" t="n">
        <x:v>0</x:v>
      </x:c>
      <x:c r="AA66" s="1530" t="n">
        <x:v>0</x:v>
      </x:c>
      <x:c r="AB66" s="1532" t="str">
        <x:v>Szczegóły w arkuszu 22_AUDYT_NETTO_BITRIX</x:v>
      </x:c>
    </x:row>
    <x:row r="67" ht="20" customHeight="1">
      <x:c r="A67" s="1524" t="str">
        <x:v>600 x 806 cm</x:v>
      </x:c>
      <x:c r="B67" s="1524" t="n">
        <x:v>600</x:v>
      </x:c>
      <x:c r="C67" s="1524" t="n">
        <x:v>806</x:v>
      </x:c>
      <x:c r="D67" s="1526" t="n">
        <x:v>38401</x:v>
      </x:c>
      <x:c r="E67" s="1526" t="n">
        <x:v>26382</x:v>
      </x:c>
      <x:c r="F67" s="1526" t="n">
        <x:v>29211</x:v>
      </x:c>
      <x:c r="G67" s="1526" t="n">
        <x:v>979</x:v>
      </x:c>
      <x:c r="H67" s="1526" t="n">
        <x:v>0</x:v>
      </x:c>
      <x:c r="I67" s="1526" t="n">
        <x:v>0</x:v>
      </x:c>
      <x:c r="J67" s="1526" t="n">
        <x:v>5034</x:v>
      </x:c>
      <x:c r="K67" s="1526" t="n">
        <x:v>6225</x:v>
      </x:c>
      <x:c r="L67" s="1526" t="n">
        <x:v>11281</x:v>
      </x:c>
      <x:c r="M67" s="1526" t="n">
        <x:v>3550</x:v>
      </x:c>
      <x:c r="N67" s="1526" t="n">
        <x:v>1698</x:v>
      </x:c>
      <x:c r="O67" s="1526" t="n">
        <x:v>4782</x:v>
      </x:c>
      <x:c r="P67" s="1526" t="n">
        <x:v>813</x:v>
      </x:c>
      <x:c r="Q67" s="1526" t="n">
        <x:v>731</x:v>
      </x:c>
      <x:c r="R67" s="1526" t="n">
        <x:v>754</x:v>
      </x:c>
      <x:c r="S67" s="1528" t="n">
        <x:v>0.08</x:v>
      </x:c>
      <x:c r="T67" s="1524" t="str">
        <x:v>NIE</x:v>
      </x:c>
      <x:c r="U67" s="1524" t="str">
        <x:v>net</x:v>
      </x:c>
      <x:c r="V67" s="1524" t="str">
        <x:v>OK</x:v>
      </x:c>
      <x:c r="W67" s="1532" t="str">
        <x:v>Szkło 550/600: nie eksportować / wycena indywidualna</x:v>
      </x:c>
      <x:c r="X67" s="1524" t="str">
        <x:v>OK — pełna zgodność</x:v>
      </x:c>
      <x:c r="Y67" s="1530" t="n">
        <x:v>15</x:v>
      </x:c>
      <x:c r="Z67" s="1530" t="n">
        <x:v>0</x:v>
      </x:c>
      <x:c r="AA67" s="1530" t="n">
        <x:v>0</x:v>
      </x:c>
      <x:c r="AB67" s="1532" t="str">
        <x:v>Szczegóły w arkuszu 22_AUDYT_NETTO_BITRIX</x:v>
      </x:c>
    </x:row>
    <x:row r="68" ht="20" customHeight="1">
      <x:c r="A68" s="1524" t="str">
        <x:v>600 x 906 cm</x:v>
      </x:c>
      <x:c r="B68" s="1524" t="n">
        <x:v>600</x:v>
      </x:c>
      <x:c r="C68" s="1524" t="n">
        <x:v>906</x:v>
      </x:c>
      <x:c r="D68" s="1526" t="n">
        <x:v>43123</x:v>
      </x:c>
      <x:c r="E68" s="1526" t="n">
        <x:v>27737</x:v>
      </x:c>
      <x:c r="F68" s="1526" t="n">
        <x:v>30708</x:v>
      </x:c>
      <x:c r="G68" s="1526" t="n">
        <x:v>1108</x:v>
      </x:c>
      <x:c r="H68" s="1526" t="n">
        <x:v>0</x:v>
      </x:c>
      <x:c r="I68" s="1526" t="n">
        <x:v>0</x:v>
      </x:c>
      <x:c r="J68" s="1526" t="n">
        <x:v>5034</x:v>
      </x:c>
      <x:c r="K68" s="1526" t="n">
        <x:v>7544</x:v>
      </x:c>
      <x:c r="L68" s="1526" t="n">
        <x:v>12190</x:v>
      </x:c>
      <x:c r="M68" s="1526" t="n">
        <x:v>3781</x:v>
      </x:c>
      <x:c r="N68" s="1526" t="n">
        <x:v>1839</x:v>
      </x:c>
      <x:c r="O68" s="1526" t="n">
        <x:v>5128</x:v>
      </x:c>
      <x:c r="P68" s="1526" t="n">
        <x:v>848</x:v>
      </x:c>
      <x:c r="Q68" s="1526" t="n">
        <x:v>779</x:v>
      </x:c>
      <x:c r="R68" s="1526" t="n">
        <x:v>754</x:v>
      </x:c>
      <x:c r="S68" s="1528" t="n">
        <x:v>0.08</x:v>
      </x:c>
      <x:c r="T68" s="1524" t="str">
        <x:v>NIE</x:v>
      </x:c>
      <x:c r="U68" s="1524" t="str">
        <x:v>net</x:v>
      </x:c>
      <x:c r="V68" s="1524" t="str">
        <x:v>OK</x:v>
      </x:c>
      <x:c r="W68" s="1532" t="str">
        <x:v>Szkło 550/600: nie eksportować / wycena indywidualna</x:v>
      </x:c>
      <x:c r="X68" s="1524" t="str">
        <x:v>OK — pełna zgodność</x:v>
      </x:c>
      <x:c r="Y68" s="1530" t="n">
        <x:v>15</x:v>
      </x:c>
      <x:c r="Z68" s="1530" t="n">
        <x:v>0</x:v>
      </x:c>
      <x:c r="AA68" s="1530" t="n">
        <x:v>0</x:v>
      </x:c>
      <x:c r="AB68" s="1532" t="str">
        <x:v>Szczegóły w arkuszu 22_AUDYT_NETTO_BITRIX</x:v>
      </x:c>
    </x:row>
    <x:row r="69" ht="20" customHeight="1">
      <x:c r="A69" s="1524" t="str">
        <x:v>600 x 1006 cm</x:v>
      </x:c>
      <x:c r="B69" s="1524" t="n">
        <x:v>600</x:v>
      </x:c>
      <x:c r="C69" s="1524" t="n">
        <x:v>1006</x:v>
      </x:c>
      <x:c r="D69" s="1526" t="n">
        <x:v>47306</x:v>
      </x:c>
      <x:c r="E69" s="1526" t="n">
        <x:v>29047</x:v>
      </x:c>
      <x:c r="F69" s="1526" t="n">
        <x:v>32159</x:v>
      </x:c>
      <x:c r="G69" s="1526" t="n">
        <x:v>1227</x:v>
      </x:c>
      <x:c r="H69" s="1526" t="n">
        <x:v>0</x:v>
      </x:c>
      <x:c r="I69" s="1526" t="n">
        <x:v>0</x:v>
      </x:c>
      <x:c r="J69" s="1526" t="n">
        <x:v>5034</x:v>
      </x:c>
      <x:c r="K69" s="1526" t="n">
        <x:v>8146</x:v>
      </x:c>
      <x:c r="L69" s="1526" t="n">
        <x:v>13109</x:v>
      </x:c>
      <x:c r="M69" s="1526" t="n">
        <x:v>4052</x:v>
      </x:c>
      <x:c r="N69" s="1526" t="n">
        <x:v>1944</x:v>
      </x:c>
      <x:c r="O69" s="1526" t="n">
        <x:v>5070</x:v>
      </x:c>
      <x:c r="P69" s="1526" t="n">
        <x:v>896</x:v>
      </x:c>
      <x:c r="Q69" s="1526" t="n">
        <x:v>813</x:v>
      </x:c>
      <x:c r="R69" s="1526" t="n">
        <x:v>802</x:v>
      </x:c>
      <x:c r="S69" s="1528" t="n">
        <x:v>0.08</x:v>
      </x:c>
      <x:c r="T69" s="1524" t="str">
        <x:v>NIE</x:v>
      </x:c>
      <x:c r="U69" s="1524" t="str">
        <x:v>net</x:v>
      </x:c>
      <x:c r="V69" s="1524" t="str">
        <x:v>OK</x:v>
      </x:c>
      <x:c r="W69" s="1532" t="str">
        <x:v>Szkło 550/600: nie eksportować / wycena indywidualna</x:v>
      </x:c>
      <x:c r="X69" s="1524" t="str">
        <x:v>OK — pełna zgodność</x:v>
      </x:c>
      <x:c r="Y69" s="1530" t="n">
        <x:v>15</x:v>
      </x:c>
      <x:c r="Z69" s="1530" t="n">
        <x:v>0</x:v>
      </x:c>
      <x:c r="AA69" s="1530" t="n">
        <x:v>0</x:v>
      </x:c>
      <x:c r="AB69" s="1532" t="str">
        <x:v>Szczegóły w arkuszu 22_AUDYT_NETTO_BITRIX</x:v>
      </x:c>
    </x:row>
    <x:row r="70" ht="20" customHeight="1">
      <x:c r="A70" s="1524" t="str">
        <x:v>600 x 1106 cm</x:v>
      </x:c>
      <x:c r="B70" s="1524" t="n">
        <x:v>600</x:v>
      </x:c>
      <x:c r="C70" s="1524" t="n">
        <x:v>1106</x:v>
      </x:c>
      <x:c r="D70" s="1526" t="n">
        <x:v>51451</x:v>
      </x:c>
      <x:c r="E70" s="1526" t="n">
        <x:v>29175</x:v>
      </x:c>
      <x:c r="F70" s="1526" t="n">
        <x:v>32429</x:v>
      </x:c>
      <x:c r="G70" s="1526" t="n">
        <x:v>1356</x:v>
      </x:c>
      <x:c r="H70" s="1526" t="n">
        <x:v>0</x:v>
      </x:c>
      <x:c r="I70" s="1526" t="n">
        <x:v>0</x:v>
      </x:c>
      <x:c r="J70" s="1526" t="n">
        <x:v>5034</x:v>
      </x:c>
      <x:c r="K70" s="1526" t="n">
        <x:v>8748</x:v>
      </x:c>
      <x:c r="L70" s="1526" t="n">
        <x:v>16198</x:v>
      </x:c>
      <x:c r="M70" s="1526" t="n">
        <x:v>4601</x:v>
      </x:c>
      <x:c r="N70" s="1526" t="n">
        <x:v>2087</x:v>
      </x:c>
      <x:c r="O70" s="1526" t="n">
        <x:v>5462</x:v>
      </x:c>
      <x:c r="P70" s="1526" t="n">
        <x:v>943</x:v>
      </x:c>
      <x:c r="Q70" s="1526" t="n">
        <x:v>848</x:v>
      </x:c>
      <x:c r="R70" s="1526" t="n">
        <x:v>848</x:v>
      </x:c>
      <x:c r="S70" s="1528" t="n">
        <x:v>0.08</x:v>
      </x:c>
      <x:c r="T70" s="1524" t="str">
        <x:v>NIE</x:v>
      </x:c>
      <x:c r="U70" s="1524" t="str">
        <x:v>net</x:v>
      </x:c>
      <x:c r="V70" s="1524" t="str">
        <x:v>OK</x:v>
      </x:c>
      <x:c r="W70" s="1532" t="str">
        <x:v>Szkło 550/600: nie eksportować / wycena indywidualna</x:v>
      </x:c>
      <x:c r="X70" s="1524" t="str">
        <x:v>OK — tylko zaokrąglenia ±1 zł</x:v>
      </x:c>
      <x:c r="Y70" s="1530" t="n">
        <x:v>14</x:v>
      </x:c>
      <x:c r="Z70" s="1530" t="n">
        <x:v>1</x:v>
      </x:c>
      <x:c r="AA70" s="1530" t="n">
        <x:v>0</x:v>
      </x:c>
      <x:c r="AB70" s="1532" t="str">
        <x:v>Szczegóły w arkuszu 22_AUDYT_NETTO_BITRIX</x:v>
      </x:c>
    </x:row>
    <x:row r="71" ht="20" customHeight="1">
      <x:c r="A71" s="1524" t="str">
        <x:v>600 x 1206 cm</x:v>
      </x:c>
      <x:c r="B71" s="1524" t="n">
        <x:v>600</x:v>
      </x:c>
      <x:c r="C71" s="1524" t="n">
        <x:v>1206</x:v>
      </x:c>
      <x:c r="D71" s="1526" t="n">
        <x:v>55610</x:v>
      </x:c>
      <x:c r="E71" s="1526" t="n">
        <x:v>30169</x:v>
      </x:c>
      <x:c r="F71" s="1526" t="n">
        <x:v>33563</x:v>
      </x:c>
      <x:c r="G71" s="1526" t="n">
        <x:v>1473</x:v>
      </x:c>
      <x:c r="H71" s="1526" t="n">
        <x:v>0</x:v>
      </x:c>
      <x:c r="I71" s="1526" t="n">
        <x:v>0</x:v>
      </x:c>
      <x:c r="J71" s="1526" t="n">
        <x:v>5034</x:v>
      </x:c>
      <x:c r="K71" s="1526" t="n">
        <x:v>9337</x:v>
      </x:c>
      <x:c r="L71" s="1526" t="n">
        <x:v>16516</x:v>
      </x:c>
      <x:c r="M71" s="1526" t="n">
        <x:v>5160</x:v>
      </x:c>
      <x:c r="N71" s="1526" t="n">
        <x:v>2240</x:v>
      </x:c>
      <x:c r="O71" s="1526" t="n">
        <x:v>5837</x:v>
      </x:c>
      <x:c r="P71" s="1526" t="n">
        <x:v>990</x:v>
      </x:c>
      <x:c r="Q71" s="1526" t="n">
        <x:v>896</x:v>
      </x:c>
      <x:c r="R71" s="1526" t="n">
        <x:v>896</x:v>
      </x:c>
      <x:c r="S71" s="1528" t="n">
        <x:v>0.08</x:v>
      </x:c>
      <x:c r="T71" s="1524" t="str">
        <x:v>NIE</x:v>
      </x:c>
      <x:c r="U71" s="1524" t="str">
        <x:v>net</x:v>
      </x:c>
      <x:c r="V71" s="1524" t="str">
        <x:v>OK</x:v>
      </x:c>
      <x:c r="W71" s="1532" t="str">
        <x:v>Szkło 550/600: nie eksportować / wycena indywidualna</x:v>
      </x:c>
      <x:c r="X71" s="1524" t="str">
        <x:v>OK — tylko zaokrąglenia ±1 zł</x:v>
      </x:c>
      <x:c r="Y71" s="1530" t="n">
        <x:v>14</x:v>
      </x:c>
      <x:c r="Z71" s="1530" t="n">
        <x:v>1</x:v>
      </x:c>
      <x:c r="AA71" s="1530" t="n">
        <x:v>0</x:v>
      </x:c>
      <x:c r="AB71" s="1532" t="str">
        <x:v>Szczegóły w arkuszu 22_AUDYT_NETTO_BITRIX</x:v>
      </x:c>
    </x:row>
  </x:sheetData>
  <x:conditionalFormatting sqref="X2:X71">
    <x:cfRule type="expression" dxfId="66" priority="1">
      <x:formula>LEFT(X2,8)="SPRAWDŹ"</x:formula>
    </x:cfRule>
    <x:cfRule type="expression" dxfId="67" priority="2">
      <x:formula>ISNUMBER(SEARCH("zaokrąglenia",X2))</x:formula>
    </x:cfRule>
    <x:cfRule type="expression" dxfId="68" priority="3">
      <x:formula>X2="OK — pełna zgodność"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640791b0304d06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8" hidden="0" customWidth="1"/>
    <x:col min="10" max="10" width="48" hidden="0" customWidth="1"/>
  </x:cols>
  <x:sheetData>
    <x:row r="1" ht="38" customHeight="1">
      <x:c r="A1" s="1518" t="str">
        <x:v>dimension</x:v>
      </x:c>
      <x:c r="B1" s="1518" t="str">
        <x:v>field</x:v>
      </x:c>
      <x:c r="C1" s="1518" t="str">
        <x:v>net_price</x:v>
      </x:c>
      <x:c r="D1" s="1518" t="str">
        <x:v>old_gross_8</x:v>
      </x:c>
      <x:c r="E1" s="1518" t="str">
        <x:v>new_gross_8_exact</x:v>
      </x:c>
      <x:c r="F1" s="1518" t="str">
        <x:v>new_gross_8_rounded</x:v>
      </x:c>
      <x:c r="G1" s="1518" t="str">
        <x:v>difference_rounded_zl</x:v>
      </x:c>
      <x:c r="H1" s="1518" t="str">
        <x:v>abs_difference_zl</x:v>
      </x:c>
      <x:c r="I1" s="1518" t="str">
        <x:v>classification</x:v>
      </x:c>
      <x:c r="J1" s="1518" t="str">
        <x:v>note</x:v>
      </x:c>
    </x:row>
    <x:row r="2" ht="19" customHeight="1">
      <x:c r="A2" t="str">
        <x:v>300 x 306 cm</x:v>
      </x:c>
      <x:c r="B2" t="str">
        <x:v>base_poly</x:v>
      </x:c>
      <x:c r="C2" s="1533" t="n">
        <x:v>7419</x:v>
      </x:c>
      <x:c r="D2" s="1533" t="n">
        <x:v>8013</x:v>
      </x:c>
      <x:c r="E2" s="1533" t="n">
        <x:v>8012.52</x:v>
      </x:c>
      <x:c r="F2" s="1533" t="n">
        <x:v>8013</x:v>
      </x:c>
      <x:c r="G2" s="1535" t="n">
        <x:v>0</x:v>
      </x:c>
      <x:c r="H2" s="1535" t="n">
        <x:v>0</x:v>
      </x:c>
      <x:c r="I2" t="str">
        <x:v>OK — pełna zgodność</x:v>
      </x:c>
      <x:c r="J2" s="1537" t="str"/>
    </x:row>
    <x:row r="3" ht="19" customHeight="1">
      <x:c r="A3" t="str">
        <x:v>300 x 306 cm</x:v>
      </x:c>
      <x:c r="B3" t="str">
        <x:v>walls_clear</x:v>
      </x:c>
      <x:c r="C3" s="1533" t="n">
        <x:v>12545</x:v>
      </x:c>
      <x:c r="D3" s="1533" t="n">
        <x:v>13549</x:v>
      </x:c>
      <x:c r="E3" s="1533" t="n">
        <x:v>13548.6</x:v>
      </x:c>
      <x:c r="F3" s="1533" t="n">
        <x:v>13549</x:v>
      </x:c>
      <x:c r="G3" s="1535" t="n">
        <x:v>0</x:v>
      </x:c>
      <x:c r="H3" s="1535" t="n">
        <x:v>0</x:v>
      </x:c>
      <x:c r="I3" t="str">
        <x:v>OK — pełna zgodność</x:v>
      </x:c>
      <x:c r="J3" s="1537" t="str"/>
    </x:row>
    <x:row r="4" ht="19" customHeight="1">
      <x:c r="A4" t="str">
        <x:v>300 x 306 cm</x:v>
      </x:c>
      <x:c r="B4" t="str">
        <x:v>walls_tinted</x:v>
      </x:c>
      <x:c r="C4" s="1533" t="n">
        <x:v>13818</x:v>
      </x:c>
      <x:c r="D4" s="1533" t="n">
        <x:v>14924</x:v>
      </x:c>
      <x:c r="E4" s="1533" t="n">
        <x:v>14923.44</x:v>
      </x:c>
      <x:c r="F4" s="1533" t="n">
        <x:v>14923</x:v>
      </x:c>
      <x:c r="G4" s="1535" t="n">
        <x:v>-1</x:v>
      </x:c>
      <x:c r="H4" s="1535" t="n">
        <x:v>1</x:v>
      </x:c>
      <x:c r="I4" t="str">
        <x:v>OK — zaokrąglenie ±1 zł</x:v>
      </x:c>
      <x:c r="J4" s="1537" t="str">
        <x:v>Pozycja złożona; stary eksport mógł zaokrąglać składniki osobno.</x:v>
      </x:c>
    </x:row>
    <x:row r="5" ht="19" customHeight="1">
      <x:c r="A5" t="str">
        <x:v>300 x 306 cm</x:v>
      </x:c>
      <x:c r="B5" t="str">
        <x:v>roof_poly_colored</x:v>
      </x:c>
      <x:c r="C5" s="1533" t="n">
        <x:v>142</x:v>
      </x:c>
      <x:c r="D5" s="1533" t="n">
        <x:v>153</x:v>
      </x:c>
      <x:c r="E5" s="1533" t="n">
        <x:v>153.36</x:v>
      </x:c>
      <x:c r="F5" s="1533" t="n">
        <x:v>153</x:v>
      </x:c>
      <x:c r="G5" s="1535" t="n">
        <x:v>0</x:v>
      </x:c>
      <x:c r="H5" s="1535" t="n">
        <x:v>0</x:v>
      </x:c>
      <x:c r="I5" t="str">
        <x:v>OK — pełna zgodność</x:v>
      </x:c>
      <x:c r="J5" s="1537" t="str"/>
    </x:row>
    <x:row r="6" ht="19" customHeight="1">
      <x:c r="A6" t="str">
        <x:v>300 x 306 cm</x:v>
      </x:c>
      <x:c r="B6" t="str">
        <x:v>roof_glass_clear</x:v>
      </x:c>
      <x:c r="C6" s="1533" t="n">
        <x:v>1944</x:v>
      </x:c>
      <x:c r="D6" s="1533" t="n">
        <x:v>2100</x:v>
      </x:c>
      <x:c r="E6" s="1533" t="n">
        <x:v>2099.52</x:v>
      </x:c>
      <x:c r="F6" s="1533" t="n">
        <x:v>2100</x:v>
      </x:c>
      <x:c r="G6" s="1535" t="n">
        <x:v>0</x:v>
      </x:c>
      <x:c r="H6" s="1535" t="n">
        <x:v>0</x:v>
      </x:c>
      <x:c r="I6" t="str">
        <x:v>OK — pełna zgodność</x:v>
      </x:c>
      <x:c r="J6" s="1537" t="str"/>
    </x:row>
    <x:row r="7" ht="19" customHeight="1">
      <x:c r="A7" t="str">
        <x:v>300 x 306 cm</x:v>
      </x:c>
      <x:c r="B7" t="str">
        <x:v>roof_glass_tinted</x:v>
      </x:c>
      <x:c r="C7" s="1533" t="n">
        <x:v>2344</x:v>
      </x:c>
      <x:c r="D7" s="1533" t="n">
        <x:v>2532</x:v>
      </x:c>
      <x:c r="E7" s="1533" t="n">
        <x:v>2531.52</x:v>
      </x:c>
      <x:c r="F7" s="1533" t="n">
        <x:v>2532</x:v>
      </x:c>
      <x:c r="G7" s="1535" t="n">
        <x:v>0</x:v>
      </x:c>
      <x:c r="H7" s="1535" t="n">
        <x:v>0</x:v>
      </x:c>
      <x:c r="I7" t="str">
        <x:v>OK — pełna zgodność</x:v>
      </x:c>
      <x:c r="J7" s="1537" t="str">
        <x:v>Pozycja złożona; stary eksport mógł zaokrąglać składniki osobno.</x:v>
      </x:c>
    </x:row>
    <x:row r="8" ht="19" customHeight="1">
      <x:c r="A8" t="str">
        <x:v>300 x 306 cm</x:v>
      </x:c>
      <x:c r="B8" t="str">
        <x:v>zip_side</x:v>
      </x:c>
      <x:c r="C8" s="1533" t="n">
        <x:v>2523</x:v>
      </x:c>
      <x:c r="D8" s="1533" t="n">
        <x:v>2725</x:v>
      </x:c>
      <x:c r="E8" s="1533" t="n">
        <x:v>2724.84</x:v>
      </x:c>
      <x:c r="F8" s="1533" t="n">
        <x:v>2725</x:v>
      </x:c>
      <x:c r="G8" s="1535" t="n">
        <x:v>0</x:v>
      </x:c>
      <x:c r="H8" s="1535" t="n">
        <x:v>0</x:v>
      </x:c>
      <x:c r="I8" t="str">
        <x:v>OK — pełna zgodność</x:v>
      </x:c>
      <x:c r="J8" s="1537" t="str"/>
    </x:row>
    <x:row r="9" ht="19" customHeight="1">
      <x:c r="A9" t="str">
        <x:v>300 x 306 cm</x:v>
      </x:c>
      <x:c r="B9" t="str">
        <x:v>zip_front</x:v>
      </x:c>
      <x:c r="C9" s="1533" t="n">
        <x:v>2523</x:v>
      </x:c>
      <x:c r="D9" s="1533" t="n">
        <x:v>2725</x:v>
      </x:c>
      <x:c r="E9" s="1533" t="n">
        <x:v>2724.84</x:v>
      </x:c>
      <x:c r="F9" s="1533" t="n">
        <x:v>2725</x:v>
      </x:c>
      <x:c r="G9" s="1535" t="n">
        <x:v>0</x:v>
      </x:c>
      <x:c r="H9" s="1535" t="n">
        <x:v>0</x:v>
      </x:c>
      <x:c r="I9" t="str">
        <x:v>OK — pełna zgodność</x:v>
      </x:c>
      <x:c r="J9" s="1537" t="str"/>
    </x:row>
    <x:row r="10" ht="19" customHeight="1">
      <x:c r="A10" t="str">
        <x:v>300 x 306 cm</x:v>
      </x:c>
      <x:c r="B10" t="str">
        <x:v>awning</x:v>
      </x:c>
      <x:c r="C10" s="1533" t="n">
        <x:v>4598</x:v>
      </x:c>
      <x:c r="D10" s="1533" t="n">
        <x:v>4966</x:v>
      </x:c>
      <x:c r="E10" s="1533" t="n">
        <x:v>4965.84</x:v>
      </x:c>
      <x:c r="F10" s="1533" t="n">
        <x:v>4966</x:v>
      </x:c>
      <x:c r="G10" s="1535" t="n">
        <x:v>0</x:v>
      </x:c>
      <x:c r="H10" s="1535" t="n">
        <x:v>0</x:v>
      </x:c>
      <x:c r="I10" t="str">
        <x:v>OK — pełna zgodność</x:v>
      </x:c>
      <x:c r="J10" s="1537" t="str"/>
    </x:row>
    <x:row r="11" ht="19" customHeight="1">
      <x:c r="A11" t="str">
        <x:v>300 x 306 cm</x:v>
      </x:c>
      <x:c r="B11" t="str">
        <x:v>foundation</x:v>
      </x:c>
      <x:c r="C11" s="1533" t="n">
        <x:v>1181</x:v>
      </x:c>
      <x:c r="D11" s="1533" t="n">
        <x:v>1275</x:v>
      </x:c>
      <x:c r="E11" s="1533" t="n">
        <x:v>1275.48</x:v>
      </x:c>
      <x:c r="F11" s="1533" t="n">
        <x:v>1275</x:v>
      </x:c>
      <x:c r="G11" s="1535" t="n">
        <x:v>0</x:v>
      </x:c>
      <x:c r="H11" s="1535" t="n">
        <x:v>0</x:v>
      </x:c>
      <x:c r="I11" t="str">
        <x:v>OK — pełna zgodność</x:v>
      </x:c>
      <x:c r="J11" s="1537" t="str"/>
    </x:row>
    <x:row r="12" ht="19" customHeight="1">
      <x:c r="A12" t="str">
        <x:v>300 x 306 cm</x:v>
      </x:c>
      <x:c r="B12" t="str">
        <x:v>led_point</x:v>
      </x:c>
      <x:c r="C12" s="1533" t="n">
        <x:v>494</x:v>
      </x:c>
      <x:c r="D12" s="1533" t="n">
        <x:v>534</x:v>
      </x:c>
      <x:c r="E12" s="1533" t="n">
        <x:v>533.52</x:v>
      </x:c>
      <x:c r="F12" s="1533" t="n">
        <x:v>534</x:v>
      </x:c>
      <x:c r="G12" s="1535" t="n">
        <x:v>0</x:v>
      </x:c>
      <x:c r="H12" s="1535" t="n">
        <x:v>0</x:v>
      </x:c>
      <x:c r="I12" t="str">
        <x:v>OK — pełna zgodność</x:v>
      </x:c>
      <x:c r="J12" s="1537" t="str"/>
    </x:row>
    <x:row r="13" ht="19" customHeight="1">
      <x:c r="A13" t="str">
        <x:v>300 x 306 cm</x:v>
      </x:c>
      <x:c r="B13" t="str">
        <x:v>led_cct</x:v>
      </x:c>
      <x:c r="C13" s="1533" t="n">
        <x:v>1146</x:v>
      </x:c>
      <x:c r="D13" s="1533" t="n">
        <x:v>1238</x:v>
      </x:c>
      <x:c r="E13" s="1533" t="n">
        <x:v>1237.68</x:v>
      </x:c>
      <x:c r="F13" s="1533" t="n">
        <x:v>1238</x:v>
      </x:c>
      <x:c r="G13" s="1535" t="n">
        <x:v>0</x:v>
      </x:c>
      <x:c r="H13" s="1535" t="n">
        <x:v>0</x:v>
      </x:c>
      <x:c r="I13" t="str">
        <x:v>OK — pełna zgodność</x:v>
      </x:c>
      <x:c r="J13" s="1537" t="str"/>
    </x:row>
    <x:row r="14" ht="19" customHeight="1">
      <x:c r="A14" t="str">
        <x:v>300 x 306 cm</x:v>
      </x:c>
      <x:c r="B14" t="str">
        <x:v>brushes</x:v>
      </x:c>
      <x:c r="C14" s="1533" t="n">
        <x:v>400</x:v>
      </x:c>
      <x:c r="D14" s="1533" t="n">
        <x:v>432</x:v>
      </x:c>
      <x:c r="E14" s="1533" t="n">
        <x:v>432</x:v>
      </x:c>
      <x:c r="F14" s="1533" t="n">
        <x:v>432</x:v>
      </x:c>
      <x:c r="G14" s="1535" t="n">
        <x:v>0</x:v>
      </x:c>
      <x:c r="H14" s="1535" t="n">
        <x:v>0</x:v>
      </x:c>
      <x:c r="I14" t="str">
        <x:v>OK — pełna zgodność</x:v>
      </x:c>
      <x:c r="J14" s="1537" t="str"/>
    </x:row>
    <x:row r="15" ht="19" customHeight="1">
      <x:c r="A15" t="str">
        <x:v>300 x 306 cm</x:v>
      </x:c>
      <x:c r="B15" t="str">
        <x:v>handles</x:v>
      </x:c>
      <x:c r="C15" s="1533" t="n">
        <x:v>365</x:v>
      </x:c>
      <x:c r="D15" s="1533" t="n">
        <x:v>394</x:v>
      </x:c>
      <x:c r="E15" s="1533" t="n">
        <x:v>394.2</x:v>
      </x:c>
      <x:c r="F15" s="1533" t="n">
        <x:v>394</x:v>
      </x:c>
      <x:c r="G15" s="1535" t="n">
        <x:v>0</x:v>
      </x:c>
      <x:c r="H15" s="1535" t="n">
        <x:v>0</x:v>
      </x:c>
      <x:c r="I15" t="str">
        <x:v>OK — pełna zgodność</x:v>
      </x:c>
      <x:c r="J15" s="1537" t="str"/>
    </x:row>
    <x:row r="16" ht="19" customHeight="1">
      <x:c r="A16" t="str">
        <x:v>300 x 306 cm</x:v>
      </x:c>
      <x:c r="B16" t="str">
        <x:v>carriers</x:v>
      </x:c>
      <x:c r="C16" s="1533" t="n">
        <x:v>283</x:v>
      </x:c>
      <x:c r="D16" s="1533" t="n">
        <x:v>306</x:v>
      </x:c>
      <x:c r="E16" s="1533" t="n">
        <x:v>305.64</x:v>
      </x:c>
      <x:c r="F16" s="1533" t="n">
        <x:v>306</x:v>
      </x:c>
      <x:c r="G16" s="1535" t="n">
        <x:v>0</x:v>
      </x:c>
      <x:c r="H16" s="1535" t="n">
        <x:v>0</x:v>
      </x:c>
      <x:c r="I16" t="str">
        <x:v>OK — pełna zgodność</x:v>
      </x:c>
      <x:c r="J16" s="1537" t="str"/>
    </x:row>
    <x:row r="17" ht="19" customHeight="1">
      <x:c r="A17" t="str">
        <x:v>300 x 406 cm</x:v>
      </x:c>
      <x:c r="B17" t="str">
        <x:v>base_poly</x:v>
      </x:c>
      <x:c r="C17" s="1533" t="n">
        <x:v>9073</x:v>
      </x:c>
      <x:c r="D17" s="1533" t="n">
        <x:v>9799</x:v>
      </x:c>
      <x:c r="E17" s="1533" t="n">
        <x:v>9798.84</x:v>
      </x:c>
      <x:c r="F17" s="1533" t="n">
        <x:v>9799</x:v>
      </x:c>
      <x:c r="G17" s="1535" t="n">
        <x:v>0</x:v>
      </x:c>
      <x:c r="H17" s="1535" t="n">
        <x:v>0</x:v>
      </x:c>
      <x:c r="I17" t="str">
        <x:v>OK — pełna zgodność</x:v>
      </x:c>
      <x:c r="J17" s="1537" t="str"/>
    </x:row>
    <x:row r="18" ht="19" customHeight="1">
      <x:c r="A18" t="str">
        <x:v>300 x 406 cm</x:v>
      </x:c>
      <x:c r="B18" t="str">
        <x:v>walls_clear</x:v>
      </x:c>
      <x:c r="C18" s="1533" t="n">
        <x:v>13548</x:v>
      </x:c>
      <x:c r="D18" s="1533" t="n">
        <x:v>14632</x:v>
      </x:c>
      <x:c r="E18" s="1533" t="n">
        <x:v>14631.84</x:v>
      </x:c>
      <x:c r="F18" s="1533" t="n">
        <x:v>14632</x:v>
      </x:c>
      <x:c r="G18" s="1535" t="n">
        <x:v>0</x:v>
      </x:c>
      <x:c r="H18" s="1535" t="n">
        <x:v>0</x:v>
      </x:c>
      <x:c r="I18" t="str">
        <x:v>OK — pełna zgodność</x:v>
      </x:c>
      <x:c r="J18" s="1537" t="str"/>
    </x:row>
    <x:row r="19" ht="19" customHeight="1">
      <x:c r="A19" t="str">
        <x:v>300 x 406 cm</x:v>
      </x:c>
      <x:c r="B19" t="str">
        <x:v>walls_tinted</x:v>
      </x:c>
      <x:c r="C19" s="1533" t="n">
        <x:v>14963</x:v>
      </x:c>
      <x:c r="D19" s="1533" t="n">
        <x:v>16160</x:v>
      </x:c>
      <x:c r="E19" s="1533" t="n">
        <x:v>16160.04</x:v>
      </x:c>
      <x:c r="F19" s="1533" t="n">
        <x:v>16160</x:v>
      </x:c>
      <x:c r="G19" s="1535" t="n">
        <x:v>0</x:v>
      </x:c>
      <x:c r="H19" s="1535" t="n">
        <x:v>0</x:v>
      </x:c>
      <x:c r="I19" t="str">
        <x:v>OK — pełna zgodność</x:v>
      </x:c>
      <x:c r="J19" s="1537" t="str">
        <x:v>Pozycja złożona; stary eksport mógł zaokrąglać składniki osobno.</x:v>
      </x:c>
    </x:row>
    <x:row r="20" ht="19" customHeight="1">
      <x:c r="A20" t="str">
        <x:v>300 x 406 cm</x:v>
      </x:c>
      <x:c r="B20" t="str">
        <x:v>roof_poly_colored</x:v>
      </x:c>
      <x:c r="C20" s="1533" t="n">
        <x:v>218</x:v>
      </x:c>
      <x:c r="D20" s="1533" t="n">
        <x:v>235</x:v>
      </x:c>
      <x:c r="E20" s="1533" t="n">
        <x:v>235.44</x:v>
      </x:c>
      <x:c r="F20" s="1533" t="n">
        <x:v>235</x:v>
      </x:c>
      <x:c r="G20" s="1535" t="n">
        <x:v>0</x:v>
      </x:c>
      <x:c r="H20" s="1535" t="n">
        <x:v>0</x:v>
      </x:c>
      <x:c r="I20" t="str">
        <x:v>OK — pełna zgodność</x:v>
      </x:c>
      <x:c r="J20" s="1537" t="str"/>
    </x:row>
    <x:row r="21" ht="19" customHeight="1">
      <x:c r="A21" t="str">
        <x:v>300 x 406 cm</x:v>
      </x:c>
      <x:c r="B21" t="str">
        <x:v>roof_glass_clear</x:v>
      </x:c>
      <x:c r="C21" s="1533" t="n">
        <x:v>2652</x:v>
      </x:c>
      <x:c r="D21" s="1533" t="n">
        <x:v>2864</x:v>
      </x:c>
      <x:c r="E21" s="1533" t="n">
        <x:v>2864.16</x:v>
      </x:c>
      <x:c r="F21" s="1533" t="n">
        <x:v>2864</x:v>
      </x:c>
      <x:c r="G21" s="1535" t="n">
        <x:v>0</x:v>
      </x:c>
      <x:c r="H21" s="1535" t="n">
        <x:v>0</x:v>
      </x:c>
      <x:c r="I21" t="str">
        <x:v>OK — pełna zgodność</x:v>
      </x:c>
      <x:c r="J21" s="1537" t="str"/>
    </x:row>
    <x:row r="22" ht="19" customHeight="1">
      <x:c r="A22" t="str">
        <x:v>300 x 406 cm</x:v>
      </x:c>
      <x:c r="B22" t="str">
        <x:v>roof_glass_tinted</x:v>
      </x:c>
      <x:c r="C22" s="1533" t="n">
        <x:v>3183</x:v>
      </x:c>
      <x:c r="D22" s="1533" t="n">
        <x:v>3437</x:v>
      </x:c>
      <x:c r="E22" s="1533" t="n">
        <x:v>3437.64</x:v>
      </x:c>
      <x:c r="F22" s="1533" t="n">
        <x:v>3438</x:v>
      </x:c>
      <x:c r="G22" s="1535" t="n">
        <x:v>1</x:v>
      </x:c>
      <x:c r="H22" s="1535" t="n">
        <x:v>1</x:v>
      </x:c>
      <x:c r="I22" t="str">
        <x:v>OK — zaokrąglenie ±1 zł</x:v>
      </x:c>
      <x:c r="J22" s="1537" t="str">
        <x:v>Pozycja złożona; stary eksport mógł zaokrąglać składniki osobno.</x:v>
      </x:c>
    </x:row>
    <x:row r="23" ht="19" customHeight="1">
      <x:c r="A23" t="str">
        <x:v>300 x 406 cm</x:v>
      </x:c>
      <x:c r="B23" t="str">
        <x:v>zip_side</x:v>
      </x:c>
      <x:c r="C23" s="1533" t="n">
        <x:v>2523</x:v>
      </x:c>
      <x:c r="D23" s="1533" t="n">
        <x:v>2725</x:v>
      </x:c>
      <x:c r="E23" s="1533" t="n">
        <x:v>2724.84</x:v>
      </x:c>
      <x:c r="F23" s="1533" t="n">
        <x:v>2725</x:v>
      </x:c>
      <x:c r="G23" s="1535" t="n">
        <x:v>0</x:v>
      </x:c>
      <x:c r="H23" s="1535" t="n">
        <x:v>0</x:v>
      </x:c>
      <x:c r="I23" t="str">
        <x:v>OK — pełna zgodność</x:v>
      </x:c>
      <x:c r="J23" s="1537" t="str"/>
    </x:row>
    <x:row r="24" ht="19" customHeight="1">
      <x:c r="A24" t="str">
        <x:v>300 x 406 cm</x:v>
      </x:c>
      <x:c r="B24" t="str">
        <x:v>zip_front</x:v>
      </x:c>
      <x:c r="C24" s="1533" t="n">
        <x:v>3112</x:v>
      </x:c>
      <x:c r="D24" s="1533" t="n">
        <x:v>3361</x:v>
      </x:c>
      <x:c r="E24" s="1533" t="n">
        <x:v>3360.96</x:v>
      </x:c>
      <x:c r="F24" s="1533" t="n">
        <x:v>3361</x:v>
      </x:c>
      <x:c r="G24" s="1535" t="n">
        <x:v>0</x:v>
      </x:c>
      <x:c r="H24" s="1535" t="n">
        <x:v>0</x:v>
      </x:c>
      <x:c r="I24" t="str">
        <x:v>OK — pełna zgodność</x:v>
      </x:c>
      <x:c r="J24" s="1537" t="str"/>
    </x:row>
    <x:row r="25" ht="19" customHeight="1">
      <x:c r="A25" t="str">
        <x:v>300 x 406 cm</x:v>
      </x:c>
      <x:c r="B25" t="str">
        <x:v>awning</x:v>
      </x:c>
      <x:c r="C25" s="1533" t="n">
        <x:v>5069</x:v>
      </x:c>
      <x:c r="D25" s="1533" t="n">
        <x:v>5475</x:v>
      </x:c>
      <x:c r="E25" s="1533" t="n">
        <x:v>5474.52</x:v>
      </x:c>
      <x:c r="F25" s="1533" t="n">
        <x:v>5475</x:v>
      </x:c>
      <x:c r="G25" s="1535" t="n">
        <x:v>0</x:v>
      </x:c>
      <x:c r="H25" s="1535" t="n">
        <x:v>0</x:v>
      </x:c>
      <x:c r="I25" t="str">
        <x:v>OK — pełna zgodność</x:v>
      </x:c>
      <x:c r="J25" s="1537" t="str"/>
    </x:row>
    <x:row r="26" ht="19" customHeight="1">
      <x:c r="A26" t="str">
        <x:v>300 x 406 cm</x:v>
      </x:c>
      <x:c r="B26" t="str">
        <x:v>foundation</x:v>
      </x:c>
      <x:c r="C26" s="1533" t="n">
        <x:v>1377</x:v>
      </x:c>
      <x:c r="D26" s="1533" t="n">
        <x:v>1487</x:v>
      </x:c>
      <x:c r="E26" s="1533" t="n">
        <x:v>1487.16</x:v>
      </x:c>
      <x:c r="F26" s="1533" t="n">
        <x:v>1487</x:v>
      </x:c>
      <x:c r="G26" s="1535" t="n">
        <x:v>0</x:v>
      </x:c>
      <x:c r="H26" s="1535" t="n">
        <x:v>0</x:v>
      </x:c>
      <x:c r="I26" t="str">
        <x:v>OK — pełna zgodność</x:v>
      </x:c>
      <x:c r="J26" s="1537" t="str"/>
    </x:row>
    <x:row r="27" ht="19" customHeight="1">
      <x:c r="A27" t="str">
        <x:v>300 x 406 cm</x:v>
      </x:c>
      <x:c r="B27" t="str">
        <x:v>led_point</x:v>
      </x:c>
      <x:c r="C27" s="1533" t="n">
        <x:v>602</x:v>
      </x:c>
      <x:c r="D27" s="1533" t="n">
        <x:v>650</x:v>
      </x:c>
      <x:c r="E27" s="1533" t="n">
        <x:v>650.16</x:v>
      </x:c>
      <x:c r="F27" s="1533" t="n">
        <x:v>650</x:v>
      </x:c>
      <x:c r="G27" s="1535" t="n">
        <x:v>0</x:v>
      </x:c>
      <x:c r="H27" s="1535" t="n">
        <x:v>0</x:v>
      </x:c>
      <x:c r="I27" t="str">
        <x:v>OK — pełna zgodność</x:v>
      </x:c>
      <x:c r="J27" s="1537" t="str"/>
    </x:row>
    <x:row r="28" ht="19" customHeight="1">
      <x:c r="A28" t="str">
        <x:v>300 x 406 cm</x:v>
      </x:c>
      <x:c r="B28" t="str">
        <x:v>led_cct</x:v>
      </x:c>
      <x:c r="C28" s="1533" t="n">
        <x:v>1334</x:v>
      </x:c>
      <x:c r="D28" s="1533" t="n">
        <x:v>1441</x:v>
      </x:c>
      <x:c r="E28" s="1533" t="n">
        <x:v>1440.72</x:v>
      </x:c>
      <x:c r="F28" s="1533" t="n">
        <x:v>1441</x:v>
      </x:c>
      <x:c r="G28" s="1535" t="n">
        <x:v>0</x:v>
      </x:c>
      <x:c r="H28" s="1535" t="n">
        <x:v>0</x:v>
      </x:c>
      <x:c r="I28" t="str">
        <x:v>OK — pełna zgodność</x:v>
      </x:c>
      <x:c r="J28" s="1537" t="str"/>
    </x:row>
    <x:row r="29" ht="19" customHeight="1">
      <x:c r="A29" t="str">
        <x:v>300 x 406 cm</x:v>
      </x:c>
      <x:c r="B29" t="str">
        <x:v>brushes</x:v>
      </x:c>
      <x:c r="C29" s="1533" t="n">
        <x:v>448</x:v>
      </x:c>
      <x:c r="D29" s="1533" t="n">
        <x:v>484</x:v>
      </x:c>
      <x:c r="E29" s="1533" t="n">
        <x:v>483.84</x:v>
      </x:c>
      <x:c r="F29" s="1533" t="n">
        <x:v>484</x:v>
      </x:c>
      <x:c r="G29" s="1535" t="n">
        <x:v>0</x:v>
      </x:c>
      <x:c r="H29" s="1535" t="n">
        <x:v>0</x:v>
      </x:c>
      <x:c r="I29" t="str">
        <x:v>OK — pełna zgodność</x:v>
      </x:c>
      <x:c r="J29" s="1537" t="str"/>
    </x:row>
    <x:row r="30" ht="19" customHeight="1">
      <x:c r="A30" t="str">
        <x:v>300 x 406 cm</x:v>
      </x:c>
      <x:c r="B30" t="str">
        <x:v>handles</x:v>
      </x:c>
      <x:c r="C30" s="1533" t="n">
        <x:v>400</x:v>
      </x:c>
      <x:c r="D30" s="1533" t="n">
        <x:v>432</x:v>
      </x:c>
      <x:c r="E30" s="1533" t="n">
        <x:v>432</x:v>
      </x:c>
      <x:c r="F30" s="1533" t="n">
        <x:v>432</x:v>
      </x:c>
      <x:c r="G30" s="1535" t="n">
        <x:v>0</x:v>
      </x:c>
      <x:c r="H30" s="1535" t="n">
        <x:v>0</x:v>
      </x:c>
      <x:c r="I30" t="str">
        <x:v>OK — pełna zgodność</x:v>
      </x:c>
      <x:c r="J30" s="1537" t="str"/>
    </x:row>
    <x:row r="31" ht="19" customHeight="1">
      <x:c r="A31" t="str">
        <x:v>300 x 406 cm</x:v>
      </x:c>
      <x:c r="B31" t="str">
        <x:v>carriers</x:v>
      </x:c>
      <x:c r="C31" s="1533" t="n">
        <x:v>331</x:v>
      </x:c>
      <x:c r="D31" s="1533" t="n">
        <x:v>357</x:v>
      </x:c>
      <x:c r="E31" s="1533" t="n">
        <x:v>357.48</x:v>
      </x:c>
      <x:c r="F31" s="1533" t="n">
        <x:v>357</x:v>
      </x:c>
      <x:c r="G31" s="1535" t="n">
        <x:v>0</x:v>
      </x:c>
      <x:c r="H31" s="1535" t="n">
        <x:v>0</x:v>
      </x:c>
      <x:c r="I31" t="str">
        <x:v>OK — pełna zgodność</x:v>
      </x:c>
      <x:c r="J31" s="1537" t="str"/>
    </x:row>
    <x:row r="32" ht="19" customHeight="1">
      <x:c r="A32" t="str">
        <x:v>300 x 506 cm</x:v>
      </x:c>
      <x:c r="B32" t="str">
        <x:v>base_poly</x:v>
      </x:c>
      <x:c r="C32" s="1533" t="n">
        <x:v>10838</x:v>
      </x:c>
      <x:c r="D32" s="1533" t="n">
        <x:v>11705</x:v>
      </x:c>
      <x:c r="E32" s="1533" t="n">
        <x:v>11705.04</x:v>
      </x:c>
      <x:c r="F32" s="1533" t="n">
        <x:v>11705</x:v>
      </x:c>
      <x:c r="G32" s="1535" t="n">
        <x:v>0</x:v>
      </x:c>
      <x:c r="H32" s="1535" t="n">
        <x:v>0</x:v>
      </x:c>
      <x:c r="I32" t="str">
        <x:v>OK — pełna zgodność</x:v>
      </x:c>
      <x:c r="J32" s="1537" t="str"/>
    </x:row>
    <x:row r="33" ht="19" customHeight="1">
      <x:c r="A33" t="str">
        <x:v>300 x 506 cm</x:v>
      </x:c>
      <x:c r="B33" t="str">
        <x:v>walls_clear</x:v>
      </x:c>
      <x:c r="C33" s="1533" t="n">
        <x:v>15383</x:v>
      </x:c>
      <x:c r="D33" s="1533" t="n">
        <x:v>16614</x:v>
      </x:c>
      <x:c r="E33" s="1533" t="n">
        <x:v>16613.64</x:v>
      </x:c>
      <x:c r="F33" s="1533" t="n">
        <x:v>16614</x:v>
      </x:c>
      <x:c r="G33" s="1535" t="n">
        <x:v>0</x:v>
      </x:c>
      <x:c r="H33" s="1535" t="n">
        <x:v>0</x:v>
      </x:c>
      <x:c r="I33" t="str">
        <x:v>OK — pełna zgodność</x:v>
      </x:c>
      <x:c r="J33" s="1537" t="str"/>
    </x:row>
    <x:row r="34" ht="19" customHeight="1">
      <x:c r="A34" t="str">
        <x:v>300 x 506 cm</x:v>
      </x:c>
      <x:c r="B34" t="str">
        <x:v>walls_tinted</x:v>
      </x:c>
      <x:c r="C34" s="1533" t="n">
        <x:v>16939</x:v>
      </x:c>
      <x:c r="D34" s="1533" t="n">
        <x:v>18294</x:v>
      </x:c>
      <x:c r="E34" s="1533" t="n">
        <x:v>18294.12</x:v>
      </x:c>
      <x:c r="F34" s="1533" t="n">
        <x:v>18294</x:v>
      </x:c>
      <x:c r="G34" s="1535" t="n">
        <x:v>0</x:v>
      </x:c>
      <x:c r="H34" s="1535" t="n">
        <x:v>0</x:v>
      </x:c>
      <x:c r="I34" t="str">
        <x:v>OK — pełna zgodność</x:v>
      </x:c>
      <x:c r="J34" s="1537" t="str">
        <x:v>Pozycja złożona; stary eksport mógł zaokrąglać składniki osobno.</x:v>
      </x:c>
    </x:row>
    <x:row r="35" ht="19" customHeight="1">
      <x:c r="A35" t="str">
        <x:v>300 x 506 cm</x:v>
      </x:c>
      <x:c r="B35" t="str">
        <x:v>roof_poly_colored</x:v>
      </x:c>
      <x:c r="C35" s="1533" t="n">
        <x:v>294</x:v>
      </x:c>
      <x:c r="D35" s="1533" t="n">
        <x:v>318</x:v>
      </x:c>
      <x:c r="E35" s="1533" t="n">
        <x:v>317.52</x:v>
      </x:c>
      <x:c r="F35" s="1533" t="n">
        <x:v>318</x:v>
      </x:c>
      <x:c r="G35" s="1535" t="n">
        <x:v>0</x:v>
      </x:c>
      <x:c r="H35" s="1535" t="n">
        <x:v>0</x:v>
      </x:c>
      <x:c r="I35" t="str">
        <x:v>OK — pełna zgodność</x:v>
      </x:c>
      <x:c r="J35" s="1537" t="str"/>
    </x:row>
    <x:row r="36" ht="19" customHeight="1">
      <x:c r="A36" t="str">
        <x:v>300 x 506 cm</x:v>
      </x:c>
      <x:c r="B36" t="str">
        <x:v>roof_glass_clear</x:v>
      </x:c>
      <x:c r="C36" s="1533" t="n">
        <x:v>3277</x:v>
      </x:c>
      <x:c r="D36" s="1533" t="n">
        <x:v>3539</x:v>
      </x:c>
      <x:c r="E36" s="1533" t="n">
        <x:v>3539.16</x:v>
      </x:c>
      <x:c r="F36" s="1533" t="n">
        <x:v>3539</x:v>
      </x:c>
      <x:c r="G36" s="1535" t="n">
        <x:v>0</x:v>
      </x:c>
      <x:c r="H36" s="1535" t="n">
        <x:v>0</x:v>
      </x:c>
      <x:c r="I36" t="str">
        <x:v>OK — pełna zgodność</x:v>
      </x:c>
      <x:c r="J36" s="1537" t="str"/>
    </x:row>
    <x:row r="37" ht="19" customHeight="1">
      <x:c r="A37" t="str">
        <x:v>300 x 506 cm</x:v>
      </x:c>
      <x:c r="B37" t="str">
        <x:v>roof_glass_tinted</x:v>
      </x:c>
      <x:c r="C37" s="1533" t="n">
        <x:v>3937</x:v>
      </x:c>
      <x:c r="D37" s="1533" t="n">
        <x:v>4252</x:v>
      </x:c>
      <x:c r="E37" s="1533" t="n">
        <x:v>4251.96</x:v>
      </x:c>
      <x:c r="F37" s="1533" t="n">
        <x:v>4252</x:v>
      </x:c>
      <x:c r="G37" s="1535" t="n">
        <x:v>0</x:v>
      </x:c>
      <x:c r="H37" s="1535" t="n">
        <x:v>0</x:v>
      </x:c>
      <x:c r="I37" t="str">
        <x:v>OK — pełna zgodność</x:v>
      </x:c>
      <x:c r="J37" s="1537" t="str">
        <x:v>Pozycja złożona; stary eksport mógł zaokrąglać składniki osobno.</x:v>
      </x:c>
    </x:row>
    <x:row r="38" ht="19" customHeight="1">
      <x:c r="A38" t="str">
        <x:v>300 x 506 cm</x:v>
      </x:c>
      <x:c r="B38" t="str">
        <x:v>zip_side</x:v>
      </x:c>
      <x:c r="C38" s="1533" t="n">
        <x:v>2523</x:v>
      </x:c>
      <x:c r="D38" s="1533" t="n">
        <x:v>2725</x:v>
      </x:c>
      <x:c r="E38" s="1533" t="n">
        <x:v>2724.84</x:v>
      </x:c>
      <x:c r="F38" s="1533" t="n">
        <x:v>2725</x:v>
      </x:c>
      <x:c r="G38" s="1535" t="n">
        <x:v>0</x:v>
      </x:c>
      <x:c r="H38" s="1535" t="n">
        <x:v>0</x:v>
      </x:c>
      <x:c r="I38" t="str">
        <x:v>OK — pełna zgodność</x:v>
      </x:c>
      <x:c r="J38" s="1537" t="str"/>
    </x:row>
    <x:row r="39" ht="19" customHeight="1">
      <x:c r="A39" t="str">
        <x:v>300 x 506 cm</x:v>
      </x:c>
      <x:c r="B39" t="str">
        <x:v>zip_front</x:v>
      </x:c>
      <x:c r="C39" s="1533" t="n">
        <x:v>4362</x:v>
      </x:c>
      <x:c r="D39" s="1533" t="n">
        <x:v>4711</x:v>
      </x:c>
      <x:c r="E39" s="1533" t="n">
        <x:v>4710.96</x:v>
      </x:c>
      <x:c r="F39" s="1533" t="n">
        <x:v>4711</x:v>
      </x:c>
      <x:c r="G39" s="1535" t="n">
        <x:v>0</x:v>
      </x:c>
      <x:c r="H39" s="1535" t="n">
        <x:v>0</x:v>
      </x:c>
      <x:c r="I39" t="str">
        <x:v>OK — pełna zgodność</x:v>
      </x:c>
      <x:c r="J39" s="1537" t="str"/>
    </x:row>
    <x:row r="40" ht="19" customHeight="1">
      <x:c r="A40" t="str">
        <x:v>300 x 506 cm</x:v>
      </x:c>
      <x:c r="B40" t="str">
        <x:v>awning</x:v>
      </x:c>
      <x:c r="C40" s="1533" t="n">
        <x:v>5871</x:v>
      </x:c>
      <x:c r="D40" s="1533" t="n">
        <x:v>6341</x:v>
      </x:c>
      <x:c r="E40" s="1533" t="n">
        <x:v>6340.68</x:v>
      </x:c>
      <x:c r="F40" s="1533" t="n">
        <x:v>6341</x:v>
      </x:c>
      <x:c r="G40" s="1535" t="n">
        <x:v>0</x:v>
      </x:c>
      <x:c r="H40" s="1535" t="n">
        <x:v>0</x:v>
      </x:c>
      <x:c r="I40" t="str">
        <x:v>OK — pełna zgodność</x:v>
      </x:c>
      <x:c r="J40" s="1537" t="str"/>
    </x:row>
    <x:row r="41" ht="19" customHeight="1">
      <x:c r="A41" t="str">
        <x:v>300 x 506 cm</x:v>
      </x:c>
      <x:c r="B41" t="str">
        <x:v>foundation</x:v>
      </x:c>
      <x:c r="C41" s="1533" t="n">
        <x:v>1628</x:v>
      </x:c>
      <x:c r="D41" s="1533" t="n">
        <x:v>1758</x:v>
      </x:c>
      <x:c r="E41" s="1533" t="n">
        <x:v>1758.24</x:v>
      </x:c>
      <x:c r="F41" s="1533" t="n">
        <x:v>1758</x:v>
      </x:c>
      <x:c r="G41" s="1535" t="n">
        <x:v>0</x:v>
      </x:c>
      <x:c r="H41" s="1535" t="n">
        <x:v>0</x:v>
      </x:c>
      <x:c r="I41" t="str">
        <x:v>OK — pełna zgodność</x:v>
      </x:c>
      <x:c r="J41" s="1537" t="str"/>
    </x:row>
    <x:row r="42" ht="19" customHeight="1">
      <x:c r="A42" t="str">
        <x:v>300 x 506 cm</x:v>
      </x:c>
      <x:c r="B42" t="str">
        <x:v>led_point</x:v>
      </x:c>
      <x:c r="C42" s="1533" t="n">
        <x:v>708</x:v>
      </x:c>
      <x:c r="D42" s="1533" t="n">
        <x:v>765</x:v>
      </x:c>
      <x:c r="E42" s="1533" t="n">
        <x:v>764.64</x:v>
      </x:c>
      <x:c r="F42" s="1533" t="n">
        <x:v>765</x:v>
      </x:c>
      <x:c r="G42" s="1535" t="n">
        <x:v>0</x:v>
      </x:c>
      <x:c r="H42" s="1535" t="n">
        <x:v>0</x:v>
      </x:c>
      <x:c r="I42" t="str">
        <x:v>OK — pełna zgodność</x:v>
      </x:c>
      <x:c r="J42" s="1537" t="str"/>
    </x:row>
    <x:row r="43" ht="19" customHeight="1">
      <x:c r="A43" t="str">
        <x:v>300 x 506 cm</x:v>
      </x:c>
      <x:c r="B43" t="str">
        <x:v>led_cct</x:v>
      </x:c>
      <x:c r="C43" s="1533" t="n">
        <x:v>1537</x:v>
      </x:c>
      <x:c r="D43" s="1533" t="n">
        <x:v>1660</x:v>
      </x:c>
      <x:c r="E43" s="1533" t="n">
        <x:v>1659.96</x:v>
      </x:c>
      <x:c r="F43" s="1533" t="n">
        <x:v>1660</x:v>
      </x:c>
      <x:c r="G43" s="1535" t="n">
        <x:v>0</x:v>
      </x:c>
      <x:c r="H43" s="1535" t="n">
        <x:v>0</x:v>
      </x:c>
      <x:c r="I43" t="str">
        <x:v>OK — pełna zgodność</x:v>
      </x:c>
      <x:c r="J43" s="1537" t="str"/>
    </x:row>
    <x:row r="44" ht="19" customHeight="1">
      <x:c r="A44" t="str">
        <x:v>300 x 506 cm</x:v>
      </x:c>
      <x:c r="B44" t="str">
        <x:v>brushes</x:v>
      </x:c>
      <x:c r="C44" s="1533" t="n">
        <x:v>494</x:v>
      </x:c>
      <x:c r="D44" s="1533" t="n">
        <x:v>534</x:v>
      </x:c>
      <x:c r="E44" s="1533" t="n">
        <x:v>533.52</x:v>
      </x:c>
      <x:c r="F44" s="1533" t="n">
        <x:v>534</x:v>
      </x:c>
      <x:c r="G44" s="1535" t="n">
        <x:v>0</x:v>
      </x:c>
      <x:c r="H44" s="1535" t="n">
        <x:v>0</x:v>
      </x:c>
      <x:c r="I44" t="str">
        <x:v>OK — pełna zgodność</x:v>
      </x:c>
      <x:c r="J44" s="1537" t="str"/>
    </x:row>
    <x:row r="45" ht="19" customHeight="1">
      <x:c r="A45" t="str">
        <x:v>300 x 506 cm</x:v>
      </x:c>
      <x:c r="B45" t="str">
        <x:v>handles</x:v>
      </x:c>
      <x:c r="C45" s="1533" t="n">
        <x:v>448</x:v>
      </x:c>
      <x:c r="D45" s="1533" t="n">
        <x:v>484</x:v>
      </x:c>
      <x:c r="E45" s="1533" t="n">
        <x:v>483.84</x:v>
      </x:c>
      <x:c r="F45" s="1533" t="n">
        <x:v>484</x:v>
      </x:c>
      <x:c r="G45" s="1535" t="n">
        <x:v>0</x:v>
      </x:c>
      <x:c r="H45" s="1535" t="n">
        <x:v>0</x:v>
      </x:c>
      <x:c r="I45" t="str">
        <x:v>OK — pełna zgodność</x:v>
      </x:c>
      <x:c r="J45" s="1537" t="str"/>
    </x:row>
    <x:row r="46" ht="19" customHeight="1">
      <x:c r="A46" t="str">
        <x:v>300 x 506 cm</x:v>
      </x:c>
      <x:c r="B46" t="str">
        <x:v>carriers</x:v>
      </x:c>
      <x:c r="C46" s="1533" t="n">
        <x:v>331</x:v>
      </x:c>
      <x:c r="D46" s="1533" t="n">
        <x:v>357</x:v>
      </x:c>
      <x:c r="E46" s="1533" t="n">
        <x:v>357.48</x:v>
      </x:c>
      <x:c r="F46" s="1533" t="n">
        <x:v>357</x:v>
      </x:c>
      <x:c r="G46" s="1535" t="n">
        <x:v>0</x:v>
      </x:c>
      <x:c r="H46" s="1535" t="n">
        <x:v>0</x:v>
      </x:c>
      <x:c r="I46" t="str">
        <x:v>OK — pełna zgodność</x:v>
      </x:c>
      <x:c r="J46" s="1537" t="str"/>
    </x:row>
    <x:row r="47" ht="19" customHeight="1">
      <x:c r="A47" t="str">
        <x:v>300 x 606 cm</x:v>
      </x:c>
      <x:c r="B47" t="str">
        <x:v>base_poly</x:v>
      </x:c>
      <x:c r="C47" s="1533" t="n">
        <x:v>12265</x:v>
      </x:c>
      <x:c r="D47" s="1533" t="n">
        <x:v>13246</x:v>
      </x:c>
      <x:c r="E47" s="1533" t="n">
        <x:v>13246.2</x:v>
      </x:c>
      <x:c r="F47" s="1533" t="n">
        <x:v>13246</x:v>
      </x:c>
      <x:c r="G47" s="1535" t="n">
        <x:v>0</x:v>
      </x:c>
      <x:c r="H47" s="1535" t="n">
        <x:v>0</x:v>
      </x:c>
      <x:c r="I47" t="str">
        <x:v>OK — pełna zgodność</x:v>
      </x:c>
      <x:c r="J47" s="1537" t="str"/>
    </x:row>
    <x:row r="48" ht="19" customHeight="1">
      <x:c r="A48" t="str">
        <x:v>300 x 606 cm</x:v>
      </x:c>
      <x:c r="B48" t="str">
        <x:v>walls_clear</x:v>
      </x:c>
      <x:c r="C48" s="1533" t="n">
        <x:v>16715</x:v>
      </x:c>
      <x:c r="D48" s="1533" t="n">
        <x:v>18052</x:v>
      </x:c>
      <x:c r="E48" s="1533" t="n">
        <x:v>18052.2</x:v>
      </x:c>
      <x:c r="F48" s="1533" t="n">
        <x:v>18052</x:v>
      </x:c>
      <x:c r="G48" s="1535" t="n">
        <x:v>0</x:v>
      </x:c>
      <x:c r="H48" s="1535" t="n">
        <x:v>0</x:v>
      </x:c>
      <x:c r="I48" t="str">
        <x:v>OK — pełna zgodność</x:v>
      </x:c>
      <x:c r="J48" s="1537" t="str"/>
    </x:row>
    <x:row r="49" ht="19" customHeight="1">
      <x:c r="A49" t="str">
        <x:v>300 x 606 cm</x:v>
      </x:c>
      <x:c r="B49" t="str">
        <x:v>walls_tinted</x:v>
      </x:c>
      <x:c r="C49" s="1533" t="n">
        <x:v>18413</x:v>
      </x:c>
      <x:c r="D49" s="1533" t="n">
        <x:v>19886</x:v>
      </x:c>
      <x:c r="E49" s="1533" t="n">
        <x:v>19886.04</x:v>
      </x:c>
      <x:c r="F49" s="1533" t="n">
        <x:v>19886</x:v>
      </x:c>
      <x:c r="G49" s="1535" t="n">
        <x:v>0</x:v>
      </x:c>
      <x:c r="H49" s="1535" t="n">
        <x:v>0</x:v>
      </x:c>
      <x:c r="I49" t="str">
        <x:v>OK — pełna zgodność</x:v>
      </x:c>
      <x:c r="J49" s="1537" t="str">
        <x:v>Pozycja złożona; stary eksport mógł zaokrąglać składniki osobno.</x:v>
      </x:c>
    </x:row>
    <x:row r="50" ht="19" customHeight="1">
      <x:c r="A50" t="str">
        <x:v>300 x 606 cm</x:v>
      </x:c>
      <x:c r="B50" t="str">
        <x:v>roof_poly_colored</x:v>
      </x:c>
      <x:c r="C50" s="1533" t="n">
        <x:v>365</x:v>
      </x:c>
      <x:c r="D50" s="1533" t="n">
        <x:v>394</x:v>
      </x:c>
      <x:c r="E50" s="1533" t="n">
        <x:v>394.2</x:v>
      </x:c>
      <x:c r="F50" s="1533" t="n">
        <x:v>394</x:v>
      </x:c>
      <x:c r="G50" s="1535" t="n">
        <x:v>0</x:v>
      </x:c>
      <x:c r="H50" s="1535" t="n">
        <x:v>0</x:v>
      </x:c>
      <x:c r="I50" t="str">
        <x:v>OK — pełna zgodność</x:v>
      </x:c>
      <x:c r="J50" s="1537" t="str"/>
    </x:row>
    <x:row r="51" ht="19" customHeight="1">
      <x:c r="A51" t="str">
        <x:v>300 x 606 cm</x:v>
      </x:c>
      <x:c r="B51" t="str">
        <x:v>roof_glass_clear</x:v>
      </x:c>
      <x:c r="C51" s="1533" t="n">
        <x:v>3996</x:v>
      </x:c>
      <x:c r="D51" s="1533" t="n">
        <x:v>4316</x:v>
      </x:c>
      <x:c r="E51" s="1533" t="n">
        <x:v>4315.68</x:v>
      </x:c>
      <x:c r="F51" s="1533" t="n">
        <x:v>4316</x:v>
      </x:c>
      <x:c r="G51" s="1535" t="n">
        <x:v>0</x:v>
      </x:c>
      <x:c r="H51" s="1535" t="n">
        <x:v>0</x:v>
      </x:c>
      <x:c r="I51" t="str">
        <x:v>OK — pełna zgodność</x:v>
      </x:c>
      <x:c r="J51" s="1537" t="str"/>
    </x:row>
    <x:row r="52" ht="19" customHeight="1">
      <x:c r="A52" t="str">
        <x:v>300 x 606 cm</x:v>
      </x:c>
      <x:c r="B52" t="str">
        <x:v>roof_glass_tinted</x:v>
      </x:c>
      <x:c r="C52" s="1533" t="n">
        <x:v>4786</x:v>
      </x:c>
      <x:c r="D52" s="1533" t="n">
        <x:v>5169</x:v>
      </x:c>
      <x:c r="E52" s="1533" t="n">
        <x:v>5168.88</x:v>
      </x:c>
      <x:c r="F52" s="1533" t="n">
        <x:v>5169</x:v>
      </x:c>
      <x:c r="G52" s="1535" t="n">
        <x:v>0</x:v>
      </x:c>
      <x:c r="H52" s="1535" t="n">
        <x:v>0</x:v>
      </x:c>
      <x:c r="I52" t="str">
        <x:v>OK — pełna zgodność</x:v>
      </x:c>
      <x:c r="J52" s="1537" t="str">
        <x:v>Pozycja złożona; stary eksport mógł zaokrąglać składniki osobno.</x:v>
      </x:c>
    </x:row>
    <x:row r="53" ht="19" customHeight="1">
      <x:c r="A53" t="str">
        <x:v>300 x 606 cm</x:v>
      </x:c>
      <x:c r="B53" t="str">
        <x:v>zip_side</x:v>
      </x:c>
      <x:c r="C53" s="1533" t="n">
        <x:v>2523</x:v>
      </x:c>
      <x:c r="D53" s="1533" t="n">
        <x:v>2725</x:v>
      </x:c>
      <x:c r="E53" s="1533" t="n">
        <x:v>2724.84</x:v>
      </x:c>
      <x:c r="F53" s="1533" t="n">
        <x:v>2725</x:v>
      </x:c>
      <x:c r="G53" s="1535" t="n">
        <x:v>0</x:v>
      </x:c>
      <x:c r="H53" s="1535" t="n">
        <x:v>0</x:v>
      </x:c>
      <x:c r="I53" t="str">
        <x:v>OK — pełna zgodność</x:v>
      </x:c>
      <x:c r="J53" s="1537" t="str"/>
    </x:row>
    <x:row r="54" ht="19" customHeight="1">
      <x:c r="A54" t="str">
        <x:v>300 x 606 cm</x:v>
      </x:c>
      <x:c r="B54" t="str">
        <x:v>zip_front</x:v>
      </x:c>
      <x:c r="C54" s="1533" t="n">
        <x:v>5034</x:v>
      </x:c>
      <x:c r="D54" s="1533" t="n">
        <x:v>5437</x:v>
      </x:c>
      <x:c r="E54" s="1533" t="n">
        <x:v>5436.72</x:v>
      </x:c>
      <x:c r="F54" s="1533" t="n">
        <x:v>5437</x:v>
      </x:c>
      <x:c r="G54" s="1535" t="n">
        <x:v>0</x:v>
      </x:c>
      <x:c r="H54" s="1535" t="n">
        <x:v>0</x:v>
      </x:c>
      <x:c r="I54" t="str">
        <x:v>OK — pełna zgodność</x:v>
      </x:c>
      <x:c r="J54" s="1537" t="str"/>
    </x:row>
    <x:row r="55" ht="19" customHeight="1">
      <x:c r="A55" t="str">
        <x:v>300 x 606 cm</x:v>
      </x:c>
      <x:c r="B55" t="str">
        <x:v>awning</x:v>
      </x:c>
      <x:c r="C55" s="1533" t="n">
        <x:v>9194</x:v>
      </x:c>
      <x:c r="D55" s="1533" t="n">
        <x:v>9930</x:v>
      </x:c>
      <x:c r="E55" s="1533" t="n">
        <x:v>9929.52</x:v>
      </x:c>
      <x:c r="F55" s="1533" t="n">
        <x:v>9930</x:v>
      </x:c>
      <x:c r="G55" s="1535" t="n">
        <x:v>0</x:v>
      </x:c>
      <x:c r="H55" s="1535" t="n">
        <x:v>0</x:v>
      </x:c>
      <x:c r="I55" t="str">
        <x:v>OK — pełna zgodność</x:v>
      </x:c>
      <x:c r="J55" s="1537" t="str"/>
    </x:row>
    <x:row r="56" ht="19" customHeight="1">
      <x:c r="A56" t="str">
        <x:v>300 x 606 cm</x:v>
      </x:c>
      <x:c r="B56" t="str">
        <x:v>foundation</x:v>
      </x:c>
      <x:c r="C56" s="1533" t="n">
        <x:v>2147</x:v>
      </x:c>
      <x:c r="D56" s="1533" t="n">
        <x:v>2319</x:v>
      </x:c>
      <x:c r="E56" s="1533" t="n">
        <x:v>2318.76</x:v>
      </x:c>
      <x:c r="F56" s="1533" t="n">
        <x:v>2319</x:v>
      </x:c>
      <x:c r="G56" s="1535" t="n">
        <x:v>0</x:v>
      </x:c>
      <x:c r="H56" s="1535" t="n">
        <x:v>0</x:v>
      </x:c>
      <x:c r="I56" t="str">
        <x:v>OK — pełna zgodność</x:v>
      </x:c>
      <x:c r="J56" s="1537" t="str"/>
    </x:row>
    <x:row r="57" ht="19" customHeight="1">
      <x:c r="A57" t="str">
        <x:v>300 x 606 cm</x:v>
      </x:c>
      <x:c r="B57" t="str">
        <x:v>led_point</x:v>
      </x:c>
      <x:c r="C57" s="1533" t="n">
        <x:v>931</x:v>
      </x:c>
      <x:c r="D57" s="1533" t="n">
        <x:v>1005</x:v>
      </x:c>
      <x:c r="E57" s="1533" t="n">
        <x:v>1005.48</x:v>
      </x:c>
      <x:c r="F57" s="1533" t="n">
        <x:v>1005</x:v>
      </x:c>
      <x:c r="G57" s="1535" t="n">
        <x:v>0</x:v>
      </x:c>
      <x:c r="H57" s="1535" t="n">
        <x:v>0</x:v>
      </x:c>
      <x:c r="I57" t="str">
        <x:v>OK — pełna zgodność</x:v>
      </x:c>
      <x:c r="J57" s="1537" t="str"/>
    </x:row>
    <x:row r="58" ht="19" customHeight="1">
      <x:c r="A58" t="str">
        <x:v>300 x 606 cm</x:v>
      </x:c>
      <x:c r="B58" t="str">
        <x:v>led_cct</x:v>
      </x:c>
      <x:c r="C58" s="1533" t="n">
        <x:v>1537</x:v>
      </x:c>
      <x:c r="D58" s="1533" t="n">
        <x:v>1660</x:v>
      </x:c>
      <x:c r="E58" s="1533" t="n">
        <x:v>1659.96</x:v>
      </x:c>
      <x:c r="F58" s="1533" t="n">
        <x:v>1660</x:v>
      </x:c>
      <x:c r="G58" s="1535" t="n">
        <x:v>0</x:v>
      </x:c>
      <x:c r="H58" s="1535" t="n">
        <x:v>0</x:v>
      </x:c>
      <x:c r="I58" t="str">
        <x:v>OK — pełna zgodność</x:v>
      </x:c>
      <x:c r="J58" s="1537" t="str"/>
    </x:row>
    <x:row r="59" ht="19" customHeight="1">
      <x:c r="A59" t="str">
        <x:v>300 x 606 cm</x:v>
      </x:c>
      <x:c r="B59" t="str">
        <x:v>brushes</x:v>
      </x:c>
      <x:c r="C59" s="1533" t="n">
        <x:v>542</x:v>
      </x:c>
      <x:c r="D59" s="1533" t="n">
        <x:v>585</x:v>
      </x:c>
      <x:c r="E59" s="1533" t="n">
        <x:v>585.36</x:v>
      </x:c>
      <x:c r="F59" s="1533" t="n">
        <x:v>585</x:v>
      </x:c>
      <x:c r="G59" s="1535" t="n">
        <x:v>0</x:v>
      </x:c>
      <x:c r="H59" s="1535" t="n">
        <x:v>0</x:v>
      </x:c>
      <x:c r="I59" t="str">
        <x:v>OK — pełna zgodność</x:v>
      </x:c>
      <x:c r="J59" s="1537" t="str"/>
    </x:row>
    <x:row r="60" ht="19" customHeight="1">
      <x:c r="A60" t="str">
        <x:v>300 x 606 cm</x:v>
      </x:c>
      <x:c r="B60" t="str">
        <x:v>handles</x:v>
      </x:c>
      <x:c r="C60" s="1533" t="n">
        <x:v>483</x:v>
      </x:c>
      <x:c r="D60" s="1533" t="n">
        <x:v>522</x:v>
      </x:c>
      <x:c r="E60" s="1533" t="n">
        <x:v>521.64</x:v>
      </x:c>
      <x:c r="F60" s="1533" t="n">
        <x:v>522</x:v>
      </x:c>
      <x:c r="G60" s="1535" t="n">
        <x:v>0</x:v>
      </x:c>
      <x:c r="H60" s="1535" t="n">
        <x:v>0</x:v>
      </x:c>
      <x:c r="I60" t="str">
        <x:v>OK — pełna zgodność</x:v>
      </x:c>
      <x:c r="J60" s="1537" t="str"/>
    </x:row>
    <x:row r="61" ht="19" customHeight="1">
      <x:c r="A61" t="str">
        <x:v>300 x 606 cm</x:v>
      </x:c>
      <x:c r="B61" t="str">
        <x:v>carriers</x:v>
      </x:c>
      <x:c r="C61" s="1533" t="n">
        <x:v>377</x:v>
      </x:c>
      <x:c r="D61" s="1533" t="n">
        <x:v>407</x:v>
      </x:c>
      <x:c r="E61" s="1533" t="n">
        <x:v>407.16</x:v>
      </x:c>
      <x:c r="F61" s="1533" t="n">
        <x:v>407</x:v>
      </x:c>
      <x:c r="G61" s="1535" t="n">
        <x:v>0</x:v>
      </x:c>
      <x:c r="H61" s="1535" t="n">
        <x:v>0</x:v>
      </x:c>
      <x:c r="I61" t="str">
        <x:v>OK — pełna zgodność</x:v>
      </x:c>
      <x:c r="J61" s="1537" t="str"/>
    </x:row>
    <x:row r="62" ht="19" customHeight="1">
      <x:c r="A62" t="str">
        <x:v>300 x 706 cm</x:v>
      </x:c>
      <x:c r="B62" t="str">
        <x:v>base_poly</x:v>
      </x:c>
      <x:c r="C62" s="1533" t="n">
        <x:v>14034</x:v>
      </x:c>
      <x:c r="D62" s="1533" t="n">
        <x:v>15157</x:v>
      </x:c>
      <x:c r="E62" s="1533" t="n">
        <x:v>15156.72</x:v>
      </x:c>
      <x:c r="F62" s="1533" t="n">
        <x:v>15157</x:v>
      </x:c>
      <x:c r="G62" s="1535" t="n">
        <x:v>0</x:v>
      </x:c>
      <x:c r="H62" s="1535" t="n">
        <x:v>0</x:v>
      </x:c>
      <x:c r="I62" t="str">
        <x:v>OK — pełna zgodność</x:v>
      </x:c>
      <x:c r="J62" s="1537" t="str"/>
    </x:row>
    <x:row r="63" ht="19" customHeight="1">
      <x:c r="A63" t="str">
        <x:v>300 x 706 cm</x:v>
      </x:c>
      <x:c r="B63" t="str">
        <x:v>walls_clear</x:v>
      </x:c>
      <x:c r="C63" s="1533" t="n">
        <x:v>16861</x:v>
      </x:c>
      <x:c r="D63" s="1533" t="n">
        <x:v>18210</x:v>
      </x:c>
      <x:c r="E63" s="1533" t="n">
        <x:v>18209.88</x:v>
      </x:c>
      <x:c r="F63" s="1533" t="n">
        <x:v>18210</x:v>
      </x:c>
      <x:c r="G63" s="1535" t="n">
        <x:v>0</x:v>
      </x:c>
      <x:c r="H63" s="1535" t="n">
        <x:v>0</x:v>
      </x:c>
      <x:c r="I63" t="str">
        <x:v>OK — pełna zgodność</x:v>
      </x:c>
      <x:c r="J63" s="1537" t="str"/>
    </x:row>
    <x:row r="64" ht="19" customHeight="1">
      <x:c r="A64" t="str">
        <x:v>300 x 706 cm</x:v>
      </x:c>
      <x:c r="B64" t="str">
        <x:v>walls_tinted</x:v>
      </x:c>
      <x:c r="C64" s="1533" t="n">
        <x:v>18700</x:v>
      </x:c>
      <x:c r="D64" s="1533" t="n">
        <x:v>20196</x:v>
      </x:c>
      <x:c r="E64" s="1533" t="n">
        <x:v>20196</x:v>
      </x:c>
      <x:c r="F64" s="1533" t="n">
        <x:v>20196</x:v>
      </x:c>
      <x:c r="G64" s="1535" t="n">
        <x:v>0</x:v>
      </x:c>
      <x:c r="H64" s="1535" t="n">
        <x:v>0</x:v>
      </x:c>
      <x:c r="I64" t="str">
        <x:v>OK — pełna zgodność</x:v>
      </x:c>
      <x:c r="J64" s="1537" t="str">
        <x:v>Pozycja złożona; stary eksport mógł zaokrąglać składniki osobno.</x:v>
      </x:c>
    </x:row>
    <x:row r="65" ht="19" customHeight="1">
      <x:c r="A65" t="str">
        <x:v>300 x 706 cm</x:v>
      </x:c>
      <x:c r="B65" t="str">
        <x:v>roof_poly_colored</x:v>
      </x:c>
      <x:c r="C65" s="1533" t="n">
        <x:v>436</x:v>
      </x:c>
      <x:c r="D65" s="1533" t="n">
        <x:v>471</x:v>
      </x:c>
      <x:c r="E65" s="1533" t="n">
        <x:v>470.88</x:v>
      </x:c>
      <x:c r="F65" s="1533" t="n">
        <x:v>471</x:v>
      </x:c>
      <x:c r="G65" s="1535" t="n">
        <x:v>0</x:v>
      </x:c>
      <x:c r="H65" s="1535" t="n">
        <x:v>0</x:v>
      </x:c>
      <x:c r="I65" t="str">
        <x:v>OK — pełna zgodność</x:v>
      </x:c>
      <x:c r="J65" s="1537" t="str"/>
    </x:row>
    <x:row r="66" ht="19" customHeight="1">
      <x:c r="A66" t="str">
        <x:v>300 x 706 cm</x:v>
      </x:c>
      <x:c r="B66" t="str">
        <x:v>roof_glass_clear</x:v>
      </x:c>
      <x:c r="C66" s="1533" t="n">
        <x:v>4633</x:v>
      </x:c>
      <x:c r="D66" s="1533" t="n">
        <x:v>5004</x:v>
      </x:c>
      <x:c r="E66" s="1533" t="n">
        <x:v>5003.64</x:v>
      </x:c>
      <x:c r="F66" s="1533" t="n">
        <x:v>5004</x:v>
      </x:c>
      <x:c r="G66" s="1535" t="n">
        <x:v>0</x:v>
      </x:c>
      <x:c r="H66" s="1535" t="n">
        <x:v>0</x:v>
      </x:c>
      <x:c r="I66" t="str">
        <x:v>OK — pełna zgodność</x:v>
      </x:c>
      <x:c r="J66" s="1537" t="str"/>
    </x:row>
    <x:row r="67" ht="19" customHeight="1">
      <x:c r="A67" t="str">
        <x:v>300 x 706 cm</x:v>
      </x:c>
      <x:c r="B67" t="str">
        <x:v>roof_glass_tinted</x:v>
      </x:c>
      <x:c r="C67" s="1533" t="n">
        <x:v>5552</x:v>
      </x:c>
      <x:c r="D67" s="1533" t="n">
        <x:v>5997</x:v>
      </x:c>
      <x:c r="E67" s="1533" t="n">
        <x:v>5996.16</x:v>
      </x:c>
      <x:c r="F67" s="1533" t="n">
        <x:v>5996</x:v>
      </x:c>
      <x:c r="G67" s="1535" t="n">
        <x:v>-1</x:v>
      </x:c>
      <x:c r="H67" s="1535" t="n">
        <x:v>1</x:v>
      </x:c>
      <x:c r="I67" t="str">
        <x:v>OK — zaokrąglenie ±1 zł</x:v>
      </x:c>
      <x:c r="J67" s="1537" t="str">
        <x:v>Pozycja złożona; stary eksport mógł zaokrąglać składniki osobno.</x:v>
      </x:c>
    </x:row>
    <x:row r="68" ht="19" customHeight="1">
      <x:c r="A68" t="str">
        <x:v>300 x 706 cm</x:v>
      </x:c>
      <x:c r="B68" t="str">
        <x:v>zip_side</x:v>
      </x:c>
      <x:c r="C68" s="1533" t="n">
        <x:v>2523</x:v>
      </x:c>
      <x:c r="D68" s="1533" t="n">
        <x:v>2725</x:v>
      </x:c>
      <x:c r="E68" s="1533" t="n">
        <x:v>2724.84</x:v>
      </x:c>
      <x:c r="F68" s="1533" t="n">
        <x:v>2725</x:v>
      </x:c>
      <x:c r="G68" s="1535" t="n">
        <x:v>0</x:v>
      </x:c>
      <x:c r="H68" s="1535" t="n">
        <x:v>0</x:v>
      </x:c>
      <x:c r="I68" t="str">
        <x:v>OK — pełna zgodność</x:v>
      </x:c>
      <x:c r="J68" s="1537" t="str"/>
    </x:row>
    <x:row r="69" ht="19" customHeight="1">
      <x:c r="A69" t="str">
        <x:v>300 x 706 cm</x:v>
      </x:c>
      <x:c r="B69" t="str">
        <x:v>zip_front</x:v>
      </x:c>
      <x:c r="C69" s="1533" t="n">
        <x:v>5635</x:v>
      </x:c>
      <x:c r="D69" s="1533" t="n">
        <x:v>6086</x:v>
      </x:c>
      <x:c r="E69" s="1533" t="n">
        <x:v>6085.8</x:v>
      </x:c>
      <x:c r="F69" s="1533" t="n">
        <x:v>6086</x:v>
      </x:c>
      <x:c r="G69" s="1535" t="n">
        <x:v>0</x:v>
      </x:c>
      <x:c r="H69" s="1535" t="n">
        <x:v>0</x:v>
      </x:c>
      <x:c r="I69" t="str">
        <x:v>OK — pełna zgodność</x:v>
      </x:c>
      <x:c r="J69" s="1537" t="str"/>
    </x:row>
    <x:row r="70" ht="19" customHeight="1">
      <x:c r="A70" t="str">
        <x:v>300 x 706 cm</x:v>
      </x:c>
      <x:c r="B70" t="str">
        <x:v>awning</x:v>
      </x:c>
      <x:c r="C70" s="1533" t="n">
        <x:v>9679</x:v>
      </x:c>
      <x:c r="D70" s="1533" t="n">
        <x:v>10453</x:v>
      </x:c>
      <x:c r="E70" s="1533" t="n">
        <x:v>10453.32</x:v>
      </x:c>
      <x:c r="F70" s="1533" t="n">
        <x:v>10453</x:v>
      </x:c>
      <x:c r="G70" s="1535" t="n">
        <x:v>0</x:v>
      </x:c>
      <x:c r="H70" s="1535" t="n">
        <x:v>0</x:v>
      </x:c>
      <x:c r="I70" t="str">
        <x:v>OK — pełna zgodność</x:v>
      </x:c>
      <x:c r="J70" s="1537" t="str"/>
    </x:row>
    <x:row r="71" ht="19" customHeight="1">
      <x:c r="A71" t="str">
        <x:v>300 x 706 cm</x:v>
      </x:c>
      <x:c r="B71" t="str">
        <x:v>foundation</x:v>
      </x:c>
      <x:c r="C71" s="1533" t="n">
        <x:v>1771</x:v>
      </x:c>
      <x:c r="D71" s="1533" t="n">
        <x:v>1913</x:v>
      </x:c>
      <x:c r="E71" s="1533" t="n">
        <x:v>1912.68</x:v>
      </x:c>
      <x:c r="F71" s="1533" t="n">
        <x:v>1913</x:v>
      </x:c>
      <x:c r="G71" s="1535" t="n">
        <x:v>0</x:v>
      </x:c>
      <x:c r="H71" s="1535" t="n">
        <x:v>0</x:v>
      </x:c>
      <x:c r="I71" t="str">
        <x:v>OK — pełna zgodność</x:v>
      </x:c>
      <x:c r="J71" s="1537" t="str"/>
    </x:row>
    <x:row r="72" ht="19" customHeight="1">
      <x:c r="A72" t="str">
        <x:v>300 x 706 cm</x:v>
      </x:c>
      <x:c r="B72" t="str">
        <x:v>led_point</x:v>
      </x:c>
      <x:c r="C72" s="1533" t="n">
        <x:v>1025</x:v>
      </x:c>
      <x:c r="D72" s="1533" t="n">
        <x:v>1107</x:v>
      </x:c>
      <x:c r="E72" s="1533" t="n">
        <x:v>1107</x:v>
      </x:c>
      <x:c r="F72" s="1533" t="n">
        <x:v>1107</x:v>
      </x:c>
      <x:c r="G72" s="1535" t="n">
        <x:v>0</x:v>
      </x:c>
      <x:c r="H72" s="1535" t="n">
        <x:v>0</x:v>
      </x:c>
      <x:c r="I72" t="str">
        <x:v>OK — pełna zgodność</x:v>
      </x:c>
      <x:c r="J72" s="1537" t="str"/>
    </x:row>
    <x:row r="73" ht="19" customHeight="1">
      <x:c r="A73" t="str">
        <x:v>300 x 706 cm</x:v>
      </x:c>
      <x:c r="B73" t="str">
        <x:v>led_cct</x:v>
      </x:c>
      <x:c r="C73" s="1533" t="n">
        <x:v>1726</x:v>
      </x:c>
      <x:c r="D73" s="1533" t="n">
        <x:v>1864</x:v>
      </x:c>
      <x:c r="E73" s="1533" t="n">
        <x:v>1864.08</x:v>
      </x:c>
      <x:c r="F73" s="1533" t="n">
        <x:v>1864</x:v>
      </x:c>
      <x:c r="G73" s="1535" t="n">
        <x:v>0</x:v>
      </x:c>
      <x:c r="H73" s="1535" t="n">
        <x:v>0</x:v>
      </x:c>
      <x:c r="I73" t="str">
        <x:v>OK — pełna zgodność</x:v>
      </x:c>
      <x:c r="J73" s="1537" t="str"/>
    </x:row>
    <x:row r="74" ht="19" customHeight="1">
      <x:c r="A74" t="str">
        <x:v>300 x 706 cm</x:v>
      </x:c>
      <x:c r="B74" t="str">
        <x:v>brushes</x:v>
      </x:c>
      <x:c r="C74" s="1533" t="n">
        <x:v>590</x:v>
      </x:c>
      <x:c r="D74" s="1533" t="n">
        <x:v>637</x:v>
      </x:c>
      <x:c r="E74" s="1533" t="n">
        <x:v>637.2</x:v>
      </x:c>
      <x:c r="F74" s="1533" t="n">
        <x:v>637</x:v>
      </x:c>
      <x:c r="G74" s="1535" t="n">
        <x:v>0</x:v>
      </x:c>
      <x:c r="H74" s="1535" t="n">
        <x:v>0</x:v>
      </x:c>
      <x:c r="I74" t="str">
        <x:v>OK — pełna zgodność</x:v>
      </x:c>
      <x:c r="J74" s="1537" t="str"/>
    </x:row>
    <x:row r="75" ht="19" customHeight="1">
      <x:c r="A75" t="str">
        <x:v>300 x 706 cm</x:v>
      </x:c>
      <x:c r="B75" t="str">
        <x:v>handles</x:v>
      </x:c>
      <x:c r="C75" s="1533" t="n">
        <x:v>531</x:v>
      </x:c>
      <x:c r="D75" s="1533" t="n">
        <x:v>573</x:v>
      </x:c>
      <x:c r="E75" s="1533" t="n">
        <x:v>573.48</x:v>
      </x:c>
      <x:c r="F75" s="1533" t="n">
        <x:v>573</x:v>
      </x:c>
      <x:c r="G75" s="1535" t="n">
        <x:v>0</x:v>
      </x:c>
      <x:c r="H75" s="1535" t="n">
        <x:v>0</x:v>
      </x:c>
      <x:c r="I75" t="str">
        <x:v>OK — pełna zgodność</x:v>
      </x:c>
      <x:c r="J75" s="1537" t="str"/>
    </x:row>
    <x:row r="76" ht="19" customHeight="1">
      <x:c r="A76" t="str">
        <x:v>300 x 706 cm</x:v>
      </x:c>
      <x:c r="B76" t="str">
        <x:v>carriers</x:v>
      </x:c>
      <x:c r="C76" s="1533" t="n">
        <x:v>425</x:v>
      </x:c>
      <x:c r="D76" s="1533" t="n">
        <x:v>459</x:v>
      </x:c>
      <x:c r="E76" s="1533" t="n">
        <x:v>459</x:v>
      </x:c>
      <x:c r="F76" s="1533" t="n">
        <x:v>459</x:v>
      </x:c>
      <x:c r="G76" s="1535" t="n">
        <x:v>0</x:v>
      </x:c>
      <x:c r="H76" s="1535" t="n">
        <x:v>0</x:v>
      </x:c>
      <x:c r="I76" t="str">
        <x:v>OK — pełna zgodność</x:v>
      </x:c>
      <x:c r="J76" s="1537" t="str"/>
    </x:row>
    <x:row r="77" ht="19" customHeight="1">
      <x:c r="A77" t="str">
        <x:v>300 x 806 cm</x:v>
      </x:c>
      <x:c r="B77" t="str">
        <x:v>base_poly</x:v>
      </x:c>
      <x:c r="C77" s="1533" t="n">
        <x:v>16347</x:v>
      </x:c>
      <x:c r="D77" s="1533" t="n">
        <x:v>17655</x:v>
      </x:c>
      <x:c r="E77" s="1533" t="n">
        <x:v>17654.76</x:v>
      </x:c>
      <x:c r="F77" s="1533" t="n">
        <x:v>17655</x:v>
      </x:c>
      <x:c r="G77" s="1535" t="n">
        <x:v>0</x:v>
      </x:c>
      <x:c r="H77" s="1535" t="n">
        <x:v>0</x:v>
      </x:c>
      <x:c r="I77" t="str">
        <x:v>OK — pełna zgodność</x:v>
      </x:c>
      <x:c r="J77" s="1537" t="str"/>
    </x:row>
    <x:row r="78" ht="19" customHeight="1">
      <x:c r="A78" t="str">
        <x:v>300 x 806 cm</x:v>
      </x:c>
      <x:c r="B78" t="str">
        <x:v>walls_clear</x:v>
      </x:c>
      <x:c r="C78" s="1533" t="n">
        <x:v>17927</x:v>
      </x:c>
      <x:c r="D78" s="1533" t="n">
        <x:v>19361</x:v>
      </x:c>
      <x:c r="E78" s="1533" t="n">
        <x:v>19361.16</x:v>
      </x:c>
      <x:c r="F78" s="1533" t="n">
        <x:v>19361</x:v>
      </x:c>
      <x:c r="G78" s="1535" t="n">
        <x:v>0</x:v>
      </x:c>
      <x:c r="H78" s="1535" t="n">
        <x:v>0</x:v>
      </x:c>
      <x:c r="I78" t="str">
        <x:v>OK — pełna zgodność</x:v>
      </x:c>
      <x:c r="J78" s="1537" t="str"/>
    </x:row>
    <x:row r="79" ht="19" customHeight="1">
      <x:c r="A79" t="str">
        <x:v>300 x 806 cm</x:v>
      </x:c>
      <x:c r="B79" t="str">
        <x:v>walls_tinted</x:v>
      </x:c>
      <x:c r="C79" s="1533" t="n">
        <x:v>19908</x:v>
      </x:c>
      <x:c r="D79" s="1533" t="n">
        <x:v>21500</x:v>
      </x:c>
      <x:c r="E79" s="1533" t="n">
        <x:v>21500.64</x:v>
      </x:c>
      <x:c r="F79" s="1533" t="n">
        <x:v>21501</x:v>
      </x:c>
      <x:c r="G79" s="1535" t="n">
        <x:v>1</x:v>
      </x:c>
      <x:c r="H79" s="1535" t="n">
        <x:v>1</x:v>
      </x:c>
      <x:c r="I79" t="str">
        <x:v>OK — zaokrąglenie ±1 zł</x:v>
      </x:c>
      <x:c r="J79" s="1537" t="str">
        <x:v>Pozycja złożona; stary eksport mógł zaokrąglać składniki osobno.</x:v>
      </x:c>
    </x:row>
    <x:row r="80" ht="19" customHeight="1">
      <x:c r="A80" t="str">
        <x:v>300 x 806 cm</x:v>
      </x:c>
      <x:c r="B80" t="str">
        <x:v>roof_poly_colored</x:v>
      </x:c>
      <x:c r="C80" s="1533" t="n">
        <x:v>508</x:v>
      </x:c>
      <x:c r="D80" s="1533" t="n">
        <x:v>549</x:v>
      </x:c>
      <x:c r="E80" s="1533" t="n">
        <x:v>548.64</x:v>
      </x:c>
      <x:c r="F80" s="1533" t="n">
        <x:v>549</x:v>
      </x:c>
      <x:c r="G80" s="1535" t="n">
        <x:v>0</x:v>
      </x:c>
      <x:c r="H80" s="1535" t="n">
        <x:v>0</x:v>
      </x:c>
      <x:c r="I80" t="str">
        <x:v>OK — pełna zgodność</x:v>
      </x:c>
      <x:c r="J80" s="1537" t="str"/>
    </x:row>
    <x:row r="81" ht="19" customHeight="1">
      <x:c r="A81" t="str">
        <x:v>300 x 806 cm</x:v>
      </x:c>
      <x:c r="B81" t="str">
        <x:v>roof_glass_clear</x:v>
      </x:c>
      <x:c r="C81" s="1533" t="n">
        <x:v>5517</x:v>
      </x:c>
      <x:c r="D81" s="1533" t="n">
        <x:v>5958</x:v>
      </x:c>
      <x:c r="E81" s="1533" t="n">
        <x:v>5958.36</x:v>
      </x:c>
      <x:c r="F81" s="1533" t="n">
        <x:v>5958</x:v>
      </x:c>
      <x:c r="G81" s="1535" t="n">
        <x:v>0</x:v>
      </x:c>
      <x:c r="H81" s="1535" t="n">
        <x:v>0</x:v>
      </x:c>
      <x:c r="I81" t="str">
        <x:v>OK — pełna zgodność</x:v>
      </x:c>
      <x:c r="J81" s="1537" t="str"/>
    </x:row>
    <x:row r="82" ht="19" customHeight="1">
      <x:c r="A82" t="str">
        <x:v>300 x 806 cm</x:v>
      </x:c>
      <x:c r="B82" t="str">
        <x:v>roof_glass_tinted</x:v>
      </x:c>
      <x:c r="C82" s="1533" t="n">
        <x:v>6578</x:v>
      </x:c>
      <x:c r="D82" s="1533" t="n">
        <x:v>7104</x:v>
      </x:c>
      <x:c r="E82" s="1533" t="n">
        <x:v>7104.24</x:v>
      </x:c>
      <x:c r="F82" s="1533" t="n">
        <x:v>7104</x:v>
      </x:c>
      <x:c r="G82" s="1535" t="n">
        <x:v>0</x:v>
      </x:c>
      <x:c r="H82" s="1535" t="n">
        <x:v>0</x:v>
      </x:c>
      <x:c r="I82" t="str">
        <x:v>OK — pełna zgodność</x:v>
      </x:c>
      <x:c r="J82" s="1537" t="str">
        <x:v>Pozycja złożona; stary eksport mógł zaokrąglać składniki osobno.</x:v>
      </x:c>
    </x:row>
    <x:row r="83" ht="19" customHeight="1">
      <x:c r="A83" t="str">
        <x:v>300 x 806 cm</x:v>
      </x:c>
      <x:c r="B83" t="str">
        <x:v>zip_side</x:v>
      </x:c>
      <x:c r="C83" s="1533" t="n">
        <x:v>2523</x:v>
      </x:c>
      <x:c r="D83" s="1533" t="n">
        <x:v>2725</x:v>
      </x:c>
      <x:c r="E83" s="1533" t="n">
        <x:v>2724.84</x:v>
      </x:c>
      <x:c r="F83" s="1533" t="n">
        <x:v>2725</x:v>
      </x:c>
      <x:c r="G83" s="1535" t="n">
        <x:v>0</x:v>
      </x:c>
      <x:c r="H83" s="1535" t="n">
        <x:v>0</x:v>
      </x:c>
      <x:c r="I83" t="str">
        <x:v>OK — pełna zgodność</x:v>
      </x:c>
      <x:c r="J83" s="1537" t="str"/>
    </x:row>
    <x:row r="84" ht="19" customHeight="1">
      <x:c r="A84" t="str">
        <x:v>300 x 806 cm</x:v>
      </x:c>
      <x:c r="B84" t="str">
        <x:v>zip_front</x:v>
      </x:c>
      <x:c r="C84" s="1533" t="n">
        <x:v>6225</x:v>
      </x:c>
      <x:c r="D84" s="1533" t="n">
        <x:v>6723</x:v>
      </x:c>
      <x:c r="E84" s="1533" t="n">
        <x:v>6723</x:v>
      </x:c>
      <x:c r="F84" s="1533" t="n">
        <x:v>6723</x:v>
      </x:c>
      <x:c r="G84" s="1535" t="n">
        <x:v>0</x:v>
      </x:c>
      <x:c r="H84" s="1535" t="n">
        <x:v>0</x:v>
      </x:c>
      <x:c r="I84" t="str">
        <x:v>OK — pełna zgodność</x:v>
      </x:c>
      <x:c r="J84" s="1537" t="str"/>
    </x:row>
    <x:row r="85" ht="19" customHeight="1">
      <x:c r="A85" t="str">
        <x:v>300 x 806 cm</x:v>
      </x:c>
      <x:c r="B85" t="str">
        <x:v>awning</x:v>
      </x:c>
      <x:c r="C85" s="1533" t="n">
        <x:v>10138</x:v>
      </x:c>
      <x:c r="D85" s="1533" t="n">
        <x:v>10949</x:v>
      </x:c>
      <x:c r="E85" s="1533" t="n">
        <x:v>10949.04</x:v>
      </x:c>
      <x:c r="F85" s="1533" t="n">
        <x:v>10949</x:v>
      </x:c>
      <x:c r="G85" s="1535" t="n">
        <x:v>0</x:v>
      </x:c>
      <x:c r="H85" s="1535" t="n">
        <x:v>0</x:v>
      </x:c>
      <x:c r="I85" t="str">
        <x:v>OK — pełna zgodność</x:v>
      </x:c>
      <x:c r="J85" s="1537" t="str"/>
    </x:row>
    <x:row r="86" ht="19" customHeight="1">
      <x:c r="A86" t="str">
        <x:v>300 x 806 cm</x:v>
      </x:c>
      <x:c r="B86" t="str">
        <x:v>foundation</x:v>
      </x:c>
      <x:c r="C86" s="1533" t="n">
        <x:v>1984</x:v>
      </x:c>
      <x:c r="D86" s="1533" t="n">
        <x:v>2143</x:v>
      </x:c>
      <x:c r="E86" s="1533" t="n">
        <x:v>2142.72</x:v>
      </x:c>
      <x:c r="F86" s="1533" t="n">
        <x:v>2143</x:v>
      </x:c>
      <x:c r="G86" s="1535" t="n">
        <x:v>0</x:v>
      </x:c>
      <x:c r="H86" s="1535" t="n">
        <x:v>0</x:v>
      </x:c>
      <x:c r="I86" t="str">
        <x:v>OK — pełna zgodność</x:v>
      </x:c>
      <x:c r="J86" s="1537" t="str"/>
    </x:row>
    <x:row r="87" ht="19" customHeight="1">
      <x:c r="A87" t="str">
        <x:v>300 x 806 cm</x:v>
      </x:c>
      <x:c r="B87" t="str">
        <x:v>led_point</x:v>
      </x:c>
      <x:c r="C87" s="1533" t="n">
        <x:v>1131</x:v>
      </x:c>
      <x:c r="D87" s="1533" t="n">
        <x:v>1221</x:v>
      </x:c>
      <x:c r="E87" s="1533" t="n">
        <x:v>1221.48</x:v>
      </x:c>
      <x:c r="F87" s="1533" t="n">
        <x:v>1221</x:v>
      </x:c>
      <x:c r="G87" s="1535" t="n">
        <x:v>0</x:v>
      </x:c>
      <x:c r="H87" s="1535" t="n">
        <x:v>0</x:v>
      </x:c>
      <x:c r="I87" t="str">
        <x:v>OK — pełna zgodność</x:v>
      </x:c>
      <x:c r="J87" s="1537" t="str"/>
    </x:row>
    <x:row r="88" ht="19" customHeight="1">
      <x:c r="A88" t="str">
        <x:v>300 x 806 cm</x:v>
      </x:c>
      <x:c r="B88" t="str">
        <x:v>led_cct</x:v>
      </x:c>
      <x:c r="C88" s="1533" t="n">
        <x:v>1943</x:v>
      </x:c>
      <x:c r="D88" s="1533" t="n">
        <x:v>2098</x:v>
      </x:c>
      <x:c r="E88" s="1533" t="n">
        <x:v>2098.44</x:v>
      </x:c>
      <x:c r="F88" s="1533" t="n">
        <x:v>2098</x:v>
      </x:c>
      <x:c r="G88" s="1535" t="n">
        <x:v>0</x:v>
      </x:c>
      <x:c r="H88" s="1535" t="n">
        <x:v>0</x:v>
      </x:c>
      <x:c r="I88" t="str">
        <x:v>OK — pełna zgodność</x:v>
      </x:c>
      <x:c r="J88" s="1537" t="str"/>
    </x:row>
    <x:row r="89" ht="19" customHeight="1">
      <x:c r="A89" t="str">
        <x:v>300 x 806 cm</x:v>
      </x:c>
      <x:c r="B89" t="str">
        <x:v>brushes</x:v>
      </x:c>
      <x:c r="C89" s="1533" t="n">
        <x:v>625</x:v>
      </x:c>
      <x:c r="D89" s="1533" t="n">
        <x:v>675</x:v>
      </x:c>
      <x:c r="E89" s="1533" t="n">
        <x:v>675</x:v>
      </x:c>
      <x:c r="F89" s="1533" t="n">
        <x:v>675</x:v>
      </x:c>
      <x:c r="G89" s="1535" t="n">
        <x:v>0</x:v>
      </x:c>
      <x:c r="H89" s="1535" t="n">
        <x:v>0</x:v>
      </x:c>
      <x:c r="I89" t="str">
        <x:v>OK — pełna zgodność</x:v>
      </x:c>
      <x:c r="J89" s="1537" t="str"/>
    </x:row>
    <x:row r="90" ht="19" customHeight="1">
      <x:c r="A90" t="str">
        <x:v>300 x 806 cm</x:v>
      </x:c>
      <x:c r="B90" t="str">
        <x:v>handles</x:v>
      </x:c>
      <x:c r="C90" s="1533" t="n">
        <x:v>566</x:v>
      </x:c>
      <x:c r="D90" s="1533" t="n">
        <x:v>611</x:v>
      </x:c>
      <x:c r="E90" s="1533" t="n">
        <x:v>611.28</x:v>
      </x:c>
      <x:c r="F90" s="1533" t="n">
        <x:v>611</x:v>
      </x:c>
      <x:c r="G90" s="1535" t="n">
        <x:v>0</x:v>
      </x:c>
      <x:c r="H90" s="1535" t="n">
        <x:v>0</x:v>
      </x:c>
      <x:c r="I90" t="str">
        <x:v>OK — pełna zgodność</x:v>
      </x:c>
      <x:c r="J90" s="1537" t="str"/>
    </x:row>
    <x:row r="91" ht="19" customHeight="1">
      <x:c r="A91" t="str">
        <x:v>300 x 806 cm</x:v>
      </x:c>
      <x:c r="B91" t="str">
        <x:v>carriers</x:v>
      </x:c>
      <x:c r="C91" s="1533" t="n">
        <x:v>471</x:v>
      </x:c>
      <x:c r="D91" s="1533" t="n">
        <x:v>509</x:v>
      </x:c>
      <x:c r="E91" s="1533" t="n">
        <x:v>508.68</x:v>
      </x:c>
      <x:c r="F91" s="1533" t="n">
        <x:v>509</x:v>
      </x:c>
      <x:c r="G91" s="1535" t="n">
        <x:v>0</x:v>
      </x:c>
      <x:c r="H91" s="1535" t="n">
        <x:v>0</x:v>
      </x:c>
      <x:c r="I91" t="str">
        <x:v>OK — pełna zgodność</x:v>
      </x:c>
      <x:c r="J91" s="1537" t="str"/>
    </x:row>
    <x:row r="92" ht="19" customHeight="1">
      <x:c r="A92" t="str">
        <x:v>300 x 906 cm</x:v>
      </x:c>
      <x:c r="B92" t="str">
        <x:v>base_poly</x:v>
      </x:c>
      <x:c r="C92" s="1533" t="n">
        <x:v>18159</x:v>
      </x:c>
      <x:c r="D92" s="1533" t="n">
        <x:v>19612</x:v>
      </x:c>
      <x:c r="E92" s="1533" t="n">
        <x:v>19611.72</x:v>
      </x:c>
      <x:c r="F92" s="1533" t="n">
        <x:v>19612</x:v>
      </x:c>
      <x:c r="G92" s="1535" t="n">
        <x:v>0</x:v>
      </x:c>
      <x:c r="H92" s="1535" t="n">
        <x:v>0</x:v>
      </x:c>
      <x:c r="I92" t="str">
        <x:v>OK — pełna zgodność</x:v>
      </x:c>
      <x:c r="J92" s="1537" t="str"/>
    </x:row>
    <x:row r="93" ht="19" customHeight="1">
      <x:c r="A93" t="str">
        <x:v>300 x 906 cm</x:v>
      </x:c>
      <x:c r="B93" t="str">
        <x:v>walls_clear</x:v>
      </x:c>
      <x:c r="C93" s="1533" t="n">
        <x:v>19347</x:v>
      </x:c>
      <x:c r="D93" s="1533" t="n">
        <x:v>20895</x:v>
      </x:c>
      <x:c r="E93" s="1533" t="n">
        <x:v>20894.76</x:v>
      </x:c>
      <x:c r="F93" s="1533" t="n">
        <x:v>20895</x:v>
      </x:c>
      <x:c r="G93" s="1535" t="n">
        <x:v>0</x:v>
      </x:c>
      <x:c r="H93" s="1535" t="n">
        <x:v>0</x:v>
      </x:c>
      <x:c r="I93" t="str">
        <x:v>OK — pełna zgodność</x:v>
      </x:c>
      <x:c r="J93" s="1537" t="str"/>
    </x:row>
    <x:row r="94" ht="19" customHeight="1">
      <x:c r="A94" t="str">
        <x:v>300 x 906 cm</x:v>
      </x:c>
      <x:c r="B94" t="str">
        <x:v>walls_tinted</x:v>
      </x:c>
      <x:c r="C94" s="1533" t="n">
        <x:v>21468</x:v>
      </x:c>
      <x:c r="D94" s="1533" t="n">
        <x:v>23186</x:v>
      </x:c>
      <x:c r="E94" s="1533" t="n">
        <x:v>23185.44</x:v>
      </x:c>
      <x:c r="F94" s="1533" t="n">
        <x:v>23185</x:v>
      </x:c>
      <x:c r="G94" s="1535" t="n">
        <x:v>-1</x:v>
      </x:c>
      <x:c r="H94" s="1535" t="n">
        <x:v>1</x:v>
      </x:c>
      <x:c r="I94" t="str">
        <x:v>OK — zaokrąglenie ±1 zł</x:v>
      </x:c>
      <x:c r="J94" s="1537" t="str">
        <x:v>Pozycja złożona; stary eksport mógł zaokrąglać składniki osobno.</x:v>
      </x:c>
    </x:row>
    <x:row r="95" ht="19" customHeight="1">
      <x:c r="A95" t="str">
        <x:v>300 x 906 cm</x:v>
      </x:c>
      <x:c r="B95" t="str">
        <x:v>roof_poly_colored</x:v>
      </x:c>
      <x:c r="C95" s="1533" t="n">
        <x:v>577</x:v>
      </x:c>
      <x:c r="D95" s="1533" t="n">
        <x:v>623</x:v>
      </x:c>
      <x:c r="E95" s="1533" t="n">
        <x:v>623.16</x:v>
      </x:c>
      <x:c r="F95" s="1533" t="n">
        <x:v>623</x:v>
      </x:c>
      <x:c r="G95" s="1535" t="n">
        <x:v>0</x:v>
      </x:c>
      <x:c r="H95" s="1535" t="n">
        <x:v>0</x:v>
      </x:c>
      <x:c r="I95" t="str">
        <x:v>OK — pełna zgodność</x:v>
      </x:c>
      <x:c r="J95" s="1537" t="str"/>
    </x:row>
    <x:row r="96" ht="19" customHeight="1">
      <x:c r="A96" t="str">
        <x:v>300 x 906 cm</x:v>
      </x:c>
      <x:c r="B96" t="str">
        <x:v>roof_glass_clear</x:v>
      </x:c>
      <x:c r="C96" s="1533" t="n">
        <x:v>6165</x:v>
      </x:c>
      <x:c r="D96" s="1533" t="n">
        <x:v>6658</x:v>
      </x:c>
      <x:c r="E96" s="1533" t="n">
        <x:v>6658.2</x:v>
      </x:c>
      <x:c r="F96" s="1533" t="n">
        <x:v>6658</x:v>
      </x:c>
      <x:c r="G96" s="1535" t="n">
        <x:v>0</x:v>
      </x:c>
      <x:c r="H96" s="1535" t="n">
        <x:v>0</x:v>
      </x:c>
      <x:c r="I96" t="str">
        <x:v>OK — pełna zgodność</x:v>
      </x:c>
      <x:c r="J96" s="1537" t="str"/>
    </x:row>
    <x:row r="97" ht="19" customHeight="1">
      <x:c r="A97" t="str">
        <x:v>300 x 906 cm</x:v>
      </x:c>
      <x:c r="B97" t="str">
        <x:v>roof_glass_tinted</x:v>
      </x:c>
      <x:c r="C97" s="1533" t="n">
        <x:v>7344</x:v>
      </x:c>
      <x:c r="D97" s="1533" t="n">
        <x:v>7931</x:v>
      </x:c>
      <x:c r="E97" s="1533" t="n">
        <x:v>7931.52</x:v>
      </x:c>
      <x:c r="F97" s="1533" t="n">
        <x:v>7932</x:v>
      </x:c>
      <x:c r="G97" s="1535" t="n">
        <x:v>1</x:v>
      </x:c>
      <x:c r="H97" s="1535" t="n">
        <x:v>1</x:v>
      </x:c>
      <x:c r="I97" t="str">
        <x:v>OK — zaokrąglenie ±1 zł</x:v>
      </x:c>
      <x:c r="J97" s="1537" t="str">
        <x:v>Pozycja złożona; stary eksport mógł zaokrąglać składniki osobno.</x:v>
      </x:c>
    </x:row>
    <x:row r="98" ht="19" customHeight="1">
      <x:c r="A98" t="str">
        <x:v>300 x 906 cm</x:v>
      </x:c>
      <x:c r="B98" t="str">
        <x:v>zip_side</x:v>
      </x:c>
      <x:c r="C98" s="1533" t="n">
        <x:v>2523</x:v>
      </x:c>
      <x:c r="D98" s="1533" t="n">
        <x:v>2725</x:v>
      </x:c>
      <x:c r="E98" s="1533" t="n">
        <x:v>2724.84</x:v>
      </x:c>
      <x:c r="F98" s="1533" t="n">
        <x:v>2725</x:v>
      </x:c>
      <x:c r="G98" s="1535" t="n">
        <x:v>0</x:v>
      </x:c>
      <x:c r="H98" s="1535" t="n">
        <x:v>0</x:v>
      </x:c>
      <x:c r="I98" t="str">
        <x:v>OK — pełna zgodność</x:v>
      </x:c>
      <x:c r="J98" s="1537" t="str"/>
    </x:row>
    <x:row r="99" ht="19" customHeight="1">
      <x:c r="A99" t="str">
        <x:v>300 x 906 cm</x:v>
      </x:c>
      <x:c r="B99" t="str">
        <x:v>zip_front</x:v>
      </x:c>
      <x:c r="C99" s="1533" t="n">
        <x:v>7544</x:v>
      </x:c>
      <x:c r="D99" s="1533" t="n">
        <x:v>8148</x:v>
      </x:c>
      <x:c r="E99" s="1533" t="n">
        <x:v>8147.52</x:v>
      </x:c>
      <x:c r="F99" s="1533" t="n">
        <x:v>8148</x:v>
      </x:c>
      <x:c r="G99" s="1535" t="n">
        <x:v>0</x:v>
      </x:c>
      <x:c r="H99" s="1535" t="n">
        <x:v>0</x:v>
      </x:c>
      <x:c r="I99" t="str">
        <x:v>OK — pełna zgodność</x:v>
      </x:c>
      <x:c r="J99" s="1537" t="str"/>
    </x:row>
    <x:row r="100" ht="19" customHeight="1">
      <x:c r="A100" t="str">
        <x:v>300 x 906 cm</x:v>
      </x:c>
      <x:c r="B100" t="str">
        <x:v>awning</x:v>
      </x:c>
      <x:c r="C100" s="1533" t="n">
        <x:v>10940</x:v>
      </x:c>
      <x:c r="D100" s="1533" t="n">
        <x:v>11815</x:v>
      </x:c>
      <x:c r="E100" s="1533" t="n">
        <x:v>11815.2</x:v>
      </x:c>
      <x:c r="F100" s="1533" t="n">
        <x:v>11815</x:v>
      </x:c>
      <x:c r="G100" s="1535" t="n">
        <x:v>0</x:v>
      </x:c>
      <x:c r="H100" s="1535" t="n">
        <x:v>0</x:v>
      </x:c>
      <x:c r="I100" t="str">
        <x:v>OK — pełna zgodność</x:v>
      </x:c>
      <x:c r="J100" s="1537" t="str"/>
    </x:row>
    <x:row r="101" ht="19" customHeight="1">
      <x:c r="A101" t="str">
        <x:v>300 x 906 cm</x:v>
      </x:c>
      <x:c r="B101" t="str">
        <x:v>foundation</x:v>
      </x:c>
      <x:c r="C101" s="1533" t="n">
        <x:v>2235</x:v>
      </x:c>
      <x:c r="D101" s="1533" t="n">
        <x:v>2414</x:v>
      </x:c>
      <x:c r="E101" s="1533" t="n">
        <x:v>2413.8</x:v>
      </x:c>
      <x:c r="F101" s="1533" t="n">
        <x:v>2414</x:v>
      </x:c>
      <x:c r="G101" s="1535" t="n">
        <x:v>0</x:v>
      </x:c>
      <x:c r="H101" s="1535" t="n">
        <x:v>0</x:v>
      </x:c>
      <x:c r="I101" t="str">
        <x:v>OK — pełna zgodność</x:v>
      </x:c>
      <x:c r="J101" s="1537" t="str"/>
    </x:row>
    <x:row r="102" ht="19" customHeight="1">
      <x:c r="A102" t="str">
        <x:v>300 x 906 cm</x:v>
      </x:c>
      <x:c r="B102" t="str">
        <x:v>led_point</x:v>
      </x:c>
      <x:c r="C102" s="1533" t="n">
        <x:v>1227</x:v>
      </x:c>
      <x:c r="D102" s="1533" t="n">
        <x:v>1325</x:v>
      </x:c>
      <x:c r="E102" s="1533" t="n">
        <x:v>1325.16</x:v>
      </x:c>
      <x:c r="F102" s="1533" t="n">
        <x:v>1325</x:v>
      </x:c>
      <x:c r="G102" s="1535" t="n">
        <x:v>0</x:v>
      </x:c>
      <x:c r="H102" s="1535" t="n">
        <x:v>0</x:v>
      </x:c>
      <x:c r="I102" t="str">
        <x:v>OK — pełna zgodność</x:v>
      </x:c>
      <x:c r="J102" s="1537" t="str"/>
    </x:row>
    <x:row r="103" ht="19" customHeight="1">
      <x:c r="A103" t="str">
        <x:v>300 x 906 cm</x:v>
      </x:c>
      <x:c r="B103" t="str">
        <x:v>led_cct</x:v>
      </x:c>
      <x:c r="C103" s="1533" t="n">
        <x:v>2161</x:v>
      </x:c>
      <x:c r="D103" s="1533" t="n">
        <x:v>2333</x:v>
      </x:c>
      <x:c r="E103" s="1533" t="n">
        <x:v>2333.88</x:v>
      </x:c>
      <x:c r="F103" s="1533" t="n">
        <x:v>2334</x:v>
      </x:c>
      <x:c r="G103" s="1535" t="n">
        <x:v>1</x:v>
      </x:c>
      <x:c r="H103" s="1535" t="n">
        <x:v>1</x:v>
      </x:c>
      <x:c r="I103" t="str">
        <x:v>OK — zaokrąglenie ±1 zł</x:v>
      </x:c>
      <x:c r="J103" s="1537" t="str"/>
    </x:row>
    <x:row r="104" ht="19" customHeight="1">
      <x:c r="A104" t="str">
        <x:v>300 x 906 cm</x:v>
      </x:c>
      <x:c r="B104" t="str">
        <x:v>brushes</x:v>
      </x:c>
      <x:c r="C104" s="1533" t="n">
        <x:v>671</x:v>
      </x:c>
      <x:c r="D104" s="1533" t="n">
        <x:v>725</x:v>
      </x:c>
      <x:c r="E104" s="1533" t="n">
        <x:v>724.68</x:v>
      </x:c>
      <x:c r="F104" s="1533" t="n">
        <x:v>725</x:v>
      </x:c>
      <x:c r="G104" s="1535" t="n">
        <x:v>0</x:v>
      </x:c>
      <x:c r="H104" s="1535" t="n">
        <x:v>0</x:v>
      </x:c>
      <x:c r="I104" t="str">
        <x:v>OK — pełna zgodność</x:v>
      </x:c>
      <x:c r="J104" s="1537" t="str"/>
    </x:row>
    <x:row r="105" ht="19" customHeight="1">
      <x:c r="A105" t="str">
        <x:v>300 x 906 cm</x:v>
      </x:c>
      <x:c r="B105" t="str">
        <x:v>handles</x:v>
      </x:c>
      <x:c r="C105" s="1533" t="n">
        <x:v>613</x:v>
      </x:c>
      <x:c r="D105" s="1533" t="n">
        <x:v>662</x:v>
      </x:c>
      <x:c r="E105" s="1533" t="n">
        <x:v>662.04</x:v>
      </x:c>
      <x:c r="F105" s="1533" t="n">
        <x:v>662</x:v>
      </x:c>
      <x:c r="G105" s="1535" t="n">
        <x:v>0</x:v>
      </x:c>
      <x:c r="H105" s="1535" t="n">
        <x:v>0</x:v>
      </x:c>
      <x:c r="I105" t="str">
        <x:v>OK — pełna zgodność</x:v>
      </x:c>
      <x:c r="J105" s="1537" t="str"/>
    </x:row>
    <x:row r="106" ht="19" customHeight="1">
      <x:c r="A106" t="str">
        <x:v>300 x 906 cm</x:v>
      </x:c>
      <x:c r="B106" t="str">
        <x:v>carriers</x:v>
      </x:c>
      <x:c r="C106" s="1533" t="n">
        <x:v>471</x:v>
      </x:c>
      <x:c r="D106" s="1533" t="n">
        <x:v>509</x:v>
      </x:c>
      <x:c r="E106" s="1533" t="n">
        <x:v>508.68</x:v>
      </x:c>
      <x:c r="F106" s="1533" t="n">
        <x:v>509</x:v>
      </x:c>
      <x:c r="G106" s="1535" t="n">
        <x:v>0</x:v>
      </x:c>
      <x:c r="H106" s="1535" t="n">
        <x:v>0</x:v>
      </x:c>
      <x:c r="I106" t="str">
        <x:v>OK — pełna zgodność</x:v>
      </x:c>
      <x:c r="J106" s="1537" t="str"/>
    </x:row>
    <x:row r="107" ht="19" customHeight="1">
      <x:c r="A107" t="str">
        <x:v>300 x 1006 cm</x:v>
      </x:c>
      <x:c r="B107" t="str">
        <x:v>base_poly</x:v>
      </x:c>
      <x:c r="C107" s="1533" t="n">
        <x:v>19962</x:v>
      </x:c>
      <x:c r="D107" s="1533" t="n">
        <x:v>21559</x:v>
      </x:c>
      <x:c r="E107" s="1533" t="n">
        <x:v>21558.96</x:v>
      </x:c>
      <x:c r="F107" s="1533" t="n">
        <x:v>21559</x:v>
      </x:c>
      <x:c r="G107" s="1535" t="n">
        <x:v>0</x:v>
      </x:c>
      <x:c r="H107" s="1535" t="n">
        <x:v>0</x:v>
      </x:c>
      <x:c r="I107" t="str">
        <x:v>OK — pełna zgodność</x:v>
      </x:c>
      <x:c r="J107" s="1537" t="str"/>
    </x:row>
    <x:row r="108" ht="19" customHeight="1">
      <x:c r="A108" t="str">
        <x:v>300 x 1006 cm</x:v>
      </x:c>
      <x:c r="B108" t="str">
        <x:v>walls_clear</x:v>
      </x:c>
      <x:c r="C108" s="1533" t="n">
        <x:v>20742</x:v>
      </x:c>
      <x:c r="D108" s="1533" t="n">
        <x:v>22401</x:v>
      </x:c>
      <x:c r="E108" s="1533" t="n">
        <x:v>22401.36</x:v>
      </x:c>
      <x:c r="F108" s="1533" t="n">
        <x:v>22401</x:v>
      </x:c>
      <x:c r="G108" s="1535" t="n">
        <x:v>0</x:v>
      </x:c>
      <x:c r="H108" s="1535" t="n">
        <x:v>0</x:v>
      </x:c>
      <x:c r="I108" t="str">
        <x:v>OK — pełna zgodność</x:v>
      </x:c>
      <x:c r="J108" s="1537" t="str"/>
    </x:row>
    <x:row r="109" ht="19" customHeight="1">
      <x:c r="A109" t="str">
        <x:v>300 x 1006 cm</x:v>
      </x:c>
      <x:c r="B109" t="str">
        <x:v>walls_tinted</x:v>
      </x:c>
      <x:c r="C109" s="1533" t="n">
        <x:v>23005</x:v>
      </x:c>
      <x:c r="D109" s="1533" t="n">
        <x:v>24845</x:v>
      </x:c>
      <x:c r="E109" s="1533" t="n">
        <x:v>24845.4</x:v>
      </x:c>
      <x:c r="F109" s="1533" t="n">
        <x:v>24845</x:v>
      </x:c>
      <x:c r="G109" s="1535" t="n">
        <x:v>0</x:v>
      </x:c>
      <x:c r="H109" s="1535" t="n">
        <x:v>0</x:v>
      </x:c>
      <x:c r="I109" t="str">
        <x:v>OK — pełna zgodność</x:v>
      </x:c>
      <x:c r="J109" s="1537" t="str">
        <x:v>Pozycja złożona; stary eksport mógł zaokrąglać składniki osobno.</x:v>
      </x:c>
    </x:row>
    <x:row r="110" ht="19" customHeight="1">
      <x:c r="A110" t="str">
        <x:v>300 x 1006 cm</x:v>
      </x:c>
      <x:c r="B110" t="str">
        <x:v>roof_poly_colored</x:v>
      </x:c>
      <x:c r="C110" s="1533" t="n">
        <x:v>648</x:v>
      </x:c>
      <x:c r="D110" s="1533" t="n">
        <x:v>700</x:v>
      </x:c>
      <x:c r="E110" s="1533" t="n">
        <x:v>699.84</x:v>
      </x:c>
      <x:c r="F110" s="1533" t="n">
        <x:v>700</x:v>
      </x:c>
      <x:c r="G110" s="1535" t="n">
        <x:v>0</x:v>
      </x:c>
      <x:c r="H110" s="1535" t="n">
        <x:v>0</x:v>
      </x:c>
      <x:c r="I110" t="str">
        <x:v>OK — pełna zgodność</x:v>
      </x:c>
      <x:c r="J110" s="1537" t="str"/>
    </x:row>
    <x:row r="111" ht="19" customHeight="1">
      <x:c r="A111" t="str">
        <x:v>300 x 1006 cm</x:v>
      </x:c>
      <x:c r="B111" t="str">
        <x:v>roof_glass_clear</x:v>
      </x:c>
      <x:c r="C111" s="1533" t="n">
        <x:v>6814</x:v>
      </x:c>
      <x:c r="D111" s="1533" t="n">
        <x:v>7359</x:v>
      </x:c>
      <x:c r="E111" s="1533" t="n">
        <x:v>7359.12</x:v>
      </x:c>
      <x:c r="F111" s="1533" t="n">
        <x:v>7359</x:v>
      </x:c>
      <x:c r="G111" s="1535" t="n">
        <x:v>0</x:v>
      </x:c>
      <x:c r="H111" s="1535" t="n">
        <x:v>0</x:v>
      </x:c>
      <x:c r="I111" t="str">
        <x:v>OK — pełna zgodność</x:v>
      </x:c>
      <x:c r="J111" s="1537" t="str"/>
    </x:row>
    <x:row r="112" ht="19" customHeight="1">
      <x:c r="A112" t="str">
        <x:v>300 x 1006 cm</x:v>
      </x:c>
      <x:c r="B112" t="str">
        <x:v>roof_glass_tinted</x:v>
      </x:c>
      <x:c r="C112" s="1533" t="n">
        <x:v>8122</x:v>
      </x:c>
      <x:c r="D112" s="1533" t="n">
        <x:v>8772</x:v>
      </x:c>
      <x:c r="E112" s="1533" t="n">
        <x:v>8771.76</x:v>
      </x:c>
      <x:c r="F112" s="1533" t="n">
        <x:v>8772</x:v>
      </x:c>
      <x:c r="G112" s="1535" t="n">
        <x:v>0</x:v>
      </x:c>
      <x:c r="H112" s="1535" t="n">
        <x:v>0</x:v>
      </x:c>
      <x:c r="I112" t="str">
        <x:v>OK — pełna zgodność</x:v>
      </x:c>
      <x:c r="J112" s="1537" t="str">
        <x:v>Pozycja złożona; stary eksport mógł zaokrąglać składniki osobno.</x:v>
      </x:c>
    </x:row>
    <x:row r="113" ht="19" customHeight="1">
      <x:c r="A113" t="str">
        <x:v>300 x 1006 cm</x:v>
      </x:c>
      <x:c r="B113" t="str">
        <x:v>zip_side</x:v>
      </x:c>
      <x:c r="C113" s="1533" t="n">
        <x:v>2523</x:v>
      </x:c>
      <x:c r="D113" s="1533" t="n">
        <x:v>2725</x:v>
      </x:c>
      <x:c r="E113" s="1533" t="n">
        <x:v>2724.84</x:v>
      </x:c>
      <x:c r="F113" s="1533" t="n">
        <x:v>2725</x:v>
      </x:c>
      <x:c r="G113" s="1535" t="n">
        <x:v>0</x:v>
      </x:c>
      <x:c r="H113" s="1535" t="n">
        <x:v>0</x:v>
      </x:c>
      <x:c r="I113" t="str">
        <x:v>OK — pełna zgodność</x:v>
      </x:c>
      <x:c r="J113" s="1537" t="str"/>
    </x:row>
    <x:row r="114" ht="19" customHeight="1">
      <x:c r="A114" t="str">
        <x:v>300 x 1006 cm</x:v>
      </x:c>
      <x:c r="B114" t="str">
        <x:v>zip_front</x:v>
      </x:c>
      <x:c r="C114" s="1533" t="n">
        <x:v>8146</x:v>
      </x:c>
      <x:c r="D114" s="1533" t="n">
        <x:v>8798</x:v>
      </x:c>
      <x:c r="E114" s="1533" t="n">
        <x:v>8797.68</x:v>
      </x:c>
      <x:c r="F114" s="1533" t="n">
        <x:v>8798</x:v>
      </x:c>
      <x:c r="G114" s="1535" t="n">
        <x:v>0</x:v>
      </x:c>
      <x:c r="H114" s="1535" t="n">
        <x:v>0</x:v>
      </x:c>
      <x:c r="I114" t="str">
        <x:v>OK — pełna zgodność</x:v>
      </x:c>
      <x:c r="J114" s="1537" t="str"/>
    </x:row>
    <x:row r="115" ht="19" customHeight="1">
      <x:c r="A115" t="str">
        <x:v>300 x 1006 cm</x:v>
      </x:c>
      <x:c r="B115" t="str">
        <x:v>awning</x:v>
      </x:c>
      <x:c r="C115" s="1533" t="n">
        <x:v>11729</x:v>
      </x:c>
      <x:c r="D115" s="1533" t="n">
        <x:v>12667</x:v>
      </x:c>
      <x:c r="E115" s="1533" t="n">
        <x:v>12667.32</x:v>
      </x:c>
      <x:c r="F115" s="1533" t="n">
        <x:v>12667</x:v>
      </x:c>
      <x:c r="G115" s="1535" t="n">
        <x:v>0</x:v>
      </x:c>
      <x:c r="H115" s="1535" t="n">
        <x:v>0</x:v>
      </x:c>
      <x:c r="I115" t="str">
        <x:v>OK — pełna zgodność</x:v>
      </x:c>
      <x:c r="J115" s="1537" t="str"/>
    </x:row>
    <x:row r="116" ht="19" customHeight="1">
      <x:c r="A116" t="str">
        <x:v>300 x 1006 cm</x:v>
      </x:c>
      <x:c r="B116" t="str">
        <x:v>foundation</x:v>
      </x:c>
      <x:c r="C116" s="1533" t="n">
        <x:v>2468</x:v>
      </x:c>
      <x:c r="D116" s="1533" t="n">
        <x:v>2665</x:v>
      </x:c>
      <x:c r="E116" s="1533" t="n">
        <x:v>2665.44</x:v>
      </x:c>
      <x:c r="F116" s="1533" t="n">
        <x:v>2665</x:v>
      </x:c>
      <x:c r="G116" s="1535" t="n">
        <x:v>0</x:v>
      </x:c>
      <x:c r="H116" s="1535" t="n">
        <x:v>0</x:v>
      </x:c>
      <x:c r="I116" t="str">
        <x:v>OK — pełna zgodność</x:v>
      </x:c>
      <x:c r="J116" s="1537" t="str"/>
    </x:row>
    <x:row r="117" ht="19" customHeight="1">
      <x:c r="A117" t="str">
        <x:v>300 x 1006 cm</x:v>
      </x:c>
      <x:c r="B117" t="str">
        <x:v>led_point</x:v>
      </x:c>
      <x:c r="C117" s="1533" t="n">
        <x:v>1450</x:v>
      </x:c>
      <x:c r="D117" s="1533" t="n">
        <x:v>1566</x:v>
      </x:c>
      <x:c r="E117" s="1533" t="n">
        <x:v>1566</x:v>
      </x:c>
      <x:c r="F117" s="1533" t="n">
        <x:v>1566</x:v>
      </x:c>
      <x:c r="G117" s="1535" t="n">
        <x:v>0</x:v>
      </x:c>
      <x:c r="H117" s="1535" t="n">
        <x:v>0</x:v>
      </x:c>
      <x:c r="I117" t="str">
        <x:v>OK — pełna zgodność</x:v>
      </x:c>
      <x:c r="J117" s="1537" t="str"/>
    </x:row>
    <x:row r="118" ht="19" customHeight="1">
      <x:c r="A118" t="str">
        <x:v>300 x 1006 cm</x:v>
      </x:c>
      <x:c r="B118" t="str">
        <x:v>led_cct</x:v>
      </x:c>
      <x:c r="C118" s="1533" t="n">
        <x:v>2581</x:v>
      </x:c>
      <x:c r="D118" s="1533" t="n">
        <x:v>2787</x:v>
      </x:c>
      <x:c r="E118" s="1533" t="n">
        <x:v>2787.48</x:v>
      </x:c>
      <x:c r="F118" s="1533" t="n">
        <x:v>2787</x:v>
      </x:c>
      <x:c r="G118" s="1535" t="n">
        <x:v>0</x:v>
      </x:c>
      <x:c r="H118" s="1535" t="n">
        <x:v>0</x:v>
      </x:c>
      <x:c r="I118" t="str">
        <x:v>OK — pełna zgodność</x:v>
      </x:c>
      <x:c r="J118" s="1537" t="str"/>
    </x:row>
    <x:row r="119" ht="19" customHeight="1">
      <x:c r="A119" t="str">
        <x:v>300 x 1006 cm</x:v>
      </x:c>
      <x:c r="B119" t="str">
        <x:v>brushes</x:v>
      </x:c>
      <x:c r="C119" s="1533" t="n">
        <x:v>719</x:v>
      </x:c>
      <x:c r="D119" s="1533" t="n">
        <x:v>777</x:v>
      </x:c>
      <x:c r="E119" s="1533" t="n">
        <x:v>776.52</x:v>
      </x:c>
      <x:c r="F119" s="1533" t="n">
        <x:v>777</x:v>
      </x:c>
      <x:c r="G119" s="1535" t="n">
        <x:v>0</x:v>
      </x:c>
      <x:c r="H119" s="1535" t="n">
        <x:v>0</x:v>
      </x:c>
      <x:c r="I119" t="str">
        <x:v>OK — pełna zgodność</x:v>
      </x:c>
      <x:c r="J119" s="1537" t="str"/>
    </x:row>
    <x:row r="120" ht="19" customHeight="1">
      <x:c r="A120" t="str">
        <x:v>300 x 1006 cm</x:v>
      </x:c>
      <x:c r="B120" t="str">
        <x:v>handles</x:v>
      </x:c>
      <x:c r="C120" s="1533" t="n">
        <x:v>648</x:v>
      </x:c>
      <x:c r="D120" s="1533" t="n">
        <x:v>700</x:v>
      </x:c>
      <x:c r="E120" s="1533" t="n">
        <x:v>699.84</x:v>
      </x:c>
      <x:c r="F120" s="1533" t="n">
        <x:v>700</x:v>
      </x:c>
      <x:c r="G120" s="1535" t="n">
        <x:v>0</x:v>
      </x:c>
      <x:c r="H120" s="1535" t="n">
        <x:v>0</x:v>
      </x:c>
      <x:c r="I120" t="str">
        <x:v>OK — pełna zgodność</x:v>
      </x:c>
      <x:c r="J120" s="1537" t="str"/>
    </x:row>
    <x:row r="121" ht="19" customHeight="1">
      <x:c r="A121" t="str">
        <x:v>300 x 1006 cm</x:v>
      </x:c>
      <x:c r="B121" t="str">
        <x:v>carriers</x:v>
      </x:c>
      <x:c r="C121" s="1533" t="n">
        <x:v>519</x:v>
      </x:c>
      <x:c r="D121" s="1533" t="n">
        <x:v>561</x:v>
      </x:c>
      <x:c r="E121" s="1533" t="n">
        <x:v>560.52</x:v>
      </x:c>
      <x:c r="F121" s="1533" t="n">
        <x:v>561</x:v>
      </x:c>
      <x:c r="G121" s="1535" t="n">
        <x:v>0</x:v>
      </x:c>
      <x:c r="H121" s="1535" t="n">
        <x:v>0</x:v>
      </x:c>
      <x:c r="I121" t="str">
        <x:v>OK — pełna zgodność</x:v>
      </x:c>
      <x:c r="J121" s="1537" t="str"/>
    </x:row>
    <x:row r="122" ht="19" customHeight="1">
      <x:c r="A122" t="str">
        <x:v>300 x 1106 cm</x:v>
      </x:c>
      <x:c r="B122" t="str">
        <x:v>base_poly</x:v>
      </x:c>
      <x:c r="C122" s="1533" t="n">
        <x:v>21351</x:v>
      </x:c>
      <x:c r="D122" s="1533" t="n">
        <x:v>23059</x:v>
      </x:c>
      <x:c r="E122" s="1533" t="n">
        <x:v>23059.08</x:v>
      </x:c>
      <x:c r="F122" s="1533" t="n">
        <x:v>23059</x:v>
      </x:c>
      <x:c r="G122" s="1535" t="n">
        <x:v>0</x:v>
      </x:c>
      <x:c r="H122" s="1535" t="n">
        <x:v>0</x:v>
      </x:c>
      <x:c r="I122" t="str">
        <x:v>OK — pełna zgodność</x:v>
      </x:c>
      <x:c r="J122" s="1537" t="str"/>
    </x:row>
    <x:row r="123" ht="19" customHeight="1">
      <x:c r="A123" t="str">
        <x:v>300 x 1106 cm</x:v>
      </x:c>
      <x:c r="B123" t="str">
        <x:v>walls_clear</x:v>
      </x:c>
      <x:c r="C123" s="1533" t="n">
        <x:v>22256</x:v>
      </x:c>
      <x:c r="D123" s="1533" t="n">
        <x:v>24036</x:v>
      </x:c>
      <x:c r="E123" s="1533" t="n">
        <x:v>24036.48</x:v>
      </x:c>
      <x:c r="F123" s="1533" t="n">
        <x:v>24036</x:v>
      </x:c>
      <x:c r="G123" s="1535" t="n">
        <x:v>0</x:v>
      </x:c>
      <x:c r="H123" s="1535" t="n">
        <x:v>0</x:v>
      </x:c>
      <x:c r="I123" t="str">
        <x:v>OK — pełna zgodność</x:v>
      </x:c>
      <x:c r="J123" s="1537" t="str"/>
    </x:row>
    <x:row r="124" ht="19" customHeight="1">
      <x:c r="A124" t="str">
        <x:v>300 x 1106 cm</x:v>
      </x:c>
      <x:c r="B124" t="str">
        <x:v>walls_tinted</x:v>
      </x:c>
      <x:c r="C124" s="1533" t="n">
        <x:v>24662</x:v>
      </x:c>
      <x:c r="D124" s="1533" t="n">
        <x:v>26634</x:v>
      </x:c>
      <x:c r="E124" s="1533" t="n">
        <x:v>26634.96</x:v>
      </x:c>
      <x:c r="F124" s="1533" t="n">
        <x:v>26635</x:v>
      </x:c>
      <x:c r="G124" s="1535" t="n">
        <x:v>1</x:v>
      </x:c>
      <x:c r="H124" s="1535" t="n">
        <x:v>1</x:v>
      </x:c>
      <x:c r="I124" t="str">
        <x:v>OK — zaokrąglenie ±1 zł</x:v>
      </x:c>
      <x:c r="J124" s="1537" t="str">
        <x:v>Pozycja złożona; stary eksport mógł zaokrąglać składniki osobno.</x:v>
      </x:c>
    </x:row>
    <x:row r="125" ht="19" customHeight="1">
      <x:c r="A125" t="str">
        <x:v>300 x 1106 cm</x:v>
      </x:c>
      <x:c r="B125" t="str">
        <x:v>roof_poly_colored</x:v>
      </x:c>
      <x:c r="C125" s="1533" t="n">
        <x:v>731</x:v>
      </x:c>
      <x:c r="D125" s="1533" t="n">
        <x:v>789</x:v>
      </x:c>
      <x:c r="E125" s="1533" t="n">
        <x:v>789.48</x:v>
      </x:c>
      <x:c r="F125" s="1533" t="n">
        <x:v>789</x:v>
      </x:c>
      <x:c r="G125" s="1535" t="n">
        <x:v>0</x:v>
      </x:c>
      <x:c r="H125" s="1535" t="n">
        <x:v>0</x:v>
      </x:c>
      <x:c r="I125" t="str">
        <x:v>OK — pełna zgodność</x:v>
      </x:c>
      <x:c r="J125" s="1537" t="str"/>
    </x:row>
    <x:row r="126" ht="19" customHeight="1">
      <x:c r="A126" t="str">
        <x:v>300 x 1106 cm</x:v>
      </x:c>
      <x:c r="B126" t="str">
        <x:v>roof_glass_clear</x:v>
      </x:c>
      <x:c r="C126" s="1533" t="n">
        <x:v>7498</x:v>
      </x:c>
      <x:c r="D126" s="1533" t="n">
        <x:v>8098</x:v>
      </x:c>
      <x:c r="E126" s="1533" t="n">
        <x:v>8097.84</x:v>
      </x:c>
      <x:c r="F126" s="1533" t="n">
        <x:v>8098</x:v>
      </x:c>
      <x:c r="G126" s="1535" t="n">
        <x:v>0</x:v>
      </x:c>
      <x:c r="H126" s="1535" t="n">
        <x:v>0</x:v>
      </x:c>
      <x:c r="I126" t="str">
        <x:v>OK — pełna zgodność</x:v>
      </x:c>
      <x:c r="J126" s="1537" t="str"/>
    </x:row>
    <x:row r="127" ht="19" customHeight="1">
      <x:c r="A127" t="str">
        <x:v>300 x 1106 cm</x:v>
      </x:c>
      <x:c r="B127" t="str">
        <x:v>roof_glass_tinted</x:v>
      </x:c>
      <x:c r="C127" s="1533" t="n">
        <x:v>8936</x:v>
      </x:c>
      <x:c r="D127" s="1533" t="n">
        <x:v>9651</x:v>
      </x:c>
      <x:c r="E127" s="1533" t="n">
        <x:v>9650.88</x:v>
      </x:c>
      <x:c r="F127" s="1533" t="n">
        <x:v>9651</x:v>
      </x:c>
      <x:c r="G127" s="1535" t="n">
        <x:v>0</x:v>
      </x:c>
      <x:c r="H127" s="1535" t="n">
        <x:v>0</x:v>
      </x:c>
      <x:c r="I127" t="str">
        <x:v>OK — pełna zgodność</x:v>
      </x:c>
      <x:c r="J127" s="1537" t="str">
        <x:v>Pozycja złożona; stary eksport mógł zaokrąglać składniki osobno.</x:v>
      </x:c>
    </x:row>
    <x:row r="128" ht="19" customHeight="1">
      <x:c r="A128" t="str">
        <x:v>300 x 1106 cm</x:v>
      </x:c>
      <x:c r="B128" t="str">
        <x:v>zip_side</x:v>
      </x:c>
      <x:c r="C128" s="1533" t="n">
        <x:v>2523</x:v>
      </x:c>
      <x:c r="D128" s="1533" t="n">
        <x:v>2725</x:v>
      </x:c>
      <x:c r="E128" s="1533" t="n">
        <x:v>2724.84</x:v>
      </x:c>
      <x:c r="F128" s="1533" t="n">
        <x:v>2725</x:v>
      </x:c>
      <x:c r="G128" s="1535" t="n">
        <x:v>0</x:v>
      </x:c>
      <x:c r="H128" s="1535" t="n">
        <x:v>0</x:v>
      </x:c>
      <x:c r="I128" t="str">
        <x:v>OK — pełna zgodność</x:v>
      </x:c>
      <x:c r="J128" s="1537" t="str"/>
    </x:row>
    <x:row r="129" ht="19" customHeight="1">
      <x:c r="A129" t="str">
        <x:v>300 x 1106 cm</x:v>
      </x:c>
      <x:c r="B129" t="str">
        <x:v>zip_front</x:v>
      </x:c>
      <x:c r="C129" s="1533" t="n">
        <x:v>8748</x:v>
      </x:c>
      <x:c r="D129" s="1533" t="n">
        <x:v>9448</x:v>
      </x:c>
      <x:c r="E129" s="1533" t="n">
        <x:v>9447.84</x:v>
      </x:c>
      <x:c r="F129" s="1533" t="n">
        <x:v>9448</x:v>
      </x:c>
      <x:c r="G129" s="1535" t="n">
        <x:v>0</x:v>
      </x:c>
      <x:c r="H129" s="1535" t="n">
        <x:v>0</x:v>
      </x:c>
      <x:c r="I129" t="str">
        <x:v>OK — pełna zgodność</x:v>
      </x:c>
      <x:c r="J129" s="1537" t="str"/>
    </x:row>
    <x:row r="130" ht="19" customHeight="1">
      <x:c r="A130" t="str">
        <x:v>300 x 1106 cm</x:v>
      </x:c>
      <x:c r="B130" t="str">
        <x:v>awning</x:v>
      </x:c>
      <x:c r="C130" s="1533" t="n">
        <x:v>14736</x:v>
      </x:c>
      <x:c r="D130" s="1533" t="n">
        <x:v>15915</x:v>
      </x:c>
      <x:c r="E130" s="1533" t="n">
        <x:v>15914.88</x:v>
      </x:c>
      <x:c r="F130" s="1533" t="n">
        <x:v>15915</x:v>
      </x:c>
      <x:c r="G130" s="1535" t="n">
        <x:v>0</x:v>
      </x:c>
      <x:c r="H130" s="1535" t="n">
        <x:v>0</x:v>
      </x:c>
      <x:c r="I130" t="str">
        <x:v>OK — pełna zgodność</x:v>
      </x:c>
      <x:c r="J130" s="1537" t="str"/>
    </x:row>
    <x:row r="131" ht="19" customHeight="1">
      <x:c r="A131" t="str">
        <x:v>300 x 1106 cm</x:v>
      </x:c>
      <x:c r="B131" t="str">
        <x:v>foundation</x:v>
      </x:c>
      <x:c r="C131" s="1533" t="n">
        <x:v>3505</x:v>
      </x:c>
      <x:c r="D131" s="1533" t="n">
        <x:v>3785</x:v>
      </x:c>
      <x:c r="E131" s="1533" t="n">
        <x:v>3785.4</x:v>
      </x:c>
      <x:c r="F131" s="1533" t="n">
        <x:v>3785</x:v>
      </x:c>
      <x:c r="G131" s="1535" t="n">
        <x:v>0</x:v>
      </x:c>
      <x:c r="H131" s="1535" t="n">
        <x:v>0</x:v>
      </x:c>
      <x:c r="I131" t="str">
        <x:v>OK — pełna zgodność</x:v>
      </x:c>
      <x:c r="J131" s="1537" t="str"/>
    </x:row>
    <x:row r="132" ht="19" customHeight="1">
      <x:c r="A132" t="str">
        <x:v>300 x 1106 cm</x:v>
      </x:c>
      <x:c r="B132" t="str">
        <x:v>led_point</x:v>
      </x:c>
      <x:c r="C132" s="1533" t="n">
        <x:v>1686</x:v>
      </x:c>
      <x:c r="D132" s="1533" t="n">
        <x:v>1821</x:v>
      </x:c>
      <x:c r="E132" s="1533" t="n">
        <x:v>1820.88</x:v>
      </x:c>
      <x:c r="F132" s="1533" t="n">
        <x:v>1821</x:v>
      </x:c>
      <x:c r="G132" s="1535" t="n">
        <x:v>0</x:v>
      </x:c>
      <x:c r="H132" s="1535" t="n">
        <x:v>0</x:v>
      </x:c>
      <x:c r="I132" t="str">
        <x:v>OK — pełna zgodność</x:v>
      </x:c>
      <x:c r="J132" s="1537" t="str"/>
    </x:row>
    <x:row r="133" ht="19" customHeight="1">
      <x:c r="A133" t="str">
        <x:v>300 x 1106 cm</x:v>
      </x:c>
      <x:c r="B133" t="str">
        <x:v>led_cct</x:v>
      </x:c>
      <x:c r="C133" s="1533" t="n">
        <x:v>2799</x:v>
      </x:c>
      <x:c r="D133" s="1533" t="n">
        <x:v>3022</x:v>
      </x:c>
      <x:c r="E133" s="1533" t="n">
        <x:v>3022.92</x:v>
      </x:c>
      <x:c r="F133" s="1533" t="n">
        <x:v>3023</x:v>
      </x:c>
      <x:c r="G133" s="1535" t="n">
        <x:v>1</x:v>
      </x:c>
      <x:c r="H133" s="1535" t="n">
        <x:v>1</x:v>
      </x:c>
      <x:c r="I133" t="str">
        <x:v>OK — zaokrąglenie ±1 zł</x:v>
      </x:c>
      <x:c r="J133" s="1537" t="str"/>
    </x:row>
    <x:row r="134" ht="19" customHeight="1">
      <x:c r="A134" t="str">
        <x:v>300 x 1106 cm</x:v>
      </x:c>
      <x:c r="B134" t="str">
        <x:v>brushes</x:v>
      </x:c>
      <x:c r="C134" s="1533" t="n">
        <x:v>766</x:v>
      </x:c>
      <x:c r="D134" s="1533" t="n">
        <x:v>827</x:v>
      </x:c>
      <x:c r="E134" s="1533" t="n">
        <x:v>827.28</x:v>
      </x:c>
      <x:c r="F134" s="1533" t="n">
        <x:v>827</x:v>
      </x:c>
      <x:c r="G134" s="1535" t="n">
        <x:v>0</x:v>
      </x:c>
      <x:c r="H134" s="1535" t="n">
        <x:v>0</x:v>
      </x:c>
      <x:c r="I134" t="str">
        <x:v>OK — pełna zgodność</x:v>
      </x:c>
      <x:c r="J134" s="1537" t="str"/>
    </x:row>
    <x:row r="135" ht="19" customHeight="1">
      <x:c r="A135" t="str">
        <x:v>300 x 1106 cm</x:v>
      </x:c>
      <x:c r="B135" t="str">
        <x:v>handles</x:v>
      </x:c>
      <x:c r="C135" s="1533" t="n">
        <x:v>696</x:v>
      </x:c>
      <x:c r="D135" s="1533" t="n">
        <x:v>752</x:v>
      </x:c>
      <x:c r="E135" s="1533" t="n">
        <x:v>751.68</x:v>
      </x:c>
      <x:c r="F135" s="1533" t="n">
        <x:v>752</x:v>
      </x:c>
      <x:c r="G135" s="1535" t="n">
        <x:v>0</x:v>
      </x:c>
      <x:c r="H135" s="1535" t="n">
        <x:v>0</x:v>
      </x:c>
      <x:c r="I135" t="str">
        <x:v>OK — pełna zgodność</x:v>
      </x:c>
      <x:c r="J135" s="1537" t="str"/>
    </x:row>
    <x:row r="136" ht="19" customHeight="1">
      <x:c r="A136" t="str">
        <x:v>300 x 1106 cm</x:v>
      </x:c>
      <x:c r="B136" t="str">
        <x:v>carriers</x:v>
      </x:c>
      <x:c r="C136" s="1533" t="n">
        <x:v>566</x:v>
      </x:c>
      <x:c r="D136" s="1533" t="n">
        <x:v>611</x:v>
      </x:c>
      <x:c r="E136" s="1533" t="n">
        <x:v>611.28</x:v>
      </x:c>
      <x:c r="F136" s="1533" t="n">
        <x:v>611</x:v>
      </x:c>
      <x:c r="G136" s="1535" t="n">
        <x:v>0</x:v>
      </x:c>
      <x:c r="H136" s="1535" t="n">
        <x:v>0</x:v>
      </x:c>
      <x:c r="I136" t="str">
        <x:v>OK — pełna zgodność</x:v>
      </x:c>
      <x:c r="J136" s="1537" t="str"/>
    </x:row>
    <x:row r="137" ht="19" customHeight="1">
      <x:c r="A137" t="str">
        <x:v>300 x 1206 cm</x:v>
      </x:c>
      <x:c r="B137" t="str">
        <x:v>base_poly</x:v>
      </x:c>
      <x:c r="C137" s="1533" t="n">
        <x:v>22742</x:v>
      </x:c>
      <x:c r="D137" s="1533" t="n">
        <x:v>24561</x:v>
      </x:c>
      <x:c r="E137" s="1533" t="n">
        <x:v>24561.36</x:v>
      </x:c>
      <x:c r="F137" s="1533" t="n">
        <x:v>24561</x:v>
      </x:c>
      <x:c r="G137" s="1535" t="n">
        <x:v>0</x:v>
      </x:c>
      <x:c r="H137" s="1535" t="n">
        <x:v>0</x:v>
      </x:c>
      <x:c r="I137" t="str">
        <x:v>OK — pełna zgodność</x:v>
      </x:c>
      <x:c r="J137" s="1537" t="str"/>
    </x:row>
    <x:row r="138" ht="19" customHeight="1">
      <x:c r="A138" t="str">
        <x:v>300 x 1206 cm</x:v>
      </x:c>
      <x:c r="B138" t="str">
        <x:v>walls_clear</x:v>
      </x:c>
      <x:c r="C138" s="1533" t="n">
        <x:v>23743</x:v>
      </x:c>
      <x:c r="D138" s="1533" t="n">
        <x:v>25641</x:v>
      </x:c>
      <x:c r="E138" s="1533" t="n">
        <x:v>25642.44</x:v>
      </x:c>
      <x:c r="F138" s="1533" t="n">
        <x:v>25642</x:v>
      </x:c>
      <x:c r="G138" s="1535" t="n">
        <x:v>1</x:v>
      </x:c>
      <x:c r="H138" s="1535" t="n">
        <x:v>1</x:v>
      </x:c>
      <x:c r="I138" t="str">
        <x:v>OK — zaokrąglenie ±1 zł</x:v>
      </x:c>
      <x:c r="J138" s="1537" t="str"/>
    </x:row>
    <x:row r="139" ht="19" customHeight="1">
      <x:c r="A139" t="str">
        <x:v>300 x 1206 cm</x:v>
      </x:c>
      <x:c r="B139" t="str">
        <x:v>walls_tinted</x:v>
      </x:c>
      <x:c r="C139" s="1533" t="n">
        <x:v>26289</x:v>
      </x:c>
      <x:c r="D139" s="1533" t="n">
        <x:v>28391</x:v>
      </x:c>
      <x:c r="E139" s="1533" t="n">
        <x:v>28392.12</x:v>
      </x:c>
      <x:c r="F139" s="1533" t="n">
        <x:v>28392</x:v>
      </x:c>
      <x:c r="G139" s="1535" t="n">
        <x:v>1</x:v>
      </x:c>
      <x:c r="H139" s="1535" t="n">
        <x:v>1</x:v>
      </x:c>
      <x:c r="I139" t="str">
        <x:v>OK — zaokrąglenie ±1 zł</x:v>
      </x:c>
      <x:c r="J139" s="1537" t="str">
        <x:v>Pozycja złożona; stary eksport mógł zaokrąglać składniki osobno.</x:v>
      </x:c>
    </x:row>
    <x:row r="140" ht="19" customHeight="1">
      <x:c r="A140" t="str">
        <x:v>300 x 1206 cm</x:v>
      </x:c>
      <x:c r="B140" t="str">
        <x:v>roof_poly_colored</x:v>
      </x:c>
      <x:c r="C140" s="1533" t="n">
        <x:v>802</x:v>
      </x:c>
      <x:c r="D140" s="1533" t="n">
        <x:v>866</x:v>
      </x:c>
      <x:c r="E140" s="1533" t="n">
        <x:v>866.16</x:v>
      </x:c>
      <x:c r="F140" s="1533" t="n">
        <x:v>866</x:v>
      </x:c>
      <x:c r="G140" s="1535" t="n">
        <x:v>0</x:v>
      </x:c>
      <x:c r="H140" s="1535" t="n">
        <x:v>0</x:v>
      </x:c>
      <x:c r="I140" t="str">
        <x:v>OK — pełna zgodność</x:v>
      </x:c>
      <x:c r="J140" s="1537" t="str"/>
    </x:row>
    <x:row r="141" ht="19" customHeight="1">
      <x:c r="A141" t="str">
        <x:v>300 x 1206 cm</x:v>
      </x:c>
      <x:c r="B141" t="str">
        <x:v>roof_glass_clear</x:v>
      </x:c>
      <x:c r="C141" s="1533" t="n">
        <x:v>8204</x:v>
      </x:c>
      <x:c r="D141" s="1533" t="n">
        <x:v>8860</x:v>
      </x:c>
      <x:c r="E141" s="1533" t="n">
        <x:v>8860.32</x:v>
      </x:c>
      <x:c r="F141" s="1533" t="n">
        <x:v>8860</x:v>
      </x:c>
      <x:c r="G141" s="1535" t="n">
        <x:v>0</x:v>
      </x:c>
      <x:c r="H141" s="1535" t="n">
        <x:v>0</x:v>
      </x:c>
      <x:c r="I141" t="str">
        <x:v>OK — pełna zgodność</x:v>
      </x:c>
      <x:c r="J141" s="1537" t="str"/>
    </x:row>
    <x:row r="142" ht="19" customHeight="1">
      <x:c r="A142" t="str">
        <x:v>300 x 1206 cm</x:v>
      </x:c>
      <x:c r="B142" t="str">
        <x:v>roof_glass_tinted</x:v>
      </x:c>
      <x:c r="C142" s="1533" t="n">
        <x:v>9783</x:v>
      </x:c>
      <x:c r="D142" s="1533" t="n">
        <x:v>10565</x:v>
      </x:c>
      <x:c r="E142" s="1533" t="n">
        <x:v>10565.64</x:v>
      </x:c>
      <x:c r="F142" s="1533" t="n">
        <x:v>10566</x:v>
      </x:c>
      <x:c r="G142" s="1535" t="n">
        <x:v>1</x:v>
      </x:c>
      <x:c r="H142" s="1535" t="n">
        <x:v>1</x:v>
      </x:c>
      <x:c r="I142" t="str">
        <x:v>OK — zaokrąglenie ±1 zł</x:v>
      </x:c>
      <x:c r="J142" s="1537" t="str">
        <x:v>Pozycja złożona; stary eksport mógł zaokrąglać składniki osobno.</x:v>
      </x:c>
    </x:row>
    <x:row r="143" ht="19" customHeight="1">
      <x:c r="A143" t="str">
        <x:v>300 x 1206 cm</x:v>
      </x:c>
      <x:c r="B143" t="str">
        <x:v>zip_side</x:v>
      </x:c>
      <x:c r="C143" s="1533" t="n">
        <x:v>2523</x:v>
      </x:c>
      <x:c r="D143" s="1533" t="n">
        <x:v>2725</x:v>
      </x:c>
      <x:c r="E143" s="1533" t="n">
        <x:v>2724.84</x:v>
      </x:c>
      <x:c r="F143" s="1533" t="n">
        <x:v>2725</x:v>
      </x:c>
      <x:c r="G143" s="1535" t="n">
        <x:v>0</x:v>
      </x:c>
      <x:c r="H143" s="1535" t="n">
        <x:v>0</x:v>
      </x:c>
      <x:c r="I143" t="str">
        <x:v>OK — pełna zgodność</x:v>
      </x:c>
      <x:c r="J143" s="1537" t="str"/>
    </x:row>
    <x:row r="144" ht="19" customHeight="1">
      <x:c r="A144" t="str">
        <x:v>300 x 1206 cm</x:v>
      </x:c>
      <x:c r="B144" t="str">
        <x:v>zip_front</x:v>
      </x:c>
      <x:c r="C144" s="1533" t="n">
        <x:v>9337</x:v>
      </x:c>
      <x:c r="D144" s="1533" t="n">
        <x:v>10084</x:v>
      </x:c>
      <x:c r="E144" s="1533" t="n">
        <x:v>10083.96</x:v>
      </x:c>
      <x:c r="F144" s="1533" t="n">
        <x:v>10084</x:v>
      </x:c>
      <x:c r="G144" s="1535" t="n">
        <x:v>0</x:v>
      </x:c>
      <x:c r="H144" s="1535" t="n">
        <x:v>0</x:v>
      </x:c>
      <x:c r="I144" t="str">
        <x:v>OK — pełna zgodność</x:v>
      </x:c>
      <x:c r="J144" s="1537" t="str"/>
    </x:row>
    <x:row r="145" ht="19" customHeight="1">
      <x:c r="A145" t="str">
        <x:v>300 x 1206 cm</x:v>
      </x:c>
      <x:c r="B145" t="str">
        <x:v>awning</x:v>
      </x:c>
      <x:c r="C145" s="1533" t="n">
        <x:v>15208</x:v>
      </x:c>
      <x:c r="D145" s="1533" t="n">
        <x:v>16425</x:v>
      </x:c>
      <x:c r="E145" s="1533" t="n">
        <x:v>16424.64</x:v>
      </x:c>
      <x:c r="F145" s="1533" t="n">
        <x:v>16425</x:v>
      </x:c>
      <x:c r="G145" s="1535" t="n">
        <x:v>0</x:v>
      </x:c>
      <x:c r="H145" s="1535" t="n">
        <x:v>0</x:v>
      </x:c>
      <x:c r="I145" t="str">
        <x:v>OK — pełna zgodność</x:v>
      </x:c>
      <x:c r="J145" s="1537" t="str"/>
    </x:row>
    <x:row r="146" ht="19" customHeight="1">
      <x:c r="A146" t="str">
        <x:v>300 x 1206 cm</x:v>
      </x:c>
      <x:c r="B146" t="str">
        <x:v>foundation</x:v>
      </x:c>
      <x:c r="C146" s="1533" t="n">
        <x:v>3505</x:v>
      </x:c>
      <x:c r="D146" s="1533" t="n">
        <x:v>3785</x:v>
      </x:c>
      <x:c r="E146" s="1533" t="n">
        <x:v>3785.4</x:v>
      </x:c>
      <x:c r="F146" s="1533" t="n">
        <x:v>3785</x:v>
      </x:c>
      <x:c r="G146" s="1535" t="n">
        <x:v>0</x:v>
      </x:c>
      <x:c r="H146" s="1535" t="n">
        <x:v>0</x:v>
      </x:c>
      <x:c r="I146" t="str">
        <x:v>OK — pełna zgodność</x:v>
      </x:c>
      <x:c r="J146" s="1537" t="str"/>
    </x:row>
    <x:row r="147" ht="19" customHeight="1">
      <x:c r="A147" t="str">
        <x:v>300 x 1206 cm</x:v>
      </x:c>
      <x:c r="B147" t="str">
        <x:v>led_point</x:v>
      </x:c>
      <x:c r="C147" s="1533" t="n">
        <x:v>1781</x:v>
      </x:c>
      <x:c r="D147" s="1533" t="n">
        <x:v>1923</x:v>
      </x:c>
      <x:c r="E147" s="1533" t="n">
        <x:v>1923.48</x:v>
      </x:c>
      <x:c r="F147" s="1533" t="n">
        <x:v>1923</x:v>
      </x:c>
      <x:c r="G147" s="1535" t="n">
        <x:v>0</x:v>
      </x:c>
      <x:c r="H147" s="1535" t="n">
        <x:v>0</x:v>
      </x:c>
      <x:c r="I147" t="str">
        <x:v>OK — pełna zgodność</x:v>
      </x:c>
      <x:c r="J147" s="1537" t="str"/>
    </x:row>
    <x:row r="148" ht="19" customHeight="1">
      <x:c r="A148" t="str">
        <x:v>300 x 1206 cm</x:v>
      </x:c>
      <x:c r="B148" t="str">
        <x:v>led_cct</x:v>
      </x:c>
      <x:c r="C148" s="1533" t="n">
        <x:v>3002</x:v>
      </x:c>
      <x:c r="D148" s="1533" t="n">
        <x:v>3242</x:v>
      </x:c>
      <x:c r="E148" s="1533" t="n">
        <x:v>3242.16</x:v>
      </x:c>
      <x:c r="F148" s="1533" t="n">
        <x:v>3242</x:v>
      </x:c>
      <x:c r="G148" s="1535" t="n">
        <x:v>0</x:v>
      </x:c>
      <x:c r="H148" s="1535" t="n">
        <x:v>0</x:v>
      </x:c>
      <x:c r="I148" t="str">
        <x:v>OK — pełna zgodność</x:v>
      </x:c>
      <x:c r="J148" s="1537" t="str"/>
    </x:row>
    <x:row r="149" ht="19" customHeight="1">
      <x:c r="A149" t="str">
        <x:v>300 x 1206 cm</x:v>
      </x:c>
      <x:c r="B149" t="str">
        <x:v>brushes</x:v>
      </x:c>
      <x:c r="C149" s="1533" t="n">
        <x:v>813</x:v>
      </x:c>
      <x:c r="D149" s="1533" t="n">
        <x:v>878</x:v>
      </x:c>
      <x:c r="E149" s="1533" t="n">
        <x:v>878.04</x:v>
      </x:c>
      <x:c r="F149" s="1533" t="n">
        <x:v>878</x:v>
      </x:c>
      <x:c r="G149" s="1535" t="n">
        <x:v>0</x:v>
      </x:c>
      <x:c r="H149" s="1535" t="n">
        <x:v>0</x:v>
      </x:c>
      <x:c r="I149" t="str">
        <x:v>OK — pełna zgodność</x:v>
      </x:c>
      <x:c r="J149" s="1537" t="str"/>
    </x:row>
    <x:row r="150" ht="19" customHeight="1">
      <x:c r="A150" t="str">
        <x:v>300 x 1206 cm</x:v>
      </x:c>
      <x:c r="B150" t="str">
        <x:v>handles</x:v>
      </x:c>
      <x:c r="C150" s="1533" t="n">
        <x:v>731</x:v>
      </x:c>
      <x:c r="D150" s="1533" t="n">
        <x:v>789</x:v>
      </x:c>
      <x:c r="E150" s="1533" t="n">
        <x:v>789.48</x:v>
      </x:c>
      <x:c r="F150" s="1533" t="n">
        <x:v>789</x:v>
      </x:c>
      <x:c r="G150" s="1535" t="n">
        <x:v>0</x:v>
      </x:c>
      <x:c r="H150" s="1535" t="n">
        <x:v>0</x:v>
      </x:c>
      <x:c r="I150" t="str">
        <x:v>OK — pełna zgodność</x:v>
      </x:c>
      <x:c r="J150" s="1537" t="str"/>
    </x:row>
    <x:row r="151" ht="19" customHeight="1">
      <x:c r="A151" t="str">
        <x:v>300 x 1206 cm</x:v>
      </x:c>
      <x:c r="B151" t="str">
        <x:v>carriers</x:v>
      </x:c>
      <x:c r="C151" s="1533" t="n">
        <x:v>613</x:v>
      </x:c>
      <x:c r="D151" s="1533" t="n">
        <x:v>662</x:v>
      </x:c>
      <x:c r="E151" s="1533" t="n">
        <x:v>662.04</x:v>
      </x:c>
      <x:c r="F151" s="1533" t="n">
        <x:v>662</x:v>
      </x:c>
      <x:c r="G151" s="1535" t="n">
        <x:v>0</x:v>
      </x:c>
      <x:c r="H151" s="1535" t="n">
        <x:v>0</x:v>
      </x:c>
      <x:c r="I151" t="str">
        <x:v>OK — pełna zgodność</x:v>
      </x:c>
      <x:c r="J151" s="1537" t="str"/>
    </x:row>
    <x:row r="152" ht="19" customHeight="1">
      <x:c r="A152" t="str">
        <x:v>350 x 306 cm</x:v>
      </x:c>
      <x:c r="B152" t="str">
        <x:v>base_poly</x:v>
      </x:c>
      <x:c r="C152" s="1533" t="n">
        <x:v>7756</x:v>
      </x:c>
      <x:c r="D152" s="1533" t="n">
        <x:v>8376</x:v>
      </x:c>
      <x:c r="E152" s="1533" t="n">
        <x:v>8376.48</x:v>
      </x:c>
      <x:c r="F152" s="1533" t="n">
        <x:v>8376</x:v>
      </x:c>
      <x:c r="G152" s="1535" t="n">
        <x:v>0</x:v>
      </x:c>
      <x:c r="H152" s="1535" t="n">
        <x:v>0</x:v>
      </x:c>
      <x:c r="I152" t="str">
        <x:v>OK — pełna zgodność</x:v>
      </x:c>
      <x:c r="J152" s="1537" t="str"/>
    </x:row>
    <x:row r="153" ht="19" customHeight="1">
      <x:c r="A153" t="str">
        <x:v>350 x 306 cm</x:v>
      </x:c>
      <x:c r="B153" t="str">
        <x:v>walls_clear</x:v>
      </x:c>
      <x:c r="C153" s="1533" t="n">
        <x:v>15381</x:v>
      </x:c>
      <x:c r="D153" s="1533" t="n">
        <x:v>16611</x:v>
      </x:c>
      <x:c r="E153" s="1533" t="n">
        <x:v>16611.48</x:v>
      </x:c>
      <x:c r="F153" s="1533" t="n">
        <x:v>16611</x:v>
      </x:c>
      <x:c r="G153" s="1535" t="n">
        <x:v>0</x:v>
      </x:c>
      <x:c r="H153" s="1535" t="n">
        <x:v>0</x:v>
      </x:c>
      <x:c r="I153" t="str">
        <x:v>OK — pełna zgodność</x:v>
      </x:c>
      <x:c r="J153" s="1537" t="str"/>
    </x:row>
    <x:row r="154" ht="19" customHeight="1">
      <x:c r="A154" t="str">
        <x:v>350 x 306 cm</x:v>
      </x:c>
      <x:c r="B154" t="str">
        <x:v>walls_tinted</x:v>
      </x:c>
      <x:c r="C154" s="1533" t="n">
        <x:v>16937</x:v>
      </x:c>
      <x:c r="D154" s="1533" t="n">
        <x:v>18291</x:v>
      </x:c>
      <x:c r="E154" s="1533" t="n">
        <x:v>18291.96</x:v>
      </x:c>
      <x:c r="F154" s="1533" t="n">
        <x:v>18292</x:v>
      </x:c>
      <x:c r="G154" s="1535" t="n">
        <x:v>1</x:v>
      </x:c>
      <x:c r="H154" s="1535" t="n">
        <x:v>1</x:v>
      </x:c>
      <x:c r="I154" t="str">
        <x:v>OK — zaokrąglenie ±1 zł</x:v>
      </x:c>
      <x:c r="J154" s="1537" t="str">
        <x:v>Pozycja złożona; stary eksport mógł zaokrąglać składniki osobno.</x:v>
      </x:c>
    </x:row>
    <x:row r="155" ht="19" customHeight="1">
      <x:c r="A155" t="str">
        <x:v>350 x 306 cm</x:v>
      </x:c>
      <x:c r="B155" t="str">
        <x:v>roof_poly_colored</x:v>
      </x:c>
      <x:c r="C155" s="1533" t="n">
        <x:v>177</x:v>
      </x:c>
      <x:c r="D155" s="1533" t="n">
        <x:v>191</x:v>
      </x:c>
      <x:c r="E155" s="1533" t="n">
        <x:v>191.16</x:v>
      </x:c>
      <x:c r="F155" s="1533" t="n">
        <x:v>191</x:v>
      </x:c>
      <x:c r="G155" s="1535" t="n">
        <x:v>0</x:v>
      </x:c>
      <x:c r="H155" s="1535" t="n">
        <x:v>0</x:v>
      </x:c>
      <x:c r="I155" t="str">
        <x:v>OK — pełna zgodność</x:v>
      </x:c>
      <x:c r="J155" s="1537" t="str"/>
    </x:row>
    <x:row r="156" ht="19" customHeight="1">
      <x:c r="A156" t="str">
        <x:v>350 x 306 cm</x:v>
      </x:c>
      <x:c r="B156" t="str">
        <x:v>roof_glass_clear</x:v>
      </x:c>
      <x:c r="C156" s="1533" t="n">
        <x:v>2688</x:v>
      </x:c>
      <x:c r="D156" s="1533" t="n">
        <x:v>2903</x:v>
      </x:c>
      <x:c r="E156" s="1533" t="n">
        <x:v>2903.04</x:v>
      </x:c>
      <x:c r="F156" s="1533" t="n">
        <x:v>2903</x:v>
      </x:c>
      <x:c r="G156" s="1535" t="n">
        <x:v>0</x:v>
      </x:c>
      <x:c r="H156" s="1535" t="n">
        <x:v>0</x:v>
      </x:c>
      <x:c r="I156" t="str">
        <x:v>OK — pełna zgodność</x:v>
      </x:c>
      <x:c r="J156" s="1537" t="str"/>
    </x:row>
    <x:row r="157" ht="19" customHeight="1">
      <x:c r="A157" t="str">
        <x:v>350 x 306 cm</x:v>
      </x:c>
      <x:c r="B157" t="str">
        <x:v>roof_glass_tinted</x:v>
      </x:c>
      <x:c r="C157" s="1533" t="n">
        <x:v>3088</x:v>
      </x:c>
      <x:c r="D157" s="1533" t="n">
        <x:v>3335</x:v>
      </x:c>
      <x:c r="E157" s="1533" t="n">
        <x:v>3335.04</x:v>
      </x:c>
      <x:c r="F157" s="1533" t="n">
        <x:v>3335</x:v>
      </x:c>
      <x:c r="G157" s="1535" t="n">
        <x:v>0</x:v>
      </x:c>
      <x:c r="H157" s="1535" t="n">
        <x:v>0</x:v>
      </x:c>
      <x:c r="I157" t="str">
        <x:v>OK — pełna zgodność</x:v>
      </x:c>
      <x:c r="J157" s="1537" t="str">
        <x:v>Pozycja złożona; stary eksport mógł zaokrąglać składniki osobno.</x:v>
      </x:c>
    </x:row>
    <x:row r="158" ht="19" customHeight="1">
      <x:c r="A158" t="str">
        <x:v>350 x 306 cm</x:v>
      </x:c>
      <x:c r="B158" t="str">
        <x:v>zip_side</x:v>
      </x:c>
      <x:c r="C158" s="1533" t="n">
        <x:v>2758</x:v>
      </x:c>
      <x:c r="D158" s="1533" t="n">
        <x:v>2979</x:v>
      </x:c>
      <x:c r="E158" s="1533" t="n">
        <x:v>2978.64</x:v>
      </x:c>
      <x:c r="F158" s="1533" t="n">
        <x:v>2979</x:v>
      </x:c>
      <x:c r="G158" s="1535" t="n">
        <x:v>0</x:v>
      </x:c>
      <x:c r="H158" s="1535" t="n">
        <x:v>0</x:v>
      </x:c>
      <x:c r="I158" t="str">
        <x:v>OK — pełna zgodność</x:v>
      </x:c>
      <x:c r="J158" s="1537" t="str"/>
    </x:row>
    <x:row r="159" ht="19" customHeight="1">
      <x:c r="A159" t="str">
        <x:v>350 x 306 cm</x:v>
      </x:c>
      <x:c r="B159" t="str">
        <x:v>zip_front</x:v>
      </x:c>
      <x:c r="C159" s="1533" t="n">
        <x:v>2523</x:v>
      </x:c>
      <x:c r="D159" s="1533" t="n">
        <x:v>2725</x:v>
      </x:c>
      <x:c r="E159" s="1533" t="n">
        <x:v>2724.84</x:v>
      </x:c>
      <x:c r="F159" s="1533" t="n">
        <x:v>2725</x:v>
      </x:c>
      <x:c r="G159" s="1535" t="n">
        <x:v>0</x:v>
      </x:c>
      <x:c r="H159" s="1535" t="n">
        <x:v>0</x:v>
      </x:c>
      <x:c r="I159" t="str">
        <x:v>OK — pełna zgodność</x:v>
      </x:c>
      <x:c r="J159" s="1537" t="str"/>
    </x:row>
    <x:row r="160" ht="19" customHeight="1">
      <x:c r="A160" t="str">
        <x:v>350 x 306 cm</x:v>
      </x:c>
      <x:c r="B160" t="str">
        <x:v>awning</x:v>
      </x:c>
      <x:c r="C160" s="1533" t="n">
        <x:v>4692</x:v>
      </x:c>
      <x:c r="D160" s="1533" t="n">
        <x:v>5067</x:v>
      </x:c>
      <x:c r="E160" s="1533" t="n">
        <x:v>5067.36</x:v>
      </x:c>
      <x:c r="F160" s="1533" t="n">
        <x:v>5067</x:v>
      </x:c>
      <x:c r="G160" s="1535" t="n">
        <x:v>0</x:v>
      </x:c>
      <x:c r="H160" s="1535" t="n">
        <x:v>0</x:v>
      </x:c>
      <x:c r="I160" t="str">
        <x:v>OK — pełna zgodność</x:v>
      </x:c>
      <x:c r="J160" s="1537" t="str"/>
    </x:row>
    <x:row r="161" ht="19" customHeight="1">
      <x:c r="A161" t="str">
        <x:v>350 x 306 cm</x:v>
      </x:c>
      <x:c r="B161" t="str">
        <x:v>foundation</x:v>
      </x:c>
      <x:c r="C161" s="1533" t="n">
        <x:v>1593</x:v>
      </x:c>
      <x:c r="D161" s="1533" t="n">
        <x:v>1720</x:v>
      </x:c>
      <x:c r="E161" s="1533" t="n">
        <x:v>1720.44</x:v>
      </x:c>
      <x:c r="F161" s="1533" t="n">
        <x:v>1720</x:v>
      </x:c>
      <x:c r="G161" s="1535" t="n">
        <x:v>0</x:v>
      </x:c>
      <x:c r="H161" s="1535" t="n">
        <x:v>0</x:v>
      </x:c>
      <x:c r="I161" t="str">
        <x:v>OK — pełna zgodność</x:v>
      </x:c>
      <x:c r="J161" s="1537" t="str"/>
    </x:row>
    <x:row r="162" ht="19" customHeight="1">
      <x:c r="A162" t="str">
        <x:v>350 x 306 cm</x:v>
      </x:c>
      <x:c r="B162" t="str">
        <x:v>led_point</x:v>
      </x:c>
      <x:c r="C162" s="1533" t="n">
        <x:v>494</x:v>
      </x:c>
      <x:c r="D162" s="1533" t="n">
        <x:v>534</x:v>
      </x:c>
      <x:c r="E162" s="1533" t="n">
        <x:v>533.52</x:v>
      </x:c>
      <x:c r="F162" s="1533" t="n">
        <x:v>534</x:v>
      </x:c>
      <x:c r="G162" s="1535" t="n">
        <x:v>0</x:v>
      </x:c>
      <x:c r="H162" s="1535" t="n">
        <x:v>0</x:v>
      </x:c>
      <x:c r="I162" t="str">
        <x:v>OK — pełna zgodność</x:v>
      </x:c>
      <x:c r="J162" s="1537" t="str"/>
    </x:row>
    <x:row r="163" ht="19" customHeight="1">
      <x:c r="A163" t="str">
        <x:v>350 x 306 cm</x:v>
      </x:c>
      <x:c r="B163" t="str">
        <x:v>led_cct</x:v>
      </x:c>
      <x:c r="C163" s="1533" t="n">
        <x:v>1189</x:v>
      </x:c>
      <x:c r="D163" s="1533" t="n">
        <x:v>1284</x:v>
      </x:c>
      <x:c r="E163" s="1533" t="n">
        <x:v>1284.12</x:v>
      </x:c>
      <x:c r="F163" s="1533" t="n">
        <x:v>1284</x:v>
      </x:c>
      <x:c r="G163" s="1535" t="n">
        <x:v>0</x:v>
      </x:c>
      <x:c r="H163" s="1535" t="n">
        <x:v>0</x:v>
      </x:c>
      <x:c r="I163" t="str">
        <x:v>OK — pełna zgodność</x:v>
      </x:c>
      <x:c r="J163" s="1537" t="str"/>
    </x:row>
    <x:row r="164" ht="19" customHeight="1">
      <x:c r="A164" t="str">
        <x:v>350 x 306 cm</x:v>
      </x:c>
      <x:c r="B164" t="str">
        <x:v>brushes</x:v>
      </x:c>
      <x:c r="C164" s="1533" t="n">
        <x:v>494</x:v>
      </x:c>
      <x:c r="D164" s="1533" t="n">
        <x:v>534</x:v>
      </x:c>
      <x:c r="E164" s="1533" t="n">
        <x:v>533.52</x:v>
      </x:c>
      <x:c r="F164" s="1533" t="n">
        <x:v>534</x:v>
      </x:c>
      <x:c r="G164" s="1535" t="n">
        <x:v>0</x:v>
      </x:c>
      <x:c r="H164" s="1535" t="n">
        <x:v>0</x:v>
      </x:c>
      <x:c r="I164" t="str">
        <x:v>OK — pełna zgodność</x:v>
      </x:c>
      <x:c r="J164" s="1537" t="str"/>
    </x:row>
    <x:row r="165" ht="19" customHeight="1">
      <x:c r="A165" t="str">
        <x:v>350 x 306 cm</x:v>
      </x:c>
      <x:c r="B165" t="str">
        <x:v>handles</x:v>
      </x:c>
      <x:c r="C165" s="1533" t="n">
        <x:v>448</x:v>
      </x:c>
      <x:c r="D165" s="1533" t="n">
        <x:v>484</x:v>
      </x:c>
      <x:c r="E165" s="1533" t="n">
        <x:v>483.84</x:v>
      </x:c>
      <x:c r="F165" s="1533" t="n">
        <x:v>484</x:v>
      </x:c>
      <x:c r="G165" s="1535" t="n">
        <x:v>0</x:v>
      </x:c>
      <x:c r="H165" s="1535" t="n">
        <x:v>0</x:v>
      </x:c>
      <x:c r="I165" t="str">
        <x:v>OK — pełna zgodność</x:v>
      </x:c>
      <x:c r="J165" s="1537" t="str"/>
    </x:row>
    <x:row r="166" ht="19" customHeight="1">
      <x:c r="A166" t="str">
        <x:v>350 x 306 cm</x:v>
      </x:c>
      <x:c r="B166" t="str">
        <x:v>carriers</x:v>
      </x:c>
      <x:c r="C166" s="1533" t="n">
        <x:v>377</x:v>
      </x:c>
      <x:c r="D166" s="1533" t="n">
        <x:v>407</x:v>
      </x:c>
      <x:c r="E166" s="1533" t="n">
        <x:v>407.16</x:v>
      </x:c>
      <x:c r="F166" s="1533" t="n">
        <x:v>407</x:v>
      </x:c>
      <x:c r="G166" s="1535" t="n">
        <x:v>0</x:v>
      </x:c>
      <x:c r="H166" s="1535" t="n">
        <x:v>0</x:v>
      </x:c>
      <x:c r="I166" t="str">
        <x:v>OK — pełna zgodność</x:v>
      </x:c>
      <x:c r="J166" s="1537" t="str"/>
    </x:row>
    <x:row r="167" ht="19" customHeight="1">
      <x:c r="A167" t="str">
        <x:v>350 x 406 cm</x:v>
      </x:c>
      <x:c r="B167" t="str">
        <x:v>base_poly</x:v>
      </x:c>
      <x:c r="C167" s="1533" t="n">
        <x:v>9689</x:v>
      </x:c>
      <x:c r="D167" s="1533" t="n">
        <x:v>10464</x:v>
      </x:c>
      <x:c r="E167" s="1533" t="n">
        <x:v>10464.12</x:v>
      </x:c>
      <x:c r="F167" s="1533" t="n">
        <x:v>10464</x:v>
      </x:c>
      <x:c r="G167" s="1535" t="n">
        <x:v>0</x:v>
      </x:c>
      <x:c r="H167" s="1535" t="n">
        <x:v>0</x:v>
      </x:c>
      <x:c r="I167" t="str">
        <x:v>OK — pełna zgodność</x:v>
      </x:c>
      <x:c r="J167" s="1537" t="str"/>
    </x:row>
    <x:row r="168" ht="19" customHeight="1">
      <x:c r="A168" t="str">
        <x:v>350 x 406 cm</x:v>
      </x:c>
      <x:c r="B168" t="str">
        <x:v>walls_clear</x:v>
      </x:c>
      <x:c r="C168" s="1533" t="n">
        <x:v>16551</x:v>
      </x:c>
      <x:c r="D168" s="1533" t="n">
        <x:v>17875</x:v>
      </x:c>
      <x:c r="E168" s="1533" t="n">
        <x:v>17875.08</x:v>
      </x:c>
      <x:c r="F168" s="1533" t="n">
        <x:v>17875</x:v>
      </x:c>
      <x:c r="G168" s="1535" t="n">
        <x:v>0</x:v>
      </x:c>
      <x:c r="H168" s="1535" t="n">
        <x:v>0</x:v>
      </x:c>
      <x:c r="I168" t="str">
        <x:v>OK — pełna zgodność</x:v>
      </x:c>
      <x:c r="J168" s="1537" t="str"/>
    </x:row>
    <x:row r="169" ht="19" customHeight="1">
      <x:c r="A169" t="str">
        <x:v>350 x 406 cm</x:v>
      </x:c>
      <x:c r="B169" t="str">
        <x:v>walls_tinted</x:v>
      </x:c>
      <x:c r="C169" s="1533" t="n">
        <x:v>18249</x:v>
      </x:c>
      <x:c r="D169" s="1533" t="n">
        <x:v>19709</x:v>
      </x:c>
      <x:c r="E169" s="1533" t="n">
        <x:v>19708.92</x:v>
      </x:c>
      <x:c r="F169" s="1533" t="n">
        <x:v>19709</x:v>
      </x:c>
      <x:c r="G169" s="1535" t="n">
        <x:v>0</x:v>
      </x:c>
      <x:c r="H169" s="1535" t="n">
        <x:v>0</x:v>
      </x:c>
      <x:c r="I169" t="str">
        <x:v>OK — pełna zgodność</x:v>
      </x:c>
      <x:c r="J169" s="1537" t="str">
        <x:v>Pozycja złożona; stary eksport mógł zaokrąglać składniki osobno.</x:v>
      </x:c>
    </x:row>
    <x:row r="170" ht="19" customHeight="1">
      <x:c r="A170" t="str">
        <x:v>350 x 406 cm</x:v>
      </x:c>
      <x:c r="B170" t="str">
        <x:v>roof_poly_colored</x:v>
      </x:c>
      <x:c r="C170" s="1533" t="n">
        <x:v>236</x:v>
      </x:c>
      <x:c r="D170" s="1533" t="n">
        <x:v>255</x:v>
      </x:c>
      <x:c r="E170" s="1533" t="n">
        <x:v>254.88</x:v>
      </x:c>
      <x:c r="F170" s="1533" t="n">
        <x:v>255</x:v>
      </x:c>
      <x:c r="G170" s="1535" t="n">
        <x:v>0</x:v>
      </x:c>
      <x:c r="H170" s="1535" t="n">
        <x:v>0</x:v>
      </x:c>
      <x:c r="I170" t="str">
        <x:v>OK — pełna zgodność</x:v>
      </x:c>
      <x:c r="J170" s="1537" t="str"/>
    </x:row>
    <x:row r="171" ht="19" customHeight="1">
      <x:c r="A171" t="str">
        <x:v>350 x 406 cm</x:v>
      </x:c>
      <x:c r="B171" t="str">
        <x:v>roof_glass_clear</x:v>
      </x:c>
      <x:c r="C171" s="1533" t="n">
        <x:v>3596</x:v>
      </x:c>
      <x:c r="D171" s="1533" t="n">
        <x:v>3884</x:v>
      </x:c>
      <x:c r="E171" s="1533" t="n">
        <x:v>3883.68</x:v>
      </x:c>
      <x:c r="F171" s="1533" t="n">
        <x:v>3884</x:v>
      </x:c>
      <x:c r="G171" s="1535" t="n">
        <x:v>0</x:v>
      </x:c>
      <x:c r="H171" s="1535" t="n">
        <x:v>0</x:v>
      </x:c>
      <x:c r="I171" t="str">
        <x:v>OK — pełna zgodność</x:v>
      </x:c>
      <x:c r="J171" s="1537" t="str"/>
    </x:row>
    <x:row r="172" ht="19" customHeight="1">
      <x:c r="A172" t="str">
        <x:v>350 x 406 cm</x:v>
      </x:c>
      <x:c r="B172" t="str">
        <x:v>roof_glass_tinted</x:v>
      </x:c>
      <x:c r="C172" s="1533" t="n">
        <x:v>4127</x:v>
      </x:c>
      <x:c r="D172" s="1533" t="n">
        <x:v>4457</x:v>
      </x:c>
      <x:c r="E172" s="1533" t="n">
        <x:v>4457.16</x:v>
      </x:c>
      <x:c r="F172" s="1533" t="n">
        <x:v>4457</x:v>
      </x:c>
      <x:c r="G172" s="1535" t="n">
        <x:v>0</x:v>
      </x:c>
      <x:c r="H172" s="1535" t="n">
        <x:v>0</x:v>
      </x:c>
      <x:c r="I172" t="str">
        <x:v>OK — pełna zgodność</x:v>
      </x:c>
      <x:c r="J172" s="1537" t="str">
        <x:v>Pozycja złożona; stary eksport mógł zaokrąglać składniki osobno.</x:v>
      </x:c>
    </x:row>
    <x:row r="173" ht="19" customHeight="1">
      <x:c r="A173" t="str">
        <x:v>350 x 406 cm</x:v>
      </x:c>
      <x:c r="B173" t="str">
        <x:v>zip_side</x:v>
      </x:c>
      <x:c r="C173" s="1533" t="n">
        <x:v>2758</x:v>
      </x:c>
      <x:c r="D173" s="1533" t="n">
        <x:v>2979</x:v>
      </x:c>
      <x:c r="E173" s="1533" t="n">
        <x:v>2978.64</x:v>
      </x:c>
      <x:c r="F173" s="1533" t="n">
        <x:v>2979</x:v>
      </x:c>
      <x:c r="G173" s="1535" t="n">
        <x:v>0</x:v>
      </x:c>
      <x:c r="H173" s="1535" t="n">
        <x:v>0</x:v>
      </x:c>
      <x:c r="I173" t="str">
        <x:v>OK — pełna zgodność</x:v>
      </x:c>
      <x:c r="J173" s="1537" t="str"/>
    </x:row>
    <x:row r="174" ht="19" customHeight="1">
      <x:c r="A174" t="str">
        <x:v>350 x 406 cm</x:v>
      </x:c>
      <x:c r="B174" t="str">
        <x:v>zip_front</x:v>
      </x:c>
      <x:c r="C174" s="1533" t="n">
        <x:v>3112</x:v>
      </x:c>
      <x:c r="D174" s="1533" t="n">
        <x:v>3361</x:v>
      </x:c>
      <x:c r="E174" s="1533" t="n">
        <x:v>3360.96</x:v>
      </x:c>
      <x:c r="F174" s="1533" t="n">
        <x:v>3361</x:v>
      </x:c>
      <x:c r="G174" s="1535" t="n">
        <x:v>0</x:v>
      </x:c>
      <x:c r="H174" s="1535" t="n">
        <x:v>0</x:v>
      </x:c>
      <x:c r="I174" t="str">
        <x:v>OK — pełna zgodność</x:v>
      </x:c>
      <x:c r="J174" s="1537" t="str"/>
    </x:row>
    <x:row r="175" ht="19" customHeight="1">
      <x:c r="A175" t="str">
        <x:v>350 x 406 cm</x:v>
      </x:c>
      <x:c r="B175" t="str">
        <x:v>awning</x:v>
      </x:c>
      <x:c r="C175" s="1533" t="n">
        <x:v>5306</x:v>
      </x:c>
      <x:c r="D175" s="1533" t="n">
        <x:v>5730</x:v>
      </x:c>
      <x:c r="E175" s="1533" t="n">
        <x:v>5730.48</x:v>
      </x:c>
      <x:c r="F175" s="1533" t="n">
        <x:v>5730</x:v>
      </x:c>
      <x:c r="G175" s="1535" t="n">
        <x:v>0</x:v>
      </x:c>
      <x:c r="H175" s="1535" t="n">
        <x:v>0</x:v>
      </x:c>
      <x:c r="I175" t="str">
        <x:v>OK — pełna zgodność</x:v>
      </x:c>
      <x:c r="J175" s="1537" t="str"/>
    </x:row>
    <x:row r="176" ht="19" customHeight="1">
      <x:c r="A176" t="str">
        <x:v>350 x 406 cm</x:v>
      </x:c>
      <x:c r="B176" t="str">
        <x:v>foundation</x:v>
      </x:c>
      <x:c r="C176" s="1533" t="n">
        <x:v>1789</x:v>
      </x:c>
      <x:c r="D176" s="1533" t="n">
        <x:v>1932</x:v>
      </x:c>
      <x:c r="E176" s="1533" t="n">
        <x:v>1932.12</x:v>
      </x:c>
      <x:c r="F176" s="1533" t="n">
        <x:v>1932</x:v>
      </x:c>
      <x:c r="G176" s="1535" t="n">
        <x:v>0</x:v>
      </x:c>
      <x:c r="H176" s="1535" t="n">
        <x:v>0</x:v>
      </x:c>
      <x:c r="I176" t="str">
        <x:v>OK — pełna zgodność</x:v>
      </x:c>
      <x:c r="J176" s="1537" t="str"/>
    </x:row>
    <x:row r="177" ht="19" customHeight="1">
      <x:c r="A177" t="str">
        <x:v>350 x 406 cm</x:v>
      </x:c>
      <x:c r="B177" t="str">
        <x:v>led_point</x:v>
      </x:c>
      <x:c r="C177" s="1533" t="n">
        <x:v>602</x:v>
      </x:c>
      <x:c r="D177" s="1533" t="n">
        <x:v>650</x:v>
      </x:c>
      <x:c r="E177" s="1533" t="n">
        <x:v>650.16</x:v>
      </x:c>
      <x:c r="F177" s="1533" t="n">
        <x:v>650</x:v>
      </x:c>
      <x:c r="G177" s="1535" t="n">
        <x:v>0</x:v>
      </x:c>
      <x:c r="H177" s="1535" t="n">
        <x:v>0</x:v>
      </x:c>
      <x:c r="I177" t="str">
        <x:v>OK — pełna zgodność</x:v>
      </x:c>
      <x:c r="J177" s="1537" t="str"/>
    </x:row>
    <x:row r="178" ht="19" customHeight="1">
      <x:c r="A178" t="str">
        <x:v>350 x 406 cm</x:v>
      </x:c>
      <x:c r="B178" t="str">
        <x:v>led_cct</x:v>
      </x:c>
      <x:c r="C178" s="1533" t="n">
        <x:v>1421</x:v>
      </x:c>
      <x:c r="D178" s="1533" t="n">
        <x:v>1535</x:v>
      </x:c>
      <x:c r="E178" s="1533" t="n">
        <x:v>1534.68</x:v>
      </x:c>
      <x:c r="F178" s="1533" t="n">
        <x:v>1535</x:v>
      </x:c>
      <x:c r="G178" s="1535" t="n">
        <x:v>0</x:v>
      </x:c>
      <x:c r="H178" s="1535" t="n">
        <x:v>0</x:v>
      </x:c>
      <x:c r="I178" t="str">
        <x:v>OK — pełna zgodność</x:v>
      </x:c>
      <x:c r="J178" s="1537" t="str"/>
    </x:row>
    <x:row r="179" ht="19" customHeight="1">
      <x:c r="A179" t="str">
        <x:v>350 x 406 cm</x:v>
      </x:c>
      <x:c r="B179" t="str">
        <x:v>brushes</x:v>
      </x:c>
      <x:c r="C179" s="1533" t="n">
        <x:v>542</x:v>
      </x:c>
      <x:c r="D179" s="1533" t="n">
        <x:v>585</x:v>
      </x:c>
      <x:c r="E179" s="1533" t="n">
        <x:v>585.36</x:v>
      </x:c>
      <x:c r="F179" s="1533" t="n">
        <x:v>585</x:v>
      </x:c>
      <x:c r="G179" s="1535" t="n">
        <x:v>0</x:v>
      </x:c>
      <x:c r="H179" s="1535" t="n">
        <x:v>0</x:v>
      </x:c>
      <x:c r="I179" t="str">
        <x:v>OK — pełna zgodność</x:v>
      </x:c>
      <x:c r="J179" s="1537" t="str"/>
    </x:row>
    <x:row r="180" ht="19" customHeight="1">
      <x:c r="A180" t="str">
        <x:v>350 x 406 cm</x:v>
      </x:c>
      <x:c r="B180" t="str">
        <x:v>handles</x:v>
      </x:c>
      <x:c r="C180" s="1533" t="n">
        <x:v>483</x:v>
      </x:c>
      <x:c r="D180" s="1533" t="n">
        <x:v>522</x:v>
      </x:c>
      <x:c r="E180" s="1533" t="n">
        <x:v>521.64</x:v>
      </x:c>
      <x:c r="F180" s="1533" t="n">
        <x:v>522</x:v>
      </x:c>
      <x:c r="G180" s="1535" t="n">
        <x:v>0</x:v>
      </x:c>
      <x:c r="H180" s="1535" t="n">
        <x:v>0</x:v>
      </x:c>
      <x:c r="I180" t="str">
        <x:v>OK — pełna zgodność</x:v>
      </x:c>
      <x:c r="J180" s="1537" t="str"/>
    </x:row>
    <x:row r="181" ht="19" customHeight="1">
      <x:c r="A181" t="str">
        <x:v>350 x 406 cm</x:v>
      </x:c>
      <x:c r="B181" t="str">
        <x:v>carriers</x:v>
      </x:c>
      <x:c r="C181" s="1533" t="n">
        <x:v>425</x:v>
      </x:c>
      <x:c r="D181" s="1533" t="n">
        <x:v>459</x:v>
      </x:c>
      <x:c r="E181" s="1533" t="n">
        <x:v>459</x:v>
      </x:c>
      <x:c r="F181" s="1533" t="n">
        <x:v>459</x:v>
      </x:c>
      <x:c r="G181" s="1535" t="n">
        <x:v>0</x:v>
      </x:c>
      <x:c r="H181" s="1535" t="n">
        <x:v>0</x:v>
      </x:c>
      <x:c r="I181" t="str">
        <x:v>OK — pełna zgodność</x:v>
      </x:c>
      <x:c r="J181" s="1537" t="str"/>
    </x:row>
    <x:row r="182" ht="19" customHeight="1">
      <x:c r="A182" t="str">
        <x:v>350 x 506 cm</x:v>
      </x:c>
      <x:c r="B182" t="str">
        <x:v>base_poly</x:v>
      </x:c>
      <x:c r="C182" s="1533" t="n">
        <x:v>11669</x:v>
      </x:c>
      <x:c r="D182" s="1533" t="n">
        <x:v>12603</x:v>
      </x:c>
      <x:c r="E182" s="1533" t="n">
        <x:v>12602.52</x:v>
      </x:c>
      <x:c r="F182" s="1533" t="n">
        <x:v>12603</x:v>
      </x:c>
      <x:c r="G182" s="1535" t="n">
        <x:v>0</x:v>
      </x:c>
      <x:c r="H182" s="1535" t="n">
        <x:v>0</x:v>
      </x:c>
      <x:c r="I182" t="str">
        <x:v>OK — pełna zgodność</x:v>
      </x:c>
      <x:c r="J182" s="1537" t="str"/>
    </x:row>
    <x:row r="183" ht="19" customHeight="1">
      <x:c r="A183" t="str">
        <x:v>350 x 506 cm</x:v>
      </x:c>
      <x:c r="B183" t="str">
        <x:v>walls_clear</x:v>
      </x:c>
      <x:c r="C183" s="1533" t="n">
        <x:v>18169</x:v>
      </x:c>
      <x:c r="D183" s="1533" t="n">
        <x:v>19623</x:v>
      </x:c>
      <x:c r="E183" s="1533" t="n">
        <x:v>19622.52</x:v>
      </x:c>
      <x:c r="F183" s="1533" t="n">
        <x:v>19623</x:v>
      </x:c>
      <x:c r="G183" s="1535" t="n">
        <x:v>0</x:v>
      </x:c>
      <x:c r="H183" s="1535" t="n">
        <x:v>0</x:v>
      </x:c>
      <x:c r="I183" t="str">
        <x:v>OK — pełna zgodność</x:v>
      </x:c>
      <x:c r="J183" s="1537" t="str"/>
    </x:row>
    <x:row r="184" ht="19" customHeight="1">
      <x:c r="A184" t="str">
        <x:v>350 x 506 cm</x:v>
      </x:c>
      <x:c r="B184" t="str">
        <x:v>walls_tinted</x:v>
      </x:c>
      <x:c r="C184" s="1533" t="n">
        <x:v>20008</x:v>
      </x:c>
      <x:c r="D184" s="1533" t="n">
        <x:v>21609</x:v>
      </x:c>
      <x:c r="E184" s="1533" t="n">
        <x:v>21608.64</x:v>
      </x:c>
      <x:c r="F184" s="1533" t="n">
        <x:v>21609</x:v>
      </x:c>
      <x:c r="G184" s="1535" t="n">
        <x:v>0</x:v>
      </x:c>
      <x:c r="H184" s="1535" t="n">
        <x:v>0</x:v>
      </x:c>
      <x:c r="I184" t="str">
        <x:v>OK — pełna zgodność</x:v>
      </x:c>
      <x:c r="J184" s="1537" t="str">
        <x:v>Pozycja złożona; stary eksport mógł zaokrąglać składniki osobno.</x:v>
      </x:c>
    </x:row>
    <x:row r="185" ht="19" customHeight="1">
      <x:c r="A185" t="str">
        <x:v>350 x 506 cm</x:v>
      </x:c>
      <x:c r="B185" t="str">
        <x:v>roof_poly_colored</x:v>
      </x:c>
      <x:c r="C185" s="1533" t="n">
        <x:v>294</x:v>
      </x:c>
      <x:c r="D185" s="1533" t="n">
        <x:v>318</x:v>
      </x:c>
      <x:c r="E185" s="1533" t="n">
        <x:v>317.52</x:v>
      </x:c>
      <x:c r="F185" s="1533" t="n">
        <x:v>318</x:v>
      </x:c>
      <x:c r="G185" s="1535" t="n">
        <x:v>0</x:v>
      </x:c>
      <x:c r="H185" s="1535" t="n">
        <x:v>0</x:v>
      </x:c>
      <x:c r="I185" t="str">
        <x:v>OK — pełna zgodność</x:v>
      </x:c>
      <x:c r="J185" s="1537" t="str"/>
    </x:row>
    <x:row r="186" ht="19" customHeight="1">
      <x:c r="A186" t="str">
        <x:v>350 x 506 cm</x:v>
      </x:c>
      <x:c r="B186" t="str">
        <x:v>roof_glass_clear</x:v>
      </x:c>
      <x:c r="C186" s="1533" t="n">
        <x:v>4610</x:v>
      </x:c>
      <x:c r="D186" s="1533" t="n">
        <x:v>4979</x:v>
      </x:c>
      <x:c r="E186" s="1533" t="n">
        <x:v>4978.8</x:v>
      </x:c>
      <x:c r="F186" s="1533" t="n">
        <x:v>4979</x:v>
      </x:c>
      <x:c r="G186" s="1535" t="n">
        <x:v>0</x:v>
      </x:c>
      <x:c r="H186" s="1535" t="n">
        <x:v>0</x:v>
      </x:c>
      <x:c r="I186" t="str">
        <x:v>OK — pełna zgodność</x:v>
      </x:c>
      <x:c r="J186" s="1537" t="str"/>
    </x:row>
    <x:row r="187" ht="19" customHeight="1">
      <x:c r="A187" t="str">
        <x:v>350 x 506 cm</x:v>
      </x:c>
      <x:c r="B187" t="str">
        <x:v>roof_glass_tinted</x:v>
      </x:c>
      <x:c r="C187" s="1533" t="n">
        <x:v>5281</x:v>
      </x:c>
      <x:c r="D187" s="1533" t="n">
        <x:v>5704</x:v>
      </x:c>
      <x:c r="E187" s="1533" t="n">
        <x:v>5703.48</x:v>
      </x:c>
      <x:c r="F187" s="1533" t="n">
        <x:v>5703</x:v>
      </x:c>
      <x:c r="G187" s="1535" t="n">
        <x:v>-1</x:v>
      </x:c>
      <x:c r="H187" s="1535" t="n">
        <x:v>1</x:v>
      </x:c>
      <x:c r="I187" t="str">
        <x:v>OK — zaokrąglenie ±1 zł</x:v>
      </x:c>
      <x:c r="J187" s="1537" t="str">
        <x:v>Pozycja złożona; stary eksport mógł zaokrąglać składniki osobno.</x:v>
      </x:c>
    </x:row>
    <x:row r="188" ht="19" customHeight="1">
      <x:c r="A188" t="str">
        <x:v>350 x 506 cm</x:v>
      </x:c>
      <x:c r="B188" t="str">
        <x:v>zip_side</x:v>
      </x:c>
      <x:c r="C188" s="1533" t="n">
        <x:v>2758</x:v>
      </x:c>
      <x:c r="D188" s="1533" t="n">
        <x:v>2979</x:v>
      </x:c>
      <x:c r="E188" s="1533" t="n">
        <x:v>2978.64</x:v>
      </x:c>
      <x:c r="F188" s="1533" t="n">
        <x:v>2979</x:v>
      </x:c>
      <x:c r="G188" s="1535" t="n">
        <x:v>0</x:v>
      </x:c>
      <x:c r="H188" s="1535" t="n">
        <x:v>0</x:v>
      </x:c>
      <x:c r="I188" t="str">
        <x:v>OK — pełna zgodność</x:v>
      </x:c>
      <x:c r="J188" s="1537" t="str"/>
    </x:row>
    <x:row r="189" ht="19" customHeight="1">
      <x:c r="A189" t="str">
        <x:v>350 x 506 cm</x:v>
      </x:c>
      <x:c r="B189" t="str">
        <x:v>zip_front</x:v>
      </x:c>
      <x:c r="C189" s="1533" t="n">
        <x:v>4362</x:v>
      </x:c>
      <x:c r="D189" s="1533" t="n">
        <x:v>4711</x:v>
      </x:c>
      <x:c r="E189" s="1533" t="n">
        <x:v>4710.96</x:v>
      </x:c>
      <x:c r="F189" s="1533" t="n">
        <x:v>4711</x:v>
      </x:c>
      <x:c r="G189" s="1535" t="n">
        <x:v>0</x:v>
      </x:c>
      <x:c r="H189" s="1535" t="n">
        <x:v>0</x:v>
      </x:c>
      <x:c r="I189" t="str">
        <x:v>OK — pełna zgodność</x:v>
      </x:c>
      <x:c r="J189" s="1537" t="str"/>
    </x:row>
    <x:row r="190" ht="19" customHeight="1">
      <x:c r="A190" t="str">
        <x:v>350 x 506 cm</x:v>
      </x:c>
      <x:c r="B190" t="str">
        <x:v>awning</x:v>
      </x:c>
      <x:c r="C190" s="1533" t="n">
        <x:v>6131</x:v>
      </x:c>
      <x:c r="D190" s="1533" t="n">
        <x:v>6621</x:v>
      </x:c>
      <x:c r="E190" s="1533" t="n">
        <x:v>6621.48</x:v>
      </x:c>
      <x:c r="F190" s="1533" t="n">
        <x:v>6621</x:v>
      </x:c>
      <x:c r="G190" s="1535" t="n">
        <x:v>0</x:v>
      </x:c>
      <x:c r="H190" s="1535" t="n">
        <x:v>0</x:v>
      </x:c>
      <x:c r="I190" t="str">
        <x:v>OK — pełna zgodność</x:v>
      </x:c>
      <x:c r="J190" s="1537" t="str"/>
    </x:row>
    <x:row r="191" ht="19" customHeight="1">
      <x:c r="A191" t="str">
        <x:v>350 x 506 cm</x:v>
      </x:c>
      <x:c r="B191" t="str">
        <x:v>foundation</x:v>
      </x:c>
      <x:c r="C191" s="1533" t="n">
        <x:v>2039</x:v>
      </x:c>
      <x:c r="D191" s="1533" t="n">
        <x:v>2202</x:v>
      </x:c>
      <x:c r="E191" s="1533" t="n">
        <x:v>2202.12</x:v>
      </x:c>
      <x:c r="F191" s="1533" t="n">
        <x:v>2202</x:v>
      </x:c>
      <x:c r="G191" s="1535" t="n">
        <x:v>0</x:v>
      </x:c>
      <x:c r="H191" s="1535" t="n">
        <x:v>0</x:v>
      </x:c>
      <x:c r="I191" t="str">
        <x:v>OK — pełna zgodność</x:v>
      </x:c>
      <x:c r="J191" s="1537" t="str"/>
    </x:row>
    <x:row r="192" ht="19" customHeight="1">
      <x:c r="A192" t="str">
        <x:v>350 x 506 cm</x:v>
      </x:c>
      <x:c r="B192" t="str">
        <x:v>led_point</x:v>
      </x:c>
      <x:c r="C192" s="1533" t="n">
        <x:v>708</x:v>
      </x:c>
      <x:c r="D192" s="1533" t="n">
        <x:v>765</x:v>
      </x:c>
      <x:c r="E192" s="1533" t="n">
        <x:v>764.64</x:v>
      </x:c>
      <x:c r="F192" s="1533" t="n">
        <x:v>765</x:v>
      </x:c>
      <x:c r="G192" s="1535" t="n">
        <x:v>0</x:v>
      </x:c>
      <x:c r="H192" s="1535" t="n">
        <x:v>0</x:v>
      </x:c>
      <x:c r="I192" t="str">
        <x:v>OK — pełna zgodność</x:v>
      </x:c>
      <x:c r="J192" s="1537" t="str"/>
    </x:row>
    <x:row r="193" ht="19" customHeight="1">
      <x:c r="A193" t="str">
        <x:v>350 x 506 cm</x:v>
      </x:c>
      <x:c r="B193" t="str">
        <x:v>led_cct</x:v>
      </x:c>
      <x:c r="C193" s="1533" t="n">
        <x:v>1639</x:v>
      </x:c>
      <x:c r="D193" s="1533" t="n">
        <x:v>1769</x:v>
      </x:c>
      <x:c r="E193" s="1533" t="n">
        <x:v>1770.12</x:v>
      </x:c>
      <x:c r="F193" s="1533" t="n">
        <x:v>1770</x:v>
      </x:c>
      <x:c r="G193" s="1535" t="n">
        <x:v>1</x:v>
      </x:c>
      <x:c r="H193" s="1535" t="n">
        <x:v>1</x:v>
      </x:c>
      <x:c r="I193" t="str">
        <x:v>OK — zaokrąglenie ±1 zł</x:v>
      </x:c>
      <x:c r="J193" s="1537" t="str"/>
    </x:row>
    <x:row r="194" ht="19" customHeight="1">
      <x:c r="A194" t="str">
        <x:v>350 x 506 cm</x:v>
      </x:c>
      <x:c r="B194" t="str">
        <x:v>brushes</x:v>
      </x:c>
      <x:c r="C194" s="1533" t="n">
        <x:v>590</x:v>
      </x:c>
      <x:c r="D194" s="1533" t="n">
        <x:v>637</x:v>
      </x:c>
      <x:c r="E194" s="1533" t="n">
        <x:v>637.2</x:v>
      </x:c>
      <x:c r="F194" s="1533" t="n">
        <x:v>637</x:v>
      </x:c>
      <x:c r="G194" s="1535" t="n">
        <x:v>0</x:v>
      </x:c>
      <x:c r="H194" s="1535" t="n">
        <x:v>0</x:v>
      </x:c>
      <x:c r="I194" t="str">
        <x:v>OK — pełna zgodność</x:v>
      </x:c>
      <x:c r="J194" s="1537" t="str"/>
    </x:row>
    <x:row r="195" ht="19" customHeight="1">
      <x:c r="A195" t="str">
        <x:v>350 x 506 cm</x:v>
      </x:c>
      <x:c r="B195" t="str">
        <x:v>handles</x:v>
      </x:c>
      <x:c r="C195" s="1533" t="n">
        <x:v>531</x:v>
      </x:c>
      <x:c r="D195" s="1533" t="n">
        <x:v>573</x:v>
      </x:c>
      <x:c r="E195" s="1533" t="n">
        <x:v>573.48</x:v>
      </x:c>
      <x:c r="F195" s="1533" t="n">
        <x:v>573</x:v>
      </x:c>
      <x:c r="G195" s="1535" t="n">
        <x:v>0</x:v>
      </x:c>
      <x:c r="H195" s="1535" t="n">
        <x:v>0</x:v>
      </x:c>
      <x:c r="I195" t="str">
        <x:v>OK — pełna zgodność</x:v>
      </x:c>
      <x:c r="J195" s="1537" t="str"/>
    </x:row>
    <x:row r="196" ht="19" customHeight="1">
      <x:c r="A196" t="str">
        <x:v>350 x 506 cm</x:v>
      </x:c>
      <x:c r="B196" t="str">
        <x:v>carriers</x:v>
      </x:c>
      <x:c r="C196" s="1533" t="n">
        <x:v>425</x:v>
      </x:c>
      <x:c r="D196" s="1533" t="n">
        <x:v>459</x:v>
      </x:c>
      <x:c r="E196" s="1533" t="n">
        <x:v>459</x:v>
      </x:c>
      <x:c r="F196" s="1533" t="n">
        <x:v>459</x:v>
      </x:c>
      <x:c r="G196" s="1535" t="n">
        <x:v>0</x:v>
      </x:c>
      <x:c r="H196" s="1535" t="n">
        <x:v>0</x:v>
      </x:c>
      <x:c r="I196" t="str">
        <x:v>OK — pełna zgodność</x:v>
      </x:c>
      <x:c r="J196" s="1537" t="str"/>
    </x:row>
    <x:row r="197" ht="19" customHeight="1">
      <x:c r="A197" t="str">
        <x:v>350 x 606 cm</x:v>
      </x:c>
      <x:c r="B197" t="str">
        <x:v>base_poly</x:v>
      </x:c>
      <x:c r="C197" s="1533" t="n">
        <x:v>13205</x:v>
      </x:c>
      <x:c r="D197" s="1533" t="n">
        <x:v>14260</x:v>
      </x:c>
      <x:c r="E197" s="1533" t="n">
        <x:v>14261.4</x:v>
      </x:c>
      <x:c r="F197" s="1533" t="n">
        <x:v>14261</x:v>
      </x:c>
      <x:c r="G197" s="1535" t="n">
        <x:v>1</x:v>
      </x:c>
      <x:c r="H197" s="1535" t="n">
        <x:v>1</x:v>
      </x:c>
      <x:c r="I197" t="str">
        <x:v>OK — zaokrąglenie ±1 zł</x:v>
      </x:c>
      <x:c r="J197" s="1537" t="str"/>
    </x:row>
    <x:row r="198" ht="19" customHeight="1">
      <x:c r="A198" t="str">
        <x:v>350 x 606 cm</x:v>
      </x:c>
      <x:c r="B198" t="str">
        <x:v>walls_clear</x:v>
      </x:c>
      <x:c r="C198" s="1533" t="n">
        <x:v>19516</x:v>
      </x:c>
      <x:c r="D198" s="1533" t="n">
        <x:v>21078</x:v>
      </x:c>
      <x:c r="E198" s="1533" t="n">
        <x:v>21077.28</x:v>
      </x:c>
      <x:c r="F198" s="1533" t="n">
        <x:v>21077</x:v>
      </x:c>
      <x:c r="G198" s="1535" t="n">
        <x:v>-1</x:v>
      </x:c>
      <x:c r="H198" s="1535" t="n">
        <x:v>1</x:v>
      </x:c>
      <x:c r="I198" t="str">
        <x:v>OK — zaokrąglenie ±1 zł</x:v>
      </x:c>
      <x:c r="J198" s="1537" t="str"/>
    </x:row>
    <x:row r="199" ht="19" customHeight="1">
      <x:c r="A199" t="str">
        <x:v>350 x 606 cm</x:v>
      </x:c>
      <x:c r="B199" t="str">
        <x:v>walls_tinted</x:v>
      </x:c>
      <x:c r="C199" s="1533" t="n">
        <x:v>21497</x:v>
      </x:c>
      <x:c r="D199" s="1533" t="n">
        <x:v>23217</x:v>
      </x:c>
      <x:c r="E199" s="1533" t="n">
        <x:v>23216.76</x:v>
      </x:c>
      <x:c r="F199" s="1533" t="n">
        <x:v>23217</x:v>
      </x:c>
      <x:c r="G199" s="1535" t="n">
        <x:v>0</x:v>
      </x:c>
      <x:c r="H199" s="1535" t="n">
        <x:v>0</x:v>
      </x:c>
      <x:c r="I199" t="str">
        <x:v>OK — pełna zgodność</x:v>
      </x:c>
      <x:c r="J199" s="1537" t="str">
        <x:v>Pozycja złożona; stary eksport mógł zaokrąglać składniki osobno.</x:v>
      </x:c>
    </x:row>
    <x:row r="200" ht="19" customHeight="1">
      <x:c r="A200" t="str">
        <x:v>350 x 606 cm</x:v>
      </x:c>
      <x:c r="B200" t="str">
        <x:v>roof_poly_colored</x:v>
      </x:c>
      <x:c r="C200" s="1533" t="n">
        <x:v>354</x:v>
      </x:c>
      <x:c r="D200" s="1533" t="n">
        <x:v>382</x:v>
      </x:c>
      <x:c r="E200" s="1533" t="n">
        <x:v>382.32</x:v>
      </x:c>
      <x:c r="F200" s="1533" t="n">
        <x:v>382</x:v>
      </x:c>
      <x:c r="G200" s="1535" t="n">
        <x:v>0</x:v>
      </x:c>
      <x:c r="H200" s="1535" t="n">
        <x:v>0</x:v>
      </x:c>
      <x:c r="I200" t="str">
        <x:v>OK — pełna zgodność</x:v>
      </x:c>
      <x:c r="J200" s="1537" t="str"/>
    </x:row>
    <x:row r="201" ht="19" customHeight="1">
      <x:c r="A201" t="str">
        <x:v>350 x 606 cm</x:v>
      </x:c>
      <x:c r="B201" t="str">
        <x:v>roof_glass_clear</x:v>
      </x:c>
      <x:c r="C201" s="1533" t="n">
        <x:v>5529</x:v>
      </x:c>
      <x:c r="D201" s="1533" t="n">
        <x:v>5971</x:v>
      </x:c>
      <x:c r="E201" s="1533" t="n">
        <x:v>5971.32</x:v>
      </x:c>
      <x:c r="F201" s="1533" t="n">
        <x:v>5971</x:v>
      </x:c>
      <x:c r="G201" s="1535" t="n">
        <x:v>0</x:v>
      </x:c>
      <x:c r="H201" s="1535" t="n">
        <x:v>0</x:v>
      </x:c>
      <x:c r="I201" t="str">
        <x:v>OK — pełna zgodność</x:v>
      </x:c>
      <x:c r="J201" s="1537" t="str"/>
    </x:row>
    <x:row r="202" ht="19" customHeight="1">
      <x:c r="A202" t="str">
        <x:v>350 x 606 cm</x:v>
      </x:c>
      <x:c r="B202" t="str">
        <x:v>roof_glass_tinted</x:v>
      </x:c>
      <x:c r="C202" s="1533" t="n">
        <x:v>6342</x:v>
      </x:c>
      <x:c r="D202" s="1533" t="n">
        <x:v>6849</x:v>
      </x:c>
      <x:c r="E202" s="1533" t="n">
        <x:v>6849.36</x:v>
      </x:c>
      <x:c r="F202" s="1533" t="n">
        <x:v>6849</x:v>
      </x:c>
      <x:c r="G202" s="1535" t="n">
        <x:v>0</x:v>
      </x:c>
      <x:c r="H202" s="1535" t="n">
        <x:v>0</x:v>
      </x:c>
      <x:c r="I202" t="str">
        <x:v>OK — pełna zgodność</x:v>
      </x:c>
      <x:c r="J202" s="1537" t="str">
        <x:v>Pozycja złożona; stary eksport mógł zaokrąglać składniki osobno.</x:v>
      </x:c>
    </x:row>
    <x:row r="203" ht="19" customHeight="1">
      <x:c r="A203" t="str">
        <x:v>350 x 606 cm</x:v>
      </x:c>
      <x:c r="B203" t="str">
        <x:v>zip_side</x:v>
      </x:c>
      <x:c r="C203" s="1533" t="n">
        <x:v>2758</x:v>
      </x:c>
      <x:c r="D203" s="1533" t="n">
        <x:v>2979</x:v>
      </x:c>
      <x:c r="E203" s="1533" t="n">
        <x:v>2978.64</x:v>
      </x:c>
      <x:c r="F203" s="1533" t="n">
        <x:v>2979</x:v>
      </x:c>
      <x:c r="G203" s="1535" t="n">
        <x:v>0</x:v>
      </x:c>
      <x:c r="H203" s="1535" t="n">
        <x:v>0</x:v>
      </x:c>
      <x:c r="I203" t="str">
        <x:v>OK — pełna zgodność</x:v>
      </x:c>
      <x:c r="J203" s="1537" t="str"/>
    </x:row>
    <x:row r="204" ht="19" customHeight="1">
      <x:c r="A204" t="str">
        <x:v>350 x 606 cm</x:v>
      </x:c>
      <x:c r="B204" t="str">
        <x:v>zip_front</x:v>
      </x:c>
      <x:c r="C204" s="1533" t="n">
        <x:v>5034</x:v>
      </x:c>
      <x:c r="D204" s="1533" t="n">
        <x:v>5437</x:v>
      </x:c>
      <x:c r="E204" s="1533" t="n">
        <x:v>5436.72</x:v>
      </x:c>
      <x:c r="F204" s="1533" t="n">
        <x:v>5437</x:v>
      </x:c>
      <x:c r="G204" s="1535" t="n">
        <x:v>0</x:v>
      </x:c>
      <x:c r="H204" s="1535" t="n">
        <x:v>0</x:v>
      </x:c>
      <x:c r="I204" t="str">
        <x:v>OK — pełna zgodność</x:v>
      </x:c>
      <x:c r="J204" s="1537" t="str"/>
    </x:row>
    <x:row r="205" ht="19" customHeight="1">
      <x:c r="A205" t="str">
        <x:v>350 x 606 cm</x:v>
      </x:c>
      <x:c r="B205" t="str">
        <x:v>awning</x:v>
      </x:c>
      <x:c r="C205" s="1533" t="n">
        <x:v>9384</x:v>
      </x:c>
      <x:c r="D205" s="1533" t="n">
        <x:v>10135</x:v>
      </x:c>
      <x:c r="E205" s="1533" t="n">
        <x:v>10134.72</x:v>
      </x:c>
      <x:c r="F205" s="1533" t="n">
        <x:v>10135</x:v>
      </x:c>
      <x:c r="G205" s="1535" t="n">
        <x:v>0</x:v>
      </x:c>
      <x:c r="H205" s="1535" t="n">
        <x:v>0</x:v>
      </x:c>
      <x:c r="I205" t="str">
        <x:v>OK — pełna zgodność</x:v>
      </x:c>
      <x:c r="J205" s="1537" t="str"/>
    </x:row>
    <x:row r="206" ht="19" customHeight="1">
      <x:c r="A206" t="str">
        <x:v>350 x 606 cm</x:v>
      </x:c>
      <x:c r="B206" t="str">
        <x:v>foundation</x:v>
      </x:c>
      <x:c r="C206" s="1533" t="n">
        <x:v>2539</x:v>
      </x:c>
      <x:c r="D206" s="1533" t="n">
        <x:v>2742</x:v>
      </x:c>
      <x:c r="E206" s="1533" t="n">
        <x:v>2742.12</x:v>
      </x:c>
      <x:c r="F206" s="1533" t="n">
        <x:v>2742</x:v>
      </x:c>
      <x:c r="G206" s="1535" t="n">
        <x:v>0</x:v>
      </x:c>
      <x:c r="H206" s="1535" t="n">
        <x:v>0</x:v>
      </x:c>
      <x:c r="I206" t="str">
        <x:v>OK — pełna zgodność</x:v>
      </x:c>
      <x:c r="J206" s="1537" t="str"/>
    </x:row>
    <x:row r="207" ht="19" customHeight="1">
      <x:c r="A207" t="str">
        <x:v>350 x 606 cm</x:v>
      </x:c>
      <x:c r="B207" t="str">
        <x:v>led_point</x:v>
      </x:c>
      <x:c r="C207" s="1533" t="n">
        <x:v>931</x:v>
      </x:c>
      <x:c r="D207" s="1533" t="n">
        <x:v>1005</x:v>
      </x:c>
      <x:c r="E207" s="1533" t="n">
        <x:v>1005.48</x:v>
      </x:c>
      <x:c r="F207" s="1533" t="n">
        <x:v>1005</x:v>
      </x:c>
      <x:c r="G207" s="1535" t="n">
        <x:v>0</x:v>
      </x:c>
      <x:c r="H207" s="1535" t="n">
        <x:v>0</x:v>
      </x:c>
      <x:c r="I207" t="str">
        <x:v>OK — pełna zgodność</x:v>
      </x:c>
      <x:c r="J207" s="1537" t="str"/>
    </x:row>
    <x:row r="208" ht="19" customHeight="1">
      <x:c r="A208" t="str">
        <x:v>350 x 606 cm</x:v>
      </x:c>
      <x:c r="B208" t="str">
        <x:v>led_cct</x:v>
      </x:c>
      <x:c r="C208" s="1533" t="n">
        <x:v>1871</x:v>
      </x:c>
      <x:c r="D208" s="1533" t="n">
        <x:v>2020</x:v>
      </x:c>
      <x:c r="E208" s="1533" t="n">
        <x:v>2020.68</x:v>
      </x:c>
      <x:c r="F208" s="1533" t="n">
        <x:v>2021</x:v>
      </x:c>
      <x:c r="G208" s="1535" t="n">
        <x:v>1</x:v>
      </x:c>
      <x:c r="H208" s="1535" t="n">
        <x:v>1</x:v>
      </x:c>
      <x:c r="I208" t="str">
        <x:v>OK — zaokrąglenie ±1 zł</x:v>
      </x:c>
      <x:c r="J208" s="1537" t="str"/>
    </x:row>
    <x:row r="209" ht="19" customHeight="1">
      <x:c r="A209" t="str">
        <x:v>350 x 606 cm</x:v>
      </x:c>
      <x:c r="B209" t="str">
        <x:v>brushes</x:v>
      </x:c>
      <x:c r="C209" s="1533" t="n">
        <x:v>625</x:v>
      </x:c>
      <x:c r="D209" s="1533" t="n">
        <x:v>675</x:v>
      </x:c>
      <x:c r="E209" s="1533" t="n">
        <x:v>675</x:v>
      </x:c>
      <x:c r="F209" s="1533" t="n">
        <x:v>675</x:v>
      </x:c>
      <x:c r="G209" s="1535" t="n">
        <x:v>0</x:v>
      </x:c>
      <x:c r="H209" s="1535" t="n">
        <x:v>0</x:v>
      </x:c>
      <x:c r="I209" t="str">
        <x:v>OK — pełna zgodność</x:v>
      </x:c>
      <x:c r="J209" s="1537" t="str"/>
    </x:row>
    <x:row r="210" ht="19" customHeight="1">
      <x:c r="A210" t="str">
        <x:v>350 x 606 cm</x:v>
      </x:c>
      <x:c r="B210" t="str">
        <x:v>handles</x:v>
      </x:c>
      <x:c r="C210" s="1533" t="n">
        <x:v>566</x:v>
      </x:c>
      <x:c r="D210" s="1533" t="n">
        <x:v>611</x:v>
      </x:c>
      <x:c r="E210" s="1533" t="n">
        <x:v>611.28</x:v>
      </x:c>
      <x:c r="F210" s="1533" t="n">
        <x:v>611</x:v>
      </x:c>
      <x:c r="G210" s="1535" t="n">
        <x:v>0</x:v>
      </x:c>
      <x:c r="H210" s="1535" t="n">
        <x:v>0</x:v>
      </x:c>
      <x:c r="I210" t="str">
        <x:v>OK — pełna zgodność</x:v>
      </x:c>
      <x:c r="J210" s="1537" t="str"/>
    </x:row>
    <x:row r="211" ht="19" customHeight="1">
      <x:c r="A211" t="str">
        <x:v>350 x 606 cm</x:v>
      </x:c>
      <x:c r="B211" t="str">
        <x:v>carriers</x:v>
      </x:c>
      <x:c r="C211" s="1533" t="n">
        <x:v>471</x:v>
      </x:c>
      <x:c r="D211" s="1533" t="n">
        <x:v>509</x:v>
      </x:c>
      <x:c r="E211" s="1533" t="n">
        <x:v>508.68</x:v>
      </x:c>
      <x:c r="F211" s="1533" t="n">
        <x:v>509</x:v>
      </x:c>
      <x:c r="G211" s="1535" t="n">
        <x:v>0</x:v>
      </x:c>
      <x:c r="H211" s="1535" t="n">
        <x:v>0</x:v>
      </x:c>
      <x:c r="I211" t="str">
        <x:v>OK — pełna zgodność</x:v>
      </x:c>
      <x:c r="J211" s="1537" t="str"/>
    </x:row>
    <x:row r="212" ht="19" customHeight="1">
      <x:c r="A212" t="str">
        <x:v>350 x 706 cm</x:v>
      </x:c>
      <x:c r="B212" t="str">
        <x:v>base_poly</x:v>
      </x:c>
      <x:c r="C212" s="1533" t="n">
        <x:v>14969</x:v>
      </x:c>
      <x:c r="D212" s="1533" t="n">
        <x:v>16167</x:v>
      </x:c>
      <x:c r="E212" s="1533" t="n">
        <x:v>16166.52</x:v>
      </x:c>
      <x:c r="F212" s="1533" t="n">
        <x:v>16167</x:v>
      </x:c>
      <x:c r="G212" s="1535" t="n">
        <x:v>0</x:v>
      </x:c>
      <x:c r="H212" s="1535" t="n">
        <x:v>0</x:v>
      </x:c>
      <x:c r="I212" t="str">
        <x:v>OK — pełna zgodność</x:v>
      </x:c>
      <x:c r="J212" s="1537" t="str"/>
    </x:row>
    <x:row r="213" ht="19" customHeight="1">
      <x:c r="A213" t="str">
        <x:v>350 x 706 cm</x:v>
      </x:c>
      <x:c r="B213" t="str">
        <x:v>walls_clear</x:v>
      </x:c>
      <x:c r="C213" s="1533" t="n">
        <x:v>19672</x:v>
      </x:c>
      <x:c r="D213" s="1533" t="n">
        <x:v>21246</x:v>
      </x:c>
      <x:c r="E213" s="1533" t="n">
        <x:v>21245.76</x:v>
      </x:c>
      <x:c r="F213" s="1533" t="n">
        <x:v>21246</x:v>
      </x:c>
      <x:c r="G213" s="1535" t="n">
        <x:v>0</x:v>
      </x:c>
      <x:c r="H213" s="1535" t="n">
        <x:v>0</x:v>
      </x:c>
      <x:c r="I213" t="str">
        <x:v>OK — pełna zgodność</x:v>
      </x:c>
      <x:c r="J213" s="1537" t="str"/>
    </x:row>
    <x:row r="214" ht="19" customHeight="1">
      <x:c r="A214" t="str">
        <x:v>350 x 706 cm</x:v>
      </x:c>
      <x:c r="B214" t="str">
        <x:v>walls_tinted</x:v>
      </x:c>
      <x:c r="C214" s="1533" t="n">
        <x:v>21793</x:v>
      </x:c>
      <x:c r="D214" s="1533" t="n">
        <x:v>23537</x:v>
      </x:c>
      <x:c r="E214" s="1533" t="n">
        <x:v>23536.44</x:v>
      </x:c>
      <x:c r="F214" s="1533" t="n">
        <x:v>23536</x:v>
      </x:c>
      <x:c r="G214" s="1535" t="n">
        <x:v>-1</x:v>
      </x:c>
      <x:c r="H214" s="1535" t="n">
        <x:v>1</x:v>
      </x:c>
      <x:c r="I214" t="str">
        <x:v>OK — zaokrąglenie ±1 zł</x:v>
      </x:c>
      <x:c r="J214" s="1537" t="str">
        <x:v>Pozycja złożona; stary eksport mógł zaokrąglać składniki osobno.</x:v>
      </x:c>
    </x:row>
    <x:row r="215" ht="19" customHeight="1">
      <x:c r="A215" t="str">
        <x:v>350 x 706 cm</x:v>
      </x:c>
      <x:c r="B215" t="str">
        <x:v>roof_poly_colored</x:v>
      </x:c>
      <x:c r="C215" s="1533" t="n">
        <x:v>413</x:v>
      </x:c>
      <x:c r="D215" s="1533" t="n">
        <x:v>446</x:v>
      </x:c>
      <x:c r="E215" s="1533" t="n">
        <x:v>446.04</x:v>
      </x:c>
      <x:c r="F215" s="1533" t="n">
        <x:v>446</x:v>
      </x:c>
      <x:c r="G215" s="1535" t="n">
        <x:v>0</x:v>
      </x:c>
      <x:c r="H215" s="1535" t="n">
        <x:v>0</x:v>
      </x:c>
      <x:c r="I215" t="str">
        <x:v>OK — pełna zgodność</x:v>
      </x:c>
      <x:c r="J215" s="1537" t="str"/>
    </x:row>
    <x:row r="216" ht="19" customHeight="1">
      <x:c r="A216" t="str">
        <x:v>350 x 706 cm</x:v>
      </x:c>
      <x:c r="B216" t="str">
        <x:v>roof_glass_clear</x:v>
      </x:c>
      <x:c r="C216" s="1533" t="n">
        <x:v>6342</x:v>
      </x:c>
      <x:c r="D216" s="1533" t="n">
        <x:v>6849</x:v>
      </x:c>
      <x:c r="E216" s="1533" t="n">
        <x:v>6849.36</x:v>
      </x:c>
      <x:c r="F216" s="1533" t="n">
        <x:v>6849</x:v>
      </x:c>
      <x:c r="G216" s="1535" t="n">
        <x:v>0</x:v>
      </x:c>
      <x:c r="H216" s="1535" t="n">
        <x:v>0</x:v>
      </x:c>
      <x:c r="I216" t="str">
        <x:v>OK — pełna zgodność</x:v>
      </x:c>
      <x:c r="J216" s="1537" t="str"/>
    </x:row>
    <x:row r="217" ht="19" customHeight="1">
      <x:c r="A217" t="str">
        <x:v>350 x 706 cm</x:v>
      </x:c>
      <x:c r="B217" t="str">
        <x:v>roof_glass_tinted</x:v>
      </x:c>
      <x:c r="C217" s="1533" t="n">
        <x:v>7285</x:v>
      </x:c>
      <x:c r="D217" s="1533" t="n">
        <x:v>7866</x:v>
      </x:c>
      <x:c r="E217" s="1533" t="n">
        <x:v>7867.8</x:v>
      </x:c>
      <x:c r="F217" s="1533" t="n">
        <x:v>7868</x:v>
      </x:c>
      <x:c r="G217" s="1535" t="n">
        <x:v>2</x:v>
      </x:c>
      <x:c r="H217" s="1535" t="n">
        <x:v>2</x:v>
      </x:c>
      <x:c r="I217" t="str">
        <x:v>SPRAWDŹ &gt;1 zł</x:v>
      </x:c>
      <x:c r="J217" s="1537" t="str"/>
    </x:row>
    <x:row r="218" ht="19" customHeight="1">
      <x:c r="A218" t="str">
        <x:v>350 x 706 cm</x:v>
      </x:c>
      <x:c r="B218" t="str">
        <x:v>zip_side</x:v>
      </x:c>
      <x:c r="C218" s="1533" t="n">
        <x:v>2758</x:v>
      </x:c>
      <x:c r="D218" s="1533" t="n">
        <x:v>2979</x:v>
      </x:c>
      <x:c r="E218" s="1533" t="n">
        <x:v>2978.64</x:v>
      </x:c>
      <x:c r="F218" s="1533" t="n">
        <x:v>2979</x:v>
      </x:c>
      <x:c r="G218" s="1535" t="n">
        <x:v>0</x:v>
      </x:c>
      <x:c r="H218" s="1535" t="n">
        <x:v>0</x:v>
      </x:c>
      <x:c r="I218" t="str">
        <x:v>OK — pełna zgodność</x:v>
      </x:c>
      <x:c r="J218" s="1537" t="str"/>
    </x:row>
    <x:row r="219" ht="19" customHeight="1">
      <x:c r="A219" t="str">
        <x:v>350 x 706 cm</x:v>
      </x:c>
      <x:c r="B219" t="str">
        <x:v>zip_front</x:v>
      </x:c>
      <x:c r="C219" s="1533" t="n">
        <x:v>5635</x:v>
      </x:c>
      <x:c r="D219" s="1533" t="n">
        <x:v>6086</x:v>
      </x:c>
      <x:c r="E219" s="1533" t="n">
        <x:v>6085.8</x:v>
      </x:c>
      <x:c r="F219" s="1533" t="n">
        <x:v>6086</x:v>
      </x:c>
      <x:c r="G219" s="1535" t="n">
        <x:v>0</x:v>
      </x:c>
      <x:c r="H219" s="1535" t="n">
        <x:v>0</x:v>
      </x:c>
      <x:c r="I219" t="str">
        <x:v>OK — pełna zgodność</x:v>
      </x:c>
      <x:c r="J219" s="1537" t="str"/>
    </x:row>
    <x:row r="220" ht="19" customHeight="1">
      <x:c r="A220" t="str">
        <x:v>350 x 706 cm</x:v>
      </x:c>
      <x:c r="B220" t="str">
        <x:v>awning</x:v>
      </x:c>
      <x:c r="C220" s="1533" t="n">
        <x:v>9996</x:v>
      </x:c>
      <x:c r="D220" s="1533" t="n">
        <x:v>10796</x:v>
      </x:c>
      <x:c r="E220" s="1533" t="n">
        <x:v>10795.68</x:v>
      </x:c>
      <x:c r="F220" s="1533" t="n">
        <x:v>10796</x:v>
      </x:c>
      <x:c r="G220" s="1535" t="n">
        <x:v>0</x:v>
      </x:c>
      <x:c r="H220" s="1535" t="n">
        <x:v>0</x:v>
      </x:c>
      <x:c r="I220" t="str">
        <x:v>OK — pełna zgodność</x:v>
      </x:c>
      <x:c r="J220" s="1537" t="str"/>
    </x:row>
    <x:row r="221" ht="19" customHeight="1">
      <x:c r="A221" t="str">
        <x:v>350 x 706 cm</x:v>
      </x:c>
      <x:c r="B221" t="str">
        <x:v>foundation</x:v>
      </x:c>
      <x:c r="C221" s="1533" t="n">
        <x:v>2182</x:v>
      </x:c>
      <x:c r="D221" s="1533" t="n">
        <x:v>2357</x:v>
      </x:c>
      <x:c r="E221" s="1533" t="n">
        <x:v>2356.56</x:v>
      </x:c>
      <x:c r="F221" s="1533" t="n">
        <x:v>2357</x:v>
      </x:c>
      <x:c r="G221" s="1535" t="n">
        <x:v>0</x:v>
      </x:c>
      <x:c r="H221" s="1535" t="n">
        <x:v>0</x:v>
      </x:c>
      <x:c r="I221" t="str">
        <x:v>OK — pełna zgodność</x:v>
      </x:c>
      <x:c r="J221" s="1537" t="str"/>
    </x:row>
    <x:row r="222" ht="19" customHeight="1">
      <x:c r="A222" t="str">
        <x:v>350 x 706 cm</x:v>
      </x:c>
      <x:c r="B222" t="str">
        <x:v>led_point</x:v>
      </x:c>
      <x:c r="C222" s="1533" t="n">
        <x:v>1025</x:v>
      </x:c>
      <x:c r="D222" s="1533" t="n">
        <x:v>1107</x:v>
      </x:c>
      <x:c r="E222" s="1533" t="n">
        <x:v>1107</x:v>
      </x:c>
      <x:c r="F222" s="1533" t="n">
        <x:v>1107</x:v>
      </x:c>
      <x:c r="G222" s="1535" t="n">
        <x:v>0</x:v>
      </x:c>
      <x:c r="H222" s="1535" t="n">
        <x:v>0</x:v>
      </x:c>
      <x:c r="I222" t="str">
        <x:v>OK — pełna zgodność</x:v>
      </x:c>
      <x:c r="J222" s="1537" t="str"/>
    </x:row>
    <x:row r="223" ht="19" customHeight="1">
      <x:c r="A223" t="str">
        <x:v>350 x 706 cm</x:v>
      </x:c>
      <x:c r="B223" t="str">
        <x:v>led_cct</x:v>
      </x:c>
      <x:c r="C223" s="1533" t="n">
        <x:v>2103</x:v>
      </x:c>
      <x:c r="D223" s="1533" t="n">
        <x:v>2270</x:v>
      </x:c>
      <x:c r="E223" s="1533" t="n">
        <x:v>2271.24</x:v>
      </x:c>
      <x:c r="F223" s="1533" t="n">
        <x:v>2271</x:v>
      </x:c>
      <x:c r="G223" s="1535" t="n">
        <x:v>1</x:v>
      </x:c>
      <x:c r="H223" s="1535" t="n">
        <x:v>1</x:v>
      </x:c>
      <x:c r="I223" t="str">
        <x:v>OK — zaokrąglenie ±1 zł</x:v>
      </x:c>
      <x:c r="J223" s="1537" t="str"/>
    </x:row>
    <x:row r="224" ht="19" customHeight="1">
      <x:c r="A224" t="str">
        <x:v>350 x 706 cm</x:v>
      </x:c>
      <x:c r="B224" t="str">
        <x:v>brushes</x:v>
      </x:c>
      <x:c r="C224" s="1533" t="n">
        <x:v>671</x:v>
      </x:c>
      <x:c r="D224" s="1533" t="n">
        <x:v>725</x:v>
      </x:c>
      <x:c r="E224" s="1533" t="n">
        <x:v>724.68</x:v>
      </x:c>
      <x:c r="F224" s="1533" t="n">
        <x:v>725</x:v>
      </x:c>
      <x:c r="G224" s="1535" t="n">
        <x:v>0</x:v>
      </x:c>
      <x:c r="H224" s="1535" t="n">
        <x:v>0</x:v>
      </x:c>
      <x:c r="I224" t="str">
        <x:v>OK — pełna zgodność</x:v>
      </x:c>
      <x:c r="J224" s="1537" t="str"/>
    </x:row>
    <x:row r="225" ht="19" customHeight="1">
      <x:c r="A225" t="str">
        <x:v>350 x 706 cm</x:v>
      </x:c>
      <x:c r="B225" t="str">
        <x:v>handles</x:v>
      </x:c>
      <x:c r="C225" s="1533" t="n">
        <x:v>613</x:v>
      </x:c>
      <x:c r="D225" s="1533" t="n">
        <x:v>662</x:v>
      </x:c>
      <x:c r="E225" s="1533" t="n">
        <x:v>662.04</x:v>
      </x:c>
      <x:c r="F225" s="1533" t="n">
        <x:v>662</x:v>
      </x:c>
      <x:c r="G225" s="1535" t="n">
        <x:v>0</x:v>
      </x:c>
      <x:c r="H225" s="1535" t="n">
        <x:v>0</x:v>
      </x:c>
      <x:c r="I225" t="str">
        <x:v>OK — pełna zgodność</x:v>
      </x:c>
      <x:c r="J225" s="1537" t="str"/>
    </x:row>
    <x:row r="226" ht="19" customHeight="1">
      <x:c r="A226" t="str">
        <x:v>350 x 706 cm</x:v>
      </x:c>
      <x:c r="B226" t="str">
        <x:v>carriers</x:v>
      </x:c>
      <x:c r="C226" s="1533" t="n">
        <x:v>519</x:v>
      </x:c>
      <x:c r="D226" s="1533" t="n">
        <x:v>561</x:v>
      </x:c>
      <x:c r="E226" s="1533" t="n">
        <x:v>560.52</x:v>
      </x:c>
      <x:c r="F226" s="1533" t="n">
        <x:v>561</x:v>
      </x:c>
      <x:c r="G226" s="1535" t="n">
        <x:v>0</x:v>
      </x:c>
      <x:c r="H226" s="1535" t="n">
        <x:v>0</x:v>
      </x:c>
      <x:c r="I226" t="str">
        <x:v>OK — pełna zgodność</x:v>
      </x:c>
      <x:c r="J226" s="1537" t="str"/>
    </x:row>
    <x:row r="227" ht="19" customHeight="1">
      <x:c r="A227" t="str">
        <x:v>350 x 806 cm</x:v>
      </x:c>
      <x:c r="B227" t="str">
        <x:v>base_poly</x:v>
      </x:c>
      <x:c r="C227" s="1533" t="n">
        <x:v>17479</x:v>
      </x:c>
      <x:c r="D227" s="1533" t="n">
        <x:v>18877</x:v>
      </x:c>
      <x:c r="E227" s="1533" t="n">
        <x:v>18877.32</x:v>
      </x:c>
      <x:c r="F227" s="1533" t="n">
        <x:v>18877</x:v>
      </x:c>
      <x:c r="G227" s="1535" t="n">
        <x:v>0</x:v>
      </x:c>
      <x:c r="H227" s="1535" t="n">
        <x:v>0</x:v>
      </x:c>
      <x:c r="I227" t="str">
        <x:v>OK — pełna zgodność</x:v>
      </x:c>
      <x:c r="J227" s="1537" t="str"/>
    </x:row>
    <x:row r="228" ht="19" customHeight="1">
      <x:c r="A228" t="str">
        <x:v>350 x 806 cm</x:v>
      </x:c>
      <x:c r="B228" t="str">
        <x:v>walls_clear</x:v>
      </x:c>
      <x:c r="C228" s="1533" t="n">
        <x:v>20729</x:v>
      </x:c>
      <x:c r="D228" s="1533" t="n">
        <x:v>22387</x:v>
      </x:c>
      <x:c r="E228" s="1533" t="n">
        <x:v>22387.32</x:v>
      </x:c>
      <x:c r="F228" s="1533" t="n">
        <x:v>22387</x:v>
      </x:c>
      <x:c r="G228" s="1535" t="n">
        <x:v>0</x:v>
      </x:c>
      <x:c r="H228" s="1535" t="n">
        <x:v>0</x:v>
      </x:c>
      <x:c r="I228" t="str">
        <x:v>OK — pełna zgodność</x:v>
      </x:c>
      <x:c r="J228" s="1537" t="str"/>
    </x:row>
    <x:row r="229" ht="19" customHeight="1">
      <x:c r="A229" t="str">
        <x:v>350 x 806 cm</x:v>
      </x:c>
      <x:c r="B229" t="str">
        <x:v>walls_tinted</x:v>
      </x:c>
      <x:c r="C229" s="1533" t="n">
        <x:v>22992</x:v>
      </x:c>
      <x:c r="D229" s="1533" t="n">
        <x:v>24831</x:v>
      </x:c>
      <x:c r="E229" s="1533" t="n">
        <x:v>24831.36</x:v>
      </x:c>
      <x:c r="F229" s="1533" t="n">
        <x:v>24831</x:v>
      </x:c>
      <x:c r="G229" s="1535" t="n">
        <x:v>0</x:v>
      </x:c>
      <x:c r="H229" s="1535" t="n">
        <x:v>0</x:v>
      </x:c>
      <x:c r="I229" t="str">
        <x:v>OK — pełna zgodność</x:v>
      </x:c>
      <x:c r="J229" s="1537" t="str">
        <x:v>Pozycja złożona; stary eksport mógł zaokrąglać składniki osobno.</x:v>
      </x:c>
    </x:row>
    <x:row r="230" ht="19" customHeight="1">
      <x:c r="A230" t="str">
        <x:v>350 x 806 cm</x:v>
      </x:c>
      <x:c r="B230" t="str">
        <x:v>roof_poly_colored</x:v>
      </x:c>
      <x:c r="C230" s="1533" t="n">
        <x:v>471</x:v>
      </x:c>
      <x:c r="D230" s="1533" t="n">
        <x:v>509</x:v>
      </x:c>
      <x:c r="E230" s="1533" t="n">
        <x:v>508.68</x:v>
      </x:c>
      <x:c r="F230" s="1533" t="n">
        <x:v>509</x:v>
      </x:c>
      <x:c r="G230" s="1535" t="n">
        <x:v>0</x:v>
      </x:c>
      <x:c r="H230" s="1535" t="n">
        <x:v>0</x:v>
      </x:c>
      <x:c r="I230" t="str">
        <x:v>OK — pełna zgodność</x:v>
      </x:c>
      <x:c r="J230" s="1537" t="str"/>
    </x:row>
    <x:row r="231" ht="19" customHeight="1">
      <x:c r="A231" t="str">
        <x:v>350 x 806 cm</x:v>
      </x:c>
      <x:c r="B231" t="str">
        <x:v>roof_glass_clear</x:v>
      </x:c>
      <x:c r="C231" s="1533" t="n">
        <x:v>7592</x:v>
      </x:c>
      <x:c r="D231" s="1533" t="n">
        <x:v>8199</x:v>
      </x:c>
      <x:c r="E231" s="1533" t="n">
        <x:v>8199.36</x:v>
      </x:c>
      <x:c r="F231" s="1533" t="n">
        <x:v>8199</x:v>
      </x:c>
      <x:c r="G231" s="1535" t="n">
        <x:v>0</x:v>
      </x:c>
      <x:c r="H231" s="1535" t="n">
        <x:v>0</x:v>
      </x:c>
      <x:c r="I231" t="str">
        <x:v>OK — pełna zgodność</x:v>
      </x:c>
      <x:c r="J231" s="1537" t="str"/>
    </x:row>
    <x:row r="232" ht="19" customHeight="1">
      <x:c r="A232" t="str">
        <x:v>350 x 806 cm</x:v>
      </x:c>
      <x:c r="B232" t="str">
        <x:v>roof_glass_tinted</x:v>
      </x:c>
      <x:c r="C232" s="1533" t="n">
        <x:v>8665</x:v>
      </x:c>
      <x:c r="D232" s="1533" t="n">
        <x:v>9358</x:v>
      </x:c>
      <x:c r="E232" s="1533" t="n">
        <x:v>9358.2</x:v>
      </x:c>
      <x:c r="F232" s="1533" t="n">
        <x:v>9358</x:v>
      </x:c>
      <x:c r="G232" s="1535" t="n">
        <x:v>0</x:v>
      </x:c>
      <x:c r="H232" s="1535" t="n">
        <x:v>0</x:v>
      </x:c>
      <x:c r="I232" t="str">
        <x:v>OK — pełna zgodność</x:v>
      </x:c>
      <x:c r="J232" s="1537" t="str">
        <x:v>Pozycja złożona; stary eksport mógł zaokrąglać składniki osobno.</x:v>
      </x:c>
    </x:row>
    <x:row r="233" ht="19" customHeight="1">
      <x:c r="A233" t="str">
        <x:v>350 x 806 cm</x:v>
      </x:c>
      <x:c r="B233" t="str">
        <x:v>zip_side</x:v>
      </x:c>
      <x:c r="C233" s="1533" t="n">
        <x:v>2758</x:v>
      </x:c>
      <x:c r="D233" s="1533" t="n">
        <x:v>2979</x:v>
      </x:c>
      <x:c r="E233" s="1533" t="n">
        <x:v>2978.64</x:v>
      </x:c>
      <x:c r="F233" s="1533" t="n">
        <x:v>2979</x:v>
      </x:c>
      <x:c r="G233" s="1535" t="n">
        <x:v>0</x:v>
      </x:c>
      <x:c r="H233" s="1535" t="n">
        <x:v>0</x:v>
      </x:c>
      <x:c r="I233" t="str">
        <x:v>OK — pełna zgodność</x:v>
      </x:c>
      <x:c r="J233" s="1537" t="str"/>
    </x:row>
    <x:row r="234" ht="19" customHeight="1">
      <x:c r="A234" t="str">
        <x:v>350 x 806 cm</x:v>
      </x:c>
      <x:c r="B234" t="str">
        <x:v>zip_front</x:v>
      </x:c>
      <x:c r="C234" s="1533" t="n">
        <x:v>6225</x:v>
      </x:c>
      <x:c r="D234" s="1533" t="n">
        <x:v>6723</x:v>
      </x:c>
      <x:c r="E234" s="1533" t="n">
        <x:v>6723</x:v>
      </x:c>
      <x:c r="F234" s="1533" t="n">
        <x:v>6723</x:v>
      </x:c>
      <x:c r="G234" s="1535" t="n">
        <x:v>0</x:v>
      </x:c>
      <x:c r="H234" s="1535" t="n">
        <x:v>0</x:v>
      </x:c>
      <x:c r="I234" t="str">
        <x:v>OK — pełna zgodność</x:v>
      </x:c>
      <x:c r="J234" s="1537" t="str"/>
    </x:row>
    <x:row r="235" ht="19" customHeight="1">
      <x:c r="A235" t="str">
        <x:v>350 x 806 cm</x:v>
      </x:c>
      <x:c r="B235" t="str">
        <x:v>awning</x:v>
      </x:c>
      <x:c r="C235" s="1533" t="n">
        <x:v>10598</x:v>
      </x:c>
      <x:c r="D235" s="1533" t="n">
        <x:v>11446</x:v>
      </x:c>
      <x:c r="E235" s="1533" t="n">
        <x:v>11445.84</x:v>
      </x:c>
      <x:c r="F235" s="1533" t="n">
        <x:v>11446</x:v>
      </x:c>
      <x:c r="G235" s="1535" t="n">
        <x:v>0</x:v>
      </x:c>
      <x:c r="H235" s="1535" t="n">
        <x:v>0</x:v>
      </x:c>
      <x:c r="I235" t="str">
        <x:v>OK — pełna zgodność</x:v>
      </x:c>
      <x:c r="J235" s="1537" t="str"/>
    </x:row>
    <x:row r="236" ht="19" customHeight="1">
      <x:c r="A236" t="str">
        <x:v>350 x 806 cm</x:v>
      </x:c>
      <x:c r="B236" t="str">
        <x:v>foundation</x:v>
      </x:c>
      <x:c r="C236" s="1533" t="n">
        <x:v>2378</x:v>
      </x:c>
      <x:c r="D236" s="1533" t="n">
        <x:v>2568</x:v>
      </x:c>
      <x:c r="E236" s="1533" t="n">
        <x:v>2568.24</x:v>
      </x:c>
      <x:c r="F236" s="1533" t="n">
        <x:v>2568</x:v>
      </x:c>
      <x:c r="G236" s="1535" t="n">
        <x:v>0</x:v>
      </x:c>
      <x:c r="H236" s="1535" t="n">
        <x:v>0</x:v>
      </x:c>
      <x:c r="I236" t="str">
        <x:v>OK — pełna zgodność</x:v>
      </x:c>
      <x:c r="J236" s="1537" t="str"/>
    </x:row>
    <x:row r="237" ht="19" customHeight="1">
      <x:c r="A237" t="str">
        <x:v>350 x 806 cm</x:v>
      </x:c>
      <x:c r="B237" t="str">
        <x:v>led_point</x:v>
      </x:c>
      <x:c r="C237" s="1533" t="n">
        <x:v>1131</x:v>
      </x:c>
      <x:c r="D237" s="1533" t="n">
        <x:v>1221</x:v>
      </x:c>
      <x:c r="E237" s="1533" t="n">
        <x:v>1221.48</x:v>
      </x:c>
      <x:c r="F237" s="1533" t="n">
        <x:v>1221</x:v>
      </x:c>
      <x:c r="G237" s="1535" t="n">
        <x:v>0</x:v>
      </x:c>
      <x:c r="H237" s="1535" t="n">
        <x:v>0</x:v>
      </x:c>
      <x:c r="I237" t="str">
        <x:v>OK — pełna zgodność</x:v>
      </x:c>
      <x:c r="J237" s="1537" t="str"/>
    </x:row>
    <x:row r="238" ht="19" customHeight="1">
      <x:c r="A238" t="str">
        <x:v>350 x 806 cm</x:v>
      </x:c>
      <x:c r="B238" t="str">
        <x:v>led_cct</x:v>
      </x:c>
      <x:c r="C238" s="1533" t="n">
        <x:v>2349</x:v>
      </x:c>
      <x:c r="D238" s="1533" t="n">
        <x:v>2537</x:v>
      </x:c>
      <x:c r="E238" s="1533" t="n">
        <x:v>2536.92</x:v>
      </x:c>
      <x:c r="F238" s="1533" t="n">
        <x:v>2537</x:v>
      </x:c>
      <x:c r="G238" s="1535" t="n">
        <x:v>0</x:v>
      </x:c>
      <x:c r="H238" s="1535" t="n">
        <x:v>0</x:v>
      </x:c>
      <x:c r="I238" t="str">
        <x:v>OK — pełna zgodność</x:v>
      </x:c>
      <x:c r="J238" s="1537" t="str"/>
    </x:row>
    <x:row r="239" ht="19" customHeight="1">
      <x:c r="A239" t="str">
        <x:v>350 x 806 cm</x:v>
      </x:c>
      <x:c r="B239" t="str">
        <x:v>brushes</x:v>
      </x:c>
      <x:c r="C239" s="1533" t="n">
        <x:v>719</x:v>
      </x:c>
      <x:c r="D239" s="1533" t="n">
        <x:v>777</x:v>
      </x:c>
      <x:c r="E239" s="1533" t="n">
        <x:v>776.52</x:v>
      </x:c>
      <x:c r="F239" s="1533" t="n">
        <x:v>777</x:v>
      </x:c>
      <x:c r="G239" s="1535" t="n">
        <x:v>0</x:v>
      </x:c>
      <x:c r="H239" s="1535" t="n">
        <x:v>0</x:v>
      </x:c>
      <x:c r="I239" t="str">
        <x:v>OK — pełna zgodność</x:v>
      </x:c>
      <x:c r="J239" s="1537" t="str"/>
    </x:row>
    <x:row r="240" ht="19" customHeight="1">
      <x:c r="A240" t="str">
        <x:v>350 x 806 cm</x:v>
      </x:c>
      <x:c r="B240" t="str">
        <x:v>handles</x:v>
      </x:c>
      <x:c r="C240" s="1533" t="n">
        <x:v>648</x:v>
      </x:c>
      <x:c r="D240" s="1533" t="n">
        <x:v>700</x:v>
      </x:c>
      <x:c r="E240" s="1533" t="n">
        <x:v>699.84</x:v>
      </x:c>
      <x:c r="F240" s="1533" t="n">
        <x:v>700</x:v>
      </x:c>
      <x:c r="G240" s="1535" t="n">
        <x:v>0</x:v>
      </x:c>
      <x:c r="H240" s="1535" t="n">
        <x:v>0</x:v>
      </x:c>
      <x:c r="I240" t="str">
        <x:v>OK — pełna zgodność</x:v>
      </x:c>
      <x:c r="J240" s="1537" t="str"/>
    </x:row>
    <x:row r="241" ht="19" customHeight="1">
      <x:c r="A241" t="str">
        <x:v>350 x 806 cm</x:v>
      </x:c>
      <x:c r="B241" t="str">
        <x:v>carriers</x:v>
      </x:c>
      <x:c r="C241" s="1533" t="n">
        <x:v>566</x:v>
      </x:c>
      <x:c r="D241" s="1533" t="n">
        <x:v>611</x:v>
      </x:c>
      <x:c r="E241" s="1533" t="n">
        <x:v>611.28</x:v>
      </x:c>
      <x:c r="F241" s="1533" t="n">
        <x:v>611</x:v>
      </x:c>
      <x:c r="G241" s="1535" t="n">
        <x:v>0</x:v>
      </x:c>
      <x:c r="H241" s="1535" t="n">
        <x:v>0</x:v>
      </x:c>
      <x:c r="I241" t="str">
        <x:v>OK — pełna zgodność</x:v>
      </x:c>
      <x:c r="J241" s="1537" t="str"/>
    </x:row>
    <x:row r="242" ht="19" customHeight="1">
      <x:c r="A242" t="str">
        <x:v>350 x 906 cm</x:v>
      </x:c>
      <x:c r="B242" t="str">
        <x:v>base_poly</x:v>
      </x:c>
      <x:c r="C242" s="1533" t="n">
        <x:v>19450</x:v>
      </x:c>
      <x:c r="D242" s="1533" t="n">
        <x:v>21006</x:v>
      </x:c>
      <x:c r="E242" s="1533" t="n">
        <x:v>21006</x:v>
      </x:c>
      <x:c r="F242" s="1533" t="n">
        <x:v>21006</x:v>
      </x:c>
      <x:c r="G242" s="1535" t="n">
        <x:v>0</x:v>
      </x:c>
      <x:c r="H242" s="1535" t="n">
        <x:v>0</x:v>
      </x:c>
      <x:c r="I242" t="str">
        <x:v>OK — pełna zgodność</x:v>
      </x:c>
      <x:c r="J242" s="1537" t="str"/>
    </x:row>
    <x:row r="243" ht="19" customHeight="1">
      <x:c r="A243" t="str">
        <x:v>350 x 906 cm</x:v>
      </x:c>
      <x:c r="B243" t="str">
        <x:v>walls_clear</x:v>
      </x:c>
      <x:c r="C243" s="1533" t="n">
        <x:v>22124</x:v>
      </x:c>
      <x:c r="D243" s="1533" t="n">
        <x:v>23894</x:v>
      </x:c>
      <x:c r="E243" s="1533" t="n">
        <x:v>23893.92</x:v>
      </x:c>
      <x:c r="F243" s="1533" t="n">
        <x:v>23894</x:v>
      </x:c>
      <x:c r="G243" s="1535" t="n">
        <x:v>0</x:v>
      </x:c>
      <x:c r="H243" s="1535" t="n">
        <x:v>0</x:v>
      </x:c>
      <x:c r="I243" t="str">
        <x:v>OK — pełna zgodność</x:v>
      </x:c>
      <x:c r="J243" s="1537" t="str"/>
    </x:row>
    <x:row r="244" ht="19" customHeight="1">
      <x:c r="A244" t="str">
        <x:v>350 x 906 cm</x:v>
      </x:c>
      <x:c r="B244" t="str">
        <x:v>walls_tinted</x:v>
      </x:c>
      <x:c r="C244" s="1533" t="n">
        <x:v>24530</x:v>
      </x:c>
      <x:c r="D244" s="1533" t="n">
        <x:v>26492</x:v>
      </x:c>
      <x:c r="E244" s="1533" t="n">
        <x:v>26492.4</x:v>
      </x:c>
      <x:c r="F244" s="1533" t="n">
        <x:v>26492</x:v>
      </x:c>
      <x:c r="G244" s="1535" t="n">
        <x:v>0</x:v>
      </x:c>
      <x:c r="H244" s="1535" t="n">
        <x:v>0</x:v>
      </x:c>
      <x:c r="I244" t="str">
        <x:v>OK — pełna zgodność</x:v>
      </x:c>
      <x:c r="J244" s="1537" t="str">
        <x:v>Pozycja złożona; stary eksport mógł zaokrąglać składniki osobno.</x:v>
      </x:c>
    </x:row>
    <x:row r="245" ht="19" customHeight="1">
      <x:c r="A245" t="str">
        <x:v>350 x 906 cm</x:v>
      </x:c>
      <x:c r="B245" t="str">
        <x:v>roof_poly_colored</x:v>
      </x:c>
      <x:c r="C245" s="1533" t="n">
        <x:v>531</x:v>
      </x:c>
      <x:c r="D245" s="1533" t="n">
        <x:v>573</x:v>
      </x:c>
      <x:c r="E245" s="1533" t="n">
        <x:v>573.48</x:v>
      </x:c>
      <x:c r="F245" s="1533" t="n">
        <x:v>573</x:v>
      </x:c>
      <x:c r="G245" s="1535" t="n">
        <x:v>0</x:v>
      </x:c>
      <x:c r="H245" s="1535" t="n">
        <x:v>0</x:v>
      </x:c>
      <x:c r="I245" t="str">
        <x:v>OK — pełna zgodność</x:v>
      </x:c>
      <x:c r="J245" s="1537" t="str"/>
    </x:row>
    <x:row r="246" ht="19" customHeight="1">
      <x:c r="A246" t="str">
        <x:v>350 x 906 cm</x:v>
      </x:c>
      <x:c r="B246" t="str">
        <x:v>roof_glass_clear</x:v>
      </x:c>
      <x:c r="C246" s="1533" t="n">
        <x:v>8617</x:v>
      </x:c>
      <x:c r="D246" s="1533" t="n">
        <x:v>9306</x:v>
      </x:c>
      <x:c r="E246" s="1533" t="n">
        <x:v>9306.36</x:v>
      </x:c>
      <x:c r="F246" s="1533" t="n">
        <x:v>9306</x:v>
      </x:c>
      <x:c r="G246" s="1535" t="n">
        <x:v>0</x:v>
      </x:c>
      <x:c r="H246" s="1535" t="n">
        <x:v>0</x:v>
      </x:c>
      <x:c r="I246" t="str">
        <x:v>OK — pełna zgodność</x:v>
      </x:c>
      <x:c r="J246" s="1537" t="str"/>
    </x:row>
    <x:row r="247" ht="19" customHeight="1">
      <x:c r="A247" t="str">
        <x:v>350 x 906 cm</x:v>
      </x:c>
      <x:c r="B247" t="str">
        <x:v>roof_glass_tinted</x:v>
      </x:c>
      <x:c r="C247" s="1533" t="n">
        <x:v>9819</x:v>
      </x:c>
      <x:c r="D247" s="1533" t="n">
        <x:v>10604</x:v>
      </x:c>
      <x:c r="E247" s="1533" t="n">
        <x:v>10604.52</x:v>
      </x:c>
      <x:c r="F247" s="1533" t="n">
        <x:v>10605</x:v>
      </x:c>
      <x:c r="G247" s="1535" t="n">
        <x:v>1</x:v>
      </x:c>
      <x:c r="H247" s="1535" t="n">
        <x:v>1</x:v>
      </x:c>
      <x:c r="I247" t="str">
        <x:v>OK — zaokrąglenie ±1 zł</x:v>
      </x:c>
      <x:c r="J247" s="1537" t="str">
        <x:v>Pozycja złożona; stary eksport mógł zaokrąglać składniki osobno.</x:v>
      </x:c>
    </x:row>
    <x:row r="248" ht="19" customHeight="1">
      <x:c r="A248" t="str">
        <x:v>350 x 906 cm</x:v>
      </x:c>
      <x:c r="B248" t="str">
        <x:v>zip_side</x:v>
      </x:c>
      <x:c r="C248" s="1533" t="n">
        <x:v>2758</x:v>
      </x:c>
      <x:c r="D248" s="1533" t="n">
        <x:v>2979</x:v>
      </x:c>
      <x:c r="E248" s="1533" t="n">
        <x:v>2978.64</x:v>
      </x:c>
      <x:c r="F248" s="1533" t="n">
        <x:v>2979</x:v>
      </x:c>
      <x:c r="G248" s="1535" t="n">
        <x:v>0</x:v>
      </x:c>
      <x:c r="H248" s="1535" t="n">
        <x:v>0</x:v>
      </x:c>
      <x:c r="I248" t="str">
        <x:v>OK — pełna zgodność</x:v>
      </x:c>
      <x:c r="J248" s="1537" t="str"/>
    </x:row>
    <x:row r="249" ht="19" customHeight="1">
      <x:c r="A249" t="str">
        <x:v>350 x 906 cm</x:v>
      </x:c>
      <x:c r="B249" t="str">
        <x:v>zip_front</x:v>
      </x:c>
      <x:c r="C249" s="1533" t="n">
        <x:v>7544</x:v>
      </x:c>
      <x:c r="D249" s="1533" t="n">
        <x:v>8148</x:v>
      </x:c>
      <x:c r="E249" s="1533" t="n">
        <x:v>8147.52</x:v>
      </x:c>
      <x:c r="F249" s="1533" t="n">
        <x:v>8148</x:v>
      </x:c>
      <x:c r="G249" s="1535" t="n">
        <x:v>0</x:v>
      </x:c>
      <x:c r="H249" s="1535" t="n">
        <x:v>0</x:v>
      </x:c>
      <x:c r="I249" t="str">
        <x:v>OK — pełna zgodność</x:v>
      </x:c>
      <x:c r="J249" s="1537" t="str"/>
    </x:row>
    <x:row r="250" ht="19" customHeight="1">
      <x:c r="A250" t="str">
        <x:v>350 x 906 cm</x:v>
      </x:c>
      <x:c r="B250" t="str">
        <x:v>awning</x:v>
      </x:c>
      <x:c r="C250" s="1533" t="n">
        <x:v>11435</x:v>
      </x:c>
      <x:c r="D250" s="1533" t="n">
        <x:v>12350</x:v>
      </x:c>
      <x:c r="E250" s="1533" t="n">
        <x:v>12349.8</x:v>
      </x:c>
      <x:c r="F250" s="1533" t="n">
        <x:v>12350</x:v>
      </x:c>
      <x:c r="G250" s="1535" t="n">
        <x:v>0</x:v>
      </x:c>
      <x:c r="H250" s="1535" t="n">
        <x:v>0</x:v>
      </x:c>
      <x:c r="I250" t="str">
        <x:v>OK — pełna zgodność</x:v>
      </x:c>
      <x:c r="J250" s="1537" t="str"/>
    </x:row>
    <x:row r="251" ht="19" customHeight="1">
      <x:c r="A251" t="str">
        <x:v>350 x 906 cm</x:v>
      </x:c>
      <x:c r="B251" t="str">
        <x:v>foundation</x:v>
      </x:c>
      <x:c r="C251" s="1533" t="n">
        <x:v>2629</x:v>
      </x:c>
      <x:c r="D251" s="1533" t="n">
        <x:v>2839</x:v>
      </x:c>
      <x:c r="E251" s="1533" t="n">
        <x:v>2839.32</x:v>
      </x:c>
      <x:c r="F251" s="1533" t="n">
        <x:v>2839</x:v>
      </x:c>
      <x:c r="G251" s="1535" t="n">
        <x:v>0</x:v>
      </x:c>
      <x:c r="H251" s="1535" t="n">
        <x:v>0</x:v>
      </x:c>
      <x:c r="I251" t="str">
        <x:v>OK — pełna zgodność</x:v>
      </x:c>
      <x:c r="J251" s="1537" t="str"/>
    </x:row>
    <x:row r="252" ht="19" customHeight="1">
      <x:c r="A252" t="str">
        <x:v>350 x 906 cm</x:v>
      </x:c>
      <x:c r="B252" t="str">
        <x:v>led_point</x:v>
      </x:c>
      <x:c r="C252" s="1533" t="n">
        <x:v>1227</x:v>
      </x:c>
      <x:c r="D252" s="1533" t="n">
        <x:v>1325</x:v>
      </x:c>
      <x:c r="E252" s="1533" t="n">
        <x:v>1325.16</x:v>
      </x:c>
      <x:c r="F252" s="1533" t="n">
        <x:v>1325</x:v>
      </x:c>
      <x:c r="G252" s="1535" t="n">
        <x:v>0</x:v>
      </x:c>
      <x:c r="H252" s="1535" t="n">
        <x:v>0</x:v>
      </x:c>
      <x:c r="I252" t="str">
        <x:v>OK — pełna zgodność</x:v>
      </x:c>
      <x:c r="J252" s="1537" t="str"/>
    </x:row>
    <x:row r="253" ht="19" customHeight="1">
      <x:c r="A253" t="str">
        <x:v>350 x 906 cm</x:v>
      </x:c>
      <x:c r="B253" t="str">
        <x:v>led_cct</x:v>
      </x:c>
      <x:c r="C253" s="1533" t="n">
        <x:v>2581</x:v>
      </x:c>
      <x:c r="D253" s="1533" t="n">
        <x:v>2787</x:v>
      </x:c>
      <x:c r="E253" s="1533" t="n">
        <x:v>2787.48</x:v>
      </x:c>
      <x:c r="F253" s="1533" t="n">
        <x:v>2787</x:v>
      </x:c>
      <x:c r="G253" s="1535" t="n">
        <x:v>0</x:v>
      </x:c>
      <x:c r="H253" s="1535" t="n">
        <x:v>0</x:v>
      </x:c>
      <x:c r="I253" t="str">
        <x:v>OK — pełna zgodność</x:v>
      </x:c>
      <x:c r="J253" s="1537" t="str"/>
    </x:row>
    <x:row r="254" ht="19" customHeight="1">
      <x:c r="A254" t="str">
        <x:v>350 x 906 cm</x:v>
      </x:c>
      <x:c r="B254" t="str">
        <x:v>brushes</x:v>
      </x:c>
      <x:c r="C254" s="1533" t="n">
        <x:v>766</x:v>
      </x:c>
      <x:c r="D254" s="1533" t="n">
        <x:v>827</x:v>
      </x:c>
      <x:c r="E254" s="1533" t="n">
        <x:v>827.28</x:v>
      </x:c>
      <x:c r="F254" s="1533" t="n">
        <x:v>827</x:v>
      </x:c>
      <x:c r="G254" s="1535" t="n">
        <x:v>0</x:v>
      </x:c>
      <x:c r="H254" s="1535" t="n">
        <x:v>0</x:v>
      </x:c>
      <x:c r="I254" t="str">
        <x:v>OK — pełna zgodność</x:v>
      </x:c>
      <x:c r="J254" s="1537" t="str"/>
    </x:row>
    <x:row r="255" ht="19" customHeight="1">
      <x:c r="A255" t="str">
        <x:v>350 x 906 cm</x:v>
      </x:c>
      <x:c r="B255" t="str">
        <x:v>handles</x:v>
      </x:c>
      <x:c r="C255" s="1533" t="n">
        <x:v>696</x:v>
      </x:c>
      <x:c r="D255" s="1533" t="n">
        <x:v>752</x:v>
      </x:c>
      <x:c r="E255" s="1533" t="n">
        <x:v>751.68</x:v>
      </x:c>
      <x:c r="F255" s="1533" t="n">
        <x:v>752</x:v>
      </x:c>
      <x:c r="G255" s="1535" t="n">
        <x:v>0</x:v>
      </x:c>
      <x:c r="H255" s="1535" t="n">
        <x:v>0</x:v>
      </x:c>
      <x:c r="I255" t="str">
        <x:v>OK — pełna zgodność</x:v>
      </x:c>
      <x:c r="J255" s="1537" t="str"/>
    </x:row>
    <x:row r="256" ht="19" customHeight="1">
      <x:c r="A256" t="str">
        <x:v>350 x 906 cm</x:v>
      </x:c>
      <x:c r="B256" t="str">
        <x:v>carriers</x:v>
      </x:c>
      <x:c r="C256" s="1533" t="n">
        <x:v>566</x:v>
      </x:c>
      <x:c r="D256" s="1533" t="n">
        <x:v>611</x:v>
      </x:c>
      <x:c r="E256" s="1533" t="n">
        <x:v>611.28</x:v>
      </x:c>
      <x:c r="F256" s="1533" t="n">
        <x:v>611</x:v>
      </x:c>
      <x:c r="G256" s="1535" t="n">
        <x:v>0</x:v>
      </x:c>
      <x:c r="H256" s="1535" t="n">
        <x:v>0</x:v>
      </x:c>
      <x:c r="I256" t="str">
        <x:v>OK — pełna zgodność</x:v>
      </x:c>
      <x:c r="J256" s="1537" t="str"/>
    </x:row>
    <x:row r="257" ht="19" customHeight="1">
      <x:c r="A257" t="str">
        <x:v>350 x 1006 cm</x:v>
      </x:c>
      <x:c r="B257" t="str">
        <x:v>base_poly</x:v>
      </x:c>
      <x:c r="C257" s="1533" t="n">
        <x:v>21420</x:v>
      </x:c>
      <x:c r="D257" s="1533" t="n">
        <x:v>23134</x:v>
      </x:c>
      <x:c r="E257" s="1533" t="n">
        <x:v>23133.6</x:v>
      </x:c>
      <x:c r="F257" s="1533" t="n">
        <x:v>23134</x:v>
      </x:c>
      <x:c r="G257" s="1535" t="n">
        <x:v>0</x:v>
      </x:c>
      <x:c r="H257" s="1535" t="n">
        <x:v>0</x:v>
      </x:c>
      <x:c r="I257" t="str">
        <x:v>OK — pełna zgodność</x:v>
      </x:c>
      <x:c r="J257" s="1537" t="str"/>
    </x:row>
    <x:row r="258" ht="19" customHeight="1">
      <x:c r="A258" t="str">
        <x:v>350 x 1006 cm</x:v>
      </x:c>
      <x:c r="B258" t="str">
        <x:v>walls_clear</x:v>
      </x:c>
      <x:c r="C258" s="1533" t="n">
        <x:v>23531</x:v>
      </x:c>
      <x:c r="D258" s="1533" t="n">
        <x:v>25413</x:v>
      </x:c>
      <x:c r="E258" s="1533" t="n">
        <x:v>25413.48</x:v>
      </x:c>
      <x:c r="F258" s="1533" t="n">
        <x:v>25413</x:v>
      </x:c>
      <x:c r="G258" s="1535" t="n">
        <x:v>0</x:v>
      </x:c>
      <x:c r="H258" s="1535" t="n">
        <x:v>0</x:v>
      </x:c>
      <x:c r="I258" t="str">
        <x:v>OK — pełna zgodność</x:v>
      </x:c>
      <x:c r="J258" s="1537" t="str"/>
    </x:row>
    <x:row r="259" ht="19" customHeight="1">
      <x:c r="A259" t="str">
        <x:v>350 x 1006 cm</x:v>
      </x:c>
      <x:c r="B259" t="str">
        <x:v>walls_tinted</x:v>
      </x:c>
      <x:c r="C259" s="1533" t="n">
        <x:v>26077</x:v>
      </x:c>
      <x:c r="D259" s="1533" t="n">
        <x:v>28163</x:v>
      </x:c>
      <x:c r="E259" s="1533" t="n">
        <x:v>28163.16</x:v>
      </x:c>
      <x:c r="F259" s="1533" t="n">
        <x:v>28163</x:v>
      </x:c>
      <x:c r="G259" s="1535" t="n">
        <x:v>0</x:v>
      </x:c>
      <x:c r="H259" s="1535" t="n">
        <x:v>0</x:v>
      </x:c>
      <x:c r="I259" t="str">
        <x:v>OK — pełna zgodność</x:v>
      </x:c>
      <x:c r="J259" s="1537" t="str">
        <x:v>Pozycja złożona; stary eksport mógł zaokrąglać składniki osobno.</x:v>
      </x:c>
    </x:row>
    <x:row r="260" ht="19" customHeight="1">
      <x:c r="A260" t="str">
        <x:v>350 x 1006 cm</x:v>
      </x:c>
      <x:c r="B260" t="str">
        <x:v>roof_poly_colored</x:v>
      </x:c>
      <x:c r="C260" s="1533" t="n">
        <x:v>590</x:v>
      </x:c>
      <x:c r="D260" s="1533" t="n">
        <x:v>637</x:v>
      </x:c>
      <x:c r="E260" s="1533" t="n">
        <x:v>637.2</x:v>
      </x:c>
      <x:c r="F260" s="1533" t="n">
        <x:v>637</x:v>
      </x:c>
      <x:c r="G260" s="1535" t="n">
        <x:v>0</x:v>
      </x:c>
      <x:c r="H260" s="1535" t="n">
        <x:v>0</x:v>
      </x:c>
      <x:c r="I260" t="str">
        <x:v>OK — pełna zgodność</x:v>
      </x:c>
      <x:c r="J260" s="1537" t="str"/>
    </x:row>
    <x:row r="261" ht="19" customHeight="1">
      <x:c r="A261" t="str">
        <x:v>350 x 1006 cm</x:v>
      </x:c>
      <x:c r="B261" t="str">
        <x:v>roof_glass_clear</x:v>
      </x:c>
      <x:c r="C261" s="1533" t="n">
        <x:v>9596</x:v>
      </x:c>
      <x:c r="D261" s="1533" t="n">
        <x:v>10364</x:v>
      </x:c>
      <x:c r="E261" s="1533" t="n">
        <x:v>10363.68</x:v>
      </x:c>
      <x:c r="F261" s="1533" t="n">
        <x:v>10364</x:v>
      </x:c>
      <x:c r="G261" s="1535" t="n">
        <x:v>0</x:v>
      </x:c>
      <x:c r="H261" s="1535" t="n">
        <x:v>0</x:v>
      </x:c>
      <x:c r="I261" t="str">
        <x:v>OK — pełna zgodność</x:v>
      </x:c>
      <x:c r="J261" s="1537" t="str"/>
    </x:row>
    <x:row r="262" ht="19" customHeight="1">
      <x:c r="A262" t="str">
        <x:v>350 x 1006 cm</x:v>
      </x:c>
      <x:c r="B262" t="str">
        <x:v>roof_glass_tinted</x:v>
      </x:c>
      <x:c r="C262" s="1533" t="n">
        <x:v>10940</x:v>
      </x:c>
      <x:c r="D262" s="1533" t="n">
        <x:v>11816</x:v>
      </x:c>
      <x:c r="E262" s="1533" t="n">
        <x:v>11815.2</x:v>
      </x:c>
      <x:c r="F262" s="1533" t="n">
        <x:v>11815</x:v>
      </x:c>
      <x:c r="G262" s="1535" t="n">
        <x:v>-1</x:v>
      </x:c>
      <x:c r="H262" s="1535" t="n">
        <x:v>1</x:v>
      </x:c>
      <x:c r="I262" t="str">
        <x:v>OK — zaokrąglenie ±1 zł</x:v>
      </x:c>
      <x:c r="J262" s="1537" t="str">
        <x:v>Pozycja złożona; stary eksport mógł zaokrąglać składniki osobno.</x:v>
      </x:c>
    </x:row>
    <x:row r="263" ht="19" customHeight="1">
      <x:c r="A263" t="str">
        <x:v>350 x 1006 cm</x:v>
      </x:c>
      <x:c r="B263" t="str">
        <x:v>zip_side</x:v>
      </x:c>
      <x:c r="C263" s="1533" t="n">
        <x:v>2758</x:v>
      </x:c>
      <x:c r="D263" s="1533" t="n">
        <x:v>2979</x:v>
      </x:c>
      <x:c r="E263" s="1533" t="n">
        <x:v>2978.64</x:v>
      </x:c>
      <x:c r="F263" s="1533" t="n">
        <x:v>2979</x:v>
      </x:c>
      <x:c r="G263" s="1535" t="n">
        <x:v>0</x:v>
      </x:c>
      <x:c r="H263" s="1535" t="n">
        <x:v>0</x:v>
      </x:c>
      <x:c r="I263" t="str">
        <x:v>OK — pełna zgodność</x:v>
      </x:c>
      <x:c r="J263" s="1537" t="str"/>
    </x:row>
    <x:row r="264" ht="19" customHeight="1">
      <x:c r="A264" t="str">
        <x:v>350 x 1006 cm</x:v>
      </x:c>
      <x:c r="B264" t="str">
        <x:v>zip_front</x:v>
      </x:c>
      <x:c r="C264" s="1533" t="n">
        <x:v>8146</x:v>
      </x:c>
      <x:c r="D264" s="1533" t="n">
        <x:v>8798</x:v>
      </x:c>
      <x:c r="E264" s="1533" t="n">
        <x:v>8797.68</x:v>
      </x:c>
      <x:c r="F264" s="1533" t="n">
        <x:v>8798</x:v>
      </x:c>
      <x:c r="G264" s="1535" t="n">
        <x:v>0</x:v>
      </x:c>
      <x:c r="H264" s="1535" t="n">
        <x:v>0</x:v>
      </x:c>
      <x:c r="I264" t="str">
        <x:v>OK — pełna zgodność</x:v>
      </x:c>
      <x:c r="J264" s="1537" t="str"/>
    </x:row>
    <x:row r="265" ht="19" customHeight="1">
      <x:c r="A265" t="str">
        <x:v>350 x 1006 cm</x:v>
      </x:c>
      <x:c r="B265" t="str">
        <x:v>awning</x:v>
      </x:c>
      <x:c r="C265" s="1533" t="n">
        <x:v>12260</x:v>
      </x:c>
      <x:c r="D265" s="1533" t="n">
        <x:v>13241</x:v>
      </x:c>
      <x:c r="E265" s="1533" t="n">
        <x:v>13240.8</x:v>
      </x:c>
      <x:c r="F265" s="1533" t="n">
        <x:v>13241</x:v>
      </x:c>
      <x:c r="G265" s="1535" t="n">
        <x:v>0</x:v>
      </x:c>
      <x:c r="H265" s="1535" t="n">
        <x:v>0</x:v>
      </x:c>
      <x:c r="I265" t="str">
        <x:v>OK — pełna zgodność</x:v>
      </x:c>
      <x:c r="J265" s="1537" t="str"/>
    </x:row>
    <x:row r="266" ht="19" customHeight="1">
      <x:c r="A266" t="str">
        <x:v>350 x 1006 cm</x:v>
      </x:c>
      <x:c r="B266" t="str">
        <x:v>foundation</x:v>
      </x:c>
      <x:c r="C266" s="1533" t="n">
        <x:v>2880</x:v>
      </x:c>
      <x:c r="D266" s="1533" t="n">
        <x:v>3110</x:v>
      </x:c>
      <x:c r="E266" s="1533" t="n">
        <x:v>3110.4</x:v>
      </x:c>
      <x:c r="F266" s="1533" t="n">
        <x:v>3110</x:v>
      </x:c>
      <x:c r="G266" s="1535" t="n">
        <x:v>0</x:v>
      </x:c>
      <x:c r="H266" s="1535" t="n">
        <x:v>0</x:v>
      </x:c>
      <x:c r="I266" t="str">
        <x:v>OK — pełna zgodność</x:v>
      </x:c>
      <x:c r="J266" s="1537" t="str"/>
    </x:row>
    <x:row r="267" ht="19" customHeight="1">
      <x:c r="A267" t="str">
        <x:v>350 x 1006 cm</x:v>
      </x:c>
      <x:c r="B267" t="str">
        <x:v>led_point</x:v>
      </x:c>
      <x:c r="C267" s="1533" t="n">
        <x:v>1450</x:v>
      </x:c>
      <x:c r="D267" s="1533" t="n">
        <x:v>1566</x:v>
      </x:c>
      <x:c r="E267" s="1533" t="n">
        <x:v>1566</x:v>
      </x:c>
      <x:c r="F267" s="1533" t="n">
        <x:v>1566</x:v>
      </x:c>
      <x:c r="G267" s="1535" t="n">
        <x:v>0</x:v>
      </x:c>
      <x:c r="H267" s="1535" t="n">
        <x:v>0</x:v>
      </x:c>
      <x:c r="I267" t="str">
        <x:v>OK — pełna zgodność</x:v>
      </x:c>
      <x:c r="J267" s="1537" t="str"/>
    </x:row>
    <x:row r="268" ht="19" customHeight="1">
      <x:c r="A268" t="str">
        <x:v>350 x 1006 cm</x:v>
      </x:c>
      <x:c r="B268" t="str">
        <x:v>led_cct</x:v>
      </x:c>
      <x:c r="C268" s="1533" t="n">
        <x:v>2828</x:v>
      </x:c>
      <x:c r="D268" s="1533" t="n">
        <x:v>3054</x:v>
      </x:c>
      <x:c r="E268" s="1533" t="n">
        <x:v>3054.24</x:v>
      </x:c>
      <x:c r="F268" s="1533" t="n">
        <x:v>3054</x:v>
      </x:c>
      <x:c r="G268" s="1535" t="n">
        <x:v>0</x:v>
      </x:c>
      <x:c r="H268" s="1535" t="n">
        <x:v>0</x:v>
      </x:c>
      <x:c r="I268" t="str">
        <x:v>OK — pełna zgodność</x:v>
      </x:c>
      <x:c r="J268" s="1537" t="str"/>
    </x:row>
    <x:row r="269" ht="19" customHeight="1">
      <x:c r="A269" t="str">
        <x:v>350 x 1006 cm</x:v>
      </x:c>
      <x:c r="B269" t="str">
        <x:v>brushes</x:v>
      </x:c>
      <x:c r="C269" s="1533" t="n">
        <x:v>813</x:v>
      </x:c>
      <x:c r="D269" s="1533" t="n">
        <x:v>878</x:v>
      </x:c>
      <x:c r="E269" s="1533" t="n">
        <x:v>878.04</x:v>
      </x:c>
      <x:c r="F269" s="1533" t="n">
        <x:v>878</x:v>
      </x:c>
      <x:c r="G269" s="1535" t="n">
        <x:v>0</x:v>
      </x:c>
      <x:c r="H269" s="1535" t="n">
        <x:v>0</x:v>
      </x:c>
      <x:c r="I269" t="str">
        <x:v>OK — pełna zgodność</x:v>
      </x:c>
      <x:c r="J269" s="1537" t="str"/>
    </x:row>
    <x:row r="270" ht="19" customHeight="1">
      <x:c r="A270" t="str">
        <x:v>350 x 1006 cm</x:v>
      </x:c>
      <x:c r="B270" t="str">
        <x:v>handles</x:v>
      </x:c>
      <x:c r="C270" s="1533" t="n">
        <x:v>731</x:v>
      </x:c>
      <x:c r="D270" s="1533" t="n">
        <x:v>789</x:v>
      </x:c>
      <x:c r="E270" s="1533" t="n">
        <x:v>789.48</x:v>
      </x:c>
      <x:c r="F270" s="1533" t="n">
        <x:v>789</x:v>
      </x:c>
      <x:c r="G270" s="1535" t="n">
        <x:v>0</x:v>
      </x:c>
      <x:c r="H270" s="1535" t="n">
        <x:v>0</x:v>
      </x:c>
      <x:c r="I270" t="str">
        <x:v>OK — pełna zgodność</x:v>
      </x:c>
      <x:c r="J270" s="1537" t="str"/>
    </x:row>
    <x:row r="271" ht="19" customHeight="1">
      <x:c r="A271" t="str">
        <x:v>350 x 1006 cm</x:v>
      </x:c>
      <x:c r="B271" t="str">
        <x:v>carriers</x:v>
      </x:c>
      <x:c r="C271" s="1533" t="n">
        <x:v>613</x:v>
      </x:c>
      <x:c r="D271" s="1533" t="n">
        <x:v>662</x:v>
      </x:c>
      <x:c r="E271" s="1533" t="n">
        <x:v>662.04</x:v>
      </x:c>
      <x:c r="F271" s="1533" t="n">
        <x:v>662</x:v>
      </x:c>
      <x:c r="G271" s="1535" t="n">
        <x:v>0</x:v>
      </x:c>
      <x:c r="H271" s="1535" t="n">
        <x:v>0</x:v>
      </x:c>
      <x:c r="I271" t="str">
        <x:v>OK — pełna zgodność</x:v>
      </x:c>
      <x:c r="J271" s="1537" t="str"/>
    </x:row>
    <x:row r="272" ht="19" customHeight="1">
      <x:c r="A272" t="str">
        <x:v>350 x 1106 cm</x:v>
      </x:c>
      <x:c r="B272" t="str">
        <x:v>base_poly</x:v>
      </x:c>
      <x:c r="C272" s="1533" t="n">
        <x:v>22954</x:v>
      </x:c>
      <x:c r="D272" s="1533" t="n">
        <x:v>24790</x:v>
      </x:c>
      <x:c r="E272" s="1533" t="n">
        <x:v>24790.32</x:v>
      </x:c>
      <x:c r="F272" s="1533" t="n">
        <x:v>24790</x:v>
      </x:c>
      <x:c r="G272" s="1535" t="n">
        <x:v>0</x:v>
      </x:c>
      <x:c r="H272" s="1535" t="n">
        <x:v>0</x:v>
      </x:c>
      <x:c r="I272" t="str">
        <x:v>OK — pełna zgodność</x:v>
      </x:c>
      <x:c r="J272" s="1537" t="str"/>
    </x:row>
    <x:row r="273" ht="19" customHeight="1">
      <x:c r="A273" t="str">
        <x:v>350 x 1106 cm</x:v>
      </x:c>
      <x:c r="B273" t="str">
        <x:v>walls_clear</x:v>
      </x:c>
      <x:c r="C273" s="1533" t="n">
        <x:v>25032</x:v>
      </x:c>
      <x:c r="D273" s="1533" t="n">
        <x:v>27035</x:v>
      </x:c>
      <x:c r="E273" s="1533" t="n">
        <x:v>27034.56</x:v>
      </x:c>
      <x:c r="F273" s="1533" t="n">
        <x:v>27035</x:v>
      </x:c>
      <x:c r="G273" s="1535" t="n">
        <x:v>0</x:v>
      </x:c>
      <x:c r="H273" s="1535" t="n">
        <x:v>0</x:v>
      </x:c>
      <x:c r="I273" t="str">
        <x:v>OK — pełna zgodność</x:v>
      </x:c>
      <x:c r="J273" s="1537" t="str"/>
    </x:row>
    <x:row r="274" ht="19" customHeight="1">
      <x:c r="A274" t="str">
        <x:v>350 x 1106 cm</x:v>
      </x:c>
      <x:c r="B274" t="str">
        <x:v>walls_tinted</x:v>
      </x:c>
      <x:c r="C274" s="1533" t="n">
        <x:v>27720</x:v>
      </x:c>
      <x:c r="D274" s="1533" t="n">
        <x:v>29938</x:v>
      </x:c>
      <x:c r="E274" s="1533" t="n">
        <x:v>29937.6</x:v>
      </x:c>
      <x:c r="F274" s="1533" t="n">
        <x:v>29938</x:v>
      </x:c>
      <x:c r="G274" s="1535" t="n">
        <x:v>0</x:v>
      </x:c>
      <x:c r="H274" s="1535" t="n">
        <x:v>0</x:v>
      </x:c>
      <x:c r="I274" t="str">
        <x:v>OK — pełna zgodność</x:v>
      </x:c>
      <x:c r="J274" s="1537" t="str">
        <x:v>Pozycja złożona; stary eksport mógł zaokrąglać składniki osobno.</x:v>
      </x:c>
    </x:row>
    <x:row r="275" ht="19" customHeight="1">
      <x:c r="A275" t="str">
        <x:v>350 x 1106 cm</x:v>
      </x:c>
      <x:c r="B275" t="str">
        <x:v>roof_poly_colored</x:v>
      </x:c>
      <x:c r="C275" s="1533" t="n">
        <x:v>648</x:v>
      </x:c>
      <x:c r="D275" s="1533" t="n">
        <x:v>700</x:v>
      </x:c>
      <x:c r="E275" s="1533" t="n">
        <x:v>699.84</x:v>
      </x:c>
      <x:c r="F275" s="1533" t="n">
        <x:v>700</x:v>
      </x:c>
      <x:c r="G275" s="1535" t="n">
        <x:v>0</x:v>
      </x:c>
      <x:c r="H275" s="1535" t="n">
        <x:v>0</x:v>
      </x:c>
      <x:c r="I275" t="str">
        <x:v>OK — pełna zgodność</x:v>
      </x:c>
      <x:c r="J275" s="1537" t="str"/>
    </x:row>
    <x:row r="276" ht="19" customHeight="1">
      <x:c r="A276" t="str">
        <x:v>350 x 1106 cm</x:v>
      </x:c>
      <x:c r="B276" t="str">
        <x:v>roof_glass_clear</x:v>
      </x:c>
      <x:c r="C276" s="1533" t="n">
        <x:v>10539</x:v>
      </x:c>
      <x:c r="D276" s="1533" t="n">
        <x:v>11382</x:v>
      </x:c>
      <x:c r="E276" s="1533" t="n">
        <x:v>11382.12</x:v>
      </x:c>
      <x:c r="F276" s="1533" t="n">
        <x:v>11382</x:v>
      </x:c>
      <x:c r="G276" s="1535" t="n">
        <x:v>0</x:v>
      </x:c>
      <x:c r="H276" s="1535" t="n">
        <x:v>0</x:v>
      </x:c>
      <x:c r="I276" t="str">
        <x:v>OK — pełna zgodność</x:v>
      </x:c>
      <x:c r="J276" s="1537" t="str"/>
    </x:row>
    <x:row r="277" ht="19" customHeight="1">
      <x:c r="A277" t="str">
        <x:v>350 x 1106 cm</x:v>
      </x:c>
      <x:c r="B277" t="str">
        <x:v>roof_glass_tinted</x:v>
      </x:c>
      <x:c r="C277" s="1533" t="n">
        <x:v>12024</x:v>
      </x:c>
      <x:c r="D277" s="1533" t="n">
        <x:v>12986</x:v>
      </x:c>
      <x:c r="E277" s="1533" t="n">
        <x:v>12985.92</x:v>
      </x:c>
      <x:c r="F277" s="1533" t="n">
        <x:v>12986</x:v>
      </x:c>
      <x:c r="G277" s="1535" t="n">
        <x:v>0</x:v>
      </x:c>
      <x:c r="H277" s="1535" t="n">
        <x:v>0</x:v>
      </x:c>
      <x:c r="I277" t="str">
        <x:v>OK — pełna zgodność</x:v>
      </x:c>
      <x:c r="J277" s="1537" t="str">
        <x:v>Pozycja złożona; stary eksport mógł zaokrąglać składniki osobno.</x:v>
      </x:c>
    </x:row>
    <x:row r="278" ht="19" customHeight="1">
      <x:c r="A278" t="str">
        <x:v>350 x 1106 cm</x:v>
      </x:c>
      <x:c r="B278" t="str">
        <x:v>zip_side</x:v>
      </x:c>
      <x:c r="C278" s="1533" t="n">
        <x:v>2758</x:v>
      </x:c>
      <x:c r="D278" s="1533" t="n">
        <x:v>2979</x:v>
      </x:c>
      <x:c r="E278" s="1533" t="n">
        <x:v>2978.64</x:v>
      </x:c>
      <x:c r="F278" s="1533" t="n">
        <x:v>2979</x:v>
      </x:c>
      <x:c r="G278" s="1535" t="n">
        <x:v>0</x:v>
      </x:c>
      <x:c r="H278" s="1535" t="n">
        <x:v>0</x:v>
      </x:c>
      <x:c r="I278" t="str">
        <x:v>OK — pełna zgodność</x:v>
      </x:c>
      <x:c r="J278" s="1537" t="str"/>
    </x:row>
    <x:row r="279" ht="19" customHeight="1">
      <x:c r="A279" t="str">
        <x:v>350 x 1106 cm</x:v>
      </x:c>
      <x:c r="B279" t="str">
        <x:v>zip_front</x:v>
      </x:c>
      <x:c r="C279" s="1533" t="n">
        <x:v>8748</x:v>
      </x:c>
      <x:c r="D279" s="1533" t="n">
        <x:v>9448</x:v>
      </x:c>
      <x:c r="E279" s="1533" t="n">
        <x:v>9447.84</x:v>
      </x:c>
      <x:c r="F279" s="1533" t="n">
        <x:v>9448</x:v>
      </x:c>
      <x:c r="G279" s="1535" t="n">
        <x:v>0</x:v>
      </x:c>
      <x:c r="H279" s="1535" t="n">
        <x:v>0</x:v>
      </x:c>
      <x:c r="I279" t="str">
        <x:v>OK — pełna zgodność</x:v>
      </x:c>
      <x:c r="J279" s="1537" t="str"/>
    </x:row>
    <x:row r="280" ht="19" customHeight="1">
      <x:c r="A280" t="str">
        <x:v>350 x 1106 cm</x:v>
      </x:c>
      <x:c r="B280" t="str">
        <x:v>awning</x:v>
      </x:c>
      <x:c r="C280" s="1533" t="n">
        <x:v>15302</x:v>
      </x:c>
      <x:c r="D280" s="1533" t="n">
        <x:v>16526</x:v>
      </x:c>
      <x:c r="E280" s="1533" t="n">
        <x:v>16526.16</x:v>
      </x:c>
      <x:c r="F280" s="1533" t="n">
        <x:v>16526</x:v>
      </x:c>
      <x:c r="G280" s="1535" t="n">
        <x:v>0</x:v>
      </x:c>
      <x:c r="H280" s="1535" t="n">
        <x:v>0</x:v>
      </x:c>
      <x:c r="I280" t="str">
        <x:v>OK — pełna zgodność</x:v>
      </x:c>
      <x:c r="J280" s="1537" t="str"/>
    </x:row>
    <x:row r="281" ht="19" customHeight="1">
      <x:c r="A281" t="str">
        <x:v>350 x 1106 cm</x:v>
      </x:c>
      <x:c r="B281" t="str">
        <x:v>foundation</x:v>
      </x:c>
      <x:c r="C281" s="1533" t="n">
        <x:v>3898</x:v>
      </x:c>
      <x:c r="D281" s="1533" t="n">
        <x:v>4210</x:v>
      </x:c>
      <x:c r="E281" s="1533" t="n">
        <x:v>4209.84</x:v>
      </x:c>
      <x:c r="F281" s="1533" t="n">
        <x:v>4210</x:v>
      </x:c>
      <x:c r="G281" s="1535" t="n">
        <x:v>0</x:v>
      </x:c>
      <x:c r="H281" s="1535" t="n">
        <x:v>0</x:v>
      </x:c>
      <x:c r="I281" t="str">
        <x:v>OK — pełna zgodność</x:v>
      </x:c>
      <x:c r="J281" s="1537" t="str"/>
    </x:row>
    <x:row r="282" ht="19" customHeight="1">
      <x:c r="A282" t="str">
        <x:v>350 x 1106 cm</x:v>
      </x:c>
      <x:c r="B282" t="str">
        <x:v>led_point</x:v>
      </x:c>
      <x:c r="C282" s="1533" t="n">
        <x:v>1686</x:v>
      </x:c>
      <x:c r="D282" s="1533" t="n">
        <x:v>1821</x:v>
      </x:c>
      <x:c r="E282" s="1533" t="n">
        <x:v>1820.88</x:v>
      </x:c>
      <x:c r="F282" s="1533" t="n">
        <x:v>1821</x:v>
      </x:c>
      <x:c r="G282" s="1535" t="n">
        <x:v>0</x:v>
      </x:c>
      <x:c r="H282" s="1535" t="n">
        <x:v>0</x:v>
      </x:c>
      <x:c r="I282" t="str">
        <x:v>OK — pełna zgodność</x:v>
      </x:c>
      <x:c r="J282" s="1537" t="str"/>
    </x:row>
    <x:row r="283" ht="19" customHeight="1">
      <x:c r="A283" t="str">
        <x:v>350 x 1106 cm</x:v>
      </x:c>
      <x:c r="B283" t="str">
        <x:v>led_cct</x:v>
      </x:c>
      <x:c r="C283" s="1533" t="n">
        <x:v>3060</x:v>
      </x:c>
      <x:c r="D283" s="1533" t="n">
        <x:v>3305</x:v>
      </x:c>
      <x:c r="E283" s="1533" t="n">
        <x:v>3304.8</x:v>
      </x:c>
      <x:c r="F283" s="1533" t="n">
        <x:v>3305</x:v>
      </x:c>
      <x:c r="G283" s="1535" t="n">
        <x:v>0</x:v>
      </x:c>
      <x:c r="H283" s="1535" t="n">
        <x:v>0</x:v>
      </x:c>
      <x:c r="I283" t="str">
        <x:v>OK — pełna zgodność</x:v>
      </x:c>
      <x:c r="J283" s="1537" t="str"/>
    </x:row>
    <x:row r="284" ht="19" customHeight="1">
      <x:c r="A284" t="str">
        <x:v>350 x 1106 cm</x:v>
      </x:c>
      <x:c r="B284" t="str">
        <x:v>brushes</x:v>
      </x:c>
      <x:c r="C284" s="1533" t="n">
        <x:v>848</x:v>
      </x:c>
      <x:c r="D284" s="1533" t="n">
        <x:v>916</x:v>
      </x:c>
      <x:c r="E284" s="1533" t="n">
        <x:v>915.84</x:v>
      </x:c>
      <x:c r="F284" s="1533" t="n">
        <x:v>916</x:v>
      </x:c>
      <x:c r="G284" s="1535" t="n">
        <x:v>0</x:v>
      </x:c>
      <x:c r="H284" s="1535" t="n">
        <x:v>0</x:v>
      </x:c>
      <x:c r="I284" t="str">
        <x:v>OK — pełna zgodność</x:v>
      </x:c>
      <x:c r="J284" s="1537" t="str"/>
    </x:row>
    <x:row r="285" ht="19" customHeight="1">
      <x:c r="A285" t="str">
        <x:v>350 x 1106 cm</x:v>
      </x:c>
      <x:c r="B285" t="str">
        <x:v>handles</x:v>
      </x:c>
      <x:c r="C285" s="1533" t="n">
        <x:v>766</x:v>
      </x:c>
      <x:c r="D285" s="1533" t="n">
        <x:v>827</x:v>
      </x:c>
      <x:c r="E285" s="1533" t="n">
        <x:v>827.28</x:v>
      </x:c>
      <x:c r="F285" s="1533" t="n">
        <x:v>827</x:v>
      </x:c>
      <x:c r="G285" s="1535" t="n">
        <x:v>0</x:v>
      </x:c>
      <x:c r="H285" s="1535" t="n">
        <x:v>0</x:v>
      </x:c>
      <x:c r="I285" t="str">
        <x:v>OK — pełna zgodność</x:v>
      </x:c>
      <x:c r="J285" s="1537" t="str"/>
    </x:row>
    <x:row r="286" ht="19" customHeight="1">
      <x:c r="A286" t="str">
        <x:v>350 x 1106 cm</x:v>
      </x:c>
      <x:c r="B286" t="str">
        <x:v>carriers</x:v>
      </x:c>
      <x:c r="C286" s="1533" t="n">
        <x:v>660</x:v>
      </x:c>
      <x:c r="D286" s="1533" t="n">
        <x:v>713</x:v>
      </x:c>
      <x:c r="E286" s="1533" t="n">
        <x:v>712.8</x:v>
      </x:c>
      <x:c r="F286" s="1533" t="n">
        <x:v>713</x:v>
      </x:c>
      <x:c r="G286" s="1535" t="n">
        <x:v>0</x:v>
      </x:c>
      <x:c r="H286" s="1535" t="n">
        <x:v>0</x:v>
      </x:c>
      <x:c r="I286" t="str">
        <x:v>OK — pełna zgodność</x:v>
      </x:c>
      <x:c r="J286" s="1537" t="str"/>
    </x:row>
    <x:row r="287" ht="19" customHeight="1">
      <x:c r="A287" t="str">
        <x:v>350 x 1206 cm</x:v>
      </x:c>
      <x:c r="B287" t="str">
        <x:v>base_poly</x:v>
      </x:c>
      <x:c r="C287" s="1533" t="n">
        <x:v>24479</x:v>
      </x:c>
      <x:c r="D287" s="1533" t="n">
        <x:v>26437</x:v>
      </x:c>
      <x:c r="E287" s="1533" t="n">
        <x:v>26437.32</x:v>
      </x:c>
      <x:c r="F287" s="1533" t="n">
        <x:v>26437</x:v>
      </x:c>
      <x:c r="G287" s="1535" t="n">
        <x:v>0</x:v>
      </x:c>
      <x:c r="H287" s="1535" t="n">
        <x:v>0</x:v>
      </x:c>
      <x:c r="I287" t="str">
        <x:v>OK — pełna zgodność</x:v>
      </x:c>
      <x:c r="J287" s="1537" t="str"/>
    </x:row>
    <x:row r="288" ht="19" customHeight="1">
      <x:c r="A288" t="str">
        <x:v>350 x 1206 cm</x:v>
      </x:c>
      <x:c r="B288" t="str">
        <x:v>walls_clear</x:v>
      </x:c>
      <x:c r="C288" s="1533" t="n">
        <x:v>26531</x:v>
      </x:c>
      <x:c r="D288" s="1533" t="n">
        <x:v>28653</x:v>
      </x:c>
      <x:c r="E288" s="1533" t="n">
        <x:v>28653.48</x:v>
      </x:c>
      <x:c r="F288" s="1533" t="n">
        <x:v>28653</x:v>
      </x:c>
      <x:c r="G288" s="1535" t="n">
        <x:v>0</x:v>
      </x:c>
      <x:c r="H288" s="1535" t="n">
        <x:v>0</x:v>
      </x:c>
      <x:c r="I288" t="str">
        <x:v>OK — pełna zgodność</x:v>
      </x:c>
      <x:c r="J288" s="1537" t="str"/>
    </x:row>
    <x:row r="289" ht="19" customHeight="1">
      <x:c r="A289" t="str">
        <x:v>350 x 1206 cm</x:v>
      </x:c>
      <x:c r="B289" t="str">
        <x:v>walls_tinted</x:v>
      </x:c>
      <x:c r="C289" s="1533" t="n">
        <x:v>29360</x:v>
      </x:c>
      <x:c r="D289" s="1533" t="n">
        <x:v>31708</x:v>
      </x:c>
      <x:c r="E289" s="1533" t="n">
        <x:v>31708.8</x:v>
      </x:c>
      <x:c r="F289" s="1533" t="n">
        <x:v>31709</x:v>
      </x:c>
      <x:c r="G289" s="1535" t="n">
        <x:v>1</x:v>
      </x:c>
      <x:c r="H289" s="1535" t="n">
        <x:v>1</x:v>
      </x:c>
      <x:c r="I289" t="str">
        <x:v>OK — zaokrąglenie ±1 zł</x:v>
      </x:c>
      <x:c r="J289" s="1537" t="str">
        <x:v>Pozycja złożona; stary eksport mógł zaokrąglać składniki osobno.</x:v>
      </x:c>
    </x:row>
    <x:row r="290" ht="19" customHeight="1">
      <x:c r="A290" t="str">
        <x:v>350 x 1206 cm</x:v>
      </x:c>
      <x:c r="B290" t="str">
        <x:v>roof_poly_colored</x:v>
      </x:c>
      <x:c r="C290" s="1533" t="n">
        <x:v>708</x:v>
      </x:c>
      <x:c r="D290" s="1533" t="n">
        <x:v>765</x:v>
      </x:c>
      <x:c r="E290" s="1533" t="n">
        <x:v>764.64</x:v>
      </x:c>
      <x:c r="F290" s="1533" t="n">
        <x:v>765</x:v>
      </x:c>
      <x:c r="G290" s="1535" t="n">
        <x:v>0</x:v>
      </x:c>
      <x:c r="H290" s="1535" t="n">
        <x:v>0</x:v>
      </x:c>
      <x:c r="I290" t="str">
        <x:v>OK — pełna zgodność</x:v>
      </x:c>
      <x:c r="J290" s="1537" t="str"/>
    </x:row>
    <x:row r="291" ht="19" customHeight="1">
      <x:c r="A291" t="str">
        <x:v>350 x 1206 cm</x:v>
      </x:c>
      <x:c r="B291" t="str">
        <x:v>roof_glass_clear</x:v>
      </x:c>
      <x:c r="C291" s="1533" t="n">
        <x:v>11435</x:v>
      </x:c>
      <x:c r="D291" s="1533" t="n">
        <x:v>12350</x:v>
      </x:c>
      <x:c r="E291" s="1533" t="n">
        <x:v>12349.8</x:v>
      </x:c>
      <x:c r="F291" s="1533" t="n">
        <x:v>12350</x:v>
      </x:c>
      <x:c r="G291" s="1535" t="n">
        <x:v>0</x:v>
      </x:c>
      <x:c r="H291" s="1535" t="n">
        <x:v>0</x:v>
      </x:c>
      <x:c r="I291" t="str">
        <x:v>OK — pełna zgodność</x:v>
      </x:c>
      <x:c r="J291" s="1537" t="str"/>
    </x:row>
    <x:row r="292" ht="19" customHeight="1">
      <x:c r="A292" t="str">
        <x:v>350 x 1206 cm</x:v>
      </x:c>
      <x:c r="B292" t="str">
        <x:v>roof_glass_tinted</x:v>
      </x:c>
      <x:c r="C292" s="1533" t="n">
        <x:v>13050</x:v>
      </x:c>
      <x:c r="D292" s="1533" t="n">
        <x:v>14094</x:v>
      </x:c>
      <x:c r="E292" s="1533" t="n">
        <x:v>14094</x:v>
      </x:c>
      <x:c r="F292" s="1533" t="n">
        <x:v>14094</x:v>
      </x:c>
      <x:c r="G292" s="1535" t="n">
        <x:v>0</x:v>
      </x:c>
      <x:c r="H292" s="1535" t="n">
        <x:v>0</x:v>
      </x:c>
      <x:c r="I292" t="str">
        <x:v>OK — pełna zgodność</x:v>
      </x:c>
      <x:c r="J292" s="1537" t="str">
        <x:v>Pozycja złożona; stary eksport mógł zaokrąglać składniki osobno.</x:v>
      </x:c>
    </x:row>
    <x:row r="293" ht="19" customHeight="1">
      <x:c r="A293" t="str">
        <x:v>350 x 1206 cm</x:v>
      </x:c>
      <x:c r="B293" t="str">
        <x:v>zip_side</x:v>
      </x:c>
      <x:c r="C293" s="1533" t="n">
        <x:v>2758</x:v>
      </x:c>
      <x:c r="D293" s="1533" t="n">
        <x:v>2979</x:v>
      </x:c>
      <x:c r="E293" s="1533" t="n">
        <x:v>2978.64</x:v>
      </x:c>
      <x:c r="F293" s="1533" t="n">
        <x:v>2979</x:v>
      </x:c>
      <x:c r="G293" s="1535" t="n">
        <x:v>0</x:v>
      </x:c>
      <x:c r="H293" s="1535" t="n">
        <x:v>0</x:v>
      </x:c>
      <x:c r="I293" t="str">
        <x:v>OK — pełna zgodność</x:v>
      </x:c>
      <x:c r="J293" s="1537" t="str"/>
    </x:row>
    <x:row r="294" ht="19" customHeight="1">
      <x:c r="A294" t="str">
        <x:v>350 x 1206 cm</x:v>
      </x:c>
      <x:c r="B294" t="str">
        <x:v>zip_front</x:v>
      </x:c>
      <x:c r="C294" s="1533" t="n">
        <x:v>9337</x:v>
      </x:c>
      <x:c r="D294" s="1533" t="n">
        <x:v>10084</x:v>
      </x:c>
      <x:c r="E294" s="1533" t="n">
        <x:v>10083.96</x:v>
      </x:c>
      <x:c r="F294" s="1533" t="n">
        <x:v>10084</x:v>
      </x:c>
      <x:c r="G294" s="1535" t="n">
        <x:v>0</x:v>
      </x:c>
      <x:c r="H294" s="1535" t="n">
        <x:v>0</x:v>
      </x:c>
      <x:c r="I294" t="str">
        <x:v>OK — pełna zgodność</x:v>
      </x:c>
      <x:c r="J294" s="1537" t="str"/>
    </x:row>
    <x:row r="295" ht="19" customHeight="1">
      <x:c r="A295" t="str">
        <x:v>350 x 1206 cm</x:v>
      </x:c>
      <x:c r="B295" t="str">
        <x:v>awning</x:v>
      </x:c>
      <x:c r="C295" s="1533" t="n">
        <x:v>15915</x:v>
      </x:c>
      <x:c r="D295" s="1533" t="n">
        <x:v>17188</x:v>
      </x:c>
      <x:c r="E295" s="1533" t="n">
        <x:v>17188.2</x:v>
      </x:c>
      <x:c r="F295" s="1533" t="n">
        <x:v>17188</x:v>
      </x:c>
      <x:c r="G295" s="1535" t="n">
        <x:v>0</x:v>
      </x:c>
      <x:c r="H295" s="1535" t="n">
        <x:v>0</x:v>
      </x:c>
      <x:c r="I295" t="str">
        <x:v>OK — pełna zgodność</x:v>
      </x:c>
      <x:c r="J295" s="1537" t="str"/>
    </x:row>
    <x:row r="296" ht="19" customHeight="1">
      <x:c r="A296" t="str">
        <x:v>350 x 1206 cm</x:v>
      </x:c>
      <x:c r="B296" t="str">
        <x:v>foundation</x:v>
      </x:c>
      <x:c r="C296" s="1533" t="n">
        <x:v>3898</x:v>
      </x:c>
      <x:c r="D296" s="1533" t="n">
        <x:v>4210</x:v>
      </x:c>
      <x:c r="E296" s="1533" t="n">
        <x:v>4209.84</x:v>
      </x:c>
      <x:c r="F296" s="1533" t="n">
        <x:v>4210</x:v>
      </x:c>
      <x:c r="G296" s="1535" t="n">
        <x:v>0</x:v>
      </x:c>
      <x:c r="H296" s="1535" t="n">
        <x:v>0</x:v>
      </x:c>
      <x:c r="I296" t="str">
        <x:v>OK — pełna zgodność</x:v>
      </x:c>
      <x:c r="J296" s="1537" t="str"/>
    </x:row>
    <x:row r="297" ht="19" customHeight="1">
      <x:c r="A297" t="str">
        <x:v>350 x 1206 cm</x:v>
      </x:c>
      <x:c r="B297" t="str">
        <x:v>led_point</x:v>
      </x:c>
      <x:c r="C297" s="1533" t="n">
        <x:v>1781</x:v>
      </x:c>
      <x:c r="D297" s="1533" t="n">
        <x:v>1923</x:v>
      </x:c>
      <x:c r="E297" s="1533" t="n">
        <x:v>1923.48</x:v>
      </x:c>
      <x:c r="F297" s="1533" t="n">
        <x:v>1923</x:v>
      </x:c>
      <x:c r="G297" s="1535" t="n">
        <x:v>0</x:v>
      </x:c>
      <x:c r="H297" s="1535" t="n">
        <x:v>0</x:v>
      </x:c>
      <x:c r="I297" t="str">
        <x:v>OK — pełna zgodność</x:v>
      </x:c>
      <x:c r="J297" s="1537" t="str"/>
    </x:row>
    <x:row r="298" ht="19" customHeight="1">
      <x:c r="A298" t="str">
        <x:v>350 x 1206 cm</x:v>
      </x:c>
      <x:c r="B298" t="str">
        <x:v>led_cct</x:v>
      </x:c>
      <x:c r="C298" s="1533" t="n">
        <x:v>3306</x:v>
      </x:c>
      <x:c r="D298" s="1533" t="n">
        <x:v>3570</x:v>
      </x:c>
      <x:c r="E298" s="1533" t="n">
        <x:v>3570.48</x:v>
      </x:c>
      <x:c r="F298" s="1533" t="n">
        <x:v>3570</x:v>
      </x:c>
      <x:c r="G298" s="1535" t="n">
        <x:v>0</x:v>
      </x:c>
      <x:c r="H298" s="1535" t="n">
        <x:v>0</x:v>
      </x:c>
      <x:c r="I298" t="str">
        <x:v>OK — pełna zgodność</x:v>
      </x:c>
      <x:c r="J298" s="1537" t="str"/>
    </x:row>
    <x:row r="299" ht="19" customHeight="1">
      <x:c r="A299" t="str">
        <x:v>350 x 1206 cm</x:v>
      </x:c>
      <x:c r="B299" t="str">
        <x:v>brushes</x:v>
      </x:c>
      <x:c r="C299" s="1533" t="n">
        <x:v>896</x:v>
      </x:c>
      <x:c r="D299" s="1533" t="n">
        <x:v>968</x:v>
      </x:c>
      <x:c r="E299" s="1533" t="n">
        <x:v>967.68</x:v>
      </x:c>
      <x:c r="F299" s="1533" t="n">
        <x:v>968</x:v>
      </x:c>
      <x:c r="G299" s="1535" t="n">
        <x:v>0</x:v>
      </x:c>
      <x:c r="H299" s="1535" t="n">
        <x:v>0</x:v>
      </x:c>
      <x:c r="I299" t="str">
        <x:v>OK — pełna zgodność</x:v>
      </x:c>
      <x:c r="J299" s="1537" t="str"/>
    </x:row>
    <x:row r="300" ht="19" customHeight="1">
      <x:c r="A300" t="str">
        <x:v>350 x 1206 cm</x:v>
      </x:c>
      <x:c r="B300" t="str">
        <x:v>handles</x:v>
      </x:c>
      <x:c r="C300" s="1533" t="n">
        <x:v>813</x:v>
      </x:c>
      <x:c r="D300" s="1533" t="n">
        <x:v>878</x:v>
      </x:c>
      <x:c r="E300" s="1533" t="n">
        <x:v>878.04</x:v>
      </x:c>
      <x:c r="F300" s="1533" t="n">
        <x:v>878</x:v>
      </x:c>
      <x:c r="G300" s="1535" t="n">
        <x:v>0</x:v>
      </x:c>
      <x:c r="H300" s="1535" t="n">
        <x:v>0</x:v>
      </x:c>
      <x:c r="I300" t="str">
        <x:v>OK — pełna zgodność</x:v>
      </x:c>
      <x:c r="J300" s="1537" t="str"/>
    </x:row>
    <x:row r="301" ht="19" customHeight="1">
      <x:c r="A301" t="str">
        <x:v>350 x 1206 cm</x:v>
      </x:c>
      <x:c r="B301" t="str">
        <x:v>carriers</x:v>
      </x:c>
      <x:c r="C301" s="1533" t="n">
        <x:v>708</x:v>
      </x:c>
      <x:c r="D301" s="1533" t="n">
        <x:v>765</x:v>
      </x:c>
      <x:c r="E301" s="1533" t="n">
        <x:v>764.64</x:v>
      </x:c>
      <x:c r="F301" s="1533" t="n">
        <x:v>765</x:v>
      </x:c>
      <x:c r="G301" s="1535" t="n">
        <x:v>0</x:v>
      </x:c>
      <x:c r="H301" s="1535" t="n">
        <x:v>0</x:v>
      </x:c>
      <x:c r="I301" t="str">
        <x:v>OK — pełna zgodność</x:v>
      </x:c>
      <x:c r="J301" s="1537" t="str"/>
    </x:row>
    <x:row r="302" ht="19" customHeight="1">
      <x:c r="A302" t="str">
        <x:v>400 x 306 cm</x:v>
      </x:c>
      <x:c r="B302" t="str">
        <x:v>base_poly</x:v>
      </x:c>
      <x:c r="C302" s="1533" t="n">
        <x:v>8656</x:v>
      </x:c>
      <x:c r="D302" s="1533" t="n">
        <x:v>9348</x:v>
      </x:c>
      <x:c r="E302" s="1533" t="n">
        <x:v>9348.48</x:v>
      </x:c>
      <x:c r="F302" s="1533" t="n">
        <x:v>9348</x:v>
      </x:c>
      <x:c r="G302" s="1535" t="n">
        <x:v>0</x:v>
      </x:c>
      <x:c r="H302" s="1535" t="n">
        <x:v>0</x:v>
      </x:c>
      <x:c r="I302" t="str">
        <x:v>OK — pełna zgodność</x:v>
      </x:c>
      <x:c r="J302" s="1537" t="str"/>
    </x:row>
    <x:row r="303" ht="19" customHeight="1">
      <x:c r="A303" t="str">
        <x:v>400 x 306 cm</x:v>
      </x:c>
      <x:c r="B303" t="str">
        <x:v>walls_clear</x:v>
      </x:c>
      <x:c r="C303" s="1533" t="n">
        <x:v>15637</x:v>
      </x:c>
      <x:c r="D303" s="1533" t="n">
        <x:v>16888</x:v>
      </x:c>
      <x:c r="E303" s="1533" t="n">
        <x:v>16887.96</x:v>
      </x:c>
      <x:c r="F303" s="1533" t="n">
        <x:v>16888</x:v>
      </x:c>
      <x:c r="G303" s="1535" t="n">
        <x:v>0</x:v>
      </x:c>
      <x:c r="H303" s="1535" t="n">
        <x:v>0</x:v>
      </x:c>
      <x:c r="I303" t="str">
        <x:v>OK — pełna zgodność</x:v>
      </x:c>
      <x:c r="J303" s="1537" t="str"/>
    </x:row>
    <x:row r="304" ht="19" customHeight="1">
      <x:c r="A304" t="str">
        <x:v>400 x 306 cm</x:v>
      </x:c>
      <x:c r="B304" t="str">
        <x:v>walls_tinted</x:v>
      </x:c>
      <x:c r="C304" s="1533" t="n">
        <x:v>17193</x:v>
      </x:c>
      <x:c r="D304" s="1533" t="n">
        <x:v>18568</x:v>
      </x:c>
      <x:c r="E304" s="1533" t="n">
        <x:v>18568.44</x:v>
      </x:c>
      <x:c r="F304" s="1533" t="n">
        <x:v>18568</x:v>
      </x:c>
      <x:c r="G304" s="1535" t="n">
        <x:v>0</x:v>
      </x:c>
      <x:c r="H304" s="1535" t="n">
        <x:v>0</x:v>
      </x:c>
      <x:c r="I304" t="str">
        <x:v>OK — pełna zgodność</x:v>
      </x:c>
      <x:c r="J304" s="1537" t="str">
        <x:v>Pozycja złożona; stary eksport mógł zaokrąglać składniki osobno.</x:v>
      </x:c>
    </x:row>
    <x:row r="305" ht="19" customHeight="1">
      <x:c r="A305" t="str">
        <x:v>400 x 306 cm</x:v>
      </x:c>
      <x:c r="B305" t="str">
        <x:v>roof_poly_colored</x:v>
      </x:c>
      <x:c r="C305" s="1533" t="n">
        <x:v>200</x:v>
      </x:c>
      <x:c r="D305" s="1533" t="n">
        <x:v>216</x:v>
      </x:c>
      <x:c r="E305" s="1533" t="n">
        <x:v>216</x:v>
      </x:c>
      <x:c r="F305" s="1533" t="n">
        <x:v>216</x:v>
      </x:c>
      <x:c r="G305" s="1535" t="n">
        <x:v>0</x:v>
      </x:c>
      <x:c r="H305" s="1535" t="n">
        <x:v>0</x:v>
      </x:c>
      <x:c r="I305" t="str">
        <x:v>OK — pełna zgodność</x:v>
      </x:c>
      <x:c r="J305" s="1537" t="str"/>
    </x:row>
    <x:row r="306" ht="19" customHeight="1">
      <x:c r="A306" t="str">
        <x:v>400 x 306 cm</x:v>
      </x:c>
      <x:c r="B306" t="str">
        <x:v>roof_glass_clear</x:v>
      </x:c>
      <x:c r="C306" s="1533" t="n">
        <x:v>3667</x:v>
      </x:c>
      <x:c r="D306" s="1533" t="n">
        <x:v>3960</x:v>
      </x:c>
      <x:c r="E306" s="1533" t="n">
        <x:v>3960.36</x:v>
      </x:c>
      <x:c r="F306" s="1533" t="n">
        <x:v>3960</x:v>
      </x:c>
      <x:c r="G306" s="1535" t="n">
        <x:v>0</x:v>
      </x:c>
      <x:c r="H306" s="1535" t="n">
        <x:v>0</x:v>
      </x:c>
      <x:c r="I306" t="str">
        <x:v>OK — pełna zgodność</x:v>
      </x:c>
      <x:c r="J306" s="1537" t="str"/>
    </x:row>
    <x:row r="307" ht="19" customHeight="1">
      <x:c r="A307" t="str">
        <x:v>400 x 306 cm</x:v>
      </x:c>
      <x:c r="B307" t="str">
        <x:v>roof_glass_tinted</x:v>
      </x:c>
      <x:c r="C307" s="1533" t="n">
        <x:v>4080</x:v>
      </x:c>
      <x:c r="D307" s="1533" t="n">
        <x:v>4406</x:v>
      </x:c>
      <x:c r="E307" s="1533" t="n">
        <x:v>4406.4</x:v>
      </x:c>
      <x:c r="F307" s="1533" t="n">
        <x:v>4406</x:v>
      </x:c>
      <x:c r="G307" s="1535" t="n">
        <x:v>0</x:v>
      </x:c>
      <x:c r="H307" s="1535" t="n">
        <x:v>0</x:v>
      </x:c>
      <x:c r="I307" t="str">
        <x:v>OK — pełna zgodność</x:v>
      </x:c>
      <x:c r="J307" s="1537" t="str">
        <x:v>Pozycja złożona; stary eksport mógł zaokrąglać składniki osobno.</x:v>
      </x:c>
    </x:row>
    <x:row r="308" ht="19" customHeight="1">
      <x:c r="A308" t="str">
        <x:v>400 x 306 cm</x:v>
      </x:c>
      <x:c r="B308" t="str">
        <x:v>zip_side</x:v>
      </x:c>
      <x:c r="C308" s="1533" t="n">
        <x:v>3112</x:v>
      </x:c>
      <x:c r="D308" s="1533" t="n">
        <x:v>3361</x:v>
      </x:c>
      <x:c r="E308" s="1533" t="n">
        <x:v>3360.96</x:v>
      </x:c>
      <x:c r="F308" s="1533" t="n">
        <x:v>3361</x:v>
      </x:c>
      <x:c r="G308" s="1535" t="n">
        <x:v>0</x:v>
      </x:c>
      <x:c r="H308" s="1535" t="n">
        <x:v>0</x:v>
      </x:c>
      <x:c r="I308" t="str">
        <x:v>OK — pełna zgodność</x:v>
      </x:c>
      <x:c r="J308" s="1537" t="str"/>
    </x:row>
    <x:row r="309" ht="19" customHeight="1">
      <x:c r="A309" t="str">
        <x:v>400 x 306 cm</x:v>
      </x:c>
      <x:c r="B309" t="str">
        <x:v>zip_front</x:v>
      </x:c>
      <x:c r="C309" s="1533" t="n">
        <x:v>2523</x:v>
      </x:c>
      <x:c r="D309" s="1533" t="n">
        <x:v>2725</x:v>
      </x:c>
      <x:c r="E309" s="1533" t="n">
        <x:v>2724.84</x:v>
      </x:c>
      <x:c r="F309" s="1533" t="n">
        <x:v>2725</x:v>
      </x:c>
      <x:c r="G309" s="1535" t="n">
        <x:v>0</x:v>
      </x:c>
      <x:c r="H309" s="1535" t="n">
        <x:v>0</x:v>
      </x:c>
      <x:c r="I309" t="str">
        <x:v>OK — pełna zgodność</x:v>
      </x:c>
      <x:c r="J309" s="1537" t="str"/>
    </x:row>
    <x:row r="310" ht="19" customHeight="1">
      <x:c r="A310" t="str">
        <x:v>400 x 306 cm</x:v>
      </x:c>
      <x:c r="B310" t="str">
        <x:v>awning</x:v>
      </x:c>
      <x:c r="C310" s="1533" t="n">
        <x:v>4750</x:v>
      </x:c>
      <x:c r="D310" s="1533" t="n">
        <x:v>5130</x:v>
      </x:c>
      <x:c r="E310" s="1533" t="n">
        <x:v>5130</x:v>
      </x:c>
      <x:c r="F310" s="1533" t="n">
        <x:v>5130</x:v>
      </x:c>
      <x:c r="G310" s="1535" t="n">
        <x:v>0</x:v>
      </x:c>
      <x:c r="H310" s="1535" t="n">
        <x:v>0</x:v>
      </x:c>
      <x:c r="I310" t="str">
        <x:v>OK — pełna zgodność</x:v>
      </x:c>
      <x:c r="J310" s="1537" t="str"/>
    </x:row>
    <x:row r="311" ht="19" customHeight="1">
      <x:c r="A311" t="str">
        <x:v>400 x 306 cm</x:v>
      </x:c>
      <x:c r="B311" t="str">
        <x:v>foundation</x:v>
      </x:c>
      <x:c r="C311" s="1533" t="n">
        <x:v>1593</x:v>
      </x:c>
      <x:c r="D311" s="1533" t="n">
        <x:v>1720</x:v>
      </x:c>
      <x:c r="E311" s="1533" t="n">
        <x:v>1720.44</x:v>
      </x:c>
      <x:c r="F311" s="1533" t="n">
        <x:v>1720</x:v>
      </x:c>
      <x:c r="G311" s="1535" t="n">
        <x:v>0</x:v>
      </x:c>
      <x:c r="H311" s="1535" t="n">
        <x:v>0</x:v>
      </x:c>
      <x:c r="I311" t="str">
        <x:v>OK — pełna zgodność</x:v>
      </x:c>
      <x:c r="J311" s="1537" t="str"/>
    </x:row>
    <x:row r="312" ht="19" customHeight="1">
      <x:c r="A312" t="str">
        <x:v>400 x 306 cm</x:v>
      </x:c>
      <x:c r="B312" t="str">
        <x:v>led_point</x:v>
      </x:c>
      <x:c r="C312" s="1533" t="n">
        <x:v>494</x:v>
      </x:c>
      <x:c r="D312" s="1533" t="n">
        <x:v>534</x:v>
      </x:c>
      <x:c r="E312" s="1533" t="n">
        <x:v>533.52</x:v>
      </x:c>
      <x:c r="F312" s="1533" t="n">
        <x:v>534</x:v>
      </x:c>
      <x:c r="G312" s="1535" t="n">
        <x:v>0</x:v>
      </x:c>
      <x:c r="H312" s="1535" t="n">
        <x:v>0</x:v>
      </x:c>
      <x:c r="I312" t="str">
        <x:v>OK — pełna zgodność</x:v>
      </x:c>
      <x:c r="J312" s="1537" t="str"/>
    </x:row>
    <x:row r="313" ht="19" customHeight="1">
      <x:c r="A313" t="str">
        <x:v>400 x 306 cm</x:v>
      </x:c>
      <x:c r="B313" t="str">
        <x:v>led_cct</x:v>
      </x:c>
      <x:c r="C313" s="1533" t="n">
        <x:v>1247</x:v>
      </x:c>
      <x:c r="D313" s="1533" t="n">
        <x:v>1347</x:v>
      </x:c>
      <x:c r="E313" s="1533" t="n">
        <x:v>1346.76</x:v>
      </x:c>
      <x:c r="F313" s="1533" t="n">
        <x:v>1347</x:v>
      </x:c>
      <x:c r="G313" s="1535" t="n">
        <x:v>0</x:v>
      </x:c>
      <x:c r="H313" s="1535" t="n">
        <x:v>0</x:v>
      </x:c>
      <x:c r="I313" t="str">
        <x:v>OK — pełna zgodność</x:v>
      </x:c>
      <x:c r="J313" s="1537" t="str"/>
    </x:row>
    <x:row r="314" ht="19" customHeight="1">
      <x:c r="A314" t="str">
        <x:v>400 x 306 cm</x:v>
      </x:c>
      <x:c r="B314" t="str">
        <x:v>brushes</x:v>
      </x:c>
      <x:c r="C314" s="1533" t="n">
        <x:v>494</x:v>
      </x:c>
      <x:c r="D314" s="1533" t="n">
        <x:v>534</x:v>
      </x:c>
      <x:c r="E314" s="1533" t="n">
        <x:v>533.52</x:v>
      </x:c>
      <x:c r="F314" s="1533" t="n">
        <x:v>534</x:v>
      </x:c>
      <x:c r="G314" s="1535" t="n">
        <x:v>0</x:v>
      </x:c>
      <x:c r="H314" s="1535" t="n">
        <x:v>0</x:v>
      </x:c>
      <x:c r="I314" t="str">
        <x:v>OK — pełna zgodność</x:v>
      </x:c>
      <x:c r="J314" s="1537" t="str"/>
    </x:row>
    <x:row r="315" ht="19" customHeight="1">
      <x:c r="A315" t="str">
        <x:v>400 x 306 cm</x:v>
      </x:c>
      <x:c r="B315" t="str">
        <x:v>handles</x:v>
      </x:c>
      <x:c r="C315" s="1533" t="n">
        <x:v>448</x:v>
      </x:c>
      <x:c r="D315" s="1533" t="n">
        <x:v>484</x:v>
      </x:c>
      <x:c r="E315" s="1533" t="n">
        <x:v>483.84</x:v>
      </x:c>
      <x:c r="F315" s="1533" t="n">
        <x:v>484</x:v>
      </x:c>
      <x:c r="G315" s="1535" t="n">
        <x:v>0</x:v>
      </x:c>
      <x:c r="H315" s="1535" t="n">
        <x:v>0</x:v>
      </x:c>
      <x:c r="I315" t="str">
        <x:v>OK — pełna zgodność</x:v>
      </x:c>
      <x:c r="J315" s="1537" t="str"/>
    </x:row>
    <x:row r="316" ht="19" customHeight="1">
      <x:c r="A316" t="str">
        <x:v>400 x 306 cm</x:v>
      </x:c>
      <x:c r="B316" t="str">
        <x:v>carriers</x:v>
      </x:c>
      <x:c r="C316" s="1533" t="n">
        <x:v>377</x:v>
      </x:c>
      <x:c r="D316" s="1533" t="n">
        <x:v>407</x:v>
      </x:c>
      <x:c r="E316" s="1533" t="n">
        <x:v>407.16</x:v>
      </x:c>
      <x:c r="F316" s="1533" t="n">
        <x:v>407</x:v>
      </x:c>
      <x:c r="G316" s="1535" t="n">
        <x:v>0</x:v>
      </x:c>
      <x:c r="H316" s="1535" t="n">
        <x:v>0</x:v>
      </x:c>
      <x:c r="I316" t="str">
        <x:v>OK — pełna zgodność</x:v>
      </x:c>
      <x:c r="J316" s="1537" t="str"/>
    </x:row>
    <x:row r="317" ht="19" customHeight="1">
      <x:c r="A317" t="str">
        <x:v>400 x 406 cm</x:v>
      </x:c>
      <x:c r="B317" t="str">
        <x:v>base_poly</x:v>
      </x:c>
      <x:c r="C317" s="1533" t="n">
        <x:v>10307</x:v>
      </x:c>
      <x:c r="D317" s="1533" t="n">
        <x:v>11132</x:v>
      </x:c>
      <x:c r="E317" s="1533" t="n">
        <x:v>11131.56</x:v>
      </x:c>
      <x:c r="F317" s="1533" t="n">
        <x:v>11132</x:v>
      </x:c>
      <x:c r="G317" s="1535" t="n">
        <x:v>0</x:v>
      </x:c>
      <x:c r="H317" s="1535" t="n">
        <x:v>0</x:v>
      </x:c>
      <x:c r="I317" t="str">
        <x:v>OK — pełna zgodność</x:v>
      </x:c>
      <x:c r="J317" s="1537" t="str"/>
    </x:row>
    <x:row r="318" ht="19" customHeight="1">
      <x:c r="A318" t="str">
        <x:v>400 x 406 cm</x:v>
      </x:c>
      <x:c r="B318" t="str">
        <x:v>walls_clear</x:v>
      </x:c>
      <x:c r="C318" s="1533" t="n">
        <x:v>16899</x:v>
      </x:c>
      <x:c r="D318" s="1533" t="n">
        <x:v>18251</x:v>
      </x:c>
      <x:c r="E318" s="1533" t="n">
        <x:v>18250.92</x:v>
      </x:c>
      <x:c r="F318" s="1533" t="n">
        <x:v>18251</x:v>
      </x:c>
      <x:c r="G318" s="1535" t="n">
        <x:v>0</x:v>
      </x:c>
      <x:c r="H318" s="1535" t="n">
        <x:v>0</x:v>
      </x:c>
      <x:c r="I318" t="str">
        <x:v>OK — pełna zgodność</x:v>
      </x:c>
      <x:c r="J318" s="1537" t="str"/>
    </x:row>
    <x:row r="319" ht="19" customHeight="1">
      <x:c r="A319" t="str">
        <x:v>400 x 406 cm</x:v>
      </x:c>
      <x:c r="B319" t="str">
        <x:v>walls_tinted</x:v>
      </x:c>
      <x:c r="C319" s="1533" t="n">
        <x:v>18597</x:v>
      </x:c>
      <x:c r="D319" s="1533" t="n">
        <x:v>20085</x:v>
      </x:c>
      <x:c r="E319" s="1533" t="n">
        <x:v>20084.76</x:v>
      </x:c>
      <x:c r="F319" s="1533" t="n">
        <x:v>20085</x:v>
      </x:c>
      <x:c r="G319" s="1535" t="n">
        <x:v>0</x:v>
      </x:c>
      <x:c r="H319" s="1535" t="n">
        <x:v>0</x:v>
      </x:c>
      <x:c r="I319" t="str">
        <x:v>OK — pełna zgodność</x:v>
      </x:c>
      <x:c r="J319" s="1537" t="str">
        <x:v>Pozycja złożona; stary eksport mógł zaokrąglać składniki osobno.</x:v>
      </x:c>
    </x:row>
    <x:row r="320" ht="19" customHeight="1">
      <x:c r="A320" t="str">
        <x:v>400 x 406 cm</x:v>
      </x:c>
      <x:c r="B320" t="str">
        <x:v>roof_poly_colored</x:v>
      </x:c>
      <x:c r="C320" s="1533" t="n">
        <x:v>260</x:v>
      </x:c>
      <x:c r="D320" s="1533" t="n">
        <x:v>281</x:v>
      </x:c>
      <x:c r="E320" s="1533" t="n">
        <x:v>280.8</x:v>
      </x:c>
      <x:c r="F320" s="1533" t="n">
        <x:v>281</x:v>
      </x:c>
      <x:c r="G320" s="1535" t="n">
        <x:v>0</x:v>
      </x:c>
      <x:c r="H320" s="1535" t="n">
        <x:v>0</x:v>
      </x:c>
      <x:c r="I320" t="str">
        <x:v>OK — pełna zgodność</x:v>
      </x:c>
      <x:c r="J320" s="1537" t="str"/>
    </x:row>
    <x:row r="321" ht="19" customHeight="1">
      <x:c r="A321" t="str">
        <x:v>400 x 406 cm</x:v>
      </x:c>
      <x:c r="B321" t="str">
        <x:v>roof_glass_clear</x:v>
      </x:c>
      <x:c r="C321" s="1533" t="n">
        <x:v>4844</x:v>
      </x:c>
      <x:c r="D321" s="1533" t="n">
        <x:v>5232</x:v>
      </x:c>
      <x:c r="E321" s="1533" t="n">
        <x:v>5231.52</x:v>
      </x:c>
      <x:c r="F321" s="1533" t="n">
        <x:v>5232</x:v>
      </x:c>
      <x:c r="G321" s="1535" t="n">
        <x:v>0</x:v>
      </x:c>
      <x:c r="H321" s="1535" t="n">
        <x:v>0</x:v>
      </x:c>
      <x:c r="I321" t="str">
        <x:v>OK — pełna zgodność</x:v>
      </x:c>
      <x:c r="J321" s="1537" t="str"/>
    </x:row>
    <x:row r="322" ht="19" customHeight="1">
      <x:c r="A322" t="str">
        <x:v>400 x 406 cm</x:v>
      </x:c>
      <x:c r="B322" t="str">
        <x:v>roof_glass_tinted</x:v>
      </x:c>
      <x:c r="C322" s="1533" t="n">
        <x:v>5386</x:v>
      </x:c>
      <x:c r="D322" s="1533" t="n">
        <x:v>5817</x:v>
      </x:c>
      <x:c r="E322" s="1533" t="n">
        <x:v>5816.88</x:v>
      </x:c>
      <x:c r="F322" s="1533" t="n">
        <x:v>5817</x:v>
      </x:c>
      <x:c r="G322" s="1535" t="n">
        <x:v>0</x:v>
      </x:c>
      <x:c r="H322" s="1535" t="n">
        <x:v>0</x:v>
      </x:c>
      <x:c r="I322" t="str">
        <x:v>OK — pełna zgodność</x:v>
      </x:c>
      <x:c r="J322" s="1537" t="str">
        <x:v>Pozycja złożona; stary eksport mógł zaokrąglać składniki osobno.</x:v>
      </x:c>
    </x:row>
    <x:row r="323" ht="19" customHeight="1">
      <x:c r="A323" t="str">
        <x:v>400 x 406 cm</x:v>
      </x:c>
      <x:c r="B323" t="str">
        <x:v>zip_side</x:v>
      </x:c>
      <x:c r="C323" s="1533" t="n">
        <x:v>3112</x:v>
      </x:c>
      <x:c r="D323" s="1533" t="n">
        <x:v>3361</x:v>
      </x:c>
      <x:c r="E323" s="1533" t="n">
        <x:v>3360.96</x:v>
      </x:c>
      <x:c r="F323" s="1533" t="n">
        <x:v>3361</x:v>
      </x:c>
      <x:c r="G323" s="1535" t="n">
        <x:v>0</x:v>
      </x:c>
      <x:c r="H323" s="1535" t="n">
        <x:v>0</x:v>
      </x:c>
      <x:c r="I323" t="str">
        <x:v>OK — pełna zgodność</x:v>
      </x:c>
      <x:c r="J323" s="1537" t="str"/>
    </x:row>
    <x:row r="324" ht="19" customHeight="1">
      <x:c r="A324" t="str">
        <x:v>400 x 406 cm</x:v>
      </x:c>
      <x:c r="B324" t="str">
        <x:v>zip_front</x:v>
      </x:c>
      <x:c r="C324" s="1533" t="n">
        <x:v>3112</x:v>
      </x:c>
      <x:c r="D324" s="1533" t="n">
        <x:v>3361</x:v>
      </x:c>
      <x:c r="E324" s="1533" t="n">
        <x:v>3360.96</x:v>
      </x:c>
      <x:c r="F324" s="1533" t="n">
        <x:v>3361</x:v>
      </x:c>
      <x:c r="G324" s="1535" t="n">
        <x:v>0</x:v>
      </x:c>
      <x:c r="H324" s="1535" t="n">
        <x:v>0</x:v>
      </x:c>
      <x:c r="I324" t="str">
        <x:v>OK — pełna zgodność</x:v>
      </x:c>
      <x:c r="J324" s="1537" t="str"/>
    </x:row>
    <x:row r="325" ht="19" customHeight="1">
      <x:c r="A325" t="str">
        <x:v>400 x 406 cm</x:v>
      </x:c>
      <x:c r="B325" t="str">
        <x:v>awning</x:v>
      </x:c>
      <x:c r="C325" s="1533" t="n">
        <x:v>5494</x:v>
      </x:c>
      <x:c r="D325" s="1533" t="n">
        <x:v>5934</x:v>
      </x:c>
      <x:c r="E325" s="1533" t="n">
        <x:v>5933.52</x:v>
      </x:c>
      <x:c r="F325" s="1533" t="n">
        <x:v>5934</x:v>
      </x:c>
      <x:c r="G325" s="1535" t="n">
        <x:v>0</x:v>
      </x:c>
      <x:c r="H325" s="1535" t="n">
        <x:v>0</x:v>
      </x:c>
      <x:c r="I325" t="str">
        <x:v>OK — pełna zgodność</x:v>
      </x:c>
      <x:c r="J325" s="1537" t="str"/>
    </x:row>
    <x:row r="326" ht="19" customHeight="1">
      <x:c r="A326" t="str">
        <x:v>400 x 406 cm</x:v>
      </x:c>
      <x:c r="B326" t="str">
        <x:v>foundation</x:v>
      </x:c>
      <x:c r="C326" s="1533" t="n">
        <x:v>1789</x:v>
      </x:c>
      <x:c r="D326" s="1533" t="n">
        <x:v>1932</x:v>
      </x:c>
      <x:c r="E326" s="1533" t="n">
        <x:v>1932.12</x:v>
      </x:c>
      <x:c r="F326" s="1533" t="n">
        <x:v>1932</x:v>
      </x:c>
      <x:c r="G326" s="1535" t="n">
        <x:v>0</x:v>
      </x:c>
      <x:c r="H326" s="1535" t="n">
        <x:v>0</x:v>
      </x:c>
      <x:c r="I326" t="str">
        <x:v>OK — pełna zgodność</x:v>
      </x:c>
      <x:c r="J326" s="1537" t="str"/>
    </x:row>
    <x:row r="327" ht="19" customHeight="1">
      <x:c r="A327" t="str">
        <x:v>400 x 406 cm</x:v>
      </x:c>
      <x:c r="B327" t="str">
        <x:v>led_point</x:v>
      </x:c>
      <x:c r="C327" s="1533" t="n">
        <x:v>602</x:v>
      </x:c>
      <x:c r="D327" s="1533" t="n">
        <x:v>650</x:v>
      </x:c>
      <x:c r="E327" s="1533" t="n">
        <x:v>650.16</x:v>
      </x:c>
      <x:c r="F327" s="1533" t="n">
        <x:v>650</x:v>
      </x:c>
      <x:c r="G327" s="1535" t="n">
        <x:v>0</x:v>
      </x:c>
      <x:c r="H327" s="1535" t="n">
        <x:v>0</x:v>
      </x:c>
      <x:c r="I327" t="str">
        <x:v>OK — pełna zgodność</x:v>
      </x:c>
      <x:c r="J327" s="1537" t="str"/>
    </x:row>
    <x:row r="328" ht="19" customHeight="1">
      <x:c r="A328" t="str">
        <x:v>400 x 406 cm</x:v>
      </x:c>
      <x:c r="B328" t="str">
        <x:v>led_cct</x:v>
      </x:c>
      <x:c r="C328" s="1533" t="n">
        <x:v>1508</x:v>
      </x:c>
      <x:c r="D328" s="1533" t="n">
        <x:v>1629</x:v>
      </x:c>
      <x:c r="E328" s="1533" t="n">
        <x:v>1628.64</x:v>
      </x:c>
      <x:c r="F328" s="1533" t="n">
        <x:v>1629</x:v>
      </x:c>
      <x:c r="G328" s="1535" t="n">
        <x:v>0</x:v>
      </x:c>
      <x:c r="H328" s="1535" t="n">
        <x:v>0</x:v>
      </x:c>
      <x:c r="I328" t="str">
        <x:v>OK — pełna zgodność</x:v>
      </x:c>
      <x:c r="J328" s="1537" t="str"/>
    </x:row>
    <x:row r="329" ht="19" customHeight="1">
      <x:c r="A329" t="str">
        <x:v>400 x 406 cm</x:v>
      </x:c>
      <x:c r="B329" t="str">
        <x:v>brushes</x:v>
      </x:c>
      <x:c r="C329" s="1533" t="n">
        <x:v>542</x:v>
      </x:c>
      <x:c r="D329" s="1533" t="n">
        <x:v>585</x:v>
      </x:c>
      <x:c r="E329" s="1533" t="n">
        <x:v>585.36</x:v>
      </x:c>
      <x:c r="F329" s="1533" t="n">
        <x:v>585</x:v>
      </x:c>
      <x:c r="G329" s="1535" t="n">
        <x:v>0</x:v>
      </x:c>
      <x:c r="H329" s="1535" t="n">
        <x:v>0</x:v>
      </x:c>
      <x:c r="I329" t="str">
        <x:v>OK — pełna zgodność</x:v>
      </x:c>
      <x:c r="J329" s="1537" t="str"/>
    </x:row>
    <x:row r="330" ht="19" customHeight="1">
      <x:c r="A330" t="str">
        <x:v>400 x 406 cm</x:v>
      </x:c>
      <x:c r="B330" t="str">
        <x:v>handles</x:v>
      </x:c>
      <x:c r="C330" s="1533" t="n">
        <x:v>483</x:v>
      </x:c>
      <x:c r="D330" s="1533" t="n">
        <x:v>522</x:v>
      </x:c>
      <x:c r="E330" s="1533" t="n">
        <x:v>521.64</x:v>
      </x:c>
      <x:c r="F330" s="1533" t="n">
        <x:v>522</x:v>
      </x:c>
      <x:c r="G330" s="1535" t="n">
        <x:v>0</x:v>
      </x:c>
      <x:c r="H330" s="1535" t="n">
        <x:v>0</x:v>
      </x:c>
      <x:c r="I330" t="str">
        <x:v>OK — pełna zgodność</x:v>
      </x:c>
      <x:c r="J330" s="1537" t="str"/>
    </x:row>
    <x:row r="331" ht="19" customHeight="1">
      <x:c r="A331" t="str">
        <x:v>400 x 406 cm</x:v>
      </x:c>
      <x:c r="B331" t="str">
        <x:v>carriers</x:v>
      </x:c>
      <x:c r="C331" s="1533" t="n">
        <x:v>425</x:v>
      </x:c>
      <x:c r="D331" s="1533" t="n">
        <x:v>459</x:v>
      </x:c>
      <x:c r="E331" s="1533" t="n">
        <x:v>459</x:v>
      </x:c>
      <x:c r="F331" s="1533" t="n">
        <x:v>459</x:v>
      </x:c>
      <x:c r="G331" s="1535" t="n">
        <x:v>0</x:v>
      </x:c>
      <x:c r="H331" s="1535" t="n">
        <x:v>0</x:v>
      </x:c>
      <x:c r="I331" t="str">
        <x:v>OK — pełna zgodność</x:v>
      </x:c>
      <x:c r="J331" s="1537" t="str"/>
    </x:row>
    <x:row r="332" ht="19" customHeight="1">
      <x:c r="A332" t="str">
        <x:v>400 x 506 cm</x:v>
      </x:c>
      <x:c r="B332" t="str">
        <x:v>base_poly</x:v>
      </x:c>
      <x:c r="C332" s="1533" t="n">
        <x:v>12383</x:v>
      </x:c>
      <x:c r="D332" s="1533" t="n">
        <x:v>13374</x:v>
      </x:c>
      <x:c r="E332" s="1533" t="n">
        <x:v>13373.64</x:v>
      </x:c>
      <x:c r="F332" s="1533" t="n">
        <x:v>13374</x:v>
      </x:c>
      <x:c r="G332" s="1535" t="n">
        <x:v>0</x:v>
      </x:c>
      <x:c r="H332" s="1535" t="n">
        <x:v>0</x:v>
      </x:c>
      <x:c r="I332" t="str">
        <x:v>OK — pełna zgodność</x:v>
      </x:c>
      <x:c r="J332" s="1537" t="str"/>
    </x:row>
    <x:row r="333" ht="19" customHeight="1">
      <x:c r="A333" t="str">
        <x:v>400 x 506 cm</x:v>
      </x:c>
      <x:c r="B333" t="str">
        <x:v>walls_clear</x:v>
      </x:c>
      <x:c r="C333" s="1533" t="n">
        <x:v>18424</x:v>
      </x:c>
      <x:c r="D333" s="1533" t="n">
        <x:v>19898</x:v>
      </x:c>
      <x:c r="E333" s="1533" t="n">
        <x:v>19897.92</x:v>
      </x:c>
      <x:c r="F333" s="1533" t="n">
        <x:v>19898</x:v>
      </x:c>
      <x:c r="G333" s="1535" t="n">
        <x:v>0</x:v>
      </x:c>
      <x:c r="H333" s="1535" t="n">
        <x:v>0</x:v>
      </x:c>
      <x:c r="I333" t="str">
        <x:v>OK — pełna zgodność</x:v>
      </x:c>
      <x:c r="J333" s="1537" t="str"/>
    </x:row>
    <x:row r="334" ht="19" customHeight="1">
      <x:c r="A334" t="str">
        <x:v>400 x 506 cm</x:v>
      </x:c>
      <x:c r="B334" t="str">
        <x:v>walls_tinted</x:v>
      </x:c>
      <x:c r="C334" s="1533" t="n">
        <x:v>20263</x:v>
      </x:c>
      <x:c r="D334" s="1533" t="n">
        <x:v>21884</x:v>
      </x:c>
      <x:c r="E334" s="1533" t="n">
        <x:v>21884.04</x:v>
      </x:c>
      <x:c r="F334" s="1533" t="n">
        <x:v>21884</x:v>
      </x:c>
      <x:c r="G334" s="1535" t="n">
        <x:v>0</x:v>
      </x:c>
      <x:c r="H334" s="1535" t="n">
        <x:v>0</x:v>
      </x:c>
      <x:c r="I334" t="str">
        <x:v>OK — pełna zgodność</x:v>
      </x:c>
      <x:c r="J334" s="1537" t="str">
        <x:v>Pozycja złożona; stary eksport mógł zaokrąglać składniki osobno.</x:v>
      </x:c>
    </x:row>
    <x:row r="335" ht="19" customHeight="1">
      <x:c r="A335" t="str">
        <x:v>400 x 506 cm</x:v>
      </x:c>
      <x:c r="B335" t="str">
        <x:v>roof_poly_colored</x:v>
      </x:c>
      <x:c r="C335" s="1533" t="n">
        <x:v>331</x:v>
      </x:c>
      <x:c r="D335" s="1533" t="n">
        <x:v>357</x:v>
      </x:c>
      <x:c r="E335" s="1533" t="n">
        <x:v>357.48</x:v>
      </x:c>
      <x:c r="F335" s="1533" t="n">
        <x:v>357</x:v>
      </x:c>
      <x:c r="G335" s="1535" t="n">
        <x:v>0</x:v>
      </x:c>
      <x:c r="H335" s="1535" t="n">
        <x:v>0</x:v>
      </x:c>
      <x:c r="I335" t="str">
        <x:v>OK — pełna zgodność</x:v>
      </x:c>
      <x:c r="J335" s="1537" t="str"/>
    </x:row>
    <x:row r="336" ht="19" customHeight="1">
      <x:c r="A336" t="str">
        <x:v>400 x 506 cm</x:v>
      </x:c>
      <x:c r="B336" t="str">
        <x:v>roof_glass_clear</x:v>
      </x:c>
      <x:c r="C336" s="1533" t="n">
        <x:v>5954</x:v>
      </x:c>
      <x:c r="D336" s="1533" t="n">
        <x:v>6430</x:v>
      </x:c>
      <x:c r="E336" s="1533" t="n">
        <x:v>6430.32</x:v>
      </x:c>
      <x:c r="F336" s="1533" t="n">
        <x:v>6430</x:v>
      </x:c>
      <x:c r="G336" s="1535" t="n">
        <x:v>0</x:v>
      </x:c>
      <x:c r="H336" s="1535" t="n">
        <x:v>0</x:v>
      </x:c>
      <x:c r="I336" t="str">
        <x:v>OK — pełna zgodność</x:v>
      </x:c>
      <x:c r="J336" s="1537" t="str"/>
    </x:row>
    <x:row r="337" ht="19" customHeight="1">
      <x:c r="A337" t="str">
        <x:v>400 x 506 cm</x:v>
      </x:c>
      <x:c r="B337" t="str">
        <x:v>roof_glass_tinted</x:v>
      </x:c>
      <x:c r="C337" s="1533" t="n">
        <x:v>6638</x:v>
      </x:c>
      <x:c r="D337" s="1533" t="n">
        <x:v>7169</x:v>
      </x:c>
      <x:c r="E337" s="1533" t="n">
        <x:v>7169.04</x:v>
      </x:c>
      <x:c r="F337" s="1533" t="n">
        <x:v>7169</x:v>
      </x:c>
      <x:c r="G337" s="1535" t="n">
        <x:v>0</x:v>
      </x:c>
      <x:c r="H337" s="1535" t="n">
        <x:v>0</x:v>
      </x:c>
      <x:c r="I337" t="str">
        <x:v>OK — pełna zgodność</x:v>
      </x:c>
      <x:c r="J337" s="1537" t="str">
        <x:v>Pozycja złożona; stary eksport mógł zaokrąglać składniki osobno.</x:v>
      </x:c>
    </x:row>
    <x:row r="338" ht="19" customHeight="1">
      <x:c r="A338" t="str">
        <x:v>400 x 506 cm</x:v>
      </x:c>
      <x:c r="B338" t="str">
        <x:v>zip_side</x:v>
      </x:c>
      <x:c r="C338" s="1533" t="n">
        <x:v>3112</x:v>
      </x:c>
      <x:c r="D338" s="1533" t="n">
        <x:v>3361</x:v>
      </x:c>
      <x:c r="E338" s="1533" t="n">
        <x:v>3360.96</x:v>
      </x:c>
      <x:c r="F338" s="1533" t="n">
        <x:v>3361</x:v>
      </x:c>
      <x:c r="G338" s="1535" t="n">
        <x:v>0</x:v>
      </x:c>
      <x:c r="H338" s="1535" t="n">
        <x:v>0</x:v>
      </x:c>
      <x:c r="I338" t="str">
        <x:v>OK — pełna zgodność</x:v>
      </x:c>
      <x:c r="J338" s="1537" t="str"/>
    </x:row>
    <x:row r="339" ht="19" customHeight="1">
      <x:c r="A339" t="str">
        <x:v>400 x 506 cm</x:v>
      </x:c>
      <x:c r="B339" t="str">
        <x:v>zip_front</x:v>
      </x:c>
      <x:c r="C339" s="1533" t="n">
        <x:v>4362</x:v>
      </x:c>
      <x:c r="D339" s="1533" t="n">
        <x:v>4711</x:v>
      </x:c>
      <x:c r="E339" s="1533" t="n">
        <x:v>4710.96</x:v>
      </x:c>
      <x:c r="F339" s="1533" t="n">
        <x:v>4711</x:v>
      </x:c>
      <x:c r="G339" s="1535" t="n">
        <x:v>0</x:v>
      </x:c>
      <x:c r="H339" s="1535" t="n">
        <x:v>0</x:v>
      </x:c>
      <x:c r="I339" t="str">
        <x:v>OK — pełna zgodność</x:v>
      </x:c>
      <x:c r="J339" s="1537" t="str"/>
    </x:row>
    <x:row r="340" ht="19" customHeight="1">
      <x:c r="A340" t="str">
        <x:v>400 x 506 cm</x:v>
      </x:c>
      <x:c r="B340" t="str">
        <x:v>awning</x:v>
      </x:c>
      <x:c r="C340" s="1533" t="n">
        <x:v>6260</x:v>
      </x:c>
      <x:c r="D340" s="1533" t="n">
        <x:v>6761</x:v>
      </x:c>
      <x:c r="E340" s="1533" t="n">
        <x:v>6760.8</x:v>
      </x:c>
      <x:c r="F340" s="1533" t="n">
        <x:v>6761</x:v>
      </x:c>
      <x:c r="G340" s="1535" t="n">
        <x:v>0</x:v>
      </x:c>
      <x:c r="H340" s="1535" t="n">
        <x:v>0</x:v>
      </x:c>
      <x:c r="I340" t="str">
        <x:v>OK — pełna zgodność</x:v>
      </x:c>
      <x:c r="J340" s="1537" t="str"/>
    </x:row>
    <x:row r="341" ht="19" customHeight="1">
      <x:c r="A341" t="str">
        <x:v>400 x 506 cm</x:v>
      </x:c>
      <x:c r="B341" t="str">
        <x:v>foundation</x:v>
      </x:c>
      <x:c r="C341" s="1533" t="n">
        <x:v>2039</x:v>
      </x:c>
      <x:c r="D341" s="1533" t="n">
        <x:v>2202</x:v>
      </x:c>
      <x:c r="E341" s="1533" t="n">
        <x:v>2202.12</x:v>
      </x:c>
      <x:c r="F341" s="1533" t="n">
        <x:v>2202</x:v>
      </x:c>
      <x:c r="G341" s="1535" t="n">
        <x:v>0</x:v>
      </x:c>
      <x:c r="H341" s="1535" t="n">
        <x:v>0</x:v>
      </x:c>
      <x:c r="I341" t="str">
        <x:v>OK — pełna zgodność</x:v>
      </x:c>
      <x:c r="J341" s="1537" t="str"/>
    </x:row>
    <x:row r="342" ht="19" customHeight="1">
      <x:c r="A342" t="str">
        <x:v>400 x 506 cm</x:v>
      </x:c>
      <x:c r="B342" t="str">
        <x:v>led_point</x:v>
      </x:c>
      <x:c r="C342" s="1533" t="n">
        <x:v>708</x:v>
      </x:c>
      <x:c r="D342" s="1533" t="n">
        <x:v>765</x:v>
      </x:c>
      <x:c r="E342" s="1533" t="n">
        <x:v>764.64</x:v>
      </x:c>
      <x:c r="F342" s="1533" t="n">
        <x:v>765</x:v>
      </x:c>
      <x:c r="G342" s="1535" t="n">
        <x:v>0</x:v>
      </x:c>
      <x:c r="H342" s="1535" t="n">
        <x:v>0</x:v>
      </x:c>
      <x:c r="I342" t="str">
        <x:v>OK — pełna zgodność</x:v>
      </x:c>
      <x:c r="J342" s="1537" t="str"/>
    </x:row>
    <x:row r="343" ht="19" customHeight="1">
      <x:c r="A343" t="str">
        <x:v>400 x 506 cm</x:v>
      </x:c>
      <x:c r="B343" t="str">
        <x:v>led_cct</x:v>
      </x:c>
      <x:c r="C343" s="1533" t="n">
        <x:v>1755</x:v>
      </x:c>
      <x:c r="D343" s="1533" t="n">
        <x:v>1894</x:v>
      </x:c>
      <x:c r="E343" s="1533" t="n">
        <x:v>1895.4</x:v>
      </x:c>
      <x:c r="F343" s="1533" t="n">
        <x:v>1895</x:v>
      </x:c>
      <x:c r="G343" s="1535" t="n">
        <x:v>1</x:v>
      </x:c>
      <x:c r="H343" s="1535" t="n">
        <x:v>1</x:v>
      </x:c>
      <x:c r="I343" t="str">
        <x:v>OK — zaokrąglenie ±1 zł</x:v>
      </x:c>
      <x:c r="J343" s="1537" t="str"/>
    </x:row>
    <x:row r="344" ht="19" customHeight="1">
      <x:c r="A344" t="str">
        <x:v>400 x 506 cm</x:v>
      </x:c>
      <x:c r="B344" t="str">
        <x:v>brushes</x:v>
      </x:c>
      <x:c r="C344" s="1533" t="n">
        <x:v>590</x:v>
      </x:c>
      <x:c r="D344" s="1533" t="n">
        <x:v>637</x:v>
      </x:c>
      <x:c r="E344" s="1533" t="n">
        <x:v>637.2</x:v>
      </x:c>
      <x:c r="F344" s="1533" t="n">
        <x:v>637</x:v>
      </x:c>
      <x:c r="G344" s="1535" t="n">
        <x:v>0</x:v>
      </x:c>
      <x:c r="H344" s="1535" t="n">
        <x:v>0</x:v>
      </x:c>
      <x:c r="I344" t="str">
        <x:v>OK — pełna zgodność</x:v>
      </x:c>
      <x:c r="J344" s="1537" t="str"/>
    </x:row>
    <x:row r="345" ht="19" customHeight="1">
      <x:c r="A345" t="str">
        <x:v>400 x 506 cm</x:v>
      </x:c>
      <x:c r="B345" t="str">
        <x:v>handles</x:v>
      </x:c>
      <x:c r="C345" s="1533" t="n">
        <x:v>531</x:v>
      </x:c>
      <x:c r="D345" s="1533" t="n">
        <x:v>573</x:v>
      </x:c>
      <x:c r="E345" s="1533" t="n">
        <x:v>573.48</x:v>
      </x:c>
      <x:c r="F345" s="1533" t="n">
        <x:v>573</x:v>
      </x:c>
      <x:c r="G345" s="1535" t="n">
        <x:v>0</x:v>
      </x:c>
      <x:c r="H345" s="1535" t="n">
        <x:v>0</x:v>
      </x:c>
      <x:c r="I345" t="str">
        <x:v>OK — pełna zgodność</x:v>
      </x:c>
      <x:c r="J345" s="1537" t="str"/>
    </x:row>
    <x:row r="346" ht="19" customHeight="1">
      <x:c r="A346" t="str">
        <x:v>400 x 506 cm</x:v>
      </x:c>
      <x:c r="B346" t="str">
        <x:v>carriers</x:v>
      </x:c>
      <x:c r="C346" s="1533" t="n">
        <x:v>425</x:v>
      </x:c>
      <x:c r="D346" s="1533" t="n">
        <x:v>459</x:v>
      </x:c>
      <x:c r="E346" s="1533" t="n">
        <x:v>459</x:v>
      </x:c>
      <x:c r="F346" s="1533" t="n">
        <x:v>459</x:v>
      </x:c>
      <x:c r="G346" s="1535" t="n">
        <x:v>0</x:v>
      </x:c>
      <x:c r="H346" s="1535" t="n">
        <x:v>0</x:v>
      </x:c>
      <x:c r="I346" t="str">
        <x:v>OK — pełna zgodność</x:v>
      </x:c>
      <x:c r="J346" s="1537" t="str"/>
    </x:row>
    <x:row r="347" ht="19" customHeight="1">
      <x:c r="A347" t="str">
        <x:v>400 x 606 cm</x:v>
      </x:c>
      <x:c r="B347" t="str">
        <x:v>base_poly</x:v>
      </x:c>
      <x:c r="C347" s="1533" t="n">
        <x:v>13574</x:v>
      </x:c>
      <x:c r="D347" s="1533" t="n">
        <x:v>14660</x:v>
      </x:c>
      <x:c r="E347" s="1533" t="n">
        <x:v>14659.92</x:v>
      </x:c>
      <x:c r="F347" s="1533" t="n">
        <x:v>14660</x:v>
      </x:c>
      <x:c r="G347" s="1535" t="n">
        <x:v>0</x:v>
      </x:c>
      <x:c r="H347" s="1535" t="n">
        <x:v>0</x:v>
      </x:c>
      <x:c r="I347" t="str">
        <x:v>OK — pełna zgodność</x:v>
      </x:c>
      <x:c r="J347" s="1537" t="str"/>
    </x:row>
    <x:row r="348" ht="19" customHeight="1">
      <x:c r="A348" t="str">
        <x:v>400 x 606 cm</x:v>
      </x:c>
      <x:c r="B348" t="str">
        <x:v>walls_clear</x:v>
      </x:c>
      <x:c r="C348" s="1533" t="n">
        <x:v>19926</x:v>
      </x:c>
      <x:c r="D348" s="1533" t="n">
        <x:v>21520</x:v>
      </x:c>
      <x:c r="E348" s="1533" t="n">
        <x:v>21520.08</x:v>
      </x:c>
      <x:c r="F348" s="1533" t="n">
        <x:v>21520</x:v>
      </x:c>
      <x:c r="G348" s="1535" t="n">
        <x:v>0</x:v>
      </x:c>
      <x:c r="H348" s="1535" t="n">
        <x:v>0</x:v>
      </x:c>
      <x:c r="I348" t="str">
        <x:v>OK — pełna zgodność</x:v>
      </x:c>
      <x:c r="J348" s="1537" t="str"/>
    </x:row>
    <x:row r="349" ht="19" customHeight="1">
      <x:c r="A349" t="str">
        <x:v>400 x 606 cm</x:v>
      </x:c>
      <x:c r="B349" t="str">
        <x:v>walls_tinted</x:v>
      </x:c>
      <x:c r="C349" s="1533" t="n">
        <x:v>21907</x:v>
      </x:c>
      <x:c r="D349" s="1533" t="n">
        <x:v>23659</x:v>
      </x:c>
      <x:c r="E349" s="1533" t="n">
        <x:v>23659.56</x:v>
      </x:c>
      <x:c r="F349" s="1533" t="n">
        <x:v>23660</x:v>
      </x:c>
      <x:c r="G349" s="1535" t="n">
        <x:v>1</x:v>
      </x:c>
      <x:c r="H349" s="1535" t="n">
        <x:v>1</x:v>
      </x:c>
      <x:c r="I349" t="str">
        <x:v>OK — zaokrąglenie ±1 zł</x:v>
      </x:c>
      <x:c r="J349" s="1537" t="str">
        <x:v>Pozycja złożona; stary eksport mógł zaokrąglać składniki osobno.</x:v>
      </x:c>
    </x:row>
    <x:row r="350" ht="19" customHeight="1">
      <x:c r="A350" t="str">
        <x:v>400 x 606 cm</x:v>
      </x:c>
      <x:c r="B350" t="str">
        <x:v>roof_poly_colored</x:v>
      </x:c>
      <x:c r="C350" s="1533" t="n">
        <x:v>400</x:v>
      </x:c>
      <x:c r="D350" s="1533" t="n">
        <x:v>432</x:v>
      </x:c>
      <x:c r="E350" s="1533" t="n">
        <x:v>432</x:v>
      </x:c>
      <x:c r="F350" s="1533" t="n">
        <x:v>432</x:v>
      </x:c>
      <x:c r="G350" s="1535" t="n">
        <x:v>0</x:v>
      </x:c>
      <x:c r="H350" s="1535" t="n">
        <x:v>0</x:v>
      </x:c>
      <x:c r="I350" t="str">
        <x:v>OK — pełna zgodność</x:v>
      </x:c>
      <x:c r="J350" s="1537" t="str"/>
    </x:row>
    <x:row r="351" ht="19" customHeight="1">
      <x:c r="A351" t="str">
        <x:v>400 x 606 cm</x:v>
      </x:c>
      <x:c r="B351" t="str">
        <x:v>roof_glass_clear</x:v>
      </x:c>
      <x:c r="C351" s="1533" t="n">
        <x:v>7062</x:v>
      </x:c>
      <x:c r="D351" s="1533" t="n">
        <x:v>7627</x:v>
      </x:c>
      <x:c r="E351" s="1533" t="n">
        <x:v>7626.96</x:v>
      </x:c>
      <x:c r="F351" s="1533" t="n">
        <x:v>7627</x:v>
      </x:c>
      <x:c r="G351" s="1535" t="n">
        <x:v>0</x:v>
      </x:c>
      <x:c r="H351" s="1535" t="n">
        <x:v>0</x:v>
      </x:c>
      <x:c r="I351" t="str">
        <x:v>OK — pełna zgodność</x:v>
      </x:c>
      <x:c r="J351" s="1537" t="str"/>
    </x:row>
    <x:row r="352" ht="19" customHeight="1">
      <x:c r="A352" t="str">
        <x:v>400 x 606 cm</x:v>
      </x:c>
      <x:c r="B352" t="str">
        <x:v>roof_glass_tinted</x:v>
      </x:c>
      <x:c r="C352" s="1533" t="n">
        <x:v>7887</x:v>
      </x:c>
      <x:c r="D352" s="1533" t="n">
        <x:v>8518</x:v>
      </x:c>
      <x:c r="E352" s="1533" t="n">
        <x:v>8517.96</x:v>
      </x:c>
      <x:c r="F352" s="1533" t="n">
        <x:v>8518</x:v>
      </x:c>
      <x:c r="G352" s="1535" t="n">
        <x:v>0</x:v>
      </x:c>
      <x:c r="H352" s="1535" t="n">
        <x:v>0</x:v>
      </x:c>
      <x:c r="I352" t="str">
        <x:v>OK — pełna zgodność</x:v>
      </x:c>
      <x:c r="J352" s="1537" t="str">
        <x:v>Pozycja złożona; stary eksport mógł zaokrąglać składniki osobno.</x:v>
      </x:c>
    </x:row>
    <x:row r="353" ht="19" customHeight="1">
      <x:c r="A353" t="str">
        <x:v>400 x 606 cm</x:v>
      </x:c>
      <x:c r="B353" t="str">
        <x:v>zip_side</x:v>
      </x:c>
      <x:c r="C353" s="1533" t="n">
        <x:v>3112</x:v>
      </x:c>
      <x:c r="D353" s="1533" t="n">
        <x:v>3361</x:v>
      </x:c>
      <x:c r="E353" s="1533" t="n">
        <x:v>3360.96</x:v>
      </x:c>
      <x:c r="F353" s="1533" t="n">
        <x:v>3361</x:v>
      </x:c>
      <x:c r="G353" s="1535" t="n">
        <x:v>0</x:v>
      </x:c>
      <x:c r="H353" s="1535" t="n">
        <x:v>0</x:v>
      </x:c>
      <x:c r="I353" t="str">
        <x:v>OK — pełna zgodność</x:v>
      </x:c>
      <x:c r="J353" s="1537" t="str"/>
    </x:row>
    <x:row r="354" ht="19" customHeight="1">
      <x:c r="A354" t="str">
        <x:v>400 x 606 cm</x:v>
      </x:c>
      <x:c r="B354" t="str">
        <x:v>zip_front</x:v>
      </x:c>
      <x:c r="C354" s="1533" t="n">
        <x:v>5034</x:v>
      </x:c>
      <x:c r="D354" s="1533" t="n">
        <x:v>5437</x:v>
      </x:c>
      <x:c r="E354" s="1533" t="n">
        <x:v>5436.72</x:v>
      </x:c>
      <x:c r="F354" s="1533" t="n">
        <x:v>5437</x:v>
      </x:c>
      <x:c r="G354" s="1535" t="n">
        <x:v>0</x:v>
      </x:c>
      <x:c r="H354" s="1535" t="n">
        <x:v>0</x:v>
      </x:c>
      <x:c r="I354" t="str">
        <x:v>OK — pełna zgodność</x:v>
      </x:c>
      <x:c r="J354" s="1537" t="str"/>
    </x:row>
    <x:row r="355" ht="19" customHeight="1">
      <x:c r="A355" t="str">
        <x:v>400 x 606 cm</x:v>
      </x:c>
      <x:c r="B355" t="str">
        <x:v>awning</x:v>
      </x:c>
      <x:c r="C355" s="1533" t="n">
        <x:v>9502</x:v>
      </x:c>
      <x:c r="D355" s="1533" t="n">
        <x:v>10262</x:v>
      </x:c>
      <x:c r="E355" s="1533" t="n">
        <x:v>10262.16</x:v>
      </x:c>
      <x:c r="F355" s="1533" t="n">
        <x:v>10262</x:v>
      </x:c>
      <x:c r="G355" s="1535" t="n">
        <x:v>0</x:v>
      </x:c>
      <x:c r="H355" s="1535" t="n">
        <x:v>0</x:v>
      </x:c>
      <x:c r="I355" t="str">
        <x:v>OK — pełna zgodność</x:v>
      </x:c>
      <x:c r="J355" s="1537" t="str"/>
    </x:row>
    <x:row r="356" ht="19" customHeight="1">
      <x:c r="A356" t="str">
        <x:v>400 x 606 cm</x:v>
      </x:c>
      <x:c r="B356" t="str">
        <x:v>foundation</x:v>
      </x:c>
      <x:c r="C356" s="1533" t="n">
        <x:v>2539</x:v>
      </x:c>
      <x:c r="D356" s="1533" t="n">
        <x:v>2742</x:v>
      </x:c>
      <x:c r="E356" s="1533" t="n">
        <x:v>2742.12</x:v>
      </x:c>
      <x:c r="F356" s="1533" t="n">
        <x:v>2742</x:v>
      </x:c>
      <x:c r="G356" s="1535" t="n">
        <x:v>0</x:v>
      </x:c>
      <x:c r="H356" s="1535" t="n">
        <x:v>0</x:v>
      </x:c>
      <x:c r="I356" t="str">
        <x:v>OK — pełna zgodność</x:v>
      </x:c>
      <x:c r="J356" s="1537" t="str"/>
    </x:row>
    <x:row r="357" ht="19" customHeight="1">
      <x:c r="A357" t="str">
        <x:v>400 x 606 cm</x:v>
      </x:c>
      <x:c r="B357" t="str">
        <x:v>led_point</x:v>
      </x:c>
      <x:c r="C357" s="1533" t="n">
        <x:v>931</x:v>
      </x:c>
      <x:c r="D357" s="1533" t="n">
        <x:v>1005</x:v>
      </x:c>
      <x:c r="E357" s="1533" t="n">
        <x:v>1005.48</x:v>
      </x:c>
      <x:c r="F357" s="1533" t="n">
        <x:v>1005</x:v>
      </x:c>
      <x:c r="G357" s="1535" t="n">
        <x:v>0</x:v>
      </x:c>
      <x:c r="H357" s="1535" t="n">
        <x:v>0</x:v>
      </x:c>
      <x:c r="I357" t="str">
        <x:v>OK — pełna zgodność</x:v>
      </x:c>
      <x:c r="J357" s="1537" t="str"/>
    </x:row>
    <x:row r="358" ht="19" customHeight="1">
      <x:c r="A358" t="str">
        <x:v>400 x 606 cm</x:v>
      </x:c>
      <x:c r="B358" t="str">
        <x:v>led_cct</x:v>
      </x:c>
      <x:c r="C358" s="1533" t="n">
        <x:v>2001</x:v>
      </x:c>
      <x:c r="D358" s="1533" t="n">
        <x:v>2161</x:v>
      </x:c>
      <x:c r="E358" s="1533" t="n">
        <x:v>2161.08</x:v>
      </x:c>
      <x:c r="F358" s="1533" t="n">
        <x:v>2161</x:v>
      </x:c>
      <x:c r="G358" s="1535" t="n">
        <x:v>0</x:v>
      </x:c>
      <x:c r="H358" s="1535" t="n">
        <x:v>0</x:v>
      </x:c>
      <x:c r="I358" t="str">
        <x:v>OK — pełna zgodność</x:v>
      </x:c>
      <x:c r="J358" s="1537" t="str"/>
    </x:row>
    <x:row r="359" ht="19" customHeight="1">
      <x:c r="A359" t="str">
        <x:v>400 x 606 cm</x:v>
      </x:c>
      <x:c r="B359" t="str">
        <x:v>brushes</x:v>
      </x:c>
      <x:c r="C359" s="1533" t="n">
        <x:v>625</x:v>
      </x:c>
      <x:c r="D359" s="1533" t="n">
        <x:v>675</x:v>
      </x:c>
      <x:c r="E359" s="1533" t="n">
        <x:v>675</x:v>
      </x:c>
      <x:c r="F359" s="1533" t="n">
        <x:v>675</x:v>
      </x:c>
      <x:c r="G359" s="1535" t="n">
        <x:v>0</x:v>
      </x:c>
      <x:c r="H359" s="1535" t="n">
        <x:v>0</x:v>
      </x:c>
      <x:c r="I359" t="str">
        <x:v>OK — pełna zgodność</x:v>
      </x:c>
      <x:c r="J359" s="1537" t="str"/>
    </x:row>
    <x:row r="360" ht="19" customHeight="1">
      <x:c r="A360" t="str">
        <x:v>400 x 606 cm</x:v>
      </x:c>
      <x:c r="B360" t="str">
        <x:v>handles</x:v>
      </x:c>
      <x:c r="C360" s="1533" t="n">
        <x:v>566</x:v>
      </x:c>
      <x:c r="D360" s="1533" t="n">
        <x:v>611</x:v>
      </x:c>
      <x:c r="E360" s="1533" t="n">
        <x:v>611.28</x:v>
      </x:c>
      <x:c r="F360" s="1533" t="n">
        <x:v>611</x:v>
      </x:c>
      <x:c r="G360" s="1535" t="n">
        <x:v>0</x:v>
      </x:c>
      <x:c r="H360" s="1535" t="n">
        <x:v>0</x:v>
      </x:c>
      <x:c r="I360" t="str">
        <x:v>OK — pełna zgodność</x:v>
      </x:c>
      <x:c r="J360" s="1537" t="str"/>
    </x:row>
    <x:row r="361" ht="19" customHeight="1">
      <x:c r="A361" t="str">
        <x:v>400 x 606 cm</x:v>
      </x:c>
      <x:c r="B361" t="str">
        <x:v>carriers</x:v>
      </x:c>
      <x:c r="C361" s="1533" t="n">
        <x:v>471</x:v>
      </x:c>
      <x:c r="D361" s="1533" t="n">
        <x:v>509</x:v>
      </x:c>
      <x:c r="E361" s="1533" t="n">
        <x:v>508.68</x:v>
      </x:c>
      <x:c r="F361" s="1533" t="n">
        <x:v>509</x:v>
      </x:c>
      <x:c r="G361" s="1535" t="n">
        <x:v>0</x:v>
      </x:c>
      <x:c r="H361" s="1535" t="n">
        <x:v>0</x:v>
      </x:c>
      <x:c r="I361" t="str">
        <x:v>OK — pełna zgodność</x:v>
      </x:c>
      <x:c r="J361" s="1537" t="str"/>
    </x:row>
    <x:row r="362" ht="19" customHeight="1">
      <x:c r="A362" t="str">
        <x:v>400 x 706 cm</x:v>
      </x:c>
      <x:c r="B362" t="str">
        <x:v>base_poly</x:v>
      </x:c>
      <x:c r="C362" s="1533" t="n">
        <x:v>15927</x:v>
      </x:c>
      <x:c r="D362" s="1533" t="n">
        <x:v>17201</x:v>
      </x:c>
      <x:c r="E362" s="1533" t="n">
        <x:v>17201.16</x:v>
      </x:c>
      <x:c r="F362" s="1533" t="n">
        <x:v>17201</x:v>
      </x:c>
      <x:c r="G362" s="1535" t="n">
        <x:v>0</x:v>
      </x:c>
      <x:c r="H362" s="1535" t="n">
        <x:v>0</x:v>
      </x:c>
      <x:c r="I362" t="str">
        <x:v>OK — pełna zgodność</x:v>
      </x:c>
      <x:c r="J362" s="1537" t="str"/>
    </x:row>
    <x:row r="363" ht="19" customHeight="1">
      <x:c r="A363" t="str">
        <x:v>400 x 706 cm</x:v>
      </x:c>
      <x:c r="B363" t="str">
        <x:v>walls_clear</x:v>
      </x:c>
      <x:c r="C363" s="1533" t="n">
        <x:v>20227</x:v>
      </x:c>
      <x:c r="D363" s="1533" t="n">
        <x:v>21845</x:v>
      </x:c>
      <x:c r="E363" s="1533" t="n">
        <x:v>21845.16</x:v>
      </x:c>
      <x:c r="F363" s="1533" t="n">
        <x:v>21845</x:v>
      </x:c>
      <x:c r="G363" s="1535" t="n">
        <x:v>0</x:v>
      </x:c>
      <x:c r="H363" s="1535" t="n">
        <x:v>0</x:v>
      </x:c>
      <x:c r="I363" t="str">
        <x:v>OK — pełna zgodność</x:v>
      </x:c>
      <x:c r="J363" s="1537" t="str"/>
    </x:row>
    <x:row r="364" ht="19" customHeight="1">
      <x:c r="A364" t="str">
        <x:v>400 x 706 cm</x:v>
      </x:c>
      <x:c r="B364" t="str">
        <x:v>walls_tinted</x:v>
      </x:c>
      <x:c r="C364" s="1533" t="n">
        <x:v>22348</x:v>
      </x:c>
      <x:c r="D364" s="1533" t="n">
        <x:v>24136</x:v>
      </x:c>
      <x:c r="E364" s="1533" t="n">
        <x:v>24135.84</x:v>
      </x:c>
      <x:c r="F364" s="1533" t="n">
        <x:v>24136</x:v>
      </x:c>
      <x:c r="G364" s="1535" t="n">
        <x:v>0</x:v>
      </x:c>
      <x:c r="H364" s="1535" t="n">
        <x:v>0</x:v>
      </x:c>
      <x:c r="I364" t="str">
        <x:v>OK — pełna zgodność</x:v>
      </x:c>
      <x:c r="J364" s="1537" t="str">
        <x:v>Pozycja złożona; stary eksport mógł zaokrąglać składniki osobno.</x:v>
      </x:c>
    </x:row>
    <x:row r="365" ht="19" customHeight="1">
      <x:c r="A365" t="str">
        <x:v>400 x 706 cm</x:v>
      </x:c>
      <x:c r="B365" t="str">
        <x:v>roof_poly_colored</x:v>
      </x:c>
      <x:c r="C365" s="1533" t="n">
        <x:v>460</x:v>
      </x:c>
      <x:c r="D365" s="1533" t="n">
        <x:v>497</x:v>
      </x:c>
      <x:c r="E365" s="1533" t="n">
        <x:v>496.8</x:v>
      </x:c>
      <x:c r="F365" s="1533" t="n">
        <x:v>497</x:v>
      </x:c>
      <x:c r="G365" s="1535" t="n">
        <x:v>0</x:v>
      </x:c>
      <x:c r="H365" s="1535" t="n">
        <x:v>0</x:v>
      </x:c>
      <x:c r="I365" t="str">
        <x:v>OK — pełna zgodność</x:v>
      </x:c>
      <x:c r="J365" s="1537" t="str"/>
    </x:row>
    <x:row r="366" ht="19" customHeight="1">
      <x:c r="A366" t="str">
        <x:v>400 x 706 cm</x:v>
      </x:c>
      <x:c r="B366" t="str">
        <x:v>roof_glass_clear</x:v>
      </x:c>
      <x:c r="C366" s="1533" t="n">
        <x:v>8052</x:v>
      </x:c>
      <x:c r="D366" s="1533" t="n">
        <x:v>8696</x:v>
      </x:c>
      <x:c r="E366" s="1533" t="n">
        <x:v>8696.16</x:v>
      </x:c>
      <x:c r="F366" s="1533" t="n">
        <x:v>8696</x:v>
      </x:c>
      <x:c r="G366" s="1535" t="n">
        <x:v>0</x:v>
      </x:c>
      <x:c r="H366" s="1535" t="n">
        <x:v>0</x:v>
      </x:c>
      <x:c r="I366" t="str">
        <x:v>OK — pełna zgodność</x:v>
      </x:c>
      <x:c r="J366" s="1537" t="str"/>
    </x:row>
    <x:row r="367" ht="19" customHeight="1">
      <x:c r="A367" t="str">
        <x:v>400 x 706 cm</x:v>
      </x:c>
      <x:c r="B367" t="str">
        <x:v>roof_glass_tinted</x:v>
      </x:c>
      <x:c r="C367" s="1533" t="n">
        <x:v>9019</x:v>
      </x:c>
      <x:c r="D367" s="1533" t="n">
        <x:v>9740</x:v>
      </x:c>
      <x:c r="E367" s="1533" t="n">
        <x:v>9740.52</x:v>
      </x:c>
      <x:c r="F367" s="1533" t="n">
        <x:v>9741</x:v>
      </x:c>
      <x:c r="G367" s="1535" t="n">
        <x:v>1</x:v>
      </x:c>
      <x:c r="H367" s="1535" t="n">
        <x:v>1</x:v>
      </x:c>
      <x:c r="I367" t="str">
        <x:v>OK — zaokrąglenie ±1 zł</x:v>
      </x:c>
      <x:c r="J367" s="1537" t="str">
        <x:v>Pozycja złożona; stary eksport mógł zaokrąglać składniki osobno.</x:v>
      </x:c>
    </x:row>
    <x:row r="368" ht="19" customHeight="1">
      <x:c r="A368" t="str">
        <x:v>400 x 706 cm</x:v>
      </x:c>
      <x:c r="B368" t="str">
        <x:v>zip_side</x:v>
      </x:c>
      <x:c r="C368" s="1533" t="n">
        <x:v>3112</x:v>
      </x:c>
      <x:c r="D368" s="1533" t="n">
        <x:v>3361</x:v>
      </x:c>
      <x:c r="E368" s="1533" t="n">
        <x:v>3360.96</x:v>
      </x:c>
      <x:c r="F368" s="1533" t="n">
        <x:v>3361</x:v>
      </x:c>
      <x:c r="G368" s="1535" t="n">
        <x:v>0</x:v>
      </x:c>
      <x:c r="H368" s="1535" t="n">
        <x:v>0</x:v>
      </x:c>
      <x:c r="I368" t="str">
        <x:v>OK — pełna zgodność</x:v>
      </x:c>
      <x:c r="J368" s="1537" t="str"/>
    </x:row>
    <x:row r="369" ht="19" customHeight="1">
      <x:c r="A369" t="str">
        <x:v>400 x 706 cm</x:v>
      </x:c>
      <x:c r="B369" t="str">
        <x:v>zip_front</x:v>
      </x:c>
      <x:c r="C369" s="1533" t="n">
        <x:v>5635</x:v>
      </x:c>
      <x:c r="D369" s="1533" t="n">
        <x:v>6086</x:v>
      </x:c>
      <x:c r="E369" s="1533" t="n">
        <x:v>6085.8</x:v>
      </x:c>
      <x:c r="F369" s="1533" t="n">
        <x:v>6086</x:v>
      </x:c>
      <x:c r="G369" s="1535" t="n">
        <x:v>0</x:v>
      </x:c>
      <x:c r="H369" s="1535" t="n">
        <x:v>0</x:v>
      </x:c>
      <x:c r="I369" t="str">
        <x:v>OK — pełna zgodność</x:v>
      </x:c>
      <x:c r="J369" s="1537" t="str"/>
    </x:row>
    <x:row r="370" ht="19" customHeight="1">
      <x:c r="A370" t="str">
        <x:v>400 x 706 cm</x:v>
      </x:c>
      <x:c r="B370" t="str">
        <x:v>awning</x:v>
      </x:c>
      <x:c r="C370" s="1533" t="n">
        <x:v>10256</x:v>
      </x:c>
      <x:c r="D370" s="1533" t="n">
        <x:v>11076</x:v>
      </x:c>
      <x:c r="E370" s="1533" t="n">
        <x:v>11076.48</x:v>
      </x:c>
      <x:c r="F370" s="1533" t="n">
        <x:v>11076</x:v>
      </x:c>
      <x:c r="G370" s="1535" t="n">
        <x:v>0</x:v>
      </x:c>
      <x:c r="H370" s="1535" t="n">
        <x:v>0</x:v>
      </x:c>
      <x:c r="I370" t="str">
        <x:v>OK — pełna zgodność</x:v>
      </x:c>
      <x:c r="J370" s="1537" t="str"/>
    </x:row>
    <x:row r="371" ht="19" customHeight="1">
      <x:c r="A371" t="str">
        <x:v>400 x 706 cm</x:v>
      </x:c>
      <x:c r="B371" t="str">
        <x:v>foundation</x:v>
      </x:c>
      <x:c r="C371" s="1533" t="n">
        <x:v>2182</x:v>
      </x:c>
      <x:c r="D371" s="1533" t="n">
        <x:v>2357</x:v>
      </x:c>
      <x:c r="E371" s="1533" t="n">
        <x:v>2356.56</x:v>
      </x:c>
      <x:c r="F371" s="1533" t="n">
        <x:v>2357</x:v>
      </x:c>
      <x:c r="G371" s="1535" t="n">
        <x:v>0</x:v>
      </x:c>
      <x:c r="H371" s="1535" t="n">
        <x:v>0</x:v>
      </x:c>
      <x:c r="I371" t="str">
        <x:v>OK — pełna zgodność</x:v>
      </x:c>
      <x:c r="J371" s="1537" t="str"/>
    </x:row>
    <x:row r="372" ht="19" customHeight="1">
      <x:c r="A372" t="str">
        <x:v>400 x 706 cm</x:v>
      </x:c>
      <x:c r="B372" t="str">
        <x:v>led_point</x:v>
      </x:c>
      <x:c r="C372" s="1533" t="n">
        <x:v>1025</x:v>
      </x:c>
      <x:c r="D372" s="1533" t="n">
        <x:v>1107</x:v>
      </x:c>
      <x:c r="E372" s="1533" t="n">
        <x:v>1107</x:v>
      </x:c>
      <x:c r="F372" s="1533" t="n">
        <x:v>1107</x:v>
      </x:c>
      <x:c r="G372" s="1535" t="n">
        <x:v>0</x:v>
      </x:c>
      <x:c r="H372" s="1535" t="n">
        <x:v>0</x:v>
      </x:c>
      <x:c r="I372" t="str">
        <x:v>OK — pełna zgodność</x:v>
      </x:c>
      <x:c r="J372" s="1537" t="str"/>
    </x:row>
    <x:row r="373" ht="19" customHeight="1">
      <x:c r="A373" t="str">
        <x:v>400 x 706 cm</x:v>
      </x:c>
      <x:c r="B373" t="str">
        <x:v>led_cct</x:v>
      </x:c>
      <x:c r="C373" s="1533" t="n">
        <x:v>2262</x:v>
      </x:c>
      <x:c r="D373" s="1533" t="n">
        <x:v>2443</x:v>
      </x:c>
      <x:c r="E373" s="1533" t="n">
        <x:v>2442.96</x:v>
      </x:c>
      <x:c r="F373" s="1533" t="n">
        <x:v>2443</x:v>
      </x:c>
      <x:c r="G373" s="1535" t="n">
        <x:v>0</x:v>
      </x:c>
      <x:c r="H373" s="1535" t="n">
        <x:v>0</x:v>
      </x:c>
      <x:c r="I373" t="str">
        <x:v>OK — pełna zgodność</x:v>
      </x:c>
      <x:c r="J373" s="1537" t="str"/>
    </x:row>
    <x:row r="374" ht="19" customHeight="1">
      <x:c r="A374" t="str">
        <x:v>400 x 706 cm</x:v>
      </x:c>
      <x:c r="B374" t="str">
        <x:v>brushes</x:v>
      </x:c>
      <x:c r="C374" s="1533" t="n">
        <x:v>671</x:v>
      </x:c>
      <x:c r="D374" s="1533" t="n">
        <x:v>725</x:v>
      </x:c>
      <x:c r="E374" s="1533" t="n">
        <x:v>724.68</x:v>
      </x:c>
      <x:c r="F374" s="1533" t="n">
        <x:v>725</x:v>
      </x:c>
      <x:c r="G374" s="1535" t="n">
        <x:v>0</x:v>
      </x:c>
      <x:c r="H374" s="1535" t="n">
        <x:v>0</x:v>
      </x:c>
      <x:c r="I374" t="str">
        <x:v>OK — pełna zgodność</x:v>
      </x:c>
      <x:c r="J374" s="1537" t="str"/>
    </x:row>
    <x:row r="375" ht="19" customHeight="1">
      <x:c r="A375" t="str">
        <x:v>400 x 706 cm</x:v>
      </x:c>
      <x:c r="B375" t="str">
        <x:v>handles</x:v>
      </x:c>
      <x:c r="C375" s="1533" t="n">
        <x:v>613</x:v>
      </x:c>
      <x:c r="D375" s="1533" t="n">
        <x:v>662</x:v>
      </x:c>
      <x:c r="E375" s="1533" t="n">
        <x:v>662.04</x:v>
      </x:c>
      <x:c r="F375" s="1533" t="n">
        <x:v>662</x:v>
      </x:c>
      <x:c r="G375" s="1535" t="n">
        <x:v>0</x:v>
      </x:c>
      <x:c r="H375" s="1535" t="n">
        <x:v>0</x:v>
      </x:c>
      <x:c r="I375" t="str">
        <x:v>OK — pełna zgodność</x:v>
      </x:c>
      <x:c r="J375" s="1537" t="str"/>
    </x:row>
    <x:row r="376" ht="19" customHeight="1">
      <x:c r="A376" t="str">
        <x:v>400 x 706 cm</x:v>
      </x:c>
      <x:c r="B376" t="str">
        <x:v>carriers</x:v>
      </x:c>
      <x:c r="C376" s="1533" t="n">
        <x:v>519</x:v>
      </x:c>
      <x:c r="D376" s="1533" t="n">
        <x:v>561</x:v>
      </x:c>
      <x:c r="E376" s="1533" t="n">
        <x:v>560.52</x:v>
      </x:c>
      <x:c r="F376" s="1533" t="n">
        <x:v>561</x:v>
      </x:c>
      <x:c r="G376" s="1535" t="n">
        <x:v>0</x:v>
      </x:c>
      <x:c r="H376" s="1535" t="n">
        <x:v>0</x:v>
      </x:c>
      <x:c r="I376" t="str">
        <x:v>OK — pełna zgodność</x:v>
      </x:c>
      <x:c r="J376" s="1537" t="str"/>
    </x:row>
    <x:row r="377" ht="19" customHeight="1">
      <x:c r="A377" t="str">
        <x:v>400 x 806 cm</x:v>
      </x:c>
      <x:c r="B377" t="str">
        <x:v>base_poly</x:v>
      </x:c>
      <x:c r="C377" s="1533" t="n">
        <x:v>18621</x:v>
      </x:c>
      <x:c r="D377" s="1533" t="n">
        <x:v>20111</x:v>
      </x:c>
      <x:c r="E377" s="1533" t="n">
        <x:v>20110.68</x:v>
      </x:c>
      <x:c r="F377" s="1533" t="n">
        <x:v>20111</x:v>
      </x:c>
      <x:c r="G377" s="1535" t="n">
        <x:v>0</x:v>
      </x:c>
      <x:c r="H377" s="1535" t="n">
        <x:v>0</x:v>
      </x:c>
      <x:c r="I377" t="str">
        <x:v>OK — pełna zgodność</x:v>
      </x:c>
      <x:c r="J377" s="1537" t="str"/>
    </x:row>
    <x:row r="378" ht="19" customHeight="1">
      <x:c r="A378" t="str">
        <x:v>400 x 806 cm</x:v>
      </x:c>
      <x:c r="B378" t="str">
        <x:v>walls_clear</x:v>
      </x:c>
      <x:c r="C378" s="1533" t="n">
        <x:v>21254</x:v>
      </x:c>
      <x:c r="D378" s="1533" t="n">
        <x:v>22953</x:v>
      </x:c>
      <x:c r="E378" s="1533" t="n">
        <x:v>22954.32</x:v>
      </x:c>
      <x:c r="F378" s="1533" t="n">
        <x:v>22954</x:v>
      </x:c>
      <x:c r="G378" s="1535" t="n">
        <x:v>1</x:v>
      </x:c>
      <x:c r="H378" s="1535" t="n">
        <x:v>1</x:v>
      </x:c>
      <x:c r="I378" t="str">
        <x:v>OK — zaokrąglenie ±1 zł</x:v>
      </x:c>
      <x:c r="J378" s="1537" t="str"/>
    </x:row>
    <x:row r="379" ht="19" customHeight="1">
      <x:c r="A379" t="str">
        <x:v>400 x 806 cm</x:v>
      </x:c>
      <x:c r="B379" t="str">
        <x:v>walls_tinted</x:v>
      </x:c>
      <x:c r="C379" s="1533" t="n">
        <x:v>23687</x:v>
      </x:c>
      <x:c r="D379" s="1533" t="n">
        <x:v>25581</x:v>
      </x:c>
      <x:c r="E379" s="1533" t="n">
        <x:v>25581.96</x:v>
      </x:c>
      <x:c r="F379" s="1533" t="n">
        <x:v>25582</x:v>
      </x:c>
      <x:c r="G379" s="1535" t="n">
        <x:v>1</x:v>
      </x:c>
      <x:c r="H379" s="1535" t="n">
        <x:v>1</x:v>
      </x:c>
      <x:c r="I379" t="str">
        <x:v>OK — zaokrąglenie ±1 zł</x:v>
      </x:c>
      <x:c r="J379" s="1537" t="str">
        <x:v>Pozycja złożona; stary eksport mógł zaokrąglać składniki osobno.</x:v>
      </x:c>
    </x:row>
    <x:row r="380" ht="19" customHeight="1">
      <x:c r="A380" t="str">
        <x:v>400 x 806 cm</x:v>
      </x:c>
      <x:c r="B380" t="str">
        <x:v>roof_poly_colored</x:v>
      </x:c>
      <x:c r="C380" s="1533" t="n">
        <x:v>754</x:v>
      </x:c>
      <x:c r="D380" s="1533" t="n">
        <x:v>814</x:v>
      </x:c>
      <x:c r="E380" s="1533" t="n">
        <x:v>814.32</x:v>
      </x:c>
      <x:c r="F380" s="1533" t="n">
        <x:v>814</x:v>
      </x:c>
      <x:c r="G380" s="1535" t="n">
        <x:v>0</x:v>
      </x:c>
      <x:c r="H380" s="1535" t="n">
        <x:v>0</x:v>
      </x:c>
      <x:c r="I380" t="str">
        <x:v>OK — pełna zgodność</x:v>
      </x:c>
      <x:c r="J380" s="1537" t="str"/>
    </x:row>
    <x:row r="381" ht="19" customHeight="1">
      <x:c r="A381" t="str">
        <x:v>400 x 806 cm</x:v>
      </x:c>
      <x:c r="B381" t="str">
        <x:v>roof_glass_clear</x:v>
      </x:c>
      <x:c r="C381" s="1533" t="n">
        <x:v>9690</x:v>
      </x:c>
      <x:c r="D381" s="1533" t="n">
        <x:v>10465</x:v>
      </x:c>
      <x:c r="E381" s="1533" t="n">
        <x:v>10465.2</x:v>
      </x:c>
      <x:c r="F381" s="1533" t="n">
        <x:v>10465</x:v>
      </x:c>
      <x:c r="G381" s="1535" t="n">
        <x:v>0</x:v>
      </x:c>
      <x:c r="H381" s="1535" t="n">
        <x:v>0</x:v>
      </x:c>
      <x:c r="I381" t="str">
        <x:v>OK — pełna zgodność</x:v>
      </x:c>
      <x:c r="J381" s="1537" t="str"/>
    </x:row>
    <x:row r="382" ht="19" customHeight="1">
      <x:c r="A382" t="str">
        <x:v>400 x 806 cm</x:v>
      </x:c>
      <x:c r="B382" t="str">
        <x:v>roof_glass_tinted</x:v>
      </x:c>
      <x:c r="C382" s="1533" t="n">
        <x:v>10786</x:v>
      </x:c>
      <x:c r="D382" s="1533" t="n">
        <x:v>11649</x:v>
      </x:c>
      <x:c r="E382" s="1533" t="n">
        <x:v>11648.88</x:v>
      </x:c>
      <x:c r="F382" s="1533" t="n">
        <x:v>11649</x:v>
      </x:c>
      <x:c r="G382" s="1535" t="n">
        <x:v>0</x:v>
      </x:c>
      <x:c r="H382" s="1535" t="n">
        <x:v>0</x:v>
      </x:c>
      <x:c r="I382" t="str">
        <x:v>OK — pełna zgodność</x:v>
      </x:c>
      <x:c r="J382" s="1537" t="str">
        <x:v>Pozycja złożona; stary eksport mógł zaokrąglać składniki osobno.</x:v>
      </x:c>
    </x:row>
    <x:row r="383" ht="19" customHeight="1">
      <x:c r="A383" t="str">
        <x:v>400 x 806 cm</x:v>
      </x:c>
      <x:c r="B383" t="str">
        <x:v>zip_side</x:v>
      </x:c>
      <x:c r="C383" s="1533" t="n">
        <x:v>3112</x:v>
      </x:c>
      <x:c r="D383" s="1533" t="n">
        <x:v>3361</x:v>
      </x:c>
      <x:c r="E383" s="1533" t="n">
        <x:v>3360.96</x:v>
      </x:c>
      <x:c r="F383" s="1533" t="n">
        <x:v>3361</x:v>
      </x:c>
      <x:c r="G383" s="1535" t="n">
        <x:v>0</x:v>
      </x:c>
      <x:c r="H383" s="1535" t="n">
        <x:v>0</x:v>
      </x:c>
      <x:c r="I383" t="str">
        <x:v>OK — pełna zgodność</x:v>
      </x:c>
      <x:c r="J383" s="1537" t="str"/>
    </x:row>
    <x:row r="384" ht="19" customHeight="1">
      <x:c r="A384" t="str">
        <x:v>400 x 806 cm</x:v>
      </x:c>
      <x:c r="B384" t="str">
        <x:v>zip_front</x:v>
      </x:c>
      <x:c r="C384" s="1533" t="n">
        <x:v>6225</x:v>
      </x:c>
      <x:c r="D384" s="1533" t="n">
        <x:v>6723</x:v>
      </x:c>
      <x:c r="E384" s="1533" t="n">
        <x:v>6723</x:v>
      </x:c>
      <x:c r="F384" s="1533" t="n">
        <x:v>6723</x:v>
      </x:c>
      <x:c r="G384" s="1535" t="n">
        <x:v>0</x:v>
      </x:c>
      <x:c r="H384" s="1535" t="n">
        <x:v>0</x:v>
      </x:c>
      <x:c r="I384" t="str">
        <x:v>OK — pełna zgodność</x:v>
      </x:c>
      <x:c r="J384" s="1537" t="str"/>
    </x:row>
    <x:row r="385" ht="19" customHeight="1">
      <x:c r="A385" t="str">
        <x:v>400 x 806 cm</x:v>
      </x:c>
      <x:c r="B385" t="str">
        <x:v>awning</x:v>
      </x:c>
      <x:c r="C385" s="1533" t="n">
        <x:v>10997</x:v>
      </x:c>
      <x:c r="D385" s="1533" t="n">
        <x:v>11877</x:v>
      </x:c>
      <x:c r="E385" s="1533" t="n">
        <x:v>11876.76</x:v>
      </x:c>
      <x:c r="F385" s="1533" t="n">
        <x:v>11877</x:v>
      </x:c>
      <x:c r="G385" s="1535" t="n">
        <x:v>0</x:v>
      </x:c>
      <x:c r="H385" s="1535" t="n">
        <x:v>0</x:v>
      </x:c>
      <x:c r="I385" t="str">
        <x:v>OK — pełna zgodność</x:v>
      </x:c>
      <x:c r="J385" s="1537" t="str"/>
    </x:row>
    <x:row r="386" ht="19" customHeight="1">
      <x:c r="A386" t="str">
        <x:v>400 x 806 cm</x:v>
      </x:c>
      <x:c r="B386" t="str">
        <x:v>foundation</x:v>
      </x:c>
      <x:c r="C386" s="1533" t="n">
        <x:v>2378</x:v>
      </x:c>
      <x:c r="D386" s="1533" t="n">
        <x:v>2568</x:v>
      </x:c>
      <x:c r="E386" s="1533" t="n">
        <x:v>2568.24</x:v>
      </x:c>
      <x:c r="F386" s="1533" t="n">
        <x:v>2568</x:v>
      </x:c>
      <x:c r="G386" s="1535" t="n">
        <x:v>0</x:v>
      </x:c>
      <x:c r="H386" s="1535" t="n">
        <x:v>0</x:v>
      </x:c>
      <x:c r="I386" t="str">
        <x:v>OK — pełna zgodność</x:v>
      </x:c>
      <x:c r="J386" s="1537" t="str"/>
    </x:row>
    <x:row r="387" ht="19" customHeight="1">
      <x:c r="A387" t="str">
        <x:v>400 x 806 cm</x:v>
      </x:c>
      <x:c r="B387" t="str">
        <x:v>led_point</x:v>
      </x:c>
      <x:c r="C387" s="1533" t="n">
        <x:v>1131</x:v>
      </x:c>
      <x:c r="D387" s="1533" t="n">
        <x:v>1221</x:v>
      </x:c>
      <x:c r="E387" s="1533" t="n">
        <x:v>1221.48</x:v>
      </x:c>
      <x:c r="F387" s="1533" t="n">
        <x:v>1221</x:v>
      </x:c>
      <x:c r="G387" s="1535" t="n">
        <x:v>0</x:v>
      </x:c>
      <x:c r="H387" s="1535" t="n">
        <x:v>0</x:v>
      </x:c>
      <x:c r="I387" t="str">
        <x:v>OK — pełna zgodność</x:v>
      </x:c>
      <x:c r="J387" s="1537" t="str"/>
    </x:row>
    <x:row r="388" ht="19" customHeight="1">
      <x:c r="A388" t="str">
        <x:v>400 x 806 cm</x:v>
      </x:c>
      <x:c r="B388" t="str">
        <x:v>led_cct</x:v>
      </x:c>
      <x:c r="C388" s="1533" t="n">
        <x:v>2538</x:v>
      </x:c>
      <x:c r="D388" s="1533" t="n">
        <x:v>2741</x:v>
      </x:c>
      <x:c r="E388" s="1533" t="n">
        <x:v>2741.04</x:v>
      </x:c>
      <x:c r="F388" s="1533" t="n">
        <x:v>2741</x:v>
      </x:c>
      <x:c r="G388" s="1535" t="n">
        <x:v>0</x:v>
      </x:c>
      <x:c r="H388" s="1535" t="n">
        <x:v>0</x:v>
      </x:c>
      <x:c r="I388" t="str">
        <x:v>OK — pełna zgodność</x:v>
      </x:c>
      <x:c r="J388" s="1537" t="str"/>
    </x:row>
    <x:row r="389" ht="19" customHeight="1">
      <x:c r="A389" t="str">
        <x:v>400 x 806 cm</x:v>
      </x:c>
      <x:c r="B389" t="str">
        <x:v>brushes</x:v>
      </x:c>
      <x:c r="C389" s="1533" t="n">
        <x:v>719</x:v>
      </x:c>
      <x:c r="D389" s="1533" t="n">
        <x:v>777</x:v>
      </x:c>
      <x:c r="E389" s="1533" t="n">
        <x:v>776.52</x:v>
      </x:c>
      <x:c r="F389" s="1533" t="n">
        <x:v>777</x:v>
      </x:c>
      <x:c r="G389" s="1535" t="n">
        <x:v>0</x:v>
      </x:c>
      <x:c r="H389" s="1535" t="n">
        <x:v>0</x:v>
      </x:c>
      <x:c r="I389" t="str">
        <x:v>OK — pełna zgodność</x:v>
      </x:c>
      <x:c r="J389" s="1537" t="str"/>
    </x:row>
    <x:row r="390" ht="19" customHeight="1">
      <x:c r="A390" t="str">
        <x:v>400 x 806 cm</x:v>
      </x:c>
      <x:c r="B390" t="str">
        <x:v>handles</x:v>
      </x:c>
      <x:c r="C390" s="1533" t="n">
        <x:v>650</x:v>
      </x:c>
      <x:c r="D390" s="1533" t="n">
        <x:v>702</x:v>
      </x:c>
      <x:c r="E390" s="1533" t="n">
        <x:v>702</x:v>
      </x:c>
      <x:c r="F390" s="1533" t="n">
        <x:v>702</x:v>
      </x:c>
      <x:c r="G390" s="1535" t="n">
        <x:v>0</x:v>
      </x:c>
      <x:c r="H390" s="1535" t="n">
        <x:v>0</x:v>
      </x:c>
      <x:c r="I390" t="str">
        <x:v>OK — pełna zgodność</x:v>
      </x:c>
      <x:c r="J390" s="1537" t="str"/>
    </x:row>
    <x:row r="391" ht="19" customHeight="1">
      <x:c r="A391" t="str">
        <x:v>400 x 806 cm</x:v>
      </x:c>
      <x:c r="B391" t="str">
        <x:v>carriers</x:v>
      </x:c>
      <x:c r="C391" s="1533" t="n">
        <x:v>566</x:v>
      </x:c>
      <x:c r="D391" s="1533" t="n">
        <x:v>611</x:v>
      </x:c>
      <x:c r="E391" s="1533" t="n">
        <x:v>611.28</x:v>
      </x:c>
      <x:c r="F391" s="1533" t="n">
        <x:v>611</x:v>
      </x:c>
      <x:c r="G391" s="1535" t="n">
        <x:v>0</x:v>
      </x:c>
      <x:c r="H391" s="1535" t="n">
        <x:v>0</x:v>
      </x:c>
      <x:c r="I391" t="str">
        <x:v>OK — pełna zgodność</x:v>
      </x:c>
      <x:c r="J391" s="1537" t="str"/>
    </x:row>
    <x:row r="392" ht="19" customHeight="1">
      <x:c r="A392" t="str">
        <x:v>400 x 906 cm</x:v>
      </x:c>
      <x:c r="B392" t="str">
        <x:v>base_poly</x:v>
      </x:c>
      <x:c r="C392" s="1533" t="n">
        <x:v>20630</x:v>
      </x:c>
      <x:c r="D392" s="1533" t="n">
        <x:v>22280</x:v>
      </x:c>
      <x:c r="E392" s="1533" t="n">
        <x:v>22280.4</x:v>
      </x:c>
      <x:c r="F392" s="1533" t="n">
        <x:v>22280</x:v>
      </x:c>
      <x:c r="G392" s="1535" t="n">
        <x:v>0</x:v>
      </x:c>
      <x:c r="H392" s="1535" t="n">
        <x:v>0</x:v>
      </x:c>
      <x:c r="I392" t="str">
        <x:v>OK — pełna zgodność</x:v>
      </x:c>
      <x:c r="J392" s="1537" t="str"/>
    </x:row>
    <x:row r="393" ht="19" customHeight="1">
      <x:c r="A393" t="str">
        <x:v>400 x 906 cm</x:v>
      </x:c>
      <x:c r="B393" t="str">
        <x:v>walls_clear</x:v>
      </x:c>
      <x:c r="C393" s="1533" t="n">
        <x:v>22728</x:v>
      </x:c>
      <x:c r="D393" s="1533" t="n">
        <x:v>24546</x:v>
      </x:c>
      <x:c r="E393" s="1533" t="n">
        <x:v>24546.24</x:v>
      </x:c>
      <x:c r="F393" s="1533" t="n">
        <x:v>24546</x:v>
      </x:c>
      <x:c r="G393" s="1535" t="n">
        <x:v>0</x:v>
      </x:c>
      <x:c r="H393" s="1535" t="n">
        <x:v>0</x:v>
      </x:c>
      <x:c r="I393" t="str">
        <x:v>OK — pełna zgodność</x:v>
      </x:c>
      <x:c r="J393" s="1537" t="str"/>
    </x:row>
    <x:row r="394" ht="19" customHeight="1">
      <x:c r="A394" t="str">
        <x:v>400 x 906 cm</x:v>
      </x:c>
      <x:c r="B394" t="str">
        <x:v>walls_tinted</x:v>
      </x:c>
      <x:c r="C394" s="1533" t="n">
        <x:v>25134</x:v>
      </x:c>
      <x:c r="D394" s="1533" t="n">
        <x:v>27144</x:v>
      </x:c>
      <x:c r="E394" s="1533" t="n">
        <x:v>27144.72</x:v>
      </x:c>
      <x:c r="F394" s="1533" t="n">
        <x:v>27145</x:v>
      </x:c>
      <x:c r="G394" s="1535" t="n">
        <x:v>1</x:v>
      </x:c>
      <x:c r="H394" s="1535" t="n">
        <x:v>1</x:v>
      </x:c>
      <x:c r="I394" t="str">
        <x:v>OK — zaokrąglenie ±1 zł</x:v>
      </x:c>
      <x:c r="J394" s="1537" t="str">
        <x:v>Pozycja złożona; stary eksport mógł zaokrąglać składniki osobno.</x:v>
      </x:c>
    </x:row>
    <x:row r="395" ht="19" customHeight="1">
      <x:c r="A395" t="str">
        <x:v>400 x 906 cm</x:v>
      </x:c>
      <x:c r="B395" t="str">
        <x:v>roof_poly_colored</x:v>
      </x:c>
      <x:c r="C395" s="1533" t="n">
        <x:v>590</x:v>
      </x:c>
      <x:c r="D395" s="1533" t="n">
        <x:v>637</x:v>
      </x:c>
      <x:c r="E395" s="1533" t="n">
        <x:v>637.2</x:v>
      </x:c>
      <x:c r="F395" s="1533" t="n">
        <x:v>637</x:v>
      </x:c>
      <x:c r="G395" s="1535" t="n">
        <x:v>0</x:v>
      </x:c>
      <x:c r="H395" s="1535" t="n">
        <x:v>0</x:v>
      </x:c>
      <x:c r="I395" t="str">
        <x:v>OK — pełna zgodność</x:v>
      </x:c>
      <x:c r="J395" s="1537" t="str"/>
    </x:row>
    <x:row r="396" ht="19" customHeight="1">
      <x:c r="A396" t="str">
        <x:v>400 x 906 cm</x:v>
      </x:c>
      <x:c r="B396" t="str">
        <x:v>roof_glass_clear</x:v>
      </x:c>
      <x:c r="C396" s="1533" t="n">
        <x:v>10798</x:v>
      </x:c>
      <x:c r="D396" s="1533" t="n">
        <x:v>11662</x:v>
      </x:c>
      <x:c r="E396" s="1533" t="n">
        <x:v>11661.84</x:v>
      </x:c>
      <x:c r="F396" s="1533" t="n">
        <x:v>11662</x:v>
      </x:c>
      <x:c r="G396" s="1535" t="n">
        <x:v>0</x:v>
      </x:c>
      <x:c r="H396" s="1535" t="n">
        <x:v>0</x:v>
      </x:c>
      <x:c r="I396" t="str">
        <x:v>OK — pełna zgodność</x:v>
      </x:c>
      <x:c r="J396" s="1537" t="str"/>
    </x:row>
    <x:row r="397" ht="19" customHeight="1">
      <x:c r="A397" t="str">
        <x:v>400 x 906 cm</x:v>
      </x:c>
      <x:c r="B397" t="str">
        <x:v>roof_glass_tinted</x:v>
      </x:c>
      <x:c r="C397" s="1533" t="n">
        <x:v>12036</x:v>
      </x:c>
      <x:c r="D397" s="1533" t="n">
        <x:v>12999</x:v>
      </x:c>
      <x:c r="E397" s="1533" t="n">
        <x:v>12998.88</x:v>
      </x:c>
      <x:c r="F397" s="1533" t="n">
        <x:v>12999</x:v>
      </x:c>
      <x:c r="G397" s="1535" t="n">
        <x:v>0</x:v>
      </x:c>
      <x:c r="H397" s="1535" t="n">
        <x:v>0</x:v>
      </x:c>
      <x:c r="I397" t="str">
        <x:v>OK — pełna zgodność</x:v>
      </x:c>
      <x:c r="J397" s="1537" t="str">
        <x:v>Pozycja złożona; stary eksport mógł zaokrąglać składniki osobno.</x:v>
      </x:c>
    </x:row>
    <x:row r="398" ht="19" customHeight="1">
      <x:c r="A398" t="str">
        <x:v>400 x 906 cm</x:v>
      </x:c>
      <x:c r="B398" t="str">
        <x:v>zip_side</x:v>
      </x:c>
      <x:c r="C398" s="1533" t="n">
        <x:v>3112</x:v>
      </x:c>
      <x:c r="D398" s="1533" t="n">
        <x:v>3361</x:v>
      </x:c>
      <x:c r="E398" s="1533" t="n">
        <x:v>3360.96</x:v>
      </x:c>
      <x:c r="F398" s="1533" t="n">
        <x:v>3361</x:v>
      </x:c>
      <x:c r="G398" s="1535" t="n">
        <x:v>0</x:v>
      </x:c>
      <x:c r="H398" s="1535" t="n">
        <x:v>0</x:v>
      </x:c>
      <x:c r="I398" t="str">
        <x:v>OK — pełna zgodność</x:v>
      </x:c>
      <x:c r="J398" s="1537" t="str"/>
    </x:row>
    <x:row r="399" ht="19" customHeight="1">
      <x:c r="A399" t="str">
        <x:v>400 x 906 cm</x:v>
      </x:c>
      <x:c r="B399" t="str">
        <x:v>zip_front</x:v>
      </x:c>
      <x:c r="C399" s="1533" t="n">
        <x:v>7544</x:v>
      </x:c>
      <x:c r="D399" s="1533" t="n">
        <x:v>8148</x:v>
      </x:c>
      <x:c r="E399" s="1533" t="n">
        <x:v>8147.52</x:v>
      </x:c>
      <x:c r="F399" s="1533" t="n">
        <x:v>8148</x:v>
      </x:c>
      <x:c r="G399" s="1535" t="n">
        <x:v>0</x:v>
      </x:c>
      <x:c r="H399" s="1535" t="n">
        <x:v>0</x:v>
      </x:c>
      <x:c r="I399" t="str">
        <x:v>OK — pełna zgodność</x:v>
      </x:c>
      <x:c r="J399" s="1537" t="str"/>
    </x:row>
    <x:row r="400" ht="19" customHeight="1">
      <x:c r="A400" t="str">
        <x:v>400 x 906 cm</x:v>
      </x:c>
      <x:c r="B400" t="str">
        <x:v>awning</x:v>
      </x:c>
      <x:c r="C400" s="1533" t="n">
        <x:v>11765</x:v>
      </x:c>
      <x:c r="D400" s="1533" t="n">
        <x:v>12706</x:v>
      </x:c>
      <x:c r="E400" s="1533" t="n">
        <x:v>12706.2</x:v>
      </x:c>
      <x:c r="F400" s="1533" t="n">
        <x:v>12706</x:v>
      </x:c>
      <x:c r="G400" s="1535" t="n">
        <x:v>0</x:v>
      </x:c>
      <x:c r="H400" s="1535" t="n">
        <x:v>0</x:v>
      </x:c>
      <x:c r="I400" t="str">
        <x:v>OK — pełna zgodność</x:v>
      </x:c>
      <x:c r="J400" s="1537" t="str"/>
    </x:row>
    <x:row r="401" ht="19" customHeight="1">
      <x:c r="A401" t="str">
        <x:v>400 x 906 cm</x:v>
      </x:c>
      <x:c r="B401" t="str">
        <x:v>foundation</x:v>
      </x:c>
      <x:c r="C401" s="1533" t="n">
        <x:v>2629</x:v>
      </x:c>
      <x:c r="D401" s="1533" t="n">
        <x:v>2839</x:v>
      </x:c>
      <x:c r="E401" s="1533" t="n">
        <x:v>2839.32</x:v>
      </x:c>
      <x:c r="F401" s="1533" t="n">
        <x:v>2839</x:v>
      </x:c>
      <x:c r="G401" s="1535" t="n">
        <x:v>0</x:v>
      </x:c>
      <x:c r="H401" s="1535" t="n">
        <x:v>0</x:v>
      </x:c>
      <x:c r="I401" t="str">
        <x:v>OK — pełna zgodność</x:v>
      </x:c>
      <x:c r="J401" s="1537" t="str"/>
    </x:row>
    <x:row r="402" ht="19" customHeight="1">
      <x:c r="A402" t="str">
        <x:v>400 x 906 cm</x:v>
      </x:c>
      <x:c r="B402" t="str">
        <x:v>led_point</x:v>
      </x:c>
      <x:c r="C402" s="1533" t="n">
        <x:v>1227</x:v>
      </x:c>
      <x:c r="D402" s="1533" t="n">
        <x:v>1325</x:v>
      </x:c>
      <x:c r="E402" s="1533" t="n">
        <x:v>1325.16</x:v>
      </x:c>
      <x:c r="F402" s="1533" t="n">
        <x:v>1325</x:v>
      </x:c>
      <x:c r="G402" s="1535" t="n">
        <x:v>0</x:v>
      </x:c>
      <x:c r="H402" s="1535" t="n">
        <x:v>0</x:v>
      </x:c>
      <x:c r="I402" t="str">
        <x:v>OK — pełna zgodność</x:v>
      </x:c>
      <x:c r="J402" s="1537" t="str"/>
    </x:row>
    <x:row r="403" ht="19" customHeight="1">
      <x:c r="A403" t="str">
        <x:v>400 x 906 cm</x:v>
      </x:c>
      <x:c r="B403" t="str">
        <x:v>led_cct</x:v>
      </x:c>
      <x:c r="C403" s="1533" t="n">
        <x:v>2799</x:v>
      </x:c>
      <x:c r="D403" s="1533" t="n">
        <x:v>3022</x:v>
      </x:c>
      <x:c r="E403" s="1533" t="n">
        <x:v>3022.92</x:v>
      </x:c>
      <x:c r="F403" s="1533" t="n">
        <x:v>3023</x:v>
      </x:c>
      <x:c r="G403" s="1535" t="n">
        <x:v>1</x:v>
      </x:c>
      <x:c r="H403" s="1535" t="n">
        <x:v>1</x:v>
      </x:c>
      <x:c r="I403" t="str">
        <x:v>OK — zaokrąglenie ±1 zł</x:v>
      </x:c>
      <x:c r="J403" s="1537" t="str"/>
    </x:row>
    <x:row r="404" ht="19" customHeight="1">
      <x:c r="A404" t="str">
        <x:v>400 x 906 cm</x:v>
      </x:c>
      <x:c r="B404" t="str">
        <x:v>brushes</x:v>
      </x:c>
      <x:c r="C404" s="1533" t="n">
        <x:v>766</x:v>
      </x:c>
      <x:c r="D404" s="1533" t="n">
        <x:v>827</x:v>
      </x:c>
      <x:c r="E404" s="1533" t="n">
        <x:v>827.28</x:v>
      </x:c>
      <x:c r="F404" s="1533" t="n">
        <x:v>827</x:v>
      </x:c>
      <x:c r="G404" s="1535" t="n">
        <x:v>0</x:v>
      </x:c>
      <x:c r="H404" s="1535" t="n">
        <x:v>0</x:v>
      </x:c>
      <x:c r="I404" t="str">
        <x:v>OK — pełna zgodność</x:v>
      </x:c>
      <x:c r="J404" s="1537" t="str"/>
    </x:row>
    <x:row r="405" ht="19" customHeight="1">
      <x:c r="A405" t="str">
        <x:v>400 x 906 cm</x:v>
      </x:c>
      <x:c r="B405" t="str">
        <x:v>handles</x:v>
      </x:c>
      <x:c r="C405" s="1533" t="n">
        <x:v>696</x:v>
      </x:c>
      <x:c r="D405" s="1533" t="n">
        <x:v>752</x:v>
      </x:c>
      <x:c r="E405" s="1533" t="n">
        <x:v>751.68</x:v>
      </x:c>
      <x:c r="F405" s="1533" t="n">
        <x:v>752</x:v>
      </x:c>
      <x:c r="G405" s="1535" t="n">
        <x:v>0</x:v>
      </x:c>
      <x:c r="H405" s="1535" t="n">
        <x:v>0</x:v>
      </x:c>
      <x:c r="I405" t="str">
        <x:v>OK — pełna zgodność</x:v>
      </x:c>
      <x:c r="J405" s="1537" t="str"/>
    </x:row>
    <x:row r="406" ht="19" customHeight="1">
      <x:c r="A406" t="str">
        <x:v>400 x 906 cm</x:v>
      </x:c>
      <x:c r="B406" t="str">
        <x:v>carriers</x:v>
      </x:c>
      <x:c r="C406" s="1533" t="n">
        <x:v>566</x:v>
      </x:c>
      <x:c r="D406" s="1533" t="n">
        <x:v>611</x:v>
      </x:c>
      <x:c r="E406" s="1533" t="n">
        <x:v>611.28</x:v>
      </x:c>
      <x:c r="F406" s="1533" t="n">
        <x:v>611</x:v>
      </x:c>
      <x:c r="G406" s="1535" t="n">
        <x:v>0</x:v>
      </x:c>
      <x:c r="H406" s="1535" t="n">
        <x:v>0</x:v>
      </x:c>
      <x:c r="I406" t="str">
        <x:v>OK — pełna zgodność</x:v>
      </x:c>
      <x:c r="J406" s="1537" t="str"/>
    </x:row>
    <x:row r="407" ht="19" customHeight="1">
      <x:c r="A407" t="str">
        <x:v>400 x 1006 cm</x:v>
      </x:c>
      <x:c r="B407" t="str">
        <x:v>base_poly</x:v>
      </x:c>
      <x:c r="C407" s="1533" t="n">
        <x:v>22657</x:v>
      </x:c>
      <x:c r="D407" s="1533" t="n">
        <x:v>24470</x:v>
      </x:c>
      <x:c r="E407" s="1533" t="n">
        <x:v>24469.56</x:v>
      </x:c>
      <x:c r="F407" s="1533" t="n">
        <x:v>24470</x:v>
      </x:c>
      <x:c r="G407" s="1535" t="n">
        <x:v>0</x:v>
      </x:c>
      <x:c r="H407" s="1535" t="n">
        <x:v>0</x:v>
      </x:c>
      <x:c r="I407" t="str">
        <x:v>OK — pełna zgodność</x:v>
      </x:c>
      <x:c r="J407" s="1537" t="str"/>
    </x:row>
    <x:row r="408" ht="19" customHeight="1">
      <x:c r="A408" t="str">
        <x:v>400 x 1006 cm</x:v>
      </x:c>
      <x:c r="B408" t="str">
        <x:v>walls_clear</x:v>
      </x:c>
      <x:c r="C408" s="1533" t="n">
        <x:v>24184</x:v>
      </x:c>
      <x:c r="D408" s="1533" t="n">
        <x:v>26119</x:v>
      </x:c>
      <x:c r="E408" s="1533" t="n">
        <x:v>26118.72</x:v>
      </x:c>
      <x:c r="F408" s="1533" t="n">
        <x:v>26119</x:v>
      </x:c>
      <x:c r="G408" s="1535" t="n">
        <x:v>0</x:v>
      </x:c>
      <x:c r="H408" s="1535" t="n">
        <x:v>0</x:v>
      </x:c>
      <x:c r="I408" t="str">
        <x:v>OK — pełna zgodność</x:v>
      </x:c>
      <x:c r="J408" s="1537" t="str"/>
    </x:row>
    <x:row r="409" ht="19" customHeight="1">
      <x:c r="A409" t="str">
        <x:v>400 x 1006 cm</x:v>
      </x:c>
      <x:c r="B409" t="str">
        <x:v>walls_tinted</x:v>
      </x:c>
      <x:c r="C409" s="1533" t="n">
        <x:v>26730</x:v>
      </x:c>
      <x:c r="D409" s="1533" t="n">
        <x:v>28869</x:v>
      </x:c>
      <x:c r="E409" s="1533" t="n">
        <x:v>28868.4</x:v>
      </x:c>
      <x:c r="F409" s="1533" t="n">
        <x:v>28868</x:v>
      </x:c>
      <x:c r="G409" s="1535" t="n">
        <x:v>-1</x:v>
      </x:c>
      <x:c r="H409" s="1535" t="n">
        <x:v>1</x:v>
      </x:c>
      <x:c r="I409" t="str">
        <x:v>OK — zaokrąglenie ±1 zł</x:v>
      </x:c>
      <x:c r="J409" s="1537" t="str">
        <x:v>Pozycja złożona; stary eksport mógł zaokrąglać składniki osobno.</x:v>
      </x:c>
    </x:row>
    <x:row r="410" ht="19" customHeight="1">
      <x:c r="A410" t="str">
        <x:v>400 x 1006 cm</x:v>
      </x:c>
      <x:c r="B410" t="str">
        <x:v>roof_poly_colored</x:v>
      </x:c>
      <x:c r="C410" s="1533" t="n">
        <x:v>660</x:v>
      </x:c>
      <x:c r="D410" s="1533" t="n">
        <x:v>713</x:v>
      </x:c>
      <x:c r="E410" s="1533" t="n">
        <x:v>712.8</x:v>
      </x:c>
      <x:c r="F410" s="1533" t="n">
        <x:v>713</x:v>
      </x:c>
      <x:c r="G410" s="1535" t="n">
        <x:v>0</x:v>
      </x:c>
      <x:c r="H410" s="1535" t="n">
        <x:v>0</x:v>
      </x:c>
      <x:c r="I410" t="str">
        <x:v>OK — pełna zgodność</x:v>
      </x:c>
      <x:c r="J410" s="1537" t="str"/>
    </x:row>
    <x:row r="411" ht="19" customHeight="1">
      <x:c r="A411" t="str">
        <x:v>400 x 1006 cm</x:v>
      </x:c>
      <x:c r="B411" t="str">
        <x:v>roof_glass_clear</x:v>
      </x:c>
      <x:c r="C411" s="1533" t="n">
        <x:v>11907</x:v>
      </x:c>
      <x:c r="D411" s="1533" t="n">
        <x:v>12860</x:v>
      </x:c>
      <x:c r="E411" s="1533" t="n">
        <x:v>12859.56</x:v>
      </x:c>
      <x:c r="F411" s="1533" t="n">
        <x:v>12860</x:v>
      </x:c>
      <x:c r="G411" s="1535" t="n">
        <x:v>0</x:v>
      </x:c>
      <x:c r="H411" s="1535" t="n">
        <x:v>0</x:v>
      </x:c>
      <x:c r="I411" t="str">
        <x:v>OK — pełna zgodność</x:v>
      </x:c>
      <x:c r="J411" s="1537" t="str"/>
    </x:row>
    <x:row r="412" ht="19" customHeight="1">
      <x:c r="A412" t="str">
        <x:v>400 x 1006 cm</x:v>
      </x:c>
      <x:c r="B412" t="str">
        <x:v>roof_glass_tinted</x:v>
      </x:c>
      <x:c r="C412" s="1533" t="n">
        <x:v>13274</x:v>
      </x:c>
      <x:c r="D412" s="1533" t="n">
        <x:v>14336</x:v>
      </x:c>
      <x:c r="E412" s="1533" t="n">
        <x:v>14335.92</x:v>
      </x:c>
      <x:c r="F412" s="1533" t="n">
        <x:v>14336</x:v>
      </x:c>
      <x:c r="G412" s="1535" t="n">
        <x:v>0</x:v>
      </x:c>
      <x:c r="H412" s="1535" t="n">
        <x:v>0</x:v>
      </x:c>
      <x:c r="I412" t="str">
        <x:v>OK — pełna zgodność</x:v>
      </x:c>
      <x:c r="J412" s="1537" t="str">
        <x:v>Pozycja złożona; stary eksport mógł zaokrąglać składniki osobno.</x:v>
      </x:c>
    </x:row>
    <x:row r="413" ht="19" customHeight="1">
      <x:c r="A413" t="str">
        <x:v>400 x 1006 cm</x:v>
      </x:c>
      <x:c r="B413" t="str">
        <x:v>zip_side</x:v>
      </x:c>
      <x:c r="C413" s="1533" t="n">
        <x:v>3112</x:v>
      </x:c>
      <x:c r="D413" s="1533" t="n">
        <x:v>3361</x:v>
      </x:c>
      <x:c r="E413" s="1533" t="n">
        <x:v>3360.96</x:v>
      </x:c>
      <x:c r="F413" s="1533" t="n">
        <x:v>3361</x:v>
      </x:c>
      <x:c r="G413" s="1535" t="n">
        <x:v>0</x:v>
      </x:c>
      <x:c r="H413" s="1535" t="n">
        <x:v>0</x:v>
      </x:c>
      <x:c r="I413" t="str">
        <x:v>OK — pełna zgodność</x:v>
      </x:c>
      <x:c r="J413" s="1537" t="str"/>
    </x:row>
    <x:row r="414" ht="19" customHeight="1">
      <x:c r="A414" t="str">
        <x:v>400 x 1006 cm</x:v>
      </x:c>
      <x:c r="B414" t="str">
        <x:v>zip_front</x:v>
      </x:c>
      <x:c r="C414" s="1533" t="n">
        <x:v>8146</x:v>
      </x:c>
      <x:c r="D414" s="1533" t="n">
        <x:v>8798</x:v>
      </x:c>
      <x:c r="E414" s="1533" t="n">
        <x:v>8797.68</x:v>
      </x:c>
      <x:c r="F414" s="1533" t="n">
        <x:v>8798</x:v>
      </x:c>
      <x:c r="G414" s="1535" t="n">
        <x:v>0</x:v>
      </x:c>
      <x:c r="H414" s="1535" t="n">
        <x:v>0</x:v>
      </x:c>
      <x:c r="I414" t="str">
        <x:v>OK — pełna zgodność</x:v>
      </x:c>
      <x:c r="J414" s="1537" t="str"/>
    </x:row>
    <x:row r="415" ht="19" customHeight="1">
      <x:c r="A415" t="str">
        <x:v>400 x 1006 cm</x:v>
      </x:c>
      <x:c r="B415" t="str">
        <x:v>awning</x:v>
      </x:c>
      <x:c r="C415" s="1533" t="n">
        <x:v>12519</x:v>
      </x:c>
      <x:c r="D415" s="1533" t="n">
        <x:v>13521</x:v>
      </x:c>
      <x:c r="E415" s="1533" t="n">
        <x:v>13520.52</x:v>
      </x:c>
      <x:c r="F415" s="1533" t="n">
        <x:v>13521</x:v>
      </x:c>
      <x:c r="G415" s="1535" t="n">
        <x:v>0</x:v>
      </x:c>
      <x:c r="H415" s="1535" t="n">
        <x:v>0</x:v>
      </x:c>
      <x:c r="I415" t="str">
        <x:v>OK — pełna zgodność</x:v>
      </x:c>
      <x:c r="J415" s="1537" t="str"/>
    </x:row>
    <x:row r="416" ht="19" customHeight="1">
      <x:c r="A416" t="str">
        <x:v>400 x 1006 cm</x:v>
      </x:c>
      <x:c r="B416" t="str">
        <x:v>foundation</x:v>
      </x:c>
      <x:c r="C416" s="1533" t="n">
        <x:v>2880</x:v>
      </x:c>
      <x:c r="D416" s="1533" t="n">
        <x:v>3110</x:v>
      </x:c>
      <x:c r="E416" s="1533" t="n">
        <x:v>3110.4</x:v>
      </x:c>
      <x:c r="F416" s="1533" t="n">
        <x:v>3110</x:v>
      </x:c>
      <x:c r="G416" s="1535" t="n">
        <x:v>0</x:v>
      </x:c>
      <x:c r="H416" s="1535" t="n">
        <x:v>0</x:v>
      </x:c>
      <x:c r="I416" t="str">
        <x:v>OK — pełna zgodność</x:v>
      </x:c>
      <x:c r="J416" s="1537" t="str"/>
    </x:row>
    <x:row r="417" ht="19" customHeight="1">
      <x:c r="A417" t="str">
        <x:v>400 x 1006 cm</x:v>
      </x:c>
      <x:c r="B417" t="str">
        <x:v>led_point</x:v>
      </x:c>
      <x:c r="C417" s="1533" t="n">
        <x:v>1450</x:v>
      </x:c>
      <x:c r="D417" s="1533" t="n">
        <x:v>1566</x:v>
      </x:c>
      <x:c r="E417" s="1533" t="n">
        <x:v>1566</x:v>
      </x:c>
      <x:c r="F417" s="1533" t="n">
        <x:v>1566</x:v>
      </x:c>
      <x:c r="G417" s="1535" t="n">
        <x:v>0</x:v>
      </x:c>
      <x:c r="H417" s="1535" t="n">
        <x:v>0</x:v>
      </x:c>
      <x:c r="I417" t="str">
        <x:v>OK — pełna zgodność</x:v>
      </x:c>
      <x:c r="J417" s="1537" t="str"/>
    </x:row>
    <x:row r="418" ht="19" customHeight="1">
      <x:c r="A418" t="str">
        <x:v>400 x 1006 cm</x:v>
      </x:c>
      <x:c r="B418" t="str">
        <x:v>led_cct</x:v>
      </x:c>
      <x:c r="C418" s="1533" t="n">
        <x:v>3060</x:v>
      </x:c>
      <x:c r="D418" s="1533" t="n">
        <x:v>3305</x:v>
      </x:c>
      <x:c r="E418" s="1533" t="n">
        <x:v>3304.8</x:v>
      </x:c>
      <x:c r="F418" s="1533" t="n">
        <x:v>3305</x:v>
      </x:c>
      <x:c r="G418" s="1535" t="n">
        <x:v>0</x:v>
      </x:c>
      <x:c r="H418" s="1535" t="n">
        <x:v>0</x:v>
      </x:c>
      <x:c r="I418" t="str">
        <x:v>OK — pełna zgodność</x:v>
      </x:c>
      <x:c r="J418" s="1537" t="str"/>
    </x:row>
    <x:row r="419" ht="19" customHeight="1">
      <x:c r="A419" t="str">
        <x:v>400 x 1006 cm</x:v>
      </x:c>
      <x:c r="B419" t="str">
        <x:v>brushes</x:v>
      </x:c>
      <x:c r="C419" s="1533" t="n">
        <x:v>813</x:v>
      </x:c>
      <x:c r="D419" s="1533" t="n">
        <x:v>878</x:v>
      </x:c>
      <x:c r="E419" s="1533" t="n">
        <x:v>878.04</x:v>
      </x:c>
      <x:c r="F419" s="1533" t="n">
        <x:v>878</x:v>
      </x:c>
      <x:c r="G419" s="1535" t="n">
        <x:v>0</x:v>
      </x:c>
      <x:c r="H419" s="1535" t="n">
        <x:v>0</x:v>
      </x:c>
      <x:c r="I419" t="str">
        <x:v>OK — pełna zgodność</x:v>
      </x:c>
      <x:c r="J419" s="1537" t="str"/>
    </x:row>
    <x:row r="420" ht="19" customHeight="1">
      <x:c r="A420" t="str">
        <x:v>400 x 1006 cm</x:v>
      </x:c>
      <x:c r="B420" t="str">
        <x:v>handles</x:v>
      </x:c>
      <x:c r="C420" s="1533" t="n">
        <x:v>731</x:v>
      </x:c>
      <x:c r="D420" s="1533" t="n">
        <x:v>789</x:v>
      </x:c>
      <x:c r="E420" s="1533" t="n">
        <x:v>789.48</x:v>
      </x:c>
      <x:c r="F420" s="1533" t="n">
        <x:v>789</x:v>
      </x:c>
      <x:c r="G420" s="1535" t="n">
        <x:v>0</x:v>
      </x:c>
      <x:c r="H420" s="1535" t="n">
        <x:v>0</x:v>
      </x:c>
      <x:c r="I420" t="str">
        <x:v>OK — pełna zgodność</x:v>
      </x:c>
      <x:c r="J420" s="1537" t="str"/>
    </x:row>
    <x:row r="421" ht="19" customHeight="1">
      <x:c r="A421" t="str">
        <x:v>400 x 1006 cm</x:v>
      </x:c>
      <x:c r="B421" t="str">
        <x:v>carriers</x:v>
      </x:c>
      <x:c r="C421" s="1533" t="n">
        <x:v>613</x:v>
      </x:c>
      <x:c r="D421" s="1533" t="n">
        <x:v>662</x:v>
      </x:c>
      <x:c r="E421" s="1533" t="n">
        <x:v>662.04</x:v>
      </x:c>
      <x:c r="F421" s="1533" t="n">
        <x:v>662</x:v>
      </x:c>
      <x:c r="G421" s="1535" t="n">
        <x:v>0</x:v>
      </x:c>
      <x:c r="H421" s="1535" t="n">
        <x:v>0</x:v>
      </x:c>
      <x:c r="I421" t="str">
        <x:v>OK — pełna zgodność</x:v>
      </x:c>
      <x:c r="J421" s="1537" t="str"/>
    </x:row>
    <x:row r="422" ht="19" customHeight="1">
      <x:c r="A422" t="str">
        <x:v>400 x 1106 cm</x:v>
      </x:c>
      <x:c r="B422" t="str">
        <x:v>base_poly</x:v>
      </x:c>
      <x:c r="C422" s="1533" t="n">
        <x:v>23867</x:v>
      </x:c>
      <x:c r="D422" s="1533" t="n">
        <x:v>25776</x:v>
      </x:c>
      <x:c r="E422" s="1533" t="n">
        <x:v>25776.36</x:v>
      </x:c>
      <x:c r="F422" s="1533" t="n">
        <x:v>25776</x:v>
      </x:c>
      <x:c r="G422" s="1535" t="n">
        <x:v>0</x:v>
      </x:c>
      <x:c r="H422" s="1535" t="n">
        <x:v>0</x:v>
      </x:c>
      <x:c r="I422" t="str">
        <x:v>OK — pełna zgodność</x:v>
      </x:c>
      <x:c r="J422" s="1537" t="str"/>
    </x:row>
    <x:row r="423" ht="19" customHeight="1">
      <x:c r="A423" t="str">
        <x:v>400 x 1106 cm</x:v>
      </x:c>
      <x:c r="B423" t="str">
        <x:v>walls_clear</x:v>
      </x:c>
      <x:c r="C423" s="1533" t="n">
        <x:v>25655</x:v>
      </x:c>
      <x:c r="D423" s="1533" t="n">
        <x:v>27707</x:v>
      </x:c>
      <x:c r="E423" s="1533" t="n">
        <x:v>27707.4</x:v>
      </x:c>
      <x:c r="F423" s="1533" t="n">
        <x:v>27707</x:v>
      </x:c>
      <x:c r="G423" s="1535" t="n">
        <x:v>0</x:v>
      </x:c>
      <x:c r="H423" s="1535" t="n">
        <x:v>0</x:v>
      </x:c>
      <x:c r="I423" t="str">
        <x:v>OK — pełna zgodność</x:v>
      </x:c>
      <x:c r="J423" s="1537" t="str"/>
    </x:row>
    <x:row r="424" ht="19" customHeight="1">
      <x:c r="A424" t="str">
        <x:v>400 x 1106 cm</x:v>
      </x:c>
      <x:c r="B424" t="str">
        <x:v>walls_tinted</x:v>
      </x:c>
      <x:c r="C424" s="1533" t="n">
        <x:v>28343</x:v>
      </x:c>
      <x:c r="D424" s="1533" t="n">
        <x:v>30610</x:v>
      </x:c>
      <x:c r="E424" s="1533" t="n">
        <x:v>30610.44</x:v>
      </x:c>
      <x:c r="F424" s="1533" t="n">
        <x:v>30610</x:v>
      </x:c>
      <x:c r="G424" s="1535" t="n">
        <x:v>0</x:v>
      </x:c>
      <x:c r="H424" s="1535" t="n">
        <x:v>0</x:v>
      </x:c>
      <x:c r="I424" t="str">
        <x:v>OK — pełna zgodność</x:v>
      </x:c>
      <x:c r="J424" s="1537" t="str">
        <x:v>Pozycja złożona; stary eksport mógł zaokrąglać składniki osobno.</x:v>
      </x:c>
    </x:row>
    <x:row r="425" ht="19" customHeight="1">
      <x:c r="A425" t="str">
        <x:v>400 x 1106 cm</x:v>
      </x:c>
      <x:c r="B425" t="str">
        <x:v>roof_poly_colored</x:v>
      </x:c>
      <x:c r="C425" s="1533" t="n">
        <x:v>731</x:v>
      </x:c>
      <x:c r="D425" s="1533" t="n">
        <x:v>789</x:v>
      </x:c>
      <x:c r="E425" s="1533" t="n">
        <x:v>789.48</x:v>
      </x:c>
      <x:c r="F425" s="1533" t="n">
        <x:v>789</x:v>
      </x:c>
      <x:c r="G425" s="1535" t="n">
        <x:v>0</x:v>
      </x:c>
      <x:c r="H425" s="1535" t="n">
        <x:v>0</x:v>
      </x:c>
      <x:c r="I425" t="str">
        <x:v>OK — pełna zgodność</x:v>
      </x:c>
      <x:c r="J425" s="1537" t="str"/>
    </x:row>
    <x:row r="426" ht="19" customHeight="1">
      <x:c r="A426" t="str">
        <x:v>400 x 1106 cm</x:v>
      </x:c>
      <x:c r="B426" t="str">
        <x:v>roof_glass_clear</x:v>
      </x:c>
      <x:c r="C426" s="1533" t="n">
        <x:v>13002</x:v>
      </x:c>
      <x:c r="D426" s="1533" t="n">
        <x:v>14042</x:v>
      </x:c>
      <x:c r="E426" s="1533" t="n">
        <x:v>14042.16</x:v>
      </x:c>
      <x:c r="F426" s="1533" t="n">
        <x:v>14042</x:v>
      </x:c>
      <x:c r="G426" s="1535" t="n">
        <x:v>0</x:v>
      </x:c>
      <x:c r="H426" s="1535" t="n">
        <x:v>0</x:v>
      </x:c>
      <x:c r="I426" t="str">
        <x:v>OK — pełna zgodność</x:v>
      </x:c>
      <x:c r="J426" s="1537" t="str"/>
    </x:row>
    <x:row r="427" ht="19" customHeight="1">
      <x:c r="A427" t="str">
        <x:v>400 x 1106 cm</x:v>
      </x:c>
      <x:c r="B427" t="str">
        <x:v>roof_glass_tinted</x:v>
      </x:c>
      <x:c r="C427" s="1533" t="n">
        <x:v>14511</x:v>
      </x:c>
      <x:c r="D427" s="1533" t="n">
        <x:v>15672</x:v>
      </x:c>
      <x:c r="E427" s="1533" t="n">
        <x:v>15671.88</x:v>
      </x:c>
      <x:c r="F427" s="1533" t="n">
        <x:v>15672</x:v>
      </x:c>
      <x:c r="G427" s="1535" t="n">
        <x:v>0</x:v>
      </x:c>
      <x:c r="H427" s="1535" t="n">
        <x:v>0</x:v>
      </x:c>
      <x:c r="I427" t="str">
        <x:v>OK — pełna zgodność</x:v>
      </x:c>
      <x:c r="J427" s="1537" t="str">
        <x:v>Pozycja złożona; stary eksport mógł zaokrąglać składniki osobno.</x:v>
      </x:c>
    </x:row>
    <x:row r="428" ht="19" customHeight="1">
      <x:c r="A428" t="str">
        <x:v>400 x 1106 cm</x:v>
      </x:c>
      <x:c r="B428" t="str">
        <x:v>zip_side</x:v>
      </x:c>
      <x:c r="C428" s="1533" t="n">
        <x:v>3112</x:v>
      </x:c>
      <x:c r="D428" s="1533" t="n">
        <x:v>3361</x:v>
      </x:c>
      <x:c r="E428" s="1533" t="n">
        <x:v>3360.96</x:v>
      </x:c>
      <x:c r="F428" s="1533" t="n">
        <x:v>3361</x:v>
      </x:c>
      <x:c r="G428" s="1535" t="n">
        <x:v>0</x:v>
      </x:c>
      <x:c r="H428" s="1535" t="n">
        <x:v>0</x:v>
      </x:c>
      <x:c r="I428" t="str">
        <x:v>OK — pełna zgodność</x:v>
      </x:c>
      <x:c r="J428" s="1537" t="str"/>
    </x:row>
    <x:row r="429" ht="19" customHeight="1">
      <x:c r="A429" t="str">
        <x:v>400 x 1106 cm</x:v>
      </x:c>
      <x:c r="B429" t="str">
        <x:v>zip_front</x:v>
      </x:c>
      <x:c r="C429" s="1533" t="n">
        <x:v>8748</x:v>
      </x:c>
      <x:c r="D429" s="1533" t="n">
        <x:v>9448</x:v>
      </x:c>
      <x:c r="E429" s="1533" t="n">
        <x:v>9447.84</x:v>
      </x:c>
      <x:c r="F429" s="1533" t="n">
        <x:v>9448</x:v>
      </x:c>
      <x:c r="G429" s="1535" t="n">
        <x:v>0</x:v>
      </x:c>
      <x:c r="H429" s="1535" t="n">
        <x:v>0</x:v>
      </x:c>
      <x:c r="I429" t="str">
        <x:v>OK — pełna zgodność</x:v>
      </x:c>
      <x:c r="J429" s="1537" t="str"/>
    </x:row>
    <x:row r="430" ht="19" customHeight="1">
      <x:c r="A430" t="str">
        <x:v>400 x 1106 cm</x:v>
      </x:c>
      <x:c r="B430" t="str">
        <x:v>awning</x:v>
      </x:c>
      <x:c r="C430" s="1533" t="n">
        <x:v>15738</x:v>
      </x:c>
      <x:c r="D430" s="1533" t="n">
        <x:v>16997</x:v>
      </x:c>
      <x:c r="E430" s="1533" t="n">
        <x:v>16997.04</x:v>
      </x:c>
      <x:c r="F430" s="1533" t="n">
        <x:v>16997</x:v>
      </x:c>
      <x:c r="G430" s="1535" t="n">
        <x:v>0</x:v>
      </x:c>
      <x:c r="H430" s="1535" t="n">
        <x:v>0</x:v>
      </x:c>
      <x:c r="I430" t="str">
        <x:v>OK — pełna zgodność</x:v>
      </x:c>
      <x:c r="J430" s="1537" t="str"/>
    </x:row>
    <x:row r="431" ht="19" customHeight="1">
      <x:c r="A431" t="str">
        <x:v>400 x 1106 cm</x:v>
      </x:c>
      <x:c r="B431" t="str">
        <x:v>foundation</x:v>
      </x:c>
      <x:c r="C431" s="1533" t="n">
        <x:v>3898</x:v>
      </x:c>
      <x:c r="D431" s="1533" t="n">
        <x:v>4210</x:v>
      </x:c>
      <x:c r="E431" s="1533" t="n">
        <x:v>4209.84</x:v>
      </x:c>
      <x:c r="F431" s="1533" t="n">
        <x:v>4210</x:v>
      </x:c>
      <x:c r="G431" s="1535" t="n">
        <x:v>0</x:v>
      </x:c>
      <x:c r="H431" s="1535" t="n">
        <x:v>0</x:v>
      </x:c>
      <x:c r="I431" t="str">
        <x:v>OK — pełna zgodność</x:v>
      </x:c>
      <x:c r="J431" s="1537" t="str"/>
    </x:row>
    <x:row r="432" ht="19" customHeight="1">
      <x:c r="A432" t="str">
        <x:v>400 x 1106 cm</x:v>
      </x:c>
      <x:c r="B432" t="str">
        <x:v>led_point</x:v>
      </x:c>
      <x:c r="C432" s="1533" t="n">
        <x:v>1686</x:v>
      </x:c>
      <x:c r="D432" s="1533" t="n">
        <x:v>1821</x:v>
      </x:c>
      <x:c r="E432" s="1533" t="n">
        <x:v>1820.88</x:v>
      </x:c>
      <x:c r="F432" s="1533" t="n">
        <x:v>1821</x:v>
      </x:c>
      <x:c r="G432" s="1535" t="n">
        <x:v>0</x:v>
      </x:c>
      <x:c r="H432" s="1535" t="n">
        <x:v>0</x:v>
      </x:c>
      <x:c r="I432" t="str">
        <x:v>OK — pełna zgodność</x:v>
      </x:c>
      <x:c r="J432" s="1537" t="str"/>
    </x:row>
    <x:row r="433" ht="19" customHeight="1">
      <x:c r="A433" t="str">
        <x:v>400 x 1106 cm</x:v>
      </x:c>
      <x:c r="B433" t="str">
        <x:v>led_cct</x:v>
      </x:c>
      <x:c r="C433" s="1533" t="n">
        <x:v>3335</x:v>
      </x:c>
      <x:c r="D433" s="1533" t="n">
        <x:v>3602</x:v>
      </x:c>
      <x:c r="E433" s="1533" t="n">
        <x:v>3601.8</x:v>
      </x:c>
      <x:c r="F433" s="1533" t="n">
        <x:v>3602</x:v>
      </x:c>
      <x:c r="G433" s="1535" t="n">
        <x:v>0</x:v>
      </x:c>
      <x:c r="H433" s="1535" t="n">
        <x:v>0</x:v>
      </x:c>
      <x:c r="I433" t="str">
        <x:v>OK — pełna zgodność</x:v>
      </x:c>
      <x:c r="J433" s="1537" t="str"/>
    </x:row>
    <x:row r="434" ht="19" customHeight="1">
      <x:c r="A434" t="str">
        <x:v>400 x 1106 cm</x:v>
      </x:c>
      <x:c r="B434" t="str">
        <x:v>brushes</x:v>
      </x:c>
      <x:c r="C434" s="1533" t="n">
        <x:v>848</x:v>
      </x:c>
      <x:c r="D434" s="1533" t="n">
        <x:v>916</x:v>
      </x:c>
      <x:c r="E434" s="1533" t="n">
        <x:v>915.84</x:v>
      </x:c>
      <x:c r="F434" s="1533" t="n">
        <x:v>916</x:v>
      </x:c>
      <x:c r="G434" s="1535" t="n">
        <x:v>0</x:v>
      </x:c>
      <x:c r="H434" s="1535" t="n">
        <x:v>0</x:v>
      </x:c>
      <x:c r="I434" t="str">
        <x:v>OK — pełna zgodność</x:v>
      </x:c>
      <x:c r="J434" s="1537" t="str"/>
    </x:row>
    <x:row r="435" ht="19" customHeight="1">
      <x:c r="A435" t="str">
        <x:v>400 x 1106 cm</x:v>
      </x:c>
      <x:c r="B435" t="str">
        <x:v>handles</x:v>
      </x:c>
      <x:c r="C435" s="1533" t="n">
        <x:v>766</x:v>
      </x:c>
      <x:c r="D435" s="1533" t="n">
        <x:v>827</x:v>
      </x:c>
      <x:c r="E435" s="1533" t="n">
        <x:v>827.28</x:v>
      </x:c>
      <x:c r="F435" s="1533" t="n">
        <x:v>827</x:v>
      </x:c>
      <x:c r="G435" s="1535" t="n">
        <x:v>0</x:v>
      </x:c>
      <x:c r="H435" s="1535" t="n">
        <x:v>0</x:v>
      </x:c>
      <x:c r="I435" t="str">
        <x:v>OK — pełna zgodność</x:v>
      </x:c>
      <x:c r="J435" s="1537" t="str"/>
    </x:row>
    <x:row r="436" ht="19" customHeight="1">
      <x:c r="A436" t="str">
        <x:v>400 x 1106 cm</x:v>
      </x:c>
      <x:c r="B436" t="str">
        <x:v>carriers</x:v>
      </x:c>
      <x:c r="C436" s="1533" t="n">
        <x:v>660</x:v>
      </x:c>
      <x:c r="D436" s="1533" t="n">
        <x:v>713</x:v>
      </x:c>
      <x:c r="E436" s="1533" t="n">
        <x:v>712.8</x:v>
      </x:c>
      <x:c r="F436" s="1533" t="n">
        <x:v>713</x:v>
      </x:c>
      <x:c r="G436" s="1535" t="n">
        <x:v>0</x:v>
      </x:c>
      <x:c r="H436" s="1535" t="n">
        <x:v>0</x:v>
      </x:c>
      <x:c r="I436" t="str">
        <x:v>OK — pełna zgodność</x:v>
      </x:c>
      <x:c r="J436" s="1537" t="str"/>
    </x:row>
    <x:row r="437" ht="19" customHeight="1">
      <x:c r="A437" t="str">
        <x:v>400 x 1206 cm</x:v>
      </x:c>
      <x:c r="B437" t="str">
        <x:v>base_poly</x:v>
      </x:c>
      <x:c r="C437" s="1533" t="n">
        <x:v>25087</x:v>
      </x:c>
      <x:c r="D437" s="1533" t="n">
        <x:v>27094</x:v>
      </x:c>
      <x:c r="E437" s="1533" t="n">
        <x:v>27093.96</x:v>
      </x:c>
      <x:c r="F437" s="1533" t="n">
        <x:v>27094</x:v>
      </x:c>
      <x:c r="G437" s="1535" t="n">
        <x:v>0</x:v>
      </x:c>
      <x:c r="H437" s="1535" t="n">
        <x:v>0</x:v>
      </x:c>
      <x:c r="I437" t="str">
        <x:v>OK — pełna zgodność</x:v>
      </x:c>
      <x:c r="J437" s="1537" t="str"/>
    </x:row>
    <x:row r="438" ht="19" customHeight="1">
      <x:c r="A438" t="str">
        <x:v>400 x 1206 cm</x:v>
      </x:c>
      <x:c r="B438" t="str">
        <x:v>walls_clear</x:v>
      </x:c>
      <x:c r="C438" s="1533" t="n">
        <x:v>27140</x:v>
      </x:c>
      <x:c r="D438" s="1533" t="n">
        <x:v>29311</x:v>
      </x:c>
      <x:c r="E438" s="1533" t="n">
        <x:v>29311.2</x:v>
      </x:c>
      <x:c r="F438" s="1533" t="n">
        <x:v>29311</x:v>
      </x:c>
      <x:c r="G438" s="1535" t="n">
        <x:v>0</x:v>
      </x:c>
      <x:c r="H438" s="1535" t="n">
        <x:v>0</x:v>
      </x:c>
      <x:c r="I438" t="str">
        <x:v>OK — pełna zgodność</x:v>
      </x:c>
      <x:c r="J438" s="1537" t="str"/>
    </x:row>
    <x:row r="439" ht="19" customHeight="1">
      <x:c r="A439" t="str">
        <x:v>400 x 1206 cm</x:v>
      </x:c>
      <x:c r="B439" t="str">
        <x:v>walls_tinted</x:v>
      </x:c>
      <x:c r="C439" s="1533" t="n">
        <x:v>29969</x:v>
      </x:c>
      <x:c r="D439" s="1533" t="n">
        <x:v>32366</x:v>
      </x:c>
      <x:c r="E439" s="1533" t="n">
        <x:v>32366.52</x:v>
      </x:c>
      <x:c r="F439" s="1533" t="n">
        <x:v>32367</x:v>
      </x:c>
      <x:c r="G439" s="1535" t="n">
        <x:v>1</x:v>
      </x:c>
      <x:c r="H439" s="1535" t="n">
        <x:v>1</x:v>
      </x:c>
      <x:c r="I439" t="str">
        <x:v>OK — zaokrąglenie ±1 zł</x:v>
      </x:c>
      <x:c r="J439" s="1537" t="str">
        <x:v>Pozycja złożona; stary eksport mógł zaokrąglać składniki osobno.</x:v>
      </x:c>
    </x:row>
    <x:row r="440" ht="19" customHeight="1">
      <x:c r="A440" t="str">
        <x:v>400 x 1206 cm</x:v>
      </x:c>
      <x:c r="B440" t="str">
        <x:v>roof_poly_colored</x:v>
      </x:c>
      <x:c r="C440" s="1533" t="n">
        <x:v>790</x:v>
      </x:c>
      <x:c r="D440" s="1533" t="n">
        <x:v>853</x:v>
      </x:c>
      <x:c r="E440" s="1533" t="n">
        <x:v>853.2</x:v>
      </x:c>
      <x:c r="F440" s="1533" t="n">
        <x:v>853</x:v>
      </x:c>
      <x:c r="G440" s="1535" t="n">
        <x:v>0</x:v>
      </x:c>
      <x:c r="H440" s="1535" t="n">
        <x:v>0</x:v>
      </x:c>
      <x:c r="I440" t="str">
        <x:v>OK — pełna zgodność</x:v>
      </x:c>
      <x:c r="J440" s="1537" t="str"/>
    </x:row>
    <x:row r="441" ht="19" customHeight="1">
      <x:c r="A441" t="str">
        <x:v>400 x 1206 cm</x:v>
      </x:c>
      <x:c r="B441" t="str">
        <x:v>roof_glass_clear</x:v>
      </x:c>
      <x:c r="C441" s="1533" t="n">
        <x:v>14100</x:v>
      </x:c>
      <x:c r="D441" s="1533" t="n">
        <x:v>15228</x:v>
      </x:c>
      <x:c r="E441" s="1533" t="n">
        <x:v>15228</x:v>
      </x:c>
      <x:c r="F441" s="1533" t="n">
        <x:v>15228</x:v>
      </x:c>
      <x:c r="G441" s="1535" t="n">
        <x:v>0</x:v>
      </x:c>
      <x:c r="H441" s="1535" t="n">
        <x:v>0</x:v>
      </x:c>
      <x:c r="I441" t="str">
        <x:v>OK — pełna zgodność</x:v>
      </x:c>
      <x:c r="J441" s="1537" t="str"/>
    </x:row>
    <x:row r="442" ht="19" customHeight="1">
      <x:c r="A442" t="str">
        <x:v>400 x 1206 cm</x:v>
      </x:c>
      <x:c r="B442" t="str">
        <x:v>roof_glass_tinted</x:v>
      </x:c>
      <x:c r="C442" s="1533" t="n">
        <x:v>15739</x:v>
      </x:c>
      <x:c r="D442" s="1533" t="n">
        <x:v>16997</x:v>
      </x:c>
      <x:c r="E442" s="1533" t="n">
        <x:v>16998.12</x:v>
      </x:c>
      <x:c r="F442" s="1533" t="n">
        <x:v>16998</x:v>
      </x:c>
      <x:c r="G442" s="1535" t="n">
        <x:v>1</x:v>
      </x:c>
      <x:c r="H442" s="1535" t="n">
        <x:v>1</x:v>
      </x:c>
      <x:c r="I442" t="str">
        <x:v>OK — zaokrąglenie ±1 zł</x:v>
      </x:c>
      <x:c r="J442" s="1537" t="str">
        <x:v>Pozycja złożona; stary eksport mógł zaokrąglać składniki osobno.</x:v>
      </x:c>
    </x:row>
    <x:row r="443" ht="19" customHeight="1">
      <x:c r="A443" t="str">
        <x:v>400 x 1206 cm</x:v>
      </x:c>
      <x:c r="B443" t="str">
        <x:v>zip_side</x:v>
      </x:c>
      <x:c r="C443" s="1533" t="n">
        <x:v>3112</x:v>
      </x:c>
      <x:c r="D443" s="1533" t="n">
        <x:v>3361</x:v>
      </x:c>
      <x:c r="E443" s="1533" t="n">
        <x:v>3360.96</x:v>
      </x:c>
      <x:c r="F443" s="1533" t="n">
        <x:v>3361</x:v>
      </x:c>
      <x:c r="G443" s="1535" t="n">
        <x:v>0</x:v>
      </x:c>
      <x:c r="H443" s="1535" t="n">
        <x:v>0</x:v>
      </x:c>
      <x:c r="I443" t="str">
        <x:v>OK — pełna zgodność</x:v>
      </x:c>
      <x:c r="J443" s="1537" t="str"/>
    </x:row>
    <x:row r="444" ht="19" customHeight="1">
      <x:c r="A444" t="str">
        <x:v>400 x 1206 cm</x:v>
      </x:c>
      <x:c r="B444" t="str">
        <x:v>zip_front</x:v>
      </x:c>
      <x:c r="C444" s="1533" t="n">
        <x:v>9337</x:v>
      </x:c>
      <x:c r="D444" s="1533" t="n">
        <x:v>10084</x:v>
      </x:c>
      <x:c r="E444" s="1533" t="n">
        <x:v>10083.96</x:v>
      </x:c>
      <x:c r="F444" s="1533" t="n">
        <x:v>10084</x:v>
      </x:c>
      <x:c r="G444" s="1535" t="n">
        <x:v>0</x:v>
      </x:c>
      <x:c r="H444" s="1535" t="n">
        <x:v>0</x:v>
      </x:c>
      <x:c r="I444" t="str">
        <x:v>OK — pełna zgodność</x:v>
      </x:c>
      <x:c r="J444" s="1537" t="str"/>
    </x:row>
    <x:row r="445" ht="19" customHeight="1">
      <x:c r="A445" t="str">
        <x:v>400 x 1206 cm</x:v>
      </x:c>
      <x:c r="B445" t="str">
        <x:v>awning</x:v>
      </x:c>
      <x:c r="C445" s="1533" t="n">
        <x:v>16481</x:v>
      </x:c>
      <x:c r="D445" s="1533" t="n">
        <x:v>17799</x:v>
      </x:c>
      <x:c r="E445" s="1533" t="n">
        <x:v>17799.48</x:v>
      </x:c>
      <x:c r="F445" s="1533" t="n">
        <x:v>17799</x:v>
      </x:c>
      <x:c r="G445" s="1535" t="n">
        <x:v>0</x:v>
      </x:c>
      <x:c r="H445" s="1535" t="n">
        <x:v>0</x:v>
      </x:c>
      <x:c r="I445" t="str">
        <x:v>OK — pełna zgodność</x:v>
      </x:c>
      <x:c r="J445" s="1537" t="str"/>
    </x:row>
    <x:row r="446" ht="19" customHeight="1">
      <x:c r="A446" t="str">
        <x:v>400 x 1206 cm</x:v>
      </x:c>
      <x:c r="B446" t="str">
        <x:v>foundation</x:v>
      </x:c>
      <x:c r="C446" s="1533" t="n">
        <x:v>3898</x:v>
      </x:c>
      <x:c r="D446" s="1533" t="n">
        <x:v>4210</x:v>
      </x:c>
      <x:c r="E446" s="1533" t="n">
        <x:v>4209.84</x:v>
      </x:c>
      <x:c r="F446" s="1533" t="n">
        <x:v>4210</x:v>
      </x:c>
      <x:c r="G446" s="1535" t="n">
        <x:v>0</x:v>
      </x:c>
      <x:c r="H446" s="1535" t="n">
        <x:v>0</x:v>
      </x:c>
      <x:c r="I446" t="str">
        <x:v>OK — pełna zgodność</x:v>
      </x:c>
      <x:c r="J446" s="1537" t="str"/>
    </x:row>
    <x:row r="447" ht="19" customHeight="1">
      <x:c r="A447" t="str">
        <x:v>400 x 1206 cm</x:v>
      </x:c>
      <x:c r="B447" t="str">
        <x:v>led_point</x:v>
      </x:c>
      <x:c r="C447" s="1533" t="n">
        <x:v>1781</x:v>
      </x:c>
      <x:c r="D447" s="1533" t="n">
        <x:v>1923</x:v>
      </x:c>
      <x:c r="E447" s="1533" t="n">
        <x:v>1923.48</x:v>
      </x:c>
      <x:c r="F447" s="1533" t="n">
        <x:v>1923</x:v>
      </x:c>
      <x:c r="G447" s="1535" t="n">
        <x:v>0</x:v>
      </x:c>
      <x:c r="H447" s="1535" t="n">
        <x:v>0</x:v>
      </x:c>
      <x:c r="I447" t="str">
        <x:v>OK — pełna zgodność</x:v>
      </x:c>
      <x:c r="J447" s="1537" t="str"/>
    </x:row>
    <x:row r="448" ht="19" customHeight="1">
      <x:c r="A448" t="str">
        <x:v>400 x 1206 cm</x:v>
      </x:c>
      <x:c r="B448" t="str">
        <x:v>led_cct</x:v>
      </x:c>
      <x:c r="C448" s="1533" t="n">
        <x:v>3596</x:v>
      </x:c>
      <x:c r="D448" s="1533" t="n">
        <x:v>3884</x:v>
      </x:c>
      <x:c r="E448" s="1533" t="n">
        <x:v>3883.68</x:v>
      </x:c>
      <x:c r="F448" s="1533" t="n">
        <x:v>3884</x:v>
      </x:c>
      <x:c r="G448" s="1535" t="n">
        <x:v>0</x:v>
      </x:c>
      <x:c r="H448" s="1535" t="n">
        <x:v>0</x:v>
      </x:c>
      <x:c r="I448" t="str">
        <x:v>OK — pełna zgodność</x:v>
      </x:c>
      <x:c r="J448" s="1537" t="str"/>
    </x:row>
    <x:row r="449" ht="19" customHeight="1">
      <x:c r="A449" t="str">
        <x:v>400 x 1206 cm</x:v>
      </x:c>
      <x:c r="B449" t="str">
        <x:v>brushes</x:v>
      </x:c>
      <x:c r="C449" s="1533" t="n">
        <x:v>896</x:v>
      </x:c>
      <x:c r="D449" s="1533" t="n">
        <x:v>968</x:v>
      </x:c>
      <x:c r="E449" s="1533" t="n">
        <x:v>967.68</x:v>
      </x:c>
      <x:c r="F449" s="1533" t="n">
        <x:v>968</x:v>
      </x:c>
      <x:c r="G449" s="1535" t="n">
        <x:v>0</x:v>
      </x:c>
      <x:c r="H449" s="1535" t="n">
        <x:v>0</x:v>
      </x:c>
      <x:c r="I449" t="str">
        <x:v>OK — pełna zgodność</x:v>
      </x:c>
      <x:c r="J449" s="1537" t="str"/>
    </x:row>
    <x:row r="450" ht="19" customHeight="1">
      <x:c r="A450" t="str">
        <x:v>400 x 1206 cm</x:v>
      </x:c>
      <x:c r="B450" t="str">
        <x:v>handles</x:v>
      </x:c>
      <x:c r="C450" s="1533" t="n">
        <x:v>813</x:v>
      </x:c>
      <x:c r="D450" s="1533" t="n">
        <x:v>878</x:v>
      </x:c>
      <x:c r="E450" s="1533" t="n">
        <x:v>878.04</x:v>
      </x:c>
      <x:c r="F450" s="1533" t="n">
        <x:v>878</x:v>
      </x:c>
      <x:c r="G450" s="1535" t="n">
        <x:v>0</x:v>
      </x:c>
      <x:c r="H450" s="1535" t="n">
        <x:v>0</x:v>
      </x:c>
      <x:c r="I450" t="str">
        <x:v>OK — pełna zgodność</x:v>
      </x:c>
      <x:c r="J450" s="1537" t="str"/>
    </x:row>
    <x:row r="451" ht="19" customHeight="1">
      <x:c r="A451" t="str">
        <x:v>400 x 1206 cm</x:v>
      </x:c>
      <x:c r="B451" t="str">
        <x:v>carriers</x:v>
      </x:c>
      <x:c r="C451" s="1533" t="n">
        <x:v>708</x:v>
      </x:c>
      <x:c r="D451" s="1533" t="n">
        <x:v>765</x:v>
      </x:c>
      <x:c r="E451" s="1533" t="n">
        <x:v>764.64</x:v>
      </x:c>
      <x:c r="F451" s="1533" t="n">
        <x:v>765</x:v>
      </x:c>
      <x:c r="G451" s="1535" t="n">
        <x:v>0</x:v>
      </x:c>
      <x:c r="H451" s="1535" t="n">
        <x:v>0</x:v>
      </x:c>
      <x:c r="I451" t="str">
        <x:v>OK — pełna zgodność</x:v>
      </x:c>
      <x:c r="J451" s="1537" t="str"/>
    </x:row>
    <x:row r="452" ht="19" customHeight="1">
      <x:c r="A452" t="str">
        <x:v>450 x 306 cm</x:v>
      </x:c>
      <x:c r="B452" t="str">
        <x:v>base_poly</x:v>
      </x:c>
      <x:c r="C452" s="1533" t="n">
        <x:v>11702</x:v>
      </x:c>
      <x:c r="D452" s="1533" t="n">
        <x:v>12638</x:v>
      </x:c>
      <x:c r="E452" s="1533" t="n">
        <x:v>12638.16</x:v>
      </x:c>
      <x:c r="F452" s="1533" t="n">
        <x:v>12638</x:v>
      </x:c>
      <x:c r="G452" s="1535" t="n">
        <x:v>0</x:v>
      </x:c>
      <x:c r="H452" s="1535" t="n">
        <x:v>0</x:v>
      </x:c>
      <x:c r="I452" t="str">
        <x:v>OK — pełna zgodność</x:v>
      </x:c>
      <x:c r="J452" s="1537" t="str"/>
    </x:row>
    <x:row r="453" ht="19" customHeight="1">
      <x:c r="A453" t="str">
        <x:v>450 x 306 cm</x:v>
      </x:c>
      <x:c r="B453" t="str">
        <x:v>walls_clear</x:v>
      </x:c>
      <x:c r="C453" s="1533" t="n">
        <x:v>18587</x:v>
      </x:c>
      <x:c r="D453" s="1533" t="n">
        <x:v>20073</x:v>
      </x:c>
      <x:c r="E453" s="1533" t="n">
        <x:v>20073.96</x:v>
      </x:c>
      <x:c r="F453" s="1533" t="n">
        <x:v>20074</x:v>
      </x:c>
      <x:c r="G453" s="1535" t="n">
        <x:v>1</x:v>
      </x:c>
      <x:c r="H453" s="1535" t="n">
        <x:v>1</x:v>
      </x:c>
      <x:c r="I453" t="str">
        <x:v>OK — zaokrąglenie ±1 zł</x:v>
      </x:c>
      <x:c r="J453" s="1537" t="str"/>
    </x:row>
    <x:row r="454" ht="19" customHeight="1">
      <x:c r="A454" t="str">
        <x:v>450 x 306 cm</x:v>
      </x:c>
      <x:c r="B454" t="str">
        <x:v>walls_tinted</x:v>
      </x:c>
      <x:c r="C454" s="1533" t="n">
        <x:v>20426</x:v>
      </x:c>
      <x:c r="D454" s="1533" t="n">
        <x:v>22059</x:v>
      </x:c>
      <x:c r="E454" s="1533" t="n">
        <x:v>22060.08</x:v>
      </x:c>
      <x:c r="F454" s="1533" t="n">
        <x:v>22060</x:v>
      </x:c>
      <x:c r="G454" s="1535" t="n">
        <x:v>1</x:v>
      </x:c>
      <x:c r="H454" s="1535" t="n">
        <x:v>1</x:v>
      </x:c>
      <x:c r="I454" t="str">
        <x:v>OK — zaokrąglenie ±1 zł</x:v>
      </x:c>
      <x:c r="J454" s="1537" t="str">
        <x:v>Pozycja złożona; stary eksport mógł zaokrąglać składniki osobno.</x:v>
      </x:c>
    </x:row>
    <x:row r="455" ht="19" customHeight="1">
      <x:c r="A455" t="str">
        <x:v>450 x 306 cm</x:v>
      </x:c>
      <x:c r="B455" t="str">
        <x:v>roof_poly_colored</x:v>
      </x:c>
      <x:c r="C455" s="1533" t="n">
        <x:v>342</x:v>
      </x:c>
      <x:c r="D455" s="1533" t="n">
        <x:v>369</x:v>
      </x:c>
      <x:c r="E455" s="1533" t="n">
        <x:v>369.36</x:v>
      </x:c>
      <x:c r="F455" s="1533" t="n">
        <x:v>369</x:v>
      </x:c>
      <x:c r="G455" s="1535" t="n">
        <x:v>0</x:v>
      </x:c>
      <x:c r="H455" s="1535" t="n">
        <x:v>0</x:v>
      </x:c>
      <x:c r="I455" t="str">
        <x:v>OK — pełna zgodność</x:v>
      </x:c>
      <x:c r="J455" s="1537" t="str"/>
    </x:row>
    <x:row r="456" ht="19" customHeight="1">
      <x:c r="A456" t="str">
        <x:v>450 x 306 cm</x:v>
      </x:c>
      <x:c r="B456" t="str">
        <x:v>roof_glass_clear</x:v>
      </x:c>
      <x:c r="C456" s="1533" t="n">
        <x:v>3973</x:v>
      </x:c>
      <x:c r="D456" s="1533" t="n">
        <x:v>4291</x:v>
      </x:c>
      <x:c r="E456" s="1533" t="n">
        <x:v>4290.84</x:v>
      </x:c>
      <x:c r="F456" s="1533" t="n">
        <x:v>4291</x:v>
      </x:c>
      <x:c r="G456" s="1535" t="n">
        <x:v>0</x:v>
      </x:c>
      <x:c r="H456" s="1535" t="n">
        <x:v>0</x:v>
      </x:c>
      <x:c r="I456" t="str">
        <x:v>OK — pełna zgodność</x:v>
      </x:c>
      <x:c r="J456" s="1537" t="str"/>
    </x:row>
    <x:row r="457" ht="19" customHeight="1">
      <x:c r="A457" t="str">
        <x:v>450 x 306 cm</x:v>
      </x:c>
      <x:c r="B457" t="str">
        <x:v>roof_glass_tinted</x:v>
      </x:c>
      <x:c r="C457" s="1533" t="n">
        <x:v>4421</x:v>
      </x:c>
      <x:c r="D457" s="1533" t="n">
        <x:v>4775</x:v>
      </x:c>
      <x:c r="E457" s="1533" t="n">
        <x:v>4774.68</x:v>
      </x:c>
      <x:c r="F457" s="1533" t="n">
        <x:v>4775</x:v>
      </x:c>
      <x:c r="G457" s="1535" t="n">
        <x:v>0</x:v>
      </x:c>
      <x:c r="H457" s="1535" t="n">
        <x:v>0</x:v>
      </x:c>
      <x:c r="I457" t="str">
        <x:v>OK — pełna zgodność</x:v>
      </x:c>
      <x:c r="J457" s="1537" t="str">
        <x:v>Pozycja złożona; stary eksport mógł zaokrąglać składniki osobno.</x:v>
      </x:c>
    </x:row>
    <x:row r="458" ht="19" customHeight="1">
      <x:c r="A458" t="str">
        <x:v>450 x 306 cm</x:v>
      </x:c>
      <x:c r="B458" t="str">
        <x:v>zip_side</x:v>
      </x:c>
      <x:c r="C458" s="1533" t="n">
        <x:v>3725</x:v>
      </x:c>
      <x:c r="D458" s="1533" t="n">
        <x:v>4023</x:v>
      </x:c>
      <x:c r="E458" s="1533" t="n">
        <x:v>4023</x:v>
      </x:c>
      <x:c r="F458" s="1533" t="n">
        <x:v>4023</x:v>
      </x:c>
      <x:c r="G458" s="1535" t="n">
        <x:v>0</x:v>
      </x:c>
      <x:c r="H458" s="1535" t="n">
        <x:v>0</x:v>
      </x:c>
      <x:c r="I458" t="str">
        <x:v>OK — pełna zgodność</x:v>
      </x:c>
      <x:c r="J458" s="1537" t="str"/>
    </x:row>
    <x:row r="459" ht="19" customHeight="1">
      <x:c r="A459" t="str">
        <x:v>450 x 306 cm</x:v>
      </x:c>
      <x:c r="B459" t="str">
        <x:v>zip_front</x:v>
      </x:c>
      <x:c r="C459" s="1533" t="n">
        <x:v>2523</x:v>
      </x:c>
      <x:c r="D459" s="1533" t="n">
        <x:v>2725</x:v>
      </x:c>
      <x:c r="E459" s="1533" t="n">
        <x:v>2724.84</x:v>
      </x:c>
      <x:c r="F459" s="1533" t="n">
        <x:v>2725</x:v>
      </x:c>
      <x:c r="G459" s="1535" t="n">
        <x:v>0</x:v>
      </x:c>
      <x:c r="H459" s="1535" t="n">
        <x:v>0</x:v>
      </x:c>
      <x:c r="I459" t="str">
        <x:v>OK — pełna zgodność</x:v>
      </x:c>
      <x:c r="J459" s="1537" t="str"/>
    </x:row>
    <x:row r="460" ht="19" customHeight="1">
      <x:c r="A460" t="str">
        <x:v>450 x 306 cm</x:v>
      </x:c>
      <x:c r="B460" t="str">
        <x:v>awning</x:v>
      </x:c>
      <x:c r="C460" s="1533" t="n">
        <x:v>4810</x:v>
      </x:c>
      <x:c r="D460" s="1533" t="n">
        <x:v>5195</x:v>
      </x:c>
      <x:c r="E460" s="1533" t="n">
        <x:v>5194.8</x:v>
      </x:c>
      <x:c r="F460" s="1533" t="n">
        <x:v>5195</x:v>
      </x:c>
      <x:c r="G460" s="1535" t="n">
        <x:v>0</x:v>
      </x:c>
      <x:c r="H460" s="1535" t="n">
        <x:v>0</x:v>
      </x:c>
      <x:c r="I460" t="str">
        <x:v>OK — pełna zgodność</x:v>
      </x:c>
      <x:c r="J460" s="1537" t="str"/>
    </x:row>
    <x:row r="461" ht="19" customHeight="1">
      <x:c r="A461" t="str">
        <x:v>450 x 306 cm</x:v>
      </x:c>
      <x:c r="B461" t="str">
        <x:v>foundation</x:v>
      </x:c>
      <x:c r="C461" s="1533" t="n">
        <x:v>2075</x:v>
      </x:c>
      <x:c r="D461" s="1533" t="n">
        <x:v>2241</x:v>
      </x:c>
      <x:c r="E461" s="1533" t="n">
        <x:v>2241</x:v>
      </x:c>
      <x:c r="F461" s="1533" t="n">
        <x:v>2241</x:v>
      </x:c>
      <x:c r="G461" s="1535" t="n">
        <x:v>0</x:v>
      </x:c>
      <x:c r="H461" s="1535" t="n">
        <x:v>0</x:v>
      </x:c>
      <x:c r="I461" t="str">
        <x:v>OK — pełna zgodność</x:v>
      </x:c>
      <x:c r="J461" s="1537" t="str"/>
    </x:row>
    <x:row r="462" ht="19" customHeight="1">
      <x:c r="A462" t="str">
        <x:v>450 x 306 cm</x:v>
      </x:c>
      <x:c r="B462" t="str">
        <x:v>led_point</x:v>
      </x:c>
      <x:c r="C462" s="1533" t="n">
        <x:v>754</x:v>
      </x:c>
      <x:c r="D462" s="1533" t="n">
        <x:v>814</x:v>
      </x:c>
      <x:c r="E462" s="1533" t="n">
        <x:v>814.32</x:v>
      </x:c>
      <x:c r="F462" s="1533" t="n">
        <x:v>814</x:v>
      </x:c>
      <x:c r="G462" s="1535" t="n">
        <x:v>0</x:v>
      </x:c>
      <x:c r="H462" s="1535" t="n">
        <x:v>0</x:v>
      </x:c>
      <x:c r="I462" t="str">
        <x:v>OK — pełna zgodność</x:v>
      </x:c>
      <x:c r="J462" s="1537" t="str"/>
    </x:row>
    <x:row r="463" ht="19" customHeight="1">
      <x:c r="A463" t="str">
        <x:v>450 x 306 cm</x:v>
      </x:c>
      <x:c r="B463" t="str">
        <x:v>led_cct</x:v>
      </x:c>
      <x:c r="C463" s="1533" t="n">
        <x:v>2352</x:v>
      </x:c>
      <x:c r="D463" s="1533" t="n">
        <x:v>2540</x:v>
      </x:c>
      <x:c r="E463" s="1533" t="n">
        <x:v>2540.16</x:v>
      </x:c>
      <x:c r="F463" s="1533" t="n">
        <x:v>2540</x:v>
      </x:c>
      <x:c r="G463" s="1535" t="n">
        <x:v>0</x:v>
      </x:c>
      <x:c r="H463" s="1535" t="n">
        <x:v>0</x:v>
      </x:c>
      <x:c r="I463" t="str">
        <x:v>OK — pełna zgodność</x:v>
      </x:c>
      <x:c r="J463" s="1537" t="str"/>
    </x:row>
    <x:row r="464" ht="19" customHeight="1">
      <x:c r="A464" t="str">
        <x:v>450 x 306 cm</x:v>
      </x:c>
      <x:c r="B464" t="str">
        <x:v>brushes</x:v>
      </x:c>
      <x:c r="C464" s="1533" t="n">
        <x:v>590</x:v>
      </x:c>
      <x:c r="D464" s="1533" t="n">
        <x:v>637</x:v>
      </x:c>
      <x:c r="E464" s="1533" t="n">
        <x:v>637.2</x:v>
      </x:c>
      <x:c r="F464" s="1533" t="n">
        <x:v>637</x:v>
      </x:c>
      <x:c r="G464" s="1535" t="n">
        <x:v>0</x:v>
      </x:c>
      <x:c r="H464" s="1535" t="n">
        <x:v>0</x:v>
      </x:c>
      <x:c r="I464" t="str">
        <x:v>OK — pełna zgodność</x:v>
      </x:c>
      <x:c r="J464" s="1537" t="str"/>
    </x:row>
    <x:row r="465" ht="19" customHeight="1">
      <x:c r="A465" t="str">
        <x:v>450 x 306 cm</x:v>
      </x:c>
      <x:c r="B465" t="str">
        <x:v>handles</x:v>
      </x:c>
      <x:c r="C465" s="1533" t="n">
        <x:v>531</x:v>
      </x:c>
      <x:c r="D465" s="1533" t="n">
        <x:v>573</x:v>
      </x:c>
      <x:c r="E465" s="1533" t="n">
        <x:v>573.48</x:v>
      </x:c>
      <x:c r="F465" s="1533" t="n">
        <x:v>573</x:v>
      </x:c>
      <x:c r="G465" s="1535" t="n">
        <x:v>0</x:v>
      </x:c>
      <x:c r="H465" s="1535" t="n">
        <x:v>0</x:v>
      </x:c>
      <x:c r="I465" t="str">
        <x:v>OK — pełna zgodność</x:v>
      </x:c>
      <x:c r="J465" s="1537" t="str"/>
    </x:row>
    <x:row r="466" ht="19" customHeight="1">
      <x:c r="A466" t="str">
        <x:v>450 x 306 cm</x:v>
      </x:c>
      <x:c r="B466" t="str">
        <x:v>carriers</x:v>
      </x:c>
      <x:c r="C466" s="1533" t="n">
        <x:v>471</x:v>
      </x:c>
      <x:c r="D466" s="1533" t="n">
        <x:v>509</x:v>
      </x:c>
      <x:c r="E466" s="1533" t="n">
        <x:v>508.68</x:v>
      </x:c>
      <x:c r="F466" s="1533" t="n">
        <x:v>509</x:v>
      </x:c>
      <x:c r="G466" s="1535" t="n">
        <x:v>0</x:v>
      </x:c>
      <x:c r="H466" s="1535" t="n">
        <x:v>0</x:v>
      </x:c>
      <x:c r="I466" t="str">
        <x:v>OK — pełna zgodność</x:v>
      </x:c>
      <x:c r="J466" s="1537" t="str"/>
    </x:row>
    <x:row r="467" ht="19" customHeight="1">
      <x:c r="A467" t="str">
        <x:v>450 x 406 cm</x:v>
      </x:c>
      <x:c r="B467" t="str">
        <x:v>base_poly</x:v>
      </x:c>
      <x:c r="C467" s="1533" t="n">
        <x:v>14164</x:v>
      </x:c>
      <x:c r="D467" s="1533" t="n">
        <x:v>15297</x:v>
      </x:c>
      <x:c r="E467" s="1533" t="n">
        <x:v>15297.12</x:v>
      </x:c>
      <x:c r="F467" s="1533" t="n">
        <x:v>15297</x:v>
      </x:c>
      <x:c r="G467" s="1535" t="n">
        <x:v>0</x:v>
      </x:c>
      <x:c r="H467" s="1535" t="n">
        <x:v>0</x:v>
      </x:c>
      <x:c r="I467" t="str">
        <x:v>OK — pełna zgodność</x:v>
      </x:c>
      <x:c r="J467" s="1537" t="str"/>
    </x:row>
    <x:row r="468" ht="19" customHeight="1">
      <x:c r="A468" t="str">
        <x:v>450 x 406 cm</x:v>
      </x:c>
      <x:c r="B468" t="str">
        <x:v>walls_clear</x:v>
      </x:c>
      <x:c r="C468" s="1533" t="n">
        <x:v>19737</x:v>
      </x:c>
      <x:c r="D468" s="1533" t="n">
        <x:v>21316</x:v>
      </x:c>
      <x:c r="E468" s="1533" t="n">
        <x:v>21315.96</x:v>
      </x:c>
      <x:c r="F468" s="1533" t="n">
        <x:v>21316</x:v>
      </x:c>
      <x:c r="G468" s="1535" t="n">
        <x:v>0</x:v>
      </x:c>
      <x:c r="H468" s="1535" t="n">
        <x:v>0</x:v>
      </x:c>
      <x:c r="I468" t="str">
        <x:v>OK — pełna zgodność</x:v>
      </x:c>
      <x:c r="J468" s="1537" t="str"/>
    </x:row>
    <x:row r="469" ht="19" customHeight="1">
      <x:c r="A469" t="str">
        <x:v>450 x 406 cm</x:v>
      </x:c>
      <x:c r="B469" t="str">
        <x:v>walls_tinted</x:v>
      </x:c>
      <x:c r="C469" s="1533" t="n">
        <x:v>21718</x:v>
      </x:c>
      <x:c r="D469" s="1533" t="n">
        <x:v>23455</x:v>
      </x:c>
      <x:c r="E469" s="1533" t="n">
        <x:v>23455.44</x:v>
      </x:c>
      <x:c r="F469" s="1533" t="n">
        <x:v>23455</x:v>
      </x:c>
      <x:c r="G469" s="1535" t="n">
        <x:v>0</x:v>
      </x:c>
      <x:c r="H469" s="1535" t="n">
        <x:v>0</x:v>
      </x:c>
      <x:c r="I469" t="str">
        <x:v>OK — pełna zgodność</x:v>
      </x:c>
      <x:c r="J469" s="1537" t="str">
        <x:v>Pozycja złożona; stary eksport mógł zaokrąglać składniki osobno.</x:v>
      </x:c>
    </x:row>
    <x:row r="470" ht="19" customHeight="1">
      <x:c r="A470" t="str">
        <x:v>450 x 406 cm</x:v>
      </x:c>
      <x:c r="B470" t="str">
        <x:v>roof_poly_colored</x:v>
      </x:c>
      <x:c r="C470" s="1533" t="n">
        <x:v>448</x:v>
      </x:c>
      <x:c r="D470" s="1533" t="n">
        <x:v>484</x:v>
      </x:c>
      <x:c r="E470" s="1533" t="n">
        <x:v>483.84</x:v>
      </x:c>
      <x:c r="F470" s="1533" t="n">
        <x:v>484</x:v>
      </x:c>
      <x:c r="G470" s="1535" t="n">
        <x:v>0</x:v>
      </x:c>
      <x:c r="H470" s="1535" t="n">
        <x:v>0</x:v>
      </x:c>
      <x:c r="I470" t="str">
        <x:v>OK — pełna zgodność</x:v>
      </x:c>
      <x:c r="J470" s="1537" t="str"/>
    </x:row>
    <x:row r="471" ht="19" customHeight="1">
      <x:c r="A471" t="str">
        <x:v>450 x 406 cm</x:v>
      </x:c>
      <x:c r="B471" t="str">
        <x:v>roof_glass_clear</x:v>
      </x:c>
      <x:c r="C471" s="1533" t="n">
        <x:v>5612</x:v>
      </x:c>
      <x:c r="D471" s="1533" t="n">
        <x:v>6061</x:v>
      </x:c>
      <x:c r="E471" s="1533" t="n">
        <x:v>6060.96</x:v>
      </x:c>
      <x:c r="F471" s="1533" t="n">
        <x:v>6061</x:v>
      </x:c>
      <x:c r="G471" s="1535" t="n">
        <x:v>0</x:v>
      </x:c>
      <x:c r="H471" s="1535" t="n">
        <x:v>0</x:v>
      </x:c>
      <x:c r="I471" t="str">
        <x:v>OK — pełna zgodność</x:v>
      </x:c>
      <x:c r="J471" s="1537" t="str"/>
    </x:row>
    <x:row r="472" ht="19" customHeight="1">
      <x:c r="A472" t="str">
        <x:v>450 x 406 cm</x:v>
      </x:c>
      <x:c r="B472" t="str">
        <x:v>roof_glass_tinted</x:v>
      </x:c>
      <x:c r="C472" s="1533" t="n">
        <x:v>6202</x:v>
      </x:c>
      <x:c r="D472" s="1533" t="n">
        <x:v>6698</x:v>
      </x:c>
      <x:c r="E472" s="1533" t="n">
        <x:v>6698.16</x:v>
      </x:c>
      <x:c r="F472" s="1533" t="n">
        <x:v>6698</x:v>
      </x:c>
      <x:c r="G472" s="1535" t="n">
        <x:v>0</x:v>
      </x:c>
      <x:c r="H472" s="1535" t="n">
        <x:v>0</x:v>
      </x:c>
      <x:c r="I472" t="str">
        <x:v>OK — pełna zgodność</x:v>
      </x:c>
      <x:c r="J472" s="1537" t="str">
        <x:v>Pozycja złożona; stary eksport mógł zaokrąglać składniki osobno.</x:v>
      </x:c>
    </x:row>
    <x:row r="473" ht="19" customHeight="1">
      <x:c r="A473" t="str">
        <x:v>450 x 406 cm</x:v>
      </x:c>
      <x:c r="B473" t="str">
        <x:v>zip_side</x:v>
      </x:c>
      <x:c r="C473" s="1533" t="n">
        <x:v>3725</x:v>
      </x:c>
      <x:c r="D473" s="1533" t="n">
        <x:v>4023</x:v>
      </x:c>
      <x:c r="E473" s="1533" t="n">
        <x:v>4023</x:v>
      </x:c>
      <x:c r="F473" s="1533" t="n">
        <x:v>4023</x:v>
      </x:c>
      <x:c r="G473" s="1535" t="n">
        <x:v>0</x:v>
      </x:c>
      <x:c r="H473" s="1535" t="n">
        <x:v>0</x:v>
      </x:c>
      <x:c r="I473" t="str">
        <x:v>OK — pełna zgodność</x:v>
      </x:c>
      <x:c r="J473" s="1537" t="str"/>
    </x:row>
    <x:row r="474" ht="19" customHeight="1">
      <x:c r="A474" t="str">
        <x:v>450 x 406 cm</x:v>
      </x:c>
      <x:c r="B474" t="str">
        <x:v>zip_front</x:v>
      </x:c>
      <x:c r="C474" s="1533" t="n">
        <x:v>3112</x:v>
      </x:c>
      <x:c r="D474" s="1533" t="n">
        <x:v>3361</x:v>
      </x:c>
      <x:c r="E474" s="1533" t="n">
        <x:v>3360.96</x:v>
      </x:c>
      <x:c r="F474" s="1533" t="n">
        <x:v>3361</x:v>
      </x:c>
      <x:c r="G474" s="1535" t="n">
        <x:v>0</x:v>
      </x:c>
      <x:c r="H474" s="1535" t="n">
        <x:v>0</x:v>
      </x:c>
      <x:c r="I474" t="str">
        <x:v>OK — pełna zgodność</x:v>
      </x:c>
      <x:c r="J474" s="1537" t="str"/>
    </x:row>
    <x:row r="475" ht="19" customHeight="1">
      <x:c r="A475" t="str">
        <x:v>450 x 406 cm</x:v>
      </x:c>
      <x:c r="B475" t="str">
        <x:v>awning</x:v>
      </x:c>
      <x:c r="C475" s="1533" t="n">
        <x:v>5506</x:v>
      </x:c>
      <x:c r="D475" s="1533" t="n">
        <x:v>5946</x:v>
      </x:c>
      <x:c r="E475" s="1533" t="n">
        <x:v>5946.48</x:v>
      </x:c>
      <x:c r="F475" s="1533" t="n">
        <x:v>5946</x:v>
      </x:c>
      <x:c r="G475" s="1535" t="n">
        <x:v>0</x:v>
      </x:c>
      <x:c r="H475" s="1535" t="n">
        <x:v>0</x:v>
      </x:c>
      <x:c r="I475" t="str">
        <x:v>OK — pełna zgodność</x:v>
      </x:c>
      <x:c r="J475" s="1537" t="str"/>
    </x:row>
    <x:row r="476" ht="19" customHeight="1">
      <x:c r="A476" t="str">
        <x:v>450 x 406 cm</x:v>
      </x:c>
      <x:c r="B476" t="str">
        <x:v>foundation</x:v>
      </x:c>
      <x:c r="C476" s="1533" t="n">
        <x:v>2290</x:v>
      </x:c>
      <x:c r="D476" s="1533" t="n">
        <x:v>2473</x:v>
      </x:c>
      <x:c r="E476" s="1533" t="n">
        <x:v>2473.2</x:v>
      </x:c>
      <x:c r="F476" s="1533" t="n">
        <x:v>2473</x:v>
      </x:c>
      <x:c r="G476" s="1535" t="n">
        <x:v>0</x:v>
      </x:c>
      <x:c r="H476" s="1535" t="n">
        <x:v>0</x:v>
      </x:c>
      <x:c r="I476" t="str">
        <x:v>OK — pełna zgodność</x:v>
      </x:c>
      <x:c r="J476" s="1537" t="str"/>
    </x:row>
    <x:row r="477" ht="19" customHeight="1">
      <x:c r="A477" t="str">
        <x:v>450 x 406 cm</x:v>
      </x:c>
      <x:c r="B477" t="str">
        <x:v>led_point</x:v>
      </x:c>
      <x:c r="C477" s="1533" t="n">
        <x:v>873</x:v>
      </x:c>
      <x:c r="D477" s="1533" t="n">
        <x:v>943</x:v>
      </x:c>
      <x:c r="E477" s="1533" t="n">
        <x:v>942.84</x:v>
      </x:c>
      <x:c r="F477" s="1533" t="n">
        <x:v>943</x:v>
      </x:c>
      <x:c r="G477" s="1535" t="n">
        <x:v>0</x:v>
      </x:c>
      <x:c r="H477" s="1535" t="n">
        <x:v>0</x:v>
      </x:c>
      <x:c r="I477" t="str">
        <x:v>OK — pełna zgodność</x:v>
      </x:c>
      <x:c r="J477" s="1537" t="str"/>
    </x:row>
    <x:row r="478" ht="19" customHeight="1">
      <x:c r="A478" t="str">
        <x:v>450 x 406 cm</x:v>
      </x:c>
      <x:c r="B478" t="str">
        <x:v>led_cct</x:v>
      </x:c>
      <x:c r="C478" s="1533" t="n">
        <x:v>2647</x:v>
      </x:c>
      <x:c r="D478" s="1533" t="n">
        <x:v>2859</x:v>
      </x:c>
      <x:c r="E478" s="1533" t="n">
        <x:v>2858.76</x:v>
      </x:c>
      <x:c r="F478" s="1533" t="n">
        <x:v>2859</x:v>
      </x:c>
      <x:c r="G478" s="1535" t="n">
        <x:v>0</x:v>
      </x:c>
      <x:c r="H478" s="1535" t="n">
        <x:v>0</x:v>
      </x:c>
      <x:c r="I478" t="str">
        <x:v>OK — pełna zgodność</x:v>
      </x:c>
      <x:c r="J478" s="1537" t="str"/>
    </x:row>
    <x:row r="479" ht="19" customHeight="1">
      <x:c r="A479" t="str">
        <x:v>450 x 406 cm</x:v>
      </x:c>
      <x:c r="B479" t="str">
        <x:v>brushes</x:v>
      </x:c>
      <x:c r="C479" s="1533" t="n">
        <x:v>625</x:v>
      </x:c>
      <x:c r="D479" s="1533" t="n">
        <x:v>675</x:v>
      </x:c>
      <x:c r="E479" s="1533" t="n">
        <x:v>675</x:v>
      </x:c>
      <x:c r="F479" s="1533" t="n">
        <x:v>675</x:v>
      </x:c>
      <x:c r="G479" s="1535" t="n">
        <x:v>0</x:v>
      </x:c>
      <x:c r="H479" s="1535" t="n">
        <x:v>0</x:v>
      </x:c>
      <x:c r="I479" t="str">
        <x:v>OK — pełna zgodność</x:v>
      </x:c>
      <x:c r="J479" s="1537" t="str"/>
    </x:row>
    <x:row r="480" ht="19" customHeight="1">
      <x:c r="A480" t="str">
        <x:v>450 x 406 cm</x:v>
      </x:c>
      <x:c r="B480" t="str">
        <x:v>handles</x:v>
      </x:c>
      <x:c r="C480" s="1533" t="n">
        <x:v>566</x:v>
      </x:c>
      <x:c r="D480" s="1533" t="n">
        <x:v>611</x:v>
      </x:c>
      <x:c r="E480" s="1533" t="n">
        <x:v>611.28</x:v>
      </x:c>
      <x:c r="F480" s="1533" t="n">
        <x:v>611</x:v>
      </x:c>
      <x:c r="G480" s="1535" t="n">
        <x:v>0</x:v>
      </x:c>
      <x:c r="H480" s="1535" t="n">
        <x:v>0</x:v>
      </x:c>
      <x:c r="I480" t="str">
        <x:v>OK — pełna zgodność</x:v>
      </x:c>
      <x:c r="J480" s="1537" t="str"/>
    </x:row>
    <x:row r="481" ht="19" customHeight="1">
      <x:c r="A481" t="str">
        <x:v>450 x 406 cm</x:v>
      </x:c>
      <x:c r="B481" t="str">
        <x:v>carriers</x:v>
      </x:c>
      <x:c r="C481" s="1533" t="n">
        <x:v>519</x:v>
      </x:c>
      <x:c r="D481" s="1533" t="n">
        <x:v>561</x:v>
      </x:c>
      <x:c r="E481" s="1533" t="n">
        <x:v>560.52</x:v>
      </x:c>
      <x:c r="F481" s="1533" t="n">
        <x:v>561</x:v>
      </x:c>
      <x:c r="G481" s="1535" t="n">
        <x:v>0</x:v>
      </x:c>
      <x:c r="H481" s="1535" t="n">
        <x:v>0</x:v>
      </x:c>
      <x:c r="I481" t="str">
        <x:v>OK — pełna zgodność</x:v>
      </x:c>
      <x:c r="J481" s="1537" t="str"/>
    </x:row>
    <x:row r="482" ht="19" customHeight="1">
      <x:c r="A482" t="str">
        <x:v>450 x 506 cm</x:v>
      </x:c>
      <x:c r="B482" t="str">
        <x:v>base_poly</x:v>
      </x:c>
      <x:c r="C482" s="1533" t="n">
        <x:v>17016</x:v>
      </x:c>
      <x:c r="D482" s="1533" t="n">
        <x:v>18377</x:v>
      </x:c>
      <x:c r="E482" s="1533" t="n">
        <x:v>18377.28</x:v>
      </x:c>
      <x:c r="F482" s="1533" t="n">
        <x:v>18377</x:v>
      </x:c>
      <x:c r="G482" s="1535" t="n">
        <x:v>0</x:v>
      </x:c>
      <x:c r="H482" s="1535" t="n">
        <x:v>0</x:v>
      </x:c>
      <x:c r="I482" t="str">
        <x:v>OK — pełna zgodność</x:v>
      </x:c>
      <x:c r="J482" s="1537" t="str"/>
    </x:row>
    <x:row r="483" ht="19" customHeight="1">
      <x:c r="A483" t="str">
        <x:v>450 x 506 cm</x:v>
      </x:c>
      <x:c r="B483" t="str">
        <x:v>walls_clear</x:v>
      </x:c>
      <x:c r="C483" s="1533" t="n">
        <x:v>21147</x:v>
      </x:c>
      <x:c r="D483" s="1533" t="n">
        <x:v>22839</x:v>
      </x:c>
      <x:c r="E483" s="1533" t="n">
        <x:v>22838.76</x:v>
      </x:c>
      <x:c r="F483" s="1533" t="n">
        <x:v>22839</x:v>
      </x:c>
      <x:c r="G483" s="1535" t="n">
        <x:v>0</x:v>
      </x:c>
      <x:c r="H483" s="1535" t="n">
        <x:v>0</x:v>
      </x:c>
      <x:c r="I483" t="str">
        <x:v>OK — pełna zgodność</x:v>
      </x:c>
      <x:c r="J483" s="1537" t="str"/>
    </x:row>
    <x:row r="484" ht="19" customHeight="1">
      <x:c r="A484" t="str">
        <x:v>450 x 506 cm</x:v>
      </x:c>
      <x:c r="B484" t="str">
        <x:v>walls_tinted</x:v>
      </x:c>
      <x:c r="C484" s="1533" t="n">
        <x:v>23268</x:v>
      </x:c>
      <x:c r="D484" s="1533" t="n">
        <x:v>25130</x:v>
      </x:c>
      <x:c r="E484" s="1533" t="n">
        <x:v>25129.44</x:v>
      </x:c>
      <x:c r="F484" s="1533" t="n">
        <x:v>25129</x:v>
      </x:c>
      <x:c r="G484" s="1535" t="n">
        <x:v>-1</x:v>
      </x:c>
      <x:c r="H484" s="1535" t="n">
        <x:v>1</x:v>
      </x:c>
      <x:c r="I484" t="str">
        <x:v>OK — zaokrąglenie ±1 zł</x:v>
      </x:c>
      <x:c r="J484" s="1537" t="str">
        <x:v>Pozycja złożona; stary eksport mógł zaokrąglać składniki osobno.</x:v>
      </x:c>
    </x:row>
    <x:row r="485" ht="19" customHeight="1">
      <x:c r="A485" t="str">
        <x:v>450 x 506 cm</x:v>
      </x:c>
      <x:c r="B485" t="str">
        <x:v>roof_poly_colored</x:v>
      </x:c>
      <x:c r="C485" s="1533" t="n">
        <x:v>566</x:v>
      </x:c>
      <x:c r="D485" s="1533" t="n">
        <x:v>611</x:v>
      </x:c>
      <x:c r="E485" s="1533" t="n">
        <x:v>611.28</x:v>
      </x:c>
      <x:c r="F485" s="1533" t="n">
        <x:v>611</x:v>
      </x:c>
      <x:c r="G485" s="1535" t="n">
        <x:v>0</x:v>
      </x:c>
      <x:c r="H485" s="1535" t="n">
        <x:v>0</x:v>
      </x:c>
      <x:c r="I485" t="str">
        <x:v>OK — pełna zgodność</x:v>
      </x:c>
      <x:c r="J485" s="1537" t="str"/>
    </x:row>
    <x:row r="486" ht="19" customHeight="1">
      <x:c r="A486" t="str">
        <x:v>450 x 506 cm</x:v>
      </x:c>
      <x:c r="B486" t="str">
        <x:v>roof_glass_clear</x:v>
      </x:c>
      <x:c r="C486" s="1533" t="n">
        <x:v>7262</x:v>
      </x:c>
      <x:c r="D486" s="1533" t="n">
        <x:v>7843</x:v>
      </x:c>
      <x:c r="E486" s="1533" t="n">
        <x:v>7842.96</x:v>
      </x:c>
      <x:c r="F486" s="1533" t="n">
        <x:v>7843</x:v>
      </x:c>
      <x:c r="G486" s="1535" t="n">
        <x:v>0</x:v>
      </x:c>
      <x:c r="H486" s="1535" t="n">
        <x:v>0</x:v>
      </x:c>
      <x:c r="I486" t="str">
        <x:v>OK — pełna zgodność</x:v>
      </x:c>
      <x:c r="J486" s="1537" t="str"/>
    </x:row>
    <x:row r="487" ht="19" customHeight="1">
      <x:c r="A487" t="str">
        <x:v>450 x 506 cm</x:v>
      </x:c>
      <x:c r="B487" t="str">
        <x:v>roof_glass_tinted</x:v>
      </x:c>
      <x:c r="C487" s="1533" t="n">
        <x:v>8004</x:v>
      </x:c>
      <x:c r="D487" s="1533" t="n">
        <x:v>8644</x:v>
      </x:c>
      <x:c r="E487" s="1533" t="n">
        <x:v>8644.32</x:v>
      </x:c>
      <x:c r="F487" s="1533" t="n">
        <x:v>8644</x:v>
      </x:c>
      <x:c r="G487" s="1535" t="n">
        <x:v>0</x:v>
      </x:c>
      <x:c r="H487" s="1535" t="n">
        <x:v>0</x:v>
      </x:c>
      <x:c r="I487" t="str">
        <x:v>OK — pełna zgodność</x:v>
      </x:c>
      <x:c r="J487" s="1537" t="str">
        <x:v>Pozycja złożona; stary eksport mógł zaokrąglać składniki osobno.</x:v>
      </x:c>
    </x:row>
    <x:row r="488" ht="19" customHeight="1">
      <x:c r="A488" t="str">
        <x:v>450 x 506 cm</x:v>
      </x:c>
      <x:c r="B488" t="str">
        <x:v>zip_side</x:v>
      </x:c>
      <x:c r="C488" s="1533" t="n">
        <x:v>3725</x:v>
      </x:c>
      <x:c r="D488" s="1533" t="n">
        <x:v>4023</x:v>
      </x:c>
      <x:c r="E488" s="1533" t="n">
        <x:v>4023</x:v>
      </x:c>
      <x:c r="F488" s="1533" t="n">
        <x:v>4023</x:v>
      </x:c>
      <x:c r="G488" s="1535" t="n">
        <x:v>0</x:v>
      </x:c>
      <x:c r="H488" s="1535" t="n">
        <x:v>0</x:v>
      </x:c>
      <x:c r="I488" t="str">
        <x:v>OK — pełna zgodność</x:v>
      </x:c>
      <x:c r="J488" s="1537" t="str"/>
    </x:row>
    <x:row r="489" ht="19" customHeight="1">
      <x:c r="A489" t="str">
        <x:v>450 x 506 cm</x:v>
      </x:c>
      <x:c r="B489" t="str">
        <x:v>zip_front</x:v>
      </x:c>
      <x:c r="C489" s="1533" t="n">
        <x:v>4362</x:v>
      </x:c>
      <x:c r="D489" s="1533" t="n">
        <x:v>4711</x:v>
      </x:c>
      <x:c r="E489" s="1533" t="n">
        <x:v>4710.96</x:v>
      </x:c>
      <x:c r="F489" s="1533" t="n">
        <x:v>4711</x:v>
      </x:c>
      <x:c r="G489" s="1535" t="n">
        <x:v>0</x:v>
      </x:c>
      <x:c r="H489" s="1535" t="n">
        <x:v>0</x:v>
      </x:c>
      <x:c r="I489" t="str">
        <x:v>OK — pełna zgodność</x:v>
      </x:c>
      <x:c r="J489" s="1537" t="str"/>
    </x:row>
    <x:row r="490" ht="19" customHeight="1">
      <x:c r="A490" t="str">
        <x:v>450 x 506 cm</x:v>
      </x:c>
      <x:c r="B490" t="str">
        <x:v>awning</x:v>
      </x:c>
      <x:c r="C490" s="1533" t="n">
        <x:v>6390</x:v>
      </x:c>
      <x:c r="D490" s="1533" t="n">
        <x:v>6901</x:v>
      </x:c>
      <x:c r="E490" s="1533" t="n">
        <x:v>6901.2</x:v>
      </x:c>
      <x:c r="F490" s="1533" t="n">
        <x:v>6901</x:v>
      </x:c>
      <x:c r="G490" s="1535" t="n">
        <x:v>0</x:v>
      </x:c>
      <x:c r="H490" s="1535" t="n">
        <x:v>0</x:v>
      </x:c>
      <x:c r="I490" t="str">
        <x:v>OK — pełna zgodność</x:v>
      </x:c>
      <x:c r="J490" s="1537" t="str"/>
    </x:row>
    <x:row r="491" ht="19" customHeight="1">
      <x:c r="A491" t="str">
        <x:v>450 x 506 cm</x:v>
      </x:c>
      <x:c r="B491" t="str">
        <x:v>foundation</x:v>
      </x:c>
      <x:c r="C491" s="1533" t="n">
        <x:v>2521</x:v>
      </x:c>
      <x:c r="D491" s="1533" t="n">
        <x:v>2723</x:v>
      </x:c>
      <x:c r="E491" s="1533" t="n">
        <x:v>2722.68</x:v>
      </x:c>
      <x:c r="F491" s="1533" t="n">
        <x:v>2723</x:v>
      </x:c>
      <x:c r="G491" s="1535" t="n">
        <x:v>0</x:v>
      </x:c>
      <x:c r="H491" s="1535" t="n">
        <x:v>0</x:v>
      </x:c>
      <x:c r="I491" t="str">
        <x:v>OK — pełna zgodność</x:v>
      </x:c>
      <x:c r="J491" s="1537" t="str"/>
    </x:row>
    <x:row r="492" ht="19" customHeight="1">
      <x:c r="A492" t="str">
        <x:v>450 x 506 cm</x:v>
      </x:c>
      <x:c r="B492" t="str">
        <x:v>led_point</x:v>
      </x:c>
      <x:c r="C492" s="1533" t="n">
        <x:v>1131</x:v>
      </x:c>
      <x:c r="D492" s="1533" t="n">
        <x:v>1221</x:v>
      </x:c>
      <x:c r="E492" s="1533" t="n">
        <x:v>1221.48</x:v>
      </x:c>
      <x:c r="F492" s="1533" t="n">
        <x:v>1221</x:v>
      </x:c>
      <x:c r="G492" s="1535" t="n">
        <x:v>0</x:v>
      </x:c>
      <x:c r="H492" s="1535" t="n">
        <x:v>0</x:v>
      </x:c>
      <x:c r="I492" t="str">
        <x:v>OK — pełna zgodność</x:v>
      </x:c>
      <x:c r="J492" s="1537" t="str"/>
    </x:row>
    <x:row r="493" ht="19" customHeight="1">
      <x:c r="A493" t="str">
        <x:v>450 x 506 cm</x:v>
      </x:c>
      <x:c r="B493" t="str">
        <x:v>led_cct</x:v>
      </x:c>
      <x:c r="C493" s="1533" t="n">
        <x:v>2916</x:v>
      </x:c>
      <x:c r="D493" s="1533" t="n">
        <x:v>3149</x:v>
      </x:c>
      <x:c r="E493" s="1533" t="n">
        <x:v>3149.28</x:v>
      </x:c>
      <x:c r="F493" s="1533" t="n">
        <x:v>3149</x:v>
      </x:c>
      <x:c r="G493" s="1535" t="n">
        <x:v>0</x:v>
      </x:c>
      <x:c r="H493" s="1535" t="n">
        <x:v>0</x:v>
      </x:c>
      <x:c r="I493" t="str">
        <x:v>OK — pełna zgodność</x:v>
      </x:c>
      <x:c r="J493" s="1537" t="str"/>
    </x:row>
    <x:row r="494" ht="19" customHeight="1">
      <x:c r="A494" t="str">
        <x:v>450 x 506 cm</x:v>
      </x:c>
      <x:c r="B494" t="str">
        <x:v>brushes</x:v>
      </x:c>
      <x:c r="C494" s="1533" t="n">
        <x:v>671</x:v>
      </x:c>
      <x:c r="D494" s="1533" t="n">
        <x:v>725</x:v>
      </x:c>
      <x:c r="E494" s="1533" t="n">
        <x:v>724.68</x:v>
      </x:c>
      <x:c r="F494" s="1533" t="n">
        <x:v>725</x:v>
      </x:c>
      <x:c r="G494" s="1535" t="n">
        <x:v>0</x:v>
      </x:c>
      <x:c r="H494" s="1535" t="n">
        <x:v>0</x:v>
      </x:c>
      <x:c r="I494" t="str">
        <x:v>OK — pełna zgodność</x:v>
      </x:c>
      <x:c r="J494" s="1537" t="str"/>
    </x:row>
    <x:row r="495" ht="19" customHeight="1">
      <x:c r="A495" t="str">
        <x:v>450 x 506 cm</x:v>
      </x:c>
      <x:c r="B495" t="str">
        <x:v>handles</x:v>
      </x:c>
      <x:c r="C495" s="1533" t="n">
        <x:v>613</x:v>
      </x:c>
      <x:c r="D495" s="1533" t="n">
        <x:v>662</x:v>
      </x:c>
      <x:c r="E495" s="1533" t="n">
        <x:v>662.04</x:v>
      </x:c>
      <x:c r="F495" s="1533" t="n">
        <x:v>662</x:v>
      </x:c>
      <x:c r="G495" s="1535" t="n">
        <x:v>0</x:v>
      </x:c>
      <x:c r="H495" s="1535" t="n">
        <x:v>0</x:v>
      </x:c>
      <x:c r="I495" t="str">
        <x:v>OK — pełna zgodność</x:v>
      </x:c>
      <x:c r="J495" s="1537" t="str"/>
    </x:row>
    <x:row r="496" ht="19" customHeight="1">
      <x:c r="A496" t="str">
        <x:v>450 x 506 cm</x:v>
      </x:c>
      <x:c r="B496" t="str">
        <x:v>carriers</x:v>
      </x:c>
      <x:c r="C496" s="1533" t="n">
        <x:v>519</x:v>
      </x:c>
      <x:c r="D496" s="1533" t="n">
        <x:v>561</x:v>
      </x:c>
      <x:c r="E496" s="1533" t="n">
        <x:v>560.52</x:v>
      </x:c>
      <x:c r="F496" s="1533" t="n">
        <x:v>561</x:v>
      </x:c>
      <x:c r="G496" s="1535" t="n">
        <x:v>0</x:v>
      </x:c>
      <x:c r="H496" s="1535" t="n">
        <x:v>0</x:v>
      </x:c>
      <x:c r="I496" t="str">
        <x:v>OK — pełna zgodność</x:v>
      </x:c>
      <x:c r="J496" s="1537" t="str"/>
    </x:row>
    <x:row r="497" ht="19" customHeight="1">
      <x:c r="A497" t="str">
        <x:v>450 x 606 cm</x:v>
      </x:c>
      <x:c r="B497" t="str">
        <x:v>base_poly</x:v>
      </x:c>
      <x:c r="C497" s="1533" t="n">
        <x:v>19490</x:v>
      </x:c>
      <x:c r="D497" s="1533" t="n">
        <x:v>21049</x:v>
      </x:c>
      <x:c r="E497" s="1533" t="n">
        <x:v>21049.2</x:v>
      </x:c>
      <x:c r="F497" s="1533" t="n">
        <x:v>21049</x:v>
      </x:c>
      <x:c r="G497" s="1535" t="n">
        <x:v>0</x:v>
      </x:c>
      <x:c r="H497" s="1535" t="n">
        <x:v>0</x:v>
      </x:c>
      <x:c r="I497" t="str">
        <x:v>OK — pełna zgodność</x:v>
      </x:c>
      <x:c r="J497" s="1537" t="str"/>
    </x:row>
    <x:row r="498" ht="19" customHeight="1">
      <x:c r="A498" t="str">
        <x:v>450 x 606 cm</x:v>
      </x:c>
      <x:c r="B498" t="str">
        <x:v>walls_clear</x:v>
      </x:c>
      <x:c r="C498" s="1533" t="n">
        <x:v>22626</x:v>
      </x:c>
      <x:c r="D498" s="1533" t="n">
        <x:v>24436</x:v>
      </x:c>
      <x:c r="E498" s="1533" t="n">
        <x:v>24436.08</x:v>
      </x:c>
      <x:c r="F498" s="1533" t="n">
        <x:v>24436</x:v>
      </x:c>
      <x:c r="G498" s="1535" t="n">
        <x:v>0</x:v>
      </x:c>
      <x:c r="H498" s="1535" t="n">
        <x:v>0</x:v>
      </x:c>
      <x:c r="I498" t="str">
        <x:v>OK — pełna zgodność</x:v>
      </x:c>
      <x:c r="J498" s="1537" t="str"/>
    </x:row>
    <x:row r="499" ht="19" customHeight="1">
      <x:c r="A499" t="str">
        <x:v>450 x 606 cm</x:v>
      </x:c>
      <x:c r="B499" t="str">
        <x:v>walls_tinted</x:v>
      </x:c>
      <x:c r="C499" s="1533" t="n">
        <x:v>24889</x:v>
      </x:c>
      <x:c r="D499" s="1533" t="n">
        <x:v>26880</x:v>
      </x:c>
      <x:c r="E499" s="1533" t="n">
        <x:v>26880.12</x:v>
      </x:c>
      <x:c r="F499" s="1533" t="n">
        <x:v>26880</x:v>
      </x:c>
      <x:c r="G499" s="1535" t="n">
        <x:v>0</x:v>
      </x:c>
      <x:c r="H499" s="1535" t="n">
        <x:v>0</x:v>
      </x:c>
      <x:c r="I499" t="str">
        <x:v>OK — pełna zgodność</x:v>
      </x:c>
      <x:c r="J499" s="1537" t="str">
        <x:v>Pozycja złożona; stary eksport mógł zaokrąglać składniki osobno.</x:v>
      </x:c>
    </x:row>
    <x:row r="500" ht="19" customHeight="1">
      <x:c r="A500" t="str">
        <x:v>450 x 606 cm</x:v>
      </x:c>
      <x:c r="B500" t="str">
        <x:v>roof_poly_colored</x:v>
      </x:c>
      <x:c r="C500" s="1533" t="n">
        <x:v>684</x:v>
      </x:c>
      <x:c r="D500" s="1533" t="n">
        <x:v>739</x:v>
      </x:c>
      <x:c r="E500" s="1533" t="n">
        <x:v>738.72</x:v>
      </x:c>
      <x:c r="F500" s="1533" t="n">
        <x:v>739</x:v>
      </x:c>
      <x:c r="G500" s="1535" t="n">
        <x:v>0</x:v>
      </x:c>
      <x:c r="H500" s="1535" t="n">
        <x:v>0</x:v>
      </x:c>
      <x:c r="I500" t="str">
        <x:v>OK — pełna zgodność</x:v>
      </x:c>
      <x:c r="J500" s="1537" t="str"/>
    </x:row>
    <x:row r="501" ht="19" customHeight="1">
      <x:c r="A501" t="str">
        <x:v>450 x 606 cm</x:v>
      </x:c>
      <x:c r="B501" t="str">
        <x:v>roof_glass_clear</x:v>
      </x:c>
      <x:c r="C501" s="1533" t="n">
        <x:v>8889</x:v>
      </x:c>
      <x:c r="D501" s="1533" t="n">
        <x:v>9599</x:v>
      </x:c>
      <x:c r="E501" s="1533" t="n">
        <x:v>9600.12</x:v>
      </x:c>
      <x:c r="F501" s="1533" t="n">
        <x:v>9600</x:v>
      </x:c>
      <x:c r="G501" s="1535" t="n">
        <x:v>1</x:v>
      </x:c>
      <x:c r="H501" s="1535" t="n">
        <x:v>1</x:v>
      </x:c>
      <x:c r="I501" t="str">
        <x:v>OK — zaokrąglenie ±1 zł</x:v>
      </x:c>
      <x:c r="J501" s="1537" t="str"/>
    </x:row>
    <x:row r="502" ht="19" customHeight="1">
      <x:c r="A502" t="str">
        <x:v>450 x 606 cm</x:v>
      </x:c>
      <x:c r="B502" t="str">
        <x:v>roof_glass_tinted</x:v>
      </x:c>
      <x:c r="C502" s="1533" t="n">
        <x:v>9785</x:v>
      </x:c>
      <x:c r="D502" s="1533" t="n">
        <x:v>10567</x:v>
      </x:c>
      <x:c r="E502" s="1533" t="n">
        <x:v>10567.8</x:v>
      </x:c>
      <x:c r="F502" s="1533" t="n">
        <x:v>10568</x:v>
      </x:c>
      <x:c r="G502" s="1535" t="n">
        <x:v>1</x:v>
      </x:c>
      <x:c r="H502" s="1535" t="n">
        <x:v>1</x:v>
      </x:c>
      <x:c r="I502" t="str">
        <x:v>OK — zaokrąglenie ±1 zł</x:v>
      </x:c>
      <x:c r="J502" s="1537" t="str">
        <x:v>Pozycja złożona; stary eksport mógł zaokrąglać składniki osobno.</x:v>
      </x:c>
    </x:row>
    <x:row r="503" ht="19" customHeight="1">
      <x:c r="A503" t="str">
        <x:v>450 x 606 cm</x:v>
      </x:c>
      <x:c r="B503" t="str">
        <x:v>zip_side</x:v>
      </x:c>
      <x:c r="C503" s="1533" t="n">
        <x:v>3725</x:v>
      </x:c>
      <x:c r="D503" s="1533" t="n">
        <x:v>4023</x:v>
      </x:c>
      <x:c r="E503" s="1533" t="n">
        <x:v>4023</x:v>
      </x:c>
      <x:c r="F503" s="1533" t="n">
        <x:v>4023</x:v>
      </x:c>
      <x:c r="G503" s="1535" t="n">
        <x:v>0</x:v>
      </x:c>
      <x:c r="H503" s="1535" t="n">
        <x:v>0</x:v>
      </x:c>
      <x:c r="I503" t="str">
        <x:v>OK — pełna zgodność</x:v>
      </x:c>
      <x:c r="J503" s="1537" t="str"/>
    </x:row>
    <x:row r="504" ht="19" customHeight="1">
      <x:c r="A504" t="str">
        <x:v>450 x 606 cm</x:v>
      </x:c>
      <x:c r="B504" t="str">
        <x:v>zip_front</x:v>
      </x:c>
      <x:c r="C504" s="1533" t="n">
        <x:v>5034</x:v>
      </x:c>
      <x:c r="D504" s="1533" t="n">
        <x:v>5437</x:v>
      </x:c>
      <x:c r="E504" s="1533" t="n">
        <x:v>5436.72</x:v>
      </x:c>
      <x:c r="F504" s="1533" t="n">
        <x:v>5437</x:v>
      </x:c>
      <x:c r="G504" s="1535" t="n">
        <x:v>0</x:v>
      </x:c>
      <x:c r="H504" s="1535" t="n">
        <x:v>0</x:v>
      </x:c>
      <x:c r="I504" t="str">
        <x:v>OK — pełna zgodność</x:v>
      </x:c>
      <x:c r="J504" s="1537" t="str"/>
    </x:row>
    <x:row r="505" ht="19" customHeight="1">
      <x:c r="A505" t="str">
        <x:v>450 x 606 cm</x:v>
      </x:c>
      <x:c r="B505" t="str">
        <x:v>awning</x:v>
      </x:c>
      <x:c r="C505" s="1533" t="n">
        <x:v>9619</x:v>
      </x:c>
      <x:c r="D505" s="1533" t="n">
        <x:v>10389</x:v>
      </x:c>
      <x:c r="E505" s="1533" t="n">
        <x:v>10388.52</x:v>
      </x:c>
      <x:c r="F505" s="1533" t="n">
        <x:v>10389</x:v>
      </x:c>
      <x:c r="G505" s="1535" t="n">
        <x:v>0</x:v>
      </x:c>
      <x:c r="H505" s="1535" t="n">
        <x:v>0</x:v>
      </x:c>
      <x:c r="I505" t="str">
        <x:v>OK — pełna zgodność</x:v>
      </x:c>
      <x:c r="J505" s="1537" t="str"/>
    </x:row>
    <x:row r="506" ht="19" customHeight="1">
      <x:c r="A506" t="str">
        <x:v>450 x 606 cm</x:v>
      </x:c>
      <x:c r="B506" t="str">
        <x:v>foundation</x:v>
      </x:c>
      <x:c r="C506" s="1533" t="n">
        <x:v>3040</x:v>
      </x:c>
      <x:c r="D506" s="1533" t="n">
        <x:v>3283</x:v>
      </x:c>
      <x:c r="E506" s="1533" t="n">
        <x:v>3283.2</x:v>
      </x:c>
      <x:c r="F506" s="1533" t="n">
        <x:v>3283</x:v>
      </x:c>
      <x:c r="G506" s="1535" t="n">
        <x:v>0</x:v>
      </x:c>
      <x:c r="H506" s="1535" t="n">
        <x:v>0</x:v>
      </x:c>
      <x:c r="I506" t="str">
        <x:v>OK — pełna zgodność</x:v>
      </x:c>
      <x:c r="J506" s="1537" t="str"/>
    </x:row>
    <x:row r="507" ht="19" customHeight="1">
      <x:c r="A507" t="str">
        <x:v>450 x 606 cm</x:v>
      </x:c>
      <x:c r="B507" t="str">
        <x:v>led_point</x:v>
      </x:c>
      <x:c r="C507" s="1533" t="n">
        <x:v>1285</x:v>
      </x:c>
      <x:c r="D507" s="1533" t="n">
        <x:v>1388</x:v>
      </x:c>
      <x:c r="E507" s="1533" t="n">
        <x:v>1387.8</x:v>
      </x:c>
      <x:c r="F507" s="1533" t="n">
        <x:v>1388</x:v>
      </x:c>
      <x:c r="G507" s="1535" t="n">
        <x:v>0</x:v>
      </x:c>
      <x:c r="H507" s="1535" t="n">
        <x:v>0</x:v>
      </x:c>
      <x:c r="I507" t="str">
        <x:v>OK — pełna zgodność</x:v>
      </x:c>
      <x:c r="J507" s="1537" t="str"/>
    </x:row>
    <x:row r="508" ht="19" customHeight="1">
      <x:c r="A508" t="str">
        <x:v>450 x 606 cm</x:v>
      </x:c>
      <x:c r="B508" t="str">
        <x:v>led_cct</x:v>
      </x:c>
      <x:c r="C508" s="1533" t="n">
        <x:v>3287</x:v>
      </x:c>
      <x:c r="D508" s="1533" t="n">
        <x:v>3550</x:v>
      </x:c>
      <x:c r="E508" s="1533" t="n">
        <x:v>3549.96</x:v>
      </x:c>
      <x:c r="F508" s="1533" t="n">
        <x:v>3550</x:v>
      </x:c>
      <x:c r="G508" s="1535" t="n">
        <x:v>0</x:v>
      </x:c>
      <x:c r="H508" s="1535" t="n">
        <x:v>0</x:v>
      </x:c>
      <x:c r="I508" t="str">
        <x:v>OK — pełna zgodność</x:v>
      </x:c>
      <x:c r="J508" s="1537" t="str"/>
    </x:row>
    <x:row r="509" ht="19" customHeight="1">
      <x:c r="A509" t="str">
        <x:v>450 x 606 cm</x:v>
      </x:c>
      <x:c r="B509" t="str">
        <x:v>brushes</x:v>
      </x:c>
      <x:c r="C509" s="1533" t="n">
        <x:v>719</x:v>
      </x:c>
      <x:c r="D509" s="1533" t="n">
        <x:v>777</x:v>
      </x:c>
      <x:c r="E509" s="1533" t="n">
        <x:v>776.52</x:v>
      </x:c>
      <x:c r="F509" s="1533" t="n">
        <x:v>777</x:v>
      </x:c>
      <x:c r="G509" s="1535" t="n">
        <x:v>0</x:v>
      </x:c>
      <x:c r="H509" s="1535" t="n">
        <x:v>0</x:v>
      </x:c>
      <x:c r="I509" t="str">
        <x:v>OK — pełna zgodność</x:v>
      </x:c>
      <x:c r="J509" s="1537" t="str"/>
    </x:row>
    <x:row r="510" ht="19" customHeight="1">
      <x:c r="A510" t="str">
        <x:v>450 x 606 cm</x:v>
      </x:c>
      <x:c r="B510" t="str">
        <x:v>handles</x:v>
      </x:c>
      <x:c r="C510" s="1533" t="n">
        <x:v>648</x:v>
      </x:c>
      <x:c r="D510" s="1533" t="n">
        <x:v>700</x:v>
      </x:c>
      <x:c r="E510" s="1533" t="n">
        <x:v>699.84</x:v>
      </x:c>
      <x:c r="F510" s="1533" t="n">
        <x:v>700</x:v>
      </x:c>
      <x:c r="G510" s="1535" t="n">
        <x:v>0</x:v>
      </x:c>
      <x:c r="H510" s="1535" t="n">
        <x:v>0</x:v>
      </x:c>
      <x:c r="I510" t="str">
        <x:v>OK — pełna zgodność</x:v>
      </x:c>
      <x:c r="J510" s="1537" t="str"/>
    </x:row>
    <x:row r="511" ht="19" customHeight="1">
      <x:c r="A511" t="str">
        <x:v>450 x 606 cm</x:v>
      </x:c>
      <x:c r="B511" t="str">
        <x:v>carriers</x:v>
      </x:c>
      <x:c r="C511" s="1533" t="n">
        <x:v>566</x:v>
      </x:c>
      <x:c r="D511" s="1533" t="n">
        <x:v>611</x:v>
      </x:c>
      <x:c r="E511" s="1533" t="n">
        <x:v>611.28</x:v>
      </x:c>
      <x:c r="F511" s="1533" t="n">
        <x:v>611</x:v>
      </x:c>
      <x:c r="G511" s="1535" t="n">
        <x:v>0</x:v>
      </x:c>
      <x:c r="H511" s="1535" t="n">
        <x:v>0</x:v>
      </x:c>
      <x:c r="I511" t="str">
        <x:v>OK — pełna zgodność</x:v>
      </x:c>
      <x:c r="J511" s="1537" t="str"/>
    </x:row>
    <x:row r="512" ht="19" customHeight="1">
      <x:c r="A512" t="str">
        <x:v>450 x 706 cm</x:v>
      </x:c>
      <x:c r="B512" t="str">
        <x:v>base_poly</x:v>
      </x:c>
      <x:c r="C512" s="1533" t="n">
        <x:v>23330</x:v>
      </x:c>
      <x:c r="D512" s="1533" t="n">
        <x:v>25196</x:v>
      </x:c>
      <x:c r="E512" s="1533" t="n">
        <x:v>25196.4</x:v>
      </x:c>
      <x:c r="F512" s="1533" t="n">
        <x:v>25196</x:v>
      </x:c>
      <x:c r="G512" s="1535" t="n">
        <x:v>0</x:v>
      </x:c>
      <x:c r="H512" s="1535" t="n">
        <x:v>0</x:v>
      </x:c>
      <x:c r="I512" t="str">
        <x:v>OK — pełna zgodność</x:v>
      </x:c>
      <x:c r="J512" s="1537" t="str"/>
    </x:row>
    <x:row r="513" ht="19" customHeight="1">
      <x:c r="A513" t="str">
        <x:v>450 x 706 cm</x:v>
      </x:c>
      <x:c r="B513" t="str">
        <x:v>walls_clear</x:v>
      </x:c>
      <x:c r="C513" s="1533" t="n">
        <x:v>22718</x:v>
      </x:c>
      <x:c r="D513" s="1533" t="n">
        <x:v>24535</x:v>
      </x:c>
      <x:c r="E513" s="1533" t="n">
        <x:v>24535.44</x:v>
      </x:c>
      <x:c r="F513" s="1533" t="n">
        <x:v>24535</x:v>
      </x:c>
      <x:c r="G513" s="1535" t="n">
        <x:v>0</x:v>
      </x:c>
      <x:c r="H513" s="1535" t="n">
        <x:v>0</x:v>
      </x:c>
      <x:c r="I513" t="str">
        <x:v>OK — pełna zgodność</x:v>
      </x:c>
      <x:c r="J513" s="1537" t="str"/>
    </x:row>
    <x:row r="514" ht="19" customHeight="1">
      <x:c r="A514" t="str">
        <x:v>450 x 706 cm</x:v>
      </x:c>
      <x:c r="B514" t="str">
        <x:v>walls_tinted</x:v>
      </x:c>
      <x:c r="C514" s="1533" t="n">
        <x:v>25124</x:v>
      </x:c>
      <x:c r="D514" s="1533" t="n">
        <x:v>27133</x:v>
      </x:c>
      <x:c r="E514" s="1533" t="n">
        <x:v>27133.92</x:v>
      </x:c>
      <x:c r="F514" s="1533" t="n">
        <x:v>27134</x:v>
      </x:c>
      <x:c r="G514" s="1535" t="n">
        <x:v>1</x:v>
      </x:c>
      <x:c r="H514" s="1535" t="n">
        <x:v>1</x:v>
      </x:c>
      <x:c r="I514" t="str">
        <x:v>OK — zaokrąglenie ±1 zł</x:v>
      </x:c>
      <x:c r="J514" s="1537" t="str">
        <x:v>Pozycja złożona; stary eksport mógł zaokrąglać składniki osobno.</x:v>
      </x:c>
    </x:row>
    <x:row r="515" ht="19" customHeight="1">
      <x:c r="A515" t="str">
        <x:v>450 x 706 cm</x:v>
      </x:c>
      <x:c r="B515" t="str">
        <x:v>roof_poly_colored</x:v>
      </x:c>
      <x:c r="C515" s="1533" t="n">
        <x:v>790</x:v>
      </x:c>
      <x:c r="D515" s="1533" t="n">
        <x:v>853</x:v>
      </x:c>
      <x:c r="E515" s="1533" t="n">
        <x:v>853.2</x:v>
      </x:c>
      <x:c r="F515" s="1533" t="n">
        <x:v>853</x:v>
      </x:c>
      <x:c r="G515" s="1535" t="n">
        <x:v>0</x:v>
      </x:c>
      <x:c r="H515" s="1535" t="n">
        <x:v>0</x:v>
      </x:c>
      <x:c r="I515" t="str">
        <x:v>OK — pełna zgodność</x:v>
      </x:c>
      <x:c r="J515" s="1537" t="str"/>
    </x:row>
    <x:row r="516" ht="19" customHeight="1">
      <x:c r="A516" t="str">
        <x:v>450 x 706 cm</x:v>
      </x:c>
      <x:c r="B516" t="str">
        <x:v>roof_glass_clear</x:v>
      </x:c>
      <x:c r="C516" s="1533" t="n">
        <x:v>10527</x:v>
      </x:c>
      <x:c r="D516" s="1533" t="n">
        <x:v>11369</x:v>
      </x:c>
      <x:c r="E516" s="1533" t="n">
        <x:v>11369.16</x:v>
      </x:c>
      <x:c r="F516" s="1533" t="n">
        <x:v>11369</x:v>
      </x:c>
      <x:c r="G516" s="1535" t="n">
        <x:v>0</x:v>
      </x:c>
      <x:c r="H516" s="1535" t="n">
        <x:v>0</x:v>
      </x:c>
      <x:c r="I516" t="str">
        <x:v>OK — pełna zgodność</x:v>
      </x:c>
      <x:c r="J516" s="1537" t="str"/>
    </x:row>
    <x:row r="517" ht="19" customHeight="1">
      <x:c r="A517" t="str">
        <x:v>450 x 706 cm</x:v>
      </x:c>
      <x:c r="B517" t="str">
        <x:v>roof_glass_tinted</x:v>
      </x:c>
      <x:c r="C517" s="1533" t="n">
        <x:v>11564</x:v>
      </x:c>
      <x:c r="D517" s="1533" t="n">
        <x:v>12489</x:v>
      </x:c>
      <x:c r="E517" s="1533" t="n">
        <x:v>12489.12</x:v>
      </x:c>
      <x:c r="F517" s="1533" t="n">
        <x:v>12489</x:v>
      </x:c>
      <x:c r="G517" s="1535" t="n">
        <x:v>0</x:v>
      </x:c>
      <x:c r="H517" s="1535" t="n">
        <x:v>0</x:v>
      </x:c>
      <x:c r="I517" t="str">
        <x:v>OK — pełna zgodność</x:v>
      </x:c>
      <x:c r="J517" s="1537" t="str">
        <x:v>Pozycja złożona; stary eksport mógł zaokrąglać składniki osobno.</x:v>
      </x:c>
    </x:row>
    <x:row r="518" ht="19" customHeight="1">
      <x:c r="A518" t="str">
        <x:v>450 x 706 cm</x:v>
      </x:c>
      <x:c r="B518" t="str">
        <x:v>zip_side</x:v>
      </x:c>
      <x:c r="C518" s="1533" t="n">
        <x:v>3725</x:v>
      </x:c>
      <x:c r="D518" s="1533" t="n">
        <x:v>4023</x:v>
      </x:c>
      <x:c r="E518" s="1533" t="n">
        <x:v>4023</x:v>
      </x:c>
      <x:c r="F518" s="1533" t="n">
        <x:v>4023</x:v>
      </x:c>
      <x:c r="G518" s="1535" t="n">
        <x:v>0</x:v>
      </x:c>
      <x:c r="H518" s="1535" t="n">
        <x:v>0</x:v>
      </x:c>
      <x:c r="I518" t="str">
        <x:v>OK — pełna zgodność</x:v>
      </x:c>
      <x:c r="J518" s="1537" t="str"/>
    </x:row>
    <x:row r="519" ht="19" customHeight="1">
      <x:c r="A519" t="str">
        <x:v>450 x 706 cm</x:v>
      </x:c>
      <x:c r="B519" t="str">
        <x:v>zip_front</x:v>
      </x:c>
      <x:c r="C519" s="1533" t="n">
        <x:v>5635</x:v>
      </x:c>
      <x:c r="D519" s="1533" t="n">
        <x:v>6086</x:v>
      </x:c>
      <x:c r="E519" s="1533" t="n">
        <x:v>6085.8</x:v>
      </x:c>
      <x:c r="F519" s="1533" t="n">
        <x:v>6086</x:v>
      </x:c>
      <x:c r="G519" s="1535" t="n">
        <x:v>0</x:v>
      </x:c>
      <x:c r="H519" s="1535" t="n">
        <x:v>0</x:v>
      </x:c>
      <x:c r="I519" t="str">
        <x:v>OK — pełna zgodność</x:v>
      </x:c>
      <x:c r="J519" s="1537" t="str"/>
    </x:row>
    <x:row r="520" ht="19" customHeight="1">
      <x:c r="A520" t="str">
        <x:v>450 x 706 cm</x:v>
      </x:c>
      <x:c r="B520" t="str">
        <x:v>awning</x:v>
      </x:c>
      <x:c r="C520" s="1533" t="n">
        <x:v>10315</x:v>
      </x:c>
      <x:c r="D520" s="1533" t="n">
        <x:v>11140</x:v>
      </x:c>
      <x:c r="E520" s="1533" t="n">
        <x:v>11140.2</x:v>
      </x:c>
      <x:c r="F520" s="1533" t="n">
        <x:v>11140</x:v>
      </x:c>
      <x:c r="G520" s="1535" t="n">
        <x:v>0</x:v>
      </x:c>
      <x:c r="H520" s="1535" t="n">
        <x:v>0</x:v>
      </x:c>
      <x:c r="I520" t="str">
        <x:v>OK — pełna zgodność</x:v>
      </x:c>
      <x:c r="J520" s="1537" t="str"/>
    </x:row>
    <x:row r="521" ht="19" customHeight="1">
      <x:c r="A521" t="str">
        <x:v>450 x 706 cm</x:v>
      </x:c>
      <x:c r="B521" t="str">
        <x:v>foundation</x:v>
      </x:c>
      <x:c r="C521" s="1533" t="n">
        <x:v>2684</x:v>
      </x:c>
      <x:c r="D521" s="1533" t="n">
        <x:v>2899</x:v>
      </x:c>
      <x:c r="E521" s="1533" t="n">
        <x:v>2898.72</x:v>
      </x:c>
      <x:c r="F521" s="1533" t="n">
        <x:v>2899</x:v>
      </x:c>
      <x:c r="G521" s="1535" t="n">
        <x:v>0</x:v>
      </x:c>
      <x:c r="H521" s="1535" t="n">
        <x:v>0</x:v>
      </x:c>
      <x:c r="I521" t="str">
        <x:v>OK — pełna zgodność</x:v>
      </x:c>
      <x:c r="J521" s="1537" t="str"/>
    </x:row>
    <x:row r="522" ht="19" customHeight="1">
      <x:c r="A522" t="str">
        <x:v>450 x 706 cm</x:v>
      </x:c>
      <x:c r="B522" t="str">
        <x:v>led_point</x:v>
      </x:c>
      <x:c r="C522" s="1533" t="n">
        <x:v>1427</x:v>
      </x:c>
      <x:c r="D522" s="1533" t="n">
        <x:v>1541</x:v>
      </x:c>
      <x:c r="E522" s="1533" t="n">
        <x:v>1541.16</x:v>
      </x:c>
      <x:c r="F522" s="1533" t="n">
        <x:v>1541</x:v>
      </x:c>
      <x:c r="G522" s="1535" t="n">
        <x:v>0</x:v>
      </x:c>
      <x:c r="H522" s="1535" t="n">
        <x:v>0</x:v>
      </x:c>
      <x:c r="I522" t="str">
        <x:v>OK — pełna zgodność</x:v>
      </x:c>
      <x:c r="J522" s="1537" t="str"/>
    </x:row>
    <x:row r="523" ht="19" customHeight="1">
      <x:c r="A523" t="str">
        <x:v>450 x 706 cm</x:v>
      </x:c>
      <x:c r="B523" t="str">
        <x:v>led_cct</x:v>
      </x:c>
      <x:c r="C523" s="1533" t="n">
        <x:v>3584</x:v>
      </x:c>
      <x:c r="D523" s="1533" t="n">
        <x:v>3871</x:v>
      </x:c>
      <x:c r="E523" s="1533" t="n">
        <x:v>3870.72</x:v>
      </x:c>
      <x:c r="F523" s="1533" t="n">
        <x:v>3871</x:v>
      </x:c>
      <x:c r="G523" s="1535" t="n">
        <x:v>0</x:v>
      </x:c>
      <x:c r="H523" s="1535" t="n">
        <x:v>0</x:v>
      </x:c>
      <x:c r="I523" t="str">
        <x:v>OK — pełna zgodność</x:v>
      </x:c>
      <x:c r="J523" s="1537" t="str"/>
    </x:row>
    <x:row r="524" ht="19" customHeight="1">
      <x:c r="A524" t="str">
        <x:v>450 x 706 cm</x:v>
      </x:c>
      <x:c r="B524" t="str">
        <x:v>brushes</x:v>
      </x:c>
      <x:c r="C524" s="1533" t="n">
        <x:v>766</x:v>
      </x:c>
      <x:c r="D524" s="1533" t="n">
        <x:v>827</x:v>
      </x:c>
      <x:c r="E524" s="1533" t="n">
        <x:v>827.28</x:v>
      </x:c>
      <x:c r="F524" s="1533" t="n">
        <x:v>827</x:v>
      </x:c>
      <x:c r="G524" s="1535" t="n">
        <x:v>0</x:v>
      </x:c>
      <x:c r="H524" s="1535" t="n">
        <x:v>0</x:v>
      </x:c>
      <x:c r="I524" t="str">
        <x:v>OK — pełna zgodność</x:v>
      </x:c>
      <x:c r="J524" s="1537" t="str"/>
    </x:row>
    <x:row r="525" ht="19" customHeight="1">
      <x:c r="A525" t="str">
        <x:v>450 x 706 cm</x:v>
      </x:c>
      <x:c r="B525" t="str">
        <x:v>handles</x:v>
      </x:c>
      <x:c r="C525" s="1533" t="n">
        <x:v>696</x:v>
      </x:c>
      <x:c r="D525" s="1533" t="n">
        <x:v>752</x:v>
      </x:c>
      <x:c r="E525" s="1533" t="n">
        <x:v>751.68</x:v>
      </x:c>
      <x:c r="F525" s="1533" t="n">
        <x:v>752</x:v>
      </x:c>
      <x:c r="G525" s="1535" t="n">
        <x:v>0</x:v>
      </x:c>
      <x:c r="H525" s="1535" t="n">
        <x:v>0</x:v>
      </x:c>
      <x:c r="I525" t="str">
        <x:v>OK — pełna zgodność</x:v>
      </x:c>
      <x:c r="J525" s="1537" t="str"/>
    </x:row>
    <x:row r="526" ht="19" customHeight="1">
      <x:c r="A526" t="str">
        <x:v>450 x 706 cm</x:v>
      </x:c>
      <x:c r="B526" t="str">
        <x:v>carriers</x:v>
      </x:c>
      <x:c r="C526" s="1533" t="n">
        <x:v>613</x:v>
      </x:c>
      <x:c r="D526" s="1533" t="n">
        <x:v>662</x:v>
      </x:c>
      <x:c r="E526" s="1533" t="n">
        <x:v>662.04</x:v>
      </x:c>
      <x:c r="F526" s="1533" t="n">
        <x:v>662</x:v>
      </x:c>
      <x:c r="G526" s="1535" t="n">
        <x:v>0</x:v>
      </x:c>
      <x:c r="H526" s="1535" t="n">
        <x:v>0</x:v>
      </x:c>
      <x:c r="I526" t="str">
        <x:v>OK — pełna zgodność</x:v>
      </x:c>
      <x:c r="J526" s="1537" t="str"/>
    </x:row>
    <x:row r="527" ht="19" customHeight="1">
      <x:c r="A527" t="str">
        <x:v>450 x 806 cm</x:v>
      </x:c>
      <x:c r="B527" t="str">
        <x:v>base_poly</x:v>
      </x:c>
      <x:c r="C527" s="1533" t="n">
        <x:v>25806</x:v>
      </x:c>
      <x:c r="D527" s="1533" t="n">
        <x:v>27870</x:v>
      </x:c>
      <x:c r="E527" s="1533" t="n">
        <x:v>27870.48</x:v>
      </x:c>
      <x:c r="F527" s="1533" t="n">
        <x:v>27870</x:v>
      </x:c>
      <x:c r="G527" s="1535" t="n">
        <x:v>0</x:v>
      </x:c>
      <x:c r="H527" s="1535" t="n">
        <x:v>0</x:v>
      </x:c>
      <x:c r="I527" t="str">
        <x:v>OK — pełna zgodność</x:v>
      </x:c>
      <x:c r="J527" s="1537" t="str"/>
    </x:row>
    <x:row r="528" ht="19" customHeight="1">
      <x:c r="A528" t="str">
        <x:v>450 x 806 cm</x:v>
      </x:c>
      <x:c r="B528" t="str">
        <x:v>walls_clear</x:v>
      </x:c>
      <x:c r="C528" s="1533" t="n">
        <x:v>23833</x:v>
      </x:c>
      <x:c r="D528" s="1533" t="n">
        <x:v>25740</x:v>
      </x:c>
      <x:c r="E528" s="1533" t="n">
        <x:v>25739.64</x:v>
      </x:c>
      <x:c r="F528" s="1533" t="n">
        <x:v>25740</x:v>
      </x:c>
      <x:c r="G528" s="1535" t="n">
        <x:v>0</x:v>
      </x:c>
      <x:c r="H528" s="1535" t="n">
        <x:v>0</x:v>
      </x:c>
      <x:c r="I528" t="str">
        <x:v>OK — pełna zgodność</x:v>
      </x:c>
      <x:c r="J528" s="1537" t="str"/>
    </x:row>
    <x:row r="529" ht="19" customHeight="1">
      <x:c r="A529" t="str">
        <x:v>450 x 806 cm</x:v>
      </x:c>
      <x:c r="B529" t="str">
        <x:v>walls_tinted</x:v>
      </x:c>
      <x:c r="C529" s="1533" t="n">
        <x:v>26379</x:v>
      </x:c>
      <x:c r="D529" s="1533" t="n">
        <x:v>28490</x:v>
      </x:c>
      <x:c r="E529" s="1533" t="n">
        <x:v>28489.32</x:v>
      </x:c>
      <x:c r="F529" s="1533" t="n">
        <x:v>28489</x:v>
      </x:c>
      <x:c r="G529" s="1535" t="n">
        <x:v>-1</x:v>
      </x:c>
      <x:c r="H529" s="1535" t="n">
        <x:v>1</x:v>
      </x:c>
      <x:c r="I529" t="str">
        <x:v>OK — zaokrąglenie ±1 zł</x:v>
      </x:c>
      <x:c r="J529" s="1537" t="str">
        <x:v>Pozycja złożona; stary eksport mógł zaokrąglać składniki osobno.</x:v>
      </x:c>
    </x:row>
    <x:row r="530" ht="19" customHeight="1">
      <x:c r="A530" t="str">
        <x:v>450 x 806 cm</x:v>
      </x:c>
      <x:c r="B530" t="str">
        <x:v>roof_poly_colored</x:v>
      </x:c>
      <x:c r="C530" s="1533" t="n">
        <x:v>908</x:v>
      </x:c>
      <x:c r="D530" s="1533" t="n">
        <x:v>981</x:v>
      </x:c>
      <x:c r="E530" s="1533" t="n">
        <x:v>980.64</x:v>
      </x:c>
      <x:c r="F530" s="1533" t="n">
        <x:v>981</x:v>
      </x:c>
      <x:c r="G530" s="1535" t="n">
        <x:v>0</x:v>
      </x:c>
      <x:c r="H530" s="1535" t="n">
        <x:v>0</x:v>
      </x:c>
      <x:c r="I530" t="str">
        <x:v>OK — pełna zgodność</x:v>
      </x:c>
      <x:c r="J530" s="1537" t="str"/>
    </x:row>
    <x:row r="531" ht="19" customHeight="1">
      <x:c r="A531" t="str">
        <x:v>450 x 806 cm</x:v>
      </x:c>
      <x:c r="B531" t="str">
        <x:v>roof_glass_clear</x:v>
      </x:c>
      <x:c r="C531" s="1533" t="n">
        <x:v>12154</x:v>
      </x:c>
      <x:c r="D531" s="1533" t="n">
        <x:v>13126</x:v>
      </x:c>
      <x:c r="E531" s="1533" t="n">
        <x:v>13126.32</x:v>
      </x:c>
      <x:c r="F531" s="1533" t="n">
        <x:v>13126</x:v>
      </x:c>
      <x:c r="G531" s="1535" t="n">
        <x:v>0</x:v>
      </x:c>
      <x:c r="H531" s="1535" t="n">
        <x:v>0</x:v>
      </x:c>
      <x:c r="I531" t="str">
        <x:v>OK — pełna zgodność</x:v>
      </x:c>
      <x:c r="J531" s="1537" t="str"/>
    </x:row>
    <x:row r="532" ht="19" customHeight="1">
      <x:c r="A532" t="str">
        <x:v>450 x 806 cm</x:v>
      </x:c>
      <x:c r="B532" t="str">
        <x:v>roof_glass_tinted</x:v>
      </x:c>
      <x:c r="C532" s="1533" t="n">
        <x:v>13344</x:v>
      </x:c>
      <x:c r="D532" s="1533" t="n">
        <x:v>14411</x:v>
      </x:c>
      <x:c r="E532" s="1533" t="n">
        <x:v>14411.52</x:v>
      </x:c>
      <x:c r="F532" s="1533" t="n">
        <x:v>14412</x:v>
      </x:c>
      <x:c r="G532" s="1535" t="n">
        <x:v>1</x:v>
      </x:c>
      <x:c r="H532" s="1535" t="n">
        <x:v>1</x:v>
      </x:c>
      <x:c r="I532" t="str">
        <x:v>OK — zaokrąglenie ±1 zł</x:v>
      </x:c>
      <x:c r="J532" s="1537" t="str">
        <x:v>Pozycja złożona; stary eksport mógł zaokrąglać składniki osobno.</x:v>
      </x:c>
    </x:row>
    <x:row r="533" ht="19" customHeight="1">
      <x:c r="A533" t="str">
        <x:v>450 x 806 cm</x:v>
      </x:c>
      <x:c r="B533" t="str">
        <x:v>zip_side</x:v>
      </x:c>
      <x:c r="C533" s="1533" t="n">
        <x:v>3725</x:v>
      </x:c>
      <x:c r="D533" s="1533" t="n">
        <x:v>4023</x:v>
      </x:c>
      <x:c r="E533" s="1533" t="n">
        <x:v>4023</x:v>
      </x:c>
      <x:c r="F533" s="1533" t="n">
        <x:v>4023</x:v>
      </x:c>
      <x:c r="G533" s="1535" t="n">
        <x:v>0</x:v>
      </x:c>
      <x:c r="H533" s="1535" t="n">
        <x:v>0</x:v>
      </x:c>
      <x:c r="I533" t="str">
        <x:v>OK — pełna zgodność</x:v>
      </x:c>
      <x:c r="J533" s="1537" t="str"/>
    </x:row>
    <x:row r="534" ht="19" customHeight="1">
      <x:c r="A534" t="str">
        <x:v>450 x 806 cm</x:v>
      </x:c>
      <x:c r="B534" t="str">
        <x:v>zip_front</x:v>
      </x:c>
      <x:c r="C534" s="1533" t="n">
        <x:v>6225</x:v>
      </x:c>
      <x:c r="D534" s="1533" t="n">
        <x:v>6723</x:v>
      </x:c>
      <x:c r="E534" s="1533" t="n">
        <x:v>6723</x:v>
      </x:c>
      <x:c r="F534" s="1533" t="n">
        <x:v>6723</x:v>
      </x:c>
      <x:c r="G534" s="1535" t="n">
        <x:v>0</x:v>
      </x:c>
      <x:c r="H534" s="1535" t="n">
        <x:v>0</x:v>
      </x:c>
      <x:c r="I534" t="str">
        <x:v>OK — pełna zgodność</x:v>
      </x:c>
      <x:c r="J534" s="1537" t="str"/>
    </x:row>
    <x:row r="535" ht="19" customHeight="1">
      <x:c r="A535" t="str">
        <x:v>450 x 806 cm</x:v>
      </x:c>
      <x:c r="B535" t="str">
        <x:v>awning</x:v>
      </x:c>
      <x:c r="C535" s="1533" t="n">
        <x:v>11010</x:v>
      </x:c>
      <x:c r="D535" s="1533" t="n">
        <x:v>11891</x:v>
      </x:c>
      <x:c r="E535" s="1533" t="n">
        <x:v>11890.8</x:v>
      </x:c>
      <x:c r="F535" s="1533" t="n">
        <x:v>11891</x:v>
      </x:c>
      <x:c r="G535" s="1535" t="n">
        <x:v>0</x:v>
      </x:c>
      <x:c r="H535" s="1535" t="n">
        <x:v>0</x:v>
      </x:c>
      <x:c r="I535" t="str">
        <x:v>OK — pełna zgodność</x:v>
      </x:c>
      <x:c r="J535" s="1537" t="str"/>
    </x:row>
    <x:row r="536" ht="19" customHeight="1">
      <x:c r="A536" t="str">
        <x:v>450 x 806 cm</x:v>
      </x:c>
      <x:c r="B536" t="str">
        <x:v>foundation</x:v>
      </x:c>
      <x:c r="C536" s="1533" t="n">
        <x:v>2880</x:v>
      </x:c>
      <x:c r="D536" s="1533" t="n">
        <x:v>3110</x:v>
      </x:c>
      <x:c r="E536" s="1533" t="n">
        <x:v>3110.4</x:v>
      </x:c>
      <x:c r="F536" s="1533" t="n">
        <x:v>3110</x:v>
      </x:c>
      <x:c r="G536" s="1535" t="n">
        <x:v>0</x:v>
      </x:c>
      <x:c r="H536" s="1535" t="n">
        <x:v>0</x:v>
      </x:c>
      <x:c r="I536" t="str">
        <x:v>OK — pełna zgodność</x:v>
      </x:c>
      <x:c r="J536" s="1537" t="str"/>
    </x:row>
    <x:row r="537" ht="19" customHeight="1">
      <x:c r="A537" t="str">
        <x:v>450 x 806 cm</x:v>
      </x:c>
      <x:c r="B537" t="str">
        <x:v>led_point</x:v>
      </x:c>
      <x:c r="C537" s="1533" t="n">
        <x:v>1698</x:v>
      </x:c>
      <x:c r="D537" s="1533" t="n">
        <x:v>1834</x:v>
      </x:c>
      <x:c r="E537" s="1533" t="n">
        <x:v>1833.84</x:v>
      </x:c>
      <x:c r="F537" s="1533" t="n">
        <x:v>1834</x:v>
      </x:c>
      <x:c r="G537" s="1535" t="n">
        <x:v>0</x:v>
      </x:c>
      <x:c r="H537" s="1535" t="n">
        <x:v>0</x:v>
      </x:c>
      <x:c r="I537" t="str">
        <x:v>OK — pełna zgodność</x:v>
      </x:c>
      <x:c r="J537" s="1537" t="str"/>
    </x:row>
    <x:row r="538" ht="19" customHeight="1">
      <x:c r="A538" t="str">
        <x:v>450 x 806 cm</x:v>
      </x:c>
      <x:c r="B538" t="str">
        <x:v>led_cct</x:v>
      </x:c>
      <x:c r="C538" s="1533" t="n">
        <x:v>3890</x:v>
      </x:c>
      <x:c r="D538" s="1533" t="n">
        <x:v>4201</x:v>
      </x:c>
      <x:c r="E538" s="1533" t="n">
        <x:v>4201.2</x:v>
      </x:c>
      <x:c r="F538" s="1533" t="n">
        <x:v>4201</x:v>
      </x:c>
      <x:c r="G538" s="1535" t="n">
        <x:v>0</x:v>
      </x:c>
      <x:c r="H538" s="1535" t="n">
        <x:v>0</x:v>
      </x:c>
      <x:c r="I538" t="str">
        <x:v>OK — pełna zgodność</x:v>
      </x:c>
      <x:c r="J538" s="1537" t="str"/>
    </x:row>
    <x:row r="539" ht="19" customHeight="1">
      <x:c r="A539" t="str">
        <x:v>450 x 806 cm</x:v>
      </x:c>
      <x:c r="B539" t="str">
        <x:v>brushes</x:v>
      </x:c>
      <x:c r="C539" s="1533" t="n">
        <x:v>813</x:v>
      </x:c>
      <x:c r="D539" s="1533" t="n">
        <x:v>878</x:v>
      </x:c>
      <x:c r="E539" s="1533" t="n">
        <x:v>878.04</x:v>
      </x:c>
      <x:c r="F539" s="1533" t="n">
        <x:v>878</x:v>
      </x:c>
      <x:c r="G539" s="1535" t="n">
        <x:v>0</x:v>
      </x:c>
      <x:c r="H539" s="1535" t="n">
        <x:v>0</x:v>
      </x:c>
      <x:c r="I539" t="str">
        <x:v>OK — pełna zgodność</x:v>
      </x:c>
      <x:c r="J539" s="1537" t="str"/>
    </x:row>
    <x:row r="540" ht="19" customHeight="1">
      <x:c r="A540" t="str">
        <x:v>450 x 806 cm</x:v>
      </x:c>
      <x:c r="B540" t="str">
        <x:v>handles</x:v>
      </x:c>
      <x:c r="C540" s="1533" t="n">
        <x:v>731</x:v>
      </x:c>
      <x:c r="D540" s="1533" t="n">
        <x:v>789</x:v>
      </x:c>
      <x:c r="E540" s="1533" t="n">
        <x:v>789.48</x:v>
      </x:c>
      <x:c r="F540" s="1533" t="n">
        <x:v>789</x:v>
      </x:c>
      <x:c r="G540" s="1535" t="n">
        <x:v>0</x:v>
      </x:c>
      <x:c r="H540" s="1535" t="n">
        <x:v>0</x:v>
      </x:c>
      <x:c r="I540" t="str">
        <x:v>OK — pełna zgodność</x:v>
      </x:c>
      <x:c r="J540" s="1537" t="str"/>
    </x:row>
    <x:row r="541" ht="19" customHeight="1">
      <x:c r="A541" t="str">
        <x:v>450 x 806 cm</x:v>
      </x:c>
      <x:c r="B541" t="str">
        <x:v>carriers</x:v>
      </x:c>
      <x:c r="C541" s="1533" t="n">
        <x:v>660</x:v>
      </x:c>
      <x:c r="D541" s="1533" t="n">
        <x:v>713</x:v>
      </x:c>
      <x:c r="E541" s="1533" t="n">
        <x:v>712.8</x:v>
      </x:c>
      <x:c r="F541" s="1533" t="n">
        <x:v>713</x:v>
      </x:c>
      <x:c r="G541" s="1535" t="n">
        <x:v>0</x:v>
      </x:c>
      <x:c r="H541" s="1535" t="n">
        <x:v>0</x:v>
      </x:c>
      <x:c r="I541" t="str">
        <x:v>OK — pełna zgodność</x:v>
      </x:c>
      <x:c r="J541" s="1537" t="str"/>
    </x:row>
    <x:row r="542" ht="19" customHeight="1">
      <x:c r="A542" t="str">
        <x:v>450 x 906 cm</x:v>
      </x:c>
      <x:c r="B542" t="str">
        <x:v>base_poly</x:v>
      </x:c>
      <x:c r="C542" s="1533" t="n">
        <x:v>28857</x:v>
      </x:c>
      <x:c r="D542" s="1533" t="n">
        <x:v>31166</x:v>
      </x:c>
      <x:c r="E542" s="1533" t="n">
        <x:v>31165.56</x:v>
      </x:c>
      <x:c r="F542" s="1533" t="n">
        <x:v>31166</x:v>
      </x:c>
      <x:c r="G542" s="1535" t="n">
        <x:v>0</x:v>
      </x:c>
      <x:c r="H542" s="1535" t="n">
        <x:v>0</x:v>
      </x:c>
      <x:c r="I542" t="str">
        <x:v>OK — pełna zgodność</x:v>
      </x:c>
      <x:c r="J542" s="1537" t="str"/>
    </x:row>
    <x:row r="543" ht="19" customHeight="1">
      <x:c r="A543" t="str">
        <x:v>450 x 906 cm</x:v>
      </x:c>
      <x:c r="B543" t="str">
        <x:v>walls_clear</x:v>
      </x:c>
      <x:c r="C543" s="1533" t="n">
        <x:v>25242</x:v>
      </x:c>
      <x:c r="D543" s="1533" t="n">
        <x:v>27261</x:v>
      </x:c>
      <x:c r="E543" s="1533" t="n">
        <x:v>27261.36</x:v>
      </x:c>
      <x:c r="F543" s="1533" t="n">
        <x:v>27261</x:v>
      </x:c>
      <x:c r="G543" s="1535" t="n">
        <x:v>0</x:v>
      </x:c>
      <x:c r="H543" s="1535" t="n">
        <x:v>0</x:v>
      </x:c>
      <x:c r="I543" t="str">
        <x:v>OK — pełna zgodność</x:v>
      </x:c>
      <x:c r="J543" s="1537" t="str"/>
    </x:row>
    <x:row r="544" ht="19" customHeight="1">
      <x:c r="A544" t="str">
        <x:v>450 x 906 cm</x:v>
      </x:c>
      <x:c r="B544" t="str">
        <x:v>walls_tinted</x:v>
      </x:c>
      <x:c r="C544" s="1533" t="n">
        <x:v>27930</x:v>
      </x:c>
      <x:c r="D544" s="1533" t="n">
        <x:v>30164</x:v>
      </x:c>
      <x:c r="E544" s="1533" t="n">
        <x:v>30164.4</x:v>
      </x:c>
      <x:c r="F544" s="1533" t="n">
        <x:v>30164</x:v>
      </x:c>
      <x:c r="G544" s="1535" t="n">
        <x:v>0</x:v>
      </x:c>
      <x:c r="H544" s="1535" t="n">
        <x:v>0</x:v>
      </x:c>
      <x:c r="I544" t="str">
        <x:v>OK — pełna zgodność</x:v>
      </x:c>
      <x:c r="J544" s="1537" t="str">
        <x:v>Pozycja złożona; stary eksport mógł zaokrąglać składniki osobno.</x:v>
      </x:c>
    </x:row>
    <x:row r="545" ht="19" customHeight="1">
      <x:c r="A545" t="str">
        <x:v>450 x 906 cm</x:v>
      </x:c>
      <x:c r="B545" t="str">
        <x:v>roof_poly_colored</x:v>
      </x:c>
      <x:c r="C545" s="1533" t="n">
        <x:v>1014</x:v>
      </x:c>
      <x:c r="D545" s="1533" t="n">
        <x:v>1095</x:v>
      </x:c>
      <x:c r="E545" s="1533" t="n">
        <x:v>1095.12</x:v>
      </x:c>
      <x:c r="F545" s="1533" t="n">
        <x:v>1095</x:v>
      </x:c>
      <x:c r="G545" s="1535" t="n">
        <x:v>0</x:v>
      </x:c>
      <x:c r="H545" s="1535" t="n">
        <x:v>0</x:v>
      </x:c>
      <x:c r="I545" t="str">
        <x:v>OK — pełna zgodność</x:v>
      </x:c>
      <x:c r="J545" s="1537" t="str"/>
    </x:row>
    <x:row r="546" ht="19" customHeight="1">
      <x:c r="A546" t="str">
        <x:v>450 x 906 cm</x:v>
      </x:c>
      <x:c r="B546" t="str">
        <x:v>roof_glass_clear</x:v>
      </x:c>
      <x:c r="C546" s="1533" t="n">
        <x:v>13792</x:v>
      </x:c>
      <x:c r="D546" s="1533" t="n">
        <x:v>14895</x:v>
      </x:c>
      <x:c r="E546" s="1533" t="n">
        <x:v>14895.36</x:v>
      </x:c>
      <x:c r="F546" s="1533" t="n">
        <x:v>14895</x:v>
      </x:c>
      <x:c r="G546" s="1535" t="n">
        <x:v>0</x:v>
      </x:c>
      <x:c r="H546" s="1535" t="n">
        <x:v>0</x:v>
      </x:c>
      <x:c r="I546" t="str">
        <x:v>OK — pełna zgodność</x:v>
      </x:c>
      <x:c r="J546" s="1537" t="str"/>
    </x:row>
    <x:row r="547" ht="19" customHeight="1">
      <x:c r="A547" t="str">
        <x:v>450 x 906 cm</x:v>
      </x:c>
      <x:c r="B547" t="str">
        <x:v>roof_glass_tinted</x:v>
      </x:c>
      <x:c r="C547" s="1533" t="n">
        <x:v>15136</x:v>
      </x:c>
      <x:c r="D547" s="1533" t="n">
        <x:v>16347</x:v>
      </x:c>
      <x:c r="E547" s="1533" t="n">
        <x:v>16346.88</x:v>
      </x:c>
      <x:c r="F547" s="1533" t="n">
        <x:v>16347</x:v>
      </x:c>
      <x:c r="G547" s="1535" t="n">
        <x:v>0</x:v>
      </x:c>
      <x:c r="H547" s="1535" t="n">
        <x:v>0</x:v>
      </x:c>
      <x:c r="I547" t="str">
        <x:v>OK — pełna zgodność</x:v>
      </x:c>
      <x:c r="J547" s="1537" t="str">
        <x:v>Pozycja złożona; stary eksport mógł zaokrąglać składniki osobno.</x:v>
      </x:c>
    </x:row>
    <x:row r="548" ht="19" customHeight="1">
      <x:c r="A548" t="str">
        <x:v>450 x 906 cm</x:v>
      </x:c>
      <x:c r="B548" t="str">
        <x:v>zip_side</x:v>
      </x:c>
      <x:c r="C548" s="1533" t="n">
        <x:v>3725</x:v>
      </x:c>
      <x:c r="D548" s="1533" t="n">
        <x:v>4023</x:v>
      </x:c>
      <x:c r="E548" s="1533" t="n">
        <x:v>4023</x:v>
      </x:c>
      <x:c r="F548" s="1533" t="n">
        <x:v>4023</x:v>
      </x:c>
      <x:c r="G548" s="1535" t="n">
        <x:v>0</x:v>
      </x:c>
      <x:c r="H548" s="1535" t="n">
        <x:v>0</x:v>
      </x:c>
      <x:c r="I548" t="str">
        <x:v>OK — pełna zgodność</x:v>
      </x:c>
      <x:c r="J548" s="1537" t="str"/>
    </x:row>
    <x:row r="549" ht="19" customHeight="1">
      <x:c r="A549" t="str">
        <x:v>450 x 906 cm</x:v>
      </x:c>
      <x:c r="B549" t="str">
        <x:v>zip_front</x:v>
      </x:c>
      <x:c r="C549" s="1533" t="n">
        <x:v>7544</x:v>
      </x:c>
      <x:c r="D549" s="1533" t="n">
        <x:v>8148</x:v>
      </x:c>
      <x:c r="E549" s="1533" t="n">
        <x:v>8147.52</x:v>
      </x:c>
      <x:c r="F549" s="1533" t="n">
        <x:v>8148</x:v>
      </x:c>
      <x:c r="G549" s="1535" t="n">
        <x:v>0</x:v>
      </x:c>
      <x:c r="H549" s="1535" t="n">
        <x:v>0</x:v>
      </x:c>
      <x:c r="I549" t="str">
        <x:v>OK — pełna zgodność</x:v>
      </x:c>
      <x:c r="J549" s="1537" t="str"/>
    </x:row>
    <x:row r="550" ht="19" customHeight="1">
      <x:c r="A550" t="str">
        <x:v>450 x 906 cm</x:v>
      </x:c>
      <x:c r="B550" t="str">
        <x:v>awning</x:v>
      </x:c>
      <x:c r="C550" s="1533" t="n">
        <x:v>11894</x:v>
      </x:c>
      <x:c r="D550" s="1533" t="n">
        <x:v>12846</x:v>
      </x:c>
      <x:c r="E550" s="1533" t="n">
        <x:v>12845.52</x:v>
      </x:c>
      <x:c r="F550" s="1533" t="n">
        <x:v>12846</x:v>
      </x:c>
      <x:c r="G550" s="1535" t="n">
        <x:v>0</x:v>
      </x:c>
      <x:c r="H550" s="1535" t="n">
        <x:v>0</x:v>
      </x:c>
      <x:c r="I550" t="str">
        <x:v>OK — pełna zgodność</x:v>
      </x:c>
      <x:c r="J550" s="1537" t="str"/>
    </x:row>
    <x:row r="551" ht="19" customHeight="1">
      <x:c r="A551" t="str">
        <x:v>450 x 906 cm</x:v>
      </x:c>
      <x:c r="B551" t="str">
        <x:v>foundation</x:v>
      </x:c>
      <x:c r="C551" s="1533" t="n">
        <x:v>3131</x:v>
      </x:c>
      <x:c r="D551" s="1533" t="n">
        <x:v>3381</x:v>
      </x:c>
      <x:c r="E551" s="1533" t="n">
        <x:v>3381.48</x:v>
      </x:c>
      <x:c r="F551" s="1533" t="n">
        <x:v>3381</x:v>
      </x:c>
      <x:c r="G551" s="1535" t="n">
        <x:v>0</x:v>
      </x:c>
      <x:c r="H551" s="1535" t="n">
        <x:v>0</x:v>
      </x:c>
      <x:c r="I551" t="str">
        <x:v>OK — pełna zgodność</x:v>
      </x:c>
      <x:c r="J551" s="1537" t="str"/>
    </x:row>
    <x:row r="552" ht="19" customHeight="1">
      <x:c r="A552" t="str">
        <x:v>450 x 906 cm</x:v>
      </x:c>
      <x:c r="B552" t="str">
        <x:v>led_point</x:v>
      </x:c>
      <x:c r="C552" s="1533" t="n">
        <x:v>1839</x:v>
      </x:c>
      <x:c r="D552" s="1533" t="n">
        <x:v>1986</x:v>
      </x:c>
      <x:c r="E552" s="1533" t="n">
        <x:v>1986.12</x:v>
      </x:c>
      <x:c r="F552" s="1533" t="n">
        <x:v>1986</x:v>
      </x:c>
      <x:c r="G552" s="1535" t="n">
        <x:v>0</x:v>
      </x:c>
      <x:c r="H552" s="1535" t="n">
        <x:v>0</x:v>
      </x:c>
      <x:c r="I552" t="str">
        <x:v>OK — pełna zgodność</x:v>
      </x:c>
      <x:c r="J552" s="1537" t="str"/>
    </x:row>
    <x:row r="553" ht="19" customHeight="1">
      <x:c r="A553" t="str">
        <x:v>450 x 906 cm</x:v>
      </x:c>
      <x:c r="B553" t="str">
        <x:v>led_cct</x:v>
      </x:c>
      <x:c r="C553" s="1533" t="n">
        <x:v>4170</x:v>
      </x:c>
      <x:c r="D553" s="1533" t="n">
        <x:v>4504</x:v>
      </x:c>
      <x:c r="E553" s="1533" t="n">
        <x:v>4503.6</x:v>
      </x:c>
      <x:c r="F553" s="1533" t="n">
        <x:v>4504</x:v>
      </x:c>
      <x:c r="G553" s="1535" t="n">
        <x:v>0</x:v>
      </x:c>
      <x:c r="H553" s="1535" t="n">
        <x:v>0</x:v>
      </x:c>
      <x:c r="I553" t="str">
        <x:v>OK — pełna zgodność</x:v>
      </x:c>
      <x:c r="J553" s="1537" t="str"/>
    </x:row>
    <x:row r="554" ht="19" customHeight="1">
      <x:c r="A554" t="str">
        <x:v>450 x 906 cm</x:v>
      </x:c>
      <x:c r="B554" t="str">
        <x:v>brushes</x:v>
      </x:c>
      <x:c r="C554" s="1533" t="n">
        <x:v>848</x:v>
      </x:c>
      <x:c r="D554" s="1533" t="n">
        <x:v>916</x:v>
      </x:c>
      <x:c r="E554" s="1533" t="n">
        <x:v>915.84</x:v>
      </x:c>
      <x:c r="F554" s="1533" t="n">
        <x:v>916</x:v>
      </x:c>
      <x:c r="G554" s="1535" t="n">
        <x:v>0</x:v>
      </x:c>
      <x:c r="H554" s="1535" t="n">
        <x:v>0</x:v>
      </x:c>
      <x:c r="I554" t="str">
        <x:v>OK — pełna zgodność</x:v>
      </x:c>
      <x:c r="J554" s="1537" t="str"/>
    </x:row>
    <x:row r="555" ht="19" customHeight="1">
      <x:c r="A555" t="str">
        <x:v>450 x 906 cm</x:v>
      </x:c>
      <x:c r="B555" t="str">
        <x:v>handles</x:v>
      </x:c>
      <x:c r="C555" s="1533" t="n">
        <x:v>766</x:v>
      </x:c>
      <x:c r="D555" s="1533" t="n">
        <x:v>827</x:v>
      </x:c>
      <x:c r="E555" s="1533" t="n">
        <x:v>827.28</x:v>
      </x:c>
      <x:c r="F555" s="1533" t="n">
        <x:v>827</x:v>
      </x:c>
      <x:c r="G555" s="1535" t="n">
        <x:v>0</x:v>
      </x:c>
      <x:c r="H555" s="1535" t="n">
        <x:v>0</x:v>
      </x:c>
      <x:c r="I555" t="str">
        <x:v>OK — pełna zgodność</x:v>
      </x:c>
      <x:c r="J555" s="1537" t="str"/>
    </x:row>
    <x:row r="556" ht="19" customHeight="1">
      <x:c r="A556" t="str">
        <x:v>450 x 906 cm</x:v>
      </x:c>
      <x:c r="B556" t="str">
        <x:v>carriers</x:v>
      </x:c>
      <x:c r="C556" s="1533" t="n">
        <x:v>660</x:v>
      </x:c>
      <x:c r="D556" s="1533" t="n">
        <x:v>713</x:v>
      </x:c>
      <x:c r="E556" s="1533" t="n">
        <x:v>712.8</x:v>
      </x:c>
      <x:c r="F556" s="1533" t="n">
        <x:v>713</x:v>
      </x:c>
      <x:c r="G556" s="1535" t="n">
        <x:v>0</x:v>
      </x:c>
      <x:c r="H556" s="1535" t="n">
        <x:v>0</x:v>
      </x:c>
      <x:c r="I556" t="str">
        <x:v>OK — pełna zgodność</x:v>
      </x:c>
      <x:c r="J556" s="1537" t="str"/>
    </x:row>
    <x:row r="557" ht="19" customHeight="1">
      <x:c r="A557" t="str">
        <x:v>450 x 1006 cm</x:v>
      </x:c>
      <x:c r="B557" t="str">
        <x:v>base_poly</x:v>
      </x:c>
      <x:c r="C557" s="1533" t="n">
        <x:v>31342</x:v>
      </x:c>
      <x:c r="D557" s="1533" t="n">
        <x:v>33849</x:v>
      </x:c>
      <x:c r="E557" s="1533" t="n">
        <x:v>33849.36</x:v>
      </x:c>
      <x:c r="F557" s="1533" t="n">
        <x:v>33849</x:v>
      </x:c>
      <x:c r="G557" s="1535" t="n">
        <x:v>0</x:v>
      </x:c>
      <x:c r="H557" s="1535" t="n">
        <x:v>0</x:v>
      </x:c>
      <x:c r="I557" t="str">
        <x:v>OK — pełna zgodność</x:v>
      </x:c>
      <x:c r="J557" s="1537" t="str"/>
    </x:row>
    <x:row r="558" ht="19" customHeight="1">
      <x:c r="A558" t="str">
        <x:v>450 x 1006 cm</x:v>
      </x:c>
      <x:c r="B558" t="str">
        <x:v>walls_clear</x:v>
      </x:c>
      <x:c r="C558" s="1533" t="n">
        <x:v>26654</x:v>
      </x:c>
      <x:c r="D558" s="1533" t="n">
        <x:v>28786</x:v>
      </x:c>
      <x:c r="E558" s="1533" t="n">
        <x:v>28786.32</x:v>
      </x:c>
      <x:c r="F558" s="1533" t="n">
        <x:v>28786</x:v>
      </x:c>
      <x:c r="G558" s="1535" t="n">
        <x:v>0</x:v>
      </x:c>
      <x:c r="H558" s="1535" t="n">
        <x:v>0</x:v>
      </x:c>
      <x:c r="I558" t="str">
        <x:v>OK — pełna zgodność</x:v>
      </x:c>
      <x:c r="J558" s="1537" t="str"/>
    </x:row>
    <x:row r="559" ht="19" customHeight="1">
      <x:c r="A559" t="str">
        <x:v>450 x 1006 cm</x:v>
      </x:c>
      <x:c r="B559" t="str">
        <x:v>walls_tinted</x:v>
      </x:c>
      <x:c r="C559" s="1533" t="n">
        <x:v>29483</x:v>
      </x:c>
      <x:c r="D559" s="1533" t="n">
        <x:v>31841</x:v>
      </x:c>
      <x:c r="E559" s="1533" t="n">
        <x:v>31841.64</x:v>
      </x:c>
      <x:c r="F559" s="1533" t="n">
        <x:v>31842</x:v>
      </x:c>
      <x:c r="G559" s="1535" t="n">
        <x:v>1</x:v>
      </x:c>
      <x:c r="H559" s="1535" t="n">
        <x:v>1</x:v>
      </x:c>
      <x:c r="I559" t="str">
        <x:v>OK — zaokrąglenie ±1 zł</x:v>
      </x:c>
      <x:c r="J559" s="1537" t="str">
        <x:v>Pozycja złożona; stary eksport mógł zaokrąglać składniki osobno.</x:v>
      </x:c>
    </x:row>
    <x:row r="560" ht="19" customHeight="1">
      <x:c r="A560" t="str">
        <x:v>450 x 1006 cm</x:v>
      </x:c>
      <x:c r="B560" t="str">
        <x:v>roof_poly_colored</x:v>
      </x:c>
      <x:c r="C560" s="1533" t="n">
        <x:v>1131</x:v>
      </x:c>
      <x:c r="D560" s="1533" t="n">
        <x:v>1221</x:v>
      </x:c>
      <x:c r="E560" s="1533" t="n">
        <x:v>1221.48</x:v>
      </x:c>
      <x:c r="F560" s="1533" t="n">
        <x:v>1221</x:v>
      </x:c>
      <x:c r="G560" s="1535" t="n">
        <x:v>0</x:v>
      </x:c>
      <x:c r="H560" s="1535" t="n">
        <x:v>0</x:v>
      </x:c>
      <x:c r="I560" t="str">
        <x:v>OK — pełna zgodność</x:v>
      </x:c>
      <x:c r="J560" s="1537" t="str"/>
    </x:row>
    <x:row r="561" ht="19" customHeight="1">
      <x:c r="A561" t="str">
        <x:v>450 x 1006 cm</x:v>
      </x:c>
      <x:c r="B561" t="str">
        <x:v>roof_glass_clear</x:v>
      </x:c>
      <x:c r="C561" s="1533" t="n">
        <x:v>15431</x:v>
      </x:c>
      <x:c r="D561" s="1533" t="n">
        <x:v>16665</x:v>
      </x:c>
      <x:c r="E561" s="1533" t="n">
        <x:v>16665.48</x:v>
      </x:c>
      <x:c r="F561" s="1533" t="n">
        <x:v>16665</x:v>
      </x:c>
      <x:c r="G561" s="1535" t="n">
        <x:v>0</x:v>
      </x:c>
      <x:c r="H561" s="1535" t="n">
        <x:v>0</x:v>
      </x:c>
      <x:c r="I561" t="str">
        <x:v>OK — pełna zgodność</x:v>
      </x:c>
      <x:c r="J561" s="1537" t="str"/>
    </x:row>
    <x:row r="562" ht="19" customHeight="1">
      <x:c r="A562" t="str">
        <x:v>450 x 1006 cm</x:v>
      </x:c>
      <x:c r="B562" t="str">
        <x:v>roof_glass_tinted</x:v>
      </x:c>
      <x:c r="C562" s="1533" t="n">
        <x:v>16916</x:v>
      </x:c>
      <x:c r="D562" s="1533" t="n">
        <x:v>18269</x:v>
      </x:c>
      <x:c r="E562" s="1533" t="n">
        <x:v>18269.28</x:v>
      </x:c>
      <x:c r="F562" s="1533" t="n">
        <x:v>18269</x:v>
      </x:c>
      <x:c r="G562" s="1535" t="n">
        <x:v>0</x:v>
      </x:c>
      <x:c r="H562" s="1535" t="n">
        <x:v>0</x:v>
      </x:c>
      <x:c r="I562" t="str">
        <x:v>OK — pełna zgodność</x:v>
      </x:c>
      <x:c r="J562" s="1537" t="str">
        <x:v>Pozycja złożona; stary eksport mógł zaokrąglać składniki osobno.</x:v>
      </x:c>
    </x:row>
    <x:row r="563" ht="19" customHeight="1">
      <x:c r="A563" t="str">
        <x:v>450 x 1006 cm</x:v>
      </x:c>
      <x:c r="B563" t="str">
        <x:v>zip_side</x:v>
      </x:c>
      <x:c r="C563" s="1533" t="n">
        <x:v>3725</x:v>
      </x:c>
      <x:c r="D563" s="1533" t="n">
        <x:v>4023</x:v>
      </x:c>
      <x:c r="E563" s="1533" t="n">
        <x:v>4023</x:v>
      </x:c>
      <x:c r="F563" s="1533" t="n">
        <x:v>4023</x:v>
      </x:c>
      <x:c r="G563" s="1535" t="n">
        <x:v>0</x:v>
      </x:c>
      <x:c r="H563" s="1535" t="n">
        <x:v>0</x:v>
      </x:c>
      <x:c r="I563" t="str">
        <x:v>OK — pełna zgodność</x:v>
      </x:c>
      <x:c r="J563" s="1537" t="str"/>
    </x:row>
    <x:row r="564" ht="19" customHeight="1">
      <x:c r="A564" t="str">
        <x:v>450 x 1006 cm</x:v>
      </x:c>
      <x:c r="B564" t="str">
        <x:v>zip_front</x:v>
      </x:c>
      <x:c r="C564" s="1533" t="n">
        <x:v>8146</x:v>
      </x:c>
      <x:c r="D564" s="1533" t="n">
        <x:v>8798</x:v>
      </x:c>
      <x:c r="E564" s="1533" t="n">
        <x:v>8797.68</x:v>
      </x:c>
      <x:c r="F564" s="1533" t="n">
        <x:v>8798</x:v>
      </x:c>
      <x:c r="G564" s="1535" t="n">
        <x:v>0</x:v>
      </x:c>
      <x:c r="H564" s="1535" t="n">
        <x:v>0</x:v>
      </x:c>
      <x:c r="I564" t="str">
        <x:v>OK — pełna zgodność</x:v>
      </x:c>
      <x:c r="J564" s="1537" t="str"/>
    </x:row>
    <x:row r="565" ht="19" customHeight="1">
      <x:c r="A565" t="str">
        <x:v>450 x 1006 cm</x:v>
      </x:c>
      <x:c r="B565" t="str">
        <x:v>awning</x:v>
      </x:c>
      <x:c r="C565" s="1533" t="n">
        <x:v>12767</x:v>
      </x:c>
      <x:c r="D565" s="1533" t="n">
        <x:v>13788</x:v>
      </x:c>
      <x:c r="E565" s="1533" t="n">
        <x:v>13788.36</x:v>
      </x:c>
      <x:c r="F565" s="1533" t="n">
        <x:v>13788</x:v>
      </x:c>
      <x:c r="G565" s="1535" t="n">
        <x:v>0</x:v>
      </x:c>
      <x:c r="H565" s="1535" t="n">
        <x:v>0</x:v>
      </x:c>
      <x:c r="I565" t="str">
        <x:v>OK — pełna zgodność</x:v>
      </x:c>
      <x:c r="J565" s="1537" t="str"/>
    </x:row>
    <x:row r="566" ht="19" customHeight="1">
      <x:c r="A566" t="str">
        <x:v>450 x 1006 cm</x:v>
      </x:c>
      <x:c r="B566" t="str">
        <x:v>foundation</x:v>
      </x:c>
      <x:c r="C566" s="1533" t="n">
        <x:v>3362</x:v>
      </x:c>
      <x:c r="D566" s="1533" t="n">
        <x:v>3631</x:v>
      </x:c>
      <x:c r="E566" s="1533" t="n">
        <x:v>3630.96</x:v>
      </x:c>
      <x:c r="F566" s="1533" t="n">
        <x:v>3631</x:v>
      </x:c>
      <x:c r="G566" s="1535" t="n">
        <x:v>0</x:v>
      </x:c>
      <x:c r="H566" s="1535" t="n">
        <x:v>0</x:v>
      </x:c>
      <x:c r="I566" t="str">
        <x:v>OK — pełna zgodność</x:v>
      </x:c>
      <x:c r="J566" s="1537" t="str"/>
    </x:row>
    <x:row r="567" ht="19" customHeight="1">
      <x:c r="A567" t="str">
        <x:v>450 x 1006 cm</x:v>
      </x:c>
      <x:c r="B567" t="str">
        <x:v>led_point</x:v>
      </x:c>
      <x:c r="C567" s="1533" t="n">
        <x:v>1944</x:v>
      </x:c>
      <x:c r="D567" s="1533" t="n">
        <x:v>2100</x:v>
      </x:c>
      <x:c r="E567" s="1533" t="n">
        <x:v>2099.52</x:v>
      </x:c>
      <x:c r="F567" s="1533" t="n">
        <x:v>2100</x:v>
      </x:c>
      <x:c r="G567" s="1535" t="n">
        <x:v>0</x:v>
      </x:c>
      <x:c r="H567" s="1535" t="n">
        <x:v>0</x:v>
      </x:c>
      <x:c r="I567" t="str">
        <x:v>OK — pełna zgodność</x:v>
      </x:c>
      <x:c r="J567" s="1537" t="str"/>
    </x:row>
    <x:row r="568" ht="19" customHeight="1">
      <x:c r="A568" t="str">
        <x:v>450 x 1006 cm</x:v>
      </x:c>
      <x:c r="B568" t="str">
        <x:v>led_cct</x:v>
      </x:c>
      <x:c r="C568" s="1533" t="n">
        <x:v>4353</x:v>
      </x:c>
      <x:c r="D568" s="1533" t="n">
        <x:v>4701</x:v>
      </x:c>
      <x:c r="E568" s="1533" t="n">
        <x:v>4701.24</x:v>
      </x:c>
      <x:c r="F568" s="1533" t="n">
        <x:v>4701</x:v>
      </x:c>
      <x:c r="G568" s="1535" t="n">
        <x:v>0</x:v>
      </x:c>
      <x:c r="H568" s="1535" t="n">
        <x:v>0</x:v>
      </x:c>
      <x:c r="I568" t="str">
        <x:v>OK — pełna zgodność</x:v>
      </x:c>
      <x:c r="J568" s="1537" t="str"/>
    </x:row>
    <x:row r="569" ht="19" customHeight="1">
      <x:c r="A569" t="str">
        <x:v>450 x 1006 cm</x:v>
      </x:c>
      <x:c r="B569" t="str">
        <x:v>brushes</x:v>
      </x:c>
      <x:c r="C569" s="1533" t="n">
        <x:v>896</x:v>
      </x:c>
      <x:c r="D569" s="1533" t="n">
        <x:v>968</x:v>
      </x:c>
      <x:c r="E569" s="1533" t="n">
        <x:v>967.68</x:v>
      </x:c>
      <x:c r="F569" s="1533" t="n">
        <x:v>968</x:v>
      </x:c>
      <x:c r="G569" s="1535" t="n">
        <x:v>0</x:v>
      </x:c>
      <x:c r="H569" s="1535" t="n">
        <x:v>0</x:v>
      </x:c>
      <x:c r="I569" t="str">
        <x:v>OK — pełna zgodność</x:v>
      </x:c>
      <x:c r="J569" s="1537" t="str"/>
    </x:row>
    <x:row r="570" ht="19" customHeight="1">
      <x:c r="A570" t="str">
        <x:v>450 x 1006 cm</x:v>
      </x:c>
      <x:c r="B570" t="str">
        <x:v>handles</x:v>
      </x:c>
      <x:c r="C570" s="1533" t="n">
        <x:v>813</x:v>
      </x:c>
      <x:c r="D570" s="1533" t="n">
        <x:v>878</x:v>
      </x:c>
      <x:c r="E570" s="1533" t="n">
        <x:v>878.04</x:v>
      </x:c>
      <x:c r="F570" s="1533" t="n">
        <x:v>878</x:v>
      </x:c>
      <x:c r="G570" s="1535" t="n">
        <x:v>0</x:v>
      </x:c>
      <x:c r="H570" s="1535" t="n">
        <x:v>0</x:v>
      </x:c>
      <x:c r="I570" t="str">
        <x:v>OK — pełna zgodność</x:v>
      </x:c>
      <x:c r="J570" s="1537" t="str"/>
    </x:row>
    <x:row r="571" ht="19" customHeight="1">
      <x:c r="A571" t="str">
        <x:v>450 x 1006 cm</x:v>
      </x:c>
      <x:c r="B571" t="str">
        <x:v>carriers</x:v>
      </x:c>
      <x:c r="C571" s="1533" t="n">
        <x:v>708</x:v>
      </x:c>
      <x:c r="D571" s="1533" t="n">
        <x:v>765</x:v>
      </x:c>
      <x:c r="E571" s="1533" t="n">
        <x:v>764.64</x:v>
      </x:c>
      <x:c r="F571" s="1533" t="n">
        <x:v>765</x:v>
      </x:c>
      <x:c r="G571" s="1535" t="n">
        <x:v>0</x:v>
      </x:c>
      <x:c r="H571" s="1535" t="n">
        <x:v>0</x:v>
      </x:c>
      <x:c r="I571" t="str">
        <x:v>OK — pełna zgodność</x:v>
      </x:c>
      <x:c r="J571" s="1537" t="str"/>
    </x:row>
    <x:row r="572" ht="19" customHeight="1">
      <x:c r="A572" t="str">
        <x:v>450 x 1106 cm</x:v>
      </x:c>
      <x:c r="B572" t="str">
        <x:v>base_poly</x:v>
      </x:c>
      <x:c r="C572" s="1533" t="n">
        <x:v>34841</x:v>
      </x:c>
      <x:c r="D572" s="1533" t="n">
        <x:v>37628</x:v>
      </x:c>
      <x:c r="E572" s="1533" t="n">
        <x:v>37628.28</x:v>
      </x:c>
      <x:c r="F572" s="1533" t="n">
        <x:v>37628</x:v>
      </x:c>
      <x:c r="G572" s="1535" t="n">
        <x:v>0</x:v>
      </x:c>
      <x:c r="H572" s="1535" t="n">
        <x:v>0</x:v>
      </x:c>
      <x:c r="I572" t="str">
        <x:v>OK — pełna zgodność</x:v>
      </x:c>
      <x:c r="J572" s="1537" t="str"/>
    </x:row>
    <x:row r="573" ht="19" customHeight="1">
      <x:c r="A573" t="str">
        <x:v>450 x 1106 cm</x:v>
      </x:c>
      <x:c r="B573" t="str">
        <x:v>walls_clear</x:v>
      </x:c>
      <x:c r="C573" s="1533" t="n">
        <x:v>28100</x:v>
      </x:c>
      <x:c r="D573" s="1533" t="n">
        <x:v>30348</x:v>
      </x:c>
      <x:c r="E573" s="1533" t="n">
        <x:v>30348</x:v>
      </x:c>
      <x:c r="F573" s="1533" t="n">
        <x:v>30348</x:v>
      </x:c>
      <x:c r="G573" s="1535" t="n">
        <x:v>0</x:v>
      </x:c>
      <x:c r="H573" s="1535" t="n">
        <x:v>0</x:v>
      </x:c>
      <x:c r="I573" t="str">
        <x:v>OK — pełna zgodność</x:v>
      </x:c>
      <x:c r="J573" s="1537" t="str"/>
    </x:row>
    <x:row r="574" ht="19" customHeight="1">
      <x:c r="A574" t="str">
        <x:v>450 x 1106 cm</x:v>
      </x:c>
      <x:c r="B574" t="str">
        <x:v>walls_tinted</x:v>
      </x:c>
      <x:c r="C574" s="1533" t="n">
        <x:v>31071</x:v>
      </x:c>
      <x:c r="D574" s="1533" t="n">
        <x:v>33557</x:v>
      </x:c>
      <x:c r="E574" s="1533" t="n">
        <x:v>33556.68</x:v>
      </x:c>
      <x:c r="F574" s="1533" t="n">
        <x:v>33557</x:v>
      </x:c>
      <x:c r="G574" s="1535" t="n">
        <x:v>0</x:v>
      </x:c>
      <x:c r="H574" s="1535" t="n">
        <x:v>0</x:v>
      </x:c>
      <x:c r="I574" t="str">
        <x:v>OK — pełna zgodność</x:v>
      </x:c>
      <x:c r="J574" s="1537" t="str">
        <x:v>Pozycja złożona; stary eksport mógł zaokrąglać składniki osobno.</x:v>
      </x:c>
    </x:row>
    <x:row r="575" ht="19" customHeight="1">
      <x:c r="A575" t="str">
        <x:v>450 x 1106 cm</x:v>
      </x:c>
      <x:c r="B575" t="str">
        <x:v>roof_poly_colored</x:v>
      </x:c>
      <x:c r="C575" s="1533" t="n">
        <x:v>1250</x:v>
      </x:c>
      <x:c r="D575" s="1533" t="n">
        <x:v>1350</x:v>
      </x:c>
      <x:c r="E575" s="1533" t="n">
        <x:v>1350</x:v>
      </x:c>
      <x:c r="F575" s="1533" t="n">
        <x:v>1350</x:v>
      </x:c>
      <x:c r="G575" s="1535" t="n">
        <x:v>0</x:v>
      </x:c>
      <x:c r="H575" s="1535" t="n">
        <x:v>0</x:v>
      </x:c>
      <x:c r="I575" t="str">
        <x:v>OK — pełna zgodność</x:v>
      </x:c>
      <x:c r="J575" s="1537" t="str"/>
    </x:row>
    <x:row r="576" ht="19" customHeight="1">
      <x:c r="A576" t="str">
        <x:v>450 x 1106 cm</x:v>
      </x:c>
      <x:c r="B576" t="str">
        <x:v>roof_glass_clear</x:v>
      </x:c>
      <x:c r="C576" s="1533" t="n">
        <x:v>17082</x:v>
      </x:c>
      <x:c r="D576" s="1533" t="n">
        <x:v>18449</x:v>
      </x:c>
      <x:c r="E576" s="1533" t="n">
        <x:v>18448.56</x:v>
      </x:c>
      <x:c r="F576" s="1533" t="n">
        <x:v>18449</x:v>
      </x:c>
      <x:c r="G576" s="1535" t="n">
        <x:v>0</x:v>
      </x:c>
      <x:c r="H576" s="1535" t="n">
        <x:v>0</x:v>
      </x:c>
      <x:c r="I576" t="str">
        <x:v>OK — pełna zgodność</x:v>
      </x:c>
      <x:c r="J576" s="1537" t="str"/>
    </x:row>
    <x:row r="577" ht="19" customHeight="1">
      <x:c r="A577" t="str">
        <x:v>450 x 1106 cm</x:v>
      </x:c>
      <x:c r="B577" t="str">
        <x:v>roof_glass_tinted</x:v>
      </x:c>
      <x:c r="C577" s="1533" t="n">
        <x:v>18709</x:v>
      </x:c>
      <x:c r="D577" s="1533" t="n">
        <x:v>20206</x:v>
      </x:c>
      <x:c r="E577" s="1533" t="n">
        <x:v>20205.72</x:v>
      </x:c>
      <x:c r="F577" s="1533" t="n">
        <x:v>20206</x:v>
      </x:c>
      <x:c r="G577" s="1535" t="n">
        <x:v>0</x:v>
      </x:c>
      <x:c r="H577" s="1535" t="n">
        <x:v>0</x:v>
      </x:c>
      <x:c r="I577" t="str">
        <x:v>OK — pełna zgodność</x:v>
      </x:c>
      <x:c r="J577" s="1537" t="str">
        <x:v>Pozycja złożona; stary eksport mógł zaokrąglać składniki osobno.</x:v>
      </x:c>
    </x:row>
    <x:row r="578" ht="19" customHeight="1">
      <x:c r="A578" t="str">
        <x:v>450 x 1106 cm</x:v>
      </x:c>
      <x:c r="B578" t="str">
        <x:v>zip_side</x:v>
      </x:c>
      <x:c r="C578" s="1533" t="n">
        <x:v>3725</x:v>
      </x:c>
      <x:c r="D578" s="1533" t="n">
        <x:v>4023</x:v>
      </x:c>
      <x:c r="E578" s="1533" t="n">
        <x:v>4023</x:v>
      </x:c>
      <x:c r="F578" s="1533" t="n">
        <x:v>4023</x:v>
      </x:c>
      <x:c r="G578" s="1535" t="n">
        <x:v>0</x:v>
      </x:c>
      <x:c r="H578" s="1535" t="n">
        <x:v>0</x:v>
      </x:c>
      <x:c r="I578" t="str">
        <x:v>OK — pełna zgodność</x:v>
      </x:c>
      <x:c r="J578" s="1537" t="str"/>
    </x:row>
    <x:row r="579" ht="19" customHeight="1">
      <x:c r="A579" t="str">
        <x:v>450 x 1106 cm</x:v>
      </x:c>
      <x:c r="B579" t="str">
        <x:v>zip_front</x:v>
      </x:c>
      <x:c r="C579" s="1533" t="n">
        <x:v>8748</x:v>
      </x:c>
      <x:c r="D579" s="1533" t="n">
        <x:v>9448</x:v>
      </x:c>
      <x:c r="E579" s="1533" t="n">
        <x:v>9447.84</x:v>
      </x:c>
      <x:c r="F579" s="1533" t="n">
        <x:v>9448</x:v>
      </x:c>
      <x:c r="G579" s="1535" t="n">
        <x:v>0</x:v>
      </x:c>
      <x:c r="H579" s="1535" t="n">
        <x:v>0</x:v>
      </x:c>
      <x:c r="I579" t="str">
        <x:v>OK — pełna zgodność</x:v>
      </x:c>
      <x:c r="J579" s="1537" t="str"/>
    </x:row>
    <x:row r="580" ht="19" customHeight="1">
      <x:c r="A580" t="str">
        <x:v>450 x 1106 cm</x:v>
      </x:c>
      <x:c r="B580" t="str">
        <x:v>awning</x:v>
      </x:c>
      <x:c r="C580" s="1533" t="n">
        <x:v>15821</x:v>
      </x:c>
      <x:c r="D580" s="1533" t="n">
        <x:v>17087</x:v>
      </x:c>
      <x:c r="E580" s="1533" t="n">
        <x:v>17086.68</x:v>
      </x:c>
      <x:c r="F580" s="1533" t="n">
        <x:v>17087</x:v>
      </x:c>
      <x:c r="G580" s="1535" t="n">
        <x:v>0</x:v>
      </x:c>
      <x:c r="H580" s="1535" t="n">
        <x:v>0</x:v>
      </x:c>
      <x:c r="I580" t="str">
        <x:v>OK — pełna zgodność</x:v>
      </x:c>
      <x:c r="J580" s="1537" t="str"/>
    </x:row>
    <x:row r="581" ht="19" customHeight="1">
      <x:c r="A581" t="str">
        <x:v>450 x 1106 cm</x:v>
      </x:c>
      <x:c r="B581" t="str">
        <x:v>foundation</x:v>
      </x:c>
      <x:c r="C581" s="1533" t="n">
        <x:v>3881</x:v>
      </x:c>
      <x:c r="D581" s="1533" t="n">
        <x:v>4191</x:v>
      </x:c>
      <x:c r="E581" s="1533" t="n">
        <x:v>4191.48</x:v>
      </x:c>
      <x:c r="F581" s="1533" t="n">
        <x:v>4191</x:v>
      </x:c>
      <x:c r="G581" s="1535" t="n">
        <x:v>0</x:v>
      </x:c>
      <x:c r="H581" s="1535" t="n">
        <x:v>0</x:v>
      </x:c>
      <x:c r="I581" t="str">
        <x:v>OK — pełna zgodność</x:v>
      </x:c>
      <x:c r="J581" s="1537" t="str"/>
    </x:row>
    <x:row r="582" ht="19" customHeight="1">
      <x:c r="A582" t="str">
        <x:v>450 x 1106 cm</x:v>
      </x:c>
      <x:c r="B582" t="str">
        <x:v>led_point</x:v>
      </x:c>
      <x:c r="C582" s="1533" t="n">
        <x:v>2087</x:v>
      </x:c>
      <x:c r="D582" s="1533" t="n">
        <x:v>2254</x:v>
      </x:c>
      <x:c r="E582" s="1533" t="n">
        <x:v>2253.96</x:v>
      </x:c>
      <x:c r="F582" s="1533" t="n">
        <x:v>2254</x:v>
      </x:c>
      <x:c r="G582" s="1535" t="n">
        <x:v>0</x:v>
      </x:c>
      <x:c r="H582" s="1535" t="n">
        <x:v>0</x:v>
      </x:c>
      <x:c r="I582" t="str">
        <x:v>OK — pełna zgodność</x:v>
      </x:c>
      <x:c r="J582" s="1537" t="str"/>
    </x:row>
    <x:row r="583" ht="19" customHeight="1">
      <x:c r="A583" t="str">
        <x:v>450 x 1106 cm</x:v>
      </x:c>
      <x:c r="B583" t="str">
        <x:v>led_cct</x:v>
      </x:c>
      <x:c r="C583" s="1533" t="n">
        <x:v>4656</x:v>
      </x:c>
      <x:c r="D583" s="1533" t="n">
        <x:v>5028</x:v>
      </x:c>
      <x:c r="E583" s="1533" t="n">
        <x:v>5028.48</x:v>
      </x:c>
      <x:c r="F583" s="1533" t="n">
        <x:v>5028</x:v>
      </x:c>
      <x:c r="G583" s="1535" t="n">
        <x:v>0</x:v>
      </x:c>
      <x:c r="H583" s="1535" t="n">
        <x:v>0</x:v>
      </x:c>
      <x:c r="I583" t="str">
        <x:v>OK — pełna zgodność</x:v>
      </x:c>
      <x:c r="J583" s="1537" t="str"/>
    </x:row>
    <x:row r="584" ht="19" customHeight="1">
      <x:c r="A584" t="str">
        <x:v>450 x 1106 cm</x:v>
      </x:c>
      <x:c r="B584" t="str">
        <x:v>brushes</x:v>
      </x:c>
      <x:c r="C584" s="1533" t="n">
        <x:v>943</x:v>
      </x:c>
      <x:c r="D584" s="1533" t="n">
        <x:v>1017</x:v>
      </x:c>
      <x:c r="E584" s="1533" t="n">
        <x:v>1018.44</x:v>
      </x:c>
      <x:c r="F584" s="1533" t="n">
        <x:v>1018</x:v>
      </x:c>
      <x:c r="G584" s="1535" t="n">
        <x:v>1</x:v>
      </x:c>
      <x:c r="H584" s="1535" t="n">
        <x:v>1</x:v>
      </x:c>
      <x:c r="I584" t="str">
        <x:v>OK — zaokrąglenie ±1 zł</x:v>
      </x:c>
      <x:c r="J584" s="1537" t="str"/>
    </x:row>
    <x:row r="585" ht="19" customHeight="1">
      <x:c r="A585" t="str">
        <x:v>450 x 1106 cm</x:v>
      </x:c>
      <x:c r="B585" t="str">
        <x:v>handles</x:v>
      </x:c>
      <x:c r="C585" s="1533" t="n">
        <x:v>848</x:v>
      </x:c>
      <x:c r="D585" s="1533" t="n">
        <x:v>916</x:v>
      </x:c>
      <x:c r="E585" s="1533" t="n">
        <x:v>915.84</x:v>
      </x:c>
      <x:c r="F585" s="1533" t="n">
        <x:v>916</x:v>
      </x:c>
      <x:c r="G585" s="1535" t="n">
        <x:v>0</x:v>
      </x:c>
      <x:c r="H585" s="1535" t="n">
        <x:v>0</x:v>
      </x:c>
      <x:c r="I585" t="str">
        <x:v>OK — pełna zgodność</x:v>
      </x:c>
      <x:c r="J585" s="1537" t="str"/>
    </x:row>
    <x:row r="586" ht="19" customHeight="1">
      <x:c r="A586" t="str">
        <x:v>450 x 1106 cm</x:v>
      </x:c>
      <x:c r="B586" t="str">
        <x:v>carriers</x:v>
      </x:c>
      <x:c r="C586" s="1533" t="n">
        <x:v>754</x:v>
      </x:c>
      <x:c r="D586" s="1533" t="n">
        <x:v>814</x:v>
      </x:c>
      <x:c r="E586" s="1533" t="n">
        <x:v>814.32</x:v>
      </x:c>
      <x:c r="F586" s="1533" t="n">
        <x:v>814</x:v>
      </x:c>
      <x:c r="G586" s="1535" t="n">
        <x:v>0</x:v>
      </x:c>
      <x:c r="H586" s="1535" t="n">
        <x:v>0</x:v>
      </x:c>
      <x:c r="I586" t="str">
        <x:v>OK — pełna zgodność</x:v>
      </x:c>
      <x:c r="J586" s="1537" t="str"/>
    </x:row>
    <x:row r="587" ht="19" customHeight="1">
      <x:c r="A587" t="str">
        <x:v>450 x 1206 cm</x:v>
      </x:c>
      <x:c r="B587" t="str">
        <x:v>base_poly</x:v>
      </x:c>
      <x:c r="C587" s="1533" t="n">
        <x:v>37317</x:v>
      </x:c>
      <x:c r="D587" s="1533" t="n">
        <x:v>40302</x:v>
      </x:c>
      <x:c r="E587" s="1533" t="n">
        <x:v>40302.36</x:v>
      </x:c>
      <x:c r="F587" s="1533" t="n">
        <x:v>40302</x:v>
      </x:c>
      <x:c r="G587" s="1535" t="n">
        <x:v>0</x:v>
      </x:c>
      <x:c r="H587" s="1535" t="n">
        <x:v>0</x:v>
      </x:c>
      <x:c r="I587" t="str">
        <x:v>OK — pełna zgodność</x:v>
      </x:c>
      <x:c r="J587" s="1537" t="str"/>
    </x:row>
    <x:row r="588" ht="19" customHeight="1">
      <x:c r="A588" t="str">
        <x:v>450 x 1206 cm</x:v>
      </x:c>
      <x:c r="B588" t="str">
        <x:v>walls_clear</x:v>
      </x:c>
      <x:c r="C588" s="1533" t="n">
        <x:v>29590</x:v>
      </x:c>
      <x:c r="D588" s="1533" t="n">
        <x:v>31957</x:v>
      </x:c>
      <x:c r="E588" s="1533" t="n">
        <x:v>31957.2</x:v>
      </x:c>
      <x:c r="F588" s="1533" t="n">
        <x:v>31957</x:v>
      </x:c>
      <x:c r="G588" s="1535" t="n">
        <x:v>0</x:v>
      </x:c>
      <x:c r="H588" s="1535" t="n">
        <x:v>0</x:v>
      </x:c>
      <x:c r="I588" t="str">
        <x:v>OK — pełna zgodność</x:v>
      </x:c>
      <x:c r="J588" s="1537" t="str"/>
    </x:row>
    <x:row r="589" ht="19" customHeight="1">
      <x:c r="A589" t="str">
        <x:v>450 x 1206 cm</x:v>
      </x:c>
      <x:c r="B589" t="str">
        <x:v>walls_tinted</x:v>
      </x:c>
      <x:c r="C589" s="1533" t="n">
        <x:v>32702</x:v>
      </x:c>
      <x:c r="D589" s="1533" t="n">
        <x:v>35318</x:v>
      </x:c>
      <x:c r="E589" s="1533" t="n">
        <x:v>35318.16</x:v>
      </x:c>
      <x:c r="F589" s="1533" t="n">
        <x:v>35318</x:v>
      </x:c>
      <x:c r="G589" s="1535" t="n">
        <x:v>0</x:v>
      </x:c>
      <x:c r="H589" s="1535" t="n">
        <x:v>0</x:v>
      </x:c>
      <x:c r="I589" t="str">
        <x:v>OK — pełna zgodność</x:v>
      </x:c>
      <x:c r="J589" s="1537" t="str">
        <x:v>Pozycja złożona; stary eksport mógł zaokrąglać składniki osobno.</x:v>
      </x:c>
    </x:row>
    <x:row r="590" ht="19" customHeight="1">
      <x:c r="A590" t="str">
        <x:v>450 x 1206 cm</x:v>
      </x:c>
      <x:c r="B590" t="str">
        <x:v>roof_poly_colored</x:v>
      </x:c>
      <x:c r="C590" s="1533" t="n">
        <x:v>1356</x:v>
      </x:c>
      <x:c r="D590" s="1533" t="n">
        <x:v>1464</x:v>
      </x:c>
      <x:c r="E590" s="1533" t="n">
        <x:v>1464.48</x:v>
      </x:c>
      <x:c r="F590" s="1533" t="n">
        <x:v>1464</x:v>
      </x:c>
      <x:c r="G590" s="1535" t="n">
        <x:v>0</x:v>
      </x:c>
      <x:c r="H590" s="1535" t="n">
        <x:v>0</x:v>
      </x:c>
      <x:c r="I590" t="str">
        <x:v>OK — pełna zgodność</x:v>
      </x:c>
      <x:c r="J590" s="1537" t="str"/>
    </x:row>
    <x:row r="591" ht="19" customHeight="1">
      <x:c r="A591" t="str">
        <x:v>450 x 1206 cm</x:v>
      </x:c>
      <x:c r="B591" t="str">
        <x:v>roof_glass_clear</x:v>
      </x:c>
      <x:c r="C591" s="1533" t="n">
        <x:v>18708</x:v>
      </x:c>
      <x:c r="D591" s="1533" t="n">
        <x:v>20205</x:v>
      </x:c>
      <x:c r="E591" s="1533" t="n">
        <x:v>20204.64</x:v>
      </x:c>
      <x:c r="F591" s="1533" t="n">
        <x:v>20205</x:v>
      </x:c>
      <x:c r="G591" s="1535" t="n">
        <x:v>0</x:v>
      </x:c>
      <x:c r="H591" s="1535" t="n">
        <x:v>0</x:v>
      </x:c>
      <x:c r="I591" t="str">
        <x:v>OK — pełna zgodność</x:v>
      </x:c>
      <x:c r="J591" s="1537" t="str"/>
    </x:row>
    <x:row r="592" ht="19" customHeight="1">
      <x:c r="A592" t="str">
        <x:v>450 x 1206 cm</x:v>
      </x:c>
      <x:c r="B592" t="str">
        <x:v>roof_glass_tinted</x:v>
      </x:c>
      <x:c r="C592" s="1533" t="n">
        <x:v>20489</x:v>
      </x:c>
      <x:c r="D592" s="1533" t="n">
        <x:v>22128</x:v>
      </x:c>
      <x:c r="E592" s="1533" t="n">
        <x:v>22128.12</x:v>
      </x:c>
      <x:c r="F592" s="1533" t="n">
        <x:v>22128</x:v>
      </x:c>
      <x:c r="G592" s="1535" t="n">
        <x:v>0</x:v>
      </x:c>
      <x:c r="H592" s="1535" t="n">
        <x:v>0</x:v>
      </x:c>
      <x:c r="I592" t="str">
        <x:v>OK — pełna zgodność</x:v>
      </x:c>
      <x:c r="J592" s="1537" t="str">
        <x:v>Pozycja złożona; stary eksport mógł zaokrąglać składniki osobno.</x:v>
      </x:c>
    </x:row>
    <x:row r="593" ht="19" customHeight="1">
      <x:c r="A593" t="str">
        <x:v>450 x 1206 cm</x:v>
      </x:c>
      <x:c r="B593" t="str">
        <x:v>zip_side</x:v>
      </x:c>
      <x:c r="C593" s="1533" t="n">
        <x:v>3725</x:v>
      </x:c>
      <x:c r="D593" s="1533" t="n">
        <x:v>4023</x:v>
      </x:c>
      <x:c r="E593" s="1533" t="n">
        <x:v>4023</x:v>
      </x:c>
      <x:c r="F593" s="1533" t="n">
        <x:v>4023</x:v>
      </x:c>
      <x:c r="G593" s="1535" t="n">
        <x:v>0</x:v>
      </x:c>
      <x:c r="H593" s="1535" t="n">
        <x:v>0</x:v>
      </x:c>
      <x:c r="I593" t="str">
        <x:v>OK — pełna zgodność</x:v>
      </x:c>
      <x:c r="J593" s="1537" t="str"/>
    </x:row>
    <x:row r="594" ht="19" customHeight="1">
      <x:c r="A594" t="str">
        <x:v>450 x 1206 cm</x:v>
      </x:c>
      <x:c r="B594" t="str">
        <x:v>zip_front</x:v>
      </x:c>
      <x:c r="C594" s="1533" t="n">
        <x:v>9337</x:v>
      </x:c>
      <x:c r="D594" s="1533" t="n">
        <x:v>10084</x:v>
      </x:c>
      <x:c r="E594" s="1533" t="n">
        <x:v>10083.96</x:v>
      </x:c>
      <x:c r="F594" s="1533" t="n">
        <x:v>10084</x:v>
      </x:c>
      <x:c r="G594" s="1535" t="n">
        <x:v>0</x:v>
      </x:c>
      <x:c r="H594" s="1535" t="n">
        <x:v>0</x:v>
      </x:c>
      <x:c r="I594" t="str">
        <x:v>OK — pełna zgodność</x:v>
      </x:c>
      <x:c r="J594" s="1537" t="str"/>
    </x:row>
    <x:row r="595" ht="19" customHeight="1">
      <x:c r="A595" t="str">
        <x:v>450 x 1206 cm</x:v>
      </x:c>
      <x:c r="B595" t="str">
        <x:v>awning</x:v>
      </x:c>
      <x:c r="C595" s="1533" t="n">
        <x:v>16516</x:v>
      </x:c>
      <x:c r="D595" s="1533" t="n">
        <x:v>17837</x:v>
      </x:c>
      <x:c r="E595" s="1533" t="n">
        <x:v>17837.28</x:v>
      </x:c>
      <x:c r="F595" s="1533" t="n">
        <x:v>17837</x:v>
      </x:c>
      <x:c r="G595" s="1535" t="n">
        <x:v>0</x:v>
      </x:c>
      <x:c r="H595" s="1535" t="n">
        <x:v>0</x:v>
      </x:c>
      <x:c r="I595" t="str">
        <x:v>OK — pełna zgodność</x:v>
      </x:c>
      <x:c r="J595" s="1537" t="str"/>
    </x:row>
    <x:row r="596" ht="19" customHeight="1">
      <x:c r="A596" t="str">
        <x:v>450 x 1206 cm</x:v>
      </x:c>
      <x:c r="B596" t="str">
        <x:v>foundation</x:v>
      </x:c>
      <x:c r="C596" s="1533" t="n">
        <x:v>4400</x:v>
      </x:c>
      <x:c r="D596" s="1533" t="n">
        <x:v>4752</x:v>
      </x:c>
      <x:c r="E596" s="1533" t="n">
        <x:v>4752</x:v>
      </x:c>
      <x:c r="F596" s="1533" t="n">
        <x:v>4752</x:v>
      </x:c>
      <x:c r="G596" s="1535" t="n">
        <x:v>0</x:v>
      </x:c>
      <x:c r="H596" s="1535" t="n">
        <x:v>0</x:v>
      </x:c>
      <x:c r="I596" t="str">
        <x:v>OK — pełna zgodność</x:v>
      </x:c>
      <x:c r="J596" s="1537" t="str"/>
    </x:row>
    <x:row r="597" ht="19" customHeight="1">
      <x:c r="A597" t="str">
        <x:v>450 x 1206 cm</x:v>
      </x:c>
      <x:c r="B597" t="str">
        <x:v>led_point</x:v>
      </x:c>
      <x:c r="C597" s="1533" t="n">
        <x:v>2240</x:v>
      </x:c>
      <x:c r="D597" s="1533" t="n">
        <x:v>2419</x:v>
      </x:c>
      <x:c r="E597" s="1533" t="n">
        <x:v>2419.2</x:v>
      </x:c>
      <x:c r="F597" s="1533" t="n">
        <x:v>2419</x:v>
      </x:c>
      <x:c r="G597" s="1535" t="n">
        <x:v>0</x:v>
      </x:c>
      <x:c r="H597" s="1535" t="n">
        <x:v>0</x:v>
      </x:c>
      <x:c r="I597" t="str">
        <x:v>OK — pełna zgodność</x:v>
      </x:c>
      <x:c r="J597" s="1537" t="str"/>
    </x:row>
    <x:row r="598" ht="19" customHeight="1">
      <x:c r="A598" t="str">
        <x:v>450 x 1206 cm</x:v>
      </x:c>
      <x:c r="B598" t="str">
        <x:v>led_cct</x:v>
      </x:c>
      <x:c r="C598" s="1533" t="n">
        <x:v>4946</x:v>
      </x:c>
      <x:c r="D598" s="1533" t="n">
        <x:v>5342</x:v>
      </x:c>
      <x:c r="E598" s="1533" t="n">
        <x:v>5341.68</x:v>
      </x:c>
      <x:c r="F598" s="1533" t="n">
        <x:v>5342</x:v>
      </x:c>
      <x:c r="G598" s="1535" t="n">
        <x:v>0</x:v>
      </x:c>
      <x:c r="H598" s="1535" t="n">
        <x:v>0</x:v>
      </x:c>
      <x:c r="I598" t="str">
        <x:v>OK — pełna zgodność</x:v>
      </x:c>
      <x:c r="J598" s="1537" t="str"/>
    </x:row>
    <x:row r="599" ht="19" customHeight="1">
      <x:c r="A599" t="str">
        <x:v>450 x 1206 cm</x:v>
      </x:c>
      <x:c r="B599" t="str">
        <x:v>brushes</x:v>
      </x:c>
      <x:c r="C599" s="1533" t="n">
        <x:v>990</x:v>
      </x:c>
      <x:c r="D599" s="1533" t="n">
        <x:v>1069</x:v>
      </x:c>
      <x:c r="E599" s="1533" t="n">
        <x:v>1069.2</x:v>
      </x:c>
      <x:c r="F599" s="1533" t="n">
        <x:v>1069</x:v>
      </x:c>
      <x:c r="G599" s="1535" t="n">
        <x:v>0</x:v>
      </x:c>
      <x:c r="H599" s="1535" t="n">
        <x:v>0</x:v>
      </x:c>
      <x:c r="I599" t="str">
        <x:v>OK — pełna zgodność</x:v>
      </x:c>
      <x:c r="J599" s="1537" t="str"/>
    </x:row>
    <x:row r="600" ht="19" customHeight="1">
      <x:c r="A600" t="str">
        <x:v>450 x 1206 cm</x:v>
      </x:c>
      <x:c r="B600" t="str">
        <x:v>handles</x:v>
      </x:c>
      <x:c r="C600" s="1533" t="n">
        <x:v>896</x:v>
      </x:c>
      <x:c r="D600" s="1533" t="n">
        <x:v>968</x:v>
      </x:c>
      <x:c r="E600" s="1533" t="n">
        <x:v>967.68</x:v>
      </x:c>
      <x:c r="F600" s="1533" t="n">
        <x:v>968</x:v>
      </x:c>
      <x:c r="G600" s="1535" t="n">
        <x:v>0</x:v>
      </x:c>
      <x:c r="H600" s="1535" t="n">
        <x:v>0</x:v>
      </x:c>
      <x:c r="I600" t="str">
        <x:v>OK — pełna zgodność</x:v>
      </x:c>
      <x:c r="J600" s="1537" t="str"/>
    </x:row>
    <x:row r="601" ht="19" customHeight="1">
      <x:c r="A601" t="str">
        <x:v>450 x 1206 cm</x:v>
      </x:c>
      <x:c r="B601" t="str">
        <x:v>carriers</x:v>
      </x:c>
      <x:c r="C601" s="1533" t="n">
        <x:v>802</x:v>
      </x:c>
      <x:c r="D601" s="1533" t="n">
        <x:v>866</x:v>
      </x:c>
      <x:c r="E601" s="1533" t="n">
        <x:v>866.16</x:v>
      </x:c>
      <x:c r="F601" s="1533" t="n">
        <x:v>866</x:v>
      </x:c>
      <x:c r="G601" s="1535" t="n">
        <x:v>0</x:v>
      </x:c>
      <x:c r="H601" s="1535" t="n">
        <x:v>0</x:v>
      </x:c>
      <x:c r="I601" t="str">
        <x:v>OK — pełna zgodność</x:v>
      </x:c>
      <x:c r="J601" s="1537" t="str"/>
    </x:row>
    <x:row r="602" ht="19" customHeight="1">
      <x:c r="A602" t="str">
        <x:v>500 x 306 cm</x:v>
      </x:c>
      <x:c r="B602" t="str">
        <x:v>base_poly</x:v>
      </x:c>
      <x:c r="C602" s="1533" t="n">
        <x:v>12374</x:v>
      </x:c>
      <x:c r="D602" s="1533" t="n">
        <x:v>13364</x:v>
      </x:c>
      <x:c r="E602" s="1533" t="n">
        <x:v>13363.92</x:v>
      </x:c>
      <x:c r="F602" s="1533" t="n">
        <x:v>13364</x:v>
      </x:c>
      <x:c r="G602" s="1535" t="n">
        <x:v>0</x:v>
      </x:c>
      <x:c r="H602" s="1535" t="n">
        <x:v>0</x:v>
      </x:c>
      <x:c r="I602" t="str">
        <x:v>OK — pełna zgodność</x:v>
      </x:c>
      <x:c r="J602" s="1537" t="str"/>
    </x:row>
    <x:row r="603" ht="19" customHeight="1">
      <x:c r="A603" t="str">
        <x:v>500 x 306 cm</x:v>
      </x:c>
      <x:c r="B603" t="str">
        <x:v>walls_clear</x:v>
      </x:c>
      <x:c r="C603" s="1533" t="n">
        <x:v>18872</x:v>
      </x:c>
      <x:c r="D603" s="1533" t="n">
        <x:v>20382</x:v>
      </x:c>
      <x:c r="E603" s="1533" t="n">
        <x:v>20381.76</x:v>
      </x:c>
      <x:c r="F603" s="1533" t="n">
        <x:v>20382</x:v>
      </x:c>
      <x:c r="G603" s="1535" t="n">
        <x:v>0</x:v>
      </x:c>
      <x:c r="H603" s="1535" t="n">
        <x:v>0</x:v>
      </x:c>
      <x:c r="I603" t="str">
        <x:v>OK — pełna zgodność</x:v>
      </x:c>
      <x:c r="J603" s="1537" t="str"/>
    </x:row>
    <x:row r="604" ht="19" customHeight="1">
      <x:c r="A604" t="str">
        <x:v>500 x 306 cm</x:v>
      </x:c>
      <x:c r="B604" t="str">
        <x:v>walls_tinted</x:v>
      </x:c>
      <x:c r="C604" s="1533" t="n">
        <x:v>20711</x:v>
      </x:c>
      <x:c r="D604" s="1533" t="n">
        <x:v>22368</x:v>
      </x:c>
      <x:c r="E604" s="1533" t="n">
        <x:v>22367.88</x:v>
      </x:c>
      <x:c r="F604" s="1533" t="n">
        <x:v>22368</x:v>
      </x:c>
      <x:c r="G604" s="1535" t="n">
        <x:v>0</x:v>
      </x:c>
      <x:c r="H604" s="1535" t="n">
        <x:v>0</x:v>
      </x:c>
      <x:c r="I604" t="str">
        <x:v>OK — pełna zgodność</x:v>
      </x:c>
      <x:c r="J604" s="1537" t="str">
        <x:v>Pozycja złożona; stary eksport mógł zaokrąglać składniki osobno.</x:v>
      </x:c>
    </x:row>
    <x:row r="605" ht="19" customHeight="1">
      <x:c r="A605" t="str">
        <x:v>500 x 306 cm</x:v>
      </x:c>
      <x:c r="B605" t="str">
        <x:v>roof_poly_colored</x:v>
      </x:c>
      <x:c r="C605" s="1533" t="n">
        <x:v>365</x:v>
      </x:c>
      <x:c r="D605" s="1533" t="n">
        <x:v>394</x:v>
      </x:c>
      <x:c r="E605" s="1533" t="n">
        <x:v>394.2</x:v>
      </x:c>
      <x:c r="F605" s="1533" t="n">
        <x:v>394</x:v>
      </x:c>
      <x:c r="G605" s="1535" t="n">
        <x:v>0</x:v>
      </x:c>
      <x:c r="H605" s="1535" t="n">
        <x:v>0</x:v>
      </x:c>
      <x:c r="I605" t="str">
        <x:v>OK — pełna zgodność</x:v>
      </x:c>
      <x:c r="J605" s="1537" t="str"/>
    </x:row>
    <x:row r="606" ht="19" customHeight="1">
      <x:c r="A606" t="str">
        <x:v>500 x 306 cm</x:v>
      </x:c>
      <x:c r="B606" t="str">
        <x:v>roof_glass_clear</x:v>
      </x:c>
      <x:c r="C606" s="1533" t="n">
        <x:v>4421</x:v>
      </x:c>
      <x:c r="D606" s="1533" t="n">
        <x:v>4775</x:v>
      </x:c>
      <x:c r="E606" s="1533" t="n">
        <x:v>4774.68</x:v>
      </x:c>
      <x:c r="F606" s="1533" t="n">
        <x:v>4775</x:v>
      </x:c>
      <x:c r="G606" s="1535" t="n">
        <x:v>0</x:v>
      </x:c>
      <x:c r="H606" s="1535" t="n">
        <x:v>0</x:v>
      </x:c>
      <x:c r="I606" t="str">
        <x:v>OK — pełna zgodność</x:v>
      </x:c>
      <x:c r="J606" s="1537" t="str"/>
    </x:row>
    <x:row r="607" ht="19" customHeight="1">
      <x:c r="A607" t="str">
        <x:v>500 x 306 cm</x:v>
      </x:c>
      <x:c r="B607" t="str">
        <x:v>roof_glass_tinted</x:v>
      </x:c>
      <x:c r="C607" s="1533" t="n">
        <x:v>4915</x:v>
      </x:c>
      <x:c r="D607" s="1533" t="n">
        <x:v>5309</x:v>
      </x:c>
      <x:c r="E607" s="1533" t="n">
        <x:v>5308.2</x:v>
      </x:c>
      <x:c r="F607" s="1533" t="n">
        <x:v>5308</x:v>
      </x:c>
      <x:c r="G607" s="1535" t="n">
        <x:v>-1</x:v>
      </x:c>
      <x:c r="H607" s="1535" t="n">
        <x:v>1</x:v>
      </x:c>
      <x:c r="I607" t="str">
        <x:v>OK — zaokrąglenie ±1 zł</x:v>
      </x:c>
      <x:c r="J607" s="1537" t="str">
        <x:v>Pozycja złożona; stary eksport mógł zaokrąglać składniki osobno.</x:v>
      </x:c>
    </x:row>
    <x:row r="608" ht="19" customHeight="1">
      <x:c r="A608" t="str">
        <x:v>500 x 306 cm</x:v>
      </x:c>
      <x:c r="B608" t="str">
        <x:v>zip_side</x:v>
      </x:c>
      <x:c r="C608" s="1533" t="n">
        <x:v>4362</x:v>
      </x:c>
      <x:c r="D608" s="1533" t="n">
        <x:v>4711</x:v>
      </x:c>
      <x:c r="E608" s="1533" t="n">
        <x:v>4710.96</x:v>
      </x:c>
      <x:c r="F608" s="1533" t="n">
        <x:v>4711</x:v>
      </x:c>
      <x:c r="G608" s="1535" t="n">
        <x:v>0</x:v>
      </x:c>
      <x:c r="H608" s="1535" t="n">
        <x:v>0</x:v>
      </x:c>
      <x:c r="I608" t="str">
        <x:v>OK — pełna zgodność</x:v>
      </x:c>
      <x:c r="J608" s="1537" t="str"/>
    </x:row>
    <x:row r="609" ht="19" customHeight="1">
      <x:c r="A609" t="str">
        <x:v>500 x 306 cm</x:v>
      </x:c>
      <x:c r="B609" t="str">
        <x:v>zip_front</x:v>
      </x:c>
      <x:c r="C609" s="1533" t="n">
        <x:v>2523</x:v>
      </x:c>
      <x:c r="D609" s="1533" t="n">
        <x:v>2725</x:v>
      </x:c>
      <x:c r="E609" s="1533" t="n">
        <x:v>2724.84</x:v>
      </x:c>
      <x:c r="F609" s="1533" t="n">
        <x:v>2725</x:v>
      </x:c>
      <x:c r="G609" s="1535" t="n">
        <x:v>0</x:v>
      </x:c>
      <x:c r="H609" s="1535" t="n">
        <x:v>0</x:v>
      </x:c>
      <x:c r="I609" t="str">
        <x:v>OK — pełna zgodność</x:v>
      </x:c>
      <x:c r="J609" s="1537" t="str"/>
    </x:row>
    <x:row r="610" ht="19" customHeight="1">
      <x:c r="A610" t="str">
        <x:v>500 x 306 cm</x:v>
      </x:c>
      <x:c r="B610" t="str">
        <x:v>awning</x:v>
      </x:c>
      <x:c r="C610" s="1533" t="n">
        <x:v>4810</x:v>
      </x:c>
      <x:c r="D610" s="1533" t="n">
        <x:v>5195</x:v>
      </x:c>
      <x:c r="E610" s="1533" t="n">
        <x:v>5194.8</x:v>
      </x:c>
      <x:c r="F610" s="1533" t="n">
        <x:v>5195</x:v>
      </x:c>
      <x:c r="G610" s="1535" t="n">
        <x:v>0</x:v>
      </x:c>
      <x:c r="H610" s="1535" t="n">
        <x:v>0</x:v>
      </x:c>
      <x:c r="I610" t="str">
        <x:v>OK — pełna zgodność</x:v>
      </x:c>
      <x:c r="J610" s="1537" t="str"/>
    </x:row>
    <x:row r="611" ht="19" customHeight="1">
      <x:c r="A611" t="str">
        <x:v>500 x 306 cm</x:v>
      </x:c>
      <x:c r="B611" t="str">
        <x:v>foundation</x:v>
      </x:c>
      <x:c r="C611" s="1533" t="n">
        <x:v>2075</x:v>
      </x:c>
      <x:c r="D611" s="1533" t="n">
        <x:v>2241</x:v>
      </x:c>
      <x:c r="E611" s="1533" t="n">
        <x:v>2241</x:v>
      </x:c>
      <x:c r="F611" s="1533" t="n">
        <x:v>2241</x:v>
      </x:c>
      <x:c r="G611" s="1535" t="n">
        <x:v>0</x:v>
      </x:c>
      <x:c r="H611" s="1535" t="n">
        <x:v>0</x:v>
      </x:c>
      <x:c r="I611" t="str">
        <x:v>OK — pełna zgodność</x:v>
      </x:c>
      <x:c r="J611" s="1537" t="str"/>
    </x:row>
    <x:row r="612" ht="19" customHeight="1">
      <x:c r="A612" t="str">
        <x:v>500 x 306 cm</x:v>
      </x:c>
      <x:c r="B612" t="str">
        <x:v>led_point</x:v>
      </x:c>
      <x:c r="C612" s="1533" t="n">
        <x:v>754</x:v>
      </x:c>
      <x:c r="D612" s="1533" t="n">
        <x:v>814</x:v>
      </x:c>
      <x:c r="E612" s="1533" t="n">
        <x:v>814.32</x:v>
      </x:c>
      <x:c r="F612" s="1533" t="n">
        <x:v>814</x:v>
      </x:c>
      <x:c r="G612" s="1535" t="n">
        <x:v>0</x:v>
      </x:c>
      <x:c r="H612" s="1535" t="n">
        <x:v>0</x:v>
      </x:c>
      <x:c r="I612" t="str">
        <x:v>OK — pełna zgodność</x:v>
      </x:c>
      <x:c r="J612" s="1537" t="str"/>
    </x:row>
    <x:row r="613" ht="19" customHeight="1">
      <x:c r="A613" t="str">
        <x:v>500 x 306 cm</x:v>
      </x:c>
      <x:c r="B613" t="str">
        <x:v>led_cct</x:v>
      </x:c>
      <x:c r="C613" s="1533" t="n">
        <x:v>2402</x:v>
      </x:c>
      <x:c r="D613" s="1533" t="n">
        <x:v>2594</x:v>
      </x:c>
      <x:c r="E613" s="1533" t="n">
        <x:v>2594.16</x:v>
      </x:c>
      <x:c r="F613" s="1533" t="n">
        <x:v>2594</x:v>
      </x:c>
      <x:c r="G613" s="1535" t="n">
        <x:v>0</x:v>
      </x:c>
      <x:c r="H613" s="1535" t="n">
        <x:v>0</x:v>
      </x:c>
      <x:c r="I613" t="str">
        <x:v>OK — pełna zgodność</x:v>
      </x:c>
      <x:c r="J613" s="1537" t="str"/>
    </x:row>
    <x:row r="614" ht="19" customHeight="1">
      <x:c r="A614" t="str">
        <x:v>500 x 306 cm</x:v>
      </x:c>
      <x:c r="B614" t="str">
        <x:v>brushes</x:v>
      </x:c>
      <x:c r="C614" s="1533" t="n">
        <x:v>590</x:v>
      </x:c>
      <x:c r="D614" s="1533" t="n">
        <x:v>637</x:v>
      </x:c>
      <x:c r="E614" s="1533" t="n">
        <x:v>637.2</x:v>
      </x:c>
      <x:c r="F614" s="1533" t="n">
        <x:v>637</x:v>
      </x:c>
      <x:c r="G614" s="1535" t="n">
        <x:v>0</x:v>
      </x:c>
      <x:c r="H614" s="1535" t="n">
        <x:v>0</x:v>
      </x:c>
      <x:c r="I614" t="str">
        <x:v>OK — pełna zgodność</x:v>
      </x:c>
      <x:c r="J614" s="1537" t="str"/>
    </x:row>
    <x:row r="615" ht="19" customHeight="1">
      <x:c r="A615" t="str">
        <x:v>500 x 306 cm</x:v>
      </x:c>
      <x:c r="B615" t="str">
        <x:v>handles</x:v>
      </x:c>
      <x:c r="C615" s="1533" t="n">
        <x:v>531</x:v>
      </x:c>
      <x:c r="D615" s="1533" t="n">
        <x:v>573</x:v>
      </x:c>
      <x:c r="E615" s="1533" t="n">
        <x:v>573.48</x:v>
      </x:c>
      <x:c r="F615" s="1533" t="n">
        <x:v>573</x:v>
      </x:c>
      <x:c r="G615" s="1535" t="n">
        <x:v>0</x:v>
      </x:c>
      <x:c r="H615" s="1535" t="n">
        <x:v>0</x:v>
      </x:c>
      <x:c r="I615" t="str">
        <x:v>OK — pełna zgodność</x:v>
      </x:c>
      <x:c r="J615" s="1537" t="str"/>
    </x:row>
    <x:row r="616" ht="19" customHeight="1">
      <x:c r="A616" t="str">
        <x:v>500 x 306 cm</x:v>
      </x:c>
      <x:c r="B616" t="str">
        <x:v>carriers</x:v>
      </x:c>
      <x:c r="C616" s="1533" t="n">
        <x:v>471</x:v>
      </x:c>
      <x:c r="D616" s="1533" t="n">
        <x:v>509</x:v>
      </x:c>
      <x:c r="E616" s="1533" t="n">
        <x:v>508.68</x:v>
      </x:c>
      <x:c r="F616" s="1533" t="n">
        <x:v>509</x:v>
      </x:c>
      <x:c r="G616" s="1535" t="n">
        <x:v>0</x:v>
      </x:c>
      <x:c r="H616" s="1535" t="n">
        <x:v>0</x:v>
      </x:c>
      <x:c r="I616" t="str">
        <x:v>OK — pełna zgodność</x:v>
      </x:c>
      <x:c r="J616" s="1537" t="str"/>
    </x:row>
    <x:row r="617" ht="19" customHeight="1">
      <x:c r="A617" t="str">
        <x:v>500 x 406 cm</x:v>
      </x:c>
      <x:c r="B617" t="str">
        <x:v>base_poly</x:v>
      </x:c>
      <x:c r="C617" s="1533" t="n">
        <x:v>15023</x:v>
      </x:c>
      <x:c r="D617" s="1533" t="n">
        <x:v>16225</x:v>
      </x:c>
      <x:c r="E617" s="1533" t="n">
        <x:v>16224.84</x:v>
      </x:c>
      <x:c r="F617" s="1533" t="n">
        <x:v>16225</x:v>
      </x:c>
      <x:c r="G617" s="1535" t="n">
        <x:v>0</x:v>
      </x:c>
      <x:c r="H617" s="1535" t="n">
        <x:v>0</x:v>
      </x:c>
      <x:c r="I617" t="str">
        <x:v>OK — pełna zgodność</x:v>
      </x:c>
      <x:c r="J617" s="1537" t="str"/>
    </x:row>
    <x:row r="618" ht="19" customHeight="1">
      <x:c r="A618" t="str">
        <x:v>500 x 406 cm</x:v>
      </x:c>
      <x:c r="B618" t="str">
        <x:v>walls_clear</x:v>
      </x:c>
      <x:c r="C618" s="1533" t="n">
        <x:v>19977</x:v>
      </x:c>
      <x:c r="D618" s="1533" t="n">
        <x:v>21575</x:v>
      </x:c>
      <x:c r="E618" s="1533" t="n">
        <x:v>21575.16</x:v>
      </x:c>
      <x:c r="F618" s="1533" t="n">
        <x:v>21575</x:v>
      </x:c>
      <x:c r="G618" s="1535" t="n">
        <x:v>0</x:v>
      </x:c>
      <x:c r="H618" s="1535" t="n">
        <x:v>0</x:v>
      </x:c>
      <x:c r="I618" t="str">
        <x:v>OK — pełna zgodność</x:v>
      </x:c>
      <x:c r="J618" s="1537" t="str"/>
    </x:row>
    <x:row r="619" ht="19" customHeight="1">
      <x:c r="A619" t="str">
        <x:v>500 x 406 cm</x:v>
      </x:c>
      <x:c r="B619" t="str">
        <x:v>walls_tinted</x:v>
      </x:c>
      <x:c r="C619" s="1533" t="n">
        <x:v>21958</x:v>
      </x:c>
      <x:c r="D619" s="1533" t="n">
        <x:v>23714</x:v>
      </x:c>
      <x:c r="E619" s="1533" t="n">
        <x:v>23714.64</x:v>
      </x:c>
      <x:c r="F619" s="1533" t="n">
        <x:v>23715</x:v>
      </x:c>
      <x:c r="G619" s="1535" t="n">
        <x:v>1</x:v>
      </x:c>
      <x:c r="H619" s="1535" t="n">
        <x:v>1</x:v>
      </x:c>
      <x:c r="I619" t="str">
        <x:v>OK — zaokrąglenie ±1 zł</x:v>
      </x:c>
      <x:c r="J619" s="1537" t="str">
        <x:v>Pozycja złożona; stary eksport mógł zaokrąglać składniki osobno.</x:v>
      </x:c>
    </x:row>
    <x:row r="620" ht="19" customHeight="1">
      <x:c r="A620" t="str">
        <x:v>500 x 406 cm</x:v>
      </x:c>
      <x:c r="B620" t="str">
        <x:v>roof_poly_colored</x:v>
      </x:c>
      <x:c r="C620" s="1533" t="n">
        <x:v>494</x:v>
      </x:c>
      <x:c r="D620" s="1533" t="n">
        <x:v>534</x:v>
      </x:c>
      <x:c r="E620" s="1533" t="n">
        <x:v>533.52</x:v>
      </x:c>
      <x:c r="F620" s="1533" t="n">
        <x:v>534</x:v>
      </x:c>
      <x:c r="G620" s="1535" t="n">
        <x:v>0</x:v>
      </x:c>
      <x:c r="H620" s="1535" t="n">
        <x:v>0</x:v>
      </x:c>
      <x:c r="I620" t="str">
        <x:v>OK — pełna zgodność</x:v>
      </x:c>
      <x:c r="J620" s="1537" t="str"/>
    </x:row>
    <x:row r="621" ht="19" customHeight="1">
      <x:c r="A621" t="str">
        <x:v>500 x 406 cm</x:v>
      </x:c>
      <x:c r="B621" t="str">
        <x:v>roof_glass_clear</x:v>
      </x:c>
      <x:c r="C621" s="1533" t="n">
        <x:v>6236</x:v>
      </x:c>
      <x:c r="D621" s="1533" t="n">
        <x:v>6735</x:v>
      </x:c>
      <x:c r="E621" s="1533" t="n">
        <x:v>6734.88</x:v>
      </x:c>
      <x:c r="F621" s="1533" t="n">
        <x:v>6735</x:v>
      </x:c>
      <x:c r="G621" s="1535" t="n">
        <x:v>0</x:v>
      </x:c>
      <x:c r="H621" s="1535" t="n">
        <x:v>0</x:v>
      </x:c>
      <x:c r="I621" t="str">
        <x:v>OK — pełna zgodność</x:v>
      </x:c>
      <x:c r="J621" s="1537" t="str"/>
    </x:row>
    <x:row r="622" ht="19" customHeight="1">
      <x:c r="A622" t="str">
        <x:v>500 x 406 cm</x:v>
      </x:c>
      <x:c r="B622" t="str">
        <x:v>roof_glass_tinted</x:v>
      </x:c>
      <x:c r="C622" s="1533" t="n">
        <x:v>6896</x:v>
      </x:c>
      <x:c r="D622" s="1533" t="n">
        <x:v>7448</x:v>
      </x:c>
      <x:c r="E622" s="1533" t="n">
        <x:v>7447.68</x:v>
      </x:c>
      <x:c r="F622" s="1533" t="n">
        <x:v>7448</x:v>
      </x:c>
      <x:c r="G622" s="1535" t="n">
        <x:v>0</x:v>
      </x:c>
      <x:c r="H622" s="1535" t="n">
        <x:v>0</x:v>
      </x:c>
      <x:c r="I622" t="str">
        <x:v>OK — pełna zgodność</x:v>
      </x:c>
      <x:c r="J622" s="1537" t="str">
        <x:v>Pozycja złożona; stary eksport mógł zaokrąglać składniki osobno.</x:v>
      </x:c>
    </x:row>
    <x:row r="623" ht="19" customHeight="1">
      <x:c r="A623" t="str">
        <x:v>500 x 406 cm</x:v>
      </x:c>
      <x:c r="B623" t="str">
        <x:v>zip_side</x:v>
      </x:c>
      <x:c r="C623" s="1533" t="n">
        <x:v>4362</x:v>
      </x:c>
      <x:c r="D623" s="1533" t="n">
        <x:v>4711</x:v>
      </x:c>
      <x:c r="E623" s="1533" t="n">
        <x:v>4710.96</x:v>
      </x:c>
      <x:c r="F623" s="1533" t="n">
        <x:v>4711</x:v>
      </x:c>
      <x:c r="G623" s="1535" t="n">
        <x:v>0</x:v>
      </x:c>
      <x:c r="H623" s="1535" t="n">
        <x:v>0</x:v>
      </x:c>
      <x:c r="I623" t="str">
        <x:v>OK — pełna zgodność</x:v>
      </x:c>
      <x:c r="J623" s="1537" t="str"/>
    </x:row>
    <x:row r="624" ht="19" customHeight="1">
      <x:c r="A624" t="str">
        <x:v>500 x 406 cm</x:v>
      </x:c>
      <x:c r="B624" t="str">
        <x:v>zip_front</x:v>
      </x:c>
      <x:c r="C624" s="1533" t="n">
        <x:v>3112</x:v>
      </x:c>
      <x:c r="D624" s="1533" t="n">
        <x:v>3361</x:v>
      </x:c>
      <x:c r="E624" s="1533" t="n">
        <x:v>3360.96</x:v>
      </x:c>
      <x:c r="F624" s="1533" t="n">
        <x:v>3361</x:v>
      </x:c>
      <x:c r="G624" s="1535" t="n">
        <x:v>0</x:v>
      </x:c>
      <x:c r="H624" s="1535" t="n">
        <x:v>0</x:v>
      </x:c>
      <x:c r="I624" t="str">
        <x:v>OK — pełna zgodność</x:v>
      </x:c>
      <x:c r="J624" s="1537" t="str"/>
    </x:row>
    <x:row r="625" ht="19" customHeight="1">
      <x:c r="A625" t="str">
        <x:v>500 x 406 cm</x:v>
      </x:c>
      <x:c r="B625" t="str">
        <x:v>awning</x:v>
      </x:c>
      <x:c r="C625" s="1533" t="n">
        <x:v>5506</x:v>
      </x:c>
      <x:c r="D625" s="1533" t="n">
        <x:v>5946</x:v>
      </x:c>
      <x:c r="E625" s="1533" t="n">
        <x:v>5946.48</x:v>
      </x:c>
      <x:c r="F625" s="1533" t="n">
        <x:v>5946</x:v>
      </x:c>
      <x:c r="G625" s="1535" t="n">
        <x:v>0</x:v>
      </x:c>
      <x:c r="H625" s="1535" t="n">
        <x:v>0</x:v>
      </x:c>
      <x:c r="I625" t="str">
        <x:v>OK — pełna zgodność</x:v>
      </x:c>
      <x:c r="J625" s="1537" t="str"/>
    </x:row>
    <x:row r="626" ht="19" customHeight="1">
      <x:c r="A626" t="str">
        <x:v>500 x 406 cm</x:v>
      </x:c>
      <x:c r="B626" t="str">
        <x:v>foundation</x:v>
      </x:c>
      <x:c r="C626" s="1533" t="n">
        <x:v>2290</x:v>
      </x:c>
      <x:c r="D626" s="1533" t="n">
        <x:v>2473</x:v>
      </x:c>
      <x:c r="E626" s="1533" t="n">
        <x:v>2473.2</x:v>
      </x:c>
      <x:c r="F626" s="1533" t="n">
        <x:v>2473</x:v>
      </x:c>
      <x:c r="G626" s="1535" t="n">
        <x:v>0</x:v>
      </x:c>
      <x:c r="H626" s="1535" t="n">
        <x:v>0</x:v>
      </x:c>
      <x:c r="I626" t="str">
        <x:v>OK — pełna zgodność</x:v>
      </x:c>
      <x:c r="J626" s="1537" t="str"/>
    </x:row>
    <x:row r="627" ht="19" customHeight="1">
      <x:c r="A627" t="str">
        <x:v>500 x 406 cm</x:v>
      </x:c>
      <x:c r="B627" t="str">
        <x:v>led_point</x:v>
      </x:c>
      <x:c r="C627" s="1533" t="n">
        <x:v>873</x:v>
      </x:c>
      <x:c r="D627" s="1533" t="n">
        <x:v>943</x:v>
      </x:c>
      <x:c r="E627" s="1533" t="n">
        <x:v>942.84</x:v>
      </x:c>
      <x:c r="F627" s="1533" t="n">
        <x:v>943</x:v>
      </x:c>
      <x:c r="G627" s="1535" t="n">
        <x:v>0</x:v>
      </x:c>
      <x:c r="H627" s="1535" t="n">
        <x:v>0</x:v>
      </x:c>
      <x:c r="I627" t="str">
        <x:v>OK — pełna zgodność</x:v>
      </x:c>
      <x:c r="J627" s="1537" t="str"/>
    </x:row>
    <x:row r="628" ht="19" customHeight="1">
      <x:c r="A628" t="str">
        <x:v>500 x 406 cm</x:v>
      </x:c>
      <x:c r="B628" t="str">
        <x:v>led_cct</x:v>
      </x:c>
      <x:c r="C628" s="1533" t="n">
        <x:v>2734</x:v>
      </x:c>
      <x:c r="D628" s="1533" t="n">
        <x:v>2953</x:v>
      </x:c>
      <x:c r="E628" s="1533" t="n">
        <x:v>2952.72</x:v>
      </x:c>
      <x:c r="F628" s="1533" t="n">
        <x:v>2953</x:v>
      </x:c>
      <x:c r="G628" s="1535" t="n">
        <x:v>0</x:v>
      </x:c>
      <x:c r="H628" s="1535" t="n">
        <x:v>0</x:v>
      </x:c>
      <x:c r="I628" t="str">
        <x:v>OK — pełna zgodność</x:v>
      </x:c>
      <x:c r="J628" s="1537" t="str"/>
    </x:row>
    <x:row r="629" ht="19" customHeight="1">
      <x:c r="A629" t="str">
        <x:v>500 x 406 cm</x:v>
      </x:c>
      <x:c r="B629" t="str">
        <x:v>brushes</x:v>
      </x:c>
      <x:c r="C629" s="1533" t="n">
        <x:v>625</x:v>
      </x:c>
      <x:c r="D629" s="1533" t="n">
        <x:v>675</x:v>
      </x:c>
      <x:c r="E629" s="1533" t="n">
        <x:v>675</x:v>
      </x:c>
      <x:c r="F629" s="1533" t="n">
        <x:v>675</x:v>
      </x:c>
      <x:c r="G629" s="1535" t="n">
        <x:v>0</x:v>
      </x:c>
      <x:c r="H629" s="1535" t="n">
        <x:v>0</x:v>
      </x:c>
      <x:c r="I629" t="str">
        <x:v>OK — pełna zgodność</x:v>
      </x:c>
      <x:c r="J629" s="1537" t="str"/>
    </x:row>
    <x:row r="630" ht="19" customHeight="1">
      <x:c r="A630" t="str">
        <x:v>500 x 406 cm</x:v>
      </x:c>
      <x:c r="B630" t="str">
        <x:v>handles</x:v>
      </x:c>
      <x:c r="C630" s="1533" t="n">
        <x:v>566</x:v>
      </x:c>
      <x:c r="D630" s="1533" t="n">
        <x:v>611</x:v>
      </x:c>
      <x:c r="E630" s="1533" t="n">
        <x:v>611.28</x:v>
      </x:c>
      <x:c r="F630" s="1533" t="n">
        <x:v>611</x:v>
      </x:c>
      <x:c r="G630" s="1535" t="n">
        <x:v>0</x:v>
      </x:c>
      <x:c r="H630" s="1535" t="n">
        <x:v>0</x:v>
      </x:c>
      <x:c r="I630" t="str">
        <x:v>OK — pełna zgodność</x:v>
      </x:c>
      <x:c r="J630" s="1537" t="str"/>
    </x:row>
    <x:row r="631" ht="19" customHeight="1">
      <x:c r="A631" t="str">
        <x:v>500 x 406 cm</x:v>
      </x:c>
      <x:c r="B631" t="str">
        <x:v>carriers</x:v>
      </x:c>
      <x:c r="C631" s="1533" t="n">
        <x:v>519</x:v>
      </x:c>
      <x:c r="D631" s="1533" t="n">
        <x:v>561</x:v>
      </x:c>
      <x:c r="E631" s="1533" t="n">
        <x:v>560.52</x:v>
      </x:c>
      <x:c r="F631" s="1533" t="n">
        <x:v>561</x:v>
      </x:c>
      <x:c r="G631" s="1535" t="n">
        <x:v>0</x:v>
      </x:c>
      <x:c r="H631" s="1535" t="n">
        <x:v>0</x:v>
      </x:c>
      <x:c r="I631" t="str">
        <x:v>OK — pełna zgodność</x:v>
      </x:c>
      <x:c r="J631" s="1537" t="str"/>
    </x:row>
    <x:row r="632" ht="19" customHeight="1">
      <x:c r="A632" t="str">
        <x:v>500 x 506 cm</x:v>
      </x:c>
      <x:c r="B632" t="str">
        <x:v>base_poly</x:v>
      </x:c>
      <x:c r="C632" s="1533" t="n">
        <x:v>18039</x:v>
      </x:c>
      <x:c r="D632" s="1533" t="n">
        <x:v>19482</x:v>
      </x:c>
      <x:c r="E632" s="1533" t="n">
        <x:v>19482.12</x:v>
      </x:c>
      <x:c r="F632" s="1533" t="n">
        <x:v>19482</x:v>
      </x:c>
      <x:c r="G632" s="1535" t="n">
        <x:v>0</x:v>
      </x:c>
      <x:c r="H632" s="1535" t="n">
        <x:v>0</x:v>
      </x:c>
      <x:c r="I632" t="str">
        <x:v>OK — pełna zgodność</x:v>
      </x:c>
      <x:c r="J632" s="1537" t="str"/>
    </x:row>
    <x:row r="633" ht="19" customHeight="1">
      <x:c r="A633" t="str">
        <x:v>500 x 506 cm</x:v>
      </x:c>
      <x:c r="B633" t="str">
        <x:v>walls_clear</x:v>
      </x:c>
      <x:c r="C633" s="1533" t="n">
        <x:v>21365</x:v>
      </x:c>
      <x:c r="D633" s="1533" t="n">
        <x:v>23074</x:v>
      </x:c>
      <x:c r="E633" s="1533" t="n">
        <x:v>23074.2</x:v>
      </x:c>
      <x:c r="F633" s="1533" t="n">
        <x:v>23074</x:v>
      </x:c>
      <x:c r="G633" s="1535" t="n">
        <x:v>0</x:v>
      </x:c>
      <x:c r="H633" s="1535" t="n">
        <x:v>0</x:v>
      </x:c>
      <x:c r="I633" t="str">
        <x:v>OK — pełna zgodność</x:v>
      </x:c>
      <x:c r="J633" s="1537" t="str"/>
    </x:row>
    <x:row r="634" ht="19" customHeight="1">
      <x:c r="A634" t="str">
        <x:v>500 x 506 cm</x:v>
      </x:c>
      <x:c r="B634" t="str">
        <x:v>walls_tinted</x:v>
      </x:c>
      <x:c r="C634" s="1533" t="n">
        <x:v>23486</x:v>
      </x:c>
      <x:c r="D634" s="1533" t="n">
        <x:v>25365</x:v>
      </x:c>
      <x:c r="E634" s="1533" t="n">
        <x:v>25364.88</x:v>
      </x:c>
      <x:c r="F634" s="1533" t="n">
        <x:v>25365</x:v>
      </x:c>
      <x:c r="G634" s="1535" t="n">
        <x:v>0</x:v>
      </x:c>
      <x:c r="H634" s="1535" t="n">
        <x:v>0</x:v>
      </x:c>
      <x:c r="I634" t="str">
        <x:v>OK — pełna zgodność</x:v>
      </x:c>
      <x:c r="J634" s="1537" t="str">
        <x:v>Pozycja złożona; stary eksport mógł zaokrąglać składniki osobno.</x:v>
      </x:c>
    </x:row>
    <x:row r="635" ht="19" customHeight="1">
      <x:c r="A635" t="str">
        <x:v>500 x 506 cm</x:v>
      </x:c>
      <x:c r="B635" t="str">
        <x:v>roof_poly_colored</x:v>
      </x:c>
      <x:c r="C635" s="1533" t="n">
        <x:v>613</x:v>
      </x:c>
      <x:c r="D635" s="1533" t="n">
        <x:v>662</x:v>
      </x:c>
      <x:c r="E635" s="1533" t="n">
        <x:v>662.04</x:v>
      </x:c>
      <x:c r="F635" s="1533" t="n">
        <x:v>662</x:v>
      </x:c>
      <x:c r="G635" s="1535" t="n">
        <x:v>0</x:v>
      </x:c>
      <x:c r="H635" s="1535" t="n">
        <x:v>0</x:v>
      </x:c>
      <x:c r="I635" t="str">
        <x:v>OK — pełna zgodność</x:v>
      </x:c>
      <x:c r="J635" s="1537" t="str"/>
    </x:row>
    <x:row r="636" ht="19" customHeight="1">
      <x:c r="A636" t="str">
        <x:v>500 x 506 cm</x:v>
      </x:c>
      <x:c r="B636" t="str">
        <x:v>roof_glass_clear</x:v>
      </x:c>
      <x:c r="C636" s="1533" t="n">
        <x:v>8052</x:v>
      </x:c>
      <x:c r="D636" s="1533" t="n">
        <x:v>8696</x:v>
      </x:c>
      <x:c r="E636" s="1533" t="n">
        <x:v>8696.16</x:v>
      </x:c>
      <x:c r="F636" s="1533" t="n">
        <x:v>8696</x:v>
      </x:c>
      <x:c r="G636" s="1535" t="n">
        <x:v>0</x:v>
      </x:c>
      <x:c r="H636" s="1535" t="n">
        <x:v>0</x:v>
      </x:c>
      <x:c r="I636" t="str">
        <x:v>OK — pełna zgodność</x:v>
      </x:c>
      <x:c r="J636" s="1537" t="str"/>
    </x:row>
    <x:row r="637" ht="19" customHeight="1">
      <x:c r="A637" t="str">
        <x:v>500 x 506 cm</x:v>
      </x:c>
      <x:c r="B637" t="str">
        <x:v>roof_glass_tinted</x:v>
      </x:c>
      <x:c r="C637" s="1533" t="n">
        <x:v>8877</x:v>
      </x:c>
      <x:c r="D637" s="1533" t="n">
        <x:v>9587</x:v>
      </x:c>
      <x:c r="E637" s="1533" t="n">
        <x:v>9587.16</x:v>
      </x:c>
      <x:c r="F637" s="1533" t="n">
        <x:v>9587</x:v>
      </x:c>
      <x:c r="G637" s="1535" t="n">
        <x:v>0</x:v>
      </x:c>
      <x:c r="H637" s="1535" t="n">
        <x:v>0</x:v>
      </x:c>
      <x:c r="I637" t="str">
        <x:v>OK — pełna zgodność</x:v>
      </x:c>
      <x:c r="J637" s="1537" t="str">
        <x:v>Pozycja złożona; stary eksport mógł zaokrąglać składniki osobno.</x:v>
      </x:c>
    </x:row>
    <x:row r="638" ht="19" customHeight="1">
      <x:c r="A638" t="str">
        <x:v>500 x 506 cm</x:v>
      </x:c>
      <x:c r="B638" t="str">
        <x:v>zip_side</x:v>
      </x:c>
      <x:c r="C638" s="1533" t="n">
        <x:v>4362</x:v>
      </x:c>
      <x:c r="D638" s="1533" t="n">
        <x:v>4711</x:v>
      </x:c>
      <x:c r="E638" s="1533" t="n">
        <x:v>4710.96</x:v>
      </x:c>
      <x:c r="F638" s="1533" t="n">
        <x:v>4711</x:v>
      </x:c>
      <x:c r="G638" s="1535" t="n">
        <x:v>0</x:v>
      </x:c>
      <x:c r="H638" s="1535" t="n">
        <x:v>0</x:v>
      </x:c>
      <x:c r="I638" t="str">
        <x:v>OK — pełna zgodność</x:v>
      </x:c>
      <x:c r="J638" s="1537" t="str"/>
    </x:row>
    <x:row r="639" ht="19" customHeight="1">
      <x:c r="A639" t="str">
        <x:v>500 x 506 cm</x:v>
      </x:c>
      <x:c r="B639" t="str">
        <x:v>zip_front</x:v>
      </x:c>
      <x:c r="C639" s="1533" t="n">
        <x:v>4362</x:v>
      </x:c>
      <x:c r="D639" s="1533" t="n">
        <x:v>4711</x:v>
      </x:c>
      <x:c r="E639" s="1533" t="n">
        <x:v>4710.96</x:v>
      </x:c>
      <x:c r="F639" s="1533" t="n">
        <x:v>4711</x:v>
      </x:c>
      <x:c r="G639" s="1535" t="n">
        <x:v>0</x:v>
      </x:c>
      <x:c r="H639" s="1535" t="n">
        <x:v>0</x:v>
      </x:c>
      <x:c r="I639" t="str">
        <x:v>OK — pełna zgodność</x:v>
      </x:c>
      <x:c r="J639" s="1537" t="str"/>
    </x:row>
    <x:row r="640" ht="19" customHeight="1">
      <x:c r="A640" t="str">
        <x:v>500 x 506 cm</x:v>
      </x:c>
      <x:c r="B640" t="str">
        <x:v>awning</x:v>
      </x:c>
      <x:c r="C640" s="1533" t="n">
        <x:v>6390</x:v>
      </x:c>
      <x:c r="D640" s="1533" t="n">
        <x:v>6901</x:v>
      </x:c>
      <x:c r="E640" s="1533" t="n">
        <x:v>6901.2</x:v>
      </x:c>
      <x:c r="F640" s="1533" t="n">
        <x:v>6901</x:v>
      </x:c>
      <x:c r="G640" s="1535" t="n">
        <x:v>0</x:v>
      </x:c>
      <x:c r="H640" s="1535" t="n">
        <x:v>0</x:v>
      </x:c>
      <x:c r="I640" t="str">
        <x:v>OK — pełna zgodność</x:v>
      </x:c>
      <x:c r="J640" s="1537" t="str"/>
    </x:row>
    <x:row r="641" ht="19" customHeight="1">
      <x:c r="A641" t="str">
        <x:v>500 x 506 cm</x:v>
      </x:c>
      <x:c r="B641" t="str">
        <x:v>foundation</x:v>
      </x:c>
      <x:c r="C641" s="1533" t="n">
        <x:v>2521</x:v>
      </x:c>
      <x:c r="D641" s="1533" t="n">
        <x:v>2723</x:v>
      </x:c>
      <x:c r="E641" s="1533" t="n">
        <x:v>2722.68</x:v>
      </x:c>
      <x:c r="F641" s="1533" t="n">
        <x:v>2723</x:v>
      </x:c>
      <x:c r="G641" s="1535" t="n">
        <x:v>0</x:v>
      </x:c>
      <x:c r="H641" s="1535" t="n">
        <x:v>0</x:v>
      </x:c>
      <x:c r="I641" t="str">
        <x:v>OK — pełna zgodność</x:v>
      </x:c>
      <x:c r="J641" s="1537" t="str"/>
    </x:row>
    <x:row r="642" ht="19" customHeight="1">
      <x:c r="A642" t="str">
        <x:v>500 x 506 cm</x:v>
      </x:c>
      <x:c r="B642" t="str">
        <x:v>led_point</x:v>
      </x:c>
      <x:c r="C642" s="1533" t="n">
        <x:v>1131</x:v>
      </x:c>
      <x:c r="D642" s="1533" t="n">
        <x:v>1221</x:v>
      </x:c>
      <x:c r="E642" s="1533" t="n">
        <x:v>1221.48</x:v>
      </x:c>
      <x:c r="F642" s="1533" t="n">
        <x:v>1221</x:v>
      </x:c>
      <x:c r="G642" s="1535" t="n">
        <x:v>0</x:v>
      </x:c>
      <x:c r="H642" s="1535" t="n">
        <x:v>0</x:v>
      </x:c>
      <x:c r="I642" t="str">
        <x:v>OK — pełna zgodność</x:v>
      </x:c>
      <x:c r="J642" s="1537" t="str"/>
    </x:row>
    <x:row r="643" ht="19" customHeight="1">
      <x:c r="A643" t="str">
        <x:v>500 x 506 cm</x:v>
      </x:c>
      <x:c r="B643" t="str">
        <x:v>led_cct</x:v>
      </x:c>
      <x:c r="C643" s="1533" t="n">
        <x:v>3024</x:v>
      </x:c>
      <x:c r="D643" s="1533" t="n">
        <x:v>3266</x:v>
      </x:c>
      <x:c r="E643" s="1533" t="n">
        <x:v>3265.92</x:v>
      </x:c>
      <x:c r="F643" s="1533" t="n">
        <x:v>3266</x:v>
      </x:c>
      <x:c r="G643" s="1535" t="n">
        <x:v>0</x:v>
      </x:c>
      <x:c r="H643" s="1535" t="n">
        <x:v>0</x:v>
      </x:c>
      <x:c r="I643" t="str">
        <x:v>OK — pełna zgodność</x:v>
      </x:c>
      <x:c r="J643" s="1537" t="str"/>
    </x:row>
    <x:row r="644" ht="19" customHeight="1">
      <x:c r="A644" t="str">
        <x:v>500 x 506 cm</x:v>
      </x:c>
      <x:c r="B644" t="str">
        <x:v>brushes</x:v>
      </x:c>
      <x:c r="C644" s="1533" t="n">
        <x:v>671</x:v>
      </x:c>
      <x:c r="D644" s="1533" t="n">
        <x:v>725</x:v>
      </x:c>
      <x:c r="E644" s="1533" t="n">
        <x:v>724.68</x:v>
      </x:c>
      <x:c r="F644" s="1533" t="n">
        <x:v>725</x:v>
      </x:c>
      <x:c r="G644" s="1535" t="n">
        <x:v>0</x:v>
      </x:c>
      <x:c r="H644" s="1535" t="n">
        <x:v>0</x:v>
      </x:c>
      <x:c r="I644" t="str">
        <x:v>OK — pełna zgodność</x:v>
      </x:c>
      <x:c r="J644" s="1537" t="str"/>
    </x:row>
    <x:row r="645" ht="19" customHeight="1">
      <x:c r="A645" t="str">
        <x:v>500 x 506 cm</x:v>
      </x:c>
      <x:c r="B645" t="str">
        <x:v>handles</x:v>
      </x:c>
      <x:c r="C645" s="1533" t="n">
        <x:v>613</x:v>
      </x:c>
      <x:c r="D645" s="1533" t="n">
        <x:v>662</x:v>
      </x:c>
      <x:c r="E645" s="1533" t="n">
        <x:v>662.04</x:v>
      </x:c>
      <x:c r="F645" s="1533" t="n">
        <x:v>662</x:v>
      </x:c>
      <x:c r="G645" s="1535" t="n">
        <x:v>0</x:v>
      </x:c>
      <x:c r="H645" s="1535" t="n">
        <x:v>0</x:v>
      </x:c>
      <x:c r="I645" t="str">
        <x:v>OK — pełna zgodność</x:v>
      </x:c>
      <x:c r="J645" s="1537" t="str"/>
    </x:row>
    <x:row r="646" ht="19" customHeight="1">
      <x:c r="A646" t="str">
        <x:v>500 x 506 cm</x:v>
      </x:c>
      <x:c r="B646" t="str">
        <x:v>carriers</x:v>
      </x:c>
      <x:c r="C646" s="1533" t="n">
        <x:v>519</x:v>
      </x:c>
      <x:c r="D646" s="1533" t="n">
        <x:v>561</x:v>
      </x:c>
      <x:c r="E646" s="1533" t="n">
        <x:v>560.52</x:v>
      </x:c>
      <x:c r="F646" s="1533" t="n">
        <x:v>561</x:v>
      </x:c>
      <x:c r="G646" s="1535" t="n">
        <x:v>0</x:v>
      </x:c>
      <x:c r="H646" s="1535" t="n">
        <x:v>0</x:v>
      </x:c>
      <x:c r="I646" t="str">
        <x:v>OK — pełna zgodność</x:v>
      </x:c>
      <x:c r="J646" s="1537" t="str"/>
    </x:row>
    <x:row r="647" ht="19" customHeight="1">
      <x:c r="A647" t="str">
        <x:v>500 x 606 cm</x:v>
      </x:c>
      <x:c r="B647" t="str">
        <x:v>base_poly</x:v>
      </x:c>
      <x:c r="C647" s="1533" t="n">
        <x:v>20667</x:v>
      </x:c>
      <x:c r="D647" s="1533" t="n">
        <x:v>22320</x:v>
      </x:c>
      <x:c r="E647" s="1533" t="n">
        <x:v>22320.36</x:v>
      </x:c>
      <x:c r="F647" s="1533" t="n">
        <x:v>22320</x:v>
      </x:c>
      <x:c r="G647" s="1535" t="n">
        <x:v>0</x:v>
      </x:c>
      <x:c r="H647" s="1535" t="n">
        <x:v>0</x:v>
      </x:c>
      <x:c r="I647" t="str">
        <x:v>OK — pełna zgodność</x:v>
      </x:c>
      <x:c r="J647" s="1537" t="str"/>
    </x:row>
    <x:row r="648" ht="19" customHeight="1">
      <x:c r="A648" t="str">
        <x:v>500 x 606 cm</x:v>
      </x:c>
      <x:c r="B648" t="str">
        <x:v>walls_clear</x:v>
      </x:c>
      <x:c r="C648" s="1533" t="n">
        <x:v>22867</x:v>
      </x:c>
      <x:c r="D648" s="1533" t="n">
        <x:v>24696</x:v>
      </x:c>
      <x:c r="E648" s="1533" t="n">
        <x:v>24696.36</x:v>
      </x:c>
      <x:c r="F648" s="1533" t="n">
        <x:v>24696</x:v>
      </x:c>
      <x:c r="G648" s="1535" t="n">
        <x:v>0</x:v>
      </x:c>
      <x:c r="H648" s="1535" t="n">
        <x:v>0</x:v>
      </x:c>
      <x:c r="I648" t="str">
        <x:v>OK — pełna zgodność</x:v>
      </x:c>
      <x:c r="J648" s="1537" t="str"/>
    </x:row>
    <x:row r="649" ht="19" customHeight="1">
      <x:c r="A649" t="str">
        <x:v>500 x 606 cm</x:v>
      </x:c>
      <x:c r="B649" t="str">
        <x:v>walls_tinted</x:v>
      </x:c>
      <x:c r="C649" s="1533" t="n">
        <x:v>25130</x:v>
      </x:c>
      <x:c r="D649" s="1533" t="n">
        <x:v>27140</x:v>
      </x:c>
      <x:c r="E649" s="1533" t="n">
        <x:v>27140.4</x:v>
      </x:c>
      <x:c r="F649" s="1533" t="n">
        <x:v>27140</x:v>
      </x:c>
      <x:c r="G649" s="1535" t="n">
        <x:v>0</x:v>
      </x:c>
      <x:c r="H649" s="1535" t="n">
        <x:v>0</x:v>
      </x:c>
      <x:c r="I649" t="str">
        <x:v>OK — pełna zgodność</x:v>
      </x:c>
      <x:c r="J649" s="1537" t="str">
        <x:v>Pozycja złożona; stary eksport mógł zaokrąglać składniki osobno.</x:v>
      </x:c>
    </x:row>
    <x:row r="650" ht="19" customHeight="1">
      <x:c r="A650" t="str">
        <x:v>500 x 606 cm</x:v>
      </x:c>
      <x:c r="B650" t="str">
        <x:v>roof_poly_colored</x:v>
      </x:c>
      <x:c r="C650" s="1533" t="n">
        <x:v>731</x:v>
      </x:c>
      <x:c r="D650" s="1533" t="n">
        <x:v>789</x:v>
      </x:c>
      <x:c r="E650" s="1533" t="n">
        <x:v>789.48</x:v>
      </x:c>
      <x:c r="F650" s="1533" t="n">
        <x:v>789</x:v>
      </x:c>
      <x:c r="G650" s="1535" t="n">
        <x:v>0</x:v>
      </x:c>
      <x:c r="H650" s="1535" t="n">
        <x:v>0</x:v>
      </x:c>
      <x:c r="I650" t="str">
        <x:v>OK — pełna zgodność</x:v>
      </x:c>
      <x:c r="J650" s="1537" t="str"/>
    </x:row>
    <x:row r="651" ht="19" customHeight="1">
      <x:c r="A651" t="str">
        <x:v>500 x 606 cm</x:v>
      </x:c>
      <x:c r="B651" t="str">
        <x:v>roof_glass_clear</x:v>
      </x:c>
      <x:c r="C651" s="1533" t="n">
        <x:v>9879</x:v>
      </x:c>
      <x:c r="D651" s="1533" t="n">
        <x:v>10669</x:v>
      </x:c>
      <x:c r="E651" s="1533" t="n">
        <x:v>10669.32</x:v>
      </x:c>
      <x:c r="F651" s="1533" t="n">
        <x:v>10669</x:v>
      </x:c>
      <x:c r="G651" s="1535" t="n">
        <x:v>0</x:v>
      </x:c>
      <x:c r="H651" s="1535" t="n">
        <x:v>0</x:v>
      </x:c>
      <x:c r="I651" t="str">
        <x:v>OK — pełna zgodność</x:v>
      </x:c>
      <x:c r="J651" s="1537" t="str"/>
    </x:row>
    <x:row r="652" ht="19" customHeight="1">
      <x:c r="A652" t="str">
        <x:v>500 x 606 cm</x:v>
      </x:c>
      <x:c r="B652" t="str">
        <x:v>roof_glass_tinted</x:v>
      </x:c>
      <x:c r="C652" s="1533" t="n">
        <x:v>10869</x:v>
      </x:c>
      <x:c r="D652" s="1533" t="n">
        <x:v>11738</x:v>
      </x:c>
      <x:c r="E652" s="1533" t="n">
        <x:v>11738.52</x:v>
      </x:c>
      <x:c r="F652" s="1533" t="n">
        <x:v>11739</x:v>
      </x:c>
      <x:c r="G652" s="1535" t="n">
        <x:v>1</x:v>
      </x:c>
      <x:c r="H652" s="1535" t="n">
        <x:v>1</x:v>
      </x:c>
      <x:c r="I652" t="str">
        <x:v>OK — zaokrąglenie ±1 zł</x:v>
      </x:c>
      <x:c r="J652" s="1537" t="str">
        <x:v>Pozycja złożona; stary eksport mógł zaokrąglać składniki osobno.</x:v>
      </x:c>
    </x:row>
    <x:row r="653" ht="19" customHeight="1">
      <x:c r="A653" t="str">
        <x:v>500 x 606 cm</x:v>
      </x:c>
      <x:c r="B653" t="str">
        <x:v>zip_side</x:v>
      </x:c>
      <x:c r="C653" s="1533" t="n">
        <x:v>4362</x:v>
      </x:c>
      <x:c r="D653" s="1533" t="n">
        <x:v>4711</x:v>
      </x:c>
      <x:c r="E653" s="1533" t="n">
        <x:v>4710.96</x:v>
      </x:c>
      <x:c r="F653" s="1533" t="n">
        <x:v>4711</x:v>
      </x:c>
      <x:c r="G653" s="1535" t="n">
        <x:v>0</x:v>
      </x:c>
      <x:c r="H653" s="1535" t="n">
        <x:v>0</x:v>
      </x:c>
      <x:c r="I653" t="str">
        <x:v>OK — pełna zgodność</x:v>
      </x:c>
      <x:c r="J653" s="1537" t="str"/>
    </x:row>
    <x:row r="654" ht="19" customHeight="1">
      <x:c r="A654" t="str">
        <x:v>500 x 606 cm</x:v>
      </x:c>
      <x:c r="B654" t="str">
        <x:v>zip_front</x:v>
      </x:c>
      <x:c r="C654" s="1533" t="n">
        <x:v>5034</x:v>
      </x:c>
      <x:c r="D654" s="1533" t="n">
        <x:v>5437</x:v>
      </x:c>
      <x:c r="E654" s="1533" t="n">
        <x:v>5436.72</x:v>
      </x:c>
      <x:c r="F654" s="1533" t="n">
        <x:v>5437</x:v>
      </x:c>
      <x:c r="G654" s="1535" t="n">
        <x:v>0</x:v>
      </x:c>
      <x:c r="H654" s="1535" t="n">
        <x:v>0</x:v>
      </x:c>
      <x:c r="I654" t="str">
        <x:v>OK — pełna zgodność</x:v>
      </x:c>
      <x:c r="J654" s="1537" t="str"/>
    </x:row>
    <x:row r="655" ht="19" customHeight="1">
      <x:c r="A655" t="str">
        <x:v>500 x 606 cm</x:v>
      </x:c>
      <x:c r="B655" t="str">
        <x:v>awning</x:v>
      </x:c>
      <x:c r="C655" s="1533" t="n">
        <x:v>9619</x:v>
      </x:c>
      <x:c r="D655" s="1533" t="n">
        <x:v>10389</x:v>
      </x:c>
      <x:c r="E655" s="1533" t="n">
        <x:v>10388.52</x:v>
      </x:c>
      <x:c r="F655" s="1533" t="n">
        <x:v>10389</x:v>
      </x:c>
      <x:c r="G655" s="1535" t="n">
        <x:v>0</x:v>
      </x:c>
      <x:c r="H655" s="1535" t="n">
        <x:v>0</x:v>
      </x:c>
      <x:c r="I655" t="str">
        <x:v>OK — pełna zgodność</x:v>
      </x:c>
      <x:c r="J655" s="1537" t="str"/>
    </x:row>
    <x:row r="656" ht="19" customHeight="1">
      <x:c r="A656" t="str">
        <x:v>500 x 606 cm</x:v>
      </x:c>
      <x:c r="B656" t="str">
        <x:v>foundation</x:v>
      </x:c>
      <x:c r="C656" s="1533" t="n">
        <x:v>3040</x:v>
      </x:c>
      <x:c r="D656" s="1533" t="n">
        <x:v>3283</x:v>
      </x:c>
      <x:c r="E656" s="1533" t="n">
        <x:v>3283.2</x:v>
      </x:c>
      <x:c r="F656" s="1533" t="n">
        <x:v>3283</x:v>
      </x:c>
      <x:c r="G656" s="1535" t="n">
        <x:v>0</x:v>
      </x:c>
      <x:c r="H656" s="1535" t="n">
        <x:v>0</x:v>
      </x:c>
      <x:c r="I656" t="str">
        <x:v>OK — pełna zgodność</x:v>
      </x:c>
      <x:c r="J656" s="1537" t="str"/>
    </x:row>
    <x:row r="657" ht="19" customHeight="1">
      <x:c r="A657" t="str">
        <x:v>500 x 606 cm</x:v>
      </x:c>
      <x:c r="B657" t="str">
        <x:v>led_point</x:v>
      </x:c>
      <x:c r="C657" s="1533" t="n">
        <x:v>1285</x:v>
      </x:c>
      <x:c r="D657" s="1533" t="n">
        <x:v>1388</x:v>
      </x:c>
      <x:c r="E657" s="1533" t="n">
        <x:v>1387.8</x:v>
      </x:c>
      <x:c r="F657" s="1533" t="n">
        <x:v>1388</x:v>
      </x:c>
      <x:c r="G657" s="1535" t="n">
        <x:v>0</x:v>
      </x:c>
      <x:c r="H657" s="1535" t="n">
        <x:v>0</x:v>
      </x:c>
      <x:c r="I657" t="str">
        <x:v>OK — pełna zgodność</x:v>
      </x:c>
      <x:c r="J657" s="1537" t="str"/>
    </x:row>
    <x:row r="658" ht="19" customHeight="1">
      <x:c r="A658" t="str">
        <x:v>500 x 606 cm</x:v>
      </x:c>
      <x:c r="B658" t="str">
        <x:v>led_cct</x:v>
      </x:c>
      <x:c r="C658" s="1533" t="n">
        <x:v>3517</x:v>
      </x:c>
      <x:c r="D658" s="1533" t="n">
        <x:v>3798</x:v>
      </x:c>
      <x:c r="E658" s="1533" t="n">
        <x:v>3798.36</x:v>
      </x:c>
      <x:c r="F658" s="1533" t="n">
        <x:v>3798</x:v>
      </x:c>
      <x:c r="G658" s="1535" t="n">
        <x:v>0</x:v>
      </x:c>
      <x:c r="H658" s="1535" t="n">
        <x:v>0</x:v>
      </x:c>
      <x:c r="I658" t="str">
        <x:v>OK — pełna zgodność</x:v>
      </x:c>
      <x:c r="J658" s="1537" t="str"/>
    </x:row>
    <x:row r="659" ht="19" customHeight="1">
      <x:c r="A659" t="str">
        <x:v>500 x 606 cm</x:v>
      </x:c>
      <x:c r="B659" t="str">
        <x:v>brushes</x:v>
      </x:c>
      <x:c r="C659" s="1533" t="n">
        <x:v>719</x:v>
      </x:c>
      <x:c r="D659" s="1533" t="n">
        <x:v>777</x:v>
      </x:c>
      <x:c r="E659" s="1533" t="n">
        <x:v>776.52</x:v>
      </x:c>
      <x:c r="F659" s="1533" t="n">
        <x:v>777</x:v>
      </x:c>
      <x:c r="G659" s="1535" t="n">
        <x:v>0</x:v>
      </x:c>
      <x:c r="H659" s="1535" t="n">
        <x:v>0</x:v>
      </x:c>
      <x:c r="I659" t="str">
        <x:v>OK — pełna zgodność</x:v>
      </x:c>
      <x:c r="J659" s="1537" t="str"/>
    </x:row>
    <x:row r="660" ht="19" customHeight="1">
      <x:c r="A660" t="str">
        <x:v>500 x 606 cm</x:v>
      </x:c>
      <x:c r="B660" t="str">
        <x:v>handles</x:v>
      </x:c>
      <x:c r="C660" s="1533" t="n">
        <x:v>648</x:v>
      </x:c>
      <x:c r="D660" s="1533" t="n">
        <x:v>700</x:v>
      </x:c>
      <x:c r="E660" s="1533" t="n">
        <x:v>699.84</x:v>
      </x:c>
      <x:c r="F660" s="1533" t="n">
        <x:v>700</x:v>
      </x:c>
      <x:c r="G660" s="1535" t="n">
        <x:v>0</x:v>
      </x:c>
      <x:c r="H660" s="1535" t="n">
        <x:v>0</x:v>
      </x:c>
      <x:c r="I660" t="str">
        <x:v>OK — pełna zgodność</x:v>
      </x:c>
      <x:c r="J660" s="1537" t="str"/>
    </x:row>
    <x:row r="661" ht="19" customHeight="1">
      <x:c r="A661" t="str">
        <x:v>500 x 606 cm</x:v>
      </x:c>
      <x:c r="B661" t="str">
        <x:v>carriers</x:v>
      </x:c>
      <x:c r="C661" s="1533" t="n">
        <x:v>566</x:v>
      </x:c>
      <x:c r="D661" s="1533" t="n">
        <x:v>611</x:v>
      </x:c>
      <x:c r="E661" s="1533" t="n">
        <x:v>611.28</x:v>
      </x:c>
      <x:c r="F661" s="1533" t="n">
        <x:v>611</x:v>
      </x:c>
      <x:c r="G661" s="1535" t="n">
        <x:v>0</x:v>
      </x:c>
      <x:c r="H661" s="1535" t="n">
        <x:v>0</x:v>
      </x:c>
      <x:c r="I661" t="str">
        <x:v>OK — pełna zgodność</x:v>
      </x:c>
      <x:c r="J661" s="1537" t="str"/>
    </x:row>
    <x:row r="662" ht="19" customHeight="1">
      <x:c r="A662" t="str">
        <x:v>500 x 706 cm</x:v>
      </x:c>
      <x:c r="B662" t="str">
        <x:v>base_poly</x:v>
      </x:c>
      <x:c r="C662" s="1533" t="n">
        <x:v>24733</x:v>
      </x:c>
      <x:c r="D662" s="1533" t="n">
        <x:v>26712</x:v>
      </x:c>
      <x:c r="E662" s="1533" t="n">
        <x:v>26711.64</x:v>
      </x:c>
      <x:c r="F662" s="1533" t="n">
        <x:v>26712</x:v>
      </x:c>
      <x:c r="G662" s="1535" t="n">
        <x:v>0</x:v>
      </x:c>
      <x:c r="H662" s="1535" t="n">
        <x:v>0</x:v>
      </x:c>
      <x:c r="I662" t="str">
        <x:v>OK — pełna zgodność</x:v>
      </x:c>
      <x:c r="J662" s="1537" t="str"/>
    </x:row>
    <x:row r="663" ht="19" customHeight="1">
      <x:c r="A663" t="str">
        <x:v>500 x 706 cm</x:v>
      </x:c>
      <x:c r="B663" t="str">
        <x:v>walls_clear</x:v>
      </x:c>
      <x:c r="C663" s="1533" t="n">
        <x:v>22934</x:v>
      </x:c>
      <x:c r="D663" s="1533" t="n">
        <x:v>24769</x:v>
      </x:c>
      <x:c r="E663" s="1533" t="n">
        <x:v>24768.72</x:v>
      </x:c>
      <x:c r="F663" s="1533" t="n">
        <x:v>24769</x:v>
      </x:c>
      <x:c r="G663" s="1535" t="n">
        <x:v>0</x:v>
      </x:c>
      <x:c r="H663" s="1535" t="n">
        <x:v>0</x:v>
      </x:c>
      <x:c r="I663" t="str">
        <x:v>OK — pełna zgodność</x:v>
      </x:c>
      <x:c r="J663" s="1537" t="str"/>
    </x:row>
    <x:row r="664" ht="19" customHeight="1">
      <x:c r="A664" t="str">
        <x:v>500 x 706 cm</x:v>
      </x:c>
      <x:c r="B664" t="str">
        <x:v>walls_tinted</x:v>
      </x:c>
      <x:c r="C664" s="1533" t="n">
        <x:v>25340</x:v>
      </x:c>
      <x:c r="D664" s="1533" t="n">
        <x:v>27367</x:v>
      </x:c>
      <x:c r="E664" s="1533" t="n">
        <x:v>27367.2</x:v>
      </x:c>
      <x:c r="F664" s="1533" t="n">
        <x:v>27367</x:v>
      </x:c>
      <x:c r="G664" s="1535" t="n">
        <x:v>0</x:v>
      </x:c>
      <x:c r="H664" s="1535" t="n">
        <x:v>0</x:v>
      </x:c>
      <x:c r="I664" t="str">
        <x:v>OK — pełna zgodność</x:v>
      </x:c>
      <x:c r="J664" s="1537" t="str">
        <x:v>Pozycja złożona; stary eksport mógł zaokrąglać składniki osobno.</x:v>
      </x:c>
    </x:row>
    <x:row r="665" ht="19" customHeight="1">
      <x:c r="A665" t="str">
        <x:v>500 x 706 cm</x:v>
      </x:c>
      <x:c r="B665" t="str">
        <x:v>roof_poly_colored</x:v>
      </x:c>
      <x:c r="C665" s="1533" t="n">
        <x:v>860</x:v>
      </x:c>
      <x:c r="D665" s="1533" t="n">
        <x:v>929</x:v>
      </x:c>
      <x:c r="E665" s="1533" t="n">
        <x:v>928.8</x:v>
      </x:c>
      <x:c r="F665" s="1533" t="n">
        <x:v>929</x:v>
      </x:c>
      <x:c r="G665" s="1535" t="n">
        <x:v>0</x:v>
      </x:c>
      <x:c r="H665" s="1535" t="n">
        <x:v>0</x:v>
      </x:c>
      <x:c r="I665" t="str">
        <x:v>OK — pełna zgodność</x:v>
      </x:c>
      <x:c r="J665" s="1537" t="str"/>
    </x:row>
    <x:row r="666" ht="19" customHeight="1">
      <x:c r="A666" t="str">
        <x:v>500 x 706 cm</x:v>
      </x:c>
      <x:c r="B666" t="str">
        <x:v>roof_glass_clear</x:v>
      </x:c>
      <x:c r="C666" s="1533" t="n">
        <x:v>11683</x:v>
      </x:c>
      <x:c r="D666" s="1533" t="n">
        <x:v>12618</x:v>
      </x:c>
      <x:c r="E666" s="1533" t="n">
        <x:v>12617.64</x:v>
      </x:c>
      <x:c r="F666" s="1533" t="n">
        <x:v>12618</x:v>
      </x:c>
      <x:c r="G666" s="1535" t="n">
        <x:v>0</x:v>
      </x:c>
      <x:c r="H666" s="1535" t="n">
        <x:v>0</x:v>
      </x:c>
      <x:c r="I666" t="str">
        <x:v>OK — pełna zgodność</x:v>
      </x:c>
      <x:c r="J666" s="1537" t="str"/>
    </x:row>
    <x:row r="667" ht="19" customHeight="1">
      <x:c r="A667" t="str">
        <x:v>500 x 706 cm</x:v>
      </x:c>
      <x:c r="B667" t="str">
        <x:v>roof_glass_tinted</x:v>
      </x:c>
      <x:c r="C667" s="1533" t="n">
        <x:v>12839</x:v>
      </x:c>
      <x:c r="D667" s="1533" t="n">
        <x:v>13866</x:v>
      </x:c>
      <x:c r="E667" s="1533" t="n">
        <x:v>13866.12</x:v>
      </x:c>
      <x:c r="F667" s="1533" t="n">
        <x:v>13866</x:v>
      </x:c>
      <x:c r="G667" s="1535" t="n">
        <x:v>0</x:v>
      </x:c>
      <x:c r="H667" s="1535" t="n">
        <x:v>0</x:v>
      </x:c>
      <x:c r="I667" t="str">
        <x:v>OK — pełna zgodność</x:v>
      </x:c>
      <x:c r="J667" s="1537" t="str">
        <x:v>Pozycja złożona; stary eksport mógł zaokrąglać składniki osobno.</x:v>
      </x:c>
    </x:row>
    <x:row r="668" ht="19" customHeight="1">
      <x:c r="A668" t="str">
        <x:v>500 x 706 cm</x:v>
      </x:c>
      <x:c r="B668" t="str">
        <x:v>zip_side</x:v>
      </x:c>
      <x:c r="C668" s="1533" t="n">
        <x:v>4362</x:v>
      </x:c>
      <x:c r="D668" s="1533" t="n">
        <x:v>4711</x:v>
      </x:c>
      <x:c r="E668" s="1533" t="n">
        <x:v>4710.96</x:v>
      </x:c>
      <x:c r="F668" s="1533" t="n">
        <x:v>4711</x:v>
      </x:c>
      <x:c r="G668" s="1535" t="n">
        <x:v>0</x:v>
      </x:c>
      <x:c r="H668" s="1535" t="n">
        <x:v>0</x:v>
      </x:c>
      <x:c r="I668" t="str">
        <x:v>OK — pełna zgodność</x:v>
      </x:c>
      <x:c r="J668" s="1537" t="str"/>
    </x:row>
    <x:row r="669" ht="19" customHeight="1">
      <x:c r="A669" t="str">
        <x:v>500 x 706 cm</x:v>
      </x:c>
      <x:c r="B669" t="str">
        <x:v>zip_front</x:v>
      </x:c>
      <x:c r="C669" s="1533" t="n">
        <x:v>5635</x:v>
      </x:c>
      <x:c r="D669" s="1533" t="n">
        <x:v>6086</x:v>
      </x:c>
      <x:c r="E669" s="1533" t="n">
        <x:v>6085.8</x:v>
      </x:c>
      <x:c r="F669" s="1533" t="n">
        <x:v>6086</x:v>
      </x:c>
      <x:c r="G669" s="1535" t="n">
        <x:v>0</x:v>
      </x:c>
      <x:c r="H669" s="1535" t="n">
        <x:v>0</x:v>
      </x:c>
      <x:c r="I669" t="str">
        <x:v>OK — pełna zgodność</x:v>
      </x:c>
      <x:c r="J669" s="1537" t="str"/>
    </x:row>
    <x:row r="670" ht="19" customHeight="1">
      <x:c r="A670" t="str">
        <x:v>500 x 706 cm</x:v>
      </x:c>
      <x:c r="B670" t="str">
        <x:v>awning</x:v>
      </x:c>
      <x:c r="C670" s="1533" t="n">
        <x:v>10315</x:v>
      </x:c>
      <x:c r="D670" s="1533" t="n">
        <x:v>11140</x:v>
      </x:c>
      <x:c r="E670" s="1533" t="n">
        <x:v>11140.2</x:v>
      </x:c>
      <x:c r="F670" s="1533" t="n">
        <x:v>11140</x:v>
      </x:c>
      <x:c r="G670" s="1535" t="n">
        <x:v>0</x:v>
      </x:c>
      <x:c r="H670" s="1535" t="n">
        <x:v>0</x:v>
      </x:c>
      <x:c r="I670" t="str">
        <x:v>OK — pełna zgodność</x:v>
      </x:c>
      <x:c r="J670" s="1537" t="str"/>
    </x:row>
    <x:row r="671" ht="19" customHeight="1">
      <x:c r="A671" t="str">
        <x:v>500 x 706 cm</x:v>
      </x:c>
      <x:c r="B671" t="str">
        <x:v>foundation</x:v>
      </x:c>
      <x:c r="C671" s="1533" t="n">
        <x:v>2684</x:v>
      </x:c>
      <x:c r="D671" s="1533" t="n">
        <x:v>2899</x:v>
      </x:c>
      <x:c r="E671" s="1533" t="n">
        <x:v>2898.72</x:v>
      </x:c>
      <x:c r="F671" s="1533" t="n">
        <x:v>2899</x:v>
      </x:c>
      <x:c r="G671" s="1535" t="n">
        <x:v>0</x:v>
      </x:c>
      <x:c r="H671" s="1535" t="n">
        <x:v>0</x:v>
      </x:c>
      <x:c r="I671" t="str">
        <x:v>OK — pełna zgodność</x:v>
      </x:c>
      <x:c r="J671" s="1537" t="str"/>
    </x:row>
    <x:row r="672" ht="19" customHeight="1">
      <x:c r="A672" t="str">
        <x:v>500 x 706 cm</x:v>
      </x:c>
      <x:c r="B672" t="str">
        <x:v>led_point</x:v>
      </x:c>
      <x:c r="C672" s="1533" t="n">
        <x:v>1427</x:v>
      </x:c>
      <x:c r="D672" s="1533" t="n">
        <x:v>1541</x:v>
      </x:c>
      <x:c r="E672" s="1533" t="n">
        <x:v>1541.16</x:v>
      </x:c>
      <x:c r="F672" s="1533" t="n">
        <x:v>1541</x:v>
      </x:c>
      <x:c r="G672" s="1535" t="n">
        <x:v>0</x:v>
      </x:c>
      <x:c r="H672" s="1535" t="n">
        <x:v>0</x:v>
      </x:c>
      <x:c r="I672" t="str">
        <x:v>OK — pełna zgodność</x:v>
      </x:c>
      <x:c r="J672" s="1537" t="str"/>
    </x:row>
    <x:row r="673" ht="19" customHeight="1">
      <x:c r="A673" t="str">
        <x:v>500 x 706 cm</x:v>
      </x:c>
      <x:c r="B673" t="str">
        <x:v>led_cct</x:v>
      </x:c>
      <x:c r="C673" s="1533" t="n">
        <x:v>3852</x:v>
      </x:c>
      <x:c r="D673" s="1533" t="n">
        <x:v>4160</x:v>
      </x:c>
      <x:c r="E673" s="1533" t="n">
        <x:v>4160.16</x:v>
      </x:c>
      <x:c r="F673" s="1533" t="n">
        <x:v>4160</x:v>
      </x:c>
      <x:c r="G673" s="1535" t="n">
        <x:v>0</x:v>
      </x:c>
      <x:c r="H673" s="1535" t="n">
        <x:v>0</x:v>
      </x:c>
      <x:c r="I673" t="str">
        <x:v>OK — pełna zgodność</x:v>
      </x:c>
      <x:c r="J673" s="1537" t="str"/>
    </x:row>
    <x:row r="674" ht="19" customHeight="1">
      <x:c r="A674" t="str">
        <x:v>500 x 706 cm</x:v>
      </x:c>
      <x:c r="B674" t="str">
        <x:v>brushes</x:v>
      </x:c>
      <x:c r="C674" s="1533" t="n">
        <x:v>766</x:v>
      </x:c>
      <x:c r="D674" s="1533" t="n">
        <x:v>827</x:v>
      </x:c>
      <x:c r="E674" s="1533" t="n">
        <x:v>827.28</x:v>
      </x:c>
      <x:c r="F674" s="1533" t="n">
        <x:v>827</x:v>
      </x:c>
      <x:c r="G674" s="1535" t="n">
        <x:v>0</x:v>
      </x:c>
      <x:c r="H674" s="1535" t="n">
        <x:v>0</x:v>
      </x:c>
      <x:c r="I674" t="str">
        <x:v>OK — pełna zgodność</x:v>
      </x:c>
      <x:c r="J674" s="1537" t="str"/>
    </x:row>
    <x:row r="675" ht="19" customHeight="1">
      <x:c r="A675" t="str">
        <x:v>500 x 706 cm</x:v>
      </x:c>
      <x:c r="B675" t="str">
        <x:v>handles</x:v>
      </x:c>
      <x:c r="C675" s="1533" t="n">
        <x:v>684</x:v>
      </x:c>
      <x:c r="D675" s="1533" t="n">
        <x:v>739</x:v>
      </x:c>
      <x:c r="E675" s="1533" t="n">
        <x:v>738.72</x:v>
      </x:c>
      <x:c r="F675" s="1533" t="n">
        <x:v>739</x:v>
      </x:c>
      <x:c r="G675" s="1535" t="n">
        <x:v>0</x:v>
      </x:c>
      <x:c r="H675" s="1535" t="n">
        <x:v>0</x:v>
      </x:c>
      <x:c r="I675" t="str">
        <x:v>OK — pełna zgodność</x:v>
      </x:c>
      <x:c r="J675" s="1537" t="str"/>
    </x:row>
    <x:row r="676" ht="19" customHeight="1">
      <x:c r="A676" t="str">
        <x:v>500 x 706 cm</x:v>
      </x:c>
      <x:c r="B676" t="str">
        <x:v>carriers</x:v>
      </x:c>
      <x:c r="C676" s="1533" t="n">
        <x:v>613</x:v>
      </x:c>
      <x:c r="D676" s="1533" t="n">
        <x:v>662</x:v>
      </x:c>
      <x:c r="E676" s="1533" t="n">
        <x:v>662.04</x:v>
      </x:c>
      <x:c r="F676" s="1533" t="n">
        <x:v>662</x:v>
      </x:c>
      <x:c r="G676" s="1535" t="n">
        <x:v>0</x:v>
      </x:c>
      <x:c r="H676" s="1535" t="n">
        <x:v>0</x:v>
      </x:c>
      <x:c r="I676" t="str">
        <x:v>OK — pełna zgodność</x:v>
      </x:c>
      <x:c r="J676" s="1537" t="str"/>
    </x:row>
    <x:row r="677" ht="19" customHeight="1">
      <x:c r="A677" t="str">
        <x:v>500 x 806 cm</x:v>
      </x:c>
      <x:c r="B677" t="str">
        <x:v>base_poly</x:v>
      </x:c>
      <x:c r="C677" s="1533" t="n">
        <x:v>27371</x:v>
      </x:c>
      <x:c r="D677" s="1533" t="n">
        <x:v>29561</x:v>
      </x:c>
      <x:c r="E677" s="1533" t="n">
        <x:v>29560.68</x:v>
      </x:c>
      <x:c r="F677" s="1533" t="n">
        <x:v>29561</x:v>
      </x:c>
      <x:c r="G677" s="1535" t="n">
        <x:v>0</x:v>
      </x:c>
      <x:c r="H677" s="1535" t="n">
        <x:v>0</x:v>
      </x:c>
      <x:c r="I677" t="str">
        <x:v>OK — pełna zgodność</x:v>
      </x:c>
      <x:c r="J677" s="1537" t="str"/>
    </x:row>
    <x:row r="678" ht="19" customHeight="1">
      <x:c r="A678" t="str">
        <x:v>500 x 806 cm</x:v>
      </x:c>
      <x:c r="B678" t="str">
        <x:v>walls_clear</x:v>
      </x:c>
      <x:c r="C678" s="1533" t="n">
        <x:v>24050</x:v>
      </x:c>
      <x:c r="D678" s="1533" t="n">
        <x:v>25974</x:v>
      </x:c>
      <x:c r="E678" s="1533" t="n">
        <x:v>25974</x:v>
      </x:c>
      <x:c r="F678" s="1533" t="n">
        <x:v>25974</x:v>
      </x:c>
      <x:c r="G678" s="1535" t="n">
        <x:v>0</x:v>
      </x:c>
      <x:c r="H678" s="1535" t="n">
        <x:v>0</x:v>
      </x:c>
      <x:c r="I678" t="str">
        <x:v>OK — pełna zgodność</x:v>
      </x:c>
      <x:c r="J678" s="1537" t="str"/>
    </x:row>
    <x:row r="679" ht="19" customHeight="1">
      <x:c r="A679" t="str">
        <x:v>500 x 806 cm</x:v>
      </x:c>
      <x:c r="B679" t="str">
        <x:v>walls_tinted</x:v>
      </x:c>
      <x:c r="C679" s="1533" t="n">
        <x:v>26596</x:v>
      </x:c>
      <x:c r="D679" s="1533" t="n">
        <x:v>28724</x:v>
      </x:c>
      <x:c r="E679" s="1533" t="n">
        <x:v>28723.68</x:v>
      </x:c>
      <x:c r="F679" s="1533" t="n">
        <x:v>28724</x:v>
      </x:c>
      <x:c r="G679" s="1535" t="n">
        <x:v>0</x:v>
      </x:c>
      <x:c r="H679" s="1535" t="n">
        <x:v>0</x:v>
      </x:c>
      <x:c r="I679" t="str">
        <x:v>OK — pełna zgodność</x:v>
      </x:c>
      <x:c r="J679" s="1537" t="str">
        <x:v>Pozycja złożona; stary eksport mógł zaokrąglać składniki osobno.</x:v>
      </x:c>
    </x:row>
    <x:row r="680" ht="19" customHeight="1">
      <x:c r="A680" t="str">
        <x:v>500 x 806 cm</x:v>
      </x:c>
      <x:c r="B680" t="str">
        <x:v>roof_poly_colored</x:v>
      </x:c>
      <x:c r="C680" s="1533" t="n">
        <x:v>979</x:v>
      </x:c>
      <x:c r="D680" s="1533" t="n">
        <x:v>1057</x:v>
      </x:c>
      <x:c r="E680" s="1533" t="n">
        <x:v>1057.32</x:v>
      </x:c>
      <x:c r="F680" s="1533" t="n">
        <x:v>1057</x:v>
      </x:c>
      <x:c r="G680" s="1535" t="n">
        <x:v>0</x:v>
      </x:c>
      <x:c r="H680" s="1535" t="n">
        <x:v>0</x:v>
      </x:c>
      <x:c r="I680" t="str">
        <x:v>OK — pełna zgodność</x:v>
      </x:c>
      <x:c r="J680" s="1537" t="str"/>
    </x:row>
    <x:row r="681" ht="19" customHeight="1">
      <x:c r="A681" t="str">
        <x:v>500 x 806 cm</x:v>
      </x:c>
      <x:c r="B681" t="str">
        <x:v>roof_glass_clear</x:v>
      </x:c>
      <x:c r="C681" s="1533" t="n">
        <x:v>13510</x:v>
      </x:c>
      <x:c r="D681" s="1533" t="n">
        <x:v>14591</x:v>
      </x:c>
      <x:c r="E681" s="1533" t="n">
        <x:v>14590.8</x:v>
      </x:c>
      <x:c r="F681" s="1533" t="n">
        <x:v>14591</x:v>
      </x:c>
      <x:c r="G681" s="1535" t="n">
        <x:v>0</x:v>
      </x:c>
      <x:c r="H681" s="1535" t="n">
        <x:v>0</x:v>
      </x:c>
      <x:c r="I681" t="str">
        <x:v>OK — pełna zgodność</x:v>
      </x:c>
      <x:c r="J681" s="1537" t="str"/>
    </x:row>
    <x:row r="682" ht="19" customHeight="1">
      <x:c r="A682" t="str">
        <x:v>500 x 806 cm</x:v>
      </x:c>
      <x:c r="B682" t="str">
        <x:v>roof_glass_tinted</x:v>
      </x:c>
      <x:c r="C682" s="1533" t="n">
        <x:v>14831</x:v>
      </x:c>
      <x:c r="D682" s="1533" t="n">
        <x:v>16018</x:v>
      </x:c>
      <x:c r="E682" s="1533" t="n">
        <x:v>16017.48</x:v>
      </x:c>
      <x:c r="F682" s="1533" t="n">
        <x:v>16017</x:v>
      </x:c>
      <x:c r="G682" s="1535" t="n">
        <x:v>-1</x:v>
      </x:c>
      <x:c r="H682" s="1535" t="n">
        <x:v>1</x:v>
      </x:c>
      <x:c r="I682" t="str">
        <x:v>OK — zaokrąglenie ±1 zł</x:v>
      </x:c>
      <x:c r="J682" s="1537" t="str">
        <x:v>Pozycja złożona; stary eksport mógł zaokrąglać składniki osobno.</x:v>
      </x:c>
    </x:row>
    <x:row r="683" ht="19" customHeight="1">
      <x:c r="A683" t="str">
        <x:v>500 x 806 cm</x:v>
      </x:c>
      <x:c r="B683" t="str">
        <x:v>zip_side</x:v>
      </x:c>
      <x:c r="C683" s="1533" t="n">
        <x:v>4362</x:v>
      </x:c>
      <x:c r="D683" s="1533" t="n">
        <x:v>4711</x:v>
      </x:c>
      <x:c r="E683" s="1533" t="n">
        <x:v>4710.96</x:v>
      </x:c>
      <x:c r="F683" s="1533" t="n">
        <x:v>4711</x:v>
      </x:c>
      <x:c r="G683" s="1535" t="n">
        <x:v>0</x:v>
      </x:c>
      <x:c r="H683" s="1535" t="n">
        <x:v>0</x:v>
      </x:c>
      <x:c r="I683" t="str">
        <x:v>OK — pełna zgodność</x:v>
      </x:c>
      <x:c r="J683" s="1537" t="str"/>
    </x:row>
    <x:row r="684" ht="19" customHeight="1">
      <x:c r="A684" t="str">
        <x:v>500 x 806 cm</x:v>
      </x:c>
      <x:c r="B684" t="str">
        <x:v>zip_front</x:v>
      </x:c>
      <x:c r="C684" s="1533" t="n">
        <x:v>6225</x:v>
      </x:c>
      <x:c r="D684" s="1533" t="n">
        <x:v>6723</x:v>
      </x:c>
      <x:c r="E684" s="1533" t="n">
        <x:v>6723</x:v>
      </x:c>
      <x:c r="F684" s="1533" t="n">
        <x:v>6723</x:v>
      </x:c>
      <x:c r="G684" s="1535" t="n">
        <x:v>0</x:v>
      </x:c>
      <x:c r="H684" s="1535" t="n">
        <x:v>0</x:v>
      </x:c>
      <x:c r="I684" t="str">
        <x:v>OK — pełna zgodność</x:v>
      </x:c>
      <x:c r="J684" s="1537" t="str"/>
    </x:row>
    <x:row r="685" ht="19" customHeight="1">
      <x:c r="A685" t="str">
        <x:v>500 x 806 cm</x:v>
      </x:c>
      <x:c r="B685" t="str">
        <x:v>awning</x:v>
      </x:c>
      <x:c r="C685" s="1533" t="n">
        <x:v>11010</x:v>
      </x:c>
      <x:c r="D685" s="1533" t="n">
        <x:v>11891</x:v>
      </x:c>
      <x:c r="E685" s="1533" t="n">
        <x:v>11890.8</x:v>
      </x:c>
      <x:c r="F685" s="1533" t="n">
        <x:v>11891</x:v>
      </x:c>
      <x:c r="G685" s="1535" t="n">
        <x:v>0</x:v>
      </x:c>
      <x:c r="H685" s="1535" t="n">
        <x:v>0</x:v>
      </x:c>
      <x:c r="I685" t="str">
        <x:v>OK — pełna zgodność</x:v>
      </x:c>
      <x:c r="J685" s="1537" t="str"/>
    </x:row>
    <x:row r="686" ht="19" customHeight="1">
      <x:c r="A686" t="str">
        <x:v>500 x 806 cm</x:v>
      </x:c>
      <x:c r="B686" t="str">
        <x:v>foundation</x:v>
      </x:c>
      <x:c r="C686" s="1533" t="n">
        <x:v>2880</x:v>
      </x:c>
      <x:c r="D686" s="1533" t="n">
        <x:v>3110</x:v>
      </x:c>
      <x:c r="E686" s="1533" t="n">
        <x:v>3110.4</x:v>
      </x:c>
      <x:c r="F686" s="1533" t="n">
        <x:v>3110</x:v>
      </x:c>
      <x:c r="G686" s="1535" t="n">
        <x:v>0</x:v>
      </x:c>
      <x:c r="H686" s="1535" t="n">
        <x:v>0</x:v>
      </x:c>
      <x:c r="I686" t="str">
        <x:v>OK — pełna zgodność</x:v>
      </x:c>
      <x:c r="J686" s="1537" t="str"/>
    </x:row>
    <x:row r="687" ht="19" customHeight="1">
      <x:c r="A687" t="str">
        <x:v>500 x 806 cm</x:v>
      </x:c>
      <x:c r="B687" t="str">
        <x:v>led_point</x:v>
      </x:c>
      <x:c r="C687" s="1533" t="n">
        <x:v>1698</x:v>
      </x:c>
      <x:c r="D687" s="1533" t="n">
        <x:v>1834</x:v>
      </x:c>
      <x:c r="E687" s="1533" t="n">
        <x:v>1833.84</x:v>
      </x:c>
      <x:c r="F687" s="1533" t="n">
        <x:v>1834</x:v>
      </x:c>
      <x:c r="G687" s="1535" t="n">
        <x:v>0</x:v>
      </x:c>
      <x:c r="H687" s="1535" t="n">
        <x:v>0</x:v>
      </x:c>
      <x:c r="I687" t="str">
        <x:v>OK — pełna zgodność</x:v>
      </x:c>
      <x:c r="J687" s="1537" t="str"/>
    </x:row>
    <x:row r="688" ht="19" customHeight="1">
      <x:c r="A688" t="str">
        <x:v>500 x 806 cm</x:v>
      </x:c>
      <x:c r="B688" t="str">
        <x:v>led_cct</x:v>
      </x:c>
      <x:c r="C688" s="1533" t="n">
        <x:v>4187</x:v>
      </x:c>
      <x:c r="D688" s="1533" t="n">
        <x:v>4522</x:v>
      </x:c>
      <x:c r="E688" s="1533" t="n">
        <x:v>4521.96</x:v>
      </x:c>
      <x:c r="F688" s="1533" t="n">
        <x:v>4522</x:v>
      </x:c>
      <x:c r="G688" s="1535" t="n">
        <x:v>0</x:v>
      </x:c>
      <x:c r="H688" s="1535" t="n">
        <x:v>0</x:v>
      </x:c>
      <x:c r="I688" t="str">
        <x:v>OK — pełna zgodność</x:v>
      </x:c>
      <x:c r="J688" s="1537" t="str"/>
    </x:row>
    <x:row r="689" ht="19" customHeight="1">
      <x:c r="A689" t="str">
        <x:v>500 x 806 cm</x:v>
      </x:c>
      <x:c r="B689" t="str">
        <x:v>brushes</x:v>
      </x:c>
      <x:c r="C689" s="1533" t="n">
        <x:v>813</x:v>
      </x:c>
      <x:c r="D689" s="1533" t="n">
        <x:v>878</x:v>
      </x:c>
      <x:c r="E689" s="1533" t="n">
        <x:v>878.04</x:v>
      </x:c>
      <x:c r="F689" s="1533" t="n">
        <x:v>878</x:v>
      </x:c>
      <x:c r="G689" s="1535" t="n">
        <x:v>0</x:v>
      </x:c>
      <x:c r="H689" s="1535" t="n">
        <x:v>0</x:v>
      </x:c>
      <x:c r="I689" t="str">
        <x:v>OK — pełna zgodność</x:v>
      </x:c>
      <x:c r="J689" s="1537" t="str"/>
    </x:row>
    <x:row r="690" ht="19" customHeight="1">
      <x:c r="A690" t="str">
        <x:v>500 x 806 cm</x:v>
      </x:c>
      <x:c r="B690" t="str">
        <x:v>handles</x:v>
      </x:c>
      <x:c r="C690" s="1533" t="n">
        <x:v>731</x:v>
      </x:c>
      <x:c r="D690" s="1533" t="n">
        <x:v>789</x:v>
      </x:c>
      <x:c r="E690" s="1533" t="n">
        <x:v>789.48</x:v>
      </x:c>
      <x:c r="F690" s="1533" t="n">
        <x:v>789</x:v>
      </x:c>
      <x:c r="G690" s="1535" t="n">
        <x:v>0</x:v>
      </x:c>
      <x:c r="H690" s="1535" t="n">
        <x:v>0</x:v>
      </x:c>
      <x:c r="I690" t="str">
        <x:v>OK — pełna zgodność</x:v>
      </x:c>
      <x:c r="J690" s="1537" t="str"/>
    </x:row>
    <x:row r="691" ht="19" customHeight="1">
      <x:c r="A691" t="str">
        <x:v>500 x 806 cm</x:v>
      </x:c>
      <x:c r="B691" t="str">
        <x:v>carriers</x:v>
      </x:c>
      <x:c r="C691" s="1533" t="n">
        <x:v>660</x:v>
      </x:c>
      <x:c r="D691" s="1533" t="n">
        <x:v>713</x:v>
      </x:c>
      <x:c r="E691" s="1533" t="n">
        <x:v>712.8</x:v>
      </x:c>
      <x:c r="F691" s="1533" t="n">
        <x:v>713</x:v>
      </x:c>
      <x:c r="G691" s="1535" t="n">
        <x:v>0</x:v>
      </x:c>
      <x:c r="H691" s="1535" t="n">
        <x:v>0</x:v>
      </x:c>
      <x:c r="I691" t="str">
        <x:v>OK — pełna zgodność</x:v>
      </x:c>
      <x:c r="J691" s="1537" t="str"/>
    </x:row>
    <x:row r="692" ht="19" customHeight="1">
      <x:c r="A692" t="str">
        <x:v>500 x 906 cm</x:v>
      </x:c>
      <x:c r="B692" t="str">
        <x:v>base_poly</x:v>
      </x:c>
      <x:c r="C692" s="1533" t="n">
        <x:v>30589</x:v>
      </x:c>
      <x:c r="D692" s="1533" t="n">
        <x:v>33036</x:v>
      </x:c>
      <x:c r="E692" s="1533" t="n">
        <x:v>33036.12</x:v>
      </x:c>
      <x:c r="F692" s="1533" t="n">
        <x:v>33036</x:v>
      </x:c>
      <x:c r="G692" s="1535" t="n">
        <x:v>0</x:v>
      </x:c>
      <x:c r="H692" s="1535" t="n">
        <x:v>0</x:v>
      </x:c>
      <x:c r="I692" t="str">
        <x:v>OK — pełna zgodność</x:v>
      </x:c>
      <x:c r="J692" s="1537" t="str"/>
    </x:row>
    <x:row r="693" ht="19" customHeight="1">
      <x:c r="A693" t="str">
        <x:v>500 x 906 cm</x:v>
      </x:c>
      <x:c r="B693" t="str">
        <x:v>walls_clear</x:v>
      </x:c>
      <x:c r="C693" s="1533" t="n">
        <x:v>25435</x:v>
      </x:c>
      <x:c r="D693" s="1533" t="n">
        <x:v>27470</x:v>
      </x:c>
      <x:c r="E693" s="1533" t="n">
        <x:v>27469.8</x:v>
      </x:c>
      <x:c r="F693" s="1533" t="n">
        <x:v>27470</x:v>
      </x:c>
      <x:c r="G693" s="1535" t="n">
        <x:v>0</x:v>
      </x:c>
      <x:c r="H693" s="1535" t="n">
        <x:v>0</x:v>
      </x:c>
      <x:c r="I693" t="str">
        <x:v>OK — pełna zgodność</x:v>
      </x:c>
      <x:c r="J693" s="1537" t="str"/>
    </x:row>
    <x:row r="694" ht="19" customHeight="1">
      <x:c r="A694" t="str">
        <x:v>500 x 906 cm</x:v>
      </x:c>
      <x:c r="B694" t="str">
        <x:v>walls_tinted</x:v>
      </x:c>
      <x:c r="C694" s="1533" t="n">
        <x:v>28123</x:v>
      </x:c>
      <x:c r="D694" s="1533" t="n">
        <x:v>30373</x:v>
      </x:c>
      <x:c r="E694" s="1533" t="n">
        <x:v>30372.84</x:v>
      </x:c>
      <x:c r="F694" s="1533" t="n">
        <x:v>30373</x:v>
      </x:c>
      <x:c r="G694" s="1535" t="n">
        <x:v>0</x:v>
      </x:c>
      <x:c r="H694" s="1535" t="n">
        <x:v>0</x:v>
      </x:c>
      <x:c r="I694" t="str">
        <x:v>OK — pełna zgodność</x:v>
      </x:c>
      <x:c r="J694" s="1537" t="str">
        <x:v>Pozycja złożona; stary eksport mógł zaokrąglać składniki osobno.</x:v>
      </x:c>
    </x:row>
    <x:row r="695" ht="19" customHeight="1">
      <x:c r="A695" t="str">
        <x:v>500 x 906 cm</x:v>
      </x:c>
      <x:c r="B695" t="str">
        <x:v>roof_poly_colored</x:v>
      </x:c>
      <x:c r="C695" s="1533" t="n">
        <x:v>1108</x:v>
      </x:c>
      <x:c r="D695" s="1533" t="n">
        <x:v>1197</x:v>
      </x:c>
      <x:c r="E695" s="1533" t="n">
        <x:v>1196.64</x:v>
      </x:c>
      <x:c r="F695" s="1533" t="n">
        <x:v>1197</x:v>
      </x:c>
      <x:c r="G695" s="1535" t="n">
        <x:v>0</x:v>
      </x:c>
      <x:c r="H695" s="1535" t="n">
        <x:v>0</x:v>
      </x:c>
      <x:c r="I695" t="str">
        <x:v>OK — pełna zgodność</x:v>
      </x:c>
      <x:c r="J695" s="1537" t="str"/>
    </x:row>
    <x:row r="696" ht="19" customHeight="1">
      <x:c r="A696" t="str">
        <x:v>500 x 906 cm</x:v>
      </x:c>
      <x:c r="B696" t="str">
        <x:v>roof_glass_clear</x:v>
      </x:c>
      <x:c r="C696" s="1533" t="n">
        <x:v>15337</x:v>
      </x:c>
      <x:c r="D696" s="1533" t="n">
        <x:v>16564</x:v>
      </x:c>
      <x:c r="E696" s="1533" t="n">
        <x:v>16563.96</x:v>
      </x:c>
      <x:c r="F696" s="1533" t="n">
        <x:v>16564</x:v>
      </x:c>
      <x:c r="G696" s="1535" t="n">
        <x:v>0</x:v>
      </x:c>
      <x:c r="H696" s="1535" t="n">
        <x:v>0</x:v>
      </x:c>
      <x:c r="I696" t="str">
        <x:v>OK — pełna zgodność</x:v>
      </x:c>
      <x:c r="J696" s="1537" t="str"/>
    </x:row>
    <x:row r="697" ht="19" customHeight="1">
      <x:c r="A697" t="str">
        <x:v>500 x 906 cm</x:v>
      </x:c>
      <x:c r="B697" t="str">
        <x:v>roof_glass_tinted</x:v>
      </x:c>
      <x:c r="C697" s="1533" t="n">
        <x:v>16822</x:v>
      </x:c>
      <x:c r="D697" s="1533" t="n">
        <x:v>18168</x:v>
      </x:c>
      <x:c r="E697" s="1533" t="n">
        <x:v>18167.76</x:v>
      </x:c>
      <x:c r="F697" s="1533" t="n">
        <x:v>18168</x:v>
      </x:c>
      <x:c r="G697" s="1535" t="n">
        <x:v>0</x:v>
      </x:c>
      <x:c r="H697" s="1535" t="n">
        <x:v>0</x:v>
      </x:c>
      <x:c r="I697" t="str">
        <x:v>OK — pełna zgodność</x:v>
      </x:c>
      <x:c r="J697" s="1537" t="str">
        <x:v>Pozycja złożona; stary eksport mógł zaokrąglać składniki osobno.</x:v>
      </x:c>
    </x:row>
    <x:row r="698" ht="19" customHeight="1">
      <x:c r="A698" t="str">
        <x:v>500 x 906 cm</x:v>
      </x:c>
      <x:c r="B698" t="str">
        <x:v>zip_side</x:v>
      </x:c>
      <x:c r="C698" s="1533" t="n">
        <x:v>4362</x:v>
      </x:c>
      <x:c r="D698" s="1533" t="n">
        <x:v>4711</x:v>
      </x:c>
      <x:c r="E698" s="1533" t="n">
        <x:v>4710.96</x:v>
      </x:c>
      <x:c r="F698" s="1533" t="n">
        <x:v>4711</x:v>
      </x:c>
      <x:c r="G698" s="1535" t="n">
        <x:v>0</x:v>
      </x:c>
      <x:c r="H698" s="1535" t="n">
        <x:v>0</x:v>
      </x:c>
      <x:c r="I698" t="str">
        <x:v>OK — pełna zgodność</x:v>
      </x:c>
      <x:c r="J698" s="1537" t="str"/>
    </x:row>
    <x:row r="699" ht="19" customHeight="1">
      <x:c r="A699" t="str">
        <x:v>500 x 906 cm</x:v>
      </x:c>
      <x:c r="B699" t="str">
        <x:v>zip_front</x:v>
      </x:c>
      <x:c r="C699" s="1533" t="n">
        <x:v>7544</x:v>
      </x:c>
      <x:c r="D699" s="1533" t="n">
        <x:v>8148</x:v>
      </x:c>
      <x:c r="E699" s="1533" t="n">
        <x:v>8147.52</x:v>
      </x:c>
      <x:c r="F699" s="1533" t="n">
        <x:v>8148</x:v>
      </x:c>
      <x:c r="G699" s="1535" t="n">
        <x:v>0</x:v>
      </x:c>
      <x:c r="H699" s="1535" t="n">
        <x:v>0</x:v>
      </x:c>
      <x:c r="I699" t="str">
        <x:v>OK — pełna zgodność</x:v>
      </x:c>
      <x:c r="J699" s="1537" t="str"/>
    </x:row>
    <x:row r="700" ht="19" customHeight="1">
      <x:c r="A700" t="str">
        <x:v>500 x 906 cm</x:v>
      </x:c>
      <x:c r="B700" t="str">
        <x:v>awning</x:v>
      </x:c>
      <x:c r="C700" s="1533" t="n">
        <x:v>11894</x:v>
      </x:c>
      <x:c r="D700" s="1533" t="n">
        <x:v>12846</x:v>
      </x:c>
      <x:c r="E700" s="1533" t="n">
        <x:v>12845.52</x:v>
      </x:c>
      <x:c r="F700" s="1533" t="n">
        <x:v>12846</x:v>
      </x:c>
      <x:c r="G700" s="1535" t="n">
        <x:v>0</x:v>
      </x:c>
      <x:c r="H700" s="1535" t="n">
        <x:v>0</x:v>
      </x:c>
      <x:c r="I700" t="str">
        <x:v>OK — pełna zgodność</x:v>
      </x:c>
      <x:c r="J700" s="1537" t="str"/>
    </x:row>
    <x:row r="701" ht="19" customHeight="1">
      <x:c r="A701" t="str">
        <x:v>500 x 906 cm</x:v>
      </x:c>
      <x:c r="B701" t="str">
        <x:v>foundation</x:v>
      </x:c>
      <x:c r="C701" s="1533" t="n">
        <x:v>3131</x:v>
      </x:c>
      <x:c r="D701" s="1533" t="n">
        <x:v>3381</x:v>
      </x:c>
      <x:c r="E701" s="1533" t="n">
        <x:v>3381.48</x:v>
      </x:c>
      <x:c r="F701" s="1533" t="n">
        <x:v>3381</x:v>
      </x:c>
      <x:c r="G701" s="1535" t="n">
        <x:v>0</x:v>
      </x:c>
      <x:c r="H701" s="1535" t="n">
        <x:v>0</x:v>
      </x:c>
      <x:c r="I701" t="str">
        <x:v>OK — pełna zgodność</x:v>
      </x:c>
      <x:c r="J701" s="1537" t="str"/>
    </x:row>
    <x:row r="702" ht="19" customHeight="1">
      <x:c r="A702" t="str">
        <x:v>500 x 906 cm</x:v>
      </x:c>
      <x:c r="B702" t="str">
        <x:v>led_point</x:v>
      </x:c>
      <x:c r="C702" s="1533" t="n">
        <x:v>1839</x:v>
      </x:c>
      <x:c r="D702" s="1533" t="n">
        <x:v>1986</x:v>
      </x:c>
      <x:c r="E702" s="1533" t="n">
        <x:v>1986.12</x:v>
      </x:c>
      <x:c r="F702" s="1533" t="n">
        <x:v>1986</x:v>
      </x:c>
      <x:c r="G702" s="1535" t="n">
        <x:v>0</x:v>
      </x:c>
      <x:c r="H702" s="1535" t="n">
        <x:v>0</x:v>
      </x:c>
      <x:c r="I702" t="str">
        <x:v>OK — pełna zgodność</x:v>
      </x:c>
      <x:c r="J702" s="1537" t="str"/>
    </x:row>
    <x:row r="703" ht="19" customHeight="1">
      <x:c r="A703" t="str">
        <x:v>500 x 906 cm</x:v>
      </x:c>
      <x:c r="B703" t="str">
        <x:v>led_cct</x:v>
      </x:c>
      <x:c r="C703" s="1533" t="n">
        <x:v>4490</x:v>
      </x:c>
      <x:c r="D703" s="1533" t="n">
        <x:v>4849</x:v>
      </x:c>
      <x:c r="E703" s="1533" t="n">
        <x:v>4849.2</x:v>
      </x:c>
      <x:c r="F703" s="1533" t="n">
        <x:v>4849</x:v>
      </x:c>
      <x:c r="G703" s="1535" t="n">
        <x:v>0</x:v>
      </x:c>
      <x:c r="H703" s="1535" t="n">
        <x:v>0</x:v>
      </x:c>
      <x:c r="I703" t="str">
        <x:v>OK — pełna zgodność</x:v>
      </x:c>
      <x:c r="J703" s="1537" t="str"/>
    </x:row>
    <x:row r="704" ht="19" customHeight="1">
      <x:c r="A704" t="str">
        <x:v>500 x 906 cm</x:v>
      </x:c>
      <x:c r="B704" t="str">
        <x:v>brushes</x:v>
      </x:c>
      <x:c r="C704" s="1533" t="n">
        <x:v>848</x:v>
      </x:c>
      <x:c r="D704" s="1533" t="n">
        <x:v>916</x:v>
      </x:c>
      <x:c r="E704" s="1533" t="n">
        <x:v>915.84</x:v>
      </x:c>
      <x:c r="F704" s="1533" t="n">
        <x:v>916</x:v>
      </x:c>
      <x:c r="G704" s="1535" t="n">
        <x:v>0</x:v>
      </x:c>
      <x:c r="H704" s="1535" t="n">
        <x:v>0</x:v>
      </x:c>
      <x:c r="I704" t="str">
        <x:v>OK — pełna zgodność</x:v>
      </x:c>
      <x:c r="J704" s="1537" t="str"/>
    </x:row>
    <x:row r="705" ht="19" customHeight="1">
      <x:c r="A705" t="str">
        <x:v>500 x 906 cm</x:v>
      </x:c>
      <x:c r="B705" t="str">
        <x:v>handles</x:v>
      </x:c>
      <x:c r="C705" s="1533" t="n">
        <x:v>766</x:v>
      </x:c>
      <x:c r="D705" s="1533" t="n">
        <x:v>827</x:v>
      </x:c>
      <x:c r="E705" s="1533" t="n">
        <x:v>827.28</x:v>
      </x:c>
      <x:c r="F705" s="1533" t="n">
        <x:v>827</x:v>
      </x:c>
      <x:c r="G705" s="1535" t="n">
        <x:v>0</x:v>
      </x:c>
      <x:c r="H705" s="1535" t="n">
        <x:v>0</x:v>
      </x:c>
      <x:c r="I705" t="str">
        <x:v>OK — pełna zgodność</x:v>
      </x:c>
      <x:c r="J705" s="1537" t="str"/>
    </x:row>
    <x:row r="706" ht="19" customHeight="1">
      <x:c r="A706" t="str">
        <x:v>500 x 906 cm</x:v>
      </x:c>
      <x:c r="B706" t="str">
        <x:v>carriers</x:v>
      </x:c>
      <x:c r="C706" s="1533" t="n">
        <x:v>660</x:v>
      </x:c>
      <x:c r="D706" s="1533" t="n">
        <x:v>713</x:v>
      </x:c>
      <x:c r="E706" s="1533" t="n">
        <x:v>712.8</x:v>
      </x:c>
      <x:c r="F706" s="1533" t="n">
        <x:v>713</x:v>
      </x:c>
      <x:c r="G706" s="1535" t="n">
        <x:v>0</x:v>
      </x:c>
      <x:c r="H706" s="1535" t="n">
        <x:v>0</x:v>
      </x:c>
      <x:c r="I706" t="str">
        <x:v>OK — pełna zgodność</x:v>
      </x:c>
      <x:c r="J706" s="1537" t="str"/>
    </x:row>
    <x:row r="707" ht="19" customHeight="1">
      <x:c r="A707" t="str">
        <x:v>500 x 1006 cm</x:v>
      </x:c>
      <x:c r="B707" t="str">
        <x:v>base_poly</x:v>
      </x:c>
      <x:c r="C707" s="1533" t="n">
        <x:v>33228</x:v>
      </x:c>
      <x:c r="D707" s="1533" t="n">
        <x:v>35886</x:v>
      </x:c>
      <x:c r="E707" s="1533" t="n">
        <x:v>35886.24</x:v>
      </x:c>
      <x:c r="F707" s="1533" t="n">
        <x:v>35886</x:v>
      </x:c>
      <x:c r="G707" s="1535" t="n">
        <x:v>0</x:v>
      </x:c>
      <x:c r="H707" s="1535" t="n">
        <x:v>0</x:v>
      </x:c>
      <x:c r="I707" t="str">
        <x:v>OK — pełna zgodność</x:v>
      </x:c>
      <x:c r="J707" s="1537" t="str"/>
    </x:row>
    <x:row r="708" ht="19" customHeight="1">
      <x:c r="A708" t="str">
        <x:v>500 x 1006 cm</x:v>
      </x:c>
      <x:c r="B708" t="str">
        <x:v>walls_clear</x:v>
      </x:c>
      <x:c r="C708" s="1533" t="n">
        <x:v>26846</x:v>
      </x:c>
      <x:c r="D708" s="1533" t="n">
        <x:v>28994</x:v>
      </x:c>
      <x:c r="E708" s="1533" t="n">
        <x:v>28993.68</x:v>
      </x:c>
      <x:c r="F708" s="1533" t="n">
        <x:v>28994</x:v>
      </x:c>
      <x:c r="G708" s="1535" t="n">
        <x:v>0</x:v>
      </x:c>
      <x:c r="H708" s="1535" t="n">
        <x:v>0</x:v>
      </x:c>
      <x:c r="I708" t="str">
        <x:v>OK — pełna zgodność</x:v>
      </x:c>
      <x:c r="J708" s="1537" t="str"/>
    </x:row>
    <x:row r="709" ht="19" customHeight="1">
      <x:c r="A709" t="str">
        <x:v>500 x 1006 cm</x:v>
      </x:c>
      <x:c r="B709" t="str">
        <x:v>walls_tinted</x:v>
      </x:c>
      <x:c r="C709" s="1533" t="n">
        <x:v>29675</x:v>
      </x:c>
      <x:c r="D709" s="1533" t="n">
        <x:v>32049</x:v>
      </x:c>
      <x:c r="E709" s="1533" t="n">
        <x:v>32049</x:v>
      </x:c>
      <x:c r="F709" s="1533" t="n">
        <x:v>32049</x:v>
      </x:c>
      <x:c r="G709" s="1535" t="n">
        <x:v>0</x:v>
      </x:c>
      <x:c r="H709" s="1535" t="n">
        <x:v>0</x:v>
      </x:c>
      <x:c r="I709" t="str">
        <x:v>OK — pełna zgodność</x:v>
      </x:c>
      <x:c r="J709" s="1537" t="str">
        <x:v>Pozycja złożona; stary eksport mógł zaokrąglać składniki osobno.</x:v>
      </x:c>
    </x:row>
    <x:row r="710" ht="19" customHeight="1">
      <x:c r="A710" t="str">
        <x:v>500 x 1006 cm</x:v>
      </x:c>
      <x:c r="B710" t="str">
        <x:v>roof_poly_colored</x:v>
      </x:c>
      <x:c r="C710" s="1533" t="n">
        <x:v>1227</x:v>
      </x:c>
      <x:c r="D710" s="1533" t="n">
        <x:v>1325</x:v>
      </x:c>
      <x:c r="E710" s="1533" t="n">
        <x:v>1325.16</x:v>
      </x:c>
      <x:c r="F710" s="1533" t="n">
        <x:v>1325</x:v>
      </x:c>
      <x:c r="G710" s="1535" t="n">
        <x:v>0</x:v>
      </x:c>
      <x:c r="H710" s="1535" t="n">
        <x:v>0</x:v>
      </x:c>
      <x:c r="I710" t="str">
        <x:v>OK — pełna zgodność</x:v>
      </x:c>
      <x:c r="J710" s="1537" t="str"/>
    </x:row>
    <x:row r="711" ht="19" customHeight="1">
      <x:c r="A711" t="str">
        <x:v>500 x 1006 cm</x:v>
      </x:c>
      <x:c r="B711" t="str">
        <x:v>roof_glass_clear</x:v>
      </x:c>
      <x:c r="C711" s="1533" t="n">
        <x:v>17140</x:v>
      </x:c>
      <x:c r="D711" s="1533" t="n">
        <x:v>18511</x:v>
      </x:c>
      <x:c r="E711" s="1533" t="n">
        <x:v>18511.2</x:v>
      </x:c>
      <x:c r="F711" s="1533" t="n">
        <x:v>18511</x:v>
      </x:c>
      <x:c r="G711" s="1535" t="n">
        <x:v>0</x:v>
      </x:c>
      <x:c r="H711" s="1535" t="n">
        <x:v>0</x:v>
      </x:c>
      <x:c r="I711" t="str">
        <x:v>OK — pełna zgodność</x:v>
      </x:c>
      <x:c r="J711" s="1537" t="str"/>
    </x:row>
    <x:row r="712" ht="19" customHeight="1">
      <x:c r="A712" t="str">
        <x:v>500 x 1006 cm</x:v>
      </x:c>
      <x:c r="B712" t="str">
        <x:v>roof_glass_tinted</x:v>
      </x:c>
      <x:c r="C712" s="1533" t="n">
        <x:v>18790</x:v>
      </x:c>
      <x:c r="D712" s="1533" t="n">
        <x:v>20293</x:v>
      </x:c>
      <x:c r="E712" s="1533" t="n">
        <x:v>20293.2</x:v>
      </x:c>
      <x:c r="F712" s="1533" t="n">
        <x:v>20293</x:v>
      </x:c>
      <x:c r="G712" s="1535" t="n">
        <x:v>0</x:v>
      </x:c>
      <x:c r="H712" s="1535" t="n">
        <x:v>0</x:v>
      </x:c>
      <x:c r="I712" t="str">
        <x:v>OK — pełna zgodność</x:v>
      </x:c>
      <x:c r="J712" s="1537" t="str">
        <x:v>Pozycja złożona; stary eksport mógł zaokrąglać składniki osobno.</x:v>
      </x:c>
    </x:row>
    <x:row r="713" ht="19" customHeight="1">
      <x:c r="A713" t="str">
        <x:v>500 x 1006 cm</x:v>
      </x:c>
      <x:c r="B713" t="str">
        <x:v>zip_side</x:v>
      </x:c>
      <x:c r="C713" s="1533" t="n">
        <x:v>4362</x:v>
      </x:c>
      <x:c r="D713" s="1533" t="n">
        <x:v>4711</x:v>
      </x:c>
      <x:c r="E713" s="1533" t="n">
        <x:v>4710.96</x:v>
      </x:c>
      <x:c r="F713" s="1533" t="n">
        <x:v>4711</x:v>
      </x:c>
      <x:c r="G713" s="1535" t="n">
        <x:v>0</x:v>
      </x:c>
      <x:c r="H713" s="1535" t="n">
        <x:v>0</x:v>
      </x:c>
      <x:c r="I713" t="str">
        <x:v>OK — pełna zgodność</x:v>
      </x:c>
      <x:c r="J713" s="1537" t="str"/>
    </x:row>
    <x:row r="714" ht="19" customHeight="1">
      <x:c r="A714" t="str">
        <x:v>500 x 1006 cm</x:v>
      </x:c>
      <x:c r="B714" t="str">
        <x:v>zip_front</x:v>
      </x:c>
      <x:c r="C714" s="1533" t="n">
        <x:v>8146</x:v>
      </x:c>
      <x:c r="D714" s="1533" t="n">
        <x:v>8798</x:v>
      </x:c>
      <x:c r="E714" s="1533" t="n">
        <x:v>8797.68</x:v>
      </x:c>
      <x:c r="F714" s="1533" t="n">
        <x:v>8798</x:v>
      </x:c>
      <x:c r="G714" s="1535" t="n">
        <x:v>0</x:v>
      </x:c>
      <x:c r="H714" s="1535" t="n">
        <x:v>0</x:v>
      </x:c>
      <x:c r="I714" t="str">
        <x:v>OK — pełna zgodność</x:v>
      </x:c>
      <x:c r="J714" s="1537" t="str"/>
    </x:row>
    <x:row r="715" ht="19" customHeight="1">
      <x:c r="A715" t="str">
        <x:v>500 x 1006 cm</x:v>
      </x:c>
      <x:c r="B715" t="str">
        <x:v>awning</x:v>
      </x:c>
      <x:c r="C715" s="1533" t="n">
        <x:v>12767</x:v>
      </x:c>
      <x:c r="D715" s="1533" t="n">
        <x:v>13788</x:v>
      </x:c>
      <x:c r="E715" s="1533" t="n">
        <x:v>13788.36</x:v>
      </x:c>
      <x:c r="F715" s="1533" t="n">
        <x:v>13788</x:v>
      </x:c>
      <x:c r="G715" s="1535" t="n">
        <x:v>0</x:v>
      </x:c>
      <x:c r="H715" s="1535" t="n">
        <x:v>0</x:v>
      </x:c>
      <x:c r="I715" t="str">
        <x:v>OK — pełna zgodność</x:v>
      </x:c>
      <x:c r="J715" s="1537" t="str"/>
    </x:row>
    <x:row r="716" ht="19" customHeight="1">
      <x:c r="A716" t="str">
        <x:v>500 x 1006 cm</x:v>
      </x:c>
      <x:c r="B716" t="str">
        <x:v>foundation</x:v>
      </x:c>
      <x:c r="C716" s="1533" t="n">
        <x:v>3362</x:v>
      </x:c>
      <x:c r="D716" s="1533" t="n">
        <x:v>3631</x:v>
      </x:c>
      <x:c r="E716" s="1533" t="n">
        <x:v>3630.96</x:v>
      </x:c>
      <x:c r="F716" s="1533" t="n">
        <x:v>3631</x:v>
      </x:c>
      <x:c r="G716" s="1535" t="n">
        <x:v>0</x:v>
      </x:c>
      <x:c r="H716" s="1535" t="n">
        <x:v>0</x:v>
      </x:c>
      <x:c r="I716" t="str">
        <x:v>OK — pełna zgodność</x:v>
      </x:c>
      <x:c r="J716" s="1537" t="str"/>
    </x:row>
    <x:row r="717" ht="19" customHeight="1">
      <x:c r="A717" t="str">
        <x:v>500 x 1006 cm</x:v>
      </x:c>
      <x:c r="B717" t="str">
        <x:v>led_point</x:v>
      </x:c>
      <x:c r="C717" s="1533" t="n">
        <x:v>1944</x:v>
      </x:c>
      <x:c r="D717" s="1533" t="n">
        <x:v>2100</x:v>
      </x:c>
      <x:c r="E717" s="1533" t="n">
        <x:v>2099.52</x:v>
      </x:c>
      <x:c r="F717" s="1533" t="n">
        <x:v>2100</x:v>
      </x:c>
      <x:c r="G717" s="1535" t="n">
        <x:v>0</x:v>
      </x:c>
      <x:c r="H717" s="1535" t="n">
        <x:v>0</x:v>
      </x:c>
      <x:c r="I717" t="str">
        <x:v>OK — pełna zgodność</x:v>
      </x:c>
      <x:c r="J717" s="1537" t="str"/>
    </x:row>
    <x:row r="718" ht="19" customHeight="1">
      <x:c r="A718" t="str">
        <x:v>500 x 1006 cm</x:v>
      </x:c>
      <x:c r="B718" t="str">
        <x:v>led_cct</x:v>
      </x:c>
      <x:c r="C718" s="1533" t="n">
        <x:v>4592</x:v>
      </x:c>
      <x:c r="D718" s="1533" t="n">
        <x:v>4959</x:v>
      </x:c>
      <x:c r="E718" s="1533" t="n">
        <x:v>4959.36</x:v>
      </x:c>
      <x:c r="F718" s="1533" t="n">
        <x:v>4959</x:v>
      </x:c>
      <x:c r="G718" s="1535" t="n">
        <x:v>0</x:v>
      </x:c>
      <x:c r="H718" s="1535" t="n">
        <x:v>0</x:v>
      </x:c>
      <x:c r="I718" t="str">
        <x:v>OK — pełna zgodność</x:v>
      </x:c>
      <x:c r="J718" s="1537" t="str"/>
    </x:row>
    <x:row r="719" ht="19" customHeight="1">
      <x:c r="A719" t="str">
        <x:v>500 x 1006 cm</x:v>
      </x:c>
      <x:c r="B719" t="str">
        <x:v>brushes</x:v>
      </x:c>
      <x:c r="C719" s="1533" t="n">
        <x:v>896</x:v>
      </x:c>
      <x:c r="D719" s="1533" t="n">
        <x:v>968</x:v>
      </x:c>
      <x:c r="E719" s="1533" t="n">
        <x:v>967.68</x:v>
      </x:c>
      <x:c r="F719" s="1533" t="n">
        <x:v>968</x:v>
      </x:c>
      <x:c r="G719" s="1535" t="n">
        <x:v>0</x:v>
      </x:c>
      <x:c r="H719" s="1535" t="n">
        <x:v>0</x:v>
      </x:c>
      <x:c r="I719" t="str">
        <x:v>OK — pełna zgodność</x:v>
      </x:c>
      <x:c r="J719" s="1537" t="str"/>
    </x:row>
    <x:row r="720" ht="19" customHeight="1">
      <x:c r="A720" t="str">
        <x:v>500 x 1006 cm</x:v>
      </x:c>
      <x:c r="B720" t="str">
        <x:v>handles</x:v>
      </x:c>
      <x:c r="C720" s="1533" t="n">
        <x:v>813</x:v>
      </x:c>
      <x:c r="D720" s="1533" t="n">
        <x:v>878</x:v>
      </x:c>
      <x:c r="E720" s="1533" t="n">
        <x:v>878.04</x:v>
      </x:c>
      <x:c r="F720" s="1533" t="n">
        <x:v>878</x:v>
      </x:c>
      <x:c r="G720" s="1535" t="n">
        <x:v>0</x:v>
      </x:c>
      <x:c r="H720" s="1535" t="n">
        <x:v>0</x:v>
      </x:c>
      <x:c r="I720" t="str">
        <x:v>OK — pełna zgodność</x:v>
      </x:c>
      <x:c r="J720" s="1537" t="str"/>
    </x:row>
    <x:row r="721" ht="19" customHeight="1">
      <x:c r="A721" t="str">
        <x:v>500 x 1006 cm</x:v>
      </x:c>
      <x:c r="B721" t="str">
        <x:v>carriers</x:v>
      </x:c>
      <x:c r="C721" s="1533" t="n">
        <x:v>708</x:v>
      </x:c>
      <x:c r="D721" s="1533" t="n">
        <x:v>765</x:v>
      </x:c>
      <x:c r="E721" s="1533" t="n">
        <x:v>764.64</x:v>
      </x:c>
      <x:c r="F721" s="1533" t="n">
        <x:v>765</x:v>
      </x:c>
      <x:c r="G721" s="1535" t="n">
        <x:v>0</x:v>
      </x:c>
      <x:c r="H721" s="1535" t="n">
        <x:v>0</x:v>
      </x:c>
      <x:c r="I721" t="str">
        <x:v>OK — pełna zgodność</x:v>
      </x:c>
      <x:c r="J721" s="1537" t="str"/>
    </x:row>
    <x:row r="722" ht="19" customHeight="1">
      <x:c r="A722" t="str">
        <x:v>500 x 1106 cm</x:v>
      </x:c>
      <x:c r="B722" t="str">
        <x:v>base_poly</x:v>
      </x:c>
      <x:c r="C722" s="1533" t="n">
        <x:v>36964</x:v>
      </x:c>
      <x:c r="D722" s="1533" t="n">
        <x:v>39921</x:v>
      </x:c>
      <x:c r="E722" s="1533" t="n">
        <x:v>39921.12</x:v>
      </x:c>
      <x:c r="F722" s="1533" t="n">
        <x:v>39921</x:v>
      </x:c>
      <x:c r="G722" s="1535" t="n">
        <x:v>0</x:v>
      </x:c>
      <x:c r="H722" s="1535" t="n">
        <x:v>0</x:v>
      </x:c>
      <x:c r="I722" t="str">
        <x:v>OK — pełna zgodność</x:v>
      </x:c>
      <x:c r="J722" s="1537" t="str"/>
    </x:row>
    <x:row r="723" ht="19" customHeight="1">
      <x:c r="A723" t="str">
        <x:v>500 x 1106 cm</x:v>
      </x:c>
      <x:c r="B723" t="str">
        <x:v>walls_clear</x:v>
      </x:c>
      <x:c r="C723" s="1533" t="n">
        <x:v>28278</x:v>
      </x:c>
      <x:c r="D723" s="1533" t="n">
        <x:v>30540</x:v>
      </x:c>
      <x:c r="E723" s="1533" t="n">
        <x:v>30540.24</x:v>
      </x:c>
      <x:c r="F723" s="1533" t="n">
        <x:v>30540</x:v>
      </x:c>
      <x:c r="G723" s="1535" t="n">
        <x:v>0</x:v>
      </x:c>
      <x:c r="H723" s="1535" t="n">
        <x:v>0</x:v>
      </x:c>
      <x:c r="I723" t="str">
        <x:v>OK — pełna zgodność</x:v>
      </x:c>
      <x:c r="J723" s="1537" t="str"/>
    </x:row>
    <x:row r="724" ht="19" customHeight="1">
      <x:c r="A724" t="str">
        <x:v>500 x 1106 cm</x:v>
      </x:c>
      <x:c r="B724" t="str">
        <x:v>walls_tinted</x:v>
      </x:c>
      <x:c r="C724" s="1533" t="n">
        <x:v>31249</x:v>
      </x:c>
      <x:c r="D724" s="1533" t="n">
        <x:v>33749</x:v>
      </x:c>
      <x:c r="E724" s="1533" t="n">
        <x:v>33748.92</x:v>
      </x:c>
      <x:c r="F724" s="1533" t="n">
        <x:v>33749</x:v>
      </x:c>
      <x:c r="G724" s="1535" t="n">
        <x:v>0</x:v>
      </x:c>
      <x:c r="H724" s="1535" t="n">
        <x:v>0</x:v>
      </x:c>
      <x:c r="I724" t="str">
        <x:v>OK — pełna zgodność</x:v>
      </x:c>
      <x:c r="J724" s="1537" t="str">
        <x:v>Pozycja złożona; stary eksport mógł zaokrąglać składniki osobno.</x:v>
      </x:c>
    </x:row>
    <x:row r="725" ht="19" customHeight="1">
      <x:c r="A725" t="str">
        <x:v>500 x 1106 cm</x:v>
      </x:c>
      <x:c r="B725" t="str">
        <x:v>roof_poly_colored</x:v>
      </x:c>
      <x:c r="C725" s="1533" t="n">
        <x:v>1344</x:v>
      </x:c>
      <x:c r="D725" s="1533" t="n">
        <x:v>1452</x:v>
      </x:c>
      <x:c r="E725" s="1533" t="n">
        <x:v>1451.52</x:v>
      </x:c>
      <x:c r="F725" s="1533" t="n">
        <x:v>1452</x:v>
      </x:c>
      <x:c r="G725" s="1535" t="n">
        <x:v>0</x:v>
      </x:c>
      <x:c r="H725" s="1535" t="n">
        <x:v>0</x:v>
      </x:c>
      <x:c r="I725" t="str">
        <x:v>OK — pełna zgodność</x:v>
      </x:c>
      <x:c r="J725" s="1537" t="str"/>
    </x:row>
    <x:row r="726" ht="19" customHeight="1">
      <x:c r="A726" t="str">
        <x:v>500 x 1106 cm</x:v>
      </x:c>
      <x:c r="B726" t="str">
        <x:v>roof_glass_clear</x:v>
      </x:c>
      <x:c r="C726" s="1533" t="n">
        <x:v>18956</x:v>
      </x:c>
      <x:c r="D726" s="1533" t="n">
        <x:v>20472</x:v>
      </x:c>
      <x:c r="E726" s="1533" t="n">
        <x:v>20472.48</x:v>
      </x:c>
      <x:c r="F726" s="1533" t="n">
        <x:v>20472</x:v>
      </x:c>
      <x:c r="G726" s="1535" t="n">
        <x:v>0</x:v>
      </x:c>
      <x:c r="H726" s="1535" t="n">
        <x:v>0</x:v>
      </x:c>
      <x:c r="I726" t="str">
        <x:v>OK — pełna zgodność</x:v>
      </x:c>
      <x:c r="J726" s="1537" t="str"/>
    </x:row>
    <x:row r="727" ht="19" customHeight="1">
      <x:c r="A727" t="str">
        <x:v>500 x 1106 cm</x:v>
      </x:c>
      <x:c r="B727" t="str">
        <x:v>roof_glass_tinted</x:v>
      </x:c>
      <x:c r="C727" s="1533" t="n">
        <x:v>20771</x:v>
      </x:c>
      <x:c r="D727" s="1533" t="n">
        <x:v>22432</x:v>
      </x:c>
      <x:c r="E727" s="1533" t="n">
        <x:v>22432.68</x:v>
      </x:c>
      <x:c r="F727" s="1533" t="n">
        <x:v>22433</x:v>
      </x:c>
      <x:c r="G727" s="1535" t="n">
        <x:v>1</x:v>
      </x:c>
      <x:c r="H727" s="1535" t="n">
        <x:v>1</x:v>
      </x:c>
      <x:c r="I727" t="str">
        <x:v>OK — zaokrąglenie ±1 zł</x:v>
      </x:c>
      <x:c r="J727" s="1537" t="str">
        <x:v>Pozycja złożona; stary eksport mógł zaokrąglać składniki osobno.</x:v>
      </x:c>
    </x:row>
    <x:row r="728" ht="19" customHeight="1">
      <x:c r="A728" t="str">
        <x:v>500 x 1106 cm</x:v>
      </x:c>
      <x:c r="B728" t="str">
        <x:v>zip_side</x:v>
      </x:c>
      <x:c r="C728" s="1533" t="n">
        <x:v>4362</x:v>
      </x:c>
      <x:c r="D728" s="1533" t="n">
        <x:v>4711</x:v>
      </x:c>
      <x:c r="E728" s="1533" t="n">
        <x:v>4710.96</x:v>
      </x:c>
      <x:c r="F728" s="1533" t="n">
        <x:v>4711</x:v>
      </x:c>
      <x:c r="G728" s="1535" t="n">
        <x:v>0</x:v>
      </x:c>
      <x:c r="H728" s="1535" t="n">
        <x:v>0</x:v>
      </x:c>
      <x:c r="I728" t="str">
        <x:v>OK — pełna zgodność</x:v>
      </x:c>
      <x:c r="J728" s="1537" t="str"/>
    </x:row>
    <x:row r="729" ht="19" customHeight="1">
      <x:c r="A729" t="str">
        <x:v>500 x 1106 cm</x:v>
      </x:c>
      <x:c r="B729" t="str">
        <x:v>zip_front</x:v>
      </x:c>
      <x:c r="C729" s="1533" t="n">
        <x:v>8748</x:v>
      </x:c>
      <x:c r="D729" s="1533" t="n">
        <x:v>9448</x:v>
      </x:c>
      <x:c r="E729" s="1533" t="n">
        <x:v>9447.84</x:v>
      </x:c>
      <x:c r="F729" s="1533" t="n">
        <x:v>9448</x:v>
      </x:c>
      <x:c r="G729" s="1535" t="n">
        <x:v>0</x:v>
      </x:c>
      <x:c r="H729" s="1535" t="n">
        <x:v>0</x:v>
      </x:c>
      <x:c r="I729" t="str">
        <x:v>OK — pełna zgodność</x:v>
      </x:c>
      <x:c r="J729" s="1537" t="str"/>
    </x:row>
    <x:row r="730" ht="19" customHeight="1">
      <x:c r="A730" t="str">
        <x:v>500 x 1106 cm</x:v>
      </x:c>
      <x:c r="B730" t="str">
        <x:v>awning</x:v>
      </x:c>
      <x:c r="C730" s="1533" t="n">
        <x:v>15821</x:v>
      </x:c>
      <x:c r="D730" s="1533" t="n">
        <x:v>17087</x:v>
      </x:c>
      <x:c r="E730" s="1533" t="n">
        <x:v>17086.68</x:v>
      </x:c>
      <x:c r="F730" s="1533" t="n">
        <x:v>17087</x:v>
      </x:c>
      <x:c r="G730" s="1535" t="n">
        <x:v>0</x:v>
      </x:c>
      <x:c r="H730" s="1535" t="n">
        <x:v>0</x:v>
      </x:c>
      <x:c r="I730" t="str">
        <x:v>OK — pełna zgodność</x:v>
      </x:c>
      <x:c r="J730" s="1537" t="str"/>
    </x:row>
    <x:row r="731" ht="19" customHeight="1">
      <x:c r="A731" t="str">
        <x:v>500 x 1106 cm</x:v>
      </x:c>
      <x:c r="B731" t="str">
        <x:v>foundation</x:v>
      </x:c>
      <x:c r="C731" s="1533" t="n">
        <x:v>3881</x:v>
      </x:c>
      <x:c r="D731" s="1533" t="n">
        <x:v>4191</x:v>
      </x:c>
      <x:c r="E731" s="1533" t="n">
        <x:v>4191.48</x:v>
      </x:c>
      <x:c r="F731" s="1533" t="n">
        <x:v>4191</x:v>
      </x:c>
      <x:c r="G731" s="1535" t="n">
        <x:v>0</x:v>
      </x:c>
      <x:c r="H731" s="1535" t="n">
        <x:v>0</x:v>
      </x:c>
      <x:c r="I731" t="str">
        <x:v>OK — pełna zgodność</x:v>
      </x:c>
      <x:c r="J731" s="1537" t="str"/>
    </x:row>
    <x:row r="732" ht="19" customHeight="1">
      <x:c r="A732" t="str">
        <x:v>500 x 1106 cm</x:v>
      </x:c>
      <x:c r="B732" t="str">
        <x:v>led_point</x:v>
      </x:c>
      <x:c r="C732" s="1533" t="n">
        <x:v>2087</x:v>
      </x:c>
      <x:c r="D732" s="1533" t="n">
        <x:v>2254</x:v>
      </x:c>
      <x:c r="E732" s="1533" t="n">
        <x:v>2253.96</x:v>
      </x:c>
      <x:c r="F732" s="1533" t="n">
        <x:v>2254</x:v>
      </x:c>
      <x:c r="G732" s="1535" t="n">
        <x:v>0</x:v>
      </x:c>
      <x:c r="H732" s="1535" t="n">
        <x:v>0</x:v>
      </x:c>
      <x:c r="I732" t="str">
        <x:v>OK — pełna zgodność</x:v>
      </x:c>
      <x:c r="J732" s="1537" t="str"/>
    </x:row>
    <x:row r="733" ht="19" customHeight="1">
      <x:c r="A733" t="str">
        <x:v>500 x 1106 cm</x:v>
      </x:c>
      <x:c r="B733" t="str">
        <x:v>led_cct</x:v>
      </x:c>
      <x:c r="C733" s="1533" t="n">
        <x:v>4925</x:v>
      </x:c>
      <x:c r="D733" s="1533" t="n">
        <x:v>5319</x:v>
      </x:c>
      <x:c r="E733" s="1533" t="n">
        <x:v>5319</x:v>
      </x:c>
      <x:c r="F733" s="1533" t="n">
        <x:v>5319</x:v>
      </x:c>
      <x:c r="G733" s="1535" t="n">
        <x:v>0</x:v>
      </x:c>
      <x:c r="H733" s="1535" t="n">
        <x:v>0</x:v>
      </x:c>
      <x:c r="I733" t="str">
        <x:v>OK — pełna zgodność</x:v>
      </x:c>
      <x:c r="J733" s="1537" t="str"/>
    </x:row>
    <x:row r="734" ht="19" customHeight="1">
      <x:c r="A734" t="str">
        <x:v>500 x 1106 cm</x:v>
      </x:c>
      <x:c r="B734" t="str">
        <x:v>brushes</x:v>
      </x:c>
      <x:c r="C734" s="1533" t="n">
        <x:v>943</x:v>
      </x:c>
      <x:c r="D734" s="1533" t="n">
        <x:v>1017</x:v>
      </x:c>
      <x:c r="E734" s="1533" t="n">
        <x:v>1018.44</x:v>
      </x:c>
      <x:c r="F734" s="1533" t="n">
        <x:v>1018</x:v>
      </x:c>
      <x:c r="G734" s="1535" t="n">
        <x:v>1</x:v>
      </x:c>
      <x:c r="H734" s="1535" t="n">
        <x:v>1</x:v>
      </x:c>
      <x:c r="I734" t="str">
        <x:v>OK — zaokrąglenie ±1 zł</x:v>
      </x:c>
      <x:c r="J734" s="1537" t="str"/>
    </x:row>
    <x:row r="735" ht="19" customHeight="1">
      <x:c r="A735" t="str">
        <x:v>500 x 1106 cm</x:v>
      </x:c>
      <x:c r="B735" t="str">
        <x:v>handles</x:v>
      </x:c>
      <x:c r="C735" s="1533" t="n">
        <x:v>848</x:v>
      </x:c>
      <x:c r="D735" s="1533" t="n">
        <x:v>916</x:v>
      </x:c>
      <x:c r="E735" s="1533" t="n">
        <x:v>915.84</x:v>
      </x:c>
      <x:c r="F735" s="1533" t="n">
        <x:v>916</x:v>
      </x:c>
      <x:c r="G735" s="1535" t="n">
        <x:v>0</x:v>
      </x:c>
      <x:c r="H735" s="1535" t="n">
        <x:v>0</x:v>
      </x:c>
      <x:c r="I735" t="str">
        <x:v>OK — pełna zgodność</x:v>
      </x:c>
      <x:c r="J735" s="1537" t="str"/>
    </x:row>
    <x:row r="736" ht="19" customHeight="1">
      <x:c r="A736" t="str">
        <x:v>500 x 1106 cm</x:v>
      </x:c>
      <x:c r="B736" t="str">
        <x:v>carriers</x:v>
      </x:c>
      <x:c r="C736" s="1533" t="n">
        <x:v>754</x:v>
      </x:c>
      <x:c r="D736" s="1533" t="n">
        <x:v>814</x:v>
      </x:c>
      <x:c r="E736" s="1533" t="n">
        <x:v>814.32</x:v>
      </x:c>
      <x:c r="F736" s="1533" t="n">
        <x:v>814</x:v>
      </x:c>
      <x:c r="G736" s="1535" t="n">
        <x:v>0</x:v>
      </x:c>
      <x:c r="H736" s="1535" t="n">
        <x:v>0</x:v>
      </x:c>
      <x:c r="I736" t="str">
        <x:v>OK — pełna zgodność</x:v>
      </x:c>
      <x:c r="J736" s="1537" t="str"/>
    </x:row>
    <x:row r="737" ht="19" customHeight="1">
      <x:c r="A737" t="str">
        <x:v>500 x 1206 cm</x:v>
      </x:c>
      <x:c r="B737" t="str">
        <x:v>base_poly</x:v>
      </x:c>
      <x:c r="C737" s="1533" t="n">
        <x:v>39601</x:v>
      </x:c>
      <x:c r="D737" s="1533" t="n">
        <x:v>42769</x:v>
      </x:c>
      <x:c r="E737" s="1533" t="n">
        <x:v>42769.08</x:v>
      </x:c>
      <x:c r="F737" s="1533" t="n">
        <x:v>42769</x:v>
      </x:c>
      <x:c r="G737" s="1535" t="n">
        <x:v>0</x:v>
      </x:c>
      <x:c r="H737" s="1535" t="n">
        <x:v>0</x:v>
      </x:c>
      <x:c r="I737" t="str">
        <x:v>OK — pełna zgodność</x:v>
      </x:c>
      <x:c r="J737" s="1537" t="str"/>
    </x:row>
    <x:row r="738" ht="19" customHeight="1">
      <x:c r="A738" t="str">
        <x:v>500 x 1206 cm</x:v>
      </x:c>
      <x:c r="B738" t="str">
        <x:v>walls_clear</x:v>
      </x:c>
      <x:c r="C738" s="1533" t="n">
        <x:v>29761</x:v>
      </x:c>
      <x:c r="D738" s="1533" t="n">
        <x:v>32142</x:v>
      </x:c>
      <x:c r="E738" s="1533" t="n">
        <x:v>32141.88</x:v>
      </x:c>
      <x:c r="F738" s="1533" t="n">
        <x:v>32142</x:v>
      </x:c>
      <x:c r="G738" s="1535" t="n">
        <x:v>0</x:v>
      </x:c>
      <x:c r="H738" s="1535" t="n">
        <x:v>0</x:v>
      </x:c>
      <x:c r="I738" t="str">
        <x:v>OK — pełna zgodność</x:v>
      </x:c>
      <x:c r="J738" s="1537" t="str"/>
    </x:row>
    <x:row r="739" ht="19" customHeight="1">
      <x:c r="A739" t="str">
        <x:v>500 x 1206 cm</x:v>
      </x:c>
      <x:c r="B739" t="str">
        <x:v>walls_tinted</x:v>
      </x:c>
      <x:c r="C739" s="1533" t="n">
        <x:v>32873</x:v>
      </x:c>
      <x:c r="D739" s="1533" t="n">
        <x:v>35503</x:v>
      </x:c>
      <x:c r="E739" s="1533" t="n">
        <x:v>35502.84</x:v>
      </x:c>
      <x:c r="F739" s="1533" t="n">
        <x:v>35503</x:v>
      </x:c>
      <x:c r="G739" s="1535" t="n">
        <x:v>0</x:v>
      </x:c>
      <x:c r="H739" s="1535" t="n">
        <x:v>0</x:v>
      </x:c>
      <x:c r="I739" t="str">
        <x:v>OK — pełna zgodność</x:v>
      </x:c>
      <x:c r="J739" s="1537" t="str">
        <x:v>Pozycja złożona; stary eksport mógł zaokrąglać składniki osobno.</x:v>
      </x:c>
    </x:row>
    <x:row r="740" ht="19" customHeight="1">
      <x:c r="A740" t="str">
        <x:v>500 x 1206 cm</x:v>
      </x:c>
      <x:c r="B740" t="str">
        <x:v>roof_poly_colored</x:v>
      </x:c>
      <x:c r="C740" s="1533" t="n">
        <x:v>1473</x:v>
      </x:c>
      <x:c r="D740" s="1533" t="n">
        <x:v>1591</x:v>
      </x:c>
      <x:c r="E740" s="1533" t="n">
        <x:v>1590.84</x:v>
      </x:c>
      <x:c r="F740" s="1533" t="n">
        <x:v>1591</x:v>
      </x:c>
      <x:c r="G740" s="1535" t="n">
        <x:v>0</x:v>
      </x:c>
      <x:c r="H740" s="1535" t="n">
        <x:v>0</x:v>
      </x:c>
      <x:c r="I740" t="str">
        <x:v>OK — pełna zgodność</x:v>
      </x:c>
      <x:c r="J740" s="1537" t="str"/>
    </x:row>
    <x:row r="741" ht="19" customHeight="1">
      <x:c r="A741" t="str">
        <x:v>500 x 1206 cm</x:v>
      </x:c>
      <x:c r="B741" t="str">
        <x:v>roof_glass_clear</x:v>
      </x:c>
      <x:c r="C741" s="1533" t="n">
        <x:v>20771</x:v>
      </x:c>
      <x:c r="D741" s="1533" t="n">
        <x:v>22433</x:v>
      </x:c>
      <x:c r="E741" s="1533" t="n">
        <x:v>22432.68</x:v>
      </x:c>
      <x:c r="F741" s="1533" t="n">
        <x:v>22433</x:v>
      </x:c>
      <x:c r="G741" s="1535" t="n">
        <x:v>0</x:v>
      </x:c>
      <x:c r="H741" s="1535" t="n">
        <x:v>0</x:v>
      </x:c>
      <x:c r="I741" t="str">
        <x:v>OK — pełna zgodność</x:v>
      </x:c>
      <x:c r="J741" s="1537" t="str"/>
    </x:row>
    <x:row r="742" ht="19" customHeight="1">
      <x:c r="A742" t="str">
        <x:v>500 x 1206 cm</x:v>
      </x:c>
      <x:c r="B742" t="str">
        <x:v>roof_glass_tinted</x:v>
      </x:c>
      <x:c r="C742" s="1533" t="n">
        <x:v>22752</x:v>
      </x:c>
      <x:c r="D742" s="1533" t="n">
        <x:v>24572</x:v>
      </x:c>
      <x:c r="E742" s="1533" t="n">
        <x:v>24572.16</x:v>
      </x:c>
      <x:c r="F742" s="1533" t="n">
        <x:v>24572</x:v>
      </x:c>
      <x:c r="G742" s="1535" t="n">
        <x:v>0</x:v>
      </x:c>
      <x:c r="H742" s="1535" t="n">
        <x:v>0</x:v>
      </x:c>
      <x:c r="I742" t="str">
        <x:v>OK — pełna zgodność</x:v>
      </x:c>
      <x:c r="J742" s="1537" t="str">
        <x:v>Pozycja złożona; stary eksport mógł zaokrąglać składniki osobno.</x:v>
      </x:c>
    </x:row>
    <x:row r="743" ht="19" customHeight="1">
      <x:c r="A743" t="str">
        <x:v>500 x 1206 cm</x:v>
      </x:c>
      <x:c r="B743" t="str">
        <x:v>zip_side</x:v>
      </x:c>
      <x:c r="C743" s="1533" t="n">
        <x:v>4362</x:v>
      </x:c>
      <x:c r="D743" s="1533" t="n">
        <x:v>4711</x:v>
      </x:c>
      <x:c r="E743" s="1533" t="n">
        <x:v>4710.96</x:v>
      </x:c>
      <x:c r="F743" s="1533" t="n">
        <x:v>4711</x:v>
      </x:c>
      <x:c r="G743" s="1535" t="n">
        <x:v>0</x:v>
      </x:c>
      <x:c r="H743" s="1535" t="n">
        <x:v>0</x:v>
      </x:c>
      <x:c r="I743" t="str">
        <x:v>OK — pełna zgodność</x:v>
      </x:c>
      <x:c r="J743" s="1537" t="str"/>
    </x:row>
    <x:row r="744" ht="19" customHeight="1">
      <x:c r="A744" t="str">
        <x:v>500 x 1206 cm</x:v>
      </x:c>
      <x:c r="B744" t="str">
        <x:v>zip_front</x:v>
      </x:c>
      <x:c r="C744" s="1533" t="n">
        <x:v>9337</x:v>
      </x:c>
      <x:c r="D744" s="1533" t="n">
        <x:v>10084</x:v>
      </x:c>
      <x:c r="E744" s="1533" t="n">
        <x:v>10083.96</x:v>
      </x:c>
      <x:c r="F744" s="1533" t="n">
        <x:v>10084</x:v>
      </x:c>
      <x:c r="G744" s="1535" t="n">
        <x:v>0</x:v>
      </x:c>
      <x:c r="H744" s="1535" t="n">
        <x:v>0</x:v>
      </x:c>
      <x:c r="I744" t="str">
        <x:v>OK — pełna zgodność</x:v>
      </x:c>
      <x:c r="J744" s="1537" t="str"/>
    </x:row>
    <x:row r="745" ht="19" customHeight="1">
      <x:c r="A745" t="str">
        <x:v>500 x 1206 cm</x:v>
      </x:c>
      <x:c r="B745" t="str">
        <x:v>awning</x:v>
      </x:c>
      <x:c r="C745" s="1533" t="n">
        <x:v>16516</x:v>
      </x:c>
      <x:c r="D745" s="1533" t="n">
        <x:v>17837</x:v>
      </x:c>
      <x:c r="E745" s="1533" t="n">
        <x:v>17837.28</x:v>
      </x:c>
      <x:c r="F745" s="1533" t="n">
        <x:v>17837</x:v>
      </x:c>
      <x:c r="G745" s="1535" t="n">
        <x:v>0</x:v>
      </x:c>
      <x:c r="H745" s="1535" t="n">
        <x:v>0</x:v>
      </x:c>
      <x:c r="I745" t="str">
        <x:v>OK — pełna zgodność</x:v>
      </x:c>
      <x:c r="J745" s="1537" t="str"/>
    </x:row>
    <x:row r="746" ht="19" customHeight="1">
      <x:c r="A746" t="str">
        <x:v>500 x 1206 cm</x:v>
      </x:c>
      <x:c r="B746" t="str">
        <x:v>foundation</x:v>
      </x:c>
      <x:c r="C746" s="1533" t="n">
        <x:v>4400</x:v>
      </x:c>
      <x:c r="D746" s="1533" t="n">
        <x:v>4752</x:v>
      </x:c>
      <x:c r="E746" s="1533" t="n">
        <x:v>4752</x:v>
      </x:c>
      <x:c r="F746" s="1533" t="n">
        <x:v>4752</x:v>
      </x:c>
      <x:c r="G746" s="1535" t="n">
        <x:v>0</x:v>
      </x:c>
      <x:c r="H746" s="1535" t="n">
        <x:v>0</x:v>
      </x:c>
      <x:c r="I746" t="str">
        <x:v>OK — pełna zgodność</x:v>
      </x:c>
      <x:c r="J746" s="1537" t="str"/>
    </x:row>
    <x:row r="747" ht="19" customHeight="1">
      <x:c r="A747" t="str">
        <x:v>500 x 1206 cm</x:v>
      </x:c>
      <x:c r="B747" t="str">
        <x:v>led_point</x:v>
      </x:c>
      <x:c r="C747" s="1533" t="n">
        <x:v>2240</x:v>
      </x:c>
      <x:c r="D747" s="1533" t="n">
        <x:v>2419</x:v>
      </x:c>
      <x:c r="E747" s="1533" t="n">
        <x:v>2419.2</x:v>
      </x:c>
      <x:c r="F747" s="1533" t="n">
        <x:v>2419</x:v>
      </x:c>
      <x:c r="G747" s="1535" t="n">
        <x:v>0</x:v>
      </x:c>
      <x:c r="H747" s="1535" t="n">
        <x:v>0</x:v>
      </x:c>
      <x:c r="I747" t="str">
        <x:v>OK — pełna zgodność</x:v>
      </x:c>
      <x:c r="J747" s="1537" t="str"/>
    </x:row>
    <x:row r="748" ht="19" customHeight="1">
      <x:c r="A748" t="str">
        <x:v>500 x 1206 cm</x:v>
      </x:c>
      <x:c r="B748" t="str">
        <x:v>led_cct</x:v>
      </x:c>
      <x:c r="C748" s="1533" t="n">
        <x:v>5243</x:v>
      </x:c>
      <x:c r="D748" s="1533" t="n">
        <x:v>5662</x:v>
      </x:c>
      <x:c r="E748" s="1533" t="n">
        <x:v>5662.44</x:v>
      </x:c>
      <x:c r="F748" s="1533" t="n">
        <x:v>5662</x:v>
      </x:c>
      <x:c r="G748" s="1535" t="n">
        <x:v>0</x:v>
      </x:c>
      <x:c r="H748" s="1535" t="n">
        <x:v>0</x:v>
      </x:c>
      <x:c r="I748" t="str">
        <x:v>OK — pełna zgodność</x:v>
      </x:c>
      <x:c r="J748" s="1537" t="str"/>
    </x:row>
    <x:row r="749" ht="19" customHeight="1">
      <x:c r="A749" t="str">
        <x:v>500 x 1206 cm</x:v>
      </x:c>
      <x:c r="B749" t="str">
        <x:v>brushes</x:v>
      </x:c>
      <x:c r="C749" s="1533" t="n">
        <x:v>990</x:v>
      </x:c>
      <x:c r="D749" s="1533" t="n">
        <x:v>1069</x:v>
      </x:c>
      <x:c r="E749" s="1533" t="n">
        <x:v>1069.2</x:v>
      </x:c>
      <x:c r="F749" s="1533" t="n">
        <x:v>1069</x:v>
      </x:c>
      <x:c r="G749" s="1535" t="n">
        <x:v>0</x:v>
      </x:c>
      <x:c r="H749" s="1535" t="n">
        <x:v>0</x:v>
      </x:c>
      <x:c r="I749" t="str">
        <x:v>OK — pełna zgodność</x:v>
      </x:c>
      <x:c r="J749" s="1537" t="str"/>
    </x:row>
    <x:row r="750" ht="19" customHeight="1">
      <x:c r="A750" t="str">
        <x:v>500 x 1206 cm</x:v>
      </x:c>
      <x:c r="B750" t="str">
        <x:v>handles</x:v>
      </x:c>
      <x:c r="C750" s="1533" t="n">
        <x:v>896</x:v>
      </x:c>
      <x:c r="D750" s="1533" t="n">
        <x:v>968</x:v>
      </x:c>
      <x:c r="E750" s="1533" t="n">
        <x:v>967.68</x:v>
      </x:c>
      <x:c r="F750" s="1533" t="n">
        <x:v>968</x:v>
      </x:c>
      <x:c r="G750" s="1535" t="n">
        <x:v>0</x:v>
      </x:c>
      <x:c r="H750" s="1535" t="n">
        <x:v>0</x:v>
      </x:c>
      <x:c r="I750" t="str">
        <x:v>OK — pełna zgodność</x:v>
      </x:c>
      <x:c r="J750" s="1537" t="str"/>
    </x:row>
    <x:row r="751" ht="19" customHeight="1">
      <x:c r="A751" t="str">
        <x:v>500 x 1206 cm</x:v>
      </x:c>
      <x:c r="B751" t="str">
        <x:v>carriers</x:v>
      </x:c>
      <x:c r="C751" s="1533" t="n">
        <x:v>802</x:v>
      </x:c>
      <x:c r="D751" s="1533" t="n">
        <x:v>866</x:v>
      </x:c>
      <x:c r="E751" s="1533" t="n">
        <x:v>866.16</x:v>
      </x:c>
      <x:c r="F751" s="1533" t="n">
        <x:v>866</x:v>
      </x:c>
      <x:c r="G751" s="1535" t="n">
        <x:v>0</x:v>
      </x:c>
      <x:c r="H751" s="1535" t="n">
        <x:v>0</x:v>
      </x:c>
      <x:c r="I751" t="str">
        <x:v>OK — pełna zgodność</x:v>
      </x:c>
      <x:c r="J751" s="1537" t="str"/>
    </x:row>
    <x:row r="752" ht="19" customHeight="1">
      <x:c r="A752" t="str">
        <x:v>550 x 306 cm</x:v>
      </x:c>
      <x:c r="B752" t="str">
        <x:v>base_poly</x:v>
      </x:c>
      <x:c r="C752" s="1533" t="n">
        <x:v>15602</x:v>
      </x:c>
      <x:c r="D752" s="1533" t="n">
        <x:v>16850</x:v>
      </x:c>
      <x:c r="E752" s="1533" t="n">
        <x:v>16850.16</x:v>
      </x:c>
      <x:c r="F752" s="1533" t="n">
        <x:v>16850</x:v>
      </x:c>
      <x:c r="G752" s="1535" t="n">
        <x:v>0</x:v>
      </x:c>
      <x:c r="H752" s="1535" t="n">
        <x:v>0</x:v>
      </x:c>
      <x:c r="I752" t="str">
        <x:v>OK — pełna zgodność</x:v>
      </x:c>
      <x:c r="J752" s="1537" t="str"/>
    </x:row>
    <x:row r="753" ht="19" customHeight="1">
      <x:c r="A753" t="str">
        <x:v>550 x 306 cm</x:v>
      </x:c>
      <x:c r="B753" t="str">
        <x:v>walls_clear</x:v>
      </x:c>
      <x:c r="C753" s="1533" t="n">
        <x:v>21471</x:v>
      </x:c>
      <x:c r="D753" s="1533" t="n">
        <x:v>23189</x:v>
      </x:c>
      <x:c r="E753" s="1533" t="n">
        <x:v>23188.68</x:v>
      </x:c>
      <x:c r="F753" s="1533" t="n">
        <x:v>23189</x:v>
      </x:c>
      <x:c r="G753" s="1535" t="n">
        <x:v>0</x:v>
      </x:c>
      <x:c r="H753" s="1535" t="n">
        <x:v>0</x:v>
      </x:c>
      <x:c r="I753" t="str">
        <x:v>OK — pełna zgodność</x:v>
      </x:c>
      <x:c r="J753" s="1537" t="str"/>
    </x:row>
    <x:row r="754" ht="19" customHeight="1">
      <x:c r="A754" t="str">
        <x:v>550 x 306 cm</x:v>
      </x:c>
      <x:c r="B754" t="str">
        <x:v>walls_tinted</x:v>
      </x:c>
      <x:c r="C754" s="1533" t="n">
        <x:v>23592</x:v>
      </x:c>
      <x:c r="D754" s="1533" t="n">
        <x:v>25480</x:v>
      </x:c>
      <x:c r="E754" s="1533" t="n">
        <x:v>25479.36</x:v>
      </x:c>
      <x:c r="F754" s="1533" t="n">
        <x:v>25479</x:v>
      </x:c>
      <x:c r="G754" s="1535" t="n">
        <x:v>-1</x:v>
      </x:c>
      <x:c r="H754" s="1535" t="n">
        <x:v>1</x:v>
      </x:c>
      <x:c r="I754" t="str">
        <x:v>OK — zaokrąglenie ±1 zł</x:v>
      </x:c>
      <x:c r="J754" s="1537" t="str">
        <x:v>Pozycja złożona; stary eksport mógł zaokrąglać składniki osobno.</x:v>
      </x:c>
    </x:row>
    <x:row r="755" ht="19" customHeight="1">
      <x:c r="A755" t="str">
        <x:v>550 x 306 cm</x:v>
      </x:c>
      <x:c r="B755" t="str">
        <x:v>roof_poly_colored</x:v>
      </x:c>
      <x:c r="C755" s="1533" t="n">
        <x:v>342</x:v>
      </x:c>
      <x:c r="D755" s="1533" t="n">
        <x:v>369</x:v>
      </x:c>
      <x:c r="E755" s="1533" t="n">
        <x:v>369.36</x:v>
      </x:c>
      <x:c r="F755" s="1533" t="n">
        <x:v>369</x:v>
      </x:c>
      <x:c r="G755" s="1535" t="n">
        <x:v>0</x:v>
      </x:c>
      <x:c r="H755" s="1535" t="n">
        <x:v>0</x:v>
      </x:c>
      <x:c r="I755" t="str">
        <x:v>OK — pełna zgodność</x:v>
      </x:c>
      <x:c r="J755" s="1537" t="str"/>
    </x:row>
    <x:row r="756" ht="19" customHeight="1">
      <x:c r="A756" t="str">
        <x:v>550 x 306 cm</x:v>
      </x:c>
      <x:c r="B756" t="str">
        <x:v>roof_glass_clear</x:v>
      </x:c>
      <x:c r="C756" s="1533" t="n">
        <x:v>0</x:v>
      </x:c>
      <x:c r="D756" s="1533" t="n">
        <x:v>0</x:v>
      </x:c>
      <x:c r="E756" s="1533" t="n">
        <x:v>0</x:v>
      </x:c>
      <x:c r="F756" s="1533" t="n">
        <x:v>0</x:v>
      </x:c>
      <x:c r="G756" s="1535" t="n">
        <x:v>0</x:v>
      </x:c>
      <x:c r="H756" s="1535" t="n">
        <x:v>0</x:v>
      </x:c>
      <x:c r="I756" t="str">
        <x:v>OK — pełna zgodność</x:v>
      </x:c>
      <x:c r="J756" s="1537" t="str">
        <x:v>Szkło niedostępne dla tego wymiaru — poprawnie 0.</x:v>
      </x:c>
    </x:row>
    <x:row r="757" ht="19" customHeight="1">
      <x:c r="A757" t="str">
        <x:v>550 x 306 cm</x:v>
      </x:c>
      <x:c r="B757" t="str">
        <x:v>roof_glass_tinted</x:v>
      </x:c>
      <x:c r="C757" s="1533" t="n">
        <x:v>0</x:v>
      </x:c>
      <x:c r="D757" s="1533" t="n">
        <x:v>0</x:v>
      </x:c>
      <x:c r="E757" s="1533" t="n">
        <x:v>0</x:v>
      </x:c>
      <x:c r="F757" s="1533" t="n">
        <x:v>0</x:v>
      </x:c>
      <x:c r="G757" s="1535" t="n">
        <x:v>0</x:v>
      </x:c>
      <x:c r="H757" s="1535" t="n">
        <x:v>0</x:v>
      </x:c>
      <x:c r="I757" t="str">
        <x:v>OK — pełna zgodność</x:v>
      </x:c>
      <x:c r="J757" s="1537" t="str">
        <x:v>Szkło niedostępne dla tego wymiaru — poprawnie 0.</x:v>
      </x:c>
    </x:row>
    <x:row r="758" ht="19" customHeight="1">
      <x:c r="A758" t="str">
        <x:v>550 x 306 cm</x:v>
      </x:c>
      <x:c r="B758" t="str">
        <x:v>zip_side</x:v>
      </x:c>
      <x:c r="C758" s="1533" t="n">
        <x:v>4692</x:v>
      </x:c>
      <x:c r="D758" s="1533" t="n">
        <x:v>5067</x:v>
      </x:c>
      <x:c r="E758" s="1533" t="n">
        <x:v>5067.36</x:v>
      </x:c>
      <x:c r="F758" s="1533" t="n">
        <x:v>5067</x:v>
      </x:c>
      <x:c r="G758" s="1535" t="n">
        <x:v>0</x:v>
      </x:c>
      <x:c r="H758" s="1535" t="n">
        <x:v>0</x:v>
      </x:c>
      <x:c r="I758" t="str">
        <x:v>OK — pełna zgodność</x:v>
      </x:c>
      <x:c r="J758" s="1537" t="str"/>
    </x:row>
    <x:row r="759" ht="19" customHeight="1">
      <x:c r="A759" t="str">
        <x:v>550 x 306 cm</x:v>
      </x:c>
      <x:c r="B759" t="str">
        <x:v>zip_front</x:v>
      </x:c>
      <x:c r="C759" s="1533" t="n">
        <x:v>2523</x:v>
      </x:c>
      <x:c r="D759" s="1533" t="n">
        <x:v>2725</x:v>
      </x:c>
      <x:c r="E759" s="1533" t="n">
        <x:v>2724.84</x:v>
      </x:c>
      <x:c r="F759" s="1533" t="n">
        <x:v>2725</x:v>
      </x:c>
      <x:c r="G759" s="1535" t="n">
        <x:v>0</x:v>
      </x:c>
      <x:c r="H759" s="1535" t="n">
        <x:v>0</x:v>
      </x:c>
      <x:c r="I759" t="str">
        <x:v>OK — pełna zgodność</x:v>
      </x:c>
      <x:c r="J759" s="1537" t="str"/>
    </x:row>
    <x:row r="760" ht="19" customHeight="1">
      <x:c r="A760" t="str">
        <x:v>550 x 306 cm</x:v>
      </x:c>
      <x:c r="B760" t="str">
        <x:v>awning</x:v>
      </x:c>
      <x:c r="C760" s="1533" t="n">
        <x:v>4927</x:v>
      </x:c>
      <x:c r="D760" s="1533" t="n">
        <x:v>5321</x:v>
      </x:c>
      <x:c r="E760" s="1533" t="n">
        <x:v>5321.16</x:v>
      </x:c>
      <x:c r="F760" s="1533" t="n">
        <x:v>5321</x:v>
      </x:c>
      <x:c r="G760" s="1535" t="n">
        <x:v>0</x:v>
      </x:c>
      <x:c r="H760" s="1535" t="n">
        <x:v>0</x:v>
      </x:c>
      <x:c r="I760" t="str">
        <x:v>OK — pełna zgodność</x:v>
      </x:c>
      <x:c r="J760" s="1537" t="str"/>
    </x:row>
    <x:row r="761" ht="19" customHeight="1">
      <x:c r="A761" t="str">
        <x:v>550 x 306 cm</x:v>
      </x:c>
      <x:c r="B761" t="str">
        <x:v>foundation</x:v>
      </x:c>
      <x:c r="C761" s="1533" t="n">
        <x:v>2555</x:v>
      </x:c>
      <x:c r="D761" s="1533" t="n">
        <x:v>2759</x:v>
      </x:c>
      <x:c r="E761" s="1533" t="n">
        <x:v>2759.4</x:v>
      </x:c>
      <x:c r="F761" s="1533" t="n">
        <x:v>2759</x:v>
      </x:c>
      <x:c r="G761" s="1535" t="n">
        <x:v>0</x:v>
      </x:c>
      <x:c r="H761" s="1535" t="n">
        <x:v>0</x:v>
      </x:c>
      <x:c r="I761" t="str">
        <x:v>OK — pełna zgodność</x:v>
      </x:c>
      <x:c r="J761" s="1537" t="str"/>
    </x:row>
    <x:row r="762" ht="19" customHeight="1">
      <x:c r="A762" t="str">
        <x:v>550 x 306 cm</x:v>
      </x:c>
      <x:c r="B762" t="str">
        <x:v>led_point</x:v>
      </x:c>
      <x:c r="C762" s="1533" t="n">
        <x:v>754</x:v>
      </x:c>
      <x:c r="D762" s="1533" t="n">
        <x:v>814</x:v>
      </x:c>
      <x:c r="E762" s="1533" t="n">
        <x:v>814.32</x:v>
      </x:c>
      <x:c r="F762" s="1533" t="n">
        <x:v>814</x:v>
      </x:c>
      <x:c r="G762" s="1535" t="n">
        <x:v>0</x:v>
      </x:c>
      <x:c r="H762" s="1535" t="n">
        <x:v>0</x:v>
      </x:c>
      <x:c r="I762" t="str">
        <x:v>OK — pełna zgodność</x:v>
      </x:c>
      <x:c r="J762" s="1537" t="str"/>
    </x:row>
    <x:row r="763" ht="19" customHeight="1">
      <x:c r="A763" t="str">
        <x:v>550 x 306 cm</x:v>
      </x:c>
      <x:c r="B763" t="str">
        <x:v>led_cct</x:v>
      </x:c>
      <x:c r="C763" s="1533" t="n">
        <x:v>2453</x:v>
      </x:c>
      <x:c r="D763" s="1533" t="n">
        <x:v>2649</x:v>
      </x:c>
      <x:c r="E763" s="1533" t="n">
        <x:v>2649.24</x:v>
      </x:c>
      <x:c r="F763" s="1533" t="n">
        <x:v>2649</x:v>
      </x:c>
      <x:c r="G763" s="1535" t="n">
        <x:v>0</x:v>
      </x:c>
      <x:c r="H763" s="1535" t="n">
        <x:v>0</x:v>
      </x:c>
      <x:c r="I763" t="str">
        <x:v>OK — pełna zgodność</x:v>
      </x:c>
      <x:c r="J763" s="1537" t="str"/>
    </x:row>
    <x:row r="764" ht="19" customHeight="1">
      <x:c r="A764" t="str">
        <x:v>550 x 306 cm</x:v>
      </x:c>
      <x:c r="B764" t="str">
        <x:v>brushes</x:v>
      </x:c>
      <x:c r="C764" s="1533" t="n">
        <x:v>590</x:v>
      </x:c>
      <x:c r="D764" s="1533" t="n">
        <x:v>637</x:v>
      </x:c>
      <x:c r="E764" s="1533" t="n">
        <x:v>637.2</x:v>
      </x:c>
      <x:c r="F764" s="1533" t="n">
        <x:v>637</x:v>
      </x:c>
      <x:c r="G764" s="1535" t="n">
        <x:v>0</x:v>
      </x:c>
      <x:c r="H764" s="1535" t="n">
        <x:v>0</x:v>
      </x:c>
      <x:c r="I764" t="str">
        <x:v>OK — pełna zgodność</x:v>
      </x:c>
      <x:c r="J764" s="1537" t="str"/>
    </x:row>
    <x:row r="765" ht="19" customHeight="1">
      <x:c r="A765" t="str">
        <x:v>550 x 306 cm</x:v>
      </x:c>
      <x:c r="B765" t="str">
        <x:v>handles</x:v>
      </x:c>
      <x:c r="C765" s="1533" t="n">
        <x:v>531</x:v>
      </x:c>
      <x:c r="D765" s="1533" t="n">
        <x:v>573</x:v>
      </x:c>
      <x:c r="E765" s="1533" t="n">
        <x:v>573.48</x:v>
      </x:c>
      <x:c r="F765" s="1533" t="n">
        <x:v>573</x:v>
      </x:c>
      <x:c r="G765" s="1535" t="n">
        <x:v>0</x:v>
      </x:c>
      <x:c r="H765" s="1535" t="n">
        <x:v>0</x:v>
      </x:c>
      <x:c r="I765" t="str">
        <x:v>OK — pełna zgodność</x:v>
      </x:c>
      <x:c r="J765" s="1537" t="str"/>
    </x:row>
    <x:row r="766" ht="19" customHeight="1">
      <x:c r="A766" t="str">
        <x:v>550 x 306 cm</x:v>
      </x:c>
      <x:c r="B766" t="str">
        <x:v>carriers</x:v>
      </x:c>
      <x:c r="C766" s="1533" t="n">
        <x:v>566</x:v>
      </x:c>
      <x:c r="D766" s="1533" t="n">
        <x:v>611</x:v>
      </x:c>
      <x:c r="E766" s="1533" t="n">
        <x:v>611.28</x:v>
      </x:c>
      <x:c r="F766" s="1533" t="n">
        <x:v>611</x:v>
      </x:c>
      <x:c r="G766" s="1535" t="n">
        <x:v>0</x:v>
      </x:c>
      <x:c r="H766" s="1535" t="n">
        <x:v>0</x:v>
      </x:c>
      <x:c r="I766" t="str">
        <x:v>OK — pełna zgodność</x:v>
      </x:c>
      <x:c r="J766" s="1537" t="str"/>
    </x:row>
    <x:row r="767" ht="19" customHeight="1">
      <x:c r="A767" t="str">
        <x:v>550 x 406 cm</x:v>
      </x:c>
      <x:c r="B767" t="str">
        <x:v>base_poly</x:v>
      </x:c>
      <x:c r="C767" s="1533" t="n">
        <x:v>19635</x:v>
      </x:c>
      <x:c r="D767" s="1533" t="n">
        <x:v>21205</x:v>
      </x:c>
      <x:c r="E767" s="1533" t="n">
        <x:v>21205.8</x:v>
      </x:c>
      <x:c r="F767" s="1533" t="n">
        <x:v>21206</x:v>
      </x:c>
      <x:c r="G767" s="1535" t="n">
        <x:v>1</x:v>
      </x:c>
      <x:c r="H767" s="1535" t="n">
        <x:v>1</x:v>
      </x:c>
      <x:c r="I767" t="str">
        <x:v>OK — zaokrąglenie ±1 zł</x:v>
      </x:c>
      <x:c r="J767" s="1537" t="str"/>
    </x:row>
    <x:row r="768" ht="19" customHeight="1">
      <x:c r="A768" t="str">
        <x:v>550 x 406 cm</x:v>
      </x:c>
      <x:c r="B768" t="str">
        <x:v>walls_clear</x:v>
      </x:c>
      <x:c r="C768" s="1533" t="n">
        <x:v>22457</x:v>
      </x:c>
      <x:c r="D768" s="1533" t="n">
        <x:v>24255</x:v>
      </x:c>
      <x:c r="E768" s="1533" t="n">
        <x:v>24253.56</x:v>
      </x:c>
      <x:c r="F768" s="1533" t="n">
        <x:v>24254</x:v>
      </x:c>
      <x:c r="G768" s="1535" t="n">
        <x:v>-1</x:v>
      </x:c>
      <x:c r="H768" s="1535" t="n">
        <x:v>1</x:v>
      </x:c>
      <x:c r="I768" t="str">
        <x:v>OK — zaokrąglenie ±1 zł</x:v>
      </x:c>
      <x:c r="J768" s="1537" t="str"/>
    </x:row>
    <x:row r="769" ht="19" customHeight="1">
      <x:c r="A769" t="str">
        <x:v>550 x 406 cm</x:v>
      </x:c>
      <x:c r="B769" t="str">
        <x:v>walls_tinted</x:v>
      </x:c>
      <x:c r="C769" s="1533" t="n">
        <x:v>24720</x:v>
      </x:c>
      <x:c r="D769" s="1533" t="n">
        <x:v>26699</x:v>
      </x:c>
      <x:c r="E769" s="1533" t="n">
        <x:v>26697.6</x:v>
      </x:c>
      <x:c r="F769" s="1533" t="n">
        <x:v>26698</x:v>
      </x:c>
      <x:c r="G769" s="1535" t="n">
        <x:v>-1</x:v>
      </x:c>
      <x:c r="H769" s="1535" t="n">
        <x:v>1</x:v>
      </x:c>
      <x:c r="I769" t="str">
        <x:v>OK — zaokrąglenie ±1 zł</x:v>
      </x:c>
      <x:c r="J769" s="1537" t="str">
        <x:v>Pozycja złożona; stary eksport mógł zaokrąglać składniki osobno.</x:v>
      </x:c>
    </x:row>
    <x:row r="770" ht="19" customHeight="1">
      <x:c r="A770" t="str">
        <x:v>550 x 406 cm</x:v>
      </x:c>
      <x:c r="B770" t="str">
        <x:v>roof_poly_colored</x:v>
      </x:c>
      <x:c r="C770" s="1533" t="n">
        <x:v>448</x:v>
      </x:c>
      <x:c r="D770" s="1533" t="n">
        <x:v>484</x:v>
      </x:c>
      <x:c r="E770" s="1533" t="n">
        <x:v>483.84</x:v>
      </x:c>
      <x:c r="F770" s="1533" t="n">
        <x:v>484</x:v>
      </x:c>
      <x:c r="G770" s="1535" t="n">
        <x:v>0</x:v>
      </x:c>
      <x:c r="H770" s="1535" t="n">
        <x:v>0</x:v>
      </x:c>
      <x:c r="I770" t="str">
        <x:v>OK — pełna zgodność</x:v>
      </x:c>
      <x:c r="J770" s="1537" t="str"/>
    </x:row>
    <x:row r="771" ht="19" customHeight="1">
      <x:c r="A771" t="str">
        <x:v>550 x 406 cm</x:v>
      </x:c>
      <x:c r="B771" t="str">
        <x:v>roof_glass_clear</x:v>
      </x:c>
      <x:c r="C771" s="1533" t="n">
        <x:v>0</x:v>
      </x:c>
      <x:c r="D771" s="1533" t="n">
        <x:v>0</x:v>
      </x:c>
      <x:c r="E771" s="1533" t="n">
        <x:v>0</x:v>
      </x:c>
      <x:c r="F771" s="1533" t="n">
        <x:v>0</x:v>
      </x:c>
      <x:c r="G771" s="1535" t="n">
        <x:v>0</x:v>
      </x:c>
      <x:c r="H771" s="1535" t="n">
        <x:v>0</x:v>
      </x:c>
      <x:c r="I771" t="str">
        <x:v>OK — pełna zgodność</x:v>
      </x:c>
      <x:c r="J771" s="1537" t="str">
        <x:v>Szkło niedostępne dla tego wymiaru — poprawnie 0.</x:v>
      </x:c>
    </x:row>
    <x:row r="772" ht="19" customHeight="1">
      <x:c r="A772" t="str">
        <x:v>550 x 406 cm</x:v>
      </x:c>
      <x:c r="B772" t="str">
        <x:v>roof_glass_tinted</x:v>
      </x:c>
      <x:c r="C772" s="1533" t="n">
        <x:v>0</x:v>
      </x:c>
      <x:c r="D772" s="1533" t="n">
        <x:v>0</x:v>
      </x:c>
      <x:c r="E772" s="1533" t="n">
        <x:v>0</x:v>
      </x:c>
      <x:c r="F772" s="1533" t="n">
        <x:v>0</x:v>
      </x:c>
      <x:c r="G772" s="1535" t="n">
        <x:v>0</x:v>
      </x:c>
      <x:c r="H772" s="1535" t="n">
        <x:v>0</x:v>
      </x:c>
      <x:c r="I772" t="str">
        <x:v>OK — pełna zgodność</x:v>
      </x:c>
      <x:c r="J772" s="1537" t="str">
        <x:v>Szkło niedostępne dla tego wymiaru — poprawnie 0.</x:v>
      </x:c>
    </x:row>
    <x:row r="773" ht="19" customHeight="1">
      <x:c r="A773" t="str">
        <x:v>550 x 406 cm</x:v>
      </x:c>
      <x:c r="B773" t="str">
        <x:v>zip_side</x:v>
      </x:c>
      <x:c r="C773" s="1533" t="n">
        <x:v>4692</x:v>
      </x:c>
      <x:c r="D773" s="1533" t="n">
        <x:v>5067</x:v>
      </x:c>
      <x:c r="E773" s="1533" t="n">
        <x:v>5067.36</x:v>
      </x:c>
      <x:c r="F773" s="1533" t="n">
        <x:v>5067</x:v>
      </x:c>
      <x:c r="G773" s="1535" t="n">
        <x:v>0</x:v>
      </x:c>
      <x:c r="H773" s="1535" t="n">
        <x:v>0</x:v>
      </x:c>
      <x:c r="I773" t="str">
        <x:v>OK — pełna zgodność</x:v>
      </x:c>
      <x:c r="J773" s="1537" t="str"/>
    </x:row>
    <x:row r="774" ht="19" customHeight="1">
      <x:c r="A774" t="str">
        <x:v>550 x 406 cm</x:v>
      </x:c>
      <x:c r="B774" t="str">
        <x:v>zip_front</x:v>
      </x:c>
      <x:c r="C774" s="1533" t="n">
        <x:v>3112</x:v>
      </x:c>
      <x:c r="D774" s="1533" t="n">
        <x:v>3361</x:v>
      </x:c>
      <x:c r="E774" s="1533" t="n">
        <x:v>3360.96</x:v>
      </x:c>
      <x:c r="F774" s="1533" t="n">
        <x:v>3361</x:v>
      </x:c>
      <x:c r="G774" s="1535" t="n">
        <x:v>0</x:v>
      </x:c>
      <x:c r="H774" s="1535" t="n">
        <x:v>0</x:v>
      </x:c>
      <x:c r="I774" t="str">
        <x:v>OK — pełna zgodność</x:v>
      </x:c>
      <x:c r="J774" s="1537" t="str"/>
    </x:row>
    <x:row r="775" ht="19" customHeight="1">
      <x:c r="A775" t="str">
        <x:v>550 x 406 cm</x:v>
      </x:c>
      <x:c r="B775" t="str">
        <x:v>awning</x:v>
      </x:c>
      <x:c r="C775" s="1533" t="n">
        <x:v>5635</x:v>
      </x:c>
      <x:c r="D775" s="1533" t="n">
        <x:v>6086</x:v>
      </x:c>
      <x:c r="E775" s="1533" t="n">
        <x:v>6085.8</x:v>
      </x:c>
      <x:c r="F775" s="1533" t="n">
        <x:v>6086</x:v>
      </x:c>
      <x:c r="G775" s="1535" t="n">
        <x:v>0</x:v>
      </x:c>
      <x:c r="H775" s="1535" t="n">
        <x:v>0</x:v>
      </x:c>
      <x:c r="I775" t="str">
        <x:v>OK — pełna zgodność</x:v>
      </x:c>
      <x:c r="J775" s="1537" t="str"/>
    </x:row>
    <x:row r="776" ht="19" customHeight="1">
      <x:c r="A776" t="str">
        <x:v>550 x 406 cm</x:v>
      </x:c>
      <x:c r="B776" t="str">
        <x:v>foundation</x:v>
      </x:c>
      <x:c r="C776" s="1533" t="n">
        <x:v>2830</x:v>
      </x:c>
      <x:c r="D776" s="1533" t="n">
        <x:v>3056</x:v>
      </x:c>
      <x:c r="E776" s="1533" t="n">
        <x:v>3056.4</x:v>
      </x:c>
      <x:c r="F776" s="1533" t="n">
        <x:v>3056</x:v>
      </x:c>
      <x:c r="G776" s="1535" t="n">
        <x:v>0</x:v>
      </x:c>
      <x:c r="H776" s="1535" t="n">
        <x:v>0</x:v>
      </x:c>
      <x:c r="I776" t="str">
        <x:v>OK — pełna zgodność</x:v>
      </x:c>
      <x:c r="J776" s="1537" t="str"/>
    </x:row>
    <x:row r="777" ht="19" customHeight="1">
      <x:c r="A777" t="str">
        <x:v>550 x 406 cm</x:v>
      </x:c>
      <x:c r="B777" t="str">
        <x:v>led_point</x:v>
      </x:c>
      <x:c r="C777" s="1533" t="n">
        <x:v>873</x:v>
      </x:c>
      <x:c r="D777" s="1533" t="n">
        <x:v>943</x:v>
      </x:c>
      <x:c r="E777" s="1533" t="n">
        <x:v>942.84</x:v>
      </x:c>
      <x:c r="F777" s="1533" t="n">
        <x:v>943</x:v>
      </x:c>
      <x:c r="G777" s="1535" t="n">
        <x:v>0</x:v>
      </x:c>
      <x:c r="H777" s="1535" t="n">
        <x:v>0</x:v>
      </x:c>
      <x:c r="I777" t="str">
        <x:v>OK — pełna zgodność</x:v>
      </x:c>
      <x:c r="J777" s="1537" t="str"/>
    </x:row>
    <x:row r="778" ht="19" customHeight="1">
      <x:c r="A778" t="str">
        <x:v>550 x 406 cm</x:v>
      </x:c>
      <x:c r="B778" t="str">
        <x:v>led_cct</x:v>
      </x:c>
      <x:c r="C778" s="1533" t="n">
        <x:v>2821</x:v>
      </x:c>
      <x:c r="D778" s="1533" t="n">
        <x:v>3047</x:v>
      </x:c>
      <x:c r="E778" s="1533" t="n">
        <x:v>3046.68</x:v>
      </x:c>
      <x:c r="F778" s="1533" t="n">
        <x:v>3047</x:v>
      </x:c>
      <x:c r="G778" s="1535" t="n">
        <x:v>0</x:v>
      </x:c>
      <x:c r="H778" s="1535" t="n">
        <x:v>0</x:v>
      </x:c>
      <x:c r="I778" t="str">
        <x:v>OK — pełna zgodność</x:v>
      </x:c>
      <x:c r="J778" s="1537" t="str"/>
    </x:row>
    <x:row r="779" ht="19" customHeight="1">
      <x:c r="A779" t="str">
        <x:v>550 x 406 cm</x:v>
      </x:c>
      <x:c r="B779" t="str">
        <x:v>brushes</x:v>
      </x:c>
      <x:c r="C779" s="1533" t="n">
        <x:v>625</x:v>
      </x:c>
      <x:c r="D779" s="1533" t="n">
        <x:v>675</x:v>
      </x:c>
      <x:c r="E779" s="1533" t="n">
        <x:v>675</x:v>
      </x:c>
      <x:c r="F779" s="1533" t="n">
        <x:v>675</x:v>
      </x:c>
      <x:c r="G779" s="1535" t="n">
        <x:v>0</x:v>
      </x:c>
      <x:c r="H779" s="1535" t="n">
        <x:v>0</x:v>
      </x:c>
      <x:c r="I779" t="str">
        <x:v>OK — pełna zgodność</x:v>
      </x:c>
      <x:c r="J779" s="1537" t="str"/>
    </x:row>
    <x:row r="780" ht="19" customHeight="1">
      <x:c r="A780" t="str">
        <x:v>550 x 406 cm</x:v>
      </x:c>
      <x:c r="B780" t="str">
        <x:v>handles</x:v>
      </x:c>
      <x:c r="C780" s="1533" t="n">
        <x:v>566</x:v>
      </x:c>
      <x:c r="D780" s="1533" t="n">
        <x:v>611</x:v>
      </x:c>
      <x:c r="E780" s="1533" t="n">
        <x:v>611.28</x:v>
      </x:c>
      <x:c r="F780" s="1533" t="n">
        <x:v>611</x:v>
      </x:c>
      <x:c r="G780" s="1535" t="n">
        <x:v>0</x:v>
      </x:c>
      <x:c r="H780" s="1535" t="n">
        <x:v>0</x:v>
      </x:c>
      <x:c r="I780" t="str">
        <x:v>OK — pełna zgodność</x:v>
      </x:c>
      <x:c r="J780" s="1537" t="str"/>
    </x:row>
    <x:row r="781" ht="19" customHeight="1">
      <x:c r="A781" t="str">
        <x:v>550 x 406 cm</x:v>
      </x:c>
      <x:c r="B781" t="str">
        <x:v>carriers</x:v>
      </x:c>
      <x:c r="C781" s="1533" t="n">
        <x:v>613</x:v>
      </x:c>
      <x:c r="D781" s="1533" t="n">
        <x:v>662</x:v>
      </x:c>
      <x:c r="E781" s="1533" t="n">
        <x:v>662.04</x:v>
      </x:c>
      <x:c r="F781" s="1533" t="n">
        <x:v>662</x:v>
      </x:c>
      <x:c r="G781" s="1535" t="n">
        <x:v>0</x:v>
      </x:c>
      <x:c r="H781" s="1535" t="n">
        <x:v>0</x:v>
      </x:c>
      <x:c r="I781" t="str">
        <x:v>OK — pełna zgodność</x:v>
      </x:c>
      <x:c r="J781" s="1537" t="str"/>
    </x:row>
    <x:row r="782" ht="19" customHeight="1">
      <x:c r="A782" t="str">
        <x:v>550 x 506 cm</x:v>
      </x:c>
      <x:c r="B782" t="str">
        <x:v>base_poly</x:v>
      </x:c>
      <x:c r="C782" s="1533" t="n">
        <x:v>24226</x:v>
      </x:c>
      <x:c r="D782" s="1533" t="n">
        <x:v>26164</x:v>
      </x:c>
      <x:c r="E782" s="1533" t="n">
        <x:v>26164.08</x:v>
      </x:c>
      <x:c r="F782" s="1533" t="n">
        <x:v>26164</x:v>
      </x:c>
      <x:c r="G782" s="1535" t="n">
        <x:v>0</x:v>
      </x:c>
      <x:c r="H782" s="1535" t="n">
        <x:v>0</x:v>
      </x:c>
      <x:c r="I782" t="str">
        <x:v>OK — pełna zgodność</x:v>
      </x:c>
      <x:c r="J782" s="1537" t="str"/>
    </x:row>
    <x:row r="783" ht="19" customHeight="1">
      <x:c r="A783" t="str">
        <x:v>550 x 506 cm</x:v>
      </x:c>
      <x:c r="B783" t="str">
        <x:v>walls_clear</x:v>
      </x:c>
      <x:c r="C783" s="1533" t="n">
        <x:v>23628</x:v>
      </x:c>
      <x:c r="D783" s="1533" t="n">
        <x:v>25518</x:v>
      </x:c>
      <x:c r="E783" s="1533" t="n">
        <x:v>25518.24</x:v>
      </x:c>
      <x:c r="F783" s="1533" t="n">
        <x:v>25518</x:v>
      </x:c>
      <x:c r="G783" s="1535" t="n">
        <x:v>0</x:v>
      </x:c>
      <x:c r="H783" s="1535" t="n">
        <x:v>0</x:v>
      </x:c>
      <x:c r="I783" t="str">
        <x:v>OK — pełna zgodność</x:v>
      </x:c>
      <x:c r="J783" s="1537" t="str"/>
    </x:row>
    <x:row r="784" ht="19" customHeight="1">
      <x:c r="A784" t="str">
        <x:v>550 x 506 cm</x:v>
      </x:c>
      <x:c r="B784" t="str">
        <x:v>walls_tinted</x:v>
      </x:c>
      <x:c r="C784" s="1533" t="n">
        <x:v>26034</x:v>
      </x:c>
      <x:c r="D784" s="1533" t="n">
        <x:v>28116</x:v>
      </x:c>
      <x:c r="E784" s="1533" t="n">
        <x:v>28116.72</x:v>
      </x:c>
      <x:c r="F784" s="1533" t="n">
        <x:v>28117</x:v>
      </x:c>
      <x:c r="G784" s="1535" t="n">
        <x:v>1</x:v>
      </x:c>
      <x:c r="H784" s="1535" t="n">
        <x:v>1</x:v>
      </x:c>
      <x:c r="I784" t="str">
        <x:v>OK — zaokrąglenie ±1 zł</x:v>
      </x:c>
      <x:c r="J784" s="1537" t="str">
        <x:v>Pozycja złożona; stary eksport mógł zaokrąglać składniki osobno.</x:v>
      </x:c>
    </x:row>
    <x:row r="785" ht="19" customHeight="1">
      <x:c r="A785" t="str">
        <x:v>550 x 506 cm</x:v>
      </x:c>
      <x:c r="B785" t="str">
        <x:v>roof_poly_colored</x:v>
      </x:c>
      <x:c r="C785" s="1533" t="n">
        <x:v>566</x:v>
      </x:c>
      <x:c r="D785" s="1533" t="n">
        <x:v>611</x:v>
      </x:c>
      <x:c r="E785" s="1533" t="n">
        <x:v>611.28</x:v>
      </x:c>
      <x:c r="F785" s="1533" t="n">
        <x:v>611</x:v>
      </x:c>
      <x:c r="G785" s="1535" t="n">
        <x:v>0</x:v>
      </x:c>
      <x:c r="H785" s="1535" t="n">
        <x:v>0</x:v>
      </x:c>
      <x:c r="I785" t="str">
        <x:v>OK — pełna zgodność</x:v>
      </x:c>
      <x:c r="J785" s="1537" t="str"/>
    </x:row>
    <x:row r="786" ht="19" customHeight="1">
      <x:c r="A786" t="str">
        <x:v>550 x 506 cm</x:v>
      </x:c>
      <x:c r="B786" t="str">
        <x:v>roof_glass_clear</x:v>
      </x:c>
      <x:c r="C786" s="1533" t="n">
        <x:v>0</x:v>
      </x:c>
      <x:c r="D786" s="1533" t="n">
        <x:v>0</x:v>
      </x:c>
      <x:c r="E786" s="1533" t="n">
        <x:v>0</x:v>
      </x:c>
      <x:c r="F786" s="1533" t="n">
        <x:v>0</x:v>
      </x:c>
      <x:c r="G786" s="1535" t="n">
        <x:v>0</x:v>
      </x:c>
      <x:c r="H786" s="1535" t="n">
        <x:v>0</x:v>
      </x:c>
      <x:c r="I786" t="str">
        <x:v>OK — pełna zgodność</x:v>
      </x:c>
      <x:c r="J786" s="1537" t="str">
        <x:v>Szkło niedostępne dla tego wymiaru — poprawnie 0.</x:v>
      </x:c>
    </x:row>
    <x:row r="787" ht="19" customHeight="1">
      <x:c r="A787" t="str">
        <x:v>550 x 506 cm</x:v>
      </x:c>
      <x:c r="B787" t="str">
        <x:v>roof_glass_tinted</x:v>
      </x:c>
      <x:c r="C787" s="1533" t="n">
        <x:v>0</x:v>
      </x:c>
      <x:c r="D787" s="1533" t="n">
        <x:v>0</x:v>
      </x:c>
      <x:c r="E787" s="1533" t="n">
        <x:v>0</x:v>
      </x:c>
      <x:c r="F787" s="1533" t="n">
        <x:v>0</x:v>
      </x:c>
      <x:c r="G787" s="1535" t="n">
        <x:v>0</x:v>
      </x:c>
      <x:c r="H787" s="1535" t="n">
        <x:v>0</x:v>
      </x:c>
      <x:c r="I787" t="str">
        <x:v>OK — pełna zgodność</x:v>
      </x:c>
      <x:c r="J787" s="1537" t="str">
        <x:v>Szkło niedostępne dla tego wymiaru — poprawnie 0.</x:v>
      </x:c>
    </x:row>
    <x:row r="788" ht="19" customHeight="1">
      <x:c r="A788" t="str">
        <x:v>550 x 506 cm</x:v>
      </x:c>
      <x:c r="B788" t="str">
        <x:v>zip_side</x:v>
      </x:c>
      <x:c r="C788" s="1533" t="n">
        <x:v>4692</x:v>
      </x:c>
      <x:c r="D788" s="1533" t="n">
        <x:v>5067</x:v>
      </x:c>
      <x:c r="E788" s="1533" t="n">
        <x:v>5067.36</x:v>
      </x:c>
      <x:c r="F788" s="1533" t="n">
        <x:v>5067</x:v>
      </x:c>
      <x:c r="G788" s="1535" t="n">
        <x:v>0</x:v>
      </x:c>
      <x:c r="H788" s="1535" t="n">
        <x:v>0</x:v>
      </x:c>
      <x:c r="I788" t="str">
        <x:v>OK — pełna zgodność</x:v>
      </x:c>
      <x:c r="J788" s="1537" t="str"/>
    </x:row>
    <x:row r="789" ht="19" customHeight="1">
      <x:c r="A789" t="str">
        <x:v>550 x 506 cm</x:v>
      </x:c>
      <x:c r="B789" t="str">
        <x:v>zip_front</x:v>
      </x:c>
      <x:c r="C789" s="1533" t="n">
        <x:v>4362</x:v>
      </x:c>
      <x:c r="D789" s="1533" t="n">
        <x:v>4711</x:v>
      </x:c>
      <x:c r="E789" s="1533" t="n">
        <x:v>4710.96</x:v>
      </x:c>
      <x:c r="F789" s="1533" t="n">
        <x:v>4711</x:v>
      </x:c>
      <x:c r="G789" s="1535" t="n">
        <x:v>0</x:v>
      </x:c>
      <x:c r="H789" s="1535" t="n">
        <x:v>0</x:v>
      </x:c>
      <x:c r="I789" t="str">
        <x:v>OK — pełna zgodność</x:v>
      </x:c>
      <x:c r="J789" s="1537" t="str"/>
    </x:row>
    <x:row r="790" ht="19" customHeight="1">
      <x:c r="A790" t="str">
        <x:v>550 x 506 cm</x:v>
      </x:c>
      <x:c r="B790" t="str">
        <x:v>awning</x:v>
      </x:c>
      <x:c r="C790" s="1533" t="n">
        <x:v>6554</x:v>
      </x:c>
      <x:c r="D790" s="1533" t="n">
        <x:v>7078</x:v>
      </x:c>
      <x:c r="E790" s="1533" t="n">
        <x:v>7078.32</x:v>
      </x:c>
      <x:c r="F790" s="1533" t="n">
        <x:v>7078</x:v>
      </x:c>
      <x:c r="G790" s="1535" t="n">
        <x:v>0</x:v>
      </x:c>
      <x:c r="H790" s="1535" t="n">
        <x:v>0</x:v>
      </x:c>
      <x:c r="I790" t="str">
        <x:v>OK — pełna zgodność</x:v>
      </x:c>
      <x:c r="J790" s="1537" t="str"/>
    </x:row>
    <x:row r="791" ht="19" customHeight="1">
      <x:c r="A791" t="str">
        <x:v>550 x 506 cm</x:v>
      </x:c>
      <x:c r="B791" t="str">
        <x:v>foundation</x:v>
      </x:c>
      <x:c r="C791" s="1533" t="n">
        <x:v>3111</x:v>
      </x:c>
      <x:c r="D791" s="1533" t="n">
        <x:v>3360</x:v>
      </x:c>
      <x:c r="E791" s="1533" t="n">
        <x:v>3359.88</x:v>
      </x:c>
      <x:c r="F791" s="1533" t="n">
        <x:v>3360</x:v>
      </x:c>
      <x:c r="G791" s="1535" t="n">
        <x:v>0</x:v>
      </x:c>
      <x:c r="H791" s="1535" t="n">
        <x:v>0</x:v>
      </x:c>
      <x:c r="I791" t="str">
        <x:v>OK — pełna zgodność</x:v>
      </x:c>
      <x:c r="J791" s="1537" t="str"/>
    </x:row>
    <x:row r="792" ht="19" customHeight="1">
      <x:c r="A792" t="str">
        <x:v>550 x 506 cm</x:v>
      </x:c>
      <x:c r="B792" t="str">
        <x:v>led_point</x:v>
      </x:c>
      <x:c r="C792" s="1533" t="n">
        <x:v>1131</x:v>
      </x:c>
      <x:c r="D792" s="1533" t="n">
        <x:v>1221</x:v>
      </x:c>
      <x:c r="E792" s="1533" t="n">
        <x:v>1221.48</x:v>
      </x:c>
      <x:c r="F792" s="1533" t="n">
        <x:v>1221</x:v>
      </x:c>
      <x:c r="G792" s="1535" t="n">
        <x:v>0</x:v>
      </x:c>
      <x:c r="H792" s="1535" t="n">
        <x:v>0</x:v>
      </x:c>
      <x:c r="I792" t="str">
        <x:v>OK — pełna zgodność</x:v>
      </x:c>
      <x:c r="J792" s="1537" t="str"/>
    </x:row>
    <x:row r="793" ht="19" customHeight="1">
      <x:c r="A793" t="str">
        <x:v>550 x 506 cm</x:v>
      </x:c>
      <x:c r="B793" t="str">
        <x:v>led_cct</x:v>
      </x:c>
      <x:c r="C793" s="1533" t="n">
        <x:v>3133</x:v>
      </x:c>
      <x:c r="D793" s="1533" t="n">
        <x:v>3384</x:v>
      </x:c>
      <x:c r="E793" s="1533" t="n">
        <x:v>3383.64</x:v>
      </x:c>
      <x:c r="F793" s="1533" t="n">
        <x:v>3384</x:v>
      </x:c>
      <x:c r="G793" s="1535" t="n">
        <x:v>0</x:v>
      </x:c>
      <x:c r="H793" s="1535" t="n">
        <x:v>0</x:v>
      </x:c>
      <x:c r="I793" t="str">
        <x:v>OK — pełna zgodność</x:v>
      </x:c>
      <x:c r="J793" s="1537" t="str"/>
    </x:row>
    <x:row r="794" ht="19" customHeight="1">
      <x:c r="A794" t="str">
        <x:v>550 x 506 cm</x:v>
      </x:c>
      <x:c r="B794" t="str">
        <x:v>brushes</x:v>
      </x:c>
      <x:c r="C794" s="1533" t="n">
        <x:v>671</x:v>
      </x:c>
      <x:c r="D794" s="1533" t="n">
        <x:v>725</x:v>
      </x:c>
      <x:c r="E794" s="1533" t="n">
        <x:v>724.68</x:v>
      </x:c>
      <x:c r="F794" s="1533" t="n">
        <x:v>725</x:v>
      </x:c>
      <x:c r="G794" s="1535" t="n">
        <x:v>0</x:v>
      </x:c>
      <x:c r="H794" s="1535" t="n">
        <x:v>0</x:v>
      </x:c>
      <x:c r="I794" t="str">
        <x:v>OK — pełna zgodność</x:v>
      </x:c>
      <x:c r="J794" s="1537" t="str"/>
    </x:row>
    <x:row r="795" ht="19" customHeight="1">
      <x:c r="A795" t="str">
        <x:v>550 x 506 cm</x:v>
      </x:c>
      <x:c r="B795" t="str">
        <x:v>handles</x:v>
      </x:c>
      <x:c r="C795" s="1533" t="n">
        <x:v>613</x:v>
      </x:c>
      <x:c r="D795" s="1533" t="n">
        <x:v>662</x:v>
      </x:c>
      <x:c r="E795" s="1533" t="n">
        <x:v>662.04</x:v>
      </x:c>
      <x:c r="F795" s="1533" t="n">
        <x:v>662</x:v>
      </x:c>
      <x:c r="G795" s="1535" t="n">
        <x:v>0</x:v>
      </x:c>
      <x:c r="H795" s="1535" t="n">
        <x:v>0</x:v>
      </x:c>
      <x:c r="I795" t="str">
        <x:v>OK — pełna zgodność</x:v>
      </x:c>
      <x:c r="J795" s="1537" t="str"/>
    </x:row>
    <x:row r="796" ht="19" customHeight="1">
      <x:c r="A796" t="str">
        <x:v>550 x 506 cm</x:v>
      </x:c>
      <x:c r="B796" t="str">
        <x:v>carriers</x:v>
      </x:c>
      <x:c r="C796" s="1533" t="n">
        <x:v>613</x:v>
      </x:c>
      <x:c r="D796" s="1533" t="n">
        <x:v>662</x:v>
      </x:c>
      <x:c r="E796" s="1533" t="n">
        <x:v>662.04</x:v>
      </x:c>
      <x:c r="F796" s="1533" t="n">
        <x:v>662</x:v>
      </x:c>
      <x:c r="G796" s="1535" t="n">
        <x:v>0</x:v>
      </x:c>
      <x:c r="H796" s="1535" t="n">
        <x:v>0</x:v>
      </x:c>
      <x:c r="I796" t="str">
        <x:v>OK — pełna zgodność</x:v>
      </x:c>
      <x:c r="J796" s="1537" t="str"/>
    </x:row>
    <x:row r="797" ht="19" customHeight="1">
      <x:c r="A797" t="str">
        <x:v>550 x 606 cm</x:v>
      </x:c>
      <x:c r="B797" t="str">
        <x:v>base_poly</x:v>
      </x:c>
      <x:c r="C797" s="1533" t="n">
        <x:v>28008</x:v>
      </x:c>
      <x:c r="D797" s="1533" t="n">
        <x:v>30249</x:v>
      </x:c>
      <x:c r="E797" s="1533" t="n">
        <x:v>30248.64</x:v>
      </x:c>
      <x:c r="F797" s="1533" t="n">
        <x:v>30249</x:v>
      </x:c>
      <x:c r="G797" s="1535" t="n">
        <x:v>0</x:v>
      </x:c>
      <x:c r="H797" s="1535" t="n">
        <x:v>0</x:v>
      </x:c>
      <x:c r="I797" t="str">
        <x:v>OK — pełna zgodność</x:v>
      </x:c>
      <x:c r="J797" s="1537" t="str"/>
    </x:row>
    <x:row r="798" ht="19" customHeight="1">
      <x:c r="A798" t="str">
        <x:v>550 x 606 cm</x:v>
      </x:c>
      <x:c r="B798" t="str">
        <x:v>walls_clear</x:v>
      </x:c>
      <x:c r="C798" s="1533" t="n">
        <x:v>24123</x:v>
      </x:c>
      <x:c r="D798" s="1533" t="n">
        <x:v>26053</x:v>
      </x:c>
      <x:c r="E798" s="1533" t="n">
        <x:v>26052.84</x:v>
      </x:c>
      <x:c r="F798" s="1533" t="n">
        <x:v>26053</x:v>
      </x:c>
      <x:c r="G798" s="1535" t="n">
        <x:v>0</x:v>
      </x:c>
      <x:c r="H798" s="1535" t="n">
        <x:v>0</x:v>
      </x:c>
      <x:c r="I798" t="str">
        <x:v>OK — pełna zgodność</x:v>
      </x:c>
      <x:c r="J798" s="1537" t="str"/>
    </x:row>
    <x:row r="799" ht="19" customHeight="1">
      <x:c r="A799" t="str">
        <x:v>550 x 606 cm</x:v>
      </x:c>
      <x:c r="B799" t="str">
        <x:v>walls_tinted</x:v>
      </x:c>
      <x:c r="C799" s="1533" t="n">
        <x:v>26669</x:v>
      </x:c>
      <x:c r="D799" s="1533" t="n">
        <x:v>28803</x:v>
      </x:c>
      <x:c r="E799" s="1533" t="n">
        <x:v>28802.52</x:v>
      </x:c>
      <x:c r="F799" s="1533" t="n">
        <x:v>28803</x:v>
      </x:c>
      <x:c r="G799" s="1535" t="n">
        <x:v>0</x:v>
      </x:c>
      <x:c r="H799" s="1535" t="n">
        <x:v>0</x:v>
      </x:c>
      <x:c r="I799" t="str">
        <x:v>OK — pełna zgodność</x:v>
      </x:c>
      <x:c r="J799" s="1537" t="str">
        <x:v>Pozycja złożona; stary eksport mógł zaokrąglać składniki osobno.</x:v>
      </x:c>
    </x:row>
    <x:row r="800" ht="19" customHeight="1">
      <x:c r="A800" t="str">
        <x:v>550 x 606 cm</x:v>
      </x:c>
      <x:c r="B800" t="str">
        <x:v>roof_poly_colored</x:v>
      </x:c>
      <x:c r="C800" s="1533" t="n">
        <x:v>684</x:v>
      </x:c>
      <x:c r="D800" s="1533" t="n">
        <x:v>739</x:v>
      </x:c>
      <x:c r="E800" s="1533" t="n">
        <x:v>738.72</x:v>
      </x:c>
      <x:c r="F800" s="1533" t="n">
        <x:v>739</x:v>
      </x:c>
      <x:c r="G800" s="1535" t="n">
        <x:v>0</x:v>
      </x:c>
      <x:c r="H800" s="1535" t="n">
        <x:v>0</x:v>
      </x:c>
      <x:c r="I800" t="str">
        <x:v>OK — pełna zgodność</x:v>
      </x:c>
      <x:c r="J800" s="1537" t="str"/>
    </x:row>
    <x:row r="801" ht="19" customHeight="1">
      <x:c r="A801" t="str">
        <x:v>550 x 606 cm</x:v>
      </x:c>
      <x:c r="B801" t="str">
        <x:v>roof_glass_clear</x:v>
      </x:c>
      <x:c r="C801" s="1533" t="n">
        <x:v>0</x:v>
      </x:c>
      <x:c r="D801" s="1533" t="n">
        <x:v>0</x:v>
      </x:c>
      <x:c r="E801" s="1533" t="n">
        <x:v>0</x:v>
      </x:c>
      <x:c r="F801" s="1533" t="n">
        <x:v>0</x:v>
      </x:c>
      <x:c r="G801" s="1535" t="n">
        <x:v>0</x:v>
      </x:c>
      <x:c r="H801" s="1535" t="n">
        <x:v>0</x:v>
      </x:c>
      <x:c r="I801" t="str">
        <x:v>OK — pełna zgodność</x:v>
      </x:c>
      <x:c r="J801" s="1537" t="str">
        <x:v>Szkło niedostępne dla tego wymiaru — poprawnie 0.</x:v>
      </x:c>
    </x:row>
    <x:row r="802" ht="19" customHeight="1">
      <x:c r="A802" t="str">
        <x:v>550 x 606 cm</x:v>
      </x:c>
      <x:c r="B802" t="str">
        <x:v>roof_glass_tinted</x:v>
      </x:c>
      <x:c r="C802" s="1533" t="n">
        <x:v>0</x:v>
      </x:c>
      <x:c r="D802" s="1533" t="n">
        <x:v>0</x:v>
      </x:c>
      <x:c r="E802" s="1533" t="n">
        <x:v>0</x:v>
      </x:c>
      <x:c r="F802" s="1533" t="n">
        <x:v>0</x:v>
      </x:c>
      <x:c r="G802" s="1535" t="n">
        <x:v>0</x:v>
      </x:c>
      <x:c r="H802" s="1535" t="n">
        <x:v>0</x:v>
      </x:c>
      <x:c r="I802" t="str">
        <x:v>OK — pełna zgodność</x:v>
      </x:c>
      <x:c r="J802" s="1537" t="str">
        <x:v>Szkło niedostępne dla tego wymiaru — poprawnie 0.</x:v>
      </x:c>
    </x:row>
    <x:row r="803" ht="19" customHeight="1">
      <x:c r="A803" t="str">
        <x:v>550 x 606 cm</x:v>
      </x:c>
      <x:c r="B803" t="str">
        <x:v>zip_side</x:v>
      </x:c>
      <x:c r="C803" s="1533" t="n">
        <x:v>4692</x:v>
      </x:c>
      <x:c r="D803" s="1533" t="n">
        <x:v>5067</x:v>
      </x:c>
      <x:c r="E803" s="1533" t="n">
        <x:v>5067.36</x:v>
      </x:c>
      <x:c r="F803" s="1533" t="n">
        <x:v>5067</x:v>
      </x:c>
      <x:c r="G803" s="1535" t="n">
        <x:v>0</x:v>
      </x:c>
      <x:c r="H803" s="1535" t="n">
        <x:v>0</x:v>
      </x:c>
      <x:c r="I803" t="str">
        <x:v>OK — pełna zgodność</x:v>
      </x:c>
      <x:c r="J803" s="1537" t="str"/>
    </x:row>
    <x:row r="804" ht="19" customHeight="1">
      <x:c r="A804" t="str">
        <x:v>550 x 606 cm</x:v>
      </x:c>
      <x:c r="B804" t="str">
        <x:v>zip_front</x:v>
      </x:c>
      <x:c r="C804" s="1533" t="n">
        <x:v>5034</x:v>
      </x:c>
      <x:c r="D804" s="1533" t="n">
        <x:v>5437</x:v>
      </x:c>
      <x:c r="E804" s="1533" t="n">
        <x:v>5436.72</x:v>
      </x:c>
      <x:c r="F804" s="1533" t="n">
        <x:v>5437</x:v>
      </x:c>
      <x:c r="G804" s="1535" t="n">
        <x:v>0</x:v>
      </x:c>
      <x:c r="H804" s="1535" t="n">
        <x:v>0</x:v>
      </x:c>
      <x:c r="I804" t="str">
        <x:v>OK — pełna zgodność</x:v>
      </x:c>
      <x:c r="J804" s="1537" t="str"/>
    </x:row>
    <x:row r="805" ht="19" customHeight="1">
      <x:c r="A805" t="str">
        <x:v>550 x 606 cm</x:v>
      </x:c>
      <x:c r="B805" t="str">
        <x:v>awning</x:v>
      </x:c>
      <x:c r="C805" s="1533" t="n">
        <x:v>9856</x:v>
      </x:c>
      <x:c r="D805" s="1533" t="n">
        <x:v>10644</x:v>
      </x:c>
      <x:c r="E805" s="1533" t="n">
        <x:v>10644.48</x:v>
      </x:c>
      <x:c r="F805" s="1533" t="n">
        <x:v>10644</x:v>
      </x:c>
      <x:c r="G805" s="1535" t="n">
        <x:v>0</x:v>
      </x:c>
      <x:c r="H805" s="1535" t="n">
        <x:v>0</x:v>
      </x:c>
      <x:c r="I805" t="str">
        <x:v>OK — pełna zgodność</x:v>
      </x:c>
      <x:c r="J805" s="1537" t="str"/>
    </x:row>
    <x:row r="806" ht="19" customHeight="1">
      <x:c r="A806" t="str">
        <x:v>550 x 606 cm</x:v>
      </x:c>
      <x:c r="B806" t="str">
        <x:v>foundation</x:v>
      </x:c>
      <x:c r="C806" s="1533" t="n">
        <x:v>3740</x:v>
      </x:c>
      <x:c r="D806" s="1533" t="n">
        <x:v>4039</x:v>
      </x:c>
      <x:c r="E806" s="1533" t="n">
        <x:v>4039.2</x:v>
      </x:c>
      <x:c r="F806" s="1533" t="n">
        <x:v>4039</x:v>
      </x:c>
      <x:c r="G806" s="1535" t="n">
        <x:v>0</x:v>
      </x:c>
      <x:c r="H806" s="1535" t="n">
        <x:v>0</x:v>
      </x:c>
      <x:c r="I806" t="str">
        <x:v>OK — pełna zgodność</x:v>
      </x:c>
      <x:c r="J806" s="1537" t="str"/>
    </x:row>
    <x:row r="807" ht="19" customHeight="1">
      <x:c r="A807" t="str">
        <x:v>550 x 606 cm</x:v>
      </x:c>
      <x:c r="B807" t="str">
        <x:v>led_point</x:v>
      </x:c>
      <x:c r="C807" s="1533" t="n">
        <x:v>1285</x:v>
      </x:c>
      <x:c r="D807" s="1533" t="n">
        <x:v>1388</x:v>
      </x:c>
      <x:c r="E807" s="1533" t="n">
        <x:v>1387.8</x:v>
      </x:c>
      <x:c r="F807" s="1533" t="n">
        <x:v>1388</x:v>
      </x:c>
      <x:c r="G807" s="1535" t="n">
        <x:v>0</x:v>
      </x:c>
      <x:c r="H807" s="1535" t="n">
        <x:v>0</x:v>
      </x:c>
      <x:c r="I807" t="str">
        <x:v>OK — pełna zgodność</x:v>
      </x:c>
      <x:c r="J807" s="1537" t="str"/>
    </x:row>
    <x:row r="808" ht="19" customHeight="1">
      <x:c r="A808" t="str">
        <x:v>550 x 606 cm</x:v>
      </x:c>
      <x:c r="B808" t="str">
        <x:v>led_cct</x:v>
      </x:c>
      <x:c r="C808" s="1533" t="n">
        <x:v>3748</x:v>
      </x:c>
      <x:c r="D808" s="1533" t="n">
        <x:v>4048</x:v>
      </x:c>
      <x:c r="E808" s="1533" t="n">
        <x:v>4047.84</x:v>
      </x:c>
      <x:c r="F808" s="1533" t="n">
        <x:v>4048</x:v>
      </x:c>
      <x:c r="G808" s="1535" t="n">
        <x:v>0</x:v>
      </x:c>
      <x:c r="H808" s="1535" t="n">
        <x:v>0</x:v>
      </x:c>
      <x:c r="I808" t="str">
        <x:v>OK — pełna zgodność</x:v>
      </x:c>
      <x:c r="J808" s="1537" t="str"/>
    </x:row>
    <x:row r="809" ht="19" customHeight="1">
      <x:c r="A809" t="str">
        <x:v>550 x 606 cm</x:v>
      </x:c>
      <x:c r="B809" t="str">
        <x:v>brushes</x:v>
      </x:c>
      <x:c r="C809" s="1533" t="n">
        <x:v>719</x:v>
      </x:c>
      <x:c r="D809" s="1533" t="n">
        <x:v>777</x:v>
      </x:c>
      <x:c r="E809" s="1533" t="n">
        <x:v>776.52</x:v>
      </x:c>
      <x:c r="F809" s="1533" t="n">
        <x:v>777</x:v>
      </x:c>
      <x:c r="G809" s="1535" t="n">
        <x:v>0</x:v>
      </x:c>
      <x:c r="H809" s="1535" t="n">
        <x:v>0</x:v>
      </x:c>
      <x:c r="I809" t="str">
        <x:v>OK — pełna zgodność</x:v>
      </x:c>
      <x:c r="J809" s="1537" t="str"/>
    </x:row>
    <x:row r="810" ht="19" customHeight="1">
      <x:c r="A810" t="str">
        <x:v>550 x 606 cm</x:v>
      </x:c>
      <x:c r="B810" t="str">
        <x:v>handles</x:v>
      </x:c>
      <x:c r="C810" s="1533" t="n">
        <x:v>648</x:v>
      </x:c>
      <x:c r="D810" s="1533" t="n">
        <x:v>700</x:v>
      </x:c>
      <x:c r="E810" s="1533" t="n">
        <x:v>699.84</x:v>
      </x:c>
      <x:c r="F810" s="1533" t="n">
        <x:v>700</x:v>
      </x:c>
      <x:c r="G810" s="1535" t="n">
        <x:v>0</x:v>
      </x:c>
      <x:c r="H810" s="1535" t="n">
        <x:v>0</x:v>
      </x:c>
      <x:c r="I810" t="str">
        <x:v>OK — pełna zgodność</x:v>
      </x:c>
      <x:c r="J810" s="1537" t="str"/>
    </x:row>
    <x:row r="811" ht="19" customHeight="1">
      <x:c r="A811" t="str">
        <x:v>550 x 606 cm</x:v>
      </x:c>
      <x:c r="B811" t="str">
        <x:v>carriers</x:v>
      </x:c>
      <x:c r="C811" s="1533" t="n">
        <x:v>660</x:v>
      </x:c>
      <x:c r="D811" s="1533" t="n">
        <x:v>713</x:v>
      </x:c>
      <x:c r="E811" s="1533" t="n">
        <x:v>712.8</x:v>
      </x:c>
      <x:c r="F811" s="1533" t="n">
        <x:v>713</x:v>
      </x:c>
      <x:c r="G811" s="1535" t="n">
        <x:v>0</x:v>
      </x:c>
      <x:c r="H811" s="1535" t="n">
        <x:v>0</x:v>
      </x:c>
      <x:c r="I811" t="str">
        <x:v>OK — pełna zgodność</x:v>
      </x:c>
      <x:c r="J811" s="1537" t="str"/>
    </x:row>
    <x:row r="812" ht="19" customHeight="1">
      <x:c r="A812" t="str">
        <x:v>550 x 706 cm</x:v>
      </x:c>
      <x:c r="B812" t="str">
        <x:v>base_poly</x:v>
      </x:c>
      <x:c r="C812" s="1533" t="n">
        <x:v>31974</x:v>
      </x:c>
      <x:c r="D812" s="1533" t="n">
        <x:v>34532</x:v>
      </x:c>
      <x:c r="E812" s="1533" t="n">
        <x:v>34531.92</x:v>
      </x:c>
      <x:c r="F812" s="1533" t="n">
        <x:v>34532</x:v>
      </x:c>
      <x:c r="G812" s="1535" t="n">
        <x:v>0</x:v>
      </x:c>
      <x:c r="H812" s="1535" t="n">
        <x:v>0</x:v>
      </x:c>
      <x:c r="I812" t="str">
        <x:v>OK — pełna zgodność</x:v>
      </x:c>
      <x:c r="J812" s="1537" t="str"/>
    </x:row>
    <x:row r="813" ht="19" customHeight="1">
      <x:c r="A813" t="str">
        <x:v>550 x 706 cm</x:v>
      </x:c>
      <x:c r="B813" t="str">
        <x:v>walls_clear</x:v>
      </x:c>
      <x:c r="C813" s="1533" t="n">
        <x:v>25297</x:v>
      </x:c>
      <x:c r="D813" s="1533" t="n">
        <x:v>27321</x:v>
      </x:c>
      <x:c r="E813" s="1533" t="n">
        <x:v>27320.76</x:v>
      </x:c>
      <x:c r="F813" s="1533" t="n">
        <x:v>27321</x:v>
      </x:c>
      <x:c r="G813" s="1535" t="n">
        <x:v>0</x:v>
      </x:c>
      <x:c r="H813" s="1535" t="n">
        <x:v>0</x:v>
      </x:c>
      <x:c r="I813" t="str">
        <x:v>OK — pełna zgodność</x:v>
      </x:c>
      <x:c r="J813" s="1537" t="str"/>
    </x:row>
    <x:row r="814" ht="19" customHeight="1">
      <x:c r="A814" t="str">
        <x:v>550 x 706 cm</x:v>
      </x:c>
      <x:c r="B814" t="str">
        <x:v>walls_tinted</x:v>
      </x:c>
      <x:c r="C814" s="1533" t="n">
        <x:v>27985</x:v>
      </x:c>
      <x:c r="D814" s="1533" t="n">
        <x:v>30224</x:v>
      </x:c>
      <x:c r="E814" s="1533" t="n">
        <x:v>30223.8</x:v>
      </x:c>
      <x:c r="F814" s="1533" t="n">
        <x:v>30224</x:v>
      </x:c>
      <x:c r="G814" s="1535" t="n">
        <x:v>0</x:v>
      </x:c>
      <x:c r="H814" s="1535" t="n">
        <x:v>0</x:v>
      </x:c>
      <x:c r="I814" t="str">
        <x:v>OK — pełna zgodność</x:v>
      </x:c>
      <x:c r="J814" s="1537" t="str">
        <x:v>Pozycja złożona; stary eksport mógł zaokrąglać składniki osobno.</x:v>
      </x:c>
    </x:row>
    <x:row r="815" ht="19" customHeight="1">
      <x:c r="A815" t="str">
        <x:v>550 x 706 cm</x:v>
      </x:c>
      <x:c r="B815" t="str">
        <x:v>roof_poly_colored</x:v>
      </x:c>
      <x:c r="C815" s="1533" t="n">
        <x:v>790</x:v>
      </x:c>
      <x:c r="D815" s="1533" t="n">
        <x:v>853</x:v>
      </x:c>
      <x:c r="E815" s="1533" t="n">
        <x:v>853.2</x:v>
      </x:c>
      <x:c r="F815" s="1533" t="n">
        <x:v>853</x:v>
      </x:c>
      <x:c r="G815" s="1535" t="n">
        <x:v>0</x:v>
      </x:c>
      <x:c r="H815" s="1535" t="n">
        <x:v>0</x:v>
      </x:c>
      <x:c r="I815" t="str">
        <x:v>OK — pełna zgodność</x:v>
      </x:c>
      <x:c r="J815" s="1537" t="str"/>
    </x:row>
    <x:row r="816" ht="19" customHeight="1">
      <x:c r="A816" t="str">
        <x:v>550 x 706 cm</x:v>
      </x:c>
      <x:c r="B816" t="str">
        <x:v>roof_glass_clear</x:v>
      </x:c>
      <x:c r="C816" s="1533" t="n">
        <x:v>0</x:v>
      </x:c>
      <x:c r="D816" s="1533" t="n">
        <x:v>0</x:v>
      </x:c>
      <x:c r="E816" s="1533" t="n">
        <x:v>0</x:v>
      </x:c>
      <x:c r="F816" s="1533" t="n">
        <x:v>0</x:v>
      </x:c>
      <x:c r="G816" s="1535" t="n">
        <x:v>0</x:v>
      </x:c>
      <x:c r="H816" s="1535" t="n">
        <x:v>0</x:v>
      </x:c>
      <x:c r="I816" t="str">
        <x:v>OK — pełna zgodność</x:v>
      </x:c>
      <x:c r="J816" s="1537" t="str">
        <x:v>Szkło niedostępne dla tego wymiaru — poprawnie 0.</x:v>
      </x:c>
    </x:row>
    <x:row r="817" ht="19" customHeight="1">
      <x:c r="A817" t="str">
        <x:v>550 x 706 cm</x:v>
      </x:c>
      <x:c r="B817" t="str">
        <x:v>roof_glass_tinted</x:v>
      </x:c>
      <x:c r="C817" s="1533" t="n">
        <x:v>0</x:v>
      </x:c>
      <x:c r="D817" s="1533" t="n">
        <x:v>0</x:v>
      </x:c>
      <x:c r="E817" s="1533" t="n">
        <x:v>0</x:v>
      </x:c>
      <x:c r="F817" s="1533" t="n">
        <x:v>0</x:v>
      </x:c>
      <x:c r="G817" s="1535" t="n">
        <x:v>0</x:v>
      </x:c>
      <x:c r="H817" s="1535" t="n">
        <x:v>0</x:v>
      </x:c>
      <x:c r="I817" t="str">
        <x:v>OK — pełna zgodność</x:v>
      </x:c>
      <x:c r="J817" s="1537" t="str">
        <x:v>Szkło niedostępne dla tego wymiaru — poprawnie 0.</x:v>
      </x:c>
    </x:row>
    <x:row r="818" ht="19" customHeight="1">
      <x:c r="A818" t="str">
        <x:v>550 x 706 cm</x:v>
      </x:c>
      <x:c r="B818" t="str">
        <x:v>zip_side</x:v>
      </x:c>
      <x:c r="C818" s="1533" t="n">
        <x:v>4692</x:v>
      </x:c>
      <x:c r="D818" s="1533" t="n">
        <x:v>5067</x:v>
      </x:c>
      <x:c r="E818" s="1533" t="n">
        <x:v>5067.36</x:v>
      </x:c>
      <x:c r="F818" s="1533" t="n">
        <x:v>5067</x:v>
      </x:c>
      <x:c r="G818" s="1535" t="n">
        <x:v>0</x:v>
      </x:c>
      <x:c r="H818" s="1535" t="n">
        <x:v>0</x:v>
      </x:c>
      <x:c r="I818" t="str">
        <x:v>OK — pełna zgodność</x:v>
      </x:c>
      <x:c r="J818" s="1537" t="str"/>
    </x:row>
    <x:row r="819" ht="19" customHeight="1">
      <x:c r="A819" t="str">
        <x:v>550 x 706 cm</x:v>
      </x:c>
      <x:c r="B819" t="str">
        <x:v>zip_front</x:v>
      </x:c>
      <x:c r="C819" s="1533" t="n">
        <x:v>5635</x:v>
      </x:c>
      <x:c r="D819" s="1533" t="n">
        <x:v>6086</x:v>
      </x:c>
      <x:c r="E819" s="1533" t="n">
        <x:v>6085.8</x:v>
      </x:c>
      <x:c r="F819" s="1533" t="n">
        <x:v>6086</x:v>
      </x:c>
      <x:c r="G819" s="1535" t="n">
        <x:v>0</x:v>
      </x:c>
      <x:c r="H819" s="1535" t="n">
        <x:v>0</x:v>
      </x:c>
      <x:c r="I819" t="str">
        <x:v>OK — pełna zgodność</x:v>
      </x:c>
      <x:c r="J819" s="1537" t="str"/>
    </x:row>
    <x:row r="820" ht="19" customHeight="1">
      <x:c r="A820" t="str">
        <x:v>550 x 706 cm</x:v>
      </x:c>
      <x:c r="B820" t="str">
        <x:v>awning</x:v>
      </x:c>
      <x:c r="C820" s="1533" t="n">
        <x:v>10563</x:v>
      </x:c>
      <x:c r="D820" s="1533" t="n">
        <x:v>11408</x:v>
      </x:c>
      <x:c r="E820" s="1533" t="n">
        <x:v>11408.04</x:v>
      </x:c>
      <x:c r="F820" s="1533" t="n">
        <x:v>11408</x:v>
      </x:c>
      <x:c r="G820" s="1535" t="n">
        <x:v>0</x:v>
      </x:c>
      <x:c r="H820" s="1535" t="n">
        <x:v>0</x:v>
      </x:c>
      <x:c r="I820" t="str">
        <x:v>OK — pełna zgodność</x:v>
      </x:c>
      <x:c r="J820" s="1537" t="str"/>
    </x:row>
    <x:row r="821" ht="19" customHeight="1">
      <x:c r="A821" t="str">
        <x:v>550 x 706 cm</x:v>
      </x:c>
      <x:c r="B821" t="str">
        <x:v>foundation</x:v>
      </x:c>
      <x:c r="C821" s="1533" t="n">
        <x:v>3304</x:v>
      </x:c>
      <x:c r="D821" s="1533" t="n">
        <x:v>3568</x:v>
      </x:c>
      <x:c r="E821" s="1533" t="n">
        <x:v>3568.32</x:v>
      </x:c>
      <x:c r="F821" s="1533" t="n">
        <x:v>3568</x:v>
      </x:c>
      <x:c r="G821" s="1535" t="n">
        <x:v>0</x:v>
      </x:c>
      <x:c r="H821" s="1535" t="n">
        <x:v>0</x:v>
      </x:c>
      <x:c r="I821" t="str">
        <x:v>OK — pełna zgodność</x:v>
      </x:c>
      <x:c r="J821" s="1537" t="str"/>
    </x:row>
    <x:row r="822" ht="19" customHeight="1">
      <x:c r="A822" t="str">
        <x:v>550 x 706 cm</x:v>
      </x:c>
      <x:c r="B822" t="str">
        <x:v>led_point</x:v>
      </x:c>
      <x:c r="C822" s="1533" t="n">
        <x:v>1427</x:v>
      </x:c>
      <x:c r="D822" s="1533" t="n">
        <x:v>1541</x:v>
      </x:c>
      <x:c r="E822" s="1533" t="n">
        <x:v>1541.16</x:v>
      </x:c>
      <x:c r="F822" s="1533" t="n">
        <x:v>1541</x:v>
      </x:c>
      <x:c r="G822" s="1535" t="n">
        <x:v>0</x:v>
      </x:c>
      <x:c r="H822" s="1535" t="n">
        <x:v>0</x:v>
      </x:c>
      <x:c r="I822" t="str">
        <x:v>OK — pełna zgodność</x:v>
      </x:c>
      <x:c r="J822" s="1537" t="str"/>
    </x:row>
    <x:row r="823" ht="19" customHeight="1">
      <x:c r="A823" t="str">
        <x:v>550 x 706 cm</x:v>
      </x:c>
      <x:c r="B823" t="str">
        <x:v>led_cct</x:v>
      </x:c>
      <x:c r="C823" s="1533" t="n">
        <x:v>4121</x:v>
      </x:c>
      <x:c r="D823" s="1533" t="n">
        <x:v>4451</x:v>
      </x:c>
      <x:c r="E823" s="1533" t="n">
        <x:v>4450.68</x:v>
      </x:c>
      <x:c r="F823" s="1533" t="n">
        <x:v>4451</x:v>
      </x:c>
      <x:c r="G823" s="1535" t="n">
        <x:v>0</x:v>
      </x:c>
      <x:c r="H823" s="1535" t="n">
        <x:v>0</x:v>
      </x:c>
      <x:c r="I823" t="str">
        <x:v>OK — pełna zgodność</x:v>
      </x:c>
      <x:c r="J823" s="1537" t="str"/>
    </x:row>
    <x:row r="824" ht="19" customHeight="1">
      <x:c r="A824" t="str">
        <x:v>550 x 706 cm</x:v>
      </x:c>
      <x:c r="B824" t="str">
        <x:v>brushes</x:v>
      </x:c>
      <x:c r="C824" s="1533" t="n">
        <x:v>766</x:v>
      </x:c>
      <x:c r="D824" s="1533" t="n">
        <x:v>827</x:v>
      </x:c>
      <x:c r="E824" s="1533" t="n">
        <x:v>827.28</x:v>
      </x:c>
      <x:c r="F824" s="1533" t="n">
        <x:v>827</x:v>
      </x:c>
      <x:c r="G824" s="1535" t="n">
        <x:v>0</x:v>
      </x:c>
      <x:c r="H824" s="1535" t="n">
        <x:v>0</x:v>
      </x:c>
      <x:c r="I824" t="str">
        <x:v>OK — pełna zgodność</x:v>
      </x:c>
      <x:c r="J824" s="1537" t="str"/>
    </x:row>
    <x:row r="825" ht="19" customHeight="1">
      <x:c r="A825" t="str">
        <x:v>550 x 706 cm</x:v>
      </x:c>
      <x:c r="B825" t="str">
        <x:v>handles</x:v>
      </x:c>
      <x:c r="C825" s="1533" t="n">
        <x:v>696</x:v>
      </x:c>
      <x:c r="D825" s="1533" t="n">
        <x:v>752</x:v>
      </x:c>
      <x:c r="E825" s="1533" t="n">
        <x:v>751.68</x:v>
      </x:c>
      <x:c r="F825" s="1533" t="n">
        <x:v>752</x:v>
      </x:c>
      <x:c r="G825" s="1535" t="n">
        <x:v>0</x:v>
      </x:c>
      <x:c r="H825" s="1535" t="n">
        <x:v>0</x:v>
      </x:c>
      <x:c r="I825" t="str">
        <x:v>OK — pełna zgodność</x:v>
      </x:c>
      <x:c r="J825" s="1537" t="str"/>
    </x:row>
    <x:row r="826" ht="19" customHeight="1">
      <x:c r="A826" t="str">
        <x:v>550 x 706 cm</x:v>
      </x:c>
      <x:c r="B826" t="str">
        <x:v>carriers</x:v>
      </x:c>
      <x:c r="C826" s="1533" t="n">
        <x:v>708</x:v>
      </x:c>
      <x:c r="D826" s="1533" t="n">
        <x:v>765</x:v>
      </x:c>
      <x:c r="E826" s="1533" t="n">
        <x:v>764.64</x:v>
      </x:c>
      <x:c r="F826" s="1533" t="n">
        <x:v>765</x:v>
      </x:c>
      <x:c r="G826" s="1535" t="n">
        <x:v>0</x:v>
      </x:c>
      <x:c r="H826" s="1535" t="n">
        <x:v>0</x:v>
      </x:c>
      <x:c r="I826" t="str">
        <x:v>OK — pełna zgodność</x:v>
      </x:c>
      <x:c r="J826" s="1537" t="str"/>
    </x:row>
    <x:row r="827" ht="19" customHeight="1">
      <x:c r="A827" t="str">
        <x:v>550 x 806 cm</x:v>
      </x:c>
      <x:c r="B827" t="str">
        <x:v>base_poly</x:v>
      </x:c>
      <x:c r="C827" s="1533" t="n">
        <x:v>36013</x:v>
      </x:c>
      <x:c r="D827" s="1533" t="n">
        <x:v>38894</x:v>
      </x:c>
      <x:c r="E827" s="1533" t="n">
        <x:v>38894.04</x:v>
      </x:c>
      <x:c r="F827" s="1533" t="n">
        <x:v>38894</x:v>
      </x:c>
      <x:c r="G827" s="1535" t="n">
        <x:v>0</x:v>
      </x:c>
      <x:c r="H827" s="1535" t="n">
        <x:v>0</x:v>
      </x:c>
      <x:c r="I827" t="str">
        <x:v>OK — pełna zgodność</x:v>
      </x:c>
      <x:c r="J827" s="1537" t="str"/>
    </x:row>
    <x:row r="828" ht="19" customHeight="1">
      <x:c r="A828" t="str">
        <x:v>550 x 806 cm</x:v>
      </x:c>
      <x:c r="B828" t="str">
        <x:v>walls_clear</x:v>
      </x:c>
      <x:c r="C828" s="1533" t="n">
        <x:v>26303</x:v>
      </x:c>
      <x:c r="D828" s="1533" t="n">
        <x:v>28407</x:v>
      </x:c>
      <x:c r="E828" s="1533" t="n">
        <x:v>28407.24</x:v>
      </x:c>
      <x:c r="F828" s="1533" t="n">
        <x:v>28407</x:v>
      </x:c>
      <x:c r="G828" s="1535" t="n">
        <x:v>0</x:v>
      </x:c>
      <x:c r="H828" s="1535" t="n">
        <x:v>0</x:v>
      </x:c>
      <x:c r="I828" t="str">
        <x:v>OK — pełna zgodność</x:v>
      </x:c>
      <x:c r="J828" s="1537" t="str"/>
    </x:row>
    <x:row r="829" ht="19" customHeight="1">
      <x:c r="A829" t="str">
        <x:v>550 x 806 cm</x:v>
      </x:c>
      <x:c r="B829" t="str">
        <x:v>walls_tinted</x:v>
      </x:c>
      <x:c r="C829" s="1533" t="n">
        <x:v>29132</x:v>
      </x:c>
      <x:c r="D829" s="1533" t="n">
        <x:v>31462</x:v>
      </x:c>
      <x:c r="E829" s="1533" t="n">
        <x:v>31462.56</x:v>
      </x:c>
      <x:c r="F829" s="1533" t="n">
        <x:v>31463</x:v>
      </x:c>
      <x:c r="G829" s="1535" t="n">
        <x:v>1</x:v>
      </x:c>
      <x:c r="H829" s="1535" t="n">
        <x:v>1</x:v>
      </x:c>
      <x:c r="I829" t="str">
        <x:v>OK — zaokrąglenie ±1 zł</x:v>
      </x:c>
      <x:c r="J829" s="1537" t="str">
        <x:v>Pozycja złożona; stary eksport mógł zaokrąglać składniki osobno.</x:v>
      </x:c>
    </x:row>
    <x:row r="830" ht="19" customHeight="1">
      <x:c r="A830" t="str">
        <x:v>550 x 806 cm</x:v>
      </x:c>
      <x:c r="B830" t="str">
        <x:v>roof_poly_colored</x:v>
      </x:c>
      <x:c r="C830" s="1533" t="n">
        <x:v>908</x:v>
      </x:c>
      <x:c r="D830" s="1533" t="n">
        <x:v>981</x:v>
      </x:c>
      <x:c r="E830" s="1533" t="n">
        <x:v>980.64</x:v>
      </x:c>
      <x:c r="F830" s="1533" t="n">
        <x:v>981</x:v>
      </x:c>
      <x:c r="G830" s="1535" t="n">
        <x:v>0</x:v>
      </x:c>
      <x:c r="H830" s="1535" t="n">
        <x:v>0</x:v>
      </x:c>
      <x:c r="I830" t="str">
        <x:v>OK — pełna zgodność</x:v>
      </x:c>
      <x:c r="J830" s="1537" t="str"/>
    </x:row>
    <x:row r="831" ht="19" customHeight="1">
      <x:c r="A831" t="str">
        <x:v>550 x 806 cm</x:v>
      </x:c>
      <x:c r="B831" t="str">
        <x:v>roof_glass_clear</x:v>
      </x:c>
      <x:c r="C831" s="1533" t="n">
        <x:v>0</x:v>
      </x:c>
      <x:c r="D831" s="1533" t="n">
        <x:v>0</x:v>
      </x:c>
      <x:c r="E831" s="1533" t="n">
        <x:v>0</x:v>
      </x:c>
      <x:c r="F831" s="1533" t="n">
        <x:v>0</x:v>
      </x:c>
      <x:c r="G831" s="1535" t="n">
        <x:v>0</x:v>
      </x:c>
      <x:c r="H831" s="1535" t="n">
        <x:v>0</x:v>
      </x:c>
      <x:c r="I831" t="str">
        <x:v>OK — pełna zgodność</x:v>
      </x:c>
      <x:c r="J831" s="1537" t="str">
        <x:v>Szkło niedostępne dla tego wymiaru — poprawnie 0.</x:v>
      </x:c>
    </x:row>
    <x:row r="832" ht="19" customHeight="1">
      <x:c r="A832" t="str">
        <x:v>550 x 806 cm</x:v>
      </x:c>
      <x:c r="B832" t="str">
        <x:v>roof_glass_tinted</x:v>
      </x:c>
      <x:c r="C832" s="1533" t="n">
        <x:v>0</x:v>
      </x:c>
      <x:c r="D832" s="1533" t="n">
        <x:v>0</x:v>
      </x:c>
      <x:c r="E832" s="1533" t="n">
        <x:v>0</x:v>
      </x:c>
      <x:c r="F832" s="1533" t="n">
        <x:v>0</x:v>
      </x:c>
      <x:c r="G832" s="1535" t="n">
        <x:v>0</x:v>
      </x:c>
      <x:c r="H832" s="1535" t="n">
        <x:v>0</x:v>
      </x:c>
      <x:c r="I832" t="str">
        <x:v>OK — pełna zgodność</x:v>
      </x:c>
      <x:c r="J832" s="1537" t="str">
        <x:v>Szkło niedostępne dla tego wymiaru — poprawnie 0.</x:v>
      </x:c>
    </x:row>
    <x:row r="833" ht="19" customHeight="1">
      <x:c r="A833" t="str">
        <x:v>550 x 806 cm</x:v>
      </x:c>
      <x:c r="B833" t="str">
        <x:v>zip_side</x:v>
      </x:c>
      <x:c r="C833" s="1533" t="n">
        <x:v>4692</x:v>
      </x:c>
      <x:c r="D833" s="1533" t="n">
        <x:v>5067</x:v>
      </x:c>
      <x:c r="E833" s="1533" t="n">
        <x:v>5067.36</x:v>
      </x:c>
      <x:c r="F833" s="1533" t="n">
        <x:v>5067</x:v>
      </x:c>
      <x:c r="G833" s="1535" t="n">
        <x:v>0</x:v>
      </x:c>
      <x:c r="H833" s="1535" t="n">
        <x:v>0</x:v>
      </x:c>
      <x:c r="I833" t="str">
        <x:v>OK — pełna zgodność</x:v>
      </x:c>
      <x:c r="J833" s="1537" t="str"/>
    </x:row>
    <x:row r="834" ht="19" customHeight="1">
      <x:c r="A834" t="str">
        <x:v>550 x 806 cm</x:v>
      </x:c>
      <x:c r="B834" t="str">
        <x:v>zip_front</x:v>
      </x:c>
      <x:c r="C834" s="1533" t="n">
        <x:v>6225</x:v>
      </x:c>
      <x:c r="D834" s="1533" t="n">
        <x:v>6723</x:v>
      </x:c>
      <x:c r="E834" s="1533" t="n">
        <x:v>6723</x:v>
      </x:c>
      <x:c r="F834" s="1533" t="n">
        <x:v>6723</x:v>
      </x:c>
      <x:c r="G834" s="1535" t="n">
        <x:v>0</x:v>
      </x:c>
      <x:c r="H834" s="1535" t="n">
        <x:v>0</x:v>
      </x:c>
      <x:c r="I834" t="str">
        <x:v>OK — pełna zgodność</x:v>
      </x:c>
      <x:c r="J834" s="1537" t="str"/>
    </x:row>
    <x:row r="835" ht="19" customHeight="1">
      <x:c r="A835" t="str">
        <x:v>550 x 806 cm</x:v>
      </x:c>
      <x:c r="B835" t="str">
        <x:v>awning</x:v>
      </x:c>
      <x:c r="C835" s="1533" t="n">
        <x:v>11281</x:v>
      </x:c>
      <x:c r="D835" s="1533" t="n">
        <x:v>12183</x:v>
      </x:c>
      <x:c r="E835" s="1533" t="n">
        <x:v>12183.48</x:v>
      </x:c>
      <x:c r="F835" s="1533" t="n">
        <x:v>12183</x:v>
      </x:c>
      <x:c r="G835" s="1535" t="n">
        <x:v>0</x:v>
      </x:c>
      <x:c r="H835" s="1535" t="n">
        <x:v>0</x:v>
      </x:c>
      <x:c r="I835" t="str">
        <x:v>OK — pełna zgodność</x:v>
      </x:c>
      <x:c r="J835" s="1537" t="str"/>
    </x:row>
    <x:row r="836" ht="19" customHeight="1">
      <x:c r="A836" t="str">
        <x:v>550 x 806 cm</x:v>
      </x:c>
      <x:c r="B836" t="str">
        <x:v>foundation</x:v>
      </x:c>
      <x:c r="C836" s="1533" t="n">
        <x:v>3550</x:v>
      </x:c>
      <x:c r="D836" s="1533" t="n">
        <x:v>3834</x:v>
      </x:c>
      <x:c r="E836" s="1533" t="n">
        <x:v>3834</x:v>
      </x:c>
      <x:c r="F836" s="1533" t="n">
        <x:v>3834</x:v>
      </x:c>
      <x:c r="G836" s="1535" t="n">
        <x:v>0</x:v>
      </x:c>
      <x:c r="H836" s="1535" t="n">
        <x:v>0</x:v>
      </x:c>
      <x:c r="I836" t="str">
        <x:v>OK — pełna zgodność</x:v>
      </x:c>
      <x:c r="J836" s="1537" t="str"/>
    </x:row>
    <x:row r="837" ht="19" customHeight="1">
      <x:c r="A837" t="str">
        <x:v>550 x 806 cm</x:v>
      </x:c>
      <x:c r="B837" t="str">
        <x:v>led_point</x:v>
      </x:c>
      <x:c r="C837" s="1533" t="n">
        <x:v>1698</x:v>
      </x:c>
      <x:c r="D837" s="1533" t="n">
        <x:v>1834</x:v>
      </x:c>
      <x:c r="E837" s="1533" t="n">
        <x:v>1833.84</x:v>
      </x:c>
      <x:c r="F837" s="1533" t="n">
        <x:v>1834</x:v>
      </x:c>
      <x:c r="G837" s="1535" t="n">
        <x:v>0</x:v>
      </x:c>
      <x:c r="H837" s="1535" t="n">
        <x:v>0</x:v>
      </x:c>
      <x:c r="I837" t="str">
        <x:v>OK — pełna zgodność</x:v>
      </x:c>
      <x:c r="J837" s="1537" t="str"/>
    </x:row>
    <x:row r="838" ht="19" customHeight="1">
      <x:c r="A838" t="str">
        <x:v>550 x 806 cm</x:v>
      </x:c>
      <x:c r="B838" t="str">
        <x:v>led_cct</x:v>
      </x:c>
      <x:c r="C838" s="1533" t="n">
        <x:v>4485</x:v>
      </x:c>
      <x:c r="D838" s="1533" t="n">
        <x:v>4843</x:v>
      </x:c>
      <x:c r="E838" s="1533" t="n">
        <x:v>4843.8</x:v>
      </x:c>
      <x:c r="F838" s="1533" t="n">
        <x:v>4844</x:v>
      </x:c>
      <x:c r="G838" s="1535" t="n">
        <x:v>1</x:v>
      </x:c>
      <x:c r="H838" s="1535" t="n">
        <x:v>1</x:v>
      </x:c>
      <x:c r="I838" t="str">
        <x:v>OK — zaokrąglenie ±1 zł</x:v>
      </x:c>
      <x:c r="J838" s="1537" t="str"/>
    </x:row>
    <x:row r="839" ht="19" customHeight="1">
      <x:c r="A839" t="str">
        <x:v>550 x 806 cm</x:v>
      </x:c>
      <x:c r="B839" t="str">
        <x:v>brushes</x:v>
      </x:c>
      <x:c r="C839" s="1533" t="n">
        <x:v>813</x:v>
      </x:c>
      <x:c r="D839" s="1533" t="n">
        <x:v>878</x:v>
      </x:c>
      <x:c r="E839" s="1533" t="n">
        <x:v>878.04</x:v>
      </x:c>
      <x:c r="F839" s="1533" t="n">
        <x:v>878</x:v>
      </x:c>
      <x:c r="G839" s="1535" t="n">
        <x:v>0</x:v>
      </x:c>
      <x:c r="H839" s="1535" t="n">
        <x:v>0</x:v>
      </x:c>
      <x:c r="I839" t="str">
        <x:v>OK — pełna zgodność</x:v>
      </x:c>
      <x:c r="J839" s="1537" t="str"/>
    </x:row>
    <x:row r="840" ht="19" customHeight="1">
      <x:c r="A840" t="str">
        <x:v>550 x 806 cm</x:v>
      </x:c>
      <x:c r="B840" t="str">
        <x:v>handles</x:v>
      </x:c>
      <x:c r="C840" s="1533" t="n">
        <x:v>731</x:v>
      </x:c>
      <x:c r="D840" s="1533" t="n">
        <x:v>789</x:v>
      </x:c>
      <x:c r="E840" s="1533" t="n">
        <x:v>789.48</x:v>
      </x:c>
      <x:c r="F840" s="1533" t="n">
        <x:v>789</x:v>
      </x:c>
      <x:c r="G840" s="1535" t="n">
        <x:v>0</x:v>
      </x:c>
      <x:c r="H840" s="1535" t="n">
        <x:v>0</x:v>
      </x:c>
      <x:c r="I840" t="str">
        <x:v>OK — pełna zgodność</x:v>
      </x:c>
      <x:c r="J840" s="1537" t="str"/>
    </x:row>
    <x:row r="841" ht="19" customHeight="1">
      <x:c r="A841" t="str">
        <x:v>550 x 806 cm</x:v>
      </x:c>
      <x:c r="B841" t="str">
        <x:v>carriers</x:v>
      </x:c>
      <x:c r="C841" s="1533" t="n">
        <x:v>754</x:v>
      </x:c>
      <x:c r="D841" s="1533" t="n">
        <x:v>814</x:v>
      </x:c>
      <x:c r="E841" s="1533" t="n">
        <x:v>814.32</x:v>
      </x:c>
      <x:c r="F841" s="1533" t="n">
        <x:v>814</x:v>
      </x:c>
      <x:c r="G841" s="1535" t="n">
        <x:v>0</x:v>
      </x:c>
      <x:c r="H841" s="1535" t="n">
        <x:v>0</x:v>
      </x:c>
      <x:c r="I841" t="str">
        <x:v>OK — pełna zgodność</x:v>
      </x:c>
      <x:c r="J841" s="1537" t="str"/>
    </x:row>
    <x:row r="842" ht="19" customHeight="1">
      <x:c r="A842" t="str">
        <x:v>550 x 906 cm</x:v>
      </x:c>
      <x:c r="B842" t="str">
        <x:v>base_poly</x:v>
      </x:c>
      <x:c r="C842" s="1533" t="n">
        <x:v>40497</x:v>
      </x:c>
      <x:c r="D842" s="1533" t="n">
        <x:v>43737</x:v>
      </x:c>
      <x:c r="E842" s="1533" t="n">
        <x:v>43736.76</x:v>
      </x:c>
      <x:c r="F842" s="1533" t="n">
        <x:v>43737</x:v>
      </x:c>
      <x:c r="G842" s="1535" t="n">
        <x:v>0</x:v>
      </x:c>
      <x:c r="H842" s="1535" t="n">
        <x:v>0</x:v>
      </x:c>
      <x:c r="I842" t="str">
        <x:v>OK — pełna zgodność</x:v>
      </x:c>
      <x:c r="J842" s="1537" t="str"/>
    </x:row>
    <x:row r="843" ht="19" customHeight="1">
      <x:c r="A843" t="str">
        <x:v>550 x 906 cm</x:v>
      </x:c>
      <x:c r="B843" t="str">
        <x:v>walls_clear</x:v>
      </x:c>
      <x:c r="C843" s="1533" t="n">
        <x:v>27640</x:v>
      </x:c>
      <x:c r="D843" s="1533" t="n">
        <x:v>29851</x:v>
      </x:c>
      <x:c r="E843" s="1533" t="n">
        <x:v>29851.2</x:v>
      </x:c>
      <x:c r="F843" s="1533" t="n">
        <x:v>29851</x:v>
      </x:c>
      <x:c r="G843" s="1535" t="n">
        <x:v>0</x:v>
      </x:c>
      <x:c r="H843" s="1535" t="n">
        <x:v>0</x:v>
      </x:c>
      <x:c r="I843" t="str">
        <x:v>OK — pełna zgodność</x:v>
      </x:c>
      <x:c r="J843" s="1537" t="str"/>
    </x:row>
    <x:row r="844" ht="19" customHeight="1">
      <x:c r="A844" t="str">
        <x:v>550 x 906 cm</x:v>
      </x:c>
      <x:c r="B844" t="str">
        <x:v>walls_tinted</x:v>
      </x:c>
      <x:c r="C844" s="1533" t="n">
        <x:v>30611</x:v>
      </x:c>
      <x:c r="D844" s="1533" t="n">
        <x:v>33060</x:v>
      </x:c>
      <x:c r="E844" s="1533" t="n">
        <x:v>33059.88</x:v>
      </x:c>
      <x:c r="F844" s="1533" t="n">
        <x:v>33060</x:v>
      </x:c>
      <x:c r="G844" s="1535" t="n">
        <x:v>0</x:v>
      </x:c>
      <x:c r="H844" s="1535" t="n">
        <x:v>0</x:v>
      </x:c>
      <x:c r="I844" t="str">
        <x:v>OK — pełna zgodność</x:v>
      </x:c>
      <x:c r="J844" s="1537" t="str">
        <x:v>Pozycja złożona; stary eksport mógł zaokrąglać składniki osobno.</x:v>
      </x:c>
    </x:row>
    <x:row r="845" ht="19" customHeight="1">
      <x:c r="A845" t="str">
        <x:v>550 x 906 cm</x:v>
      </x:c>
      <x:c r="B845" t="str">
        <x:v>roof_poly_colored</x:v>
      </x:c>
      <x:c r="C845" s="1533" t="n">
        <x:v>1014</x:v>
      </x:c>
      <x:c r="D845" s="1533" t="n">
        <x:v>1095</x:v>
      </x:c>
      <x:c r="E845" s="1533" t="n">
        <x:v>1095.12</x:v>
      </x:c>
      <x:c r="F845" s="1533" t="n">
        <x:v>1095</x:v>
      </x:c>
      <x:c r="G845" s="1535" t="n">
        <x:v>0</x:v>
      </x:c>
      <x:c r="H845" s="1535" t="n">
        <x:v>0</x:v>
      </x:c>
      <x:c r="I845" t="str">
        <x:v>OK — pełna zgodność</x:v>
      </x:c>
      <x:c r="J845" s="1537" t="str"/>
    </x:row>
    <x:row r="846" ht="19" customHeight="1">
      <x:c r="A846" t="str">
        <x:v>550 x 906 cm</x:v>
      </x:c>
      <x:c r="B846" t="str">
        <x:v>roof_glass_clear</x:v>
      </x:c>
      <x:c r="C846" s="1533" t="n">
        <x:v>0</x:v>
      </x:c>
      <x:c r="D846" s="1533" t="n">
        <x:v>0</x:v>
      </x:c>
      <x:c r="E846" s="1533" t="n">
        <x:v>0</x:v>
      </x:c>
      <x:c r="F846" s="1533" t="n">
        <x:v>0</x:v>
      </x:c>
      <x:c r="G846" s="1535" t="n">
        <x:v>0</x:v>
      </x:c>
      <x:c r="H846" s="1535" t="n">
        <x:v>0</x:v>
      </x:c>
      <x:c r="I846" t="str">
        <x:v>OK — pełna zgodność</x:v>
      </x:c>
      <x:c r="J846" s="1537" t="str">
        <x:v>Szkło niedostępne dla tego wymiaru — poprawnie 0.</x:v>
      </x:c>
    </x:row>
    <x:row r="847" ht="19" customHeight="1">
      <x:c r="A847" t="str">
        <x:v>550 x 906 cm</x:v>
      </x:c>
      <x:c r="B847" t="str">
        <x:v>roof_glass_tinted</x:v>
      </x:c>
      <x:c r="C847" s="1533" t="n">
        <x:v>0</x:v>
      </x:c>
      <x:c r="D847" s="1533" t="n">
        <x:v>0</x:v>
      </x:c>
      <x:c r="E847" s="1533" t="n">
        <x:v>0</x:v>
      </x:c>
      <x:c r="F847" s="1533" t="n">
        <x:v>0</x:v>
      </x:c>
      <x:c r="G847" s="1535" t="n">
        <x:v>0</x:v>
      </x:c>
      <x:c r="H847" s="1535" t="n">
        <x:v>0</x:v>
      </x:c>
      <x:c r="I847" t="str">
        <x:v>OK — pełna zgodność</x:v>
      </x:c>
      <x:c r="J847" s="1537" t="str">
        <x:v>Szkło niedostępne dla tego wymiaru — poprawnie 0.</x:v>
      </x:c>
    </x:row>
    <x:row r="848" ht="19" customHeight="1">
      <x:c r="A848" t="str">
        <x:v>550 x 906 cm</x:v>
      </x:c>
      <x:c r="B848" t="str">
        <x:v>zip_side</x:v>
      </x:c>
      <x:c r="C848" s="1533" t="n">
        <x:v>4692</x:v>
      </x:c>
      <x:c r="D848" s="1533" t="n">
        <x:v>5067</x:v>
      </x:c>
      <x:c r="E848" s="1533" t="n">
        <x:v>5067.36</x:v>
      </x:c>
      <x:c r="F848" s="1533" t="n">
        <x:v>5067</x:v>
      </x:c>
      <x:c r="G848" s="1535" t="n">
        <x:v>0</x:v>
      </x:c>
      <x:c r="H848" s="1535" t="n">
        <x:v>0</x:v>
      </x:c>
      <x:c r="I848" t="str">
        <x:v>OK — pełna zgodność</x:v>
      </x:c>
      <x:c r="J848" s="1537" t="str"/>
    </x:row>
    <x:row r="849" ht="19" customHeight="1">
      <x:c r="A849" t="str">
        <x:v>550 x 906 cm</x:v>
      </x:c>
      <x:c r="B849" t="str">
        <x:v>zip_front</x:v>
      </x:c>
      <x:c r="C849" s="1533" t="n">
        <x:v>7544</x:v>
      </x:c>
      <x:c r="D849" s="1533" t="n">
        <x:v>8148</x:v>
      </x:c>
      <x:c r="E849" s="1533" t="n">
        <x:v>8147.52</x:v>
      </x:c>
      <x:c r="F849" s="1533" t="n">
        <x:v>8148</x:v>
      </x:c>
      <x:c r="G849" s="1535" t="n">
        <x:v>0</x:v>
      </x:c>
      <x:c r="H849" s="1535" t="n">
        <x:v>0</x:v>
      </x:c>
      <x:c r="I849" t="str">
        <x:v>OK — pełna zgodność</x:v>
      </x:c>
      <x:c r="J849" s="1537" t="str"/>
    </x:row>
    <x:row r="850" ht="19" customHeight="1">
      <x:c r="A850" t="str">
        <x:v>550 x 906 cm</x:v>
      </x:c>
      <x:c r="B850" t="str">
        <x:v>awning</x:v>
      </x:c>
      <x:c r="C850" s="1533" t="n">
        <x:v>12190</x:v>
      </x:c>
      <x:c r="D850" s="1533" t="n">
        <x:v>13165</x:v>
      </x:c>
      <x:c r="E850" s="1533" t="n">
        <x:v>13165.2</x:v>
      </x:c>
      <x:c r="F850" s="1533" t="n">
        <x:v>13165</x:v>
      </x:c>
      <x:c r="G850" s="1535" t="n">
        <x:v>0</x:v>
      </x:c>
      <x:c r="H850" s="1535" t="n">
        <x:v>0</x:v>
      </x:c>
      <x:c r="I850" t="str">
        <x:v>OK — pełna zgodność</x:v>
      </x:c>
      <x:c r="J850" s="1537" t="str"/>
    </x:row>
    <x:row r="851" ht="19" customHeight="1">
      <x:c r="A851" t="str">
        <x:v>550 x 906 cm</x:v>
      </x:c>
      <x:c r="B851" t="str">
        <x:v>foundation</x:v>
      </x:c>
      <x:c r="C851" s="1533" t="n">
        <x:v>3781</x:v>
      </x:c>
      <x:c r="D851" s="1533" t="n">
        <x:v>4083</x:v>
      </x:c>
      <x:c r="E851" s="1533" t="n">
        <x:v>4083.48</x:v>
      </x:c>
      <x:c r="F851" s="1533" t="n">
        <x:v>4083</x:v>
      </x:c>
      <x:c r="G851" s="1535" t="n">
        <x:v>0</x:v>
      </x:c>
      <x:c r="H851" s="1535" t="n">
        <x:v>0</x:v>
      </x:c>
      <x:c r="I851" t="str">
        <x:v>OK — pełna zgodność</x:v>
      </x:c>
      <x:c r="J851" s="1537" t="str"/>
    </x:row>
    <x:row r="852" ht="19" customHeight="1">
      <x:c r="A852" t="str">
        <x:v>550 x 906 cm</x:v>
      </x:c>
      <x:c r="B852" t="str">
        <x:v>led_point</x:v>
      </x:c>
      <x:c r="C852" s="1533" t="n">
        <x:v>1839</x:v>
      </x:c>
      <x:c r="D852" s="1533" t="n">
        <x:v>1986</x:v>
      </x:c>
      <x:c r="E852" s="1533" t="n">
        <x:v>1986.12</x:v>
      </x:c>
      <x:c r="F852" s="1533" t="n">
        <x:v>1986</x:v>
      </x:c>
      <x:c r="G852" s="1535" t="n">
        <x:v>0</x:v>
      </x:c>
      <x:c r="H852" s="1535" t="n">
        <x:v>0</x:v>
      </x:c>
      <x:c r="I852" t="str">
        <x:v>OK — pełna zgodność</x:v>
      </x:c>
      <x:c r="J852" s="1537" t="str"/>
    </x:row>
    <x:row r="853" ht="19" customHeight="1">
      <x:c r="A853" t="str">
        <x:v>550 x 906 cm</x:v>
      </x:c>
      <x:c r="B853" t="str">
        <x:v>led_cct</x:v>
      </x:c>
      <x:c r="C853" s="1533" t="n">
        <x:v>4809</x:v>
      </x:c>
      <x:c r="D853" s="1533" t="n">
        <x:v>5194</x:v>
      </x:c>
      <x:c r="E853" s="1533" t="n">
        <x:v>5193.72</x:v>
      </x:c>
      <x:c r="F853" s="1533" t="n">
        <x:v>5194</x:v>
      </x:c>
      <x:c r="G853" s="1535" t="n">
        <x:v>0</x:v>
      </x:c>
      <x:c r="H853" s="1535" t="n">
        <x:v>0</x:v>
      </x:c>
      <x:c r="I853" t="str">
        <x:v>OK — pełna zgodność</x:v>
      </x:c>
      <x:c r="J853" s="1537" t="str"/>
    </x:row>
    <x:row r="854" ht="19" customHeight="1">
      <x:c r="A854" t="str">
        <x:v>550 x 906 cm</x:v>
      </x:c>
      <x:c r="B854" t="str">
        <x:v>brushes</x:v>
      </x:c>
      <x:c r="C854" s="1533" t="n">
        <x:v>848</x:v>
      </x:c>
      <x:c r="D854" s="1533" t="n">
        <x:v>916</x:v>
      </x:c>
      <x:c r="E854" s="1533" t="n">
        <x:v>915.84</x:v>
      </x:c>
      <x:c r="F854" s="1533" t="n">
        <x:v>916</x:v>
      </x:c>
      <x:c r="G854" s="1535" t="n">
        <x:v>0</x:v>
      </x:c>
      <x:c r="H854" s="1535" t="n">
        <x:v>0</x:v>
      </x:c>
      <x:c r="I854" t="str">
        <x:v>OK — pełna zgodność</x:v>
      </x:c>
      <x:c r="J854" s="1537" t="str"/>
    </x:row>
    <x:row r="855" ht="19" customHeight="1">
      <x:c r="A855" t="str">
        <x:v>550 x 906 cm</x:v>
      </x:c>
      <x:c r="B855" t="str">
        <x:v>handles</x:v>
      </x:c>
      <x:c r="C855" s="1533" t="n">
        <x:v>766</x:v>
      </x:c>
      <x:c r="D855" s="1533" t="n">
        <x:v>827</x:v>
      </x:c>
      <x:c r="E855" s="1533" t="n">
        <x:v>827.28</x:v>
      </x:c>
      <x:c r="F855" s="1533" t="n">
        <x:v>827</x:v>
      </x:c>
      <x:c r="G855" s="1535" t="n">
        <x:v>0</x:v>
      </x:c>
      <x:c r="H855" s="1535" t="n">
        <x:v>0</x:v>
      </x:c>
      <x:c r="I855" t="str">
        <x:v>OK — pełna zgodność</x:v>
      </x:c>
      <x:c r="J855" s="1537" t="str"/>
    </x:row>
    <x:row r="856" ht="19" customHeight="1">
      <x:c r="A856" t="str">
        <x:v>550 x 906 cm</x:v>
      </x:c>
      <x:c r="B856" t="str">
        <x:v>carriers</x:v>
      </x:c>
      <x:c r="C856" s="1533" t="n">
        <x:v>754</x:v>
      </x:c>
      <x:c r="D856" s="1533" t="n">
        <x:v>814</x:v>
      </x:c>
      <x:c r="E856" s="1533" t="n">
        <x:v>814.32</x:v>
      </x:c>
      <x:c r="F856" s="1533" t="n">
        <x:v>814</x:v>
      </x:c>
      <x:c r="G856" s="1535" t="n">
        <x:v>0</x:v>
      </x:c>
      <x:c r="H856" s="1535" t="n">
        <x:v>0</x:v>
      </x:c>
      <x:c r="I856" t="str">
        <x:v>OK — pełna zgodność</x:v>
      </x:c>
      <x:c r="J856" s="1537" t="str"/>
    </x:row>
    <x:row r="857" ht="19" customHeight="1">
      <x:c r="A857" t="str">
        <x:v>550 x 1006 cm</x:v>
      </x:c>
      <x:c r="B857" t="str">
        <x:v>base_poly</x:v>
      </x:c>
      <x:c r="C857" s="1533" t="n">
        <x:v>44377</x:v>
      </x:c>
      <x:c r="D857" s="1533" t="n">
        <x:v>47927</x:v>
      </x:c>
      <x:c r="E857" s="1533" t="n">
        <x:v>47927.16</x:v>
      </x:c>
      <x:c r="F857" s="1533" t="n">
        <x:v>47927</x:v>
      </x:c>
      <x:c r="G857" s="1535" t="n">
        <x:v>0</x:v>
      </x:c>
      <x:c r="H857" s="1535" t="n">
        <x:v>0</x:v>
      </x:c>
      <x:c r="I857" t="str">
        <x:v>OK — pełna zgodność</x:v>
      </x:c>
      <x:c r="J857" s="1537" t="str"/>
    </x:row>
    <x:row r="858" ht="19" customHeight="1">
      <x:c r="A858" t="str">
        <x:v>550 x 1006 cm</x:v>
      </x:c>
      <x:c r="B858" t="str">
        <x:v>walls_clear</x:v>
      </x:c>
      <x:c r="C858" s="1533" t="n">
        <x:v>28971</x:v>
      </x:c>
      <x:c r="D858" s="1533" t="n">
        <x:v>31289</x:v>
      </x:c>
      <x:c r="E858" s="1533" t="n">
        <x:v>31288.68</x:v>
      </x:c>
      <x:c r="F858" s="1533" t="n">
        <x:v>31289</x:v>
      </x:c>
      <x:c r="G858" s="1535" t="n">
        <x:v>0</x:v>
      </x:c>
      <x:c r="H858" s="1535" t="n">
        <x:v>0</x:v>
      </x:c>
      <x:c r="I858" t="str">
        <x:v>OK — pełna zgodność</x:v>
      </x:c>
      <x:c r="J858" s="1537" t="str"/>
    </x:row>
    <x:row r="859" ht="19" customHeight="1">
      <x:c r="A859" t="str">
        <x:v>550 x 1006 cm</x:v>
      </x:c>
      <x:c r="B859" t="str">
        <x:v>walls_tinted</x:v>
      </x:c>
      <x:c r="C859" s="1533" t="n">
        <x:v>32083</x:v>
      </x:c>
      <x:c r="D859" s="1533" t="n">
        <x:v>34650</x:v>
      </x:c>
      <x:c r="E859" s="1533" t="n">
        <x:v>34649.64</x:v>
      </x:c>
      <x:c r="F859" s="1533" t="n">
        <x:v>34650</x:v>
      </x:c>
      <x:c r="G859" s="1535" t="n">
        <x:v>0</x:v>
      </x:c>
      <x:c r="H859" s="1535" t="n">
        <x:v>0</x:v>
      </x:c>
      <x:c r="I859" t="str">
        <x:v>OK — pełna zgodność</x:v>
      </x:c>
      <x:c r="J859" s="1537" t="str">
        <x:v>Pozycja złożona; stary eksport mógł zaokrąglać składniki osobno.</x:v>
      </x:c>
    </x:row>
    <x:row r="860" ht="19" customHeight="1">
      <x:c r="A860" t="str">
        <x:v>550 x 1006 cm</x:v>
      </x:c>
      <x:c r="B860" t="str">
        <x:v>roof_poly_colored</x:v>
      </x:c>
      <x:c r="C860" s="1533" t="n">
        <x:v>1131</x:v>
      </x:c>
      <x:c r="D860" s="1533" t="n">
        <x:v>1221</x:v>
      </x:c>
      <x:c r="E860" s="1533" t="n">
        <x:v>1221.48</x:v>
      </x:c>
      <x:c r="F860" s="1533" t="n">
        <x:v>1221</x:v>
      </x:c>
      <x:c r="G860" s="1535" t="n">
        <x:v>0</x:v>
      </x:c>
      <x:c r="H860" s="1535" t="n">
        <x:v>0</x:v>
      </x:c>
      <x:c r="I860" t="str">
        <x:v>OK — pełna zgodność</x:v>
      </x:c>
      <x:c r="J860" s="1537" t="str"/>
    </x:row>
    <x:row r="861" ht="19" customHeight="1">
      <x:c r="A861" t="str">
        <x:v>550 x 1006 cm</x:v>
      </x:c>
      <x:c r="B861" t="str">
        <x:v>roof_glass_clear</x:v>
      </x:c>
      <x:c r="C861" s="1533" t="n">
        <x:v>0</x:v>
      </x:c>
      <x:c r="D861" s="1533" t="n">
        <x:v>0</x:v>
      </x:c>
      <x:c r="E861" s="1533" t="n">
        <x:v>0</x:v>
      </x:c>
      <x:c r="F861" s="1533" t="n">
        <x:v>0</x:v>
      </x:c>
      <x:c r="G861" s="1535" t="n">
        <x:v>0</x:v>
      </x:c>
      <x:c r="H861" s="1535" t="n">
        <x:v>0</x:v>
      </x:c>
      <x:c r="I861" t="str">
        <x:v>OK — pełna zgodność</x:v>
      </x:c>
      <x:c r="J861" s="1537" t="str">
        <x:v>Szkło niedostępne dla tego wymiaru — poprawnie 0.</x:v>
      </x:c>
    </x:row>
    <x:row r="862" ht="19" customHeight="1">
      <x:c r="A862" t="str">
        <x:v>550 x 1006 cm</x:v>
      </x:c>
      <x:c r="B862" t="str">
        <x:v>roof_glass_tinted</x:v>
      </x:c>
      <x:c r="C862" s="1533" t="n">
        <x:v>0</x:v>
      </x:c>
      <x:c r="D862" s="1533" t="n">
        <x:v>0</x:v>
      </x:c>
      <x:c r="E862" s="1533" t="n">
        <x:v>0</x:v>
      </x:c>
      <x:c r="F862" s="1533" t="n">
        <x:v>0</x:v>
      </x:c>
      <x:c r="G862" s="1535" t="n">
        <x:v>0</x:v>
      </x:c>
      <x:c r="H862" s="1535" t="n">
        <x:v>0</x:v>
      </x:c>
      <x:c r="I862" t="str">
        <x:v>OK — pełna zgodność</x:v>
      </x:c>
      <x:c r="J862" s="1537" t="str">
        <x:v>Szkło niedostępne dla tego wymiaru — poprawnie 0.</x:v>
      </x:c>
    </x:row>
    <x:row r="863" ht="19" customHeight="1">
      <x:c r="A863" t="str">
        <x:v>550 x 1006 cm</x:v>
      </x:c>
      <x:c r="B863" t="str">
        <x:v>zip_side</x:v>
      </x:c>
      <x:c r="C863" s="1533" t="n">
        <x:v>4692</x:v>
      </x:c>
      <x:c r="D863" s="1533" t="n">
        <x:v>5067</x:v>
      </x:c>
      <x:c r="E863" s="1533" t="n">
        <x:v>5067.36</x:v>
      </x:c>
      <x:c r="F863" s="1533" t="n">
        <x:v>5067</x:v>
      </x:c>
      <x:c r="G863" s="1535" t="n">
        <x:v>0</x:v>
      </x:c>
      <x:c r="H863" s="1535" t="n">
        <x:v>0</x:v>
      </x:c>
      <x:c r="I863" t="str">
        <x:v>OK — pełna zgodność</x:v>
      </x:c>
      <x:c r="J863" s="1537" t="str"/>
    </x:row>
    <x:row r="864" ht="19" customHeight="1">
      <x:c r="A864" t="str">
        <x:v>550 x 1006 cm</x:v>
      </x:c>
      <x:c r="B864" t="str">
        <x:v>zip_front</x:v>
      </x:c>
      <x:c r="C864" s="1533" t="n">
        <x:v>8146</x:v>
      </x:c>
      <x:c r="D864" s="1533" t="n">
        <x:v>8798</x:v>
      </x:c>
      <x:c r="E864" s="1533" t="n">
        <x:v>8797.68</x:v>
      </x:c>
      <x:c r="F864" s="1533" t="n">
        <x:v>8798</x:v>
      </x:c>
      <x:c r="G864" s="1535" t="n">
        <x:v>0</x:v>
      </x:c>
      <x:c r="H864" s="1535" t="n">
        <x:v>0</x:v>
      </x:c>
      <x:c r="I864" t="str">
        <x:v>OK — pełna zgodność</x:v>
      </x:c>
      <x:c r="J864" s="1537" t="str"/>
    </x:row>
    <x:row r="865" ht="19" customHeight="1">
      <x:c r="A865" t="str">
        <x:v>550 x 1006 cm</x:v>
      </x:c>
      <x:c r="B865" t="str">
        <x:v>awning</x:v>
      </x:c>
      <x:c r="C865" s="1533" t="n">
        <x:v>13109</x:v>
      </x:c>
      <x:c r="D865" s="1533" t="n">
        <x:v>14158</x:v>
      </x:c>
      <x:c r="E865" s="1533" t="n">
        <x:v>14157.72</x:v>
      </x:c>
      <x:c r="F865" s="1533" t="n">
        <x:v>14158</x:v>
      </x:c>
      <x:c r="G865" s="1535" t="n">
        <x:v>0</x:v>
      </x:c>
      <x:c r="H865" s="1535" t="n">
        <x:v>0</x:v>
      </x:c>
      <x:c r="I865" t="str">
        <x:v>OK — pełna zgodność</x:v>
      </x:c>
      <x:c r="J865" s="1537" t="str"/>
    </x:row>
    <x:row r="866" ht="19" customHeight="1">
      <x:c r="A866" t="str">
        <x:v>550 x 1006 cm</x:v>
      </x:c>
      <x:c r="B866" t="str">
        <x:v>foundation</x:v>
      </x:c>
      <x:c r="C866" s="1533" t="n">
        <x:v>4052</x:v>
      </x:c>
      <x:c r="D866" s="1533" t="n">
        <x:v>4376</x:v>
      </x:c>
      <x:c r="E866" s="1533" t="n">
        <x:v>4376.16</x:v>
      </x:c>
      <x:c r="F866" s="1533" t="n">
        <x:v>4376</x:v>
      </x:c>
      <x:c r="G866" s="1535" t="n">
        <x:v>0</x:v>
      </x:c>
      <x:c r="H866" s="1535" t="n">
        <x:v>0</x:v>
      </x:c>
      <x:c r="I866" t="str">
        <x:v>OK — pełna zgodność</x:v>
      </x:c>
      <x:c r="J866" s="1537" t="str"/>
    </x:row>
    <x:row r="867" ht="19" customHeight="1">
      <x:c r="A867" t="str">
        <x:v>550 x 1006 cm</x:v>
      </x:c>
      <x:c r="B867" t="str">
        <x:v>led_point</x:v>
      </x:c>
      <x:c r="C867" s="1533" t="n">
        <x:v>1944</x:v>
      </x:c>
      <x:c r="D867" s="1533" t="n">
        <x:v>2100</x:v>
      </x:c>
      <x:c r="E867" s="1533" t="n">
        <x:v>2099.52</x:v>
      </x:c>
      <x:c r="F867" s="1533" t="n">
        <x:v>2100</x:v>
      </x:c>
      <x:c r="G867" s="1535" t="n">
        <x:v>0</x:v>
      </x:c>
      <x:c r="H867" s="1535" t="n">
        <x:v>0</x:v>
      </x:c>
      <x:c r="I867" t="str">
        <x:v>OK — pełna zgodność</x:v>
      </x:c>
      <x:c r="J867" s="1537" t="str"/>
    </x:row>
    <x:row r="868" ht="19" customHeight="1">
      <x:c r="A868" t="str">
        <x:v>550 x 1006 cm</x:v>
      </x:c>
      <x:c r="B868" t="str">
        <x:v>led_cct</x:v>
      </x:c>
      <x:c r="C868" s="1533" t="n">
        <x:v>4831</x:v>
      </x:c>
      <x:c r="D868" s="1533" t="n">
        <x:v>5217</x:v>
      </x:c>
      <x:c r="E868" s="1533" t="n">
        <x:v>5217.48</x:v>
      </x:c>
      <x:c r="F868" s="1533" t="n">
        <x:v>5217</x:v>
      </x:c>
      <x:c r="G868" s="1535" t="n">
        <x:v>0</x:v>
      </x:c>
      <x:c r="H868" s="1535" t="n">
        <x:v>0</x:v>
      </x:c>
      <x:c r="I868" t="str">
        <x:v>OK — pełna zgodność</x:v>
      </x:c>
      <x:c r="J868" s="1537" t="str"/>
    </x:row>
    <x:row r="869" ht="19" customHeight="1">
      <x:c r="A869" t="str">
        <x:v>550 x 1006 cm</x:v>
      </x:c>
      <x:c r="B869" t="str">
        <x:v>brushes</x:v>
      </x:c>
      <x:c r="C869" s="1533" t="n">
        <x:v>896</x:v>
      </x:c>
      <x:c r="D869" s="1533" t="n">
        <x:v>968</x:v>
      </x:c>
      <x:c r="E869" s="1533" t="n">
        <x:v>967.68</x:v>
      </x:c>
      <x:c r="F869" s="1533" t="n">
        <x:v>968</x:v>
      </x:c>
      <x:c r="G869" s="1535" t="n">
        <x:v>0</x:v>
      </x:c>
      <x:c r="H869" s="1535" t="n">
        <x:v>0</x:v>
      </x:c>
      <x:c r="I869" t="str">
        <x:v>OK — pełna zgodność</x:v>
      </x:c>
      <x:c r="J869" s="1537" t="str"/>
    </x:row>
    <x:row r="870" ht="19" customHeight="1">
      <x:c r="A870" t="str">
        <x:v>550 x 1006 cm</x:v>
      </x:c>
      <x:c r="B870" t="str">
        <x:v>handles</x:v>
      </x:c>
      <x:c r="C870" s="1533" t="n">
        <x:v>813</x:v>
      </x:c>
      <x:c r="D870" s="1533" t="n">
        <x:v>878</x:v>
      </x:c>
      <x:c r="E870" s="1533" t="n">
        <x:v>878.04</x:v>
      </x:c>
      <x:c r="F870" s="1533" t="n">
        <x:v>878</x:v>
      </x:c>
      <x:c r="G870" s="1535" t="n">
        <x:v>0</x:v>
      </x:c>
      <x:c r="H870" s="1535" t="n">
        <x:v>0</x:v>
      </x:c>
      <x:c r="I870" t="str">
        <x:v>OK — pełna zgodność</x:v>
      </x:c>
      <x:c r="J870" s="1537" t="str"/>
    </x:row>
    <x:row r="871" ht="19" customHeight="1">
      <x:c r="A871" t="str">
        <x:v>550 x 1006 cm</x:v>
      </x:c>
      <x:c r="B871" t="str">
        <x:v>carriers</x:v>
      </x:c>
      <x:c r="C871" s="1533" t="n">
        <x:v>802</x:v>
      </x:c>
      <x:c r="D871" s="1533" t="n">
        <x:v>866</x:v>
      </x:c>
      <x:c r="E871" s="1533" t="n">
        <x:v>866.16</x:v>
      </x:c>
      <x:c r="F871" s="1533" t="n">
        <x:v>866</x:v>
      </x:c>
      <x:c r="G871" s="1535" t="n">
        <x:v>0</x:v>
      </x:c>
      <x:c r="H871" s="1535" t="n">
        <x:v>0</x:v>
      </x:c>
      <x:c r="I871" t="str">
        <x:v>OK — pełna zgodność</x:v>
      </x:c>
      <x:c r="J871" s="1537" t="str"/>
    </x:row>
    <x:row r="872" ht="19" customHeight="1">
      <x:c r="A872" t="str">
        <x:v>550 x 1106 cm</x:v>
      </x:c>
      <x:c r="B872" t="str">
        <x:v>base_poly</x:v>
      </x:c>
      <x:c r="C872" s="1533" t="n">
        <x:v>48274</x:v>
      </x:c>
      <x:c r="D872" s="1533" t="n">
        <x:v>52136</x:v>
      </x:c>
      <x:c r="E872" s="1533" t="n">
        <x:v>52135.92</x:v>
      </x:c>
      <x:c r="F872" s="1533" t="n">
        <x:v>52136</x:v>
      </x:c>
      <x:c r="G872" s="1535" t="n">
        <x:v>0</x:v>
      </x:c>
      <x:c r="H872" s="1535" t="n">
        <x:v>0</x:v>
      </x:c>
      <x:c r="I872" t="str">
        <x:v>OK — pełna zgodność</x:v>
      </x:c>
      <x:c r="J872" s="1537" t="str"/>
    </x:row>
    <x:row r="873" ht="19" customHeight="1">
      <x:c r="A873" t="str">
        <x:v>550 x 1106 cm</x:v>
      </x:c>
      <x:c r="B873" t="str">
        <x:v>walls_clear</x:v>
      </x:c>
      <x:c r="C873" s="1533" t="n">
        <x:v>29111</x:v>
      </x:c>
      <x:c r="D873" s="1533" t="n">
        <x:v>31440</x:v>
      </x:c>
      <x:c r="E873" s="1533" t="n">
        <x:v>31439.88</x:v>
      </x:c>
      <x:c r="F873" s="1533" t="n">
        <x:v>31440</x:v>
      </x:c>
      <x:c r="G873" s="1535" t="n">
        <x:v>0</x:v>
      </x:c>
      <x:c r="H873" s="1535" t="n">
        <x:v>0</x:v>
      </x:c>
      <x:c r="I873" t="str">
        <x:v>OK — pełna zgodność</x:v>
      </x:c>
      <x:c r="J873" s="1537" t="str"/>
    </x:row>
    <x:row r="874" ht="19" customHeight="1">
      <x:c r="A874" t="str">
        <x:v>550 x 1106 cm</x:v>
      </x:c>
      <x:c r="B874" t="str">
        <x:v>walls_tinted</x:v>
      </x:c>
      <x:c r="C874" s="1533" t="n">
        <x:v>32365</x:v>
      </x:c>
      <x:c r="D874" s="1533" t="n">
        <x:v>34954</x:v>
      </x:c>
      <x:c r="E874" s="1533" t="n">
        <x:v>34954.2</x:v>
      </x:c>
      <x:c r="F874" s="1533" t="n">
        <x:v>34954</x:v>
      </x:c>
      <x:c r="G874" s="1535" t="n">
        <x:v>0</x:v>
      </x:c>
      <x:c r="H874" s="1535" t="n">
        <x:v>0</x:v>
      </x:c>
      <x:c r="I874" t="str">
        <x:v>OK — pełna zgodność</x:v>
      </x:c>
      <x:c r="J874" s="1537" t="str">
        <x:v>Pozycja złożona; stary eksport mógł zaokrąglać składniki osobno.</x:v>
      </x:c>
    </x:row>
    <x:row r="875" ht="19" customHeight="1">
      <x:c r="A875" t="str">
        <x:v>550 x 1106 cm</x:v>
      </x:c>
      <x:c r="B875" t="str">
        <x:v>roof_poly_colored</x:v>
      </x:c>
      <x:c r="C875" s="1533" t="n">
        <x:v>1250</x:v>
      </x:c>
      <x:c r="D875" s="1533" t="n">
        <x:v>1350</x:v>
      </x:c>
      <x:c r="E875" s="1533" t="n">
        <x:v>1350</x:v>
      </x:c>
      <x:c r="F875" s="1533" t="n">
        <x:v>1350</x:v>
      </x:c>
      <x:c r="G875" s="1535" t="n">
        <x:v>0</x:v>
      </x:c>
      <x:c r="H875" s="1535" t="n">
        <x:v>0</x:v>
      </x:c>
      <x:c r="I875" t="str">
        <x:v>OK — pełna zgodność</x:v>
      </x:c>
      <x:c r="J875" s="1537" t="str"/>
    </x:row>
    <x:row r="876" ht="19" customHeight="1">
      <x:c r="A876" t="str">
        <x:v>550 x 1106 cm</x:v>
      </x:c>
      <x:c r="B876" t="str">
        <x:v>roof_glass_clear</x:v>
      </x:c>
      <x:c r="C876" s="1533" t="n">
        <x:v>0</x:v>
      </x:c>
      <x:c r="D876" s="1533" t="n">
        <x:v>0</x:v>
      </x:c>
      <x:c r="E876" s="1533" t="n">
        <x:v>0</x:v>
      </x:c>
      <x:c r="F876" s="1533" t="n">
        <x:v>0</x:v>
      </x:c>
      <x:c r="G876" s="1535" t="n">
        <x:v>0</x:v>
      </x:c>
      <x:c r="H876" s="1535" t="n">
        <x:v>0</x:v>
      </x:c>
      <x:c r="I876" t="str">
        <x:v>OK — pełna zgodność</x:v>
      </x:c>
      <x:c r="J876" s="1537" t="str">
        <x:v>Szkło niedostępne dla tego wymiaru — poprawnie 0.</x:v>
      </x:c>
    </x:row>
    <x:row r="877" ht="19" customHeight="1">
      <x:c r="A877" t="str">
        <x:v>550 x 1106 cm</x:v>
      </x:c>
      <x:c r="B877" t="str">
        <x:v>roof_glass_tinted</x:v>
      </x:c>
      <x:c r="C877" s="1533" t="n">
        <x:v>0</x:v>
      </x:c>
      <x:c r="D877" s="1533" t="n">
        <x:v>0</x:v>
      </x:c>
      <x:c r="E877" s="1533" t="n">
        <x:v>0</x:v>
      </x:c>
      <x:c r="F877" s="1533" t="n">
        <x:v>0</x:v>
      </x:c>
      <x:c r="G877" s="1535" t="n">
        <x:v>0</x:v>
      </x:c>
      <x:c r="H877" s="1535" t="n">
        <x:v>0</x:v>
      </x:c>
      <x:c r="I877" t="str">
        <x:v>OK — pełna zgodność</x:v>
      </x:c>
      <x:c r="J877" s="1537" t="str">
        <x:v>Szkło niedostępne dla tego wymiaru — poprawnie 0.</x:v>
      </x:c>
    </x:row>
    <x:row r="878" ht="19" customHeight="1">
      <x:c r="A878" t="str">
        <x:v>550 x 1106 cm</x:v>
      </x:c>
      <x:c r="B878" t="str">
        <x:v>zip_side</x:v>
      </x:c>
      <x:c r="C878" s="1533" t="n">
        <x:v>4692</x:v>
      </x:c>
      <x:c r="D878" s="1533" t="n">
        <x:v>5067</x:v>
      </x:c>
      <x:c r="E878" s="1533" t="n">
        <x:v>5067.36</x:v>
      </x:c>
      <x:c r="F878" s="1533" t="n">
        <x:v>5067</x:v>
      </x:c>
      <x:c r="G878" s="1535" t="n">
        <x:v>0</x:v>
      </x:c>
      <x:c r="H878" s="1535" t="n">
        <x:v>0</x:v>
      </x:c>
      <x:c r="I878" t="str">
        <x:v>OK — pełna zgodność</x:v>
      </x:c>
      <x:c r="J878" s="1537" t="str"/>
    </x:row>
    <x:row r="879" ht="19" customHeight="1">
      <x:c r="A879" t="str">
        <x:v>550 x 1106 cm</x:v>
      </x:c>
      <x:c r="B879" t="str">
        <x:v>zip_front</x:v>
      </x:c>
      <x:c r="C879" s="1533" t="n">
        <x:v>8748</x:v>
      </x:c>
      <x:c r="D879" s="1533" t="n">
        <x:v>9448</x:v>
      </x:c>
      <x:c r="E879" s="1533" t="n">
        <x:v>9447.84</x:v>
      </x:c>
      <x:c r="F879" s="1533" t="n">
        <x:v>9448</x:v>
      </x:c>
      <x:c r="G879" s="1535" t="n">
        <x:v>0</x:v>
      </x:c>
      <x:c r="H879" s="1535" t="n">
        <x:v>0</x:v>
      </x:c>
      <x:c r="I879" t="str">
        <x:v>OK — pełna zgodność</x:v>
      </x:c>
      <x:c r="J879" s="1537" t="str"/>
    </x:row>
    <x:row r="880" ht="19" customHeight="1">
      <x:c r="A880" t="str">
        <x:v>550 x 1106 cm</x:v>
      </x:c>
      <x:c r="B880" t="str">
        <x:v>awning</x:v>
      </x:c>
      <x:c r="C880" s="1533" t="n">
        <x:v>16198</x:v>
      </x:c>
      <x:c r="D880" s="1533" t="n">
        <x:v>17494</x:v>
      </x:c>
      <x:c r="E880" s="1533" t="n">
        <x:v>17493.84</x:v>
      </x:c>
      <x:c r="F880" s="1533" t="n">
        <x:v>17494</x:v>
      </x:c>
      <x:c r="G880" s="1535" t="n">
        <x:v>0</x:v>
      </x:c>
      <x:c r="H880" s="1535" t="n">
        <x:v>0</x:v>
      </x:c>
      <x:c r="I880" t="str">
        <x:v>OK — pełna zgodność</x:v>
      </x:c>
      <x:c r="J880" s="1537" t="str"/>
    </x:row>
    <x:row r="881" ht="19" customHeight="1">
      <x:c r="A881" t="str">
        <x:v>550 x 1106 cm</x:v>
      </x:c>
      <x:c r="B881" t="str">
        <x:v>foundation</x:v>
      </x:c>
      <x:c r="C881" s="1533" t="n">
        <x:v>4601</x:v>
      </x:c>
      <x:c r="D881" s="1533" t="n">
        <x:v>4969</x:v>
      </x:c>
      <x:c r="E881" s="1533" t="n">
        <x:v>4969.08</x:v>
      </x:c>
      <x:c r="F881" s="1533" t="n">
        <x:v>4969</x:v>
      </x:c>
      <x:c r="G881" s="1535" t="n">
        <x:v>0</x:v>
      </x:c>
      <x:c r="H881" s="1535" t="n">
        <x:v>0</x:v>
      </x:c>
      <x:c r="I881" t="str">
        <x:v>OK — pełna zgodność</x:v>
      </x:c>
      <x:c r="J881" s="1537" t="str"/>
    </x:row>
    <x:row r="882" ht="19" customHeight="1">
      <x:c r="A882" t="str">
        <x:v>550 x 1106 cm</x:v>
      </x:c>
      <x:c r="B882" t="str">
        <x:v>led_point</x:v>
      </x:c>
      <x:c r="C882" s="1533" t="n">
        <x:v>2087</x:v>
      </x:c>
      <x:c r="D882" s="1533" t="n">
        <x:v>2254</x:v>
      </x:c>
      <x:c r="E882" s="1533" t="n">
        <x:v>2253.96</x:v>
      </x:c>
      <x:c r="F882" s="1533" t="n">
        <x:v>2254</x:v>
      </x:c>
      <x:c r="G882" s="1535" t="n">
        <x:v>0</x:v>
      </x:c>
      <x:c r="H882" s="1535" t="n">
        <x:v>0</x:v>
      </x:c>
      <x:c r="I882" t="str">
        <x:v>OK — pełna zgodność</x:v>
      </x:c>
      <x:c r="J882" s="1537" t="str"/>
    </x:row>
    <x:row r="883" ht="19" customHeight="1">
      <x:c r="A883" t="str">
        <x:v>550 x 1106 cm</x:v>
      </x:c>
      <x:c r="B883" t="str">
        <x:v>led_cct</x:v>
      </x:c>
      <x:c r="C883" s="1533" t="n">
        <x:v>5194</x:v>
      </x:c>
      <x:c r="D883" s="1533" t="n">
        <x:v>5610</x:v>
      </x:c>
      <x:c r="E883" s="1533" t="n">
        <x:v>5609.52</x:v>
      </x:c>
      <x:c r="F883" s="1533" t="n">
        <x:v>5610</x:v>
      </x:c>
      <x:c r="G883" s="1535" t="n">
        <x:v>0</x:v>
      </x:c>
      <x:c r="H883" s="1535" t="n">
        <x:v>0</x:v>
      </x:c>
      <x:c r="I883" t="str">
        <x:v>OK — pełna zgodność</x:v>
      </x:c>
      <x:c r="J883" s="1537" t="str"/>
    </x:row>
    <x:row r="884" ht="19" customHeight="1">
      <x:c r="A884" t="str">
        <x:v>550 x 1106 cm</x:v>
      </x:c>
      <x:c r="B884" t="str">
        <x:v>brushes</x:v>
      </x:c>
      <x:c r="C884" s="1533" t="n">
        <x:v>943</x:v>
      </x:c>
      <x:c r="D884" s="1533" t="n">
        <x:v>1017</x:v>
      </x:c>
      <x:c r="E884" s="1533" t="n">
        <x:v>1018.44</x:v>
      </x:c>
      <x:c r="F884" s="1533" t="n">
        <x:v>1018</x:v>
      </x:c>
      <x:c r="G884" s="1535" t="n">
        <x:v>1</x:v>
      </x:c>
      <x:c r="H884" s="1535" t="n">
        <x:v>1</x:v>
      </x:c>
      <x:c r="I884" t="str">
        <x:v>OK — zaokrąglenie ±1 zł</x:v>
      </x:c>
      <x:c r="J884" s="1537" t="str"/>
    </x:row>
    <x:row r="885" ht="19" customHeight="1">
      <x:c r="A885" t="str">
        <x:v>550 x 1106 cm</x:v>
      </x:c>
      <x:c r="B885" t="str">
        <x:v>handles</x:v>
      </x:c>
      <x:c r="C885" s="1533" t="n">
        <x:v>848</x:v>
      </x:c>
      <x:c r="D885" s="1533" t="n">
        <x:v>916</x:v>
      </x:c>
      <x:c r="E885" s="1533" t="n">
        <x:v>915.84</x:v>
      </x:c>
      <x:c r="F885" s="1533" t="n">
        <x:v>916</x:v>
      </x:c>
      <x:c r="G885" s="1535" t="n">
        <x:v>0</x:v>
      </x:c>
      <x:c r="H885" s="1535" t="n">
        <x:v>0</x:v>
      </x:c>
      <x:c r="I885" t="str">
        <x:v>OK — pełna zgodność</x:v>
      </x:c>
      <x:c r="J885" s="1537" t="str"/>
    </x:row>
    <x:row r="886" ht="19" customHeight="1">
      <x:c r="A886" t="str">
        <x:v>550 x 1106 cm</x:v>
      </x:c>
      <x:c r="B886" t="str">
        <x:v>carriers</x:v>
      </x:c>
      <x:c r="C886" s="1533" t="n">
        <x:v>848</x:v>
      </x:c>
      <x:c r="D886" s="1533" t="n">
        <x:v>916</x:v>
      </x:c>
      <x:c r="E886" s="1533" t="n">
        <x:v>915.84</x:v>
      </x:c>
      <x:c r="F886" s="1533" t="n">
        <x:v>916</x:v>
      </x:c>
      <x:c r="G886" s="1535" t="n">
        <x:v>0</x:v>
      </x:c>
      <x:c r="H886" s="1535" t="n">
        <x:v>0</x:v>
      </x:c>
      <x:c r="I886" t="str">
        <x:v>OK — pełna zgodność</x:v>
      </x:c>
      <x:c r="J886" s="1537" t="str"/>
    </x:row>
    <x:row r="887" ht="19" customHeight="1">
      <x:c r="A887" t="str">
        <x:v>550 x 1206 cm</x:v>
      </x:c>
      <x:c r="B887" t="str">
        <x:v>base_poly</x:v>
      </x:c>
      <x:c r="C887" s="1533" t="n">
        <x:v>52129</x:v>
      </x:c>
      <x:c r="D887" s="1533" t="n">
        <x:v>56299</x:v>
      </x:c>
      <x:c r="E887" s="1533" t="n">
        <x:v>56299.32</x:v>
      </x:c>
      <x:c r="F887" s="1533" t="n">
        <x:v>56299</x:v>
      </x:c>
      <x:c r="G887" s="1535" t="n">
        <x:v>0</x:v>
      </x:c>
      <x:c r="H887" s="1535" t="n">
        <x:v>0</x:v>
      </x:c>
      <x:c r="I887" t="str">
        <x:v>OK — pełna zgodność</x:v>
      </x:c>
      <x:c r="J887" s="1537" t="str"/>
    </x:row>
    <x:row r="888" ht="19" customHeight="1">
      <x:c r="A888" t="str">
        <x:v>550 x 1206 cm</x:v>
      </x:c>
      <x:c r="B888" t="str">
        <x:v>walls_clear</x:v>
      </x:c>
      <x:c r="C888" s="1533" t="n">
        <x:v>30128</x:v>
      </x:c>
      <x:c r="D888" s="1533" t="n">
        <x:v>32538</x:v>
      </x:c>
      <x:c r="E888" s="1533" t="n">
        <x:v>32538.24</x:v>
      </x:c>
      <x:c r="F888" s="1533" t="n">
        <x:v>32538</x:v>
      </x:c>
      <x:c r="G888" s="1535" t="n">
        <x:v>0</x:v>
      </x:c>
      <x:c r="H888" s="1535" t="n">
        <x:v>0</x:v>
      </x:c>
      <x:c r="I888" t="str">
        <x:v>OK — pełna zgodność</x:v>
      </x:c>
      <x:c r="J888" s="1537" t="str"/>
    </x:row>
    <x:row r="889" ht="19" customHeight="1">
      <x:c r="A889" t="str">
        <x:v>550 x 1206 cm</x:v>
      </x:c>
      <x:c r="B889" t="str">
        <x:v>walls_tinted</x:v>
      </x:c>
      <x:c r="C889" s="1533" t="n">
        <x:v>33382</x:v>
      </x:c>
      <x:c r="D889" s="1533" t="n">
        <x:v>36052</x:v>
      </x:c>
      <x:c r="E889" s="1533" t="n">
        <x:v>36052.56</x:v>
      </x:c>
      <x:c r="F889" s="1533" t="n">
        <x:v>36053</x:v>
      </x:c>
      <x:c r="G889" s="1535" t="n">
        <x:v>1</x:v>
      </x:c>
      <x:c r="H889" s="1535" t="n">
        <x:v>1</x:v>
      </x:c>
      <x:c r="I889" t="str">
        <x:v>OK — zaokrąglenie ±1 zł</x:v>
      </x:c>
      <x:c r="J889" s="1537" t="str">
        <x:v>Pozycja złożona; stary eksport mógł zaokrąglać składniki osobno.</x:v>
      </x:c>
    </x:row>
    <x:row r="890" ht="19" customHeight="1">
      <x:c r="A890" t="str">
        <x:v>550 x 1206 cm</x:v>
      </x:c>
      <x:c r="B890" t="str">
        <x:v>roof_poly_colored</x:v>
      </x:c>
      <x:c r="C890" s="1533" t="n">
        <x:v>1356</x:v>
      </x:c>
      <x:c r="D890" s="1533" t="n">
        <x:v>1464</x:v>
      </x:c>
      <x:c r="E890" s="1533" t="n">
        <x:v>1464.48</x:v>
      </x:c>
      <x:c r="F890" s="1533" t="n">
        <x:v>1464</x:v>
      </x:c>
      <x:c r="G890" s="1535" t="n">
        <x:v>0</x:v>
      </x:c>
      <x:c r="H890" s="1535" t="n">
        <x:v>0</x:v>
      </x:c>
      <x:c r="I890" t="str">
        <x:v>OK — pełna zgodność</x:v>
      </x:c>
      <x:c r="J890" s="1537" t="str"/>
    </x:row>
    <x:row r="891" ht="19" customHeight="1">
      <x:c r="A891" t="str">
        <x:v>550 x 1206 cm</x:v>
      </x:c>
      <x:c r="B891" t="str">
        <x:v>roof_glass_clear</x:v>
      </x:c>
      <x:c r="C891" s="1533" t="n">
        <x:v>0</x:v>
      </x:c>
      <x:c r="D891" s="1533" t="n">
        <x:v>0</x:v>
      </x:c>
      <x:c r="E891" s="1533" t="n">
        <x:v>0</x:v>
      </x:c>
      <x:c r="F891" s="1533" t="n">
        <x:v>0</x:v>
      </x:c>
      <x:c r="G891" s="1535" t="n">
        <x:v>0</x:v>
      </x:c>
      <x:c r="H891" s="1535" t="n">
        <x:v>0</x:v>
      </x:c>
      <x:c r="I891" t="str">
        <x:v>OK — pełna zgodność</x:v>
      </x:c>
      <x:c r="J891" s="1537" t="str">
        <x:v>Szkło niedostępne dla tego wymiaru — poprawnie 0.</x:v>
      </x:c>
    </x:row>
    <x:row r="892" ht="19" customHeight="1">
      <x:c r="A892" t="str">
        <x:v>550 x 1206 cm</x:v>
      </x:c>
      <x:c r="B892" t="str">
        <x:v>roof_glass_tinted</x:v>
      </x:c>
      <x:c r="C892" s="1533" t="n">
        <x:v>0</x:v>
      </x:c>
      <x:c r="D892" s="1533" t="n">
        <x:v>0</x:v>
      </x:c>
      <x:c r="E892" s="1533" t="n">
        <x:v>0</x:v>
      </x:c>
      <x:c r="F892" s="1533" t="n">
        <x:v>0</x:v>
      </x:c>
      <x:c r="G892" s="1535" t="n">
        <x:v>0</x:v>
      </x:c>
      <x:c r="H892" s="1535" t="n">
        <x:v>0</x:v>
      </x:c>
      <x:c r="I892" t="str">
        <x:v>OK — pełna zgodność</x:v>
      </x:c>
      <x:c r="J892" s="1537" t="str">
        <x:v>Szkło niedostępne dla tego wymiaru — poprawnie 0.</x:v>
      </x:c>
    </x:row>
    <x:row r="893" ht="19" customHeight="1">
      <x:c r="A893" t="str">
        <x:v>550 x 1206 cm</x:v>
      </x:c>
      <x:c r="B893" t="str">
        <x:v>zip_side</x:v>
      </x:c>
      <x:c r="C893" s="1533" t="n">
        <x:v>4692</x:v>
      </x:c>
      <x:c r="D893" s="1533" t="n">
        <x:v>5067</x:v>
      </x:c>
      <x:c r="E893" s="1533" t="n">
        <x:v>5067.36</x:v>
      </x:c>
      <x:c r="F893" s="1533" t="n">
        <x:v>5067</x:v>
      </x:c>
      <x:c r="G893" s="1535" t="n">
        <x:v>0</x:v>
      </x:c>
      <x:c r="H893" s="1535" t="n">
        <x:v>0</x:v>
      </x:c>
      <x:c r="I893" t="str">
        <x:v>OK — pełna zgodność</x:v>
      </x:c>
      <x:c r="J893" s="1537" t="str"/>
    </x:row>
    <x:row r="894" ht="19" customHeight="1">
      <x:c r="A894" t="str">
        <x:v>550 x 1206 cm</x:v>
      </x:c>
      <x:c r="B894" t="str">
        <x:v>zip_front</x:v>
      </x:c>
      <x:c r="C894" s="1533" t="n">
        <x:v>9337</x:v>
      </x:c>
      <x:c r="D894" s="1533" t="n">
        <x:v>10084</x:v>
      </x:c>
      <x:c r="E894" s="1533" t="n">
        <x:v>10083.96</x:v>
      </x:c>
      <x:c r="F894" s="1533" t="n">
        <x:v>10084</x:v>
      </x:c>
      <x:c r="G894" s="1535" t="n">
        <x:v>0</x:v>
      </x:c>
      <x:c r="H894" s="1535" t="n">
        <x:v>0</x:v>
      </x:c>
      <x:c r="I894" t="str">
        <x:v>OK — pełna zgodność</x:v>
      </x:c>
      <x:c r="J894" s="1537" t="str"/>
    </x:row>
    <x:row r="895" ht="19" customHeight="1">
      <x:c r="A895" t="str">
        <x:v>550 x 1206 cm</x:v>
      </x:c>
      <x:c r="B895" t="str">
        <x:v>awning</x:v>
      </x:c>
      <x:c r="C895" s="1533" t="n">
        <x:v>16516</x:v>
      </x:c>
      <x:c r="D895" s="1533" t="n">
        <x:v>17837</x:v>
      </x:c>
      <x:c r="E895" s="1533" t="n">
        <x:v>17837.28</x:v>
      </x:c>
      <x:c r="F895" s="1533" t="n">
        <x:v>17837</x:v>
      </x:c>
      <x:c r="G895" s="1535" t="n">
        <x:v>0</x:v>
      </x:c>
      <x:c r="H895" s="1535" t="n">
        <x:v>0</x:v>
      </x:c>
      <x:c r="I895" t="str">
        <x:v>OK — pełna zgodność</x:v>
      </x:c>
      <x:c r="J895" s="1537" t="str"/>
    </x:row>
    <x:row r="896" ht="19" customHeight="1">
      <x:c r="A896" t="str">
        <x:v>550 x 1206 cm</x:v>
      </x:c>
      <x:c r="B896" t="str">
        <x:v>foundation</x:v>
      </x:c>
      <x:c r="C896" s="1533" t="n">
        <x:v>5160</x:v>
      </x:c>
      <x:c r="D896" s="1533" t="n">
        <x:v>5573</x:v>
      </x:c>
      <x:c r="E896" s="1533" t="n">
        <x:v>5572.8</x:v>
      </x:c>
      <x:c r="F896" s="1533" t="n">
        <x:v>5573</x:v>
      </x:c>
      <x:c r="G896" s="1535" t="n">
        <x:v>0</x:v>
      </x:c>
      <x:c r="H896" s="1535" t="n">
        <x:v>0</x:v>
      </x:c>
      <x:c r="I896" t="str">
        <x:v>OK — pełna zgodność</x:v>
      </x:c>
      <x:c r="J896" s="1537" t="str"/>
    </x:row>
    <x:row r="897" ht="19" customHeight="1">
      <x:c r="A897" t="str">
        <x:v>550 x 1206 cm</x:v>
      </x:c>
      <x:c r="B897" t="str">
        <x:v>led_point</x:v>
      </x:c>
      <x:c r="C897" s="1533" t="n">
        <x:v>2240</x:v>
      </x:c>
      <x:c r="D897" s="1533" t="n">
        <x:v>2419</x:v>
      </x:c>
      <x:c r="E897" s="1533" t="n">
        <x:v>2419.2</x:v>
      </x:c>
      <x:c r="F897" s="1533" t="n">
        <x:v>2419</x:v>
      </x:c>
      <x:c r="G897" s="1535" t="n">
        <x:v>0</x:v>
      </x:c>
      <x:c r="H897" s="1535" t="n">
        <x:v>0</x:v>
      </x:c>
      <x:c r="I897" t="str">
        <x:v>OK — pełna zgodność</x:v>
      </x:c>
      <x:c r="J897" s="1537" t="str"/>
    </x:row>
    <x:row r="898" ht="19" customHeight="1">
      <x:c r="A898" t="str">
        <x:v>550 x 1206 cm</x:v>
      </x:c>
      <x:c r="B898" t="str">
        <x:v>led_cct</x:v>
      </x:c>
      <x:c r="C898" s="1533" t="n">
        <x:v>5540</x:v>
      </x:c>
      <x:c r="D898" s="1533" t="n">
        <x:v>5983</x:v>
      </x:c>
      <x:c r="E898" s="1533" t="n">
        <x:v>5983.2</x:v>
      </x:c>
      <x:c r="F898" s="1533" t="n">
        <x:v>5983</x:v>
      </x:c>
      <x:c r="G898" s="1535" t="n">
        <x:v>0</x:v>
      </x:c>
      <x:c r="H898" s="1535" t="n">
        <x:v>0</x:v>
      </x:c>
      <x:c r="I898" t="str">
        <x:v>OK — pełna zgodność</x:v>
      </x:c>
      <x:c r="J898" s="1537" t="str"/>
    </x:row>
    <x:row r="899" ht="19" customHeight="1">
      <x:c r="A899" t="str">
        <x:v>550 x 1206 cm</x:v>
      </x:c>
      <x:c r="B899" t="str">
        <x:v>brushes</x:v>
      </x:c>
      <x:c r="C899" s="1533" t="n">
        <x:v>990</x:v>
      </x:c>
      <x:c r="D899" s="1533" t="n">
        <x:v>1069</x:v>
      </x:c>
      <x:c r="E899" s="1533" t="n">
        <x:v>1069.2</x:v>
      </x:c>
      <x:c r="F899" s="1533" t="n">
        <x:v>1069</x:v>
      </x:c>
      <x:c r="G899" s="1535" t="n">
        <x:v>0</x:v>
      </x:c>
      <x:c r="H899" s="1535" t="n">
        <x:v>0</x:v>
      </x:c>
      <x:c r="I899" t="str">
        <x:v>OK — pełna zgodność</x:v>
      </x:c>
      <x:c r="J899" s="1537" t="str"/>
    </x:row>
    <x:row r="900" ht="19" customHeight="1">
      <x:c r="A900" t="str">
        <x:v>550 x 1206 cm</x:v>
      </x:c>
      <x:c r="B900" t="str">
        <x:v>handles</x:v>
      </x:c>
      <x:c r="C900" s="1533" t="n">
        <x:v>896</x:v>
      </x:c>
      <x:c r="D900" s="1533" t="n">
        <x:v>968</x:v>
      </x:c>
      <x:c r="E900" s="1533" t="n">
        <x:v>967.68</x:v>
      </x:c>
      <x:c r="F900" s="1533" t="n">
        <x:v>968</x:v>
      </x:c>
      <x:c r="G900" s="1535" t="n">
        <x:v>0</x:v>
      </x:c>
      <x:c r="H900" s="1535" t="n">
        <x:v>0</x:v>
      </x:c>
      <x:c r="I900" t="str">
        <x:v>OK — pełna zgodność</x:v>
      </x:c>
      <x:c r="J900" s="1537" t="str"/>
    </x:row>
    <x:row r="901" ht="19" customHeight="1">
      <x:c r="A901" t="str">
        <x:v>550 x 1206 cm</x:v>
      </x:c>
      <x:c r="B901" t="str">
        <x:v>carriers</x:v>
      </x:c>
      <x:c r="C901" s="1533" t="n">
        <x:v>896</x:v>
      </x:c>
      <x:c r="D901" s="1533" t="n">
        <x:v>968</x:v>
      </x:c>
      <x:c r="E901" s="1533" t="n">
        <x:v>967.68</x:v>
      </x:c>
      <x:c r="F901" s="1533" t="n">
        <x:v>968</x:v>
      </x:c>
      <x:c r="G901" s="1535" t="n">
        <x:v>0</x:v>
      </x:c>
      <x:c r="H901" s="1535" t="n">
        <x:v>0</x:v>
      </x:c>
      <x:c r="I901" t="str">
        <x:v>OK — pełna zgodność</x:v>
      </x:c>
      <x:c r="J901" s="1537" t="str"/>
    </x:row>
    <x:row r="902" ht="19" customHeight="1">
      <x:c r="A902" t="str">
        <x:v>600 x 306 cm</x:v>
      </x:c>
      <x:c r="B902" t="str">
        <x:v>base_poly</x:v>
      </x:c>
      <x:c r="C902" s="1533" t="n">
        <x:v>16702</x:v>
      </x:c>
      <x:c r="D902" s="1533" t="n">
        <x:v>18038</x:v>
      </x:c>
      <x:c r="E902" s="1533" t="n">
        <x:v>18038.16</x:v>
      </x:c>
      <x:c r="F902" s="1533" t="n">
        <x:v>18038</x:v>
      </x:c>
      <x:c r="G902" s="1535" t="n">
        <x:v>0</x:v>
      </x:c>
      <x:c r="H902" s="1535" t="n">
        <x:v>0</x:v>
      </x:c>
      <x:c r="I902" t="str">
        <x:v>OK — pełna zgodność</x:v>
      </x:c>
      <x:c r="J902" s="1537" t="str"/>
    </x:row>
    <x:row r="903" ht="19" customHeight="1">
      <x:c r="A903" t="str">
        <x:v>600 x 306 cm</x:v>
      </x:c>
      <x:c r="B903" t="str">
        <x:v>walls_clear</x:v>
      </x:c>
      <x:c r="C903" s="1533" t="n">
        <x:v>21642</x:v>
      </x:c>
      <x:c r="D903" s="1533" t="n">
        <x:v>23373</x:v>
      </x:c>
      <x:c r="E903" s="1533" t="n">
        <x:v>23373.36</x:v>
      </x:c>
      <x:c r="F903" s="1533" t="n">
        <x:v>23373</x:v>
      </x:c>
      <x:c r="G903" s="1535" t="n">
        <x:v>0</x:v>
      </x:c>
      <x:c r="H903" s="1535" t="n">
        <x:v>0</x:v>
      </x:c>
      <x:c r="I903" t="str">
        <x:v>OK — pełna zgodność</x:v>
      </x:c>
      <x:c r="J903" s="1537" t="str"/>
    </x:row>
    <x:row r="904" ht="19" customHeight="1">
      <x:c r="A904" t="str">
        <x:v>600 x 306 cm</x:v>
      </x:c>
      <x:c r="B904" t="str">
        <x:v>walls_tinted</x:v>
      </x:c>
      <x:c r="C904" s="1533" t="n">
        <x:v>23763</x:v>
      </x:c>
      <x:c r="D904" s="1533" t="n">
        <x:v>25664</x:v>
      </x:c>
      <x:c r="E904" s="1533" t="n">
        <x:v>25664.04</x:v>
      </x:c>
      <x:c r="F904" s="1533" t="n">
        <x:v>25664</x:v>
      </x:c>
      <x:c r="G904" s="1535" t="n">
        <x:v>0</x:v>
      </x:c>
      <x:c r="H904" s="1535" t="n">
        <x:v>0</x:v>
      </x:c>
      <x:c r="I904" t="str">
        <x:v>OK — pełna zgodność</x:v>
      </x:c>
      <x:c r="J904" s="1537" t="str">
        <x:v>Pozycja złożona; stary eksport mógł zaokrąglać składniki osobno.</x:v>
      </x:c>
    </x:row>
    <x:row r="905" ht="19" customHeight="1">
      <x:c r="A905" t="str">
        <x:v>600 x 306 cm</x:v>
      </x:c>
      <x:c r="B905" t="str">
        <x:v>roof_poly_colored</x:v>
      </x:c>
      <x:c r="C905" s="1533" t="n">
        <x:v>365</x:v>
      </x:c>
      <x:c r="D905" s="1533" t="n">
        <x:v>394</x:v>
      </x:c>
      <x:c r="E905" s="1533" t="n">
        <x:v>394.2</x:v>
      </x:c>
      <x:c r="F905" s="1533" t="n">
        <x:v>394</x:v>
      </x:c>
      <x:c r="G905" s="1535" t="n">
        <x:v>0</x:v>
      </x:c>
      <x:c r="H905" s="1535" t="n">
        <x:v>0</x:v>
      </x:c>
      <x:c r="I905" t="str">
        <x:v>OK — pełna zgodność</x:v>
      </x:c>
      <x:c r="J905" s="1537" t="str"/>
    </x:row>
    <x:row r="906" ht="19" customHeight="1">
      <x:c r="A906" t="str">
        <x:v>600 x 306 cm</x:v>
      </x:c>
      <x:c r="B906" t="str">
        <x:v>roof_glass_clear</x:v>
      </x:c>
      <x:c r="C906" s="1533" t="n">
        <x:v>0</x:v>
      </x:c>
      <x:c r="D906" s="1533" t="n">
        <x:v>0</x:v>
      </x:c>
      <x:c r="E906" s="1533" t="n">
        <x:v>0</x:v>
      </x:c>
      <x:c r="F906" s="1533" t="n">
        <x:v>0</x:v>
      </x:c>
      <x:c r="G906" s="1535" t="n">
        <x:v>0</x:v>
      </x:c>
      <x:c r="H906" s="1535" t="n">
        <x:v>0</x:v>
      </x:c>
      <x:c r="I906" t="str">
        <x:v>OK — pełna zgodność</x:v>
      </x:c>
      <x:c r="J906" s="1537" t="str">
        <x:v>Szkło niedostępne dla tego wymiaru — poprawnie 0.</x:v>
      </x:c>
    </x:row>
    <x:row r="907" ht="19" customHeight="1">
      <x:c r="A907" t="str">
        <x:v>600 x 306 cm</x:v>
      </x:c>
      <x:c r="B907" t="str">
        <x:v>roof_glass_tinted</x:v>
      </x:c>
      <x:c r="C907" s="1533" t="n">
        <x:v>0</x:v>
      </x:c>
      <x:c r="D907" s="1533" t="n">
        <x:v>0</x:v>
      </x:c>
      <x:c r="E907" s="1533" t="n">
        <x:v>0</x:v>
      </x:c>
      <x:c r="F907" s="1533" t="n">
        <x:v>0</x:v>
      </x:c>
      <x:c r="G907" s="1535" t="n">
        <x:v>0</x:v>
      </x:c>
      <x:c r="H907" s="1535" t="n">
        <x:v>0</x:v>
      </x:c>
      <x:c r="I907" t="str">
        <x:v>OK — pełna zgodność</x:v>
      </x:c>
      <x:c r="J907" s="1537" t="str">
        <x:v>Szkło niedostępne dla tego wymiaru — poprawnie 0.</x:v>
      </x:c>
    </x:row>
    <x:row r="908" ht="19" customHeight="1">
      <x:c r="A908" t="str">
        <x:v>600 x 306 cm</x:v>
      </x:c>
      <x:c r="B908" t="str">
        <x:v>zip_side</x:v>
      </x:c>
      <x:c r="C908" s="1533" t="n">
        <x:v>5034</x:v>
      </x:c>
      <x:c r="D908" s="1533" t="n">
        <x:v>5437</x:v>
      </x:c>
      <x:c r="E908" s="1533" t="n">
        <x:v>5436.72</x:v>
      </x:c>
      <x:c r="F908" s="1533" t="n">
        <x:v>5437</x:v>
      </x:c>
      <x:c r="G908" s="1535" t="n">
        <x:v>0</x:v>
      </x:c>
      <x:c r="H908" s="1535" t="n">
        <x:v>0</x:v>
      </x:c>
      <x:c r="I908" t="str">
        <x:v>OK — pełna zgodność</x:v>
      </x:c>
      <x:c r="J908" s="1537" t="str"/>
    </x:row>
    <x:row r="909" ht="19" customHeight="1">
      <x:c r="A909" t="str">
        <x:v>600 x 306 cm</x:v>
      </x:c>
      <x:c r="B909" t="str">
        <x:v>zip_front</x:v>
      </x:c>
      <x:c r="C909" s="1533" t="n">
        <x:v>2523</x:v>
      </x:c>
      <x:c r="D909" s="1533" t="n">
        <x:v>2725</x:v>
      </x:c>
      <x:c r="E909" s="1533" t="n">
        <x:v>2724.84</x:v>
      </x:c>
      <x:c r="F909" s="1533" t="n">
        <x:v>2725</x:v>
      </x:c>
      <x:c r="G909" s="1535" t="n">
        <x:v>0</x:v>
      </x:c>
      <x:c r="H909" s="1535" t="n">
        <x:v>0</x:v>
      </x:c>
      <x:c r="I909" t="str">
        <x:v>OK — pełna zgodność</x:v>
      </x:c>
      <x:c r="J909" s="1537" t="str"/>
    </x:row>
    <x:row r="910" ht="19" customHeight="1">
      <x:c r="A910" t="str">
        <x:v>600 x 306 cm</x:v>
      </x:c>
      <x:c r="B910" t="str">
        <x:v>awning</x:v>
      </x:c>
      <x:c r="C910" s="1533" t="n">
        <x:v>4927</x:v>
      </x:c>
      <x:c r="D910" s="1533" t="n">
        <x:v>5321</x:v>
      </x:c>
      <x:c r="E910" s="1533" t="n">
        <x:v>5321.16</x:v>
      </x:c>
      <x:c r="F910" s="1533" t="n">
        <x:v>5321</x:v>
      </x:c>
      <x:c r="G910" s="1535" t="n">
        <x:v>0</x:v>
      </x:c>
      <x:c r="H910" s="1535" t="n">
        <x:v>0</x:v>
      </x:c>
      <x:c r="I910" t="str">
        <x:v>OK — pełna zgodność</x:v>
      </x:c>
      <x:c r="J910" s="1537" t="str"/>
    </x:row>
    <x:row r="911" ht="19" customHeight="1">
      <x:c r="A911" t="str">
        <x:v>600 x 306 cm</x:v>
      </x:c>
      <x:c r="B911" t="str">
        <x:v>foundation</x:v>
      </x:c>
      <x:c r="C911" s="1533" t="n">
        <x:v>2555</x:v>
      </x:c>
      <x:c r="D911" s="1533" t="n">
        <x:v>2759</x:v>
      </x:c>
      <x:c r="E911" s="1533" t="n">
        <x:v>2759.4</x:v>
      </x:c>
      <x:c r="F911" s="1533" t="n">
        <x:v>2759</x:v>
      </x:c>
      <x:c r="G911" s="1535" t="n">
        <x:v>0</x:v>
      </x:c>
      <x:c r="H911" s="1535" t="n">
        <x:v>0</x:v>
      </x:c>
      <x:c r="I911" t="str">
        <x:v>OK — pełna zgodność</x:v>
      </x:c>
      <x:c r="J911" s="1537" t="str"/>
    </x:row>
    <x:row r="912" ht="19" customHeight="1">
      <x:c r="A912" t="str">
        <x:v>600 x 306 cm</x:v>
      </x:c>
      <x:c r="B912" t="str">
        <x:v>led_point</x:v>
      </x:c>
      <x:c r="C912" s="1533" t="n">
        <x:v>754</x:v>
      </x:c>
      <x:c r="D912" s="1533" t="n">
        <x:v>814</x:v>
      </x:c>
      <x:c r="E912" s="1533" t="n">
        <x:v>814.32</x:v>
      </x:c>
      <x:c r="F912" s="1533" t="n">
        <x:v>814</x:v>
      </x:c>
      <x:c r="G912" s="1535" t="n">
        <x:v>0</x:v>
      </x:c>
      <x:c r="H912" s="1535" t="n">
        <x:v>0</x:v>
      </x:c>
      <x:c r="I912" t="str">
        <x:v>OK — pełna zgodność</x:v>
      </x:c>
      <x:c r="J912" s="1537" t="str"/>
    </x:row>
    <x:row r="913" ht="19" customHeight="1">
      <x:c r="A913" t="str">
        <x:v>600 x 306 cm</x:v>
      </x:c>
      <x:c r="B913" t="str">
        <x:v>led_cct</x:v>
      </x:c>
      <x:c r="C913" s="1533" t="n">
        <x:v>2504</x:v>
      </x:c>
      <x:c r="D913" s="1533" t="n">
        <x:v>2704</x:v>
      </x:c>
      <x:c r="E913" s="1533" t="n">
        <x:v>2704.32</x:v>
      </x:c>
      <x:c r="F913" s="1533" t="n">
        <x:v>2704</x:v>
      </x:c>
      <x:c r="G913" s="1535" t="n">
        <x:v>0</x:v>
      </x:c>
      <x:c r="H913" s="1535" t="n">
        <x:v>0</x:v>
      </x:c>
      <x:c r="I913" t="str">
        <x:v>OK — pełna zgodność</x:v>
      </x:c>
      <x:c r="J913" s="1537" t="str"/>
    </x:row>
    <x:row r="914" ht="19" customHeight="1">
      <x:c r="A914" t="str">
        <x:v>600 x 306 cm</x:v>
      </x:c>
      <x:c r="B914" t="str">
        <x:v>brushes</x:v>
      </x:c>
      <x:c r="C914" s="1533" t="n">
        <x:v>590</x:v>
      </x:c>
      <x:c r="D914" s="1533" t="n">
        <x:v>637</x:v>
      </x:c>
      <x:c r="E914" s="1533" t="n">
        <x:v>637.2</x:v>
      </x:c>
      <x:c r="F914" s="1533" t="n">
        <x:v>637</x:v>
      </x:c>
      <x:c r="G914" s="1535" t="n">
        <x:v>0</x:v>
      </x:c>
      <x:c r="H914" s="1535" t="n">
        <x:v>0</x:v>
      </x:c>
      <x:c r="I914" t="str">
        <x:v>OK — pełna zgodność</x:v>
      </x:c>
      <x:c r="J914" s="1537" t="str"/>
    </x:row>
    <x:row r="915" ht="19" customHeight="1">
      <x:c r="A915" t="str">
        <x:v>600 x 306 cm</x:v>
      </x:c>
      <x:c r="B915" t="str">
        <x:v>handles</x:v>
      </x:c>
      <x:c r="C915" s="1533" t="n">
        <x:v>531</x:v>
      </x:c>
      <x:c r="D915" s="1533" t="n">
        <x:v>573</x:v>
      </x:c>
      <x:c r="E915" s="1533" t="n">
        <x:v>573.48</x:v>
      </x:c>
      <x:c r="F915" s="1533" t="n">
        <x:v>573</x:v>
      </x:c>
      <x:c r="G915" s="1535" t="n">
        <x:v>0</x:v>
      </x:c>
      <x:c r="H915" s="1535" t="n">
        <x:v>0</x:v>
      </x:c>
      <x:c r="I915" t="str">
        <x:v>OK — pełna zgodność</x:v>
      </x:c>
      <x:c r="J915" s="1537" t="str"/>
    </x:row>
    <x:row r="916" ht="19" customHeight="1">
      <x:c r="A916" t="str">
        <x:v>600 x 306 cm</x:v>
      </x:c>
      <x:c r="B916" t="str">
        <x:v>carriers</x:v>
      </x:c>
      <x:c r="C916" s="1533" t="n">
        <x:v>566</x:v>
      </x:c>
      <x:c r="D916" s="1533" t="n">
        <x:v>611</x:v>
      </x:c>
      <x:c r="E916" s="1533" t="n">
        <x:v>611.28</x:v>
      </x:c>
      <x:c r="F916" s="1533" t="n">
        <x:v>611</x:v>
      </x:c>
      <x:c r="G916" s="1535" t="n">
        <x:v>0</x:v>
      </x:c>
      <x:c r="H916" s="1535" t="n">
        <x:v>0</x:v>
      </x:c>
      <x:c r="I916" t="str">
        <x:v>OK — pełna zgodność</x:v>
      </x:c>
      <x:c r="J916" s="1537" t="str"/>
    </x:row>
    <x:row r="917" ht="19" customHeight="1">
      <x:c r="A917" t="str">
        <x:v>600 x 406 cm</x:v>
      </x:c>
      <x:c r="B917" t="str">
        <x:v>base_poly</x:v>
      </x:c>
      <x:c r="C917" s="1533" t="n">
        <x:v>21050</x:v>
      </x:c>
      <x:c r="D917" s="1533" t="n">
        <x:v>22734</x:v>
      </x:c>
      <x:c r="E917" s="1533" t="n">
        <x:v>22734</x:v>
      </x:c>
      <x:c r="F917" s="1533" t="n">
        <x:v>22734</x:v>
      </x:c>
      <x:c r="G917" s="1535" t="n">
        <x:v>0</x:v>
      </x:c>
      <x:c r="H917" s="1535" t="n">
        <x:v>0</x:v>
      </x:c>
      <x:c r="I917" t="str">
        <x:v>OK — pełna zgodność</x:v>
      </x:c>
      <x:c r="J917" s="1537" t="str"/>
    </x:row>
    <x:row r="918" ht="19" customHeight="1">
      <x:c r="A918" t="str">
        <x:v>600 x 406 cm</x:v>
      </x:c>
      <x:c r="B918" t="str">
        <x:v>walls_clear</x:v>
      </x:c>
      <x:c r="C918" s="1533" t="n">
        <x:v>22595</x:v>
      </x:c>
      <x:c r="D918" s="1533" t="n">
        <x:v>24403</x:v>
      </x:c>
      <x:c r="E918" s="1533" t="n">
        <x:v>24402.6</x:v>
      </x:c>
      <x:c r="F918" s="1533" t="n">
        <x:v>24403</x:v>
      </x:c>
      <x:c r="G918" s="1535" t="n">
        <x:v>0</x:v>
      </x:c>
      <x:c r="H918" s="1535" t="n">
        <x:v>0</x:v>
      </x:c>
      <x:c r="I918" t="str">
        <x:v>OK — pełna zgodność</x:v>
      </x:c>
      <x:c r="J918" s="1537" t="str"/>
    </x:row>
    <x:row r="919" ht="19" customHeight="1">
      <x:c r="A919" t="str">
        <x:v>600 x 406 cm</x:v>
      </x:c>
      <x:c r="B919" t="str">
        <x:v>walls_tinted</x:v>
      </x:c>
      <x:c r="C919" s="1533" t="n">
        <x:v>24858</x:v>
      </x:c>
      <x:c r="D919" s="1533" t="n">
        <x:v>26847</x:v>
      </x:c>
      <x:c r="E919" s="1533" t="n">
        <x:v>26846.64</x:v>
      </x:c>
      <x:c r="F919" s="1533" t="n">
        <x:v>26847</x:v>
      </x:c>
      <x:c r="G919" s="1535" t="n">
        <x:v>0</x:v>
      </x:c>
      <x:c r="H919" s="1535" t="n">
        <x:v>0</x:v>
      </x:c>
      <x:c r="I919" t="str">
        <x:v>OK — pełna zgodność</x:v>
      </x:c>
      <x:c r="J919" s="1537" t="str">
        <x:v>Pozycja złożona; stary eksport mógł zaokrąglać składniki osobno.</x:v>
      </x:c>
    </x:row>
    <x:row r="920" ht="19" customHeight="1">
      <x:c r="A920" t="str">
        <x:v>600 x 406 cm</x:v>
      </x:c>
      <x:c r="B920" t="str">
        <x:v>roof_poly_colored</x:v>
      </x:c>
      <x:c r="C920" s="1533" t="n">
        <x:v>494</x:v>
      </x:c>
      <x:c r="D920" s="1533" t="n">
        <x:v>534</x:v>
      </x:c>
      <x:c r="E920" s="1533" t="n">
        <x:v>533.52</x:v>
      </x:c>
      <x:c r="F920" s="1533" t="n">
        <x:v>534</x:v>
      </x:c>
      <x:c r="G920" s="1535" t="n">
        <x:v>0</x:v>
      </x:c>
      <x:c r="H920" s="1535" t="n">
        <x:v>0</x:v>
      </x:c>
      <x:c r="I920" t="str">
        <x:v>OK — pełna zgodność</x:v>
      </x:c>
      <x:c r="J920" s="1537" t="str"/>
    </x:row>
    <x:row r="921" ht="19" customHeight="1">
      <x:c r="A921" t="str">
        <x:v>600 x 406 cm</x:v>
      </x:c>
      <x:c r="B921" t="str">
        <x:v>roof_glass_clear</x:v>
      </x:c>
      <x:c r="C921" s="1533" t="n">
        <x:v>0</x:v>
      </x:c>
      <x:c r="D921" s="1533" t="n">
        <x:v>0</x:v>
      </x:c>
      <x:c r="E921" s="1533" t="n">
        <x:v>0</x:v>
      </x:c>
      <x:c r="F921" s="1533" t="n">
        <x:v>0</x:v>
      </x:c>
      <x:c r="G921" s="1535" t="n">
        <x:v>0</x:v>
      </x:c>
      <x:c r="H921" s="1535" t="n">
        <x:v>0</x:v>
      </x:c>
      <x:c r="I921" t="str">
        <x:v>OK — pełna zgodność</x:v>
      </x:c>
      <x:c r="J921" s="1537" t="str">
        <x:v>Szkło niedostępne dla tego wymiaru — poprawnie 0.</x:v>
      </x:c>
    </x:row>
    <x:row r="922" ht="19" customHeight="1">
      <x:c r="A922" t="str">
        <x:v>600 x 406 cm</x:v>
      </x:c>
      <x:c r="B922" t="str">
        <x:v>roof_glass_tinted</x:v>
      </x:c>
      <x:c r="C922" s="1533" t="n">
        <x:v>0</x:v>
      </x:c>
      <x:c r="D922" s="1533" t="n">
        <x:v>0</x:v>
      </x:c>
      <x:c r="E922" s="1533" t="n">
        <x:v>0</x:v>
      </x:c>
      <x:c r="F922" s="1533" t="n">
        <x:v>0</x:v>
      </x:c>
      <x:c r="G922" s="1535" t="n">
        <x:v>0</x:v>
      </x:c>
      <x:c r="H922" s="1535" t="n">
        <x:v>0</x:v>
      </x:c>
      <x:c r="I922" t="str">
        <x:v>OK — pełna zgodność</x:v>
      </x:c>
      <x:c r="J922" s="1537" t="str">
        <x:v>Szkło niedostępne dla tego wymiaru — poprawnie 0.</x:v>
      </x:c>
    </x:row>
    <x:row r="923" ht="19" customHeight="1">
      <x:c r="A923" t="str">
        <x:v>600 x 406 cm</x:v>
      </x:c>
      <x:c r="B923" t="str">
        <x:v>zip_side</x:v>
      </x:c>
      <x:c r="C923" s="1533" t="n">
        <x:v>5034</x:v>
      </x:c>
      <x:c r="D923" s="1533" t="n">
        <x:v>5437</x:v>
      </x:c>
      <x:c r="E923" s="1533" t="n">
        <x:v>5436.72</x:v>
      </x:c>
      <x:c r="F923" s="1533" t="n">
        <x:v>5437</x:v>
      </x:c>
      <x:c r="G923" s="1535" t="n">
        <x:v>0</x:v>
      </x:c>
      <x:c r="H923" s="1535" t="n">
        <x:v>0</x:v>
      </x:c>
      <x:c r="I923" t="str">
        <x:v>OK — pełna zgodność</x:v>
      </x:c>
      <x:c r="J923" s="1537" t="str"/>
    </x:row>
    <x:row r="924" ht="19" customHeight="1">
      <x:c r="A924" t="str">
        <x:v>600 x 406 cm</x:v>
      </x:c>
      <x:c r="B924" t="str">
        <x:v>zip_front</x:v>
      </x:c>
      <x:c r="C924" s="1533" t="n">
        <x:v>3112</x:v>
      </x:c>
      <x:c r="D924" s="1533" t="n">
        <x:v>3361</x:v>
      </x:c>
      <x:c r="E924" s="1533" t="n">
        <x:v>3360.96</x:v>
      </x:c>
      <x:c r="F924" s="1533" t="n">
        <x:v>3361</x:v>
      </x:c>
      <x:c r="G924" s="1535" t="n">
        <x:v>0</x:v>
      </x:c>
      <x:c r="H924" s="1535" t="n">
        <x:v>0</x:v>
      </x:c>
      <x:c r="I924" t="str">
        <x:v>OK — pełna zgodność</x:v>
      </x:c>
      <x:c r="J924" s="1537" t="str"/>
    </x:row>
    <x:row r="925" ht="19" customHeight="1">
      <x:c r="A925" t="str">
        <x:v>600 x 406 cm</x:v>
      </x:c>
      <x:c r="B925" t="str">
        <x:v>awning</x:v>
      </x:c>
      <x:c r="C925" s="1533" t="n">
        <x:v>5635</x:v>
      </x:c>
      <x:c r="D925" s="1533" t="n">
        <x:v>6086</x:v>
      </x:c>
      <x:c r="E925" s="1533" t="n">
        <x:v>6085.8</x:v>
      </x:c>
      <x:c r="F925" s="1533" t="n">
        <x:v>6086</x:v>
      </x:c>
      <x:c r="G925" s="1535" t="n">
        <x:v>0</x:v>
      </x:c>
      <x:c r="H925" s="1535" t="n">
        <x:v>0</x:v>
      </x:c>
      <x:c r="I925" t="str">
        <x:v>OK — pełna zgodność</x:v>
      </x:c>
      <x:c r="J925" s="1537" t="str"/>
    </x:row>
    <x:row r="926" ht="19" customHeight="1">
      <x:c r="A926" t="str">
        <x:v>600 x 406 cm</x:v>
      </x:c>
      <x:c r="B926" t="str">
        <x:v>foundation</x:v>
      </x:c>
      <x:c r="C926" s="1533" t="n">
        <x:v>2830</x:v>
      </x:c>
      <x:c r="D926" s="1533" t="n">
        <x:v>3056</x:v>
      </x:c>
      <x:c r="E926" s="1533" t="n">
        <x:v>3056.4</x:v>
      </x:c>
      <x:c r="F926" s="1533" t="n">
        <x:v>3056</x:v>
      </x:c>
      <x:c r="G926" s="1535" t="n">
        <x:v>0</x:v>
      </x:c>
      <x:c r="H926" s="1535" t="n">
        <x:v>0</x:v>
      </x:c>
      <x:c r="I926" t="str">
        <x:v>OK — pełna zgodność</x:v>
      </x:c>
      <x:c r="J926" s="1537" t="str"/>
    </x:row>
    <x:row r="927" ht="19" customHeight="1">
      <x:c r="A927" t="str">
        <x:v>600 x 406 cm</x:v>
      </x:c>
      <x:c r="B927" t="str">
        <x:v>led_point</x:v>
      </x:c>
      <x:c r="C927" s="1533" t="n">
        <x:v>873</x:v>
      </x:c>
      <x:c r="D927" s="1533" t="n">
        <x:v>943</x:v>
      </x:c>
      <x:c r="E927" s="1533" t="n">
        <x:v>942.84</x:v>
      </x:c>
      <x:c r="F927" s="1533" t="n">
        <x:v>943</x:v>
      </x:c>
      <x:c r="G927" s="1535" t="n">
        <x:v>0</x:v>
      </x:c>
      <x:c r="H927" s="1535" t="n">
        <x:v>0</x:v>
      </x:c>
      <x:c r="I927" t="str">
        <x:v>OK — pełna zgodność</x:v>
      </x:c>
      <x:c r="J927" s="1537" t="str"/>
    </x:row>
    <x:row r="928" ht="19" customHeight="1">
      <x:c r="A928" t="str">
        <x:v>600 x 406 cm</x:v>
      </x:c>
      <x:c r="B928" t="str">
        <x:v>led_cct</x:v>
      </x:c>
      <x:c r="C928" s="1533" t="n">
        <x:v>2908</x:v>
      </x:c>
      <x:c r="D928" s="1533" t="n">
        <x:v>3141</x:v>
      </x:c>
      <x:c r="E928" s="1533" t="n">
        <x:v>3140.64</x:v>
      </x:c>
      <x:c r="F928" s="1533" t="n">
        <x:v>3141</x:v>
      </x:c>
      <x:c r="G928" s="1535" t="n">
        <x:v>0</x:v>
      </x:c>
      <x:c r="H928" s="1535" t="n">
        <x:v>0</x:v>
      </x:c>
      <x:c r="I928" t="str">
        <x:v>OK — pełna zgodność</x:v>
      </x:c>
      <x:c r="J928" s="1537" t="str"/>
    </x:row>
    <x:row r="929" ht="19" customHeight="1">
      <x:c r="A929" t="str">
        <x:v>600 x 406 cm</x:v>
      </x:c>
      <x:c r="B929" t="str">
        <x:v>brushes</x:v>
      </x:c>
      <x:c r="C929" s="1533" t="n">
        <x:v>625</x:v>
      </x:c>
      <x:c r="D929" s="1533" t="n">
        <x:v>675</x:v>
      </x:c>
      <x:c r="E929" s="1533" t="n">
        <x:v>675</x:v>
      </x:c>
      <x:c r="F929" s="1533" t="n">
        <x:v>675</x:v>
      </x:c>
      <x:c r="G929" s="1535" t="n">
        <x:v>0</x:v>
      </x:c>
      <x:c r="H929" s="1535" t="n">
        <x:v>0</x:v>
      </x:c>
      <x:c r="I929" t="str">
        <x:v>OK — pełna zgodność</x:v>
      </x:c>
      <x:c r="J929" s="1537" t="str"/>
    </x:row>
    <x:row r="930" ht="19" customHeight="1">
      <x:c r="A930" t="str">
        <x:v>600 x 406 cm</x:v>
      </x:c>
      <x:c r="B930" t="str">
        <x:v>handles</x:v>
      </x:c>
      <x:c r="C930" s="1533" t="n">
        <x:v>566</x:v>
      </x:c>
      <x:c r="D930" s="1533" t="n">
        <x:v>611</x:v>
      </x:c>
      <x:c r="E930" s="1533" t="n">
        <x:v>611.28</x:v>
      </x:c>
      <x:c r="F930" s="1533" t="n">
        <x:v>611</x:v>
      </x:c>
      <x:c r="G930" s="1535" t="n">
        <x:v>0</x:v>
      </x:c>
      <x:c r="H930" s="1535" t="n">
        <x:v>0</x:v>
      </x:c>
      <x:c r="I930" t="str">
        <x:v>OK — pełna zgodność</x:v>
      </x:c>
      <x:c r="J930" s="1537" t="str"/>
    </x:row>
    <x:row r="931" ht="19" customHeight="1">
      <x:c r="A931" t="str">
        <x:v>600 x 406 cm</x:v>
      </x:c>
      <x:c r="B931" t="str">
        <x:v>carriers</x:v>
      </x:c>
      <x:c r="C931" s="1533" t="n">
        <x:v>613</x:v>
      </x:c>
      <x:c r="D931" s="1533" t="n">
        <x:v>662</x:v>
      </x:c>
      <x:c r="E931" s="1533" t="n">
        <x:v>662.04</x:v>
      </x:c>
      <x:c r="F931" s="1533" t="n">
        <x:v>662</x:v>
      </x:c>
      <x:c r="G931" s="1535" t="n">
        <x:v>0</x:v>
      </x:c>
      <x:c r="H931" s="1535" t="n">
        <x:v>0</x:v>
      </x:c>
      <x:c r="I931" t="str">
        <x:v>OK — pełna zgodność</x:v>
      </x:c>
      <x:c r="J931" s="1537" t="str"/>
    </x:row>
    <x:row r="932" ht="19" customHeight="1">
      <x:c r="A932" t="str">
        <x:v>600 x 506 cm</x:v>
      </x:c>
      <x:c r="B932" t="str">
        <x:v>base_poly</x:v>
      </x:c>
      <x:c r="C932" s="1533" t="n">
        <x:v>25633</x:v>
      </x:c>
      <x:c r="D932" s="1533" t="n">
        <x:v>27684</x:v>
      </x:c>
      <x:c r="E932" s="1533" t="n">
        <x:v>27683.64</x:v>
      </x:c>
      <x:c r="F932" s="1533" t="n">
        <x:v>27684</x:v>
      </x:c>
      <x:c r="G932" s="1535" t="n">
        <x:v>0</x:v>
      </x:c>
      <x:c r="H932" s="1535" t="n">
        <x:v>0</x:v>
      </x:c>
      <x:c r="I932" t="str">
        <x:v>OK — pełna zgodność</x:v>
      </x:c>
      <x:c r="J932" s="1537" t="str"/>
    </x:row>
    <x:row r="933" ht="19" customHeight="1">
      <x:c r="A933" t="str">
        <x:v>600 x 506 cm</x:v>
      </x:c>
      <x:c r="B933" t="str">
        <x:v>walls_clear</x:v>
      </x:c>
      <x:c r="C933" s="1533" t="n">
        <x:v>23903</x:v>
      </x:c>
      <x:c r="D933" s="1533" t="n">
        <x:v>25815</x:v>
      </x:c>
      <x:c r="E933" s="1533" t="n">
        <x:v>25815.24</x:v>
      </x:c>
      <x:c r="F933" s="1533" t="n">
        <x:v>25815</x:v>
      </x:c>
      <x:c r="G933" s="1535" t="n">
        <x:v>0</x:v>
      </x:c>
      <x:c r="H933" s="1535" t="n">
        <x:v>0</x:v>
      </x:c>
      <x:c r="I933" t="str">
        <x:v>OK — pełna zgodność</x:v>
      </x:c>
      <x:c r="J933" s="1537" t="str"/>
    </x:row>
    <x:row r="934" ht="19" customHeight="1">
      <x:c r="A934" t="str">
        <x:v>600 x 506 cm</x:v>
      </x:c>
      <x:c r="B934" t="str">
        <x:v>walls_tinted</x:v>
      </x:c>
      <x:c r="C934" s="1533" t="n">
        <x:v>26309</x:v>
      </x:c>
      <x:c r="D934" s="1533" t="n">
        <x:v>28413</x:v>
      </x:c>
      <x:c r="E934" s="1533" t="n">
        <x:v>28413.72</x:v>
      </x:c>
      <x:c r="F934" s="1533" t="n">
        <x:v>28414</x:v>
      </x:c>
      <x:c r="G934" s="1535" t="n">
        <x:v>1</x:v>
      </x:c>
      <x:c r="H934" s="1535" t="n">
        <x:v>1</x:v>
      </x:c>
      <x:c r="I934" t="str">
        <x:v>OK — zaokrąglenie ±1 zł</x:v>
      </x:c>
      <x:c r="J934" s="1537" t="str">
        <x:v>Pozycja złożona; stary eksport mógł zaokrąglać składniki osobno.</x:v>
      </x:c>
    </x:row>
    <x:row r="935" ht="19" customHeight="1">
      <x:c r="A935" t="str">
        <x:v>600 x 506 cm</x:v>
      </x:c>
      <x:c r="B935" t="str">
        <x:v>roof_poly_colored</x:v>
      </x:c>
      <x:c r="C935" s="1533" t="n">
        <x:v>613</x:v>
      </x:c>
      <x:c r="D935" s="1533" t="n">
        <x:v>662</x:v>
      </x:c>
      <x:c r="E935" s="1533" t="n">
        <x:v>662.04</x:v>
      </x:c>
      <x:c r="F935" s="1533" t="n">
        <x:v>662</x:v>
      </x:c>
      <x:c r="G935" s="1535" t="n">
        <x:v>0</x:v>
      </x:c>
      <x:c r="H935" s="1535" t="n">
        <x:v>0</x:v>
      </x:c>
      <x:c r="I935" t="str">
        <x:v>OK — pełna zgodność</x:v>
      </x:c>
      <x:c r="J935" s="1537" t="str"/>
    </x:row>
    <x:row r="936" ht="19" customHeight="1">
      <x:c r="A936" t="str">
        <x:v>600 x 506 cm</x:v>
      </x:c>
      <x:c r="B936" t="str">
        <x:v>roof_glass_clear</x:v>
      </x:c>
      <x:c r="C936" s="1533" t="n">
        <x:v>0</x:v>
      </x:c>
      <x:c r="D936" s="1533" t="n">
        <x:v>0</x:v>
      </x:c>
      <x:c r="E936" s="1533" t="n">
        <x:v>0</x:v>
      </x:c>
      <x:c r="F936" s="1533" t="n">
        <x:v>0</x:v>
      </x:c>
      <x:c r="G936" s="1535" t="n">
        <x:v>0</x:v>
      </x:c>
      <x:c r="H936" s="1535" t="n">
        <x:v>0</x:v>
      </x:c>
      <x:c r="I936" t="str">
        <x:v>OK — pełna zgodność</x:v>
      </x:c>
      <x:c r="J936" s="1537" t="str">
        <x:v>Szkło niedostępne dla tego wymiaru — poprawnie 0.</x:v>
      </x:c>
    </x:row>
    <x:row r="937" ht="19" customHeight="1">
      <x:c r="A937" t="str">
        <x:v>600 x 506 cm</x:v>
      </x:c>
      <x:c r="B937" t="str">
        <x:v>roof_glass_tinted</x:v>
      </x:c>
      <x:c r="C937" s="1533" t="n">
        <x:v>0</x:v>
      </x:c>
      <x:c r="D937" s="1533" t="n">
        <x:v>0</x:v>
      </x:c>
      <x:c r="E937" s="1533" t="n">
        <x:v>0</x:v>
      </x:c>
      <x:c r="F937" s="1533" t="n">
        <x:v>0</x:v>
      </x:c>
      <x:c r="G937" s="1535" t="n">
        <x:v>0</x:v>
      </x:c>
      <x:c r="H937" s="1535" t="n">
        <x:v>0</x:v>
      </x:c>
      <x:c r="I937" t="str">
        <x:v>OK — pełna zgodność</x:v>
      </x:c>
      <x:c r="J937" s="1537" t="str">
        <x:v>Szkło niedostępne dla tego wymiaru — poprawnie 0.</x:v>
      </x:c>
    </x:row>
    <x:row r="938" ht="19" customHeight="1">
      <x:c r="A938" t="str">
        <x:v>600 x 506 cm</x:v>
      </x:c>
      <x:c r="B938" t="str">
        <x:v>zip_side</x:v>
      </x:c>
      <x:c r="C938" s="1533" t="n">
        <x:v>5034</x:v>
      </x:c>
      <x:c r="D938" s="1533" t="n">
        <x:v>5437</x:v>
      </x:c>
      <x:c r="E938" s="1533" t="n">
        <x:v>5436.72</x:v>
      </x:c>
      <x:c r="F938" s="1533" t="n">
        <x:v>5437</x:v>
      </x:c>
      <x:c r="G938" s="1535" t="n">
        <x:v>0</x:v>
      </x:c>
      <x:c r="H938" s="1535" t="n">
        <x:v>0</x:v>
      </x:c>
      <x:c r="I938" t="str">
        <x:v>OK — pełna zgodność</x:v>
      </x:c>
      <x:c r="J938" s="1537" t="str"/>
    </x:row>
    <x:row r="939" ht="19" customHeight="1">
      <x:c r="A939" t="str">
        <x:v>600 x 506 cm</x:v>
      </x:c>
      <x:c r="B939" t="str">
        <x:v>zip_front</x:v>
      </x:c>
      <x:c r="C939" s="1533" t="n">
        <x:v>4362</x:v>
      </x:c>
      <x:c r="D939" s="1533" t="n">
        <x:v>4711</x:v>
      </x:c>
      <x:c r="E939" s="1533" t="n">
        <x:v>4710.96</x:v>
      </x:c>
      <x:c r="F939" s="1533" t="n">
        <x:v>4711</x:v>
      </x:c>
      <x:c r="G939" s="1535" t="n">
        <x:v>0</x:v>
      </x:c>
      <x:c r="H939" s="1535" t="n">
        <x:v>0</x:v>
      </x:c>
      <x:c r="I939" t="str">
        <x:v>OK — pełna zgodność</x:v>
      </x:c>
      <x:c r="J939" s="1537" t="str"/>
    </x:row>
    <x:row r="940" ht="19" customHeight="1">
      <x:c r="A940" t="str">
        <x:v>600 x 506 cm</x:v>
      </x:c>
      <x:c r="B940" t="str">
        <x:v>awning</x:v>
      </x:c>
      <x:c r="C940" s="1533" t="n">
        <x:v>6554</x:v>
      </x:c>
      <x:c r="D940" s="1533" t="n">
        <x:v>7078</x:v>
      </x:c>
      <x:c r="E940" s="1533" t="n">
        <x:v>7078.32</x:v>
      </x:c>
      <x:c r="F940" s="1533" t="n">
        <x:v>7078</x:v>
      </x:c>
      <x:c r="G940" s="1535" t="n">
        <x:v>0</x:v>
      </x:c>
      <x:c r="H940" s="1535" t="n">
        <x:v>0</x:v>
      </x:c>
      <x:c r="I940" t="str">
        <x:v>OK — pełna zgodność</x:v>
      </x:c>
      <x:c r="J940" s="1537" t="str"/>
    </x:row>
    <x:row r="941" ht="19" customHeight="1">
      <x:c r="A941" t="str">
        <x:v>600 x 506 cm</x:v>
      </x:c>
      <x:c r="B941" t="str">
        <x:v>foundation</x:v>
      </x:c>
      <x:c r="C941" s="1533" t="n">
        <x:v>3111</x:v>
      </x:c>
      <x:c r="D941" s="1533" t="n">
        <x:v>3360</x:v>
      </x:c>
      <x:c r="E941" s="1533" t="n">
        <x:v>3359.88</x:v>
      </x:c>
      <x:c r="F941" s="1533" t="n">
        <x:v>3360</x:v>
      </x:c>
      <x:c r="G941" s="1535" t="n">
        <x:v>0</x:v>
      </x:c>
      <x:c r="H941" s="1535" t="n">
        <x:v>0</x:v>
      </x:c>
      <x:c r="I941" t="str">
        <x:v>OK — pełna zgodność</x:v>
      </x:c>
      <x:c r="J941" s="1537" t="str"/>
    </x:row>
    <x:row r="942" ht="19" customHeight="1">
      <x:c r="A942" t="str">
        <x:v>600 x 506 cm</x:v>
      </x:c>
      <x:c r="B942" t="str">
        <x:v>led_point</x:v>
      </x:c>
      <x:c r="C942" s="1533" t="n">
        <x:v>1131</x:v>
      </x:c>
      <x:c r="D942" s="1533" t="n">
        <x:v>1221</x:v>
      </x:c>
      <x:c r="E942" s="1533" t="n">
        <x:v>1221.48</x:v>
      </x:c>
      <x:c r="F942" s="1533" t="n">
        <x:v>1221</x:v>
      </x:c>
      <x:c r="G942" s="1535" t="n">
        <x:v>0</x:v>
      </x:c>
      <x:c r="H942" s="1535" t="n">
        <x:v>0</x:v>
      </x:c>
      <x:c r="I942" t="str">
        <x:v>OK — pełna zgodność</x:v>
      </x:c>
      <x:c r="J942" s="1537" t="str"/>
    </x:row>
    <x:row r="943" ht="19" customHeight="1">
      <x:c r="A943" t="str">
        <x:v>600 x 506 cm</x:v>
      </x:c>
      <x:c r="B943" t="str">
        <x:v>led_cct</x:v>
      </x:c>
      <x:c r="C943" s="1533" t="n">
        <x:v>3242</x:v>
      </x:c>
      <x:c r="D943" s="1533" t="n">
        <x:v>3501</x:v>
      </x:c>
      <x:c r="E943" s="1533" t="n">
        <x:v>3501.36</x:v>
      </x:c>
      <x:c r="F943" s="1533" t="n">
        <x:v>3501</x:v>
      </x:c>
      <x:c r="G943" s="1535" t="n">
        <x:v>0</x:v>
      </x:c>
      <x:c r="H943" s="1535" t="n">
        <x:v>0</x:v>
      </x:c>
      <x:c r="I943" t="str">
        <x:v>OK — pełna zgodność</x:v>
      </x:c>
      <x:c r="J943" s="1537" t="str"/>
    </x:row>
    <x:row r="944" ht="19" customHeight="1">
      <x:c r="A944" t="str">
        <x:v>600 x 506 cm</x:v>
      </x:c>
      <x:c r="B944" t="str">
        <x:v>brushes</x:v>
      </x:c>
      <x:c r="C944" s="1533" t="n">
        <x:v>671</x:v>
      </x:c>
      <x:c r="D944" s="1533" t="n">
        <x:v>725</x:v>
      </x:c>
      <x:c r="E944" s="1533" t="n">
        <x:v>724.68</x:v>
      </x:c>
      <x:c r="F944" s="1533" t="n">
        <x:v>725</x:v>
      </x:c>
      <x:c r="G944" s="1535" t="n">
        <x:v>0</x:v>
      </x:c>
      <x:c r="H944" s="1535" t="n">
        <x:v>0</x:v>
      </x:c>
      <x:c r="I944" t="str">
        <x:v>OK — pełna zgodność</x:v>
      </x:c>
      <x:c r="J944" s="1537" t="str"/>
    </x:row>
    <x:row r="945" ht="19" customHeight="1">
      <x:c r="A945" t="str">
        <x:v>600 x 506 cm</x:v>
      </x:c>
      <x:c r="B945" t="str">
        <x:v>handles</x:v>
      </x:c>
      <x:c r="C945" s="1533" t="n">
        <x:v>613</x:v>
      </x:c>
      <x:c r="D945" s="1533" t="n">
        <x:v>662</x:v>
      </x:c>
      <x:c r="E945" s="1533" t="n">
        <x:v>662.04</x:v>
      </x:c>
      <x:c r="F945" s="1533" t="n">
        <x:v>662</x:v>
      </x:c>
      <x:c r="G945" s="1535" t="n">
        <x:v>0</x:v>
      </x:c>
      <x:c r="H945" s="1535" t="n">
        <x:v>0</x:v>
      </x:c>
      <x:c r="I945" t="str">
        <x:v>OK — pełna zgodność</x:v>
      </x:c>
      <x:c r="J945" s="1537" t="str"/>
    </x:row>
    <x:row r="946" ht="19" customHeight="1">
      <x:c r="A946" t="str">
        <x:v>600 x 506 cm</x:v>
      </x:c>
      <x:c r="B946" t="str">
        <x:v>carriers</x:v>
      </x:c>
      <x:c r="C946" s="1533" t="n">
        <x:v>613</x:v>
      </x:c>
      <x:c r="D946" s="1533" t="n">
        <x:v>662</x:v>
      </x:c>
      <x:c r="E946" s="1533" t="n">
        <x:v>662.04</x:v>
      </x:c>
      <x:c r="F946" s="1533" t="n">
        <x:v>662</x:v>
      </x:c>
      <x:c r="G946" s="1535" t="n">
        <x:v>0</x:v>
      </x:c>
      <x:c r="H946" s="1535" t="n">
        <x:v>0</x:v>
      </x:c>
      <x:c r="I946" t="str">
        <x:v>OK — pełna zgodność</x:v>
      </x:c>
      <x:c r="J946" s="1537" t="str"/>
    </x:row>
    <x:row r="947" ht="19" customHeight="1">
      <x:c r="A947" t="str">
        <x:v>600 x 606 cm</x:v>
      </x:c>
      <x:c r="B947" t="str">
        <x:v>base_poly</x:v>
      </x:c>
      <x:c r="C947" s="1533" t="n">
        <x:v>29845</x:v>
      </x:c>
      <x:c r="D947" s="1533" t="n">
        <x:v>32233</x:v>
      </x:c>
      <x:c r="E947" s="1533" t="n">
        <x:v>32232.6</x:v>
      </x:c>
      <x:c r="F947" s="1533" t="n">
        <x:v>32233</x:v>
      </x:c>
      <x:c r="G947" s="1535" t="n">
        <x:v>0</x:v>
      </x:c>
      <x:c r="H947" s="1535" t="n">
        <x:v>0</x:v>
      </x:c>
      <x:c r="I947" t="str">
        <x:v>OK — pełna zgodność</x:v>
      </x:c>
      <x:c r="J947" s="1537" t="str"/>
    </x:row>
    <x:row r="948" ht="19" customHeight="1">
      <x:c r="A948" t="str">
        <x:v>600 x 606 cm</x:v>
      </x:c>
      <x:c r="B948" t="str">
        <x:v>walls_clear</x:v>
      </x:c>
      <x:c r="C948" s="1533" t="n">
        <x:v>24237</x:v>
      </x:c>
      <x:c r="D948" s="1533" t="n">
        <x:v>26176</x:v>
      </x:c>
      <x:c r="E948" s="1533" t="n">
        <x:v>26175.96</x:v>
      </x:c>
      <x:c r="F948" s="1533" t="n">
        <x:v>26176</x:v>
      </x:c>
      <x:c r="G948" s="1535" t="n">
        <x:v>0</x:v>
      </x:c>
      <x:c r="H948" s="1535" t="n">
        <x:v>0</x:v>
      </x:c>
      <x:c r="I948" t="str">
        <x:v>OK — pełna zgodność</x:v>
      </x:c>
      <x:c r="J948" s="1537" t="str"/>
    </x:row>
    <x:row r="949" ht="19" customHeight="1">
      <x:c r="A949" t="str">
        <x:v>600 x 606 cm</x:v>
      </x:c>
      <x:c r="B949" t="str">
        <x:v>walls_tinted</x:v>
      </x:c>
      <x:c r="C949" s="1533" t="n">
        <x:v>26783</x:v>
      </x:c>
      <x:c r="D949" s="1533" t="n">
        <x:v>28926</x:v>
      </x:c>
      <x:c r="E949" s="1533" t="n">
        <x:v>28925.64</x:v>
      </x:c>
      <x:c r="F949" s="1533" t="n">
        <x:v>28926</x:v>
      </x:c>
      <x:c r="G949" s="1535" t="n">
        <x:v>0</x:v>
      </x:c>
      <x:c r="H949" s="1535" t="n">
        <x:v>0</x:v>
      </x:c>
      <x:c r="I949" t="str">
        <x:v>OK — pełna zgodność</x:v>
      </x:c>
      <x:c r="J949" s="1537" t="str">
        <x:v>Pozycja złożona; stary eksport mógł zaokrąglać składniki osobno.</x:v>
      </x:c>
    </x:row>
    <x:row r="950" ht="19" customHeight="1">
      <x:c r="A950" t="str">
        <x:v>600 x 606 cm</x:v>
      </x:c>
      <x:c r="B950" t="str">
        <x:v>roof_poly_colored</x:v>
      </x:c>
      <x:c r="C950" s="1533" t="n">
        <x:v>731</x:v>
      </x:c>
      <x:c r="D950" s="1533" t="n">
        <x:v>789</x:v>
      </x:c>
      <x:c r="E950" s="1533" t="n">
        <x:v>789.48</x:v>
      </x:c>
      <x:c r="F950" s="1533" t="n">
        <x:v>789</x:v>
      </x:c>
      <x:c r="G950" s="1535" t="n">
        <x:v>0</x:v>
      </x:c>
      <x:c r="H950" s="1535" t="n">
        <x:v>0</x:v>
      </x:c>
      <x:c r="I950" t="str">
        <x:v>OK — pełna zgodność</x:v>
      </x:c>
      <x:c r="J950" s="1537" t="str"/>
    </x:row>
    <x:row r="951" ht="19" customHeight="1">
      <x:c r="A951" t="str">
        <x:v>600 x 606 cm</x:v>
      </x:c>
      <x:c r="B951" t="str">
        <x:v>roof_glass_clear</x:v>
      </x:c>
      <x:c r="C951" s="1533" t="n">
        <x:v>0</x:v>
      </x:c>
      <x:c r="D951" s="1533" t="n">
        <x:v>0</x:v>
      </x:c>
      <x:c r="E951" s="1533" t="n">
        <x:v>0</x:v>
      </x:c>
      <x:c r="F951" s="1533" t="n">
        <x:v>0</x:v>
      </x:c>
      <x:c r="G951" s="1535" t="n">
        <x:v>0</x:v>
      </x:c>
      <x:c r="H951" s="1535" t="n">
        <x:v>0</x:v>
      </x:c>
      <x:c r="I951" t="str">
        <x:v>OK — pełna zgodność</x:v>
      </x:c>
      <x:c r="J951" s="1537" t="str">
        <x:v>Szkło niedostępne dla tego wymiaru — poprawnie 0.</x:v>
      </x:c>
    </x:row>
    <x:row r="952" ht="19" customHeight="1">
      <x:c r="A952" t="str">
        <x:v>600 x 606 cm</x:v>
      </x:c>
      <x:c r="B952" t="str">
        <x:v>roof_glass_tinted</x:v>
      </x:c>
      <x:c r="C952" s="1533" t="n">
        <x:v>0</x:v>
      </x:c>
      <x:c r="D952" s="1533" t="n">
        <x:v>0</x:v>
      </x:c>
      <x:c r="E952" s="1533" t="n">
        <x:v>0</x:v>
      </x:c>
      <x:c r="F952" s="1533" t="n">
        <x:v>0</x:v>
      </x:c>
      <x:c r="G952" s="1535" t="n">
        <x:v>0</x:v>
      </x:c>
      <x:c r="H952" s="1535" t="n">
        <x:v>0</x:v>
      </x:c>
      <x:c r="I952" t="str">
        <x:v>OK — pełna zgodność</x:v>
      </x:c>
      <x:c r="J952" s="1537" t="str">
        <x:v>Szkło niedostępne dla tego wymiaru — poprawnie 0.</x:v>
      </x:c>
    </x:row>
    <x:row r="953" ht="19" customHeight="1">
      <x:c r="A953" t="str">
        <x:v>600 x 606 cm</x:v>
      </x:c>
      <x:c r="B953" t="str">
        <x:v>zip_side</x:v>
      </x:c>
      <x:c r="C953" s="1533" t="n">
        <x:v>5034</x:v>
      </x:c>
      <x:c r="D953" s="1533" t="n">
        <x:v>5437</x:v>
      </x:c>
      <x:c r="E953" s="1533" t="n">
        <x:v>5436.72</x:v>
      </x:c>
      <x:c r="F953" s="1533" t="n">
        <x:v>5437</x:v>
      </x:c>
      <x:c r="G953" s="1535" t="n">
        <x:v>0</x:v>
      </x:c>
      <x:c r="H953" s="1535" t="n">
        <x:v>0</x:v>
      </x:c>
      <x:c r="I953" t="str">
        <x:v>OK — pełna zgodność</x:v>
      </x:c>
      <x:c r="J953" s="1537" t="str"/>
    </x:row>
    <x:row r="954" ht="19" customHeight="1">
      <x:c r="A954" t="str">
        <x:v>600 x 606 cm</x:v>
      </x:c>
      <x:c r="B954" t="str">
        <x:v>zip_front</x:v>
      </x:c>
      <x:c r="C954" s="1533" t="n">
        <x:v>5034</x:v>
      </x:c>
      <x:c r="D954" s="1533" t="n">
        <x:v>5437</x:v>
      </x:c>
      <x:c r="E954" s="1533" t="n">
        <x:v>5436.72</x:v>
      </x:c>
      <x:c r="F954" s="1533" t="n">
        <x:v>5437</x:v>
      </x:c>
      <x:c r="G954" s="1535" t="n">
        <x:v>0</x:v>
      </x:c>
      <x:c r="H954" s="1535" t="n">
        <x:v>0</x:v>
      </x:c>
      <x:c r="I954" t="str">
        <x:v>OK — pełna zgodność</x:v>
      </x:c>
      <x:c r="J954" s="1537" t="str"/>
    </x:row>
    <x:row r="955" ht="19" customHeight="1">
      <x:c r="A955" t="str">
        <x:v>600 x 606 cm</x:v>
      </x:c>
      <x:c r="B955" t="str">
        <x:v>awning</x:v>
      </x:c>
      <x:c r="C955" s="1533" t="n">
        <x:v>9856</x:v>
      </x:c>
      <x:c r="D955" s="1533" t="n">
        <x:v>10644</x:v>
      </x:c>
      <x:c r="E955" s="1533" t="n">
        <x:v>10644.48</x:v>
      </x:c>
      <x:c r="F955" s="1533" t="n">
        <x:v>10644</x:v>
      </x:c>
      <x:c r="G955" s="1535" t="n">
        <x:v>0</x:v>
      </x:c>
      <x:c r="H955" s="1535" t="n">
        <x:v>0</x:v>
      </x:c>
      <x:c r="I955" t="str">
        <x:v>OK — pełna zgodność</x:v>
      </x:c>
      <x:c r="J955" s="1537" t="str"/>
    </x:row>
    <x:row r="956" ht="19" customHeight="1">
      <x:c r="A956" t="str">
        <x:v>600 x 606 cm</x:v>
      </x:c>
      <x:c r="B956" t="str">
        <x:v>foundation</x:v>
      </x:c>
      <x:c r="C956" s="1533" t="n">
        <x:v>3740</x:v>
      </x:c>
      <x:c r="D956" s="1533" t="n">
        <x:v>4039</x:v>
      </x:c>
      <x:c r="E956" s="1533" t="n">
        <x:v>4039.2</x:v>
      </x:c>
      <x:c r="F956" s="1533" t="n">
        <x:v>4039</x:v>
      </x:c>
      <x:c r="G956" s="1535" t="n">
        <x:v>0</x:v>
      </x:c>
      <x:c r="H956" s="1535" t="n">
        <x:v>0</x:v>
      </x:c>
      <x:c r="I956" t="str">
        <x:v>OK — pełna zgodność</x:v>
      </x:c>
      <x:c r="J956" s="1537" t="str"/>
    </x:row>
    <x:row r="957" ht="19" customHeight="1">
      <x:c r="A957" t="str">
        <x:v>600 x 606 cm</x:v>
      </x:c>
      <x:c r="B957" t="str">
        <x:v>led_point</x:v>
      </x:c>
      <x:c r="C957" s="1533" t="n">
        <x:v>1285</x:v>
      </x:c>
      <x:c r="D957" s="1533" t="n">
        <x:v>1388</x:v>
      </x:c>
      <x:c r="E957" s="1533" t="n">
        <x:v>1387.8</x:v>
      </x:c>
      <x:c r="F957" s="1533" t="n">
        <x:v>1388</x:v>
      </x:c>
      <x:c r="G957" s="1535" t="n">
        <x:v>0</x:v>
      </x:c>
      <x:c r="H957" s="1535" t="n">
        <x:v>0</x:v>
      </x:c>
      <x:c r="I957" t="str">
        <x:v>OK — pełna zgodność</x:v>
      </x:c>
      <x:c r="J957" s="1537" t="str"/>
    </x:row>
    <x:row r="958" ht="19" customHeight="1">
      <x:c r="A958" t="str">
        <x:v>600 x 606 cm</x:v>
      </x:c>
      <x:c r="B958" t="str">
        <x:v>led_cct</x:v>
      </x:c>
      <x:c r="C958" s="1533" t="n">
        <x:v>3981</x:v>
      </x:c>
      <x:c r="D958" s="1533" t="n">
        <x:v>4299</x:v>
      </x:c>
      <x:c r="E958" s="1533" t="n">
        <x:v>4299.48</x:v>
      </x:c>
      <x:c r="F958" s="1533" t="n">
        <x:v>4299</x:v>
      </x:c>
      <x:c r="G958" s="1535" t="n">
        <x:v>0</x:v>
      </x:c>
      <x:c r="H958" s="1535" t="n">
        <x:v>0</x:v>
      </x:c>
      <x:c r="I958" t="str">
        <x:v>OK — pełna zgodność</x:v>
      </x:c>
      <x:c r="J958" s="1537" t="str"/>
    </x:row>
    <x:row r="959" ht="19" customHeight="1">
      <x:c r="A959" t="str">
        <x:v>600 x 606 cm</x:v>
      </x:c>
      <x:c r="B959" t="str">
        <x:v>brushes</x:v>
      </x:c>
      <x:c r="C959" s="1533" t="n">
        <x:v>719</x:v>
      </x:c>
      <x:c r="D959" s="1533" t="n">
        <x:v>777</x:v>
      </x:c>
      <x:c r="E959" s="1533" t="n">
        <x:v>776.52</x:v>
      </x:c>
      <x:c r="F959" s="1533" t="n">
        <x:v>777</x:v>
      </x:c>
      <x:c r="G959" s="1535" t="n">
        <x:v>0</x:v>
      </x:c>
      <x:c r="H959" s="1535" t="n">
        <x:v>0</x:v>
      </x:c>
      <x:c r="I959" t="str">
        <x:v>OK — pełna zgodność</x:v>
      </x:c>
      <x:c r="J959" s="1537" t="str"/>
    </x:row>
    <x:row r="960" ht="19" customHeight="1">
      <x:c r="A960" t="str">
        <x:v>600 x 606 cm</x:v>
      </x:c>
      <x:c r="B960" t="str">
        <x:v>handles</x:v>
      </x:c>
      <x:c r="C960" s="1533" t="n">
        <x:v>648</x:v>
      </x:c>
      <x:c r="D960" s="1533" t="n">
        <x:v>700</x:v>
      </x:c>
      <x:c r="E960" s="1533" t="n">
        <x:v>699.84</x:v>
      </x:c>
      <x:c r="F960" s="1533" t="n">
        <x:v>700</x:v>
      </x:c>
      <x:c r="G960" s="1535" t="n">
        <x:v>0</x:v>
      </x:c>
      <x:c r="H960" s="1535" t="n">
        <x:v>0</x:v>
      </x:c>
      <x:c r="I960" t="str">
        <x:v>OK — pełna zgodność</x:v>
      </x:c>
      <x:c r="J960" s="1537" t="str"/>
    </x:row>
    <x:row r="961" ht="19" customHeight="1">
      <x:c r="A961" t="str">
        <x:v>600 x 606 cm</x:v>
      </x:c>
      <x:c r="B961" t="str">
        <x:v>carriers</x:v>
      </x:c>
      <x:c r="C961" s="1533" t="n">
        <x:v>660</x:v>
      </x:c>
      <x:c r="D961" s="1533" t="n">
        <x:v>713</x:v>
      </x:c>
      <x:c r="E961" s="1533" t="n">
        <x:v>712.8</x:v>
      </x:c>
      <x:c r="F961" s="1533" t="n">
        <x:v>713</x:v>
      </x:c>
      <x:c r="G961" s="1535" t="n">
        <x:v>0</x:v>
      </x:c>
      <x:c r="H961" s="1535" t="n">
        <x:v>0</x:v>
      </x:c>
      <x:c r="I961" t="str">
        <x:v>OK — pełna zgodność</x:v>
      </x:c>
      <x:c r="J961" s="1537" t="str"/>
    </x:row>
    <x:row r="962" ht="19" customHeight="1">
      <x:c r="A962" t="str">
        <x:v>600 x 706 cm</x:v>
      </x:c>
      <x:c r="B962" t="str">
        <x:v>base_poly</x:v>
      </x:c>
      <x:c r="C962" s="1533" t="n">
        <x:v>34069</x:v>
      </x:c>
      <x:c r="D962" s="1533" t="n">
        <x:v>36795</x:v>
      </x:c>
      <x:c r="E962" s="1533" t="n">
        <x:v>36794.52</x:v>
      </x:c>
      <x:c r="F962" s="1533" t="n">
        <x:v>36795</x:v>
      </x:c>
      <x:c r="G962" s="1535" t="n">
        <x:v>0</x:v>
      </x:c>
      <x:c r="H962" s="1535" t="n">
        <x:v>0</x:v>
      </x:c>
      <x:c r="I962" t="str">
        <x:v>OK — pełna zgodność</x:v>
      </x:c>
      <x:c r="J962" s="1537" t="str"/>
    </x:row>
    <x:row r="963" ht="19" customHeight="1">
      <x:c r="A963" t="str">
        <x:v>600 x 706 cm</x:v>
      </x:c>
      <x:c r="B963" t="str">
        <x:v>walls_clear</x:v>
      </x:c>
      <x:c r="C963" s="1533" t="n">
        <x:v>25400</x:v>
      </x:c>
      <x:c r="D963" s="1533" t="n">
        <x:v>27432</x:v>
      </x:c>
      <x:c r="E963" s="1533" t="n">
        <x:v>27432</x:v>
      </x:c>
      <x:c r="F963" s="1533" t="n">
        <x:v>27432</x:v>
      </x:c>
      <x:c r="G963" s="1535" t="n">
        <x:v>0</x:v>
      </x:c>
      <x:c r="H963" s="1535" t="n">
        <x:v>0</x:v>
      </x:c>
      <x:c r="I963" t="str">
        <x:v>OK — pełna zgodność</x:v>
      </x:c>
      <x:c r="J963" s="1537" t="str"/>
    </x:row>
    <x:row r="964" ht="19" customHeight="1">
      <x:c r="A964" t="str">
        <x:v>600 x 706 cm</x:v>
      </x:c>
      <x:c r="B964" t="str">
        <x:v>walls_tinted</x:v>
      </x:c>
      <x:c r="C964" s="1533" t="n">
        <x:v>28088</x:v>
      </x:c>
      <x:c r="D964" s="1533" t="n">
        <x:v>30335</x:v>
      </x:c>
      <x:c r="E964" s="1533" t="n">
        <x:v>30335.04</x:v>
      </x:c>
      <x:c r="F964" s="1533" t="n">
        <x:v>30335</x:v>
      </x:c>
      <x:c r="G964" s="1535" t="n">
        <x:v>0</x:v>
      </x:c>
      <x:c r="H964" s="1535" t="n">
        <x:v>0</x:v>
      </x:c>
      <x:c r="I964" t="str">
        <x:v>OK — pełna zgodność</x:v>
      </x:c>
      <x:c r="J964" s="1537" t="str">
        <x:v>Pozycja złożona; stary eksport mógł zaokrąglać składniki osobno.</x:v>
      </x:c>
    </x:row>
    <x:row r="965" ht="19" customHeight="1">
      <x:c r="A965" t="str">
        <x:v>600 x 706 cm</x:v>
      </x:c>
      <x:c r="B965" t="str">
        <x:v>roof_poly_colored</x:v>
      </x:c>
      <x:c r="C965" s="1533" t="n">
        <x:v>860</x:v>
      </x:c>
      <x:c r="D965" s="1533" t="n">
        <x:v>929</x:v>
      </x:c>
      <x:c r="E965" s="1533" t="n">
        <x:v>928.8</x:v>
      </x:c>
      <x:c r="F965" s="1533" t="n">
        <x:v>929</x:v>
      </x:c>
      <x:c r="G965" s="1535" t="n">
        <x:v>0</x:v>
      </x:c>
      <x:c r="H965" s="1535" t="n">
        <x:v>0</x:v>
      </x:c>
      <x:c r="I965" t="str">
        <x:v>OK — pełna zgodność</x:v>
      </x:c>
      <x:c r="J965" s="1537" t="str"/>
    </x:row>
    <x:row r="966" ht="19" customHeight="1">
      <x:c r="A966" t="str">
        <x:v>600 x 706 cm</x:v>
      </x:c>
      <x:c r="B966" t="str">
        <x:v>roof_glass_clear</x:v>
      </x:c>
      <x:c r="C966" s="1533" t="n">
        <x:v>0</x:v>
      </x:c>
      <x:c r="D966" s="1533" t="n">
        <x:v>0</x:v>
      </x:c>
      <x:c r="E966" s="1533" t="n">
        <x:v>0</x:v>
      </x:c>
      <x:c r="F966" s="1533" t="n">
        <x:v>0</x:v>
      </x:c>
      <x:c r="G966" s="1535" t="n">
        <x:v>0</x:v>
      </x:c>
      <x:c r="H966" s="1535" t="n">
        <x:v>0</x:v>
      </x:c>
      <x:c r="I966" t="str">
        <x:v>OK — pełna zgodność</x:v>
      </x:c>
      <x:c r="J966" s="1537" t="str">
        <x:v>Szkło niedostępne dla tego wymiaru — poprawnie 0.</x:v>
      </x:c>
    </x:row>
    <x:row r="967" ht="19" customHeight="1">
      <x:c r="A967" t="str">
        <x:v>600 x 706 cm</x:v>
      </x:c>
      <x:c r="B967" t="str">
        <x:v>roof_glass_tinted</x:v>
      </x:c>
      <x:c r="C967" s="1533" t="n">
        <x:v>0</x:v>
      </x:c>
      <x:c r="D967" s="1533" t="n">
        <x:v>0</x:v>
      </x:c>
      <x:c r="E967" s="1533" t="n">
        <x:v>0</x:v>
      </x:c>
      <x:c r="F967" s="1533" t="n">
        <x:v>0</x:v>
      </x:c>
      <x:c r="G967" s="1535" t="n">
        <x:v>0</x:v>
      </x:c>
      <x:c r="H967" s="1535" t="n">
        <x:v>0</x:v>
      </x:c>
      <x:c r="I967" t="str">
        <x:v>OK — pełna zgodność</x:v>
      </x:c>
      <x:c r="J967" s="1537" t="str">
        <x:v>Szkło niedostępne dla tego wymiaru — poprawnie 0.</x:v>
      </x:c>
    </x:row>
    <x:row r="968" ht="19" customHeight="1">
      <x:c r="A968" t="str">
        <x:v>600 x 706 cm</x:v>
      </x:c>
      <x:c r="B968" t="str">
        <x:v>zip_side</x:v>
      </x:c>
      <x:c r="C968" s="1533" t="n">
        <x:v>5034</x:v>
      </x:c>
      <x:c r="D968" s="1533" t="n">
        <x:v>5437</x:v>
      </x:c>
      <x:c r="E968" s="1533" t="n">
        <x:v>5436.72</x:v>
      </x:c>
      <x:c r="F968" s="1533" t="n">
        <x:v>5437</x:v>
      </x:c>
      <x:c r="G968" s="1535" t="n">
        <x:v>0</x:v>
      </x:c>
      <x:c r="H968" s="1535" t="n">
        <x:v>0</x:v>
      </x:c>
      <x:c r="I968" t="str">
        <x:v>OK — pełna zgodność</x:v>
      </x:c>
      <x:c r="J968" s="1537" t="str"/>
    </x:row>
    <x:row r="969" ht="19" customHeight="1">
      <x:c r="A969" t="str">
        <x:v>600 x 706 cm</x:v>
      </x:c>
      <x:c r="B969" t="str">
        <x:v>zip_front</x:v>
      </x:c>
      <x:c r="C969" s="1533" t="n">
        <x:v>5635</x:v>
      </x:c>
      <x:c r="D969" s="1533" t="n">
        <x:v>6086</x:v>
      </x:c>
      <x:c r="E969" s="1533" t="n">
        <x:v>6085.8</x:v>
      </x:c>
      <x:c r="F969" s="1533" t="n">
        <x:v>6086</x:v>
      </x:c>
      <x:c r="G969" s="1535" t="n">
        <x:v>0</x:v>
      </x:c>
      <x:c r="H969" s="1535" t="n">
        <x:v>0</x:v>
      </x:c>
      <x:c r="I969" t="str">
        <x:v>OK — pełna zgodność</x:v>
      </x:c>
      <x:c r="J969" s="1537" t="str"/>
    </x:row>
    <x:row r="970" ht="19" customHeight="1">
      <x:c r="A970" t="str">
        <x:v>600 x 706 cm</x:v>
      </x:c>
      <x:c r="B970" t="str">
        <x:v>awning</x:v>
      </x:c>
      <x:c r="C970" s="1533" t="n">
        <x:v>10563</x:v>
      </x:c>
      <x:c r="D970" s="1533" t="n">
        <x:v>11408</x:v>
      </x:c>
      <x:c r="E970" s="1533" t="n">
        <x:v>11408.04</x:v>
      </x:c>
      <x:c r="F970" s="1533" t="n">
        <x:v>11408</x:v>
      </x:c>
      <x:c r="G970" s="1535" t="n">
        <x:v>0</x:v>
      </x:c>
      <x:c r="H970" s="1535" t="n">
        <x:v>0</x:v>
      </x:c>
      <x:c r="I970" t="str">
        <x:v>OK — pełna zgodność</x:v>
      </x:c>
      <x:c r="J970" s="1537" t="str"/>
    </x:row>
    <x:row r="971" ht="19" customHeight="1">
      <x:c r="A971" t="str">
        <x:v>600 x 706 cm</x:v>
      </x:c>
      <x:c r="B971" t="str">
        <x:v>foundation</x:v>
      </x:c>
      <x:c r="C971" s="1533" t="n">
        <x:v>3304</x:v>
      </x:c>
      <x:c r="D971" s="1533" t="n">
        <x:v>3568</x:v>
      </x:c>
      <x:c r="E971" s="1533" t="n">
        <x:v>3568.32</x:v>
      </x:c>
      <x:c r="F971" s="1533" t="n">
        <x:v>3568</x:v>
      </x:c>
      <x:c r="G971" s="1535" t="n">
        <x:v>0</x:v>
      </x:c>
      <x:c r="H971" s="1535" t="n">
        <x:v>0</x:v>
      </x:c>
      <x:c r="I971" t="str">
        <x:v>OK — pełna zgodność</x:v>
      </x:c>
      <x:c r="J971" s="1537" t="str"/>
    </x:row>
    <x:row r="972" ht="19" customHeight="1">
      <x:c r="A972" t="str">
        <x:v>600 x 706 cm</x:v>
      </x:c>
      <x:c r="B972" t="str">
        <x:v>led_point</x:v>
      </x:c>
      <x:c r="C972" s="1533" t="n">
        <x:v>1427</x:v>
      </x:c>
      <x:c r="D972" s="1533" t="n">
        <x:v>1541</x:v>
      </x:c>
      <x:c r="E972" s="1533" t="n">
        <x:v>1541.16</x:v>
      </x:c>
      <x:c r="F972" s="1533" t="n">
        <x:v>1541</x:v>
      </x:c>
      <x:c r="G972" s="1535" t="n">
        <x:v>0</x:v>
      </x:c>
      <x:c r="H972" s="1535" t="n">
        <x:v>0</x:v>
      </x:c>
      <x:c r="I972" t="str">
        <x:v>OK — pełna zgodność</x:v>
      </x:c>
      <x:c r="J972" s="1537" t="str"/>
    </x:row>
    <x:row r="973" ht="19" customHeight="1">
      <x:c r="A973" t="str">
        <x:v>600 x 706 cm</x:v>
      </x:c>
      <x:c r="B973" t="str">
        <x:v>led_cct</x:v>
      </x:c>
      <x:c r="C973" s="1533" t="n">
        <x:v>4389</x:v>
      </x:c>
      <x:c r="D973" s="1533" t="n">
        <x:v>4740</x:v>
      </x:c>
      <x:c r="E973" s="1533" t="n">
        <x:v>4740.12</x:v>
      </x:c>
      <x:c r="F973" s="1533" t="n">
        <x:v>4740</x:v>
      </x:c>
      <x:c r="G973" s="1535" t="n">
        <x:v>0</x:v>
      </x:c>
      <x:c r="H973" s="1535" t="n">
        <x:v>0</x:v>
      </x:c>
      <x:c r="I973" t="str">
        <x:v>OK — pełna zgodność</x:v>
      </x:c>
      <x:c r="J973" s="1537" t="str"/>
    </x:row>
    <x:row r="974" ht="19" customHeight="1">
      <x:c r="A974" t="str">
        <x:v>600 x 706 cm</x:v>
      </x:c>
      <x:c r="B974" t="str">
        <x:v>brushes</x:v>
      </x:c>
      <x:c r="C974" s="1533" t="n">
        <x:v>766</x:v>
      </x:c>
      <x:c r="D974" s="1533" t="n">
        <x:v>827</x:v>
      </x:c>
      <x:c r="E974" s="1533" t="n">
        <x:v>827.28</x:v>
      </x:c>
      <x:c r="F974" s="1533" t="n">
        <x:v>827</x:v>
      </x:c>
      <x:c r="G974" s="1535" t="n">
        <x:v>0</x:v>
      </x:c>
      <x:c r="H974" s="1535" t="n">
        <x:v>0</x:v>
      </x:c>
      <x:c r="I974" t="str">
        <x:v>OK — pełna zgodność</x:v>
      </x:c>
      <x:c r="J974" s="1537" t="str"/>
    </x:row>
    <x:row r="975" ht="19" customHeight="1">
      <x:c r="A975" t="str">
        <x:v>600 x 706 cm</x:v>
      </x:c>
      <x:c r="B975" t="str">
        <x:v>handles</x:v>
      </x:c>
      <x:c r="C975" s="1533" t="n">
        <x:v>696</x:v>
      </x:c>
      <x:c r="D975" s="1533" t="n">
        <x:v>752</x:v>
      </x:c>
      <x:c r="E975" s="1533" t="n">
        <x:v>751.68</x:v>
      </x:c>
      <x:c r="F975" s="1533" t="n">
        <x:v>752</x:v>
      </x:c>
      <x:c r="G975" s="1535" t="n">
        <x:v>0</x:v>
      </x:c>
      <x:c r="H975" s="1535" t="n">
        <x:v>0</x:v>
      </x:c>
      <x:c r="I975" t="str">
        <x:v>OK — pełna zgodność</x:v>
      </x:c>
      <x:c r="J975" s="1537" t="str"/>
    </x:row>
    <x:row r="976" ht="19" customHeight="1">
      <x:c r="A976" t="str">
        <x:v>600 x 706 cm</x:v>
      </x:c>
      <x:c r="B976" t="str">
        <x:v>carriers</x:v>
      </x:c>
      <x:c r="C976" s="1533" t="n">
        <x:v>708</x:v>
      </x:c>
      <x:c r="D976" s="1533" t="n">
        <x:v>765</x:v>
      </x:c>
      <x:c r="E976" s="1533" t="n">
        <x:v>764.64</x:v>
      </x:c>
      <x:c r="F976" s="1533" t="n">
        <x:v>765</x:v>
      </x:c>
      <x:c r="G976" s="1535" t="n">
        <x:v>0</x:v>
      </x:c>
      <x:c r="H976" s="1535" t="n">
        <x:v>0</x:v>
      </x:c>
      <x:c r="I976" t="str">
        <x:v>OK — pełna zgodność</x:v>
      </x:c>
      <x:c r="J976" s="1537" t="str"/>
    </x:row>
    <x:row r="977" ht="19" customHeight="1">
      <x:c r="A977" t="str">
        <x:v>600 x 806 cm</x:v>
      </x:c>
      <x:c r="B977" t="str">
        <x:v>base_poly</x:v>
      </x:c>
      <x:c r="C977" s="1533" t="n">
        <x:v>38401</x:v>
      </x:c>
      <x:c r="D977" s="1533" t="n">
        <x:v>41473</x:v>
      </x:c>
      <x:c r="E977" s="1533" t="n">
        <x:v>41473.08</x:v>
      </x:c>
      <x:c r="F977" s="1533" t="n">
        <x:v>41473</x:v>
      </x:c>
      <x:c r="G977" s="1535" t="n">
        <x:v>0</x:v>
      </x:c>
      <x:c r="H977" s="1535" t="n">
        <x:v>0</x:v>
      </x:c>
      <x:c r="I977" t="str">
        <x:v>OK — pełna zgodność</x:v>
      </x:c>
      <x:c r="J977" s="1537" t="str"/>
    </x:row>
    <x:row r="978" ht="19" customHeight="1">
      <x:c r="A978" t="str">
        <x:v>600 x 806 cm</x:v>
      </x:c>
      <x:c r="B978" t="str">
        <x:v>walls_clear</x:v>
      </x:c>
      <x:c r="C978" s="1533" t="n">
        <x:v>26382</x:v>
      </x:c>
      <x:c r="D978" s="1533" t="n">
        <x:v>28493</x:v>
      </x:c>
      <x:c r="E978" s="1533" t="n">
        <x:v>28492.56</x:v>
      </x:c>
      <x:c r="F978" s="1533" t="n">
        <x:v>28493</x:v>
      </x:c>
      <x:c r="G978" s="1535" t="n">
        <x:v>0</x:v>
      </x:c>
      <x:c r="H978" s="1535" t="n">
        <x:v>0</x:v>
      </x:c>
      <x:c r="I978" t="str">
        <x:v>OK — pełna zgodność</x:v>
      </x:c>
      <x:c r="J978" s="1537" t="str"/>
    </x:row>
    <x:row r="979" ht="19" customHeight="1">
      <x:c r="A979" t="str">
        <x:v>600 x 806 cm</x:v>
      </x:c>
      <x:c r="B979" t="str">
        <x:v>walls_tinted</x:v>
      </x:c>
      <x:c r="C979" s="1533" t="n">
        <x:v>29211</x:v>
      </x:c>
      <x:c r="D979" s="1533" t="n">
        <x:v>31548</x:v>
      </x:c>
      <x:c r="E979" s="1533" t="n">
        <x:v>31547.88</x:v>
      </x:c>
      <x:c r="F979" s="1533" t="n">
        <x:v>31548</x:v>
      </x:c>
      <x:c r="G979" s="1535" t="n">
        <x:v>0</x:v>
      </x:c>
      <x:c r="H979" s="1535" t="n">
        <x:v>0</x:v>
      </x:c>
      <x:c r="I979" t="str">
        <x:v>OK — pełna zgodność</x:v>
      </x:c>
      <x:c r="J979" s="1537" t="str">
        <x:v>Pozycja złożona; stary eksport mógł zaokrąglać składniki osobno.</x:v>
      </x:c>
    </x:row>
    <x:row r="980" ht="19" customHeight="1">
      <x:c r="A980" t="str">
        <x:v>600 x 806 cm</x:v>
      </x:c>
      <x:c r="B980" t="str">
        <x:v>roof_poly_colored</x:v>
      </x:c>
      <x:c r="C980" s="1533" t="n">
        <x:v>979</x:v>
      </x:c>
      <x:c r="D980" s="1533" t="n">
        <x:v>1057</x:v>
      </x:c>
      <x:c r="E980" s="1533" t="n">
        <x:v>1057.32</x:v>
      </x:c>
      <x:c r="F980" s="1533" t="n">
        <x:v>1057</x:v>
      </x:c>
      <x:c r="G980" s="1535" t="n">
        <x:v>0</x:v>
      </x:c>
      <x:c r="H980" s="1535" t="n">
        <x:v>0</x:v>
      </x:c>
      <x:c r="I980" t="str">
        <x:v>OK — pełna zgodność</x:v>
      </x:c>
      <x:c r="J980" s="1537" t="str"/>
    </x:row>
    <x:row r="981" ht="19" customHeight="1">
      <x:c r="A981" t="str">
        <x:v>600 x 806 cm</x:v>
      </x:c>
      <x:c r="B981" t="str">
        <x:v>roof_glass_clear</x:v>
      </x:c>
      <x:c r="C981" s="1533" t="n">
        <x:v>0</x:v>
      </x:c>
      <x:c r="D981" s="1533" t="n">
        <x:v>0</x:v>
      </x:c>
      <x:c r="E981" s="1533" t="n">
        <x:v>0</x:v>
      </x:c>
      <x:c r="F981" s="1533" t="n">
        <x:v>0</x:v>
      </x:c>
      <x:c r="G981" s="1535" t="n">
        <x:v>0</x:v>
      </x:c>
      <x:c r="H981" s="1535" t="n">
        <x:v>0</x:v>
      </x:c>
      <x:c r="I981" t="str">
        <x:v>OK — pełna zgodność</x:v>
      </x:c>
      <x:c r="J981" s="1537" t="str">
        <x:v>Szkło niedostępne dla tego wymiaru — poprawnie 0.</x:v>
      </x:c>
    </x:row>
    <x:row r="982" ht="19" customHeight="1">
      <x:c r="A982" t="str">
        <x:v>600 x 806 cm</x:v>
      </x:c>
      <x:c r="B982" t="str">
        <x:v>roof_glass_tinted</x:v>
      </x:c>
      <x:c r="C982" s="1533" t="n">
        <x:v>0</x:v>
      </x:c>
      <x:c r="D982" s="1533" t="n">
        <x:v>0</x:v>
      </x:c>
      <x:c r="E982" s="1533" t="n">
        <x:v>0</x:v>
      </x:c>
      <x:c r="F982" s="1533" t="n">
        <x:v>0</x:v>
      </x:c>
      <x:c r="G982" s="1535" t="n">
        <x:v>0</x:v>
      </x:c>
      <x:c r="H982" s="1535" t="n">
        <x:v>0</x:v>
      </x:c>
      <x:c r="I982" t="str">
        <x:v>OK — pełna zgodność</x:v>
      </x:c>
      <x:c r="J982" s="1537" t="str">
        <x:v>Szkło niedostępne dla tego wymiaru — poprawnie 0.</x:v>
      </x:c>
    </x:row>
    <x:row r="983" ht="19" customHeight="1">
      <x:c r="A983" t="str">
        <x:v>600 x 806 cm</x:v>
      </x:c>
      <x:c r="B983" t="str">
        <x:v>zip_side</x:v>
      </x:c>
      <x:c r="C983" s="1533" t="n">
        <x:v>5034</x:v>
      </x:c>
      <x:c r="D983" s="1533" t="n">
        <x:v>5437</x:v>
      </x:c>
      <x:c r="E983" s="1533" t="n">
        <x:v>5436.72</x:v>
      </x:c>
      <x:c r="F983" s="1533" t="n">
        <x:v>5437</x:v>
      </x:c>
      <x:c r="G983" s="1535" t="n">
        <x:v>0</x:v>
      </x:c>
      <x:c r="H983" s="1535" t="n">
        <x:v>0</x:v>
      </x:c>
      <x:c r="I983" t="str">
        <x:v>OK — pełna zgodność</x:v>
      </x:c>
      <x:c r="J983" s="1537" t="str"/>
    </x:row>
    <x:row r="984" ht="19" customHeight="1">
      <x:c r="A984" t="str">
        <x:v>600 x 806 cm</x:v>
      </x:c>
      <x:c r="B984" t="str">
        <x:v>zip_front</x:v>
      </x:c>
      <x:c r="C984" s="1533" t="n">
        <x:v>6225</x:v>
      </x:c>
      <x:c r="D984" s="1533" t="n">
        <x:v>6723</x:v>
      </x:c>
      <x:c r="E984" s="1533" t="n">
        <x:v>6723</x:v>
      </x:c>
      <x:c r="F984" s="1533" t="n">
        <x:v>6723</x:v>
      </x:c>
      <x:c r="G984" s="1535" t="n">
        <x:v>0</x:v>
      </x:c>
      <x:c r="H984" s="1535" t="n">
        <x:v>0</x:v>
      </x:c>
      <x:c r="I984" t="str">
        <x:v>OK — pełna zgodność</x:v>
      </x:c>
      <x:c r="J984" s="1537" t="str"/>
    </x:row>
    <x:row r="985" ht="19" customHeight="1">
      <x:c r="A985" t="str">
        <x:v>600 x 806 cm</x:v>
      </x:c>
      <x:c r="B985" t="str">
        <x:v>awning</x:v>
      </x:c>
      <x:c r="C985" s="1533" t="n">
        <x:v>11281</x:v>
      </x:c>
      <x:c r="D985" s="1533" t="n">
        <x:v>12183</x:v>
      </x:c>
      <x:c r="E985" s="1533" t="n">
        <x:v>12183.48</x:v>
      </x:c>
      <x:c r="F985" s="1533" t="n">
        <x:v>12183</x:v>
      </x:c>
      <x:c r="G985" s="1535" t="n">
        <x:v>0</x:v>
      </x:c>
      <x:c r="H985" s="1535" t="n">
        <x:v>0</x:v>
      </x:c>
      <x:c r="I985" t="str">
        <x:v>OK — pełna zgodność</x:v>
      </x:c>
      <x:c r="J985" s="1537" t="str"/>
    </x:row>
    <x:row r="986" ht="19" customHeight="1">
      <x:c r="A986" t="str">
        <x:v>600 x 806 cm</x:v>
      </x:c>
      <x:c r="B986" t="str">
        <x:v>foundation</x:v>
      </x:c>
      <x:c r="C986" s="1533" t="n">
        <x:v>3550</x:v>
      </x:c>
      <x:c r="D986" s="1533" t="n">
        <x:v>3834</x:v>
      </x:c>
      <x:c r="E986" s="1533" t="n">
        <x:v>3834</x:v>
      </x:c>
      <x:c r="F986" s="1533" t="n">
        <x:v>3834</x:v>
      </x:c>
      <x:c r="G986" s="1535" t="n">
        <x:v>0</x:v>
      </x:c>
      <x:c r="H986" s="1535" t="n">
        <x:v>0</x:v>
      </x:c>
      <x:c r="I986" t="str">
        <x:v>OK — pełna zgodność</x:v>
      </x:c>
      <x:c r="J986" s="1537" t="str"/>
    </x:row>
    <x:row r="987" ht="19" customHeight="1">
      <x:c r="A987" t="str">
        <x:v>600 x 806 cm</x:v>
      </x:c>
      <x:c r="B987" t="str">
        <x:v>led_point</x:v>
      </x:c>
      <x:c r="C987" s="1533" t="n">
        <x:v>1698</x:v>
      </x:c>
      <x:c r="D987" s="1533" t="n">
        <x:v>1834</x:v>
      </x:c>
      <x:c r="E987" s="1533" t="n">
        <x:v>1833.84</x:v>
      </x:c>
      <x:c r="F987" s="1533" t="n">
        <x:v>1834</x:v>
      </x:c>
      <x:c r="G987" s="1535" t="n">
        <x:v>0</x:v>
      </x:c>
      <x:c r="H987" s="1535" t="n">
        <x:v>0</x:v>
      </x:c>
      <x:c r="I987" t="str">
        <x:v>OK — pełna zgodność</x:v>
      </x:c>
      <x:c r="J987" s="1537" t="str"/>
    </x:row>
    <x:row r="988" ht="19" customHeight="1">
      <x:c r="A988" t="str">
        <x:v>600 x 806 cm</x:v>
      </x:c>
      <x:c r="B988" t="str">
        <x:v>led_cct</x:v>
      </x:c>
      <x:c r="C988" s="1533" t="n">
        <x:v>4782</x:v>
      </x:c>
      <x:c r="D988" s="1533" t="n">
        <x:v>5165</x:v>
      </x:c>
      <x:c r="E988" s="1533" t="n">
        <x:v>5164.56</x:v>
      </x:c>
      <x:c r="F988" s="1533" t="n">
        <x:v>5165</x:v>
      </x:c>
      <x:c r="G988" s="1535" t="n">
        <x:v>0</x:v>
      </x:c>
      <x:c r="H988" s="1535" t="n">
        <x:v>0</x:v>
      </x:c>
      <x:c r="I988" t="str">
        <x:v>OK — pełna zgodność</x:v>
      </x:c>
      <x:c r="J988" s="1537" t="str"/>
    </x:row>
    <x:row r="989" ht="19" customHeight="1">
      <x:c r="A989" t="str">
        <x:v>600 x 806 cm</x:v>
      </x:c>
      <x:c r="B989" t="str">
        <x:v>brushes</x:v>
      </x:c>
      <x:c r="C989" s="1533" t="n">
        <x:v>813</x:v>
      </x:c>
      <x:c r="D989" s="1533" t="n">
        <x:v>878</x:v>
      </x:c>
      <x:c r="E989" s="1533" t="n">
        <x:v>878.04</x:v>
      </x:c>
      <x:c r="F989" s="1533" t="n">
        <x:v>878</x:v>
      </x:c>
      <x:c r="G989" s="1535" t="n">
        <x:v>0</x:v>
      </x:c>
      <x:c r="H989" s="1535" t="n">
        <x:v>0</x:v>
      </x:c>
      <x:c r="I989" t="str">
        <x:v>OK — pełna zgodność</x:v>
      </x:c>
      <x:c r="J989" s="1537" t="str"/>
    </x:row>
    <x:row r="990" ht="19" customHeight="1">
      <x:c r="A990" t="str">
        <x:v>600 x 806 cm</x:v>
      </x:c>
      <x:c r="B990" t="str">
        <x:v>handles</x:v>
      </x:c>
      <x:c r="C990" s="1533" t="n">
        <x:v>731</x:v>
      </x:c>
      <x:c r="D990" s="1533" t="n">
        <x:v>789</x:v>
      </x:c>
      <x:c r="E990" s="1533" t="n">
        <x:v>789.48</x:v>
      </x:c>
      <x:c r="F990" s="1533" t="n">
        <x:v>789</x:v>
      </x:c>
      <x:c r="G990" s="1535" t="n">
        <x:v>0</x:v>
      </x:c>
      <x:c r="H990" s="1535" t="n">
        <x:v>0</x:v>
      </x:c>
      <x:c r="I990" t="str">
        <x:v>OK — pełna zgodność</x:v>
      </x:c>
      <x:c r="J990" s="1537" t="str"/>
    </x:row>
    <x:row r="991" ht="19" customHeight="1">
      <x:c r="A991" t="str">
        <x:v>600 x 806 cm</x:v>
      </x:c>
      <x:c r="B991" t="str">
        <x:v>carriers</x:v>
      </x:c>
      <x:c r="C991" s="1533" t="n">
        <x:v>754</x:v>
      </x:c>
      <x:c r="D991" s="1533" t="n">
        <x:v>814</x:v>
      </x:c>
      <x:c r="E991" s="1533" t="n">
        <x:v>814.32</x:v>
      </x:c>
      <x:c r="F991" s="1533" t="n">
        <x:v>814</x:v>
      </x:c>
      <x:c r="G991" s="1535" t="n">
        <x:v>0</x:v>
      </x:c>
      <x:c r="H991" s="1535" t="n">
        <x:v>0</x:v>
      </x:c>
      <x:c r="I991" t="str">
        <x:v>OK — pełna zgodność</x:v>
      </x:c>
      <x:c r="J991" s="1537" t="str"/>
    </x:row>
    <x:row r="992" ht="19" customHeight="1">
      <x:c r="A992" t="str">
        <x:v>600 x 906 cm</x:v>
      </x:c>
      <x:c r="B992" t="str">
        <x:v>base_poly</x:v>
      </x:c>
      <x:c r="C992" s="1533" t="n">
        <x:v>43123</x:v>
      </x:c>
      <x:c r="D992" s="1533" t="n">
        <x:v>46573</x:v>
      </x:c>
      <x:c r="E992" s="1533" t="n">
        <x:v>46572.84</x:v>
      </x:c>
      <x:c r="F992" s="1533" t="n">
        <x:v>46573</x:v>
      </x:c>
      <x:c r="G992" s="1535" t="n">
        <x:v>0</x:v>
      </x:c>
      <x:c r="H992" s="1535" t="n">
        <x:v>0</x:v>
      </x:c>
      <x:c r="I992" t="str">
        <x:v>OK — pełna zgodność</x:v>
      </x:c>
      <x:c r="J992" s="1537" t="str"/>
    </x:row>
    <x:row r="993" ht="19" customHeight="1">
      <x:c r="A993" t="str">
        <x:v>600 x 906 cm</x:v>
      </x:c>
      <x:c r="B993" t="str">
        <x:v>walls_clear</x:v>
      </x:c>
      <x:c r="C993" s="1533" t="n">
        <x:v>27737</x:v>
      </x:c>
      <x:c r="D993" s="1533" t="n">
        <x:v>29956</x:v>
      </x:c>
      <x:c r="E993" s="1533" t="n">
        <x:v>29955.96</x:v>
      </x:c>
      <x:c r="F993" s="1533" t="n">
        <x:v>29956</x:v>
      </x:c>
      <x:c r="G993" s="1535" t="n">
        <x:v>0</x:v>
      </x:c>
      <x:c r="H993" s="1535" t="n">
        <x:v>0</x:v>
      </x:c>
      <x:c r="I993" t="str">
        <x:v>OK — pełna zgodność</x:v>
      </x:c>
      <x:c r="J993" s="1537" t="str"/>
    </x:row>
    <x:row r="994" ht="19" customHeight="1">
      <x:c r="A994" t="str">
        <x:v>600 x 906 cm</x:v>
      </x:c>
      <x:c r="B994" t="str">
        <x:v>walls_tinted</x:v>
      </x:c>
      <x:c r="C994" s="1533" t="n">
        <x:v>30708</x:v>
      </x:c>
      <x:c r="D994" s="1533" t="n">
        <x:v>33165</x:v>
      </x:c>
      <x:c r="E994" s="1533" t="n">
        <x:v>33164.64</x:v>
      </x:c>
      <x:c r="F994" s="1533" t="n">
        <x:v>33165</x:v>
      </x:c>
      <x:c r="G994" s="1535" t="n">
        <x:v>0</x:v>
      </x:c>
      <x:c r="H994" s="1535" t="n">
        <x:v>0</x:v>
      </x:c>
      <x:c r="I994" t="str">
        <x:v>OK — pełna zgodność</x:v>
      </x:c>
      <x:c r="J994" s="1537" t="str">
        <x:v>Pozycja złożona; stary eksport mógł zaokrąglać składniki osobno.</x:v>
      </x:c>
    </x:row>
    <x:row r="995" ht="19" customHeight="1">
      <x:c r="A995" t="str">
        <x:v>600 x 906 cm</x:v>
      </x:c>
      <x:c r="B995" t="str">
        <x:v>roof_poly_colored</x:v>
      </x:c>
      <x:c r="C995" s="1533" t="n">
        <x:v>1108</x:v>
      </x:c>
      <x:c r="D995" s="1533" t="n">
        <x:v>1197</x:v>
      </x:c>
      <x:c r="E995" s="1533" t="n">
        <x:v>1196.64</x:v>
      </x:c>
      <x:c r="F995" s="1533" t="n">
        <x:v>1197</x:v>
      </x:c>
      <x:c r="G995" s="1535" t="n">
        <x:v>0</x:v>
      </x:c>
      <x:c r="H995" s="1535" t="n">
        <x:v>0</x:v>
      </x:c>
      <x:c r="I995" t="str">
        <x:v>OK — pełna zgodność</x:v>
      </x:c>
      <x:c r="J995" s="1537" t="str"/>
    </x:row>
    <x:row r="996" ht="19" customHeight="1">
      <x:c r="A996" t="str">
        <x:v>600 x 906 cm</x:v>
      </x:c>
      <x:c r="B996" t="str">
        <x:v>roof_glass_clear</x:v>
      </x:c>
      <x:c r="C996" s="1533" t="n">
        <x:v>0</x:v>
      </x:c>
      <x:c r="D996" s="1533" t="n">
        <x:v>0</x:v>
      </x:c>
      <x:c r="E996" s="1533" t="n">
        <x:v>0</x:v>
      </x:c>
      <x:c r="F996" s="1533" t="n">
        <x:v>0</x:v>
      </x:c>
      <x:c r="G996" s="1535" t="n">
        <x:v>0</x:v>
      </x:c>
      <x:c r="H996" s="1535" t="n">
        <x:v>0</x:v>
      </x:c>
      <x:c r="I996" t="str">
        <x:v>OK — pełna zgodność</x:v>
      </x:c>
      <x:c r="J996" s="1537" t="str">
        <x:v>Szkło niedostępne dla tego wymiaru — poprawnie 0.</x:v>
      </x:c>
    </x:row>
    <x:row r="997" ht="19" customHeight="1">
      <x:c r="A997" t="str">
        <x:v>600 x 906 cm</x:v>
      </x:c>
      <x:c r="B997" t="str">
        <x:v>roof_glass_tinted</x:v>
      </x:c>
      <x:c r="C997" s="1533" t="n">
        <x:v>0</x:v>
      </x:c>
      <x:c r="D997" s="1533" t="n">
        <x:v>0</x:v>
      </x:c>
      <x:c r="E997" s="1533" t="n">
        <x:v>0</x:v>
      </x:c>
      <x:c r="F997" s="1533" t="n">
        <x:v>0</x:v>
      </x:c>
      <x:c r="G997" s="1535" t="n">
        <x:v>0</x:v>
      </x:c>
      <x:c r="H997" s="1535" t="n">
        <x:v>0</x:v>
      </x:c>
      <x:c r="I997" t="str">
        <x:v>OK — pełna zgodność</x:v>
      </x:c>
      <x:c r="J997" s="1537" t="str">
        <x:v>Szkło niedostępne dla tego wymiaru — poprawnie 0.</x:v>
      </x:c>
    </x:row>
    <x:row r="998" ht="19" customHeight="1">
      <x:c r="A998" t="str">
        <x:v>600 x 906 cm</x:v>
      </x:c>
      <x:c r="B998" t="str">
        <x:v>zip_side</x:v>
      </x:c>
      <x:c r="C998" s="1533" t="n">
        <x:v>5034</x:v>
      </x:c>
      <x:c r="D998" s="1533" t="n">
        <x:v>5437</x:v>
      </x:c>
      <x:c r="E998" s="1533" t="n">
        <x:v>5436.72</x:v>
      </x:c>
      <x:c r="F998" s="1533" t="n">
        <x:v>5437</x:v>
      </x:c>
      <x:c r="G998" s="1535" t="n">
        <x:v>0</x:v>
      </x:c>
      <x:c r="H998" s="1535" t="n">
        <x:v>0</x:v>
      </x:c>
      <x:c r="I998" t="str">
        <x:v>OK — pełna zgodność</x:v>
      </x:c>
      <x:c r="J998" s="1537" t="str"/>
    </x:row>
    <x:row r="999" ht="19" customHeight="1">
      <x:c r="A999" t="str">
        <x:v>600 x 906 cm</x:v>
      </x:c>
      <x:c r="B999" t="str">
        <x:v>zip_front</x:v>
      </x:c>
      <x:c r="C999" s="1533" t="n">
        <x:v>7544</x:v>
      </x:c>
      <x:c r="D999" s="1533" t="n">
        <x:v>8148</x:v>
      </x:c>
      <x:c r="E999" s="1533" t="n">
        <x:v>8147.52</x:v>
      </x:c>
      <x:c r="F999" s="1533" t="n">
        <x:v>8148</x:v>
      </x:c>
      <x:c r="G999" s="1535" t="n">
        <x:v>0</x:v>
      </x:c>
      <x:c r="H999" s="1535" t="n">
        <x:v>0</x:v>
      </x:c>
      <x:c r="I999" t="str">
        <x:v>OK — pełna zgodność</x:v>
      </x:c>
      <x:c r="J999" s="1537" t="str"/>
    </x:row>
    <x:row r="1000" ht="19" customHeight="1">
      <x:c r="A1000" t="str">
        <x:v>600 x 906 cm</x:v>
      </x:c>
      <x:c r="B1000" t="str">
        <x:v>awning</x:v>
      </x:c>
      <x:c r="C1000" s="1533" t="n">
        <x:v>12190</x:v>
      </x:c>
      <x:c r="D1000" s="1533" t="n">
        <x:v>13165</x:v>
      </x:c>
      <x:c r="E1000" s="1533" t="n">
        <x:v>13165.2</x:v>
      </x:c>
      <x:c r="F1000" s="1533" t="n">
        <x:v>13165</x:v>
      </x:c>
      <x:c r="G1000" s="1535" t="n">
        <x:v>0</x:v>
      </x:c>
      <x:c r="H1000" s="1535" t="n">
        <x:v>0</x:v>
      </x:c>
      <x:c r="I1000" t="str">
        <x:v>OK — pełna zgodność</x:v>
      </x:c>
      <x:c r="J1000" s="1537" t="str"/>
    </x:row>
    <x:row r="1001" ht="19" customHeight="1">
      <x:c r="A1001" t="str">
        <x:v>600 x 906 cm</x:v>
      </x:c>
      <x:c r="B1001" t="str">
        <x:v>foundation</x:v>
      </x:c>
      <x:c r="C1001" s="1533" t="n">
        <x:v>3781</x:v>
      </x:c>
      <x:c r="D1001" s="1533" t="n">
        <x:v>4083</x:v>
      </x:c>
      <x:c r="E1001" s="1533" t="n">
        <x:v>4083.48</x:v>
      </x:c>
      <x:c r="F1001" s="1533" t="n">
        <x:v>4083</x:v>
      </x:c>
      <x:c r="G1001" s="1535" t="n">
        <x:v>0</x:v>
      </x:c>
      <x:c r="H1001" s="1535" t="n">
        <x:v>0</x:v>
      </x:c>
      <x:c r="I1001" t="str">
        <x:v>OK — pełna zgodność</x:v>
      </x:c>
      <x:c r="J1001" s="1537" t="str"/>
    </x:row>
    <x:row r="1002" ht="19" customHeight="1">
      <x:c r="A1002" t="str">
        <x:v>600 x 906 cm</x:v>
      </x:c>
      <x:c r="B1002" t="str">
        <x:v>led_point</x:v>
      </x:c>
      <x:c r="C1002" s="1533" t="n">
        <x:v>1839</x:v>
      </x:c>
      <x:c r="D1002" s="1533" t="n">
        <x:v>1986</x:v>
      </x:c>
      <x:c r="E1002" s="1533" t="n">
        <x:v>1986.12</x:v>
      </x:c>
      <x:c r="F1002" s="1533" t="n">
        <x:v>1986</x:v>
      </x:c>
      <x:c r="G1002" s="1535" t="n">
        <x:v>0</x:v>
      </x:c>
      <x:c r="H1002" s="1535" t="n">
        <x:v>0</x:v>
      </x:c>
      <x:c r="I1002" t="str">
        <x:v>OK — pełna zgodność</x:v>
      </x:c>
      <x:c r="J1002" s="1537" t="str"/>
    </x:row>
    <x:row r="1003" ht="19" customHeight="1">
      <x:c r="A1003" t="str">
        <x:v>600 x 906 cm</x:v>
      </x:c>
      <x:c r="B1003" t="str">
        <x:v>led_cct</x:v>
      </x:c>
      <x:c r="C1003" s="1533" t="n">
        <x:v>5128</x:v>
      </x:c>
      <x:c r="D1003" s="1533" t="n">
        <x:v>5538</x:v>
      </x:c>
      <x:c r="E1003" s="1533" t="n">
        <x:v>5538.24</x:v>
      </x:c>
      <x:c r="F1003" s="1533" t="n">
        <x:v>5538</x:v>
      </x:c>
      <x:c r="G1003" s="1535" t="n">
        <x:v>0</x:v>
      </x:c>
      <x:c r="H1003" s="1535" t="n">
        <x:v>0</x:v>
      </x:c>
      <x:c r="I1003" t="str">
        <x:v>OK — pełna zgodność</x:v>
      </x:c>
      <x:c r="J1003" s="1537" t="str"/>
    </x:row>
    <x:row r="1004" ht="19" customHeight="1">
      <x:c r="A1004" t="str">
        <x:v>600 x 906 cm</x:v>
      </x:c>
      <x:c r="B1004" t="str">
        <x:v>brushes</x:v>
      </x:c>
      <x:c r="C1004" s="1533" t="n">
        <x:v>848</x:v>
      </x:c>
      <x:c r="D1004" s="1533" t="n">
        <x:v>916</x:v>
      </x:c>
      <x:c r="E1004" s="1533" t="n">
        <x:v>915.84</x:v>
      </x:c>
      <x:c r="F1004" s="1533" t="n">
        <x:v>916</x:v>
      </x:c>
      <x:c r="G1004" s="1535" t="n">
        <x:v>0</x:v>
      </x:c>
      <x:c r="H1004" s="1535" t="n">
        <x:v>0</x:v>
      </x:c>
      <x:c r="I1004" t="str">
        <x:v>OK — pełna zgodność</x:v>
      </x:c>
      <x:c r="J1004" s="1537" t="str"/>
    </x:row>
    <x:row r="1005" ht="19" customHeight="1">
      <x:c r="A1005" t="str">
        <x:v>600 x 906 cm</x:v>
      </x:c>
      <x:c r="B1005" t="str">
        <x:v>handles</x:v>
      </x:c>
      <x:c r="C1005" s="1533" t="n">
        <x:v>779</x:v>
      </x:c>
      <x:c r="D1005" s="1533" t="n">
        <x:v>841</x:v>
      </x:c>
      <x:c r="E1005" s="1533" t="n">
        <x:v>841.32</x:v>
      </x:c>
      <x:c r="F1005" s="1533" t="n">
        <x:v>841</x:v>
      </x:c>
      <x:c r="G1005" s="1535" t="n">
        <x:v>0</x:v>
      </x:c>
      <x:c r="H1005" s="1535" t="n">
        <x:v>0</x:v>
      </x:c>
      <x:c r="I1005" t="str">
        <x:v>OK — pełna zgodność</x:v>
      </x:c>
      <x:c r="J1005" s="1537" t="str"/>
    </x:row>
    <x:row r="1006" ht="19" customHeight="1">
      <x:c r="A1006" t="str">
        <x:v>600 x 906 cm</x:v>
      </x:c>
      <x:c r="B1006" t="str">
        <x:v>carriers</x:v>
      </x:c>
      <x:c r="C1006" s="1533" t="n">
        <x:v>754</x:v>
      </x:c>
      <x:c r="D1006" s="1533" t="n">
        <x:v>814</x:v>
      </x:c>
      <x:c r="E1006" s="1533" t="n">
        <x:v>814.32</x:v>
      </x:c>
      <x:c r="F1006" s="1533" t="n">
        <x:v>814</x:v>
      </x:c>
      <x:c r="G1006" s="1535" t="n">
        <x:v>0</x:v>
      </x:c>
      <x:c r="H1006" s="1535" t="n">
        <x:v>0</x:v>
      </x:c>
      <x:c r="I1006" t="str">
        <x:v>OK — pełna zgodność</x:v>
      </x:c>
      <x:c r="J1006" s="1537" t="str"/>
    </x:row>
    <x:row r="1007" ht="19" customHeight="1">
      <x:c r="A1007" t="str">
        <x:v>600 x 1006 cm</x:v>
      </x:c>
      <x:c r="B1007" t="str">
        <x:v>base_poly</x:v>
      </x:c>
      <x:c r="C1007" s="1533" t="n">
        <x:v>47306</x:v>
      </x:c>
      <x:c r="D1007" s="1533" t="n">
        <x:v>51090</x:v>
      </x:c>
      <x:c r="E1007" s="1533" t="n">
        <x:v>51090.48</x:v>
      </x:c>
      <x:c r="F1007" s="1533" t="n">
        <x:v>51090</x:v>
      </x:c>
      <x:c r="G1007" s="1535" t="n">
        <x:v>0</x:v>
      </x:c>
      <x:c r="H1007" s="1535" t="n">
        <x:v>0</x:v>
      </x:c>
      <x:c r="I1007" t="str">
        <x:v>OK — pełna zgodność</x:v>
      </x:c>
      <x:c r="J1007" s="1537" t="str"/>
    </x:row>
    <x:row r="1008" ht="19" customHeight="1">
      <x:c r="A1008" t="str">
        <x:v>600 x 1006 cm</x:v>
      </x:c>
      <x:c r="B1008" t="str">
        <x:v>walls_clear</x:v>
      </x:c>
      <x:c r="C1008" s="1533" t="n">
        <x:v>29047</x:v>
      </x:c>
      <x:c r="D1008" s="1533" t="n">
        <x:v>31371</x:v>
      </x:c>
      <x:c r="E1008" s="1533" t="n">
        <x:v>31370.76</x:v>
      </x:c>
      <x:c r="F1008" s="1533" t="n">
        <x:v>31371</x:v>
      </x:c>
      <x:c r="G1008" s="1535" t="n">
        <x:v>0</x:v>
      </x:c>
      <x:c r="H1008" s="1535" t="n">
        <x:v>0</x:v>
      </x:c>
      <x:c r="I1008" t="str">
        <x:v>OK — pełna zgodność</x:v>
      </x:c>
      <x:c r="J1008" s="1537" t="str"/>
    </x:row>
    <x:row r="1009" ht="19" customHeight="1">
      <x:c r="A1009" t="str">
        <x:v>600 x 1006 cm</x:v>
      </x:c>
      <x:c r="B1009" t="str">
        <x:v>walls_tinted</x:v>
      </x:c>
      <x:c r="C1009" s="1533" t="n">
        <x:v>32159</x:v>
      </x:c>
      <x:c r="D1009" s="1533" t="n">
        <x:v>34732</x:v>
      </x:c>
      <x:c r="E1009" s="1533" t="n">
        <x:v>34731.72</x:v>
      </x:c>
      <x:c r="F1009" s="1533" t="n">
        <x:v>34732</x:v>
      </x:c>
      <x:c r="G1009" s="1535" t="n">
        <x:v>0</x:v>
      </x:c>
      <x:c r="H1009" s="1535" t="n">
        <x:v>0</x:v>
      </x:c>
      <x:c r="I1009" t="str">
        <x:v>OK — pełna zgodność</x:v>
      </x:c>
      <x:c r="J1009" s="1537" t="str">
        <x:v>Pozycja złożona; stary eksport mógł zaokrąglać składniki osobno.</x:v>
      </x:c>
    </x:row>
    <x:row r="1010" ht="19" customHeight="1">
      <x:c r="A1010" t="str">
        <x:v>600 x 1006 cm</x:v>
      </x:c>
      <x:c r="B1010" t="str">
        <x:v>roof_poly_colored</x:v>
      </x:c>
      <x:c r="C1010" s="1533" t="n">
        <x:v>1227</x:v>
      </x:c>
      <x:c r="D1010" s="1533" t="n">
        <x:v>1325</x:v>
      </x:c>
      <x:c r="E1010" s="1533" t="n">
        <x:v>1325.16</x:v>
      </x:c>
      <x:c r="F1010" s="1533" t="n">
        <x:v>1325</x:v>
      </x:c>
      <x:c r="G1010" s="1535" t="n">
        <x:v>0</x:v>
      </x:c>
      <x:c r="H1010" s="1535" t="n">
        <x:v>0</x:v>
      </x:c>
      <x:c r="I1010" t="str">
        <x:v>OK — pełna zgodność</x:v>
      </x:c>
      <x:c r="J1010" s="1537" t="str"/>
    </x:row>
    <x:row r="1011" ht="19" customHeight="1">
      <x:c r="A1011" t="str">
        <x:v>600 x 1006 cm</x:v>
      </x:c>
      <x:c r="B1011" t="str">
        <x:v>roof_glass_clear</x:v>
      </x:c>
      <x:c r="C1011" s="1533" t="n">
        <x:v>0</x:v>
      </x:c>
      <x:c r="D1011" s="1533" t="n">
        <x:v>0</x:v>
      </x:c>
      <x:c r="E1011" s="1533" t="n">
        <x:v>0</x:v>
      </x:c>
      <x:c r="F1011" s="1533" t="n">
        <x:v>0</x:v>
      </x:c>
      <x:c r="G1011" s="1535" t="n">
        <x:v>0</x:v>
      </x:c>
      <x:c r="H1011" s="1535" t="n">
        <x:v>0</x:v>
      </x:c>
      <x:c r="I1011" t="str">
        <x:v>OK — pełna zgodność</x:v>
      </x:c>
      <x:c r="J1011" s="1537" t="str">
        <x:v>Szkło niedostępne dla tego wymiaru — poprawnie 0.</x:v>
      </x:c>
    </x:row>
    <x:row r="1012" ht="19" customHeight="1">
      <x:c r="A1012" t="str">
        <x:v>600 x 1006 cm</x:v>
      </x:c>
      <x:c r="B1012" t="str">
        <x:v>roof_glass_tinted</x:v>
      </x:c>
      <x:c r="C1012" s="1533" t="n">
        <x:v>0</x:v>
      </x:c>
      <x:c r="D1012" s="1533" t="n">
        <x:v>0</x:v>
      </x:c>
      <x:c r="E1012" s="1533" t="n">
        <x:v>0</x:v>
      </x:c>
      <x:c r="F1012" s="1533" t="n">
        <x:v>0</x:v>
      </x:c>
      <x:c r="G1012" s="1535" t="n">
        <x:v>0</x:v>
      </x:c>
      <x:c r="H1012" s="1535" t="n">
        <x:v>0</x:v>
      </x:c>
      <x:c r="I1012" t="str">
        <x:v>OK — pełna zgodność</x:v>
      </x:c>
      <x:c r="J1012" s="1537" t="str">
        <x:v>Szkło niedostępne dla tego wymiaru — poprawnie 0.</x:v>
      </x:c>
    </x:row>
    <x:row r="1013" ht="19" customHeight="1">
      <x:c r="A1013" t="str">
        <x:v>600 x 1006 cm</x:v>
      </x:c>
      <x:c r="B1013" t="str">
        <x:v>zip_side</x:v>
      </x:c>
      <x:c r="C1013" s="1533" t="n">
        <x:v>5034</x:v>
      </x:c>
      <x:c r="D1013" s="1533" t="n">
        <x:v>5437</x:v>
      </x:c>
      <x:c r="E1013" s="1533" t="n">
        <x:v>5436.72</x:v>
      </x:c>
      <x:c r="F1013" s="1533" t="n">
        <x:v>5437</x:v>
      </x:c>
      <x:c r="G1013" s="1535" t="n">
        <x:v>0</x:v>
      </x:c>
      <x:c r="H1013" s="1535" t="n">
        <x:v>0</x:v>
      </x:c>
      <x:c r="I1013" t="str">
        <x:v>OK — pełna zgodność</x:v>
      </x:c>
      <x:c r="J1013" s="1537" t="str"/>
    </x:row>
    <x:row r="1014" ht="19" customHeight="1">
      <x:c r="A1014" t="str">
        <x:v>600 x 1006 cm</x:v>
      </x:c>
      <x:c r="B1014" t="str">
        <x:v>zip_front</x:v>
      </x:c>
      <x:c r="C1014" s="1533" t="n">
        <x:v>8146</x:v>
      </x:c>
      <x:c r="D1014" s="1533" t="n">
        <x:v>8798</x:v>
      </x:c>
      <x:c r="E1014" s="1533" t="n">
        <x:v>8797.68</x:v>
      </x:c>
      <x:c r="F1014" s="1533" t="n">
        <x:v>8798</x:v>
      </x:c>
      <x:c r="G1014" s="1535" t="n">
        <x:v>0</x:v>
      </x:c>
      <x:c r="H1014" s="1535" t="n">
        <x:v>0</x:v>
      </x:c>
      <x:c r="I1014" t="str">
        <x:v>OK — pełna zgodność</x:v>
      </x:c>
      <x:c r="J1014" s="1537" t="str"/>
    </x:row>
    <x:row r="1015" ht="19" customHeight="1">
      <x:c r="A1015" t="str">
        <x:v>600 x 1006 cm</x:v>
      </x:c>
      <x:c r="B1015" t="str">
        <x:v>awning</x:v>
      </x:c>
      <x:c r="C1015" s="1533" t="n">
        <x:v>13109</x:v>
      </x:c>
      <x:c r="D1015" s="1533" t="n">
        <x:v>14158</x:v>
      </x:c>
      <x:c r="E1015" s="1533" t="n">
        <x:v>14157.72</x:v>
      </x:c>
      <x:c r="F1015" s="1533" t="n">
        <x:v>14158</x:v>
      </x:c>
      <x:c r="G1015" s="1535" t="n">
        <x:v>0</x:v>
      </x:c>
      <x:c r="H1015" s="1535" t="n">
        <x:v>0</x:v>
      </x:c>
      <x:c r="I1015" t="str">
        <x:v>OK — pełna zgodność</x:v>
      </x:c>
      <x:c r="J1015" s="1537" t="str"/>
    </x:row>
    <x:row r="1016" ht="19" customHeight="1">
      <x:c r="A1016" t="str">
        <x:v>600 x 1006 cm</x:v>
      </x:c>
      <x:c r="B1016" t="str">
        <x:v>foundation</x:v>
      </x:c>
      <x:c r="C1016" s="1533" t="n">
        <x:v>4052</x:v>
      </x:c>
      <x:c r="D1016" s="1533" t="n">
        <x:v>4376</x:v>
      </x:c>
      <x:c r="E1016" s="1533" t="n">
        <x:v>4376.16</x:v>
      </x:c>
      <x:c r="F1016" s="1533" t="n">
        <x:v>4376</x:v>
      </x:c>
      <x:c r="G1016" s="1535" t="n">
        <x:v>0</x:v>
      </x:c>
      <x:c r="H1016" s="1535" t="n">
        <x:v>0</x:v>
      </x:c>
      <x:c r="I1016" t="str">
        <x:v>OK — pełna zgodność</x:v>
      </x:c>
      <x:c r="J1016" s="1537" t="str"/>
    </x:row>
    <x:row r="1017" ht="19" customHeight="1">
      <x:c r="A1017" t="str">
        <x:v>600 x 1006 cm</x:v>
      </x:c>
      <x:c r="B1017" t="str">
        <x:v>led_point</x:v>
      </x:c>
      <x:c r="C1017" s="1533" t="n">
        <x:v>1944</x:v>
      </x:c>
      <x:c r="D1017" s="1533" t="n">
        <x:v>2100</x:v>
      </x:c>
      <x:c r="E1017" s="1533" t="n">
        <x:v>2099.52</x:v>
      </x:c>
      <x:c r="F1017" s="1533" t="n">
        <x:v>2100</x:v>
      </x:c>
      <x:c r="G1017" s="1535" t="n">
        <x:v>0</x:v>
      </x:c>
      <x:c r="H1017" s="1535" t="n">
        <x:v>0</x:v>
      </x:c>
      <x:c r="I1017" t="str">
        <x:v>OK — pełna zgodność</x:v>
      </x:c>
      <x:c r="J1017" s="1537" t="str"/>
    </x:row>
    <x:row r="1018" ht="19" customHeight="1">
      <x:c r="A1018" t="str">
        <x:v>600 x 1006 cm</x:v>
      </x:c>
      <x:c r="B1018" t="str">
        <x:v>led_cct</x:v>
      </x:c>
      <x:c r="C1018" s="1533" t="n">
        <x:v>5070</x:v>
      </x:c>
      <x:c r="D1018" s="1533" t="n">
        <x:v>5476</x:v>
      </x:c>
      <x:c r="E1018" s="1533" t="n">
        <x:v>5475.6</x:v>
      </x:c>
      <x:c r="F1018" s="1533" t="n">
        <x:v>5476</x:v>
      </x:c>
      <x:c r="G1018" s="1535" t="n">
        <x:v>0</x:v>
      </x:c>
      <x:c r="H1018" s="1535" t="n">
        <x:v>0</x:v>
      </x:c>
      <x:c r="I1018" t="str">
        <x:v>OK — pełna zgodność</x:v>
      </x:c>
      <x:c r="J1018" s="1537" t="str"/>
    </x:row>
    <x:row r="1019" ht="19" customHeight="1">
      <x:c r="A1019" t="str">
        <x:v>600 x 1006 cm</x:v>
      </x:c>
      <x:c r="B1019" t="str">
        <x:v>brushes</x:v>
      </x:c>
      <x:c r="C1019" s="1533" t="n">
        <x:v>896</x:v>
      </x:c>
      <x:c r="D1019" s="1533" t="n">
        <x:v>968</x:v>
      </x:c>
      <x:c r="E1019" s="1533" t="n">
        <x:v>967.68</x:v>
      </x:c>
      <x:c r="F1019" s="1533" t="n">
        <x:v>968</x:v>
      </x:c>
      <x:c r="G1019" s="1535" t="n">
        <x:v>0</x:v>
      </x:c>
      <x:c r="H1019" s="1535" t="n">
        <x:v>0</x:v>
      </x:c>
      <x:c r="I1019" t="str">
        <x:v>OK — pełna zgodność</x:v>
      </x:c>
      <x:c r="J1019" s="1537" t="str"/>
    </x:row>
    <x:row r="1020" ht="19" customHeight="1">
      <x:c r="A1020" t="str">
        <x:v>600 x 1006 cm</x:v>
      </x:c>
      <x:c r="B1020" t="str">
        <x:v>handles</x:v>
      </x:c>
      <x:c r="C1020" s="1533" t="n">
        <x:v>813</x:v>
      </x:c>
      <x:c r="D1020" s="1533" t="n">
        <x:v>878</x:v>
      </x:c>
      <x:c r="E1020" s="1533" t="n">
        <x:v>878.04</x:v>
      </x:c>
      <x:c r="F1020" s="1533" t="n">
        <x:v>878</x:v>
      </x:c>
      <x:c r="G1020" s="1535" t="n">
        <x:v>0</x:v>
      </x:c>
      <x:c r="H1020" s="1535" t="n">
        <x:v>0</x:v>
      </x:c>
      <x:c r="I1020" t="str">
        <x:v>OK — pełna zgodność</x:v>
      </x:c>
      <x:c r="J1020" s="1537" t="str"/>
    </x:row>
    <x:row r="1021" ht="19" customHeight="1">
      <x:c r="A1021" t="str">
        <x:v>600 x 1006 cm</x:v>
      </x:c>
      <x:c r="B1021" t="str">
        <x:v>carriers</x:v>
      </x:c>
      <x:c r="C1021" s="1533" t="n">
        <x:v>802</x:v>
      </x:c>
      <x:c r="D1021" s="1533" t="n">
        <x:v>866</x:v>
      </x:c>
      <x:c r="E1021" s="1533" t="n">
        <x:v>866.16</x:v>
      </x:c>
      <x:c r="F1021" s="1533" t="n">
        <x:v>866</x:v>
      </x:c>
      <x:c r="G1021" s="1535" t="n">
        <x:v>0</x:v>
      </x:c>
      <x:c r="H1021" s="1535" t="n">
        <x:v>0</x:v>
      </x:c>
      <x:c r="I1021" t="str">
        <x:v>OK — pełna zgodność</x:v>
      </x:c>
      <x:c r="J1021" s="1537" t="str"/>
    </x:row>
    <x:row r="1022" ht="19" customHeight="1">
      <x:c r="A1022" t="str">
        <x:v>600 x 1106 cm</x:v>
      </x:c>
      <x:c r="B1022" t="str">
        <x:v>base_poly</x:v>
      </x:c>
      <x:c r="C1022" s="1533" t="n">
        <x:v>51451</x:v>
      </x:c>
      <x:c r="D1022" s="1533" t="n">
        <x:v>55567</x:v>
      </x:c>
      <x:c r="E1022" s="1533" t="n">
        <x:v>55567.08</x:v>
      </x:c>
      <x:c r="F1022" s="1533" t="n">
        <x:v>55567</x:v>
      </x:c>
      <x:c r="G1022" s="1535" t="n">
        <x:v>0</x:v>
      </x:c>
      <x:c r="H1022" s="1535" t="n">
        <x:v>0</x:v>
      </x:c>
      <x:c r="I1022" t="str">
        <x:v>OK — pełna zgodność</x:v>
      </x:c>
      <x:c r="J1022" s="1537" t="str"/>
    </x:row>
    <x:row r="1023" ht="19" customHeight="1">
      <x:c r="A1023" t="str">
        <x:v>600 x 1106 cm</x:v>
      </x:c>
      <x:c r="B1023" t="str">
        <x:v>walls_clear</x:v>
      </x:c>
      <x:c r="C1023" s="1533" t="n">
        <x:v>29175</x:v>
      </x:c>
      <x:c r="D1023" s="1533" t="n">
        <x:v>31509</x:v>
      </x:c>
      <x:c r="E1023" s="1533" t="n">
        <x:v>31509</x:v>
      </x:c>
      <x:c r="F1023" s="1533" t="n">
        <x:v>31509</x:v>
      </x:c>
      <x:c r="G1023" s="1535" t="n">
        <x:v>0</x:v>
      </x:c>
      <x:c r="H1023" s="1535" t="n">
        <x:v>0</x:v>
      </x:c>
      <x:c r="I1023" t="str">
        <x:v>OK — pełna zgodność</x:v>
      </x:c>
      <x:c r="J1023" s="1537" t="str"/>
    </x:row>
    <x:row r="1024" ht="19" customHeight="1">
      <x:c r="A1024" t="str">
        <x:v>600 x 1106 cm</x:v>
      </x:c>
      <x:c r="B1024" t="str">
        <x:v>walls_tinted</x:v>
      </x:c>
      <x:c r="C1024" s="1533" t="n">
        <x:v>32429</x:v>
      </x:c>
      <x:c r="D1024" s="1533" t="n">
        <x:v>35023</x:v>
      </x:c>
      <x:c r="E1024" s="1533" t="n">
        <x:v>35023.32</x:v>
      </x:c>
      <x:c r="F1024" s="1533" t="n">
        <x:v>35023</x:v>
      </x:c>
      <x:c r="G1024" s="1535" t="n">
        <x:v>0</x:v>
      </x:c>
      <x:c r="H1024" s="1535" t="n">
        <x:v>0</x:v>
      </x:c>
      <x:c r="I1024" t="str">
        <x:v>OK — pełna zgodność</x:v>
      </x:c>
      <x:c r="J1024" s="1537" t="str">
        <x:v>Pozycja złożona; stary eksport mógł zaokrąglać składniki osobno.</x:v>
      </x:c>
    </x:row>
    <x:row r="1025" ht="19" customHeight="1">
      <x:c r="A1025" t="str">
        <x:v>600 x 1106 cm</x:v>
      </x:c>
      <x:c r="B1025" t="str">
        <x:v>roof_poly_colored</x:v>
      </x:c>
      <x:c r="C1025" s="1533" t="n">
        <x:v>1356</x:v>
      </x:c>
      <x:c r="D1025" s="1533" t="n">
        <x:v>1464</x:v>
      </x:c>
      <x:c r="E1025" s="1533" t="n">
        <x:v>1464.48</x:v>
      </x:c>
      <x:c r="F1025" s="1533" t="n">
        <x:v>1464</x:v>
      </x:c>
      <x:c r="G1025" s="1535" t="n">
        <x:v>0</x:v>
      </x:c>
      <x:c r="H1025" s="1535" t="n">
        <x:v>0</x:v>
      </x:c>
      <x:c r="I1025" t="str">
        <x:v>OK — pełna zgodność</x:v>
      </x:c>
      <x:c r="J1025" s="1537" t="str"/>
    </x:row>
    <x:row r="1026" ht="19" customHeight="1">
      <x:c r="A1026" t="str">
        <x:v>600 x 1106 cm</x:v>
      </x:c>
      <x:c r="B1026" t="str">
        <x:v>roof_glass_clear</x:v>
      </x:c>
      <x:c r="C1026" s="1533" t="n">
        <x:v>0</x:v>
      </x:c>
      <x:c r="D1026" s="1533" t="n">
        <x:v>0</x:v>
      </x:c>
      <x:c r="E1026" s="1533" t="n">
        <x:v>0</x:v>
      </x:c>
      <x:c r="F1026" s="1533" t="n">
        <x:v>0</x:v>
      </x:c>
      <x:c r="G1026" s="1535" t="n">
        <x:v>0</x:v>
      </x:c>
      <x:c r="H1026" s="1535" t="n">
        <x:v>0</x:v>
      </x:c>
      <x:c r="I1026" t="str">
        <x:v>OK — pełna zgodność</x:v>
      </x:c>
      <x:c r="J1026" s="1537" t="str">
        <x:v>Szkło niedostępne dla tego wymiaru — poprawnie 0.</x:v>
      </x:c>
    </x:row>
    <x:row r="1027" ht="19" customHeight="1">
      <x:c r="A1027" t="str">
        <x:v>600 x 1106 cm</x:v>
      </x:c>
      <x:c r="B1027" t="str">
        <x:v>roof_glass_tinted</x:v>
      </x:c>
      <x:c r="C1027" s="1533" t="n">
        <x:v>0</x:v>
      </x:c>
      <x:c r="D1027" s="1533" t="n">
        <x:v>0</x:v>
      </x:c>
      <x:c r="E1027" s="1533" t="n">
        <x:v>0</x:v>
      </x:c>
      <x:c r="F1027" s="1533" t="n">
        <x:v>0</x:v>
      </x:c>
      <x:c r="G1027" s="1535" t="n">
        <x:v>0</x:v>
      </x:c>
      <x:c r="H1027" s="1535" t="n">
        <x:v>0</x:v>
      </x:c>
      <x:c r="I1027" t="str">
        <x:v>OK — pełna zgodność</x:v>
      </x:c>
      <x:c r="J1027" s="1537" t="str">
        <x:v>Szkło niedostępne dla tego wymiaru — poprawnie 0.</x:v>
      </x:c>
    </x:row>
    <x:row r="1028" ht="19" customHeight="1">
      <x:c r="A1028" t="str">
        <x:v>600 x 1106 cm</x:v>
      </x:c>
      <x:c r="B1028" t="str">
        <x:v>zip_side</x:v>
      </x:c>
      <x:c r="C1028" s="1533" t="n">
        <x:v>5034</x:v>
      </x:c>
      <x:c r="D1028" s="1533" t="n">
        <x:v>5437</x:v>
      </x:c>
      <x:c r="E1028" s="1533" t="n">
        <x:v>5436.72</x:v>
      </x:c>
      <x:c r="F1028" s="1533" t="n">
        <x:v>5437</x:v>
      </x:c>
      <x:c r="G1028" s="1535" t="n">
        <x:v>0</x:v>
      </x:c>
      <x:c r="H1028" s="1535" t="n">
        <x:v>0</x:v>
      </x:c>
      <x:c r="I1028" t="str">
        <x:v>OK — pełna zgodność</x:v>
      </x:c>
      <x:c r="J1028" s="1537" t="str"/>
    </x:row>
    <x:row r="1029" ht="19" customHeight="1">
      <x:c r="A1029" t="str">
        <x:v>600 x 1106 cm</x:v>
      </x:c>
      <x:c r="B1029" t="str">
        <x:v>zip_front</x:v>
      </x:c>
      <x:c r="C1029" s="1533" t="n">
        <x:v>8748</x:v>
      </x:c>
      <x:c r="D1029" s="1533" t="n">
        <x:v>9448</x:v>
      </x:c>
      <x:c r="E1029" s="1533" t="n">
        <x:v>9447.84</x:v>
      </x:c>
      <x:c r="F1029" s="1533" t="n">
        <x:v>9448</x:v>
      </x:c>
      <x:c r="G1029" s="1535" t="n">
        <x:v>0</x:v>
      </x:c>
      <x:c r="H1029" s="1535" t="n">
        <x:v>0</x:v>
      </x:c>
      <x:c r="I1029" t="str">
        <x:v>OK — pełna zgodność</x:v>
      </x:c>
      <x:c r="J1029" s="1537" t="str"/>
    </x:row>
    <x:row r="1030" ht="19" customHeight="1">
      <x:c r="A1030" t="str">
        <x:v>600 x 1106 cm</x:v>
      </x:c>
      <x:c r="B1030" t="str">
        <x:v>awning</x:v>
      </x:c>
      <x:c r="C1030" s="1533" t="n">
        <x:v>16198</x:v>
      </x:c>
      <x:c r="D1030" s="1533" t="n">
        <x:v>17494</x:v>
      </x:c>
      <x:c r="E1030" s="1533" t="n">
        <x:v>17493.84</x:v>
      </x:c>
      <x:c r="F1030" s="1533" t="n">
        <x:v>17494</x:v>
      </x:c>
      <x:c r="G1030" s="1535" t="n">
        <x:v>0</x:v>
      </x:c>
      <x:c r="H1030" s="1535" t="n">
        <x:v>0</x:v>
      </x:c>
      <x:c r="I1030" t="str">
        <x:v>OK — pełna zgodność</x:v>
      </x:c>
      <x:c r="J1030" s="1537" t="str"/>
    </x:row>
    <x:row r="1031" ht="19" customHeight="1">
      <x:c r="A1031" t="str">
        <x:v>600 x 1106 cm</x:v>
      </x:c>
      <x:c r="B1031" t="str">
        <x:v>foundation</x:v>
      </x:c>
      <x:c r="C1031" s="1533" t="n">
        <x:v>4601</x:v>
      </x:c>
      <x:c r="D1031" s="1533" t="n">
        <x:v>4969</x:v>
      </x:c>
      <x:c r="E1031" s="1533" t="n">
        <x:v>4969.08</x:v>
      </x:c>
      <x:c r="F1031" s="1533" t="n">
        <x:v>4969</x:v>
      </x:c>
      <x:c r="G1031" s="1535" t="n">
        <x:v>0</x:v>
      </x:c>
      <x:c r="H1031" s="1535" t="n">
        <x:v>0</x:v>
      </x:c>
      <x:c r="I1031" t="str">
        <x:v>OK — pełna zgodność</x:v>
      </x:c>
      <x:c r="J1031" s="1537" t="str"/>
    </x:row>
    <x:row r="1032" ht="19" customHeight="1">
      <x:c r="A1032" t="str">
        <x:v>600 x 1106 cm</x:v>
      </x:c>
      <x:c r="B1032" t="str">
        <x:v>led_point</x:v>
      </x:c>
      <x:c r="C1032" s="1533" t="n">
        <x:v>2087</x:v>
      </x:c>
      <x:c r="D1032" s="1533" t="n">
        <x:v>2254</x:v>
      </x:c>
      <x:c r="E1032" s="1533" t="n">
        <x:v>2253.96</x:v>
      </x:c>
      <x:c r="F1032" s="1533" t="n">
        <x:v>2254</x:v>
      </x:c>
      <x:c r="G1032" s="1535" t="n">
        <x:v>0</x:v>
      </x:c>
      <x:c r="H1032" s="1535" t="n">
        <x:v>0</x:v>
      </x:c>
      <x:c r="I1032" t="str">
        <x:v>OK — pełna zgodność</x:v>
      </x:c>
      <x:c r="J1032" s="1537" t="str"/>
    </x:row>
    <x:row r="1033" ht="19" customHeight="1">
      <x:c r="A1033" t="str">
        <x:v>600 x 1106 cm</x:v>
      </x:c>
      <x:c r="B1033" t="str">
        <x:v>led_cct</x:v>
      </x:c>
      <x:c r="C1033" s="1533" t="n">
        <x:v>5462</x:v>
      </x:c>
      <x:c r="D1033" s="1533" t="n">
        <x:v>5899</x:v>
      </x:c>
      <x:c r="E1033" s="1533" t="n">
        <x:v>5898.96</x:v>
      </x:c>
      <x:c r="F1033" s="1533" t="n">
        <x:v>5899</x:v>
      </x:c>
      <x:c r="G1033" s="1535" t="n">
        <x:v>0</x:v>
      </x:c>
      <x:c r="H1033" s="1535" t="n">
        <x:v>0</x:v>
      </x:c>
      <x:c r="I1033" t="str">
        <x:v>OK — pełna zgodność</x:v>
      </x:c>
      <x:c r="J1033" s="1537" t="str"/>
    </x:row>
    <x:row r="1034" ht="19" customHeight="1">
      <x:c r="A1034" t="str">
        <x:v>600 x 1106 cm</x:v>
      </x:c>
      <x:c r="B1034" t="str">
        <x:v>brushes</x:v>
      </x:c>
      <x:c r="C1034" s="1533" t="n">
        <x:v>943</x:v>
      </x:c>
      <x:c r="D1034" s="1533" t="n">
        <x:v>1017</x:v>
      </x:c>
      <x:c r="E1034" s="1533" t="n">
        <x:v>1018.44</x:v>
      </x:c>
      <x:c r="F1034" s="1533" t="n">
        <x:v>1018</x:v>
      </x:c>
      <x:c r="G1034" s="1535" t="n">
        <x:v>1</x:v>
      </x:c>
      <x:c r="H1034" s="1535" t="n">
        <x:v>1</x:v>
      </x:c>
      <x:c r="I1034" t="str">
        <x:v>OK — zaokrąglenie ±1 zł</x:v>
      </x:c>
      <x:c r="J1034" s="1537" t="str"/>
    </x:row>
    <x:row r="1035" ht="19" customHeight="1">
      <x:c r="A1035" t="str">
        <x:v>600 x 1106 cm</x:v>
      </x:c>
      <x:c r="B1035" t="str">
        <x:v>handles</x:v>
      </x:c>
      <x:c r="C1035" s="1533" t="n">
        <x:v>848</x:v>
      </x:c>
      <x:c r="D1035" s="1533" t="n">
        <x:v>916</x:v>
      </x:c>
      <x:c r="E1035" s="1533" t="n">
        <x:v>915.84</x:v>
      </x:c>
      <x:c r="F1035" s="1533" t="n">
        <x:v>916</x:v>
      </x:c>
      <x:c r="G1035" s="1535" t="n">
        <x:v>0</x:v>
      </x:c>
      <x:c r="H1035" s="1535" t="n">
        <x:v>0</x:v>
      </x:c>
      <x:c r="I1035" t="str">
        <x:v>OK — pełna zgodność</x:v>
      </x:c>
      <x:c r="J1035" s="1537" t="str"/>
    </x:row>
    <x:row r="1036" ht="19" customHeight="1">
      <x:c r="A1036" t="str">
        <x:v>600 x 1106 cm</x:v>
      </x:c>
      <x:c r="B1036" t="str">
        <x:v>carriers</x:v>
      </x:c>
      <x:c r="C1036" s="1533" t="n">
        <x:v>848</x:v>
      </x:c>
      <x:c r="D1036" s="1533" t="n">
        <x:v>916</x:v>
      </x:c>
      <x:c r="E1036" s="1533" t="n">
        <x:v>915.84</x:v>
      </x:c>
      <x:c r="F1036" s="1533" t="n">
        <x:v>916</x:v>
      </x:c>
      <x:c r="G1036" s="1535" t="n">
        <x:v>0</x:v>
      </x:c>
      <x:c r="H1036" s="1535" t="n">
        <x:v>0</x:v>
      </x:c>
      <x:c r="I1036" t="str">
        <x:v>OK — pełna zgodność</x:v>
      </x:c>
      <x:c r="J1036" s="1537" t="str"/>
    </x:row>
    <x:row r="1037" ht="19" customHeight="1">
      <x:c r="A1037" t="str">
        <x:v>600 x 1206 cm</x:v>
      </x:c>
      <x:c r="B1037" t="str">
        <x:v>base_poly</x:v>
      </x:c>
      <x:c r="C1037" s="1533" t="n">
        <x:v>55610</x:v>
      </x:c>
      <x:c r="D1037" s="1533" t="n">
        <x:v>60059</x:v>
      </x:c>
      <x:c r="E1037" s="1533" t="n">
        <x:v>60058.8</x:v>
      </x:c>
      <x:c r="F1037" s="1533" t="n">
        <x:v>60059</x:v>
      </x:c>
      <x:c r="G1037" s="1535" t="n">
        <x:v>0</x:v>
      </x:c>
      <x:c r="H1037" s="1535" t="n">
        <x:v>0</x:v>
      </x:c>
      <x:c r="I1037" t="str">
        <x:v>OK — pełna zgodność</x:v>
      </x:c>
      <x:c r="J1037" s="1537" t="str"/>
    </x:row>
    <x:row r="1038" ht="19" customHeight="1">
      <x:c r="A1038" t="str">
        <x:v>600 x 1206 cm</x:v>
      </x:c>
      <x:c r="B1038" t="str">
        <x:v>walls_clear</x:v>
      </x:c>
      <x:c r="C1038" s="1533" t="n">
        <x:v>30169</x:v>
      </x:c>
      <x:c r="D1038" s="1533" t="n">
        <x:v>32583</x:v>
      </x:c>
      <x:c r="E1038" s="1533" t="n">
        <x:v>32582.52</x:v>
      </x:c>
      <x:c r="F1038" s="1533" t="n">
        <x:v>32583</x:v>
      </x:c>
      <x:c r="G1038" s="1535" t="n">
        <x:v>0</x:v>
      </x:c>
      <x:c r="H1038" s="1535" t="n">
        <x:v>0</x:v>
      </x:c>
      <x:c r="I1038" t="str">
        <x:v>OK — pełna zgodność</x:v>
      </x:c>
      <x:c r="J1038" s="1537" t="str"/>
    </x:row>
    <x:row r="1039" ht="19" customHeight="1">
      <x:c r="A1039" t="str">
        <x:v>600 x 1206 cm</x:v>
      </x:c>
      <x:c r="B1039" t="str">
        <x:v>walls_tinted</x:v>
      </x:c>
      <x:c r="C1039" s="1533" t="n">
        <x:v>33563</x:v>
      </x:c>
      <x:c r="D1039" s="1533" t="n">
        <x:v>36249</x:v>
      </x:c>
      <x:c r="E1039" s="1533" t="n">
        <x:v>36248.04</x:v>
      </x:c>
      <x:c r="F1039" s="1533" t="n">
        <x:v>36248</x:v>
      </x:c>
      <x:c r="G1039" s="1535" t="n">
        <x:v>-1</x:v>
      </x:c>
      <x:c r="H1039" s="1535" t="n">
        <x:v>1</x:v>
      </x:c>
      <x:c r="I1039" t="str">
        <x:v>OK — zaokrąglenie ±1 zł</x:v>
      </x:c>
      <x:c r="J1039" s="1537" t="str">
        <x:v>Pozycja złożona; stary eksport mógł zaokrąglać składniki osobno.</x:v>
      </x:c>
    </x:row>
    <x:row r="1040" ht="19" customHeight="1">
      <x:c r="A1040" t="str">
        <x:v>600 x 1206 cm</x:v>
      </x:c>
      <x:c r="B1040" t="str">
        <x:v>roof_poly_colored</x:v>
      </x:c>
      <x:c r="C1040" s="1533" t="n">
        <x:v>1473</x:v>
      </x:c>
      <x:c r="D1040" s="1533" t="n">
        <x:v>1591</x:v>
      </x:c>
      <x:c r="E1040" s="1533" t="n">
        <x:v>1590.84</x:v>
      </x:c>
      <x:c r="F1040" s="1533" t="n">
        <x:v>1591</x:v>
      </x:c>
      <x:c r="G1040" s="1535" t="n">
        <x:v>0</x:v>
      </x:c>
      <x:c r="H1040" s="1535" t="n">
        <x:v>0</x:v>
      </x:c>
      <x:c r="I1040" t="str">
        <x:v>OK — pełna zgodność</x:v>
      </x:c>
      <x:c r="J1040" s="1537" t="str"/>
    </x:row>
    <x:row r="1041" ht="19" customHeight="1">
      <x:c r="A1041" t="str">
        <x:v>600 x 1206 cm</x:v>
      </x:c>
      <x:c r="B1041" t="str">
        <x:v>roof_glass_clear</x:v>
      </x:c>
      <x:c r="C1041" s="1533" t="n">
        <x:v>0</x:v>
      </x:c>
      <x:c r="D1041" s="1533" t="n">
        <x:v>0</x:v>
      </x:c>
      <x:c r="E1041" s="1533" t="n">
        <x:v>0</x:v>
      </x:c>
      <x:c r="F1041" s="1533" t="n">
        <x:v>0</x:v>
      </x:c>
      <x:c r="G1041" s="1535" t="n">
        <x:v>0</x:v>
      </x:c>
      <x:c r="H1041" s="1535" t="n">
        <x:v>0</x:v>
      </x:c>
      <x:c r="I1041" t="str">
        <x:v>OK — pełna zgodność</x:v>
      </x:c>
      <x:c r="J1041" s="1537" t="str">
        <x:v>Szkło niedostępne dla tego wymiaru — poprawnie 0.</x:v>
      </x:c>
    </x:row>
    <x:row r="1042" ht="19" customHeight="1">
      <x:c r="A1042" t="str">
        <x:v>600 x 1206 cm</x:v>
      </x:c>
      <x:c r="B1042" t="str">
        <x:v>roof_glass_tinted</x:v>
      </x:c>
      <x:c r="C1042" s="1533" t="n">
        <x:v>0</x:v>
      </x:c>
      <x:c r="D1042" s="1533" t="n">
        <x:v>0</x:v>
      </x:c>
      <x:c r="E1042" s="1533" t="n">
        <x:v>0</x:v>
      </x:c>
      <x:c r="F1042" s="1533" t="n">
        <x:v>0</x:v>
      </x:c>
      <x:c r="G1042" s="1535" t="n">
        <x:v>0</x:v>
      </x:c>
      <x:c r="H1042" s="1535" t="n">
        <x:v>0</x:v>
      </x:c>
      <x:c r="I1042" t="str">
        <x:v>OK — pełna zgodność</x:v>
      </x:c>
      <x:c r="J1042" s="1537" t="str">
        <x:v>Szkło niedostępne dla tego wymiaru — poprawnie 0.</x:v>
      </x:c>
    </x:row>
    <x:row r="1043" ht="19" customHeight="1">
      <x:c r="A1043" t="str">
        <x:v>600 x 1206 cm</x:v>
      </x:c>
      <x:c r="B1043" t="str">
        <x:v>zip_side</x:v>
      </x:c>
      <x:c r="C1043" s="1533" t="n">
        <x:v>5034</x:v>
      </x:c>
      <x:c r="D1043" s="1533" t="n">
        <x:v>5437</x:v>
      </x:c>
      <x:c r="E1043" s="1533" t="n">
        <x:v>5436.72</x:v>
      </x:c>
      <x:c r="F1043" s="1533" t="n">
        <x:v>5437</x:v>
      </x:c>
      <x:c r="G1043" s="1535" t="n">
        <x:v>0</x:v>
      </x:c>
      <x:c r="H1043" s="1535" t="n">
        <x:v>0</x:v>
      </x:c>
      <x:c r="I1043" t="str">
        <x:v>OK — pełna zgodność</x:v>
      </x:c>
      <x:c r="J1043" s="1537" t="str"/>
    </x:row>
    <x:row r="1044" ht="19" customHeight="1">
      <x:c r="A1044" t="str">
        <x:v>600 x 1206 cm</x:v>
      </x:c>
      <x:c r="B1044" t="str">
        <x:v>zip_front</x:v>
      </x:c>
      <x:c r="C1044" s="1533" t="n">
        <x:v>9337</x:v>
      </x:c>
      <x:c r="D1044" s="1533" t="n">
        <x:v>10084</x:v>
      </x:c>
      <x:c r="E1044" s="1533" t="n">
        <x:v>10083.96</x:v>
      </x:c>
      <x:c r="F1044" s="1533" t="n">
        <x:v>10084</x:v>
      </x:c>
      <x:c r="G1044" s="1535" t="n">
        <x:v>0</x:v>
      </x:c>
      <x:c r="H1044" s="1535" t="n">
        <x:v>0</x:v>
      </x:c>
      <x:c r="I1044" t="str">
        <x:v>OK — pełna zgodność</x:v>
      </x:c>
      <x:c r="J1044" s="1537" t="str"/>
    </x:row>
    <x:row r="1045" ht="19" customHeight="1">
      <x:c r="A1045" t="str">
        <x:v>600 x 1206 cm</x:v>
      </x:c>
      <x:c r="B1045" t="str">
        <x:v>awning</x:v>
      </x:c>
      <x:c r="C1045" s="1533" t="n">
        <x:v>16516</x:v>
      </x:c>
      <x:c r="D1045" s="1533" t="n">
        <x:v>17837</x:v>
      </x:c>
      <x:c r="E1045" s="1533" t="n">
        <x:v>17837.28</x:v>
      </x:c>
      <x:c r="F1045" s="1533" t="n">
        <x:v>17837</x:v>
      </x:c>
      <x:c r="G1045" s="1535" t="n">
        <x:v>0</x:v>
      </x:c>
      <x:c r="H1045" s="1535" t="n">
        <x:v>0</x:v>
      </x:c>
      <x:c r="I1045" t="str">
        <x:v>OK — pełna zgodność</x:v>
      </x:c>
      <x:c r="J1045" s="1537" t="str"/>
    </x:row>
    <x:row r="1046" ht="19" customHeight="1">
      <x:c r="A1046" t="str">
        <x:v>600 x 1206 cm</x:v>
      </x:c>
      <x:c r="B1046" t="str">
        <x:v>foundation</x:v>
      </x:c>
      <x:c r="C1046" s="1533" t="n">
        <x:v>5160</x:v>
      </x:c>
      <x:c r="D1046" s="1533" t="n">
        <x:v>5573</x:v>
      </x:c>
      <x:c r="E1046" s="1533" t="n">
        <x:v>5572.8</x:v>
      </x:c>
      <x:c r="F1046" s="1533" t="n">
        <x:v>5573</x:v>
      </x:c>
      <x:c r="G1046" s="1535" t="n">
        <x:v>0</x:v>
      </x:c>
      <x:c r="H1046" s="1535" t="n">
        <x:v>0</x:v>
      </x:c>
      <x:c r="I1046" t="str">
        <x:v>OK — pełna zgodność</x:v>
      </x:c>
      <x:c r="J1046" s="1537" t="str"/>
    </x:row>
    <x:row r="1047" ht="19" customHeight="1">
      <x:c r="A1047" t="str">
        <x:v>600 x 1206 cm</x:v>
      </x:c>
      <x:c r="B1047" t="str">
        <x:v>led_point</x:v>
      </x:c>
      <x:c r="C1047" s="1533" t="n">
        <x:v>2240</x:v>
      </x:c>
      <x:c r="D1047" s="1533" t="n">
        <x:v>2419</x:v>
      </x:c>
      <x:c r="E1047" s="1533" t="n">
        <x:v>2419.2</x:v>
      </x:c>
      <x:c r="F1047" s="1533" t="n">
        <x:v>2419</x:v>
      </x:c>
      <x:c r="G1047" s="1535" t="n">
        <x:v>0</x:v>
      </x:c>
      <x:c r="H1047" s="1535" t="n">
        <x:v>0</x:v>
      </x:c>
      <x:c r="I1047" t="str">
        <x:v>OK — pełna zgodność</x:v>
      </x:c>
      <x:c r="J1047" s="1537" t="str"/>
    </x:row>
    <x:row r="1048" ht="19" customHeight="1">
      <x:c r="A1048" t="str">
        <x:v>600 x 1206 cm</x:v>
      </x:c>
      <x:c r="B1048" t="str">
        <x:v>led_cct</x:v>
      </x:c>
      <x:c r="C1048" s="1533" t="n">
        <x:v>5837</x:v>
      </x:c>
      <x:c r="D1048" s="1533" t="n">
        <x:v>6304</x:v>
      </x:c>
      <x:c r="E1048" s="1533" t="n">
        <x:v>6303.96</x:v>
      </x:c>
      <x:c r="F1048" s="1533" t="n">
        <x:v>6304</x:v>
      </x:c>
      <x:c r="G1048" s="1535" t="n">
        <x:v>0</x:v>
      </x:c>
      <x:c r="H1048" s="1535" t="n">
        <x:v>0</x:v>
      </x:c>
      <x:c r="I1048" t="str">
        <x:v>OK — pełna zgodność</x:v>
      </x:c>
      <x:c r="J1048" s="1537" t="str"/>
    </x:row>
    <x:row r="1049" ht="19" customHeight="1">
      <x:c r="A1049" t="str">
        <x:v>600 x 1206 cm</x:v>
      </x:c>
      <x:c r="B1049" t="str">
        <x:v>brushes</x:v>
      </x:c>
      <x:c r="C1049" s="1533" t="n">
        <x:v>990</x:v>
      </x:c>
      <x:c r="D1049" s="1533" t="n">
        <x:v>1069</x:v>
      </x:c>
      <x:c r="E1049" s="1533" t="n">
        <x:v>1069.2</x:v>
      </x:c>
      <x:c r="F1049" s="1533" t="n">
        <x:v>1069</x:v>
      </x:c>
      <x:c r="G1049" s="1535" t="n">
        <x:v>0</x:v>
      </x:c>
      <x:c r="H1049" s="1535" t="n">
        <x:v>0</x:v>
      </x:c>
      <x:c r="I1049" t="str">
        <x:v>OK — pełna zgodność</x:v>
      </x:c>
      <x:c r="J1049" s="1537" t="str"/>
    </x:row>
    <x:row r="1050" ht="19" customHeight="1">
      <x:c r="A1050" t="str">
        <x:v>600 x 1206 cm</x:v>
      </x:c>
      <x:c r="B1050" t="str">
        <x:v>handles</x:v>
      </x:c>
      <x:c r="C1050" s="1533" t="n">
        <x:v>896</x:v>
      </x:c>
      <x:c r="D1050" s="1533" t="n">
        <x:v>968</x:v>
      </x:c>
      <x:c r="E1050" s="1533" t="n">
        <x:v>967.68</x:v>
      </x:c>
      <x:c r="F1050" s="1533" t="n">
        <x:v>968</x:v>
      </x:c>
      <x:c r="G1050" s="1535" t="n">
        <x:v>0</x:v>
      </x:c>
      <x:c r="H1050" s="1535" t="n">
        <x:v>0</x:v>
      </x:c>
      <x:c r="I1050" t="str">
        <x:v>OK — pełna zgodność</x:v>
      </x:c>
      <x:c r="J1050" s="1537" t="str"/>
    </x:row>
    <x:row r="1051" ht="19" customHeight="1">
      <x:c r="A1051" t="str">
        <x:v>600 x 1206 cm</x:v>
      </x:c>
      <x:c r="B1051" t="str">
        <x:v>carriers</x:v>
      </x:c>
      <x:c r="C1051" s="1533" t="n">
        <x:v>896</x:v>
      </x:c>
      <x:c r="D1051" s="1533" t="n">
        <x:v>968</x:v>
      </x:c>
      <x:c r="E1051" s="1533" t="n">
        <x:v>967.68</x:v>
      </x:c>
      <x:c r="F1051" s="1533" t="n">
        <x:v>968</x:v>
      </x:c>
      <x:c r="G1051" s="1535" t="n">
        <x:v>0</x:v>
      </x:c>
      <x:c r="H1051" s="1535" t="n">
        <x:v>0</x:v>
      </x:c>
      <x:c r="I1051" t="str">
        <x:v>OK — pełna zgodność</x:v>
      </x:c>
      <x:c r="J1051" s="1537" t="str"/>
    </x:row>
  </x:sheetData>
  <x:conditionalFormatting sqref="I2:I1051">
    <x:cfRule type="expression" dxfId="69" priority="1">
      <x:formula>I2="SPRAWDŹ &gt;1 zł"</x:formula>
    </x:cfRule>
    <x:cfRule type="expression" dxfId="70" priority="2">
      <x:formula>I2="OK — zaokrąglenie ±1 zł"</x:formula>
    </x:cfRule>
    <x:cfRule type="expression" dxfId="71" priority="3">
      <x:formula>I2="OK — pełna zgodność"</x:formula>
    </x:cfRule>
  </x:conditionalFormatting>
  <x:conditionalFormatting sqref="A2:J1051">
    <x:cfRule type="expression" dxfId="72" priority="4">
      <x:formula>$H2&gt;1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b21380d9584b21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8" hidden="0" customWidth="1"/>
  </x:cols>
  <x:sheetData>
    <x:row r="1" ht="34" customHeight="1">
      <x:c r="A1" s="1558" t="str">
        <x:v>FIX22 v2 — eksport cen netto do Bitrix24</x:v>
      </x:c>
      <x:c r="B1" s="1537"/>
    </x:row>
    <x:row r="2" ht="28" customHeight="1">
      <x:c r="A2" s="1559" t="str">
        <x:v>Cel</x:v>
      </x:c>
      <x:c r="B2" s="1537" t="str">
        <x:v>Do Bitrix24 trafia cena sprzedaży netto (cena po narzucie + montaż netto). VAT jest naliczany osobno w Bitrix24.</x:v>
      </x:c>
    </x:row>
    <x:row r="3" ht="28" customHeight="1">
      <x:c r="A3" s="1559" t="str">
        <x:v>Strona</x:v>
      </x:c>
      <x:c r="B3" s="1537" t="str">
        <x:v>Bez zmian: nadal może pokazywać orientacyjną cenę brutto z VAT 8%.</x:v>
      </x:c>
    </x:row>
    <x:row r="4" ht="28" customHeight="1">
      <x:c r="A4" s="1559" t="str">
        <x:v>Model Bitrix</x:v>
      </x:c>
      <x:c r="B4" s="1537" t="str">
        <x:v>price_mode = net; tax_included = NIE; domyślny VAT = 8%.</x:v>
      </x:c>
    </x:row>
    <x:row r="5" ht="28" customHeight="1">
      <x:c r="A5" s="1559"/>
      <x:c r="B5" s="1537"/>
    </x:row>
    <x:row r="6" ht="28" customHeight="1">
      <x:c r="A6" s="1560" t="str">
        <x:v>Wynik audytu 15 pól × 70 wymiarów</x:v>
      </x:c>
      <x:c r="B6" s="1561"/>
    </x:row>
    <x:row r="7" ht="28" customHeight="1">
      <x:c r="A7" s="1570" t="str">
        <x:v>Pełna zgodność 0 zł</x:v>
      </x:c>
      <x:c r="B7" s="1571" t="n">
        <x:v>988</x:v>
      </x:c>
    </x:row>
    <x:row r="8" ht="28" customHeight="1">
      <x:c r="A8" s="1574" t="str">
        <x:v>Różnica wyłącznie ±1 zł</x:v>
      </x:c>
      <x:c r="B8" s="1575" t="n">
        <x:v>61</x:v>
      </x:c>
    </x:row>
    <x:row r="9" ht="28" customHeight="1">
      <x:c r="A9" s="1578" t="str">
        <x:v>Różnica większa niż 1 zł</x:v>
      </x:c>
      <x:c r="B9" s="1579" t="n">
        <x:v>1</x:v>
      </x:c>
    </x:row>
    <x:row r="10" ht="28" customHeight="1">
      <x:c r="A10" s="1559"/>
      <x:c r="B10" s="1537"/>
    </x:row>
    <x:row r="11" ht="48" customHeight="1">
      <x:c r="A11" s="1559" t="str">
        <x:v>Jedyna różnica &gt;1 zł</x:v>
      </x:c>
      <x:c r="B11" s="1537" t="str">
        <x:v>350 x 706 cm / roof_glass_tinted: netto 7 285 zł → 7 867,80 zł brutto → 7 868 zł; stary eksport: 7 866 zł (różnica +2 zł).</x:v>
      </x:c>
    </x:row>
    <x:row r="12" ht="48" customHeight="1">
      <x:c r="A12" s="1559" t="str">
        <x:v>Wymiary 550/600 — szkło</x:v>
      </x:c>
      <x:c r="B12" s="1537" t="str">
        <x:v>Szkło jest niedostępne, dlatego roof_glass_clear_net i roof_glass_tinted_net są poprawnie ustawione na 0. Poprzedni audyt błędnie tworzył wartości ujemne.</x:v>
      </x:c>
    </x:row>
    <x:row r="13" ht="28" customHeight="1">
      <x:c r="A13" s="1559"/>
      <x:c r="B13" s="1537"/>
    </x:row>
    <x:row r="14" ht="28" customHeight="1">
      <x:c r="A14" s="1560" t="str">
        <x:v>Przykład 300 x 306 cm — baza</x:v>
      </x:c>
      <x:c r="B14" s="1561"/>
    </x:row>
    <x:row r="15" ht="28" customHeight="1">
      <x:c r="A15" s="1559" t="str">
        <x:v>Cena po narzucie netto</x:v>
      </x:c>
      <x:c r="B15" s="1568" t="n">
        <x:v>4869</x:v>
      </x:c>
    </x:row>
    <x:row r="16" ht="28" customHeight="1">
      <x:c r="A16" s="1559" t="str">
        <x:v>Cena montażu netto</x:v>
      </x:c>
      <x:c r="B16" s="1568" t="n">
        <x:v>2550</x:v>
      </x:c>
    </x:row>
    <x:row r="17" ht="28" customHeight="1">
      <x:c r="A17" s="1559" t="str">
        <x:v>Cena sprzedaży netto do Bitrix24</x:v>
      </x:c>
      <x:c r="B17" s="1568" t="n">
        <x:v>7419</x:v>
      </x:c>
    </x:row>
    <x:row r="18" ht="28" customHeight="1">
      <x:c r="A18" s="1559" t="str">
        <x:v>VAT 8%</x:v>
      </x:c>
      <x:c r="B18" s="1568" t="n">
        <x:v>593.52</x:v>
      </x:c>
    </x:row>
    <x:row r="19" ht="28" customHeight="1">
      <x:c r="A19" s="1559" t="str">
        <x:v>Brutto dokładne</x:v>
      </x:c>
      <x:c r="B19" s="1568" t="n">
        <x:v>8012.52</x:v>
      </x:c>
    </x:row>
    <x:row r="20" ht="28" customHeight="1">
      <x:c r="A20" s="1559" t="str">
        <x:v>Brutto pokazywane na stronie po zaokrągleniu</x:v>
      </x:c>
      <x:c r="B20" s="1568" t="n">
        <x:v>8013</x:v>
      </x:c>
    </x:row>
  </x:sheetData>
  <x:mergeCells>
    <x:mergeCell ref="A1:B1"/>
  </x:mergeCells>
  <x:pageMargins left="0.7" right="0.7" top="0.75" bottom="0.75" header="0.3" footer="0.3"/>
</x:worksheet>
</file>